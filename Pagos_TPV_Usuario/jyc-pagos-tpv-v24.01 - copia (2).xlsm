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__Dugarry UA\Dugarry Proyectos\_Jornadas y Congresos\Programación JyC\Pagos_TPV\"/>
    </mc:Choice>
  </mc:AlternateContent>
  <xr:revisionPtr revIDLastSave="0" documentId="13_ncr:1_{BDAFE25C-F9BD-4CDE-9DE1-F89316799142}" xr6:coauthVersionLast="47" xr6:coauthVersionMax="47" xr10:uidLastSave="{00000000-0000-0000-0000-000000000000}"/>
  <bookViews>
    <workbookView xWindow="-38510" yWindow="-110" windowWidth="38620" windowHeight="21100" activeTab="3" xr2:uid="{743A0AFF-D571-4256-A06B-474EC0ECC2A0}"/>
  </bookViews>
  <sheets>
    <sheet name="UTF8" sheetId="3" r:id="rId1"/>
    <sheet name="DefCol_Liq" sheetId="8" r:id="rId2"/>
    <sheet name="DefCol_TPV" sheetId="7" r:id="rId3"/>
    <sheet name="JyC_TPV" sheetId="1" r:id="rId4"/>
    <sheet name="Pagos" sheetId="5" r:id="rId5"/>
  </sheets>
  <definedNames>
    <definedName name="JyC_TPV_NomJyC">JyC_TPV!$D$2</definedName>
    <definedName name="JyC_TPV_NumLiq">JyC_TPV!$D$4</definedName>
    <definedName name="JyC_TPV_Orgánica">JyC_TPV!$D$3</definedName>
    <definedName name="JyC_TPV_Siglas">JyC_TPV!$E$3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6" i="1" l="1"/>
  <c r="H56" i="1"/>
  <c r="I56" i="1"/>
  <c r="J56" i="1"/>
  <c r="J4" i="8" l="1"/>
  <c r="M10" i="8"/>
  <c r="J10" i="8"/>
  <c r="M9" i="8"/>
  <c r="J9" i="8"/>
  <c r="M8" i="8"/>
  <c r="J8" i="8"/>
  <c r="M7" i="8"/>
  <c r="J7" i="8"/>
  <c r="M6" i="8"/>
  <c r="J6" i="8"/>
  <c r="M3" i="8"/>
  <c r="J3" i="8"/>
  <c r="M5" i="8"/>
  <c r="J5" i="8"/>
  <c r="M4" i="8"/>
  <c r="M12" i="7"/>
  <c r="J12" i="7"/>
  <c r="M11" i="7"/>
  <c r="J11" i="7"/>
  <c r="M10" i="7"/>
  <c r="J10" i="7"/>
  <c r="M9" i="7"/>
  <c r="J9" i="7"/>
  <c r="M8" i="7"/>
  <c r="J8" i="7"/>
  <c r="M7" i="7"/>
  <c r="J7" i="7"/>
  <c r="M6" i="7"/>
  <c r="J6" i="7"/>
  <c r="M5" i="7"/>
  <c r="J5" i="7"/>
  <c r="M4" i="7"/>
  <c r="J4" i="7"/>
  <c r="M3" i="7"/>
  <c r="J3" i="7"/>
  <c r="M11" i="8" l="1"/>
  <c r="N7" i="8" s="1"/>
  <c r="M13" i="7"/>
  <c r="N3" i="8" l="1"/>
  <c r="N10" i="8"/>
  <c r="N5" i="8"/>
  <c r="N4" i="8"/>
  <c r="N8" i="8"/>
  <c r="N9" i="8"/>
  <c r="N6" i="8"/>
  <c r="N11" i="7"/>
  <c r="N4" i="7"/>
  <c r="N8" i="7"/>
  <c r="N7" i="7"/>
  <c r="N12" i="7"/>
  <c r="N5" i="7"/>
  <c r="N9" i="7"/>
  <c r="N3" i="7"/>
  <c r="N10" i="7"/>
  <c r="N6" i="7"/>
  <c r="N11" i="8" l="1"/>
  <c r="N13" i="7"/>
  <c r="C5" i="1"/>
  <c r="H5" i="1"/>
  <c r="I5" i="1"/>
  <c r="J5" i="1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G61" i="5"/>
  <c r="G9" i="5" s="1"/>
  <c r="F61" i="5"/>
  <c r="E9" i="5" s="1"/>
  <c r="E61" i="5"/>
  <c r="C9" i="5" s="1"/>
  <c r="B6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Dugarry</author>
  </authors>
  <commentList>
    <comment ref="G2" authorId="0" shapeId="0" xr:uid="{27A21361-FA30-4FEE-9A60-E633D735A9EE}">
      <text>
        <r>
          <rPr>
            <b/>
            <sz val="11"/>
            <color indexed="81"/>
            <rFont val="Tahoma"/>
            <family val="2"/>
          </rPr>
          <t xml:space="preserve">
    </t>
        </r>
        <r>
          <rPr>
            <sz val="12"/>
            <color indexed="81"/>
            <rFont val="Courier New"/>
            <family val="3"/>
          </rPr>
          <t xml:space="preserve">-4108  xlHAlignCenter
  -4131  xlHAlignLeft
  -4152  xlHAlignRight
  -4117  xlHAlignDistributed
    5    xlHAlignFill
    1    xlHAlignGeneral
  -4130  xlHAlignJustify
    7    xlHAlignCenterAcrossSelection  </t>
        </r>
      </text>
    </comment>
    <comment ref="I2" authorId="0" shapeId="0" xr:uid="{F162C3F2-973D-4D73-8520-3CB3B95C5CE3}">
      <text>
        <r>
          <rPr>
            <b/>
            <sz val="11"/>
            <color indexed="81"/>
            <rFont val="Tahoma"/>
            <family val="2"/>
          </rPr>
          <t xml:space="preserve">
Range("e1").WrapText = True '--- Ajusta el texto en la celda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Dugarry</author>
  </authors>
  <commentList>
    <comment ref="G2" authorId="0" shapeId="0" xr:uid="{79676D97-FD70-4F61-8C1D-80B60081A3F9}">
      <text>
        <r>
          <rPr>
            <b/>
            <sz val="11"/>
            <color indexed="81"/>
            <rFont val="Tahoma"/>
            <family val="2"/>
          </rPr>
          <t xml:space="preserve">
    </t>
        </r>
        <r>
          <rPr>
            <sz val="12"/>
            <color indexed="81"/>
            <rFont val="Courier New"/>
            <family val="3"/>
          </rPr>
          <t xml:space="preserve">-4108  xlHAlignCenter
  -4131  xlHAlignLeft
  -4152  xlHAlignRight
  -4117  xlHAlignDistributed
    5    xlHAlignFill
    1    xlHAlignGeneral
  -4130  xlHAlignJustify
    7    xlHAlignCenterAcrossSelection  </t>
        </r>
      </text>
    </comment>
    <comment ref="I2" authorId="0" shapeId="0" xr:uid="{905DFDFE-499E-4C71-BD1E-2278DA8CD886}">
      <text>
        <r>
          <rPr>
            <b/>
            <sz val="11"/>
            <color indexed="81"/>
            <rFont val="Tahoma"/>
            <family val="2"/>
          </rPr>
          <t xml:space="preserve">
Range("e1").WrapText = True '--- Ajusta el texto en la celda
</t>
        </r>
      </text>
    </comment>
  </commentList>
</comments>
</file>

<file path=xl/sharedStrings.xml><?xml version="1.0" encoding="utf-8"?>
<sst xmlns="http://schemas.openxmlformats.org/spreadsheetml/2006/main" count="919" uniqueCount="558">
  <si>
    <t>Total</t>
  </si>
  <si>
    <t>Nombre</t>
  </si>
  <si>
    <t>Referencia</t>
  </si>
  <si>
    <t>Importe</t>
  </si>
  <si>
    <t>Cobrado</t>
  </si>
  <si>
    <t>Tipo Tasa</t>
  </si>
  <si>
    <t>Forma Pago</t>
  </si>
  <si>
    <t>UTF-8</t>
  </si>
  <si>
    <t>ANSI</t>
  </si>
  <si>
    <t>JAVASCRIPT</t>
  </si>
  <si>
    <t>HTML</t>
  </si>
  <si>
    <t>largo</t>
  </si>
  <si>
    <t>https://www.indalcasa.com/programacion/html/tabla-de-codificaciones-de-caracteres-entre-ansi-utf-8-javascript-html/</t>
  </si>
  <si>
    <t>Â¡</t>
  </si>
  <si>
    <t>¡</t>
  </si>
  <si>
    <t>u00a1</t>
  </si>
  <si>
    <t>&amp;#161;</t>
  </si>
  <si>
    <t>Â¢</t>
  </si>
  <si>
    <t>¢</t>
  </si>
  <si>
    <t>u00a2</t>
  </si>
  <si>
    <t>&amp;#162;</t>
  </si>
  <si>
    <t>Â£</t>
  </si>
  <si>
    <t>£</t>
  </si>
  <si>
    <t>u00a3</t>
  </si>
  <si>
    <t>&amp;#163;</t>
  </si>
  <si>
    <t>Â¤</t>
  </si>
  <si>
    <t>¤</t>
  </si>
  <si>
    <t>u00a4</t>
  </si>
  <si>
    <t>&amp;#164;</t>
  </si>
  <si>
    <t>Â¥</t>
  </si>
  <si>
    <t>¥</t>
  </si>
  <si>
    <t>u00a5</t>
  </si>
  <si>
    <t>&amp;#165;</t>
  </si>
  <si>
    <t>Â¦</t>
  </si>
  <si>
    <t>¦</t>
  </si>
  <si>
    <t>u00a6</t>
  </si>
  <si>
    <t>&amp;#166;</t>
  </si>
  <si>
    <t>Â§</t>
  </si>
  <si>
    <t>§</t>
  </si>
  <si>
    <t>u00a7</t>
  </si>
  <si>
    <t>&amp;#167;</t>
  </si>
  <si>
    <t>Â¨</t>
  </si>
  <si>
    <t>¨</t>
  </si>
  <si>
    <t>u00a8</t>
  </si>
  <si>
    <t>&amp;#168;</t>
  </si>
  <si>
    <t>Â©</t>
  </si>
  <si>
    <t>©</t>
  </si>
  <si>
    <t>u00a9</t>
  </si>
  <si>
    <t>&amp;#169;</t>
  </si>
  <si>
    <t>Âª</t>
  </si>
  <si>
    <t>ª</t>
  </si>
  <si>
    <t>u00aa</t>
  </si>
  <si>
    <t>&amp;#170;</t>
  </si>
  <si>
    <t>Â«</t>
  </si>
  <si>
    <t>«</t>
  </si>
  <si>
    <t>u00ab</t>
  </si>
  <si>
    <t>&amp;#171;</t>
  </si>
  <si>
    <t>Â¬</t>
  </si>
  <si>
    <t>¬</t>
  </si>
  <si>
    <t>u00ac</t>
  </si>
  <si>
    <t>&amp;#172;</t>
  </si>
  <si>
    <t>Â­</t>
  </si>
  <si>
    <t>­</t>
  </si>
  <si>
    <t>u00ad</t>
  </si>
  <si>
    <t>&amp;#173;</t>
  </si>
  <si>
    <t>Â®</t>
  </si>
  <si>
    <t>®</t>
  </si>
  <si>
    <t>u00ae</t>
  </si>
  <si>
    <t>&amp;#174;</t>
  </si>
  <si>
    <t>Â¯</t>
  </si>
  <si>
    <t>¯</t>
  </si>
  <si>
    <t>u00af</t>
  </si>
  <si>
    <t>&amp;#175;</t>
  </si>
  <si>
    <t>Â°</t>
  </si>
  <si>
    <t>°</t>
  </si>
  <si>
    <t>u00b0</t>
  </si>
  <si>
    <t>&amp;#176;</t>
  </si>
  <si>
    <t>Â±</t>
  </si>
  <si>
    <t>±</t>
  </si>
  <si>
    <t>u00b1</t>
  </si>
  <si>
    <t>&amp;#177;</t>
  </si>
  <si>
    <t>Â²</t>
  </si>
  <si>
    <t>²</t>
  </si>
  <si>
    <t>u00b2</t>
  </si>
  <si>
    <t>&amp;#178;</t>
  </si>
  <si>
    <t>Â³</t>
  </si>
  <si>
    <t>³</t>
  </si>
  <si>
    <t>u00b3</t>
  </si>
  <si>
    <t>&amp;#179;</t>
  </si>
  <si>
    <t>Â´</t>
  </si>
  <si>
    <t>´</t>
  </si>
  <si>
    <t>u00b4</t>
  </si>
  <si>
    <t>&amp;#180;</t>
  </si>
  <si>
    <t>Âµ</t>
  </si>
  <si>
    <t>µ</t>
  </si>
  <si>
    <t>u00b5</t>
  </si>
  <si>
    <t>&amp;#181;</t>
  </si>
  <si>
    <t>Â¶</t>
  </si>
  <si>
    <t>¶</t>
  </si>
  <si>
    <t>u00b6</t>
  </si>
  <si>
    <t>&amp;#182;</t>
  </si>
  <si>
    <t>Â·</t>
  </si>
  <si>
    <t>·</t>
  </si>
  <si>
    <t>u00b7</t>
  </si>
  <si>
    <t>&amp;#183;</t>
  </si>
  <si>
    <t>Â¸</t>
  </si>
  <si>
    <t>¸</t>
  </si>
  <si>
    <t>u00b8</t>
  </si>
  <si>
    <t>&amp;#184;</t>
  </si>
  <si>
    <t>Â¹</t>
  </si>
  <si>
    <t>¹</t>
  </si>
  <si>
    <t>u00b9</t>
  </si>
  <si>
    <t>&amp;#185;</t>
  </si>
  <si>
    <t>Âº</t>
  </si>
  <si>
    <t>º</t>
  </si>
  <si>
    <t>u00ba</t>
  </si>
  <si>
    <t>&amp;#186;</t>
  </si>
  <si>
    <t>Â»</t>
  </si>
  <si>
    <t>»</t>
  </si>
  <si>
    <t>u00bb</t>
  </si>
  <si>
    <t>&amp;#187;</t>
  </si>
  <si>
    <t>Â¼</t>
  </si>
  <si>
    <t>¼</t>
  </si>
  <si>
    <t>u00bc</t>
  </si>
  <si>
    <t>&amp;#188;</t>
  </si>
  <si>
    <t>Â½</t>
  </si>
  <si>
    <t>½</t>
  </si>
  <si>
    <t>u00bd</t>
  </si>
  <si>
    <t>&amp;#189;</t>
  </si>
  <si>
    <t>Â¾</t>
  </si>
  <si>
    <t>¾</t>
  </si>
  <si>
    <t>u00be</t>
  </si>
  <si>
    <t>&amp;#190;</t>
  </si>
  <si>
    <t>Â¿</t>
  </si>
  <si>
    <t>¿</t>
  </si>
  <si>
    <t>u00bf</t>
  </si>
  <si>
    <t>&amp;#191;</t>
  </si>
  <si>
    <t>Ã€</t>
  </si>
  <si>
    <t>À</t>
  </si>
  <si>
    <t>u00c0</t>
  </si>
  <si>
    <t>&amp;#192;</t>
  </si>
  <si>
    <t>Ã</t>
  </si>
  <si>
    <t>Á</t>
  </si>
  <si>
    <t>u00c1</t>
  </si>
  <si>
    <t>&amp;#193;</t>
  </si>
  <si>
    <t>Ã‚</t>
  </si>
  <si>
    <t>Â</t>
  </si>
  <si>
    <t>u00c2</t>
  </si>
  <si>
    <t>&amp;#194;</t>
  </si>
  <si>
    <t>Ãƒ</t>
  </si>
  <si>
    <t>Ã</t>
  </si>
  <si>
    <t>u00c3</t>
  </si>
  <si>
    <t>&amp;#195;</t>
  </si>
  <si>
    <t>Ã„</t>
  </si>
  <si>
    <t>Ä</t>
  </si>
  <si>
    <t>u00c4</t>
  </si>
  <si>
    <t>&amp;#196;</t>
  </si>
  <si>
    <t>Ã…</t>
  </si>
  <si>
    <t>Å</t>
  </si>
  <si>
    <t>u00c5</t>
  </si>
  <si>
    <t>&amp;#197;</t>
  </si>
  <si>
    <t>Ã†</t>
  </si>
  <si>
    <t>Æ</t>
  </si>
  <si>
    <t>u00c6</t>
  </si>
  <si>
    <t>&amp;#198;</t>
  </si>
  <si>
    <t>Ã‡</t>
  </si>
  <si>
    <t>Ç</t>
  </si>
  <si>
    <t>u00c7</t>
  </si>
  <si>
    <t>&amp;#199;</t>
  </si>
  <si>
    <t>Ãˆ</t>
  </si>
  <si>
    <t>È</t>
  </si>
  <si>
    <t>u00c8</t>
  </si>
  <si>
    <t>&amp;#200;</t>
  </si>
  <si>
    <t>Ã‰</t>
  </si>
  <si>
    <t>É</t>
  </si>
  <si>
    <t>u00c9</t>
  </si>
  <si>
    <t>&amp;#201;</t>
  </si>
  <si>
    <t>ÃŠ</t>
  </si>
  <si>
    <t>Ê</t>
  </si>
  <si>
    <t>u00ca</t>
  </si>
  <si>
    <t>&amp;#202;</t>
  </si>
  <si>
    <t>Ã‹</t>
  </si>
  <si>
    <t>Ë</t>
  </si>
  <si>
    <t>u00cb</t>
  </si>
  <si>
    <t>&amp;#203;</t>
  </si>
  <si>
    <t>ÃŒ</t>
  </si>
  <si>
    <t>Ì</t>
  </si>
  <si>
    <t>u00cc</t>
  </si>
  <si>
    <t>&amp;#204;</t>
  </si>
  <si>
    <t>Ã</t>
  </si>
  <si>
    <t>Í</t>
  </si>
  <si>
    <t>u00cd</t>
  </si>
  <si>
    <t>&amp;#205;</t>
  </si>
  <si>
    <t>ÃŽ</t>
  </si>
  <si>
    <t>Î</t>
  </si>
  <si>
    <t>u00ce</t>
  </si>
  <si>
    <t>&amp;#206;</t>
  </si>
  <si>
    <t>Ã</t>
  </si>
  <si>
    <t>Ï</t>
  </si>
  <si>
    <t>u00cf</t>
  </si>
  <si>
    <t>&amp;#207;</t>
  </si>
  <si>
    <t>Ã</t>
  </si>
  <si>
    <t>Ð</t>
  </si>
  <si>
    <t>u00d0</t>
  </si>
  <si>
    <t>&amp;#208;</t>
  </si>
  <si>
    <t>Ã‘</t>
  </si>
  <si>
    <t>Ñ</t>
  </si>
  <si>
    <t>u00d1</t>
  </si>
  <si>
    <t>&amp;#209;</t>
  </si>
  <si>
    <t>Ã’</t>
  </si>
  <si>
    <t>Ò</t>
  </si>
  <si>
    <t>u00d2</t>
  </si>
  <si>
    <t>&amp;#210;</t>
  </si>
  <si>
    <t>Ã“</t>
  </si>
  <si>
    <t>Ó</t>
  </si>
  <si>
    <t>u00d3</t>
  </si>
  <si>
    <t>&amp;#211;</t>
  </si>
  <si>
    <t>Ã”</t>
  </si>
  <si>
    <t>Ô</t>
  </si>
  <si>
    <t>u00d4</t>
  </si>
  <si>
    <t>&amp;#212;</t>
  </si>
  <si>
    <t>Ã•</t>
  </si>
  <si>
    <t>Õ</t>
  </si>
  <si>
    <t>u00d5</t>
  </si>
  <si>
    <t>&amp;#213;</t>
  </si>
  <si>
    <t>Ã–</t>
  </si>
  <si>
    <t>Ö</t>
  </si>
  <si>
    <t>u00d6</t>
  </si>
  <si>
    <t>&amp;#214;</t>
  </si>
  <si>
    <t>Ã—</t>
  </si>
  <si>
    <t>×</t>
  </si>
  <si>
    <t>u00d7</t>
  </si>
  <si>
    <t>&amp;#215;</t>
  </si>
  <si>
    <t>Ã˜</t>
  </si>
  <si>
    <t>Ø</t>
  </si>
  <si>
    <t>u00d8</t>
  </si>
  <si>
    <t>&amp;#216;</t>
  </si>
  <si>
    <t>Ã™</t>
  </si>
  <si>
    <t>Ù</t>
  </si>
  <si>
    <t>u00d9</t>
  </si>
  <si>
    <t>&amp;#217;</t>
  </si>
  <si>
    <t>Ãš</t>
  </si>
  <si>
    <t>Ú</t>
  </si>
  <si>
    <t>u00da</t>
  </si>
  <si>
    <t>&amp;#218;</t>
  </si>
  <si>
    <t>Ã›</t>
  </si>
  <si>
    <t>Û</t>
  </si>
  <si>
    <t>u00db</t>
  </si>
  <si>
    <t>&amp;#219;</t>
  </si>
  <si>
    <t>Ãœ</t>
  </si>
  <si>
    <t>Ü</t>
  </si>
  <si>
    <t>u00dc</t>
  </si>
  <si>
    <t>&amp;#220;</t>
  </si>
  <si>
    <t>Ã</t>
  </si>
  <si>
    <t>Ý</t>
  </si>
  <si>
    <t>u00dd</t>
  </si>
  <si>
    <t>&amp;#221;</t>
  </si>
  <si>
    <t>Ãž</t>
  </si>
  <si>
    <t>Þ</t>
  </si>
  <si>
    <t>u00de</t>
  </si>
  <si>
    <t>&amp;#222;</t>
  </si>
  <si>
    <t>ÃŸ</t>
  </si>
  <si>
    <t>ß</t>
  </si>
  <si>
    <t>u00df</t>
  </si>
  <si>
    <t>&amp;#223;</t>
  </si>
  <si>
    <t>Ã¡</t>
  </si>
  <si>
    <t>á</t>
  </si>
  <si>
    <t>u00e1</t>
  </si>
  <si>
    <t>&amp;#225;</t>
  </si>
  <si>
    <t>Ã¢</t>
  </si>
  <si>
    <t>â</t>
  </si>
  <si>
    <t>u00e2</t>
  </si>
  <si>
    <t>&amp;#226;</t>
  </si>
  <si>
    <t>Ã£</t>
  </si>
  <si>
    <t>ã</t>
  </si>
  <si>
    <t>u00e3</t>
  </si>
  <si>
    <t>&amp;#227;</t>
  </si>
  <si>
    <t>Ã¤</t>
  </si>
  <si>
    <t>ä</t>
  </si>
  <si>
    <t>u00e4</t>
  </si>
  <si>
    <t>&amp;#228;</t>
  </si>
  <si>
    <t>Ã¥</t>
  </si>
  <si>
    <t>å</t>
  </si>
  <si>
    <t>u00e5</t>
  </si>
  <si>
    <t>&amp;#229;</t>
  </si>
  <si>
    <t>Ã¦</t>
  </si>
  <si>
    <t>æ</t>
  </si>
  <si>
    <t>u00e6</t>
  </si>
  <si>
    <t>&amp;#230;</t>
  </si>
  <si>
    <t>Ã§</t>
  </si>
  <si>
    <t>ç</t>
  </si>
  <si>
    <t>u00e7</t>
  </si>
  <si>
    <t>&amp;#231;</t>
  </si>
  <si>
    <t>Ã¨</t>
  </si>
  <si>
    <t>è</t>
  </si>
  <si>
    <t>u00e8</t>
  </si>
  <si>
    <t>&amp;#232;</t>
  </si>
  <si>
    <t>Ã©</t>
  </si>
  <si>
    <t>é</t>
  </si>
  <si>
    <t>u00e9</t>
  </si>
  <si>
    <t>&amp;#233;</t>
  </si>
  <si>
    <t>Ãª</t>
  </si>
  <si>
    <t>ê</t>
  </si>
  <si>
    <t>u00ea</t>
  </si>
  <si>
    <t>&amp;#234;</t>
  </si>
  <si>
    <t>Ã«</t>
  </si>
  <si>
    <t>ë</t>
  </si>
  <si>
    <t>u00eb</t>
  </si>
  <si>
    <t>&amp;#235;</t>
  </si>
  <si>
    <t>Ã¬</t>
  </si>
  <si>
    <t>ì</t>
  </si>
  <si>
    <t>u00ec</t>
  </si>
  <si>
    <t>&amp;#236;</t>
  </si>
  <si>
    <t>Ã­</t>
  </si>
  <si>
    <t>í</t>
  </si>
  <si>
    <t>u00ed</t>
  </si>
  <si>
    <t>&amp;#237;</t>
  </si>
  <si>
    <t>Ã®</t>
  </si>
  <si>
    <t>î</t>
  </si>
  <si>
    <t>u00ee</t>
  </si>
  <si>
    <t>&amp;#238;</t>
  </si>
  <si>
    <t>Ã¯</t>
  </si>
  <si>
    <t>ï</t>
  </si>
  <si>
    <t>u00ef</t>
  </si>
  <si>
    <t>&amp;#239;</t>
  </si>
  <si>
    <t>Ã°</t>
  </si>
  <si>
    <t>ð</t>
  </si>
  <si>
    <t>u00f0</t>
  </si>
  <si>
    <t>&amp;#240;</t>
  </si>
  <si>
    <t>Ã±</t>
  </si>
  <si>
    <t>ñ</t>
  </si>
  <si>
    <t>u00f1</t>
  </si>
  <si>
    <t>&amp;#241;</t>
  </si>
  <si>
    <t>Ã²</t>
  </si>
  <si>
    <t>ò</t>
  </si>
  <si>
    <t>u00f2</t>
  </si>
  <si>
    <t>&amp;#242;</t>
  </si>
  <si>
    <t>Ã³</t>
  </si>
  <si>
    <t>ó</t>
  </si>
  <si>
    <t>u00f3</t>
  </si>
  <si>
    <t>&amp;#243;</t>
  </si>
  <si>
    <t>Ã´</t>
  </si>
  <si>
    <t>ô</t>
  </si>
  <si>
    <t>u00f4</t>
  </si>
  <si>
    <t>&amp;#244;</t>
  </si>
  <si>
    <t>Ãµ</t>
  </si>
  <si>
    <t>õ</t>
  </si>
  <si>
    <t>u00f5</t>
  </si>
  <si>
    <t>&amp;#245;</t>
  </si>
  <si>
    <t>Ã¶</t>
  </si>
  <si>
    <t>ö</t>
  </si>
  <si>
    <t>u00f6</t>
  </si>
  <si>
    <t>&amp;#246;</t>
  </si>
  <si>
    <t>Ã·</t>
  </si>
  <si>
    <t>÷</t>
  </si>
  <si>
    <t>u00f7</t>
  </si>
  <si>
    <t>&amp;#247;</t>
  </si>
  <si>
    <t>Ã¸</t>
  </si>
  <si>
    <t>ø</t>
  </si>
  <si>
    <t>u00f8</t>
  </si>
  <si>
    <t>&amp;#248;</t>
  </si>
  <si>
    <t>Ã¹</t>
  </si>
  <si>
    <t>ù</t>
  </si>
  <si>
    <t>u00f9</t>
  </si>
  <si>
    <t>&amp;#249;</t>
  </si>
  <si>
    <t>Ãº</t>
  </si>
  <si>
    <t>ú</t>
  </si>
  <si>
    <t>u00fa</t>
  </si>
  <si>
    <t>&amp;#250;</t>
  </si>
  <si>
    <t>Ã»</t>
  </si>
  <si>
    <t>û</t>
  </si>
  <si>
    <t>u00fb</t>
  </si>
  <si>
    <t>&amp;#251;</t>
  </si>
  <si>
    <t>Ã¼</t>
  </si>
  <si>
    <t>ü</t>
  </si>
  <si>
    <t>u00fc</t>
  </si>
  <si>
    <t>&amp;#252;</t>
  </si>
  <si>
    <t>Ã½</t>
  </si>
  <si>
    <t>ý</t>
  </si>
  <si>
    <t>u00fd</t>
  </si>
  <si>
    <t>&amp;#253;</t>
  </si>
  <si>
    <t>Ã¾</t>
  </si>
  <si>
    <t>þ</t>
  </si>
  <si>
    <t>u00fe</t>
  </si>
  <si>
    <t>&amp;#254;</t>
  </si>
  <si>
    <t>Ã¿</t>
  </si>
  <si>
    <t>ÿ</t>
  </si>
  <si>
    <t>u00ff</t>
  </si>
  <si>
    <t>&amp;#255;</t>
  </si>
  <si>
    <t>u00a0</t>
  </si>
  <si>
    <t>&amp;#160;</t>
  </si>
  <si>
    <t>à</t>
  </si>
  <si>
    <t>u00e0</t>
  </si>
  <si>
    <t>&amp;#224;</t>
  </si>
  <si>
    <t>Comisión</t>
  </si>
  <si>
    <t xml:space="preserve">Orgánica  </t>
  </si>
  <si>
    <t xml:space="preserve">Número de Liquidación  </t>
  </si>
  <si>
    <t>Fecha</t>
  </si>
  <si>
    <t>Ordenante</t>
  </si>
  <si>
    <t>Referencia TPV</t>
  </si>
  <si>
    <t xml:space="preserve">Comisión  </t>
  </si>
  <si>
    <t xml:space="preserve">A redistribuir  </t>
  </si>
  <si>
    <t xml:space="preserve">(Jornadas/Congreso)
y
Tipos de Pagos </t>
  </si>
  <si>
    <t>Fichero</t>
  </si>
  <si>
    <t>TPV</t>
  </si>
  <si>
    <t>F. Emisión</t>
  </si>
  <si>
    <t>F. Pago</t>
  </si>
  <si>
    <t>Totales:</t>
  </si>
  <si>
    <t xml:space="preserve">Liquidación nº: </t>
  </si>
  <si>
    <t>CPH_</t>
  </si>
  <si>
    <t>Valores de Variables de Alineación</t>
  </si>
  <si>
    <t>Tit_Col_Tabla</t>
  </si>
  <si>
    <t>Tipo Var</t>
  </si>
  <si>
    <t>Formato</t>
  </si>
  <si>
    <t>Ancho col</t>
  </si>
  <si>
    <t>CopyFormat</t>
  </si>
  <si>
    <t>Alineac</t>
  </si>
  <si>
    <t>Compare</t>
  </si>
  <si>
    <t>wraptext</t>
  </si>
  <si>
    <t>Letr Col</t>
  </si>
  <si>
    <t>Num Col</t>
  </si>
  <si>
    <t>Pegado Solo Valor</t>
  </si>
  <si>
    <t>LongNombre</t>
  </si>
  <si>
    <t>Public Const Num-Col</t>
  </si>
  <si>
    <t>Valor</t>
  </si>
  <si>
    <t>Descripción</t>
  </si>
  <si>
    <t>T</t>
  </si>
  <si>
    <t>@</t>
  </si>
  <si>
    <t>B010</t>
  </si>
  <si>
    <t>xlHAlignCenter</t>
  </si>
  <si>
    <t>Centrado.</t>
  </si>
  <si>
    <t>Curso…</t>
  </si>
  <si>
    <t>xlHAlignLeft</t>
  </si>
  <si>
    <t>Izquierda</t>
  </si>
  <si>
    <t>xlHAlignRight</t>
  </si>
  <si>
    <t>Derecha</t>
  </si>
  <si>
    <t>xlHAlignDistributed</t>
  </si>
  <si>
    <t>Distribuir.</t>
  </si>
  <si>
    <t>Nom</t>
  </si>
  <si>
    <t>xlHAlignFill</t>
  </si>
  <si>
    <t>Rellenar.</t>
  </si>
  <si>
    <t>74366748</t>
  </si>
  <si>
    <t>xlHAlignGeneral</t>
  </si>
  <si>
    <t>Alinear según el tipo de datos.</t>
  </si>
  <si>
    <t>N</t>
  </si>
  <si>
    <t>xlHAlignJustify</t>
  </si>
  <si>
    <t>Justificar.</t>
  </si>
  <si>
    <t>xlHAlignCenterAcrossSelection</t>
  </si>
  <si>
    <t>Centrar la selección.</t>
  </si>
  <si>
    <t>Ref</t>
  </si>
  <si>
    <t>0000_0000000000</t>
  </si>
  <si>
    <t>FEmi</t>
  </si>
  <si>
    <t>F</t>
  </si>
  <si>
    <t>dd-mm-yyyy</t>
  </si>
  <si>
    <t>#,##0.00 €</t>
  </si>
  <si>
    <t>FormPag</t>
  </si>
  <si>
    <t>TipoTasa</t>
  </si>
  <si>
    <t>Fpag</t>
  </si>
  <si>
    <t>Imp</t>
  </si>
  <si>
    <t>ComBco</t>
  </si>
  <si>
    <t>Neto</t>
  </si>
  <si>
    <t>TPV_</t>
  </si>
  <si>
    <t>Inscrito (rellenar si necesario)</t>
  </si>
  <si>
    <r>
      <t>Inscrito (</t>
    </r>
    <r>
      <rPr>
        <i/>
        <sz val="11"/>
        <color theme="4" tint="-0.499984740745262"/>
        <rFont val="Arial"/>
        <family val="2"/>
      </rPr>
      <t>rellenar si necesario</t>
    </r>
    <r>
      <rPr>
        <b/>
        <sz val="12"/>
        <color theme="4" tint="-0.499984740745262"/>
        <rFont val="Arial"/>
        <family val="2"/>
      </rPr>
      <t>)</t>
    </r>
  </si>
  <si>
    <t>Inscripción</t>
  </si>
  <si>
    <r>
      <t>Solicitud de liquidación de Jornadas y Congresos. (</t>
    </r>
    <r>
      <rPr>
        <b/>
        <i/>
        <sz val="14"/>
        <color theme="4" tint="0.39997558519241921"/>
        <rFont val="Arial"/>
        <family val="2"/>
      </rPr>
      <t>Pagos por TPV</t>
    </r>
    <r>
      <rPr>
        <b/>
        <sz val="18"/>
        <color rgb="FF2F5597"/>
        <rFont val="Arial"/>
        <family val="2"/>
      </rPr>
      <t>)</t>
    </r>
  </si>
  <si>
    <t>Ficheros</t>
  </si>
  <si>
    <t>Jornadas
o
Congreso</t>
  </si>
  <si>
    <t>Orgánica:</t>
  </si>
  <si>
    <t xml:space="preserve">Todal Importe Inscripciones  </t>
  </si>
  <si>
    <t>1</t>
  </si>
  <si>
    <t>60.00.6G.00.02</t>
  </si>
  <si>
    <t>BIZ</t>
  </si>
  <si>
    <t>FLY</t>
  </si>
  <si>
    <t>Pagos_6125</t>
  </si>
  <si>
    <t xml:space="preserve"> SOSA ESPINOSA, ASENET</t>
  </si>
  <si>
    <t>CACERES BARROS, MARIA CRISTINA</t>
  </si>
  <si>
    <t xml:space="preserve">Carpio Pinedo, Jose </t>
  </si>
  <si>
    <t>Chae , Heechang</t>
  </si>
  <si>
    <t>Colomer Colomer, Juan</t>
  </si>
  <si>
    <t>crosas armengol, carles</t>
  </si>
  <si>
    <t>De La Garza Aguirre, Ariana</t>
  </si>
  <si>
    <t>Del Espino  Hidalgo, Blanca</t>
  </si>
  <si>
    <t>GIELEN , ERIC</t>
  </si>
  <si>
    <t>Grijalba Aseguinolaza, Olatz</t>
  </si>
  <si>
    <t>Herrero Alonso, Silvia</t>
  </si>
  <si>
    <t>Lahoz Palacio, Carlos Federico</t>
  </si>
  <si>
    <t>Losardo Losardo, Enrico</t>
  </si>
  <si>
    <t xml:space="preserve">Nnechachi Bounous, Amal </t>
  </si>
  <si>
    <t>Pastor Lamberto, Rocio</t>
  </si>
  <si>
    <t>Pinazo Riera, Pablo</t>
  </si>
  <si>
    <t>Rico Pinazo, Pablo</t>
  </si>
  <si>
    <t>Rodriguez Rojas, Maria Isabel</t>
  </si>
  <si>
    <t>Ros McDonnell, Diego</t>
  </si>
  <si>
    <t>M) Tarifa general. Visita a Benidorm</t>
  </si>
  <si>
    <t>TAMAYO PALACIOS, ALEJANDRO</t>
  </si>
  <si>
    <t>Vicente Ruiz, Arturo</t>
  </si>
  <si>
    <t>villares CATALUNYA, miriam</t>
  </si>
  <si>
    <t xml:space="preserve"> González  González, Francisco Javier</t>
  </si>
  <si>
    <t>Abarca Álvarez, Francisco Javier</t>
  </si>
  <si>
    <t>Almenar Muñoz, Mercedes</t>
  </si>
  <si>
    <t>Alonso-Monasterio Fernández, Pau</t>
  </si>
  <si>
    <t>Bambó Naya, Raimundo</t>
  </si>
  <si>
    <t>Burgos Martínez, Manuel</t>
  </si>
  <si>
    <t>Campos Sánchez, Francisco Sergio</t>
  </si>
  <si>
    <t>Casar Furió, Maria Emilia</t>
  </si>
  <si>
    <t>García Martin, Fernando Miguel</t>
  </si>
  <si>
    <t>García Pérez, Sergio</t>
  </si>
  <si>
    <t>García-Ayllón Veintimilla, Salvador</t>
  </si>
  <si>
    <t>Gascón Hernández, Ana</t>
  </si>
  <si>
    <t>Hervás y Heras, Josenia</t>
  </si>
  <si>
    <t>Manzano Gómez, Noel A.</t>
  </si>
  <si>
    <t>Matesanz Parellada, Ángela</t>
  </si>
  <si>
    <t>Mifsut García, César Damián</t>
  </si>
  <si>
    <t>Mora Esteban, Rubén</t>
  </si>
  <si>
    <t>Moyano Enríquez de Salamanca, Amparo</t>
  </si>
  <si>
    <t>naranjo henríquez, iballa</t>
  </si>
  <si>
    <t>Osuna Pérez, Fernando</t>
  </si>
  <si>
    <t>Pérez Campaña, Rocío</t>
  </si>
  <si>
    <t xml:space="preserve">Portalés Mañanós, Ana </t>
  </si>
  <si>
    <t>Quintana Seguí, Elisabet</t>
  </si>
  <si>
    <t>Sanz Fernández, Ana</t>
  </si>
  <si>
    <t>Solans Ibáñez, Indibil</t>
  </si>
  <si>
    <t>Urios Mondéjar, David</t>
  </si>
  <si>
    <t>J) Tarifa general. Cuota de inscripción asociados + cena de bienvenida</t>
  </si>
  <si>
    <t>D) Tarifa general. Cuota de inscripción general + cena de bienvenida + visita a Benidorm</t>
  </si>
  <si>
    <t>L) Tarifa general. Cuota de inscripción asociados + cena de bienvenida + visita a Benidorm</t>
  </si>
  <si>
    <t>F) Tarifa general. Cuota de inscripción doctorandos + cena de bienvenida</t>
  </si>
  <si>
    <t>H) Tarifa general. Cuota de inscripción doctorandos + cena de bienvenida + visita a Benidorm</t>
  </si>
  <si>
    <t>E) Tarifa general. Cuota de inscripción doctorandos</t>
  </si>
  <si>
    <t>K) Tarifa general. Cuota de inscripción asociados + visita a Benidorm</t>
  </si>
  <si>
    <t>I) Tarifa general. Cuota de inscripción asociados AUOT</t>
  </si>
  <si>
    <t>C) Tarifa general. Cuota de inscripción general + visita a Benidorm</t>
  </si>
  <si>
    <t xml:space="preserve">Pagos_6125J) Tarifa general. Cuota de inscripción </t>
  </si>
  <si>
    <t xml:space="preserve">Pagos_6125D) Tarifa general. Cuota de inscripción </t>
  </si>
  <si>
    <t xml:space="preserve">Pagos_6125L) Tarifa general. Cuota de inscripción </t>
  </si>
  <si>
    <t xml:space="preserve">Pagos_6125F) Tarifa general. Cuota de inscripción </t>
  </si>
  <si>
    <t xml:space="preserve">Pagos_6125E) Tarifa general. Cuota de inscripción </t>
  </si>
  <si>
    <t xml:space="preserve">Pagos_6125I) Tarifa general. Cuota de inscripción </t>
  </si>
  <si>
    <t xml:space="preserve">Pagos_6125H) Tarifa general. Cuota de inscripción </t>
  </si>
  <si>
    <t xml:space="preserve">Pagos_6125K) Tarifa general. Cuota de inscripción </t>
  </si>
  <si>
    <t>Pagos_6125M) Tarifa general. Visita a Benidorm</t>
  </si>
  <si>
    <t xml:space="preserve">Pagos_6125C) Tarifa general. Cuota de inscripción </t>
  </si>
  <si>
    <t>7 ENCUENTRO DE PROFESORADO DE URBANÍSTICA Y ORDENACIÓN DEL TERRITORIO</t>
  </si>
  <si>
    <t>7AUOT</t>
  </si>
  <si>
    <t>7 ENCUENTRO DE PROFESORADO DE URBANÍSTICA Y ORDENACIÓN DEL TERRITORIO
Tipos de Pagos:
-   (6125) J) Tarifa general. Cuota de inscripción asociados + cena de bienvenida
-   (6125) D) Tarifa general. Cuota de inscripción general + cena de bienvenida + visita a Benidorm
-   (6125) L) Tarifa general. Cuota de inscripción asociados + cena de bienvenida + visita a Benidorm
-   (6125) F) Tarifa general. Cuota de inscripción doctorandos + cena de bienvenida
-   (6125) E) Tarifa general. Cuota de inscripción doctorandos
-   (6125) I) Tarifa general. Cuota de inscripción asociados AUOT
-   (6125) H) Tarifa general. Cuota de inscripción doctorandos + cena de bienvenida + visita a Benidorm
-   (6125) K) Tarifa general. Cuota de inscripción asociados + visita a Benidorm
-   (6125) M) Tarifa general. Visita a Benidorm
-   (6125) C) Tarifa general. Cuota de inscripción general + visita a Benidorm</t>
  </si>
  <si>
    <t>69,85</t>
  </si>
  <si>
    <t>104,65</t>
  </si>
  <si>
    <t>79,85</t>
  </si>
  <si>
    <t>79,74</t>
  </si>
  <si>
    <t>69,77</t>
  </si>
  <si>
    <t>89,85</t>
  </si>
  <si>
    <t>44,85</t>
  </si>
  <si>
    <t>34,85</t>
  </si>
  <si>
    <t>89,7</t>
  </si>
  <si>
    <t>104,85</t>
  </si>
  <si>
    <t>34,88</t>
  </si>
  <si>
    <t>9,85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</si>
</sst>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dd\-mmm\-yyyy"/>
    <numFmt numFmtId="165" formatCode="0\ &quot; pagos&quot;"/>
    <numFmt numFmtId="166" formatCode="0\ &quot; Registros&quot;"/>
    <numFmt numFmtId="167" formatCode="dd\-mm\-yyyy"/>
    <numFmt numFmtId="168" formatCode="#,##0.00\ \€\ "/>
  </numFmts>
  <fonts count="4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 tint="-0.249977111117893"/>
      <name val="Arial"/>
      <family val="2"/>
    </font>
    <font>
      <b/>
      <sz val="11"/>
      <color rgb="FF575757"/>
      <name val="Helvetica"/>
      <family val="2"/>
    </font>
    <font>
      <sz val="11"/>
      <color rgb="FF575757"/>
      <name val="Helvetica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rgb="FF2F5597"/>
      <name val="Arial"/>
      <family val="2"/>
    </font>
    <font>
      <sz val="12"/>
      <color theme="1"/>
      <name val="Calibri"/>
      <family val="2"/>
      <scheme val="minor"/>
    </font>
    <font>
      <sz val="12"/>
      <color rgb="FF7030A0"/>
      <name val="Arial"/>
      <family val="2"/>
    </font>
    <font>
      <sz val="12"/>
      <name val="Arial"/>
      <family val="2"/>
    </font>
    <font>
      <b/>
      <i/>
      <sz val="14"/>
      <color rgb="FF7030A0"/>
      <name val="Arial"/>
      <family val="2"/>
    </font>
    <font>
      <sz val="11"/>
      <color theme="4" tint="-0.499984740745262"/>
      <name val="Arial"/>
      <family val="2"/>
    </font>
    <font>
      <b/>
      <sz val="12"/>
      <color rgb="FFC00000"/>
      <name val="Arial"/>
      <family val="2"/>
    </font>
    <font>
      <i/>
      <sz val="11"/>
      <color theme="8" tint="-0.499984740745262"/>
      <name val="Arial"/>
      <family val="2"/>
    </font>
    <font>
      <sz val="10"/>
      <color theme="1"/>
      <name val="Aptos Narrow"/>
      <family val="2"/>
    </font>
    <font>
      <i/>
      <sz val="10"/>
      <color theme="8" tint="-0.499984740745262"/>
      <name val="Arial"/>
      <family val="2"/>
    </font>
    <font>
      <b/>
      <sz val="11"/>
      <color theme="4" tint="-0.499984740745262"/>
      <name val="Arial"/>
      <family val="2"/>
    </font>
    <font>
      <sz val="10"/>
      <name val="Arial"/>
      <family val="2"/>
    </font>
    <font>
      <b/>
      <sz val="11"/>
      <name val="Courier New"/>
      <family val="3"/>
    </font>
    <font>
      <b/>
      <sz val="11"/>
      <color theme="1"/>
      <name val="Courier New"/>
      <family val="3"/>
    </font>
    <font>
      <sz val="10"/>
      <color theme="1"/>
      <name val="Courier New"/>
      <family val="3"/>
    </font>
    <font>
      <sz val="8"/>
      <color theme="1"/>
      <name val="Arial"/>
      <family val="2"/>
    </font>
    <font>
      <b/>
      <sz val="10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sz val="10"/>
      <color rgb="FF000000"/>
      <name val="Courier New"/>
      <family val="3"/>
    </font>
    <font>
      <b/>
      <sz val="10"/>
      <color theme="1"/>
      <name val="Courier New"/>
      <family val="3"/>
    </font>
    <font>
      <b/>
      <sz val="11"/>
      <color indexed="81"/>
      <name val="Tahoma"/>
      <family val="2"/>
    </font>
    <font>
      <sz val="12"/>
      <color indexed="81"/>
      <name val="Courier New"/>
      <family val="3"/>
    </font>
    <font>
      <b/>
      <sz val="12"/>
      <color theme="4" tint="-0.499984740745262"/>
      <name val="Arial"/>
      <family val="2"/>
    </font>
    <font>
      <i/>
      <sz val="11"/>
      <color theme="4" tint="-0.499984740745262"/>
      <name val="Arial"/>
      <family val="2"/>
    </font>
    <font>
      <b/>
      <i/>
      <sz val="14"/>
      <color theme="4" tint="0.39997558519241921"/>
      <name val="Arial"/>
      <family val="2"/>
    </font>
    <font>
      <b/>
      <sz val="12"/>
      <name val="Arial"/>
      <family val="2"/>
    </font>
    <font>
      <sz val="11"/>
      <color rgb="FF203764"/>
      <name val="Arial"/>
      <family val="2"/>
    </font>
    <font>
      <sz val="10"/>
      <color rgb="FF20376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</borders>
  <cellStyleXfs count="9">
    <xf numFmtId="0" fontId="0" fillId="0" borderId="0"/>
    <xf numFmtId="0" fontId="9" fillId="0" borderId="0"/>
    <xf numFmtId="0" fontId="15" fillId="0" borderId="0"/>
    <xf numFmtId="44" fontId="16" fillId="0" borderId="0" applyFont="0" applyFill="0" applyBorder="0" applyAlignment="0" applyProtection="0"/>
    <xf numFmtId="0" fontId="8" fillId="0" borderId="0"/>
    <xf numFmtId="0" fontId="28" fillId="0" borderId="0"/>
    <xf numFmtId="0" fontId="3" fillId="0" borderId="0"/>
    <xf numFmtId="0" fontId="32" fillId="0" borderId="0"/>
    <xf numFmtId="0" fontId="35" fillId="0" borderId="0" applyBorder="0"/>
  </cellStyleXfs>
  <cellXfs count="132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1" applyFont="1" applyAlignment="1">
      <alignment horizontal="left" vertical="center" wrapText="1"/>
    </xf>
    <xf numFmtId="0" fontId="13" fillId="0" borderId="0" xfId="1" applyFont="1" applyAlignment="1">
      <alignment horizontal="center" vertical="center" wrapText="1"/>
    </xf>
    <xf numFmtId="0" fontId="9" fillId="0" borderId="0" xfId="1"/>
    <xf numFmtId="0" fontId="14" fillId="0" borderId="0" xfId="1" applyFont="1" applyAlignment="1">
      <alignment horizontal="center" vertical="center" wrapText="1"/>
    </xf>
    <xf numFmtId="0" fontId="9" fillId="0" borderId="0" xfId="1" applyAlignment="1">
      <alignment horizontal="center"/>
    </xf>
    <xf numFmtId="0" fontId="15" fillId="0" borderId="0" xfId="2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2" fontId="23" fillId="2" borderId="9" xfId="3" applyNumberFormat="1" applyFont="1" applyFill="1" applyBorder="1" applyAlignment="1" applyProtection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4" fontId="11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4" fontId="11" fillId="0" borderId="0" xfId="0" applyNumberFormat="1" applyFont="1" applyAlignment="1">
      <alignment horizontal="center"/>
    </xf>
    <xf numFmtId="0" fontId="22" fillId="3" borderId="1" xfId="0" applyFont="1" applyFill="1" applyBorder="1" applyAlignment="1">
      <alignment horizontal="left" vertical="center" indent="1"/>
    </xf>
    <xf numFmtId="49" fontId="10" fillId="0" borderId="0" xfId="0" applyNumberFormat="1" applyFont="1" applyAlignment="1">
      <alignment vertical="center"/>
    </xf>
    <xf numFmtId="0" fontId="25" fillId="0" borderId="13" xfId="0" applyFont="1" applyBorder="1" applyAlignment="1">
      <alignment horizontal="right" vertical="center" indent="1"/>
    </xf>
    <xf numFmtId="0" fontId="25" fillId="0" borderId="16" xfId="0" applyFont="1" applyBorder="1" applyAlignment="1">
      <alignment horizontal="right" vertical="center" indent="1"/>
    </xf>
    <xf numFmtId="165" fontId="26" fillId="2" borderId="12" xfId="0" applyNumberFormat="1" applyFont="1" applyFill="1" applyBorder="1" applyAlignment="1">
      <alignment horizontal="center" vertical="center"/>
    </xf>
    <xf numFmtId="0" fontId="5" fillId="7" borderId="15" xfId="0" applyFont="1" applyFill="1" applyBorder="1" applyAlignment="1" applyProtection="1">
      <alignment horizontal="left" vertical="center" indent="1"/>
      <protection locked="0"/>
    </xf>
    <xf numFmtId="0" fontId="29" fillId="0" borderId="0" xfId="5" applyFont="1" applyAlignment="1">
      <alignment vertical="center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9" fillId="9" borderId="0" xfId="5" applyFont="1" applyFill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29" fillId="0" borderId="0" xfId="6" applyFont="1" applyAlignment="1">
      <alignment horizontal="center" vertical="center" wrapText="1"/>
    </xf>
    <xf numFmtId="0" fontId="29" fillId="0" borderId="20" xfId="7" applyFont="1" applyBorder="1" applyAlignment="1">
      <alignment horizontal="center" vertical="center" wrapText="1"/>
    </xf>
    <xf numFmtId="0" fontId="29" fillId="0" borderId="9" xfId="7" applyFont="1" applyBorder="1" applyAlignment="1">
      <alignment horizontal="center" vertical="center" wrapText="1"/>
    </xf>
    <xf numFmtId="0" fontId="29" fillId="0" borderId="1" xfId="7" applyFont="1" applyBorder="1" applyAlignment="1">
      <alignment horizontal="center" vertical="center" wrapText="1"/>
    </xf>
    <xf numFmtId="0" fontId="29" fillId="0" borderId="1" xfId="6" applyFont="1" applyBorder="1" applyAlignment="1">
      <alignment horizontal="center" vertical="center" wrapText="1"/>
    </xf>
    <xf numFmtId="0" fontId="29" fillId="0" borderId="19" xfId="7" applyFont="1" applyBorder="1" applyAlignment="1">
      <alignment vertical="center" wrapText="1"/>
    </xf>
    <xf numFmtId="0" fontId="29" fillId="0" borderId="19" xfId="6" applyFont="1" applyBorder="1" applyAlignment="1">
      <alignment horizontal="center" vertical="center" wrapText="1"/>
    </xf>
    <xf numFmtId="0" fontId="29" fillId="0" borderId="19" xfId="6" applyFont="1" applyBorder="1" applyAlignment="1">
      <alignment vertical="center" wrapText="1"/>
    </xf>
    <xf numFmtId="0" fontId="30" fillId="0" borderId="0" xfId="0" applyFont="1" applyAlignment="1">
      <alignment horizontal="left" vertical="center"/>
    </xf>
    <xf numFmtId="0" fontId="29" fillId="0" borderId="1" xfId="5" applyFont="1" applyBorder="1" applyAlignment="1">
      <alignment horizontal="left" vertical="center"/>
    </xf>
    <xf numFmtId="0" fontId="29" fillId="0" borderId="1" xfId="5" applyFont="1" applyBorder="1" applyAlignment="1">
      <alignment horizontal="center" vertical="center"/>
    </xf>
    <xf numFmtId="3" fontId="34" fillId="0" borderId="0" xfId="0" applyNumberFormat="1" applyFont="1" applyAlignment="1">
      <alignment horizontal="center" vertical="center"/>
    </xf>
    <xf numFmtId="0" fontId="31" fillId="0" borderId="0" xfId="5" applyFont="1" applyAlignment="1">
      <alignment horizontal="center" vertical="center"/>
    </xf>
    <xf numFmtId="49" fontId="36" fillId="0" borderId="0" xfId="8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7" xfId="7" applyFont="1" applyBorder="1" applyAlignment="1">
      <alignment vertical="center"/>
    </xf>
    <xf numFmtId="0" fontId="34" fillId="0" borderId="7" xfId="0" applyFont="1" applyBorder="1" applyAlignment="1">
      <alignment horizontal="center" vertical="center"/>
    </xf>
    <xf numFmtId="0" fontId="34" fillId="0" borderId="7" xfId="7" applyFont="1" applyBorder="1" applyAlignment="1">
      <alignment vertical="center"/>
    </xf>
    <xf numFmtId="0" fontId="33" fillId="0" borderId="1" xfId="5" applyFont="1" applyBorder="1" applyAlignment="1">
      <alignment vertical="center"/>
    </xf>
    <xf numFmtId="0" fontId="34" fillId="0" borderId="1" xfId="5" applyFont="1" applyBorder="1" applyAlignment="1">
      <alignment horizontal="center" vertical="center"/>
    </xf>
    <xf numFmtId="0" fontId="34" fillId="0" borderId="1" xfId="5" applyFont="1" applyBorder="1" applyAlignment="1">
      <alignment vertical="center"/>
    </xf>
    <xf numFmtId="0" fontId="34" fillId="0" borderId="0" xfId="5" applyFont="1" applyAlignment="1">
      <alignment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3" fontId="31" fillId="0" borderId="0" xfId="5" applyNumberFormat="1" applyFont="1" applyAlignment="1">
      <alignment horizontal="center" vertical="center"/>
    </xf>
    <xf numFmtId="49" fontId="36" fillId="0" borderId="0" xfId="8" applyNumberFormat="1" applyFont="1" applyBorder="1" applyAlignment="1">
      <alignment horizontal="left" vertical="center"/>
    </xf>
    <xf numFmtId="167" fontId="36" fillId="0" borderId="0" xfId="8" applyNumberFormat="1" applyFont="1" applyBorder="1" applyAlignment="1">
      <alignment horizontal="center" vertical="center"/>
    </xf>
    <xf numFmtId="168" fontId="36" fillId="0" borderId="0" xfId="8" applyNumberFormat="1" applyFont="1" applyBorder="1" applyAlignment="1">
      <alignment vertical="center"/>
    </xf>
    <xf numFmtId="0" fontId="33" fillId="0" borderId="0" xfId="0" applyFont="1" applyAlignment="1">
      <alignment horizontal="left" vertical="center" wrapText="1"/>
    </xf>
    <xf numFmtId="0" fontId="34" fillId="0" borderId="11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3" fillId="0" borderId="10" xfId="0" applyFont="1" applyBorder="1" applyAlignment="1">
      <alignment vertical="center"/>
    </xf>
    <xf numFmtId="0" fontId="34" fillId="0" borderId="10" xfId="0" applyFont="1" applyBorder="1" applyAlignment="1">
      <alignment vertical="center"/>
    </xf>
    <xf numFmtId="1" fontId="36" fillId="0" borderId="0" xfId="8" applyNumberFormat="1" applyFont="1" applyBorder="1" applyAlignment="1">
      <alignment horizontal="center" vertical="center"/>
    </xf>
    <xf numFmtId="0" fontId="27" fillId="5" borderId="1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left" vertical="center" wrapText="1"/>
    </xf>
    <xf numFmtId="0" fontId="40" fillId="5" borderId="22" xfId="0" applyFont="1" applyFill="1" applyBorder="1" applyAlignment="1">
      <alignment horizontal="center" vertical="top" wrapText="1"/>
    </xf>
    <xf numFmtId="0" fontId="40" fillId="5" borderId="23" xfId="0" applyFont="1" applyFill="1" applyBorder="1" applyAlignment="1">
      <alignment horizontal="center" vertical="top" wrapText="1"/>
    </xf>
    <xf numFmtId="0" fontId="25" fillId="0" borderId="13" xfId="0" applyFont="1" applyBorder="1" applyAlignment="1">
      <alignment horizontal="center" vertical="center" wrapText="1"/>
    </xf>
    <xf numFmtId="4" fontId="21" fillId="6" borderId="1" xfId="0" applyNumberFormat="1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5" fillId="0" borderId="0" xfId="0" applyFont="1" applyAlignment="1">
      <alignment vertical="center" wrapText="1"/>
    </xf>
    <xf numFmtId="0" fontId="45" fillId="3" borderId="1" xfId="0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5" fillId="3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horizontal="left" vertical="center" indent="1"/>
    </xf>
    <xf numFmtId="0" fontId="45" fillId="0" borderId="0" xfId="0" applyFont="1" applyAlignment="1">
      <alignment horizontal="left" vertical="center" indent="1"/>
    </xf>
    <xf numFmtId="1" fontId="45" fillId="0" borderId="0" xfId="0" applyNumberFormat="1" applyFont="1" applyAlignment="1">
      <alignment horizontal="center" vertical="center"/>
    </xf>
    <xf numFmtId="164" fontId="45" fillId="0" borderId="0" xfId="0" applyNumberFormat="1" applyFont="1" applyAlignment="1">
      <alignment horizontal="center" vertical="center"/>
    </xf>
    <xf numFmtId="0" fontId="29" fillId="0" borderId="0" xfId="6" applyFont="1" applyAlignment="1">
      <alignment horizontal="center" vertical="top" wrapText="1"/>
    </xf>
    <xf numFmtId="0" fontId="29" fillId="0" borderId="20" xfId="7" applyFont="1" applyBorder="1" applyAlignment="1">
      <alignment horizontal="center" vertical="top" wrapText="1"/>
    </xf>
    <xf numFmtId="0" fontId="29" fillId="0" borderId="9" xfId="7" applyFont="1" applyBorder="1" applyAlignment="1">
      <alignment horizontal="center" vertical="top" wrapText="1"/>
    </xf>
    <xf numFmtId="0" fontId="29" fillId="0" borderId="1" xfId="7" applyFont="1" applyBorder="1" applyAlignment="1">
      <alignment horizontal="center" vertical="top" wrapText="1"/>
    </xf>
    <xf numFmtId="0" fontId="29" fillId="0" borderId="1" xfId="6" applyFont="1" applyBorder="1" applyAlignment="1">
      <alignment horizontal="center" vertical="top" wrapText="1"/>
    </xf>
    <xf numFmtId="0" fontId="29" fillId="0" borderId="19" xfId="7" applyFont="1" applyBorder="1" applyAlignment="1">
      <alignment vertical="top" wrapText="1"/>
    </xf>
    <xf numFmtId="0" fontId="29" fillId="0" borderId="19" xfId="6" applyFont="1" applyBorder="1" applyAlignment="1">
      <alignment horizontal="center" vertical="top" wrapText="1"/>
    </xf>
    <xf numFmtId="0" fontId="29" fillId="0" borderId="19" xfId="6" applyFont="1" applyBorder="1" applyAlignment="1">
      <alignment vertical="top" wrapText="1"/>
    </xf>
    <xf numFmtId="14" fontId="20" fillId="0" borderId="21" xfId="0" applyNumberFormat="1" applyFont="1" applyFill="1" applyBorder="1" applyAlignment="1" applyProtection="1">
      <alignment horizontal="center" vertical="center" wrapText="1"/>
    </xf>
    <xf numFmtId="0" fontId="20" fillId="0" borderId="21" xfId="0" applyFont="1" applyFill="1" applyBorder="1" applyAlignment="1">
      <alignment horizontal="left" vertical="center" wrapText="1"/>
    </xf>
    <xf numFmtId="1" fontId="20" fillId="0" borderId="21" xfId="0" applyNumberFormat="1" applyFont="1" applyFill="1" applyBorder="1" applyAlignment="1" applyProtection="1">
      <alignment horizontal="center" vertical="center" wrapText="1"/>
    </xf>
    <xf numFmtId="14" fontId="20" fillId="0" borderId="25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25" xfId="0" applyNumberFormat="1" applyFont="1" applyFill="1" applyBorder="1" applyAlignment="1">
      <alignment horizontal="center" vertical="center" wrapText="1"/>
    </xf>
    <xf numFmtId="4" fontId="20" fillId="0" borderId="24" xfId="0" applyNumberFormat="1" applyFont="1" applyFill="1" applyBorder="1" applyAlignment="1">
      <alignment horizontal="center" vertical="center" wrapText="1"/>
    </xf>
    <xf numFmtId="0" fontId="20" fillId="0" borderId="25" xfId="0" applyFont="1" applyFill="1" applyBorder="1" applyAlignment="1" applyProtection="1">
      <alignment horizontal="left" vertical="center" wrapText="1"/>
    </xf>
    <xf numFmtId="0" fontId="43" fillId="0" borderId="21" xfId="0" applyFont="1" applyFill="1" applyBorder="1" applyAlignment="1">
      <alignment horizontal="left" vertical="center" wrapText="1"/>
    </xf>
    <xf numFmtId="4" fontId="20" fillId="0" borderId="25" xfId="0" applyNumberFormat="1" applyFont="1" applyFill="1" applyBorder="1" applyAlignment="1">
      <alignment horizontal="center" vertical="top" wrapText="1"/>
    </xf>
    <xf numFmtId="4" fontId="20" fillId="0" borderId="24" xfId="0" applyNumberFormat="1" applyFont="1" applyFill="1" applyBorder="1" applyAlignment="1">
      <alignment horizontal="center" vertical="top" wrapText="1"/>
    </xf>
    <xf numFmtId="4" fontId="43" fillId="0" borderId="24" xfId="0" applyNumberFormat="1" applyFont="1" applyFill="1" applyBorder="1" applyAlignment="1">
      <alignment horizontal="center" vertical="top" wrapText="1"/>
    </xf>
    <xf numFmtId="49" fontId="1" fillId="7" borderId="17" xfId="0" applyNumberFormat="1" applyFont="1" applyFill="1" applyBorder="1" applyAlignment="1" applyProtection="1">
      <alignment horizontal="left" vertical="center" indent="1"/>
      <protection locked="0"/>
    </xf>
    <xf numFmtId="0" fontId="29" fillId="0" borderId="19" xfId="5" applyFont="1" applyBorder="1" applyAlignment="1">
      <alignment horizontal="center" vertical="center"/>
    </xf>
    <xf numFmtId="49" fontId="1" fillId="7" borderId="14" xfId="0" applyNumberFormat="1" applyFont="1" applyFill="1" applyBorder="1" applyAlignment="1" applyProtection="1">
      <alignment horizontal="left" vertical="center" wrapText="1" indent="1"/>
      <protection locked="0"/>
    </xf>
    <xf numFmtId="49" fontId="4" fillId="7" borderId="14" xfId="0" applyNumberFormat="1" applyFont="1" applyFill="1" applyBorder="1" applyAlignment="1" applyProtection="1">
      <alignment horizontal="left" vertical="center" wrapText="1" indent="1"/>
      <protection locked="0"/>
    </xf>
    <xf numFmtId="49" fontId="4" fillId="7" borderId="15" xfId="0" applyNumberFormat="1" applyFont="1" applyFill="1" applyBorder="1" applyAlignment="1" applyProtection="1">
      <alignment horizontal="left" vertical="center" wrapText="1" indent="1"/>
      <protection locked="0"/>
    </xf>
    <xf numFmtId="49" fontId="1" fillId="8" borderId="13" xfId="0" applyNumberFormat="1" applyFont="1" applyFill="1" applyBorder="1" applyAlignment="1" applyProtection="1">
      <alignment horizontal="center" vertical="center"/>
      <protection locked="0"/>
    </xf>
    <xf numFmtId="49" fontId="10" fillId="8" borderId="15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21" fillId="0" borderId="6" xfId="0" applyFont="1" applyBorder="1" applyAlignment="1" applyProtection="1">
      <alignment horizontal="left" vertical="center" wrapText="1" indent="1"/>
      <protection locked="0"/>
    </xf>
    <xf numFmtId="0" fontId="21" fillId="0" borderId="7" xfId="0" applyFont="1" applyBorder="1" applyAlignment="1" applyProtection="1">
      <alignment horizontal="left" vertical="center" wrapText="1" indent="1"/>
      <protection locked="0"/>
    </xf>
    <xf numFmtId="0" fontId="21" fillId="0" borderId="8" xfId="0" applyFont="1" applyBorder="1" applyAlignment="1" applyProtection="1">
      <alignment horizontal="left" vertical="center" wrapText="1" indent="1"/>
      <protection locked="0"/>
    </xf>
    <xf numFmtId="0" fontId="19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9" fillId="0" borderId="10" xfId="0" applyFont="1" applyBorder="1" applyAlignment="1">
      <alignment horizontal="center" vertical="center"/>
    </xf>
  </cellXfs>
  <cellStyles count="9">
    <cellStyle name="Moneda" xfId="3" builtinId="4"/>
    <cellStyle name="Normal" xfId="0" builtinId="0"/>
    <cellStyle name="Normal 18" xfId="1" xr:uid="{9FD3514C-1819-453F-86A1-683F17322AAA}"/>
    <cellStyle name="Normal 2" xfId="2" xr:uid="{449C7341-F64A-4C3E-B062-71B09FE24E15}"/>
    <cellStyle name="Normal 2 2" xfId="5" xr:uid="{EB9FAD68-C1C8-431A-A9F3-2EE31E8FA4D0}"/>
    <cellStyle name="Normal 2 2 2" xfId="8" xr:uid="{E01A767C-F932-410B-B369-FD060393FC36}"/>
    <cellStyle name="Normal 3" xfId="4" xr:uid="{0B0DF327-E594-435D-8C6E-E22483A30501}"/>
    <cellStyle name="Normal 4" xfId="7" xr:uid="{1DE378C3-0874-4D66-99E4-0876B18C2C5A}"/>
    <cellStyle name="Normal 4 4" xfId="6" xr:uid="{8A1E646C-1FB1-441A-BEA9-9E46A903FA2D}"/>
  </cellStyles>
  <dxfs count="129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 patternType="solid">
          <bgColor rgb="FFFFCCCC"/>
        </patternFill>
      </fill>
    </dxf>
    <dxf>
      <font>
        <color rgb="FFC00000"/>
      </font>
      <fill>
        <patternFill patternType="solid"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rgb="FF203764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relative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203764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rgb="FF203764"/>
        <name val="Arial"/>
        <family val="2"/>
        <scheme val="none"/>
      </font>
      <numFmt numFmtId="164" formatCode="dd\-mmm\-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203764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rgb="FF203764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203764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name val="Arial"/>
        <family val="2"/>
        <scheme val="none"/>
      </font>
      <alignment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4" tint="-0.499984740745262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dd\-mmm\-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\ &quot; Registros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/>
        <top style="thin">
          <color theme="4" tint="-0.499984740745262"/>
        </top>
        <bottom style="thin">
          <color theme="4" tint="-0.49998474074526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  <protection locked="1" hidden="0"/>
    </dxf>
    <dxf>
      <border>
        <top style="thin">
          <color theme="4" tint="-0.499984740745262"/>
        </top>
      </border>
    </dxf>
    <dxf>
      <alignment vertical="center" textRotation="0" indent="0" justifyLastLine="0" shrinkToFit="0" readingOrder="0"/>
      <border diagonalUp="0" diagonalDown="0">
        <left style="thin">
          <color theme="4" tint="-0.499984740745262"/>
        </left>
        <right style="thin">
          <color theme="4" tint="-0.499984740745262"/>
        </right>
        <top/>
        <bottom/>
        <vertical style="thin">
          <color theme="4" tint="-0.499984740745262"/>
        </vertical>
        <horizontal style="thin">
          <color theme="4" tint="-0.499984740745262"/>
        </horizontal>
      </border>
      <protection locked="1" hidden="0"/>
    </dxf>
    <dxf>
      <border diagonalUp="0" diagonalDown="0"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499984740745262"/>
        <name val="Arial"/>
        <family val="2"/>
        <scheme val="none"/>
      </font>
      <fill>
        <patternFill patternType="solid">
          <fgColor indexed="64"/>
          <bgColor rgb="FFC9DAF8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4" tint="-0.499984740745262"/>
        </left>
        <right style="thin">
          <color theme="4" tint="-0.499984740745262"/>
        </right>
        <top/>
        <bottom/>
        <vertical style="thin">
          <color theme="4" tint="-0.499984740745262"/>
        </vertical>
        <horizontal style="thin">
          <color theme="4" tint="-0.499984740745262"/>
        </horizontal>
      </border>
      <protection locked="1" hidden="0"/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0"/>
        <name val="Courier New"/>
        <family val="3"/>
        <scheme val="none"/>
      </font>
      <alignment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vertAlign val="baseline"/>
        <sz val="10"/>
        <name val="Courier New"/>
        <family val="3"/>
        <scheme val="none"/>
      </font>
      <alignment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name val="Courier New"/>
        <family val="3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3" formatCode="#,##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0"/>
        <name val="Courier New"/>
        <family val="3"/>
        <scheme val="none"/>
      </font>
      <alignment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vertAlign val="baseline"/>
        <sz val="10"/>
        <name val="Courier New"/>
        <family val="3"/>
        <scheme val="none"/>
      </font>
      <alignment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name val="Courier New"/>
        <family val="3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medium">
          <color rgb="FFEDEDE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575757"/>
        <name val="Helvetic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</dxf>
    <dxf>
      <fill>
        <patternFill>
          <bgColor rgb="FFDDF2FF"/>
        </patternFill>
      </fill>
    </dxf>
  </dxfs>
  <tableStyles count="2" defaultTableStyle="TableStyleMedium2" defaultPivotStyle="PivotStyleLight16">
    <tableStyle name="Estilo de tabla 1" pivot="0" count="1" xr9:uid="{51BA49E9-419B-480F-BB95-3865C7398017}">
      <tableStyleElement type="firstRowStripe" dxfId="128"/>
    </tableStyle>
    <tableStyle name="Estilo de tabla 3" pivot="0" count="1" xr9:uid="{4369FD18-151D-4BFD-B2C1-475FB5F69649}">
      <tableStyleElement type="wholeTable" dxfId="127"/>
    </tableStyle>
  </tableStyles>
  <colors>
    <mruColors>
      <color rgb="FF203764"/>
      <color rgb="FFF9B4AD"/>
      <color rgb="FFFFCCCC"/>
      <color rgb="FFDDF2FF"/>
      <color rgb="FFEEF9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1058294</xdr:colOff>
      <xdr:row>3</xdr:row>
      <xdr:rowOff>87540</xdr:rowOff>
    </xdr:from>
    <xdr:to>
      <xdr:col>8</xdr:col>
      <xdr:colOff>361488</xdr:colOff>
      <xdr:row>19</xdr:row>
      <xdr:rowOff>44729</xdr:rowOff>
    </xdr:to>
    <xdr:sp macro="" textlink="">
      <xdr:nvSpPr>
        <xdr:cNvPr id="13" name="Cuadro_Instrucciones" hidden="1">
          <a:extLst>
            <a:ext uri="{FF2B5EF4-FFF2-40B4-BE49-F238E27FC236}">
              <a16:creationId xmlns:a16="http://schemas.microsoft.com/office/drawing/2014/main" id="{40F50F94-52D9-4F37-BD7F-F53DBE33E2EF}"/>
            </a:ext>
          </a:extLst>
        </xdr:cNvPr>
        <xdr:cNvSpPr/>
      </xdr:nvSpPr>
      <xdr:spPr>
        <a:xfrm>
          <a:off x="1193664" y="1060533"/>
          <a:ext cx="11034649" cy="4150316"/>
        </a:xfrm>
        <a:prstGeom prst="roundRect">
          <a:avLst>
            <a:gd name="adj" fmla="val 6467"/>
          </a:avLst>
        </a:prstGeom>
        <a:solidFill>
          <a:schemeClr val="accent1">
            <a:lumMod val="20000"/>
            <a:lumOff val="80000"/>
            <a:alpha val="91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50800" h="508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0" tIns="180000" rIns="360000" bIns="180000" rtlCol="0" anchor="t">
          <a:noAutofit/>
        </a:bodyPr>
        <a:lstStyle/>
        <a:p>
          <a:pPr algn="l"/>
          <a:endParaRPr lang="es-ES" sz="1600" b="1" i="1" u="sng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s-ES" sz="1600" b="1" i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Leer todo el proceso</a:t>
          </a:r>
          <a:r>
            <a:rPr lang="es-ES" sz="1400" b="1" i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pPr algn="l"/>
          <a:endParaRPr lang="es-ES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algn="l">
            <a:spcAft>
              <a:spcPts val="600"/>
            </a:spcAft>
          </a:pPr>
          <a:r>
            <a:rPr lang="es-ES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0.- Completar los datos de las Jornadas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o del Congreso (</a:t>
          </a:r>
          <a:r>
            <a:rPr lang="es-ES" sz="1200" b="0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Nombre, Orgánica, Nº Liquidación, Siglas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).</a:t>
          </a:r>
          <a:endParaRPr lang="es-ES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algn="l">
            <a:spcAft>
              <a:spcPts val="600"/>
            </a:spcAft>
          </a:pPr>
          <a:r>
            <a:rPr lang="es-ES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1.- Pulsar en el botón de "</a:t>
          </a:r>
          <a:r>
            <a:rPr lang="es-ES" sz="1400" b="1" i="1" cap="none" spc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Añadir Ficheros</a:t>
          </a:r>
          <a:r>
            <a:rPr lang="es-ES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".</a:t>
          </a:r>
        </a:p>
        <a:p>
          <a:pPr algn="l">
            <a:spcAft>
              <a:spcPts val="600"/>
            </a:spcAft>
          </a:pPr>
          <a:r>
            <a:rPr lang="es-ES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2.- Se abrirá el Explorado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de Archivos.</a:t>
          </a:r>
        </a:p>
        <a:p>
          <a:pPr algn="l">
            <a:spcAft>
              <a:spcPts val="600"/>
            </a:spcAft>
          </a:pP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3.- Seleccionar el directorio donde se encuentran el/los ficheros Excel de recibos  de pagos del TPV.</a:t>
          </a:r>
        </a:p>
        <a:p>
          <a:pPr algn="l">
            <a:spcAft>
              <a:spcPts val="600"/>
            </a:spcAft>
          </a:pP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4.- Seleccionar el/los ficheros y pulsar el botón "</a:t>
          </a:r>
          <a:r>
            <a:rPr lang="es-ES" sz="1400" b="1" i="1" cap="none" spc="0" baseline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Abrir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".</a:t>
          </a:r>
        </a:p>
        <a:p>
          <a:pPr algn="l">
            <a:spcAft>
              <a:spcPts val="600"/>
            </a:spcAft>
          </a:pP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5.- Se incorporarán los datos y formatearán.</a:t>
          </a:r>
        </a:p>
        <a:p>
          <a:pPr algn="l">
            <a:spcAft>
              <a:spcPts val="600"/>
            </a:spcAft>
          </a:pP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6.- </a:t>
          </a:r>
          <a:r>
            <a:rPr lang="es-ES" sz="1400" b="1" i="0" u="none" cap="none" spc="0" baseline="0">
              <a:ln w="0"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(opcional) 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Filtrar los pagos pendientes de comisión.</a:t>
          </a:r>
        </a:p>
        <a:p>
          <a:pPr algn="l">
            <a:spcAft>
              <a:spcPts val="600"/>
            </a:spcAft>
          </a:pP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7.- Generar la Tabla para la Liquidación (</a:t>
          </a:r>
          <a:r>
            <a:rPr lang="es-ES" sz="1100" b="0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Seleccionar el directorio y se propondrá un nombre de fichero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) pulsar el botón "</a:t>
          </a:r>
          <a:r>
            <a:rPr lang="es-ES" sz="1400" b="1" i="1" cap="none" spc="0" baseline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Guardar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".</a:t>
          </a:r>
        </a:p>
        <a:p>
          <a:pPr algn="l">
            <a:spcAft>
              <a:spcPts val="600"/>
            </a:spcAft>
          </a:pPr>
          <a:endParaRPr lang="es-ES" sz="1400" b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algn="l">
            <a:spcAft>
              <a:spcPts val="600"/>
            </a:spcAft>
          </a:pPr>
          <a:r>
            <a:rPr lang="es-ES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P.D.: Este mensaje se autodestruirá en breve.  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Tic Toc, </a:t>
          </a:r>
          <a:r>
            <a:rPr lang="es-ES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Tic Toc</a:t>
          </a:r>
          <a:r>
            <a:rPr lang="es-ES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, </a:t>
          </a:r>
          <a:r>
            <a:rPr lang="es-ES" sz="9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Tic Toc.</a:t>
          </a:r>
        </a:p>
      </xdr:txBody>
    </xdr:sp>
    <xdr:clientData/>
  </xdr:twoCellAnchor>
  <xdr:twoCellAnchor editAs="absolute">
    <xdr:from>
      <xdr:col>6</xdr:col>
      <xdr:colOff>544386</xdr:colOff>
      <xdr:row>1</xdr:row>
      <xdr:rowOff>427506</xdr:rowOff>
    </xdr:from>
    <xdr:to>
      <xdr:col>10</xdr:col>
      <xdr:colOff>904162</xdr:colOff>
      <xdr:row>2</xdr:row>
      <xdr:rowOff>55606</xdr:rowOff>
    </xdr:to>
    <xdr:sp macro="[0]!RuT_Generar_Tabla" textlink="">
      <xdr:nvSpPr>
        <xdr:cNvPr id="5" name="Botón_Selec_Todo">
          <a:extLst>
            <a:ext uri="{FF2B5EF4-FFF2-40B4-BE49-F238E27FC236}">
              <a16:creationId xmlns:a16="http://schemas.microsoft.com/office/drawing/2014/main" id="{6E0F3B2A-EA9A-4EBA-9960-E7A6E858E7C5}"/>
            </a:ext>
          </a:extLst>
        </xdr:cNvPr>
        <xdr:cNvSpPr/>
      </xdr:nvSpPr>
      <xdr:spPr>
        <a:xfrm>
          <a:off x="10886325" y="530742"/>
          <a:ext cx="3536334" cy="248379"/>
        </a:xfrm>
        <a:prstGeom prst="round2DiagRect">
          <a:avLst/>
        </a:prstGeom>
        <a:solidFill>
          <a:srgbClr val="92D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r>
            <a:rPr lang="es-ES" sz="1400" b="0" i="0" u="none" cap="none" spc="0">
              <a:ln w="0"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Generar</a:t>
          </a:r>
          <a:r>
            <a:rPr lang="es-ES" sz="1400" b="0" i="0" u="none" cap="none" spc="0" baseline="0">
              <a:ln w="0"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Tabla Liquidación J. y C.</a:t>
          </a:r>
          <a:endParaRPr lang="es-ES" sz="1400" b="0" i="0" u="none" cap="none" spc="0">
            <a:ln w="0">
              <a:noFill/>
            </a:ln>
            <a:solidFill>
              <a:schemeClr val="tx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25610</xdr:colOff>
      <xdr:row>1</xdr:row>
      <xdr:rowOff>388452</xdr:rowOff>
    </xdr:from>
    <xdr:to>
      <xdr:col>1</xdr:col>
      <xdr:colOff>1684444</xdr:colOff>
      <xdr:row>4</xdr:row>
      <xdr:rowOff>3136</xdr:rowOff>
    </xdr:to>
    <xdr:sp macro="[0]!RuT_Añadir_Tablas" textlink="">
      <xdr:nvSpPr>
        <xdr:cNvPr id="9" name="Botón_Añadir_Tablas">
          <a:extLst>
            <a:ext uri="{FF2B5EF4-FFF2-40B4-BE49-F238E27FC236}">
              <a16:creationId xmlns:a16="http://schemas.microsoft.com/office/drawing/2014/main" id="{E250AE4C-7162-437D-99AC-1F937CC3608D}"/>
            </a:ext>
          </a:extLst>
        </xdr:cNvPr>
        <xdr:cNvSpPr/>
      </xdr:nvSpPr>
      <xdr:spPr>
        <a:xfrm>
          <a:off x="158006" y="489799"/>
          <a:ext cx="1665184" cy="724122"/>
        </a:xfrm>
        <a:prstGeom prst="round2Diag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r>
            <a:rPr lang="es-ES" sz="1800" b="1" i="0" u="none" cap="none" spc="0">
              <a:ln w="0">
                <a:noFill/>
              </a:ln>
              <a:solidFill>
                <a:schemeClr val="accent1">
                  <a:lumMod val="75000"/>
                </a:schemeClr>
              </a:solidFill>
              <a:effectLst/>
              <a:latin typeface="Bodoni MT Black" panose="02070A03080606020203" pitchFamily="18" charset="0"/>
              <a:ea typeface="+mn-ea"/>
              <a:cs typeface="Arial" panose="020B0604020202020204" pitchFamily="34" charset="0"/>
            </a:rPr>
            <a:t>Añadir Ficheros</a:t>
          </a:r>
        </a:p>
      </xdr:txBody>
    </xdr:sp>
    <xdr:clientData/>
  </xdr:twoCellAnchor>
  <xdr:twoCellAnchor editAs="absolute">
    <xdr:from>
      <xdr:col>8</xdr:col>
      <xdr:colOff>155386</xdr:colOff>
      <xdr:row>1</xdr:row>
      <xdr:rowOff>2049</xdr:rowOff>
    </xdr:from>
    <xdr:to>
      <xdr:col>10</xdr:col>
      <xdr:colOff>905623</xdr:colOff>
      <xdr:row>1</xdr:row>
      <xdr:rowOff>284788</xdr:rowOff>
    </xdr:to>
    <xdr:sp macro="[0]!RuT_Help" textlink="">
      <xdr:nvSpPr>
        <xdr:cNvPr id="12" name="Botón_Ayuda">
          <a:extLst>
            <a:ext uri="{FF2B5EF4-FFF2-40B4-BE49-F238E27FC236}">
              <a16:creationId xmlns:a16="http://schemas.microsoft.com/office/drawing/2014/main" id="{2A0786E5-8D70-4F10-A857-9720195E2499}"/>
            </a:ext>
          </a:extLst>
        </xdr:cNvPr>
        <xdr:cNvSpPr/>
      </xdr:nvSpPr>
      <xdr:spPr>
        <a:xfrm>
          <a:off x="12027581" y="102110"/>
          <a:ext cx="2396539" cy="282739"/>
        </a:xfrm>
        <a:prstGeom prst="round2DiagRect">
          <a:avLst/>
        </a:prstGeom>
        <a:blipFill dpi="0" rotWithShape="1">
          <a:blip xmlns:r="http://schemas.openxmlformats.org/officeDocument/2006/relationships" r:embed="rId1">
            <a:alphaModFix amt="55000"/>
          </a:blip>
          <a:srcRect/>
          <a:tile tx="0" ty="0" sx="100000" sy="100000" flip="none" algn="tl"/>
        </a:blipFill>
        <a:ln>
          <a:solidFill>
            <a:srgbClr val="000000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r>
            <a:rPr lang="es-ES" sz="1400" b="0" i="0" u="none" cap="none" spc="0">
              <a:ln w="0">
                <a:noFill/>
              </a:ln>
              <a:solidFill>
                <a:schemeClr val="tx1"/>
              </a:solidFill>
              <a:effectLst/>
              <a:latin typeface="Berlin Sans FB" panose="020E0602020502020306" pitchFamily="34" charset="0"/>
              <a:ea typeface="+mn-ea"/>
              <a:cs typeface="Arial" panose="020B0604020202020204" pitchFamily="34" charset="0"/>
            </a:rPr>
            <a:t>¡ Mostrar Ayuda !</a:t>
          </a:r>
        </a:p>
      </xdr:txBody>
    </xdr:sp>
    <xdr:clientData/>
  </xdr:twoCellAnchor>
  <xdr:twoCellAnchor editAs="absolute">
    <xdr:from>
      <xdr:col>1</xdr:col>
      <xdr:colOff>25610</xdr:colOff>
      <xdr:row>1</xdr:row>
      <xdr:rowOff>18730</xdr:rowOff>
    </xdr:from>
    <xdr:to>
      <xdr:col>1</xdr:col>
      <xdr:colOff>1684444</xdr:colOff>
      <xdr:row>1</xdr:row>
      <xdr:rowOff>335560</xdr:rowOff>
    </xdr:to>
    <xdr:sp macro="[0]!RuT_Borrar_Datos_Tabla" textlink="">
      <xdr:nvSpPr>
        <xdr:cNvPr id="2" name="Botón_Borrar_Datos">
          <a:extLst>
            <a:ext uri="{FF2B5EF4-FFF2-40B4-BE49-F238E27FC236}">
              <a16:creationId xmlns:a16="http://schemas.microsoft.com/office/drawing/2014/main" id="{792A5177-9C5C-45DD-8BBC-2F37488C2E05}"/>
            </a:ext>
          </a:extLst>
        </xdr:cNvPr>
        <xdr:cNvSpPr/>
      </xdr:nvSpPr>
      <xdr:spPr>
        <a:xfrm>
          <a:off x="158006" y="116902"/>
          <a:ext cx="1665184" cy="320005"/>
        </a:xfrm>
        <a:prstGeom prst="round2DiagRect">
          <a:avLst/>
        </a:prstGeom>
        <a:blipFill dpi="0" rotWithShape="1">
          <a:blip xmlns:r="http://schemas.openxmlformats.org/officeDocument/2006/relationships" r:embed="rId1">
            <a:alphaModFix amt="96000"/>
          </a:blip>
          <a:srcRect/>
          <a:tile tx="0" ty="0" sx="100000" sy="100000" flip="none" algn="tl"/>
        </a:blipFill>
        <a:ln>
          <a:solidFill>
            <a:srgbClr val="000000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r>
            <a:rPr lang="es-ES" sz="1400" b="0" i="1" u="none" cap="none" spc="0">
              <a:ln w="0"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Borrar tabla</a:t>
          </a:r>
        </a:p>
      </xdr:txBody>
    </xdr:sp>
    <xdr:clientData/>
  </xdr:twoCellAnchor>
  <xdr:twoCellAnchor editAs="absolute">
    <xdr:from>
      <xdr:col>6</xdr:col>
      <xdr:colOff>544386</xdr:colOff>
      <xdr:row>2</xdr:row>
      <xdr:rowOff>135403</xdr:rowOff>
    </xdr:from>
    <xdr:to>
      <xdr:col>10</xdr:col>
      <xdr:colOff>904162</xdr:colOff>
      <xdr:row>3</xdr:row>
      <xdr:rowOff>145528</xdr:rowOff>
    </xdr:to>
    <xdr:sp macro="[0]!RuT_Mostrar_Ocultar_Pdte_Comi" textlink="">
      <xdr:nvSpPr>
        <xdr:cNvPr id="3" name="Botón_Pdte_Comi">
          <a:extLst>
            <a:ext uri="{FF2B5EF4-FFF2-40B4-BE49-F238E27FC236}">
              <a16:creationId xmlns:a16="http://schemas.microsoft.com/office/drawing/2014/main" id="{BDA282B6-3B32-46B5-B26E-84C445980CBC}"/>
            </a:ext>
          </a:extLst>
        </xdr:cNvPr>
        <xdr:cNvSpPr/>
      </xdr:nvSpPr>
      <xdr:spPr>
        <a:xfrm>
          <a:off x="10886325" y="858918"/>
          <a:ext cx="3536334" cy="253253"/>
        </a:xfrm>
        <a:prstGeom prst="round2DiagRect">
          <a:avLst/>
        </a:prstGeom>
        <a:solidFill>
          <a:schemeClr val="accent6">
            <a:alpha val="34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r>
            <a:rPr lang="es-ES" sz="1400" b="0" i="0" u="none" cap="none" spc="0">
              <a:ln w="0"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Ocultar pagos con 'Esperando Comisión'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2930E4-C9C2-443E-9DB9-CE831E56123E}" name="Tb_UTF8" displayName="Tb_UTF8" ref="A1:E97" totalsRowShown="0" headerRowDxfId="126" dataDxfId="125" tableBorderDxfId="124" headerRowCellStyle="Normal 18" dataCellStyle="Normal 18">
  <autoFilter ref="A1:E97" xr:uid="{86B38897-E548-41B3-9C63-2C7389213BF8}"/>
  <sortState xmlns:xlrd2="http://schemas.microsoft.com/office/spreadsheetml/2017/richdata2" ref="A2:E97">
    <sortCondition descending="1" ref="E1:E97"/>
  </sortState>
  <tableColumns count="5">
    <tableColumn id="2" xr3:uid="{4D007FF2-50D3-4B6F-89F0-5DFD7C71CE0E}" name="UTF-8" dataDxfId="123" dataCellStyle="Normal 18"/>
    <tableColumn id="1" xr3:uid="{9D669572-EA2B-4AAB-8178-0A48657F6678}" name="ANSI" dataDxfId="122" dataCellStyle="Normal 18"/>
    <tableColumn id="3" xr3:uid="{80915042-6094-4388-9266-80CC94D2A898}" name="JAVASCRIPT" dataDxfId="121" dataCellStyle="Normal 18"/>
    <tableColumn id="4" xr3:uid="{E5E47142-0CE3-4ACF-B07E-3FE8196949F6}" name="HTML" dataDxfId="120" dataCellStyle="Normal 18"/>
    <tableColumn id="5" xr3:uid="{2E95F6BE-97C4-42C6-832E-122580F675BB}" name="largo" dataDxfId="119" dataCellStyle="Normal 18">
      <calculatedColumnFormula>LEN(Tb_UTF8[[#This Row],[UTF-8]])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73F60C-2718-4FFC-B6D4-18246CE695D7}" name="Tb_DefCols5" displayName="Tb_DefCols5" ref="A2:N11" totalsRowCount="1" headerRowDxfId="118" dataDxfId="116" totalsRowDxfId="114" headerRowBorderDxfId="117" tableBorderDxfId="115" totalsRowBorderDxfId="113">
  <autoFilter ref="A2:N10" xr:uid="{4EBB25E6-7A05-40B8-998E-F6340EEE45E0}"/>
  <tableColumns count="14">
    <tableColumn id="1" xr3:uid="{E62ECDAA-2595-4631-B6AC-5DC78E3DB2BF}" name="Nombre" totalsRowLabel="Total" dataDxfId="112" totalsRowDxfId="111" dataCellStyle="Normal 2"/>
    <tableColumn id="8" xr3:uid="{B30A047A-78DD-424D-BB36-FC5703EE6C7B}" name="Tit_Col_Tabla" dataDxfId="110" totalsRowDxfId="109" dataCellStyle="Normal 2"/>
    <tableColumn id="3" xr3:uid="{CDC9E5CC-86B4-4014-AFFB-0165A38CFE49}" name="Tipo Var" dataDxfId="108" totalsRowDxfId="107" dataCellStyle="Normal 2"/>
    <tableColumn id="14" xr3:uid="{4A430498-6CD0-4E1A-BAD1-7B3DA6503280}" name="Formato" dataDxfId="106" totalsRowDxfId="105" dataCellStyle="Normal 2"/>
    <tableColumn id="13" xr3:uid="{70D48190-28AC-4427-ACC4-B48608D3B9F7}" name="Ancho col" dataDxfId="104" totalsRowDxfId="103"/>
    <tableColumn id="12" xr3:uid="{C2248312-63FB-4080-9F60-9F967E45FD01}" name="CopyFormat" dataDxfId="102" totalsRowDxfId="101"/>
    <tableColumn id="11" xr3:uid="{5A4B3142-E584-4A25-82CB-5CFF17C54ADF}" name="Alineac" dataDxfId="100" totalsRowDxfId="99"/>
    <tableColumn id="10" xr3:uid="{6E5BE390-E600-44CA-8B98-328537F979CC}" name="Compare" dataDxfId="98" totalsRowDxfId="97"/>
    <tableColumn id="9" xr3:uid="{A2010998-CF26-4FEF-A137-B9F6FB6085B6}" name="wraptext" dataDxfId="96" totalsRowDxfId="95"/>
    <tableColumn id="15" xr3:uid="{397D1506-0A1A-4AAB-9171-06BFB86FD5AB}" name="Letr Col" dataDxfId="94" totalsRowDxfId="93">
      <calculatedColumnFormula>IF(Tb_DefCols5[[#This Row],[Num Col]]&gt;26,"a" &amp; CHAR(Tb_DefCols5[[#This Row],[Num Col]]-26+96),CHAR(Tb_DefCols5[[#This Row],[Num Col]]+96))</calculatedColumnFormula>
    </tableColumn>
    <tableColumn id="6" xr3:uid="{61E8248D-029C-41E6-952A-358ED59A2C57}" name="Num Col" dataDxfId="92" totalsRowDxfId="91"/>
    <tableColumn id="2" xr3:uid="{2BA7BA15-B73E-42CC-9C42-B113015EB42B}" name="Pegado Solo Valor" dataDxfId="90" totalsRowDxfId="89" dataCellStyle="Normal 4"/>
    <tableColumn id="5" xr3:uid="{DE9B6CED-D57E-4169-9F1C-57EC2A88EE1F}" name="LongNombre" totalsRowFunction="max" dataDxfId="88" totalsRowDxfId="87">
      <calculatedColumnFormula>LEN(Tb_DefCols5[[#This Row],[Nombre]])</calculatedColumnFormula>
    </tableColumn>
    <tableColumn id="7" xr3:uid="{72447F08-2986-4F12-9A31-A8DE2C448688}" name="Public Const Num-Col" totalsRowFunction="count" dataDxfId="86" totalsRowDxfId="85" dataCellStyle="Normal 4">
      <calculatedColumnFormula>LEFT("Public Const "&amp;$N$1&amp;Tb_DefCols5[[#This Row],[Nombre]]&amp;REPT(" ",50),Tb_DefCols5[[#Totals],[LongNombre]]+25) &amp;LEFT("As Integer = " &amp;Tb_DefCols5[[#This Row],[Num Col]] &amp; "           ",20)&amp;" ' col: " &amp;Tb_DefCols5[[#This Row],[Letr Col]]</calculatedColumnFormula>
    </tableColumn>
  </tableColumns>
  <tableStyleInfo name="Estilo de tabla 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E40E0E-B3D9-4399-A11E-9825B33F4BEF}" name="Tb_DefCols" displayName="Tb_DefCols" ref="A2:N13" totalsRowCount="1" headerRowDxfId="84" dataDxfId="82" totalsRowDxfId="80" headerRowBorderDxfId="83" tableBorderDxfId="81" totalsRowBorderDxfId="79">
  <autoFilter ref="A2:N12" xr:uid="{4EBB25E6-7A05-40B8-998E-F6340EEE45E0}"/>
  <tableColumns count="14">
    <tableColumn id="1" xr3:uid="{C2FE5043-01B9-49CC-B96C-6AA439370020}" name="Nombre" totalsRowLabel="Total" dataDxfId="78" totalsRowDxfId="77" dataCellStyle="Normal 2"/>
    <tableColumn id="8" xr3:uid="{1D04AD70-C18C-41E9-BB8E-70D24946E7F0}" name="Tit_Col_Tabla" dataDxfId="76" totalsRowDxfId="75" dataCellStyle="Normal 2"/>
    <tableColumn id="3" xr3:uid="{6C64F223-F197-4160-8F9F-F4F5C049BAA5}" name="Tipo Var" dataDxfId="74" totalsRowDxfId="73" dataCellStyle="Normal 2"/>
    <tableColumn id="14" xr3:uid="{976C971B-A39D-4E94-A829-A32DCA1F5DD9}" name="Formato" dataDxfId="72" totalsRowDxfId="71" dataCellStyle="Normal 2"/>
    <tableColumn id="13" xr3:uid="{53EAFC29-327C-44F2-84DF-D308E77CFD91}" name="Ancho col" dataDxfId="70" totalsRowDxfId="69"/>
    <tableColumn id="12" xr3:uid="{CEC7A0FC-A166-42CD-A7FA-D148CDCF6E3B}" name="CopyFormat" dataDxfId="68" totalsRowDxfId="67"/>
    <tableColumn id="11" xr3:uid="{F3E765AE-98B3-4A34-89D6-A09D1DBFBC19}" name="Alineac" dataDxfId="66" totalsRowDxfId="65"/>
    <tableColumn id="10" xr3:uid="{EECA5670-544F-4EE4-A464-3092DA3C1ECE}" name="Compare" dataDxfId="64" totalsRowDxfId="63"/>
    <tableColumn id="9" xr3:uid="{D93827C1-A028-4BE6-A826-C9E397147711}" name="wraptext" dataDxfId="62" totalsRowDxfId="61"/>
    <tableColumn id="15" xr3:uid="{AF47FFD4-824D-4E16-93D3-70F35F943822}" name="Letr Col" dataDxfId="60" totalsRowDxfId="59">
      <calculatedColumnFormula>IF(Tb_DefCols[[#This Row],[Num Col]]&gt;26,"a" &amp; CHAR(Tb_DefCols[[#This Row],[Num Col]]-26+96),CHAR(Tb_DefCols[[#This Row],[Num Col]]+96))</calculatedColumnFormula>
    </tableColumn>
    <tableColumn id="6" xr3:uid="{75BF5F51-314D-41B8-B507-2233B85CEB65}" name="Num Col" dataDxfId="58" totalsRowDxfId="57"/>
    <tableColumn id="2" xr3:uid="{5B53E62A-C350-4885-8A29-2A135B4DB618}" name="Pegado Solo Valor" dataDxfId="56" totalsRowDxfId="55" dataCellStyle="Normal 4"/>
    <tableColumn id="5" xr3:uid="{F463DB4E-3DDB-4E32-8C02-9708FD3D1920}" name="LongNombre" totalsRowFunction="max" dataDxfId="54" totalsRowDxfId="53">
      <calculatedColumnFormula>LEN(Tb_DefCols[[#This Row],[Nombre]])</calculatedColumnFormula>
    </tableColumn>
    <tableColumn id="7" xr3:uid="{B8A13E4C-9E5D-4B6F-8AA7-9FE77529DAAF}" name="Public Const Num-Col" totalsRowFunction="count" dataDxfId="52" totalsRowDxfId="51" dataCellStyle="Normal 4">
      <calculatedColumnFormula>LEFT("Public Const "&amp;$N$1&amp;Tb_DefCols[[#This Row],[Nombre]]&amp;REPT(" ",50),Tb_DefCols[[#Totals],[LongNombre]]+25) &amp;LEFT("As Integer = " &amp;Tb_DefCols[[#This Row],[Num Col]] &amp; "           ",20)&amp;" ' col: " &amp;Tb_DefCols[[#This Row],[Letr Col]]</calculatedColumnFormula>
    </tableColumn>
  </tableColumns>
  <tableStyleInfo name="Estilo de tabla 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3CE86E-AC0F-496A-8FAC-875328CE175A}" name="Tabla_TPV_Bco" displayName="Tabla_TPV_Bco" ref="B6:K56" totalsRowCount="1" headerRowDxfId="14" dataDxfId="12" totalsRowDxfId="13" headerRowBorderDxfId="50">
  <autoFilter ref="B6:K55" xr:uid="{A23CE86E-AC0F-496A-8FAC-875328CE175A}"/>
  <sortState xmlns:xlrd2="http://schemas.microsoft.com/office/spreadsheetml/2017/richdata2" ref="B7:K55">
    <sortCondition ref="C6:C55"/>
  </sortState>
  <tableColumns count="10">
    <tableColumn id="1" xr3:uid="{316510AA-FCF8-483C-9EF1-FE9D49F04382}" name="Nombre" dataDxfId="11" totalsRowDxfId="18"/>
    <tableColumn id="2" xr3:uid="{A25F7670-89BD-44C6-A7A4-34FC8B6AFAB2}" name="Referencia" totalsRowFunction="count" dataDxfId="9" totalsRowDxfId="19"/>
    <tableColumn id="3" xr3:uid="{90F91A99-3648-44CA-AEEE-CB996D3CF6A8}" name="Tipo Tasa" dataDxfId="8" totalsRowDxfId="20"/>
    <tableColumn id="4" xr3:uid="{B0636FAB-5E85-4F6E-86D0-B0EDB94BF68A}" name="F. Emisión" dataDxfId="7" totalsRowDxfId="21"/>
    <tableColumn id="5" xr3:uid="{61CD8DF9-1519-49BC-AF23-60B1B02E104D}" name="F. Pago" dataDxfId="17" totalsRowDxfId="22"/>
    <tableColumn id="6" xr3:uid="{CADFA0A6-3E86-4C90-B79D-D683F32CDA5B}" name="Forma Pago" dataDxfId="6" totalsRowDxfId="23"/>
    <tableColumn id="7" xr3:uid="{146F42F8-5B7C-430A-B3D7-3921853E29A9}" name="Importe" totalsRowFunction="sum" dataDxfId="16" totalsRowDxfId="24"/>
    <tableColumn id="8" xr3:uid="{9060B836-A896-4138-BD9D-18E46348E7A0}" name="Comisión" totalsRowFunction="sum" dataDxfId="15" totalsRowDxfId="25"/>
    <tableColumn id="9" xr3:uid="{3752D394-3E3C-4404-8B11-FAD3CCBDB717}" name="Cobrado" totalsRowFunction="sum" dataDxfId="10" totalsRowDxfId="26"/>
    <tableColumn id="11" xr3:uid="{4E5F7E7D-9382-4275-80A9-5552844EF10D}" name="Fichero" dataDxfId="5" totalsRow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29E842-60EB-4738-8CC2-CE9B7828CA20}" name="Tb_Liquid" displayName="Tb_Liquid" ref="A11:H61" totalsRowCount="1" headerRowDxfId="49" dataDxfId="47" totalsRowDxfId="45" headerRowBorderDxfId="48" tableBorderDxfId="46" totalsRowBorderDxfId="44">
  <autoFilter ref="A11:H60" xr:uid="{BE29E842-60EB-4738-8CC2-CE9B7828CA20}"/>
  <tableColumns count="8">
    <tableColumn id="2" xr3:uid="{27B51CB9-C7F5-42E1-8F83-F026445475C7}" name="Fecha" dataDxfId="43" totalsRowDxfId="42"/>
    <tableColumn id="3" xr3:uid="{C6AE4CBF-6CFD-43C5-8DCD-10DE9F60CDF9}" name="Ordenante" totalsRowFunction="count" dataDxfId="41" totalsRowDxfId="40"/>
    <tableColumn id="4" xr3:uid="{A12EAFA1-B532-443A-A468-EE3C85B96E1B}" name="Referencia TPV" dataDxfId="39" totalsRowDxfId="38"/>
    <tableColumn id="5" xr3:uid="{2403E3D5-50E8-4D84-8F2A-7A4FD662FB8B}" name="Inscrito (rellenar si necesario)" totalsRowLabel="Total" dataDxfId="37" totalsRowDxfId="36"/>
    <tableColumn id="6" xr3:uid="{F9F7A972-D6D5-4F3E-B916-9502590DAB77}" name="Inscripción" totalsRowFunction="sum" dataDxfId="35" totalsRowDxfId="34"/>
    <tableColumn id="7" xr3:uid="{7FFA9E68-4148-47EC-96A8-CEA659F8C0DE}" name="Comisión" totalsRowFunction="sum" dataDxfId="33" totalsRowDxfId="32"/>
    <tableColumn id="8" xr3:uid="{507908FD-0172-4986-BEA1-18D930F03CCA}" name="Cobrado" totalsRowFunction="sum" dataDxfId="31" totalsRowDxfId="30"/>
    <tableColumn id="10" xr3:uid="{405BE8CE-5A53-46AD-9F7B-73D2175F8B98}" name="Ficheros" dataDxfId="29" totalsRowDxfId="28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8C4C6-FE77-40C3-A1AE-9C8413783EF7}">
  <sheetPr codeName="UTF8"/>
  <dimension ref="A1:G97"/>
  <sheetViews>
    <sheetView workbookViewId="0"/>
  </sheetViews>
  <sheetFormatPr baseColWidth="10" defaultColWidth="11.453125" defaultRowHeight="15.5"/>
  <cols>
    <col min="1" max="1" width="10.453125" style="9" customWidth="1"/>
    <col min="2" max="2" width="9" style="9" customWidth="1"/>
    <col min="3" max="3" width="14.81640625" style="10" customWidth="1"/>
    <col min="4" max="5" width="12.54296875" style="9" customWidth="1"/>
    <col min="6" max="6" width="10" style="9" customWidth="1"/>
    <col min="7" max="16384" width="11.453125" style="7"/>
  </cols>
  <sheetData>
    <row r="1" spans="1:7">
      <c r="A1" s="5" t="s">
        <v>7</v>
      </c>
      <c r="B1" s="5" t="s">
        <v>8</v>
      </c>
      <c r="C1" s="5" t="s">
        <v>9</v>
      </c>
      <c r="D1" s="5" t="s">
        <v>10</v>
      </c>
      <c r="E1" s="6" t="s">
        <v>11</v>
      </c>
      <c r="F1" s="7"/>
      <c r="G1" s="7" t="s">
        <v>12</v>
      </c>
    </row>
    <row r="2" spans="1:7">
      <c r="A2" s="8" t="s">
        <v>13</v>
      </c>
      <c r="B2" s="8" t="s">
        <v>14</v>
      </c>
      <c r="C2" s="8" t="s">
        <v>15</v>
      </c>
      <c r="D2" s="8" t="s">
        <v>16</v>
      </c>
      <c r="E2" s="8">
        <f>LEN(Tb_UTF8[[#This Row],[UTF-8]])</f>
        <v>2</v>
      </c>
      <c r="F2" s="7"/>
    </row>
    <row r="3" spans="1:7">
      <c r="A3" s="8" t="s">
        <v>17</v>
      </c>
      <c r="B3" s="8" t="s">
        <v>18</v>
      </c>
      <c r="C3" s="8" t="s">
        <v>19</v>
      </c>
      <c r="D3" s="8" t="s">
        <v>20</v>
      </c>
      <c r="E3" s="8">
        <f>LEN(Tb_UTF8[[#This Row],[UTF-8]])</f>
        <v>2</v>
      </c>
      <c r="F3" s="7"/>
    </row>
    <row r="4" spans="1:7">
      <c r="A4" s="8" t="s">
        <v>21</v>
      </c>
      <c r="B4" s="8" t="s">
        <v>22</v>
      </c>
      <c r="C4" s="8" t="s">
        <v>23</v>
      </c>
      <c r="D4" s="8" t="s">
        <v>24</v>
      </c>
      <c r="E4" s="8">
        <f>LEN(Tb_UTF8[[#This Row],[UTF-8]])</f>
        <v>2</v>
      </c>
      <c r="F4" s="7"/>
    </row>
    <row r="5" spans="1:7">
      <c r="A5" s="8" t="s">
        <v>25</v>
      </c>
      <c r="B5" s="8" t="s">
        <v>26</v>
      </c>
      <c r="C5" s="8" t="s">
        <v>27</v>
      </c>
      <c r="D5" s="8" t="s">
        <v>28</v>
      </c>
      <c r="E5" s="8">
        <f>LEN(Tb_UTF8[[#This Row],[UTF-8]])</f>
        <v>2</v>
      </c>
      <c r="F5" s="7"/>
    </row>
    <row r="6" spans="1:7">
      <c r="A6" s="8" t="s">
        <v>29</v>
      </c>
      <c r="B6" s="8" t="s">
        <v>30</v>
      </c>
      <c r="C6" s="8" t="s">
        <v>31</v>
      </c>
      <c r="D6" s="8" t="s">
        <v>32</v>
      </c>
      <c r="E6" s="8">
        <f>LEN(Tb_UTF8[[#This Row],[UTF-8]])</f>
        <v>2</v>
      </c>
      <c r="F6" s="7"/>
    </row>
    <row r="7" spans="1:7">
      <c r="A7" s="8" t="s">
        <v>33</v>
      </c>
      <c r="B7" s="8" t="s">
        <v>34</v>
      </c>
      <c r="C7" s="8" t="s">
        <v>35</v>
      </c>
      <c r="D7" s="8" t="s">
        <v>36</v>
      </c>
      <c r="E7" s="8">
        <f>LEN(Tb_UTF8[[#This Row],[UTF-8]])</f>
        <v>2</v>
      </c>
      <c r="F7" s="7"/>
    </row>
    <row r="8" spans="1:7">
      <c r="A8" s="8" t="s">
        <v>37</v>
      </c>
      <c r="B8" s="8" t="s">
        <v>38</v>
      </c>
      <c r="C8" s="8" t="s">
        <v>39</v>
      </c>
      <c r="D8" s="8" t="s">
        <v>40</v>
      </c>
      <c r="E8" s="8">
        <f>LEN(Tb_UTF8[[#This Row],[UTF-8]])</f>
        <v>2</v>
      </c>
      <c r="F8" s="7"/>
    </row>
    <row r="9" spans="1:7">
      <c r="A9" s="8" t="s">
        <v>41</v>
      </c>
      <c r="B9" s="8" t="s">
        <v>42</v>
      </c>
      <c r="C9" s="8" t="s">
        <v>43</v>
      </c>
      <c r="D9" s="8" t="s">
        <v>44</v>
      </c>
      <c r="E9" s="8">
        <f>LEN(Tb_UTF8[[#This Row],[UTF-8]])</f>
        <v>2</v>
      </c>
      <c r="F9" s="7"/>
    </row>
    <row r="10" spans="1:7">
      <c r="A10" s="8" t="s">
        <v>45</v>
      </c>
      <c r="B10" s="8" t="s">
        <v>46</v>
      </c>
      <c r="C10" s="8" t="s">
        <v>47</v>
      </c>
      <c r="D10" s="8" t="s">
        <v>48</v>
      </c>
      <c r="E10" s="8">
        <f>LEN(Tb_UTF8[[#This Row],[UTF-8]])</f>
        <v>2</v>
      </c>
      <c r="F10" s="7"/>
    </row>
    <row r="11" spans="1:7">
      <c r="A11" s="8" t="s">
        <v>49</v>
      </c>
      <c r="B11" s="8" t="s">
        <v>50</v>
      </c>
      <c r="C11" s="8" t="s">
        <v>51</v>
      </c>
      <c r="D11" s="8" t="s">
        <v>52</v>
      </c>
      <c r="E11" s="8">
        <f>LEN(Tb_UTF8[[#This Row],[UTF-8]])</f>
        <v>2</v>
      </c>
      <c r="F11" s="7"/>
    </row>
    <row r="12" spans="1:7">
      <c r="A12" s="8" t="s">
        <v>53</v>
      </c>
      <c r="B12" s="8" t="s">
        <v>54</v>
      </c>
      <c r="C12" s="8" t="s">
        <v>55</v>
      </c>
      <c r="D12" s="8" t="s">
        <v>56</v>
      </c>
      <c r="E12" s="8">
        <f>LEN(Tb_UTF8[[#This Row],[UTF-8]])</f>
        <v>2</v>
      </c>
      <c r="F12" s="7"/>
    </row>
    <row r="13" spans="1:7">
      <c r="A13" s="8" t="s">
        <v>57</v>
      </c>
      <c r="B13" s="8" t="s">
        <v>58</v>
      </c>
      <c r="C13" s="8" t="s">
        <v>59</v>
      </c>
      <c r="D13" s="8" t="s">
        <v>60</v>
      </c>
      <c r="E13" s="8">
        <f>LEN(Tb_UTF8[[#This Row],[UTF-8]])</f>
        <v>2</v>
      </c>
      <c r="F13" s="7"/>
    </row>
    <row r="14" spans="1:7">
      <c r="A14" s="8" t="s">
        <v>61</v>
      </c>
      <c r="B14" s="8" t="s">
        <v>62</v>
      </c>
      <c r="C14" s="8" t="s">
        <v>63</v>
      </c>
      <c r="D14" s="8" t="s">
        <v>64</v>
      </c>
      <c r="E14" s="8">
        <f>LEN(Tb_UTF8[[#This Row],[UTF-8]])</f>
        <v>2</v>
      </c>
      <c r="F14" s="7"/>
    </row>
    <row r="15" spans="1:7">
      <c r="A15" s="8" t="s">
        <v>65</v>
      </c>
      <c r="B15" s="8" t="s">
        <v>66</v>
      </c>
      <c r="C15" s="8" t="s">
        <v>67</v>
      </c>
      <c r="D15" s="8" t="s">
        <v>68</v>
      </c>
      <c r="E15" s="8">
        <f>LEN(Tb_UTF8[[#This Row],[UTF-8]])</f>
        <v>2</v>
      </c>
      <c r="F15" s="7"/>
    </row>
    <row r="16" spans="1:7">
      <c r="A16" s="8" t="s">
        <v>69</v>
      </c>
      <c r="B16" s="8" t="s">
        <v>70</v>
      </c>
      <c r="C16" s="8" t="s">
        <v>71</v>
      </c>
      <c r="D16" s="8" t="s">
        <v>72</v>
      </c>
      <c r="E16" s="8">
        <f>LEN(Tb_UTF8[[#This Row],[UTF-8]])</f>
        <v>2</v>
      </c>
      <c r="F16" s="7"/>
    </row>
    <row r="17" spans="1:6">
      <c r="A17" s="8" t="s">
        <v>73</v>
      </c>
      <c r="B17" s="8" t="s">
        <v>74</v>
      </c>
      <c r="C17" s="8" t="s">
        <v>75</v>
      </c>
      <c r="D17" s="8" t="s">
        <v>76</v>
      </c>
      <c r="E17" s="8">
        <f>LEN(Tb_UTF8[[#This Row],[UTF-8]])</f>
        <v>2</v>
      </c>
      <c r="F17" s="7"/>
    </row>
    <row r="18" spans="1:6">
      <c r="A18" s="8" t="s">
        <v>77</v>
      </c>
      <c r="B18" s="8" t="s">
        <v>78</v>
      </c>
      <c r="C18" s="8" t="s">
        <v>79</v>
      </c>
      <c r="D18" s="8" t="s">
        <v>80</v>
      </c>
      <c r="E18" s="8">
        <f>LEN(Tb_UTF8[[#This Row],[UTF-8]])</f>
        <v>2</v>
      </c>
      <c r="F18" s="7"/>
    </row>
    <row r="19" spans="1:6">
      <c r="A19" s="8" t="s">
        <v>81</v>
      </c>
      <c r="B19" s="8" t="s">
        <v>82</v>
      </c>
      <c r="C19" s="8" t="s">
        <v>83</v>
      </c>
      <c r="D19" s="8" t="s">
        <v>84</v>
      </c>
      <c r="E19" s="8">
        <f>LEN(Tb_UTF8[[#This Row],[UTF-8]])</f>
        <v>2</v>
      </c>
      <c r="F19" s="7"/>
    </row>
    <row r="20" spans="1:6">
      <c r="A20" s="8" t="s">
        <v>85</v>
      </c>
      <c r="B20" s="8" t="s">
        <v>86</v>
      </c>
      <c r="C20" s="8" t="s">
        <v>87</v>
      </c>
      <c r="D20" s="8" t="s">
        <v>88</v>
      </c>
      <c r="E20" s="8">
        <f>LEN(Tb_UTF8[[#This Row],[UTF-8]])</f>
        <v>2</v>
      </c>
      <c r="F20" s="7"/>
    </row>
    <row r="21" spans="1:6">
      <c r="A21" s="8" t="s">
        <v>89</v>
      </c>
      <c r="B21" s="8" t="s">
        <v>90</v>
      </c>
      <c r="C21" s="8" t="s">
        <v>91</v>
      </c>
      <c r="D21" s="8" t="s">
        <v>92</v>
      </c>
      <c r="E21" s="8">
        <f>LEN(Tb_UTF8[[#This Row],[UTF-8]])</f>
        <v>2</v>
      </c>
      <c r="F21" s="7"/>
    </row>
    <row r="22" spans="1:6">
      <c r="A22" s="8" t="s">
        <v>93</v>
      </c>
      <c r="B22" s="8" t="s">
        <v>94</v>
      </c>
      <c r="C22" s="8" t="s">
        <v>95</v>
      </c>
      <c r="D22" s="8" t="s">
        <v>96</v>
      </c>
      <c r="E22" s="8">
        <f>LEN(Tb_UTF8[[#This Row],[UTF-8]])</f>
        <v>2</v>
      </c>
      <c r="F22" s="7"/>
    </row>
    <row r="23" spans="1:6">
      <c r="A23" s="8" t="s">
        <v>97</v>
      </c>
      <c r="B23" s="8" t="s">
        <v>98</v>
      </c>
      <c r="C23" s="8" t="s">
        <v>99</v>
      </c>
      <c r="D23" s="8" t="s">
        <v>100</v>
      </c>
      <c r="E23" s="8">
        <f>LEN(Tb_UTF8[[#This Row],[UTF-8]])</f>
        <v>2</v>
      </c>
      <c r="F23" s="7"/>
    </row>
    <row r="24" spans="1:6">
      <c r="A24" s="8" t="s">
        <v>101</v>
      </c>
      <c r="B24" s="8" t="s">
        <v>102</v>
      </c>
      <c r="C24" s="8" t="s">
        <v>103</v>
      </c>
      <c r="D24" s="8" t="s">
        <v>104</v>
      </c>
      <c r="E24" s="8">
        <f>LEN(Tb_UTF8[[#This Row],[UTF-8]])</f>
        <v>2</v>
      </c>
      <c r="F24" s="7"/>
    </row>
    <row r="25" spans="1:6">
      <c r="A25" s="8" t="s">
        <v>105</v>
      </c>
      <c r="B25" s="8" t="s">
        <v>106</v>
      </c>
      <c r="C25" s="8" t="s">
        <v>107</v>
      </c>
      <c r="D25" s="8" t="s">
        <v>108</v>
      </c>
      <c r="E25" s="8">
        <f>LEN(Tb_UTF8[[#This Row],[UTF-8]])</f>
        <v>2</v>
      </c>
      <c r="F25" s="7"/>
    </row>
    <row r="26" spans="1:6">
      <c r="A26" s="8" t="s">
        <v>109</v>
      </c>
      <c r="B26" s="8" t="s">
        <v>110</v>
      </c>
      <c r="C26" s="8" t="s">
        <v>111</v>
      </c>
      <c r="D26" s="8" t="s">
        <v>112</v>
      </c>
      <c r="E26" s="8">
        <f>LEN(Tb_UTF8[[#This Row],[UTF-8]])</f>
        <v>2</v>
      </c>
      <c r="F26" s="7"/>
    </row>
    <row r="27" spans="1:6">
      <c r="A27" s="8" t="s">
        <v>113</v>
      </c>
      <c r="B27" s="8" t="s">
        <v>114</v>
      </c>
      <c r="C27" s="8" t="s">
        <v>115</v>
      </c>
      <c r="D27" s="8" t="s">
        <v>116</v>
      </c>
      <c r="E27" s="8">
        <f>LEN(Tb_UTF8[[#This Row],[UTF-8]])</f>
        <v>2</v>
      </c>
      <c r="F27" s="7"/>
    </row>
    <row r="28" spans="1:6">
      <c r="A28" s="8" t="s">
        <v>117</v>
      </c>
      <c r="B28" s="8" t="s">
        <v>118</v>
      </c>
      <c r="C28" s="8" t="s">
        <v>119</v>
      </c>
      <c r="D28" s="8" t="s">
        <v>120</v>
      </c>
      <c r="E28" s="8">
        <f>LEN(Tb_UTF8[[#This Row],[UTF-8]])</f>
        <v>2</v>
      </c>
      <c r="F28" s="7"/>
    </row>
    <row r="29" spans="1:6">
      <c r="A29" s="8" t="s">
        <v>121</v>
      </c>
      <c r="B29" s="8" t="s">
        <v>122</v>
      </c>
      <c r="C29" s="8" t="s">
        <v>123</v>
      </c>
      <c r="D29" s="8" t="s">
        <v>124</v>
      </c>
      <c r="E29" s="8">
        <f>LEN(Tb_UTF8[[#This Row],[UTF-8]])</f>
        <v>2</v>
      </c>
      <c r="F29" s="7"/>
    </row>
    <row r="30" spans="1:6">
      <c r="A30" s="8" t="s">
        <v>125</v>
      </c>
      <c r="B30" s="8" t="s">
        <v>126</v>
      </c>
      <c r="C30" s="8" t="s">
        <v>127</v>
      </c>
      <c r="D30" s="8" t="s">
        <v>128</v>
      </c>
      <c r="E30" s="8">
        <f>LEN(Tb_UTF8[[#This Row],[UTF-8]])</f>
        <v>2</v>
      </c>
      <c r="F30" s="7"/>
    </row>
    <row r="31" spans="1:6">
      <c r="A31" s="8" t="s">
        <v>129</v>
      </c>
      <c r="B31" s="8" t="s">
        <v>130</v>
      </c>
      <c r="C31" s="8" t="s">
        <v>131</v>
      </c>
      <c r="D31" s="8" t="s">
        <v>132</v>
      </c>
      <c r="E31" s="8">
        <f>LEN(Tb_UTF8[[#This Row],[UTF-8]])</f>
        <v>2</v>
      </c>
      <c r="F31" s="7"/>
    </row>
    <row r="32" spans="1:6">
      <c r="A32" s="8" t="s">
        <v>133</v>
      </c>
      <c r="B32" s="8" t="s">
        <v>134</v>
      </c>
      <c r="C32" s="8" t="s">
        <v>135</v>
      </c>
      <c r="D32" s="8" t="s">
        <v>136</v>
      </c>
      <c r="E32" s="8">
        <f>LEN(Tb_UTF8[[#This Row],[UTF-8]])</f>
        <v>2</v>
      </c>
      <c r="F32" s="7"/>
    </row>
    <row r="33" spans="1:6">
      <c r="A33" s="8" t="s">
        <v>137</v>
      </c>
      <c r="B33" s="8" t="s">
        <v>138</v>
      </c>
      <c r="C33" s="8" t="s">
        <v>139</v>
      </c>
      <c r="D33" s="8" t="s">
        <v>140</v>
      </c>
      <c r="E33" s="8">
        <f>LEN(Tb_UTF8[[#This Row],[UTF-8]])</f>
        <v>2</v>
      </c>
      <c r="F33" s="7"/>
    </row>
    <row r="34" spans="1:6">
      <c r="A34" s="8" t="s">
        <v>141</v>
      </c>
      <c r="B34" s="8" t="s">
        <v>142</v>
      </c>
      <c r="C34" s="8" t="s">
        <v>143</v>
      </c>
      <c r="D34" s="8" t="s">
        <v>144</v>
      </c>
      <c r="E34" s="8">
        <f>LEN(Tb_UTF8[[#This Row],[UTF-8]])</f>
        <v>2</v>
      </c>
      <c r="F34" s="7"/>
    </row>
    <row r="35" spans="1:6">
      <c r="A35" s="8" t="s">
        <v>145</v>
      </c>
      <c r="B35" s="8" t="s">
        <v>146</v>
      </c>
      <c r="C35" s="8" t="s">
        <v>147</v>
      </c>
      <c r="D35" s="8" t="s">
        <v>148</v>
      </c>
      <c r="E35" s="8">
        <f>LEN(Tb_UTF8[[#This Row],[UTF-8]])</f>
        <v>2</v>
      </c>
      <c r="F35" s="7"/>
    </row>
    <row r="36" spans="1:6">
      <c r="A36" s="8" t="s">
        <v>149</v>
      </c>
      <c r="B36" s="8" t="s">
        <v>150</v>
      </c>
      <c r="C36" s="8" t="s">
        <v>151</v>
      </c>
      <c r="D36" s="8" t="s">
        <v>152</v>
      </c>
      <c r="E36" s="8">
        <f>LEN(Tb_UTF8[[#This Row],[UTF-8]])</f>
        <v>2</v>
      </c>
      <c r="F36" s="7"/>
    </row>
    <row r="37" spans="1:6">
      <c r="A37" s="8" t="s">
        <v>153</v>
      </c>
      <c r="B37" s="8" t="s">
        <v>154</v>
      </c>
      <c r="C37" s="8" t="s">
        <v>155</v>
      </c>
      <c r="D37" s="8" t="s">
        <v>156</v>
      </c>
      <c r="E37" s="8">
        <f>LEN(Tb_UTF8[[#This Row],[UTF-8]])</f>
        <v>2</v>
      </c>
      <c r="F37" s="7"/>
    </row>
    <row r="38" spans="1:6">
      <c r="A38" s="8" t="s">
        <v>157</v>
      </c>
      <c r="B38" s="8" t="s">
        <v>158</v>
      </c>
      <c r="C38" s="8" t="s">
        <v>159</v>
      </c>
      <c r="D38" s="8" t="s">
        <v>160</v>
      </c>
      <c r="E38" s="8">
        <f>LEN(Tb_UTF8[[#This Row],[UTF-8]])</f>
        <v>2</v>
      </c>
      <c r="F38" s="7"/>
    </row>
    <row r="39" spans="1:6">
      <c r="A39" s="8" t="s">
        <v>161</v>
      </c>
      <c r="B39" s="8" t="s">
        <v>162</v>
      </c>
      <c r="C39" s="8" t="s">
        <v>163</v>
      </c>
      <c r="D39" s="8" t="s">
        <v>164</v>
      </c>
      <c r="E39" s="8">
        <f>LEN(Tb_UTF8[[#This Row],[UTF-8]])</f>
        <v>2</v>
      </c>
      <c r="F39" s="7"/>
    </row>
    <row r="40" spans="1:6">
      <c r="A40" s="8" t="s">
        <v>165</v>
      </c>
      <c r="B40" s="8" t="s">
        <v>166</v>
      </c>
      <c r="C40" s="8" t="s">
        <v>167</v>
      </c>
      <c r="D40" s="8" t="s">
        <v>168</v>
      </c>
      <c r="E40" s="8">
        <f>LEN(Tb_UTF8[[#This Row],[UTF-8]])</f>
        <v>2</v>
      </c>
      <c r="F40" s="7"/>
    </row>
    <row r="41" spans="1:6">
      <c r="A41" s="8" t="s">
        <v>169</v>
      </c>
      <c r="B41" s="8" t="s">
        <v>170</v>
      </c>
      <c r="C41" s="8" t="s">
        <v>171</v>
      </c>
      <c r="D41" s="8" t="s">
        <v>172</v>
      </c>
      <c r="E41" s="8">
        <f>LEN(Tb_UTF8[[#This Row],[UTF-8]])</f>
        <v>2</v>
      </c>
      <c r="F41" s="7"/>
    </row>
    <row r="42" spans="1:6">
      <c r="A42" s="8" t="s">
        <v>173</v>
      </c>
      <c r="B42" s="8" t="s">
        <v>174</v>
      </c>
      <c r="C42" s="8" t="s">
        <v>175</v>
      </c>
      <c r="D42" s="8" t="s">
        <v>176</v>
      </c>
      <c r="E42" s="8">
        <f>LEN(Tb_UTF8[[#This Row],[UTF-8]])</f>
        <v>2</v>
      </c>
      <c r="F42" s="7"/>
    </row>
    <row r="43" spans="1:6">
      <c r="A43" s="8" t="s">
        <v>177</v>
      </c>
      <c r="B43" s="8" t="s">
        <v>178</v>
      </c>
      <c r="C43" s="8" t="s">
        <v>179</v>
      </c>
      <c r="D43" s="8" t="s">
        <v>180</v>
      </c>
      <c r="E43" s="8">
        <f>LEN(Tb_UTF8[[#This Row],[UTF-8]])</f>
        <v>2</v>
      </c>
      <c r="F43" s="7"/>
    </row>
    <row r="44" spans="1:6">
      <c r="A44" s="8" t="s">
        <v>181</v>
      </c>
      <c r="B44" s="8" t="s">
        <v>182</v>
      </c>
      <c r="C44" s="8" t="s">
        <v>183</v>
      </c>
      <c r="D44" s="8" t="s">
        <v>184</v>
      </c>
      <c r="E44" s="8">
        <f>LEN(Tb_UTF8[[#This Row],[UTF-8]])</f>
        <v>2</v>
      </c>
      <c r="F44" s="7"/>
    </row>
    <row r="45" spans="1:6">
      <c r="A45" s="8" t="s">
        <v>185</v>
      </c>
      <c r="B45" s="8" t="s">
        <v>186</v>
      </c>
      <c r="C45" s="8" t="s">
        <v>187</v>
      </c>
      <c r="D45" s="8" t="s">
        <v>188</v>
      </c>
      <c r="E45" s="8">
        <f>LEN(Tb_UTF8[[#This Row],[UTF-8]])</f>
        <v>2</v>
      </c>
      <c r="F45" s="7"/>
    </row>
    <row r="46" spans="1:6">
      <c r="A46" s="8" t="s">
        <v>189</v>
      </c>
      <c r="B46" s="8" t="s">
        <v>190</v>
      </c>
      <c r="C46" s="8" t="s">
        <v>191</v>
      </c>
      <c r="D46" s="8" t="s">
        <v>192</v>
      </c>
      <c r="E46" s="8">
        <f>LEN(Tb_UTF8[[#This Row],[UTF-8]])</f>
        <v>2</v>
      </c>
      <c r="F46" s="7"/>
    </row>
    <row r="47" spans="1:6">
      <c r="A47" s="8" t="s">
        <v>193</v>
      </c>
      <c r="B47" s="8" t="s">
        <v>194</v>
      </c>
      <c r="C47" s="8" t="s">
        <v>195</v>
      </c>
      <c r="D47" s="8" t="s">
        <v>196</v>
      </c>
      <c r="E47" s="8">
        <f>LEN(Tb_UTF8[[#This Row],[UTF-8]])</f>
        <v>2</v>
      </c>
      <c r="F47" s="7"/>
    </row>
    <row r="48" spans="1:6">
      <c r="A48" s="8" t="s">
        <v>197</v>
      </c>
      <c r="B48" s="8" t="s">
        <v>198</v>
      </c>
      <c r="C48" s="8" t="s">
        <v>199</v>
      </c>
      <c r="D48" s="8" t="s">
        <v>200</v>
      </c>
      <c r="E48" s="8">
        <f>LEN(Tb_UTF8[[#This Row],[UTF-8]])</f>
        <v>2</v>
      </c>
      <c r="F48" s="7"/>
    </row>
    <row r="49" spans="1:6">
      <c r="A49" s="8" t="s">
        <v>201</v>
      </c>
      <c r="B49" s="8" t="s">
        <v>202</v>
      </c>
      <c r="C49" s="8" t="s">
        <v>203</v>
      </c>
      <c r="D49" s="8" t="s">
        <v>204</v>
      </c>
      <c r="E49" s="8">
        <f>LEN(Tb_UTF8[[#This Row],[UTF-8]])</f>
        <v>2</v>
      </c>
      <c r="F49" s="7"/>
    </row>
    <row r="50" spans="1:6">
      <c r="A50" s="8" t="s">
        <v>205</v>
      </c>
      <c r="B50" s="8" t="s">
        <v>206</v>
      </c>
      <c r="C50" s="8" t="s">
        <v>207</v>
      </c>
      <c r="D50" s="8" t="s">
        <v>208</v>
      </c>
      <c r="E50" s="8">
        <f>LEN(Tb_UTF8[[#This Row],[UTF-8]])</f>
        <v>2</v>
      </c>
      <c r="F50" s="7"/>
    </row>
    <row r="51" spans="1:6">
      <c r="A51" s="8" t="s">
        <v>209</v>
      </c>
      <c r="B51" s="8" t="s">
        <v>210</v>
      </c>
      <c r="C51" s="8" t="s">
        <v>211</v>
      </c>
      <c r="D51" s="8" t="s">
        <v>212</v>
      </c>
      <c r="E51" s="8">
        <f>LEN(Tb_UTF8[[#This Row],[UTF-8]])</f>
        <v>2</v>
      </c>
      <c r="F51" s="7"/>
    </row>
    <row r="52" spans="1:6">
      <c r="A52" s="8" t="s">
        <v>213</v>
      </c>
      <c r="B52" s="8" t="s">
        <v>214</v>
      </c>
      <c r="C52" s="8" t="s">
        <v>215</v>
      </c>
      <c r="D52" s="8" t="s">
        <v>216</v>
      </c>
      <c r="E52" s="8">
        <f>LEN(Tb_UTF8[[#This Row],[UTF-8]])</f>
        <v>2</v>
      </c>
      <c r="F52" s="7"/>
    </row>
    <row r="53" spans="1:6">
      <c r="A53" s="8" t="s">
        <v>217</v>
      </c>
      <c r="B53" s="8" t="s">
        <v>218</v>
      </c>
      <c r="C53" s="8" t="s">
        <v>219</v>
      </c>
      <c r="D53" s="8" t="s">
        <v>220</v>
      </c>
      <c r="E53" s="8">
        <f>LEN(Tb_UTF8[[#This Row],[UTF-8]])</f>
        <v>2</v>
      </c>
      <c r="F53" s="7"/>
    </row>
    <row r="54" spans="1:6">
      <c r="A54" s="8" t="s">
        <v>221</v>
      </c>
      <c r="B54" s="8" t="s">
        <v>222</v>
      </c>
      <c r="C54" s="8" t="s">
        <v>223</v>
      </c>
      <c r="D54" s="8" t="s">
        <v>224</v>
      </c>
      <c r="E54" s="8">
        <f>LEN(Tb_UTF8[[#This Row],[UTF-8]])</f>
        <v>2</v>
      </c>
      <c r="F54" s="7"/>
    </row>
    <row r="55" spans="1:6">
      <c r="A55" s="8" t="s">
        <v>225</v>
      </c>
      <c r="B55" s="8" t="s">
        <v>226</v>
      </c>
      <c r="C55" s="8" t="s">
        <v>227</v>
      </c>
      <c r="D55" s="8" t="s">
        <v>228</v>
      </c>
      <c r="E55" s="8">
        <f>LEN(Tb_UTF8[[#This Row],[UTF-8]])</f>
        <v>2</v>
      </c>
      <c r="F55" s="7"/>
    </row>
    <row r="56" spans="1:6">
      <c r="A56" s="8" t="s">
        <v>229</v>
      </c>
      <c r="B56" s="8" t="s">
        <v>230</v>
      </c>
      <c r="C56" s="8" t="s">
        <v>231</v>
      </c>
      <c r="D56" s="8" t="s">
        <v>232</v>
      </c>
      <c r="E56" s="8">
        <f>LEN(Tb_UTF8[[#This Row],[UTF-8]])</f>
        <v>2</v>
      </c>
      <c r="F56" s="7"/>
    </row>
    <row r="57" spans="1:6">
      <c r="A57" s="8" t="s">
        <v>233</v>
      </c>
      <c r="B57" s="8" t="s">
        <v>234</v>
      </c>
      <c r="C57" s="8" t="s">
        <v>235</v>
      </c>
      <c r="D57" s="8" t="s">
        <v>236</v>
      </c>
      <c r="E57" s="8">
        <f>LEN(Tb_UTF8[[#This Row],[UTF-8]])</f>
        <v>2</v>
      </c>
      <c r="F57" s="7"/>
    </row>
    <row r="58" spans="1:6">
      <c r="A58" s="8" t="s">
        <v>237</v>
      </c>
      <c r="B58" s="8" t="s">
        <v>238</v>
      </c>
      <c r="C58" s="8" t="s">
        <v>239</v>
      </c>
      <c r="D58" s="8" t="s">
        <v>240</v>
      </c>
      <c r="E58" s="8">
        <f>LEN(Tb_UTF8[[#This Row],[UTF-8]])</f>
        <v>2</v>
      </c>
      <c r="F58" s="7"/>
    </row>
    <row r="59" spans="1:6">
      <c r="A59" s="8" t="s">
        <v>241</v>
      </c>
      <c r="B59" s="8" t="s">
        <v>242</v>
      </c>
      <c r="C59" s="8" t="s">
        <v>243</v>
      </c>
      <c r="D59" s="8" t="s">
        <v>244</v>
      </c>
      <c r="E59" s="8">
        <f>LEN(Tb_UTF8[[#This Row],[UTF-8]])</f>
        <v>2</v>
      </c>
      <c r="F59" s="7"/>
    </row>
    <row r="60" spans="1:6">
      <c r="A60" s="8" t="s">
        <v>245</v>
      </c>
      <c r="B60" s="8" t="s">
        <v>246</v>
      </c>
      <c r="C60" s="8" t="s">
        <v>247</v>
      </c>
      <c r="D60" s="8" t="s">
        <v>248</v>
      </c>
      <c r="E60" s="8">
        <f>LEN(Tb_UTF8[[#This Row],[UTF-8]])</f>
        <v>2</v>
      </c>
      <c r="F60" s="7"/>
    </row>
    <row r="61" spans="1:6">
      <c r="A61" s="8" t="s">
        <v>249</v>
      </c>
      <c r="B61" s="8" t="s">
        <v>250</v>
      </c>
      <c r="C61" s="8" t="s">
        <v>251</v>
      </c>
      <c r="D61" s="8" t="s">
        <v>252</v>
      </c>
      <c r="E61" s="8">
        <f>LEN(Tb_UTF8[[#This Row],[UTF-8]])</f>
        <v>2</v>
      </c>
      <c r="F61" s="7"/>
    </row>
    <row r="62" spans="1:6">
      <c r="A62" s="8" t="s">
        <v>253</v>
      </c>
      <c r="B62" s="8" t="s">
        <v>254</v>
      </c>
      <c r="C62" s="8" t="s">
        <v>255</v>
      </c>
      <c r="D62" s="8" t="s">
        <v>256</v>
      </c>
      <c r="E62" s="8">
        <f>LEN(Tb_UTF8[[#This Row],[UTF-8]])</f>
        <v>2</v>
      </c>
      <c r="F62" s="7"/>
    </row>
    <row r="63" spans="1:6">
      <c r="A63" s="8" t="s">
        <v>257</v>
      </c>
      <c r="B63" s="8" t="s">
        <v>258</v>
      </c>
      <c r="C63" s="8" t="s">
        <v>259</v>
      </c>
      <c r="D63" s="8" t="s">
        <v>260</v>
      </c>
      <c r="E63" s="8">
        <f>LEN(Tb_UTF8[[#This Row],[UTF-8]])</f>
        <v>2</v>
      </c>
      <c r="F63" s="7"/>
    </row>
    <row r="64" spans="1:6">
      <c r="A64" s="8" t="s">
        <v>261</v>
      </c>
      <c r="B64" s="8" t="s">
        <v>262</v>
      </c>
      <c r="C64" s="8" t="s">
        <v>263</v>
      </c>
      <c r="D64" s="8" t="s">
        <v>264</v>
      </c>
      <c r="E64" s="8">
        <f>LEN(Tb_UTF8[[#This Row],[UTF-8]])</f>
        <v>2</v>
      </c>
      <c r="F64" s="7"/>
    </row>
    <row r="65" spans="1:6">
      <c r="A65" s="8" t="s">
        <v>265</v>
      </c>
      <c r="B65" s="8" t="s">
        <v>266</v>
      </c>
      <c r="C65" s="8" t="s">
        <v>267</v>
      </c>
      <c r="D65" s="8" t="s">
        <v>268</v>
      </c>
      <c r="E65" s="8">
        <f>LEN(Tb_UTF8[[#This Row],[UTF-8]])</f>
        <v>2</v>
      </c>
      <c r="F65" s="7"/>
    </row>
    <row r="66" spans="1:6">
      <c r="A66" s="8" t="s">
        <v>269</v>
      </c>
      <c r="B66" s="8" t="s">
        <v>270</v>
      </c>
      <c r="C66" s="8" t="s">
        <v>271</v>
      </c>
      <c r="D66" s="8" t="s">
        <v>272</v>
      </c>
      <c r="E66" s="8">
        <f>LEN(Tb_UTF8[[#This Row],[UTF-8]])</f>
        <v>2</v>
      </c>
      <c r="F66" s="7"/>
    </row>
    <row r="67" spans="1:6">
      <c r="A67" s="8" t="s">
        <v>273</v>
      </c>
      <c r="B67" s="8" t="s">
        <v>274</v>
      </c>
      <c r="C67" s="8" t="s">
        <v>275</v>
      </c>
      <c r="D67" s="8" t="s">
        <v>276</v>
      </c>
      <c r="E67" s="8">
        <f>LEN(Tb_UTF8[[#This Row],[UTF-8]])</f>
        <v>2</v>
      </c>
      <c r="F67" s="7"/>
    </row>
    <row r="68" spans="1:6">
      <c r="A68" s="8" t="s">
        <v>277</v>
      </c>
      <c r="B68" s="8" t="s">
        <v>278</v>
      </c>
      <c r="C68" s="8" t="s">
        <v>279</v>
      </c>
      <c r="D68" s="8" t="s">
        <v>280</v>
      </c>
      <c r="E68" s="8">
        <f>LEN(Tb_UTF8[[#This Row],[UTF-8]])</f>
        <v>2</v>
      </c>
      <c r="F68" s="7"/>
    </row>
    <row r="69" spans="1:6">
      <c r="A69" s="8" t="s">
        <v>281</v>
      </c>
      <c r="B69" s="8" t="s">
        <v>282</v>
      </c>
      <c r="C69" s="8" t="s">
        <v>283</v>
      </c>
      <c r="D69" s="8" t="s">
        <v>284</v>
      </c>
      <c r="E69" s="8">
        <f>LEN(Tb_UTF8[[#This Row],[UTF-8]])</f>
        <v>2</v>
      </c>
      <c r="F69" s="7"/>
    </row>
    <row r="70" spans="1:6">
      <c r="A70" s="8" t="s">
        <v>285</v>
      </c>
      <c r="B70" s="8" t="s">
        <v>286</v>
      </c>
      <c r="C70" s="8" t="s">
        <v>287</v>
      </c>
      <c r="D70" s="8" t="s">
        <v>288</v>
      </c>
      <c r="E70" s="8">
        <f>LEN(Tb_UTF8[[#This Row],[UTF-8]])</f>
        <v>2</v>
      </c>
      <c r="F70" s="7"/>
    </row>
    <row r="71" spans="1:6">
      <c r="A71" s="8" t="s">
        <v>289</v>
      </c>
      <c r="B71" s="8" t="s">
        <v>290</v>
      </c>
      <c r="C71" s="8" t="s">
        <v>291</v>
      </c>
      <c r="D71" s="8" t="s">
        <v>292</v>
      </c>
      <c r="E71" s="8">
        <f>LEN(Tb_UTF8[[#This Row],[UTF-8]])</f>
        <v>2</v>
      </c>
      <c r="F71" s="7"/>
    </row>
    <row r="72" spans="1:6">
      <c r="A72" s="8" t="s">
        <v>293</v>
      </c>
      <c r="B72" s="8" t="s">
        <v>294</v>
      </c>
      <c r="C72" s="8" t="s">
        <v>295</v>
      </c>
      <c r="D72" s="8" t="s">
        <v>296</v>
      </c>
      <c r="E72" s="8">
        <f>LEN(Tb_UTF8[[#This Row],[UTF-8]])</f>
        <v>2</v>
      </c>
      <c r="F72" s="7"/>
    </row>
    <row r="73" spans="1:6">
      <c r="A73" s="8" t="s">
        <v>297</v>
      </c>
      <c r="B73" s="8" t="s">
        <v>298</v>
      </c>
      <c r="C73" s="8" t="s">
        <v>299</v>
      </c>
      <c r="D73" s="8" t="s">
        <v>300</v>
      </c>
      <c r="E73" s="8">
        <f>LEN(Tb_UTF8[[#This Row],[UTF-8]])</f>
        <v>2</v>
      </c>
      <c r="F73" s="7"/>
    </row>
    <row r="74" spans="1:6">
      <c r="A74" s="8" t="s">
        <v>301</v>
      </c>
      <c r="B74" s="8" t="s">
        <v>302</v>
      </c>
      <c r="C74" s="8" t="s">
        <v>303</v>
      </c>
      <c r="D74" s="8" t="s">
        <v>304</v>
      </c>
      <c r="E74" s="8">
        <f>LEN(Tb_UTF8[[#This Row],[UTF-8]])</f>
        <v>2</v>
      </c>
      <c r="F74" s="7"/>
    </row>
    <row r="75" spans="1:6">
      <c r="A75" s="8" t="s">
        <v>305</v>
      </c>
      <c r="B75" s="8" t="s">
        <v>306</v>
      </c>
      <c r="C75" s="8" t="s">
        <v>307</v>
      </c>
      <c r="D75" s="8" t="s">
        <v>308</v>
      </c>
      <c r="E75" s="8">
        <f>LEN(Tb_UTF8[[#This Row],[UTF-8]])</f>
        <v>2</v>
      </c>
      <c r="F75" s="7"/>
    </row>
    <row r="76" spans="1:6">
      <c r="A76" s="8" t="s">
        <v>309</v>
      </c>
      <c r="B76" s="8" t="s">
        <v>310</v>
      </c>
      <c r="C76" s="8" t="s">
        <v>311</v>
      </c>
      <c r="D76" s="8" t="s">
        <v>312</v>
      </c>
      <c r="E76" s="8">
        <f>LEN(Tb_UTF8[[#This Row],[UTF-8]])</f>
        <v>2</v>
      </c>
      <c r="F76" s="7"/>
    </row>
    <row r="77" spans="1:6">
      <c r="A77" s="8" t="s">
        <v>313</v>
      </c>
      <c r="B77" s="8" t="s">
        <v>314</v>
      </c>
      <c r="C77" s="8" t="s">
        <v>315</v>
      </c>
      <c r="D77" s="8" t="s">
        <v>316</v>
      </c>
      <c r="E77" s="8">
        <f>LEN(Tb_UTF8[[#This Row],[UTF-8]])</f>
        <v>2</v>
      </c>
      <c r="F77" s="7"/>
    </row>
    <row r="78" spans="1:6">
      <c r="A78" s="8" t="s">
        <v>317</v>
      </c>
      <c r="B78" s="8" t="s">
        <v>318</v>
      </c>
      <c r="C78" s="8" t="s">
        <v>319</v>
      </c>
      <c r="D78" s="8" t="s">
        <v>320</v>
      </c>
      <c r="E78" s="8">
        <f>LEN(Tb_UTF8[[#This Row],[UTF-8]])</f>
        <v>2</v>
      </c>
      <c r="F78" s="7"/>
    </row>
    <row r="79" spans="1:6">
      <c r="A79" s="8" t="s">
        <v>321</v>
      </c>
      <c r="B79" s="8" t="s">
        <v>322</v>
      </c>
      <c r="C79" s="8" t="s">
        <v>323</v>
      </c>
      <c r="D79" s="8" t="s">
        <v>324</v>
      </c>
      <c r="E79" s="8">
        <f>LEN(Tb_UTF8[[#This Row],[UTF-8]])</f>
        <v>2</v>
      </c>
      <c r="F79" s="7"/>
    </row>
    <row r="80" spans="1:6">
      <c r="A80" s="8" t="s">
        <v>325</v>
      </c>
      <c r="B80" s="8" t="s">
        <v>326</v>
      </c>
      <c r="C80" s="8" t="s">
        <v>327</v>
      </c>
      <c r="D80" s="8" t="s">
        <v>328</v>
      </c>
      <c r="E80" s="8">
        <f>LEN(Tb_UTF8[[#This Row],[UTF-8]])</f>
        <v>2</v>
      </c>
      <c r="F80" s="7"/>
    </row>
    <row r="81" spans="1:6">
      <c r="A81" s="8" t="s">
        <v>329</v>
      </c>
      <c r="B81" s="8" t="s">
        <v>330</v>
      </c>
      <c r="C81" s="8" t="s">
        <v>331</v>
      </c>
      <c r="D81" s="8" t="s">
        <v>332</v>
      </c>
      <c r="E81" s="8">
        <f>LEN(Tb_UTF8[[#This Row],[UTF-8]])</f>
        <v>2</v>
      </c>
      <c r="F81" s="7"/>
    </row>
    <row r="82" spans="1:6">
      <c r="A82" s="8" t="s">
        <v>333</v>
      </c>
      <c r="B82" s="8" t="s">
        <v>334</v>
      </c>
      <c r="C82" s="8" t="s">
        <v>335</v>
      </c>
      <c r="D82" s="8" t="s">
        <v>336</v>
      </c>
      <c r="E82" s="8">
        <f>LEN(Tb_UTF8[[#This Row],[UTF-8]])</f>
        <v>2</v>
      </c>
      <c r="F82" s="7"/>
    </row>
    <row r="83" spans="1:6">
      <c r="A83" s="8" t="s">
        <v>337</v>
      </c>
      <c r="B83" s="8" t="s">
        <v>338</v>
      </c>
      <c r="C83" s="8" t="s">
        <v>339</v>
      </c>
      <c r="D83" s="8" t="s">
        <v>340</v>
      </c>
      <c r="E83" s="8">
        <f>LEN(Tb_UTF8[[#This Row],[UTF-8]])</f>
        <v>2</v>
      </c>
      <c r="F83" s="7"/>
    </row>
    <row r="84" spans="1:6">
      <c r="A84" s="8" t="s">
        <v>341</v>
      </c>
      <c r="B84" s="8" t="s">
        <v>342</v>
      </c>
      <c r="C84" s="8" t="s">
        <v>343</v>
      </c>
      <c r="D84" s="8" t="s">
        <v>344</v>
      </c>
      <c r="E84" s="8">
        <f>LEN(Tb_UTF8[[#This Row],[UTF-8]])</f>
        <v>2</v>
      </c>
      <c r="F84" s="7"/>
    </row>
    <row r="85" spans="1:6">
      <c r="A85" s="8" t="s">
        <v>345</v>
      </c>
      <c r="B85" s="8" t="s">
        <v>346</v>
      </c>
      <c r="C85" s="8" t="s">
        <v>347</v>
      </c>
      <c r="D85" s="8" t="s">
        <v>348</v>
      </c>
      <c r="E85" s="8">
        <f>LEN(Tb_UTF8[[#This Row],[UTF-8]])</f>
        <v>2</v>
      </c>
      <c r="F85" s="7"/>
    </row>
    <row r="86" spans="1:6">
      <c r="A86" s="8" t="s">
        <v>349</v>
      </c>
      <c r="B86" s="8" t="s">
        <v>350</v>
      </c>
      <c r="C86" s="8" t="s">
        <v>351</v>
      </c>
      <c r="D86" s="8" t="s">
        <v>352</v>
      </c>
      <c r="E86" s="8">
        <f>LEN(Tb_UTF8[[#This Row],[UTF-8]])</f>
        <v>2</v>
      </c>
      <c r="F86" s="7"/>
    </row>
    <row r="87" spans="1:6">
      <c r="A87" s="8" t="s">
        <v>353</v>
      </c>
      <c r="B87" s="8" t="s">
        <v>354</v>
      </c>
      <c r="C87" s="8" t="s">
        <v>355</v>
      </c>
      <c r="D87" s="8" t="s">
        <v>356</v>
      </c>
      <c r="E87" s="8">
        <f>LEN(Tb_UTF8[[#This Row],[UTF-8]])</f>
        <v>2</v>
      </c>
      <c r="F87" s="7"/>
    </row>
    <row r="88" spans="1:6">
      <c r="A88" s="8" t="s">
        <v>357</v>
      </c>
      <c r="B88" s="8" t="s">
        <v>358</v>
      </c>
      <c r="C88" s="8" t="s">
        <v>359</v>
      </c>
      <c r="D88" s="8" t="s">
        <v>360</v>
      </c>
      <c r="E88" s="8">
        <f>LEN(Tb_UTF8[[#This Row],[UTF-8]])</f>
        <v>2</v>
      </c>
      <c r="F88" s="7"/>
    </row>
    <row r="89" spans="1:6">
      <c r="A89" s="8" t="s">
        <v>361</v>
      </c>
      <c r="B89" s="8" t="s">
        <v>362</v>
      </c>
      <c r="C89" s="8" t="s">
        <v>363</v>
      </c>
      <c r="D89" s="8" t="s">
        <v>364</v>
      </c>
      <c r="E89" s="8">
        <f>LEN(Tb_UTF8[[#This Row],[UTF-8]])</f>
        <v>2</v>
      </c>
      <c r="F89" s="7"/>
    </row>
    <row r="90" spans="1:6">
      <c r="A90" s="8" t="s">
        <v>365</v>
      </c>
      <c r="B90" s="8" t="s">
        <v>366</v>
      </c>
      <c r="C90" s="8" t="s">
        <v>367</v>
      </c>
      <c r="D90" s="8" t="s">
        <v>368</v>
      </c>
      <c r="E90" s="8">
        <f>LEN(Tb_UTF8[[#This Row],[UTF-8]])</f>
        <v>2</v>
      </c>
      <c r="F90" s="7"/>
    </row>
    <row r="91" spans="1:6">
      <c r="A91" s="8" t="s">
        <v>369</v>
      </c>
      <c r="B91" s="8" t="s">
        <v>370</v>
      </c>
      <c r="C91" s="8" t="s">
        <v>371</v>
      </c>
      <c r="D91" s="8" t="s">
        <v>372</v>
      </c>
      <c r="E91" s="8">
        <f>LEN(Tb_UTF8[[#This Row],[UTF-8]])</f>
        <v>2</v>
      </c>
      <c r="F91" s="7"/>
    </row>
    <row r="92" spans="1:6">
      <c r="A92" s="8" t="s">
        <v>373</v>
      </c>
      <c r="B92" s="8" t="s">
        <v>374</v>
      </c>
      <c r="C92" s="8" t="s">
        <v>375</v>
      </c>
      <c r="D92" s="8" t="s">
        <v>376</v>
      </c>
      <c r="E92" s="8">
        <f>LEN(Tb_UTF8[[#This Row],[UTF-8]])</f>
        <v>2</v>
      </c>
      <c r="F92" s="7"/>
    </row>
    <row r="93" spans="1:6">
      <c r="A93" s="8" t="s">
        <v>377</v>
      </c>
      <c r="B93" s="8" t="s">
        <v>378</v>
      </c>
      <c r="C93" s="8" t="s">
        <v>379</v>
      </c>
      <c r="D93" s="8" t="s">
        <v>380</v>
      </c>
      <c r="E93" s="8">
        <f>LEN(Tb_UTF8[[#This Row],[UTF-8]])</f>
        <v>2</v>
      </c>
      <c r="F93" s="7"/>
    </row>
    <row r="94" spans="1:6">
      <c r="A94" s="8" t="s">
        <v>381</v>
      </c>
      <c r="B94" s="8" t="s">
        <v>382</v>
      </c>
      <c r="C94" s="8" t="s">
        <v>383</v>
      </c>
      <c r="D94" s="8" t="s">
        <v>384</v>
      </c>
      <c r="E94" s="8">
        <f>LEN(Tb_UTF8[[#This Row],[UTF-8]])</f>
        <v>2</v>
      </c>
      <c r="F94" s="7"/>
    </row>
    <row r="95" spans="1:6">
      <c r="A95" s="8" t="s">
        <v>385</v>
      </c>
      <c r="B95" s="8" t="s">
        <v>386</v>
      </c>
      <c r="C95" s="8" t="s">
        <v>387</v>
      </c>
      <c r="D95" s="8" t="s">
        <v>388</v>
      </c>
      <c r="E95" s="8">
        <f>LEN(Tb_UTF8[[#This Row],[UTF-8]])</f>
        <v>2</v>
      </c>
      <c r="F95" s="7"/>
    </row>
    <row r="96" spans="1:6">
      <c r="A96" s="8" t="s">
        <v>146</v>
      </c>
      <c r="B96" s="8"/>
      <c r="C96" s="8" t="s">
        <v>389</v>
      </c>
      <c r="D96" s="8" t="s">
        <v>390</v>
      </c>
      <c r="E96" s="8">
        <f>LEN(Tb_UTF8[[#This Row],[UTF-8]])</f>
        <v>1</v>
      </c>
      <c r="F96" s="7"/>
    </row>
    <row r="97" spans="1:6">
      <c r="A97" s="8" t="s">
        <v>150</v>
      </c>
      <c r="B97" s="8" t="s">
        <v>391</v>
      </c>
      <c r="C97" s="8" t="s">
        <v>392</v>
      </c>
      <c r="D97" s="8" t="s">
        <v>393</v>
      </c>
      <c r="E97" s="8">
        <f>LEN(Tb_UTF8[[#This Row],[UTF-8]])</f>
        <v>1</v>
      </c>
      <c r="F97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4B4DB-65AF-4651-98C0-351ABA6D2503}">
  <sheetPr codeName="Prog_DefCol_Liq"/>
  <dimension ref="A1:R1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N2"/>
    </sheetView>
  </sheetViews>
  <sheetFormatPr baseColWidth="10" defaultColWidth="11.453125" defaultRowHeight="14.5"/>
  <cols>
    <col min="1" max="1" width="14.453125" customWidth="1"/>
    <col min="2" max="2" width="19.453125" customWidth="1"/>
    <col min="3" max="3" width="12.54296875" customWidth="1"/>
    <col min="4" max="4" width="19.54296875" customWidth="1"/>
    <col min="5" max="5" width="13.81640625" customWidth="1"/>
    <col min="6" max="6" width="22" customWidth="1"/>
    <col min="7" max="8" width="11.453125" customWidth="1"/>
    <col min="9" max="10" width="12.54296875" customWidth="1"/>
    <col min="11" max="11" width="11.453125" customWidth="1"/>
    <col min="12" max="12" width="16.453125" customWidth="1"/>
    <col min="13" max="13" width="15.1796875" customWidth="1"/>
    <col min="14" max="14" width="78.453125" bestFit="1" customWidth="1"/>
    <col min="15" max="15" width="7" customWidth="1"/>
    <col min="16" max="16" width="36" customWidth="1"/>
    <col min="17" max="17" width="38.54296875" customWidth="1"/>
    <col min="18" max="18" width="40.453125" customWidth="1"/>
    <col min="19" max="20" width="16" customWidth="1"/>
    <col min="21" max="21" width="23" customWidth="1"/>
    <col min="22" max="22" width="23.1796875" customWidth="1"/>
    <col min="23" max="23" width="20.81640625" customWidth="1"/>
    <col min="24" max="24" width="16" customWidth="1"/>
    <col min="25" max="25" width="22.453125" customWidth="1"/>
    <col min="26" max="26" width="24.1796875" customWidth="1"/>
    <col min="27" max="27" width="20" customWidth="1"/>
    <col min="28" max="28" width="25" customWidth="1"/>
    <col min="29" max="29" width="18.81640625" customWidth="1"/>
    <col min="30" max="30" width="23.81640625" bestFit="1" customWidth="1"/>
    <col min="31" max="31" width="23.81640625" customWidth="1"/>
    <col min="32" max="32" width="22.1796875" customWidth="1"/>
    <col min="33" max="33" width="18.1796875" customWidth="1"/>
    <col min="34" max="34" width="28" customWidth="1"/>
    <col min="35" max="35" width="19.81640625" customWidth="1"/>
    <col min="36" max="36" width="20" customWidth="1"/>
    <col min="37" max="38" width="17.453125" customWidth="1"/>
    <col min="39" max="39" width="22" bestFit="1" customWidth="1"/>
    <col min="40" max="40" width="21.81640625" bestFit="1" customWidth="1"/>
    <col min="41" max="41" width="20.81640625" bestFit="1" customWidth="1"/>
    <col min="42" max="43" width="17.453125" customWidth="1"/>
    <col min="44" max="48" width="19" customWidth="1"/>
    <col min="49" max="60" width="17.453125" customWidth="1"/>
    <col min="61" max="61" width="21.54296875" customWidth="1"/>
    <col min="62" max="63" width="17.453125" customWidth="1"/>
    <col min="64" max="64" width="24.453125" customWidth="1"/>
    <col min="65" max="65" width="17.453125" customWidth="1"/>
    <col min="66" max="66" width="20.1796875" customWidth="1"/>
    <col min="67" max="67" width="22.81640625" customWidth="1"/>
    <col min="68" max="68" width="6.453125" customWidth="1"/>
    <col min="69" max="69" width="4.54296875" customWidth="1"/>
  </cols>
  <sheetData>
    <row r="1" spans="1:18" s="41" customFormat="1" ht="15">
      <c r="A1" s="34"/>
      <c r="B1" s="34"/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6"/>
      <c r="K1" s="36"/>
      <c r="L1" s="37"/>
      <c r="M1" s="38"/>
      <c r="N1" s="39" t="s">
        <v>409</v>
      </c>
      <c r="O1" s="40"/>
      <c r="P1" s="113" t="s">
        <v>410</v>
      </c>
      <c r="Q1" s="113"/>
      <c r="R1" s="113"/>
    </row>
    <row r="2" spans="1:18" s="41" customFormat="1" ht="35.15" customHeight="1">
      <c r="A2" s="93" t="s">
        <v>1</v>
      </c>
      <c r="B2" s="93" t="s">
        <v>411</v>
      </c>
      <c r="C2" s="94" t="s">
        <v>412</v>
      </c>
      <c r="D2" s="95" t="s">
        <v>413</v>
      </c>
      <c r="E2" s="95" t="s">
        <v>414</v>
      </c>
      <c r="F2" s="95" t="s">
        <v>415</v>
      </c>
      <c r="G2" s="95" t="s">
        <v>416</v>
      </c>
      <c r="H2" s="95" t="s">
        <v>417</v>
      </c>
      <c r="I2" s="95" t="s">
        <v>418</v>
      </c>
      <c r="J2" s="96" t="s">
        <v>419</v>
      </c>
      <c r="K2" s="97" t="s">
        <v>420</v>
      </c>
      <c r="L2" s="98" t="s">
        <v>421</v>
      </c>
      <c r="M2" s="99" t="s">
        <v>422</v>
      </c>
      <c r="N2" s="100" t="s">
        <v>423</v>
      </c>
      <c r="O2" s="50"/>
      <c r="P2" s="51" t="s">
        <v>1</v>
      </c>
      <c r="Q2" s="52" t="s">
        <v>424</v>
      </c>
      <c r="R2" s="51" t="s">
        <v>425</v>
      </c>
    </row>
    <row r="3" spans="1:18" s="41" customFormat="1">
      <c r="A3" s="12" t="s">
        <v>457</v>
      </c>
      <c r="B3" s="77" t="s">
        <v>397</v>
      </c>
      <c r="C3" s="53" t="s">
        <v>452</v>
      </c>
      <c r="D3" s="67" t="s">
        <v>453</v>
      </c>
      <c r="E3" s="53">
        <v>15</v>
      </c>
      <c r="F3" s="69">
        <v>42403</v>
      </c>
      <c r="G3" s="56">
        <v>-4108</v>
      </c>
      <c r="H3" s="53">
        <v>0</v>
      </c>
      <c r="I3" s="53">
        <v>0</v>
      </c>
      <c r="J3" s="53" t="str">
        <f>IF(Tb_DefCols5[[#This Row],[Num Col]]&gt;26,"a" &amp; CHAR(Tb_DefCols5[[#This Row],[Num Col]]-26+96),CHAR(Tb_DefCols5[[#This Row],[Num Col]]+96))</f>
        <v>a</v>
      </c>
      <c r="K3" s="66">
        <v>1</v>
      </c>
      <c r="L3" s="58"/>
      <c r="M3" s="59">
        <f>LEN(Tb_DefCols5[[#This Row],[Nombre]])</f>
        <v>4</v>
      </c>
      <c r="N3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CPH_Fpag           As Integer = 1       ' col: a</v>
      </c>
      <c r="O3" s="40"/>
      <c r="P3" s="61" t="s">
        <v>429</v>
      </c>
      <c r="Q3" s="62">
        <v>-4108</v>
      </c>
      <c r="R3" s="63" t="s">
        <v>430</v>
      </c>
    </row>
    <row r="4" spans="1:18" s="57" customFormat="1">
      <c r="A4" s="12" t="s">
        <v>438</v>
      </c>
      <c r="B4" s="78" t="s">
        <v>398</v>
      </c>
      <c r="C4" s="53" t="s">
        <v>426</v>
      </c>
      <c r="D4" s="54" t="s">
        <v>427</v>
      </c>
      <c r="E4" s="53">
        <v>8</v>
      </c>
      <c r="F4" s="55" t="s">
        <v>428</v>
      </c>
      <c r="G4" s="56">
        <v>-4108</v>
      </c>
      <c r="H4" s="53">
        <v>0</v>
      </c>
      <c r="I4" s="53">
        <v>0</v>
      </c>
      <c r="J4" s="53" t="str">
        <f>IF(Tb_DefCols5[[#This Row],[Num Col]]&gt;26,"a" &amp; CHAR(Tb_DefCols5[[#This Row],[Num Col]]-26+96),CHAR(Tb_DefCols5[[#This Row],[Num Col]]+96))</f>
        <v>b</v>
      </c>
      <c r="K4" s="66">
        <v>2</v>
      </c>
      <c r="L4" s="58"/>
      <c r="M4" s="59">
        <f>LEN(Tb_DefCols5[[#This Row],[Nombre]])</f>
        <v>3</v>
      </c>
      <c r="N4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CPH_Nom            As Integer = 2       ' col: b</v>
      </c>
      <c r="O4" s="40"/>
      <c r="P4" s="61" t="s">
        <v>432</v>
      </c>
      <c r="Q4" s="62">
        <v>-4131</v>
      </c>
      <c r="R4" s="63" t="s">
        <v>433</v>
      </c>
    </row>
    <row r="5" spans="1:18" s="57" customFormat="1">
      <c r="A5" s="12" t="s">
        <v>449</v>
      </c>
      <c r="B5" s="78" t="s">
        <v>399</v>
      </c>
      <c r="C5" s="53" t="s">
        <v>444</v>
      </c>
      <c r="D5" s="67" t="s">
        <v>450</v>
      </c>
      <c r="E5" s="53">
        <v>22</v>
      </c>
      <c r="F5" s="76">
        <v>9924002331703</v>
      </c>
      <c r="G5" s="56">
        <v>-4131</v>
      </c>
      <c r="H5" s="53">
        <v>0</v>
      </c>
      <c r="I5" s="53">
        <v>0</v>
      </c>
      <c r="J5" s="53" t="str">
        <f>IF(Tb_DefCols5[[#This Row],[Num Col]]&gt;26,"a" &amp; CHAR(Tb_DefCols5[[#This Row],[Num Col]]-26+96),CHAR(Tb_DefCols5[[#This Row],[Num Col]]+96))</f>
        <v>c</v>
      </c>
      <c r="K5" s="66">
        <v>3</v>
      </c>
      <c r="L5" s="58"/>
      <c r="M5" s="59">
        <f>LEN(Tb_DefCols5[[#This Row],[Nombre]])</f>
        <v>3</v>
      </c>
      <c r="N5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CPH_Ref            As Integer = 3       ' col: c</v>
      </c>
      <c r="O5" s="40"/>
      <c r="P5" s="61" t="s">
        <v>434</v>
      </c>
      <c r="Q5" s="62">
        <v>-4152</v>
      </c>
      <c r="R5" s="63" t="s">
        <v>435</v>
      </c>
    </row>
    <row r="6" spans="1:18" s="66" customFormat="1" ht="28">
      <c r="A6" s="12" t="s">
        <v>455</v>
      </c>
      <c r="B6" s="78" t="s">
        <v>462</v>
      </c>
      <c r="C6" s="53" t="s">
        <v>426</v>
      </c>
      <c r="D6" s="67" t="s">
        <v>427</v>
      </c>
      <c r="E6" s="53">
        <v>22</v>
      </c>
      <c r="F6" s="68" t="s">
        <v>441</v>
      </c>
      <c r="G6" s="56">
        <v>-4131</v>
      </c>
      <c r="H6" s="53">
        <v>0</v>
      </c>
      <c r="I6" s="53">
        <v>0</v>
      </c>
      <c r="J6" s="53" t="str">
        <f>IF(Tb_DefCols5[[#This Row],[Num Col]]&gt;26,"a" &amp; CHAR(Tb_DefCols5[[#This Row],[Num Col]]-26+96),CHAR(Tb_DefCols5[[#This Row],[Num Col]]+96))</f>
        <v>d</v>
      </c>
      <c r="K6" s="66">
        <v>4</v>
      </c>
      <c r="L6" s="58"/>
      <c r="M6" s="59">
        <f>LEN(Tb_DefCols5[[#This Row],[Nombre]])</f>
        <v>7</v>
      </c>
      <c r="N6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CPH_FormPag        As Integer = 4       ' col: d</v>
      </c>
      <c r="O6" s="65"/>
      <c r="P6" s="61" t="s">
        <v>436</v>
      </c>
      <c r="Q6" s="62">
        <v>-4117</v>
      </c>
      <c r="R6" s="63" t="s">
        <v>437</v>
      </c>
    </row>
    <row r="7" spans="1:18" s="41" customFormat="1">
      <c r="A7" s="12" t="s">
        <v>458</v>
      </c>
      <c r="B7" s="19" t="s">
        <v>464</v>
      </c>
      <c r="C7" s="53" t="s">
        <v>444</v>
      </c>
      <c r="D7" s="67" t="s">
        <v>454</v>
      </c>
      <c r="E7" s="53">
        <v>18</v>
      </c>
      <c r="F7" s="70">
        <v>42.24</v>
      </c>
      <c r="G7" s="56">
        <v>1</v>
      </c>
      <c r="H7" s="53">
        <v>0</v>
      </c>
      <c r="I7" s="53">
        <v>0</v>
      </c>
      <c r="J7" s="53" t="str">
        <f>IF(Tb_DefCols5[[#This Row],[Num Col]]&gt;26,"a" &amp; CHAR(Tb_DefCols5[[#This Row],[Num Col]]-26+96),CHAR(Tb_DefCols5[[#This Row],[Num Col]]+96))</f>
        <v>e</v>
      </c>
      <c r="K7" s="66">
        <v>5</v>
      </c>
      <c r="L7" s="58"/>
      <c r="M7" s="59">
        <f>LEN(Tb_DefCols5[[#This Row],[Nombre]])</f>
        <v>3</v>
      </c>
      <c r="N7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CPH_Imp            As Integer = 5       ' col: e</v>
      </c>
      <c r="O7" s="40"/>
      <c r="P7" s="61" t="s">
        <v>439</v>
      </c>
      <c r="Q7" s="62">
        <v>5</v>
      </c>
      <c r="R7" s="63" t="s">
        <v>440</v>
      </c>
    </row>
    <row r="8" spans="1:18" s="41" customFormat="1">
      <c r="A8" s="12" t="s">
        <v>459</v>
      </c>
      <c r="B8" s="19" t="s">
        <v>394</v>
      </c>
      <c r="C8" s="53" t="s">
        <v>444</v>
      </c>
      <c r="D8" s="67" t="s">
        <v>454</v>
      </c>
      <c r="E8" s="53">
        <v>18</v>
      </c>
      <c r="F8" s="70">
        <v>42.24</v>
      </c>
      <c r="G8" s="56">
        <v>1</v>
      </c>
      <c r="H8" s="53">
        <v>0</v>
      </c>
      <c r="I8" s="53">
        <v>0</v>
      </c>
      <c r="J8" s="53" t="str">
        <f>IF(Tb_DefCols5[[#This Row],[Num Col]]&gt;26,"a" &amp; CHAR(Tb_DefCols5[[#This Row],[Num Col]]-26+96),CHAR(Tb_DefCols5[[#This Row],[Num Col]]+96))</f>
        <v>f</v>
      </c>
      <c r="K8" s="66">
        <v>6</v>
      </c>
      <c r="L8" s="58"/>
      <c r="M8" s="59">
        <f>LEN(Tb_DefCols5[[#This Row],[Nombre]])</f>
        <v>6</v>
      </c>
      <c r="N8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CPH_ComBco         As Integer = 6       ' col: f</v>
      </c>
      <c r="O8" s="40"/>
      <c r="P8" s="61" t="s">
        <v>442</v>
      </c>
      <c r="Q8" s="62">
        <v>1</v>
      </c>
      <c r="R8" s="63" t="s">
        <v>443</v>
      </c>
    </row>
    <row r="9" spans="1:18" s="41" customFormat="1">
      <c r="A9" s="12" t="s">
        <v>460</v>
      </c>
      <c r="B9" s="22" t="s">
        <v>4</v>
      </c>
      <c r="C9" s="53" t="s">
        <v>444</v>
      </c>
      <c r="D9" s="67" t="s">
        <v>454</v>
      </c>
      <c r="E9" s="53">
        <v>18</v>
      </c>
      <c r="F9" s="70">
        <v>42.24</v>
      </c>
      <c r="G9" s="56">
        <v>1</v>
      </c>
      <c r="H9" s="53">
        <v>0</v>
      </c>
      <c r="I9" s="53">
        <v>0</v>
      </c>
      <c r="J9" s="53" t="str">
        <f>IF(Tb_DefCols5[[#This Row],[Num Col]]&gt;26,"a" &amp; CHAR(Tb_DefCols5[[#This Row],[Num Col]]-26+96),CHAR(Tb_DefCols5[[#This Row],[Num Col]]+96))</f>
        <v>g</v>
      </c>
      <c r="K9" s="66">
        <v>7</v>
      </c>
      <c r="L9" s="58"/>
      <c r="M9" s="59">
        <f>LEN(Tb_DefCols5[[#This Row],[Nombre]])</f>
        <v>4</v>
      </c>
      <c r="N9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CPH_Neto           As Integer = 7       ' col: g</v>
      </c>
      <c r="O9" s="40"/>
      <c r="P9" s="61" t="s">
        <v>445</v>
      </c>
      <c r="Q9" s="62">
        <v>-4130</v>
      </c>
      <c r="R9" s="63" t="s">
        <v>446</v>
      </c>
    </row>
    <row r="10" spans="1:18" s="57" customFormat="1">
      <c r="A10" s="12" t="s">
        <v>403</v>
      </c>
      <c r="B10" s="28" t="s">
        <v>403</v>
      </c>
      <c r="C10" s="53" t="s">
        <v>426</v>
      </c>
      <c r="D10" s="67" t="s">
        <v>427</v>
      </c>
      <c r="E10" s="53">
        <v>8</v>
      </c>
      <c r="F10" s="55" t="s">
        <v>404</v>
      </c>
      <c r="G10" s="56">
        <v>-4108</v>
      </c>
      <c r="H10" s="53">
        <v>0</v>
      </c>
      <c r="I10" s="53">
        <v>0</v>
      </c>
      <c r="J10" s="53" t="str">
        <f>IF(Tb_DefCols5[[#This Row],[Num Col]]&gt;26,"a" &amp; CHAR(Tb_DefCols5[[#This Row],[Num Col]]-26+96),CHAR(Tb_DefCols5[[#This Row],[Num Col]]+96))</f>
        <v>h</v>
      </c>
      <c r="K10" s="66">
        <v>8</v>
      </c>
      <c r="L10" s="58"/>
      <c r="M10" s="59">
        <f>LEN(Tb_DefCols5[[#This Row],[Nombre]])</f>
        <v>7</v>
      </c>
      <c r="N10" s="60" t="str">
        <f>LEFT("Public Const "&amp;$N$1&amp;Tb_DefCols5[[#This Row],[Nombre]]&amp;REPT(" ",50),Tb_DefCols5[[#Totals],[LongNombre]]+25) &amp;LEFT("As Integer = " &amp;Tb_DefCols5[[#This Row],[Num Col]] &amp; "           ",20)&amp;" ' col: " &amp;Tb_DefCols5[[#This Row],[Letr Col]]</f>
        <v>Public Const CPH_Fichero        As Integer = 8       ' col: h</v>
      </c>
      <c r="O10" s="40"/>
      <c r="P10" s="61" t="s">
        <v>447</v>
      </c>
      <c r="Q10" s="62">
        <v>7</v>
      </c>
      <c r="R10" s="63" t="s">
        <v>448</v>
      </c>
    </row>
    <row r="11" spans="1:18" s="41" customFormat="1" ht="15">
      <c r="A11" s="71" t="s">
        <v>0</v>
      </c>
      <c r="B11" s="79"/>
      <c r="C11" s="56"/>
      <c r="D11" s="72"/>
      <c r="E11" s="56"/>
      <c r="F11" s="56"/>
      <c r="G11" s="56"/>
      <c r="H11" s="56"/>
      <c r="I11" s="56"/>
      <c r="J11" s="73"/>
      <c r="K11" s="73"/>
      <c r="L11" s="74"/>
      <c r="M11" s="73">
        <f>SUBTOTAL(104,Tb_DefCols5[LongNombre])</f>
        <v>7</v>
      </c>
      <c r="N11" s="75">
        <f>SUBTOTAL(103,Tb_DefCols5[Public Const Num-Col])</f>
        <v>8</v>
      </c>
      <c r="O11" s="40"/>
    </row>
    <row r="12" spans="1:18" s="41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 s="40"/>
    </row>
    <row r="13" spans="1:18" s="41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 s="40"/>
    </row>
    <row r="14" spans="1:18" s="41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 s="40"/>
    </row>
  </sheetData>
  <sheetProtection sort="0" autoFilter="0"/>
  <mergeCells count="1">
    <mergeCell ref="P1:R1"/>
  </mergeCells>
  <conditionalFormatting sqref="H3:H10">
    <cfRule type="cellIs" dxfId="4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2593-F94B-4873-A256-60A7FEDA7AB3}">
  <sheetPr codeName="Prog_DefCol_TPV"/>
  <dimension ref="A1:R1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3" sqref="N3:N12"/>
    </sheetView>
  </sheetViews>
  <sheetFormatPr baseColWidth="10" defaultColWidth="11.453125" defaultRowHeight="14.5"/>
  <cols>
    <col min="1" max="1" width="14.453125" customWidth="1"/>
    <col min="2" max="2" width="19.453125" customWidth="1"/>
    <col min="3" max="3" width="12.54296875" customWidth="1"/>
    <col min="4" max="4" width="19.54296875" customWidth="1"/>
    <col min="5" max="5" width="13.81640625" customWidth="1"/>
    <col min="6" max="6" width="22" customWidth="1"/>
    <col min="7" max="8" width="11.453125" customWidth="1"/>
    <col min="9" max="10" width="12.54296875" customWidth="1"/>
    <col min="11" max="11" width="11.453125" customWidth="1"/>
    <col min="12" max="12" width="23.54296875" customWidth="1"/>
    <col min="13" max="13" width="15.1796875" customWidth="1"/>
    <col min="14" max="14" width="78.453125" bestFit="1" customWidth="1"/>
    <col min="15" max="15" width="7" customWidth="1"/>
    <col min="16" max="16" width="36" customWidth="1"/>
    <col min="17" max="17" width="38.54296875" customWidth="1"/>
    <col min="18" max="18" width="40.453125" customWidth="1"/>
    <col min="19" max="20" width="16" customWidth="1"/>
    <col min="21" max="21" width="23" customWidth="1"/>
    <col min="22" max="22" width="23.1796875" customWidth="1"/>
    <col min="23" max="23" width="20.81640625" customWidth="1"/>
    <col min="24" max="24" width="16" customWidth="1"/>
    <col min="25" max="25" width="22.453125" customWidth="1"/>
    <col min="26" max="26" width="24.1796875" customWidth="1"/>
    <col min="27" max="27" width="20" customWidth="1"/>
    <col min="28" max="28" width="25" customWidth="1"/>
    <col min="29" max="29" width="18.81640625" customWidth="1"/>
    <col min="30" max="30" width="23.81640625" bestFit="1" customWidth="1"/>
    <col min="31" max="31" width="23.81640625" customWidth="1"/>
    <col min="32" max="32" width="22.1796875" customWidth="1"/>
    <col min="33" max="33" width="18.1796875" customWidth="1"/>
    <col min="34" max="34" width="28" customWidth="1"/>
    <col min="35" max="35" width="19.81640625" customWidth="1"/>
    <col min="36" max="36" width="20" customWidth="1"/>
    <col min="37" max="38" width="17.453125" customWidth="1"/>
    <col min="39" max="39" width="22" bestFit="1" customWidth="1"/>
    <col min="40" max="40" width="21.81640625" bestFit="1" customWidth="1"/>
    <col min="41" max="41" width="20.81640625" bestFit="1" customWidth="1"/>
    <col min="42" max="43" width="17.453125" customWidth="1"/>
    <col min="44" max="48" width="19" customWidth="1"/>
    <col min="49" max="60" width="17.453125" customWidth="1"/>
    <col min="61" max="61" width="21.54296875" customWidth="1"/>
    <col min="62" max="63" width="17.453125" customWidth="1"/>
    <col min="64" max="64" width="24.453125" customWidth="1"/>
    <col min="65" max="65" width="17.453125" customWidth="1"/>
    <col min="66" max="66" width="20.1796875" customWidth="1"/>
    <col min="67" max="67" width="22.81640625" customWidth="1"/>
    <col min="68" max="68" width="6.453125" customWidth="1"/>
    <col min="69" max="69" width="4.54296875" customWidth="1"/>
  </cols>
  <sheetData>
    <row r="1" spans="1:18" s="41" customFormat="1" ht="15">
      <c r="A1" s="34"/>
      <c r="B1" s="34"/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6"/>
      <c r="K1" s="36"/>
      <c r="L1" s="37"/>
      <c r="M1" s="38"/>
      <c r="N1" s="39" t="s">
        <v>461</v>
      </c>
      <c r="O1" s="40"/>
      <c r="P1" s="113" t="s">
        <v>410</v>
      </c>
      <c r="Q1" s="113"/>
      <c r="R1" s="113"/>
    </row>
    <row r="2" spans="1:18" s="41" customFormat="1" ht="15">
      <c r="A2" s="42" t="s">
        <v>1</v>
      </c>
      <c r="B2" s="42" t="s">
        <v>411</v>
      </c>
      <c r="C2" s="43" t="s">
        <v>412</v>
      </c>
      <c r="D2" s="44" t="s">
        <v>413</v>
      </c>
      <c r="E2" s="44" t="s">
        <v>414</v>
      </c>
      <c r="F2" s="44" t="s">
        <v>415</v>
      </c>
      <c r="G2" s="44" t="s">
        <v>416</v>
      </c>
      <c r="H2" s="44" t="s">
        <v>417</v>
      </c>
      <c r="I2" s="44" t="s">
        <v>418</v>
      </c>
      <c r="J2" s="45" t="s">
        <v>419</v>
      </c>
      <c r="K2" s="46" t="s">
        <v>420</v>
      </c>
      <c r="L2" s="47" t="s">
        <v>421</v>
      </c>
      <c r="M2" s="48" t="s">
        <v>422</v>
      </c>
      <c r="N2" s="49" t="s">
        <v>423</v>
      </c>
      <c r="O2" s="50"/>
      <c r="P2" s="51" t="s">
        <v>1</v>
      </c>
      <c r="Q2" s="52" t="s">
        <v>424</v>
      </c>
      <c r="R2" s="51" t="s">
        <v>425</v>
      </c>
    </row>
    <row r="3" spans="1:18" s="41" customFormat="1">
      <c r="A3" s="12" t="s">
        <v>438</v>
      </c>
      <c r="B3" s="22" t="s">
        <v>1</v>
      </c>
      <c r="C3" s="53" t="s">
        <v>426</v>
      </c>
      <c r="D3" s="54" t="s">
        <v>427</v>
      </c>
      <c r="E3" s="53">
        <v>8</v>
      </c>
      <c r="F3" s="55" t="s">
        <v>428</v>
      </c>
      <c r="G3" s="56">
        <v>-4108</v>
      </c>
      <c r="H3" s="53">
        <v>0</v>
      </c>
      <c r="I3" s="53">
        <v>0</v>
      </c>
      <c r="J3" s="53" t="str">
        <f>IF(Tb_DefCols[[#This Row],[Num Col]]&gt;26,"a" &amp; CHAR(Tb_DefCols[[#This Row],[Num Col]]-26+96),CHAR(Tb_DefCols[[#This Row],[Num Col]]+96))</f>
        <v>a</v>
      </c>
      <c r="K3" s="66">
        <v>1</v>
      </c>
      <c r="L3" s="58"/>
      <c r="M3" s="59">
        <f>LEN(Tb_DefCols[[#This Row],[Nombre]])</f>
        <v>3</v>
      </c>
      <c r="N3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TPV_Nom             As Integer = 1       ' col: a</v>
      </c>
      <c r="O3" s="40"/>
      <c r="P3" s="61" t="s">
        <v>429</v>
      </c>
      <c r="Q3" s="62">
        <v>-4108</v>
      </c>
      <c r="R3" s="63" t="s">
        <v>430</v>
      </c>
    </row>
    <row r="4" spans="1:18" s="57" customFormat="1">
      <c r="A4" s="12" t="s">
        <v>449</v>
      </c>
      <c r="B4" s="19" t="s">
        <v>2</v>
      </c>
      <c r="C4" s="53" t="s">
        <v>444</v>
      </c>
      <c r="D4" s="67" t="s">
        <v>450</v>
      </c>
      <c r="E4" s="53">
        <v>22</v>
      </c>
      <c r="F4" s="76">
        <v>9924002331703</v>
      </c>
      <c r="G4" s="56">
        <v>-4131</v>
      </c>
      <c r="H4" s="53">
        <v>0</v>
      </c>
      <c r="I4" s="53">
        <v>0</v>
      </c>
      <c r="J4" s="53" t="str">
        <f>IF(Tb_DefCols[[#This Row],[Num Col]]&gt;26,"a" &amp; CHAR(Tb_DefCols[[#This Row],[Num Col]]-26+96),CHAR(Tb_DefCols[[#This Row],[Num Col]]+96))</f>
        <v>b</v>
      </c>
      <c r="K4" s="66">
        <v>2</v>
      </c>
      <c r="L4" s="58"/>
      <c r="M4" s="59">
        <f>LEN(Tb_DefCols[[#This Row],[Nombre]])</f>
        <v>3</v>
      </c>
      <c r="N4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TPV_Ref             As Integer = 2       ' col: b</v>
      </c>
      <c r="O4" s="40"/>
      <c r="P4" s="61" t="s">
        <v>432</v>
      </c>
      <c r="Q4" s="62">
        <v>-4131</v>
      </c>
      <c r="R4" s="63" t="s">
        <v>433</v>
      </c>
    </row>
    <row r="5" spans="1:18" s="57" customFormat="1" ht="14">
      <c r="A5" s="64" t="s">
        <v>456</v>
      </c>
      <c r="B5" s="22" t="s">
        <v>5</v>
      </c>
      <c r="C5" s="53" t="s">
        <v>426</v>
      </c>
      <c r="D5" s="54" t="s">
        <v>427</v>
      </c>
      <c r="E5" s="53">
        <v>30</v>
      </c>
      <c r="F5" s="55" t="s">
        <v>431</v>
      </c>
      <c r="G5" s="56">
        <v>-4131</v>
      </c>
      <c r="H5" s="53">
        <v>0</v>
      </c>
      <c r="I5" s="53">
        <v>0</v>
      </c>
      <c r="J5" s="53" t="str">
        <f>IF(Tb_DefCols[[#This Row],[Num Col]]&gt;26,"a" &amp; CHAR(Tb_DefCols[[#This Row],[Num Col]]-26+96),CHAR(Tb_DefCols[[#This Row],[Num Col]]+96))</f>
        <v>c</v>
      </c>
      <c r="K5" s="66">
        <v>3</v>
      </c>
      <c r="L5" s="58"/>
      <c r="M5" s="59">
        <f>LEN(Tb_DefCols[[#This Row],[Nombre]])</f>
        <v>8</v>
      </c>
      <c r="N5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TPV_TipoTasa        As Integer = 3       ' col: c</v>
      </c>
      <c r="O5" s="40"/>
      <c r="P5" s="61" t="s">
        <v>434</v>
      </c>
      <c r="Q5" s="62">
        <v>-4152</v>
      </c>
      <c r="R5" s="63" t="s">
        <v>435</v>
      </c>
    </row>
    <row r="6" spans="1:18" s="66" customFormat="1">
      <c r="A6" s="12" t="s">
        <v>451</v>
      </c>
      <c r="B6" s="19" t="s">
        <v>405</v>
      </c>
      <c r="C6" s="53" t="s">
        <v>452</v>
      </c>
      <c r="D6" s="67" t="s">
        <v>453</v>
      </c>
      <c r="E6" s="53">
        <v>15</v>
      </c>
      <c r="F6" s="69">
        <v>42403</v>
      </c>
      <c r="G6" s="56">
        <v>-4108</v>
      </c>
      <c r="H6" s="53">
        <v>0</v>
      </c>
      <c r="I6" s="53">
        <v>0</v>
      </c>
      <c r="J6" s="53" t="str">
        <f>IF(Tb_DefCols[[#This Row],[Num Col]]&gt;26,"a" &amp; CHAR(Tb_DefCols[[#This Row],[Num Col]]-26+96),CHAR(Tb_DefCols[[#This Row],[Num Col]]+96))</f>
        <v>d</v>
      </c>
      <c r="K6" s="66">
        <v>4</v>
      </c>
      <c r="L6" s="58"/>
      <c r="M6" s="59">
        <f>LEN(Tb_DefCols[[#This Row],[Nombre]])</f>
        <v>4</v>
      </c>
      <c r="N6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TPV_FEmi            As Integer = 4       ' col: d</v>
      </c>
      <c r="O6" s="65"/>
      <c r="P6" s="61" t="s">
        <v>436</v>
      </c>
      <c r="Q6" s="62">
        <v>-4117</v>
      </c>
      <c r="R6" s="63" t="s">
        <v>437</v>
      </c>
    </row>
    <row r="7" spans="1:18" s="41" customFormat="1">
      <c r="A7" s="12" t="s">
        <v>457</v>
      </c>
      <c r="B7" s="19" t="s">
        <v>406</v>
      </c>
      <c r="C7" s="53" t="s">
        <v>452</v>
      </c>
      <c r="D7" s="67" t="s">
        <v>453</v>
      </c>
      <c r="E7" s="53">
        <v>15</v>
      </c>
      <c r="F7" s="69">
        <v>42403</v>
      </c>
      <c r="G7" s="56">
        <v>-4108</v>
      </c>
      <c r="H7" s="53">
        <v>0</v>
      </c>
      <c r="I7" s="53">
        <v>0</v>
      </c>
      <c r="J7" s="53" t="str">
        <f>IF(Tb_DefCols[[#This Row],[Num Col]]&gt;26,"a" &amp; CHAR(Tb_DefCols[[#This Row],[Num Col]]-26+96),CHAR(Tb_DefCols[[#This Row],[Num Col]]+96))</f>
        <v>e</v>
      </c>
      <c r="K7" s="66">
        <v>5</v>
      </c>
      <c r="L7" s="58"/>
      <c r="M7" s="59">
        <f>LEN(Tb_DefCols[[#This Row],[Nombre]])</f>
        <v>4</v>
      </c>
      <c r="N7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TPV_Fpag            As Integer = 5       ' col: e</v>
      </c>
      <c r="O7" s="40"/>
      <c r="P7" s="61" t="s">
        <v>439</v>
      </c>
      <c r="Q7" s="62">
        <v>5</v>
      </c>
      <c r="R7" s="63" t="s">
        <v>440</v>
      </c>
    </row>
    <row r="8" spans="1:18" s="41" customFormat="1">
      <c r="A8" s="12" t="s">
        <v>455</v>
      </c>
      <c r="B8" s="22" t="s">
        <v>6</v>
      </c>
      <c r="C8" s="53" t="s">
        <v>426</v>
      </c>
      <c r="D8" s="67" t="s">
        <v>427</v>
      </c>
      <c r="E8" s="53">
        <v>22</v>
      </c>
      <c r="F8" s="68" t="s">
        <v>441</v>
      </c>
      <c r="G8" s="56">
        <v>-4131</v>
      </c>
      <c r="H8" s="53">
        <v>0</v>
      </c>
      <c r="I8" s="53">
        <v>0</v>
      </c>
      <c r="J8" s="53" t="str">
        <f>IF(Tb_DefCols[[#This Row],[Num Col]]&gt;26,"a" &amp; CHAR(Tb_DefCols[[#This Row],[Num Col]]-26+96),CHAR(Tb_DefCols[[#This Row],[Num Col]]+96))</f>
        <v>f</v>
      </c>
      <c r="K8" s="66">
        <v>6</v>
      </c>
      <c r="L8" s="58"/>
      <c r="M8" s="59">
        <f>LEN(Tb_DefCols[[#This Row],[Nombre]])</f>
        <v>7</v>
      </c>
      <c r="N8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TPV_FormPag         As Integer = 6       ' col: f</v>
      </c>
      <c r="O8" s="40"/>
      <c r="P8" s="61" t="s">
        <v>442</v>
      </c>
      <c r="Q8" s="62">
        <v>1</v>
      </c>
      <c r="R8" s="63" t="s">
        <v>443</v>
      </c>
    </row>
    <row r="9" spans="1:18" s="41" customFormat="1">
      <c r="A9" s="12" t="s">
        <v>458</v>
      </c>
      <c r="B9" s="19" t="s">
        <v>3</v>
      </c>
      <c r="C9" s="53" t="s">
        <v>444</v>
      </c>
      <c r="D9" s="67" t="s">
        <v>454</v>
      </c>
      <c r="E9" s="53">
        <v>18</v>
      </c>
      <c r="F9" s="70">
        <v>42.24</v>
      </c>
      <c r="G9" s="56">
        <v>1</v>
      </c>
      <c r="H9" s="53">
        <v>0</v>
      </c>
      <c r="I9" s="53">
        <v>0</v>
      </c>
      <c r="J9" s="53" t="str">
        <f>IF(Tb_DefCols[[#This Row],[Num Col]]&gt;26,"a" &amp; CHAR(Tb_DefCols[[#This Row],[Num Col]]-26+96),CHAR(Tb_DefCols[[#This Row],[Num Col]]+96))</f>
        <v>g</v>
      </c>
      <c r="K9" s="66">
        <v>7</v>
      </c>
      <c r="L9" s="58"/>
      <c r="M9" s="59">
        <f>LEN(Tb_DefCols[[#This Row],[Nombre]])</f>
        <v>3</v>
      </c>
      <c r="N9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TPV_Imp             As Integer = 7       ' col: g</v>
      </c>
      <c r="O9" s="40"/>
      <c r="P9" s="61" t="s">
        <v>445</v>
      </c>
      <c r="Q9" s="62">
        <v>-4130</v>
      </c>
      <c r="R9" s="63" t="s">
        <v>446</v>
      </c>
    </row>
    <row r="10" spans="1:18" s="57" customFormat="1">
      <c r="A10" s="12" t="s">
        <v>459</v>
      </c>
      <c r="B10" s="19" t="s">
        <v>394</v>
      </c>
      <c r="C10" s="53" t="s">
        <v>444</v>
      </c>
      <c r="D10" s="67" t="s">
        <v>454</v>
      </c>
      <c r="E10" s="53">
        <v>18</v>
      </c>
      <c r="F10" s="70">
        <v>42.24</v>
      </c>
      <c r="G10" s="56">
        <v>1</v>
      </c>
      <c r="H10" s="53">
        <v>0</v>
      </c>
      <c r="I10" s="53">
        <v>0</v>
      </c>
      <c r="J10" s="53" t="str">
        <f>IF(Tb_DefCols[[#This Row],[Num Col]]&gt;26,"a" &amp; CHAR(Tb_DefCols[[#This Row],[Num Col]]-26+96),CHAR(Tb_DefCols[[#This Row],[Num Col]]+96))</f>
        <v>h</v>
      </c>
      <c r="K10" s="66">
        <v>8</v>
      </c>
      <c r="L10" s="58"/>
      <c r="M10" s="59">
        <f>LEN(Tb_DefCols[[#This Row],[Nombre]])</f>
        <v>6</v>
      </c>
      <c r="N10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TPV_ComBco          As Integer = 8       ' col: h</v>
      </c>
      <c r="O10" s="40"/>
      <c r="P10" s="61" t="s">
        <v>447</v>
      </c>
      <c r="Q10" s="62">
        <v>7</v>
      </c>
      <c r="R10" s="63" t="s">
        <v>448</v>
      </c>
    </row>
    <row r="11" spans="1:18" s="41" customFormat="1">
      <c r="A11" s="12" t="s">
        <v>460</v>
      </c>
      <c r="B11" s="22" t="s">
        <v>4</v>
      </c>
      <c r="C11" s="53" t="s">
        <v>444</v>
      </c>
      <c r="D11" s="67" t="s">
        <v>454</v>
      </c>
      <c r="E11" s="53">
        <v>18</v>
      </c>
      <c r="F11" s="70">
        <v>42.24</v>
      </c>
      <c r="G11" s="56">
        <v>1</v>
      </c>
      <c r="H11" s="53">
        <v>0</v>
      </c>
      <c r="I11" s="53">
        <v>0</v>
      </c>
      <c r="J11" s="53" t="str">
        <f>IF(Tb_DefCols[[#This Row],[Num Col]]&gt;26,"a" &amp; CHAR(Tb_DefCols[[#This Row],[Num Col]]-26+96),CHAR(Tb_DefCols[[#This Row],[Num Col]]+96))</f>
        <v>i</v>
      </c>
      <c r="K11" s="66">
        <v>9</v>
      </c>
      <c r="L11" s="58"/>
      <c r="M11" s="59">
        <f>LEN(Tb_DefCols[[#This Row],[Nombre]])</f>
        <v>4</v>
      </c>
      <c r="N11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TPV_Neto            As Integer = 9       ' col: i</v>
      </c>
      <c r="O11" s="40"/>
    </row>
    <row r="12" spans="1:18" s="41" customFormat="1">
      <c r="A12" s="12" t="s">
        <v>403</v>
      </c>
      <c r="B12" s="28" t="s">
        <v>403</v>
      </c>
      <c r="C12" s="53" t="s">
        <v>426</v>
      </c>
      <c r="D12" s="67" t="s">
        <v>427</v>
      </c>
      <c r="E12" s="53">
        <v>8</v>
      </c>
      <c r="F12" s="55" t="s">
        <v>404</v>
      </c>
      <c r="G12" s="56">
        <v>-4108</v>
      </c>
      <c r="H12" s="53">
        <v>0</v>
      </c>
      <c r="I12" s="53">
        <v>0</v>
      </c>
      <c r="J12" s="53" t="str">
        <f>IF(Tb_DefCols[[#This Row],[Num Col]]&gt;26,"a" &amp; CHAR(Tb_DefCols[[#This Row],[Num Col]]-26+96),CHAR(Tb_DefCols[[#This Row],[Num Col]]+96))</f>
        <v>j</v>
      </c>
      <c r="K12" s="66">
        <v>10</v>
      </c>
      <c r="L12" s="58"/>
      <c r="M12" s="59">
        <f>LEN(Tb_DefCols[[#This Row],[Nombre]])</f>
        <v>7</v>
      </c>
      <c r="N12" s="60" t="str">
        <f>LEFT("Public Const "&amp;$N$1&amp;Tb_DefCols[[#This Row],[Nombre]]&amp;REPT(" ",50),Tb_DefCols[[#Totals],[LongNombre]]+25) &amp;LEFT("As Integer = " &amp;Tb_DefCols[[#This Row],[Num Col]] &amp; "           ",20)&amp;" ' col: " &amp;Tb_DefCols[[#This Row],[Letr Col]]</f>
        <v>Public Const TPV_Fichero         As Integer = 10      ' col: j</v>
      </c>
      <c r="O12" s="40"/>
    </row>
    <row r="13" spans="1:18" s="41" customFormat="1" ht="13.5">
      <c r="A13" s="71" t="s">
        <v>0</v>
      </c>
      <c r="B13" s="71"/>
      <c r="C13" s="56"/>
      <c r="D13" s="72"/>
      <c r="E13" s="56"/>
      <c r="F13" s="56"/>
      <c r="G13" s="56"/>
      <c r="H13" s="56"/>
      <c r="I13" s="56"/>
      <c r="J13" s="73"/>
      <c r="K13" s="73"/>
      <c r="L13" s="74"/>
      <c r="M13" s="73">
        <f>SUBTOTAL(104,Tb_DefCols[LongNombre])</f>
        <v>8</v>
      </c>
      <c r="N13" s="75">
        <f>SUBTOTAL(103,Tb_DefCols[Public Const Num-Col])</f>
        <v>10</v>
      </c>
      <c r="O13" s="40"/>
    </row>
    <row r="14" spans="1:18" s="41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 s="40"/>
    </row>
  </sheetData>
  <sheetProtection sort="0" autoFilter="0"/>
  <mergeCells count="1">
    <mergeCell ref="P1:R1"/>
  </mergeCells>
  <conditionalFormatting sqref="H3:H12">
    <cfRule type="cellIs" dxfId="3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89BB-088B-4400-A2B4-8E826A8C1DDF}">
  <sheetPr codeName="JyC_TPV"/>
  <dimension ref="B1:L56"/>
  <sheetViews>
    <sheetView tabSelected="1" zoomScale="157" zoomScaleNormal="157" workbookViewId="0">
      <pane xSplit="3" ySplit="6" topLeftCell="D7" activePane="bottomRight" state="frozenSplit"/>
      <selection pane="topRight" activeCell="D1" sqref="D1"/>
      <selection pane="bottomLeft" activeCell="A7" sqref="A7"/>
      <selection pane="bottomRight" activeCell="B6" sqref="B6"/>
    </sheetView>
  </sheetViews>
  <sheetFormatPr baseColWidth="10" defaultColWidth="11.54296875" defaultRowHeight="15.5"/>
  <cols>
    <col min="1" max="1" width="2" style="3" customWidth="1"/>
    <col min="2" max="2" width="35.81640625" style="3" customWidth="1"/>
    <col min="3" max="3" width="16.54296875" style="3" customWidth="1"/>
    <col min="4" max="4" width="68.81640625" style="3" customWidth="1"/>
    <col min="5" max="6" width="13.81640625" style="3" customWidth="1"/>
    <col min="7" max="7" width="8.54296875" style="3" customWidth="1"/>
    <col min="8" max="8" width="13.54296875" style="3" customWidth="1"/>
    <col min="9" max="9" width="11.453125" style="3" customWidth="1"/>
    <col min="10" max="10" width="12.54296875" style="3" customWidth="1"/>
    <col min="11" max="11" width="18.54296875" style="11" customWidth="1"/>
    <col min="12" max="16384" width="11.54296875" style="3"/>
  </cols>
  <sheetData>
    <row r="1" spans="2:12" ht="8.25" customHeight="1" thickBot="1"/>
    <row r="2" spans="2:12" ht="49.4" customHeight="1" thickBot="1">
      <c r="C2" s="82" t="s">
        <v>467</v>
      </c>
      <c r="D2" s="114" t="s">
        <v>543</v>
      </c>
      <c r="E2" s="115"/>
      <c r="F2" s="116"/>
    </row>
    <row r="3" spans="2:12" ht="19.399999999999999" customHeight="1" thickBot="1">
      <c r="C3" s="31" t="s">
        <v>468</v>
      </c>
      <c r="D3" s="112" t="s">
        <v>471</v>
      </c>
      <c r="E3" s="117" t="s">
        <v>544</v>
      </c>
      <c r="F3" s="118"/>
    </row>
    <row r="4" spans="2:12" ht="19.399999999999999" customHeight="1" thickBot="1">
      <c r="C4" s="30" t="s">
        <v>408</v>
      </c>
      <c r="D4" s="33" t="s">
        <v>470</v>
      </c>
      <c r="E4" s="29"/>
    </row>
    <row r="5" spans="2:12" s="4" customFormat="1" ht="24" customHeight="1">
      <c r="C5" s="32">
        <f>Tabla_TPV_Bco[[#Totals],[Referencia]]</f>
        <v>49</v>
      </c>
      <c r="G5" s="24" t="s">
        <v>407</v>
      </c>
      <c r="H5" s="21">
        <f>Tabla_TPV_Bco[[#Totals],[Importe]]</f>
        <v>3480</v>
      </c>
      <c r="I5" s="21">
        <f>Tabla_TPV_Bco[[#Totals],[Comisión]]</f>
        <v>9.8100000000000058</v>
      </c>
      <c r="J5" s="21">
        <f>Tabla_TPV_Bco[[#Totals],[Cobrado]]</f>
        <v>90</v>
      </c>
    </row>
    <row r="6" spans="2:12" s="11" customFormat="1" ht="26">
      <c r="B6" s="84" t="s">
        <v>1</v>
      </c>
      <c r="C6" s="88" t="s">
        <v>2</v>
      </c>
      <c r="D6" s="86" t="s">
        <v>5</v>
      </c>
      <c r="E6" s="86" t="s">
        <v>405</v>
      </c>
      <c r="F6" s="19" t="s">
        <v>406</v>
      </c>
      <c r="G6" s="86" t="s">
        <v>6</v>
      </c>
      <c r="H6" s="19" t="s">
        <v>3</v>
      </c>
      <c r="I6" s="19" t="s">
        <v>394</v>
      </c>
      <c r="J6" s="22" t="s">
        <v>4</v>
      </c>
      <c r="K6" s="89" t="s">
        <v>403</v>
      </c>
    </row>
    <row r="7" spans="2:12">
      <c r="B7" s="20" t="s">
        <v>518</v>
      </c>
      <c r="C7" s="91">
        <v>9926003227214</v>
      </c>
      <c r="D7" s="85" t="s">
        <v>524</v>
      </c>
      <c r="E7" s="92">
        <v>46030</v>
      </c>
      <c r="F7" s="17">
        <v>46030</v>
      </c>
      <c r="G7" s="87" t="s">
        <v>472</v>
      </c>
      <c r="H7" s="18">
        <v>70</v>
      </c>
      <c r="I7" s="18">
        <v>0.15</v>
      </c>
      <c r="J7" s="23" t="s">
        <v>546</v>
      </c>
      <c r="K7" s="90" t="s">
        <v>474</v>
      </c>
      <c r="L7" s="11"/>
    </row>
    <row r="8" spans="2:12">
      <c r="B8" s="20" t="s">
        <v>486</v>
      </c>
      <c r="C8" s="91">
        <v>9926003227610</v>
      </c>
      <c r="D8" s="85" t="s">
        <v>524</v>
      </c>
      <c r="E8" s="92">
        <v>46030</v>
      </c>
      <c r="F8" s="17">
        <v>46030</v>
      </c>
      <c r="G8" s="87" t="s">
        <v>472</v>
      </c>
      <c r="H8" s="18">
        <v>70</v>
      </c>
      <c r="I8" s="18">
        <v>0.15</v>
      </c>
      <c r="J8" s="23" t="s">
        <v>546</v>
      </c>
      <c r="K8" s="90" t="s">
        <v>474</v>
      </c>
      <c r="L8" s="11"/>
    </row>
    <row r="9" spans="2:12">
      <c r="B9" s="20" t="s">
        <v>485</v>
      </c>
      <c r="C9" s="91">
        <v>9926003228699</v>
      </c>
      <c r="D9" s="85" t="s">
        <v>524</v>
      </c>
      <c r="E9" s="92">
        <v>46031</v>
      </c>
      <c r="F9" s="17">
        <v>46031</v>
      </c>
      <c r="G9" s="87" t="s">
        <v>404</v>
      </c>
      <c r="H9" s="18">
        <v>70</v>
      </c>
      <c r="I9" s="18">
        <v>0.23</v>
      </c>
      <c r="J9" s="23" t="s">
        <v>550</v>
      </c>
      <c r="K9" s="90" t="s">
        <v>474</v>
      </c>
      <c r="L9" s="11"/>
    </row>
    <row r="10" spans="2:12">
      <c r="B10" s="20" t="s">
        <v>477</v>
      </c>
      <c r="C10" s="91">
        <v>9926003228798</v>
      </c>
      <c r="D10" s="85" t="s">
        <v>524</v>
      </c>
      <c r="E10" s="92">
        <v>46031</v>
      </c>
      <c r="F10" s="17">
        <v>46031</v>
      </c>
      <c r="G10" s="87" t="s">
        <v>472</v>
      </c>
      <c r="H10" s="18">
        <v>70</v>
      </c>
      <c r="I10" s="18">
        <v>0.15</v>
      </c>
      <c r="J10" s="23" t="s">
        <v>546</v>
      </c>
      <c r="K10" s="90" t="s">
        <v>474</v>
      </c>
      <c r="L10" s="11"/>
    </row>
    <row r="11" spans="2:12" ht="25">
      <c r="B11" s="20" t="s">
        <v>514</v>
      </c>
      <c r="C11" s="91">
        <v>9926003228889</v>
      </c>
      <c r="D11" s="85" t="s">
        <v>525</v>
      </c>
      <c r="E11" s="92">
        <v>46032</v>
      </c>
      <c r="F11" s="17">
        <v>46032</v>
      </c>
      <c r="G11" s="87" t="s">
        <v>404</v>
      </c>
      <c r="H11" s="18">
        <v>105</v>
      </c>
      <c r="I11" s="18">
        <v>0.35</v>
      </c>
      <c r="J11" s="23" t="s">
        <v>547</v>
      </c>
      <c r="K11" s="90" t="s">
        <v>474</v>
      </c>
      <c r="L11" s="11"/>
    </row>
    <row r="12" spans="2:12">
      <c r="B12" s="20" t="s">
        <v>508</v>
      </c>
      <c r="C12" s="91">
        <v>9926003228996</v>
      </c>
      <c r="D12" s="85" t="s">
        <v>524</v>
      </c>
      <c r="E12" s="92">
        <v>46032</v>
      </c>
      <c r="F12" s="17">
        <v>46032</v>
      </c>
      <c r="G12" s="87" t="s">
        <v>404</v>
      </c>
      <c r="H12" s="18">
        <v>70</v>
      </c>
      <c r="I12" s="18">
        <v>0.23</v>
      </c>
      <c r="J12" s="23" t="s">
        <v>550</v>
      </c>
      <c r="K12" s="90" t="s">
        <v>474</v>
      </c>
      <c r="L12" s="11"/>
    </row>
    <row r="13" spans="2:12" ht="25">
      <c r="B13" s="20" t="s">
        <v>512</v>
      </c>
      <c r="C13" s="91">
        <v>9926003229460</v>
      </c>
      <c r="D13" s="85" t="s">
        <v>526</v>
      </c>
      <c r="E13" s="92">
        <v>46033</v>
      </c>
      <c r="F13" s="17">
        <v>46033</v>
      </c>
      <c r="G13" s="87" t="s">
        <v>404</v>
      </c>
      <c r="H13" s="18">
        <v>80</v>
      </c>
      <c r="I13" s="18">
        <v>0.26</v>
      </c>
      <c r="J13" s="23" t="s">
        <v>549</v>
      </c>
      <c r="K13" s="90" t="s">
        <v>474</v>
      </c>
      <c r="L13" s="11"/>
    </row>
    <row r="14" spans="2:12">
      <c r="B14" s="20" t="s">
        <v>501</v>
      </c>
      <c r="C14" s="91">
        <v>9926003229689</v>
      </c>
      <c r="D14" s="85" t="s">
        <v>524</v>
      </c>
      <c r="E14" s="92">
        <v>46033</v>
      </c>
      <c r="F14" s="17">
        <v>46033</v>
      </c>
      <c r="G14" s="87" t="s">
        <v>404</v>
      </c>
      <c r="H14" s="18">
        <v>70</v>
      </c>
      <c r="I14" s="18">
        <v>0.23</v>
      </c>
      <c r="J14" s="23" t="s">
        <v>550</v>
      </c>
      <c r="K14" s="90" t="s">
        <v>474</v>
      </c>
      <c r="L14" s="11"/>
    </row>
    <row r="15" spans="2:12" ht="28">
      <c r="B15" s="20" t="s">
        <v>515</v>
      </c>
      <c r="C15" s="91">
        <v>9926003229887</v>
      </c>
      <c r="D15" s="85" t="s">
        <v>524</v>
      </c>
      <c r="E15" s="92">
        <v>46033</v>
      </c>
      <c r="F15" s="17">
        <v>46033</v>
      </c>
      <c r="G15" s="87" t="s">
        <v>404</v>
      </c>
      <c r="H15" s="18">
        <v>70</v>
      </c>
      <c r="I15" s="18">
        <v>0.23</v>
      </c>
      <c r="J15" s="23" t="s">
        <v>550</v>
      </c>
      <c r="K15" s="90" t="s">
        <v>474</v>
      </c>
      <c r="L15" s="11"/>
    </row>
    <row r="16" spans="2:12" ht="25">
      <c r="B16" s="20" t="s">
        <v>516</v>
      </c>
      <c r="C16" s="91">
        <v>9926003230252</v>
      </c>
      <c r="D16" s="85" t="s">
        <v>526</v>
      </c>
      <c r="E16" s="92">
        <v>46034</v>
      </c>
      <c r="F16" s="17">
        <v>46034</v>
      </c>
      <c r="G16" s="87" t="s">
        <v>404</v>
      </c>
      <c r="H16" s="18">
        <v>80</v>
      </c>
      <c r="I16" s="18">
        <v>0.26</v>
      </c>
      <c r="J16" s="23" t="s">
        <v>549</v>
      </c>
      <c r="K16" s="90" t="s">
        <v>474</v>
      </c>
      <c r="L16" s="11"/>
    </row>
    <row r="17" spans="2:12" ht="25">
      <c r="B17" s="20" t="s">
        <v>511</v>
      </c>
      <c r="C17" s="91">
        <v>9926003230450</v>
      </c>
      <c r="D17" s="85" t="s">
        <v>526</v>
      </c>
      <c r="E17" s="92">
        <v>46034</v>
      </c>
      <c r="F17" s="17">
        <v>46034</v>
      </c>
      <c r="G17" s="87" t="s">
        <v>404</v>
      </c>
      <c r="H17" s="18">
        <v>80</v>
      </c>
      <c r="I17" s="18">
        <v>0.26</v>
      </c>
      <c r="J17" s="23" t="s">
        <v>549</v>
      </c>
      <c r="K17" s="90" t="s">
        <v>474</v>
      </c>
      <c r="L17" s="11"/>
    </row>
    <row r="18" spans="2:12" ht="25">
      <c r="B18" s="20" t="s">
        <v>475</v>
      </c>
      <c r="C18" s="91">
        <v>9926003230671</v>
      </c>
      <c r="D18" s="85" t="s">
        <v>525</v>
      </c>
      <c r="E18" s="92">
        <v>46034</v>
      </c>
      <c r="F18" s="17">
        <v>46034</v>
      </c>
      <c r="G18" s="87" t="s">
        <v>404</v>
      </c>
      <c r="H18" s="18">
        <v>105</v>
      </c>
      <c r="I18" s="18">
        <v>0.35</v>
      </c>
      <c r="J18" s="23" t="s">
        <v>547</v>
      </c>
      <c r="K18" s="90" t="s">
        <v>474</v>
      </c>
      <c r="L18" s="11"/>
    </row>
    <row r="19" spans="2:12">
      <c r="B19" s="20" t="s">
        <v>483</v>
      </c>
      <c r="C19" s="91">
        <v>9926003231075</v>
      </c>
      <c r="D19" s="85" t="s">
        <v>524</v>
      </c>
      <c r="E19" s="92">
        <v>46034</v>
      </c>
      <c r="F19" s="17">
        <v>46034</v>
      </c>
      <c r="G19" s="87" t="s">
        <v>472</v>
      </c>
      <c r="H19" s="18">
        <v>70</v>
      </c>
      <c r="I19" s="18">
        <v>0.15</v>
      </c>
      <c r="J19" s="23" t="s">
        <v>546</v>
      </c>
      <c r="K19" s="90" t="s">
        <v>474</v>
      </c>
      <c r="L19" s="11"/>
    </row>
    <row r="20" spans="2:12">
      <c r="B20" s="20" t="s">
        <v>503</v>
      </c>
      <c r="C20" s="91">
        <v>9926003231242</v>
      </c>
      <c r="D20" s="85" t="s">
        <v>527</v>
      </c>
      <c r="E20" s="92">
        <v>46035</v>
      </c>
      <c r="F20" s="17">
        <v>46035</v>
      </c>
      <c r="G20" s="87" t="s">
        <v>404</v>
      </c>
      <c r="H20" s="18">
        <v>80</v>
      </c>
      <c r="I20" s="18">
        <v>0.26</v>
      </c>
      <c r="J20" s="23" t="s">
        <v>549</v>
      </c>
      <c r="K20" s="90" t="s">
        <v>474</v>
      </c>
      <c r="L20" s="11"/>
    </row>
    <row r="21" spans="2:12" ht="25">
      <c r="B21" s="20" t="s">
        <v>500</v>
      </c>
      <c r="C21" s="91">
        <v>9926003231440</v>
      </c>
      <c r="D21" s="85" t="s">
        <v>526</v>
      </c>
      <c r="E21" s="92">
        <v>46035</v>
      </c>
      <c r="F21" s="17">
        <v>46035</v>
      </c>
      <c r="G21" s="87" t="s">
        <v>404</v>
      </c>
      <c r="H21" s="18">
        <v>80</v>
      </c>
      <c r="I21" s="18">
        <v>0.26</v>
      </c>
      <c r="J21" s="23" t="s">
        <v>549</v>
      </c>
      <c r="K21" s="90" t="s">
        <v>474</v>
      </c>
      <c r="L21" s="11"/>
    </row>
    <row r="22" spans="2:12">
      <c r="B22" s="20" t="s">
        <v>489</v>
      </c>
      <c r="C22" s="91">
        <v>9926003231737</v>
      </c>
      <c r="D22" s="85" t="s">
        <v>527</v>
      </c>
      <c r="E22" s="92">
        <v>46035</v>
      </c>
      <c r="F22" s="17">
        <v>46035</v>
      </c>
      <c r="G22" s="87" t="s">
        <v>404</v>
      </c>
      <c r="H22" s="18">
        <v>80</v>
      </c>
      <c r="I22" s="18">
        <v>0.26</v>
      </c>
      <c r="J22" s="23" t="s">
        <v>549</v>
      </c>
      <c r="K22" s="90" t="s">
        <v>474</v>
      </c>
      <c r="L22" s="11"/>
    </row>
    <row r="23" spans="2:12">
      <c r="B23" s="20" t="s">
        <v>490</v>
      </c>
      <c r="C23" s="91">
        <v>9926003231836</v>
      </c>
      <c r="D23" s="85" t="s">
        <v>527</v>
      </c>
      <c r="E23" s="92">
        <v>46035</v>
      </c>
      <c r="F23" s="17">
        <v>46035</v>
      </c>
      <c r="G23" s="87" t="s">
        <v>472</v>
      </c>
      <c r="H23" s="18">
        <v>80</v>
      </c>
      <c r="I23" s="18">
        <v>0.15</v>
      </c>
      <c r="J23" s="23" t="s">
        <v>548</v>
      </c>
      <c r="K23" s="90" t="s">
        <v>474</v>
      </c>
      <c r="L23" s="11"/>
    </row>
    <row r="24" spans="2:12">
      <c r="B24" s="20" t="s">
        <v>506</v>
      </c>
      <c r="C24" s="91">
        <v>9926003232064</v>
      </c>
      <c r="D24" s="85" t="s">
        <v>524</v>
      </c>
      <c r="E24" s="92">
        <v>46036</v>
      </c>
      <c r="F24" s="17">
        <v>46036</v>
      </c>
      <c r="G24" s="87" t="s">
        <v>404</v>
      </c>
      <c r="H24" s="18">
        <v>70</v>
      </c>
      <c r="I24" s="18">
        <v>0.23</v>
      </c>
      <c r="J24" s="23" t="s">
        <v>550</v>
      </c>
      <c r="K24" s="90" t="s">
        <v>474</v>
      </c>
      <c r="L24" s="11"/>
    </row>
    <row r="25" spans="2:12">
      <c r="B25" s="20" t="s">
        <v>507</v>
      </c>
      <c r="C25" s="91">
        <v>9926003232262</v>
      </c>
      <c r="D25" s="85" t="s">
        <v>524</v>
      </c>
      <c r="E25" s="92">
        <v>46036</v>
      </c>
      <c r="F25" s="17">
        <v>46036</v>
      </c>
      <c r="G25" s="87" t="s">
        <v>404</v>
      </c>
      <c r="H25" s="18">
        <v>70</v>
      </c>
      <c r="I25" s="18">
        <v>0.23</v>
      </c>
      <c r="J25" s="23" t="s">
        <v>550</v>
      </c>
      <c r="K25" s="90" t="s">
        <v>474</v>
      </c>
      <c r="L25" s="11"/>
    </row>
    <row r="26" spans="2:12" ht="25">
      <c r="B26" s="20" t="s">
        <v>519</v>
      </c>
      <c r="C26" s="91">
        <v>9926003232353</v>
      </c>
      <c r="D26" s="85" t="s">
        <v>525</v>
      </c>
      <c r="E26" s="92">
        <v>46036</v>
      </c>
      <c r="F26" s="17">
        <v>46036</v>
      </c>
      <c r="G26" s="87" t="s">
        <v>472</v>
      </c>
      <c r="H26" s="18">
        <v>105</v>
      </c>
      <c r="I26" s="18">
        <v>0.15</v>
      </c>
      <c r="J26" s="23" t="s">
        <v>555</v>
      </c>
      <c r="K26" s="90" t="s">
        <v>474</v>
      </c>
      <c r="L26" s="11"/>
    </row>
    <row r="27" spans="2:12">
      <c r="B27" s="20" t="s">
        <v>502</v>
      </c>
      <c r="C27" s="91">
        <v>9926003232460</v>
      </c>
      <c r="D27" s="85" t="s">
        <v>524</v>
      </c>
      <c r="E27" s="92">
        <v>46036</v>
      </c>
      <c r="F27" s="17">
        <v>46036</v>
      </c>
      <c r="G27" s="87" t="s">
        <v>404</v>
      </c>
      <c r="H27" s="18">
        <v>70</v>
      </c>
      <c r="I27" s="18">
        <v>0.23</v>
      </c>
      <c r="J27" s="23" t="s">
        <v>550</v>
      </c>
      <c r="K27" s="90" t="s">
        <v>474</v>
      </c>
      <c r="L27" s="11"/>
    </row>
    <row r="28" spans="2:12">
      <c r="B28" s="20" t="s">
        <v>492</v>
      </c>
      <c r="C28" s="91">
        <v>9926003233054</v>
      </c>
      <c r="D28" s="85" t="s">
        <v>524</v>
      </c>
      <c r="E28" s="92">
        <v>46037</v>
      </c>
      <c r="F28" s="17">
        <v>46037</v>
      </c>
      <c r="G28" s="87" t="s">
        <v>404</v>
      </c>
      <c r="H28" s="18">
        <v>70</v>
      </c>
      <c r="I28" s="18">
        <v>0.23</v>
      </c>
      <c r="J28" s="23" t="s">
        <v>550</v>
      </c>
      <c r="K28" s="90" t="s">
        <v>474</v>
      </c>
      <c r="L28" s="11"/>
    </row>
    <row r="29" spans="2:12">
      <c r="B29" s="20" t="s">
        <v>488</v>
      </c>
      <c r="C29" s="91">
        <v>9926003233221</v>
      </c>
      <c r="D29" s="85" t="s">
        <v>527</v>
      </c>
      <c r="E29" s="92">
        <v>46037</v>
      </c>
      <c r="F29" s="17">
        <v>46037</v>
      </c>
      <c r="G29" s="87" t="s">
        <v>404</v>
      </c>
      <c r="H29" s="18">
        <v>80</v>
      </c>
      <c r="I29" s="18">
        <v>0.26</v>
      </c>
      <c r="J29" s="23" t="s">
        <v>549</v>
      </c>
      <c r="K29" s="90" t="s">
        <v>474</v>
      </c>
      <c r="L29" s="11"/>
    </row>
    <row r="30" spans="2:12">
      <c r="B30" s="20" t="s">
        <v>520</v>
      </c>
      <c r="C30" s="91">
        <v>9926003233846</v>
      </c>
      <c r="D30" s="85" t="s">
        <v>524</v>
      </c>
      <c r="E30" s="92">
        <v>46038</v>
      </c>
      <c r="F30" s="17">
        <v>46038</v>
      </c>
      <c r="G30" s="87" t="s">
        <v>404</v>
      </c>
      <c r="H30" s="18">
        <v>70</v>
      </c>
      <c r="I30" s="18">
        <v>0.23</v>
      </c>
      <c r="J30" s="23" t="s">
        <v>550</v>
      </c>
      <c r="K30" s="90" t="s">
        <v>474</v>
      </c>
      <c r="L30" s="11"/>
    </row>
    <row r="31" spans="2:12">
      <c r="B31" s="20" t="s">
        <v>496</v>
      </c>
      <c r="C31" s="91">
        <v>9926003234714</v>
      </c>
      <c r="D31" s="85" t="s">
        <v>529</v>
      </c>
      <c r="E31" s="92">
        <v>46038</v>
      </c>
      <c r="F31" s="17">
        <v>46038</v>
      </c>
      <c r="G31" s="87" t="s">
        <v>404</v>
      </c>
      <c r="H31" s="18">
        <v>45</v>
      </c>
      <c r="I31" s="18">
        <v>0.15</v>
      </c>
      <c r="J31" s="23" t="s">
        <v>552</v>
      </c>
      <c r="K31" s="90" t="s">
        <v>474</v>
      </c>
      <c r="L31" s="11"/>
    </row>
    <row r="32" spans="2:12">
      <c r="B32" s="20" t="s">
        <v>510</v>
      </c>
      <c r="C32" s="91">
        <v>9926003234844</v>
      </c>
      <c r="D32" s="85" t="s">
        <v>531</v>
      </c>
      <c r="E32" s="92">
        <v>46039</v>
      </c>
      <c r="F32" s="17">
        <v>46039</v>
      </c>
      <c r="G32" s="87" t="s">
        <v>472</v>
      </c>
      <c r="H32" s="18">
        <v>35</v>
      </c>
      <c r="I32" s="18">
        <v>0.15</v>
      </c>
      <c r="J32" s="23" t="s">
        <v>553</v>
      </c>
      <c r="K32" s="90" t="s">
        <v>474</v>
      </c>
      <c r="L32" s="11"/>
    </row>
    <row r="33" spans="2:12">
      <c r="B33" s="20" t="s">
        <v>504</v>
      </c>
      <c r="C33" s="91">
        <v>9926003234935</v>
      </c>
      <c r="D33" s="85" t="s">
        <v>524</v>
      </c>
      <c r="E33" s="92">
        <v>46039</v>
      </c>
      <c r="F33" s="17">
        <v>46039</v>
      </c>
      <c r="G33" s="87" t="s">
        <v>472</v>
      </c>
      <c r="H33" s="18">
        <v>70</v>
      </c>
      <c r="I33" s="18">
        <v>0.15</v>
      </c>
      <c r="J33" s="23" t="s">
        <v>546</v>
      </c>
      <c r="K33" s="90" t="s">
        <v>474</v>
      </c>
      <c r="L33" s="11"/>
    </row>
    <row r="34" spans="2:12" ht="25">
      <c r="B34" s="20" t="s">
        <v>509</v>
      </c>
      <c r="C34" s="91">
        <v>9926003236488</v>
      </c>
      <c r="D34" s="85" t="s">
        <v>526</v>
      </c>
      <c r="E34" s="92">
        <v>46041</v>
      </c>
      <c r="F34" s="17">
        <v>46041</v>
      </c>
      <c r="G34" s="87" t="s">
        <v>404</v>
      </c>
      <c r="H34" s="18">
        <v>80</v>
      </c>
      <c r="I34" s="18">
        <v>0.26</v>
      </c>
      <c r="J34" s="23" t="s">
        <v>549</v>
      </c>
      <c r="K34" s="90" t="s">
        <v>474</v>
      </c>
      <c r="L34" s="11"/>
    </row>
    <row r="35" spans="2:12" ht="25">
      <c r="B35" s="20" t="s">
        <v>481</v>
      </c>
      <c r="C35" s="91">
        <v>9926003236655</v>
      </c>
      <c r="D35" s="85" t="s">
        <v>528</v>
      </c>
      <c r="E35" s="92">
        <v>46041</v>
      </c>
      <c r="F35" s="17">
        <v>46044</v>
      </c>
      <c r="G35" s="87" t="s">
        <v>473</v>
      </c>
      <c r="H35" s="18">
        <v>90</v>
      </c>
      <c r="I35" s="18"/>
      <c r="J35" s="23">
        <v>90</v>
      </c>
      <c r="K35" s="90" t="s">
        <v>474</v>
      </c>
      <c r="L35" s="11"/>
    </row>
    <row r="36" spans="2:12">
      <c r="B36" s="20" t="s">
        <v>482</v>
      </c>
      <c r="C36" s="91">
        <v>9926003236914</v>
      </c>
      <c r="D36" s="85" t="s">
        <v>524</v>
      </c>
      <c r="E36" s="92">
        <v>46041</v>
      </c>
      <c r="F36" s="17">
        <v>46041</v>
      </c>
      <c r="G36" s="87" t="s">
        <v>472</v>
      </c>
      <c r="H36" s="18">
        <v>70</v>
      </c>
      <c r="I36" s="18">
        <v>0.15</v>
      </c>
      <c r="J36" s="23" t="s">
        <v>546</v>
      </c>
      <c r="K36" s="90" t="s">
        <v>474</v>
      </c>
      <c r="L36" s="11"/>
    </row>
    <row r="37" spans="2:12">
      <c r="B37" s="20" t="s">
        <v>484</v>
      </c>
      <c r="C37" s="91">
        <v>9926003237013</v>
      </c>
      <c r="D37" s="85" t="s">
        <v>524</v>
      </c>
      <c r="E37" s="92">
        <v>46041</v>
      </c>
      <c r="F37" s="17">
        <v>46041</v>
      </c>
      <c r="G37" s="87" t="s">
        <v>472</v>
      </c>
      <c r="H37" s="18">
        <v>70</v>
      </c>
      <c r="I37" s="18">
        <v>0.15</v>
      </c>
      <c r="J37" s="23" t="s">
        <v>546</v>
      </c>
      <c r="K37" s="90" t="s">
        <v>474</v>
      </c>
      <c r="L37" s="11"/>
    </row>
    <row r="38" spans="2:12" ht="25">
      <c r="B38" s="20" t="s">
        <v>505</v>
      </c>
      <c r="C38" s="91">
        <v>9926003237379</v>
      </c>
      <c r="D38" s="85" t="s">
        <v>526</v>
      </c>
      <c r="E38" s="92">
        <v>46042</v>
      </c>
      <c r="F38" s="17">
        <v>46042</v>
      </c>
      <c r="G38" s="87" t="s">
        <v>404</v>
      </c>
      <c r="H38" s="18">
        <v>80</v>
      </c>
      <c r="I38" s="18">
        <v>0.26</v>
      </c>
      <c r="J38" s="23" t="s">
        <v>549</v>
      </c>
      <c r="K38" s="90" t="s">
        <v>474</v>
      </c>
      <c r="L38" s="11"/>
    </row>
    <row r="39" spans="2:12" ht="28">
      <c r="B39" s="20" t="s">
        <v>476</v>
      </c>
      <c r="C39" s="91">
        <v>9926003238931</v>
      </c>
      <c r="D39" s="85" t="s">
        <v>528</v>
      </c>
      <c r="E39" s="92">
        <v>46043</v>
      </c>
      <c r="F39" s="17">
        <v>46043</v>
      </c>
      <c r="G39" s="87" t="s">
        <v>472</v>
      </c>
      <c r="H39" s="18">
        <v>90</v>
      </c>
      <c r="I39" s="18">
        <v>0.15</v>
      </c>
      <c r="J39" s="23" t="s">
        <v>551</v>
      </c>
      <c r="K39" s="90" t="s">
        <v>474</v>
      </c>
      <c r="L39" s="11"/>
    </row>
    <row r="40" spans="2:12" ht="25">
      <c r="B40" s="20" t="s">
        <v>487</v>
      </c>
      <c r="C40" s="91">
        <v>9926003239228</v>
      </c>
      <c r="D40" s="85" t="s">
        <v>528</v>
      </c>
      <c r="E40" s="92">
        <v>46043</v>
      </c>
      <c r="F40" s="17">
        <v>46043</v>
      </c>
      <c r="G40" s="87" t="s">
        <v>404</v>
      </c>
      <c r="H40" s="18">
        <v>90</v>
      </c>
      <c r="I40" s="18">
        <v>0.3</v>
      </c>
      <c r="J40" s="23" t="s">
        <v>554</v>
      </c>
      <c r="K40" s="90" t="s">
        <v>474</v>
      </c>
      <c r="L40" s="11"/>
    </row>
    <row r="41" spans="2:12">
      <c r="B41" s="20" t="s">
        <v>522</v>
      </c>
      <c r="C41" s="91">
        <v>9926003239861</v>
      </c>
      <c r="D41" s="85" t="s">
        <v>529</v>
      </c>
      <c r="E41" s="92">
        <v>46043</v>
      </c>
      <c r="F41" s="17">
        <v>46043</v>
      </c>
      <c r="G41" s="87" t="s">
        <v>404</v>
      </c>
      <c r="H41" s="18">
        <v>45</v>
      </c>
      <c r="I41" s="18">
        <v>0.15</v>
      </c>
      <c r="J41" s="23" t="s">
        <v>552</v>
      </c>
      <c r="K41" s="90" t="s">
        <v>474</v>
      </c>
      <c r="L41" s="11"/>
    </row>
    <row r="42" spans="2:12">
      <c r="B42" s="20" t="s">
        <v>480</v>
      </c>
      <c r="C42" s="91">
        <v>9926003240554</v>
      </c>
      <c r="D42" s="85" t="s">
        <v>530</v>
      </c>
      <c r="E42" s="92">
        <v>46044</v>
      </c>
      <c r="F42" s="17">
        <v>46044</v>
      </c>
      <c r="G42" s="87" t="s">
        <v>404</v>
      </c>
      <c r="H42" s="18">
        <v>45</v>
      </c>
      <c r="I42" s="18">
        <v>0.15</v>
      </c>
      <c r="J42" s="23" t="s">
        <v>552</v>
      </c>
      <c r="K42" s="90" t="s">
        <v>474</v>
      </c>
      <c r="L42" s="11"/>
    </row>
    <row r="43" spans="2:12">
      <c r="B43" s="20" t="s">
        <v>478</v>
      </c>
      <c r="C43" s="91">
        <v>9926003242039</v>
      </c>
      <c r="D43" s="85" t="s">
        <v>529</v>
      </c>
      <c r="E43" s="92">
        <v>46047</v>
      </c>
      <c r="F43" s="17">
        <v>46047</v>
      </c>
      <c r="G43" s="87" t="s">
        <v>404</v>
      </c>
      <c r="H43" s="18">
        <v>45</v>
      </c>
      <c r="I43" s="18">
        <v>0.15</v>
      </c>
      <c r="J43" s="23" t="s">
        <v>552</v>
      </c>
      <c r="K43" s="90" t="s">
        <v>474</v>
      </c>
      <c r="L43" s="11"/>
    </row>
    <row r="44" spans="2:12" ht="25">
      <c r="B44" s="20" t="s">
        <v>499</v>
      </c>
      <c r="C44" s="91">
        <v>9926003242228</v>
      </c>
      <c r="D44" s="85" t="s">
        <v>526</v>
      </c>
      <c r="E44" s="92">
        <v>46047</v>
      </c>
      <c r="F44" s="17">
        <v>46047</v>
      </c>
      <c r="G44" s="87" t="s">
        <v>472</v>
      </c>
      <c r="H44" s="18">
        <v>80</v>
      </c>
      <c r="I44" s="18">
        <v>0.15</v>
      </c>
      <c r="J44" s="23" t="s">
        <v>548</v>
      </c>
      <c r="K44" s="90" t="s">
        <v>474</v>
      </c>
      <c r="L44" s="11"/>
    </row>
    <row r="45" spans="2:12">
      <c r="B45" s="20" t="s">
        <v>491</v>
      </c>
      <c r="C45" s="91">
        <v>9926003242426</v>
      </c>
      <c r="D45" s="85" t="s">
        <v>527</v>
      </c>
      <c r="E45" s="92">
        <v>46048</v>
      </c>
      <c r="F45" s="17">
        <v>46048</v>
      </c>
      <c r="G45" s="87" t="s">
        <v>472</v>
      </c>
      <c r="H45" s="18">
        <v>80</v>
      </c>
      <c r="I45" s="18">
        <v>0.15</v>
      </c>
      <c r="J45" s="23" t="s">
        <v>548</v>
      </c>
      <c r="K45" s="90" t="s">
        <v>474</v>
      </c>
      <c r="L45" s="11"/>
    </row>
    <row r="46" spans="2:12" ht="25">
      <c r="B46" s="20" t="s">
        <v>513</v>
      </c>
      <c r="C46" s="91">
        <v>9926003242624</v>
      </c>
      <c r="D46" s="85" t="s">
        <v>526</v>
      </c>
      <c r="E46" s="92">
        <v>46048</v>
      </c>
      <c r="F46" s="17">
        <v>46048</v>
      </c>
      <c r="G46" s="87" t="s">
        <v>404</v>
      </c>
      <c r="H46" s="18">
        <v>80</v>
      </c>
      <c r="I46" s="18">
        <v>0.26</v>
      </c>
      <c r="J46" s="23" t="s">
        <v>549</v>
      </c>
      <c r="K46" s="90" t="s">
        <v>474</v>
      </c>
      <c r="L46" s="11"/>
    </row>
    <row r="47" spans="2:12" ht="25">
      <c r="B47" s="20" t="s">
        <v>523</v>
      </c>
      <c r="C47" s="91">
        <v>9926003242723</v>
      </c>
      <c r="D47" s="85" t="s">
        <v>526</v>
      </c>
      <c r="E47" s="92">
        <v>46048</v>
      </c>
      <c r="F47" s="17">
        <v>46048</v>
      </c>
      <c r="G47" s="87" t="s">
        <v>404</v>
      </c>
      <c r="H47" s="18">
        <v>80</v>
      </c>
      <c r="I47" s="18">
        <v>0.26</v>
      </c>
      <c r="J47" s="23" t="s">
        <v>549</v>
      </c>
      <c r="K47" s="90" t="s">
        <v>474</v>
      </c>
      <c r="L47" s="11"/>
    </row>
    <row r="48" spans="2:12">
      <c r="B48" s="20" t="s">
        <v>498</v>
      </c>
      <c r="C48" s="91">
        <v>9926003243645</v>
      </c>
      <c r="D48" s="85" t="s">
        <v>524</v>
      </c>
      <c r="E48" s="92">
        <v>46048</v>
      </c>
      <c r="F48" s="17">
        <v>46048</v>
      </c>
      <c r="G48" s="87" t="s">
        <v>472</v>
      </c>
      <c r="H48" s="18">
        <v>70</v>
      </c>
      <c r="I48" s="18">
        <v>0.15</v>
      </c>
      <c r="J48" s="23" t="s">
        <v>546</v>
      </c>
      <c r="K48" s="90" t="s">
        <v>474</v>
      </c>
      <c r="L48" s="11"/>
    </row>
    <row r="49" spans="2:12" ht="25">
      <c r="B49" s="20" t="s">
        <v>521</v>
      </c>
      <c r="C49" s="91">
        <v>9926003243713</v>
      </c>
      <c r="D49" s="85" t="s">
        <v>526</v>
      </c>
      <c r="E49" s="92">
        <v>46048</v>
      </c>
      <c r="F49" s="17">
        <v>46048</v>
      </c>
      <c r="G49" s="87" t="s">
        <v>472</v>
      </c>
      <c r="H49" s="18">
        <v>80</v>
      </c>
      <c r="I49" s="18">
        <v>0.15</v>
      </c>
      <c r="J49" s="23" t="s">
        <v>548</v>
      </c>
      <c r="K49" s="90" t="s">
        <v>474</v>
      </c>
      <c r="L49" s="11"/>
    </row>
    <row r="50" spans="2:12">
      <c r="B50" s="20" t="s">
        <v>521</v>
      </c>
      <c r="C50" s="91">
        <v>9926003243828</v>
      </c>
      <c r="D50" s="85" t="s">
        <v>494</v>
      </c>
      <c r="E50" s="92">
        <v>46048</v>
      </c>
      <c r="F50" s="17">
        <v>46048</v>
      </c>
      <c r="G50" s="87" t="s">
        <v>472</v>
      </c>
      <c r="H50" s="18">
        <v>10</v>
      </c>
      <c r="I50" s="18">
        <v>0.15</v>
      </c>
      <c r="J50" s="23" t="s">
        <v>557</v>
      </c>
      <c r="K50" s="90" t="s">
        <v>474</v>
      </c>
      <c r="L50" s="11"/>
    </row>
    <row r="51" spans="2:12">
      <c r="B51" s="20" t="s">
        <v>517</v>
      </c>
      <c r="C51" s="91">
        <v>9926003243950</v>
      </c>
      <c r="D51" s="85" t="s">
        <v>531</v>
      </c>
      <c r="E51" s="92">
        <v>46048</v>
      </c>
      <c r="F51" s="17">
        <v>46048</v>
      </c>
      <c r="G51" s="87" t="s">
        <v>472</v>
      </c>
      <c r="H51" s="18">
        <v>35</v>
      </c>
      <c r="I51" s="18">
        <v>0.15</v>
      </c>
      <c r="J51" s="23" t="s">
        <v>553</v>
      </c>
      <c r="K51" s="90" t="s">
        <v>474</v>
      </c>
      <c r="L51" s="11"/>
    </row>
    <row r="52" spans="2:12">
      <c r="B52" s="20" t="s">
        <v>479</v>
      </c>
      <c r="C52" s="91">
        <v>9926003244635</v>
      </c>
      <c r="D52" s="85" t="s">
        <v>524</v>
      </c>
      <c r="E52" s="92">
        <v>46049</v>
      </c>
      <c r="F52" s="17">
        <v>46049</v>
      </c>
      <c r="G52" s="87" t="s">
        <v>472</v>
      </c>
      <c r="H52" s="18">
        <v>70</v>
      </c>
      <c r="I52" s="18">
        <v>0.15</v>
      </c>
      <c r="J52" s="23" t="s">
        <v>546</v>
      </c>
      <c r="K52" s="90" t="s">
        <v>474</v>
      </c>
      <c r="L52" s="11"/>
    </row>
    <row r="53" spans="2:12">
      <c r="B53" s="20" t="s">
        <v>495</v>
      </c>
      <c r="C53" s="91">
        <v>9926003245030</v>
      </c>
      <c r="D53" s="85" t="s">
        <v>524</v>
      </c>
      <c r="E53" s="92">
        <v>46049</v>
      </c>
      <c r="F53" s="17">
        <v>46049</v>
      </c>
      <c r="G53" s="87" t="s">
        <v>404</v>
      </c>
      <c r="H53" s="18">
        <v>70</v>
      </c>
      <c r="I53" s="18">
        <v>0.23</v>
      </c>
      <c r="J53" s="23" t="s">
        <v>550</v>
      </c>
      <c r="K53" s="90" t="s">
        <v>474</v>
      </c>
      <c r="L53" s="11"/>
    </row>
    <row r="54" spans="2:12">
      <c r="B54" s="20" t="s">
        <v>497</v>
      </c>
      <c r="C54" s="91">
        <v>9926003247802</v>
      </c>
      <c r="D54" s="85" t="s">
        <v>532</v>
      </c>
      <c r="E54" s="92">
        <v>46052</v>
      </c>
      <c r="F54" s="17">
        <v>46052</v>
      </c>
      <c r="G54" s="87" t="s">
        <v>404</v>
      </c>
      <c r="H54" s="18">
        <v>70</v>
      </c>
      <c r="I54" s="18">
        <v>0.23</v>
      </c>
      <c r="J54" s="23" t="s">
        <v>550</v>
      </c>
      <c r="K54" s="90" t="s">
        <v>474</v>
      </c>
      <c r="L54" s="11"/>
    </row>
    <row r="55" spans="2:12">
      <c r="B55" s="20" t="s">
        <v>493</v>
      </c>
      <c r="C55" s="91">
        <v>9926003248899</v>
      </c>
      <c r="D55" s="85" t="s">
        <v>531</v>
      </c>
      <c r="E55" s="92">
        <v>46055</v>
      </c>
      <c r="F55" s="17">
        <v>46055</v>
      </c>
      <c r="G55" s="87" t="s">
        <v>404</v>
      </c>
      <c r="H55" s="18">
        <v>35</v>
      </c>
      <c r="I55" s="18">
        <v>0.12</v>
      </c>
      <c r="J55" s="23" t="s">
        <v>556</v>
      </c>
      <c r="K55" s="90" t="s">
        <v>474</v>
      </c>
      <c r="L55" s="11"/>
    </row>
    <row r="56" spans="2:12">
      <c r="B56" s="25"/>
      <c r="C56" s="26">
        <f>SUBTOTAL(103,Tabla_TPV_Bco[Referencia])</f>
        <v>49</v>
      </c>
      <c r="D56" s="2"/>
      <c r="E56" s="2"/>
      <c r="F56" s="2"/>
      <c r="G56" s="2"/>
      <c r="H56" s="27">
        <f>SUBTOTAL(109,Tabla_TPV_Bco[Importe])</f>
        <v>3480</v>
      </c>
      <c r="I56" s="27">
        <f>SUBTOTAL(109,Tabla_TPV_Bco[Comisión])</f>
        <v>9.8100000000000058</v>
      </c>
      <c r="J56" s="27">
        <f>SUBTOTAL(109,Tabla_TPV_Bco[Cobrado])</f>
        <v>90</v>
      </c>
      <c r="K56" s="2"/>
    </row>
  </sheetData>
  <sheetProtection sheet="1" objects="1" scenarios="1" sort="0" autoFilter="0"/>
  <mergeCells count="2">
    <mergeCell ref="D2:F2"/>
    <mergeCell ref="E3:F3"/>
  </mergeCells>
  <conditionalFormatting sqref="J7:K55">
    <cfRule type="cellIs" dxfId="2" priority="4" operator="equal">
      <formula>"Esperando comisión"</formula>
    </cfRule>
  </conditionalFormatting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B3986-6BF1-42AE-94CC-F61B7C126521}">
  <sheetPr codeName="JyC_Liq"/>
  <dimension ref="A1:H62"/>
  <sheetViews>
    <sheetView zoomScaleNormal="100" workbookViewId="0">
      <selection activeCell="B18" sqref="B18"/>
    </sheetView>
  </sheetViews>
  <sheetFormatPr baseColWidth="10" defaultColWidth="11.453125" defaultRowHeight="14.5"/>
  <cols>
    <col min="1" max="1" width="13.54296875" style="12" customWidth="1"/>
    <col min="2" max="2" width="40.81640625" style="12" customWidth="1"/>
    <col min="3" max="3" width="20.54296875" style="12" customWidth="1"/>
    <col min="4" max="4" width="40.81640625" style="12" customWidth="1"/>
    <col min="5" max="7" width="18.1796875" style="12" customWidth="1"/>
    <col min="8" max="8" width="74.54296875" style="12" customWidth="1"/>
    <col min="9" max="9" width="8.54296875" style="12" customWidth="1"/>
    <col min="10" max="10" width="56.54296875" style="12" customWidth="1"/>
    <col min="11" max="16384" width="11.453125" style="12"/>
  </cols>
  <sheetData>
    <row r="1" spans="1:8" ht="37.4" customHeight="1" thickBot="1">
      <c r="A1" s="121" t="s">
        <v>465</v>
      </c>
      <c r="B1" s="122"/>
      <c r="C1" s="122"/>
      <c r="D1" s="122"/>
      <c r="E1" s="122"/>
      <c r="F1" s="122"/>
      <c r="G1" s="122"/>
      <c r="H1" s="123"/>
    </row>
    <row r="2" spans="1:8" ht="6.75" customHeight="1">
      <c r="A2" s="1"/>
      <c r="B2" s="1"/>
      <c r="C2" s="1"/>
      <c r="D2" s="1"/>
      <c r="E2" s="1"/>
      <c r="F2" s="2"/>
      <c r="G2" s="2"/>
      <c r="H2" s="1"/>
    </row>
    <row r="3" spans="1:8" s="13" customFormat="1" ht="265" customHeight="1">
      <c r="A3" s="124" t="s">
        <v>402</v>
      </c>
      <c r="B3" s="125"/>
      <c r="C3" s="126" t="s">
        <v>545</v>
      </c>
      <c r="D3" s="127"/>
      <c r="E3" s="127"/>
      <c r="F3" s="127"/>
      <c r="G3" s="127"/>
      <c r="H3" s="128"/>
    </row>
    <row r="4" spans="1:8" s="13" customFormat="1" ht="6.75" customHeight="1">
      <c r="A4" s="119"/>
      <c r="B4" s="119"/>
      <c r="C4" s="129"/>
      <c r="D4" s="129"/>
      <c r="E4" s="129"/>
      <c r="F4" s="129"/>
      <c r="G4" s="129"/>
      <c r="H4" s="129"/>
    </row>
    <row r="5" spans="1:8" s="13" customFormat="1" ht="24.75" customHeight="1">
      <c r="A5" s="119" t="s">
        <v>395</v>
      </c>
      <c r="B5" s="120"/>
      <c r="C5" s="126" t="s">
        <v>471</v>
      </c>
      <c r="D5" s="127"/>
      <c r="E5" s="127"/>
      <c r="F5" s="127"/>
      <c r="G5" s="127"/>
      <c r="H5" s="128"/>
    </row>
    <row r="6" spans="1:8" s="13" customFormat="1" ht="6.75" customHeight="1">
      <c r="A6" s="119"/>
      <c r="B6" s="119"/>
      <c r="C6" s="129"/>
      <c r="D6" s="129"/>
      <c r="E6" s="129"/>
      <c r="F6" s="129"/>
      <c r="G6" s="129"/>
      <c r="H6" s="129"/>
    </row>
    <row r="7" spans="1:8" s="13" customFormat="1" ht="24.75" customHeight="1">
      <c r="A7" s="119" t="s">
        <v>396</v>
      </c>
      <c r="B7" s="120"/>
      <c r="C7" s="126" t="s">
        <v>470</v>
      </c>
      <c r="D7" s="127"/>
      <c r="E7" s="127"/>
      <c r="F7" s="127"/>
      <c r="G7" s="127"/>
      <c r="H7" s="128"/>
    </row>
    <row r="8" spans="1:8" s="13" customFormat="1" ht="6.75" customHeight="1">
      <c r="A8" s="119"/>
      <c r="B8" s="119"/>
      <c r="C8" s="129"/>
      <c r="D8" s="131"/>
      <c r="E8" s="131"/>
      <c r="F8" s="131"/>
      <c r="G8" s="131"/>
      <c r="H8" s="131"/>
    </row>
    <row r="9" spans="1:8" s="13" customFormat="1" ht="21" customHeight="1">
      <c r="A9" s="130" t="s">
        <v>469</v>
      </c>
      <c r="B9" s="120"/>
      <c r="C9" s="83">
        <f>Tb_Liquid[[#Totals],[Inscripción]]</f>
        <v>3480</v>
      </c>
      <c r="D9" s="14" t="s">
        <v>400</v>
      </c>
      <c r="E9" s="83">
        <f>Tb_Liquid[[#Totals],[Comisión]]</f>
        <v>9.8100000000000058</v>
      </c>
      <c r="F9" s="14" t="s">
        <v>401</v>
      </c>
      <c r="G9" s="83">
        <f>Tb_Liquid[[#Totals],[Cobrado]]</f>
        <v>3470.1899999999973</v>
      </c>
    </row>
    <row r="10" spans="1:8" s="13" customFormat="1" ht="15.5">
      <c r="A10" s="15"/>
      <c r="B10" s="15"/>
      <c r="C10" s="15"/>
      <c r="D10" s="15"/>
      <c r="E10" s="15"/>
      <c r="F10" s="16"/>
      <c r="G10" s="16"/>
      <c r="H10" s="15"/>
    </row>
    <row r="11" spans="1:8" s="13" customFormat="1" ht="30.65" customHeight="1">
      <c r="A11" s="80" t="s">
        <v>397</v>
      </c>
      <c r="B11" s="80" t="s">
        <v>398</v>
      </c>
      <c r="C11" s="80" t="s">
        <v>399</v>
      </c>
      <c r="D11" s="80" t="s">
        <v>463</v>
      </c>
      <c r="E11" s="80" t="s">
        <v>464</v>
      </c>
      <c r="F11" s="80" t="s">
        <v>394</v>
      </c>
      <c r="G11" s="80" t="s">
        <v>4</v>
      </c>
      <c r="H11" s="81" t="s">
        <v>466</v>
      </c>
    </row>
    <row r="12" spans="1:8" ht="15.5">
      <c r="A12" s="101">
        <v>46030</v>
      </c>
      <c r="B12" s="108" t="s">
        <v>518</v>
      </c>
      <c r="C12" s="103">
        <v>9926003227214</v>
      </c>
      <c r="D12" s="104"/>
      <c r="E12" s="109">
        <v>70</v>
      </c>
      <c r="F12" s="110">
        <v>0.15</v>
      </c>
      <c r="G12" s="111">
        <v>69.849999999999994</v>
      </c>
      <c r="H12" s="107" t="s">
        <v>533</v>
      </c>
    </row>
    <row r="13" spans="1:8" ht="15.5">
      <c r="A13" s="101">
        <v>46030</v>
      </c>
      <c r="B13" s="108" t="s">
        <v>486</v>
      </c>
      <c r="C13" s="103">
        <v>9926003227610</v>
      </c>
      <c r="D13" s="104"/>
      <c r="E13" s="109">
        <v>70</v>
      </c>
      <c r="F13" s="110">
        <v>0.15</v>
      </c>
      <c r="G13" s="111">
        <v>69.849999999999994</v>
      </c>
      <c r="H13" s="107" t="s">
        <v>533</v>
      </c>
    </row>
    <row r="14" spans="1:8" ht="15.5">
      <c r="A14" s="101">
        <v>46031</v>
      </c>
      <c r="B14" s="108" t="s">
        <v>485</v>
      </c>
      <c r="C14" s="103">
        <v>9926003228699</v>
      </c>
      <c r="D14" s="104"/>
      <c r="E14" s="109">
        <v>70</v>
      </c>
      <c r="F14" s="110">
        <v>0.23</v>
      </c>
      <c r="G14" s="111">
        <v>69.77</v>
      </c>
      <c r="H14" s="107" t="s">
        <v>533</v>
      </c>
    </row>
    <row r="15" spans="1:8" ht="15.5">
      <c r="A15" s="101">
        <v>46031</v>
      </c>
      <c r="B15" s="108" t="s">
        <v>477</v>
      </c>
      <c r="C15" s="103">
        <v>9926003228798</v>
      </c>
      <c r="D15" s="104"/>
      <c r="E15" s="109">
        <v>70</v>
      </c>
      <c r="F15" s="110">
        <v>0.15</v>
      </c>
      <c r="G15" s="111">
        <v>69.849999999999994</v>
      </c>
      <c r="H15" s="107" t="s">
        <v>533</v>
      </c>
    </row>
    <row r="16" spans="1:8" ht="15.5">
      <c r="A16" s="101">
        <v>46032</v>
      </c>
      <c r="B16" s="108" t="s">
        <v>514</v>
      </c>
      <c r="C16" s="103">
        <v>9926003228889</v>
      </c>
      <c r="D16" s="104"/>
      <c r="E16" s="109">
        <v>105</v>
      </c>
      <c r="F16" s="110">
        <v>0.35</v>
      </c>
      <c r="G16" s="111">
        <v>104.65</v>
      </c>
      <c r="H16" s="107" t="s">
        <v>534</v>
      </c>
    </row>
    <row r="17" spans="1:8" ht="15.5">
      <c r="A17" s="101">
        <v>46032</v>
      </c>
      <c r="B17" s="108" t="s">
        <v>508</v>
      </c>
      <c r="C17" s="103">
        <v>9926003228996</v>
      </c>
      <c r="D17" s="104"/>
      <c r="E17" s="109">
        <v>70</v>
      </c>
      <c r="F17" s="110">
        <v>0.23</v>
      </c>
      <c r="G17" s="111">
        <v>69.77</v>
      </c>
      <c r="H17" s="107" t="s">
        <v>533</v>
      </c>
    </row>
    <row r="18" spans="1:8" ht="15.5">
      <c r="A18" s="101">
        <v>46033</v>
      </c>
      <c r="B18" s="108" t="s">
        <v>512</v>
      </c>
      <c r="C18" s="103">
        <v>9926003229460</v>
      </c>
      <c r="D18" s="104"/>
      <c r="E18" s="109">
        <v>80</v>
      </c>
      <c r="F18" s="110">
        <v>0.26</v>
      </c>
      <c r="G18" s="111">
        <v>79.739999999999995</v>
      </c>
      <c r="H18" s="107" t="s">
        <v>535</v>
      </c>
    </row>
    <row r="19" spans="1:8" ht="15.5">
      <c r="A19" s="101">
        <v>46033</v>
      </c>
      <c r="B19" s="108" t="s">
        <v>501</v>
      </c>
      <c r="C19" s="103">
        <v>9926003229689</v>
      </c>
      <c r="D19" s="104"/>
      <c r="E19" s="109">
        <v>70</v>
      </c>
      <c r="F19" s="110">
        <v>0.23</v>
      </c>
      <c r="G19" s="111">
        <v>69.77</v>
      </c>
      <c r="H19" s="107" t="s">
        <v>533</v>
      </c>
    </row>
    <row r="20" spans="1:8" ht="31">
      <c r="A20" s="101">
        <v>46033</v>
      </c>
      <c r="B20" s="108" t="s">
        <v>515</v>
      </c>
      <c r="C20" s="103">
        <v>9926003229887</v>
      </c>
      <c r="D20" s="104"/>
      <c r="E20" s="109">
        <v>70</v>
      </c>
      <c r="F20" s="110">
        <v>0.23</v>
      </c>
      <c r="G20" s="111">
        <v>69.77</v>
      </c>
      <c r="H20" s="107" t="s">
        <v>533</v>
      </c>
    </row>
    <row r="21" spans="1:8" ht="15.5">
      <c r="A21" s="101">
        <v>46034</v>
      </c>
      <c r="B21" s="108" t="s">
        <v>516</v>
      </c>
      <c r="C21" s="103">
        <v>9926003230252</v>
      </c>
      <c r="D21" s="104"/>
      <c r="E21" s="109">
        <v>80</v>
      </c>
      <c r="F21" s="110">
        <v>0.26</v>
      </c>
      <c r="G21" s="111">
        <v>79.739999999999995</v>
      </c>
      <c r="H21" s="107" t="s">
        <v>535</v>
      </c>
    </row>
    <row r="22" spans="1:8" ht="15.5">
      <c r="A22" s="101">
        <v>46034</v>
      </c>
      <c r="B22" s="108" t="s">
        <v>511</v>
      </c>
      <c r="C22" s="103">
        <v>9926003230450</v>
      </c>
      <c r="D22" s="104"/>
      <c r="E22" s="109">
        <v>80</v>
      </c>
      <c r="F22" s="110">
        <v>0.26</v>
      </c>
      <c r="G22" s="111">
        <v>79.739999999999995</v>
      </c>
      <c r="H22" s="107" t="s">
        <v>535</v>
      </c>
    </row>
    <row r="23" spans="1:8" ht="15.5">
      <c r="A23" s="101">
        <v>46034</v>
      </c>
      <c r="B23" s="108" t="s">
        <v>475</v>
      </c>
      <c r="C23" s="103">
        <v>9926003230671</v>
      </c>
      <c r="D23" s="104"/>
      <c r="E23" s="109">
        <v>105</v>
      </c>
      <c r="F23" s="110">
        <v>0.35</v>
      </c>
      <c r="G23" s="111">
        <v>104.65</v>
      </c>
      <c r="H23" s="107" t="s">
        <v>534</v>
      </c>
    </row>
    <row r="24" spans="1:8" ht="15.5">
      <c r="A24" s="101">
        <v>46034</v>
      </c>
      <c r="B24" s="108" t="s">
        <v>483</v>
      </c>
      <c r="C24" s="103">
        <v>9926003231075</v>
      </c>
      <c r="D24" s="104"/>
      <c r="E24" s="109">
        <v>70</v>
      </c>
      <c r="F24" s="110">
        <v>0.15</v>
      </c>
      <c r="G24" s="111">
        <v>69.849999999999994</v>
      </c>
      <c r="H24" s="107" t="s">
        <v>533</v>
      </c>
    </row>
    <row r="25" spans="1:8" ht="15.5">
      <c r="A25" s="101">
        <v>46035</v>
      </c>
      <c r="B25" s="108" t="s">
        <v>503</v>
      </c>
      <c r="C25" s="103">
        <v>9926003231242</v>
      </c>
      <c r="D25" s="104"/>
      <c r="E25" s="109">
        <v>80</v>
      </c>
      <c r="F25" s="110">
        <v>0.26</v>
      </c>
      <c r="G25" s="111">
        <v>79.739999999999995</v>
      </c>
      <c r="H25" s="107" t="s">
        <v>536</v>
      </c>
    </row>
    <row r="26" spans="1:8" ht="15.5">
      <c r="A26" s="101">
        <v>46035</v>
      </c>
      <c r="B26" s="108" t="s">
        <v>500</v>
      </c>
      <c r="C26" s="103">
        <v>9926003231440</v>
      </c>
      <c r="D26" s="104"/>
      <c r="E26" s="109">
        <v>80</v>
      </c>
      <c r="F26" s="110">
        <v>0.26</v>
      </c>
      <c r="G26" s="111">
        <v>79.739999999999995</v>
      </c>
      <c r="H26" s="107" t="s">
        <v>535</v>
      </c>
    </row>
    <row r="27" spans="1:8" ht="15.5">
      <c r="A27" s="101">
        <v>46035</v>
      </c>
      <c r="B27" s="108" t="s">
        <v>489</v>
      </c>
      <c r="C27" s="103">
        <v>9926003231737</v>
      </c>
      <c r="D27" s="104"/>
      <c r="E27" s="109">
        <v>80</v>
      </c>
      <c r="F27" s="110">
        <v>0.26</v>
      </c>
      <c r="G27" s="111">
        <v>79.739999999999995</v>
      </c>
      <c r="H27" s="107" t="s">
        <v>536</v>
      </c>
    </row>
    <row r="28" spans="1:8" ht="15.5">
      <c r="A28" s="101">
        <v>46035</v>
      </c>
      <c r="B28" s="108" t="s">
        <v>490</v>
      </c>
      <c r="C28" s="103">
        <v>9926003231836</v>
      </c>
      <c r="D28" s="104"/>
      <c r="E28" s="109">
        <v>80</v>
      </c>
      <c r="F28" s="110">
        <v>0.15</v>
      </c>
      <c r="G28" s="111">
        <v>79.849999999999994</v>
      </c>
      <c r="H28" s="107" t="s">
        <v>536</v>
      </c>
    </row>
    <row r="29" spans="1:8" ht="15.5">
      <c r="A29" s="101">
        <v>46036</v>
      </c>
      <c r="B29" s="108" t="s">
        <v>506</v>
      </c>
      <c r="C29" s="103">
        <v>9926003232064</v>
      </c>
      <c r="D29" s="104"/>
      <c r="E29" s="109">
        <v>70</v>
      </c>
      <c r="F29" s="110">
        <v>0.23</v>
      </c>
      <c r="G29" s="111">
        <v>69.77</v>
      </c>
      <c r="H29" s="107" t="s">
        <v>533</v>
      </c>
    </row>
    <row r="30" spans="1:8" ht="15.5">
      <c r="A30" s="101">
        <v>46036</v>
      </c>
      <c r="B30" s="108" t="s">
        <v>507</v>
      </c>
      <c r="C30" s="103">
        <v>9926003232262</v>
      </c>
      <c r="D30" s="104"/>
      <c r="E30" s="109">
        <v>70</v>
      </c>
      <c r="F30" s="110">
        <v>0.23</v>
      </c>
      <c r="G30" s="111">
        <v>69.77</v>
      </c>
      <c r="H30" s="107" t="s">
        <v>533</v>
      </c>
    </row>
    <row r="31" spans="1:8" ht="15.5">
      <c r="A31" s="101">
        <v>46036</v>
      </c>
      <c r="B31" s="108" t="s">
        <v>519</v>
      </c>
      <c r="C31" s="103">
        <v>9926003232353</v>
      </c>
      <c r="D31" s="104"/>
      <c r="E31" s="109">
        <v>105</v>
      </c>
      <c r="F31" s="110">
        <v>0.15</v>
      </c>
      <c r="G31" s="111">
        <v>104.85</v>
      </c>
      <c r="H31" s="107" t="s">
        <v>534</v>
      </c>
    </row>
    <row r="32" spans="1:8" ht="15.5">
      <c r="A32" s="101">
        <v>46036</v>
      </c>
      <c r="B32" s="108" t="s">
        <v>502</v>
      </c>
      <c r="C32" s="103">
        <v>9926003232460</v>
      </c>
      <c r="D32" s="104"/>
      <c r="E32" s="109">
        <v>70</v>
      </c>
      <c r="F32" s="110">
        <v>0.23</v>
      </c>
      <c r="G32" s="111">
        <v>69.77</v>
      </c>
      <c r="H32" s="107" t="s">
        <v>533</v>
      </c>
    </row>
    <row r="33" spans="1:8" ht="15.5">
      <c r="A33" s="101">
        <v>46037</v>
      </c>
      <c r="B33" s="108" t="s">
        <v>492</v>
      </c>
      <c r="C33" s="103">
        <v>9926003233054</v>
      </c>
      <c r="D33" s="104"/>
      <c r="E33" s="109">
        <v>70</v>
      </c>
      <c r="F33" s="110">
        <v>0.23</v>
      </c>
      <c r="G33" s="111">
        <v>69.77</v>
      </c>
      <c r="H33" s="107" t="s">
        <v>533</v>
      </c>
    </row>
    <row r="34" spans="1:8" ht="15.5">
      <c r="A34" s="101">
        <v>46037</v>
      </c>
      <c r="B34" s="108" t="s">
        <v>488</v>
      </c>
      <c r="C34" s="103">
        <v>9926003233221</v>
      </c>
      <c r="D34" s="104"/>
      <c r="E34" s="109">
        <v>80</v>
      </c>
      <c r="F34" s="110">
        <v>0.26</v>
      </c>
      <c r="G34" s="111">
        <v>79.739999999999995</v>
      </c>
      <c r="H34" s="107" t="s">
        <v>536</v>
      </c>
    </row>
    <row r="35" spans="1:8" ht="15.5">
      <c r="A35" s="101">
        <v>46038</v>
      </c>
      <c r="B35" s="108" t="s">
        <v>520</v>
      </c>
      <c r="C35" s="103">
        <v>9926003233846</v>
      </c>
      <c r="D35" s="104"/>
      <c r="E35" s="109">
        <v>70</v>
      </c>
      <c r="F35" s="110">
        <v>0.23</v>
      </c>
      <c r="G35" s="111">
        <v>69.77</v>
      </c>
      <c r="H35" s="107" t="s">
        <v>533</v>
      </c>
    </row>
    <row r="36" spans="1:8" ht="15.5">
      <c r="A36" s="101">
        <v>46038</v>
      </c>
      <c r="B36" s="108" t="s">
        <v>496</v>
      </c>
      <c r="C36" s="103">
        <v>9926003234714</v>
      </c>
      <c r="D36" s="104"/>
      <c r="E36" s="109">
        <v>45</v>
      </c>
      <c r="F36" s="110">
        <v>0.15</v>
      </c>
      <c r="G36" s="111">
        <v>44.85</v>
      </c>
      <c r="H36" s="107" t="s">
        <v>537</v>
      </c>
    </row>
    <row r="37" spans="1:8" ht="15.5">
      <c r="A37" s="101">
        <v>46039</v>
      </c>
      <c r="B37" s="108" t="s">
        <v>510</v>
      </c>
      <c r="C37" s="103">
        <v>9926003234844</v>
      </c>
      <c r="D37" s="104"/>
      <c r="E37" s="109">
        <v>35</v>
      </c>
      <c r="F37" s="110">
        <v>0.15</v>
      </c>
      <c r="G37" s="111">
        <v>34.85</v>
      </c>
      <c r="H37" s="107" t="s">
        <v>538</v>
      </c>
    </row>
    <row r="38" spans="1:8" ht="15.5">
      <c r="A38" s="101">
        <v>46039</v>
      </c>
      <c r="B38" s="108" t="s">
        <v>504</v>
      </c>
      <c r="C38" s="103">
        <v>9926003234935</v>
      </c>
      <c r="D38" s="104"/>
      <c r="E38" s="109">
        <v>70</v>
      </c>
      <c r="F38" s="110">
        <v>0.15</v>
      </c>
      <c r="G38" s="111">
        <v>69.849999999999994</v>
      </c>
      <c r="H38" s="107" t="s">
        <v>533</v>
      </c>
    </row>
    <row r="39" spans="1:8" ht="15.5">
      <c r="A39" s="101">
        <v>46041</v>
      </c>
      <c r="B39" s="108" t="s">
        <v>509</v>
      </c>
      <c r="C39" s="103">
        <v>9926003236488</v>
      </c>
      <c r="D39" s="104"/>
      <c r="E39" s="109">
        <v>80</v>
      </c>
      <c r="F39" s="110">
        <v>0.26</v>
      </c>
      <c r="G39" s="111">
        <v>79.739999999999995</v>
      </c>
      <c r="H39" s="107" t="s">
        <v>535</v>
      </c>
    </row>
    <row r="40" spans="1:8" ht="15.5">
      <c r="A40" s="101">
        <v>46044</v>
      </c>
      <c r="B40" s="108" t="s">
        <v>481</v>
      </c>
      <c r="C40" s="103">
        <v>9926003236655</v>
      </c>
      <c r="D40" s="104"/>
      <c r="E40" s="109">
        <v>90</v>
      </c>
      <c r="F40" s="110"/>
      <c r="G40" s="111">
        <v>90</v>
      </c>
      <c r="H40" s="107" t="s">
        <v>539</v>
      </c>
    </row>
    <row r="41" spans="1:8" ht="15.5">
      <c r="A41" s="101">
        <v>46041</v>
      </c>
      <c r="B41" s="108" t="s">
        <v>482</v>
      </c>
      <c r="C41" s="103">
        <v>9926003236914</v>
      </c>
      <c r="D41" s="104"/>
      <c r="E41" s="109">
        <v>70</v>
      </c>
      <c r="F41" s="110">
        <v>0.15</v>
      </c>
      <c r="G41" s="111">
        <v>69.849999999999994</v>
      </c>
      <c r="H41" s="107" t="s">
        <v>533</v>
      </c>
    </row>
    <row r="42" spans="1:8" ht="15.5">
      <c r="A42" s="101">
        <v>46041</v>
      </c>
      <c r="B42" s="108" t="s">
        <v>484</v>
      </c>
      <c r="C42" s="103">
        <v>9926003237013</v>
      </c>
      <c r="D42" s="104"/>
      <c r="E42" s="109">
        <v>70</v>
      </c>
      <c r="F42" s="110">
        <v>0.15</v>
      </c>
      <c r="G42" s="111">
        <v>69.849999999999994</v>
      </c>
      <c r="H42" s="107" t="s">
        <v>533</v>
      </c>
    </row>
    <row r="43" spans="1:8" ht="15.5">
      <c r="A43" s="101">
        <v>46042</v>
      </c>
      <c r="B43" s="108" t="s">
        <v>505</v>
      </c>
      <c r="C43" s="103">
        <v>9926003237379</v>
      </c>
      <c r="D43" s="104"/>
      <c r="E43" s="109">
        <v>80</v>
      </c>
      <c r="F43" s="110">
        <v>0.26</v>
      </c>
      <c r="G43" s="111">
        <v>79.739999999999995</v>
      </c>
      <c r="H43" s="107" t="s">
        <v>535</v>
      </c>
    </row>
    <row r="44" spans="1:8" ht="31">
      <c r="A44" s="101">
        <v>46043</v>
      </c>
      <c r="B44" s="108" t="s">
        <v>476</v>
      </c>
      <c r="C44" s="103">
        <v>9926003238931</v>
      </c>
      <c r="D44" s="104"/>
      <c r="E44" s="109">
        <v>90</v>
      </c>
      <c r="F44" s="110">
        <v>0.15</v>
      </c>
      <c r="G44" s="111">
        <v>89.85</v>
      </c>
      <c r="H44" s="107" t="s">
        <v>539</v>
      </c>
    </row>
    <row r="45" spans="1:8" ht="15.5">
      <c r="A45" s="101">
        <v>46043</v>
      </c>
      <c r="B45" s="108" t="s">
        <v>487</v>
      </c>
      <c r="C45" s="103">
        <v>9926003239228</v>
      </c>
      <c r="D45" s="104"/>
      <c r="E45" s="109">
        <v>90</v>
      </c>
      <c r="F45" s="110">
        <v>0.3</v>
      </c>
      <c r="G45" s="111">
        <v>89.7</v>
      </c>
      <c r="H45" s="107" t="s">
        <v>539</v>
      </c>
    </row>
    <row r="46" spans="1:8" ht="15.5">
      <c r="A46" s="101">
        <v>46043</v>
      </c>
      <c r="B46" s="108" t="s">
        <v>522</v>
      </c>
      <c r="C46" s="103">
        <v>9926003239861</v>
      </c>
      <c r="D46" s="104"/>
      <c r="E46" s="109">
        <v>45</v>
      </c>
      <c r="F46" s="110">
        <v>0.15</v>
      </c>
      <c r="G46" s="111">
        <v>44.85</v>
      </c>
      <c r="H46" s="107" t="s">
        <v>537</v>
      </c>
    </row>
    <row r="47" spans="1:8" ht="15.5">
      <c r="A47" s="101">
        <v>46044</v>
      </c>
      <c r="B47" s="108" t="s">
        <v>480</v>
      </c>
      <c r="C47" s="103">
        <v>9926003240554</v>
      </c>
      <c r="D47" s="104"/>
      <c r="E47" s="109">
        <v>45</v>
      </c>
      <c r="F47" s="110">
        <v>0.15</v>
      </c>
      <c r="G47" s="111">
        <v>44.85</v>
      </c>
      <c r="H47" s="107" t="s">
        <v>540</v>
      </c>
    </row>
    <row r="48" spans="1:8" ht="15.5">
      <c r="A48" s="101">
        <v>46047</v>
      </c>
      <c r="B48" s="108" t="s">
        <v>478</v>
      </c>
      <c r="C48" s="103">
        <v>9926003242039</v>
      </c>
      <c r="D48" s="104"/>
      <c r="E48" s="109">
        <v>45</v>
      </c>
      <c r="F48" s="110">
        <v>0.15</v>
      </c>
      <c r="G48" s="111">
        <v>44.85</v>
      </c>
      <c r="H48" s="107" t="s">
        <v>537</v>
      </c>
    </row>
    <row r="49" spans="1:8" ht="15.5">
      <c r="A49" s="101">
        <v>46047</v>
      </c>
      <c r="B49" s="108" t="s">
        <v>499</v>
      </c>
      <c r="C49" s="103">
        <v>9926003242228</v>
      </c>
      <c r="D49" s="104"/>
      <c r="E49" s="109">
        <v>80</v>
      </c>
      <c r="F49" s="110">
        <v>0.15</v>
      </c>
      <c r="G49" s="111">
        <v>79.849999999999994</v>
      </c>
      <c r="H49" s="107" t="s">
        <v>535</v>
      </c>
    </row>
    <row r="50" spans="1:8" ht="15.5">
      <c r="A50" s="101">
        <v>46048</v>
      </c>
      <c r="B50" s="108" t="s">
        <v>491</v>
      </c>
      <c r="C50" s="103">
        <v>9926003242426</v>
      </c>
      <c r="D50" s="104"/>
      <c r="E50" s="109">
        <v>80</v>
      </c>
      <c r="F50" s="110">
        <v>0.15</v>
      </c>
      <c r="G50" s="111">
        <v>79.849999999999994</v>
      </c>
      <c r="H50" s="107" t="s">
        <v>536</v>
      </c>
    </row>
    <row r="51" spans="1:8" ht="15.5">
      <c r="A51" s="101">
        <v>46048</v>
      </c>
      <c r="B51" s="108" t="s">
        <v>513</v>
      </c>
      <c r="C51" s="103">
        <v>9926003242624</v>
      </c>
      <c r="D51" s="104"/>
      <c r="E51" s="109">
        <v>80</v>
      </c>
      <c r="F51" s="110">
        <v>0.26</v>
      </c>
      <c r="G51" s="111">
        <v>79.739999999999995</v>
      </c>
      <c r="H51" s="107" t="s">
        <v>535</v>
      </c>
    </row>
    <row r="52" spans="1:8" ht="15.5">
      <c r="A52" s="101">
        <v>46048</v>
      </c>
      <c r="B52" s="108" t="s">
        <v>523</v>
      </c>
      <c r="C52" s="103">
        <v>9926003242723</v>
      </c>
      <c r="D52" s="104"/>
      <c r="E52" s="109">
        <v>80</v>
      </c>
      <c r="F52" s="110">
        <v>0.26</v>
      </c>
      <c r="G52" s="111">
        <v>79.739999999999995</v>
      </c>
      <c r="H52" s="107" t="s">
        <v>535</v>
      </c>
    </row>
    <row r="53" spans="1:8" ht="15.5">
      <c r="A53" s="101">
        <v>46048</v>
      </c>
      <c r="B53" s="108" t="s">
        <v>498</v>
      </c>
      <c r="C53" s="103">
        <v>9926003243645</v>
      </c>
      <c r="D53" s="104"/>
      <c r="E53" s="109">
        <v>70</v>
      </c>
      <c r="F53" s="110">
        <v>0.15</v>
      </c>
      <c r="G53" s="111">
        <v>69.849999999999994</v>
      </c>
      <c r="H53" s="107" t="s">
        <v>533</v>
      </c>
    </row>
    <row r="54" spans="1:8" ht="15.5">
      <c r="A54" s="101">
        <v>46048</v>
      </c>
      <c r="B54" s="108" t="s">
        <v>521</v>
      </c>
      <c r="C54" s="103">
        <v>9926003243713</v>
      </c>
      <c r="D54" s="104"/>
      <c r="E54" s="109">
        <v>80</v>
      </c>
      <c r="F54" s="110">
        <v>0.15</v>
      </c>
      <c r="G54" s="111">
        <v>79.849999999999994</v>
      </c>
      <c r="H54" s="107" t="s">
        <v>535</v>
      </c>
    </row>
    <row r="55" spans="1:8" ht="15.5">
      <c r="A55" s="101">
        <v>46048</v>
      </c>
      <c r="B55" s="108" t="s">
        <v>521</v>
      </c>
      <c r="C55" s="103">
        <v>9926003243828</v>
      </c>
      <c r="D55" s="104"/>
      <c r="E55" s="109">
        <v>10</v>
      </c>
      <c r="F55" s="110">
        <v>0.15</v>
      </c>
      <c r="G55" s="111">
        <v>9.85</v>
      </c>
      <c r="H55" s="107" t="s">
        <v>541</v>
      </c>
    </row>
    <row r="56" spans="1:8" ht="15.5">
      <c r="A56" s="101">
        <v>46048</v>
      </c>
      <c r="B56" s="108" t="s">
        <v>517</v>
      </c>
      <c r="C56" s="103">
        <v>9926003243950</v>
      </c>
      <c r="D56" s="104"/>
      <c r="E56" s="109">
        <v>35</v>
      </c>
      <c r="F56" s="110">
        <v>0.15</v>
      </c>
      <c r="G56" s="111">
        <v>34.85</v>
      </c>
      <c r="H56" s="107" t="s">
        <v>538</v>
      </c>
    </row>
    <row r="57" spans="1:8" ht="15.5">
      <c r="A57" s="101">
        <v>46049</v>
      </c>
      <c r="B57" s="108" t="s">
        <v>479</v>
      </c>
      <c r="C57" s="103">
        <v>9926003244635</v>
      </c>
      <c r="D57" s="104"/>
      <c r="E57" s="109">
        <v>70</v>
      </c>
      <c r="F57" s="110">
        <v>0.15</v>
      </c>
      <c r="G57" s="111">
        <v>69.849999999999994</v>
      </c>
      <c r="H57" s="107" t="s">
        <v>533</v>
      </c>
    </row>
    <row r="58" spans="1:8" ht="15.5">
      <c r="A58" s="101">
        <v>46049</v>
      </c>
      <c r="B58" s="108" t="s">
        <v>495</v>
      </c>
      <c r="C58" s="103">
        <v>9926003245030</v>
      </c>
      <c r="D58" s="104"/>
      <c r="E58" s="109">
        <v>70</v>
      </c>
      <c r="F58" s="110">
        <v>0.23</v>
      </c>
      <c r="G58" s="111">
        <v>69.77</v>
      </c>
      <c r="H58" s="107" t="s">
        <v>533</v>
      </c>
    </row>
    <row r="59" spans="1:8" ht="15.5">
      <c r="A59" s="101">
        <v>46052</v>
      </c>
      <c r="B59" s="108" t="s">
        <v>497</v>
      </c>
      <c r="C59" s="103">
        <v>9926003247802</v>
      </c>
      <c r="D59" s="104"/>
      <c r="E59" s="109">
        <v>70</v>
      </c>
      <c r="F59" s="110">
        <v>0.23</v>
      </c>
      <c r="G59" s="111">
        <v>69.77</v>
      </c>
      <c r="H59" s="107" t="s">
        <v>542</v>
      </c>
    </row>
    <row r="60" spans="1:8" ht="15.5">
      <c r="A60" s="101">
        <v>46055</v>
      </c>
      <c r="B60" s="108" t="s">
        <v>493</v>
      </c>
      <c r="C60" s="103">
        <v>9926003248899</v>
      </c>
      <c r="D60" s="104"/>
      <c r="E60" s="109">
        <v>35</v>
      </c>
      <c r="F60" s="110">
        <v>0.12</v>
      </c>
      <c r="G60" s="111">
        <v>34.880000000000003</v>
      </c>
      <c r="H60" s="107" t="s">
        <v>538</v>
      </c>
    </row>
    <row r="61" spans="1:8" ht="15.5">
      <c r="A61" s="101"/>
      <c r="B61" s="102">
        <f>SUBTOTAL(103,Tb_Liquid[Ordenante])</f>
        <v>49</v>
      </c>
      <c r="C61" s="103"/>
      <c r="D61" s="104" t="s">
        <v>0</v>
      </c>
      <c r="E61" s="105">
        <f>SUBTOTAL(109,Tb_Liquid[Inscripción])</f>
        <v>3480</v>
      </c>
      <c r="F61" s="106">
        <f>SUBTOTAL(109,Tb_Liquid[Comisión])</f>
        <v>9.8100000000000058</v>
      </c>
      <c r="G61" s="106">
        <f>SUBTOTAL(109,Tb_Liquid[Cobrado])</f>
        <v>3470.1899999999973</v>
      </c>
      <c r="H61" s="107"/>
    </row>
    <row r="62" spans="1:8">
      <c r="A62"/>
      <c r="B62"/>
      <c r="C62"/>
      <c r="D62"/>
      <c r="E62"/>
      <c r="F62"/>
      <c r="G62"/>
      <c r="H62"/>
    </row>
  </sheetData>
  <sheetProtection sheet="1" objects="1" scenarios="1"/>
  <mergeCells count="14">
    <mergeCell ref="A9:B9"/>
    <mergeCell ref="A6:B6"/>
    <mergeCell ref="C6:H6"/>
    <mergeCell ref="A7:B7"/>
    <mergeCell ref="A8:B8"/>
    <mergeCell ref="C8:H8"/>
    <mergeCell ref="C7:H7"/>
    <mergeCell ref="A5:B5"/>
    <mergeCell ref="A1:H1"/>
    <mergeCell ref="A3:B3"/>
    <mergeCell ref="C3:H3"/>
    <mergeCell ref="A4:B4"/>
    <mergeCell ref="C4:H4"/>
    <mergeCell ref="C5:H5"/>
  </mergeCells>
  <conditionalFormatting sqref="G12:G60">
    <cfRule type="cellIs" dxfId="1" priority="1" operator="equal">
      <formula>"Esperando comisión"</formula>
    </cfRule>
  </conditionalFormatting>
  <conditionalFormatting sqref="A12:A60">
    <cfRule type="expression" dxfId="0" priority="7">
      <formula>#REF!&lt;30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UTF8</vt:lpstr>
      <vt:lpstr>DefCol_Liq</vt:lpstr>
      <vt:lpstr>DefCol_TPV</vt:lpstr>
      <vt:lpstr>JyC_TPV</vt:lpstr>
      <vt:lpstr>Pagos</vt:lpstr>
      <vt:lpstr>JyC_TPV_NomJyC</vt:lpstr>
      <vt:lpstr>JyC_TPV_NumLiq</vt:lpstr>
      <vt:lpstr>JyC_TPV_Orgánica</vt:lpstr>
      <vt:lpstr>JyC_TPV_Siglas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López Dugarry</dc:creator>
  <cp:lastModifiedBy>DANIEL JOSE LOPEZ DUGARRY</cp:lastModifiedBy>
  <cp:lastPrinted>2026-04-14T22:17:18Z</cp:lastPrinted>
  <dcterms:created xsi:type="dcterms:W3CDTF">2021-05-28T12:10:12Z</dcterms:created>
  <dcterms:modified xsi:type="dcterms:W3CDTF">2026-04-14T23:24:13Z</dcterms:modified>
</cp:coreProperties>
</file>