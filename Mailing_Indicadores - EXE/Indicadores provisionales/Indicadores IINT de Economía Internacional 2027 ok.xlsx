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523084D9-1D33-47D9-9233-1AABB8FCCEEB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4" r:id="rId1"/>
    <sheet name="Sexenios" sheetId="5" r:id="rId2"/>
    <sheet name="Ingresos investigación 2023" sheetId="16" r:id="rId3"/>
    <sheet name="Ingresos investigación 2024" sheetId="19" r:id="rId4"/>
    <sheet name="Ingresos investigación 2025" sheetId="20" r:id="rId5"/>
    <sheet name="Ingresos formación 2023" sheetId="17" r:id="rId6"/>
    <sheet name="Ingresos formación 2024" sheetId="18" r:id="rId7"/>
    <sheet name="Ingresos formación 2025" sheetId="21" r:id="rId8"/>
  </sheets>
  <definedNames>
    <definedName name="_xlnm._FilterDatabase" localSheetId="1" hidden="1">Sexenios!#REF!</definedName>
    <definedName name="_xlnm._FilterDatabase" localSheetId="0" hidden="1">Tesis!$A$1:$U$47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1" l="1"/>
  <c r="C25" i="20"/>
  <c r="Q38" i="5"/>
  <c r="T47" i="4"/>
  <c r="C17" i="19"/>
  <c r="C27" i="16"/>
  <c r="C54" i="18"/>
  <c r="C11" i="17"/>
</calcChain>
</file>

<file path=xl/sharedStrings.xml><?xml version="1.0" encoding="utf-8"?>
<sst xmlns="http://schemas.openxmlformats.org/spreadsheetml/2006/main" count="1266" uniqueCount="540">
  <si>
    <t>Total</t>
  </si>
  <si>
    <t>40.70.6C.00.06</t>
  </si>
  <si>
    <t>40.70.2T.00.02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</si>
  <si>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</si>
  <si>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</si>
  <si>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</si>
  <si>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</si>
  <si>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</si>
  <si>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</si>
  <si>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</si>
  <si>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</si>
  <si>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</si>
  <si>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</si>
  <si>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</si>
  <si>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</si>
  <si>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</si>
  <si>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</si>
  <si>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</si>
  <si>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</si>
  <si>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</si>
  <si>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</si>
  <si>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</si>
  <si>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</si>
  <si>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</si>
  <si>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</si>
  <si>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10.05</t>
  </si>
  <si>
    <t/>
  </si>
  <si>
    <t>Director de tesis </t>
  </si>
  <si>
    <t>U058 </t>
  </si>
  <si>
    <t>ADM. I.U. DE INVESTIGACIONES TURÍSTICAS </t>
  </si>
  <si>
    <t>DOCTORADO EN TURISMO </t>
  </si>
  <si>
    <t>10.17</t>
  </si>
  <si>
    <t>U062 </t>
  </si>
  <si>
    <t>ADM. I.U. DE INVESTIGACIÓN INFORMÁTICA </t>
  </si>
  <si>
    <t>DOCTORADO EN INFORMÁTICA </t>
  </si>
  <si>
    <t>10.19</t>
  </si>
  <si>
    <t>50</t>
  </si>
  <si>
    <t>B113</t>
  </si>
  <si>
    <t>20</t>
  </si>
  <si>
    <t>B138 </t>
  </si>
  <si>
    <t>ANALISIS ECONOMICO APLICADO </t>
  </si>
  <si>
    <t>B138</t>
  </si>
  <si>
    <t>10</t>
  </si>
  <si>
    <t>U044 </t>
  </si>
  <si>
    <t>ADM. FACULTAD DE CIENCIAS DE LA SALUD </t>
  </si>
  <si>
    <t>DOCTORADO EN CIENCIAS DE LA SALUD </t>
  </si>
  <si>
    <t>80</t>
  </si>
  <si>
    <t>10.06</t>
  </si>
  <si>
    <t>B122</t>
  </si>
  <si>
    <t>22122086L </t>
  </si>
  <si>
    <t>B134 </t>
  </si>
  <si>
    <t>ENFERMERIA </t>
  </si>
  <si>
    <t>B134</t>
  </si>
  <si>
    <t>B119 </t>
  </si>
  <si>
    <t>FUNDAMENTOS DEL ANÁLISIS ECONÓMICO </t>
  </si>
  <si>
    <t>DOCTORADO EN ECONOMÍA </t>
  </si>
  <si>
    <t>B152</t>
  </si>
  <si>
    <t>22630445D </t>
  </si>
  <si>
    <t>B170 </t>
  </si>
  <si>
    <t>ENFERMERÍA COMUNITARIA, MEDICINA PREVENTIVA Y SALUD PÚBLICA </t>
  </si>
  <si>
    <t>B170</t>
  </si>
  <si>
    <t>21677876P </t>
  </si>
  <si>
    <t>B173 </t>
  </si>
  <si>
    <t>ANÁLISIS GEOGRÁFICO REGIONAL Y GEOGRAFÍA FÍSICA </t>
  </si>
  <si>
    <t>B173</t>
  </si>
  <si>
    <t>25126276H </t>
  </si>
  <si>
    <t>70</t>
  </si>
  <si>
    <t>B175 </t>
  </si>
  <si>
    <t>COMUNICACIÓN Y PSICOLOGÍA SOCIAL </t>
  </si>
  <si>
    <t>B175</t>
  </si>
  <si>
    <t>B158 </t>
  </si>
  <si>
    <t>LENGUAJES Y SISTEMAS INFORMÁTICOS </t>
  </si>
  <si>
    <t>B158</t>
  </si>
  <si>
    <t>21395951V </t>
  </si>
  <si>
    <t>B176 </t>
  </si>
  <si>
    <t>SOCIOLOGÍA II </t>
  </si>
  <si>
    <t>B176</t>
  </si>
  <si>
    <t>10.22</t>
  </si>
  <si>
    <t>10.23</t>
  </si>
  <si>
    <t>10.25</t>
  </si>
  <si>
    <t>B154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</si>
  <si>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</si>
  <si>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</si>
  <si>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</si>
  <si>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</si>
  <si>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</si>
  <si>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</si>
  <si>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</si>
  <si>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</si>
  <si>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</si>
  <si>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</si>
  <si>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</si>
  <si>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</si>
  <si>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</si>
  <si>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</si>
  <si>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74219671M</t>
  </si>
  <si>
    <t>21479315Y</t>
  </si>
  <si>
    <t>45567523S</t>
  </si>
  <si>
    <t>21407194J</t>
  </si>
  <si>
    <t>74149704G</t>
  </si>
  <si>
    <t>48316322S</t>
  </si>
  <si>
    <t>21434053P</t>
  </si>
  <si>
    <t>21507330F</t>
  </si>
  <si>
    <t>21490998M</t>
  </si>
  <si>
    <t>21648758P</t>
  </si>
  <si>
    <t>22122086L</t>
  </si>
  <si>
    <t>21494190T</t>
  </si>
  <si>
    <t>21677876P</t>
  </si>
  <si>
    <t>53238057A</t>
  </si>
  <si>
    <t>25126276H</t>
  </si>
  <si>
    <t>21468028N</t>
  </si>
  <si>
    <t>21487688F</t>
  </si>
  <si>
    <t>74176634R</t>
  </si>
  <si>
    <t>21499146B</t>
  </si>
  <si>
    <t>33475454N</t>
  </si>
  <si>
    <t>21478044T</t>
  </si>
  <si>
    <t>21643754H</t>
  </si>
  <si>
    <t>40.70.6P.00.10</t>
  </si>
  <si>
    <t>40.70.6X.00.03</t>
  </si>
  <si>
    <t>40.70.2T.00.09</t>
  </si>
  <si>
    <t>Oruc , Mirza </t>
  </si>
  <si>
    <t>Comparative Analysis in Palliative Care Competencies </t>
  </si>
  <si>
    <t>27/07/2020 </t>
  </si>
  <si>
    <t>Femenia Serra, Francisco </t>
  </si>
  <si>
    <t>SMART TOURISM DESTINATIONS: A DEMAND-BASED APPROACH FOR IMPROVING LOCAL TOURISM MANAGENENT </t>
  </si>
  <si>
    <t>03/12/2019 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</si>
  <si>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</si>
  <si>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</si>
  <si>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</si>
  <si>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Escobar Esteban, María Pilar </t>
  </si>
  <si>
    <t>UN ENFOQUE MULTIDIMENSIONAL BASADO EN RDF PARA LA PUBLICACIÓN DE LINKED OPEN DATA </t>
  </si>
  <si>
    <t>07/07/2020 </t>
  </si>
  <si>
    <t>19838491W</t>
  </si>
  <si>
    <t>21418619F</t>
  </si>
  <si>
    <t>21475142L</t>
  </si>
  <si>
    <t>33486204K</t>
  </si>
  <si>
    <t>B109</t>
  </si>
  <si>
    <t>47083217D</t>
  </si>
  <si>
    <t>Martínez García, Alba </t>
  </si>
  <si>
    <t>Ambiente obesogénico: Barreras para mantener un peso saludable </t>
  </si>
  <si>
    <t>14/12/2020 </t>
  </si>
  <si>
    <t>Sarmiento Moscoso, Luis Santiago </t>
  </si>
  <si>
    <t>Tres estudios sobre la descomposición de las diferencias salariales regionales en Ecuador a lo largo de la distribución salarial </t>
  </si>
  <si>
    <t>06/09/2021 </t>
  </si>
  <si>
    <t>21494190T </t>
  </si>
  <si>
    <t>U036 </t>
  </si>
  <si>
    <t>ADM. FACULTAD DE CIENCIAS ECONÓMICAS </t>
  </si>
  <si>
    <t>DOCTORADO EN EMPRESA, ECONOMÍA Y SOCIEDAD </t>
  </si>
  <si>
    <t>Escandell Poveda, Raquel </t>
  </si>
  <si>
    <t>28/07/2021 </t>
  </si>
  <si>
    <t>21499146B </t>
  </si>
  <si>
    <t>Sáinz Ruiz, Pablo Alberto </t>
  </si>
  <si>
    <t>IDENTIFICACIÓN Y VALORACIÓN DE LOS ACTIVOS PARA LA SALUD. ANÁLISIS EPISTEMOLÓGICO Y MODELO DE MEDICIÓN </t>
  </si>
  <si>
    <t>14/01/2021 </t>
  </si>
  <si>
    <t>Martínez Martínez, Concepción </t>
  </si>
  <si>
    <t>Estigma de los profesionales de la salud hacia las pesonas con trastorno mental: Eficacia de una intervención de contactos. </t>
  </si>
  <si>
    <t>11/06/2021 </t>
  </si>
  <si>
    <t>San Onofre Bernat, Nadia </t>
  </si>
  <si>
    <t>CALIDAD DE LA DIETA DE LA POBLACIÓN ADULTA DE LA COMUNITAT VALENCIANA EN </t>
  </si>
  <si>
    <t>04/06/2021 </t>
  </si>
  <si>
    <t>Rodríguez Pallas, Ángel </t>
  </si>
  <si>
    <t>Agencias de viaje, convivencia del negocio online-offline. El impacto de las TIC, los cambios en los hábitos de consumo y la importancia del marketing relacional </t>
  </si>
  <si>
    <t>26/02/2021 </t>
  </si>
  <si>
    <t>74176634R </t>
  </si>
  <si>
    <t>33475454N </t>
  </si>
  <si>
    <t>Cód. org. aplic.</t>
  </si>
  <si>
    <t>Descripción justificante</t>
  </si>
  <si>
    <t>40.70.6P.00.12</t>
  </si>
  <si>
    <t>40.70.2T.00.10</t>
  </si>
  <si>
    <t>Radiografía del Seo en España: demanda laboral, sector empresarial y perfil profesional del posicionamiento web </t>
  </si>
  <si>
    <t>Simón Albert, Raquel </t>
  </si>
  <si>
    <t>Three empirical essays on daily residence-work mobility and labor market areas </t>
  </si>
  <si>
    <t>24/05/2022 </t>
  </si>
  <si>
    <t>Pastor Pomares, Francisco </t>
  </si>
  <si>
    <t>Acuerdos comerciales regionales (Estudio de caso sobre sus impactos y efectos bajo un modelo gravitacional) </t>
  </si>
  <si>
    <t>18/07/2022 </t>
  </si>
  <si>
    <t>74149704G </t>
  </si>
  <si>
    <t>Ibragimov , Khusen </t>
  </si>
  <si>
    <t>THE DETERMINANTS OF TOURISM DEMAND IN CENTRAL ASIA </t>
  </si>
  <si>
    <t>14/06/2022 </t>
  </si>
  <si>
    <t>21487688F </t>
  </si>
  <si>
    <t>Rucci , Ana Clara </t>
  </si>
  <si>
    <t>ACCESSIBLE TOURISM AND COMPETITIVENESS: ASSESSING DIFFERENT DIMENSIONS OF ACCESSIBILITY IN DESTINATIONS </t>
  </si>
  <si>
    <t>09/12/2021 </t>
  </si>
  <si>
    <t>47083217D </t>
  </si>
  <si>
    <t>COD DEP</t>
  </si>
  <si>
    <t>24509611Y</t>
  </si>
  <si>
    <t>B184</t>
  </si>
  <si>
    <t>Imp.cob.aplic.</t>
  </si>
  <si>
    <t>40.70.6P.00.13</t>
  </si>
  <si>
    <t>40.70.6C.00.56</t>
  </si>
  <si>
    <t>40.70.6G.00.02</t>
  </si>
  <si>
    <t>40.70.6P.00.14</t>
  </si>
  <si>
    <t>Más Ferrando, Adrián </t>
  </si>
  <si>
    <t>Economía de la innovación y la digitalización del turismo: Un estudio del mercado de Airbnb aplicando técnicas econométricas y redes neuronales </t>
  </si>
  <si>
    <t>20/01/2023 </t>
  </si>
  <si>
    <t>B152 </t>
  </si>
  <si>
    <t>FILOSOFÍA DEL DCHO .Y DCHO INTERNACIONAL PRIVADO </t>
  </si>
  <si>
    <t>DOCTORADO EUROPEO CONJUNTO EN DERECHO DE PROPIEDAD INTELECTUAL E INNOVACIÓN </t>
  </si>
  <si>
    <t>Kyrylenko , Anastasiia </t>
  </si>
  <si>
    <t>Deconstructing EU IP norm-export to the Eastern European Neighbourhood </t>
  </si>
  <si>
    <t>15/12/2022 </t>
  </si>
  <si>
    <t>21507330F </t>
  </si>
  <si>
    <t>U020 </t>
  </si>
  <si>
    <t>I.U. DEL AGUA Y DE LAS CIENCIAS AMBIENTALES (10.05) </t>
  </si>
  <si>
    <t>DOCTORADO EN AGUA Y DESARROLLO SOSTENIBLE </t>
  </si>
  <si>
    <t>Bernabeu Bautista, Álvaro </t>
  </si>
  <si>
    <t>PRESENCIA Y ACTIVIDAD URBANA EN LAS CIUDADES DE LA COMUNIDAD </t>
  </si>
  <si>
    <t>12/09/2023 </t>
  </si>
  <si>
    <t>24509611Y </t>
  </si>
  <si>
    <t>B184 </t>
  </si>
  <si>
    <t>EDIFICACIÓN Y URBANISMO </t>
  </si>
  <si>
    <t>U025 </t>
  </si>
  <si>
    <t>ADM. FACULTAD DE DERECHO </t>
  </si>
  <si>
    <t>DOCTORADO EN DERECHO </t>
  </si>
  <si>
    <t>Contardi , Magalí Anabel </t>
  </si>
  <si>
    <t>The interplay between patent law and medical device regulations in artificial intelligence medical devices: hindrance or spur? </t>
  </si>
  <si>
    <t>19838491W </t>
  </si>
  <si>
    <t>Sanchís Ramón, María José </t>
  </si>
  <si>
    <t>La atención a los proyectos de vida y a las necesidades de las mujeres gitanas en las políticas de inclusión. </t>
  </si>
  <si>
    <t>02/06/2023 </t>
  </si>
  <si>
    <t>52779604D </t>
  </si>
  <si>
    <t>Oltra Benavent, Paloma </t>
  </si>
  <si>
    <t>Traducción y validación de la versión española de la escala Parental Sense of Competence en una población de madres y padres españoles durante los primeros meses después del parto. </t>
  </si>
  <si>
    <t>26/09/2023 </t>
  </si>
  <si>
    <t>I.U. DE INVESTIGACIONES TURÍSTICAS (10.17) </t>
  </si>
  <si>
    <t>Guerrero Miranda, Jenny Paulina </t>
  </si>
  <si>
    <t>Puesta en valor de la arquitectura vernácula como entrada al turismo, en la Mancomunidad del Chocó Andino (Quito ¿ Ecuador) </t>
  </si>
  <si>
    <t>20/12/2022 </t>
  </si>
  <si>
    <t>Pelegrín Entenza, Norberto </t>
  </si>
  <si>
    <t>EL TURISMO EN CUBA. ESTUDIO DE CASOS DESDE LA PERSPECTIVA DEL ANÁLISIS REGIONAL </t>
  </si>
  <si>
    <t>03/03/2023 </t>
  </si>
  <si>
    <t>Peretó Rovira, Alexandre </t>
  </si>
  <si>
    <t>Alaminos Fernández, Paloma </t>
  </si>
  <si>
    <t>Evolución e impacto de la inteligencia artificial desde una perspectiva económica: una mirada global, europea y regional </t>
  </si>
  <si>
    <t>16/06/2023 </t>
  </si>
  <si>
    <t>LAS BASES SOCIALES Y ARGUMENTALES DE LOS MOVIMIENTOS AUTORITARIOS EN LA UNIÓN EUROPEA. EL CASO DEL POPULISMO PUNITIVO </t>
  </si>
  <si>
    <t>23779586R </t>
  </si>
  <si>
    <t>21395951V</t>
  </si>
  <si>
    <t>Vivos</t>
  </si>
  <si>
    <t>Firma addenda AURENASESORES1-21AD. Prestación de servicios de asesoramiento especializado en materia fiscal. Octavo pago tras la firma del mismo.</t>
  </si>
  <si>
    <t>Firma addenda AURENASESORES1-17AD. Prestación de servicios de asesoramiento especializado en materia fiscal. Séptimo pago tras la firma del mismo.</t>
  </si>
  <si>
    <t>Firma addenda AURENASESORES1-21AD Prestación de servicios de asesoramiento especializado en materia fiscal. Noveno pago tras la firma del mismo.</t>
  </si>
  <si>
    <t>40.70.6C.00.58</t>
  </si>
  <si>
    <t>INGRESO EN FORMALIZACIÓN INGRESO JI-2022-6599 UNA VEZ CONOCIDA EN 2023 LA ORGÁNICA DEFINITVA 40.70.6C.00.58</t>
  </si>
  <si>
    <t>40.70.6C.00.59</t>
  </si>
  <si>
    <t>Estudio de componentes competitivos de la economía alicantina para la atracción de inversiones y talento digital para el proyecto ALIA. 2do Pago / Trimestre</t>
  </si>
  <si>
    <t xml:space="preserve">Estudio de componentes competitivos de la economía alicantina para la atracción de inversiones y talento digital para el proyecto ALIA. 1er pago /trimestre. </t>
  </si>
  <si>
    <t>Estudios de componenetes competitivos de la economía alicantina para la atracción de inversiones y talento digital para el proyecto ALIA.</t>
  </si>
  <si>
    <t>40.70.6C.00.60</t>
  </si>
  <si>
    <t>Asesoramiento científico-técnico en material fiscal. 1er Pago.</t>
  </si>
  <si>
    <t>40.70.6D.00.01</t>
  </si>
  <si>
    <t>Colaboración con la Universidad de Alicante 2. Realización de estudio socio-económico del sector pesquero de la CV CONSELLERIAAGRICULTURA2-23I</t>
  </si>
  <si>
    <t>Mecenazgo de las actividades de organización y realización de las XXXVII Jornadas de Alicante de Economía Española realizadas por la Universidad de Alicante</t>
  </si>
  <si>
    <t>40.70.6G.00.03</t>
  </si>
  <si>
    <t>Mecenazgo de las actividades de organiación y realiación de las XXXVIII Jornadas de Alicante sobre Economía Española por la Universidad de Alicante.</t>
  </si>
  <si>
    <t>Mecenazgo de las actividades de organización y realización de las XXXVIII Jornadas de Alicante de economía española por la Universidad de Alicante.</t>
  </si>
  <si>
    <t>DEVOLUCIÓN DE TASAS NÓMINAS_REMESA Nº 2023DTR380589_RDT INVERSA: 2023EXPADM2019</t>
  </si>
  <si>
    <t>Patrocinio XXXVIII Jornadas de Alicante de Economía Española.</t>
  </si>
  <si>
    <t xml:space="preserve">LIQ-TitProp_GJ92-1 Curso_2023-24_AñoCont_2023 - XXXVIII JORNADAS DE ALICANTE SOBRE ECONOMÍA ESPAÑOLA  </t>
  </si>
  <si>
    <t>DEVOLUCIÓN DE INGRESOS_ MODELO 069_ Expediente o Referencia: 173-P56590-202212210097810</t>
  </si>
  <si>
    <t>DEVOLUCIÓN DE INGRESOS_ CARTA DE PAGO_Referencia PGC2018-097817-B-C33, anualidad: 2021</t>
  </si>
  <si>
    <t xml:space="preserve">PID2020-112540RB-C43/112611RB-I00/112930GB-I00/113343GB-I00/113472RB-I00/114381GB-I00/114517GB-I00/114896RB-I00/115140RB-I00/115735GB-I00  </t>
  </si>
  <si>
    <t>DEVOLUCIÓN DE INGRESOS_MODELO 047_Nº de liquidación: 46/2023/RAS/10200/1_Número de justificante: 047/1/002359944_Nº de referencia:047/1/002359944</t>
  </si>
  <si>
    <t xml:space="preserve">AICO/2021/013/062/093/130/132/163/165 </t>
  </si>
  <si>
    <t>PDC2022-133708-C33PDC-2022-1 2 ANUALIDAD LIBERADOS</t>
  </si>
  <si>
    <t>40.70.6P.00.15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</si>
  <si>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</si>
  <si>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40.70.6P.00.16</t>
  </si>
  <si>
    <t xml:space="preserve">ayudas a organismos de investigación y de difusión de conocimientos para proyectos de I+D para dar respuesta a los retos de los destinos turísticos 50064869 </t>
  </si>
  <si>
    <t xml:space="preserve">ÚLTIMO COBRO DEL PROYECTO MULTIRACES </t>
  </si>
  <si>
    <t xml:space="preserve">LIQ-TitProp_9370-1-2 Curso_2023-24 Emitido_2023-24 - MÁSTER DE FORMACIÓN PERMANENTE EN COMERCIO INTERNACIONAL </t>
  </si>
  <si>
    <t xml:space="preserve">Plan_9117 Curso_2022-23 Emitido_2022-23 - MÁSTER EN COMERCIO INTERNACIONAL </t>
  </si>
  <si>
    <t xml:space="preserve">AD_LIQ-TitProp_9370-1-2 Curso_2023-24 Emitido_2023-24 - MÁSTER DE FORMACIÓN PERMANENTE EN COMERCIO INTERNACIONAL </t>
  </si>
  <si>
    <t xml:space="preserve">Plan_9365 Curso_2023-24 Emitido_2023-24 - MÁSTER DE FORMACIÓN PERMANENTE EN TRIBUTACIÓN </t>
  </si>
  <si>
    <t xml:space="preserve">AD_Plan_9365 Curso_2023-24 Emitido_2023-24 - MÁSTER DE FORMACIÓN PERMANENTE EN TRIBUTACIÓN </t>
  </si>
  <si>
    <t xml:space="preserve">Plan_9199 Curso_2022-23 Emitido_2022y2023 ___ MÁSTER EN TRIBUTACIÓN </t>
  </si>
  <si>
    <t xml:space="preserve">Plan_9199 Curso_2023-24 AñoCont_2023 - MÁSTER EN TRIBUTACIÓN </t>
  </si>
  <si>
    <t>ANALISIS ECONOMICO APLICADO</t>
  </si>
  <si>
    <t>DOCTORADO EN ECONOMÍA</t>
  </si>
  <si>
    <t>Ordóñez García, María Covadonga</t>
  </si>
  <si>
    <t>El mercado laboral de la hostelería en España, rendimiento educativo, satisfacción laboral y discriminación salarial por diferencia de género y origen</t>
  </si>
  <si>
    <t>09/04/2024</t>
  </si>
  <si>
    <t>Director de tesis</t>
  </si>
  <si>
    <t>FILOSOFÍA DEL DCHO .Y DCHO INTERNACIONAL PRIVADO</t>
  </si>
  <si>
    <t>DOCTORADO EUROPEO CONJUNTO EN DERECHO DE PROPIEDAD INTELECTUAL E INNOVACIÓN</t>
  </si>
  <si>
    <t>Zafrilla Díaz-Marta, Vicente</t>
  </si>
  <si>
    <t>Over and Under-disclosure of Standard Essential Patents: An EU approach to its Effects on Innovation and Competition</t>
  </si>
  <si>
    <t>15/11/2023</t>
  </si>
  <si>
    <t>Codirector de tesis</t>
  </si>
  <si>
    <t>Tomada , Letizia</t>
  </si>
  <si>
    <t>The Unified Patent Court and Its Implications for Innovation of Start-ups</t>
  </si>
  <si>
    <t>U023</t>
  </si>
  <si>
    <t>ADM. FACULTAD DE FILOSOFIA Y LETRAS</t>
  </si>
  <si>
    <t>DOCTORADO EN FILOSOFÍA Y LETRAS</t>
  </si>
  <si>
    <t>Klawitter , Oliver</t>
  </si>
  <si>
    <t>Educating about cultural sensitivity and media literacy:A compendium of cultural interaction and image studies on disinformation in the context of artificial intelligence</t>
  </si>
  <si>
    <t>05/12/2023</t>
  </si>
  <si>
    <t>X1299790Z</t>
  </si>
  <si>
    <t>B114</t>
  </si>
  <si>
    <t>FILOLOGIAS INTEGRADAS</t>
  </si>
  <si>
    <t>U036</t>
  </si>
  <si>
    <t>ADM. FACULTAD DE CIENCIAS ECONÓMICAS</t>
  </si>
  <si>
    <t>DOCTORADO EN EMPRESA, ECONOMÍA Y SOCIEDAD</t>
  </si>
  <si>
    <t>Ibañez Hernández, Ana Isabel</t>
  </si>
  <si>
    <t>Enfoque crítico de la comunicación responsable en el sector farmacéutico</t>
  </si>
  <si>
    <t>26/07/2024</t>
  </si>
  <si>
    <t>COMUNICACIÓN Y PSICOLOGÍA SOCIAL</t>
  </si>
  <si>
    <t>U044</t>
  </si>
  <si>
    <t>ADM. FACULTAD DE CIENCIAS DE LA SALUD</t>
  </si>
  <si>
    <t>DOCTORADO EN CIENCIAS DE LA SALUD</t>
  </si>
  <si>
    <t>Herrera Miranda, Felipe</t>
  </si>
  <si>
    <t>Identificación de las barreras y facilitadores en la participación de actividad física y deporte en personas con discapacidad física mayores de 18 años, físicamente activos e inactivos de la región de Valparaíso, Chile.</t>
  </si>
  <si>
    <t>20/09/2024</t>
  </si>
  <si>
    <t>ENFERMERIA</t>
  </si>
  <si>
    <t>U020</t>
  </si>
  <si>
    <t>I.U. DEL AGUA Y DE LAS CIENCIAS AMBIENTALES (10.05)</t>
  </si>
  <si>
    <t>DOCTORADO EN AGUA Y DESARROLLO SOSTENIBLE</t>
  </si>
  <si>
    <t>Millan Hernandez, Marisol</t>
  </si>
  <si>
    <t>El Nexo entre Agua, Cambio Climático y Paz en Colombia: Perspectivas para Políticas Públicas y Fiscalidad Ambiental</t>
  </si>
  <si>
    <t>12/07/2024</t>
  </si>
  <si>
    <t>25</t>
  </si>
  <si>
    <t>21645764G</t>
  </si>
  <si>
    <t>B110</t>
  </si>
  <si>
    <t>40</t>
  </si>
  <si>
    <t>90</t>
  </si>
  <si>
    <t>53210892R</t>
  </si>
  <si>
    <t>21470393P</t>
  </si>
  <si>
    <t>X5461382D</t>
  </si>
  <si>
    <t>Org. aplic.</t>
  </si>
  <si>
    <t>Imp. aplic.</t>
  </si>
  <si>
    <t>Anulación por error en derechos de cobro pendientes. Liquidación  PLAN GB74 curso ''ECONOMÍA COLABORATIVA: INNOVACIÓN, ÉXITO Y RETOS EN LA ERA AIRBNB I UBER'' ORDEN 5491</t>
  </si>
  <si>
    <t>Anulación por error en derechos de cobro pendiente. Liquidación  PLAN GB72 curso ''COMERCIO INTERNACIONAL Y NEGOCIOS EN CHINA'' ORDEN 5489</t>
  </si>
  <si>
    <t>Anulación por error en derechos de cobro pendiente. Liquidación  PLAN GB76 curso ''INNOVACIÓN Y COMPETITIVIDAD DEL TURISMO'' ORDEN 5490</t>
  </si>
  <si>
    <t xml:space="preserve">LIQ-TitProp_9370-3 Curso_2023-24 AñoCont_2023 - MÁSTER DE FORMACIÓN PERMANENTE EN COMERCIO INTERNACIONAL </t>
  </si>
  <si>
    <t xml:space="preserve">LIQ-TitProp_9370-4 Curso_2023-24 AñoCont_2023 - MÁSTER DE FORMACIÓN PERMANENTE EN COMERCIO INTERNACIONAL </t>
  </si>
  <si>
    <t xml:space="preserve">LIQ-TitProp_9370-5 Curso_2023-24 AñoCont_2023 - MÁSTER DE FORMACIÓN PERMANENTE EN COMERCIO INTERNACIONAL </t>
  </si>
  <si>
    <t xml:space="preserve">LIQ-TitProp_9370-1 Curso_2024-25 AñoCont_2024 - MÁSTER DE FORMACIÓN PERMANENTE EN COMERCIO INTERNACIONAL </t>
  </si>
  <si>
    <t xml:space="preserve">LIQ-TitProp_9403-1 Curso_2024-25 AñoCont_2024 - ESPECIALISTA EN COMERCIO INTERNACIONAL </t>
  </si>
  <si>
    <t xml:space="preserve">LIQ-TitProp_9436-N Curso_2024-25_AñoCont_2024 TipoRec_Emitido - EXPERTO/A EN COMERCIO INTERNACIONAL (1)  </t>
  </si>
  <si>
    <t xml:space="preserve">LIQ-TitProp_9403-2 Curso_2024-25 AñoCont_2024 - ESPECIALISTA EN COMERCIO INTERNACIONAL </t>
  </si>
  <si>
    <t xml:space="preserve">LIQ-TitProp_9370-2 Curso_2024-25 AñoCont_2024 - MÁSTER DE FORMACIÓN PERMANENTE EN COMERCIO INTERNACIONAL </t>
  </si>
  <si>
    <t xml:space="preserve">LIQ-TitProp_9436-N Curso_2024-25_AñoCont_2024 TipoRec_Emitido - EXPERTO/A EN COMERCIO INTERNACIONAL (2) </t>
  </si>
  <si>
    <t xml:space="preserve">Liq.PPub_311,00__ADRmsa_2024__EFP Enseñanzas Formación Permanente - Master, Especialista y Experto.  LIQ-TitProp_9370- Curso_2024-25 AñoCont_2024 - MÁSTER DE FORMACIÓN PERMANENTE EN COMERCIO INTERNACIONAL </t>
  </si>
  <si>
    <t xml:space="preserve">AD_Liq.PPub_311,00__ADRmsa_2024__EFP Enseñanzas Formación Permanente - Master, Especialista y Experto.  LIQ-TitProp_9370- Curso_2024-25 AñoCont_2024 - MÁSTER DE FORMACIÓN PERMANENTE EN COMERCIO INTERNACIONAL </t>
  </si>
  <si>
    <t xml:space="preserve">Liq.PPub_311,00__ADRmsa_2024__EFP Enseñanzas Formación Permanente - Master, Especialista y Experto.  LIQ-TitProp_9403-N Curso_2024-25 AñoCont_2024 - ESPECIALISTA EN COMERCIO INTERNACIONAL </t>
  </si>
  <si>
    <t xml:space="preserve">AD_Liq.PPub_311,00__ADRmsa_2024__EFP Enseñanzas Formación Permanente - Master, Especialista y Experto.  LIQ-TitProp_9403-N Curso_2024-25 AñoCont_2024 - ESPECIALISTA EN COMERCIO INTERNACIONAL </t>
  </si>
  <si>
    <t xml:space="preserve">LIQ-TitProp_9365-2 Curso_2023-24 AñoCont_2023 - MÁSTER DE FORMACIÓN PERMANENTE EN TRIBUTACIÓN </t>
  </si>
  <si>
    <t>LIQ-TitProp_9365-3 Curso_2023-24 AñoCont_2023 - MÁSTER DE FORMACIÓN PERMANENTE EN TRIBUTACIÓN</t>
  </si>
  <si>
    <t>DEVOLUCIÓN TASAS NÓMINAS REMESA Nº 2024DTR259145/ RDT INVERSA 2024EXPADM1324</t>
  </si>
  <si>
    <t xml:space="preserve">LIQ-TitProp_9365-1 Curso_2024-25 AñoCont_2024 - MÁSTER DE FORMACIÓN PERMANENTE EN TRIBUTACIÓN </t>
  </si>
  <si>
    <t xml:space="preserve">LIQ-TitProp_9199-N Curso_2024-25_AñoCont_2024 TipoRec_Emitido - MÁSTER EN TRIBUTACIÓN </t>
  </si>
  <si>
    <t xml:space="preserve">Liq.PPub_311,00__ADRmsa_2024__EFP Enseñanzas Formación Permanente - Master, Especialista y Experto.  LIQ-TitProp_9365-N Curso_2024-25 AñoCont_2024 - MÁSTER DE FORMACIÓN PERMANENTE EN TRIBUTACIÓN </t>
  </si>
  <si>
    <t xml:space="preserve">AD_Liq.PPub_311,00__ADRmsa_2024__EFP Enseñanzas Formación Permanente - Master, Especialista y Experto.  LIQ-TitProp_9365-N Curso_2024-25 AñoCont_2024 - MÁSTER DE FORMACIÓN PERMANENTE EN TRIBUTACIÓN </t>
  </si>
  <si>
    <t xml:space="preserve">LIQ-EP_Plan_9365-N Curso_2024-25_AñoCont_2024 TipoRec_Emitido - MÁSTER DE FORMACIÓN PERMANENTE EN TRIBUTACIÓN _ (Cierre-24) </t>
  </si>
  <si>
    <t>40.70.2T.00.11</t>
  </si>
  <si>
    <t>CÓD: GL38. Microcredencial: Fiscalidad Internacional y de No Residentes</t>
  </si>
  <si>
    <t>Matrícula: Salomone Nataly, GL38 FISCALIDAD INTERNACIONAL Y DE NO RESIDENTES.</t>
  </si>
  <si>
    <t>40.70.2T.00.12</t>
  </si>
  <si>
    <t>CÓD: GL39. Microcredencial: Impuesto sobre el Valor Añadido</t>
  </si>
  <si>
    <t>Matrícula Salamone,Nataly. GL39 IMPUESTOS SOBRE EL VALOR AÑADIDO</t>
  </si>
  <si>
    <t>40.70.2T.00.13</t>
  </si>
  <si>
    <t>CÓD: GL40. Microcredencial: Impuesto sobre la Renta de las Personas Físicas</t>
  </si>
  <si>
    <t>Matrícula: Salamone ,Nataly. GL40 IMPUESTO SOBRE LA RENTA DE LA PERSONAS FÍSICAS</t>
  </si>
  <si>
    <t>40.70.2T.00.14</t>
  </si>
  <si>
    <t>CÓD: GL41. Microcredencial: Impuesto sobre Sociedades y Contabilidad</t>
  </si>
  <si>
    <t>Matrícula: Salamone, Nataly. GL41 IMPUESTO SOBRE SOCIEDADES Y CONTABILIDAD</t>
  </si>
  <si>
    <t>40.70.2T.00.15</t>
  </si>
  <si>
    <t xml:space="preserve">CÓD: GL42. Microcredencial: Impuestos Autonómicos. </t>
  </si>
  <si>
    <t>Matrícula: Salamone, Nataly. GL42 IMPUESTOS AUTONÓMICOS</t>
  </si>
  <si>
    <t>40.70.2T.00.16</t>
  </si>
  <si>
    <t>CÓD: GL43. Microcredencial: Impuestos Locales</t>
  </si>
  <si>
    <t>Matrícula: Salamone, Nataly. GL43 IMPUESTOS LOCALES.</t>
  </si>
  <si>
    <t>40.70.2T.00.17</t>
  </si>
  <si>
    <t>CÓD: GL44. Microcredencial: Introducción y Complementos a la Fiscalidad</t>
  </si>
  <si>
    <t>Matrícula: Salamone, Nataly. GL44 INTRODUCCIÓN Y COMPLEMENTOS A LA FISCALIDAD</t>
  </si>
  <si>
    <t>40.70.2T.00.18</t>
  </si>
  <si>
    <t>CÓD: GL45. Microcredencial: Planificación Fiscal</t>
  </si>
  <si>
    <t>Matrícula: Salamone, Nataly. GL45 PLANIFICACIÓN FISCAL</t>
  </si>
  <si>
    <t>40.70.2T.00.19</t>
  </si>
  <si>
    <t>CÓD: GL46. Microcredencial: Procedimientos Tributarios</t>
  </si>
  <si>
    <t>Matrícula: Salamone, Nataly. GL46 PROCEDIMIENTOS TRIBUTARIOS</t>
  </si>
  <si>
    <t>40.70.2T.00.20</t>
  </si>
  <si>
    <t xml:space="preserve">CÓD: GL38. Microcredencial: FISCALIDAD INTERNACIONAL Y DE NO RESIDENTES </t>
  </si>
  <si>
    <t>40.70.2T.00.21</t>
  </si>
  <si>
    <t xml:space="preserve">CÓD: GL39. Microcredencial: IMPUESTO SOBRE EL VALOR AÑADIDO </t>
  </si>
  <si>
    <t>40.70.2T.00.22</t>
  </si>
  <si>
    <t xml:space="preserve">CÓD: GL40. Microcredencial: IMPUESTO SOBRE LA RENTA DE LAS PERSONAS FÍSICAS </t>
  </si>
  <si>
    <t>40.70.2T.00.23</t>
  </si>
  <si>
    <t xml:space="preserve">CÓD: GL41. Microcredencial:  IMPUESTO SOBRE SOCIEDADES Y CONTABILIDAD </t>
  </si>
  <si>
    <t>40.70.2T.00.24</t>
  </si>
  <si>
    <t xml:space="preserve">CÓD: GL42.Microcredencial: IMPUESTOS AUTONÓMICOS </t>
  </si>
  <si>
    <t>40.70.2T.00.25</t>
  </si>
  <si>
    <t xml:space="preserve">CÓD: GL43.Microcredencial: IMPUESTOS LOCALES </t>
  </si>
  <si>
    <t>40.70.2T.00.26</t>
  </si>
  <si>
    <t xml:space="preserve">CÓD: GL44. Microcredencial: INTRODUCCIÓN Y COMPLEMENTOS A LA FISCALIDAD </t>
  </si>
  <si>
    <t>40.70.2T.00.27</t>
  </si>
  <si>
    <t xml:space="preserve">CÓD: GL45. Microcredencial: PLANIFICACIÓN FISCAL </t>
  </si>
  <si>
    <t>40.70.2T.00.28</t>
  </si>
  <si>
    <t xml:space="preserve">CÓD: GL46.Microcredencial: PROCEDIMIENTOS TRIBUTARIOS </t>
  </si>
  <si>
    <t>Completion of D2 as per ToR (Draft study - Jamaica)</t>
  </si>
  <si>
    <t>AURENASESORES1-23A. Asesoramiento científico-técnico en material fiscal. 2do Pago</t>
  </si>
  <si>
    <t>AURENASESORES1-23A. Asesoramiento científico-técnico en material fiscal. 3er pago.</t>
  </si>
  <si>
    <t>Contestación verbal a diversas cuestiones en materia fiscal planteadas por la empresa. Estudio de las cuestiones planteadas y celebración de 1 reunión presenciales con representantes de la empresa: 18 horas de trabajo. Desde el 01 de abril hasta el 30 de junio de 2024.</t>
  </si>
  <si>
    <t>Asesoramiento científico-técnico en material fiscal. 5to pago. Periodo 01/07 al 30/09 de 2024.</t>
  </si>
  <si>
    <t>40.70.6D.00.02</t>
  </si>
  <si>
    <t>CONVENIO ANÁLISIS IMPULSO CULTURA. EXP.05/S0621/2024. FRA. 6003516117. PRESUP S062100000.</t>
  </si>
  <si>
    <t>40.70.6G.00.04</t>
  </si>
  <si>
    <t>Mecenazgo de las actividades de organización y realización de XXXIX Jornadas de Alicante de economía española por la Universidad de Alicante.</t>
  </si>
  <si>
    <t>MECENAZGO DE LAS ACTIVIDADES DE ORGANIZACIÓN Y REALIZACIÓN DE LAS XXXIX JORNADAS DE ALICANTE DE ECONOMÍA ESPAÑOLA POR LA UNIVERSIDAD DE ALICANTE</t>
  </si>
  <si>
    <t>Mecenazgo de las actividades de organización y realización de las XXXIX Jornadas de Alicante de Economía Española realizadas por la Universidad de Alicante.</t>
  </si>
  <si>
    <t>DEVOLUCIÓN DE PRECIOS PÚBLICOS POR INGRESOS DE MATRÍCULA_REMESA Nº 2024DTR381725</t>
  </si>
  <si>
    <t xml:space="preserve">LIQ-TitProp_GL61-1 Curso_2024-25 AñoCont_2024 - XXXIX JORNADAS DE ALICANTE SOBRE ECONOMÍA ESPAÑOLA </t>
  </si>
  <si>
    <t>Patrocinio XXXIX Jornadas de Alicante sobre Economía Española.</t>
  </si>
  <si>
    <t>40.70.6G.00.05</t>
  </si>
  <si>
    <t>Servicios publicitarios en el marco del  contrato de patrocinio: "XVI Congreso Tourism: Economics &amp; Management".</t>
  </si>
  <si>
    <t>DEVOLUCIÓN DE INGRESO_MODELO 047_SUBVENCIÓN AICO  ANUALIDAD_2023</t>
  </si>
  <si>
    <t>PID2022-139105OB-I00-141712NB-C22-142356NB-I00-141694NB-I00-136399NB-C21-142159OB-I00-137566OB-I00-139552OB-C22-137302NB-C33-139820NB-I00-142960OB-C21</t>
  </si>
  <si>
    <t>U025</t>
  </si>
  <si>
    <t>Administración Facultad de Derecho</t>
  </si>
  <si>
    <t>DOCTORADO EN DERECHO</t>
  </si>
  <si>
    <t>Muñoz Ferrandis, Carlos</t>
  </si>
  <si>
    <t>The rise of open source in interoperability standards: A challenge for the EU standardization legal framework</t>
  </si>
  <si>
    <t>14/03/2025</t>
  </si>
  <si>
    <t>Filosofía del Derecho y Derecho Internacional Privado</t>
  </si>
  <si>
    <t>Ruiz Rodríguez, Raúl</t>
  </si>
  <si>
    <t>The alignment between the european private international law system and the trade secrets directive: A joint effort to enhance legal certainty and promote innovation</t>
  </si>
  <si>
    <t>25/10/2024</t>
  </si>
  <si>
    <t>Administración Facultad de Ciencias de la Salud</t>
  </si>
  <si>
    <t>Moya Ortiz, Carlos Julio</t>
  </si>
  <si>
    <t>Evaluar la eficacia del Enfoque Integrativo de Coaching y Psicología EICPbe© (Moya, 2017) para la adquisición y desarrollo de estrategias eficaces para aumentar el bienestar personal en las tareas y proyectos cotidianos</t>
  </si>
  <si>
    <t>26/09/2025</t>
  </si>
  <si>
    <t>Enfermería</t>
  </si>
  <si>
    <t>Montoro Pérez, Nestor</t>
  </si>
  <si>
    <t>Estrés, ansiedad, competencia parental y factores asociados con las "Non-Urgent
Presentations" y los frecuentadores en los servicios de urgencias hospitalarias pediátricas</t>
  </si>
  <si>
    <t>29/11/2024</t>
  </si>
  <si>
    <t>Administración Facultad de Ciencias Económicas</t>
  </si>
  <si>
    <t>Leal Rico, Ines Maria</t>
  </si>
  <si>
    <t>Redefiniendo la contrapublicidad en la encrucijada digital: funciones, impacto y sabotaje 
cultural</t>
  </si>
  <si>
    <t>16/12/2024</t>
  </si>
  <si>
    <t>Comunicación y Psicología Social</t>
  </si>
  <si>
    <t>Krasimirova Asenova, Martina</t>
  </si>
  <si>
    <t>Evolución de la industria hotelera: Del análisis de las páginas web y EWoM de los mejores hoteles a las oportunidades ocultas tras el COVID.</t>
  </si>
  <si>
    <t>20/12/2024</t>
  </si>
  <si>
    <t>Organización de Empresas</t>
  </si>
  <si>
    <t>Chartolani , Ekaterine</t>
  </si>
  <si>
    <t>ORGANIZATIONAL CULTURE: EXPLORING THE CULTURE OF MICHELIN STAR RESTAURANTS IN SPAIN</t>
  </si>
  <si>
    <t>13/12/2024</t>
  </si>
  <si>
    <t>2020</t>
  </si>
  <si>
    <t>2021</t>
  </si>
  <si>
    <t>2022</t>
  </si>
  <si>
    <t>2023</t>
  </si>
  <si>
    <t>2024</t>
  </si>
  <si>
    <t>2025</t>
  </si>
  <si>
    <t>Alcaraz Ramos, Manuel Francisco</t>
  </si>
  <si>
    <t>Martínez Mora, Carmen</t>
  </si>
  <si>
    <t>Lafuente Sánchez, Raúl José</t>
  </si>
  <si>
    <t>González Ramírez, María de los Reyes</t>
  </si>
  <si>
    <t>Fuster García, Begoña Lucía</t>
  </si>
  <si>
    <t>Fuentes Pascual, Ramón</t>
  </si>
  <si>
    <t>Sánchez Sánchez, Ángel</t>
  </si>
  <si>
    <t>21488066V</t>
  </si>
  <si>
    <t>Llorca Asensi, Elena</t>
  </si>
  <si>
    <t>B179</t>
  </si>
  <si>
    <t>Ortiz Díaz-Guerra, María Jesús</t>
  </si>
  <si>
    <t>Simón Pérez, Hipólito José</t>
  </si>
  <si>
    <t>López-Tarruella Martínez, Aurelio</t>
  </si>
  <si>
    <t>Torró Gil, Lluís</t>
  </si>
  <si>
    <t>Pastor Sempere, María del Carmen</t>
  </si>
  <si>
    <t>Trescastro López, Eva María</t>
  </si>
  <si>
    <t>Richart Martínez, Miguel</t>
  </si>
  <si>
    <t>Serrano Estrada, Leticia</t>
  </si>
  <si>
    <t>Casado Díaz, José Manuel</t>
  </si>
  <si>
    <t>Martínez Giner, Luis Alfonso</t>
  </si>
  <si>
    <t>Moreno Izquierdo, Luis</t>
  </si>
  <si>
    <t>Fernández Sirvent, Rafael</t>
  </si>
  <si>
    <t>53638330F</t>
  </si>
  <si>
    <t>Roldan Marin, Alba</t>
  </si>
  <si>
    <t>74013738Z</t>
  </si>
  <si>
    <t>Martínez García, Alba</t>
  </si>
  <si>
    <t>Escudero Gutiérrez, Antonio</t>
  </si>
  <si>
    <t>Gil Macia, Lorenzo</t>
  </si>
  <si>
    <t>Grumpel, Claudia Gisela</t>
  </si>
  <si>
    <t>Driha, Oana Madalina</t>
  </si>
  <si>
    <t>Marco Such, Manuel</t>
  </si>
  <si>
    <t>Lillo Bañuls, Adelaida</t>
  </si>
  <si>
    <t>Ramón Rodríguez, Ana Belén</t>
  </si>
  <si>
    <t>Papí Gálvez, Natalia</t>
  </si>
  <si>
    <t>Gascó Gascó, José Luis</t>
  </si>
  <si>
    <t>Ivars Baidal, Josep Antoni</t>
  </si>
  <si>
    <t>Torregrosa Martí, María Teresa</t>
  </si>
  <si>
    <t>Llopis Taverner, Juan</t>
  </si>
  <si>
    <t>López Llopis, Estefanía</t>
  </si>
  <si>
    <t>Vera Rebollo, José Fernando</t>
  </si>
  <si>
    <t>40.70.6C.00.32</t>
  </si>
  <si>
    <t>INGRESO PERCIBIDO POR LA UNIVERSIDAD DE ALICANTE EN VIRTUD DE EN VIRTUD DE RESOLUCIÓN JUDICIAL_EXPEDIENTE:0155-0000-05-1626-23 Principal M.P. O-5609420 COMO ORDEN DE EJECUCIÓN DE LA PROFORMA 20200000000158-I</t>
  </si>
  <si>
    <t>Asesoramiento científico-técnico en material fiscal. 6to pago. Periodo 01/10 al 31/12 de 2024.</t>
  </si>
  <si>
    <t>Asesoramiento científico-técnico en material fiscal. 7º pago. Período del 01/01 al 31/03/25</t>
  </si>
  <si>
    <t>Asesoramiento científico-técnico en material fiscal. 8º pago. Período del 01/04/2025 al 30/06/2025</t>
  </si>
  <si>
    <t>Asesoramiento científico-técnico en material fiscal. 9º pago. Período del 01/07/2025 al 30/09/2025</t>
  </si>
  <si>
    <t>40.70.6C.00.62</t>
  </si>
  <si>
    <t>Análisis preliminar (jurídico-técnico) para elaboración del sistema inteligente de detección temprana de empresas viables y fomento de transmisiones a los trabajadores fundamentado en avances de 2025 en digitalización y estandarización concursal. Identificación de mecanismos jurídicos existentes para transmisión empresarial a trabajadores.Elaboración y publicación de estudio doctrinal, análisis académicos y empírico y jornada de difusión para la promoción de la economía y responsabilidad social empresarial en este campo. (Expediente ES25094)</t>
  </si>
  <si>
    <t>40.70.6C.00.63</t>
  </si>
  <si>
    <t>Elaboración de informe sobre análisis del cumplimiento de los requisitos para la exención de las participaciones de entidad jurídica, Ale-Hop Grimalt SL, en el impuesto sobre el patrimonio</t>
  </si>
  <si>
    <t>40.70.6G.00.06</t>
  </si>
  <si>
    <t>Mecenazgo de actividades de organización y realización de XL Jornadas de Alicante de Economía Española por la Universidad de Alicante</t>
  </si>
  <si>
    <t>Patrocinio de las XL Jornadas de Alicante sobre Economía Española</t>
  </si>
  <si>
    <t>DEVOLUCIÓN DE INGRESOS_ CARTA DE PAGO_ REFERENCIA: PDC2022-133708-C33, ANUALIDAD: 2022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</si>
  <si>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</si>
  <si>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Ejercicios cerrados. Reintegro parcial del jte.2024/000000044971 con número de abono 2025/A00000000001/2025y compensado en el jte. 39935/2025 de la empresa AVORIS  </t>
  </si>
  <si>
    <t>40.70.6P.00.18</t>
  </si>
  <si>
    <t>Ayudas CIAICO 2024/6/31/81/130/150/168/186/204/238/296/319</t>
  </si>
  <si>
    <t>40.70.6Q.00.01</t>
  </si>
  <si>
    <t>CÁTEDRA DE BRECHA DIGITAL GENERACIONAL - 2025</t>
  </si>
  <si>
    <t xml:space="preserve">Minoración Ayuda CÁTEDRA DE BRECHA DIGITAL GENERACIONAL - 2025 en 66.11 por reconocimiento de GV el importe de 29933,89 </t>
  </si>
  <si>
    <t>40.70.6Q.00.02</t>
  </si>
  <si>
    <t>Concesión de una subvención nominativa a la Universidad de Alicante para la financiación de acciones de investigación e innovación, transferencia de conocimiento y docencia y formación relacionados con la economía social. Línea subvención S1741</t>
  </si>
  <si>
    <t>Minoración en parte de "Concesión de una subvención nominativa a la Universidad de Alicante para la financiación de acciones de investigación e innovación, transferencia de conocimiento y docencia y formación relacionados con la economía social. Línea subvención S1741"</t>
  </si>
  <si>
    <t>Total ingresos de investigación 2023-25</t>
  </si>
  <si>
    <t xml:space="preserve">LIQ-TitProp_9365-2Curso_2024-25 AñoCont_2024 - MÁSTER DE FORMACIÓN PERMANENTE EN TRIBUTACIÓN (PARTE 443 DEL AD-6795) </t>
  </si>
  <si>
    <t xml:space="preserve">LIQ-TitProp_9370-3 Curso_2024-25 AñoCont_2025 - MÁSTER DE FORMACIÓN PERMANENTE EN COMERCIO INTERNACIONAL </t>
  </si>
  <si>
    <t>LIQ-TitProp_9370-3 Curso_2024-25 AñoCont_2025 - MÁSTER DE FORMACIÓN PERMANENTE EN COMERCIO INTERNACIONAL</t>
  </si>
  <si>
    <t>DEVOLUCIÓN DE PRECIOS PÚBLICOS CORRESPONDIENTES A LA REMESA Nº 2025DTR032549_RDT INVERSA EXP 311</t>
  </si>
  <si>
    <t xml:space="preserve">LIQ-TitProp_9370-4 Curso_2024-25 AñoCont_2025 - MÁSTER DE FORMACIÓN PERMANENTE EN COMERCIO INTERNACIONAL (parte 443) </t>
  </si>
  <si>
    <t>DÍDAC JULIÀ ACHAU, ESPECIALISTA EN COMERCIO INTERNACIONAL (9403), RECIBO 2025755198442</t>
  </si>
  <si>
    <t xml:space="preserve">LIQ-TitProp_9403-1 Curso_2025-26 AñoCont_2025 - ESPECIALISTA EN COMERCIO INTERNACIONAL </t>
  </si>
  <si>
    <t xml:space="preserve">LIQ-TitProp_9365-1 Curso_2025-26 AñoCont_2025 - MÁSTER DE FORMACIÓN PERMANENTE EN TRIBUTACIÓN </t>
  </si>
  <si>
    <t xml:space="preserve">LIQ-TitProp_9370-1 Curso_2025-26 AñoCont_2025 - MÁSTER DE FORMACIÓN PERMANENTE EN COMERCIO INTERNACIONAL </t>
  </si>
  <si>
    <t xml:space="preserve">LIQ-TitProp_9370-2 Curso_2025-26 AñoCont_2025 - MÁSTER DE FORMACIÓN PERMANENTE EN COMERCIO INTERNACIONAL </t>
  </si>
  <si>
    <t xml:space="preserve">LIQ-TitProp_9403-2 Curso_2025-26 AñoCont_2025 - ESPECIALISTA EN COMERCIO INTERNACIONAL </t>
  </si>
  <si>
    <t xml:space="preserve">AD_Plan 9117_Curso 2021-22 MÁSTER EN COMERCIO INTERNACIONAL. </t>
  </si>
  <si>
    <t xml:space="preserve">LIQ-TitProp_9403-N Curso_2024-25 AñoCont_2025 - ESPECIALISTA EN COMERCIO INTERNACIONAL (JI PROCEDENTE DE AD_2024-6812 PARA INTRODUCIR EN PGCP 443).  </t>
  </si>
  <si>
    <t xml:space="preserve">LIQ-TitProp_9365-N Curso_2025-26 AñoCont_2025 - MÁSTER DE FORMACIÓN PERMANENTE EN TRIBUTACIÓN (cierre 25 emitido 25 cobrado 25) </t>
  </si>
  <si>
    <t xml:space="preserve">AD_LIQ-TitProp_9365-2Curso_2024-25 AñoCont_2025 - MÁSTER DE FORMACIÓN PERMANENTE EN TRIBUTACIÓN  (JI PROCEDENTE DE AD_2024-6795 PARA INTRODUCIR EN PGCP 443). </t>
  </si>
  <si>
    <t xml:space="preserve">LIQ-TitProp_9403-N Curso_2025-26 AñoCont_2025 - ESPECIALISTA EN COMERCIO INTERNACIONAL (CIERRE 25 EMITIDO 25 NO-COBRADO) </t>
  </si>
  <si>
    <t xml:space="preserve">LIQ-TitProp_9370-3 Curso_2025-26 AñoCont_2025 - MÁSTER DE FORMACIÓN PERMANENTE EN COMERCIO INTERNACIONAL  (EMITIDO-25 COBRADO-25) </t>
  </si>
  <si>
    <t xml:space="preserve">LIQ-TitProp_9365-N Curso_2025-26 AñoCont_2025 - MÁSTER DE FORMACIÓN PERMANENTE EN TRIBUTACIÓN (CIERRE-25 APLAZADO 443) </t>
  </si>
  <si>
    <t xml:space="preserve">LIQ-TitProp_9370-N Curso_2025-26 AñoCont_2025 - MÁSTER DE FORMACIÓN PERMANENTE EN COMERCIO INTERNACIONAL _ (Cierre 25 APLAZADO) </t>
  </si>
  <si>
    <t xml:space="preserve">LIQ-TitProp_9403-N Curso_2025-26 AñoCont_2025 - ESPECIALISTA EN COMERCIO INTERNACIONAL (CIERRE-25 APLAZADO 443)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</si>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</sst>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8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9" fillId="0" borderId="0" xfId="5" applyFont="1"/>
    <xf numFmtId="0" fontId="9" fillId="0" borderId="0" xfId="5" applyFont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5" fontId="2" fillId="4" borderId="1" xfId="1" applyNumberFormat="1" applyFill="1" applyBorder="1"/>
    <xf numFmtId="0" fontId="2" fillId="0" borderId="1" xfId="1" applyBorder="1"/>
    <xf numFmtId="0" fontId="10" fillId="6" borderId="1" xfId="0" applyFont="1" applyFill="1" applyBorder="1" applyAlignment="1">
      <alignment horizontal="left" vertical="center"/>
    </xf>
    <xf numFmtId="166" fontId="2" fillId="4" borderId="1" xfId="1" applyNumberFormat="1" applyFill="1" applyBorder="1"/>
    <xf numFmtId="2" fontId="2" fillId="4" borderId="1" xfId="1" applyNumberForma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43" fontId="0" fillId="8" borderId="2" xfId="6" applyNumberFormat="1" applyFont="1" applyFill="1" applyBorder="1"/>
    <xf numFmtId="43" fontId="0" fillId="0" borderId="2" xfId="6" applyNumberFormat="1" applyFont="1" applyBorder="1"/>
    <xf numFmtId="165" fontId="2" fillId="0" borderId="1" xfId="1" applyNumberFormat="1" applyBorder="1"/>
    <xf numFmtId="165" fontId="2" fillId="0" borderId="3" xfId="1" applyNumberFormat="1" applyBorder="1"/>
    <xf numFmtId="165" fontId="2" fillId="0" borderId="4" xfId="1" applyNumberFormat="1" applyBorder="1"/>
    <xf numFmtId="165" fontId="2" fillId="0" borderId="5" xfId="1" applyNumberFormat="1" applyBorder="1"/>
    <xf numFmtId="0" fontId="2" fillId="0" borderId="3" xfId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17" fillId="8" borderId="2" xfId="0" applyFont="1" applyFill="1" applyBorder="1"/>
    <xf numFmtId="0" fontId="17" fillId="0" borderId="2" xfId="0" applyFont="1" applyBorder="1"/>
    <xf numFmtId="43" fontId="0" fillId="0" borderId="0" xfId="0" applyNumberFormat="1"/>
    <xf numFmtId="0" fontId="0" fillId="9" borderId="0" xfId="0" applyFill="1"/>
    <xf numFmtId="0" fontId="0" fillId="9" borderId="0" xfId="0" applyFill="1" applyAlignment="1">
      <alignment horizontal="left"/>
    </xf>
    <xf numFmtId="0" fontId="16" fillId="7" borderId="7" xfId="0" applyFont="1" applyFill="1" applyBorder="1"/>
    <xf numFmtId="0" fontId="17" fillId="8" borderId="8" xfId="0" applyFont="1" applyFill="1" applyBorder="1"/>
    <xf numFmtId="43" fontId="0" fillId="8" borderId="8" xfId="6" applyNumberFormat="1" applyFont="1" applyFill="1" applyBorder="1"/>
    <xf numFmtId="0" fontId="9" fillId="10" borderId="8" xfId="0" applyFont="1" applyFill="1" applyBorder="1"/>
    <xf numFmtId="43" fontId="13" fillId="10" borderId="8" xfId="0" applyNumberFormat="1" applyFont="1" applyFill="1" applyBorder="1"/>
    <xf numFmtId="0" fontId="0" fillId="11" borderId="0" xfId="0" applyFill="1"/>
    <xf numFmtId="0" fontId="12" fillId="0" borderId="0" xfId="0" applyFont="1"/>
    <xf numFmtId="0" fontId="0" fillId="8" borderId="2" xfId="0" applyNumberFormat="1" applyFont="1" applyFill="1" applyBorder="1"/>
    <xf numFmtId="0" fontId="0" fillId="0" borderId="2" xfId="0" applyNumberFormat="1" applyFont="1" applyBorder="1"/>
    <xf numFmtId="0" fontId="11" fillId="7" borderId="7" xfId="0" applyFont="1" applyFill="1" applyBorder="1"/>
    <xf numFmtId="0" fontId="0" fillId="0" borderId="8" xfId="0" applyNumberFormat="1" applyFont="1" applyBorder="1"/>
    <xf numFmtId="43" fontId="0" fillId="0" borderId="8" xfId="6" applyNumberFormat="1" applyFont="1" applyBorder="1"/>
    <xf numFmtId="0" fontId="0" fillId="0" borderId="8" xfId="0" applyFont="1" applyBorder="1"/>
    <xf numFmtId="43" fontId="13" fillId="0" borderId="8" xfId="0" applyNumberFormat="1" applyFont="1" applyBorder="1"/>
    <xf numFmtId="43" fontId="11" fillId="7" borderId="7" xfId="6" applyNumberFormat="1" applyFont="1" applyFill="1" applyBorder="1"/>
    <xf numFmtId="0" fontId="0" fillId="8" borderId="8" xfId="0" applyNumberFormat="1" applyFont="1" applyFill="1" applyBorder="1"/>
    <xf numFmtId="0" fontId="0" fillId="10" borderId="8" xfId="0" applyFont="1" applyFill="1" applyBorder="1"/>
    <xf numFmtId="0" fontId="12" fillId="0" borderId="1" xfId="0" applyFont="1" applyBorder="1"/>
    <xf numFmtId="164" fontId="12" fillId="0" borderId="1" xfId="6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8" fillId="0" borderId="1" xfId="0" applyFont="1" applyBorder="1"/>
    <xf numFmtId="0" fontId="0" fillId="11" borderId="1" xfId="0" applyFont="1" applyFill="1" applyBorder="1"/>
    <xf numFmtId="0" fontId="18" fillId="0" borderId="1" xfId="0" applyFont="1" applyBorder="1" applyAlignment="1">
      <alignment horizontal="left"/>
    </xf>
    <xf numFmtId="0" fontId="18" fillId="11" borderId="1" xfId="0" applyFont="1" applyFill="1" applyBorder="1"/>
    <xf numFmtId="0" fontId="18" fillId="11" borderId="1" xfId="0" applyFont="1" applyFill="1" applyBorder="1" applyAlignment="1">
      <alignment horizontal="center"/>
    </xf>
    <xf numFmtId="0" fontId="0" fillId="0" borderId="0" xfId="5" applyFont="1"/>
    <xf numFmtId="0" fontId="14" fillId="12" borderId="9" xfId="0" applyFont="1" applyFill="1" applyBorder="1"/>
    <xf numFmtId="0" fontId="14" fillId="12" borderId="10" xfId="0" applyFont="1" applyFill="1" applyBorder="1"/>
    <xf numFmtId="0" fontId="9" fillId="13" borderId="9" xfId="0" applyFont="1" applyFill="1" applyBorder="1"/>
    <xf numFmtId="0" fontId="9" fillId="13" borderId="10" xfId="0" applyFont="1" applyFill="1" applyBorder="1"/>
    <xf numFmtId="164" fontId="9" fillId="13" borderId="10" xfId="6" applyFont="1" applyFill="1" applyBorder="1"/>
    <xf numFmtId="0" fontId="9" fillId="0" borderId="9" xfId="0" applyFont="1" applyBorder="1"/>
    <xf numFmtId="0" fontId="9" fillId="0" borderId="10" xfId="0" applyFont="1" applyBorder="1"/>
    <xf numFmtId="164" fontId="9" fillId="0" borderId="10" xfId="6" applyFont="1" applyBorder="1"/>
    <xf numFmtId="0" fontId="15" fillId="0" borderId="11" xfId="0" applyFont="1" applyBorder="1"/>
    <xf numFmtId="0" fontId="15" fillId="0" borderId="12" xfId="0" applyFont="1" applyBorder="1"/>
    <xf numFmtId="164" fontId="15" fillId="0" borderId="12" xfId="6" applyFont="1" applyBorder="1"/>
    <xf numFmtId="0" fontId="12" fillId="9" borderId="6" xfId="0" applyFont="1" applyFill="1" applyBorder="1" applyAlignment="1">
      <alignment horizontal="center"/>
    </xf>
    <xf numFmtId="164" fontId="14" fillId="12" borderId="10" xfId="6" applyFont="1" applyFill="1" applyBorder="1"/>
    <xf numFmtId="164" fontId="15" fillId="0" borderId="12" xfId="0" applyNumberFormat="1" applyFont="1" applyBorder="1"/>
    <xf numFmtId="0" fontId="15" fillId="0" borderId="1" xfId="0" applyFont="1" applyBorder="1"/>
    <xf numFmtId="164" fontId="15" fillId="0" borderId="1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042D34-BAC4-4026-95D3-EEA22196A145}" name="Tabla5" displayName="Tabla5" ref="A1:C27" totalsRowCount="1" headerRowDxfId="41" totalsRowDxfId="38" headerRowBorderDxfId="40" tableBorderDxfId="39" totalsRowBorderDxfId="37">
  <autoFilter ref="A1:C26" xr:uid="{C69EE5D5-679C-446B-92F9-306CA876D340}"/>
  <tableColumns count="3">
    <tableColumn id="1" xr3:uid="{3F6BCDA8-A874-4B2A-99B1-9A89623ACE88}" name="Cód. org. aplic." totalsRowLabel="Total" dataDxfId="36" totalsRowDxfId="35"/>
    <tableColumn id="2" xr3:uid="{2B005EA6-5D24-4417-81E9-F801D80D216A}" name="Descripción justificante" dataDxfId="34" totalsRowDxfId="33"/>
    <tableColumn id="3" xr3:uid="{04168120-291D-4DD5-ABDC-1C7D01CAAF56}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A6A5BA-A62A-4A94-9F5C-16CD3E632668}" name="Tabla6" displayName="Tabla6" ref="A1:C17" totalsRowCount="1" totalsRowDxfId="28" headerRowBorderDxfId="30" tableBorderDxfId="29" totalsRowBorderDxfId="27">
  <autoFilter ref="A1:C16" xr:uid="{43A97D1B-7138-45C7-98B6-79B56FDD3BF3}"/>
  <tableColumns count="3">
    <tableColumn id="1" xr3:uid="{C15B4A8C-A247-4F06-90B5-BCE4A982A1BF}" name="Org. aplic." totalsRowLabel="Total" dataDxfId="26" totalsRowDxfId="25"/>
    <tableColumn id="2" xr3:uid="{0388226B-4263-4FC3-82A2-3DE4E11C8230}" name="Descripción justificante" dataDxfId="24" totalsRowDxfId="23"/>
    <tableColumn id="3" xr3:uid="{F933C995-976E-4292-A348-408D8EF75D42}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120EF-D072-4D80-8B3D-9A27D48C4583}" name="Tabla1" displayName="Tabla1" ref="A1:C11" totalsRowCount="1" headerRowDxfId="20" totalsRowDxfId="17" headerRowBorderDxfId="19" tableBorderDxfId="18" totalsRowBorderDxfId="16">
  <autoFilter ref="A1:C10" xr:uid="{EE503B4C-EABD-439E-A866-BB48549FC81B}"/>
  <tableColumns count="3">
    <tableColumn id="1" xr3:uid="{02F57299-D360-42BF-B220-F8F304959044}" name="Cód. org. aplic." totalsRowLabel="Total" dataDxfId="15" totalsRowDxfId="14"/>
    <tableColumn id="2" xr3:uid="{1C5D2C24-ACEA-493B-A3DE-940C1C821E7E}" name="Descripción justificante" dataDxfId="13" totalsRowDxfId="12"/>
    <tableColumn id="3" xr3:uid="{2703E823-9E82-4439-BD37-536CF7F6B58B}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8A6B73-C942-4652-8E74-BAF43C98EA80}" name="Tabla2" displayName="Tabla2" ref="A1:C54" totalsRowCount="1" headerRowDxfId="9" headerRowBorderDxfId="8" tableBorderDxfId="7" totalsRowBorderDxfId="6">
  <autoFilter ref="A1:C53" xr:uid="{267918EC-FAE0-4E6A-BE1D-AB4FE01749B1}"/>
  <tableColumns count="3">
    <tableColumn id="1" xr3:uid="{1C3189D2-EA95-4C64-A454-0726400179B4}" name="Org. aplic." totalsRowLabel="Total" dataDxfId="5" totalsRowDxfId="4"/>
    <tableColumn id="2" xr3:uid="{4AF6FC26-60B2-44A8-A09E-67F61CE9AD41}" name="Descripción justificante" dataDxfId="3" totalsRowDxfId="2"/>
    <tableColumn id="3" xr3:uid="{C0FAA2B9-FDDA-4103-ACAC-02393AAE3CA2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7"/>
  <sheetViews>
    <sheetView showGridLines="0" topLeftCell="C16" zoomScale="120" zoomScaleNormal="120" workbookViewId="0">
      <selection activeCell="T47" sqref="T47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" t="s">
        <v>11</v>
      </c>
      <c r="J1" s="2" t="s">
        <v>12</v>
      </c>
      <c r="K1" s="1" t="s">
        <v>13</v>
      </c>
      <c r="L1" s="2" t="s">
        <v>14</v>
      </c>
      <c r="M1" s="3" t="s">
        <v>15</v>
      </c>
      <c r="N1" s="4" t="s">
        <v>16</v>
      </c>
      <c r="O1" s="5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x14ac:dyDescent="0.2">
      <c r="A2" s="15" t="s">
        <v>43</v>
      </c>
      <c r="B2" s="15" t="s">
        <v>44</v>
      </c>
      <c r="C2" s="15" t="s">
        <v>45</v>
      </c>
      <c r="D2" s="15" t="s">
        <v>120</v>
      </c>
      <c r="E2" s="15" t="s">
        <v>121</v>
      </c>
      <c r="F2" s="15" t="s">
        <v>122</v>
      </c>
      <c r="G2" s="15" t="s">
        <v>49</v>
      </c>
      <c r="H2" s="15" t="s">
        <v>24</v>
      </c>
      <c r="I2" s="15" t="s">
        <v>50</v>
      </c>
      <c r="J2" s="15" t="s">
        <v>51</v>
      </c>
      <c r="K2" s="18">
        <v>0.5</v>
      </c>
      <c r="L2" s="15" t="s">
        <v>52</v>
      </c>
      <c r="M2" s="15">
        <v>2019</v>
      </c>
      <c r="N2" s="15" t="s">
        <v>47</v>
      </c>
      <c r="O2" s="16" t="s">
        <v>42</v>
      </c>
      <c r="P2" s="15" t="s">
        <v>26</v>
      </c>
      <c r="Q2" s="16" t="s">
        <v>26</v>
      </c>
      <c r="R2" s="17">
        <v>90</v>
      </c>
      <c r="S2" s="18">
        <v>0.45</v>
      </c>
      <c r="T2" s="28">
        <v>0.05</v>
      </c>
      <c r="U2" s="29">
        <v>0</v>
      </c>
    </row>
    <row r="3" spans="1:21" x14ac:dyDescent="0.2">
      <c r="A3" s="15" t="s">
        <v>28</v>
      </c>
      <c r="B3" s="15" t="s">
        <v>29</v>
      </c>
      <c r="C3" s="15" t="s">
        <v>30</v>
      </c>
      <c r="D3" s="15" t="s">
        <v>126</v>
      </c>
      <c r="E3" s="15" t="s">
        <v>127</v>
      </c>
      <c r="F3" s="15" t="s">
        <v>128</v>
      </c>
      <c r="G3" s="15" t="s">
        <v>65</v>
      </c>
      <c r="H3" s="15" t="s">
        <v>24</v>
      </c>
      <c r="I3" s="15" t="s">
        <v>62</v>
      </c>
      <c r="J3" s="15" t="s">
        <v>63</v>
      </c>
      <c r="K3" s="18">
        <v>0.5</v>
      </c>
      <c r="L3" s="15" t="s">
        <v>64</v>
      </c>
      <c r="M3" s="15">
        <v>2019</v>
      </c>
      <c r="N3" s="15" t="s">
        <v>47</v>
      </c>
      <c r="O3" s="16" t="s">
        <v>42</v>
      </c>
      <c r="P3" s="15" t="s">
        <v>31</v>
      </c>
      <c r="Q3" s="16" t="s">
        <v>66</v>
      </c>
      <c r="R3" s="17">
        <v>20</v>
      </c>
      <c r="S3" s="18">
        <v>0.1</v>
      </c>
      <c r="T3" s="28">
        <v>0.05</v>
      </c>
      <c r="U3" s="29">
        <v>0.35</v>
      </c>
    </row>
    <row r="4" spans="1:21" x14ac:dyDescent="0.2">
      <c r="A4" s="15" t="s">
        <v>28</v>
      </c>
      <c r="B4" s="15" t="s">
        <v>29</v>
      </c>
      <c r="C4" s="15" t="s">
        <v>30</v>
      </c>
      <c r="D4" s="15" t="s">
        <v>123</v>
      </c>
      <c r="E4" s="15" t="s">
        <v>124</v>
      </c>
      <c r="F4" s="15" t="s">
        <v>125</v>
      </c>
      <c r="G4" s="15" t="s">
        <v>65</v>
      </c>
      <c r="H4" s="15" t="s">
        <v>27</v>
      </c>
      <c r="I4" s="15" t="s">
        <v>62</v>
      </c>
      <c r="J4" s="15" t="s">
        <v>63</v>
      </c>
      <c r="K4" s="18">
        <v>1</v>
      </c>
      <c r="L4" s="15" t="s">
        <v>64</v>
      </c>
      <c r="M4" s="15">
        <v>2019</v>
      </c>
      <c r="N4" s="15" t="s">
        <v>47</v>
      </c>
      <c r="O4" s="16" t="s">
        <v>42</v>
      </c>
      <c r="P4" s="15" t="s">
        <v>31</v>
      </c>
      <c r="Q4" s="16" t="s">
        <v>66</v>
      </c>
      <c r="R4" s="17">
        <v>20</v>
      </c>
      <c r="S4" s="18">
        <v>0.2</v>
      </c>
      <c r="T4" s="28">
        <v>0.1</v>
      </c>
      <c r="U4" s="29">
        <v>0.7</v>
      </c>
    </row>
    <row r="5" spans="1:21" x14ac:dyDescent="0.2">
      <c r="A5" s="15" t="s">
        <v>32</v>
      </c>
      <c r="B5" s="15" t="s">
        <v>33</v>
      </c>
      <c r="C5" s="15" t="s">
        <v>34</v>
      </c>
      <c r="D5" s="15" t="s">
        <v>129</v>
      </c>
      <c r="E5" s="15" t="s">
        <v>130</v>
      </c>
      <c r="F5" s="15" t="s">
        <v>131</v>
      </c>
      <c r="G5" s="15" t="s">
        <v>73</v>
      </c>
      <c r="H5" s="15" t="s">
        <v>24</v>
      </c>
      <c r="I5" s="15" t="s">
        <v>70</v>
      </c>
      <c r="J5" s="15" t="s">
        <v>71</v>
      </c>
      <c r="K5" s="21">
        <v>0.5</v>
      </c>
      <c r="L5" s="15" t="s">
        <v>72</v>
      </c>
      <c r="M5" s="15">
        <v>2019</v>
      </c>
      <c r="N5" s="15" t="s">
        <v>47</v>
      </c>
      <c r="O5" s="16" t="s">
        <v>42</v>
      </c>
      <c r="P5" s="15" t="s">
        <v>35</v>
      </c>
      <c r="Q5" s="16" t="s">
        <v>42</v>
      </c>
      <c r="R5" s="17">
        <v>80</v>
      </c>
      <c r="S5" s="18">
        <v>0.4</v>
      </c>
      <c r="T5" s="28">
        <v>0.05</v>
      </c>
      <c r="U5" s="29">
        <v>0.05</v>
      </c>
    </row>
    <row r="6" spans="1:21" x14ac:dyDescent="0.2">
      <c r="A6" s="15" t="s">
        <v>43</v>
      </c>
      <c r="B6" s="15" t="s">
        <v>44</v>
      </c>
      <c r="C6" s="15" t="s">
        <v>45</v>
      </c>
      <c r="D6" s="15" t="s">
        <v>138</v>
      </c>
      <c r="E6" s="15" t="s">
        <v>139</v>
      </c>
      <c r="F6" s="15" t="s">
        <v>140</v>
      </c>
      <c r="G6" s="15" t="s">
        <v>61</v>
      </c>
      <c r="H6" s="15" t="s">
        <v>24</v>
      </c>
      <c r="I6" s="15" t="s">
        <v>58</v>
      </c>
      <c r="J6" s="15" t="s">
        <v>59</v>
      </c>
      <c r="K6" s="21">
        <v>0.5</v>
      </c>
      <c r="L6" s="15" t="s">
        <v>60</v>
      </c>
      <c r="M6" s="15">
        <v>2019</v>
      </c>
      <c r="N6" s="15" t="s">
        <v>47</v>
      </c>
      <c r="O6" s="16">
        <v>50</v>
      </c>
      <c r="P6" s="15" t="s">
        <v>26</v>
      </c>
      <c r="Q6" s="16">
        <v>0</v>
      </c>
      <c r="R6" s="17">
        <v>50</v>
      </c>
      <c r="S6" s="18">
        <v>0.25</v>
      </c>
      <c r="T6" s="28">
        <v>0.25</v>
      </c>
      <c r="U6" s="29">
        <v>0</v>
      </c>
    </row>
    <row r="7" spans="1:21" x14ac:dyDescent="0.2">
      <c r="A7" s="15" t="s">
        <v>39</v>
      </c>
      <c r="B7" s="15" t="s">
        <v>40</v>
      </c>
      <c r="C7" s="15" t="s">
        <v>55</v>
      </c>
      <c r="D7" s="15" t="s">
        <v>141</v>
      </c>
      <c r="E7" s="15" t="s">
        <v>142</v>
      </c>
      <c r="F7" s="15" t="s">
        <v>143</v>
      </c>
      <c r="G7" s="15" t="s">
        <v>144</v>
      </c>
      <c r="H7" s="15" t="s">
        <v>24</v>
      </c>
      <c r="I7" s="15" t="s">
        <v>39</v>
      </c>
      <c r="J7" s="15" t="s">
        <v>40</v>
      </c>
      <c r="K7" s="21">
        <v>0.5</v>
      </c>
      <c r="L7" s="15" t="s">
        <v>41</v>
      </c>
      <c r="M7" s="15">
        <v>2020</v>
      </c>
      <c r="N7" s="15" t="s">
        <v>47</v>
      </c>
      <c r="O7" s="16">
        <v>50</v>
      </c>
      <c r="P7" s="15" t="s">
        <v>26</v>
      </c>
      <c r="Q7" s="16">
        <v>0</v>
      </c>
      <c r="R7" s="17">
        <v>50</v>
      </c>
      <c r="S7" s="18">
        <v>0.25</v>
      </c>
      <c r="T7" s="28">
        <v>0.25</v>
      </c>
      <c r="U7" s="29">
        <v>0</v>
      </c>
    </row>
    <row r="8" spans="1:21" x14ac:dyDescent="0.2">
      <c r="A8" s="15" t="s">
        <v>145</v>
      </c>
      <c r="B8" s="15" t="s">
        <v>146</v>
      </c>
      <c r="C8" s="15" t="s">
        <v>147</v>
      </c>
      <c r="D8" s="15" t="s">
        <v>148</v>
      </c>
      <c r="E8" s="15" t="s">
        <v>169</v>
      </c>
      <c r="F8" s="15" t="s">
        <v>149</v>
      </c>
      <c r="G8" s="15" t="s">
        <v>150</v>
      </c>
      <c r="H8" s="15" t="s">
        <v>24</v>
      </c>
      <c r="I8" s="15" t="s">
        <v>67</v>
      </c>
      <c r="J8" s="15" t="s">
        <v>68</v>
      </c>
      <c r="K8" s="21">
        <v>0.5</v>
      </c>
      <c r="L8" s="15" t="s">
        <v>69</v>
      </c>
      <c r="M8" s="15">
        <v>2020</v>
      </c>
      <c r="N8" s="15" t="s">
        <v>47</v>
      </c>
      <c r="O8" s="16">
        <v>20</v>
      </c>
      <c r="P8" s="15" t="s">
        <v>78</v>
      </c>
      <c r="Q8" s="16">
        <v>20</v>
      </c>
      <c r="R8" s="17">
        <v>60</v>
      </c>
      <c r="S8" s="18">
        <v>0.3</v>
      </c>
      <c r="T8" s="28">
        <v>0.1</v>
      </c>
      <c r="U8" s="29">
        <v>0.1</v>
      </c>
    </row>
    <row r="9" spans="1:21" x14ac:dyDescent="0.2">
      <c r="A9" s="15" t="s">
        <v>43</v>
      </c>
      <c r="B9" s="15" t="s">
        <v>44</v>
      </c>
      <c r="C9" s="15" t="s">
        <v>45</v>
      </c>
      <c r="D9" s="15" t="s">
        <v>151</v>
      </c>
      <c r="E9" s="15" t="s">
        <v>152</v>
      </c>
      <c r="F9" s="15" t="s">
        <v>153</v>
      </c>
      <c r="G9" s="15" t="s">
        <v>57</v>
      </c>
      <c r="H9" s="15" t="s">
        <v>24</v>
      </c>
      <c r="I9" s="15" t="s">
        <v>58</v>
      </c>
      <c r="J9" s="15" t="s">
        <v>59</v>
      </c>
      <c r="K9" s="21">
        <v>0.5</v>
      </c>
      <c r="L9" s="15" t="s">
        <v>60</v>
      </c>
      <c r="M9" s="15">
        <v>2020</v>
      </c>
      <c r="N9" s="15" t="s">
        <v>47</v>
      </c>
      <c r="O9" s="16">
        <v>10</v>
      </c>
      <c r="P9" s="15" t="s">
        <v>26</v>
      </c>
      <c r="Q9" s="16">
        <v>0</v>
      </c>
      <c r="R9" s="17">
        <v>90</v>
      </c>
      <c r="S9" s="18">
        <v>0.45</v>
      </c>
      <c r="T9" s="28">
        <v>0.05</v>
      </c>
      <c r="U9" s="29">
        <v>0</v>
      </c>
    </row>
    <row r="10" spans="1:21" x14ac:dyDescent="0.2">
      <c r="A10" s="15" t="s">
        <v>43</v>
      </c>
      <c r="B10" s="15" t="s">
        <v>44</v>
      </c>
      <c r="C10" s="15" t="s">
        <v>45</v>
      </c>
      <c r="D10" s="15" t="s">
        <v>154</v>
      </c>
      <c r="E10" s="15" t="s">
        <v>155</v>
      </c>
      <c r="F10" s="15" t="s">
        <v>156</v>
      </c>
      <c r="G10" s="15" t="s">
        <v>49</v>
      </c>
      <c r="H10" s="15" t="s">
        <v>24</v>
      </c>
      <c r="I10" s="15" t="s">
        <v>50</v>
      </c>
      <c r="J10" s="15" t="s">
        <v>51</v>
      </c>
      <c r="K10" s="21">
        <v>0.5</v>
      </c>
      <c r="L10" s="15" t="s">
        <v>52</v>
      </c>
      <c r="M10" s="15">
        <v>2020</v>
      </c>
      <c r="N10" s="15" t="s">
        <v>47</v>
      </c>
      <c r="O10" s="16">
        <v>10</v>
      </c>
      <c r="P10" s="15" t="s">
        <v>26</v>
      </c>
      <c r="Q10" s="16">
        <v>0</v>
      </c>
      <c r="R10" s="17">
        <v>90</v>
      </c>
      <c r="S10" s="18">
        <v>0.45</v>
      </c>
      <c r="T10" s="28">
        <v>0.05</v>
      </c>
      <c r="U10" s="30">
        <v>0</v>
      </c>
    </row>
    <row r="11" spans="1:21" x14ac:dyDescent="0.2">
      <c r="A11" s="15" t="s">
        <v>43</v>
      </c>
      <c r="B11" s="15" t="s">
        <v>44</v>
      </c>
      <c r="C11" s="15" t="s">
        <v>45</v>
      </c>
      <c r="D11" s="15" t="s">
        <v>157</v>
      </c>
      <c r="E11" s="15" t="s">
        <v>158</v>
      </c>
      <c r="F11" s="15" t="s">
        <v>159</v>
      </c>
      <c r="G11" s="15" t="s">
        <v>61</v>
      </c>
      <c r="H11" s="15" t="s">
        <v>24</v>
      </c>
      <c r="I11" s="15" t="s">
        <v>58</v>
      </c>
      <c r="J11" s="15" t="s">
        <v>59</v>
      </c>
      <c r="K11" s="21">
        <v>0.5</v>
      </c>
      <c r="L11" s="15" t="s">
        <v>60</v>
      </c>
      <c r="M11" s="15">
        <v>2020</v>
      </c>
      <c r="N11" s="15" t="s">
        <v>47</v>
      </c>
      <c r="O11" s="16">
        <v>50</v>
      </c>
      <c r="P11" s="15" t="s">
        <v>26</v>
      </c>
      <c r="Q11" s="16">
        <v>0</v>
      </c>
      <c r="R11" s="17">
        <v>50</v>
      </c>
      <c r="S11" s="18">
        <v>0.25</v>
      </c>
      <c r="T11" s="28">
        <v>0.25</v>
      </c>
      <c r="U11" s="31">
        <v>0</v>
      </c>
    </row>
    <row r="12" spans="1:21" x14ac:dyDescent="0.2">
      <c r="A12" s="15" t="s">
        <v>28</v>
      </c>
      <c r="B12" s="15" t="s">
        <v>29</v>
      </c>
      <c r="C12" s="15" t="s">
        <v>30</v>
      </c>
      <c r="D12" s="15" t="s">
        <v>160</v>
      </c>
      <c r="E12" s="15" t="s">
        <v>161</v>
      </c>
      <c r="F12" s="15" t="s">
        <v>162</v>
      </c>
      <c r="G12" s="15" t="s">
        <v>65</v>
      </c>
      <c r="H12" s="15" t="s">
        <v>24</v>
      </c>
      <c r="I12" s="15" t="s">
        <v>62</v>
      </c>
      <c r="J12" s="15" t="s">
        <v>63</v>
      </c>
      <c r="K12" s="21">
        <v>0.5</v>
      </c>
      <c r="L12" s="15" t="s">
        <v>64</v>
      </c>
      <c r="M12" s="15">
        <v>2020</v>
      </c>
      <c r="N12" s="15" t="s">
        <v>47</v>
      </c>
      <c r="O12" s="16">
        <v>10</v>
      </c>
      <c r="P12" s="15" t="s">
        <v>31</v>
      </c>
      <c r="Q12" s="16">
        <v>70</v>
      </c>
      <c r="R12" s="17">
        <v>20</v>
      </c>
      <c r="S12" s="22">
        <v>0.1</v>
      </c>
      <c r="T12" s="28">
        <v>0.05</v>
      </c>
      <c r="U12" s="31">
        <v>0.35</v>
      </c>
    </row>
    <row r="13" spans="1:21" x14ac:dyDescent="0.2">
      <c r="A13" s="15" t="s">
        <v>53</v>
      </c>
      <c r="B13" s="15" t="s">
        <v>54</v>
      </c>
      <c r="C13" s="15" t="s">
        <v>55</v>
      </c>
      <c r="D13" s="15" t="s">
        <v>170</v>
      </c>
      <c r="E13" s="15" t="s">
        <v>171</v>
      </c>
      <c r="F13" s="15" t="s">
        <v>172</v>
      </c>
      <c r="G13" s="15" t="s">
        <v>144</v>
      </c>
      <c r="H13" s="15" t="s">
        <v>24</v>
      </c>
      <c r="I13" s="15" t="s">
        <v>39</v>
      </c>
      <c r="J13" s="15" t="s">
        <v>40</v>
      </c>
      <c r="K13" s="21">
        <v>0.5</v>
      </c>
      <c r="L13" s="15" t="s">
        <v>41</v>
      </c>
      <c r="M13" s="15">
        <v>2021</v>
      </c>
      <c r="N13" s="15" t="s">
        <v>47</v>
      </c>
      <c r="O13" s="16">
        <v>50</v>
      </c>
      <c r="P13" s="15" t="s">
        <v>26</v>
      </c>
      <c r="Q13" s="16">
        <v>0</v>
      </c>
      <c r="R13" s="17">
        <v>50</v>
      </c>
      <c r="S13" s="22">
        <v>0.25</v>
      </c>
      <c r="T13" s="28">
        <v>0.25</v>
      </c>
      <c r="U13" s="31">
        <v>0</v>
      </c>
    </row>
    <row r="14" spans="1:21" x14ac:dyDescent="0.2">
      <c r="A14" s="15" t="s">
        <v>39</v>
      </c>
      <c r="B14" s="15" t="s">
        <v>40</v>
      </c>
      <c r="C14" s="15" t="s">
        <v>55</v>
      </c>
      <c r="D14" s="15" t="s">
        <v>173</v>
      </c>
      <c r="E14" s="15" t="s">
        <v>174</v>
      </c>
      <c r="F14" s="15" t="s">
        <v>175</v>
      </c>
      <c r="G14" s="15" t="s">
        <v>176</v>
      </c>
      <c r="H14" s="15" t="s">
        <v>24</v>
      </c>
      <c r="I14" s="15" t="s">
        <v>39</v>
      </c>
      <c r="J14" s="15" t="s">
        <v>40</v>
      </c>
      <c r="K14" s="21">
        <v>0.5</v>
      </c>
      <c r="L14" s="15" t="s">
        <v>41</v>
      </c>
      <c r="M14" s="15">
        <v>2021</v>
      </c>
      <c r="N14" s="15" t="s">
        <v>47</v>
      </c>
      <c r="O14" s="16">
        <v>90</v>
      </c>
      <c r="P14" s="15" t="s">
        <v>26</v>
      </c>
      <c r="Q14" s="16">
        <v>0</v>
      </c>
      <c r="R14" s="17">
        <v>10</v>
      </c>
      <c r="S14" s="18">
        <v>0.05</v>
      </c>
      <c r="T14" s="28">
        <v>0.45</v>
      </c>
      <c r="U14" s="31">
        <v>0</v>
      </c>
    </row>
    <row r="15" spans="1:21" x14ac:dyDescent="0.2">
      <c r="A15" s="15" t="s">
        <v>28</v>
      </c>
      <c r="B15" s="15" t="s">
        <v>29</v>
      </c>
      <c r="C15" s="15" t="s">
        <v>30</v>
      </c>
      <c r="D15" s="15" t="s">
        <v>177</v>
      </c>
      <c r="E15" s="15" t="s">
        <v>178</v>
      </c>
      <c r="F15" s="15" t="s">
        <v>179</v>
      </c>
      <c r="G15" s="15" t="s">
        <v>180</v>
      </c>
      <c r="H15" s="15" t="s">
        <v>24</v>
      </c>
      <c r="I15" s="15" t="s">
        <v>39</v>
      </c>
      <c r="J15" s="15" t="s">
        <v>40</v>
      </c>
      <c r="K15" s="19">
        <v>0.5</v>
      </c>
      <c r="L15" s="19" t="s">
        <v>41</v>
      </c>
      <c r="M15" s="15">
        <v>2021</v>
      </c>
      <c r="N15" s="15" t="s">
        <v>47</v>
      </c>
      <c r="O15" s="16">
        <v>50</v>
      </c>
      <c r="P15" s="15" t="s">
        <v>31</v>
      </c>
      <c r="Q15" s="16">
        <v>10</v>
      </c>
      <c r="R15" s="15">
        <v>40</v>
      </c>
      <c r="S15" s="15">
        <v>0.2</v>
      </c>
      <c r="T15" s="19">
        <v>0.25</v>
      </c>
      <c r="U15" s="32">
        <v>0.05</v>
      </c>
    </row>
    <row r="16" spans="1:21" x14ac:dyDescent="0.2">
      <c r="A16" s="20" t="s">
        <v>28</v>
      </c>
      <c r="B16" s="20" t="s">
        <v>29</v>
      </c>
      <c r="C16" s="20" t="s">
        <v>30</v>
      </c>
      <c r="D16" s="20" t="s">
        <v>181</v>
      </c>
      <c r="E16" s="20" t="s">
        <v>182</v>
      </c>
      <c r="F16" s="20" t="s">
        <v>183</v>
      </c>
      <c r="G16" s="20" t="s">
        <v>180</v>
      </c>
      <c r="H16" s="20" t="s">
        <v>24</v>
      </c>
      <c r="I16" s="20" t="s">
        <v>39</v>
      </c>
      <c r="J16" s="20" t="s">
        <v>40</v>
      </c>
      <c r="K16" s="19">
        <v>0.33333333333333331</v>
      </c>
      <c r="L16" s="19" t="s">
        <v>41</v>
      </c>
      <c r="M16" s="15">
        <v>2021</v>
      </c>
      <c r="N16" s="15" t="s">
        <v>47</v>
      </c>
      <c r="O16" s="16">
        <v>50</v>
      </c>
      <c r="P16" s="15" t="s">
        <v>31</v>
      </c>
      <c r="Q16" s="16">
        <v>10</v>
      </c>
      <c r="R16" s="15">
        <v>40</v>
      </c>
      <c r="S16" s="15">
        <v>0.13333333333333333</v>
      </c>
      <c r="T16" s="19">
        <v>0.16666666666666663</v>
      </c>
      <c r="U16" s="32">
        <v>3.3333333333333333E-2</v>
      </c>
    </row>
    <row r="17" spans="1:21" x14ac:dyDescent="0.2">
      <c r="A17" s="20" t="s">
        <v>53</v>
      </c>
      <c r="B17" s="20" t="s">
        <v>54</v>
      </c>
      <c r="C17" s="20" t="s">
        <v>55</v>
      </c>
      <c r="D17" s="20" t="s">
        <v>193</v>
      </c>
      <c r="E17" s="20" t="s">
        <v>194</v>
      </c>
      <c r="F17" s="20" t="s">
        <v>195</v>
      </c>
      <c r="G17" s="20" t="s">
        <v>180</v>
      </c>
      <c r="H17" s="20" t="s">
        <v>24</v>
      </c>
      <c r="I17" s="20" t="s">
        <v>39</v>
      </c>
      <c r="J17" s="20" t="s">
        <v>40</v>
      </c>
      <c r="K17" s="19">
        <v>0.5</v>
      </c>
      <c r="L17" s="19" t="s">
        <v>41</v>
      </c>
      <c r="M17" s="15">
        <v>2022</v>
      </c>
      <c r="N17" s="15" t="s">
        <v>47</v>
      </c>
      <c r="O17" s="16">
        <v>50</v>
      </c>
      <c r="P17" s="15" t="s">
        <v>31</v>
      </c>
      <c r="Q17" s="16">
        <v>10</v>
      </c>
      <c r="R17" s="15">
        <v>40</v>
      </c>
      <c r="S17" s="15">
        <v>0.2</v>
      </c>
      <c r="T17" s="19">
        <v>0.25</v>
      </c>
      <c r="U17" s="32">
        <v>0.05</v>
      </c>
    </row>
    <row r="18" spans="1:21" x14ac:dyDescent="0.2">
      <c r="A18" s="20" t="s">
        <v>196</v>
      </c>
      <c r="B18" s="20" t="s">
        <v>197</v>
      </c>
      <c r="C18" s="20" t="s">
        <v>198</v>
      </c>
      <c r="D18" s="20" t="s">
        <v>199</v>
      </c>
      <c r="E18" s="20" t="s">
        <v>200</v>
      </c>
      <c r="F18" s="20" t="s">
        <v>201</v>
      </c>
      <c r="G18" s="20" t="s">
        <v>202</v>
      </c>
      <c r="H18" s="20" t="s">
        <v>24</v>
      </c>
      <c r="I18" s="20" t="s">
        <v>196</v>
      </c>
      <c r="J18" s="20" t="s">
        <v>197</v>
      </c>
      <c r="K18" s="19">
        <v>0.5</v>
      </c>
      <c r="L18" s="19" t="s">
        <v>56</v>
      </c>
      <c r="M18" s="15">
        <v>2022</v>
      </c>
      <c r="N18" s="15" t="s">
        <v>47</v>
      </c>
      <c r="O18" s="16">
        <v>10</v>
      </c>
      <c r="P18" s="15" t="s">
        <v>26</v>
      </c>
      <c r="Q18" s="16">
        <v>0</v>
      </c>
      <c r="R18" s="15">
        <v>90</v>
      </c>
      <c r="S18" s="15">
        <v>0.45</v>
      </c>
      <c r="T18" s="19">
        <v>0.05</v>
      </c>
      <c r="U18" s="32">
        <v>0</v>
      </c>
    </row>
    <row r="19" spans="1:21" x14ac:dyDescent="0.2">
      <c r="A19" s="20" t="s">
        <v>203</v>
      </c>
      <c r="B19" s="20" t="s">
        <v>204</v>
      </c>
      <c r="C19" s="20" t="s">
        <v>205</v>
      </c>
      <c r="D19" s="20" t="s">
        <v>206</v>
      </c>
      <c r="E19" s="20" t="s">
        <v>207</v>
      </c>
      <c r="F19" s="20" t="s">
        <v>208</v>
      </c>
      <c r="G19" s="20" t="s">
        <v>209</v>
      </c>
      <c r="H19" s="20" t="s">
        <v>24</v>
      </c>
      <c r="I19" s="20" t="s">
        <v>210</v>
      </c>
      <c r="J19" s="20" t="s">
        <v>211</v>
      </c>
      <c r="K19" s="19">
        <v>0.5</v>
      </c>
      <c r="L19" s="19" t="s">
        <v>187</v>
      </c>
      <c r="M19" s="15">
        <v>2022</v>
      </c>
      <c r="N19" s="15" t="s">
        <v>47</v>
      </c>
      <c r="O19" s="16">
        <v>10</v>
      </c>
      <c r="P19" s="15" t="s">
        <v>26</v>
      </c>
      <c r="Q19" s="16">
        <v>0</v>
      </c>
      <c r="R19" s="15">
        <v>90</v>
      </c>
      <c r="S19" s="15">
        <v>0.45</v>
      </c>
      <c r="T19" s="19">
        <v>0.05</v>
      </c>
      <c r="U19" s="32">
        <v>0</v>
      </c>
    </row>
    <row r="20" spans="1:21" x14ac:dyDescent="0.2">
      <c r="A20" s="20" t="s">
        <v>212</v>
      </c>
      <c r="B20" s="20" t="s">
        <v>213</v>
      </c>
      <c r="C20" s="20" t="s">
        <v>214</v>
      </c>
      <c r="D20" s="20" t="s">
        <v>215</v>
      </c>
      <c r="E20" s="20" t="s">
        <v>216</v>
      </c>
      <c r="F20" s="20" t="s">
        <v>195</v>
      </c>
      <c r="G20" s="20" t="s">
        <v>217</v>
      </c>
      <c r="H20" s="20" t="s">
        <v>24</v>
      </c>
      <c r="I20" s="20" t="s">
        <v>196</v>
      </c>
      <c r="J20" s="20" t="s">
        <v>197</v>
      </c>
      <c r="K20" s="19">
        <v>0.5</v>
      </c>
      <c r="L20" s="19" t="s">
        <v>56</v>
      </c>
      <c r="M20" s="15">
        <v>2022</v>
      </c>
      <c r="N20" s="15" t="s">
        <v>47</v>
      </c>
      <c r="O20" s="16">
        <v>10</v>
      </c>
      <c r="P20" s="15" t="s">
        <v>26</v>
      </c>
      <c r="Q20" s="16">
        <v>0</v>
      </c>
      <c r="R20" s="15">
        <v>90</v>
      </c>
      <c r="S20" s="15">
        <v>0.45</v>
      </c>
      <c r="T20" s="19">
        <v>0.05</v>
      </c>
      <c r="U20" s="32">
        <v>0</v>
      </c>
    </row>
    <row r="21" spans="1:21" x14ac:dyDescent="0.2">
      <c r="A21" s="20" t="s">
        <v>145</v>
      </c>
      <c r="B21" s="20" t="s">
        <v>146</v>
      </c>
      <c r="C21" s="20" t="s">
        <v>147</v>
      </c>
      <c r="D21" s="20" t="s">
        <v>218</v>
      </c>
      <c r="E21" s="20" t="s">
        <v>219</v>
      </c>
      <c r="F21" s="20" t="s">
        <v>220</v>
      </c>
      <c r="G21" s="20" t="s">
        <v>221</v>
      </c>
      <c r="H21" s="20" t="s">
        <v>27</v>
      </c>
      <c r="I21" s="20" t="s">
        <v>74</v>
      </c>
      <c r="J21" s="20" t="s">
        <v>75</v>
      </c>
      <c r="K21" s="19">
        <v>1</v>
      </c>
      <c r="L21" s="19" t="s">
        <v>76</v>
      </c>
      <c r="M21" s="15">
        <v>2022</v>
      </c>
      <c r="N21" s="15" t="s">
        <v>47</v>
      </c>
      <c r="O21" s="16">
        <v>10</v>
      </c>
      <c r="P21" s="15" t="s">
        <v>77</v>
      </c>
      <c r="Q21" s="16">
        <v>80</v>
      </c>
      <c r="R21" s="15">
        <v>10</v>
      </c>
      <c r="S21" s="15">
        <v>0.1</v>
      </c>
      <c r="T21" s="19">
        <v>0.1</v>
      </c>
      <c r="U21" s="32">
        <v>0.8</v>
      </c>
    </row>
    <row r="22" spans="1:21" x14ac:dyDescent="0.2">
      <c r="A22" s="15" t="s">
        <v>43</v>
      </c>
      <c r="B22" s="15" t="s">
        <v>44</v>
      </c>
      <c r="C22" s="15" t="s">
        <v>45</v>
      </c>
      <c r="D22" s="15" t="s">
        <v>222</v>
      </c>
      <c r="E22" s="15" t="s">
        <v>223</v>
      </c>
      <c r="F22" s="15" t="s">
        <v>224</v>
      </c>
      <c r="G22" s="15" t="s">
        <v>49</v>
      </c>
      <c r="H22" s="15" t="s">
        <v>24</v>
      </c>
      <c r="I22" s="15" t="s">
        <v>50</v>
      </c>
      <c r="J22" s="15" t="s">
        <v>51</v>
      </c>
      <c r="K22" s="19">
        <v>0.5</v>
      </c>
      <c r="L22" s="19" t="s">
        <v>52</v>
      </c>
      <c r="M22" s="15">
        <v>2022</v>
      </c>
      <c r="N22" s="15" t="s">
        <v>47</v>
      </c>
      <c r="O22" s="16">
        <v>10</v>
      </c>
      <c r="P22" s="15" t="s">
        <v>26</v>
      </c>
      <c r="Q22" s="16">
        <v>0</v>
      </c>
      <c r="R22" s="15">
        <v>90</v>
      </c>
      <c r="S22" s="15">
        <v>0.45</v>
      </c>
      <c r="T22" s="19">
        <v>0.05</v>
      </c>
      <c r="U22" s="32">
        <v>0</v>
      </c>
    </row>
    <row r="23" spans="1:21" x14ac:dyDescent="0.2">
      <c r="A23" s="15" t="s">
        <v>28</v>
      </c>
      <c r="B23" s="15" t="s">
        <v>225</v>
      </c>
      <c r="C23" s="15" t="s">
        <v>30</v>
      </c>
      <c r="D23" s="15" t="s">
        <v>226</v>
      </c>
      <c r="E23" s="15" t="s">
        <v>227</v>
      </c>
      <c r="F23" s="15" t="s">
        <v>228</v>
      </c>
      <c r="G23" s="15" t="s">
        <v>65</v>
      </c>
      <c r="H23" s="15" t="s">
        <v>27</v>
      </c>
      <c r="I23" s="15" t="s">
        <v>62</v>
      </c>
      <c r="J23" s="15" t="s">
        <v>63</v>
      </c>
      <c r="K23" s="19">
        <v>1</v>
      </c>
      <c r="L23" s="19" t="s">
        <v>64</v>
      </c>
      <c r="M23" s="15">
        <v>2022</v>
      </c>
      <c r="N23" s="15" t="s">
        <v>47</v>
      </c>
      <c r="O23" s="16">
        <v>10</v>
      </c>
      <c r="P23" s="15" t="s">
        <v>31</v>
      </c>
      <c r="Q23" s="16">
        <v>70</v>
      </c>
      <c r="R23" s="15">
        <v>20</v>
      </c>
      <c r="S23" s="15">
        <v>0.2</v>
      </c>
      <c r="T23" s="19">
        <v>0.1</v>
      </c>
      <c r="U23" s="32">
        <v>0.7</v>
      </c>
    </row>
    <row r="24" spans="1:21" x14ac:dyDescent="0.2">
      <c r="A24" s="15" t="s">
        <v>28</v>
      </c>
      <c r="B24" s="15" t="s">
        <v>225</v>
      </c>
      <c r="C24" s="15" t="s">
        <v>30</v>
      </c>
      <c r="D24" s="15" t="s">
        <v>229</v>
      </c>
      <c r="E24" s="15" t="s">
        <v>230</v>
      </c>
      <c r="F24" s="15" t="s">
        <v>231</v>
      </c>
      <c r="G24" s="15" t="s">
        <v>163</v>
      </c>
      <c r="H24" s="15" t="s">
        <v>27</v>
      </c>
      <c r="I24" s="15" t="s">
        <v>62</v>
      </c>
      <c r="J24" s="15" t="s">
        <v>63</v>
      </c>
      <c r="K24" s="19">
        <v>1</v>
      </c>
      <c r="L24" s="19" t="s">
        <v>64</v>
      </c>
      <c r="M24" s="15">
        <v>2022</v>
      </c>
      <c r="N24" s="15" t="s">
        <v>47</v>
      </c>
      <c r="O24" s="16">
        <v>10</v>
      </c>
      <c r="P24" s="15" t="s">
        <v>31</v>
      </c>
      <c r="Q24" s="16">
        <v>80</v>
      </c>
      <c r="R24" s="15">
        <v>10</v>
      </c>
      <c r="S24" s="15">
        <v>0.1</v>
      </c>
      <c r="T24" s="19">
        <v>0.1</v>
      </c>
      <c r="U24" s="32">
        <v>0.8</v>
      </c>
    </row>
    <row r="25" spans="1:21" x14ac:dyDescent="0.2">
      <c r="A25" s="15" t="s">
        <v>39</v>
      </c>
      <c r="B25" s="15" t="s">
        <v>40</v>
      </c>
      <c r="C25" s="15" t="s">
        <v>55</v>
      </c>
      <c r="D25" s="15" t="s">
        <v>141</v>
      </c>
      <c r="E25" s="15" t="s">
        <v>142</v>
      </c>
      <c r="F25" s="15" t="s">
        <v>143</v>
      </c>
      <c r="G25" s="15" t="s">
        <v>164</v>
      </c>
      <c r="H25" s="15" t="s">
        <v>24</v>
      </c>
      <c r="I25" s="15" t="s">
        <v>39</v>
      </c>
      <c r="J25" s="15" t="s">
        <v>40</v>
      </c>
      <c r="K25" s="18">
        <v>0.5</v>
      </c>
      <c r="L25" s="15" t="s">
        <v>41</v>
      </c>
      <c r="M25" s="15">
        <v>2020</v>
      </c>
      <c r="N25" s="15" t="s">
        <v>31</v>
      </c>
      <c r="O25" s="16">
        <v>10</v>
      </c>
      <c r="P25" s="15" t="s">
        <v>47</v>
      </c>
      <c r="Q25" s="16">
        <v>50</v>
      </c>
      <c r="R25" s="17">
        <v>40</v>
      </c>
      <c r="S25" s="22">
        <v>0.2</v>
      </c>
      <c r="T25" s="28">
        <v>0.05</v>
      </c>
      <c r="U25" s="29">
        <v>0.25</v>
      </c>
    </row>
    <row r="26" spans="1:21" x14ac:dyDescent="0.2">
      <c r="A26" s="15" t="s">
        <v>53</v>
      </c>
      <c r="B26" s="15" t="s">
        <v>54</v>
      </c>
      <c r="C26" s="15" t="s">
        <v>55</v>
      </c>
      <c r="D26" s="15" t="s">
        <v>170</v>
      </c>
      <c r="E26" s="15" t="s">
        <v>171</v>
      </c>
      <c r="F26" s="15" t="s">
        <v>172</v>
      </c>
      <c r="G26" s="15" t="s">
        <v>164</v>
      </c>
      <c r="H26" s="15" t="s">
        <v>24</v>
      </c>
      <c r="I26" s="15" t="s">
        <v>39</v>
      </c>
      <c r="J26" s="15" t="s">
        <v>40</v>
      </c>
      <c r="K26" s="21">
        <v>0.5</v>
      </c>
      <c r="L26" s="15" t="s">
        <v>41</v>
      </c>
      <c r="M26" s="15">
        <v>2021</v>
      </c>
      <c r="N26" s="15" t="s">
        <v>31</v>
      </c>
      <c r="O26" s="16">
        <v>10</v>
      </c>
      <c r="P26" s="15" t="s">
        <v>47</v>
      </c>
      <c r="Q26" s="16">
        <v>50</v>
      </c>
      <c r="R26" s="17">
        <v>40</v>
      </c>
      <c r="S26" s="18">
        <v>0.2</v>
      </c>
      <c r="T26" s="28">
        <v>0.05</v>
      </c>
      <c r="U26" s="29">
        <v>0.25</v>
      </c>
    </row>
    <row r="27" spans="1:21" x14ac:dyDescent="0.2">
      <c r="A27" s="20" t="s">
        <v>28</v>
      </c>
      <c r="B27" s="20" t="s">
        <v>29</v>
      </c>
      <c r="C27" s="20" t="s">
        <v>30</v>
      </c>
      <c r="D27" s="20" t="s">
        <v>181</v>
      </c>
      <c r="E27" s="20" t="s">
        <v>182</v>
      </c>
      <c r="F27" s="20" t="s">
        <v>183</v>
      </c>
      <c r="G27" s="20" t="s">
        <v>184</v>
      </c>
      <c r="H27" s="20" t="s">
        <v>24</v>
      </c>
      <c r="I27" s="20" t="s">
        <v>39</v>
      </c>
      <c r="J27" s="20" t="s">
        <v>40</v>
      </c>
      <c r="K27" s="19">
        <v>0.33333333333333331</v>
      </c>
      <c r="L27" s="19" t="s">
        <v>41</v>
      </c>
      <c r="M27" s="15">
        <v>2021</v>
      </c>
      <c r="N27" s="15" t="s">
        <v>31</v>
      </c>
      <c r="O27" s="16">
        <v>10</v>
      </c>
      <c r="P27" s="15" t="s">
        <v>47</v>
      </c>
      <c r="Q27" s="16">
        <v>50</v>
      </c>
      <c r="R27" s="15">
        <v>40</v>
      </c>
      <c r="S27" s="15">
        <v>0.13333333333333333</v>
      </c>
      <c r="T27" s="19">
        <v>3.3333333333333333E-2</v>
      </c>
      <c r="U27" s="32">
        <v>0.16666666666666663</v>
      </c>
    </row>
    <row r="28" spans="1:21" x14ac:dyDescent="0.2">
      <c r="A28" s="15" t="s">
        <v>53</v>
      </c>
      <c r="B28" s="15" t="s">
        <v>54</v>
      </c>
      <c r="C28" s="15" t="s">
        <v>55</v>
      </c>
      <c r="D28" s="15" t="s">
        <v>193</v>
      </c>
      <c r="E28" s="15" t="s">
        <v>194</v>
      </c>
      <c r="F28" s="15" t="s">
        <v>195</v>
      </c>
      <c r="G28" s="15" t="s">
        <v>184</v>
      </c>
      <c r="H28" s="15" t="s">
        <v>24</v>
      </c>
      <c r="I28" s="15" t="s">
        <v>39</v>
      </c>
      <c r="J28" s="15" t="s">
        <v>40</v>
      </c>
      <c r="K28" s="19">
        <v>0.5</v>
      </c>
      <c r="L28" s="19" t="s">
        <v>41</v>
      </c>
      <c r="M28" s="15">
        <v>2022</v>
      </c>
      <c r="N28" s="15" t="s">
        <v>31</v>
      </c>
      <c r="O28" s="16">
        <v>10</v>
      </c>
      <c r="P28" s="15" t="s">
        <v>47</v>
      </c>
      <c r="Q28" s="16">
        <v>50</v>
      </c>
      <c r="R28" s="15">
        <v>40</v>
      </c>
      <c r="S28" s="15">
        <v>0.2</v>
      </c>
      <c r="T28" s="19">
        <v>0.05</v>
      </c>
      <c r="U28" s="32">
        <v>0.25</v>
      </c>
    </row>
    <row r="29" spans="1:21" x14ac:dyDescent="0.2">
      <c r="A29" s="15" t="s">
        <v>39</v>
      </c>
      <c r="B29" s="15" t="s">
        <v>40</v>
      </c>
      <c r="C29" s="15" t="s">
        <v>55</v>
      </c>
      <c r="D29" s="15" t="s">
        <v>232</v>
      </c>
      <c r="E29" s="15" t="s">
        <v>234</v>
      </c>
      <c r="F29" s="15" t="s">
        <v>235</v>
      </c>
      <c r="G29" s="15" t="s">
        <v>184</v>
      </c>
      <c r="H29" s="15" t="s">
        <v>27</v>
      </c>
      <c r="I29" s="15" t="s">
        <v>39</v>
      </c>
      <c r="J29" s="15" t="s">
        <v>40</v>
      </c>
      <c r="K29" s="19">
        <v>1</v>
      </c>
      <c r="L29" s="19" t="s">
        <v>41</v>
      </c>
      <c r="M29" s="15">
        <v>2022</v>
      </c>
      <c r="N29" s="15" t="s">
        <v>31</v>
      </c>
      <c r="O29" s="16">
        <v>10</v>
      </c>
      <c r="P29" s="15" t="s">
        <v>47</v>
      </c>
      <c r="Q29" s="16">
        <v>50</v>
      </c>
      <c r="R29" s="15">
        <v>40</v>
      </c>
      <c r="S29" s="15">
        <v>0.4</v>
      </c>
      <c r="T29" s="19">
        <v>0.1</v>
      </c>
      <c r="U29" s="32">
        <v>0.5</v>
      </c>
    </row>
    <row r="30" spans="1:21" ht="14.45" customHeight="1" x14ac:dyDescent="0.2">
      <c r="A30" s="15" t="s">
        <v>145</v>
      </c>
      <c r="B30" s="15" t="s">
        <v>146</v>
      </c>
      <c r="C30" s="15" t="s">
        <v>147</v>
      </c>
      <c r="D30" s="15" t="s">
        <v>233</v>
      </c>
      <c r="E30" s="15" t="s">
        <v>236</v>
      </c>
      <c r="F30" s="15" t="s">
        <v>235</v>
      </c>
      <c r="G30" s="15" t="s">
        <v>237</v>
      </c>
      <c r="H30" s="15" t="s">
        <v>24</v>
      </c>
      <c r="I30" s="15" t="s">
        <v>74</v>
      </c>
      <c r="J30" s="15" t="s">
        <v>75</v>
      </c>
      <c r="K30" s="15">
        <v>0.5</v>
      </c>
      <c r="L30" s="15" t="s">
        <v>76</v>
      </c>
      <c r="M30" s="16">
        <v>2022</v>
      </c>
      <c r="N30" s="15" t="s">
        <v>77</v>
      </c>
      <c r="O30" s="16">
        <v>10</v>
      </c>
      <c r="P30" s="15" t="s">
        <v>47</v>
      </c>
      <c r="Q30" s="16">
        <v>10</v>
      </c>
      <c r="R30" s="15">
        <v>80</v>
      </c>
      <c r="S30" s="15">
        <v>0.4</v>
      </c>
      <c r="T30" s="28">
        <v>0.05</v>
      </c>
      <c r="U30" s="28">
        <v>0.05</v>
      </c>
    </row>
    <row r="31" spans="1:21" ht="14.45" customHeight="1" x14ac:dyDescent="0.2">
      <c r="A31" s="15" t="s">
        <v>41</v>
      </c>
      <c r="B31" s="15" t="s">
        <v>278</v>
      </c>
      <c r="C31" s="15" t="s">
        <v>279</v>
      </c>
      <c r="D31" s="15" t="s">
        <v>280</v>
      </c>
      <c r="E31" s="15" t="s">
        <v>281</v>
      </c>
      <c r="F31" s="15" t="s">
        <v>282</v>
      </c>
      <c r="G31" s="15" t="s">
        <v>110</v>
      </c>
      <c r="H31" s="15" t="s">
        <v>283</v>
      </c>
      <c r="I31" s="15" t="s">
        <v>41</v>
      </c>
      <c r="J31" s="15" t="s">
        <v>278</v>
      </c>
      <c r="K31" s="15">
        <v>1</v>
      </c>
      <c r="L31" s="15" t="s">
        <v>41</v>
      </c>
      <c r="M31" s="15">
        <v>2023</v>
      </c>
      <c r="N31" s="15" t="s">
        <v>47</v>
      </c>
      <c r="O31" s="15" t="s">
        <v>36</v>
      </c>
      <c r="P31" s="15" t="s">
        <v>31</v>
      </c>
      <c r="Q31" s="15" t="s">
        <v>42</v>
      </c>
      <c r="R31" s="15">
        <v>40</v>
      </c>
      <c r="S31" s="15">
        <v>0.4</v>
      </c>
      <c r="T31" s="15">
        <v>0.5</v>
      </c>
      <c r="U31" s="15">
        <v>0.1</v>
      </c>
    </row>
    <row r="32" spans="1:21" ht="14.45" customHeight="1" x14ac:dyDescent="0.2">
      <c r="A32" s="15" t="s">
        <v>56</v>
      </c>
      <c r="B32" s="15" t="s">
        <v>284</v>
      </c>
      <c r="C32" s="15" t="s">
        <v>285</v>
      </c>
      <c r="D32" s="15" t="s">
        <v>286</v>
      </c>
      <c r="E32" s="15" t="s">
        <v>287</v>
      </c>
      <c r="F32" s="15" t="s">
        <v>288</v>
      </c>
      <c r="G32" s="15" t="s">
        <v>132</v>
      </c>
      <c r="H32" s="15" t="s">
        <v>289</v>
      </c>
      <c r="I32" s="15" t="s">
        <v>56</v>
      </c>
      <c r="J32" s="15" t="s">
        <v>284</v>
      </c>
      <c r="K32" s="15">
        <v>0.5</v>
      </c>
      <c r="L32" s="15" t="s">
        <v>56</v>
      </c>
      <c r="M32" s="15">
        <v>2023</v>
      </c>
      <c r="N32" s="15" t="s">
        <v>47</v>
      </c>
      <c r="O32" s="15" t="s">
        <v>42</v>
      </c>
      <c r="P32" s="15" t="s">
        <v>26</v>
      </c>
      <c r="Q32" s="15" t="s">
        <v>26</v>
      </c>
      <c r="R32" s="15">
        <v>90</v>
      </c>
      <c r="S32" s="15">
        <v>0.45</v>
      </c>
      <c r="T32" s="15">
        <v>0.05</v>
      </c>
      <c r="U32" s="15">
        <v>0</v>
      </c>
    </row>
    <row r="33" spans="1:21" ht="14.45" customHeight="1" x14ac:dyDescent="0.2">
      <c r="A33" s="15" t="s">
        <v>56</v>
      </c>
      <c r="B33" s="15" t="s">
        <v>284</v>
      </c>
      <c r="C33" s="15" t="s">
        <v>285</v>
      </c>
      <c r="D33" s="15" t="s">
        <v>290</v>
      </c>
      <c r="E33" s="15" t="s">
        <v>291</v>
      </c>
      <c r="F33" s="15" t="s">
        <v>288</v>
      </c>
      <c r="G33" s="15" t="s">
        <v>132</v>
      </c>
      <c r="H33" s="15" t="s">
        <v>289</v>
      </c>
      <c r="I33" s="15" t="s">
        <v>56</v>
      </c>
      <c r="J33" s="15" t="s">
        <v>284</v>
      </c>
      <c r="K33" s="15">
        <v>0.5</v>
      </c>
      <c r="L33" s="15" t="s">
        <v>56</v>
      </c>
      <c r="M33" s="15">
        <v>2023</v>
      </c>
      <c r="N33" s="15" t="s">
        <v>47</v>
      </c>
      <c r="O33" s="15" t="s">
        <v>42</v>
      </c>
      <c r="P33" s="15" t="s">
        <v>26</v>
      </c>
      <c r="Q33" s="15" t="s">
        <v>26</v>
      </c>
      <c r="R33" s="15">
        <v>90</v>
      </c>
      <c r="S33" s="15">
        <v>0.45</v>
      </c>
      <c r="T33" s="15">
        <v>0.05</v>
      </c>
      <c r="U33" s="15">
        <v>0</v>
      </c>
    </row>
    <row r="34" spans="1:21" ht="14.45" customHeight="1" x14ac:dyDescent="0.2">
      <c r="A34" s="15" t="s">
        <v>292</v>
      </c>
      <c r="B34" s="15" t="s">
        <v>293</v>
      </c>
      <c r="C34" s="15" t="s">
        <v>294</v>
      </c>
      <c r="D34" s="15" t="s">
        <v>295</v>
      </c>
      <c r="E34" s="15" t="s">
        <v>296</v>
      </c>
      <c r="F34" s="15" t="s">
        <v>297</v>
      </c>
      <c r="G34" s="15" t="s">
        <v>298</v>
      </c>
      <c r="H34" s="15" t="s">
        <v>283</v>
      </c>
      <c r="I34" s="15" t="s">
        <v>299</v>
      </c>
      <c r="J34" s="15" t="s">
        <v>300</v>
      </c>
      <c r="K34" s="15">
        <v>1</v>
      </c>
      <c r="L34" s="15" t="s">
        <v>299</v>
      </c>
      <c r="M34" s="15">
        <v>2023</v>
      </c>
      <c r="N34" s="15" t="s">
        <v>47</v>
      </c>
      <c r="O34" s="15" t="s">
        <v>36</v>
      </c>
      <c r="P34" s="15" t="s">
        <v>26</v>
      </c>
      <c r="Q34" s="15" t="s">
        <v>26</v>
      </c>
      <c r="R34" s="15">
        <v>50</v>
      </c>
      <c r="S34" s="15">
        <v>0.5</v>
      </c>
      <c r="T34" s="15">
        <v>0.5</v>
      </c>
      <c r="U34" s="15">
        <v>0</v>
      </c>
    </row>
    <row r="35" spans="1:21" ht="14.45" customHeight="1" x14ac:dyDescent="0.2">
      <c r="A35" s="15" t="s">
        <v>301</v>
      </c>
      <c r="B35" s="15" t="s">
        <v>302</v>
      </c>
      <c r="C35" s="15" t="s">
        <v>303</v>
      </c>
      <c r="D35" s="15" t="s">
        <v>304</v>
      </c>
      <c r="E35" s="15" t="s">
        <v>305</v>
      </c>
      <c r="F35" s="15" t="s">
        <v>306</v>
      </c>
      <c r="G35" s="15" t="s">
        <v>113</v>
      </c>
      <c r="H35" s="15" t="s">
        <v>289</v>
      </c>
      <c r="I35" s="15" t="s">
        <v>69</v>
      </c>
      <c r="J35" s="15" t="s">
        <v>307</v>
      </c>
      <c r="K35" s="15">
        <v>0.5</v>
      </c>
      <c r="L35" s="15" t="s">
        <v>69</v>
      </c>
      <c r="M35" s="15">
        <v>2023</v>
      </c>
      <c r="N35" s="15" t="s">
        <v>47</v>
      </c>
      <c r="O35" s="15" t="s">
        <v>38</v>
      </c>
      <c r="P35" s="15" t="s">
        <v>78</v>
      </c>
      <c r="Q35" s="15" t="s">
        <v>38</v>
      </c>
      <c r="R35" s="15">
        <v>60</v>
      </c>
      <c r="S35" s="15">
        <v>0.3</v>
      </c>
      <c r="T35" s="15">
        <v>0.1</v>
      </c>
      <c r="U35" s="15">
        <v>0.1</v>
      </c>
    </row>
    <row r="36" spans="1:21" ht="14.45" customHeight="1" x14ac:dyDescent="0.2">
      <c r="A36" s="15" t="s">
        <v>308</v>
      </c>
      <c r="B36" s="15" t="s">
        <v>309</v>
      </c>
      <c r="C36" s="15" t="s">
        <v>310</v>
      </c>
      <c r="D36" s="15" t="s">
        <v>311</v>
      </c>
      <c r="E36" s="15" t="s">
        <v>312</v>
      </c>
      <c r="F36" s="15" t="s">
        <v>313</v>
      </c>
      <c r="G36" s="15" t="s">
        <v>105</v>
      </c>
      <c r="H36" s="15" t="s">
        <v>289</v>
      </c>
      <c r="I36" s="15" t="s">
        <v>52</v>
      </c>
      <c r="J36" s="15" t="s">
        <v>314</v>
      </c>
      <c r="K36" s="15">
        <v>0.5</v>
      </c>
      <c r="L36" s="15" t="s">
        <v>52</v>
      </c>
      <c r="M36" s="15">
        <v>2023</v>
      </c>
      <c r="N36" s="15" t="s">
        <v>47</v>
      </c>
      <c r="O36" s="15" t="s">
        <v>42</v>
      </c>
      <c r="P36" s="15" t="s">
        <v>26</v>
      </c>
      <c r="Q36" s="15" t="s">
        <v>26</v>
      </c>
      <c r="R36" s="15">
        <v>90</v>
      </c>
      <c r="S36" s="15">
        <v>0.45</v>
      </c>
      <c r="T36" s="15">
        <v>0.05</v>
      </c>
      <c r="U36" s="15">
        <v>0</v>
      </c>
    </row>
    <row r="37" spans="1:21" ht="14.45" customHeight="1" x14ac:dyDescent="0.2">
      <c r="A37" s="15" t="s">
        <v>315</v>
      </c>
      <c r="B37" s="15" t="s">
        <v>316</v>
      </c>
      <c r="C37" s="15" t="s">
        <v>317</v>
      </c>
      <c r="D37" s="15" t="s">
        <v>318</v>
      </c>
      <c r="E37" s="15" t="s">
        <v>319</v>
      </c>
      <c r="F37" s="15" t="s">
        <v>320</v>
      </c>
      <c r="G37" s="15" t="s">
        <v>95</v>
      </c>
      <c r="H37" s="15" t="s">
        <v>289</v>
      </c>
      <c r="I37" s="15" t="s">
        <v>41</v>
      </c>
      <c r="J37" s="15" t="s">
        <v>278</v>
      </c>
      <c r="K37" s="15">
        <v>0.5</v>
      </c>
      <c r="L37" s="15" t="s">
        <v>41</v>
      </c>
      <c r="M37" s="15">
        <v>2023</v>
      </c>
      <c r="N37" s="15" t="s">
        <v>25</v>
      </c>
      <c r="O37" s="15" t="s">
        <v>42</v>
      </c>
      <c r="P37" s="15" t="s">
        <v>47</v>
      </c>
      <c r="Q37" s="15" t="s">
        <v>321</v>
      </c>
      <c r="R37" s="15">
        <v>65</v>
      </c>
      <c r="S37" s="15">
        <v>0.32500000000000001</v>
      </c>
      <c r="T37" s="15">
        <v>0.05</v>
      </c>
      <c r="U37" s="15">
        <v>0.125</v>
      </c>
    </row>
    <row r="38" spans="1:21" ht="14.45" customHeight="1" x14ac:dyDescent="0.2">
      <c r="A38" s="15" t="s">
        <v>418</v>
      </c>
      <c r="B38" s="15" t="s">
        <v>419</v>
      </c>
      <c r="C38" s="15" t="s">
        <v>420</v>
      </c>
      <c r="D38" s="15" t="s">
        <v>421</v>
      </c>
      <c r="E38" s="15" t="s">
        <v>422</v>
      </c>
      <c r="F38" s="15" t="s">
        <v>423</v>
      </c>
      <c r="G38" s="15" t="s">
        <v>102</v>
      </c>
      <c r="H38" s="15" t="s">
        <v>283</v>
      </c>
      <c r="I38" s="15" t="s">
        <v>56</v>
      </c>
      <c r="J38" s="15" t="s">
        <v>424</v>
      </c>
      <c r="K38" s="15">
        <v>1</v>
      </c>
      <c r="L38" s="15" t="s">
        <v>56</v>
      </c>
      <c r="M38" s="15">
        <v>2024</v>
      </c>
      <c r="N38" s="15" t="s">
        <v>47</v>
      </c>
      <c r="O38" s="15" t="s">
        <v>42</v>
      </c>
      <c r="P38" s="15" t="s">
        <v>26</v>
      </c>
      <c r="Q38" s="15" t="s">
        <v>26</v>
      </c>
      <c r="R38" s="15">
        <v>90</v>
      </c>
      <c r="S38" s="15">
        <v>0.9</v>
      </c>
      <c r="T38" s="15">
        <v>0.1</v>
      </c>
      <c r="U38" s="15">
        <v>0</v>
      </c>
    </row>
    <row r="39" spans="1:21" ht="14.45" customHeight="1" x14ac:dyDescent="0.2">
      <c r="A39" s="15" t="s">
        <v>418</v>
      </c>
      <c r="B39" s="15" t="s">
        <v>419</v>
      </c>
      <c r="C39" s="15" t="s">
        <v>420</v>
      </c>
      <c r="D39" s="15" t="s">
        <v>425</v>
      </c>
      <c r="E39" s="15" t="s">
        <v>426</v>
      </c>
      <c r="F39" s="15" t="s">
        <v>427</v>
      </c>
      <c r="G39" s="15" t="s">
        <v>102</v>
      </c>
      <c r="H39" s="15" t="s">
        <v>283</v>
      </c>
      <c r="I39" s="15" t="s">
        <v>56</v>
      </c>
      <c r="J39" s="15" t="s">
        <v>424</v>
      </c>
      <c r="K39" s="15">
        <v>1</v>
      </c>
      <c r="L39" s="15" t="s">
        <v>56</v>
      </c>
      <c r="M39" s="15">
        <v>2024</v>
      </c>
      <c r="N39" s="15" t="s">
        <v>47</v>
      </c>
      <c r="O39" s="15" t="s">
        <v>42</v>
      </c>
      <c r="P39" s="15" t="s">
        <v>26</v>
      </c>
      <c r="Q39" s="15" t="s">
        <v>26</v>
      </c>
      <c r="R39" s="15">
        <v>90</v>
      </c>
      <c r="S39" s="15">
        <v>0.9</v>
      </c>
      <c r="T39" s="15">
        <v>0.1</v>
      </c>
      <c r="U39" s="15">
        <v>0</v>
      </c>
    </row>
    <row r="40" spans="1:21" ht="14.45" customHeight="1" x14ac:dyDescent="0.2">
      <c r="A40" s="15" t="s">
        <v>308</v>
      </c>
      <c r="B40" s="15" t="s">
        <v>428</v>
      </c>
      <c r="C40" s="15" t="s">
        <v>310</v>
      </c>
      <c r="D40" s="15" t="s">
        <v>429</v>
      </c>
      <c r="E40" s="15" t="s">
        <v>430</v>
      </c>
      <c r="F40" s="15" t="s">
        <v>431</v>
      </c>
      <c r="G40" s="15" t="s">
        <v>105</v>
      </c>
      <c r="H40" s="15" t="s">
        <v>289</v>
      </c>
      <c r="I40" s="15" t="s">
        <v>52</v>
      </c>
      <c r="J40" s="15" t="s">
        <v>432</v>
      </c>
      <c r="K40" s="15">
        <v>0.5</v>
      </c>
      <c r="L40" s="15" t="s">
        <v>52</v>
      </c>
      <c r="M40" s="15">
        <v>2024</v>
      </c>
      <c r="N40" s="15" t="s">
        <v>47</v>
      </c>
      <c r="O40" s="15" t="s">
        <v>42</v>
      </c>
      <c r="P40" s="15" t="s">
        <v>26</v>
      </c>
      <c r="Q40" s="15" t="s">
        <v>26</v>
      </c>
      <c r="R40" s="15">
        <v>90</v>
      </c>
      <c r="S40" s="15">
        <v>0.45</v>
      </c>
      <c r="T40" s="15">
        <v>0.05</v>
      </c>
      <c r="U40" s="15">
        <v>0</v>
      </c>
    </row>
    <row r="41" spans="1:21" ht="14.45" customHeight="1" x14ac:dyDescent="0.2">
      <c r="A41" s="15" t="s">
        <v>308</v>
      </c>
      <c r="B41" s="15" t="s">
        <v>428</v>
      </c>
      <c r="C41" s="15" t="s">
        <v>310</v>
      </c>
      <c r="D41" s="15" t="s">
        <v>433</v>
      </c>
      <c r="E41" s="15" t="s">
        <v>434</v>
      </c>
      <c r="F41" s="15" t="s">
        <v>435</v>
      </c>
      <c r="G41" s="15" t="s">
        <v>105</v>
      </c>
      <c r="H41" s="15" t="s">
        <v>289</v>
      </c>
      <c r="I41" s="15" t="s">
        <v>52</v>
      </c>
      <c r="J41" s="15" t="s">
        <v>432</v>
      </c>
      <c r="K41" s="15">
        <v>0.5</v>
      </c>
      <c r="L41" s="15" t="s">
        <v>52</v>
      </c>
      <c r="M41" s="15">
        <v>2024</v>
      </c>
      <c r="N41" s="15" t="s">
        <v>47</v>
      </c>
      <c r="O41" s="15" t="s">
        <v>42</v>
      </c>
      <c r="P41" s="15" t="s">
        <v>26</v>
      </c>
      <c r="Q41" s="15" t="s">
        <v>26</v>
      </c>
      <c r="R41" s="15">
        <v>90</v>
      </c>
      <c r="S41" s="15">
        <v>0.45</v>
      </c>
      <c r="T41" s="15">
        <v>0.05</v>
      </c>
      <c r="U41" s="15">
        <v>0</v>
      </c>
    </row>
    <row r="42" spans="1:21" ht="14.45" customHeight="1" x14ac:dyDescent="0.2">
      <c r="A42" s="15" t="s">
        <v>301</v>
      </c>
      <c r="B42" s="15" t="s">
        <v>436</v>
      </c>
      <c r="C42" s="15" t="s">
        <v>303</v>
      </c>
      <c r="D42" s="15" t="s">
        <v>437</v>
      </c>
      <c r="E42" s="15" t="s">
        <v>438</v>
      </c>
      <c r="F42" s="15" t="s">
        <v>439</v>
      </c>
      <c r="G42" s="15" t="s">
        <v>113</v>
      </c>
      <c r="H42" s="15" t="s">
        <v>289</v>
      </c>
      <c r="I42" s="15" t="s">
        <v>69</v>
      </c>
      <c r="J42" s="15" t="s">
        <v>440</v>
      </c>
      <c r="K42" s="15">
        <v>0.5</v>
      </c>
      <c r="L42" s="15" t="s">
        <v>69</v>
      </c>
      <c r="M42" s="15">
        <v>2024</v>
      </c>
      <c r="N42" s="15" t="s">
        <v>78</v>
      </c>
      <c r="O42" s="15" t="s">
        <v>38</v>
      </c>
      <c r="P42" s="15" t="s">
        <v>47</v>
      </c>
      <c r="Q42" s="15" t="s">
        <v>38</v>
      </c>
      <c r="R42" s="15">
        <v>60</v>
      </c>
      <c r="S42" s="15">
        <v>0.3</v>
      </c>
      <c r="T42" s="15">
        <v>0.1</v>
      </c>
      <c r="U42" s="15">
        <v>0.1</v>
      </c>
    </row>
    <row r="43" spans="1:21" ht="14.45" customHeight="1" x14ac:dyDescent="0.2">
      <c r="A43" s="15" t="s">
        <v>301</v>
      </c>
      <c r="B43" s="15" t="s">
        <v>436</v>
      </c>
      <c r="C43" s="15" t="s">
        <v>303</v>
      </c>
      <c r="D43" s="15" t="s">
        <v>441</v>
      </c>
      <c r="E43" s="15" t="s">
        <v>442</v>
      </c>
      <c r="F43" s="15" t="s">
        <v>443</v>
      </c>
      <c r="G43" s="15" t="s">
        <v>322</v>
      </c>
      <c r="H43" s="15" t="s">
        <v>289</v>
      </c>
      <c r="I43" s="15" t="s">
        <v>323</v>
      </c>
      <c r="J43" s="15" t="s">
        <v>444</v>
      </c>
      <c r="K43" s="15">
        <v>0.5</v>
      </c>
      <c r="L43" s="15" t="s">
        <v>323</v>
      </c>
      <c r="M43" s="15">
        <v>2024</v>
      </c>
      <c r="N43" s="15" t="s">
        <v>31</v>
      </c>
      <c r="O43" s="15" t="s">
        <v>324</v>
      </c>
      <c r="P43" s="15" t="s">
        <v>47</v>
      </c>
      <c r="Q43" s="15" t="s">
        <v>42</v>
      </c>
      <c r="R43" s="15">
        <v>50</v>
      </c>
      <c r="S43" s="15">
        <v>0.25</v>
      </c>
      <c r="T43" s="15">
        <v>0.2</v>
      </c>
      <c r="U43" s="15">
        <v>0.05</v>
      </c>
    </row>
    <row r="44" spans="1:21" ht="14.45" customHeight="1" x14ac:dyDescent="0.2">
      <c r="A44" s="15" t="s">
        <v>301</v>
      </c>
      <c r="B44" s="15" t="s">
        <v>436</v>
      </c>
      <c r="C44" s="15" t="s">
        <v>303</v>
      </c>
      <c r="D44" s="15" t="s">
        <v>441</v>
      </c>
      <c r="E44" s="15" t="s">
        <v>442</v>
      </c>
      <c r="F44" s="15" t="s">
        <v>443</v>
      </c>
      <c r="G44" s="15" t="s">
        <v>326</v>
      </c>
      <c r="H44" s="15" t="s">
        <v>289</v>
      </c>
      <c r="I44" s="15" t="s">
        <v>323</v>
      </c>
      <c r="J44" s="15" t="s">
        <v>444</v>
      </c>
      <c r="K44" s="15">
        <v>0.5</v>
      </c>
      <c r="L44" s="15" t="s">
        <v>323</v>
      </c>
      <c r="M44" s="15">
        <v>2024</v>
      </c>
      <c r="N44" s="15" t="s">
        <v>31</v>
      </c>
      <c r="O44" s="15" t="s">
        <v>324</v>
      </c>
      <c r="P44" s="15" t="s">
        <v>47</v>
      </c>
      <c r="Q44" s="15" t="s">
        <v>42</v>
      </c>
      <c r="R44" s="15">
        <v>50</v>
      </c>
      <c r="S44" s="15">
        <v>0.25</v>
      </c>
      <c r="T44" s="15">
        <v>0.2</v>
      </c>
      <c r="U44" s="15">
        <v>0.05</v>
      </c>
    </row>
    <row r="45" spans="1:21" ht="14.45" customHeight="1" x14ac:dyDescent="0.2">
      <c r="A45" s="15" t="s">
        <v>301</v>
      </c>
      <c r="B45" s="15" t="s">
        <v>436</v>
      </c>
      <c r="C45" s="15" t="s">
        <v>303</v>
      </c>
      <c r="D45" s="15" t="s">
        <v>445</v>
      </c>
      <c r="E45" s="15" t="s">
        <v>446</v>
      </c>
      <c r="F45" s="15" t="s">
        <v>447</v>
      </c>
      <c r="G45" s="15" t="s">
        <v>322</v>
      </c>
      <c r="H45" s="15" t="s">
        <v>289</v>
      </c>
      <c r="I45" s="15" t="s">
        <v>323</v>
      </c>
      <c r="J45" s="15" t="s">
        <v>444</v>
      </c>
      <c r="K45" s="15">
        <v>0.5</v>
      </c>
      <c r="L45" s="15" t="s">
        <v>323</v>
      </c>
      <c r="M45" s="15">
        <v>2024</v>
      </c>
      <c r="N45" s="15" t="s">
        <v>31</v>
      </c>
      <c r="O45" s="15" t="s">
        <v>324</v>
      </c>
      <c r="P45" s="15" t="s">
        <v>47</v>
      </c>
      <c r="Q45" s="15" t="s">
        <v>42</v>
      </c>
      <c r="R45" s="15">
        <v>50</v>
      </c>
      <c r="S45" s="15">
        <v>0.25</v>
      </c>
      <c r="T45" s="15">
        <v>0.2</v>
      </c>
      <c r="U45" s="15">
        <v>0.05</v>
      </c>
    </row>
    <row r="46" spans="1:21" ht="14.45" customHeight="1" x14ac:dyDescent="0.2">
      <c r="A46" s="15" t="s">
        <v>301</v>
      </c>
      <c r="B46" s="15" t="s">
        <v>436</v>
      </c>
      <c r="C46" s="15" t="s">
        <v>303</v>
      </c>
      <c r="D46" s="15" t="s">
        <v>445</v>
      </c>
      <c r="E46" s="15" t="s">
        <v>446</v>
      </c>
      <c r="F46" s="15" t="s">
        <v>447</v>
      </c>
      <c r="G46" s="15" t="s">
        <v>326</v>
      </c>
      <c r="H46" s="15" t="s">
        <v>289</v>
      </c>
      <c r="I46" s="15" t="s">
        <v>323</v>
      </c>
      <c r="J46" s="15" t="s">
        <v>444</v>
      </c>
      <c r="K46" s="15">
        <v>0.5</v>
      </c>
      <c r="L46" s="15" t="s">
        <v>323</v>
      </c>
      <c r="M46" s="15">
        <v>2024</v>
      </c>
      <c r="N46" s="15" t="s">
        <v>31</v>
      </c>
      <c r="O46" s="15" t="s">
        <v>324</v>
      </c>
      <c r="P46" s="15" t="s">
        <v>47</v>
      </c>
      <c r="Q46" s="15" t="s">
        <v>42</v>
      </c>
      <c r="R46" s="15">
        <v>50</v>
      </c>
      <c r="S46" s="15">
        <v>0.25</v>
      </c>
      <c r="T46" s="15">
        <v>0.2</v>
      </c>
      <c r="U46" s="15">
        <v>0.05</v>
      </c>
    </row>
    <row r="47" spans="1:21" x14ac:dyDescent="0.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4"/>
      <c r="N47" s="33"/>
      <c r="O47" s="34"/>
      <c r="P47" s="33"/>
      <c r="Q47" s="34"/>
      <c r="R47" s="33"/>
      <c r="S47" s="33"/>
      <c r="T47" s="35">
        <f>SUM(T2:T24,U25:U30,T31:T36,U37,T38:T41,U42:U46)</f>
        <v>6.55833333333333</v>
      </c>
      <c r="U47" s="33"/>
    </row>
  </sheetData>
  <autoFilter ref="A1:U47" xr:uid="{00000000-0009-0000-0000-000000000000}">
    <sortState xmlns:xlrd2="http://schemas.microsoft.com/office/spreadsheetml/2017/richdata2" ref="A2:T925">
      <sortCondition ref="M2:M925"/>
      <sortCondition ref="O2:O92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8"/>
  <sheetViews>
    <sheetView zoomScaleNormal="100" workbookViewId="0">
      <selection activeCell="V31" sqref="V31"/>
    </sheetView>
  </sheetViews>
  <sheetFormatPr baseColWidth="10" defaultColWidth="11.42578125" defaultRowHeight="12.75" x14ac:dyDescent="0.2"/>
  <cols>
    <col min="1" max="1" width="9.28515625" style="10" customWidth="1"/>
    <col min="2" max="2" width="39" style="10" bestFit="1" customWidth="1"/>
    <col min="3" max="3" width="17.140625" style="10" bestFit="1" customWidth="1"/>
    <col min="4" max="9" width="3" style="10" customWidth="1"/>
    <col min="10" max="10" width="5.140625" style="10" customWidth="1"/>
    <col min="11" max="11" width="6" style="10" customWidth="1"/>
    <col min="12" max="12" width="5.28515625" style="10" customWidth="1"/>
    <col min="13" max="13" width="5.28515625" style="11" customWidth="1"/>
    <col min="14" max="14" width="4.7109375" style="11" customWidth="1"/>
    <col min="15" max="15" width="5.28515625" style="10" customWidth="1"/>
    <col min="16" max="16" width="4.7109375" style="11" customWidth="1"/>
    <col min="17" max="19" width="4.85546875" style="10" customWidth="1"/>
    <col min="20" max="16384" width="11.42578125" style="10"/>
  </cols>
  <sheetData>
    <row r="1" spans="1:19" ht="26.25" x14ac:dyDescent="0.2">
      <c r="A1" s="23" t="s">
        <v>81</v>
      </c>
      <c r="B1" s="23" t="s">
        <v>82</v>
      </c>
      <c r="C1" s="23" t="s">
        <v>83</v>
      </c>
      <c r="D1" s="24" t="s">
        <v>448</v>
      </c>
      <c r="E1" s="24" t="s">
        <v>449</v>
      </c>
      <c r="F1" s="24" t="s">
        <v>450</v>
      </c>
      <c r="G1" s="24" t="s">
        <v>451</v>
      </c>
      <c r="H1" s="24" t="s">
        <v>452</v>
      </c>
      <c r="I1" s="24" t="s">
        <v>453</v>
      </c>
      <c r="J1" s="23" t="s">
        <v>84</v>
      </c>
      <c r="K1" s="25" t="s">
        <v>185</v>
      </c>
      <c r="L1" s="8" t="s">
        <v>85</v>
      </c>
      <c r="M1" s="8" t="s">
        <v>86</v>
      </c>
      <c r="N1" s="8" t="s">
        <v>87</v>
      </c>
      <c r="O1" s="8" t="s">
        <v>88</v>
      </c>
      <c r="P1" s="9" t="s">
        <v>89</v>
      </c>
      <c r="Q1" s="9" t="s">
        <v>90</v>
      </c>
      <c r="R1" s="9" t="s">
        <v>91</v>
      </c>
      <c r="S1" s="9" t="s">
        <v>92</v>
      </c>
    </row>
    <row r="2" spans="1:19" ht="15" x14ac:dyDescent="0.25">
      <c r="A2" s="13" t="s">
        <v>98</v>
      </c>
      <c r="B2" s="13" t="s">
        <v>454</v>
      </c>
      <c r="C2" s="13" t="s">
        <v>239</v>
      </c>
      <c r="D2" s="13"/>
      <c r="E2" s="13"/>
      <c r="F2" s="13"/>
      <c r="G2" s="13"/>
      <c r="H2" s="13"/>
      <c r="I2" s="13">
        <v>1</v>
      </c>
      <c r="J2" s="60">
        <v>1</v>
      </c>
      <c r="K2" s="60" t="s">
        <v>37</v>
      </c>
      <c r="L2" s="61" t="s">
        <v>47</v>
      </c>
      <c r="M2" s="61" t="s">
        <v>42</v>
      </c>
      <c r="N2" s="61" t="s">
        <v>26</v>
      </c>
      <c r="O2" s="61" t="s">
        <v>26</v>
      </c>
      <c r="P2" s="61">
        <v>90</v>
      </c>
      <c r="Q2" s="61">
        <v>0.1</v>
      </c>
      <c r="R2" s="61">
        <v>0</v>
      </c>
      <c r="S2" s="61">
        <v>0.9</v>
      </c>
    </row>
    <row r="3" spans="1:19" ht="15" x14ac:dyDescent="0.25">
      <c r="A3" s="13" t="s">
        <v>133</v>
      </c>
      <c r="B3" s="13" t="s">
        <v>455</v>
      </c>
      <c r="C3" s="13" t="s">
        <v>93</v>
      </c>
      <c r="D3" s="13"/>
      <c r="E3" s="13">
        <v>1</v>
      </c>
      <c r="F3" s="13"/>
      <c r="G3" s="13"/>
      <c r="H3" s="13"/>
      <c r="I3" s="13"/>
      <c r="J3" s="60">
        <v>1</v>
      </c>
      <c r="K3" s="60" t="s">
        <v>41</v>
      </c>
      <c r="L3" s="61" t="s">
        <v>47</v>
      </c>
      <c r="M3" s="61" t="s">
        <v>36</v>
      </c>
      <c r="N3" s="61" t="s">
        <v>26</v>
      </c>
      <c r="O3" s="61" t="s">
        <v>26</v>
      </c>
      <c r="P3" s="61">
        <v>50</v>
      </c>
      <c r="Q3" s="61">
        <v>0.5</v>
      </c>
      <c r="R3" s="61">
        <v>0</v>
      </c>
      <c r="S3" s="61">
        <v>0.5</v>
      </c>
    </row>
    <row r="4" spans="1:19" ht="15" x14ac:dyDescent="0.25">
      <c r="A4" s="13" t="s">
        <v>101</v>
      </c>
      <c r="B4" s="13" t="s">
        <v>456</v>
      </c>
      <c r="C4" s="13" t="s">
        <v>93</v>
      </c>
      <c r="D4" s="13"/>
      <c r="E4" s="13"/>
      <c r="F4" s="13">
        <v>3</v>
      </c>
      <c r="G4" s="13"/>
      <c r="H4" s="13"/>
      <c r="I4" s="13"/>
      <c r="J4" s="60">
        <v>3</v>
      </c>
      <c r="K4" s="60" t="s">
        <v>56</v>
      </c>
      <c r="L4" s="61" t="s">
        <v>47</v>
      </c>
      <c r="M4" s="61" t="s">
        <v>42</v>
      </c>
      <c r="N4" s="61" t="s">
        <v>26</v>
      </c>
      <c r="O4" s="61" t="s">
        <v>26</v>
      </c>
      <c r="P4" s="61">
        <v>90</v>
      </c>
      <c r="Q4" s="61">
        <v>0.3</v>
      </c>
      <c r="R4" s="61">
        <v>0</v>
      </c>
      <c r="S4" s="61">
        <v>2.7</v>
      </c>
    </row>
    <row r="5" spans="1:19" ht="15" x14ac:dyDescent="0.25">
      <c r="A5" s="13" t="s">
        <v>327</v>
      </c>
      <c r="B5" s="13" t="s">
        <v>457</v>
      </c>
      <c r="C5" s="14" t="s">
        <v>93</v>
      </c>
      <c r="D5" s="13"/>
      <c r="E5" s="13"/>
      <c r="F5" s="13">
        <v>1</v>
      </c>
      <c r="G5" s="13"/>
      <c r="H5" s="13"/>
      <c r="I5" s="13"/>
      <c r="J5" s="60">
        <v>1</v>
      </c>
      <c r="K5" s="60" t="s">
        <v>323</v>
      </c>
      <c r="L5" s="61" t="s">
        <v>47</v>
      </c>
      <c r="M5" s="61" t="s">
        <v>42</v>
      </c>
      <c r="N5" s="61" t="s">
        <v>31</v>
      </c>
      <c r="O5" s="61" t="s">
        <v>324</v>
      </c>
      <c r="P5" s="61">
        <v>50</v>
      </c>
      <c r="Q5" s="61">
        <v>0.1</v>
      </c>
      <c r="R5" s="61">
        <v>0.4</v>
      </c>
      <c r="S5" s="61">
        <v>0.5</v>
      </c>
    </row>
    <row r="6" spans="1:19" ht="15" x14ac:dyDescent="0.25">
      <c r="A6" s="13" t="s">
        <v>134</v>
      </c>
      <c r="B6" s="13" t="s">
        <v>458</v>
      </c>
      <c r="C6" s="13" t="s">
        <v>93</v>
      </c>
      <c r="D6" s="13"/>
      <c r="E6" s="13">
        <v>1</v>
      </c>
      <c r="F6" s="13"/>
      <c r="G6" s="13"/>
      <c r="H6" s="13"/>
      <c r="I6" s="13"/>
      <c r="J6" s="60">
        <v>1</v>
      </c>
      <c r="K6" s="60" t="s">
        <v>41</v>
      </c>
      <c r="L6" s="61" t="s">
        <v>47</v>
      </c>
      <c r="M6" s="61" t="s">
        <v>36</v>
      </c>
      <c r="N6" s="61" t="s">
        <v>26</v>
      </c>
      <c r="O6" s="61" t="s">
        <v>26</v>
      </c>
      <c r="P6" s="61">
        <v>50</v>
      </c>
      <c r="Q6" s="61">
        <v>0.5</v>
      </c>
      <c r="R6" s="61">
        <v>0</v>
      </c>
      <c r="S6" s="61">
        <v>0.5</v>
      </c>
    </row>
    <row r="7" spans="1:19" ht="15" x14ac:dyDescent="0.25">
      <c r="A7" s="13" t="s">
        <v>115</v>
      </c>
      <c r="B7" s="13" t="s">
        <v>459</v>
      </c>
      <c r="C7" s="13" t="s">
        <v>93</v>
      </c>
      <c r="D7" s="13"/>
      <c r="E7" s="13"/>
      <c r="F7" s="13">
        <v>1</v>
      </c>
      <c r="G7" s="13"/>
      <c r="H7" s="13"/>
      <c r="I7" s="13"/>
      <c r="J7" s="60">
        <v>1</v>
      </c>
      <c r="K7" s="60" t="s">
        <v>41</v>
      </c>
      <c r="L7" s="61" t="s">
        <v>47</v>
      </c>
      <c r="M7" s="61" t="s">
        <v>321</v>
      </c>
      <c r="N7" s="61" t="s">
        <v>31</v>
      </c>
      <c r="O7" s="61" t="s">
        <v>321</v>
      </c>
      <c r="P7" s="61">
        <v>50</v>
      </c>
      <c r="Q7" s="61">
        <v>0.25</v>
      </c>
      <c r="R7" s="61">
        <v>0.25</v>
      </c>
      <c r="S7" s="61">
        <v>0.5</v>
      </c>
    </row>
    <row r="8" spans="1:19" ht="15" x14ac:dyDescent="0.25">
      <c r="A8" s="13" t="s">
        <v>96</v>
      </c>
      <c r="B8" s="13" t="s">
        <v>460</v>
      </c>
      <c r="C8" s="13" t="s">
        <v>93</v>
      </c>
      <c r="D8" s="13"/>
      <c r="E8" s="13"/>
      <c r="F8" s="13"/>
      <c r="G8" s="13"/>
      <c r="H8" s="13"/>
      <c r="I8" s="13">
        <v>1</v>
      </c>
      <c r="J8" s="60">
        <v>1</v>
      </c>
      <c r="K8" s="60" t="s">
        <v>41</v>
      </c>
      <c r="L8" s="61" t="s">
        <v>47</v>
      </c>
      <c r="M8" s="61" t="s">
        <v>321</v>
      </c>
      <c r="N8" s="61" t="s">
        <v>25</v>
      </c>
      <c r="O8" s="61" t="s">
        <v>321</v>
      </c>
      <c r="P8" s="61">
        <v>50</v>
      </c>
      <c r="Q8" s="61">
        <v>0.25</v>
      </c>
      <c r="R8" s="61">
        <v>0.25</v>
      </c>
      <c r="S8" s="61">
        <v>0.5</v>
      </c>
    </row>
    <row r="9" spans="1:19" ht="15" x14ac:dyDescent="0.25">
      <c r="A9" s="13" t="s">
        <v>461</v>
      </c>
      <c r="B9" s="13" t="s">
        <v>462</v>
      </c>
      <c r="C9" s="13" t="s">
        <v>94</v>
      </c>
      <c r="D9" s="13"/>
      <c r="E9" s="13"/>
      <c r="F9" s="13"/>
      <c r="G9" s="13"/>
      <c r="H9" s="13"/>
      <c r="I9" s="13">
        <v>1</v>
      </c>
      <c r="J9" s="60">
        <v>1</v>
      </c>
      <c r="K9" s="60" t="s">
        <v>463</v>
      </c>
      <c r="L9" s="61" t="s">
        <v>47</v>
      </c>
      <c r="M9" s="61" t="s">
        <v>36</v>
      </c>
      <c r="N9" s="61" t="s">
        <v>26</v>
      </c>
      <c r="O9" s="61" t="s">
        <v>26</v>
      </c>
      <c r="P9" s="61">
        <v>50</v>
      </c>
      <c r="Q9" s="61">
        <v>0.5</v>
      </c>
      <c r="R9" s="61">
        <v>0</v>
      </c>
      <c r="S9" s="61">
        <v>0.5</v>
      </c>
    </row>
    <row r="10" spans="1:19" ht="15" x14ac:dyDescent="0.25">
      <c r="A10" s="13" t="s">
        <v>103</v>
      </c>
      <c r="B10" s="13" t="s">
        <v>464</v>
      </c>
      <c r="C10" s="13" t="s">
        <v>93</v>
      </c>
      <c r="D10" s="13"/>
      <c r="E10" s="13"/>
      <c r="F10" s="13"/>
      <c r="G10" s="13">
        <v>1</v>
      </c>
      <c r="H10" s="13"/>
      <c r="I10" s="13"/>
      <c r="J10" s="60">
        <v>1</v>
      </c>
      <c r="K10" s="60" t="s">
        <v>69</v>
      </c>
      <c r="L10" s="61" t="s">
        <v>47</v>
      </c>
      <c r="M10" s="61" t="s">
        <v>42</v>
      </c>
      <c r="N10" s="61" t="s">
        <v>26</v>
      </c>
      <c r="O10" s="61" t="s">
        <v>26</v>
      </c>
      <c r="P10" s="61">
        <v>90</v>
      </c>
      <c r="Q10" s="61">
        <v>0.1</v>
      </c>
      <c r="R10" s="61">
        <v>0</v>
      </c>
      <c r="S10" s="61">
        <v>0.9</v>
      </c>
    </row>
    <row r="11" spans="1:19" ht="15" x14ac:dyDescent="0.25">
      <c r="A11" s="13" t="s">
        <v>106</v>
      </c>
      <c r="B11" s="13" t="s">
        <v>465</v>
      </c>
      <c r="C11" s="13" t="s">
        <v>93</v>
      </c>
      <c r="D11" s="13">
        <v>1</v>
      </c>
      <c r="E11" s="13"/>
      <c r="F11" s="13"/>
      <c r="G11" s="13"/>
      <c r="H11" s="13"/>
      <c r="I11" s="13"/>
      <c r="J11" s="60">
        <v>1</v>
      </c>
      <c r="K11" s="60" t="s">
        <v>41</v>
      </c>
      <c r="L11" s="61" t="s">
        <v>47</v>
      </c>
      <c r="M11" s="61" t="s">
        <v>36</v>
      </c>
      <c r="N11" s="61" t="s">
        <v>26</v>
      </c>
      <c r="O11" s="61" t="s">
        <v>26</v>
      </c>
      <c r="P11" s="61">
        <v>50</v>
      </c>
      <c r="Q11" s="61">
        <v>0.5</v>
      </c>
      <c r="R11" s="61">
        <v>0</v>
      </c>
      <c r="S11" s="61">
        <v>0.5</v>
      </c>
    </row>
    <row r="12" spans="1:19" ht="15" x14ac:dyDescent="0.25">
      <c r="A12" s="13" t="s">
        <v>102</v>
      </c>
      <c r="B12" s="13" t="s">
        <v>466</v>
      </c>
      <c r="C12" s="13" t="s">
        <v>239</v>
      </c>
      <c r="D12" s="13"/>
      <c r="E12" s="13"/>
      <c r="F12" s="13"/>
      <c r="G12" s="13"/>
      <c r="H12" s="13"/>
      <c r="I12" s="13">
        <v>1</v>
      </c>
      <c r="J12" s="60">
        <v>1</v>
      </c>
      <c r="K12" s="60" t="s">
        <v>56</v>
      </c>
      <c r="L12" s="61" t="s">
        <v>47</v>
      </c>
      <c r="M12" s="61" t="s">
        <v>42</v>
      </c>
      <c r="N12" s="61" t="s">
        <v>26</v>
      </c>
      <c r="O12" s="61" t="s">
        <v>26</v>
      </c>
      <c r="P12" s="61">
        <v>90</v>
      </c>
      <c r="Q12" s="61">
        <v>0.1</v>
      </c>
      <c r="R12" s="61">
        <v>0</v>
      </c>
      <c r="S12" s="61">
        <v>0.9</v>
      </c>
    </row>
    <row r="13" spans="1:19" ht="15" x14ac:dyDescent="0.25">
      <c r="A13" s="13" t="s">
        <v>116</v>
      </c>
      <c r="B13" s="13" t="s">
        <v>467</v>
      </c>
      <c r="C13" s="13" t="s">
        <v>93</v>
      </c>
      <c r="D13" s="13">
        <v>1</v>
      </c>
      <c r="E13" s="13"/>
      <c r="F13" s="13"/>
      <c r="G13" s="13"/>
      <c r="H13" s="13"/>
      <c r="I13" s="13"/>
      <c r="J13" s="60">
        <v>1</v>
      </c>
      <c r="K13" s="60" t="s">
        <v>41</v>
      </c>
      <c r="L13" s="61" t="s">
        <v>47</v>
      </c>
      <c r="M13" s="61" t="s">
        <v>42</v>
      </c>
      <c r="N13" s="61" t="s">
        <v>79</v>
      </c>
      <c r="O13" s="61" t="s">
        <v>36</v>
      </c>
      <c r="P13" s="61">
        <v>40</v>
      </c>
      <c r="Q13" s="61">
        <v>0.1</v>
      </c>
      <c r="R13" s="61">
        <v>0.5</v>
      </c>
      <c r="S13" s="61">
        <v>0.4</v>
      </c>
    </row>
    <row r="14" spans="1:19" ht="15" x14ac:dyDescent="0.25">
      <c r="A14" s="13" t="s">
        <v>104</v>
      </c>
      <c r="B14" s="13" t="s">
        <v>468</v>
      </c>
      <c r="C14" s="13" t="s">
        <v>93</v>
      </c>
      <c r="D14" s="13"/>
      <c r="E14" s="13"/>
      <c r="F14" s="13"/>
      <c r="G14" s="13">
        <v>1</v>
      </c>
      <c r="H14" s="13"/>
      <c r="I14" s="13"/>
      <c r="J14" s="60">
        <v>1</v>
      </c>
      <c r="K14" s="60" t="s">
        <v>80</v>
      </c>
      <c r="L14" s="61" t="s">
        <v>47</v>
      </c>
      <c r="M14" s="61" t="s">
        <v>325</v>
      </c>
      <c r="N14" s="61" t="s">
        <v>26</v>
      </c>
      <c r="O14" s="61" t="s">
        <v>26</v>
      </c>
      <c r="P14" s="61">
        <v>10</v>
      </c>
      <c r="Q14" s="61">
        <v>0.9</v>
      </c>
      <c r="R14" s="61">
        <v>0</v>
      </c>
      <c r="S14" s="61">
        <v>0.1</v>
      </c>
    </row>
    <row r="15" spans="1:19" ht="15" x14ac:dyDescent="0.25">
      <c r="A15" s="13" t="s">
        <v>107</v>
      </c>
      <c r="B15" s="13" t="s">
        <v>469</v>
      </c>
      <c r="C15" s="13" t="s">
        <v>93</v>
      </c>
      <c r="D15" s="13"/>
      <c r="E15" s="13"/>
      <c r="F15" s="13"/>
      <c r="G15" s="13"/>
      <c r="H15" s="13">
        <v>2</v>
      </c>
      <c r="I15" s="13"/>
      <c r="J15" s="60">
        <v>2</v>
      </c>
      <c r="K15" s="60" t="s">
        <v>52</v>
      </c>
      <c r="L15" s="61" t="s">
        <v>47</v>
      </c>
      <c r="M15" s="61" t="s">
        <v>36</v>
      </c>
      <c r="N15" s="61" t="s">
        <v>26</v>
      </c>
      <c r="O15" s="61" t="s">
        <v>26</v>
      </c>
      <c r="P15" s="61">
        <v>50</v>
      </c>
      <c r="Q15" s="61">
        <v>1</v>
      </c>
      <c r="R15" s="61">
        <v>0</v>
      </c>
      <c r="S15" s="61">
        <v>1</v>
      </c>
    </row>
    <row r="16" spans="1:19" ht="15" x14ac:dyDescent="0.25">
      <c r="A16" s="13" t="s">
        <v>105</v>
      </c>
      <c r="B16" s="13" t="s">
        <v>470</v>
      </c>
      <c r="C16" s="13" t="s">
        <v>93</v>
      </c>
      <c r="D16" s="13"/>
      <c r="E16" s="13">
        <v>1</v>
      </c>
      <c r="F16" s="13"/>
      <c r="G16" s="13"/>
      <c r="H16" s="13"/>
      <c r="I16" s="13"/>
      <c r="J16" s="60">
        <v>1</v>
      </c>
      <c r="K16" s="60" t="s">
        <v>52</v>
      </c>
      <c r="L16" s="61" t="s">
        <v>47</v>
      </c>
      <c r="M16" s="61" t="s">
        <v>42</v>
      </c>
      <c r="N16" s="61" t="s">
        <v>26</v>
      </c>
      <c r="O16" s="61" t="s">
        <v>26</v>
      </c>
      <c r="P16" s="61">
        <v>90</v>
      </c>
      <c r="Q16" s="61">
        <v>0.1</v>
      </c>
      <c r="R16" s="61">
        <v>0</v>
      </c>
      <c r="S16" s="61">
        <v>0.9</v>
      </c>
    </row>
    <row r="17" spans="1:19" ht="15" x14ac:dyDescent="0.25">
      <c r="A17" s="13" t="s">
        <v>186</v>
      </c>
      <c r="B17" s="13" t="s">
        <v>471</v>
      </c>
      <c r="C17" s="12" t="s">
        <v>93</v>
      </c>
      <c r="D17" s="13"/>
      <c r="E17" s="13"/>
      <c r="F17" s="13">
        <v>1</v>
      </c>
      <c r="G17" s="13"/>
      <c r="H17" s="13"/>
      <c r="I17" s="13"/>
      <c r="J17" s="60">
        <v>1</v>
      </c>
      <c r="K17" s="60" t="s">
        <v>187</v>
      </c>
      <c r="L17" s="61" t="s">
        <v>47</v>
      </c>
      <c r="M17" s="61" t="s">
        <v>42</v>
      </c>
      <c r="N17" s="61" t="s">
        <v>26</v>
      </c>
      <c r="O17" s="61" t="s">
        <v>26</v>
      </c>
      <c r="P17" s="61">
        <v>90</v>
      </c>
      <c r="Q17" s="61">
        <v>0.1</v>
      </c>
      <c r="R17" s="61">
        <v>0</v>
      </c>
      <c r="S17" s="61">
        <v>0.9</v>
      </c>
    </row>
    <row r="18" spans="1:19" ht="15" x14ac:dyDescent="0.25">
      <c r="A18" s="13" t="s">
        <v>114</v>
      </c>
      <c r="B18" s="13" t="s">
        <v>472</v>
      </c>
      <c r="C18" s="13" t="s">
        <v>93</v>
      </c>
      <c r="D18" s="13"/>
      <c r="E18" s="13">
        <v>1</v>
      </c>
      <c r="F18" s="13"/>
      <c r="G18" s="13"/>
      <c r="H18" s="13"/>
      <c r="I18" s="13"/>
      <c r="J18" s="60">
        <v>1</v>
      </c>
      <c r="K18" s="60" t="s">
        <v>41</v>
      </c>
      <c r="L18" s="61" t="s">
        <v>47</v>
      </c>
      <c r="M18" s="61" t="s">
        <v>36</v>
      </c>
      <c r="N18" s="61" t="s">
        <v>31</v>
      </c>
      <c r="O18" s="61" t="s">
        <v>42</v>
      </c>
      <c r="P18" s="61">
        <v>40</v>
      </c>
      <c r="Q18" s="61">
        <v>0.5</v>
      </c>
      <c r="R18" s="61">
        <v>0.1</v>
      </c>
      <c r="S18" s="61">
        <v>0.4</v>
      </c>
    </row>
    <row r="19" spans="1:19" ht="15" x14ac:dyDescent="0.25">
      <c r="A19" s="13" t="s">
        <v>135</v>
      </c>
      <c r="B19" s="13" t="s">
        <v>473</v>
      </c>
      <c r="C19" s="13" t="s">
        <v>93</v>
      </c>
      <c r="D19" s="13"/>
      <c r="E19" s="13"/>
      <c r="F19" s="13">
        <v>1</v>
      </c>
      <c r="G19" s="13"/>
      <c r="H19" s="13"/>
      <c r="I19" s="13"/>
      <c r="J19" s="60">
        <v>1</v>
      </c>
      <c r="K19" s="60" t="s">
        <v>136</v>
      </c>
      <c r="L19" s="61" t="s">
        <v>47</v>
      </c>
      <c r="M19" s="61" t="s">
        <v>321</v>
      </c>
      <c r="N19" s="61" t="s">
        <v>26</v>
      </c>
      <c r="O19" s="61" t="s">
        <v>26</v>
      </c>
      <c r="P19" s="61">
        <v>75</v>
      </c>
      <c r="Q19" s="61">
        <v>0.25</v>
      </c>
      <c r="R19" s="61">
        <v>0</v>
      </c>
      <c r="S19" s="61">
        <v>0.75</v>
      </c>
    </row>
    <row r="20" spans="1:19" ht="15" x14ac:dyDescent="0.25">
      <c r="A20" s="13" t="s">
        <v>137</v>
      </c>
      <c r="B20" s="13" t="s">
        <v>474</v>
      </c>
      <c r="C20" s="13" t="s">
        <v>93</v>
      </c>
      <c r="D20" s="13"/>
      <c r="E20" s="13">
        <v>1</v>
      </c>
      <c r="F20" s="13"/>
      <c r="G20" s="13">
        <v>1</v>
      </c>
      <c r="H20" s="13"/>
      <c r="I20" s="13"/>
      <c r="J20" s="60">
        <v>2</v>
      </c>
      <c r="K20" s="60" t="s">
        <v>41</v>
      </c>
      <c r="L20" s="61" t="s">
        <v>47</v>
      </c>
      <c r="M20" s="61" t="s">
        <v>36</v>
      </c>
      <c r="N20" s="61" t="s">
        <v>31</v>
      </c>
      <c r="O20" s="61" t="s">
        <v>42</v>
      </c>
      <c r="P20" s="61">
        <v>40</v>
      </c>
      <c r="Q20" s="61">
        <v>1</v>
      </c>
      <c r="R20" s="61">
        <v>0.2</v>
      </c>
      <c r="S20" s="61">
        <v>0.8</v>
      </c>
    </row>
    <row r="21" spans="1:19" ht="15" x14ac:dyDescent="0.25">
      <c r="A21" s="13" t="s">
        <v>100</v>
      </c>
      <c r="B21" s="13" t="s">
        <v>475</v>
      </c>
      <c r="C21" s="13" t="s">
        <v>93</v>
      </c>
      <c r="D21" s="13">
        <v>1</v>
      </c>
      <c r="E21" s="13"/>
      <c r="F21" s="13"/>
      <c r="G21" s="13"/>
      <c r="H21" s="13"/>
      <c r="I21" s="13"/>
      <c r="J21" s="60">
        <v>1</v>
      </c>
      <c r="K21" s="60" t="s">
        <v>48</v>
      </c>
      <c r="L21" s="61" t="s">
        <v>47</v>
      </c>
      <c r="M21" s="61" t="s">
        <v>42</v>
      </c>
      <c r="N21" s="61" t="s">
        <v>26</v>
      </c>
      <c r="O21" s="61" t="s">
        <v>26</v>
      </c>
      <c r="P21" s="61">
        <v>90</v>
      </c>
      <c r="Q21" s="61">
        <v>0.1</v>
      </c>
      <c r="R21" s="61">
        <v>0</v>
      </c>
      <c r="S21" s="61">
        <v>0.9</v>
      </c>
    </row>
    <row r="22" spans="1:19" ht="15" x14ac:dyDescent="0.25">
      <c r="A22" s="13" t="s">
        <v>476</v>
      </c>
      <c r="B22" s="13" t="s">
        <v>477</v>
      </c>
      <c r="C22" s="13" t="s">
        <v>94</v>
      </c>
      <c r="D22" s="13"/>
      <c r="E22" s="13"/>
      <c r="F22" s="13"/>
      <c r="G22" s="13"/>
      <c r="H22" s="13"/>
      <c r="I22" s="13">
        <v>1</v>
      </c>
      <c r="J22" s="60">
        <v>1</v>
      </c>
      <c r="K22" s="60" t="s">
        <v>41</v>
      </c>
      <c r="L22" s="61" t="s">
        <v>47</v>
      </c>
      <c r="M22" s="61" t="s">
        <v>36</v>
      </c>
      <c r="N22" s="61" t="s">
        <v>26</v>
      </c>
      <c r="O22" s="61" t="s">
        <v>26</v>
      </c>
      <c r="P22" s="61">
        <v>50</v>
      </c>
      <c r="Q22" s="61">
        <v>0.5</v>
      </c>
      <c r="R22" s="61">
        <v>0</v>
      </c>
      <c r="S22" s="61">
        <v>0.5</v>
      </c>
    </row>
    <row r="23" spans="1:19" ht="15" x14ac:dyDescent="0.25">
      <c r="A23" s="13" t="s">
        <v>478</v>
      </c>
      <c r="B23" s="13" t="s">
        <v>479</v>
      </c>
      <c r="C23" s="13" t="s">
        <v>94</v>
      </c>
      <c r="D23" s="13"/>
      <c r="E23" s="13"/>
      <c r="F23" s="13"/>
      <c r="G23" s="13"/>
      <c r="H23" s="13">
        <v>1</v>
      </c>
      <c r="I23" s="13"/>
      <c r="J23" s="60">
        <v>1</v>
      </c>
      <c r="K23" s="60" t="s">
        <v>60</v>
      </c>
      <c r="L23" s="61" t="s">
        <v>47</v>
      </c>
      <c r="M23" s="61" t="s">
        <v>42</v>
      </c>
      <c r="N23" s="61" t="s">
        <v>26</v>
      </c>
      <c r="O23" s="61" t="s">
        <v>26</v>
      </c>
      <c r="P23" s="61">
        <v>90</v>
      </c>
      <c r="Q23" s="61">
        <v>0.1</v>
      </c>
      <c r="R23" s="61">
        <v>0</v>
      </c>
      <c r="S23" s="61">
        <v>0.9</v>
      </c>
    </row>
    <row r="24" spans="1:19" ht="15" x14ac:dyDescent="0.25">
      <c r="A24" s="13" t="s">
        <v>99</v>
      </c>
      <c r="B24" s="13" t="s">
        <v>480</v>
      </c>
      <c r="C24" s="13" t="s">
        <v>93</v>
      </c>
      <c r="D24" s="13">
        <v>1</v>
      </c>
      <c r="E24" s="13"/>
      <c r="F24" s="13"/>
      <c r="G24" s="13"/>
      <c r="H24" s="13"/>
      <c r="I24" s="13"/>
      <c r="J24" s="60">
        <v>1</v>
      </c>
      <c r="K24" s="60" t="s">
        <v>41</v>
      </c>
      <c r="L24" s="61" t="s">
        <v>47</v>
      </c>
      <c r="M24" s="61" t="s">
        <v>325</v>
      </c>
      <c r="N24" s="61" t="s">
        <v>26</v>
      </c>
      <c r="O24" s="61" t="s">
        <v>26</v>
      </c>
      <c r="P24" s="61">
        <v>10</v>
      </c>
      <c r="Q24" s="61">
        <v>0.9</v>
      </c>
      <c r="R24" s="61">
        <v>0</v>
      </c>
      <c r="S24" s="61">
        <v>0.1</v>
      </c>
    </row>
    <row r="25" spans="1:19" ht="15" x14ac:dyDescent="0.25">
      <c r="A25" s="13" t="s">
        <v>95</v>
      </c>
      <c r="B25" s="13" t="s">
        <v>481</v>
      </c>
      <c r="C25" s="14" t="s">
        <v>93</v>
      </c>
      <c r="D25" s="13"/>
      <c r="E25" s="13"/>
      <c r="F25" s="13">
        <v>2</v>
      </c>
      <c r="G25" s="13"/>
      <c r="H25" s="13">
        <v>1</v>
      </c>
      <c r="I25" s="13"/>
      <c r="J25" s="60">
        <v>3</v>
      </c>
      <c r="K25" s="60" t="s">
        <v>41</v>
      </c>
      <c r="L25" s="61" t="s">
        <v>47</v>
      </c>
      <c r="M25" s="61" t="s">
        <v>321</v>
      </c>
      <c r="N25" s="61" t="s">
        <v>25</v>
      </c>
      <c r="O25" s="61" t="s">
        <v>42</v>
      </c>
      <c r="P25" s="61">
        <v>65</v>
      </c>
      <c r="Q25" s="61">
        <v>0.75</v>
      </c>
      <c r="R25" s="61">
        <v>0.3</v>
      </c>
      <c r="S25" s="61">
        <v>1.95</v>
      </c>
    </row>
    <row r="26" spans="1:19" ht="15" x14ac:dyDescent="0.25">
      <c r="A26" s="13" t="s">
        <v>298</v>
      </c>
      <c r="B26" s="13" t="s">
        <v>482</v>
      </c>
      <c r="C26" s="14" t="s">
        <v>93</v>
      </c>
      <c r="D26" s="13">
        <v>1</v>
      </c>
      <c r="E26" s="13"/>
      <c r="F26" s="13"/>
      <c r="G26" s="13"/>
      <c r="H26" s="13"/>
      <c r="I26" s="13"/>
      <c r="J26" s="60">
        <v>1</v>
      </c>
      <c r="K26" s="60" t="s">
        <v>299</v>
      </c>
      <c r="L26" s="61" t="s">
        <v>47</v>
      </c>
      <c r="M26" s="61" t="s">
        <v>36</v>
      </c>
      <c r="N26" s="61" t="s">
        <v>26</v>
      </c>
      <c r="O26" s="61" t="s">
        <v>26</v>
      </c>
      <c r="P26" s="61">
        <v>50</v>
      </c>
      <c r="Q26" s="61">
        <v>0.5</v>
      </c>
      <c r="R26" s="61">
        <v>0</v>
      </c>
      <c r="S26" s="61">
        <v>0.5</v>
      </c>
    </row>
    <row r="27" spans="1:19" ht="15" x14ac:dyDescent="0.25">
      <c r="A27" s="13" t="s">
        <v>328</v>
      </c>
      <c r="B27" s="13" t="s">
        <v>483</v>
      </c>
      <c r="C27" s="14" t="s">
        <v>93</v>
      </c>
      <c r="D27" s="13"/>
      <c r="E27" s="13"/>
      <c r="F27" s="13"/>
      <c r="G27" s="13">
        <v>1</v>
      </c>
      <c r="H27" s="13"/>
      <c r="I27" s="13"/>
      <c r="J27" s="60">
        <v>1</v>
      </c>
      <c r="K27" s="60" t="s">
        <v>41</v>
      </c>
      <c r="L27" s="61" t="s">
        <v>47</v>
      </c>
      <c r="M27" s="61" t="s">
        <v>36</v>
      </c>
      <c r="N27" s="61" t="s">
        <v>31</v>
      </c>
      <c r="O27" s="61" t="s">
        <v>42</v>
      </c>
      <c r="P27" s="61">
        <v>40</v>
      </c>
      <c r="Q27" s="61">
        <v>0.5</v>
      </c>
      <c r="R27" s="61">
        <v>0.1</v>
      </c>
      <c r="S27" s="61">
        <v>0.4</v>
      </c>
    </row>
    <row r="28" spans="1:19" ht="15" x14ac:dyDescent="0.25">
      <c r="A28" s="13" t="s">
        <v>238</v>
      </c>
      <c r="B28" s="13" t="s">
        <v>484</v>
      </c>
      <c r="C28" s="14" t="s">
        <v>239</v>
      </c>
      <c r="D28" s="13"/>
      <c r="E28" s="13"/>
      <c r="F28" s="13"/>
      <c r="G28" s="13"/>
      <c r="H28" s="13"/>
      <c r="I28" s="13">
        <v>1</v>
      </c>
      <c r="J28" s="60">
        <v>1</v>
      </c>
      <c r="K28" s="60" t="s">
        <v>72</v>
      </c>
      <c r="L28" s="61" t="s">
        <v>35</v>
      </c>
      <c r="M28" s="61" t="s">
        <v>42</v>
      </c>
      <c r="N28" s="61" t="s">
        <v>47</v>
      </c>
      <c r="O28" s="61" t="s">
        <v>42</v>
      </c>
      <c r="P28" s="61">
        <v>80</v>
      </c>
      <c r="Q28" s="61">
        <v>0.1</v>
      </c>
      <c r="R28" s="61">
        <v>0.1</v>
      </c>
      <c r="S28" s="61">
        <v>0.8</v>
      </c>
    </row>
    <row r="29" spans="1:19" ht="15" x14ac:dyDescent="0.25">
      <c r="A29" s="13" t="s">
        <v>110</v>
      </c>
      <c r="B29" s="13" t="s">
        <v>485</v>
      </c>
      <c r="C29" s="14" t="s">
        <v>93</v>
      </c>
      <c r="D29" s="13"/>
      <c r="E29" s="13"/>
      <c r="F29" s="13">
        <v>1</v>
      </c>
      <c r="G29" s="13"/>
      <c r="H29" s="13"/>
      <c r="I29" s="13"/>
      <c r="J29" s="60">
        <v>1</v>
      </c>
      <c r="K29" s="60" t="s">
        <v>41</v>
      </c>
      <c r="L29" s="62" t="s">
        <v>31</v>
      </c>
      <c r="M29" s="62" t="s">
        <v>42</v>
      </c>
      <c r="N29" s="62" t="s">
        <v>47</v>
      </c>
      <c r="O29" s="62" t="s">
        <v>36</v>
      </c>
      <c r="P29" s="62">
        <v>40</v>
      </c>
      <c r="Q29" s="62">
        <v>0.1</v>
      </c>
      <c r="R29" s="62">
        <v>0.5</v>
      </c>
      <c r="S29" s="62">
        <v>0.4</v>
      </c>
    </row>
    <row r="30" spans="1:19" ht="15" x14ac:dyDescent="0.25">
      <c r="A30" s="13" t="s">
        <v>111</v>
      </c>
      <c r="B30" s="13" t="s">
        <v>486</v>
      </c>
      <c r="C30" s="13" t="s">
        <v>93</v>
      </c>
      <c r="D30" s="13"/>
      <c r="E30" s="13"/>
      <c r="F30" s="13"/>
      <c r="G30" s="13"/>
      <c r="H30" s="13">
        <v>1</v>
      </c>
      <c r="I30" s="13"/>
      <c r="J30" s="60">
        <v>1</v>
      </c>
      <c r="K30" s="60" t="s">
        <v>41</v>
      </c>
      <c r="L30" s="61" t="s">
        <v>31</v>
      </c>
      <c r="M30" s="61" t="s">
        <v>42</v>
      </c>
      <c r="N30" s="61" t="s">
        <v>47</v>
      </c>
      <c r="O30" s="61" t="s">
        <v>36</v>
      </c>
      <c r="P30" s="61">
        <v>40</v>
      </c>
      <c r="Q30" s="61">
        <v>0.1</v>
      </c>
      <c r="R30" s="61">
        <v>0.5</v>
      </c>
      <c r="S30" s="61">
        <v>0.4</v>
      </c>
    </row>
    <row r="31" spans="1:19" ht="15" x14ac:dyDescent="0.25">
      <c r="A31" s="13" t="s">
        <v>113</v>
      </c>
      <c r="B31" s="13" t="s">
        <v>487</v>
      </c>
      <c r="C31" s="13" t="s">
        <v>93</v>
      </c>
      <c r="D31" s="13">
        <v>1</v>
      </c>
      <c r="E31" s="13"/>
      <c r="F31" s="13"/>
      <c r="G31" s="13"/>
      <c r="H31" s="13"/>
      <c r="I31" s="13"/>
      <c r="J31" s="60">
        <v>1</v>
      </c>
      <c r="K31" s="60" t="s">
        <v>69</v>
      </c>
      <c r="L31" s="61" t="s">
        <v>78</v>
      </c>
      <c r="M31" s="61" t="s">
        <v>38</v>
      </c>
      <c r="N31" s="61" t="s">
        <v>47</v>
      </c>
      <c r="O31" s="61" t="s">
        <v>38</v>
      </c>
      <c r="P31" s="61">
        <v>60</v>
      </c>
      <c r="Q31" s="61">
        <v>0.2</v>
      </c>
      <c r="R31" s="61">
        <v>0.2</v>
      </c>
      <c r="S31" s="61">
        <v>0.6</v>
      </c>
    </row>
    <row r="32" spans="1:19" ht="15" x14ac:dyDescent="0.25">
      <c r="A32" s="13" t="s">
        <v>322</v>
      </c>
      <c r="B32" s="13" t="s">
        <v>488</v>
      </c>
      <c r="C32" s="13" t="s">
        <v>93</v>
      </c>
      <c r="D32" s="13"/>
      <c r="E32" s="13">
        <v>1</v>
      </c>
      <c r="F32" s="13"/>
      <c r="G32" s="13"/>
      <c r="H32" s="13"/>
      <c r="I32" s="13"/>
      <c r="J32" s="60">
        <v>1</v>
      </c>
      <c r="K32" s="60" t="s">
        <v>323</v>
      </c>
      <c r="L32" s="61" t="s">
        <v>31</v>
      </c>
      <c r="M32" s="61" t="s">
        <v>324</v>
      </c>
      <c r="N32" s="61" t="s">
        <v>47</v>
      </c>
      <c r="O32" s="61" t="s">
        <v>42</v>
      </c>
      <c r="P32" s="61">
        <v>50</v>
      </c>
      <c r="Q32" s="61">
        <v>0.4</v>
      </c>
      <c r="R32" s="61">
        <v>0.1</v>
      </c>
      <c r="S32" s="61">
        <v>0.5</v>
      </c>
    </row>
    <row r="33" spans="1:19" ht="15" x14ac:dyDescent="0.25">
      <c r="A33" s="13" t="s">
        <v>109</v>
      </c>
      <c r="B33" s="13" t="s">
        <v>489</v>
      </c>
      <c r="C33" s="13" t="s">
        <v>93</v>
      </c>
      <c r="D33" s="13"/>
      <c r="E33" s="13">
        <v>1</v>
      </c>
      <c r="F33" s="13"/>
      <c r="G33" s="13"/>
      <c r="H33" s="13"/>
      <c r="I33" s="13"/>
      <c r="J33" s="60">
        <v>1</v>
      </c>
      <c r="K33" s="60" t="s">
        <v>64</v>
      </c>
      <c r="L33" s="61" t="s">
        <v>31</v>
      </c>
      <c r="M33" s="61" t="s">
        <v>66</v>
      </c>
      <c r="N33" s="61" t="s">
        <v>47</v>
      </c>
      <c r="O33" s="61" t="s">
        <v>42</v>
      </c>
      <c r="P33" s="61">
        <v>20</v>
      </c>
      <c r="Q33" s="61">
        <v>0.7</v>
      </c>
      <c r="R33" s="61">
        <v>0.1</v>
      </c>
      <c r="S33" s="61">
        <v>0.2</v>
      </c>
    </row>
    <row r="34" spans="1:19" ht="15" x14ac:dyDescent="0.25">
      <c r="A34" s="13" t="s">
        <v>97</v>
      </c>
      <c r="B34" s="13" t="s">
        <v>490</v>
      </c>
      <c r="C34" s="13" t="s">
        <v>93</v>
      </c>
      <c r="D34" s="13"/>
      <c r="E34" s="13"/>
      <c r="F34" s="13"/>
      <c r="G34" s="13">
        <v>1</v>
      </c>
      <c r="H34" s="13"/>
      <c r="I34" s="13"/>
      <c r="J34" s="60">
        <v>1</v>
      </c>
      <c r="K34" s="60" t="s">
        <v>41</v>
      </c>
      <c r="L34" s="61" t="s">
        <v>31</v>
      </c>
      <c r="M34" s="61" t="s">
        <v>42</v>
      </c>
      <c r="N34" s="61" t="s">
        <v>47</v>
      </c>
      <c r="O34" s="61" t="s">
        <v>36</v>
      </c>
      <c r="P34" s="61">
        <v>40</v>
      </c>
      <c r="Q34" s="61">
        <v>0.1</v>
      </c>
      <c r="R34" s="61">
        <v>0.5</v>
      </c>
      <c r="S34" s="61">
        <v>0.4</v>
      </c>
    </row>
    <row r="35" spans="1:19" ht="15" x14ac:dyDescent="0.25">
      <c r="A35" s="13" t="s">
        <v>326</v>
      </c>
      <c r="B35" s="13" t="s">
        <v>491</v>
      </c>
      <c r="C35" s="13" t="s">
        <v>93</v>
      </c>
      <c r="D35" s="13"/>
      <c r="E35" s="13"/>
      <c r="F35" s="13"/>
      <c r="G35" s="13"/>
      <c r="H35" s="13"/>
      <c r="I35" s="13">
        <v>1</v>
      </c>
      <c r="J35" s="60">
        <v>1</v>
      </c>
      <c r="K35" s="60" t="s">
        <v>323</v>
      </c>
      <c r="L35" s="61" t="s">
        <v>31</v>
      </c>
      <c r="M35" s="61" t="s">
        <v>324</v>
      </c>
      <c r="N35" s="61" t="s">
        <v>47</v>
      </c>
      <c r="O35" s="61" t="s">
        <v>42</v>
      </c>
      <c r="P35" s="61">
        <v>50</v>
      </c>
      <c r="Q35" s="61">
        <v>0.4</v>
      </c>
      <c r="R35" s="61">
        <v>0.1</v>
      </c>
      <c r="S35" s="61">
        <v>0.5</v>
      </c>
    </row>
    <row r="36" spans="1:19" s="68" customFormat="1" ht="15" x14ac:dyDescent="0.25">
      <c r="A36" s="63" t="s">
        <v>108</v>
      </c>
      <c r="B36" s="63" t="s">
        <v>492</v>
      </c>
      <c r="C36" s="65" t="s">
        <v>93</v>
      </c>
      <c r="D36" s="63"/>
      <c r="E36" s="63"/>
      <c r="F36" s="63">
        <v>1</v>
      </c>
      <c r="G36" s="63">
        <v>1</v>
      </c>
      <c r="H36" s="63"/>
      <c r="I36" s="63"/>
      <c r="J36" s="66">
        <v>2</v>
      </c>
      <c r="K36" s="64" t="s">
        <v>41</v>
      </c>
      <c r="L36" s="67" t="s">
        <v>25</v>
      </c>
      <c r="M36" s="67" t="s">
        <v>321</v>
      </c>
      <c r="N36" s="67" t="s">
        <v>47</v>
      </c>
      <c r="O36" s="67" t="s">
        <v>36</v>
      </c>
      <c r="P36" s="67">
        <v>25</v>
      </c>
      <c r="Q36" s="67">
        <v>0.5</v>
      </c>
      <c r="R36" s="67">
        <v>1</v>
      </c>
      <c r="S36" s="67">
        <v>0.5</v>
      </c>
    </row>
    <row r="37" spans="1:19" ht="15" x14ac:dyDescent="0.25">
      <c r="A37" s="13" t="s">
        <v>112</v>
      </c>
      <c r="B37" s="13" t="s">
        <v>493</v>
      </c>
      <c r="C37" s="14">
        <v>6</v>
      </c>
      <c r="D37" s="13"/>
      <c r="E37" s="13"/>
      <c r="F37" s="13"/>
      <c r="G37" s="13"/>
      <c r="H37" s="13"/>
      <c r="I37" s="13">
        <v>1</v>
      </c>
      <c r="J37" s="60">
        <v>1</v>
      </c>
      <c r="K37" s="60" t="s">
        <v>64</v>
      </c>
      <c r="L37" s="62" t="s">
        <v>31</v>
      </c>
      <c r="M37" s="62" t="s">
        <v>46</v>
      </c>
      <c r="N37" s="62" t="s">
        <v>47</v>
      </c>
      <c r="O37" s="62" t="s">
        <v>42</v>
      </c>
      <c r="P37" s="62">
        <v>10</v>
      </c>
      <c r="Q37" s="62">
        <v>0.8</v>
      </c>
      <c r="R37" s="62">
        <v>0.1</v>
      </c>
      <c r="S37" s="62">
        <v>0.1</v>
      </c>
    </row>
    <row r="38" spans="1:19" ht="15" x14ac:dyDescent="0.25">
      <c r="A38" s="39"/>
      <c r="B38" s="39"/>
      <c r="C38" s="40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80">
        <f>SUM(R28:R37,Q2:Q27)</f>
        <v>13.699999999999998</v>
      </c>
      <c r="R38" s="80"/>
      <c r="S38" s="39"/>
    </row>
  </sheetData>
  <mergeCells count="1">
    <mergeCell ref="Q38:R38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2142-B39D-46EA-A993-CFF59B130402}">
  <dimension ref="A1:C28"/>
  <sheetViews>
    <sheetView workbookViewId="0">
      <selection activeCell="F13" sqref="F13"/>
    </sheetView>
  </sheetViews>
  <sheetFormatPr baseColWidth="10" defaultRowHeight="15" x14ac:dyDescent="0.25"/>
  <cols>
    <col min="1" max="1" width="17" customWidth="1"/>
    <col min="2" max="2" width="107.42578125" customWidth="1"/>
    <col min="3" max="3" width="16" customWidth="1"/>
  </cols>
  <sheetData>
    <row r="1" spans="1:3" x14ac:dyDescent="0.25">
      <c r="A1" s="41" t="s">
        <v>165</v>
      </c>
      <c r="B1" s="41" t="s">
        <v>166</v>
      </c>
      <c r="C1" s="41" t="s">
        <v>188</v>
      </c>
    </row>
    <row r="2" spans="1:3" x14ac:dyDescent="0.25">
      <c r="A2" s="37" t="s">
        <v>1</v>
      </c>
      <c r="B2" s="37" t="s">
        <v>240</v>
      </c>
      <c r="C2" s="27">
        <v>2640</v>
      </c>
    </row>
    <row r="3" spans="1:3" x14ac:dyDescent="0.25">
      <c r="A3" s="36" t="s">
        <v>1</v>
      </c>
      <c r="B3" s="36" t="s">
        <v>241</v>
      </c>
      <c r="C3" s="26">
        <v>2640</v>
      </c>
    </row>
    <row r="4" spans="1:3" x14ac:dyDescent="0.25">
      <c r="A4" s="37" t="s">
        <v>1</v>
      </c>
      <c r="B4" s="37" t="s">
        <v>242</v>
      </c>
      <c r="C4" s="27">
        <v>2640</v>
      </c>
    </row>
    <row r="5" spans="1:3" x14ac:dyDescent="0.25">
      <c r="A5" s="36" t="s">
        <v>243</v>
      </c>
      <c r="B5" s="36" t="s">
        <v>244</v>
      </c>
      <c r="C5" s="26">
        <v>29703.31</v>
      </c>
    </row>
    <row r="6" spans="1:3" x14ac:dyDescent="0.25">
      <c r="A6" s="37" t="s">
        <v>245</v>
      </c>
      <c r="B6" s="37" t="s">
        <v>246</v>
      </c>
      <c r="C6" s="27">
        <v>2112</v>
      </c>
    </row>
    <row r="7" spans="1:3" x14ac:dyDescent="0.25">
      <c r="A7" s="36" t="s">
        <v>245</v>
      </c>
      <c r="B7" s="36" t="s">
        <v>247</v>
      </c>
      <c r="C7" s="26">
        <v>2112</v>
      </c>
    </row>
    <row r="8" spans="1:3" x14ac:dyDescent="0.25">
      <c r="A8" s="37" t="s">
        <v>245</v>
      </c>
      <c r="B8" s="37" t="s">
        <v>248</v>
      </c>
      <c r="C8" s="27">
        <v>2112</v>
      </c>
    </row>
    <row r="9" spans="1:3" x14ac:dyDescent="0.25">
      <c r="A9" s="36" t="s">
        <v>249</v>
      </c>
      <c r="B9" s="36" t="s">
        <v>250</v>
      </c>
      <c r="C9" s="26">
        <v>2640</v>
      </c>
    </row>
    <row r="10" spans="1:3" x14ac:dyDescent="0.25">
      <c r="A10" s="37" t="s">
        <v>251</v>
      </c>
      <c r="B10" s="37" t="s">
        <v>252</v>
      </c>
      <c r="C10" s="27">
        <v>30000</v>
      </c>
    </row>
    <row r="11" spans="1:3" x14ac:dyDescent="0.25">
      <c r="A11" s="36" t="s">
        <v>191</v>
      </c>
      <c r="B11" s="36" t="s">
        <v>253</v>
      </c>
      <c r="C11" s="26">
        <v>2000</v>
      </c>
    </row>
    <row r="12" spans="1:3" x14ac:dyDescent="0.25">
      <c r="A12" s="37" t="s">
        <v>254</v>
      </c>
      <c r="B12" s="37" t="s">
        <v>255</v>
      </c>
      <c r="C12" s="27">
        <v>1760</v>
      </c>
    </row>
    <row r="13" spans="1:3" x14ac:dyDescent="0.25">
      <c r="A13" s="36" t="s">
        <v>254</v>
      </c>
      <c r="B13" s="36" t="s">
        <v>256</v>
      </c>
      <c r="C13" s="26">
        <v>1320</v>
      </c>
    </row>
    <row r="14" spans="1:3" x14ac:dyDescent="0.25">
      <c r="A14" s="37" t="s">
        <v>254</v>
      </c>
      <c r="B14" s="37" t="s">
        <v>257</v>
      </c>
      <c r="C14" s="27">
        <v>-36</v>
      </c>
    </row>
    <row r="15" spans="1:3" x14ac:dyDescent="0.25">
      <c r="A15" s="36" t="s">
        <v>254</v>
      </c>
      <c r="B15" s="36" t="s">
        <v>258</v>
      </c>
      <c r="C15" s="26">
        <v>2640</v>
      </c>
    </row>
    <row r="16" spans="1:3" x14ac:dyDescent="0.25">
      <c r="A16" s="37" t="s">
        <v>254</v>
      </c>
      <c r="B16" s="37" t="s">
        <v>256</v>
      </c>
      <c r="C16" s="27">
        <v>1320</v>
      </c>
    </row>
    <row r="17" spans="1:3" x14ac:dyDescent="0.25">
      <c r="A17" s="36" t="s">
        <v>254</v>
      </c>
      <c r="B17" s="36" t="s">
        <v>259</v>
      </c>
      <c r="C17" s="26">
        <v>36</v>
      </c>
    </row>
    <row r="18" spans="1:3" x14ac:dyDescent="0.25">
      <c r="A18" s="36" t="s">
        <v>117</v>
      </c>
      <c r="B18" s="36" t="s">
        <v>260</v>
      </c>
      <c r="C18" s="26">
        <v>-762.75</v>
      </c>
    </row>
    <row r="19" spans="1:3" x14ac:dyDescent="0.25">
      <c r="A19" s="37" t="s">
        <v>117</v>
      </c>
      <c r="B19" s="37" t="s">
        <v>261</v>
      </c>
      <c r="C19" s="27">
        <v>-762.76</v>
      </c>
    </row>
    <row r="20" spans="1:3" x14ac:dyDescent="0.25">
      <c r="A20" s="36" t="s">
        <v>167</v>
      </c>
      <c r="B20" s="36" t="s">
        <v>262</v>
      </c>
      <c r="C20" s="26">
        <v>19673.29</v>
      </c>
    </row>
    <row r="21" spans="1:3" x14ac:dyDescent="0.25">
      <c r="A21" s="37" t="s">
        <v>189</v>
      </c>
      <c r="B21" s="37" t="s">
        <v>263</v>
      </c>
      <c r="C21" s="27">
        <v>-649.15</v>
      </c>
    </row>
    <row r="22" spans="1:3" x14ac:dyDescent="0.25">
      <c r="A22" s="36" t="s">
        <v>189</v>
      </c>
      <c r="B22" s="36" t="s">
        <v>264</v>
      </c>
      <c r="C22" s="26">
        <v>30000</v>
      </c>
    </row>
    <row r="23" spans="1:3" x14ac:dyDescent="0.25">
      <c r="A23" s="37" t="s">
        <v>192</v>
      </c>
      <c r="B23" s="37" t="s">
        <v>265</v>
      </c>
      <c r="C23" s="27">
        <v>5250</v>
      </c>
    </row>
    <row r="24" spans="1:3" x14ac:dyDescent="0.25">
      <c r="A24" s="36" t="s">
        <v>266</v>
      </c>
      <c r="B24" s="36" t="s">
        <v>267</v>
      </c>
      <c r="C24" s="26">
        <v>23826</v>
      </c>
    </row>
    <row r="25" spans="1:3" x14ac:dyDescent="0.25">
      <c r="A25" s="37" t="s">
        <v>268</v>
      </c>
      <c r="B25" s="37" t="s">
        <v>269</v>
      </c>
      <c r="C25" s="27">
        <v>27800</v>
      </c>
    </row>
    <row r="26" spans="1:3" x14ac:dyDescent="0.25">
      <c r="A26" s="42" t="s">
        <v>118</v>
      </c>
      <c r="B26" s="42" t="s">
        <v>270</v>
      </c>
      <c r="C26" s="43">
        <v>10034.99</v>
      </c>
    </row>
    <row r="27" spans="1:3" s="46" customFormat="1" x14ac:dyDescent="0.25">
      <c r="A27" s="44" t="s">
        <v>0</v>
      </c>
      <c r="B27" s="44"/>
      <c r="C27" s="45">
        <f>SUBTOTAL(109,Tabla5[Imp.cob.aplic.])</f>
        <v>200048.93</v>
      </c>
    </row>
    <row r="28" spans="1:3" x14ac:dyDescent="0.25">
      <c r="C28" s="3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EEDC-7472-4D16-BD2A-14AB48D1B34B}">
  <dimension ref="A1:C17"/>
  <sheetViews>
    <sheetView workbookViewId="0">
      <selection activeCell="D32" sqref="D32"/>
    </sheetView>
  </sheetViews>
  <sheetFormatPr baseColWidth="10" defaultRowHeight="15" x14ac:dyDescent="0.25"/>
  <cols>
    <col min="1" max="1" width="12" customWidth="1"/>
    <col min="2" max="2" width="62.140625" customWidth="1"/>
    <col min="3" max="3" width="13.140625" customWidth="1"/>
  </cols>
  <sheetData>
    <row r="1" spans="1:3" x14ac:dyDescent="0.25">
      <c r="A1" s="50" t="s">
        <v>329</v>
      </c>
      <c r="B1" s="50" t="s">
        <v>166</v>
      </c>
      <c r="C1" s="55" t="s">
        <v>330</v>
      </c>
    </row>
    <row r="2" spans="1:3" x14ac:dyDescent="0.25">
      <c r="A2" s="48" t="s">
        <v>190</v>
      </c>
      <c r="B2" s="48" t="s">
        <v>400</v>
      </c>
      <c r="C2" s="26">
        <v>5280</v>
      </c>
    </row>
    <row r="3" spans="1:3" x14ac:dyDescent="0.25">
      <c r="A3" s="49" t="s">
        <v>249</v>
      </c>
      <c r="B3" s="49" t="s">
        <v>401</v>
      </c>
      <c r="C3" s="27">
        <v>2640</v>
      </c>
    </row>
    <row r="4" spans="1:3" x14ac:dyDescent="0.25">
      <c r="A4" s="48" t="s">
        <v>249</v>
      </c>
      <c r="B4" s="48" t="s">
        <v>402</v>
      </c>
      <c r="C4" s="26">
        <v>2640</v>
      </c>
    </row>
    <row r="5" spans="1:3" x14ac:dyDescent="0.25">
      <c r="A5" s="49" t="s">
        <v>249</v>
      </c>
      <c r="B5" s="49" t="s">
        <v>403</v>
      </c>
      <c r="C5" s="27">
        <v>2640</v>
      </c>
    </row>
    <row r="6" spans="1:3" x14ac:dyDescent="0.25">
      <c r="A6" s="48" t="s">
        <v>249</v>
      </c>
      <c r="B6" s="48" t="s">
        <v>404</v>
      </c>
      <c r="C6" s="26">
        <v>2640</v>
      </c>
    </row>
    <row r="7" spans="1:3" x14ac:dyDescent="0.25">
      <c r="A7" s="49" t="s">
        <v>405</v>
      </c>
      <c r="B7" s="49" t="s">
        <v>406</v>
      </c>
      <c r="C7" s="27">
        <v>14000</v>
      </c>
    </row>
    <row r="8" spans="1:3" x14ac:dyDescent="0.25">
      <c r="A8" s="48" t="s">
        <v>407</v>
      </c>
      <c r="B8" s="48" t="s">
        <v>408</v>
      </c>
      <c r="C8" s="26">
        <v>1320</v>
      </c>
    </row>
    <row r="9" spans="1:3" x14ac:dyDescent="0.25">
      <c r="A9" s="49" t="s">
        <v>407</v>
      </c>
      <c r="B9" s="49" t="s">
        <v>409</v>
      </c>
      <c r="C9" s="27">
        <v>1320</v>
      </c>
    </row>
    <row r="10" spans="1:3" x14ac:dyDescent="0.25">
      <c r="A10" s="48" t="s">
        <v>407</v>
      </c>
      <c r="B10" s="48" t="s">
        <v>410</v>
      </c>
      <c r="C10" s="26">
        <v>2669.04</v>
      </c>
    </row>
    <row r="11" spans="1:3" x14ac:dyDescent="0.25">
      <c r="A11" s="49" t="s">
        <v>407</v>
      </c>
      <c r="B11" s="49" t="s">
        <v>411</v>
      </c>
      <c r="C11" s="27">
        <v>-20</v>
      </c>
    </row>
    <row r="12" spans="1:3" x14ac:dyDescent="0.25">
      <c r="A12" s="48" t="s">
        <v>407</v>
      </c>
      <c r="B12" s="48" t="s">
        <v>412</v>
      </c>
      <c r="C12" s="26">
        <v>60</v>
      </c>
    </row>
    <row r="13" spans="1:3" x14ac:dyDescent="0.25">
      <c r="A13" s="49" t="s">
        <v>407</v>
      </c>
      <c r="B13" s="49" t="s">
        <v>413</v>
      </c>
      <c r="C13" s="27">
        <v>1320</v>
      </c>
    </row>
    <row r="14" spans="1:3" x14ac:dyDescent="0.25">
      <c r="A14" s="48" t="s">
        <v>414</v>
      </c>
      <c r="B14" s="48" t="s">
        <v>415</v>
      </c>
      <c r="C14" s="26">
        <v>1760</v>
      </c>
    </row>
    <row r="15" spans="1:3" x14ac:dyDescent="0.25">
      <c r="A15" s="49" t="s">
        <v>189</v>
      </c>
      <c r="B15" s="49" t="s">
        <v>416</v>
      </c>
      <c r="C15" s="27">
        <v>-536.67999999999995</v>
      </c>
    </row>
    <row r="16" spans="1:3" x14ac:dyDescent="0.25">
      <c r="A16" s="56" t="s">
        <v>266</v>
      </c>
      <c r="B16" s="56" t="s">
        <v>417</v>
      </c>
      <c r="C16" s="43">
        <v>5676</v>
      </c>
    </row>
    <row r="17" spans="1:3" s="46" customFormat="1" x14ac:dyDescent="0.25">
      <c r="A17" s="57" t="s">
        <v>0</v>
      </c>
      <c r="B17" s="57"/>
      <c r="C17" s="45">
        <f>SUBTOTAL(109,Tabla6[Imp. aplic.])</f>
        <v>43408.36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1DEF-7BD1-47C0-927F-89D17EF1BD5B}">
  <dimension ref="A1:C25"/>
  <sheetViews>
    <sheetView workbookViewId="0">
      <selection activeCell="E23" sqref="E23"/>
    </sheetView>
  </sheetViews>
  <sheetFormatPr baseColWidth="10" defaultRowHeight="15" x14ac:dyDescent="0.25"/>
  <cols>
    <col min="1" max="1" width="18.28515625" customWidth="1"/>
    <col min="2" max="2" width="36.42578125" customWidth="1"/>
    <col min="3" max="3" width="17.85546875" customWidth="1"/>
  </cols>
  <sheetData>
    <row r="1" spans="1:3" x14ac:dyDescent="0.25">
      <c r="A1" s="69" t="s">
        <v>329</v>
      </c>
      <c r="B1" s="70" t="s">
        <v>166</v>
      </c>
      <c r="C1" s="70" t="s">
        <v>330</v>
      </c>
    </row>
    <row r="2" spans="1:3" x14ac:dyDescent="0.25">
      <c r="A2" s="71" t="s">
        <v>494</v>
      </c>
      <c r="B2" s="72" t="s">
        <v>495</v>
      </c>
      <c r="C2" s="73">
        <v>2662</v>
      </c>
    </row>
    <row r="3" spans="1:3" x14ac:dyDescent="0.25">
      <c r="A3" s="74" t="s">
        <v>249</v>
      </c>
      <c r="B3" s="75" t="s">
        <v>496</v>
      </c>
      <c r="C3" s="76">
        <v>2640</v>
      </c>
    </row>
    <row r="4" spans="1:3" x14ac:dyDescent="0.25">
      <c r="A4" s="71" t="s">
        <v>249</v>
      </c>
      <c r="B4" s="72" t="s">
        <v>497</v>
      </c>
      <c r="C4" s="73">
        <v>2640</v>
      </c>
    </row>
    <row r="5" spans="1:3" x14ac:dyDescent="0.25">
      <c r="A5" s="74" t="s">
        <v>249</v>
      </c>
      <c r="B5" s="75" t="s">
        <v>498</v>
      </c>
      <c r="C5" s="76">
        <v>2640</v>
      </c>
    </row>
    <row r="6" spans="1:3" x14ac:dyDescent="0.25">
      <c r="A6" s="71" t="s">
        <v>249</v>
      </c>
      <c r="B6" s="72" t="s">
        <v>499</v>
      </c>
      <c r="C6" s="73">
        <v>2640</v>
      </c>
    </row>
    <row r="7" spans="1:3" x14ac:dyDescent="0.25">
      <c r="A7" s="74" t="s">
        <v>500</v>
      </c>
      <c r="B7" s="75" t="s">
        <v>501</v>
      </c>
      <c r="C7" s="76">
        <v>10560</v>
      </c>
    </row>
    <row r="8" spans="1:3" x14ac:dyDescent="0.25">
      <c r="A8" s="71" t="s">
        <v>502</v>
      </c>
      <c r="B8" s="72" t="s">
        <v>503</v>
      </c>
      <c r="C8" s="73">
        <v>7480</v>
      </c>
    </row>
    <row r="9" spans="1:3" x14ac:dyDescent="0.25">
      <c r="A9" s="74" t="s">
        <v>504</v>
      </c>
      <c r="B9" s="75" t="s">
        <v>505</v>
      </c>
      <c r="C9" s="76">
        <v>1320</v>
      </c>
    </row>
    <row r="10" spans="1:3" x14ac:dyDescent="0.25">
      <c r="A10" s="71" t="s">
        <v>504</v>
      </c>
      <c r="B10" s="72" t="s">
        <v>505</v>
      </c>
      <c r="C10" s="73">
        <v>1320</v>
      </c>
    </row>
    <row r="11" spans="1:3" x14ac:dyDescent="0.25">
      <c r="A11" s="74" t="s">
        <v>504</v>
      </c>
      <c r="B11" s="75" t="s">
        <v>505</v>
      </c>
      <c r="C11" s="76">
        <v>4400</v>
      </c>
    </row>
    <row r="12" spans="1:3" x14ac:dyDescent="0.25">
      <c r="A12" s="71" t="s">
        <v>504</v>
      </c>
      <c r="B12" s="72" t="s">
        <v>506</v>
      </c>
      <c r="C12" s="73">
        <v>1320</v>
      </c>
    </row>
    <row r="13" spans="1:3" x14ac:dyDescent="0.25">
      <c r="A13" s="74" t="s">
        <v>504</v>
      </c>
      <c r="B13" s="75" t="s">
        <v>506</v>
      </c>
      <c r="C13" s="76">
        <v>2640</v>
      </c>
    </row>
    <row r="14" spans="1:3" x14ac:dyDescent="0.25">
      <c r="A14" s="71" t="s">
        <v>192</v>
      </c>
      <c r="B14" s="72" t="s">
        <v>507</v>
      </c>
      <c r="C14" s="73">
        <v>-4144.1000000000004</v>
      </c>
    </row>
    <row r="15" spans="1:3" x14ac:dyDescent="0.25">
      <c r="A15" s="74" t="s">
        <v>266</v>
      </c>
      <c r="B15" s="75" t="s">
        <v>508</v>
      </c>
      <c r="C15" s="76">
        <v>3498</v>
      </c>
    </row>
    <row r="16" spans="1:3" x14ac:dyDescent="0.25">
      <c r="A16" s="71" t="s">
        <v>266</v>
      </c>
      <c r="B16" s="72" t="s">
        <v>509</v>
      </c>
      <c r="C16" s="73">
        <v>67.900000000000006</v>
      </c>
    </row>
    <row r="17" spans="1:3" x14ac:dyDescent="0.25">
      <c r="A17" s="74" t="s">
        <v>510</v>
      </c>
      <c r="B17" s="75" t="s">
        <v>511</v>
      </c>
      <c r="C17" s="76">
        <v>2000</v>
      </c>
    </row>
    <row r="18" spans="1:3" x14ac:dyDescent="0.25">
      <c r="A18" s="71" t="s">
        <v>512</v>
      </c>
      <c r="B18" s="72" t="s">
        <v>513</v>
      </c>
      <c r="C18" s="73">
        <v>30000</v>
      </c>
    </row>
    <row r="19" spans="1:3" x14ac:dyDescent="0.25">
      <c r="A19" s="74" t="s">
        <v>512</v>
      </c>
      <c r="B19" s="75" t="s">
        <v>514</v>
      </c>
      <c r="C19" s="76">
        <v>-66.11</v>
      </c>
    </row>
    <row r="20" spans="1:3" x14ac:dyDescent="0.25">
      <c r="A20" s="71" t="s">
        <v>515</v>
      </c>
      <c r="B20" s="72" t="s">
        <v>516</v>
      </c>
      <c r="C20" s="73">
        <v>40000</v>
      </c>
    </row>
    <row r="21" spans="1:3" ht="15.75" thickBot="1" x14ac:dyDescent="0.3">
      <c r="A21" s="74" t="s">
        <v>515</v>
      </c>
      <c r="B21" s="75" t="s">
        <v>517</v>
      </c>
      <c r="C21" s="76">
        <v>-20810.34</v>
      </c>
    </row>
    <row r="22" spans="1:3" ht="15.75" thickTop="1" x14ac:dyDescent="0.25">
      <c r="A22" s="77" t="s">
        <v>0</v>
      </c>
      <c r="B22" s="78"/>
      <c r="C22" s="79">
        <v>92807.35</v>
      </c>
    </row>
    <row r="25" spans="1:3" x14ac:dyDescent="0.25">
      <c r="B25" s="58" t="s">
        <v>518</v>
      </c>
      <c r="C25" s="59">
        <f>C22+Tabla5[[#Totals],[Imp.cob.aplic.]]+Tabla6[[#Totals],[Imp. aplic.]]</f>
        <v>336264.64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1FC4-B130-48AA-8397-DAFE16CAB675}">
  <dimension ref="A1:C14"/>
  <sheetViews>
    <sheetView workbookViewId="0">
      <selection activeCell="B21" sqref="B21"/>
    </sheetView>
  </sheetViews>
  <sheetFormatPr baseColWidth="10" defaultRowHeight="15" x14ac:dyDescent="0.25"/>
  <cols>
    <col min="1" max="1" width="17" customWidth="1"/>
    <col min="2" max="2" width="83.28515625" customWidth="1"/>
    <col min="3" max="3" width="16" customWidth="1"/>
  </cols>
  <sheetData>
    <row r="1" spans="1:3" x14ac:dyDescent="0.25">
      <c r="A1" s="41" t="s">
        <v>165</v>
      </c>
      <c r="B1" s="41" t="s">
        <v>166</v>
      </c>
      <c r="C1" s="41" t="s">
        <v>188</v>
      </c>
    </row>
    <row r="2" spans="1:3" x14ac:dyDescent="0.25">
      <c r="A2" s="36" t="s">
        <v>119</v>
      </c>
      <c r="B2" s="36" t="s">
        <v>271</v>
      </c>
      <c r="C2" s="26">
        <v>46853.43</v>
      </c>
    </row>
    <row r="3" spans="1:3" x14ac:dyDescent="0.25">
      <c r="A3" s="37" t="s">
        <v>119</v>
      </c>
      <c r="B3" s="37" t="s">
        <v>272</v>
      </c>
      <c r="C3" s="27">
        <v>2837.16</v>
      </c>
    </row>
    <row r="4" spans="1:3" x14ac:dyDescent="0.25">
      <c r="A4" s="36" t="s">
        <v>119</v>
      </c>
      <c r="B4" s="36" t="s">
        <v>272</v>
      </c>
      <c r="C4" s="26">
        <v>44348.17</v>
      </c>
    </row>
    <row r="5" spans="1:3" x14ac:dyDescent="0.25">
      <c r="A5" s="37" t="s">
        <v>119</v>
      </c>
      <c r="B5" s="37" t="s">
        <v>273</v>
      </c>
      <c r="C5" s="27">
        <v>-19139.89</v>
      </c>
    </row>
    <row r="6" spans="1:3" x14ac:dyDescent="0.25">
      <c r="A6" s="36" t="s">
        <v>168</v>
      </c>
      <c r="B6" s="36" t="s">
        <v>274</v>
      </c>
      <c r="C6" s="26">
        <v>85756.07</v>
      </c>
    </row>
    <row r="7" spans="1:3" x14ac:dyDescent="0.25">
      <c r="A7" s="37" t="s">
        <v>168</v>
      </c>
      <c r="B7" s="37" t="s">
        <v>275</v>
      </c>
      <c r="C7" s="27">
        <v>-29072.5</v>
      </c>
    </row>
    <row r="8" spans="1:3" x14ac:dyDescent="0.25">
      <c r="A8" s="36" t="s">
        <v>168</v>
      </c>
      <c r="B8" s="36" t="s">
        <v>276</v>
      </c>
      <c r="C8" s="26">
        <v>211.57</v>
      </c>
    </row>
    <row r="9" spans="1:3" x14ac:dyDescent="0.25">
      <c r="A9" s="37" t="s">
        <v>168</v>
      </c>
      <c r="B9" s="37" t="s">
        <v>277</v>
      </c>
      <c r="C9" s="27">
        <v>2364.9</v>
      </c>
    </row>
    <row r="10" spans="1:3" x14ac:dyDescent="0.25">
      <c r="A10" s="42" t="s">
        <v>168</v>
      </c>
      <c r="B10" s="42" t="s">
        <v>276</v>
      </c>
      <c r="C10" s="43">
        <v>46705.51</v>
      </c>
    </row>
    <row r="11" spans="1:3" s="46" customFormat="1" x14ac:dyDescent="0.25">
      <c r="A11" s="44" t="s">
        <v>0</v>
      </c>
      <c r="B11" s="44"/>
      <c r="C11" s="45">
        <f>SUBTOTAL(109,Tabla1[Imp.cob.aplic.])</f>
        <v>180864.42</v>
      </c>
    </row>
    <row r="12" spans="1:3" x14ac:dyDescent="0.25">
      <c r="C12" s="38"/>
    </row>
    <row r="14" spans="1:3" x14ac:dyDescent="0.25">
      <c r="B14" s="4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F8EC-7F1C-4773-A2B1-3B84EFCC57BB}">
  <dimension ref="A1:C54"/>
  <sheetViews>
    <sheetView topLeftCell="A36" workbookViewId="0">
      <selection activeCell="B57" sqref="B57:C57"/>
    </sheetView>
  </sheetViews>
  <sheetFormatPr baseColWidth="10" defaultRowHeight="15" x14ac:dyDescent="0.25"/>
  <cols>
    <col min="1" max="1" width="17.85546875" customWidth="1"/>
    <col min="2" max="2" width="74.28515625" customWidth="1"/>
    <col min="3" max="3" width="15.7109375" customWidth="1"/>
  </cols>
  <sheetData>
    <row r="1" spans="1:3" x14ac:dyDescent="0.25">
      <c r="A1" s="50" t="s">
        <v>329</v>
      </c>
      <c r="B1" s="50" t="s">
        <v>166</v>
      </c>
      <c r="C1" s="50" t="s">
        <v>330</v>
      </c>
    </row>
    <row r="2" spans="1:3" x14ac:dyDescent="0.25">
      <c r="A2" s="48" t="s">
        <v>2</v>
      </c>
      <c r="B2" s="48" t="s">
        <v>331</v>
      </c>
      <c r="C2" s="26">
        <v>-0.02</v>
      </c>
    </row>
    <row r="3" spans="1:3" x14ac:dyDescent="0.25">
      <c r="A3" s="49" t="s">
        <v>2</v>
      </c>
      <c r="B3" s="49" t="s">
        <v>332</v>
      </c>
      <c r="C3" s="27">
        <v>-10.18</v>
      </c>
    </row>
    <row r="4" spans="1:3" x14ac:dyDescent="0.25">
      <c r="A4" s="48" t="s">
        <v>2</v>
      </c>
      <c r="B4" s="48" t="s">
        <v>333</v>
      </c>
      <c r="C4" s="26">
        <v>-43.96</v>
      </c>
    </row>
    <row r="5" spans="1:3" x14ac:dyDescent="0.25">
      <c r="A5" s="49" t="s">
        <v>119</v>
      </c>
      <c r="B5" s="49" t="s">
        <v>334</v>
      </c>
      <c r="C5" s="27">
        <v>1914.34</v>
      </c>
    </row>
    <row r="6" spans="1:3" x14ac:dyDescent="0.25">
      <c r="A6" s="48" t="s">
        <v>119</v>
      </c>
      <c r="B6" s="48" t="s">
        <v>334</v>
      </c>
      <c r="C6" s="26">
        <v>9568.92</v>
      </c>
    </row>
    <row r="7" spans="1:3" x14ac:dyDescent="0.25">
      <c r="A7" s="49" t="s">
        <v>119</v>
      </c>
      <c r="B7" s="49" t="s">
        <v>335</v>
      </c>
      <c r="C7" s="27">
        <v>8614.7199999999993</v>
      </c>
    </row>
    <row r="8" spans="1:3" x14ac:dyDescent="0.25">
      <c r="A8" s="48" t="s">
        <v>119</v>
      </c>
      <c r="B8" s="48" t="s">
        <v>336</v>
      </c>
      <c r="C8" s="26">
        <v>956.25</v>
      </c>
    </row>
    <row r="9" spans="1:3" x14ac:dyDescent="0.25">
      <c r="A9" s="49" t="s">
        <v>119</v>
      </c>
      <c r="B9" s="49" t="s">
        <v>337</v>
      </c>
      <c r="C9" s="27">
        <v>22376.77</v>
      </c>
    </row>
    <row r="10" spans="1:3" x14ac:dyDescent="0.25">
      <c r="A10" s="48" t="s">
        <v>119</v>
      </c>
      <c r="B10" s="48" t="s">
        <v>338</v>
      </c>
      <c r="C10" s="26">
        <v>772.72</v>
      </c>
    </row>
    <row r="11" spans="1:3" x14ac:dyDescent="0.25">
      <c r="A11" s="49" t="s">
        <v>119</v>
      </c>
      <c r="B11" s="49" t="s">
        <v>339</v>
      </c>
      <c r="C11" s="27">
        <v>711.14</v>
      </c>
    </row>
    <row r="12" spans="1:3" x14ac:dyDescent="0.25">
      <c r="A12" s="48" t="s">
        <v>119</v>
      </c>
      <c r="B12" s="48" t="s">
        <v>340</v>
      </c>
      <c r="C12" s="26">
        <v>749.99</v>
      </c>
    </row>
    <row r="13" spans="1:3" x14ac:dyDescent="0.25">
      <c r="A13" s="49" t="s">
        <v>119</v>
      </c>
      <c r="B13" s="49" t="s">
        <v>341</v>
      </c>
      <c r="C13" s="27">
        <v>12430.09</v>
      </c>
    </row>
    <row r="14" spans="1:3" x14ac:dyDescent="0.25">
      <c r="A14" s="48" t="s">
        <v>119</v>
      </c>
      <c r="B14" s="48" t="s">
        <v>342</v>
      </c>
      <c r="C14" s="26">
        <v>711.13</v>
      </c>
    </row>
    <row r="15" spans="1:3" x14ac:dyDescent="0.25">
      <c r="A15" s="49" t="s">
        <v>119</v>
      </c>
      <c r="B15" s="49" t="s">
        <v>343</v>
      </c>
      <c r="C15" s="27">
        <v>25816.720000000001</v>
      </c>
    </row>
    <row r="16" spans="1:3" x14ac:dyDescent="0.25">
      <c r="A16" s="48" t="s">
        <v>119</v>
      </c>
      <c r="B16" s="48" t="s">
        <v>344</v>
      </c>
      <c r="C16" s="26">
        <v>-25816.720000000001</v>
      </c>
    </row>
    <row r="17" spans="1:3" x14ac:dyDescent="0.25">
      <c r="A17" s="49" t="s">
        <v>119</v>
      </c>
      <c r="B17" s="49" t="s">
        <v>345</v>
      </c>
      <c r="C17" s="27">
        <v>749.98</v>
      </c>
    </row>
    <row r="18" spans="1:3" x14ac:dyDescent="0.25">
      <c r="A18" s="48" t="s">
        <v>119</v>
      </c>
      <c r="B18" s="48" t="s">
        <v>346</v>
      </c>
      <c r="C18" s="26">
        <v>-749.98</v>
      </c>
    </row>
    <row r="19" spans="1:3" x14ac:dyDescent="0.25">
      <c r="A19" s="49" t="s">
        <v>168</v>
      </c>
      <c r="B19" s="49" t="s">
        <v>347</v>
      </c>
      <c r="C19" s="27">
        <v>25716.65</v>
      </c>
    </row>
    <row r="20" spans="1:3" x14ac:dyDescent="0.25">
      <c r="A20" s="48" t="s">
        <v>168</v>
      </c>
      <c r="B20" s="48" t="s">
        <v>348</v>
      </c>
      <c r="C20" s="26">
        <v>3355.85</v>
      </c>
    </row>
    <row r="21" spans="1:3" x14ac:dyDescent="0.25">
      <c r="A21" s="49" t="s">
        <v>168</v>
      </c>
      <c r="B21" s="49" t="s">
        <v>349</v>
      </c>
      <c r="C21" s="27">
        <v>-2007.67</v>
      </c>
    </row>
    <row r="22" spans="1:3" x14ac:dyDescent="0.25">
      <c r="A22" s="48" t="s">
        <v>168</v>
      </c>
      <c r="B22" s="48" t="s">
        <v>350</v>
      </c>
      <c r="C22" s="26">
        <v>30977.82</v>
      </c>
    </row>
    <row r="23" spans="1:3" x14ac:dyDescent="0.25">
      <c r="A23" s="49" t="s">
        <v>168</v>
      </c>
      <c r="B23" s="49" t="s">
        <v>351</v>
      </c>
      <c r="C23" s="27">
        <v>227.6</v>
      </c>
    </row>
    <row r="24" spans="1:3" x14ac:dyDescent="0.25">
      <c r="A24" s="48" t="s">
        <v>168</v>
      </c>
      <c r="B24" s="48" t="s">
        <v>352</v>
      </c>
      <c r="C24" s="26">
        <v>16666.38</v>
      </c>
    </row>
    <row r="25" spans="1:3" x14ac:dyDescent="0.25">
      <c r="A25" s="49" t="s">
        <v>168</v>
      </c>
      <c r="B25" s="49" t="s">
        <v>353</v>
      </c>
      <c r="C25" s="27">
        <v>-16666.38</v>
      </c>
    </row>
    <row r="26" spans="1:3" x14ac:dyDescent="0.25">
      <c r="A26" s="48" t="s">
        <v>168</v>
      </c>
      <c r="B26" s="48" t="s">
        <v>354</v>
      </c>
      <c r="C26" s="26">
        <v>2407.63</v>
      </c>
    </row>
    <row r="27" spans="1:3" x14ac:dyDescent="0.25">
      <c r="A27" s="49" t="s">
        <v>355</v>
      </c>
      <c r="B27" s="49" t="s">
        <v>356</v>
      </c>
      <c r="C27" s="27">
        <v>1925.1</v>
      </c>
    </row>
    <row r="28" spans="1:3" x14ac:dyDescent="0.25">
      <c r="A28" s="48" t="s">
        <v>355</v>
      </c>
      <c r="B28" s="48" t="s">
        <v>357</v>
      </c>
      <c r="C28" s="26">
        <v>55.8</v>
      </c>
    </row>
    <row r="29" spans="1:3" x14ac:dyDescent="0.25">
      <c r="A29" s="49" t="s">
        <v>358</v>
      </c>
      <c r="B29" s="49" t="s">
        <v>359</v>
      </c>
      <c r="C29" s="27">
        <v>5614.88</v>
      </c>
    </row>
    <row r="30" spans="1:3" x14ac:dyDescent="0.25">
      <c r="A30" s="48" t="s">
        <v>358</v>
      </c>
      <c r="B30" s="48" t="s">
        <v>360</v>
      </c>
      <c r="C30" s="26">
        <v>162.75</v>
      </c>
    </row>
    <row r="31" spans="1:3" x14ac:dyDescent="0.25">
      <c r="A31" s="49" t="s">
        <v>361</v>
      </c>
      <c r="B31" s="49" t="s">
        <v>362</v>
      </c>
      <c r="C31" s="27">
        <v>4812.75</v>
      </c>
    </row>
    <row r="32" spans="1:3" x14ac:dyDescent="0.25">
      <c r="A32" s="48" t="s">
        <v>361</v>
      </c>
      <c r="B32" s="48" t="s">
        <v>363</v>
      </c>
      <c r="C32" s="26">
        <v>139.5</v>
      </c>
    </row>
    <row r="33" spans="1:3" x14ac:dyDescent="0.25">
      <c r="A33" s="49" t="s">
        <v>364</v>
      </c>
      <c r="B33" s="49" t="s">
        <v>365</v>
      </c>
      <c r="C33" s="27">
        <v>11229.75</v>
      </c>
    </row>
    <row r="34" spans="1:3" x14ac:dyDescent="0.25">
      <c r="A34" s="48" t="s">
        <v>364</v>
      </c>
      <c r="B34" s="48" t="s">
        <v>366</v>
      </c>
      <c r="C34" s="26">
        <v>325.5</v>
      </c>
    </row>
    <row r="35" spans="1:3" x14ac:dyDescent="0.25">
      <c r="A35" s="49" t="s">
        <v>367</v>
      </c>
      <c r="B35" s="49" t="s">
        <v>368</v>
      </c>
      <c r="C35" s="27">
        <v>3013.2</v>
      </c>
    </row>
    <row r="36" spans="1:3" x14ac:dyDescent="0.25">
      <c r="A36" s="48" t="s">
        <v>367</v>
      </c>
      <c r="B36" s="48" t="s">
        <v>369</v>
      </c>
      <c r="C36" s="26">
        <v>93</v>
      </c>
    </row>
    <row r="37" spans="1:3" x14ac:dyDescent="0.25">
      <c r="A37" s="49" t="s">
        <v>370</v>
      </c>
      <c r="B37" s="49" t="s">
        <v>371</v>
      </c>
      <c r="C37" s="27">
        <v>3013.2</v>
      </c>
    </row>
    <row r="38" spans="1:3" x14ac:dyDescent="0.25">
      <c r="A38" s="48" t="s">
        <v>370</v>
      </c>
      <c r="B38" s="48" t="s">
        <v>372</v>
      </c>
      <c r="C38" s="26">
        <v>93</v>
      </c>
    </row>
    <row r="39" spans="1:3" x14ac:dyDescent="0.25">
      <c r="A39" s="49" t="s">
        <v>373</v>
      </c>
      <c r="B39" s="49" t="s">
        <v>374</v>
      </c>
      <c r="C39" s="27">
        <v>6629.04</v>
      </c>
    </row>
    <row r="40" spans="1:3" x14ac:dyDescent="0.25">
      <c r="A40" s="48" t="s">
        <v>373</v>
      </c>
      <c r="B40" s="48" t="s">
        <v>375</v>
      </c>
      <c r="C40" s="26">
        <v>204.6</v>
      </c>
    </row>
    <row r="41" spans="1:3" x14ac:dyDescent="0.25">
      <c r="A41" s="49" t="s">
        <v>376</v>
      </c>
      <c r="B41" s="49" t="s">
        <v>377</v>
      </c>
      <c r="C41" s="27">
        <v>4519.8</v>
      </c>
    </row>
    <row r="42" spans="1:3" x14ac:dyDescent="0.25">
      <c r="A42" s="48" t="s">
        <v>376</v>
      </c>
      <c r="B42" s="48" t="s">
        <v>378</v>
      </c>
      <c r="C42" s="26">
        <v>139.5</v>
      </c>
    </row>
    <row r="43" spans="1:3" x14ac:dyDescent="0.25">
      <c r="A43" s="49" t="s">
        <v>379</v>
      </c>
      <c r="B43" s="49" t="s">
        <v>380</v>
      </c>
      <c r="C43" s="27">
        <v>5875.74</v>
      </c>
    </row>
    <row r="44" spans="1:3" x14ac:dyDescent="0.25">
      <c r="A44" s="48" t="s">
        <v>379</v>
      </c>
      <c r="B44" s="48" t="s">
        <v>381</v>
      </c>
      <c r="C44" s="26">
        <v>181.35</v>
      </c>
    </row>
    <row r="45" spans="1:3" x14ac:dyDescent="0.25">
      <c r="A45" s="49" t="s">
        <v>382</v>
      </c>
      <c r="B45" s="49" t="s">
        <v>383</v>
      </c>
      <c r="C45" s="27">
        <v>753.3</v>
      </c>
    </row>
    <row r="46" spans="1:3" x14ac:dyDescent="0.25">
      <c r="A46" s="48" t="s">
        <v>384</v>
      </c>
      <c r="B46" s="48" t="s">
        <v>385</v>
      </c>
      <c r="C46" s="26">
        <v>2197.12</v>
      </c>
    </row>
    <row r="47" spans="1:3" x14ac:dyDescent="0.25">
      <c r="A47" s="49" t="s">
        <v>386</v>
      </c>
      <c r="B47" s="49" t="s">
        <v>387</v>
      </c>
      <c r="C47" s="27">
        <v>1883.25</v>
      </c>
    </row>
    <row r="48" spans="1:3" x14ac:dyDescent="0.25">
      <c r="A48" s="48" t="s">
        <v>388</v>
      </c>
      <c r="B48" s="48" t="s">
        <v>389</v>
      </c>
      <c r="C48" s="26">
        <v>4394.25</v>
      </c>
    </row>
    <row r="49" spans="1:3" x14ac:dyDescent="0.25">
      <c r="A49" s="49" t="s">
        <v>390</v>
      </c>
      <c r="B49" s="49" t="s">
        <v>391</v>
      </c>
      <c r="C49" s="27">
        <v>1171.8</v>
      </c>
    </row>
    <row r="50" spans="1:3" x14ac:dyDescent="0.25">
      <c r="A50" s="48" t="s">
        <v>392</v>
      </c>
      <c r="B50" s="48" t="s">
        <v>393</v>
      </c>
      <c r="C50" s="26">
        <v>1171.8</v>
      </c>
    </row>
    <row r="51" spans="1:3" x14ac:dyDescent="0.25">
      <c r="A51" s="49" t="s">
        <v>394</v>
      </c>
      <c r="B51" s="49" t="s">
        <v>395</v>
      </c>
      <c r="C51" s="27">
        <v>2577.96</v>
      </c>
    </row>
    <row r="52" spans="1:3" x14ac:dyDescent="0.25">
      <c r="A52" s="48" t="s">
        <v>396</v>
      </c>
      <c r="B52" s="48" t="s">
        <v>397</v>
      </c>
      <c r="C52" s="26">
        <v>1757.7</v>
      </c>
    </row>
    <row r="53" spans="1:3" x14ac:dyDescent="0.25">
      <c r="A53" s="51" t="s">
        <v>398</v>
      </c>
      <c r="B53" s="51" t="s">
        <v>399</v>
      </c>
      <c r="C53" s="52">
        <v>2285.0100000000002</v>
      </c>
    </row>
    <row r="54" spans="1:3" x14ac:dyDescent="0.25">
      <c r="A54" s="53" t="s">
        <v>0</v>
      </c>
      <c r="B54" s="53"/>
      <c r="C54" s="54">
        <f>SUBTOTAL(109,Tabla2[Imp. aplic.])</f>
        <v>185650.44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47C6-9D4F-48D2-A0C4-0B072C25B0A2}">
  <dimension ref="A1:C28"/>
  <sheetViews>
    <sheetView tabSelected="1" workbookViewId="0">
      <selection activeCell="H13" sqref="H13"/>
    </sheetView>
  </sheetViews>
  <sheetFormatPr baseColWidth="10" defaultRowHeight="15" x14ac:dyDescent="0.25"/>
  <cols>
    <col min="1" max="1" width="20" customWidth="1"/>
    <col min="2" max="2" width="56.5703125" customWidth="1"/>
    <col min="3" max="3" width="21" customWidth="1"/>
  </cols>
  <sheetData>
    <row r="1" spans="1:3" x14ac:dyDescent="0.25">
      <c r="A1" s="69" t="s">
        <v>329</v>
      </c>
      <c r="B1" s="70" t="s">
        <v>166</v>
      </c>
      <c r="C1" s="81" t="s">
        <v>330</v>
      </c>
    </row>
    <row r="2" spans="1:3" x14ac:dyDescent="0.25">
      <c r="A2" s="71" t="s">
        <v>168</v>
      </c>
      <c r="B2" s="72" t="s">
        <v>519</v>
      </c>
      <c r="C2" s="73">
        <v>16435.810000000001</v>
      </c>
    </row>
    <row r="3" spans="1:3" x14ac:dyDescent="0.25">
      <c r="A3" s="74" t="s">
        <v>119</v>
      </c>
      <c r="B3" s="75" t="s">
        <v>520</v>
      </c>
      <c r="C3" s="76">
        <v>13386.34</v>
      </c>
    </row>
    <row r="4" spans="1:3" x14ac:dyDescent="0.25">
      <c r="A4" s="71" t="s">
        <v>119</v>
      </c>
      <c r="B4" s="72" t="s">
        <v>521</v>
      </c>
      <c r="C4" s="73">
        <v>612.45000000000005</v>
      </c>
    </row>
    <row r="5" spans="1:3" x14ac:dyDescent="0.25">
      <c r="A5" s="74" t="s">
        <v>119</v>
      </c>
      <c r="B5" s="75" t="s">
        <v>522</v>
      </c>
      <c r="C5" s="76">
        <v>-343.8</v>
      </c>
    </row>
    <row r="6" spans="1:3" x14ac:dyDescent="0.25">
      <c r="A6" s="71" t="s">
        <v>119</v>
      </c>
      <c r="B6" s="72" t="s">
        <v>523</v>
      </c>
      <c r="C6" s="73">
        <v>12430.38</v>
      </c>
    </row>
    <row r="7" spans="1:3" x14ac:dyDescent="0.25">
      <c r="A7" s="74" t="s">
        <v>119</v>
      </c>
      <c r="B7" s="75" t="s">
        <v>524</v>
      </c>
      <c r="C7" s="76">
        <v>2710.72</v>
      </c>
    </row>
    <row r="8" spans="1:3" x14ac:dyDescent="0.25">
      <c r="A8" s="71" t="s">
        <v>119</v>
      </c>
      <c r="B8" s="72" t="s">
        <v>525</v>
      </c>
      <c r="C8" s="73">
        <v>5214</v>
      </c>
    </row>
    <row r="9" spans="1:3" x14ac:dyDescent="0.25">
      <c r="A9" s="74" t="s">
        <v>168</v>
      </c>
      <c r="B9" s="75" t="s">
        <v>526</v>
      </c>
      <c r="C9" s="76">
        <v>29834.04</v>
      </c>
    </row>
    <row r="10" spans="1:3" x14ac:dyDescent="0.25">
      <c r="A10" s="71" t="s">
        <v>119</v>
      </c>
      <c r="B10" s="72" t="s">
        <v>527</v>
      </c>
      <c r="C10" s="73">
        <v>32828.06</v>
      </c>
    </row>
    <row r="11" spans="1:3" x14ac:dyDescent="0.25">
      <c r="A11" s="74" t="s">
        <v>119</v>
      </c>
      <c r="B11" s="75" t="s">
        <v>528</v>
      </c>
      <c r="C11" s="76">
        <v>9893.25</v>
      </c>
    </row>
    <row r="12" spans="1:3" x14ac:dyDescent="0.25">
      <c r="A12" s="71" t="s">
        <v>119</v>
      </c>
      <c r="B12" s="72" t="s">
        <v>529</v>
      </c>
      <c r="C12" s="73">
        <v>1500.4</v>
      </c>
    </row>
    <row r="13" spans="1:3" x14ac:dyDescent="0.25">
      <c r="A13" s="74" t="s">
        <v>119</v>
      </c>
      <c r="B13" s="75" t="s">
        <v>530</v>
      </c>
      <c r="C13" s="76">
        <v>-1596.62</v>
      </c>
    </row>
    <row r="14" spans="1:3" x14ac:dyDescent="0.25">
      <c r="A14" s="71" t="s">
        <v>119</v>
      </c>
      <c r="B14" s="72" t="s">
        <v>531</v>
      </c>
      <c r="C14" s="73">
        <v>749.98</v>
      </c>
    </row>
    <row r="15" spans="1:3" x14ac:dyDescent="0.25">
      <c r="A15" s="74" t="s">
        <v>168</v>
      </c>
      <c r="B15" s="75" t="s">
        <v>532</v>
      </c>
      <c r="C15" s="76">
        <v>9369.81</v>
      </c>
    </row>
    <row r="16" spans="1:3" x14ac:dyDescent="0.25">
      <c r="A16" s="71" t="s">
        <v>168</v>
      </c>
      <c r="B16" s="72" t="s">
        <v>533</v>
      </c>
      <c r="C16" s="73">
        <v>230.56</v>
      </c>
    </row>
    <row r="17" spans="1:3" x14ac:dyDescent="0.25">
      <c r="A17" s="74" t="s">
        <v>119</v>
      </c>
      <c r="B17" s="75" t="s">
        <v>534</v>
      </c>
      <c r="C17" s="76">
        <v>1713.1</v>
      </c>
    </row>
    <row r="18" spans="1:3" x14ac:dyDescent="0.25">
      <c r="A18" s="71" t="s">
        <v>119</v>
      </c>
      <c r="B18" s="72" t="s">
        <v>535</v>
      </c>
      <c r="C18" s="73">
        <v>1912.08</v>
      </c>
    </row>
    <row r="19" spans="1:3" x14ac:dyDescent="0.25">
      <c r="A19" s="74" t="s">
        <v>168</v>
      </c>
      <c r="B19" s="75" t="s">
        <v>536</v>
      </c>
      <c r="C19" s="76">
        <v>29640.639999999999</v>
      </c>
    </row>
    <row r="20" spans="1:3" x14ac:dyDescent="0.25">
      <c r="A20" s="71" t="s">
        <v>168</v>
      </c>
      <c r="B20" s="72" t="s">
        <v>536</v>
      </c>
      <c r="C20" s="73">
        <v>-29640.639999999999</v>
      </c>
    </row>
    <row r="21" spans="1:3" x14ac:dyDescent="0.25">
      <c r="A21" s="74" t="s">
        <v>119</v>
      </c>
      <c r="B21" s="75" t="s">
        <v>537</v>
      </c>
      <c r="C21" s="76">
        <v>26452.25</v>
      </c>
    </row>
    <row r="22" spans="1:3" x14ac:dyDescent="0.25">
      <c r="A22" s="71" t="s">
        <v>119</v>
      </c>
      <c r="B22" s="72" t="s">
        <v>537</v>
      </c>
      <c r="C22" s="73">
        <v>-26452.25</v>
      </c>
    </row>
    <row r="23" spans="1:3" x14ac:dyDescent="0.25">
      <c r="A23" s="74" t="s">
        <v>119</v>
      </c>
      <c r="B23" s="75" t="s">
        <v>538</v>
      </c>
      <c r="C23" s="76">
        <v>2724.79</v>
      </c>
    </row>
    <row r="24" spans="1:3" ht="15.75" thickBot="1" x14ac:dyDescent="0.3">
      <c r="A24" s="71" t="s">
        <v>119</v>
      </c>
      <c r="B24" s="72" t="s">
        <v>538</v>
      </c>
      <c r="C24" s="73">
        <v>-2724.79</v>
      </c>
    </row>
    <row r="25" spans="1:3" ht="15.75" thickTop="1" x14ac:dyDescent="0.25">
      <c r="A25" s="77" t="s">
        <v>0</v>
      </c>
      <c r="B25" s="78"/>
      <c r="C25" s="82">
        <v>136880.56</v>
      </c>
    </row>
    <row r="28" spans="1:3" x14ac:dyDescent="0.25">
      <c r="B28" s="83" t="s">
        <v>539</v>
      </c>
      <c r="C28" s="84">
        <f>C25+Tabla1[[#Totals],[Imp.cob.aplic.]]+Tabla2[[#Totals],[Imp. aplic.]]</f>
        <v>503395.42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2026-05-27T10:17:58Z</dcterms:modified>
</cp:coreProperties>
</file>