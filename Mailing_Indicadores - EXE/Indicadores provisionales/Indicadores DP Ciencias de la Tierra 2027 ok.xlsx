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B2BFEA86-A368-406E-A158-F80B1BB9B018}" xr6:coauthVersionLast="47" xr6:coauthVersionMax="47" xr10:uidLastSave="{00000000-0000-0000-0000-000000000000}"/>
  <bookViews>
    <workbookView xWindow="-120" yWindow="-120" windowWidth="29040" windowHeight="15720" tabRatio="729" activeTab="4" xr2:uid="{00000000-000D-0000-FFFF-FFFF00000000}"/>
  </bookViews>
  <sheets>
    <sheet name="Tesis" sheetId="5" r:id="rId1"/>
    <sheet name="Sexenios" sheetId="6" r:id="rId2"/>
    <sheet name="Ingresos investigación 2023" sheetId="14" r:id="rId3"/>
    <sheet name="Ingresos investigación 2024" sheetId="15" r:id="rId4"/>
    <sheet name="Ingresos investigación 2025" sheetId="16" r:id="rId5"/>
  </sheets>
  <definedNames>
    <definedName name="_xlnm._FilterDatabase" localSheetId="1" hidden="1">Sexenios!#REF!</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9" i="16" l="1"/>
  <c r="C31" i="15"/>
  <c r="C38" i="14"/>
  <c r="S22" i="6" l="1"/>
  <c r="S10" i="5" l="1"/>
</calcChain>
</file>

<file path=xl/sharedStrings.xml><?xml version="1.0" encoding="utf-8"?>
<sst xmlns="http://schemas.openxmlformats.org/spreadsheetml/2006/main" count="484" uniqueCount="295">
  <si>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</si>
  <si>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</si>
  <si>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</si>
  <si>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</si>
  <si>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</si>
  <si>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</si>
  <si>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</si>
  <si>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</si>
  <si>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</si>
  <si>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</si>
  <si>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</si>
  <si>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</si>
  <si>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</si>
  <si>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</si>
  <si>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</si>
  <si>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</si>
  <si>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</si>
  <si>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</si>
  <si>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</si>
  <si>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</si>
  <si>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</si>
  <si>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</si>
  <si>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</si>
  <si>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</si>
  <si>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10.16</t>
  </si>
  <si>
    <t>U022 </t>
  </si>
  <si>
    <t>ADM. FACULTAD DE CIENCIAS </t>
  </si>
  <si>
    <t>DOCTORADO EN CIENCIAS EXPERIMENTALES Y BIOSANITARIAS </t>
  </si>
  <si>
    <t>Director de tesis </t>
  </si>
  <si>
    <t>10.05</t>
  </si>
  <si>
    <t>10.20</t>
  </si>
  <si>
    <t>20</t>
  </si>
  <si>
    <t>B156 </t>
  </si>
  <si>
    <t>CIENCIAS DE LA TIERRA Y DEL MEDIO AMBIENTE </t>
  </si>
  <si>
    <t>B156</t>
  </si>
  <si>
    <t>52775828M </t>
  </si>
  <si>
    <t>24223730S </t>
  </si>
  <si>
    <t>NIF</t>
  </si>
  <si>
    <t>NOMBRE_COMPLETO</t>
  </si>
  <si>
    <t>TIPO_SEXENIO</t>
  </si>
  <si>
    <t>Total general</t>
  </si>
  <si>
    <t>INS
1</t>
  </si>
  <si>
    <t>DED
INS 1</t>
  </si>
  <si>
    <t>INS
2</t>
  </si>
  <si>
    <t>DED
INS 2</t>
  </si>
  <si>
    <t>DED
DEP</t>
  </si>
  <si>
    <t>SEX
INS 1</t>
  </si>
  <si>
    <t>SEX
INS 2</t>
  </si>
  <si>
    <t>SEX
DEP</t>
  </si>
  <si>
    <t>FUNCIONARIO</t>
  </si>
  <si>
    <t>NO FUNCIONARIO</t>
  </si>
  <si>
    <t>21998655Y</t>
  </si>
  <si>
    <t>21996111S</t>
  </si>
  <si>
    <t>21497202E</t>
  </si>
  <si>
    <t>52775828M</t>
  </si>
  <si>
    <t>02608919Y</t>
  </si>
  <si>
    <t>48350091C</t>
  </si>
  <si>
    <t>52552730F</t>
  </si>
  <si>
    <t>44554016A</t>
  </si>
  <si>
    <t>Y0357521T</t>
  </si>
  <si>
    <t>24223730S</t>
  </si>
  <si>
    <t>75879493D</t>
  </si>
  <si>
    <t>24161924X</t>
  </si>
  <si>
    <t>52736134D</t>
  </si>
  <si>
    <t>31.00.6P.00.14</t>
  </si>
  <si>
    <t>U066 </t>
  </si>
  <si>
    <t>ADM. I.U. FÍSICA APLICADA A LA CIENCIAS Y A LAS TECNOLOGIAS </t>
  </si>
  <si>
    <t>DOCTORADO EN FÍSICA APLICADA A LAS CIENCIAS Y LAS TECNOLOGÍAS </t>
  </si>
  <si>
    <t>Soler Llorens, Juan Luis </t>
  </si>
  <si>
    <t>DISEÑO, IMPLEMENTACIÓN Y VALIDACIÓN DE SISTEMAS DE ADQUISICIÓN DE DATOS SÍSMICOS BASADOS EN ARDUINO </t>
  </si>
  <si>
    <t>16/12/2019 </t>
  </si>
  <si>
    <t>21372721V </t>
  </si>
  <si>
    <t>COD DEP</t>
  </si>
  <si>
    <t>Cueto Mendoza, Nora Elida </t>
  </si>
  <si>
    <t>PRINCIPALES FACTORES DE CONTROL DE LAS PROPIEDADES DE TRANSPORTE DE FLUIDOS EN ROCAS CARBONÁTICAS MARINAS Y CONTINENTALES: ESTUDIO EXPERIMENTAL Y TEÓRICO INTEGRADO SOBRE LA RELACIÓN ENTRE LA PERMEABILIDAD Y LA CAPILARIDAD </t>
  </si>
  <si>
    <t>26/11/2020 </t>
  </si>
  <si>
    <t>Medina Cascales, Iván </t>
  </si>
  <si>
    <t>Geometry, kinematics and palaeoseismology of the Baza and Galera fault zones (Guadix-Baza Basin, Betic Cordillera) </t>
  </si>
  <si>
    <t>15/06/2021 </t>
  </si>
  <si>
    <t>75879493D </t>
  </si>
  <si>
    <t>Sáez Andreu, Marina </t>
  </si>
  <si>
    <t>¿Nonlinear analysis and global modeling of Karstic microclimates: Altamira and El Rull.¿ </t>
  </si>
  <si>
    <t>29/09/2021 </t>
  </si>
  <si>
    <t>31.00.6C.00.78</t>
  </si>
  <si>
    <t>31.00.6P.00.18</t>
  </si>
  <si>
    <t>48555813F</t>
  </si>
  <si>
    <t>50735095Q</t>
  </si>
  <si>
    <t>77705974Z</t>
  </si>
  <si>
    <t>Moliner Aznar, Santiago </t>
  </si>
  <si>
    <t>Caracterización y valorización del patrimonio geológico del área de Sierra Espuña (Cordillera Bética: SE, España). </t>
  </si>
  <si>
    <t>27/04/2022 </t>
  </si>
  <si>
    <t>Cód. org. aplic.</t>
  </si>
  <si>
    <t>Descripción justificante</t>
  </si>
  <si>
    <t>Imp.cob.aplic.</t>
  </si>
  <si>
    <t>31.00.6P.00.19</t>
  </si>
  <si>
    <t>31.00.6C.01.03</t>
  </si>
  <si>
    <t>31.00.6C.01.08</t>
  </si>
  <si>
    <t>CONVENIO ENTRE LA EXCMA. DIPUTACIÓN PROVINCIAL DE CASTELLÓN Y LA UNIVERSIDAD DE ALICANTE PARA EL CONTROL Y ESTUDIO DE LA SISMICIDAD DE LA PROVINCIA DE CASTELLÓN</t>
  </si>
  <si>
    <t>31.00.6P.00.21</t>
  </si>
  <si>
    <t>11467991F</t>
  </si>
  <si>
    <t>15º pago mensual (de 21 previstos) - OCTUBRE 2022. Según contrato "ANÁLISIS DE LA ACTIVIDAD SÍSMICA EN LA PRESA DE ENCISO". Imputación nº: PR20STDSM004. Pedido nº: AA / 121159</t>
  </si>
  <si>
    <t>S</t>
  </si>
  <si>
    <t>17º pago mensual (de 21 previstos) - DICIEMBRE 2022. Según contrato "ANÁLISIS DE LA ACTIVIDAD SÍSMICA EN LA PRESA DE ENCISO" Imputación nº: PR20STDSM004 Pedido nº: AA / 121159</t>
  </si>
  <si>
    <t>16º pago mensual (de 21 previstos) - NOVIEMBRE 2022. Según contrato "ANÁLISIS DE LA ACTIVIDAD SÍSMICA EN LA PRESA DE ENCISO". Imputación nº: PR20STDSM004. Pedido nº: AA / 121159</t>
  </si>
  <si>
    <t>Pago mensual MARZO 2023. Según contrato "ANÁLISIS DE LA ACTIVIDAD SÍSMICA EN LA PRESA DE ENCISO" Imputación nº: PR20STDSM004 Pedido nº: AA / 121159</t>
  </si>
  <si>
    <t>18º pago mensual (de 21 previstos) - ENERO 2023. Según contrato "ANÁLISIS DE LA ACTIVIDAD SÍSMICA EN LA PRESA DE ENCISO" Imputación nº: PR20STDSM004 Pedido nº: AA / 121159</t>
  </si>
  <si>
    <t>19º pago mensual (de 21 previstos) - FEBRERO 2023. Según contrato "ANÁLISIS DE LA ACTIVIDAD SÍSMICA EN LA PRESA DE ENCISO" Imputación nº: PR20STDSM004 Pedido nº: AA / 121159</t>
  </si>
  <si>
    <t>AV-SEM1-22I SUBV. DIRECTA A LA UNIVERSIDAD DE ALICANTE PARA INVESTIGACIÓN SÍSMICA</t>
  </si>
  <si>
    <t>CONVENIO ENTRE LA UA Y LA DIPUTACIÓN DE CASTELLÓN PARA LA FINANCIACIÓN DE LA COMPRA E INSTALACIÓN DE DOS ACELERÓMETROS EN LA PROVINCIA DE CASTELLÓN. ESTE INGRESO ES EL ANTICIPO DEL 50%.ANUALIDAD 2023.</t>
  </si>
  <si>
    <t>31.00.6C.01.23</t>
  </si>
  <si>
    <t>AYTOVILLENA2-22TPA.  REALIZACIÓN DE PROSPECCIONES GEOFÍSICAS EN LAS CALLES MENÉNDEZ PELAYO Y CERVANTES EN EL MUNICIPIO DE VILLENA</t>
  </si>
  <si>
    <t>31.00.6C.01.24</t>
  </si>
  <si>
    <t xml:space="preserve">1a Fra inicial, según contrato de asistencia técnica: ESTUDIO DE MUESTRAS DE MATERIALES GEOLÓGICOS, AGUA Y OTROS MATERIALES RELACIONADOS CON LA CONSTRUCCIÓN </t>
  </si>
  <si>
    <t>ESTUDIO DE MUESTRAS DE MATERIALES GEOLÓGICOS, AGUA Y OTROS MATERIALES RELACIONADOS CON LA CONSTRUCCIÓN Trabajo realizado desde el 07/01/2023 hasta el 20/10/2023</t>
  </si>
  <si>
    <t>31.00.6C.01.25</t>
  </si>
  <si>
    <t>- INFORME PERICIAL SOBRE EL ESTADO CUANTITATIVO DE LA MASA DE AGUA SUBTERRÁNEA 080.174 PEÑARRUBIA - INFORME PERICIAL SOBRE EL ESTADO CUANTITATIVO DE LA MASA DE AGUA SUBTERRÁNEA 080.160 VILLENA-BENEJAMA nº de pedido: 3201542986</t>
  </si>
  <si>
    <t>31.00.6C.01.26</t>
  </si>
  <si>
    <t>Caracterización con porosimetria de mercurio y picnometría de helio de 18 muestras cerámicas</t>
  </si>
  <si>
    <t>31.00.6C.01.27</t>
  </si>
  <si>
    <t>Realización, en el interior de un edificio, de medidas de la amplitud de la vibración generada por maquinaria en obras realizadas en el exterior del mismo. Se realizará un informe sobre los resultados obtenidos.</t>
  </si>
  <si>
    <t>31.00.6C.01.28</t>
  </si>
  <si>
    <t>- Análisis morfológicos de cenizas volcánicas mediante microscopio electrónico - Análisis geoquímicos de lixiviados de material piroclástico. Todas las muestras de piroclastos (tamaños lapilli y cenizas) provienen de la erupción del volcán Tajogaite (La Palma, 2021).  Subconcepto presupuestario del proyecto: 640.99.35 Proyecto MESVOL Monitorización, evaluación y seguimiento multidisciplinar de la erupción volcánica de La Palma - SD RD 1078/2021 LA PALMA</t>
  </si>
  <si>
    <t>31.00.6C.01.29</t>
  </si>
  <si>
    <t>Elaboración de láminas delgadas (pulido metalográfico) de material piroclástico procedente de la erupción de 2021 en la isla de La Palma. Subconcepto presupuestario del proyecto: 640.99.35. Proyecto MESVOL Monitorización, evaluación y seguimiento multidisciplinar de la erupción volcánica de La Palma - SD RD 1078/2021 LA PALMA</t>
  </si>
  <si>
    <t>31.00.6C.01.30</t>
  </si>
  <si>
    <t xml:space="preserve">Caracterización del sistema poroso con porosimetría de mercurio y piconometría de helio de 6 muestras arqueológicas · SR-2 · CCW-2 · SR-4 · CCW-3 · CCC-1 · CCW-4 </t>
  </si>
  <si>
    <t>31.00.6C.01.31</t>
  </si>
  <si>
    <t>Análisis de 7 zonas alteradas y de referencia de 6 muestras de metales utilizados en la construcción con microscopía electrónica de barrido y micro-fluorescencia de rayos X</t>
  </si>
  <si>
    <t>31.00.6C.01.32</t>
  </si>
  <si>
    <t>Realización de 20 láminas delgadas convencionales para estudio de rocas en el microscopio óptico. Proyecto PID2019-105625RB-C22</t>
  </si>
  <si>
    <t>31.00.6C.01.33</t>
  </si>
  <si>
    <t xml:space="preserve">RUTA GEOLODÍA, DESPLAZAMIENTOS, CARTELERÍA Y CUADERNOS EN EL TÉRMINO MUNICIPAL DE PILAR DE LA HORADADA 2023  </t>
  </si>
  <si>
    <t>31.00.6C.01.34</t>
  </si>
  <si>
    <t>Determinación de porosimetría en cerámicas</t>
  </si>
  <si>
    <t>31.00.6C.01.35</t>
  </si>
  <si>
    <t>Realizar el control de la sismicidad en un área de 25 km alrededor de la presa de Enciso (La Rioja) durante el mes de mayo de 2023.  Según su Imputación nº PR20STDSM0004 Se entregará un informe descriptivo de la actividad registrada durante este periodo de tiempo.</t>
  </si>
  <si>
    <t>31.00.6C.01.36</t>
  </si>
  <si>
    <t>Análisis de 5 muestras de metales utilizados en la construcción con microscopía electrónica de barrido y micro-fluorescencia de rayos X</t>
  </si>
  <si>
    <t>31.00.6C.01.37</t>
  </si>
  <si>
    <t>Caracterización del sistema poroso con porosimetría de mercurio y piconometría de helio de 3 muestras de mortero arqueológo · ARCO-1 · ARCO-2 · ARCO-3</t>
  </si>
  <si>
    <t>31.00.6C.01.38</t>
  </si>
  <si>
    <t>Caracterización de geoquímica de las aguas de lixiviación con ICP-MS y ICP-OES y de la superficie específica de los sólidos con adsorción de nitrógeno procedentes de minas. DETAILS Project, Grant Agreement ID: 101018312.</t>
  </si>
  <si>
    <t>DEVOLUCIÓN DE INGRESO_MODELO 069_P57496-RTI2018-100737-B-I00_EXPEDIENTE O REFERENCIA:  173-P57496-202212210097796</t>
  </si>
  <si>
    <t>Reintegro en voluntaria de la referencia RTI2018-100737-B-I00, anualidad: 2021</t>
  </si>
  <si>
    <t xml:space="preserve">PID2020-112540RB-C43/112611RB-I00/112930GB-I00/113343GB-I00/113472RB-I00/114381GB-I00/114517GB-I00/114896RB-I00/115140RB-I00/115735GB-I00  </t>
  </si>
  <si>
    <t>DEVOLUCIÓN DE INGRESOS_MODELO 047_Nº de liquidación: 46/2023/RAS/10200/1_Número de justificante: 047/1/002359944_Nº de referencia:047/1/002359944</t>
  </si>
  <si>
    <t xml:space="preserve">AICO/2021/184-189-192-196-331 </t>
  </si>
  <si>
    <t>31.00.6P.00.20</t>
  </si>
  <si>
    <t>COBRO DEL PROYECTO FCT-20-16272 UN VIAJE POR LA HISTORIA DE LA TIERRA</t>
  </si>
  <si>
    <t xml:space="preserve">PID2021-122320NA-I00/123699NB-I00/124741NB-I00/124860NB-I00/125387NB-I00/126485OB-I00/127332NB-I00/127566NB-I00/127967NB-I00 </t>
  </si>
  <si>
    <t>31.00.6P.00.22</t>
  </si>
  <si>
    <t xml:space="preserve">ayudas PID2022  138464NB-142516OB-139990NB-141382OB-137350NB-139899OB--136847NB-137385NB-139294NB-137873NA-138786NB-141712NB-136590OB-139105OB-142356NB-141694NB-136399NB  </t>
  </si>
  <si>
    <t>31.00.6Q.00.01</t>
  </si>
  <si>
    <t>INGRESO PARA LA CÁTEDRA DE RED SÍSMICA_CONCEPTO: BESTRETA ACORD COOPERACIO L ICV-UA SOSTE. GESTIÓN ECONÓMICA DE LA INVESTIGACIÓN INFORMA DE QUE A ESTE INGRESO NO SE LE APLICAN COSTES INDIRECTOS.</t>
  </si>
  <si>
    <t>INGRESO REFERENTE AL ACUERDO DE COOPERACIÓN ENTRE EL ICV-UA SOSTENIMENT.</t>
  </si>
  <si>
    <t>U022</t>
  </si>
  <si>
    <t>ADM. FACULTAD DE CIENCIAS</t>
  </si>
  <si>
    <t>DOCTORADO EN CIENCIAS EXPERIMENTALES Y BIOSANITARIAS</t>
  </si>
  <si>
    <t>Ruiz , María Candela</t>
  </si>
  <si>
    <t>Comportamiento espacial y migratorio de aves rapaces (Accipitridae y Falconidae) en el Paleártico Occidental</t>
  </si>
  <si>
    <t>05/07/2024</t>
  </si>
  <si>
    <t>Codirector de tesis</t>
  </si>
  <si>
    <t>CIENCIAS DE LA TIERRA Y DEL MEDIO AMBIENTE</t>
  </si>
  <si>
    <t>50</t>
  </si>
  <si>
    <t>10</t>
  </si>
  <si>
    <t>15416392K</t>
  </si>
  <si>
    <t>30</t>
  </si>
  <si>
    <t>AGENCIA VALENCIA DE SEGURIDAD Y RESPUESTAS A LAS EMERGENCIAS. R24/EM-UA/10. FAC 6000032442. PRESUP. S106000000. AV-SEM1-24T</t>
  </si>
  <si>
    <t>CONVENIO ENTRE LA UA Y LA DIPUTACIÓN DE CASTELLÓN PARA LA FINANCIACIÓN DE LA COMPRA E INSTALACIÓN DE DOS ACELERÓMETROS EN LA PROVINCIA DE CASTELLÓN_50%.ANUALIDAD 2023.</t>
  </si>
  <si>
    <t>ESTUDIO DE MUESTRAS DE MATERIALES GEOLÓGICOS, AGUA Y OTROS MATERIALES RELACIONADOS CON LA CONSTRUCCIÓN, TRABAJOS REALIZADOS DESDE 21/10/2023 HASTA EL 18/11/2024</t>
  </si>
  <si>
    <t>31.00.6C.01.39</t>
  </si>
  <si>
    <t>ESTUDIO DE UN FERTILIZANTE NITROGENADO AMONIACAL ENCAPSULADO</t>
  </si>
  <si>
    <t>31.00.6C.01.40</t>
  </si>
  <si>
    <t>Caracterización textural y cálculo de las propiedades de transporte de gases de suelos</t>
  </si>
  <si>
    <t>31.00.6C.01.41</t>
  </si>
  <si>
    <t>PETROGRAFÍA DE MATERIALES CONSTRUCTIVOS DEL CASTILLEJO DE MONTEAGUDO, QUE INCLUYE ELABORACIÓN DE LÁMINA DELGADA, ASÍ COMO LA IDENTIFICACIÓN DE SALES CON  DIFRACCIÓN DE RAYOS X Y MICROSCOPIA ELECTRÓNICA DE BARRIDO</t>
  </si>
  <si>
    <t>31.00.6C.01.42</t>
  </si>
  <si>
    <t>Realización de estudios petrográficos de morteros históricos</t>
  </si>
  <si>
    <t>31.00.6C.01.43</t>
  </si>
  <si>
    <t xml:space="preserve">Realización de cuatro estudios petrográficos de morteros históricos de restos arqueológicos de Baleares </t>
  </si>
  <si>
    <t>31.00.6C.01.44</t>
  </si>
  <si>
    <t>Realización de dos láminas delgadas y la descripción petrográfica de dos muestras una de granito y otra de corneana. Expediente: 2024004187</t>
  </si>
  <si>
    <t>31.00.6C.01.45</t>
  </si>
  <si>
    <t>Realización de 20 láminas delgadas con cubre y tinción de carbonatos al 25% REFERENCIA DE LAS MUESTRAS (láminas delgadas): BMx, CAx, HW3A, HW3B, HW2, HW1, CTF1, CTF2, CTF3, CTF4, CTF5A, CTF5B, CRR1, CRR2, CRR3, CRR4, CRR5, CRR6, CRR7, MCC3.</t>
  </si>
  <si>
    <t>31.00.6C.01.46</t>
  </si>
  <si>
    <t>Realización de 6 láminas delgadas con cubre y tinción de carbonatos al 25% Micronizado de 10 muestra y DRX</t>
  </si>
  <si>
    <t>31.00.6C.01.47</t>
  </si>
  <si>
    <t>Realización de 6 láminas delgadas con cubre y tinción de carbonatos al 25% Micronizado de 1 muestra y DRX</t>
  </si>
  <si>
    <t>31.00.6C.01.48</t>
  </si>
  <si>
    <t>Realización de la reinterpretación de la cartografía geológica y estudio geofísico en el entorno de la laguna de Salobrejo.</t>
  </si>
  <si>
    <t>31.00.6C.01.49</t>
  </si>
  <si>
    <t>Work developed as Associated Editor for the journal Engineering Geology  for the period from 1 March 2024 to 31 December 2024</t>
  </si>
  <si>
    <t>31.00.6C.01.50</t>
  </si>
  <si>
    <t>Asesoramiento geológico en estratigrafía y tectónica, mejoramiento de la cartografía de la zona del Túnel Alto de San Pedro, Murcia. Trabajos de campo para caracterización estratigráfica y estructura del sector de estudio (3 jornadas, dos personas) Trabajos de gabinete para análisis de datos de campo y reinterpretación de la cartografía y estructura geológica (3 jornadas, dos personas) Entrega de un informe de resultados</t>
  </si>
  <si>
    <t>31.00.6C.01.51</t>
  </si>
  <si>
    <t>Realización de tres láminas delgado-pulidas de muestras de granito para estudios petrográficos y de Microscopía Electrónica.</t>
  </si>
  <si>
    <t>31.00.6C.01.52</t>
  </si>
  <si>
    <t>Elaboración de itinerario geológico por el litoral del municipio de Teulada Moraira. Aplicación presupuestaria: 1723-61900 y nº RC: 22024/2641</t>
  </si>
  <si>
    <t>31.00.6C.01.53</t>
  </si>
  <si>
    <t>Realización de 26 láminas delgadas convencionales para estudio de rocas en el microscopio óptico. (EXPEDIENTE: OTROS GASTOS 17853)</t>
  </si>
  <si>
    <t>31.00.6C.01.54</t>
  </si>
  <si>
    <t>Análisis microestructural de siete morteros hidráulicos con porosimetría de mercurio y picnometría de helio</t>
  </si>
  <si>
    <t>31.00.6C.01.55</t>
  </si>
  <si>
    <t>Organización y realización por parte de la Universidad de Alicante de la edición 2024 de la actividad Geolodía, y elaboración de la guía de la ruta de 40 páginas.</t>
  </si>
  <si>
    <t>31.00.6C.01.56</t>
  </si>
  <si>
    <t>Análisis microestructural de rocas del Geoparque de Courel con porosimetría de mercurio y picnometría de helio</t>
  </si>
  <si>
    <t>31.00.6C.01.57</t>
  </si>
  <si>
    <t>Realización de 28 láminas delgadas con acabado de doble pulido sin cubrir. Elaboración de informe petrológico de todo el conjunto.</t>
  </si>
  <si>
    <t>31.00.6C.01.58</t>
  </si>
  <si>
    <t>Análisis microestructural de nueve morteros hidráulicos con porosimetría de mercurio y picnometría de helio</t>
  </si>
  <si>
    <t>DEVOLUCIÓN DE INGRESO_MODELO 047_SUBVENCIÓN AICO  ANUALIDAD_2023</t>
  </si>
  <si>
    <t>PID2021-126485OB-I00-126858NB-I00-126990NB-I00-127332NB-I00-127426OB-C22-127566NB-I00-127967NB-I00-127999NB-I00-128381NB-I00-128761OB-C21-128766OB-I00-128805NA-I00-128876OB-I00</t>
  </si>
  <si>
    <t>PID2022-138464NB-I00-142516OB-I00-139990NB-I00-141382OB-I00-139899OB-I00-136847NB-I00-137385NB-I00-139294NB-I00-137873NA-I00-138786NB-I00-136590OB-C43</t>
  </si>
  <si>
    <t>31.00.6P.00.24</t>
  </si>
  <si>
    <t>CIAICO/2023/134/178/179/203/250/255/266/268</t>
  </si>
  <si>
    <t>Cátedra de Red Sísmica  Cap 4 6000000270 / 2024</t>
  </si>
  <si>
    <t>Cátedra de Red Sísmica  Cap 7 6000000270 / 2024</t>
  </si>
  <si>
    <t>Org. aplic.</t>
  </si>
  <si>
    <t>Imp. aplic.</t>
  </si>
  <si>
    <t>U020</t>
  </si>
  <si>
    <t>Instituto Universitario Agua y Ciencias Ambientales (10.05)</t>
  </si>
  <si>
    <t>DOCTORADO EN AGUA Y DESARROLLO SOSTENIBLE</t>
  </si>
  <si>
    <t>Gana Urzúa, Blanca Elizabeth</t>
  </si>
  <si>
    <t>Estudio hidrogeológico e hidrogeoquímico de un acuífero costero detrítico de Chile Central y evaluación de su potencial uso en desalación</t>
  </si>
  <si>
    <t>14/04/2025</t>
  </si>
  <si>
    <t>Ciencias de la Tierra y del Medio Ambiente</t>
  </si>
  <si>
    <t>Administración Facultad de Ciencias</t>
  </si>
  <si>
    <t>Gil Oncina, Sara</t>
  </si>
  <si>
    <t>Factores ambientales condicionantes de la dinámica del radón: estudio de su potencial
geogénico en suelos</t>
  </si>
  <si>
    <t>09/01/2025</t>
  </si>
  <si>
    <t>2020</t>
  </si>
  <si>
    <t>2021</t>
  </si>
  <si>
    <t>2022</t>
  </si>
  <si>
    <t>2023</t>
  </si>
  <si>
    <t>2024</t>
  </si>
  <si>
    <t>2025</t>
  </si>
  <si>
    <t>Cañaveras Jiménez, Juan Carlos</t>
  </si>
  <si>
    <t>03876541Y</t>
  </si>
  <si>
    <t>Díez-Canseco Esteban, Davinia</t>
  </si>
  <si>
    <t>Blanco Quintero, Idael Francisco</t>
  </si>
  <si>
    <t>Medina Cascales, Iván</t>
  </si>
  <si>
    <t>Baeza Carratalá, José Francisco</t>
  </si>
  <si>
    <t>Andreu Rodes, José Miguel</t>
  </si>
  <si>
    <t>Alfaro García, Pedro</t>
  </si>
  <si>
    <t>Soria Mingorance, Jesús Miguel</t>
  </si>
  <si>
    <t>Martín Martín, Manuel</t>
  </si>
  <si>
    <t>Garmendia López, Idoia</t>
  </si>
  <si>
    <t>Corbí Sevila, Hugo Antonio</t>
  </si>
  <si>
    <t>Rodríguez Hernández, María del Carmen</t>
  </si>
  <si>
    <t>Cuevas González, Jaime</t>
  </si>
  <si>
    <t>Delgado Marchal, José</t>
  </si>
  <si>
    <t>Tent Manclús, José Enrique</t>
  </si>
  <si>
    <t>Benavente García, David</t>
  </si>
  <si>
    <t>Martín Rojas, Iván</t>
  </si>
  <si>
    <t>Pérez Valera, Fernando</t>
  </si>
  <si>
    <t>77705975S</t>
  </si>
  <si>
    <t>Pérez Valera, Juan Alberto</t>
  </si>
  <si>
    <t>Giannetti, Alice</t>
  </si>
  <si>
    <t>INGRESO PERCIBIDO POR LA UNIVERSIDAD DE ALICANTE EN VIRTUD DE CONVENIO PARA LA COMPRA DE DOS ACELERÓMETROS QUE SE INSTALARÁN EN LA PROVINCIA DE CASTELLÓN. EJERCICIO 2024</t>
  </si>
  <si>
    <t xml:space="preserve">ESTUDIO DE 55 MUESTRAS DE MATERIALES GEOLÓGICOS, AGUA Y OTROS MATERIALES RELACIONADOS CON LA CONSTRUCCIÓN </t>
  </si>
  <si>
    <t>Work developed as Associated Editor for the journal Engineering Geology for the period from 1 January 2025 to 31 December 2025</t>
  </si>
  <si>
    <t>31.00.6C.01.59</t>
  </si>
  <si>
    <t>Realización de láminas delgadas de 40 muestras de cerámicas arqueológicas para la caracterización de su microestructura correspondientes al Proyecto "Producir y Abastecer a la Nueva Capital Púnica del Mediterráneo Occidental: Contextualización y Caracterización Arqueométrica de Los Materiales Cerámicos de la Qart Hadasht de Iberia" financiado por la Fundación Séneca, Agencia de Ciencia y Tecnología de la Región de Murcia.</t>
  </si>
  <si>
    <t>31.00.6C.01.60</t>
  </si>
  <si>
    <t>CHARACTERISATION OF PORE WATERS, SOIL, AND SEDIMENTS. GEOCHEMICAL ANALYSIS OF PORE WATERS, INCLUDING PHYSICOCHEMICAL PROPERTIES AND MAJOR AND TRACE ION CONCENTRATIONS. SOIL AND SEDIMENT CHARACTERISATION COMPRISES SAMPLE PREPARATION, BET, GRAIN SIZE DISTRIBUTION, AND CHEMICAL ANALYSIS</t>
  </si>
  <si>
    <t>31.00.6C.01.61</t>
  </si>
  <si>
    <t>Descripción petrográfico de áridos, que incluye elaboración de láminas delgadas e informe petrográfico</t>
  </si>
  <si>
    <t>31.00.6C.01.62</t>
  </si>
  <si>
    <t>Análisis de muestras del Yacimiento Atalayuela (Madrid).</t>
  </si>
  <si>
    <t>31.00.6C.01.63</t>
  </si>
  <si>
    <t>Estudio petrográfico de material arqueológico, concretamente de morteros de decoración pictórica de alzados murarios proveniente de la ciudad romana de Carthago Nova.</t>
  </si>
  <si>
    <t>31.00.6C.01.65</t>
  </si>
  <si>
    <t>31.00.6C.01.66</t>
  </si>
  <si>
    <t>Preparación para estudio de microscopia de una lámina delgado-pulida de muestra de pizarra. Número de pedido: 2025014716</t>
  </si>
  <si>
    <t>31.00.6C.01.67</t>
  </si>
  <si>
    <t>Organización y desarrollo del Geolodía 2025 en el municipio de Teulada Moraira. Aplicación presupuestaria: 1723.22799 ; RC: 22025/3181.</t>
  </si>
  <si>
    <t>31.00.6C.01.68</t>
  </si>
  <si>
    <t>Preparación de 4 láminas delgado-pulidas de muestras de pizarra y granito para su estudio petrográfico y microscopia electrónica.  Número de pedido: 2025014710</t>
  </si>
  <si>
    <t>31.00.6C.01.69</t>
  </si>
  <si>
    <t>Proyecto NEVA2; UGA 0241 (Proyectos de Investigación)  Subconcepto presupuestario del proyecto 640.45.62 Elaboración de láminas delgadas (24 estándar y 24 de pulido metalográfico) de material volcánico. Proyecto NEVA2 (Ref.: ProID2024010012)</t>
  </si>
  <si>
    <t>31.00.6C.01.71</t>
  </si>
  <si>
    <t>Estudio de muestras geológicas procedentes del yacimiento arqueológico de Cova Foradada de la provincia de Valencia. proyecto: Estrategias de ocupación y gestión del territorio de las poblaciones neandertales en la zona central del mediterráneo ibérico (NeSubStra) (PID2021-122308NA-I00) - 2025SE10834CM</t>
  </si>
  <si>
    <t>31.00.6C.01.73</t>
  </si>
  <si>
    <t>Realización de láminas delgadas de 33 muestras de cerámicas arqueológicas para la caracterización de su microestructura Proyecto: Carthago Nova desde su entorno litoral. Paleotopografía y evolución medioambiental del sector central del sureste ibérico. Dinámica poblacional y productiva (HAR2017- 85726-C2-1-P),</t>
  </si>
  <si>
    <t>31.00.6C.01.74</t>
  </si>
  <si>
    <t>Estudio petrográfico de materiales rocosos de la cueva Merinel (Bugarra, Valencia)</t>
  </si>
  <si>
    <t>DEVOLUCIÓN DE INGRESOS_CARTA DE PAGO_REFERENCIA:PID2020-114381GB-I00, ANUALIDAD: 2021</t>
  </si>
  <si>
    <t xml:space="preserve">ayudas PID2021-122320NA-I00, PID2021-123699NB-I00, PID2021-124741NB-I00, PID2021-124860NB-I00,PID2021-125387NB-I00, PID2021-126485OB-I00, PID2021-127332NB-I00, PID2021-127566NB-I00, PID2021-127967NB-I00, </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</si>
  <si>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</si>
  <si>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 xml:space="preserve">Minoración parcial CIAICO/2023/178/179/203/250/255/266. </t>
  </si>
  <si>
    <t>31.00.6P.00.26</t>
  </si>
  <si>
    <t>PROGRAMA PROPIO DEL CENTRO DE GASTRONOMÍA DEL MEDITERRÁNEO (GASTERRA) UA_DENIA PARA EL FOMENTO DE LA I+D+I EN EL ÁMBITO DE LA GASTRONOMÍA 2025</t>
  </si>
  <si>
    <t>Acuerdo de cooperación entre la Universidad de Alicante y el Institut Cartogràfic Valencià, a través de la Cátedra de sismología y de geología de terremotos, para la realización de las actividades necesarias para consolidar la Red de Banda Ancha Valenciana</t>
  </si>
  <si>
    <t>Minoración "Acuerdo de cooperación entre la Universidad de Alicante y el Institut Cartogràfic Valencià, a través de la Cátedra de sismología y de geología de terremotos, para la realización de las actividades necesarias para consolidar la Red de Banda Ancha Valenciana" pues ICV reconoce a favor UA 59.406,82</t>
  </si>
  <si>
    <t>Total ingresos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</si>
</sst>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_-* #,##0.00\ _€_-;\-* #,##0.00\ _€_-;_-* &quot;-&quot;??\ _€_-;_-@_-"/>
  </numFmts>
  <fonts count="15"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11"/>
      <color theme="1"/>
      <name val="Calibri"/>
      <family val="2"/>
      <scheme val="minor"/>
    </font>
    <font>
      <b/>
      <sz val="10"/>
      <color theme="0"/>
      <name val="Arial"/>
      <family val="2"/>
    </font>
    <font>
      <sz val="8"/>
      <color rgb="FF000000"/>
      <name val="Arial"/>
      <family val="2"/>
    </font>
    <font>
      <b/>
      <sz val="11"/>
      <color theme="0"/>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FFFF"/>
        <bgColor indexed="64"/>
      </patternFill>
    </fill>
    <fill>
      <patternFill patternType="solid">
        <fgColor theme="0" tint="-0.34998626667073579"/>
        <bgColor indexed="64"/>
      </patternFill>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43" fontId="11" fillId="0" borderId="0" applyFont="0" applyFill="0" applyBorder="0" applyAlignment="0" applyProtection="0"/>
  </cellStyleXfs>
  <cellXfs count="69">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2" borderId="0" xfId="1" applyFill="1"/>
    <xf numFmtId="0" fontId="2" fillId="2" borderId="0" xfId="1" applyFill="1" applyAlignment="1">
      <alignment horizontal="right"/>
    </xf>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2" fillId="4" borderId="1" xfId="1" applyFill="1" applyBorder="1"/>
    <xf numFmtId="0" fontId="2" fillId="4" borderId="1" xfId="1" applyFill="1" applyBorder="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9" fillId="7" borderId="2" xfId="0" applyFont="1" applyFill="1" applyBorder="1"/>
    <xf numFmtId="0" fontId="9" fillId="0" borderId="2" xfId="0" applyFont="1" applyBorder="1"/>
    <xf numFmtId="0" fontId="2" fillId="4" borderId="3" xfId="1" applyFill="1" applyBorder="1"/>
    <xf numFmtId="165" fontId="2" fillId="4" borderId="3" xfId="1" applyNumberFormat="1" applyFill="1" applyBorder="1"/>
    <xf numFmtId="0" fontId="2" fillId="4" borderId="3" xfId="1" applyFill="1" applyBorder="1" applyAlignment="1">
      <alignment horizontal="right"/>
    </xf>
    <xf numFmtId="1" fontId="2" fillId="4" borderId="3" xfId="1" applyNumberFormat="1" applyFill="1" applyBorder="1"/>
    <xf numFmtId="164" fontId="2" fillId="4" borderId="3" xfId="1" applyNumberFormat="1" applyFill="1" applyBorder="1"/>
    <xf numFmtId="0" fontId="2" fillId="0" borderId="1" xfId="1" applyBorder="1"/>
    <xf numFmtId="0" fontId="2" fillId="4" borderId="4" xfId="1" applyFill="1" applyBorder="1"/>
    <xf numFmtId="0" fontId="13" fillId="8" borderId="1" xfId="0" applyFont="1" applyFill="1" applyBorder="1" applyAlignment="1">
      <alignment horizontal="left" vertical="center"/>
    </xf>
    <xf numFmtId="0" fontId="13" fillId="8" borderId="5" xfId="0" applyFont="1" applyFill="1" applyBorder="1" applyAlignment="1">
      <alignment horizontal="left" vertical="center"/>
    </xf>
    <xf numFmtId="0" fontId="13" fillId="8" borderId="6" xfId="0" applyFont="1" applyFill="1" applyBorder="1" applyAlignment="1">
      <alignment horizontal="left" vertical="center"/>
    </xf>
    <xf numFmtId="0" fontId="13" fillId="8" borderId="7" xfId="0" applyFont="1" applyFill="1" applyBorder="1" applyAlignment="1">
      <alignment horizontal="left" vertical="center"/>
    </xf>
    <xf numFmtId="43" fontId="6" fillId="7" borderId="2" xfId="6" applyFont="1" applyFill="1" applyBorder="1"/>
    <xf numFmtId="43" fontId="6" fillId="0" borderId="2" xfId="6" applyFont="1" applyBorder="1"/>
    <xf numFmtId="43" fontId="0" fillId="0" borderId="0" xfId="0" applyNumberFormat="1"/>
    <xf numFmtId="0" fontId="9" fillId="9" borderId="0" xfId="5" applyFont="1" applyFill="1"/>
    <xf numFmtId="0" fontId="9" fillId="9" borderId="0" xfId="5" applyFont="1" applyFill="1" applyAlignment="1">
      <alignment horizontal="right"/>
    </xf>
    <xf numFmtId="0" fontId="10" fillId="9" borderId="0" xfId="5" applyFont="1" applyFill="1"/>
    <xf numFmtId="0" fontId="9" fillId="0" borderId="1" xfId="5" applyFont="1" applyBorder="1"/>
    <xf numFmtId="0" fontId="9" fillId="0" borderId="1" xfId="5" applyFont="1" applyBorder="1" applyAlignment="1">
      <alignment horizontal="right"/>
    </xf>
    <xf numFmtId="164" fontId="3" fillId="2" borderId="0" xfId="1" applyNumberFormat="1" applyFont="1" applyFill="1"/>
    <xf numFmtId="43" fontId="6" fillId="0" borderId="9" xfId="6" applyFont="1" applyBorder="1"/>
    <xf numFmtId="0" fontId="9" fillId="0" borderId="9" xfId="0" applyFont="1" applyBorder="1"/>
    <xf numFmtId="43" fontId="6" fillId="0" borderId="9" xfId="0" applyNumberFormat="1" applyFont="1" applyBorder="1"/>
    <xf numFmtId="0" fontId="12" fillId="6" borderId="8" xfId="0" applyFont="1" applyFill="1" applyBorder="1"/>
    <xf numFmtId="0" fontId="0" fillId="7" borderId="2" xfId="0" applyNumberFormat="1" applyFont="1" applyFill="1" applyBorder="1"/>
    <xf numFmtId="43" fontId="0" fillId="7" borderId="2" xfId="6" applyNumberFormat="1" applyFont="1" applyFill="1" applyBorder="1"/>
    <xf numFmtId="0" fontId="0" fillId="0" borderId="2" xfId="0" applyNumberFormat="1" applyFont="1" applyBorder="1"/>
    <xf numFmtId="43" fontId="0" fillId="0" borderId="2" xfId="6" applyNumberFormat="1" applyFont="1" applyBorder="1"/>
    <xf numFmtId="0" fontId="0" fillId="7" borderId="9" xfId="0" applyNumberFormat="1" applyFont="1" applyFill="1" applyBorder="1"/>
    <xf numFmtId="43" fontId="0" fillId="7" borderId="9" xfId="6" applyNumberFormat="1" applyFont="1" applyFill="1" applyBorder="1"/>
    <xf numFmtId="0" fontId="14" fillId="6" borderId="8" xfId="0" applyFont="1" applyFill="1" applyBorder="1"/>
    <xf numFmtId="43" fontId="14" fillId="6" borderId="8" xfId="6" applyNumberFormat="1" applyFont="1" applyFill="1" applyBorder="1"/>
    <xf numFmtId="0" fontId="0" fillId="7" borderId="9" xfId="0" applyFont="1" applyFill="1" applyBorder="1"/>
    <xf numFmtId="43" fontId="11" fillId="7" borderId="9" xfId="0" applyNumberFormat="1" applyFont="1" applyFill="1" applyBorder="1"/>
    <xf numFmtId="0" fontId="12" fillId="10" borderId="10" xfId="0" applyFont="1" applyFill="1" applyBorder="1"/>
    <xf numFmtId="0" fontId="12" fillId="10" borderId="11" xfId="0" applyFont="1" applyFill="1" applyBorder="1"/>
    <xf numFmtId="0" fontId="9" fillId="11" borderId="10" xfId="0" applyFont="1" applyFill="1" applyBorder="1"/>
    <xf numFmtId="0" fontId="9" fillId="11" borderId="11" xfId="0" applyFont="1" applyFill="1" applyBorder="1"/>
    <xf numFmtId="166" fontId="9" fillId="11" borderId="11" xfId="6" applyNumberFormat="1" applyFont="1" applyFill="1" applyBorder="1"/>
    <xf numFmtId="0" fontId="9" fillId="0" borderId="10" xfId="0" applyFont="1" applyBorder="1"/>
    <xf numFmtId="0" fontId="9" fillId="0" borderId="11" xfId="0" applyFont="1" applyBorder="1"/>
    <xf numFmtId="166" fontId="9" fillId="0" borderId="11" xfId="6" applyNumberFormat="1" applyFont="1" applyBorder="1"/>
    <xf numFmtId="0" fontId="10" fillId="0" borderId="12" xfId="0" applyFont="1" applyBorder="1"/>
    <xf numFmtId="0" fontId="10" fillId="0" borderId="13" xfId="0" applyFont="1" applyBorder="1"/>
    <xf numFmtId="166" fontId="10" fillId="0" borderId="13" xfId="6" applyNumberFormat="1" applyFont="1" applyBorder="1"/>
    <xf numFmtId="4" fontId="10" fillId="0" borderId="1" xfId="0" applyNumberFormat="1" applyFont="1" applyBorder="1"/>
    <xf numFmtId="0" fontId="10" fillId="0" borderId="1" xfId="0" applyFont="1" applyBorder="1" applyAlignment="1">
      <alignment horizontal="left"/>
    </xf>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19">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0"/>
        <color auto="1"/>
        <name val="Arial"/>
        <family val="2"/>
        <scheme val="none"/>
      </font>
      <border diagonalUp="0" diagonalDown="0" outline="0">
        <left/>
        <right/>
        <top/>
        <bottom/>
      </border>
    </dxf>
    <dxf>
      <font>
        <b val="0"/>
        <i val="0"/>
        <strike val="0"/>
        <condense val="0"/>
        <extend val="0"/>
        <outline val="0"/>
        <shadow val="0"/>
        <u val="none"/>
        <vertAlign val="baseline"/>
        <sz val="10"/>
        <color auto="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border diagonalUp="0" diagonalDown="0" outline="0">
        <left/>
        <right/>
        <top/>
        <bottom/>
      </border>
    </dxf>
    <dxf>
      <font>
        <b val="0"/>
        <i val="0"/>
        <strike val="0"/>
        <condense val="0"/>
        <extend val="0"/>
        <outline val="0"/>
        <shadow val="0"/>
        <u val="none"/>
        <vertAlign val="baseline"/>
        <sz val="10"/>
        <color theme="1"/>
        <name val="Arial"/>
        <family val="2"/>
        <scheme val="none"/>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4C1106-120D-4B58-B6A2-BFED2883EDDA}" name="Tabla2" displayName="Tabla2" ref="A1:C38" totalsRowCount="1" headerRowDxfId="18" headerRowBorderDxfId="17" tableBorderDxfId="16" totalsRowBorderDxfId="15">
  <autoFilter ref="A1:C37" xr:uid="{F61D7B94-CC06-4B9B-8783-90F08ABA7562}"/>
  <tableColumns count="3">
    <tableColumn id="1" xr3:uid="{89B8E0C0-F367-43E8-9ADF-CBA894085D31}" name="Cód. org. aplic." totalsRowLabel="Total" dataDxfId="14" totalsRowDxfId="13"/>
    <tableColumn id="2" xr3:uid="{AF1022DE-6285-4A3C-A6C5-123CF7B9124A}" name="Descripción justificante" dataDxfId="12" totalsRowDxfId="11"/>
    <tableColumn id="3" xr3:uid="{C6D4889F-6707-42C8-84D8-90E0F45C85ED}"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7FA74E-A96E-43C7-B9CC-D9FDB556346A}" name="Tabla4" displayName="Tabla4" ref="A1:C31" totalsRowCount="1" headerRowBorderDxfId="8" tableBorderDxfId="7" totalsRowBorderDxfId="6">
  <autoFilter ref="A1:C30" xr:uid="{E848BA4C-3D29-45A4-9510-CACC24BE2363}"/>
  <tableColumns count="3">
    <tableColumn id="1" xr3:uid="{079624A0-E89F-4B37-9663-F4C3ED7B0F35}" name="Org. aplic." totalsRowLabel="Total" dataDxfId="5" totalsRowDxfId="4"/>
    <tableColumn id="2" xr3:uid="{169D6A9C-9983-4EF8-8D8B-A11DA207FA1C}" name="Descripción justificante" dataDxfId="3" totalsRowDxfId="2"/>
    <tableColumn id="3" xr3:uid="{D087E30E-A625-40B1-94DE-9B8CBF512096}"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0"/>
  <sheetViews>
    <sheetView showGridLines="0" zoomScaleNormal="100" workbookViewId="0">
      <pane xSplit="1" ySplit="1" topLeftCell="D2" activePane="bottomRight" state="frozen"/>
      <selection pane="topRight" activeCell="B1" sqref="B1"/>
      <selection pane="bottomLeft" activeCell="A2" sqref="A2"/>
      <selection pane="bottomRight" activeCell="R19" sqref="R19"/>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4.42578125" style="6" customWidth="1"/>
    <col min="14" max="14" width="4.85546875" style="6" customWidth="1"/>
    <col min="15" max="15" width="4.85546875" style="9" customWidth="1"/>
    <col min="16" max="16" width="4.85546875" style="6" customWidth="1"/>
    <col min="17" max="17" width="3.5703125" style="9" customWidth="1"/>
    <col min="18" max="18" width="7.42578125" style="6" bestFit="1" customWidth="1"/>
    <col min="19" max="21" width="5.140625" style="6" customWidth="1"/>
    <col min="22" max="16384" width="10.28515625" style="6"/>
  </cols>
  <sheetData>
    <row r="1" spans="1:22" ht="45"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2" x14ac:dyDescent="0.2">
      <c r="A2" s="22" t="s">
        <v>65</v>
      </c>
      <c r="B2" s="22" t="s">
        <v>66</v>
      </c>
      <c r="C2" s="22" t="s">
        <v>67</v>
      </c>
      <c r="D2" s="22" t="s">
        <v>68</v>
      </c>
      <c r="E2" s="22" t="s">
        <v>69</v>
      </c>
      <c r="F2" s="22" t="s">
        <v>70</v>
      </c>
      <c r="G2" s="22" t="s">
        <v>71</v>
      </c>
      <c r="H2" s="22" t="s">
        <v>22</v>
      </c>
      <c r="I2" s="22" t="s">
        <v>32</v>
      </c>
      <c r="J2" s="22" t="s">
        <v>33</v>
      </c>
      <c r="K2" s="23">
        <v>0.5</v>
      </c>
      <c r="L2" s="22" t="s">
        <v>34</v>
      </c>
      <c r="M2" s="22">
        <v>2019</v>
      </c>
      <c r="N2" s="22" t="s">
        <v>30</v>
      </c>
      <c r="O2" s="24" t="s">
        <v>31</v>
      </c>
      <c r="P2" s="22" t="s">
        <v>23</v>
      </c>
      <c r="Q2" s="24" t="s">
        <v>23</v>
      </c>
      <c r="R2" s="25">
        <v>80</v>
      </c>
      <c r="S2" s="26">
        <v>0.4</v>
      </c>
      <c r="T2" s="26">
        <v>0.1</v>
      </c>
      <c r="U2" s="26">
        <v>0</v>
      </c>
    </row>
    <row r="3" spans="1:22" ht="12" thickBot="1" x14ac:dyDescent="0.25">
      <c r="A3" s="15" t="s">
        <v>25</v>
      </c>
      <c r="B3" s="15" t="s">
        <v>26</v>
      </c>
      <c r="C3" s="15" t="s">
        <v>27</v>
      </c>
      <c r="D3" s="15" t="s">
        <v>73</v>
      </c>
      <c r="E3" s="15" t="s">
        <v>74</v>
      </c>
      <c r="F3" s="15" t="s">
        <v>75</v>
      </c>
      <c r="G3" s="15" t="s">
        <v>35</v>
      </c>
      <c r="H3" s="15" t="s">
        <v>22</v>
      </c>
      <c r="I3" s="15" t="s">
        <v>32</v>
      </c>
      <c r="J3" s="15" t="s">
        <v>33</v>
      </c>
      <c r="K3" s="27">
        <v>0.5</v>
      </c>
      <c r="L3" s="27" t="s">
        <v>34</v>
      </c>
      <c r="M3" s="28">
        <v>2019</v>
      </c>
      <c r="N3" s="15" t="s">
        <v>23</v>
      </c>
      <c r="O3" s="16" t="s">
        <v>23</v>
      </c>
      <c r="P3" s="15" t="s">
        <v>23</v>
      </c>
      <c r="Q3" s="16" t="s">
        <v>23</v>
      </c>
      <c r="R3" s="15">
        <v>100</v>
      </c>
      <c r="S3" s="15">
        <v>0.5</v>
      </c>
      <c r="T3" s="15">
        <v>0</v>
      </c>
      <c r="U3" s="15">
        <v>0</v>
      </c>
    </row>
    <row r="4" spans="1:22" ht="12" thickBot="1" x14ac:dyDescent="0.25">
      <c r="A4" s="29" t="s">
        <v>25</v>
      </c>
      <c r="B4" s="29" t="s">
        <v>26</v>
      </c>
      <c r="C4" s="29" t="s">
        <v>27</v>
      </c>
      <c r="D4" s="29" t="s">
        <v>76</v>
      </c>
      <c r="E4" s="29" t="s">
        <v>77</v>
      </c>
      <c r="F4" s="29" t="s">
        <v>78</v>
      </c>
      <c r="G4" s="30" t="s">
        <v>79</v>
      </c>
      <c r="H4" s="31" t="s">
        <v>22</v>
      </c>
      <c r="I4" s="31" t="s">
        <v>32</v>
      </c>
      <c r="J4" s="32" t="s">
        <v>33</v>
      </c>
      <c r="K4" s="27">
        <v>0.5</v>
      </c>
      <c r="L4" s="27" t="s">
        <v>34</v>
      </c>
      <c r="M4" s="15">
        <v>2020</v>
      </c>
      <c r="N4" s="15" t="s">
        <v>23</v>
      </c>
      <c r="O4" s="16" t="s">
        <v>23</v>
      </c>
      <c r="P4" s="15" t="s">
        <v>23</v>
      </c>
      <c r="Q4" s="16" t="s">
        <v>23</v>
      </c>
      <c r="R4" s="15">
        <v>100</v>
      </c>
      <c r="S4" s="15">
        <v>0.5</v>
      </c>
      <c r="T4" s="15">
        <v>0</v>
      </c>
      <c r="U4" s="15">
        <v>0</v>
      </c>
    </row>
    <row r="5" spans="1:22" ht="12" thickBot="1" x14ac:dyDescent="0.25">
      <c r="A5" s="29" t="s">
        <v>25</v>
      </c>
      <c r="B5" s="29" t="s">
        <v>26</v>
      </c>
      <c r="C5" s="29" t="s">
        <v>27</v>
      </c>
      <c r="D5" s="29" t="s">
        <v>80</v>
      </c>
      <c r="E5" s="29" t="s">
        <v>81</v>
      </c>
      <c r="F5" s="29" t="s">
        <v>82</v>
      </c>
      <c r="G5" s="30" t="s">
        <v>35</v>
      </c>
      <c r="H5" s="31" t="s">
        <v>22</v>
      </c>
      <c r="I5" s="31" t="s">
        <v>32</v>
      </c>
      <c r="J5" s="32" t="s">
        <v>33</v>
      </c>
      <c r="K5" s="27">
        <v>0.5</v>
      </c>
      <c r="L5" s="27" t="s">
        <v>34</v>
      </c>
      <c r="M5" s="15">
        <v>2020</v>
      </c>
      <c r="N5" s="15" t="s">
        <v>23</v>
      </c>
      <c r="O5" s="16" t="s">
        <v>23</v>
      </c>
      <c r="P5" s="15" t="s">
        <v>23</v>
      </c>
      <c r="Q5" s="16" t="s">
        <v>23</v>
      </c>
      <c r="R5" s="15">
        <v>100</v>
      </c>
      <c r="S5" s="15">
        <v>0.5</v>
      </c>
      <c r="T5" s="15">
        <v>0</v>
      </c>
      <c r="U5" s="15">
        <v>0</v>
      </c>
    </row>
    <row r="6" spans="1:22" ht="12" thickBot="1" x14ac:dyDescent="0.25">
      <c r="A6" s="29" t="s">
        <v>25</v>
      </c>
      <c r="B6" s="29" t="s">
        <v>26</v>
      </c>
      <c r="C6" s="29" t="s">
        <v>27</v>
      </c>
      <c r="D6" s="29" t="s">
        <v>88</v>
      </c>
      <c r="E6" s="29" t="s">
        <v>89</v>
      </c>
      <c r="F6" s="29" t="s">
        <v>90</v>
      </c>
      <c r="G6" s="30" t="s">
        <v>36</v>
      </c>
      <c r="H6" s="31" t="s">
        <v>28</v>
      </c>
      <c r="I6" s="31" t="s">
        <v>32</v>
      </c>
      <c r="J6" s="32" t="s">
        <v>33</v>
      </c>
      <c r="K6" s="27">
        <v>1</v>
      </c>
      <c r="L6" s="27" t="s">
        <v>34</v>
      </c>
      <c r="M6" s="15">
        <v>2021</v>
      </c>
      <c r="N6" s="15" t="s">
        <v>23</v>
      </c>
      <c r="O6" s="16" t="s">
        <v>23</v>
      </c>
      <c r="P6" s="15" t="s">
        <v>23</v>
      </c>
      <c r="Q6" s="16" t="s">
        <v>23</v>
      </c>
      <c r="R6" s="15">
        <v>100</v>
      </c>
      <c r="S6" s="15">
        <v>1</v>
      </c>
      <c r="T6" s="15">
        <v>0</v>
      </c>
      <c r="U6" s="15">
        <v>0</v>
      </c>
    </row>
    <row r="7" spans="1:22" ht="12" thickBot="1" x14ac:dyDescent="0.25">
      <c r="A7" s="29" t="s">
        <v>155</v>
      </c>
      <c r="B7" s="29" t="s">
        <v>156</v>
      </c>
      <c r="C7" s="29" t="s">
        <v>157</v>
      </c>
      <c r="D7" s="29" t="s">
        <v>158</v>
      </c>
      <c r="E7" s="29" t="s">
        <v>159</v>
      </c>
      <c r="F7" s="29" t="s">
        <v>160</v>
      </c>
      <c r="G7" s="30" t="s">
        <v>54</v>
      </c>
      <c r="H7" s="31" t="s">
        <v>161</v>
      </c>
      <c r="I7" s="31" t="s">
        <v>34</v>
      </c>
      <c r="J7" s="32" t="s">
        <v>162</v>
      </c>
      <c r="K7" s="27">
        <v>0.5</v>
      </c>
      <c r="L7" s="27" t="s">
        <v>34</v>
      </c>
      <c r="M7" s="15">
        <v>2023</v>
      </c>
      <c r="N7" s="15" t="s">
        <v>23</v>
      </c>
      <c r="O7" s="16" t="s">
        <v>23</v>
      </c>
      <c r="P7" s="15" t="s">
        <v>23</v>
      </c>
      <c r="Q7" s="16" t="s">
        <v>23</v>
      </c>
      <c r="R7" s="15">
        <v>100</v>
      </c>
      <c r="S7" s="15">
        <v>0.5</v>
      </c>
      <c r="T7" s="15">
        <v>0</v>
      </c>
      <c r="U7" s="15">
        <v>0</v>
      </c>
      <c r="V7" s="6" t="s">
        <v>101</v>
      </c>
    </row>
    <row r="8" spans="1:22" ht="12" thickBot="1" x14ac:dyDescent="0.25">
      <c r="A8" s="29" t="s">
        <v>219</v>
      </c>
      <c r="B8" s="29" t="s">
        <v>220</v>
      </c>
      <c r="C8" s="29" t="s">
        <v>221</v>
      </c>
      <c r="D8" s="29" t="s">
        <v>222</v>
      </c>
      <c r="E8" s="29" t="s">
        <v>223</v>
      </c>
      <c r="F8" s="29" t="s">
        <v>224</v>
      </c>
      <c r="G8" s="30" t="s">
        <v>52</v>
      </c>
      <c r="H8" s="31" t="s">
        <v>161</v>
      </c>
      <c r="I8" s="31" t="s">
        <v>34</v>
      </c>
      <c r="J8" s="32" t="s">
        <v>225</v>
      </c>
      <c r="K8" s="27">
        <v>0.5</v>
      </c>
      <c r="L8" s="27" t="s">
        <v>34</v>
      </c>
      <c r="M8" s="15">
        <v>2024</v>
      </c>
      <c r="N8" s="15" t="s">
        <v>29</v>
      </c>
      <c r="O8" s="16" t="s">
        <v>164</v>
      </c>
      <c r="P8" s="15" t="s">
        <v>23</v>
      </c>
      <c r="Q8" s="16" t="s">
        <v>23</v>
      </c>
      <c r="R8" s="15">
        <v>90</v>
      </c>
      <c r="S8" s="15">
        <v>0.45</v>
      </c>
      <c r="T8" s="15">
        <v>0.05</v>
      </c>
      <c r="U8" s="15">
        <v>0</v>
      </c>
    </row>
    <row r="9" spans="1:22" ht="12" thickBot="1" x14ac:dyDescent="0.25">
      <c r="A9" s="29" t="s">
        <v>155</v>
      </c>
      <c r="B9" s="29" t="s">
        <v>226</v>
      </c>
      <c r="C9" s="29" t="s">
        <v>157</v>
      </c>
      <c r="D9" s="29" t="s">
        <v>227</v>
      </c>
      <c r="E9" s="29" t="s">
        <v>228</v>
      </c>
      <c r="F9" s="29" t="s">
        <v>229</v>
      </c>
      <c r="G9" s="30" t="s">
        <v>54</v>
      </c>
      <c r="H9" s="31" t="s">
        <v>161</v>
      </c>
      <c r="I9" s="31" t="s">
        <v>34</v>
      </c>
      <c r="J9" s="32" t="s">
        <v>225</v>
      </c>
      <c r="K9" s="27">
        <v>0.5</v>
      </c>
      <c r="L9" s="27" t="s">
        <v>34</v>
      </c>
      <c r="M9" s="15">
        <v>2024</v>
      </c>
      <c r="N9" s="15" t="s">
        <v>23</v>
      </c>
      <c r="O9" s="16" t="s">
        <v>23</v>
      </c>
      <c r="P9" s="15" t="s">
        <v>23</v>
      </c>
      <c r="Q9" s="16" t="s">
        <v>23</v>
      </c>
      <c r="R9" s="15">
        <v>100</v>
      </c>
      <c r="S9" s="15">
        <v>0.5</v>
      </c>
      <c r="T9" s="15">
        <v>0</v>
      </c>
      <c r="U9" s="15">
        <v>0</v>
      </c>
    </row>
    <row r="10" spans="1:22" x14ac:dyDescent="0.2">
      <c r="A10" s="7"/>
      <c r="B10" s="7"/>
      <c r="C10" s="7"/>
      <c r="D10" s="7"/>
      <c r="E10" s="7"/>
      <c r="F10" s="7"/>
      <c r="G10" s="7"/>
      <c r="H10" s="7"/>
      <c r="I10" s="7"/>
      <c r="J10" s="7"/>
      <c r="K10" s="7"/>
      <c r="L10" s="7"/>
      <c r="M10" s="7"/>
      <c r="N10" s="7"/>
      <c r="O10" s="8"/>
      <c r="P10" s="7"/>
      <c r="Q10" s="8"/>
      <c r="R10" s="7"/>
      <c r="S10" s="41">
        <f>SUM(S2:S9)</f>
        <v>4.3499999999999996</v>
      </c>
      <c r="T10" s="7"/>
      <c r="U10" s="7"/>
    </row>
  </sheetData>
  <autoFilter ref="A1:U1" xr:uid="{00000000-0009-0000-0000-000000000000}">
    <sortState xmlns:xlrd2="http://schemas.microsoft.com/office/spreadsheetml/2017/richdata2" ref="A2:U1901">
      <sortCondition ref="L2:L1901"/>
      <sortCondition ref="M2:M1901"/>
      <sortCondition ref="D2:D1901"/>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5"/>
  <sheetViews>
    <sheetView zoomScaleNormal="100" workbookViewId="0">
      <selection activeCell="V14" sqref="V14"/>
    </sheetView>
  </sheetViews>
  <sheetFormatPr baseColWidth="10" defaultColWidth="11.42578125" defaultRowHeight="12.75" x14ac:dyDescent="0.2"/>
  <cols>
    <col min="1" max="1" width="10.5703125" style="13" bestFit="1" customWidth="1"/>
    <col min="2" max="2" width="36.7109375" style="13" bestFit="1" customWidth="1"/>
    <col min="3" max="3" width="17" style="13" bestFit="1" customWidth="1"/>
    <col min="4" max="9" width="3.28515625" style="13" bestFit="1" customWidth="1"/>
    <col min="10" max="10" width="13.140625" style="13" bestFit="1" customWidth="1"/>
    <col min="11" max="11" width="5.28515625" style="13" bestFit="1" customWidth="1"/>
    <col min="12" max="13" width="5.7109375" style="13" bestFit="1" customWidth="1"/>
    <col min="14" max="14" width="5.7109375" style="14" bestFit="1" customWidth="1"/>
    <col min="15" max="15" width="5.7109375" style="13" bestFit="1" customWidth="1"/>
    <col min="16" max="16" width="5.7109375" style="14" bestFit="1" customWidth="1"/>
    <col min="17" max="19" width="5.7109375" style="13" bestFit="1" customWidth="1"/>
    <col min="20" max="16384" width="11.42578125" style="13"/>
  </cols>
  <sheetData>
    <row r="1" spans="1:19" s="12" customFormat="1" ht="30" x14ac:dyDescent="0.2">
      <c r="A1" s="17" t="s">
        <v>37</v>
      </c>
      <c r="B1" s="17" t="s">
        <v>38</v>
      </c>
      <c r="C1" s="17" t="s">
        <v>39</v>
      </c>
      <c r="D1" s="18" t="s">
        <v>230</v>
      </c>
      <c r="E1" s="18" t="s">
        <v>231</v>
      </c>
      <c r="F1" s="18" t="s">
        <v>232</v>
      </c>
      <c r="G1" s="18" t="s">
        <v>233</v>
      </c>
      <c r="H1" s="18" t="s">
        <v>234</v>
      </c>
      <c r="I1" s="18" t="s">
        <v>235</v>
      </c>
      <c r="J1" s="17" t="s">
        <v>40</v>
      </c>
      <c r="K1" s="19" t="s">
        <v>72</v>
      </c>
      <c r="L1" s="10" t="s">
        <v>41</v>
      </c>
      <c r="M1" s="10" t="s">
        <v>42</v>
      </c>
      <c r="N1" s="10" t="s">
        <v>43</v>
      </c>
      <c r="O1" s="10" t="s">
        <v>44</v>
      </c>
      <c r="P1" s="11" t="s">
        <v>45</v>
      </c>
      <c r="Q1" s="11" t="s">
        <v>46</v>
      </c>
      <c r="R1" s="11" t="s">
        <v>47</v>
      </c>
      <c r="S1" s="11" t="s">
        <v>48</v>
      </c>
    </row>
    <row r="2" spans="1:19" x14ac:dyDescent="0.2">
      <c r="A2" s="39" t="s">
        <v>55</v>
      </c>
      <c r="B2" s="39" t="s">
        <v>236</v>
      </c>
      <c r="C2" s="39" t="s">
        <v>49</v>
      </c>
      <c r="D2" s="39"/>
      <c r="E2" s="39"/>
      <c r="F2" s="39"/>
      <c r="G2" s="39">
        <v>1</v>
      </c>
      <c r="H2" s="39"/>
      <c r="I2" s="39"/>
      <c r="J2" s="39">
        <v>1</v>
      </c>
      <c r="K2" s="39" t="s">
        <v>34</v>
      </c>
      <c r="L2" s="39" t="s">
        <v>24</v>
      </c>
      <c r="M2" s="39" t="s">
        <v>164</v>
      </c>
      <c r="N2" s="40" t="s">
        <v>23</v>
      </c>
      <c r="O2" s="39" t="s">
        <v>23</v>
      </c>
      <c r="P2" s="40">
        <v>90</v>
      </c>
      <c r="Q2" s="39">
        <v>0.1</v>
      </c>
      <c r="R2" s="39">
        <v>0</v>
      </c>
      <c r="S2" s="39">
        <v>0.9</v>
      </c>
    </row>
    <row r="3" spans="1:19" x14ac:dyDescent="0.2">
      <c r="A3" s="39" t="s">
        <v>237</v>
      </c>
      <c r="B3" s="39" t="s">
        <v>238</v>
      </c>
      <c r="C3" s="39" t="s">
        <v>50</v>
      </c>
      <c r="D3" s="39"/>
      <c r="E3" s="39"/>
      <c r="F3" s="39"/>
      <c r="G3" s="39"/>
      <c r="H3" s="39"/>
      <c r="I3" s="39">
        <v>1</v>
      </c>
      <c r="J3" s="39">
        <v>1</v>
      </c>
      <c r="K3" s="39" t="s">
        <v>34</v>
      </c>
      <c r="L3" s="39">
        <v>0</v>
      </c>
      <c r="M3" s="39">
        <v>0</v>
      </c>
      <c r="N3" s="40" t="s">
        <v>23</v>
      </c>
      <c r="O3" s="39" t="s">
        <v>23</v>
      </c>
      <c r="P3" s="40">
        <v>100</v>
      </c>
      <c r="Q3" s="39">
        <v>0</v>
      </c>
      <c r="R3" s="39">
        <v>0</v>
      </c>
      <c r="S3" s="39">
        <v>1</v>
      </c>
    </row>
    <row r="4" spans="1:19" x14ac:dyDescent="0.2">
      <c r="A4" s="39" t="s">
        <v>99</v>
      </c>
      <c r="B4" s="39" t="s">
        <v>239</v>
      </c>
      <c r="C4" s="39" t="s">
        <v>49</v>
      </c>
      <c r="D4" s="39"/>
      <c r="E4" s="39"/>
      <c r="F4" s="39">
        <v>2</v>
      </c>
      <c r="G4" s="39"/>
      <c r="H4" s="39"/>
      <c r="I4" s="39"/>
      <c r="J4" s="39">
        <v>2</v>
      </c>
      <c r="K4" s="39" t="s">
        <v>34</v>
      </c>
      <c r="L4" s="39">
        <v>0</v>
      </c>
      <c r="M4" s="39">
        <v>0</v>
      </c>
      <c r="N4" s="40" t="s">
        <v>23</v>
      </c>
      <c r="O4" s="39" t="s">
        <v>23</v>
      </c>
      <c r="P4" s="40">
        <v>100</v>
      </c>
      <c r="Q4" s="39">
        <v>0</v>
      </c>
      <c r="R4" s="39">
        <v>0</v>
      </c>
      <c r="S4" s="39">
        <v>2</v>
      </c>
    </row>
    <row r="5" spans="1:19" x14ac:dyDescent="0.2">
      <c r="A5" s="39" t="s">
        <v>165</v>
      </c>
      <c r="B5" s="39" t="s">
        <v>240</v>
      </c>
      <c r="C5" s="39" t="s">
        <v>50</v>
      </c>
      <c r="D5" s="39"/>
      <c r="E5" s="39"/>
      <c r="F5" s="39"/>
      <c r="G5" s="39"/>
      <c r="H5" s="39">
        <v>1</v>
      </c>
      <c r="I5" s="39"/>
      <c r="J5" s="39">
        <v>1</v>
      </c>
      <c r="K5" s="39" t="s">
        <v>34</v>
      </c>
      <c r="L5" s="39">
        <v>0</v>
      </c>
      <c r="M5" s="39">
        <v>0</v>
      </c>
      <c r="N5" s="40" t="s">
        <v>23</v>
      </c>
      <c r="O5" s="39" t="s">
        <v>23</v>
      </c>
      <c r="P5" s="40">
        <v>100</v>
      </c>
      <c r="Q5" s="39">
        <v>0</v>
      </c>
      <c r="R5" s="39">
        <v>0</v>
      </c>
      <c r="S5" s="39">
        <v>1</v>
      </c>
    </row>
    <row r="6" spans="1:19" x14ac:dyDescent="0.2">
      <c r="A6" s="39" t="s">
        <v>53</v>
      </c>
      <c r="B6" s="39" t="s">
        <v>241</v>
      </c>
      <c r="C6" s="39" t="s">
        <v>49</v>
      </c>
      <c r="D6" s="39"/>
      <c r="E6" s="39">
        <v>1</v>
      </c>
      <c r="F6" s="39">
        <v>1</v>
      </c>
      <c r="G6" s="39"/>
      <c r="H6" s="39"/>
      <c r="I6" s="39"/>
      <c r="J6" s="39">
        <v>2</v>
      </c>
      <c r="K6" s="39" t="s">
        <v>34</v>
      </c>
      <c r="L6" s="39">
        <v>0</v>
      </c>
      <c r="M6" s="39">
        <v>0</v>
      </c>
      <c r="N6" s="40" t="s">
        <v>23</v>
      </c>
      <c r="O6" s="39" t="s">
        <v>23</v>
      </c>
      <c r="P6" s="40">
        <v>100</v>
      </c>
      <c r="Q6" s="39">
        <v>0</v>
      </c>
      <c r="R6" s="39">
        <v>0</v>
      </c>
      <c r="S6" s="39">
        <v>2</v>
      </c>
    </row>
    <row r="7" spans="1:19" x14ac:dyDescent="0.2">
      <c r="A7" s="39" t="s">
        <v>52</v>
      </c>
      <c r="B7" s="39" t="s">
        <v>242</v>
      </c>
      <c r="C7" s="39" t="s">
        <v>49</v>
      </c>
      <c r="D7" s="39"/>
      <c r="E7" s="39"/>
      <c r="F7" s="39"/>
      <c r="G7" s="39">
        <v>1</v>
      </c>
      <c r="H7" s="39"/>
      <c r="I7" s="39"/>
      <c r="J7" s="39">
        <v>1</v>
      </c>
      <c r="K7" s="39" t="s">
        <v>34</v>
      </c>
      <c r="L7" s="39" t="s">
        <v>29</v>
      </c>
      <c r="M7" s="39" t="s">
        <v>164</v>
      </c>
      <c r="N7" s="40" t="s">
        <v>23</v>
      </c>
      <c r="O7" s="39" t="s">
        <v>23</v>
      </c>
      <c r="P7" s="40">
        <v>90</v>
      </c>
      <c r="Q7" s="39">
        <v>0.1</v>
      </c>
      <c r="R7" s="39">
        <v>0</v>
      </c>
      <c r="S7" s="39">
        <v>0.9</v>
      </c>
    </row>
    <row r="8" spans="1:19" x14ac:dyDescent="0.2">
      <c r="A8" s="39" t="s">
        <v>51</v>
      </c>
      <c r="B8" s="39" t="s">
        <v>243</v>
      </c>
      <c r="C8" s="39" t="s">
        <v>49</v>
      </c>
      <c r="D8" s="39"/>
      <c r="E8" s="39"/>
      <c r="F8" s="39"/>
      <c r="G8" s="39">
        <v>1</v>
      </c>
      <c r="H8" s="39"/>
      <c r="I8" s="39"/>
      <c r="J8" s="39">
        <v>1</v>
      </c>
      <c r="K8" s="39" t="s">
        <v>34</v>
      </c>
      <c r="L8" s="39">
        <v>0</v>
      </c>
      <c r="M8" s="39">
        <v>0</v>
      </c>
      <c r="N8" s="40" t="s">
        <v>23</v>
      </c>
      <c r="O8" s="39" t="s">
        <v>23</v>
      </c>
      <c r="P8" s="40">
        <v>100</v>
      </c>
      <c r="Q8" s="39">
        <v>0</v>
      </c>
      <c r="R8" s="39">
        <v>0</v>
      </c>
      <c r="S8" s="39">
        <v>1</v>
      </c>
    </row>
    <row r="9" spans="1:19" x14ac:dyDescent="0.2">
      <c r="A9" s="39" t="s">
        <v>62</v>
      </c>
      <c r="B9" s="39" t="s">
        <v>244</v>
      </c>
      <c r="C9" s="39" t="s">
        <v>49</v>
      </c>
      <c r="D9" s="39"/>
      <c r="E9" s="39"/>
      <c r="F9" s="39">
        <v>1</v>
      </c>
      <c r="G9" s="39"/>
      <c r="H9" s="39"/>
      <c r="I9" s="39"/>
      <c r="J9" s="39">
        <v>1</v>
      </c>
      <c r="K9" s="39" t="s">
        <v>34</v>
      </c>
      <c r="L9" s="39" t="s">
        <v>24</v>
      </c>
      <c r="M9" s="39" t="s">
        <v>163</v>
      </c>
      <c r="N9" s="40" t="s">
        <v>23</v>
      </c>
      <c r="O9" s="39" t="s">
        <v>23</v>
      </c>
      <c r="P9" s="40">
        <v>50</v>
      </c>
      <c r="Q9" s="39">
        <v>0.5</v>
      </c>
      <c r="R9" s="39">
        <v>0</v>
      </c>
      <c r="S9" s="39">
        <v>0.5</v>
      </c>
    </row>
    <row r="10" spans="1:19" x14ac:dyDescent="0.2">
      <c r="A10" s="39" t="s">
        <v>60</v>
      </c>
      <c r="B10" s="39" t="s">
        <v>245</v>
      </c>
      <c r="C10" s="39" t="s">
        <v>49</v>
      </c>
      <c r="D10" s="39"/>
      <c r="E10" s="39"/>
      <c r="F10" s="39"/>
      <c r="G10" s="39">
        <v>1</v>
      </c>
      <c r="H10" s="39"/>
      <c r="I10" s="39"/>
      <c r="J10" s="39">
        <v>1</v>
      </c>
      <c r="K10" s="39" t="s">
        <v>34</v>
      </c>
      <c r="L10" s="39">
        <v>0</v>
      </c>
      <c r="M10" s="39">
        <v>0</v>
      </c>
      <c r="N10" s="40" t="s">
        <v>23</v>
      </c>
      <c r="O10" s="39" t="s">
        <v>23</v>
      </c>
      <c r="P10" s="40">
        <v>100</v>
      </c>
      <c r="Q10" s="39">
        <v>0</v>
      </c>
      <c r="R10" s="39">
        <v>0</v>
      </c>
      <c r="S10" s="39">
        <v>1</v>
      </c>
    </row>
    <row r="11" spans="1:19" x14ac:dyDescent="0.2">
      <c r="A11" s="39" t="s">
        <v>58</v>
      </c>
      <c r="B11" s="39" t="s">
        <v>246</v>
      </c>
      <c r="C11" s="39" t="s">
        <v>50</v>
      </c>
      <c r="D11" s="39">
        <v>1</v>
      </c>
      <c r="E11" s="39"/>
      <c r="F11" s="39"/>
      <c r="G11" s="39"/>
      <c r="H11" s="39"/>
      <c r="I11" s="39">
        <v>1</v>
      </c>
      <c r="J11" s="39">
        <v>2</v>
      </c>
      <c r="K11" s="39" t="s">
        <v>34</v>
      </c>
      <c r="L11" s="39" t="s">
        <v>24</v>
      </c>
      <c r="M11" s="39" t="s">
        <v>31</v>
      </c>
      <c r="N11" s="40" t="s">
        <v>29</v>
      </c>
      <c r="O11" s="39" t="s">
        <v>164</v>
      </c>
      <c r="P11" s="40">
        <v>70</v>
      </c>
      <c r="Q11" s="39">
        <v>0.4</v>
      </c>
      <c r="R11" s="39">
        <v>0.2</v>
      </c>
      <c r="S11" s="39">
        <v>1.4</v>
      </c>
    </row>
    <row r="12" spans="1:19" x14ac:dyDescent="0.2">
      <c r="A12" s="39" t="s">
        <v>56</v>
      </c>
      <c r="B12" s="39" t="s">
        <v>247</v>
      </c>
      <c r="C12" s="39" t="s">
        <v>49</v>
      </c>
      <c r="D12" s="39"/>
      <c r="E12" s="39">
        <v>2</v>
      </c>
      <c r="F12" s="39"/>
      <c r="G12" s="39"/>
      <c r="H12" s="39"/>
      <c r="I12" s="39">
        <v>1</v>
      </c>
      <c r="J12" s="39">
        <v>3</v>
      </c>
      <c r="K12" s="39" t="s">
        <v>34</v>
      </c>
      <c r="L12" s="39">
        <v>0</v>
      </c>
      <c r="M12" s="39">
        <v>0</v>
      </c>
      <c r="N12" s="40" t="s">
        <v>23</v>
      </c>
      <c r="O12" s="39" t="s">
        <v>23</v>
      </c>
      <c r="P12" s="40">
        <v>100</v>
      </c>
      <c r="Q12" s="39">
        <v>0</v>
      </c>
      <c r="R12" s="39">
        <v>0</v>
      </c>
      <c r="S12" s="39">
        <v>3</v>
      </c>
    </row>
    <row r="13" spans="1:19" x14ac:dyDescent="0.2">
      <c r="A13" s="39" t="s">
        <v>85</v>
      </c>
      <c r="B13" s="39" t="s">
        <v>248</v>
      </c>
      <c r="C13" s="39" t="s">
        <v>50</v>
      </c>
      <c r="D13" s="39"/>
      <c r="E13" s="39"/>
      <c r="F13" s="39">
        <v>1</v>
      </c>
      <c r="G13" s="39"/>
      <c r="H13" s="39"/>
      <c r="I13" s="39"/>
      <c r="J13" s="39">
        <v>1</v>
      </c>
      <c r="K13" s="39" t="s">
        <v>34</v>
      </c>
      <c r="L13" s="39" t="s">
        <v>29</v>
      </c>
      <c r="M13" s="39" t="s">
        <v>163</v>
      </c>
      <c r="N13" s="40" t="s">
        <v>23</v>
      </c>
      <c r="O13" s="39" t="s">
        <v>23</v>
      </c>
      <c r="P13" s="40">
        <v>50</v>
      </c>
      <c r="Q13" s="39">
        <v>0.5</v>
      </c>
      <c r="R13" s="39">
        <v>0</v>
      </c>
      <c r="S13" s="39">
        <v>0.5</v>
      </c>
    </row>
    <row r="14" spans="1:19" x14ac:dyDescent="0.2">
      <c r="A14" s="39" t="s">
        <v>86</v>
      </c>
      <c r="B14" s="39" t="s">
        <v>249</v>
      </c>
      <c r="C14" s="39" t="s">
        <v>50</v>
      </c>
      <c r="D14" s="39"/>
      <c r="E14" s="39"/>
      <c r="F14" s="39">
        <v>1</v>
      </c>
      <c r="G14" s="39"/>
      <c r="H14" s="39"/>
      <c r="I14" s="39"/>
      <c r="J14" s="39">
        <v>1</v>
      </c>
      <c r="K14" s="39" t="s">
        <v>34</v>
      </c>
      <c r="L14" s="39">
        <v>0</v>
      </c>
      <c r="M14" s="39">
        <v>0</v>
      </c>
      <c r="N14" s="40" t="s">
        <v>23</v>
      </c>
      <c r="O14" s="39" t="s">
        <v>23</v>
      </c>
      <c r="P14" s="40">
        <v>100</v>
      </c>
      <c r="Q14" s="39">
        <v>0</v>
      </c>
      <c r="R14" s="39">
        <v>0</v>
      </c>
      <c r="S14" s="39">
        <v>1</v>
      </c>
    </row>
    <row r="15" spans="1:19" x14ac:dyDescent="0.2">
      <c r="A15" s="39" t="s">
        <v>57</v>
      </c>
      <c r="B15" s="39" t="s">
        <v>250</v>
      </c>
      <c r="C15" s="39" t="s">
        <v>49</v>
      </c>
      <c r="D15" s="39"/>
      <c r="E15" s="39"/>
      <c r="F15" s="39"/>
      <c r="G15" s="39"/>
      <c r="H15" s="39"/>
      <c r="I15" s="39">
        <v>1</v>
      </c>
      <c r="J15" s="39">
        <v>1</v>
      </c>
      <c r="K15" s="39" t="s">
        <v>34</v>
      </c>
      <c r="L15" s="39">
        <v>0</v>
      </c>
      <c r="M15" s="39">
        <v>0</v>
      </c>
      <c r="N15" s="40" t="s">
        <v>23</v>
      </c>
      <c r="O15" s="39" t="s">
        <v>23</v>
      </c>
      <c r="P15" s="40">
        <v>100</v>
      </c>
      <c r="Q15" s="39">
        <v>0</v>
      </c>
      <c r="R15" s="39">
        <v>0</v>
      </c>
      <c r="S15" s="39">
        <v>1</v>
      </c>
    </row>
    <row r="16" spans="1:19" x14ac:dyDescent="0.2">
      <c r="A16" s="39" t="s">
        <v>63</v>
      </c>
      <c r="B16" s="39" t="s">
        <v>251</v>
      </c>
      <c r="C16" s="39" t="s">
        <v>49</v>
      </c>
      <c r="D16" s="39"/>
      <c r="E16" s="39"/>
      <c r="F16" s="39"/>
      <c r="G16" s="39">
        <v>1</v>
      </c>
      <c r="H16" s="39"/>
      <c r="I16" s="39"/>
      <c r="J16" s="39">
        <v>1</v>
      </c>
      <c r="K16" s="39" t="s">
        <v>34</v>
      </c>
      <c r="L16" s="39" t="s">
        <v>24</v>
      </c>
      <c r="M16" s="39" t="s">
        <v>166</v>
      </c>
      <c r="N16" s="40" t="s">
        <v>23</v>
      </c>
      <c r="O16" s="39" t="s">
        <v>23</v>
      </c>
      <c r="P16" s="40">
        <v>70</v>
      </c>
      <c r="Q16" s="39">
        <v>0.3</v>
      </c>
      <c r="R16" s="39">
        <v>0</v>
      </c>
      <c r="S16" s="39">
        <v>0.7</v>
      </c>
    </row>
    <row r="17" spans="1:19" x14ac:dyDescent="0.2">
      <c r="A17" s="39" t="s">
        <v>54</v>
      </c>
      <c r="B17" s="39" t="s">
        <v>252</v>
      </c>
      <c r="C17" s="39" t="s">
        <v>49</v>
      </c>
      <c r="D17" s="39"/>
      <c r="E17" s="39"/>
      <c r="F17" s="39">
        <v>1</v>
      </c>
      <c r="G17" s="39"/>
      <c r="H17" s="39"/>
      <c r="I17" s="39"/>
      <c r="J17" s="39">
        <v>1</v>
      </c>
      <c r="K17" s="39" t="s">
        <v>34</v>
      </c>
      <c r="L17" s="39">
        <v>0</v>
      </c>
      <c r="M17" s="39">
        <v>0</v>
      </c>
      <c r="N17" s="40" t="s">
        <v>23</v>
      </c>
      <c r="O17" s="39" t="s">
        <v>23</v>
      </c>
      <c r="P17" s="40">
        <v>100</v>
      </c>
      <c r="Q17" s="39">
        <v>0</v>
      </c>
      <c r="R17" s="39">
        <v>0</v>
      </c>
      <c r="S17" s="39">
        <v>1</v>
      </c>
    </row>
    <row r="18" spans="1:19" x14ac:dyDescent="0.2">
      <c r="A18" s="39" t="s">
        <v>61</v>
      </c>
      <c r="B18" s="39" t="s">
        <v>253</v>
      </c>
      <c r="C18" s="39" t="s">
        <v>49</v>
      </c>
      <c r="D18" s="39"/>
      <c r="E18" s="39"/>
      <c r="F18" s="39"/>
      <c r="G18" s="39"/>
      <c r="H18" s="39"/>
      <c r="I18" s="39">
        <v>1</v>
      </c>
      <c r="J18" s="39">
        <v>1</v>
      </c>
      <c r="K18" s="39" t="s">
        <v>34</v>
      </c>
      <c r="L18" s="39">
        <v>0</v>
      </c>
      <c r="M18" s="39">
        <v>0</v>
      </c>
      <c r="N18" s="40" t="s">
        <v>23</v>
      </c>
      <c r="O18" s="39" t="s">
        <v>23</v>
      </c>
      <c r="P18" s="40">
        <v>100</v>
      </c>
      <c r="Q18" s="39">
        <v>0</v>
      </c>
      <c r="R18" s="39">
        <v>0</v>
      </c>
      <c r="S18" s="39">
        <v>1</v>
      </c>
    </row>
    <row r="19" spans="1:19" x14ac:dyDescent="0.2">
      <c r="A19" s="39" t="s">
        <v>87</v>
      </c>
      <c r="B19" s="39" t="s">
        <v>254</v>
      </c>
      <c r="C19" s="39" t="s">
        <v>50</v>
      </c>
      <c r="D19" s="39"/>
      <c r="E19" s="39"/>
      <c r="F19" s="39">
        <v>2</v>
      </c>
      <c r="G19" s="39"/>
      <c r="H19" s="39"/>
      <c r="I19" s="39"/>
      <c r="J19" s="39">
        <v>2</v>
      </c>
      <c r="K19" s="39" t="s">
        <v>34</v>
      </c>
      <c r="L19" s="39">
        <v>0</v>
      </c>
      <c r="M19" s="39">
        <v>0</v>
      </c>
      <c r="N19" s="40" t="s">
        <v>23</v>
      </c>
      <c r="O19" s="39" t="s">
        <v>23</v>
      </c>
      <c r="P19" s="40">
        <v>100</v>
      </c>
      <c r="Q19" s="39">
        <v>0</v>
      </c>
      <c r="R19" s="39">
        <v>0</v>
      </c>
      <c r="S19" s="39">
        <v>2</v>
      </c>
    </row>
    <row r="20" spans="1:19" x14ac:dyDescent="0.2">
      <c r="A20" s="39" t="s">
        <v>255</v>
      </c>
      <c r="B20" s="39" t="s">
        <v>256</v>
      </c>
      <c r="C20" s="39" t="s">
        <v>50</v>
      </c>
      <c r="D20" s="39"/>
      <c r="E20" s="39"/>
      <c r="F20" s="39"/>
      <c r="G20" s="39"/>
      <c r="H20" s="39"/>
      <c r="I20" s="39">
        <v>1</v>
      </c>
      <c r="J20" s="39">
        <v>1</v>
      </c>
      <c r="K20" s="39" t="s">
        <v>34</v>
      </c>
      <c r="L20" s="39">
        <v>0</v>
      </c>
      <c r="M20" s="39">
        <v>0</v>
      </c>
      <c r="N20" s="40" t="s">
        <v>23</v>
      </c>
      <c r="O20" s="39" t="s">
        <v>23</v>
      </c>
      <c r="P20" s="40">
        <v>100</v>
      </c>
      <c r="Q20" s="39">
        <v>0</v>
      </c>
      <c r="R20" s="39">
        <v>0</v>
      </c>
      <c r="S20" s="39">
        <v>1</v>
      </c>
    </row>
    <row r="21" spans="1:19" x14ac:dyDescent="0.2">
      <c r="A21" s="39" t="s">
        <v>59</v>
      </c>
      <c r="B21" s="39" t="s">
        <v>257</v>
      </c>
      <c r="C21" s="39" t="s">
        <v>49</v>
      </c>
      <c r="D21" s="39"/>
      <c r="E21" s="39">
        <v>2</v>
      </c>
      <c r="F21" s="39"/>
      <c r="G21" s="39"/>
      <c r="H21" s="39"/>
      <c r="I21" s="39"/>
      <c r="J21" s="39">
        <v>2</v>
      </c>
      <c r="K21" s="39" t="s">
        <v>34</v>
      </c>
      <c r="L21" s="39">
        <v>0</v>
      </c>
      <c r="M21" s="39">
        <v>0</v>
      </c>
      <c r="N21" s="40" t="s">
        <v>23</v>
      </c>
      <c r="O21" s="39" t="s">
        <v>23</v>
      </c>
      <c r="P21" s="40">
        <v>100</v>
      </c>
      <c r="Q21" s="39">
        <v>0</v>
      </c>
      <c r="R21" s="39">
        <v>0</v>
      </c>
      <c r="S21" s="39">
        <v>2</v>
      </c>
    </row>
    <row r="22" spans="1:19" x14ac:dyDescent="0.2">
      <c r="A22" s="36"/>
      <c r="B22" s="36"/>
      <c r="C22" s="36"/>
      <c r="D22" s="36"/>
      <c r="E22" s="36"/>
      <c r="F22" s="36"/>
      <c r="G22" s="36"/>
      <c r="H22" s="36"/>
      <c r="I22" s="36"/>
      <c r="J22" s="36"/>
      <c r="K22" s="36"/>
      <c r="L22" s="36"/>
      <c r="M22" s="36"/>
      <c r="N22" s="37"/>
      <c r="O22" s="36"/>
      <c r="P22" s="37"/>
      <c r="Q22" s="36"/>
      <c r="R22" s="36"/>
      <c r="S22" s="38">
        <f>SUM(S2:S21)</f>
        <v>24.900000000000002</v>
      </c>
    </row>
    <row r="25" spans="1:19" s="12" customFormat="1" x14ac:dyDescent="0.2">
      <c r="A25" s="13"/>
      <c r="B25" s="13"/>
      <c r="C25" s="13"/>
      <c r="D25" s="13"/>
      <c r="E25" s="13"/>
      <c r="F25" s="13"/>
      <c r="G25" s="13"/>
      <c r="H25" s="13"/>
      <c r="I25" s="13"/>
      <c r="J25" s="13"/>
      <c r="K25" s="13"/>
      <c r="L25" s="13"/>
      <c r="M25" s="13"/>
      <c r="N25" s="14"/>
      <c r="O25" s="13"/>
      <c r="P25" s="14"/>
      <c r="Q25" s="13"/>
      <c r="R25" s="13"/>
      <c r="S25" s="13"/>
    </row>
    <row r="35" spans="1:19" s="12" customFormat="1" x14ac:dyDescent="0.2">
      <c r="A35" s="13"/>
      <c r="B35" s="13"/>
      <c r="C35" s="13"/>
      <c r="D35" s="13"/>
      <c r="E35" s="13"/>
      <c r="F35" s="13"/>
      <c r="G35" s="13"/>
      <c r="H35" s="13"/>
      <c r="I35" s="13"/>
      <c r="J35" s="13"/>
      <c r="K35" s="13"/>
      <c r="L35" s="13"/>
      <c r="M35" s="13"/>
      <c r="N35" s="14"/>
      <c r="O35" s="13"/>
      <c r="P35" s="14"/>
      <c r="Q35" s="13"/>
      <c r="R35" s="13"/>
      <c r="S35" s="13"/>
    </row>
  </sheetData>
  <pageMargins left="0.39370078740157483" right="0.39370078740157483" top="0.39370078740157483" bottom="0.3937007874015748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C0E9-D21F-4C72-BD25-C5DE6ED090CF}">
  <dimension ref="A1:C39"/>
  <sheetViews>
    <sheetView topLeftCell="A19" workbookViewId="0">
      <selection activeCell="B43" sqref="B43:C43"/>
    </sheetView>
  </sheetViews>
  <sheetFormatPr baseColWidth="10" defaultRowHeight="15" x14ac:dyDescent="0.25"/>
  <cols>
    <col min="1" max="1" width="17" customWidth="1"/>
    <col min="2" max="2" width="78.5703125" customWidth="1"/>
    <col min="3" max="3" width="16" customWidth="1"/>
  </cols>
  <sheetData>
    <row r="1" spans="1:3" x14ac:dyDescent="0.25">
      <c r="A1" s="45" t="s">
        <v>91</v>
      </c>
      <c r="B1" s="45" t="s">
        <v>92</v>
      </c>
      <c r="C1" s="45" t="s">
        <v>93</v>
      </c>
    </row>
    <row r="2" spans="1:3" x14ac:dyDescent="0.25">
      <c r="A2" s="20" t="s">
        <v>83</v>
      </c>
      <c r="B2" s="20" t="s">
        <v>100</v>
      </c>
      <c r="C2" s="33">
        <v>2420</v>
      </c>
    </row>
    <row r="3" spans="1:3" x14ac:dyDescent="0.25">
      <c r="A3" s="21" t="s">
        <v>83</v>
      </c>
      <c r="B3" s="21" t="s">
        <v>102</v>
      </c>
      <c r="C3" s="34">
        <v>2420</v>
      </c>
    </row>
    <row r="4" spans="1:3" x14ac:dyDescent="0.25">
      <c r="A4" s="20" t="s">
        <v>83</v>
      </c>
      <c r="B4" s="20" t="s">
        <v>103</v>
      </c>
      <c r="C4" s="33">
        <v>2420</v>
      </c>
    </row>
    <row r="5" spans="1:3" x14ac:dyDescent="0.25">
      <c r="A5" s="21" t="s">
        <v>83</v>
      </c>
      <c r="B5" s="21" t="s">
        <v>104</v>
      </c>
      <c r="C5" s="34">
        <v>2420</v>
      </c>
    </row>
    <row r="6" spans="1:3" x14ac:dyDescent="0.25">
      <c r="A6" s="20" t="s">
        <v>83</v>
      </c>
      <c r="B6" s="20" t="s">
        <v>105</v>
      </c>
      <c r="C6" s="33">
        <v>2420</v>
      </c>
    </row>
    <row r="7" spans="1:3" x14ac:dyDescent="0.25">
      <c r="A7" s="21" t="s">
        <v>83</v>
      </c>
      <c r="B7" s="21" t="s">
        <v>106</v>
      </c>
      <c r="C7" s="34">
        <v>2420</v>
      </c>
    </row>
    <row r="8" spans="1:3" x14ac:dyDescent="0.25">
      <c r="A8" s="20" t="s">
        <v>95</v>
      </c>
      <c r="B8" s="20" t="s">
        <v>107</v>
      </c>
      <c r="C8" s="33">
        <v>37210</v>
      </c>
    </row>
    <row r="9" spans="1:3" x14ac:dyDescent="0.25">
      <c r="A9" s="21" t="s">
        <v>96</v>
      </c>
      <c r="B9" s="21" t="s">
        <v>97</v>
      </c>
      <c r="C9" s="34">
        <v>8376.83</v>
      </c>
    </row>
    <row r="10" spans="1:3" x14ac:dyDescent="0.25">
      <c r="A10" s="20" t="s">
        <v>96</v>
      </c>
      <c r="B10" s="20" t="s">
        <v>108</v>
      </c>
      <c r="C10" s="33">
        <v>2995</v>
      </c>
    </row>
    <row r="11" spans="1:3" x14ac:dyDescent="0.25">
      <c r="A11" s="21" t="s">
        <v>109</v>
      </c>
      <c r="B11" s="21" t="s">
        <v>110</v>
      </c>
      <c r="C11" s="34">
        <v>2226.0500000000002</v>
      </c>
    </row>
    <row r="12" spans="1:3" x14ac:dyDescent="0.25">
      <c r="A12" s="20" t="s">
        <v>111</v>
      </c>
      <c r="B12" s="20" t="s">
        <v>112</v>
      </c>
      <c r="C12" s="33">
        <v>968</v>
      </c>
    </row>
    <row r="13" spans="1:3" x14ac:dyDescent="0.25">
      <c r="A13" s="21" t="s">
        <v>111</v>
      </c>
      <c r="B13" s="21" t="s">
        <v>113</v>
      </c>
      <c r="C13" s="34">
        <v>566.72</v>
      </c>
    </row>
    <row r="14" spans="1:3" x14ac:dyDescent="0.25">
      <c r="A14" s="20" t="s">
        <v>114</v>
      </c>
      <c r="B14" s="20" t="s">
        <v>115</v>
      </c>
      <c r="C14" s="33">
        <v>4400</v>
      </c>
    </row>
    <row r="15" spans="1:3" x14ac:dyDescent="0.25">
      <c r="A15" s="21" t="s">
        <v>116</v>
      </c>
      <c r="B15" s="21" t="s">
        <v>117</v>
      </c>
      <c r="C15" s="34">
        <v>950.4</v>
      </c>
    </row>
    <row r="16" spans="1:3" x14ac:dyDescent="0.25">
      <c r="A16" s="20" t="s">
        <v>118</v>
      </c>
      <c r="B16" s="20" t="s">
        <v>119</v>
      </c>
      <c r="C16" s="33">
        <v>999.68</v>
      </c>
    </row>
    <row r="17" spans="1:3" x14ac:dyDescent="0.25">
      <c r="A17" s="21" t="s">
        <v>120</v>
      </c>
      <c r="B17" s="21" t="s">
        <v>121</v>
      </c>
      <c r="C17" s="34">
        <v>2618</v>
      </c>
    </row>
    <row r="18" spans="1:3" x14ac:dyDescent="0.25">
      <c r="A18" s="20" t="s">
        <v>122</v>
      </c>
      <c r="B18" s="20" t="s">
        <v>123</v>
      </c>
      <c r="C18" s="33">
        <v>2618</v>
      </c>
    </row>
    <row r="19" spans="1:3" x14ac:dyDescent="0.25">
      <c r="A19" s="21" t="s">
        <v>124</v>
      </c>
      <c r="B19" s="21" t="s">
        <v>125</v>
      </c>
      <c r="C19" s="34">
        <v>316.8</v>
      </c>
    </row>
    <row r="20" spans="1:3" x14ac:dyDescent="0.25">
      <c r="A20" s="20" t="s">
        <v>126</v>
      </c>
      <c r="B20" s="20" t="s">
        <v>127</v>
      </c>
      <c r="C20" s="33">
        <v>369.6</v>
      </c>
    </row>
    <row r="21" spans="1:3" x14ac:dyDescent="0.25">
      <c r="A21" s="21" t="s">
        <v>128</v>
      </c>
      <c r="B21" s="21" t="s">
        <v>129</v>
      </c>
      <c r="C21" s="34">
        <v>308</v>
      </c>
    </row>
    <row r="22" spans="1:3" x14ac:dyDescent="0.25">
      <c r="A22" s="20" t="s">
        <v>130</v>
      </c>
      <c r="B22" s="20" t="s">
        <v>131</v>
      </c>
      <c r="C22" s="33">
        <v>5280</v>
      </c>
    </row>
    <row r="23" spans="1:3" x14ac:dyDescent="0.25">
      <c r="A23" s="21" t="s">
        <v>132</v>
      </c>
      <c r="B23" s="21" t="s">
        <v>133</v>
      </c>
      <c r="C23" s="34">
        <v>739.2</v>
      </c>
    </row>
    <row r="24" spans="1:3" x14ac:dyDescent="0.25">
      <c r="A24" s="20" t="s">
        <v>134</v>
      </c>
      <c r="B24" s="20" t="s">
        <v>135</v>
      </c>
      <c r="C24" s="33">
        <v>2420</v>
      </c>
    </row>
    <row r="25" spans="1:3" x14ac:dyDescent="0.25">
      <c r="A25" s="21" t="s">
        <v>136</v>
      </c>
      <c r="B25" s="21" t="s">
        <v>137</v>
      </c>
      <c r="C25" s="34">
        <v>308</v>
      </c>
    </row>
    <row r="26" spans="1:3" x14ac:dyDescent="0.25">
      <c r="A26" s="20" t="s">
        <v>138</v>
      </c>
      <c r="B26" s="20" t="s">
        <v>139</v>
      </c>
      <c r="C26" s="33">
        <v>158.4</v>
      </c>
    </row>
    <row r="27" spans="1:3" x14ac:dyDescent="0.25">
      <c r="A27" s="21" t="s">
        <v>140</v>
      </c>
      <c r="B27" s="21" t="s">
        <v>141</v>
      </c>
      <c r="C27" s="34">
        <v>875.6</v>
      </c>
    </row>
    <row r="28" spans="1:3" x14ac:dyDescent="0.25">
      <c r="A28" s="20" t="s">
        <v>64</v>
      </c>
      <c r="B28" s="20" t="s">
        <v>142</v>
      </c>
      <c r="C28" s="33">
        <v>-5237.8599999999997</v>
      </c>
    </row>
    <row r="29" spans="1:3" x14ac:dyDescent="0.25">
      <c r="A29" s="21" t="s">
        <v>64</v>
      </c>
      <c r="B29" s="21" t="s">
        <v>143</v>
      </c>
      <c r="C29" s="34">
        <v>-5237.8599999999997</v>
      </c>
    </row>
    <row r="30" spans="1:3" x14ac:dyDescent="0.25">
      <c r="A30" s="20" t="s">
        <v>84</v>
      </c>
      <c r="B30" s="20" t="s">
        <v>144</v>
      </c>
      <c r="C30" s="33">
        <v>38362.92</v>
      </c>
    </row>
    <row r="31" spans="1:3" x14ac:dyDescent="0.25">
      <c r="A31" s="21" t="s">
        <v>94</v>
      </c>
      <c r="B31" s="21" t="s">
        <v>145</v>
      </c>
      <c r="C31" s="34">
        <v>-10064.25</v>
      </c>
    </row>
    <row r="32" spans="1:3" x14ac:dyDescent="0.25">
      <c r="A32" s="20" t="s">
        <v>94</v>
      </c>
      <c r="B32" s="20" t="s">
        <v>146</v>
      </c>
      <c r="C32" s="33">
        <v>19445.79</v>
      </c>
    </row>
    <row r="33" spans="1:3" x14ac:dyDescent="0.25">
      <c r="A33" s="21" t="s">
        <v>147</v>
      </c>
      <c r="B33" s="21" t="s">
        <v>148</v>
      </c>
      <c r="C33" s="34">
        <v>9882.35</v>
      </c>
    </row>
    <row r="34" spans="1:3" x14ac:dyDescent="0.25">
      <c r="A34" s="20" t="s">
        <v>98</v>
      </c>
      <c r="B34" s="20" t="s">
        <v>149</v>
      </c>
      <c r="C34" s="33">
        <v>15865</v>
      </c>
    </row>
    <row r="35" spans="1:3" x14ac:dyDescent="0.25">
      <c r="A35" s="21" t="s">
        <v>150</v>
      </c>
      <c r="B35" s="21" t="s">
        <v>151</v>
      </c>
      <c r="C35" s="34">
        <v>62814</v>
      </c>
    </row>
    <row r="36" spans="1:3" x14ac:dyDescent="0.25">
      <c r="A36" s="20" t="s">
        <v>152</v>
      </c>
      <c r="B36" s="20" t="s">
        <v>153</v>
      </c>
      <c r="C36" s="33">
        <v>25950</v>
      </c>
    </row>
    <row r="37" spans="1:3" x14ac:dyDescent="0.25">
      <c r="A37" s="43" t="s">
        <v>152</v>
      </c>
      <c r="B37" s="43" t="s">
        <v>154</v>
      </c>
      <c r="C37" s="42">
        <v>50940.54</v>
      </c>
    </row>
    <row r="38" spans="1:3" x14ac:dyDescent="0.25">
      <c r="A38" s="43" t="s">
        <v>0</v>
      </c>
      <c r="B38" s="43"/>
      <c r="C38" s="44">
        <f>SUBTOTAL(109,Tabla2[Imp.cob.aplic.])</f>
        <v>291944.90999999997</v>
      </c>
    </row>
    <row r="39" spans="1:3" x14ac:dyDescent="0.25">
      <c r="C39" s="3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FC991-7DEE-41D1-BAFE-EEAF25236901}">
  <dimension ref="A1:C31"/>
  <sheetViews>
    <sheetView topLeftCell="A10" workbookViewId="0">
      <selection activeCell="B35" sqref="B35:C35"/>
    </sheetView>
  </sheetViews>
  <sheetFormatPr baseColWidth="10" defaultRowHeight="15" x14ac:dyDescent="0.25"/>
  <cols>
    <col min="1" max="1" width="15.42578125" customWidth="1"/>
    <col min="2" max="2" width="50.85546875" customWidth="1"/>
    <col min="3" max="3" width="13.140625" customWidth="1"/>
  </cols>
  <sheetData>
    <row r="1" spans="1:3" x14ac:dyDescent="0.25">
      <c r="A1" s="52" t="s">
        <v>217</v>
      </c>
      <c r="B1" s="52" t="s">
        <v>92</v>
      </c>
      <c r="C1" s="53" t="s">
        <v>218</v>
      </c>
    </row>
    <row r="2" spans="1:3" x14ac:dyDescent="0.25">
      <c r="A2" s="46" t="s">
        <v>95</v>
      </c>
      <c r="B2" s="46" t="s">
        <v>167</v>
      </c>
      <c r="C2" s="47">
        <v>37210</v>
      </c>
    </row>
    <row r="3" spans="1:3" x14ac:dyDescent="0.25">
      <c r="A3" s="48" t="s">
        <v>96</v>
      </c>
      <c r="B3" s="48" t="s">
        <v>168</v>
      </c>
      <c r="C3" s="49">
        <v>2885</v>
      </c>
    </row>
    <row r="4" spans="1:3" x14ac:dyDescent="0.25">
      <c r="A4" s="46" t="s">
        <v>111</v>
      </c>
      <c r="B4" s="46" t="s">
        <v>169</v>
      </c>
      <c r="C4" s="47">
        <v>870.32</v>
      </c>
    </row>
    <row r="5" spans="1:3" x14ac:dyDescent="0.25">
      <c r="A5" s="48" t="s">
        <v>170</v>
      </c>
      <c r="B5" s="48" t="s">
        <v>171</v>
      </c>
      <c r="C5" s="49">
        <v>3185.6</v>
      </c>
    </row>
    <row r="6" spans="1:3" x14ac:dyDescent="0.25">
      <c r="A6" s="46" t="s">
        <v>172</v>
      </c>
      <c r="B6" s="46" t="s">
        <v>173</v>
      </c>
      <c r="C6" s="47">
        <v>528</v>
      </c>
    </row>
    <row r="7" spans="1:3" x14ac:dyDescent="0.25">
      <c r="A7" s="48" t="s">
        <v>174</v>
      </c>
      <c r="B7" s="48" t="s">
        <v>175</v>
      </c>
      <c r="C7" s="49">
        <v>1544.4</v>
      </c>
    </row>
    <row r="8" spans="1:3" x14ac:dyDescent="0.25">
      <c r="A8" s="46" t="s">
        <v>176</v>
      </c>
      <c r="B8" s="46" t="s">
        <v>177</v>
      </c>
      <c r="C8" s="47">
        <v>1689.6</v>
      </c>
    </row>
    <row r="9" spans="1:3" x14ac:dyDescent="0.25">
      <c r="A9" s="48" t="s">
        <v>178</v>
      </c>
      <c r="B9" s="48" t="s">
        <v>179</v>
      </c>
      <c r="C9" s="49">
        <v>246.4</v>
      </c>
    </row>
    <row r="10" spans="1:3" x14ac:dyDescent="0.25">
      <c r="A10" s="46" t="s">
        <v>180</v>
      </c>
      <c r="B10" s="46" t="s">
        <v>181</v>
      </c>
      <c r="C10" s="47">
        <v>176</v>
      </c>
    </row>
    <row r="11" spans="1:3" x14ac:dyDescent="0.25">
      <c r="A11" s="48" t="s">
        <v>182</v>
      </c>
      <c r="B11" s="48" t="s">
        <v>183</v>
      </c>
      <c r="C11" s="49">
        <v>1657.3</v>
      </c>
    </row>
    <row r="12" spans="1:3" x14ac:dyDescent="0.25">
      <c r="A12" s="46" t="s">
        <v>184</v>
      </c>
      <c r="B12" s="46" t="s">
        <v>185</v>
      </c>
      <c r="C12" s="47">
        <v>812.7</v>
      </c>
    </row>
    <row r="13" spans="1:3" x14ac:dyDescent="0.25">
      <c r="A13" s="48" t="s">
        <v>186</v>
      </c>
      <c r="B13" s="48" t="s">
        <v>187</v>
      </c>
      <c r="C13" s="49">
        <v>485</v>
      </c>
    </row>
    <row r="14" spans="1:3" x14ac:dyDescent="0.25">
      <c r="A14" s="46" t="s">
        <v>188</v>
      </c>
      <c r="B14" s="46" t="s">
        <v>189</v>
      </c>
      <c r="C14" s="47">
        <v>4224</v>
      </c>
    </row>
    <row r="15" spans="1:3" x14ac:dyDescent="0.25">
      <c r="A15" s="48" t="s">
        <v>190</v>
      </c>
      <c r="B15" s="48" t="s">
        <v>191</v>
      </c>
      <c r="C15" s="49">
        <v>1683</v>
      </c>
    </row>
    <row r="16" spans="1:3" x14ac:dyDescent="0.25">
      <c r="A16" s="46" t="s">
        <v>192</v>
      </c>
      <c r="B16" s="46" t="s">
        <v>193</v>
      </c>
      <c r="C16" s="47">
        <v>2024</v>
      </c>
    </row>
    <row r="17" spans="1:3" x14ac:dyDescent="0.25">
      <c r="A17" s="48" t="s">
        <v>194</v>
      </c>
      <c r="B17" s="48" t="s">
        <v>195</v>
      </c>
      <c r="C17" s="49">
        <v>118.8</v>
      </c>
    </row>
    <row r="18" spans="1:3" x14ac:dyDescent="0.25">
      <c r="A18" s="46" t="s">
        <v>196</v>
      </c>
      <c r="B18" s="46" t="s">
        <v>197</v>
      </c>
      <c r="C18" s="47">
        <v>5148</v>
      </c>
    </row>
    <row r="19" spans="1:3" x14ac:dyDescent="0.25">
      <c r="A19" s="48" t="s">
        <v>198</v>
      </c>
      <c r="B19" s="48" t="s">
        <v>199</v>
      </c>
      <c r="C19" s="49">
        <v>352</v>
      </c>
    </row>
    <row r="20" spans="1:3" x14ac:dyDescent="0.25">
      <c r="A20" s="46" t="s">
        <v>200</v>
      </c>
      <c r="B20" s="46" t="s">
        <v>201</v>
      </c>
      <c r="C20" s="47">
        <v>400.4</v>
      </c>
    </row>
    <row r="21" spans="1:3" x14ac:dyDescent="0.25">
      <c r="A21" s="48" t="s">
        <v>202</v>
      </c>
      <c r="B21" s="48" t="s">
        <v>203</v>
      </c>
      <c r="C21" s="49">
        <v>3080</v>
      </c>
    </row>
    <row r="22" spans="1:3" x14ac:dyDescent="0.25">
      <c r="A22" s="46" t="s">
        <v>204</v>
      </c>
      <c r="B22" s="46" t="s">
        <v>205</v>
      </c>
      <c r="C22" s="47">
        <v>272.8</v>
      </c>
    </row>
    <row r="23" spans="1:3" x14ac:dyDescent="0.25">
      <c r="A23" s="48" t="s">
        <v>206</v>
      </c>
      <c r="B23" s="48" t="s">
        <v>207</v>
      </c>
      <c r="C23" s="49">
        <v>1848</v>
      </c>
    </row>
    <row r="24" spans="1:3" x14ac:dyDescent="0.25">
      <c r="A24" s="46" t="s">
        <v>208</v>
      </c>
      <c r="B24" s="46" t="s">
        <v>209</v>
      </c>
      <c r="C24" s="47">
        <v>514.79999999999995</v>
      </c>
    </row>
    <row r="25" spans="1:3" x14ac:dyDescent="0.25">
      <c r="A25" s="48" t="s">
        <v>94</v>
      </c>
      <c r="B25" s="48" t="s">
        <v>210</v>
      </c>
      <c r="C25" s="49">
        <v>-601.30999999999995</v>
      </c>
    </row>
    <row r="26" spans="1:3" x14ac:dyDescent="0.25">
      <c r="A26" s="46" t="s">
        <v>98</v>
      </c>
      <c r="B26" s="46" t="s">
        <v>211</v>
      </c>
      <c r="C26" s="47">
        <v>5700</v>
      </c>
    </row>
    <row r="27" spans="1:3" x14ac:dyDescent="0.25">
      <c r="A27" s="48" t="s">
        <v>150</v>
      </c>
      <c r="B27" s="48" t="s">
        <v>212</v>
      </c>
      <c r="C27" s="49">
        <v>14964</v>
      </c>
    </row>
    <row r="28" spans="1:3" x14ac:dyDescent="0.25">
      <c r="A28" s="46" t="s">
        <v>213</v>
      </c>
      <c r="B28" s="46" t="s">
        <v>214</v>
      </c>
      <c r="C28" s="47">
        <v>2133</v>
      </c>
    </row>
    <row r="29" spans="1:3" x14ac:dyDescent="0.25">
      <c r="A29" s="48" t="s">
        <v>152</v>
      </c>
      <c r="B29" s="48" t="s">
        <v>215</v>
      </c>
      <c r="C29" s="49">
        <v>90800</v>
      </c>
    </row>
    <row r="30" spans="1:3" x14ac:dyDescent="0.25">
      <c r="A30" s="50" t="s">
        <v>152</v>
      </c>
      <c r="B30" s="50" t="s">
        <v>216</v>
      </c>
      <c r="C30" s="51">
        <v>19900</v>
      </c>
    </row>
    <row r="31" spans="1:3" x14ac:dyDescent="0.25">
      <c r="A31" s="54" t="s">
        <v>0</v>
      </c>
      <c r="B31" s="54"/>
      <c r="C31" s="55">
        <f>SUBTOTAL(109,Tabla4[Imp. aplic.])</f>
        <v>203851.81</v>
      </c>
    </row>
  </sheetData>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EBB4F-9651-4A4A-8E8C-B5924A844C30}">
  <dimension ref="A1:C29"/>
  <sheetViews>
    <sheetView tabSelected="1" workbookViewId="0">
      <selection activeCell="B29" sqref="B29"/>
    </sheetView>
  </sheetViews>
  <sheetFormatPr baseColWidth="10" defaultRowHeight="15" x14ac:dyDescent="0.25"/>
  <cols>
    <col min="1" max="1" width="17.28515625" customWidth="1"/>
    <col min="2" max="2" width="48.140625" customWidth="1"/>
    <col min="3" max="3" width="23.140625" customWidth="1"/>
  </cols>
  <sheetData>
    <row r="1" spans="1:3" x14ac:dyDescent="0.25">
      <c r="A1" s="56" t="s">
        <v>217</v>
      </c>
      <c r="B1" s="57" t="s">
        <v>92</v>
      </c>
      <c r="C1" s="57" t="s">
        <v>218</v>
      </c>
    </row>
    <row r="2" spans="1:3" x14ac:dyDescent="0.25">
      <c r="A2" s="58" t="s">
        <v>96</v>
      </c>
      <c r="B2" s="59" t="s">
        <v>258</v>
      </c>
      <c r="C2" s="60">
        <v>5880</v>
      </c>
    </row>
    <row r="3" spans="1:3" x14ac:dyDescent="0.25">
      <c r="A3" s="61" t="s">
        <v>111</v>
      </c>
      <c r="B3" s="62" t="s">
        <v>259</v>
      </c>
      <c r="C3" s="63">
        <v>1248.72</v>
      </c>
    </row>
    <row r="4" spans="1:3" x14ac:dyDescent="0.25">
      <c r="A4" s="58" t="s">
        <v>190</v>
      </c>
      <c r="B4" s="59" t="s">
        <v>260</v>
      </c>
      <c r="C4" s="60">
        <v>2019.6</v>
      </c>
    </row>
    <row r="5" spans="1:3" x14ac:dyDescent="0.25">
      <c r="A5" s="61" t="s">
        <v>261</v>
      </c>
      <c r="B5" s="62" t="s">
        <v>262</v>
      </c>
      <c r="C5" s="63">
        <v>1584</v>
      </c>
    </row>
    <row r="6" spans="1:3" x14ac:dyDescent="0.25">
      <c r="A6" s="58" t="s">
        <v>263</v>
      </c>
      <c r="B6" s="59" t="s">
        <v>264</v>
      </c>
      <c r="C6" s="60">
        <v>4655.2</v>
      </c>
    </row>
    <row r="7" spans="1:3" x14ac:dyDescent="0.25">
      <c r="A7" s="61" t="s">
        <v>265</v>
      </c>
      <c r="B7" s="62" t="s">
        <v>266</v>
      </c>
      <c r="C7" s="63">
        <v>396</v>
      </c>
    </row>
    <row r="8" spans="1:3" x14ac:dyDescent="0.25">
      <c r="A8" s="58" t="s">
        <v>267</v>
      </c>
      <c r="B8" s="59" t="s">
        <v>268</v>
      </c>
      <c r="C8" s="60">
        <v>510.4</v>
      </c>
    </row>
    <row r="9" spans="1:3" x14ac:dyDescent="0.25">
      <c r="A9" s="61" t="s">
        <v>269</v>
      </c>
      <c r="B9" s="62" t="s">
        <v>270</v>
      </c>
      <c r="C9" s="63">
        <v>2772</v>
      </c>
    </row>
    <row r="10" spans="1:3" x14ac:dyDescent="0.25">
      <c r="A10" s="58" t="s">
        <v>271</v>
      </c>
      <c r="B10" s="59" t="s">
        <v>262</v>
      </c>
      <c r="C10" s="60">
        <v>1584</v>
      </c>
    </row>
    <row r="11" spans="1:3" x14ac:dyDescent="0.25">
      <c r="A11" s="61" t="s">
        <v>272</v>
      </c>
      <c r="B11" s="62" t="s">
        <v>273</v>
      </c>
      <c r="C11" s="63">
        <v>39.6</v>
      </c>
    </row>
    <row r="12" spans="1:3" x14ac:dyDescent="0.25">
      <c r="A12" s="58" t="s">
        <v>274</v>
      </c>
      <c r="B12" s="59" t="s">
        <v>275</v>
      </c>
      <c r="C12" s="60">
        <v>4400</v>
      </c>
    </row>
    <row r="13" spans="1:3" x14ac:dyDescent="0.25">
      <c r="A13" s="61" t="s">
        <v>276</v>
      </c>
      <c r="B13" s="62" t="s">
        <v>277</v>
      </c>
      <c r="C13" s="63">
        <v>176</v>
      </c>
    </row>
    <row r="14" spans="1:3" x14ac:dyDescent="0.25">
      <c r="A14" s="58" t="s">
        <v>278</v>
      </c>
      <c r="B14" s="59" t="s">
        <v>279</v>
      </c>
      <c r="C14" s="60">
        <v>1584</v>
      </c>
    </row>
    <row r="15" spans="1:3" x14ac:dyDescent="0.25">
      <c r="A15" s="61" t="s">
        <v>280</v>
      </c>
      <c r="B15" s="62" t="s">
        <v>281</v>
      </c>
      <c r="C15" s="63">
        <v>5192</v>
      </c>
    </row>
    <row r="16" spans="1:3" x14ac:dyDescent="0.25">
      <c r="A16" s="58" t="s">
        <v>282</v>
      </c>
      <c r="B16" s="59" t="s">
        <v>283</v>
      </c>
      <c r="C16" s="60">
        <v>1306.8</v>
      </c>
    </row>
    <row r="17" spans="1:3" x14ac:dyDescent="0.25">
      <c r="A17" s="61" t="s">
        <v>284</v>
      </c>
      <c r="B17" s="62" t="s">
        <v>285</v>
      </c>
      <c r="C17" s="63">
        <v>567.6</v>
      </c>
    </row>
    <row r="18" spans="1:3" x14ac:dyDescent="0.25">
      <c r="A18" s="58" t="s">
        <v>84</v>
      </c>
      <c r="B18" s="59" t="s">
        <v>286</v>
      </c>
      <c r="C18" s="60">
        <v>-340.97</v>
      </c>
    </row>
    <row r="19" spans="1:3" x14ac:dyDescent="0.25">
      <c r="A19" s="61" t="s">
        <v>98</v>
      </c>
      <c r="B19" s="62" t="s">
        <v>287</v>
      </c>
      <c r="C19" s="63">
        <v>38000</v>
      </c>
    </row>
    <row r="20" spans="1:3" x14ac:dyDescent="0.25">
      <c r="A20" s="58" t="s">
        <v>150</v>
      </c>
      <c r="B20" s="59" t="s">
        <v>288</v>
      </c>
      <c r="C20" s="60">
        <v>9222</v>
      </c>
    </row>
    <row r="21" spans="1:3" x14ac:dyDescent="0.25">
      <c r="A21" s="61" t="s">
        <v>213</v>
      </c>
      <c r="B21" s="62" t="s">
        <v>214</v>
      </c>
      <c r="C21" s="63">
        <v>30000</v>
      </c>
    </row>
    <row r="22" spans="1:3" x14ac:dyDescent="0.25">
      <c r="A22" s="58" t="s">
        <v>213</v>
      </c>
      <c r="B22" s="59" t="s">
        <v>289</v>
      </c>
      <c r="C22" s="60">
        <v>-72.459999999999994</v>
      </c>
    </row>
    <row r="23" spans="1:3" x14ac:dyDescent="0.25">
      <c r="A23" s="61" t="s">
        <v>290</v>
      </c>
      <c r="B23" s="62" t="s">
        <v>291</v>
      </c>
      <c r="C23" s="63">
        <v>2000</v>
      </c>
    </row>
    <row r="24" spans="1:3" x14ac:dyDescent="0.25">
      <c r="A24" s="58" t="s">
        <v>152</v>
      </c>
      <c r="B24" s="59" t="s">
        <v>292</v>
      </c>
      <c r="C24" s="60">
        <v>60000</v>
      </c>
    </row>
    <row r="25" spans="1:3" ht="15.75" thickBot="1" x14ac:dyDescent="0.3">
      <c r="A25" s="61" t="s">
        <v>152</v>
      </c>
      <c r="B25" s="62" t="s">
        <v>293</v>
      </c>
      <c r="C25" s="63">
        <v>-593.17999999999995</v>
      </c>
    </row>
    <row r="26" spans="1:3" ht="15.75" thickTop="1" x14ac:dyDescent="0.25">
      <c r="A26" s="64" t="s">
        <v>0</v>
      </c>
      <c r="B26" s="65"/>
      <c r="C26" s="66">
        <v>172131.31</v>
      </c>
    </row>
    <row r="29" spans="1:3" x14ac:dyDescent="0.25">
      <c r="B29" s="68" t="s">
        <v>294</v>
      </c>
      <c r="C29" s="67">
        <f>'Ingresos investigación 2024'!C31+Tabla2[[#Totals],[Imp.cob.aplic.]]+C26</f>
        <v>667928.03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2023</vt:lpstr>
      <vt:lpstr>Ingresos investigación 2024</vt:lpstr>
      <vt:lpstr>Ingresos investigación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2026-05-20T12:25:21Z</dcterms:modified>
</cp:coreProperties>
</file>