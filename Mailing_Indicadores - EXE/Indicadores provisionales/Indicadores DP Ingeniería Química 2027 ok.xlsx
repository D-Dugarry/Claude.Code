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71E219D1-9CE6-47B6-965E-003BB25F3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is" sheetId="2" r:id="rId1"/>
    <sheet name="Sexenios" sheetId="3" r:id="rId2"/>
    <sheet name="Ingresos investigación 2023" sheetId="10" r:id="rId3"/>
    <sheet name="Ingresos investigación 2024" sheetId="11" r:id="rId4"/>
    <sheet name="Ingresos investigación 2025" sheetId="15" r:id="rId5"/>
    <sheet name="Ingresos formación 2023" sheetId="14" r:id="rId6"/>
    <sheet name="Ingresos formación 2024" sheetId="12" r:id="rId7"/>
    <sheet name="Ingresos formación 2025" sheetId="16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5" l="1"/>
  <c r="C4" i="12"/>
  <c r="D6" i="16" s="1"/>
  <c r="C3" i="11" l="1"/>
  <c r="C5" i="10"/>
  <c r="S26" i="3"/>
  <c r="S58" i="2" l="1"/>
</calcChain>
</file>

<file path=xl/sharedStrings.xml><?xml version="1.0" encoding="utf-8"?>
<sst xmlns="http://schemas.openxmlformats.org/spreadsheetml/2006/main" count="1051" uniqueCount="268">
  <si>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</si>
  <si>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</si>
  <si>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</si>
  <si>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</si>
  <si>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</si>
  <si>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</si>
  <si>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</si>
  <si>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</si>
  <si>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</si>
  <si>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</si>
  <si>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</si>
  <si>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</si>
  <si>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</si>
  <si>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</si>
  <si>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</si>
  <si>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</si>
  <si>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</si>
  <si>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</si>
  <si>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</si>
  <si>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</si>
  <si>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</si>
  <si>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</si>
  <si>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</si>
  <si>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</si>
  <si>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</si>
  <si>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</si>
  <si>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10.05</t>
  </si>
  <si>
    <t>80</t>
  </si>
  <si>
    <t>U020 </t>
  </si>
  <si>
    <t>ADM. I.U. DEL AGUA Y DE LAS CIENCIAS AMBIENTALES </t>
  </si>
  <si>
    <t>DOCTORADO EN AGUA Y DESARROLLO SOSTENIBLE </t>
  </si>
  <si>
    <t>40</t>
  </si>
  <si>
    <t>U040 </t>
  </si>
  <si>
    <t>ADM. I.U. DE INGENIERÍA DE LOS PROCESOS QUÍMICOS </t>
  </si>
  <si>
    <t>DOCTORADO EN INGENIERÍA QUÍMICA </t>
  </si>
  <si>
    <t>21401194Q </t>
  </si>
  <si>
    <t>B151 </t>
  </si>
  <si>
    <t>INGENIERÍA QUÍMICA </t>
  </si>
  <si>
    <t>B151</t>
  </si>
  <si>
    <t>10.09</t>
  </si>
  <si>
    <t>22006135B </t>
  </si>
  <si>
    <t>21511293Z </t>
  </si>
  <si>
    <t>21477495A </t>
  </si>
  <si>
    <t>48352073R </t>
  </si>
  <si>
    <t>21462400L </t>
  </si>
  <si>
    <t>21470517V </t>
  </si>
  <si>
    <t>73768475T </t>
  </si>
  <si>
    <t>21407034Z </t>
  </si>
  <si>
    <t>21943946Z </t>
  </si>
  <si>
    <t>22003811X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</si>
  <si>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</si>
  <si>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</si>
  <si>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</si>
  <si>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</si>
  <si>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</si>
  <si>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</si>
  <si>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</si>
  <si>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</si>
  <si>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</si>
  <si>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</si>
  <si>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</si>
  <si>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</si>
  <si>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</si>
  <si>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48352073R</t>
  </si>
  <si>
    <t>21474957H</t>
  </si>
  <si>
    <t>22003811X</t>
  </si>
  <si>
    <t>21455103J</t>
  </si>
  <si>
    <t>21477495A</t>
  </si>
  <si>
    <t>21444613B</t>
  </si>
  <si>
    <t>22006135B</t>
  </si>
  <si>
    <t>21482281M</t>
  </si>
  <si>
    <t>48344784A</t>
  </si>
  <si>
    <t>73768475T</t>
  </si>
  <si>
    <t>21470517V</t>
  </si>
  <si>
    <t>21494722A</t>
  </si>
  <si>
    <t>21420512Z</t>
  </si>
  <si>
    <t>21399719J</t>
  </si>
  <si>
    <t>21488087S</t>
  </si>
  <si>
    <t>21401194Q</t>
  </si>
  <si>
    <t>21462400L</t>
  </si>
  <si>
    <t>21513988H</t>
  </si>
  <si>
    <t>21489023P</t>
  </si>
  <si>
    <t>21511293Z</t>
  </si>
  <si>
    <t>21510779Y</t>
  </si>
  <si>
    <t>21496269D</t>
  </si>
  <si>
    <t>Bernal Romero del Hombre Bueno, María de los Ángeles </t>
  </si>
  <si>
    <t>Reducción de microcontaminantes mediante procesos biológicos, tratamiento con membranas y carbón activado </t>
  </si>
  <si>
    <t>27/05/2020 </t>
  </si>
  <si>
    <t>21455103J </t>
  </si>
  <si>
    <t>Horodytska , Oksana </t>
  </si>
  <si>
    <t>PLASTICS RECYCLING: NEW CHALLENGES IN THE AGE OF THE CIRCULAR ECONOMY </t>
  </si>
  <si>
    <t>15/09/2020 </t>
  </si>
  <si>
    <t>COD DEP</t>
  </si>
  <si>
    <t>20</t>
  </si>
  <si>
    <t>48317347M</t>
  </si>
  <si>
    <t>55</t>
  </si>
  <si>
    <t>Asensio Morant, Javier </t>
  </si>
  <si>
    <t>PIRÓLISIS TÉRMICA Y CATALÍTICA DE LA NICOTINA Y NNK Y NNN, DOS NITROSAMINAS ESPECÍFICAS DEL TABACO </t>
  </si>
  <si>
    <t>04/12/2020 </t>
  </si>
  <si>
    <t>Vázquez Vázquez, Daniel </t>
  </si>
  <si>
    <t>Integrating and modeling multiple objectives in the design of chemical and industrial processes. </t>
  </si>
  <si>
    <t>23/10/2020 </t>
  </si>
  <si>
    <t>Jódar Abellán, Antonio </t>
  </si>
  <si>
    <t>Hydrological impacts of global change. Adaptation alternatives in complex water systems with water resources scarcity and severe natural risks (southeast of Spain) </t>
  </si>
  <si>
    <t>09/07/2021 </t>
  </si>
  <si>
    <t>Tratamiento de aguas residuales mediante UASB + eMBR para eliminación de productos farmacéuticos en aguas residuales urbanas </t>
  </si>
  <si>
    <t>15/09/2021 </t>
  </si>
  <si>
    <t>Domene López, Daniel </t>
  </si>
  <si>
    <t>ALMIDÓN TERMOPLÁSTICO PARA EL DISEÑO DE APLICACIONES MEDIOAMBIENTALES SOSTENIBLES </t>
  </si>
  <si>
    <t>21/12/2020 </t>
  </si>
  <si>
    <t>21494722A </t>
  </si>
  <si>
    <t>35.00.6C.00.14</t>
  </si>
  <si>
    <t>Cód. org. aplic.</t>
  </si>
  <si>
    <t>Descripción justificante</t>
  </si>
  <si>
    <t>MORA CABRERA, KAREN VIVIANA </t>
  </si>
  <si>
    <t>Londoño Larrea, Pablo Andrés </t>
  </si>
  <si>
    <t>Obtención y caracterización del biocarbón de cáscara de cacao y su aplicación como enmienda al suelo </t>
  </si>
  <si>
    <t>25/05/2022 </t>
  </si>
  <si>
    <t>Aldeguer Esquerdo, Alejandro </t>
  </si>
  <si>
    <t>Tratamientos combinados mediante carbón activado y ozono para reducir la presencia de atrazina, simazina, carbamazepina y diclofenaco en medio acuoso. </t>
  </si>
  <si>
    <t>27/05/2022 </t>
  </si>
  <si>
    <t>Calabuig Belda, Emilio </t>
  </si>
  <si>
    <t>"Pirólisis y descomposición del tabaco, efectos del uso catalizadores mesoporosos SBA-15" </t>
  </si>
  <si>
    <t>17/12/2021 </t>
  </si>
  <si>
    <t>48356166T</t>
  </si>
  <si>
    <t>NO FUNCIONARIO</t>
  </si>
  <si>
    <t>I.U. DE INGENIERÍA DE LOS PROCESOS QUÍMICOS (10.09) </t>
  </si>
  <si>
    <t>Cabanes Gil, Andrea </t>
  </si>
  <si>
    <t>Upcycling of post-consumer plastic waste: identification and mitigation of vocs in post-consumer polyolefins </t>
  </si>
  <si>
    <t>19/09/2022 </t>
  </si>
  <si>
    <t>Gandon Ros, Gerard </t>
  </si>
  <si>
    <t>Mejora de la viabilidad industrial de procesos que mitigan la contaminación originada al valorizar residuos de aparatos eléctricos y electrónicos: simbiosis con los pilares del desarrollo sostenible </t>
  </si>
  <si>
    <t>23/09/2022 </t>
  </si>
  <si>
    <t>48317347M </t>
  </si>
  <si>
    <t>Medina Romo, Sergio </t>
  </si>
  <si>
    <t>PRODUCCIÓN DE BIOCARBÓN POR PIRÓLISIS LENTA A PARTIR DE BIOMASA RESIDUAL DE PRODUCTIVIDAD DE LOS MISMOS INVERNADEROS URBANOS Y SU APLICACIÓN EN LA MEJORA DE LA </t>
  </si>
  <si>
    <t>27/06/2023 </t>
  </si>
  <si>
    <t>- </t>
  </si>
  <si>
    <t>Díaz Basantes, Milene Fernanda </t>
  </si>
  <si>
    <t>MICROPLÁSTICOS EN ALIMENTOS </t>
  </si>
  <si>
    <t>18/11/2022 </t>
  </si>
  <si>
    <t>López Terán, Jorge Luis </t>
  </si>
  <si>
    <t>Obtención y caracterización de nuevos biomateriales a base de almidón termoplástico y productos naturales </t>
  </si>
  <si>
    <t>02/03/2023 </t>
  </si>
  <si>
    <t>Garcia Castro, Florencia Lujan </t>
  </si>
  <si>
    <t>Optimization of sustainable supply chain design under uncertainty </t>
  </si>
  <si>
    <t>22/09/2023 </t>
  </si>
  <si>
    <t>Martínez Castro, Jennifer </t>
  </si>
  <si>
    <t>FORMULACIONES DE ALMIDÓN TERMOPLÁSTICO CON PLASTIFICANTES DE NUEVA GENERACIÓN </t>
  </si>
  <si>
    <t>25/05/2023 </t>
  </si>
  <si>
    <t>Carbonell Hermida, Paloma </t>
  </si>
  <si>
    <t>Correlación del equilibrio entre fases: ELV, ELL, ELS, ELLL y ELLS. Limitaciones y estrategias para superarlas. </t>
  </si>
  <si>
    <t>12/12/2022 </t>
  </si>
  <si>
    <t>21489023P </t>
  </si>
  <si>
    <t>Francisco dos Santos, Lucas </t>
  </si>
  <si>
    <t>Optimization of chemical process simulation: Application to the optimal rigorous design </t>
  </si>
  <si>
    <t>30/06/2023 </t>
  </si>
  <si>
    <t>I.U. DEL AGUA Y DE LAS CIENCIAS AMBIENTALES (10.05) </t>
  </si>
  <si>
    <t>Martínez Moya, Sergio </t>
  </si>
  <si>
    <t>TRATAMIENTO DE AGUA POR ELECTROMAGNETISMO: INFLUENCIA EN LA PRECIPITACIÓN DE CARBONATO CÁLCICO Y EFECTOS EN OTRAS APLICACIONES </t>
  </si>
  <si>
    <t>03/04/2023 </t>
  </si>
  <si>
    <t>21496269D </t>
  </si>
  <si>
    <t>Gomis Blasco, Alejandro </t>
  </si>
  <si>
    <t>Equilibrio de fases en sistemas agua+alcohol de cadena.corta+electrolito. Determinación experimental, consistencia termodinámica y modelización </t>
  </si>
  <si>
    <t>14/09/2022 </t>
  </si>
  <si>
    <t>48344784A </t>
  </si>
  <si>
    <t>21399719J </t>
  </si>
  <si>
    <t>Imp.cob.aplic.</t>
  </si>
  <si>
    <t>Análisis de muestras: FRX, Perlado de muestras, Perdida al fuego, DRX, Horas SEM HR y Preparación de muestras y análisis de resultados</t>
  </si>
  <si>
    <t>S</t>
  </si>
  <si>
    <t>35.00.6C.00.17</t>
  </si>
  <si>
    <t>Análisis de 5 muestras: FRX, perlado de muestras, pérdidas al fuego y preparación de muestras y análisis de resultados.</t>
  </si>
  <si>
    <t>Análisis 5 muestras: FRX, Perlado de muestras, Pérdidas al fuego y Preparación de muestras y análisis de resultados</t>
  </si>
  <si>
    <t>INGENIERÍA QUÍMICA</t>
  </si>
  <si>
    <t>DOCTORADO EN INGENIERÍA QUÍMICA</t>
  </si>
  <si>
    <t>Flores Oña, Diego Roberto</t>
  </si>
  <si>
    <t>Síntesis y Aplicación de Nanopartículas de Carbono obtenidas mediante Carbonización</t>
  </si>
  <si>
    <t>20/03/2024</t>
  </si>
  <si>
    <t>Director de tesis</t>
  </si>
  <si>
    <t>Núñez Ramos, Samuel Santiago</t>
  </si>
  <si>
    <t>CONTAMINANTES PELIGROSOS EN PLÁSTICOS RECICLADOS Y TRATAMIENTOS PARA SU MITIGACIÓN</t>
  </si>
  <si>
    <t>21/03/2024</t>
  </si>
  <si>
    <t>Codirector de tesis</t>
  </si>
  <si>
    <t>65</t>
  </si>
  <si>
    <t>Quiroga Colmenares, Eliana Marcela</t>
  </si>
  <si>
    <t>Catalytic production of high-value chemicals from biomass-derived products</t>
  </si>
  <si>
    <t>11/03/2024</t>
  </si>
  <si>
    <t>'-</t>
  </si>
  <si>
    <t>U020</t>
  </si>
  <si>
    <t>I.U. DEL AGUA Y DE LAS CIENCIAS AMBIENTALES (10.05)</t>
  </si>
  <si>
    <t>DOCTORADO EN AGUA Y DESARROLLO SOSTENIBLE</t>
  </si>
  <si>
    <t>Navarro Barrio, Rubén</t>
  </si>
  <si>
    <t>Evaluación de los consumos energéticos y costes asociados de las medidas de protección ambiental de las desaladoras de la Mancomunidad de los Canales del Taibilla</t>
  </si>
  <si>
    <t>28/11/2023</t>
  </si>
  <si>
    <t>Peña Paz, Tania María</t>
  </si>
  <si>
    <t>Modelo conceptual hidrogeológico y análisis hidroquímico para la gestión de recursos</t>
  </si>
  <si>
    <t>13/02/2024</t>
  </si>
  <si>
    <t>U052</t>
  </si>
  <si>
    <t>I.U. DE MATERIALES (10.14)</t>
  </si>
  <si>
    <t>DOCTORADO EN CIENCIA DE MATERIALES</t>
  </si>
  <si>
    <t>Mekki , Imene</t>
  </si>
  <si>
    <t>Study of the uncatalyzed and catalyzed soot combustion in the exhaust of last generation   combustion engines. Kinetic analysis and optimization of the catalytic formulations</t>
  </si>
  <si>
    <t>25/07/2024</t>
  </si>
  <si>
    <t>Org. aplic.</t>
  </si>
  <si>
    <t>Imp. aplic.</t>
  </si>
  <si>
    <t>Análisis de muestras de yeso</t>
  </si>
  <si>
    <t>10.91.2T.00.57</t>
  </si>
  <si>
    <t>CÓD: GM09. Microcredencial: Ética en la Investigación. Buenas prácticas y comités de ética.</t>
  </si>
  <si>
    <t>10.91.2T.00.72</t>
  </si>
  <si>
    <t xml:space="preserve">CÓD: GM09. Microcredencial.  ÉTICA EN LA INVESTIGACIÓN. BUENAS PRÁCTICAS Y COMITÉS DE ÉTICA _Plan_GM09-N Curso_2024-25_AñoCont_2024  </t>
  </si>
  <si>
    <t>No hay ingresos de formación en 2023</t>
  </si>
  <si>
    <t>Ingeniería Química</t>
  </si>
  <si>
    <t>Rosero Espín, Marco Vinicio</t>
  </si>
  <si>
    <t>ESTUDIO DE CARBONIZACIÓN DE MATERIALES LIGNOCELULÓSICOS NATIVOS DEL ECUADOR MEDIANTE PIRÓLISIS PARA LA OBTENCIÓN DE CARBÓN ACTIVADO PARA USO EN ELECTRODOS DE CAPACITORES</t>
  </si>
  <si>
    <t>03/04/2025</t>
  </si>
  <si>
    <t>Tobarra Moroño, Daniel</t>
  </si>
  <si>
    <t>CONTRIBUCION Y EVOLUCION DE LAS FUENTES DE MATERIAL PARTICULADO (PM10) EN EL PUERTO DE ALICANTE DURANTE EL PERIDO 2017-2023</t>
  </si>
  <si>
    <t>15/07/2025</t>
  </si>
  <si>
    <t>Berkane , Imene</t>
  </si>
  <si>
    <t>Technologies for plastic recycling</t>
  </si>
  <si>
    <t>23/01/2025</t>
  </si>
  <si>
    <t>Instituto Universitario Agua y Ciencias Ambientales (10.05)</t>
  </si>
  <si>
    <t>Córdova de Horta, Daniela</t>
  </si>
  <si>
    <t>Simulación dinámica de inundaciones compuestas. Caso de estudio: Malecón de la Habana, Cuba.</t>
  </si>
  <si>
    <t>26/09/2025</t>
  </si>
  <si>
    <t>U040</t>
  </si>
  <si>
    <t>I.U de Ingeniería de los Procesos Químicos(10.09)</t>
  </si>
  <si>
    <t>GARCIA CORRECHER, RUBEN</t>
  </si>
  <si>
    <t>Carbon-Encapsulated Iron Nanoparticles from Biomass: Synthesis and Applications</t>
  </si>
  <si>
    <t>28/02/2025</t>
  </si>
  <si>
    <t>2020</t>
  </si>
  <si>
    <t>2021</t>
  </si>
  <si>
    <t>2022</t>
  </si>
  <si>
    <t>2023</t>
  </si>
  <si>
    <t>2024</t>
  </si>
  <si>
    <t>2025</t>
  </si>
  <si>
    <t>Gomis Yagües, Vicente R.</t>
  </si>
  <si>
    <t>Gómez Siurana, María de los Desamparados</t>
  </si>
  <si>
    <t>Carratalá Giménez, Adoración Asunción</t>
  </si>
  <si>
    <t>Boluda Botella, Nuria</t>
  </si>
  <si>
    <t>Martín Gullón, Ignacio</t>
  </si>
  <si>
    <t>García Cortés, Ángela Nuria</t>
  </si>
  <si>
    <t>Asensi Steegmann, Juan Carlos</t>
  </si>
  <si>
    <t>Caballero Suárez, José Antonio</t>
  </si>
  <si>
    <t>Fernández Torres, María José</t>
  </si>
  <si>
    <t>Labarta Reyes, Juan Antonio</t>
  </si>
  <si>
    <t>Olaya López, María del Mar</t>
  </si>
  <si>
    <t>García Quesada, Juan Carlos</t>
  </si>
  <si>
    <t>Saquete Ferrándiz, María Dolores</t>
  </si>
  <si>
    <t>Salcedo Díaz, Raquel</t>
  </si>
  <si>
    <t>Ruiz Femenia, José Rubén</t>
  </si>
  <si>
    <t>Molto Berenguer, Julia</t>
  </si>
  <si>
    <t>Beltrán Rico, María Isabel</t>
  </si>
  <si>
    <t>Conesa Ferrer, Juan Antonio</t>
  </si>
  <si>
    <t>Gómez-Rico Núñez de Arenas, María Francisca</t>
  </si>
  <si>
    <t>Font Escamilla, Alicia</t>
  </si>
  <si>
    <t>Aracil Sáez, Ignacio</t>
  </si>
  <si>
    <t>Ortuño García, Nuria</t>
  </si>
  <si>
    <t>48563727D</t>
  </si>
  <si>
    <t>García Cano, Jorge</t>
  </si>
  <si>
    <t>Fullana Font, Andrés</t>
  </si>
  <si>
    <t>ESTUDIO PARA EL CONOCIMIENTO BASE DEL YESO Y DESARROLLO DE NUEVOS PRODUCTOS DE PLACAS DE YESO, YESO LAMINADO, PASTAS Y YESOS. Análisis de muestras</t>
  </si>
  <si>
    <t>Análisis de muestras. Número de pedido: PO4012614579</t>
  </si>
  <si>
    <t>35.00.6C.00.22</t>
  </si>
  <si>
    <t>Evaluación de contenido por parte del experto técnico del proyecto 951.870 de la empresa INGENEO EQUIPOS INDUSTRIALES, S.L,  "IMIDTA/2025/15: I+D de un novedoso sistema de precalentamiento de la materia prima de los hornos de oxicombustión en la elaboración de fritas cerámicas, para la optimización de la eficiencia energética y reducción de.."</t>
  </si>
  <si>
    <t>Total ingresos investigación 2023-25</t>
  </si>
  <si>
    <t>No hay ingresos de formación en 2025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</si>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</sst>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70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0" fontId="2" fillId="0" borderId="1" xfId="0" applyFont="1" applyBorder="1"/>
    <xf numFmtId="0" fontId="13" fillId="7" borderId="8" xfId="0" applyFont="1" applyFill="1" applyBorder="1"/>
    <xf numFmtId="43" fontId="0" fillId="0" borderId="0" xfId="0" applyNumberFormat="1"/>
    <xf numFmtId="0" fontId="9" fillId="8" borderId="7" xfId="0" applyFont="1" applyFill="1" applyBorder="1"/>
    <xf numFmtId="43" fontId="6" fillId="8" borderId="7" xfId="6" applyNumberFormat="1" applyFont="1" applyFill="1" applyBorder="1"/>
    <xf numFmtId="0" fontId="9" fillId="0" borderId="7" xfId="0" applyFont="1" applyBorder="1"/>
    <xf numFmtId="43" fontId="6" fillId="0" borderId="7" xfId="6" applyNumberFormat="1" applyFont="1" applyBorder="1"/>
    <xf numFmtId="0" fontId="0" fillId="0" borderId="1" xfId="0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165" fontId="4" fillId="3" borderId="1" xfId="1" applyNumberFormat="1" applyFont="1" applyFill="1" applyBorder="1" applyAlignment="1">
      <alignment horizontal="center"/>
    </xf>
    <xf numFmtId="0" fontId="0" fillId="0" borderId="9" xfId="0" applyBorder="1"/>
    <xf numFmtId="0" fontId="9" fillId="8" borderId="9" xfId="0" applyFont="1" applyFill="1" applyBorder="1"/>
    <xf numFmtId="43" fontId="6" fillId="8" borderId="9" xfId="6" applyNumberFormat="1" applyFont="1" applyFill="1" applyBorder="1"/>
    <xf numFmtId="43" fontId="0" fillId="0" borderId="9" xfId="0" applyNumberFormat="1" applyBorder="1"/>
    <xf numFmtId="0" fontId="11" fillId="7" borderId="8" xfId="0" applyFont="1" applyFill="1" applyBorder="1"/>
    <xf numFmtId="43" fontId="11" fillId="7" borderId="8" xfId="6" applyNumberFormat="1" applyFont="1" applyFill="1" applyBorder="1"/>
    <xf numFmtId="0" fontId="0" fillId="8" borderId="9" xfId="0" applyFill="1" applyBorder="1"/>
    <xf numFmtId="43" fontId="0" fillId="8" borderId="9" xfId="6" applyNumberFormat="1" applyFont="1" applyFill="1" applyBorder="1"/>
    <xf numFmtId="0" fontId="0" fillId="10" borderId="9" xfId="0" applyFill="1" applyBorder="1"/>
    <xf numFmtId="0" fontId="0" fillId="11" borderId="0" xfId="0" applyFill="1"/>
    <xf numFmtId="43" fontId="0" fillId="10" borderId="9" xfId="0" applyNumberFormat="1" applyFont="1" applyFill="1" applyBorder="1"/>
    <xf numFmtId="43" fontId="0" fillId="10" borderId="9" xfId="6" applyNumberFormat="1" applyFont="1" applyFill="1" applyBorder="1"/>
    <xf numFmtId="0" fontId="14" fillId="0" borderId="1" xfId="0" applyFont="1" applyBorder="1"/>
    <xf numFmtId="43" fontId="14" fillId="0" borderId="1" xfId="0" applyNumberFormat="1" applyFont="1" applyBorder="1"/>
    <xf numFmtId="0" fontId="2" fillId="4" borderId="0" xfId="1" applyFont="1" applyFill="1"/>
    <xf numFmtId="0" fontId="2" fillId="4" borderId="2" xfId="1" applyFont="1" applyFill="1" applyBorder="1"/>
    <xf numFmtId="166" fontId="2" fillId="4" borderId="2" xfId="1" applyNumberFormat="1" applyFont="1" applyFill="1" applyBorder="1"/>
    <xf numFmtId="0" fontId="2" fillId="4" borderId="2" xfId="1" applyFont="1" applyFill="1" applyBorder="1" applyAlignment="1">
      <alignment horizontal="right"/>
    </xf>
    <xf numFmtId="1" fontId="2" fillId="4" borderId="2" xfId="1" applyNumberFormat="1" applyFont="1" applyFill="1" applyBorder="1"/>
    <xf numFmtId="165" fontId="2" fillId="4" borderId="2" xfId="1" applyNumberFormat="1" applyFont="1" applyFill="1" applyBorder="1"/>
    <xf numFmtId="0" fontId="2" fillId="4" borderId="1" xfId="1" applyFont="1" applyFill="1" applyBorder="1"/>
    <xf numFmtId="0" fontId="2" fillId="0" borderId="1" xfId="1" applyFont="1" applyBorder="1"/>
    <xf numFmtId="0" fontId="2" fillId="4" borderId="3" xfId="1" applyFont="1" applyFill="1" applyBorder="1"/>
    <xf numFmtId="0" fontId="2" fillId="4" borderId="1" xfId="1" applyFont="1" applyFill="1" applyBorder="1" applyAlignment="1">
      <alignment horizontal="right"/>
    </xf>
    <xf numFmtId="0" fontId="2" fillId="0" borderId="0" xfId="0" applyFont="1"/>
    <xf numFmtId="0" fontId="2" fillId="4" borderId="0" xfId="1" applyFont="1" applyFill="1" applyAlignment="1">
      <alignment horizontal="right"/>
    </xf>
    <xf numFmtId="0" fontId="1" fillId="0" borderId="0" xfId="0" applyFont="1"/>
    <xf numFmtId="0" fontId="15" fillId="12" borderId="12" xfId="0" applyFont="1" applyFill="1" applyBorder="1"/>
    <xf numFmtId="0" fontId="15" fillId="12" borderId="13" xfId="0" applyFont="1" applyFill="1" applyBorder="1"/>
    <xf numFmtId="0" fontId="16" fillId="13" borderId="12" xfId="0" applyFont="1" applyFill="1" applyBorder="1"/>
    <xf numFmtId="0" fontId="16" fillId="13" borderId="13" xfId="0" applyFont="1" applyFill="1" applyBorder="1"/>
    <xf numFmtId="164" fontId="16" fillId="13" borderId="13" xfId="6" applyFont="1" applyFill="1" applyBorder="1"/>
    <xf numFmtId="0" fontId="16" fillId="0" borderId="12" xfId="0" applyFont="1" applyBorder="1"/>
    <xf numFmtId="0" fontId="16" fillId="0" borderId="13" xfId="0" applyFont="1" applyBorder="1"/>
    <xf numFmtId="164" fontId="16" fillId="0" borderId="13" xfId="6" applyFont="1" applyBorder="1"/>
    <xf numFmtId="0" fontId="17" fillId="0" borderId="10" xfId="0" applyFont="1" applyBorder="1"/>
    <xf numFmtId="0" fontId="17" fillId="0" borderId="11" xfId="0" applyFont="1" applyBorder="1"/>
    <xf numFmtId="164" fontId="17" fillId="0" borderId="11" xfId="6" applyFont="1" applyBorder="1"/>
    <xf numFmtId="165" fontId="14" fillId="9" borderId="0" xfId="0" applyNumberFormat="1" applyFont="1" applyFill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358CF7-53CE-4B9B-840F-3700264D81F7}" name="Tabla2" displayName="Tabla2" ref="A1:C5" totalsRowCount="1" headerRowDxfId="23" headerRowBorderDxfId="22" tableBorderDxfId="21" totalsRowBorderDxfId="20">
  <autoFilter ref="A1:C4" xr:uid="{AC358CF7-53CE-4B9B-840F-3700264D81F7}"/>
  <tableColumns count="3">
    <tableColumn id="1" xr3:uid="{1B4D8A23-F424-4129-B13E-A044897223FA}" name="Cód. org. aplic." totalsRowLabel="Total"/>
    <tableColumn id="2" xr3:uid="{F21951CF-47C8-498D-AC87-9A28EF046E9E}" name="Descripción justificante"/>
    <tableColumn id="3" xr3:uid="{BA8B537A-5BFC-4D1F-BCE2-2100A3B898FA}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F872B2-95CD-4B57-97A8-9FEDDFFC7B5F}" name="Tabla3" displayName="Tabla3" ref="A1:C3" totalsRowCount="1" totalsRowDxfId="17" headerRowBorderDxfId="19" tableBorderDxfId="18" totalsRowBorderDxfId="16">
  <autoFilter ref="A1:C2" xr:uid="{82F872B2-95CD-4B57-97A8-9FEDDFFC7B5F}"/>
  <tableColumns count="3">
    <tableColumn id="1" xr3:uid="{FE1A5E5A-6A3E-4BBA-8873-E0A4E495200E}" name="Org. aplic." totalsRowLabel="Total" dataDxfId="15" totalsRowDxfId="14"/>
    <tableColumn id="2" xr3:uid="{C02ABC0D-E84A-42B3-A593-E6C6FB48B6C5}" name="Descripción justificante" dataDxfId="13" totalsRowDxfId="12"/>
    <tableColumn id="3" xr3:uid="{0FC1AA73-D0BB-4639-A192-34A137BAD940}" name="Imp. aplic." totalsRowFunction="sum" dataDxfId="11" totalsRowDxfId="10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E7854B-67DB-42BA-9DF3-0A836411ED47}" name="Tabla35" displayName="Tabla35" ref="A1:C4" totalsRowCount="1" totalsRowDxfId="7" headerRowBorderDxfId="9" tableBorderDxfId="8" totalsRowBorderDxfId="6">
  <autoFilter ref="A1:C3" xr:uid="{89D05058-3BC6-40F7-BF60-A0BE8F7F90AB}"/>
  <tableColumns count="3">
    <tableColumn id="1" xr3:uid="{150A50B6-0108-4EA3-AF17-17B5FFFD1B7D}" name="Org. aplic." totalsRowLabel="Total" dataDxfId="5" totalsRowDxfId="4"/>
    <tableColumn id="2" xr3:uid="{A69D4CAD-73D9-42C0-A81D-0B31FA557A3C}" name="Descripción justificante" dataDxfId="3" totalsRowDxfId="2"/>
    <tableColumn id="3" xr3:uid="{CC5F2624-0E2E-4D79-A987-246EDE707284}" name="Imp. aplic." totalsRowFunction="sum" dataDxfId="1" totalsRow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8"/>
  <sheetViews>
    <sheetView showGridLines="0" tabSelected="1" zoomScale="120" zoomScaleNormal="120" workbookViewId="0">
      <pane xSplit="1" ySplit="1" topLeftCell="F29" activePane="bottomRight" state="frozen"/>
      <selection pane="topRight" activeCell="B1" sqref="B1"/>
      <selection pane="bottomLeft" activeCell="A2" sqref="A2"/>
      <selection pane="bottomRight" activeCell="E54" sqref="E54"/>
    </sheetView>
  </sheetViews>
  <sheetFormatPr baseColWidth="10" defaultColWidth="10.28515625" defaultRowHeight="11.25" x14ac:dyDescent="0.2"/>
  <cols>
    <col min="1" max="1" width="5" style="45" customWidth="1"/>
    <col min="2" max="4" width="29.7109375" style="45" customWidth="1"/>
    <col min="5" max="5" width="40.7109375" style="45" customWidth="1"/>
    <col min="6" max="6" width="9.140625" style="45" customWidth="1"/>
    <col min="7" max="7" width="9.7109375" style="45" customWidth="1"/>
    <col min="8" max="8" width="14.42578125" style="45" customWidth="1"/>
    <col min="9" max="9" width="5.85546875" style="45" customWidth="1"/>
    <col min="10" max="10" width="25.7109375" style="45" customWidth="1"/>
    <col min="11" max="12" width="5.140625" style="45" customWidth="1"/>
    <col min="13" max="13" width="4.42578125" style="45" customWidth="1"/>
    <col min="14" max="14" width="4.85546875" style="45" customWidth="1"/>
    <col min="15" max="15" width="4.85546875" style="56" customWidth="1"/>
    <col min="16" max="16" width="4.85546875" style="45" customWidth="1"/>
    <col min="17" max="17" width="3.5703125" style="56" customWidth="1"/>
    <col min="18" max="18" width="3.5703125" style="45" customWidth="1"/>
    <col min="19" max="21" width="5.140625" style="45" customWidth="1"/>
    <col min="22" max="16384" width="10.28515625" style="45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46" t="s">
        <v>28</v>
      </c>
      <c r="B2" s="46" t="s">
        <v>29</v>
      </c>
      <c r="C2" s="46" t="s">
        <v>30</v>
      </c>
      <c r="D2" s="46" t="s">
        <v>85</v>
      </c>
      <c r="E2" s="46" t="s">
        <v>86</v>
      </c>
      <c r="F2" s="46" t="s">
        <v>87</v>
      </c>
      <c r="G2" s="46" t="s">
        <v>88</v>
      </c>
      <c r="H2" s="46" t="s">
        <v>22</v>
      </c>
      <c r="I2" s="46" t="s">
        <v>36</v>
      </c>
      <c r="J2" s="46" t="s">
        <v>37</v>
      </c>
      <c r="K2" s="47">
        <v>0.5</v>
      </c>
      <c r="L2" s="46" t="s">
        <v>38</v>
      </c>
      <c r="M2" s="46">
        <v>2019</v>
      </c>
      <c r="N2" s="46" t="s">
        <v>39</v>
      </c>
      <c r="O2" s="48" t="s">
        <v>31</v>
      </c>
      <c r="P2" s="46" t="s">
        <v>26</v>
      </c>
      <c r="Q2" s="48" t="s">
        <v>93</v>
      </c>
      <c r="R2" s="49">
        <v>40</v>
      </c>
      <c r="S2" s="50">
        <v>0.2</v>
      </c>
      <c r="T2" s="50">
        <v>0.2</v>
      </c>
      <c r="U2" s="50">
        <v>0.1</v>
      </c>
    </row>
    <row r="3" spans="1:21" x14ac:dyDescent="0.2">
      <c r="A3" s="46" t="s">
        <v>28</v>
      </c>
      <c r="B3" s="46" t="s">
        <v>29</v>
      </c>
      <c r="C3" s="46" t="s">
        <v>30</v>
      </c>
      <c r="D3" s="46" t="s">
        <v>85</v>
      </c>
      <c r="E3" s="46" t="s">
        <v>86</v>
      </c>
      <c r="F3" s="46" t="s">
        <v>87</v>
      </c>
      <c r="G3" s="46" t="s">
        <v>48</v>
      </c>
      <c r="H3" s="46" t="s">
        <v>22</v>
      </c>
      <c r="I3" s="46" t="s">
        <v>36</v>
      </c>
      <c r="J3" s="46" t="s">
        <v>37</v>
      </c>
      <c r="K3" s="47">
        <v>0.5</v>
      </c>
      <c r="L3" s="46" t="s">
        <v>38</v>
      </c>
      <c r="M3" s="46">
        <v>2019</v>
      </c>
      <c r="N3" s="46" t="s">
        <v>39</v>
      </c>
      <c r="O3" s="48" t="s">
        <v>25</v>
      </c>
      <c r="P3" s="46" t="s">
        <v>26</v>
      </c>
      <c r="Q3" s="48" t="s">
        <v>27</v>
      </c>
      <c r="R3" s="49">
        <v>10</v>
      </c>
      <c r="S3" s="50">
        <v>0.05</v>
      </c>
      <c r="T3" s="50">
        <v>0.05</v>
      </c>
      <c r="U3" s="50">
        <v>0.4</v>
      </c>
    </row>
    <row r="4" spans="1:21" x14ac:dyDescent="0.2">
      <c r="A4" s="46" t="s">
        <v>32</v>
      </c>
      <c r="B4" s="46" t="s">
        <v>33</v>
      </c>
      <c r="C4" s="46" t="s">
        <v>34</v>
      </c>
      <c r="D4" s="46" t="s">
        <v>89</v>
      </c>
      <c r="E4" s="46" t="s">
        <v>90</v>
      </c>
      <c r="F4" s="46" t="s">
        <v>91</v>
      </c>
      <c r="G4" s="46" t="s">
        <v>46</v>
      </c>
      <c r="H4" s="46" t="s">
        <v>24</v>
      </c>
      <c r="I4" s="46" t="s">
        <v>36</v>
      </c>
      <c r="J4" s="46" t="s">
        <v>37</v>
      </c>
      <c r="K4" s="47">
        <v>1</v>
      </c>
      <c r="L4" s="46" t="s">
        <v>38</v>
      </c>
      <c r="M4" s="46">
        <v>2019</v>
      </c>
      <c r="N4" s="46" t="s">
        <v>26</v>
      </c>
      <c r="O4" s="48" t="s">
        <v>25</v>
      </c>
      <c r="P4" s="46" t="s">
        <v>39</v>
      </c>
      <c r="Q4" s="48" t="s">
        <v>95</v>
      </c>
      <c r="R4" s="49">
        <v>35</v>
      </c>
      <c r="S4" s="50">
        <v>0.35</v>
      </c>
      <c r="T4" s="50">
        <v>0.1</v>
      </c>
      <c r="U4" s="50">
        <v>0.55000000000000004</v>
      </c>
    </row>
    <row r="5" spans="1:21" x14ac:dyDescent="0.2">
      <c r="A5" s="51" t="s">
        <v>32</v>
      </c>
      <c r="B5" s="51" t="s">
        <v>33</v>
      </c>
      <c r="C5" s="51" t="s">
        <v>34</v>
      </c>
      <c r="D5" s="51" t="s">
        <v>96</v>
      </c>
      <c r="E5" s="51" t="s">
        <v>97</v>
      </c>
      <c r="F5" s="51" t="s">
        <v>98</v>
      </c>
      <c r="G5" s="51" t="s">
        <v>35</v>
      </c>
      <c r="H5" s="51" t="s">
        <v>22</v>
      </c>
      <c r="I5" s="51" t="s">
        <v>36</v>
      </c>
      <c r="J5" s="51" t="s">
        <v>37</v>
      </c>
      <c r="K5" s="52">
        <v>0.5</v>
      </c>
      <c r="L5" s="52" t="s">
        <v>38</v>
      </c>
      <c r="M5" s="53">
        <v>2019</v>
      </c>
      <c r="N5" s="51" t="s">
        <v>39</v>
      </c>
      <c r="O5" s="54">
        <v>65</v>
      </c>
      <c r="P5" s="51" t="s">
        <v>23</v>
      </c>
      <c r="Q5" s="54">
        <v>0</v>
      </c>
      <c r="R5" s="51">
        <v>35</v>
      </c>
      <c r="S5" s="51">
        <v>0.17499999999999999</v>
      </c>
      <c r="T5" s="51">
        <v>0.32500000000000001</v>
      </c>
      <c r="U5" s="51">
        <v>0</v>
      </c>
    </row>
    <row r="6" spans="1:21" x14ac:dyDescent="0.2">
      <c r="A6" s="51" t="s">
        <v>32</v>
      </c>
      <c r="B6" s="51" t="s">
        <v>33</v>
      </c>
      <c r="C6" s="51" t="s">
        <v>34</v>
      </c>
      <c r="D6" s="51" t="s">
        <v>96</v>
      </c>
      <c r="E6" s="51" t="s">
        <v>97</v>
      </c>
      <c r="F6" s="51" t="s">
        <v>98</v>
      </c>
      <c r="G6" s="51" t="s">
        <v>49</v>
      </c>
      <c r="H6" s="51" t="s">
        <v>22</v>
      </c>
      <c r="I6" s="51" t="s">
        <v>36</v>
      </c>
      <c r="J6" s="51" t="s">
        <v>37</v>
      </c>
      <c r="K6" s="52">
        <v>0.5</v>
      </c>
      <c r="L6" s="52" t="s">
        <v>38</v>
      </c>
      <c r="M6" s="53">
        <v>2019</v>
      </c>
      <c r="N6" s="51" t="s">
        <v>39</v>
      </c>
      <c r="O6" s="54">
        <v>65</v>
      </c>
      <c r="P6" s="51" t="s">
        <v>23</v>
      </c>
      <c r="Q6" s="54">
        <v>0</v>
      </c>
      <c r="R6" s="51">
        <v>35</v>
      </c>
      <c r="S6" s="51">
        <v>0.17499999999999999</v>
      </c>
      <c r="T6" s="51">
        <v>0.32500000000000001</v>
      </c>
      <c r="U6" s="51">
        <v>0</v>
      </c>
    </row>
    <row r="7" spans="1:21" x14ac:dyDescent="0.2">
      <c r="A7" s="51" t="s">
        <v>32</v>
      </c>
      <c r="B7" s="51" t="s">
        <v>33</v>
      </c>
      <c r="C7" s="51" t="s">
        <v>34</v>
      </c>
      <c r="D7" s="51" t="s">
        <v>99</v>
      </c>
      <c r="E7" s="51" t="s">
        <v>100</v>
      </c>
      <c r="F7" s="51" t="s">
        <v>101</v>
      </c>
      <c r="G7" s="51" t="s">
        <v>41</v>
      </c>
      <c r="H7" s="51" t="s">
        <v>22</v>
      </c>
      <c r="I7" s="51" t="s">
        <v>36</v>
      </c>
      <c r="J7" s="51" t="s">
        <v>37</v>
      </c>
      <c r="K7" s="52">
        <v>0.5</v>
      </c>
      <c r="L7" s="52" t="s">
        <v>38</v>
      </c>
      <c r="M7" s="53">
        <v>2019</v>
      </c>
      <c r="N7" s="51" t="s">
        <v>39</v>
      </c>
      <c r="O7" s="54">
        <v>65</v>
      </c>
      <c r="P7" s="51" t="s">
        <v>23</v>
      </c>
      <c r="Q7" s="54">
        <v>0</v>
      </c>
      <c r="R7" s="51">
        <v>35</v>
      </c>
      <c r="S7" s="51">
        <v>0.17499999999999999</v>
      </c>
      <c r="T7" s="51">
        <v>0.32500000000000001</v>
      </c>
      <c r="U7" s="51">
        <v>0</v>
      </c>
    </row>
    <row r="8" spans="1:21" ht="12" thickBot="1" x14ac:dyDescent="0.25">
      <c r="A8" s="51" t="s">
        <v>32</v>
      </c>
      <c r="B8" s="51" t="s">
        <v>33</v>
      </c>
      <c r="C8" s="51" t="s">
        <v>34</v>
      </c>
      <c r="D8" s="51" t="s">
        <v>99</v>
      </c>
      <c r="E8" s="51" t="s">
        <v>100</v>
      </c>
      <c r="F8" s="51" t="s">
        <v>101</v>
      </c>
      <c r="G8" s="51" t="s">
        <v>42</v>
      </c>
      <c r="H8" s="51" t="s">
        <v>22</v>
      </c>
      <c r="I8" s="51" t="s">
        <v>36</v>
      </c>
      <c r="J8" s="51" t="s">
        <v>37</v>
      </c>
      <c r="K8" s="52">
        <v>0.5</v>
      </c>
      <c r="L8" s="52" t="s">
        <v>38</v>
      </c>
      <c r="M8" s="53">
        <v>2019</v>
      </c>
      <c r="N8" s="51" t="s">
        <v>39</v>
      </c>
      <c r="O8" s="54">
        <v>65</v>
      </c>
      <c r="P8" s="51" t="s">
        <v>23</v>
      </c>
      <c r="Q8" s="54">
        <v>0</v>
      </c>
      <c r="R8" s="51">
        <v>35</v>
      </c>
      <c r="S8" s="51">
        <v>0.17499999999999999</v>
      </c>
      <c r="T8" s="51">
        <v>0.32500000000000001</v>
      </c>
      <c r="U8" s="51">
        <v>0</v>
      </c>
    </row>
    <row r="9" spans="1:21" ht="12" thickBot="1" x14ac:dyDescent="0.25">
      <c r="A9" s="16" t="s">
        <v>28</v>
      </c>
      <c r="B9" s="16" t="s">
        <v>29</v>
      </c>
      <c r="C9" s="16" t="s">
        <v>30</v>
      </c>
      <c r="D9" s="16" t="s">
        <v>114</v>
      </c>
      <c r="E9" s="16" t="s">
        <v>105</v>
      </c>
      <c r="F9" s="16" t="s">
        <v>106</v>
      </c>
      <c r="G9" s="17" t="s">
        <v>48</v>
      </c>
      <c r="H9" s="18" t="s">
        <v>22</v>
      </c>
      <c r="I9" s="18" t="s">
        <v>36</v>
      </c>
      <c r="J9" s="19" t="s">
        <v>37</v>
      </c>
      <c r="K9" s="52">
        <v>0.5</v>
      </c>
      <c r="L9" s="52" t="s">
        <v>38</v>
      </c>
      <c r="M9" s="51">
        <v>2020</v>
      </c>
      <c r="N9" s="51" t="s">
        <v>39</v>
      </c>
      <c r="O9" s="54">
        <v>10</v>
      </c>
      <c r="P9" s="51" t="s">
        <v>26</v>
      </c>
      <c r="Q9" s="54">
        <v>80</v>
      </c>
      <c r="R9" s="51">
        <v>10</v>
      </c>
      <c r="S9" s="51">
        <v>0.05</v>
      </c>
      <c r="T9" s="51">
        <v>0.05</v>
      </c>
      <c r="U9" s="51">
        <v>0.4</v>
      </c>
    </row>
    <row r="10" spans="1:21" ht="12" thickBot="1" x14ac:dyDescent="0.25">
      <c r="A10" s="16" t="s">
        <v>28</v>
      </c>
      <c r="B10" s="16" t="s">
        <v>29</v>
      </c>
      <c r="C10" s="16" t="s">
        <v>30</v>
      </c>
      <c r="D10" s="16" t="s">
        <v>102</v>
      </c>
      <c r="E10" s="16" t="s">
        <v>103</v>
      </c>
      <c r="F10" s="16" t="s">
        <v>104</v>
      </c>
      <c r="G10" s="17" t="s">
        <v>48</v>
      </c>
      <c r="H10" s="18" t="s">
        <v>22</v>
      </c>
      <c r="I10" s="18" t="s">
        <v>36</v>
      </c>
      <c r="J10" s="19" t="s">
        <v>37</v>
      </c>
      <c r="K10" s="52">
        <v>0.33333333333333331</v>
      </c>
      <c r="L10" s="52" t="s">
        <v>38</v>
      </c>
      <c r="M10" s="51">
        <v>2020</v>
      </c>
      <c r="N10" s="51" t="s">
        <v>39</v>
      </c>
      <c r="O10" s="54">
        <v>10</v>
      </c>
      <c r="P10" s="51" t="s">
        <v>26</v>
      </c>
      <c r="Q10" s="54">
        <v>80</v>
      </c>
      <c r="R10" s="51">
        <v>10</v>
      </c>
      <c r="S10" s="51">
        <v>3.3333333333333333E-2</v>
      </c>
      <c r="T10" s="51">
        <v>3.3333333333333333E-2</v>
      </c>
      <c r="U10" s="51">
        <v>0.26666666666666666</v>
      </c>
    </row>
    <row r="11" spans="1:21" ht="12" thickBot="1" x14ac:dyDescent="0.25">
      <c r="A11" s="16" t="s">
        <v>32</v>
      </c>
      <c r="B11" s="16" t="s">
        <v>33</v>
      </c>
      <c r="C11" s="16" t="s">
        <v>34</v>
      </c>
      <c r="D11" s="16" t="s">
        <v>107</v>
      </c>
      <c r="E11" s="16" t="s">
        <v>108</v>
      </c>
      <c r="F11" s="16" t="s">
        <v>109</v>
      </c>
      <c r="G11" s="17" t="s">
        <v>44</v>
      </c>
      <c r="H11" s="18" t="s">
        <v>22</v>
      </c>
      <c r="I11" s="18" t="s">
        <v>36</v>
      </c>
      <c r="J11" s="19" t="s">
        <v>37</v>
      </c>
      <c r="K11" s="52">
        <v>0.5</v>
      </c>
      <c r="L11" s="52" t="s">
        <v>38</v>
      </c>
      <c r="M11" s="51">
        <v>2020</v>
      </c>
      <c r="N11" s="51" t="s">
        <v>39</v>
      </c>
      <c r="O11" s="54">
        <v>65</v>
      </c>
      <c r="P11" s="51" t="s">
        <v>23</v>
      </c>
      <c r="Q11" s="54">
        <v>0</v>
      </c>
      <c r="R11" s="51">
        <v>35</v>
      </c>
      <c r="S11" s="51">
        <v>0.17499999999999999</v>
      </c>
      <c r="T11" s="51">
        <v>0.32500000000000001</v>
      </c>
      <c r="U11" s="51">
        <v>0</v>
      </c>
    </row>
    <row r="12" spans="1:21" ht="12" thickBot="1" x14ac:dyDescent="0.25">
      <c r="A12" s="16" t="s">
        <v>32</v>
      </c>
      <c r="B12" s="16" t="s">
        <v>33</v>
      </c>
      <c r="C12" s="16" t="s">
        <v>34</v>
      </c>
      <c r="D12" s="16" t="s">
        <v>107</v>
      </c>
      <c r="E12" s="16" t="s">
        <v>108</v>
      </c>
      <c r="F12" s="16" t="s">
        <v>109</v>
      </c>
      <c r="G12" s="17" t="s">
        <v>110</v>
      </c>
      <c r="H12" s="18" t="s">
        <v>22</v>
      </c>
      <c r="I12" s="18" t="s">
        <v>36</v>
      </c>
      <c r="J12" s="19" t="s">
        <v>37</v>
      </c>
      <c r="K12" s="52">
        <v>0.5</v>
      </c>
      <c r="L12" s="52" t="s">
        <v>38</v>
      </c>
      <c r="M12" s="51">
        <v>2020</v>
      </c>
      <c r="N12" s="51" t="s">
        <v>39</v>
      </c>
      <c r="O12" s="54">
        <v>65</v>
      </c>
      <c r="P12" s="51" t="s">
        <v>23</v>
      </c>
      <c r="Q12" s="54">
        <v>0</v>
      </c>
      <c r="R12" s="51">
        <v>35</v>
      </c>
      <c r="S12" s="51">
        <v>0.17499999999999999</v>
      </c>
      <c r="T12" s="51">
        <v>0.32500000000000001</v>
      </c>
      <c r="U12" s="51">
        <v>0</v>
      </c>
    </row>
    <row r="13" spans="1:21" x14ac:dyDescent="0.2">
      <c r="A13" s="51" t="s">
        <v>36</v>
      </c>
      <c r="B13" s="51" t="s">
        <v>37</v>
      </c>
      <c r="C13" s="51" t="s">
        <v>34</v>
      </c>
      <c r="D13" s="51" t="s">
        <v>115</v>
      </c>
      <c r="E13" s="51" t="s">
        <v>116</v>
      </c>
      <c r="F13" s="51" t="s">
        <v>117</v>
      </c>
      <c r="G13" s="51" t="s">
        <v>35</v>
      </c>
      <c r="H13" s="51" t="s">
        <v>22</v>
      </c>
      <c r="I13" s="51" t="s">
        <v>36</v>
      </c>
      <c r="J13" s="51" t="s">
        <v>37</v>
      </c>
      <c r="K13" s="52">
        <v>0.5</v>
      </c>
      <c r="L13" s="52" t="s">
        <v>38</v>
      </c>
      <c r="M13" s="51">
        <v>2021</v>
      </c>
      <c r="N13" s="51" t="s">
        <v>39</v>
      </c>
      <c r="O13" s="54">
        <v>65</v>
      </c>
      <c r="P13" s="51" t="s">
        <v>23</v>
      </c>
      <c r="Q13" s="54">
        <v>0</v>
      </c>
      <c r="R13" s="51">
        <v>35</v>
      </c>
      <c r="S13" s="51">
        <v>0.17499999999999999</v>
      </c>
      <c r="T13" s="51">
        <v>0.32500000000000001</v>
      </c>
      <c r="U13" s="51">
        <v>0</v>
      </c>
    </row>
    <row r="14" spans="1:21" x14ac:dyDescent="0.2">
      <c r="A14" s="51" t="s">
        <v>36</v>
      </c>
      <c r="B14" s="51" t="s">
        <v>37</v>
      </c>
      <c r="C14" s="51" t="s">
        <v>34</v>
      </c>
      <c r="D14" s="51" t="s">
        <v>115</v>
      </c>
      <c r="E14" s="51" t="s">
        <v>116</v>
      </c>
      <c r="F14" s="51" t="s">
        <v>117</v>
      </c>
      <c r="G14" s="51" t="s">
        <v>45</v>
      </c>
      <c r="H14" s="51" t="s">
        <v>22</v>
      </c>
      <c r="I14" s="51" t="s">
        <v>36</v>
      </c>
      <c r="J14" s="51" t="s">
        <v>37</v>
      </c>
      <c r="K14" s="52">
        <v>0.5</v>
      </c>
      <c r="L14" s="52" t="s">
        <v>38</v>
      </c>
      <c r="M14" s="51">
        <v>2021</v>
      </c>
      <c r="N14" s="51" t="s">
        <v>39</v>
      </c>
      <c r="O14" s="54">
        <v>65</v>
      </c>
      <c r="P14" s="51" t="s">
        <v>23</v>
      </c>
      <c r="Q14" s="54">
        <v>0</v>
      </c>
      <c r="R14" s="51">
        <v>35</v>
      </c>
      <c r="S14" s="51">
        <v>0.17499999999999999</v>
      </c>
      <c r="T14" s="51">
        <v>0.32500000000000001</v>
      </c>
      <c r="U14" s="51">
        <v>0</v>
      </c>
    </row>
    <row r="15" spans="1:21" x14ac:dyDescent="0.2">
      <c r="A15" s="51" t="s">
        <v>28</v>
      </c>
      <c r="B15" s="51" t="s">
        <v>29</v>
      </c>
      <c r="C15" s="51" t="s">
        <v>30</v>
      </c>
      <c r="D15" s="51" t="s">
        <v>118</v>
      </c>
      <c r="E15" s="51" t="s">
        <v>119</v>
      </c>
      <c r="F15" s="51" t="s">
        <v>120</v>
      </c>
      <c r="G15" s="51" t="s">
        <v>47</v>
      </c>
      <c r="H15" s="51" t="s">
        <v>22</v>
      </c>
      <c r="I15" s="51" t="s">
        <v>36</v>
      </c>
      <c r="J15" s="51" t="s">
        <v>37</v>
      </c>
      <c r="K15" s="52">
        <v>0.5</v>
      </c>
      <c r="L15" s="52" t="s">
        <v>38</v>
      </c>
      <c r="M15" s="51">
        <v>2021</v>
      </c>
      <c r="N15" s="51" t="s">
        <v>26</v>
      </c>
      <c r="O15" s="54">
        <v>45</v>
      </c>
      <c r="P15" s="51" t="s">
        <v>39</v>
      </c>
      <c r="Q15" s="54">
        <v>45</v>
      </c>
      <c r="R15" s="51">
        <v>10</v>
      </c>
      <c r="S15" s="51">
        <v>0.05</v>
      </c>
      <c r="T15" s="51">
        <v>0.22500000000000001</v>
      </c>
      <c r="U15" s="51">
        <v>0.22500000000000001</v>
      </c>
    </row>
    <row r="16" spans="1:21" x14ac:dyDescent="0.2">
      <c r="A16" s="51" t="s">
        <v>32</v>
      </c>
      <c r="B16" s="51" t="s">
        <v>33</v>
      </c>
      <c r="C16" s="51" t="s">
        <v>34</v>
      </c>
      <c r="D16" s="51" t="s">
        <v>121</v>
      </c>
      <c r="E16" s="51" t="s">
        <v>122</v>
      </c>
      <c r="F16" s="51" t="s">
        <v>123</v>
      </c>
      <c r="G16" s="51" t="s">
        <v>35</v>
      </c>
      <c r="H16" s="51" t="s">
        <v>22</v>
      </c>
      <c r="I16" s="51" t="s">
        <v>36</v>
      </c>
      <c r="J16" s="51" t="s">
        <v>37</v>
      </c>
      <c r="K16" s="52">
        <v>0.5</v>
      </c>
      <c r="L16" s="52" t="s">
        <v>38</v>
      </c>
      <c r="M16" s="51">
        <v>2021</v>
      </c>
      <c r="N16" s="51" t="s">
        <v>39</v>
      </c>
      <c r="O16" s="54">
        <v>65</v>
      </c>
      <c r="P16" s="51" t="s">
        <v>23</v>
      </c>
      <c r="Q16" s="54">
        <v>0</v>
      </c>
      <c r="R16" s="51">
        <v>35</v>
      </c>
      <c r="S16" s="51">
        <v>0.17499999999999999</v>
      </c>
      <c r="T16" s="51">
        <v>0.32500000000000001</v>
      </c>
      <c r="U16" s="51">
        <v>0</v>
      </c>
    </row>
    <row r="17" spans="1:21" x14ac:dyDescent="0.2">
      <c r="A17" s="51" t="s">
        <v>32</v>
      </c>
      <c r="B17" s="51" t="s">
        <v>33</v>
      </c>
      <c r="C17" s="51" t="s">
        <v>34</v>
      </c>
      <c r="D17" s="51" t="s">
        <v>121</v>
      </c>
      <c r="E17" s="51" t="s">
        <v>122</v>
      </c>
      <c r="F17" s="51" t="s">
        <v>123</v>
      </c>
      <c r="G17" s="51" t="s">
        <v>49</v>
      </c>
      <c r="H17" s="51" t="s">
        <v>22</v>
      </c>
      <c r="I17" s="51" t="s">
        <v>36</v>
      </c>
      <c r="J17" s="51" t="s">
        <v>37</v>
      </c>
      <c r="K17" s="52">
        <v>0.5</v>
      </c>
      <c r="L17" s="52" t="s">
        <v>38</v>
      </c>
      <c r="M17" s="51">
        <v>2021</v>
      </c>
      <c r="N17" s="51" t="s">
        <v>39</v>
      </c>
      <c r="O17" s="54">
        <v>65</v>
      </c>
      <c r="P17" s="51" t="s">
        <v>23</v>
      </c>
      <c r="Q17" s="54">
        <v>0</v>
      </c>
      <c r="R17" s="51">
        <v>35</v>
      </c>
      <c r="S17" s="51">
        <v>0.17499999999999999</v>
      </c>
      <c r="T17" s="51">
        <v>0.32500000000000001</v>
      </c>
      <c r="U17" s="51">
        <v>0</v>
      </c>
    </row>
    <row r="18" spans="1:21" x14ac:dyDescent="0.2">
      <c r="A18" s="51" t="s">
        <v>32</v>
      </c>
      <c r="B18" s="51" t="s">
        <v>126</v>
      </c>
      <c r="C18" s="51" t="s">
        <v>34</v>
      </c>
      <c r="D18" s="51" t="s">
        <v>127</v>
      </c>
      <c r="E18" s="51" t="s">
        <v>128</v>
      </c>
      <c r="F18" s="51" t="s">
        <v>129</v>
      </c>
      <c r="G18" s="51" t="s">
        <v>46</v>
      </c>
      <c r="H18" s="51" t="s">
        <v>24</v>
      </c>
      <c r="I18" s="51" t="s">
        <v>36</v>
      </c>
      <c r="J18" s="51" t="s">
        <v>37</v>
      </c>
      <c r="K18" s="20">
        <v>1</v>
      </c>
      <c r="L18" s="20" t="s">
        <v>38</v>
      </c>
      <c r="M18" s="51">
        <v>2021</v>
      </c>
      <c r="N18" s="20" t="s">
        <v>26</v>
      </c>
      <c r="O18" s="20">
        <v>10</v>
      </c>
      <c r="P18" s="20" t="s">
        <v>39</v>
      </c>
      <c r="Q18" s="20">
        <v>55</v>
      </c>
      <c r="R18" s="20">
        <v>35</v>
      </c>
      <c r="S18" s="20">
        <v>0.35</v>
      </c>
      <c r="T18" s="20">
        <v>0.1</v>
      </c>
      <c r="U18" s="20">
        <v>0.55000000000000004</v>
      </c>
    </row>
    <row r="19" spans="1:21" x14ac:dyDescent="0.2">
      <c r="A19" s="51" t="s">
        <v>36</v>
      </c>
      <c r="B19" s="51" t="s">
        <v>37</v>
      </c>
      <c r="C19" s="51" t="s">
        <v>34</v>
      </c>
      <c r="D19" s="51" t="s">
        <v>130</v>
      </c>
      <c r="E19" s="51" t="s">
        <v>131</v>
      </c>
      <c r="F19" s="51" t="s">
        <v>132</v>
      </c>
      <c r="G19" s="51" t="s">
        <v>133</v>
      </c>
      <c r="H19" s="51" t="s">
        <v>22</v>
      </c>
      <c r="I19" s="51" t="s">
        <v>36</v>
      </c>
      <c r="J19" s="51" t="s">
        <v>37</v>
      </c>
      <c r="K19" s="20">
        <v>0.5</v>
      </c>
      <c r="L19" s="20" t="s">
        <v>38</v>
      </c>
      <c r="M19" s="51">
        <v>2021</v>
      </c>
      <c r="N19" s="20" t="s">
        <v>26</v>
      </c>
      <c r="O19" s="20">
        <v>10</v>
      </c>
      <c r="P19" s="20" t="s">
        <v>39</v>
      </c>
      <c r="Q19" s="20">
        <v>65</v>
      </c>
      <c r="R19" s="20">
        <v>25</v>
      </c>
      <c r="S19" s="20">
        <v>0.125</v>
      </c>
      <c r="T19" s="20">
        <v>0.05</v>
      </c>
      <c r="U19" s="20">
        <v>0.32500000000000001</v>
      </c>
    </row>
    <row r="20" spans="1:21" x14ac:dyDescent="0.2">
      <c r="A20" s="51" t="s">
        <v>36</v>
      </c>
      <c r="B20" s="51" t="s">
        <v>37</v>
      </c>
      <c r="C20" s="51" t="s">
        <v>34</v>
      </c>
      <c r="D20" s="51" t="s">
        <v>130</v>
      </c>
      <c r="E20" s="51" t="s">
        <v>131</v>
      </c>
      <c r="F20" s="51" t="s">
        <v>132</v>
      </c>
      <c r="G20" s="51" t="s">
        <v>43</v>
      </c>
      <c r="H20" s="51" t="s">
        <v>22</v>
      </c>
      <c r="I20" s="51" t="s">
        <v>36</v>
      </c>
      <c r="J20" s="51" t="s">
        <v>37</v>
      </c>
      <c r="K20" s="20">
        <v>0.5</v>
      </c>
      <c r="L20" s="20" t="s">
        <v>38</v>
      </c>
      <c r="M20" s="51">
        <v>2021</v>
      </c>
      <c r="N20" s="20" t="s">
        <v>39</v>
      </c>
      <c r="O20" s="20">
        <v>65</v>
      </c>
      <c r="P20" s="20" t="s">
        <v>23</v>
      </c>
      <c r="Q20" s="20">
        <v>0</v>
      </c>
      <c r="R20" s="20">
        <v>35</v>
      </c>
      <c r="S20" s="20">
        <v>0.17499999999999999</v>
      </c>
      <c r="T20" s="20">
        <v>0.32500000000000001</v>
      </c>
      <c r="U20" s="20">
        <v>0</v>
      </c>
    </row>
    <row r="21" spans="1:21" x14ac:dyDescent="0.2">
      <c r="A21" s="51" t="s">
        <v>36</v>
      </c>
      <c r="B21" s="51" t="s">
        <v>37</v>
      </c>
      <c r="C21" s="51" t="s">
        <v>34</v>
      </c>
      <c r="D21" s="51" t="s">
        <v>134</v>
      </c>
      <c r="E21" s="51" t="s">
        <v>135</v>
      </c>
      <c r="F21" s="51" t="s">
        <v>136</v>
      </c>
      <c r="G21" s="51" t="s">
        <v>35</v>
      </c>
      <c r="H21" s="51" t="s">
        <v>22</v>
      </c>
      <c r="I21" s="51" t="s">
        <v>36</v>
      </c>
      <c r="J21" s="51" t="s">
        <v>37</v>
      </c>
      <c r="K21" s="20">
        <v>0.33</v>
      </c>
      <c r="L21" s="20" t="s">
        <v>38</v>
      </c>
      <c r="M21" s="51">
        <v>2022</v>
      </c>
      <c r="N21" s="20" t="s">
        <v>39</v>
      </c>
      <c r="O21" s="20">
        <v>65</v>
      </c>
      <c r="P21" s="20" t="s">
        <v>23</v>
      </c>
      <c r="Q21" s="20">
        <v>0</v>
      </c>
      <c r="R21" s="20">
        <v>35</v>
      </c>
      <c r="S21" s="20">
        <v>0.11550000000000001</v>
      </c>
      <c r="T21" s="20">
        <v>0.2145</v>
      </c>
      <c r="U21" s="20">
        <v>0</v>
      </c>
    </row>
    <row r="22" spans="1:21" x14ac:dyDescent="0.2">
      <c r="A22" s="51" t="s">
        <v>36</v>
      </c>
      <c r="B22" s="51" t="s">
        <v>37</v>
      </c>
      <c r="C22" s="51" t="s">
        <v>34</v>
      </c>
      <c r="D22" s="51" t="s">
        <v>134</v>
      </c>
      <c r="E22" s="51" t="s">
        <v>135</v>
      </c>
      <c r="F22" s="51" t="s">
        <v>136</v>
      </c>
      <c r="G22" s="51" t="s">
        <v>45</v>
      </c>
      <c r="H22" s="51" t="s">
        <v>22</v>
      </c>
      <c r="I22" s="51" t="s">
        <v>36</v>
      </c>
      <c r="J22" s="51" t="s">
        <v>37</v>
      </c>
      <c r="K22" s="20">
        <v>0.33</v>
      </c>
      <c r="L22" s="20" t="s">
        <v>38</v>
      </c>
      <c r="M22" s="51">
        <v>2022</v>
      </c>
      <c r="N22" s="20" t="s">
        <v>39</v>
      </c>
      <c r="O22" s="20">
        <v>65</v>
      </c>
      <c r="P22" s="20" t="s">
        <v>23</v>
      </c>
      <c r="Q22" s="20">
        <v>0</v>
      </c>
      <c r="R22" s="20">
        <v>35</v>
      </c>
      <c r="S22" s="20">
        <v>0.11550000000000001</v>
      </c>
      <c r="T22" s="20">
        <v>0.2145</v>
      </c>
      <c r="U22" s="20">
        <v>0</v>
      </c>
    </row>
    <row r="23" spans="1:21" x14ac:dyDescent="0.2">
      <c r="A23" s="51" t="s">
        <v>36</v>
      </c>
      <c r="B23" s="51" t="s">
        <v>37</v>
      </c>
      <c r="C23" s="51" t="s">
        <v>34</v>
      </c>
      <c r="D23" s="51" t="s">
        <v>134</v>
      </c>
      <c r="E23" s="51" t="s">
        <v>135</v>
      </c>
      <c r="F23" s="51" t="s">
        <v>136</v>
      </c>
      <c r="G23" s="51" t="s">
        <v>137</v>
      </c>
      <c r="H23" s="51" t="s">
        <v>22</v>
      </c>
      <c r="I23" s="51" t="s">
        <v>36</v>
      </c>
      <c r="J23" s="51" t="s">
        <v>37</v>
      </c>
      <c r="K23" s="20">
        <v>0.33</v>
      </c>
      <c r="L23" s="20" t="s">
        <v>38</v>
      </c>
      <c r="M23" s="51">
        <v>2022</v>
      </c>
      <c r="N23" s="20" t="s">
        <v>23</v>
      </c>
      <c r="O23" s="20" t="s">
        <v>23</v>
      </c>
      <c r="P23" s="20" t="s">
        <v>23</v>
      </c>
      <c r="Q23" s="20" t="s">
        <v>23</v>
      </c>
      <c r="R23" s="20">
        <v>100</v>
      </c>
      <c r="S23" s="20">
        <v>0.33</v>
      </c>
      <c r="T23" s="20">
        <v>0</v>
      </c>
      <c r="U23" s="20">
        <v>0</v>
      </c>
    </row>
    <row r="24" spans="1:21" x14ac:dyDescent="0.2">
      <c r="A24" s="51" t="s">
        <v>36</v>
      </c>
      <c r="B24" s="51" t="s">
        <v>37</v>
      </c>
      <c r="C24" s="51" t="s">
        <v>34</v>
      </c>
      <c r="D24" s="51" t="s">
        <v>138</v>
      </c>
      <c r="E24" s="51" t="s">
        <v>139</v>
      </c>
      <c r="F24" s="51" t="s">
        <v>140</v>
      </c>
      <c r="G24" s="51" t="s">
        <v>40</v>
      </c>
      <c r="H24" s="51" t="s">
        <v>22</v>
      </c>
      <c r="I24" s="51" t="s">
        <v>36</v>
      </c>
      <c r="J24" s="51" t="s">
        <v>37</v>
      </c>
      <c r="K24" s="20">
        <v>0.5</v>
      </c>
      <c r="L24" s="20" t="s">
        <v>38</v>
      </c>
      <c r="M24" s="51">
        <v>2022</v>
      </c>
      <c r="N24" s="20" t="s">
        <v>39</v>
      </c>
      <c r="O24" s="20">
        <v>65</v>
      </c>
      <c r="P24" s="20" t="s">
        <v>23</v>
      </c>
      <c r="Q24" s="20">
        <v>0</v>
      </c>
      <c r="R24" s="20">
        <v>35</v>
      </c>
      <c r="S24" s="20">
        <v>0.17499999999999999</v>
      </c>
      <c r="T24" s="20">
        <v>0.32500000000000001</v>
      </c>
      <c r="U24" s="20">
        <v>0</v>
      </c>
    </row>
    <row r="25" spans="1:21" x14ac:dyDescent="0.2">
      <c r="A25" s="51" t="s">
        <v>36</v>
      </c>
      <c r="B25" s="51" t="s">
        <v>37</v>
      </c>
      <c r="C25" s="51" t="s">
        <v>34</v>
      </c>
      <c r="D25" s="51" t="s">
        <v>138</v>
      </c>
      <c r="E25" s="51" t="s">
        <v>139</v>
      </c>
      <c r="F25" s="51" t="s">
        <v>140</v>
      </c>
      <c r="G25" s="51" t="s">
        <v>46</v>
      </c>
      <c r="H25" s="51" t="s">
        <v>22</v>
      </c>
      <c r="I25" s="51" t="s">
        <v>36</v>
      </c>
      <c r="J25" s="51" t="s">
        <v>37</v>
      </c>
      <c r="K25" s="20">
        <v>0.5</v>
      </c>
      <c r="L25" s="20" t="s">
        <v>38</v>
      </c>
      <c r="M25" s="51">
        <v>2022</v>
      </c>
      <c r="N25" s="20" t="s">
        <v>26</v>
      </c>
      <c r="O25" s="20">
        <v>10</v>
      </c>
      <c r="P25" s="20" t="s">
        <v>39</v>
      </c>
      <c r="Q25" s="20">
        <v>55</v>
      </c>
      <c r="R25" s="20">
        <v>35</v>
      </c>
      <c r="S25" s="20">
        <v>0.17499999999999999</v>
      </c>
      <c r="T25" s="20">
        <v>0.05</v>
      </c>
      <c r="U25" s="20">
        <v>0.27500000000000002</v>
      </c>
    </row>
    <row r="26" spans="1:21" x14ac:dyDescent="0.2">
      <c r="A26" s="51" t="s">
        <v>36</v>
      </c>
      <c r="B26" s="51" t="s">
        <v>37</v>
      </c>
      <c r="C26" s="51" t="s">
        <v>34</v>
      </c>
      <c r="D26" s="51" t="s">
        <v>141</v>
      </c>
      <c r="E26" s="51" t="s">
        <v>142</v>
      </c>
      <c r="F26" s="51" t="s">
        <v>143</v>
      </c>
      <c r="G26" s="51" t="s">
        <v>49</v>
      </c>
      <c r="H26" s="51" t="s">
        <v>22</v>
      </c>
      <c r="I26" s="51" t="s">
        <v>36</v>
      </c>
      <c r="J26" s="51" t="s">
        <v>37</v>
      </c>
      <c r="K26" s="20">
        <v>0.5</v>
      </c>
      <c r="L26" s="20" t="s">
        <v>38</v>
      </c>
      <c r="M26" s="51">
        <v>2022</v>
      </c>
      <c r="N26" s="20" t="s">
        <v>39</v>
      </c>
      <c r="O26" s="20">
        <v>65</v>
      </c>
      <c r="P26" s="20" t="s">
        <v>23</v>
      </c>
      <c r="Q26" s="20">
        <v>0</v>
      </c>
      <c r="R26" s="20">
        <v>35</v>
      </c>
      <c r="S26" s="20">
        <v>0.17499999999999999</v>
      </c>
      <c r="T26" s="20">
        <v>0.32500000000000001</v>
      </c>
      <c r="U26" s="20">
        <v>0</v>
      </c>
    </row>
    <row r="27" spans="1:21" x14ac:dyDescent="0.2">
      <c r="A27" s="51" t="s">
        <v>36</v>
      </c>
      <c r="B27" s="51" t="s">
        <v>37</v>
      </c>
      <c r="C27" s="51" t="s">
        <v>34</v>
      </c>
      <c r="D27" s="51" t="s">
        <v>141</v>
      </c>
      <c r="E27" s="51" t="s">
        <v>142</v>
      </c>
      <c r="F27" s="51" t="s">
        <v>143</v>
      </c>
      <c r="G27" s="51" t="s">
        <v>137</v>
      </c>
      <c r="H27" s="51" t="s">
        <v>22</v>
      </c>
      <c r="I27" s="51" t="s">
        <v>36</v>
      </c>
      <c r="J27" s="51" t="s">
        <v>37</v>
      </c>
      <c r="K27" s="20">
        <v>0.5</v>
      </c>
      <c r="L27" s="20" t="s">
        <v>38</v>
      </c>
      <c r="M27" s="51">
        <v>2022</v>
      </c>
      <c r="N27" s="20" t="s">
        <v>23</v>
      </c>
      <c r="O27" s="20" t="s">
        <v>23</v>
      </c>
      <c r="P27" s="20" t="s">
        <v>23</v>
      </c>
      <c r="Q27" s="20" t="s">
        <v>23</v>
      </c>
      <c r="R27" s="20">
        <v>100</v>
      </c>
      <c r="S27" s="20">
        <v>0.5</v>
      </c>
      <c r="T27" s="20">
        <v>0</v>
      </c>
      <c r="U27" s="20">
        <v>0</v>
      </c>
    </row>
    <row r="28" spans="1:21" x14ac:dyDescent="0.2">
      <c r="A28" s="51" t="s">
        <v>36</v>
      </c>
      <c r="B28" s="51" t="s">
        <v>37</v>
      </c>
      <c r="C28" s="51" t="s">
        <v>34</v>
      </c>
      <c r="D28" s="51" t="s">
        <v>144</v>
      </c>
      <c r="E28" s="51" t="s">
        <v>145</v>
      </c>
      <c r="F28" s="51" t="s">
        <v>146</v>
      </c>
      <c r="G28" s="51" t="s">
        <v>41</v>
      </c>
      <c r="H28" s="51" t="s">
        <v>22</v>
      </c>
      <c r="I28" s="51" t="s">
        <v>36</v>
      </c>
      <c r="J28" s="51" t="s">
        <v>37</v>
      </c>
      <c r="K28" s="20">
        <v>0.5</v>
      </c>
      <c r="L28" s="20" t="s">
        <v>38</v>
      </c>
      <c r="M28" s="51">
        <v>2022</v>
      </c>
      <c r="N28" s="20" t="s">
        <v>39</v>
      </c>
      <c r="O28" s="20">
        <v>65</v>
      </c>
      <c r="P28" s="20" t="s">
        <v>23</v>
      </c>
      <c r="Q28" s="20">
        <v>0</v>
      </c>
      <c r="R28" s="20">
        <v>35</v>
      </c>
      <c r="S28" s="20">
        <v>0.17499999999999999</v>
      </c>
      <c r="T28" s="20">
        <v>0.32500000000000001</v>
      </c>
      <c r="U28" s="20">
        <v>0</v>
      </c>
    </row>
    <row r="29" spans="1:21" x14ac:dyDescent="0.2">
      <c r="A29" s="51" t="s">
        <v>36</v>
      </c>
      <c r="B29" s="51" t="s">
        <v>37</v>
      </c>
      <c r="C29" s="51" t="s">
        <v>34</v>
      </c>
      <c r="D29" s="51" t="s">
        <v>144</v>
      </c>
      <c r="E29" s="51" t="s">
        <v>145</v>
      </c>
      <c r="F29" s="51" t="s">
        <v>146</v>
      </c>
      <c r="G29" s="51" t="s">
        <v>42</v>
      </c>
      <c r="H29" s="51" t="s">
        <v>22</v>
      </c>
      <c r="I29" s="51" t="s">
        <v>36</v>
      </c>
      <c r="J29" s="51" t="s">
        <v>37</v>
      </c>
      <c r="K29" s="20">
        <v>0.5</v>
      </c>
      <c r="L29" s="20" t="s">
        <v>38</v>
      </c>
      <c r="M29" s="51">
        <v>2022</v>
      </c>
      <c r="N29" s="20" t="s">
        <v>39</v>
      </c>
      <c r="O29" s="20">
        <v>65</v>
      </c>
      <c r="P29" s="20" t="s">
        <v>23</v>
      </c>
      <c r="Q29" s="20">
        <v>0</v>
      </c>
      <c r="R29" s="20">
        <v>35</v>
      </c>
      <c r="S29" s="20">
        <v>0.17499999999999999</v>
      </c>
      <c r="T29" s="20">
        <v>0.32500000000000001</v>
      </c>
      <c r="U29" s="20">
        <v>0</v>
      </c>
    </row>
    <row r="30" spans="1:21" x14ac:dyDescent="0.2">
      <c r="A30" s="51" t="s">
        <v>36</v>
      </c>
      <c r="B30" s="51" t="s">
        <v>37</v>
      </c>
      <c r="C30" s="51" t="s">
        <v>34</v>
      </c>
      <c r="D30" s="51" t="s">
        <v>147</v>
      </c>
      <c r="E30" s="51" t="s">
        <v>148</v>
      </c>
      <c r="F30" s="51" t="s">
        <v>149</v>
      </c>
      <c r="G30" s="51" t="s">
        <v>44</v>
      </c>
      <c r="H30" s="51" t="s">
        <v>22</v>
      </c>
      <c r="I30" s="51" t="s">
        <v>36</v>
      </c>
      <c r="J30" s="51" t="s">
        <v>37</v>
      </c>
      <c r="K30" s="20">
        <v>0.5</v>
      </c>
      <c r="L30" s="20" t="s">
        <v>38</v>
      </c>
      <c r="M30" s="51">
        <v>2022</v>
      </c>
      <c r="N30" s="20" t="s">
        <v>39</v>
      </c>
      <c r="O30" s="20">
        <v>65</v>
      </c>
      <c r="P30" s="20" t="s">
        <v>23</v>
      </c>
      <c r="Q30" s="20">
        <v>0</v>
      </c>
      <c r="R30" s="20">
        <v>35</v>
      </c>
      <c r="S30" s="20">
        <v>0.17499999999999999</v>
      </c>
      <c r="T30" s="20">
        <v>0.32500000000000001</v>
      </c>
      <c r="U30" s="20">
        <v>0</v>
      </c>
    </row>
    <row r="31" spans="1:21" x14ac:dyDescent="0.2">
      <c r="A31" s="51" t="s">
        <v>36</v>
      </c>
      <c r="B31" s="51" t="s">
        <v>37</v>
      </c>
      <c r="C31" s="51" t="s">
        <v>34</v>
      </c>
      <c r="D31" s="51" t="s">
        <v>147</v>
      </c>
      <c r="E31" s="51" t="s">
        <v>148</v>
      </c>
      <c r="F31" s="51" t="s">
        <v>149</v>
      </c>
      <c r="G31" s="51" t="s">
        <v>110</v>
      </c>
      <c r="H31" s="51" t="s">
        <v>22</v>
      </c>
      <c r="I31" s="51" t="s">
        <v>36</v>
      </c>
      <c r="J31" s="51" t="s">
        <v>37</v>
      </c>
      <c r="K31" s="20">
        <v>0.5</v>
      </c>
      <c r="L31" s="20" t="s">
        <v>38</v>
      </c>
      <c r="M31" s="51">
        <v>2022</v>
      </c>
      <c r="N31" s="20" t="s">
        <v>39</v>
      </c>
      <c r="O31" s="20">
        <v>65</v>
      </c>
      <c r="P31" s="20" t="s">
        <v>23</v>
      </c>
      <c r="Q31" s="20">
        <v>0</v>
      </c>
      <c r="R31" s="20">
        <v>35</v>
      </c>
      <c r="S31" s="20">
        <v>0.17499999999999999</v>
      </c>
      <c r="T31" s="20">
        <v>0.32500000000000001</v>
      </c>
      <c r="U31" s="20">
        <v>0</v>
      </c>
    </row>
    <row r="32" spans="1:21" x14ac:dyDescent="0.2">
      <c r="A32" s="51" t="s">
        <v>36</v>
      </c>
      <c r="B32" s="51" t="s">
        <v>37</v>
      </c>
      <c r="C32" s="51" t="s">
        <v>34</v>
      </c>
      <c r="D32" s="51" t="s">
        <v>150</v>
      </c>
      <c r="E32" s="51" t="s">
        <v>151</v>
      </c>
      <c r="F32" s="51" t="s">
        <v>152</v>
      </c>
      <c r="G32" s="51" t="s">
        <v>35</v>
      </c>
      <c r="H32" s="51" t="s">
        <v>22</v>
      </c>
      <c r="I32" s="51" t="s">
        <v>36</v>
      </c>
      <c r="J32" s="51" t="s">
        <v>37</v>
      </c>
      <c r="K32" s="20">
        <v>0.5</v>
      </c>
      <c r="L32" s="20" t="s">
        <v>38</v>
      </c>
      <c r="M32" s="51">
        <v>2022</v>
      </c>
      <c r="N32" s="20" t="s">
        <v>39</v>
      </c>
      <c r="O32" s="20">
        <v>65</v>
      </c>
      <c r="P32" s="20" t="s">
        <v>23</v>
      </c>
      <c r="Q32" s="20">
        <v>0</v>
      </c>
      <c r="R32" s="20">
        <v>35</v>
      </c>
      <c r="S32" s="20">
        <v>0.17499999999999999</v>
      </c>
      <c r="T32" s="20">
        <v>0.32500000000000001</v>
      </c>
      <c r="U32" s="20">
        <v>0</v>
      </c>
    </row>
    <row r="33" spans="1:25" x14ac:dyDescent="0.2">
      <c r="A33" s="51" t="s">
        <v>36</v>
      </c>
      <c r="B33" s="51" t="s">
        <v>37</v>
      </c>
      <c r="C33" s="51" t="s">
        <v>34</v>
      </c>
      <c r="D33" s="51" t="s">
        <v>150</v>
      </c>
      <c r="E33" s="51" t="s">
        <v>151</v>
      </c>
      <c r="F33" s="51" t="s">
        <v>152</v>
      </c>
      <c r="G33" s="51" t="s">
        <v>153</v>
      </c>
      <c r="H33" s="51" t="s">
        <v>22</v>
      </c>
      <c r="I33" s="51" t="s">
        <v>36</v>
      </c>
      <c r="J33" s="51" t="s">
        <v>37</v>
      </c>
      <c r="K33" s="20">
        <v>0.5</v>
      </c>
      <c r="L33" s="20" t="s">
        <v>38</v>
      </c>
      <c r="M33" s="51">
        <v>2022</v>
      </c>
      <c r="N33" s="20" t="s">
        <v>39</v>
      </c>
      <c r="O33" s="20">
        <v>65</v>
      </c>
      <c r="P33" s="20" t="s">
        <v>23</v>
      </c>
      <c r="Q33" s="20">
        <v>0</v>
      </c>
      <c r="R33" s="20">
        <v>35</v>
      </c>
      <c r="S33" s="20">
        <v>0.17499999999999999</v>
      </c>
      <c r="T33" s="20">
        <v>0.32500000000000001</v>
      </c>
      <c r="U33" s="20">
        <v>0</v>
      </c>
    </row>
    <row r="34" spans="1:25" x14ac:dyDescent="0.2">
      <c r="A34" s="51" t="s">
        <v>36</v>
      </c>
      <c r="B34" s="51" t="s">
        <v>37</v>
      </c>
      <c r="C34" s="51" t="s">
        <v>34</v>
      </c>
      <c r="D34" s="51" t="s">
        <v>154</v>
      </c>
      <c r="E34" s="51" t="s">
        <v>155</v>
      </c>
      <c r="F34" s="51" t="s">
        <v>156</v>
      </c>
      <c r="G34" s="51" t="s">
        <v>42</v>
      </c>
      <c r="H34" s="51" t="s">
        <v>22</v>
      </c>
      <c r="I34" s="51" t="s">
        <v>36</v>
      </c>
      <c r="J34" s="51" t="s">
        <v>37</v>
      </c>
      <c r="K34" s="20">
        <v>0.5</v>
      </c>
      <c r="L34" s="20" t="s">
        <v>38</v>
      </c>
      <c r="M34" s="51">
        <v>2022</v>
      </c>
      <c r="N34" s="20" t="s">
        <v>39</v>
      </c>
      <c r="O34" s="20">
        <v>65</v>
      </c>
      <c r="P34" s="20" t="s">
        <v>23</v>
      </c>
      <c r="Q34" s="20">
        <v>0</v>
      </c>
      <c r="R34" s="20">
        <v>35</v>
      </c>
      <c r="S34" s="20">
        <v>0.17499999999999999</v>
      </c>
      <c r="T34" s="20">
        <v>0.32500000000000001</v>
      </c>
      <c r="U34" s="20">
        <v>0</v>
      </c>
    </row>
    <row r="35" spans="1:25" x14ac:dyDescent="0.2">
      <c r="A35" s="51" t="s">
        <v>36</v>
      </c>
      <c r="B35" s="51" t="s">
        <v>37</v>
      </c>
      <c r="C35" s="51" t="s">
        <v>34</v>
      </c>
      <c r="D35" s="51" t="s">
        <v>154</v>
      </c>
      <c r="E35" s="51" t="s">
        <v>155</v>
      </c>
      <c r="F35" s="51" t="s">
        <v>156</v>
      </c>
      <c r="G35" s="51" t="s">
        <v>137</v>
      </c>
      <c r="H35" s="51" t="s">
        <v>22</v>
      </c>
      <c r="I35" s="51" t="s">
        <v>36</v>
      </c>
      <c r="J35" s="51" t="s">
        <v>37</v>
      </c>
      <c r="K35" s="20">
        <v>0.5</v>
      </c>
      <c r="L35" s="20" t="s">
        <v>38</v>
      </c>
      <c r="M35" s="51">
        <v>2022</v>
      </c>
      <c r="N35" s="20" t="s">
        <v>23</v>
      </c>
      <c r="O35" s="20" t="s">
        <v>23</v>
      </c>
      <c r="P35" s="20" t="s">
        <v>23</v>
      </c>
      <c r="Q35" s="20" t="s">
        <v>23</v>
      </c>
      <c r="R35" s="20">
        <v>100</v>
      </c>
      <c r="S35" s="20">
        <v>0.5</v>
      </c>
      <c r="T35" s="20">
        <v>0</v>
      </c>
      <c r="U35" s="20">
        <v>0</v>
      </c>
    </row>
    <row r="36" spans="1:25" x14ac:dyDescent="0.2">
      <c r="A36" s="51" t="s">
        <v>28</v>
      </c>
      <c r="B36" s="51" t="s">
        <v>157</v>
      </c>
      <c r="C36" s="51" t="s">
        <v>30</v>
      </c>
      <c r="D36" s="51" t="s">
        <v>158</v>
      </c>
      <c r="E36" s="51" t="s">
        <v>159</v>
      </c>
      <c r="F36" s="51" t="s">
        <v>160</v>
      </c>
      <c r="G36" s="51" t="s">
        <v>88</v>
      </c>
      <c r="H36" s="51" t="s">
        <v>22</v>
      </c>
      <c r="I36" s="51" t="s">
        <v>36</v>
      </c>
      <c r="J36" s="51" t="s">
        <v>37</v>
      </c>
      <c r="K36" s="20">
        <v>0.5</v>
      </c>
      <c r="L36" s="20" t="s">
        <v>38</v>
      </c>
      <c r="M36" s="51">
        <v>2022</v>
      </c>
      <c r="N36" s="20" t="s">
        <v>39</v>
      </c>
      <c r="O36" s="20">
        <v>40</v>
      </c>
      <c r="P36" s="20" t="s">
        <v>26</v>
      </c>
      <c r="Q36" s="20">
        <v>20</v>
      </c>
      <c r="R36" s="20">
        <v>40</v>
      </c>
      <c r="S36" s="20">
        <v>0.2</v>
      </c>
      <c r="T36" s="20">
        <v>0.2</v>
      </c>
      <c r="U36" s="20">
        <v>0.1</v>
      </c>
    </row>
    <row r="37" spans="1:25" x14ac:dyDescent="0.2">
      <c r="A37" s="51" t="s">
        <v>28</v>
      </c>
      <c r="B37" s="51" t="s">
        <v>157</v>
      </c>
      <c r="C37" s="51" t="s">
        <v>30</v>
      </c>
      <c r="D37" s="51" t="s">
        <v>158</v>
      </c>
      <c r="E37" s="51" t="s">
        <v>159</v>
      </c>
      <c r="F37" s="51" t="s">
        <v>160</v>
      </c>
      <c r="G37" s="51" t="s">
        <v>161</v>
      </c>
      <c r="H37" s="51" t="s">
        <v>22</v>
      </c>
      <c r="I37" s="51" t="s">
        <v>36</v>
      </c>
      <c r="J37" s="51" t="s">
        <v>37</v>
      </c>
      <c r="K37" s="20">
        <v>0.5</v>
      </c>
      <c r="L37" s="20" t="s">
        <v>38</v>
      </c>
      <c r="M37" s="51">
        <v>2022</v>
      </c>
      <c r="N37" s="20" t="s">
        <v>26</v>
      </c>
      <c r="O37" s="20">
        <v>10</v>
      </c>
      <c r="P37" s="20" t="s">
        <v>39</v>
      </c>
      <c r="Q37" s="20">
        <v>65</v>
      </c>
      <c r="R37" s="20">
        <v>25</v>
      </c>
      <c r="S37" s="20">
        <v>0.125</v>
      </c>
      <c r="T37" s="20">
        <v>0.05</v>
      </c>
      <c r="U37" s="20">
        <v>0.32500000000000001</v>
      </c>
    </row>
    <row r="38" spans="1:25" x14ac:dyDescent="0.2">
      <c r="A38" s="51" t="s">
        <v>36</v>
      </c>
      <c r="B38" s="51" t="s">
        <v>37</v>
      </c>
      <c r="C38" s="51" t="s">
        <v>34</v>
      </c>
      <c r="D38" s="51" t="s">
        <v>162</v>
      </c>
      <c r="E38" s="51" t="s">
        <v>163</v>
      </c>
      <c r="F38" s="51" t="s">
        <v>164</v>
      </c>
      <c r="G38" s="51" t="s">
        <v>165</v>
      </c>
      <c r="H38" s="51" t="s">
        <v>22</v>
      </c>
      <c r="I38" s="51" t="s">
        <v>36</v>
      </c>
      <c r="J38" s="51" t="s">
        <v>37</v>
      </c>
      <c r="K38" s="20">
        <v>0.5</v>
      </c>
      <c r="L38" s="51" t="s">
        <v>38</v>
      </c>
      <c r="M38" s="20">
        <v>2022</v>
      </c>
      <c r="N38" s="20" t="s">
        <v>39</v>
      </c>
      <c r="O38" s="20">
        <v>65</v>
      </c>
      <c r="P38" s="20" t="s">
        <v>23</v>
      </c>
      <c r="Q38" s="20">
        <v>0</v>
      </c>
      <c r="R38" s="20">
        <v>35</v>
      </c>
      <c r="S38" s="20">
        <v>0.17499999999999999</v>
      </c>
      <c r="T38" s="20">
        <v>0.32500000000000001</v>
      </c>
      <c r="U38" s="51">
        <v>0</v>
      </c>
    </row>
    <row r="39" spans="1:25" x14ac:dyDescent="0.2">
      <c r="A39" s="51" t="s">
        <v>36</v>
      </c>
      <c r="B39" s="51" t="s">
        <v>37</v>
      </c>
      <c r="C39" s="51" t="s">
        <v>34</v>
      </c>
      <c r="D39" s="51" t="s">
        <v>162</v>
      </c>
      <c r="E39" s="51" t="s">
        <v>163</v>
      </c>
      <c r="F39" s="51" t="s">
        <v>164</v>
      </c>
      <c r="G39" s="51" t="s">
        <v>166</v>
      </c>
      <c r="H39" s="51" t="s">
        <v>22</v>
      </c>
      <c r="I39" s="51" t="s">
        <v>36</v>
      </c>
      <c r="J39" s="51" t="s">
        <v>37</v>
      </c>
      <c r="K39" s="20">
        <v>0.5</v>
      </c>
      <c r="L39" s="51" t="s">
        <v>38</v>
      </c>
      <c r="M39" s="20">
        <v>2022</v>
      </c>
      <c r="N39" s="20" t="s">
        <v>26</v>
      </c>
      <c r="O39" s="20">
        <v>10</v>
      </c>
      <c r="P39" s="20" t="s">
        <v>39</v>
      </c>
      <c r="Q39" s="20">
        <v>65</v>
      </c>
      <c r="R39" s="20">
        <v>25</v>
      </c>
      <c r="S39" s="20">
        <v>0.125</v>
      </c>
      <c r="T39" s="20">
        <v>0.05</v>
      </c>
      <c r="U39" s="51">
        <v>0.32500000000000001</v>
      </c>
    </row>
    <row r="40" spans="1:25" s="57" customFormat="1" x14ac:dyDescent="0.2">
      <c r="A40" s="51" t="s">
        <v>38</v>
      </c>
      <c r="B40" s="51" t="s">
        <v>173</v>
      </c>
      <c r="C40" s="51" t="s">
        <v>174</v>
      </c>
      <c r="D40" s="51" t="s">
        <v>175</v>
      </c>
      <c r="E40" s="51" t="s">
        <v>176</v>
      </c>
      <c r="F40" s="51" t="s">
        <v>177</v>
      </c>
      <c r="G40" s="51" t="s">
        <v>72</v>
      </c>
      <c r="H40" s="51" t="s">
        <v>178</v>
      </c>
      <c r="I40" s="52" t="s">
        <v>38</v>
      </c>
      <c r="J40" s="51" t="s">
        <v>173</v>
      </c>
      <c r="K40" s="20">
        <v>1</v>
      </c>
      <c r="L40" s="20" t="s">
        <v>38</v>
      </c>
      <c r="M40" s="20">
        <v>2023</v>
      </c>
      <c r="N40" s="20" t="s">
        <v>26</v>
      </c>
      <c r="O40" s="20" t="s">
        <v>25</v>
      </c>
      <c r="P40" s="20" t="s">
        <v>39</v>
      </c>
      <c r="Q40" s="20" t="s">
        <v>95</v>
      </c>
      <c r="R40" s="20">
        <v>35</v>
      </c>
      <c r="S40" s="20">
        <v>0.35</v>
      </c>
      <c r="T40" s="20">
        <v>0.1</v>
      </c>
      <c r="U40" s="20">
        <v>0.55000000000000004</v>
      </c>
      <c r="V40" s="55" t="s">
        <v>169</v>
      </c>
      <c r="Y40" s="45"/>
    </row>
    <row r="41" spans="1:25" s="57" customFormat="1" x14ac:dyDescent="0.2">
      <c r="A41" s="51" t="s">
        <v>38</v>
      </c>
      <c r="B41" s="51" t="s">
        <v>173</v>
      </c>
      <c r="C41" s="51" t="s">
        <v>174</v>
      </c>
      <c r="D41" s="51" t="s">
        <v>179</v>
      </c>
      <c r="E41" s="51" t="s">
        <v>180</v>
      </c>
      <c r="F41" s="51" t="s">
        <v>181</v>
      </c>
      <c r="G41" s="51" t="s">
        <v>80</v>
      </c>
      <c r="H41" s="51" t="s">
        <v>182</v>
      </c>
      <c r="I41" s="52" t="s">
        <v>38</v>
      </c>
      <c r="J41" s="51" t="s">
        <v>173</v>
      </c>
      <c r="K41" s="20">
        <v>0.5</v>
      </c>
      <c r="L41" s="20" t="s">
        <v>38</v>
      </c>
      <c r="M41" s="20">
        <v>2023</v>
      </c>
      <c r="N41" s="20" t="s">
        <v>26</v>
      </c>
      <c r="O41" s="20" t="s">
        <v>25</v>
      </c>
      <c r="P41" s="20" t="s">
        <v>39</v>
      </c>
      <c r="Q41" s="20" t="s">
        <v>183</v>
      </c>
      <c r="R41" s="20">
        <v>25</v>
      </c>
      <c r="S41" s="20">
        <v>0.125</v>
      </c>
      <c r="T41" s="20">
        <v>0.05</v>
      </c>
      <c r="U41" s="20">
        <v>0.32500000000000001</v>
      </c>
      <c r="V41" s="55" t="s">
        <v>169</v>
      </c>
      <c r="Y41" s="45"/>
    </row>
    <row r="42" spans="1:25" s="57" customFormat="1" x14ac:dyDescent="0.2">
      <c r="A42" s="51" t="s">
        <v>38</v>
      </c>
      <c r="B42" s="51" t="s">
        <v>173</v>
      </c>
      <c r="C42" s="51" t="s">
        <v>174</v>
      </c>
      <c r="D42" s="51" t="s">
        <v>179</v>
      </c>
      <c r="E42" s="51" t="s">
        <v>180</v>
      </c>
      <c r="F42" s="51" t="s">
        <v>181</v>
      </c>
      <c r="G42" s="51" t="s">
        <v>69</v>
      </c>
      <c r="H42" s="51" t="s">
        <v>182</v>
      </c>
      <c r="I42" s="52" t="s">
        <v>38</v>
      </c>
      <c r="J42" s="51" t="s">
        <v>173</v>
      </c>
      <c r="K42" s="20">
        <v>0.5</v>
      </c>
      <c r="L42" s="20" t="s">
        <v>38</v>
      </c>
      <c r="M42" s="20">
        <v>2023</v>
      </c>
      <c r="N42" s="20" t="s">
        <v>39</v>
      </c>
      <c r="O42" s="20" t="s">
        <v>183</v>
      </c>
      <c r="P42" s="20" t="s">
        <v>23</v>
      </c>
      <c r="Q42" s="20" t="s">
        <v>23</v>
      </c>
      <c r="R42" s="20">
        <v>35</v>
      </c>
      <c r="S42" s="20">
        <v>0.17499999999999999</v>
      </c>
      <c r="T42" s="20">
        <v>0.32500000000000001</v>
      </c>
      <c r="U42" s="20">
        <v>0</v>
      </c>
      <c r="V42" s="55" t="s">
        <v>169</v>
      </c>
      <c r="Y42" s="45"/>
    </row>
    <row r="43" spans="1:25" s="57" customFormat="1" x14ac:dyDescent="0.2">
      <c r="A43" s="51" t="s">
        <v>38</v>
      </c>
      <c r="B43" s="51" t="s">
        <v>173</v>
      </c>
      <c r="C43" s="51" t="s">
        <v>174</v>
      </c>
      <c r="D43" s="51" t="s">
        <v>184</v>
      </c>
      <c r="E43" s="51" t="s">
        <v>185</v>
      </c>
      <c r="F43" s="51" t="s">
        <v>186</v>
      </c>
      <c r="G43" s="51" t="s">
        <v>80</v>
      </c>
      <c r="H43" s="51" t="s">
        <v>182</v>
      </c>
      <c r="I43" s="52" t="s">
        <v>38</v>
      </c>
      <c r="J43" s="51" t="s">
        <v>173</v>
      </c>
      <c r="K43" s="20">
        <v>0.5</v>
      </c>
      <c r="L43" s="20" t="s">
        <v>38</v>
      </c>
      <c r="M43" s="20">
        <v>2023</v>
      </c>
      <c r="N43" s="20" t="s">
        <v>26</v>
      </c>
      <c r="O43" s="20" t="s">
        <v>25</v>
      </c>
      <c r="P43" s="20" t="s">
        <v>39</v>
      </c>
      <c r="Q43" s="20" t="s">
        <v>183</v>
      </c>
      <c r="R43" s="20">
        <v>25</v>
      </c>
      <c r="S43" s="20">
        <v>0.125</v>
      </c>
      <c r="T43" s="20">
        <v>0.05</v>
      </c>
      <c r="U43" s="20">
        <v>0.32500000000000001</v>
      </c>
      <c r="V43" s="55" t="s">
        <v>169</v>
      </c>
      <c r="Y43" s="45"/>
    </row>
    <row r="44" spans="1:25" s="57" customFormat="1" x14ac:dyDescent="0.2">
      <c r="A44" s="51" t="s">
        <v>38</v>
      </c>
      <c r="B44" s="51" t="s">
        <v>173</v>
      </c>
      <c r="C44" s="51" t="s">
        <v>174</v>
      </c>
      <c r="D44" s="51" t="s">
        <v>184</v>
      </c>
      <c r="E44" s="51" t="s">
        <v>185</v>
      </c>
      <c r="F44" s="51" t="s">
        <v>186</v>
      </c>
      <c r="G44" s="51" t="s">
        <v>187</v>
      </c>
      <c r="H44" s="51" t="s">
        <v>182</v>
      </c>
      <c r="I44" s="52" t="s">
        <v>38</v>
      </c>
      <c r="J44" s="51" t="s">
        <v>173</v>
      </c>
      <c r="K44" s="20">
        <v>0.5</v>
      </c>
      <c r="L44" s="20" t="s">
        <v>38</v>
      </c>
      <c r="M44" s="20">
        <v>2023</v>
      </c>
      <c r="N44" s="20" t="s">
        <v>23</v>
      </c>
      <c r="O44" s="20" t="s">
        <v>23</v>
      </c>
      <c r="P44" s="20" t="s">
        <v>23</v>
      </c>
      <c r="Q44" s="20" t="s">
        <v>23</v>
      </c>
      <c r="R44" s="20">
        <v>100</v>
      </c>
      <c r="S44" s="20">
        <v>0.5</v>
      </c>
      <c r="T44" s="20">
        <v>0</v>
      </c>
      <c r="U44" s="20">
        <v>0</v>
      </c>
      <c r="V44" s="55" t="s">
        <v>169</v>
      </c>
      <c r="Y44" s="45"/>
    </row>
    <row r="45" spans="1:25" s="57" customFormat="1" x14ac:dyDescent="0.2">
      <c r="A45" s="51" t="s">
        <v>188</v>
      </c>
      <c r="B45" s="51" t="s">
        <v>189</v>
      </c>
      <c r="C45" s="51" t="s">
        <v>190</v>
      </c>
      <c r="D45" s="51" t="s">
        <v>191</v>
      </c>
      <c r="E45" s="51" t="s">
        <v>192</v>
      </c>
      <c r="F45" s="51" t="s">
        <v>193</v>
      </c>
      <c r="G45" s="51" t="s">
        <v>68</v>
      </c>
      <c r="H45" s="51" t="s">
        <v>178</v>
      </c>
      <c r="I45" s="52" t="s">
        <v>38</v>
      </c>
      <c r="J45" s="51" t="s">
        <v>173</v>
      </c>
      <c r="K45" s="20">
        <v>1</v>
      </c>
      <c r="L45" s="20" t="s">
        <v>38</v>
      </c>
      <c r="M45" s="20">
        <v>2023</v>
      </c>
      <c r="N45" s="20" t="s">
        <v>39</v>
      </c>
      <c r="O45" s="20" t="s">
        <v>31</v>
      </c>
      <c r="P45" s="20" t="s">
        <v>26</v>
      </c>
      <c r="Q45" s="20" t="s">
        <v>93</v>
      </c>
      <c r="R45" s="20">
        <v>40</v>
      </c>
      <c r="S45" s="20">
        <v>0.4</v>
      </c>
      <c r="T45" s="20">
        <v>0.4</v>
      </c>
      <c r="U45" s="20">
        <v>0.2</v>
      </c>
      <c r="V45" s="55" t="s">
        <v>169</v>
      </c>
      <c r="Y45" s="45"/>
    </row>
    <row r="46" spans="1:25" s="57" customFormat="1" x14ac:dyDescent="0.2">
      <c r="A46" s="51" t="s">
        <v>188</v>
      </c>
      <c r="B46" s="51" t="s">
        <v>189</v>
      </c>
      <c r="C46" s="51" t="s">
        <v>190</v>
      </c>
      <c r="D46" s="51" t="s">
        <v>194</v>
      </c>
      <c r="E46" s="51" t="s">
        <v>195</v>
      </c>
      <c r="F46" s="51" t="s">
        <v>196</v>
      </c>
      <c r="G46" s="51" t="s">
        <v>66</v>
      </c>
      <c r="H46" s="51" t="s">
        <v>182</v>
      </c>
      <c r="I46" s="52" t="s">
        <v>38</v>
      </c>
      <c r="J46" s="51" t="s">
        <v>173</v>
      </c>
      <c r="K46" s="20">
        <v>0.5</v>
      </c>
      <c r="L46" s="20" t="s">
        <v>38</v>
      </c>
      <c r="M46" s="20">
        <v>2023</v>
      </c>
      <c r="N46" s="20" t="s">
        <v>39</v>
      </c>
      <c r="O46" s="20" t="s">
        <v>31</v>
      </c>
      <c r="P46" s="20" t="s">
        <v>26</v>
      </c>
      <c r="Q46" s="20" t="s">
        <v>93</v>
      </c>
      <c r="R46" s="20">
        <v>40</v>
      </c>
      <c r="S46" s="20">
        <v>0.2</v>
      </c>
      <c r="T46" s="20">
        <v>0.2</v>
      </c>
      <c r="U46" s="20">
        <v>0.1</v>
      </c>
      <c r="V46" s="55" t="s">
        <v>169</v>
      </c>
      <c r="Y46" s="45"/>
    </row>
    <row r="47" spans="1:25" x14ac:dyDescent="0.2">
      <c r="A47" s="51" t="s">
        <v>197</v>
      </c>
      <c r="B47" s="51" t="s">
        <v>198</v>
      </c>
      <c r="C47" s="51" t="s">
        <v>199</v>
      </c>
      <c r="D47" s="51" t="s">
        <v>200</v>
      </c>
      <c r="E47" s="51" t="s">
        <v>201</v>
      </c>
      <c r="F47" s="51" t="s">
        <v>202</v>
      </c>
      <c r="G47" s="51" t="s">
        <v>67</v>
      </c>
      <c r="H47" s="51" t="s">
        <v>182</v>
      </c>
      <c r="I47" s="52" t="s">
        <v>38</v>
      </c>
      <c r="J47" s="51" t="s">
        <v>173</v>
      </c>
      <c r="K47" s="20">
        <v>0.5</v>
      </c>
      <c r="L47" s="20" t="s">
        <v>38</v>
      </c>
      <c r="M47" s="20">
        <v>2023</v>
      </c>
      <c r="N47" s="20" t="s">
        <v>39</v>
      </c>
      <c r="O47" s="20" t="s">
        <v>183</v>
      </c>
      <c r="P47" s="20" t="s">
        <v>23</v>
      </c>
      <c r="Q47" s="20" t="s">
        <v>23</v>
      </c>
      <c r="R47" s="20">
        <v>35</v>
      </c>
      <c r="S47" s="20">
        <v>0.17499999999999999</v>
      </c>
      <c r="T47" s="20">
        <v>0.32500000000000001</v>
      </c>
      <c r="U47" s="20">
        <v>0</v>
      </c>
      <c r="V47" s="45" t="s">
        <v>169</v>
      </c>
    </row>
    <row r="48" spans="1:25" x14ac:dyDescent="0.2">
      <c r="A48" s="51" t="s">
        <v>38</v>
      </c>
      <c r="B48" s="51" t="s">
        <v>211</v>
      </c>
      <c r="C48" s="51" t="s">
        <v>174</v>
      </c>
      <c r="D48" s="51" t="s">
        <v>212</v>
      </c>
      <c r="E48" s="51" t="s">
        <v>213</v>
      </c>
      <c r="F48" s="51" t="s">
        <v>214</v>
      </c>
      <c r="G48" s="51" t="s">
        <v>78</v>
      </c>
      <c r="H48" s="51" t="s">
        <v>182</v>
      </c>
      <c r="I48" s="52" t="s">
        <v>38</v>
      </c>
      <c r="J48" s="51" t="s">
        <v>211</v>
      </c>
      <c r="K48" s="20">
        <v>0.33333333333333331</v>
      </c>
      <c r="L48" s="20" t="s">
        <v>38</v>
      </c>
      <c r="M48" s="20">
        <v>2024</v>
      </c>
      <c r="N48" s="20" t="s">
        <v>39</v>
      </c>
      <c r="O48" s="20" t="s">
        <v>183</v>
      </c>
      <c r="P48" s="20" t="s">
        <v>23</v>
      </c>
      <c r="Q48" s="20" t="s">
        <v>23</v>
      </c>
      <c r="R48" s="20">
        <v>35</v>
      </c>
      <c r="S48" s="20">
        <v>0.11666666666666665</v>
      </c>
      <c r="T48" s="20">
        <v>0.21666666666666665</v>
      </c>
      <c r="U48" s="20">
        <v>0</v>
      </c>
    </row>
    <row r="49" spans="1:25" x14ac:dyDescent="0.2">
      <c r="A49" s="51" t="s">
        <v>38</v>
      </c>
      <c r="B49" s="51" t="s">
        <v>211</v>
      </c>
      <c r="C49" s="51" t="s">
        <v>174</v>
      </c>
      <c r="D49" s="51" t="s">
        <v>212</v>
      </c>
      <c r="E49" s="51" t="s">
        <v>213</v>
      </c>
      <c r="F49" s="51" t="s">
        <v>214</v>
      </c>
      <c r="G49" s="51" t="s">
        <v>73</v>
      </c>
      <c r="H49" s="51" t="s">
        <v>182</v>
      </c>
      <c r="I49" s="52" t="s">
        <v>38</v>
      </c>
      <c r="J49" s="51" t="s">
        <v>211</v>
      </c>
      <c r="K49" s="20">
        <v>0.33333333333333331</v>
      </c>
      <c r="L49" s="20" t="s">
        <v>38</v>
      </c>
      <c r="M49" s="20">
        <v>2024</v>
      </c>
      <c r="N49" s="20" t="s">
        <v>39</v>
      </c>
      <c r="O49" s="20" t="s">
        <v>183</v>
      </c>
      <c r="P49" s="20" t="s">
        <v>23</v>
      </c>
      <c r="Q49" s="20" t="s">
        <v>23</v>
      </c>
      <c r="R49" s="20">
        <v>35</v>
      </c>
      <c r="S49" s="20">
        <v>0.11666666666666665</v>
      </c>
      <c r="T49" s="20">
        <v>0.21666666666666665</v>
      </c>
      <c r="U49" s="20">
        <v>0</v>
      </c>
    </row>
    <row r="50" spans="1:25" x14ac:dyDescent="0.2">
      <c r="A50" s="51" t="s">
        <v>38</v>
      </c>
      <c r="B50" s="51" t="s">
        <v>211</v>
      </c>
      <c r="C50" s="51" t="s">
        <v>174</v>
      </c>
      <c r="D50" s="51" t="s">
        <v>212</v>
      </c>
      <c r="E50" s="51" t="s">
        <v>213</v>
      </c>
      <c r="F50" s="51" t="s">
        <v>214</v>
      </c>
      <c r="G50" s="51" t="s">
        <v>187</v>
      </c>
      <c r="H50" s="51" t="s">
        <v>182</v>
      </c>
      <c r="I50" s="52" t="s">
        <v>38</v>
      </c>
      <c r="J50" s="51" t="s">
        <v>211</v>
      </c>
      <c r="K50" s="20">
        <v>0.33333333333333331</v>
      </c>
      <c r="L50" s="20" t="s">
        <v>38</v>
      </c>
      <c r="M50" s="20">
        <v>2024</v>
      </c>
      <c r="N50" s="20" t="s">
        <v>23</v>
      </c>
      <c r="O50" s="20" t="s">
        <v>23</v>
      </c>
      <c r="P50" s="20" t="s">
        <v>23</v>
      </c>
      <c r="Q50" s="20" t="s">
        <v>23</v>
      </c>
      <c r="R50" s="20">
        <v>100</v>
      </c>
      <c r="S50" s="20">
        <v>0.33333333333333326</v>
      </c>
      <c r="T50" s="20">
        <v>0</v>
      </c>
      <c r="U50" s="20">
        <v>0</v>
      </c>
    </row>
    <row r="51" spans="1:25" x14ac:dyDescent="0.2">
      <c r="A51" s="51" t="s">
        <v>38</v>
      </c>
      <c r="B51" s="51" t="s">
        <v>211</v>
      </c>
      <c r="C51" s="51" t="s">
        <v>174</v>
      </c>
      <c r="D51" s="51" t="s">
        <v>215</v>
      </c>
      <c r="E51" s="51" t="s">
        <v>216</v>
      </c>
      <c r="F51" s="51" t="s">
        <v>217</v>
      </c>
      <c r="G51" s="51" t="s">
        <v>68</v>
      </c>
      <c r="H51" s="51" t="s">
        <v>182</v>
      </c>
      <c r="I51" s="52" t="s">
        <v>38</v>
      </c>
      <c r="J51" s="51" t="s">
        <v>211</v>
      </c>
      <c r="K51" s="20">
        <v>0.5</v>
      </c>
      <c r="L51" s="20" t="s">
        <v>38</v>
      </c>
      <c r="M51" s="20">
        <v>2024</v>
      </c>
      <c r="N51" s="20" t="s">
        <v>26</v>
      </c>
      <c r="O51" s="20" t="s">
        <v>93</v>
      </c>
      <c r="P51" s="20" t="s">
        <v>39</v>
      </c>
      <c r="Q51" s="20" t="s">
        <v>31</v>
      </c>
      <c r="R51" s="20">
        <v>40</v>
      </c>
      <c r="S51" s="20">
        <v>0.2</v>
      </c>
      <c r="T51" s="20">
        <v>0.1</v>
      </c>
      <c r="U51" s="20">
        <v>0.2</v>
      </c>
    </row>
    <row r="52" spans="1:25" x14ac:dyDescent="0.2">
      <c r="A52" s="51" t="s">
        <v>38</v>
      </c>
      <c r="B52" s="51" t="s">
        <v>211</v>
      </c>
      <c r="C52" s="51" t="s">
        <v>174</v>
      </c>
      <c r="D52" s="51" t="s">
        <v>215</v>
      </c>
      <c r="E52" s="51" t="s">
        <v>216</v>
      </c>
      <c r="F52" s="51" t="s">
        <v>217</v>
      </c>
      <c r="G52" s="51" t="s">
        <v>187</v>
      </c>
      <c r="H52" s="51" t="s">
        <v>182</v>
      </c>
      <c r="I52" s="52" t="s">
        <v>38</v>
      </c>
      <c r="J52" s="51" t="s">
        <v>211</v>
      </c>
      <c r="K52" s="20">
        <v>0.5</v>
      </c>
      <c r="L52" s="20" t="s">
        <v>38</v>
      </c>
      <c r="M52" s="20">
        <v>2024</v>
      </c>
      <c r="N52" s="20" t="s">
        <v>23</v>
      </c>
      <c r="O52" s="20" t="s">
        <v>23</v>
      </c>
      <c r="P52" s="20" t="s">
        <v>23</v>
      </c>
      <c r="Q52" s="20" t="s">
        <v>23</v>
      </c>
      <c r="R52" s="20">
        <v>100</v>
      </c>
      <c r="S52" s="20">
        <v>0.5</v>
      </c>
      <c r="T52" s="20">
        <v>0</v>
      </c>
      <c r="U52" s="20">
        <v>0</v>
      </c>
    </row>
    <row r="53" spans="1:25" x14ac:dyDescent="0.2">
      <c r="A53" s="51" t="s">
        <v>38</v>
      </c>
      <c r="B53" s="51" t="s">
        <v>211</v>
      </c>
      <c r="C53" s="51" t="s">
        <v>174</v>
      </c>
      <c r="D53" s="51" t="s">
        <v>218</v>
      </c>
      <c r="E53" s="51" t="s">
        <v>219</v>
      </c>
      <c r="F53" s="51" t="s">
        <v>220</v>
      </c>
      <c r="G53" s="51" t="s">
        <v>63</v>
      </c>
      <c r="H53" s="51" t="s">
        <v>182</v>
      </c>
      <c r="I53" s="52" t="s">
        <v>38</v>
      </c>
      <c r="J53" s="51" t="s">
        <v>211</v>
      </c>
      <c r="K53" s="20">
        <v>0.5</v>
      </c>
      <c r="L53" s="20" t="s">
        <v>38</v>
      </c>
      <c r="M53" s="20">
        <v>2024</v>
      </c>
      <c r="N53" s="20" t="s">
        <v>39</v>
      </c>
      <c r="O53" s="20" t="s">
        <v>183</v>
      </c>
      <c r="P53" s="20" t="s">
        <v>23</v>
      </c>
      <c r="Q53" s="20" t="s">
        <v>23</v>
      </c>
      <c r="R53" s="20">
        <v>35</v>
      </c>
      <c r="S53" s="20">
        <v>0.17499999999999999</v>
      </c>
      <c r="T53" s="20">
        <v>0.32500000000000001</v>
      </c>
      <c r="U53" s="20">
        <v>0</v>
      </c>
    </row>
    <row r="54" spans="1:25" x14ac:dyDescent="0.2">
      <c r="A54" s="51" t="s">
        <v>38</v>
      </c>
      <c r="B54" s="51" t="s">
        <v>211</v>
      </c>
      <c r="C54" s="51" t="s">
        <v>174</v>
      </c>
      <c r="D54" s="51" t="s">
        <v>218</v>
      </c>
      <c r="E54" s="51" t="s">
        <v>219</v>
      </c>
      <c r="F54" s="51" t="s">
        <v>220</v>
      </c>
      <c r="G54" s="51" t="s">
        <v>72</v>
      </c>
      <c r="H54" s="51" t="s">
        <v>182</v>
      </c>
      <c r="I54" s="52" t="s">
        <v>38</v>
      </c>
      <c r="J54" s="51" t="s">
        <v>211</v>
      </c>
      <c r="K54" s="20">
        <v>0.5</v>
      </c>
      <c r="L54" s="20" t="s">
        <v>38</v>
      </c>
      <c r="M54" s="20">
        <v>2024</v>
      </c>
      <c r="N54" s="20" t="s">
        <v>39</v>
      </c>
      <c r="O54" s="20" t="s">
        <v>95</v>
      </c>
      <c r="P54" s="20" t="s">
        <v>26</v>
      </c>
      <c r="Q54" s="20" t="s">
        <v>25</v>
      </c>
      <c r="R54" s="20">
        <v>35</v>
      </c>
      <c r="S54" s="20">
        <v>0.17499999999999999</v>
      </c>
      <c r="T54" s="20">
        <v>0.27500000000000002</v>
      </c>
      <c r="U54" s="20">
        <v>0.05</v>
      </c>
    </row>
    <row r="55" spans="1:25" x14ac:dyDescent="0.2">
      <c r="A55" s="51" t="s">
        <v>188</v>
      </c>
      <c r="B55" s="51" t="s">
        <v>221</v>
      </c>
      <c r="C55" s="51" t="s">
        <v>190</v>
      </c>
      <c r="D55" s="51" t="s">
        <v>222</v>
      </c>
      <c r="E55" s="51" t="s">
        <v>223</v>
      </c>
      <c r="F55" s="51" t="s">
        <v>224</v>
      </c>
      <c r="G55" s="51" t="s">
        <v>72</v>
      </c>
      <c r="H55" s="51" t="s">
        <v>182</v>
      </c>
      <c r="I55" s="52" t="s">
        <v>38</v>
      </c>
      <c r="J55" s="51" t="s">
        <v>211</v>
      </c>
      <c r="K55" s="20">
        <v>0.33333333333333331</v>
      </c>
      <c r="L55" s="20" t="s">
        <v>38</v>
      </c>
      <c r="M55" s="20">
        <v>2024</v>
      </c>
      <c r="N55" s="20" t="s">
        <v>39</v>
      </c>
      <c r="O55" s="20" t="s">
        <v>95</v>
      </c>
      <c r="P55" s="20" t="s">
        <v>26</v>
      </c>
      <c r="Q55" s="20" t="s">
        <v>25</v>
      </c>
      <c r="R55" s="20">
        <v>35</v>
      </c>
      <c r="S55" s="20">
        <v>0.11666666666666665</v>
      </c>
      <c r="T55" s="20">
        <v>0.18333333333333332</v>
      </c>
      <c r="U55" s="20">
        <v>3.3333333333333333E-2</v>
      </c>
    </row>
    <row r="56" spans="1:25" s="57" customFormat="1" x14ac:dyDescent="0.2">
      <c r="A56" s="51" t="s">
        <v>225</v>
      </c>
      <c r="B56" s="51" t="s">
        <v>226</v>
      </c>
      <c r="C56" s="51" t="s">
        <v>174</v>
      </c>
      <c r="D56" s="51" t="s">
        <v>227</v>
      </c>
      <c r="E56" s="51" t="s">
        <v>228</v>
      </c>
      <c r="F56" s="51" t="s">
        <v>229</v>
      </c>
      <c r="G56" s="51" t="s">
        <v>63</v>
      </c>
      <c r="H56" s="51" t="s">
        <v>182</v>
      </c>
      <c r="I56" s="52" t="s">
        <v>38</v>
      </c>
      <c r="J56" s="51" t="s">
        <v>211</v>
      </c>
      <c r="K56" s="20">
        <v>0.5</v>
      </c>
      <c r="L56" s="20" t="s">
        <v>38</v>
      </c>
      <c r="M56" s="20">
        <v>2024</v>
      </c>
      <c r="N56" s="20" t="s">
        <v>39</v>
      </c>
      <c r="O56" s="20" t="s">
        <v>183</v>
      </c>
      <c r="P56" s="20" t="s">
        <v>23</v>
      </c>
      <c r="Q56" s="20" t="s">
        <v>23</v>
      </c>
      <c r="R56" s="20">
        <v>35</v>
      </c>
      <c r="S56" s="20">
        <v>0.17499999999999999</v>
      </c>
      <c r="T56" s="20">
        <v>0.32500000000000001</v>
      </c>
      <c r="U56" s="20">
        <v>0</v>
      </c>
      <c r="V56" s="55"/>
      <c r="Y56" s="45"/>
    </row>
    <row r="57" spans="1:25" x14ac:dyDescent="0.2">
      <c r="A57" s="51" t="s">
        <v>225</v>
      </c>
      <c r="B57" s="51" t="s">
        <v>226</v>
      </c>
      <c r="C57" s="51" t="s">
        <v>174</v>
      </c>
      <c r="D57" s="51" t="s">
        <v>227</v>
      </c>
      <c r="E57" s="51" t="s">
        <v>228</v>
      </c>
      <c r="F57" s="51" t="s">
        <v>229</v>
      </c>
      <c r="G57" s="51" t="s">
        <v>72</v>
      </c>
      <c r="H57" s="51" t="s">
        <v>182</v>
      </c>
      <c r="I57" s="52" t="s">
        <v>38</v>
      </c>
      <c r="J57" s="51" t="s">
        <v>211</v>
      </c>
      <c r="K57" s="20">
        <v>0.5</v>
      </c>
      <c r="L57" s="20" t="s">
        <v>38</v>
      </c>
      <c r="M57" s="20">
        <v>2024</v>
      </c>
      <c r="N57" s="20" t="s">
        <v>39</v>
      </c>
      <c r="O57" s="20" t="s">
        <v>95</v>
      </c>
      <c r="P57" s="20" t="s">
        <v>26</v>
      </c>
      <c r="Q57" s="20" t="s">
        <v>25</v>
      </c>
      <c r="R57" s="20">
        <v>35</v>
      </c>
      <c r="S57" s="20">
        <v>0.17499999999999999</v>
      </c>
      <c r="T57" s="20">
        <v>0.27500000000000002</v>
      </c>
      <c r="U57" s="20">
        <v>0.05</v>
      </c>
    </row>
    <row r="58" spans="1:2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0">
        <f>SUM(S2:S57)</f>
        <v>11.202666666666669</v>
      </c>
      <c r="T58" s="2"/>
      <c r="U58" s="2"/>
    </row>
  </sheetData>
  <autoFilter ref="A1:U1" xr:uid="{00000000-0009-0000-0000-000000000000}">
    <sortState xmlns:xlrd2="http://schemas.microsoft.com/office/spreadsheetml/2017/richdata2" ref="A2:T1862">
      <sortCondition ref="K2:K1862"/>
      <sortCondition ref="L2:L1862"/>
      <sortCondition ref="D2:D186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6"/>
  <sheetViews>
    <sheetView zoomScaleNormal="100" workbookViewId="0">
      <selection activeCell="S26" sqref="S26"/>
    </sheetView>
  </sheetViews>
  <sheetFormatPr baseColWidth="10" defaultColWidth="11.42578125" defaultRowHeight="12.75" x14ac:dyDescent="0.2"/>
  <cols>
    <col min="1" max="1" width="10.5703125" style="9" bestFit="1" customWidth="1"/>
    <col min="2" max="2" width="48.28515625" style="9" bestFit="1" customWidth="1"/>
    <col min="3" max="3" width="14.5703125" style="9" bestFit="1" customWidth="1"/>
    <col min="4" max="9" width="3.28515625" style="9" bestFit="1" customWidth="1"/>
    <col min="10" max="10" width="13.140625" style="9" bestFit="1" customWidth="1"/>
    <col min="11" max="11" width="5.28515625" style="9" bestFit="1" customWidth="1"/>
    <col min="12" max="13" width="5.7109375" style="9" bestFit="1" customWidth="1"/>
    <col min="14" max="14" width="5.7109375" style="10" bestFit="1" customWidth="1"/>
    <col min="15" max="15" width="5.7109375" style="9" bestFit="1" customWidth="1"/>
    <col min="16" max="16" width="5.7109375" style="10" bestFit="1" customWidth="1"/>
    <col min="17" max="19" width="5.7109375" style="9" bestFit="1" customWidth="1"/>
    <col min="20" max="16384" width="11.42578125" style="9"/>
  </cols>
  <sheetData>
    <row r="1" spans="1:20" s="8" customFormat="1" ht="60" customHeight="1" x14ac:dyDescent="0.2">
      <c r="A1" s="11" t="s">
        <v>50</v>
      </c>
      <c r="B1" s="11" t="s">
        <v>51</v>
      </c>
      <c r="C1" s="11" t="s">
        <v>52</v>
      </c>
      <c r="D1" s="12" t="s">
        <v>230</v>
      </c>
      <c r="E1" s="12" t="s">
        <v>231</v>
      </c>
      <c r="F1" s="12" t="s">
        <v>232</v>
      </c>
      <c r="G1" s="12" t="s">
        <v>233</v>
      </c>
      <c r="H1" s="12" t="s">
        <v>234</v>
      </c>
      <c r="I1" s="12" t="s">
        <v>235</v>
      </c>
      <c r="J1" s="11" t="s">
        <v>53</v>
      </c>
      <c r="K1" s="13" t="s">
        <v>92</v>
      </c>
      <c r="L1" s="6" t="s">
        <v>54</v>
      </c>
      <c r="M1" s="6" t="s">
        <v>55</v>
      </c>
      <c r="N1" s="6" t="s">
        <v>56</v>
      </c>
      <c r="O1" s="6" t="s">
        <v>57</v>
      </c>
      <c r="P1" s="7" t="s">
        <v>58</v>
      </c>
      <c r="Q1" s="7" t="s">
        <v>59</v>
      </c>
      <c r="R1" s="7" t="s">
        <v>60</v>
      </c>
      <c r="S1" s="7" t="s">
        <v>61</v>
      </c>
      <c r="T1" s="9"/>
    </row>
    <row r="2" spans="1:20" ht="15" x14ac:dyDescent="0.25">
      <c r="A2" s="14" t="s">
        <v>76</v>
      </c>
      <c r="B2" s="14" t="s">
        <v>236</v>
      </c>
      <c r="C2" s="14" t="s">
        <v>62</v>
      </c>
      <c r="D2" s="14"/>
      <c r="E2" s="14"/>
      <c r="F2" s="14">
        <v>1</v>
      </c>
      <c r="G2" s="14"/>
      <c r="H2" s="14"/>
      <c r="I2" s="14"/>
      <c r="J2" s="14">
        <v>1</v>
      </c>
      <c r="K2" s="14" t="s">
        <v>38</v>
      </c>
      <c r="L2" s="15" t="s">
        <v>39</v>
      </c>
      <c r="M2" s="15" t="s">
        <v>183</v>
      </c>
      <c r="N2" s="15" t="s">
        <v>26</v>
      </c>
      <c r="O2" s="15" t="s">
        <v>25</v>
      </c>
      <c r="P2" s="15">
        <v>25</v>
      </c>
      <c r="Q2" s="15">
        <v>0.65</v>
      </c>
      <c r="R2" s="15">
        <v>0.1</v>
      </c>
      <c r="S2" s="15">
        <v>0.25</v>
      </c>
    </row>
    <row r="3" spans="1:20" ht="15" x14ac:dyDescent="0.25">
      <c r="A3" s="14" t="s">
        <v>75</v>
      </c>
      <c r="B3" s="14" t="s">
        <v>237</v>
      </c>
      <c r="C3" s="14" t="s">
        <v>62</v>
      </c>
      <c r="D3" s="14"/>
      <c r="E3" s="14"/>
      <c r="F3" s="14"/>
      <c r="G3" s="14"/>
      <c r="H3" s="14">
        <v>1</v>
      </c>
      <c r="I3" s="14"/>
      <c r="J3" s="14">
        <v>1</v>
      </c>
      <c r="K3" s="14" t="s">
        <v>38</v>
      </c>
      <c r="L3" s="15" t="s">
        <v>39</v>
      </c>
      <c r="M3" s="15" t="s">
        <v>183</v>
      </c>
      <c r="N3" s="15" t="s">
        <v>23</v>
      </c>
      <c r="O3" s="15" t="s">
        <v>23</v>
      </c>
      <c r="P3" s="15">
        <v>35</v>
      </c>
      <c r="Q3" s="15">
        <v>0.65</v>
      </c>
      <c r="R3" s="15">
        <v>0</v>
      </c>
      <c r="S3" s="15">
        <v>0.35</v>
      </c>
    </row>
    <row r="4" spans="1:20" ht="15" x14ac:dyDescent="0.25">
      <c r="A4" s="14" t="s">
        <v>68</v>
      </c>
      <c r="B4" s="14" t="s">
        <v>238</v>
      </c>
      <c r="C4" s="14" t="s">
        <v>62</v>
      </c>
      <c r="D4" s="14">
        <v>1</v>
      </c>
      <c r="E4" s="14"/>
      <c r="F4" s="14"/>
      <c r="G4" s="14"/>
      <c r="H4" s="14"/>
      <c r="I4" s="14"/>
      <c r="J4" s="14">
        <v>1</v>
      </c>
      <c r="K4" s="14" t="s">
        <v>38</v>
      </c>
      <c r="L4" s="15" t="s">
        <v>26</v>
      </c>
      <c r="M4" s="15" t="s">
        <v>93</v>
      </c>
      <c r="N4" s="15" t="s">
        <v>39</v>
      </c>
      <c r="O4" s="15" t="s">
        <v>31</v>
      </c>
      <c r="P4" s="15">
        <v>40</v>
      </c>
      <c r="Q4" s="15">
        <v>0.2</v>
      </c>
      <c r="R4" s="15">
        <v>0.4</v>
      </c>
      <c r="S4" s="15">
        <v>0.4</v>
      </c>
    </row>
    <row r="5" spans="1:20" ht="15" x14ac:dyDescent="0.25">
      <c r="A5" s="14" t="s">
        <v>66</v>
      </c>
      <c r="B5" s="14" t="s">
        <v>239</v>
      </c>
      <c r="C5" s="14" t="s">
        <v>62</v>
      </c>
      <c r="D5" s="14"/>
      <c r="E5" s="14"/>
      <c r="F5" s="14">
        <v>1</v>
      </c>
      <c r="G5" s="14"/>
      <c r="H5" s="14"/>
      <c r="I5" s="14"/>
      <c r="J5" s="14">
        <v>1</v>
      </c>
      <c r="K5" s="14" t="s">
        <v>38</v>
      </c>
      <c r="L5" s="15" t="s">
        <v>26</v>
      </c>
      <c r="M5" s="15" t="s">
        <v>93</v>
      </c>
      <c r="N5" s="15" t="s">
        <v>39</v>
      </c>
      <c r="O5" s="15" t="s">
        <v>31</v>
      </c>
      <c r="P5" s="15">
        <v>40</v>
      </c>
      <c r="Q5" s="15">
        <v>0.2</v>
      </c>
      <c r="R5" s="15">
        <v>0.4</v>
      </c>
      <c r="S5" s="15">
        <v>0.4</v>
      </c>
    </row>
    <row r="6" spans="1:20" ht="15" x14ac:dyDescent="0.25">
      <c r="A6" s="14" t="s">
        <v>79</v>
      </c>
      <c r="B6" s="14" t="s">
        <v>240</v>
      </c>
      <c r="C6" s="14" t="s">
        <v>62</v>
      </c>
      <c r="D6" s="14"/>
      <c r="E6" s="14"/>
      <c r="F6" s="14">
        <v>1</v>
      </c>
      <c r="G6" s="14"/>
      <c r="H6" s="14"/>
      <c r="I6" s="14"/>
      <c r="J6" s="14">
        <v>1</v>
      </c>
      <c r="K6" s="14" t="s">
        <v>38</v>
      </c>
      <c r="L6" s="15" t="s">
        <v>39</v>
      </c>
      <c r="M6" s="15" t="s">
        <v>183</v>
      </c>
      <c r="N6" s="15" t="s">
        <v>23</v>
      </c>
      <c r="O6" s="15" t="s">
        <v>23</v>
      </c>
      <c r="P6" s="15">
        <v>35</v>
      </c>
      <c r="Q6" s="15">
        <v>0.65</v>
      </c>
      <c r="R6" s="15">
        <v>0</v>
      </c>
      <c r="S6" s="15">
        <v>0.35</v>
      </c>
    </row>
    <row r="7" spans="1:20" ht="15" x14ac:dyDescent="0.25">
      <c r="A7" s="14" t="s">
        <v>73</v>
      </c>
      <c r="B7" s="14" t="s">
        <v>241</v>
      </c>
      <c r="C7" s="14">
        <v>6</v>
      </c>
      <c r="D7" s="14"/>
      <c r="E7" s="14"/>
      <c r="F7" s="14"/>
      <c r="G7" s="14"/>
      <c r="H7" s="14"/>
      <c r="I7" s="14">
        <v>1</v>
      </c>
      <c r="J7" s="14">
        <v>1</v>
      </c>
      <c r="K7" s="14" t="s">
        <v>38</v>
      </c>
      <c r="L7" s="15" t="s">
        <v>39</v>
      </c>
      <c r="M7" s="15" t="s">
        <v>183</v>
      </c>
      <c r="N7" s="15" t="s">
        <v>23</v>
      </c>
      <c r="O7" s="15" t="s">
        <v>23</v>
      </c>
      <c r="P7" s="15">
        <v>35</v>
      </c>
      <c r="Q7" s="15">
        <v>0.65</v>
      </c>
      <c r="R7" s="15">
        <v>0</v>
      </c>
      <c r="S7" s="15">
        <v>0.35</v>
      </c>
    </row>
    <row r="8" spans="1:20" ht="15" x14ac:dyDescent="0.25">
      <c r="A8" s="14" t="s">
        <v>64</v>
      </c>
      <c r="B8" s="14" t="s">
        <v>242</v>
      </c>
      <c r="C8" s="14" t="s">
        <v>62</v>
      </c>
      <c r="D8" s="14"/>
      <c r="E8" s="14"/>
      <c r="F8" s="14"/>
      <c r="G8" s="14">
        <v>1</v>
      </c>
      <c r="H8" s="14"/>
      <c r="I8" s="14"/>
      <c r="J8" s="14">
        <v>1</v>
      </c>
      <c r="K8" s="14" t="s">
        <v>38</v>
      </c>
      <c r="L8" s="15" t="s">
        <v>26</v>
      </c>
      <c r="M8" s="15" t="s">
        <v>25</v>
      </c>
      <c r="N8" s="15" t="s">
        <v>39</v>
      </c>
      <c r="O8" s="15" t="s">
        <v>31</v>
      </c>
      <c r="P8" s="15">
        <v>50</v>
      </c>
      <c r="Q8" s="15">
        <v>0.1</v>
      </c>
      <c r="R8" s="15">
        <v>0.4</v>
      </c>
      <c r="S8" s="15">
        <v>0.5</v>
      </c>
    </row>
    <row r="9" spans="1:20" ht="15" x14ac:dyDescent="0.25">
      <c r="A9" s="14" t="s">
        <v>67</v>
      </c>
      <c r="B9" s="14" t="s">
        <v>243</v>
      </c>
      <c r="C9" s="14" t="s">
        <v>62</v>
      </c>
      <c r="D9" s="14"/>
      <c r="E9" s="14"/>
      <c r="F9" s="14"/>
      <c r="G9" s="14">
        <v>1</v>
      </c>
      <c r="H9" s="14"/>
      <c r="I9" s="14"/>
      <c r="J9" s="14">
        <v>1</v>
      </c>
      <c r="K9" s="14" t="s">
        <v>38</v>
      </c>
      <c r="L9" s="15" t="s">
        <v>39</v>
      </c>
      <c r="M9" s="15" t="s">
        <v>183</v>
      </c>
      <c r="N9" s="15" t="s">
        <v>23</v>
      </c>
      <c r="O9" s="15" t="s">
        <v>23</v>
      </c>
      <c r="P9" s="15">
        <v>35</v>
      </c>
      <c r="Q9" s="15">
        <v>0.65</v>
      </c>
      <c r="R9" s="15">
        <v>0</v>
      </c>
      <c r="S9" s="15">
        <v>0.35</v>
      </c>
    </row>
    <row r="10" spans="1:20" ht="15" x14ac:dyDescent="0.25">
      <c r="A10" s="14" t="s">
        <v>70</v>
      </c>
      <c r="B10" s="14" t="s">
        <v>244</v>
      </c>
      <c r="C10" s="14" t="s">
        <v>62</v>
      </c>
      <c r="D10" s="14"/>
      <c r="E10" s="14"/>
      <c r="F10" s="14"/>
      <c r="G10" s="14"/>
      <c r="H10" s="14">
        <v>1</v>
      </c>
      <c r="I10" s="14"/>
      <c r="J10" s="14">
        <v>1</v>
      </c>
      <c r="K10" s="14" t="s">
        <v>38</v>
      </c>
      <c r="L10" s="15" t="s">
        <v>39</v>
      </c>
      <c r="M10" s="15" t="s">
        <v>183</v>
      </c>
      <c r="N10" s="15" t="s">
        <v>23</v>
      </c>
      <c r="O10" s="15" t="s">
        <v>23</v>
      </c>
      <c r="P10" s="15">
        <v>35</v>
      </c>
      <c r="Q10" s="15">
        <v>0.65</v>
      </c>
      <c r="R10" s="15">
        <v>0</v>
      </c>
      <c r="S10" s="15">
        <v>0.35</v>
      </c>
    </row>
    <row r="11" spans="1:20" ht="15" x14ac:dyDescent="0.25">
      <c r="A11" s="14" t="s">
        <v>77</v>
      </c>
      <c r="B11" s="14" t="s">
        <v>245</v>
      </c>
      <c r="C11" s="14" t="s">
        <v>62</v>
      </c>
      <c r="D11" s="14">
        <v>1</v>
      </c>
      <c r="E11" s="14"/>
      <c r="F11" s="14"/>
      <c r="G11" s="14"/>
      <c r="H11" s="14"/>
      <c r="I11" s="14"/>
      <c r="J11" s="14">
        <v>1</v>
      </c>
      <c r="K11" s="14" t="s">
        <v>38</v>
      </c>
      <c r="L11" s="15" t="s">
        <v>39</v>
      </c>
      <c r="M11" s="15" t="s">
        <v>183</v>
      </c>
      <c r="N11" s="15" t="s">
        <v>23</v>
      </c>
      <c r="O11" s="15" t="s">
        <v>23</v>
      </c>
      <c r="P11" s="15">
        <v>35</v>
      </c>
      <c r="Q11" s="15">
        <v>0.65</v>
      </c>
      <c r="R11" s="15">
        <v>0</v>
      </c>
      <c r="S11" s="15">
        <v>0.35</v>
      </c>
    </row>
    <row r="12" spans="1:20" ht="15" x14ac:dyDescent="0.25">
      <c r="A12" s="14" t="s">
        <v>81</v>
      </c>
      <c r="B12" s="14" t="s">
        <v>246</v>
      </c>
      <c r="C12" s="14" t="s">
        <v>62</v>
      </c>
      <c r="D12" s="14"/>
      <c r="E12" s="14"/>
      <c r="F12" s="14"/>
      <c r="G12" s="14">
        <v>1</v>
      </c>
      <c r="H12" s="14"/>
      <c r="I12" s="14"/>
      <c r="J12" s="14">
        <v>1</v>
      </c>
      <c r="K12" s="14" t="s">
        <v>38</v>
      </c>
      <c r="L12" s="15" t="s">
        <v>39</v>
      </c>
      <c r="M12" s="15" t="s">
        <v>183</v>
      </c>
      <c r="N12" s="15" t="s">
        <v>23</v>
      </c>
      <c r="O12" s="15" t="s">
        <v>23</v>
      </c>
      <c r="P12" s="15">
        <v>35</v>
      </c>
      <c r="Q12" s="15">
        <v>0.65</v>
      </c>
      <c r="R12" s="15">
        <v>0</v>
      </c>
      <c r="S12" s="15">
        <v>0.35</v>
      </c>
    </row>
    <row r="13" spans="1:20" ht="15" x14ac:dyDescent="0.25">
      <c r="A13" s="14" t="s">
        <v>74</v>
      </c>
      <c r="B13" s="14" t="s">
        <v>247</v>
      </c>
      <c r="C13" s="14" t="s">
        <v>62</v>
      </c>
      <c r="D13" s="14"/>
      <c r="E13" s="14"/>
      <c r="F13" s="14"/>
      <c r="G13" s="14"/>
      <c r="H13" s="14">
        <v>1</v>
      </c>
      <c r="I13" s="14"/>
      <c r="J13" s="14">
        <v>1</v>
      </c>
      <c r="K13" s="14" t="s">
        <v>38</v>
      </c>
      <c r="L13" s="15" t="s">
        <v>39</v>
      </c>
      <c r="M13" s="15" t="s">
        <v>183</v>
      </c>
      <c r="N13" s="15" t="s">
        <v>23</v>
      </c>
      <c r="O13" s="15" t="s">
        <v>23</v>
      </c>
      <c r="P13" s="15">
        <v>35</v>
      </c>
      <c r="Q13" s="15">
        <v>0.65</v>
      </c>
      <c r="R13" s="15">
        <v>0</v>
      </c>
      <c r="S13" s="15">
        <v>0.35</v>
      </c>
    </row>
    <row r="14" spans="1:20" ht="15" x14ac:dyDescent="0.25">
      <c r="A14" s="14" t="s">
        <v>84</v>
      </c>
      <c r="B14" s="14" t="s">
        <v>248</v>
      </c>
      <c r="C14" s="27" t="s">
        <v>62</v>
      </c>
      <c r="D14" s="14"/>
      <c r="E14" s="14">
        <v>1</v>
      </c>
      <c r="F14" s="14"/>
      <c r="G14" s="14"/>
      <c r="H14" s="14"/>
      <c r="I14" s="14"/>
      <c r="J14" s="14">
        <v>1</v>
      </c>
      <c r="K14" s="14" t="s">
        <v>38</v>
      </c>
      <c r="L14" s="15" t="s">
        <v>39</v>
      </c>
      <c r="M14" s="15" t="s">
        <v>183</v>
      </c>
      <c r="N14" s="15" t="s">
        <v>26</v>
      </c>
      <c r="O14" s="15" t="s">
        <v>25</v>
      </c>
      <c r="P14" s="15">
        <v>25</v>
      </c>
      <c r="Q14" s="15">
        <v>0.65</v>
      </c>
      <c r="R14" s="15">
        <v>0.1</v>
      </c>
      <c r="S14" s="15">
        <v>0.25</v>
      </c>
    </row>
    <row r="15" spans="1:20" ht="15" x14ac:dyDescent="0.25">
      <c r="A15" s="14" t="s">
        <v>83</v>
      </c>
      <c r="B15" s="14" t="s">
        <v>249</v>
      </c>
      <c r="C15" s="14" t="s">
        <v>62</v>
      </c>
      <c r="D15" s="14"/>
      <c r="E15" s="14">
        <v>1</v>
      </c>
      <c r="F15" s="14"/>
      <c r="G15" s="14"/>
      <c r="H15" s="14"/>
      <c r="I15" s="14"/>
      <c r="J15" s="14">
        <v>1</v>
      </c>
      <c r="K15" s="14" t="s">
        <v>38</v>
      </c>
      <c r="L15" s="15" t="s">
        <v>39</v>
      </c>
      <c r="M15" s="15" t="s">
        <v>183</v>
      </c>
      <c r="N15" s="15" t="s">
        <v>23</v>
      </c>
      <c r="O15" s="15" t="s">
        <v>23</v>
      </c>
      <c r="P15" s="15">
        <v>35</v>
      </c>
      <c r="Q15" s="15">
        <v>0.65</v>
      </c>
      <c r="R15" s="15">
        <v>0</v>
      </c>
      <c r="S15" s="15">
        <v>0.35</v>
      </c>
    </row>
    <row r="16" spans="1:20" ht="15" x14ac:dyDescent="0.25">
      <c r="A16" s="14" t="s">
        <v>82</v>
      </c>
      <c r="B16" s="14" t="s">
        <v>250</v>
      </c>
      <c r="C16" s="14" t="s">
        <v>62</v>
      </c>
      <c r="D16" s="14">
        <v>1</v>
      </c>
      <c r="E16" s="14"/>
      <c r="F16" s="14"/>
      <c r="G16" s="14"/>
      <c r="H16" s="14"/>
      <c r="I16" s="14"/>
      <c r="J16" s="14">
        <v>1</v>
      </c>
      <c r="K16" s="14" t="s">
        <v>38</v>
      </c>
      <c r="L16" s="15" t="s">
        <v>39</v>
      </c>
      <c r="M16" s="15" t="s">
        <v>183</v>
      </c>
      <c r="N16" s="15" t="s">
        <v>23</v>
      </c>
      <c r="O16" s="15" t="s">
        <v>23</v>
      </c>
      <c r="P16" s="15">
        <v>35</v>
      </c>
      <c r="Q16" s="15">
        <v>0.65</v>
      </c>
      <c r="R16" s="15">
        <v>0</v>
      </c>
      <c r="S16" s="15">
        <v>0.35</v>
      </c>
    </row>
    <row r="17" spans="1:19" ht="15" x14ac:dyDescent="0.25">
      <c r="A17" s="14" t="s">
        <v>80</v>
      </c>
      <c r="B17" s="14" t="s">
        <v>251</v>
      </c>
      <c r="C17" s="14" t="s">
        <v>62</v>
      </c>
      <c r="D17" s="14"/>
      <c r="E17" s="14"/>
      <c r="F17" s="14"/>
      <c r="G17" s="14">
        <v>1</v>
      </c>
      <c r="H17" s="14"/>
      <c r="I17" s="14"/>
      <c r="J17" s="14">
        <v>1</v>
      </c>
      <c r="K17" s="14" t="s">
        <v>38</v>
      </c>
      <c r="L17" s="15" t="s">
        <v>39</v>
      </c>
      <c r="M17" s="15" t="s">
        <v>183</v>
      </c>
      <c r="N17" s="15" t="s">
        <v>26</v>
      </c>
      <c r="O17" s="15" t="s">
        <v>25</v>
      </c>
      <c r="P17" s="15">
        <v>25</v>
      </c>
      <c r="Q17" s="15">
        <v>0.65</v>
      </c>
      <c r="R17" s="15">
        <v>0.1</v>
      </c>
      <c r="S17" s="15">
        <v>0.25</v>
      </c>
    </row>
    <row r="18" spans="1:19" ht="15" x14ac:dyDescent="0.25">
      <c r="A18" s="14" t="s">
        <v>65</v>
      </c>
      <c r="B18" s="14" t="s">
        <v>252</v>
      </c>
      <c r="C18" s="14" t="s">
        <v>62</v>
      </c>
      <c r="D18" s="14"/>
      <c r="E18" s="14"/>
      <c r="F18" s="14"/>
      <c r="G18" s="14"/>
      <c r="H18" s="14">
        <v>1</v>
      </c>
      <c r="I18" s="14"/>
      <c r="J18" s="14">
        <v>1</v>
      </c>
      <c r="K18" s="14" t="s">
        <v>38</v>
      </c>
      <c r="L18" s="15" t="s">
        <v>39</v>
      </c>
      <c r="M18" s="15" t="s">
        <v>183</v>
      </c>
      <c r="N18" s="15" t="s">
        <v>23</v>
      </c>
      <c r="O18" s="15" t="s">
        <v>23</v>
      </c>
      <c r="P18" s="15">
        <v>35</v>
      </c>
      <c r="Q18" s="15">
        <v>0.65</v>
      </c>
      <c r="R18" s="15">
        <v>0</v>
      </c>
      <c r="S18" s="15">
        <v>0.35</v>
      </c>
    </row>
    <row r="19" spans="1:19" ht="15" x14ac:dyDescent="0.25">
      <c r="A19" s="14" t="s">
        <v>69</v>
      </c>
      <c r="B19" s="14" t="s">
        <v>253</v>
      </c>
      <c r="C19" s="14" t="s">
        <v>62</v>
      </c>
      <c r="D19" s="14"/>
      <c r="E19" s="14"/>
      <c r="F19" s="14"/>
      <c r="G19" s="14">
        <v>1</v>
      </c>
      <c r="H19" s="14"/>
      <c r="I19" s="14"/>
      <c r="J19" s="14">
        <v>1</v>
      </c>
      <c r="K19" s="14" t="s">
        <v>38</v>
      </c>
      <c r="L19" s="15" t="s">
        <v>39</v>
      </c>
      <c r="M19" s="15" t="s">
        <v>183</v>
      </c>
      <c r="N19" s="15" t="s">
        <v>23</v>
      </c>
      <c r="O19" s="15" t="s">
        <v>23</v>
      </c>
      <c r="P19" s="15">
        <v>35</v>
      </c>
      <c r="Q19" s="15">
        <v>0.65</v>
      </c>
      <c r="R19" s="15">
        <v>0</v>
      </c>
      <c r="S19" s="15">
        <v>0.35</v>
      </c>
    </row>
    <row r="20" spans="1:19" ht="15" x14ac:dyDescent="0.25">
      <c r="A20" s="14" t="s">
        <v>94</v>
      </c>
      <c r="B20" s="14" t="s">
        <v>254</v>
      </c>
      <c r="C20" s="14" t="s">
        <v>62</v>
      </c>
      <c r="D20" s="14">
        <v>1</v>
      </c>
      <c r="E20" s="14"/>
      <c r="F20" s="14"/>
      <c r="G20" s="14"/>
      <c r="H20" s="14"/>
      <c r="I20" s="14"/>
      <c r="J20" s="14">
        <v>1</v>
      </c>
      <c r="K20" s="14" t="s">
        <v>38</v>
      </c>
      <c r="L20" s="15" t="s">
        <v>39</v>
      </c>
      <c r="M20" s="15" t="s">
        <v>183</v>
      </c>
      <c r="N20" s="15" t="s">
        <v>26</v>
      </c>
      <c r="O20" s="15" t="s">
        <v>25</v>
      </c>
      <c r="P20" s="15">
        <v>25</v>
      </c>
      <c r="Q20" s="15">
        <v>0.65</v>
      </c>
      <c r="R20" s="15">
        <v>0.1</v>
      </c>
      <c r="S20" s="15">
        <v>0.25</v>
      </c>
    </row>
    <row r="21" spans="1:19" ht="15" x14ac:dyDescent="0.25">
      <c r="A21" s="14" t="s">
        <v>71</v>
      </c>
      <c r="B21" s="14" t="s">
        <v>255</v>
      </c>
      <c r="C21" s="14" t="s">
        <v>62</v>
      </c>
      <c r="D21" s="14"/>
      <c r="E21" s="14"/>
      <c r="F21" s="14">
        <v>1</v>
      </c>
      <c r="G21" s="14"/>
      <c r="H21" s="14"/>
      <c r="I21" s="14"/>
      <c r="J21" s="14">
        <v>1</v>
      </c>
      <c r="K21" s="14" t="s">
        <v>38</v>
      </c>
      <c r="L21" s="15" t="s">
        <v>39</v>
      </c>
      <c r="M21" s="15" t="s">
        <v>183</v>
      </c>
      <c r="N21" s="15" t="s">
        <v>23</v>
      </c>
      <c r="O21" s="15" t="s">
        <v>23</v>
      </c>
      <c r="P21" s="15">
        <v>35</v>
      </c>
      <c r="Q21" s="15">
        <v>0.65</v>
      </c>
      <c r="R21" s="15">
        <v>0</v>
      </c>
      <c r="S21" s="15">
        <v>0.35</v>
      </c>
    </row>
    <row r="22" spans="1:19" ht="15" x14ac:dyDescent="0.25">
      <c r="A22" s="14" t="s">
        <v>63</v>
      </c>
      <c r="B22" s="14" t="s">
        <v>256</v>
      </c>
      <c r="C22" s="14" t="s">
        <v>62</v>
      </c>
      <c r="D22" s="14"/>
      <c r="E22" s="14">
        <v>1</v>
      </c>
      <c r="F22" s="14"/>
      <c r="G22" s="14"/>
      <c r="H22" s="14"/>
      <c r="I22" s="14"/>
      <c r="J22" s="14">
        <v>1</v>
      </c>
      <c r="K22" s="14" t="s">
        <v>38</v>
      </c>
      <c r="L22" s="15" t="s">
        <v>39</v>
      </c>
      <c r="M22" s="15" t="s">
        <v>183</v>
      </c>
      <c r="N22" s="15" t="s">
        <v>23</v>
      </c>
      <c r="O22" s="15" t="s">
        <v>23</v>
      </c>
      <c r="P22" s="15">
        <v>35</v>
      </c>
      <c r="Q22" s="15">
        <v>0.65</v>
      </c>
      <c r="R22" s="15">
        <v>0</v>
      </c>
      <c r="S22" s="15">
        <v>0.35</v>
      </c>
    </row>
    <row r="23" spans="1:19" ht="15" x14ac:dyDescent="0.25">
      <c r="A23" s="14" t="s">
        <v>124</v>
      </c>
      <c r="B23" s="14" t="s">
        <v>257</v>
      </c>
      <c r="C23" s="14" t="s">
        <v>62</v>
      </c>
      <c r="D23" s="14"/>
      <c r="E23" s="14"/>
      <c r="F23" s="14"/>
      <c r="G23" s="14"/>
      <c r="H23" s="14">
        <v>2</v>
      </c>
      <c r="I23" s="14"/>
      <c r="J23" s="14">
        <v>2</v>
      </c>
      <c r="K23" s="14" t="s">
        <v>38</v>
      </c>
      <c r="L23" s="15" t="s">
        <v>26</v>
      </c>
      <c r="M23" s="15" t="s">
        <v>25</v>
      </c>
      <c r="N23" s="15" t="s">
        <v>39</v>
      </c>
      <c r="O23" s="15" t="s">
        <v>183</v>
      </c>
      <c r="P23" s="15">
        <v>25</v>
      </c>
      <c r="Q23" s="15">
        <v>0.2</v>
      </c>
      <c r="R23" s="15">
        <v>1.3</v>
      </c>
      <c r="S23" s="15">
        <v>0.5</v>
      </c>
    </row>
    <row r="24" spans="1:19" ht="15" x14ac:dyDescent="0.25">
      <c r="A24" s="14" t="s">
        <v>258</v>
      </c>
      <c r="B24" s="14" t="s">
        <v>259</v>
      </c>
      <c r="C24" s="14" t="s">
        <v>125</v>
      </c>
      <c r="D24" s="14"/>
      <c r="E24" s="14"/>
      <c r="F24" s="14"/>
      <c r="G24" s="14"/>
      <c r="H24" s="14"/>
      <c r="I24" s="14">
        <v>1</v>
      </c>
      <c r="J24" s="14">
        <v>1</v>
      </c>
      <c r="K24" s="14" t="s">
        <v>38</v>
      </c>
      <c r="L24" s="15">
        <v>0</v>
      </c>
      <c r="M24" s="15">
        <v>0</v>
      </c>
      <c r="N24" s="15" t="s">
        <v>23</v>
      </c>
      <c r="O24" s="15" t="s">
        <v>23</v>
      </c>
      <c r="P24" s="15">
        <v>100</v>
      </c>
      <c r="Q24" s="15">
        <v>0</v>
      </c>
      <c r="R24" s="15">
        <v>0</v>
      </c>
      <c r="S24" s="15">
        <v>1</v>
      </c>
    </row>
    <row r="25" spans="1:19" ht="15" x14ac:dyDescent="0.25">
      <c r="A25" s="14" t="s">
        <v>72</v>
      </c>
      <c r="B25" s="14" t="s">
        <v>260</v>
      </c>
      <c r="C25" s="14" t="s">
        <v>62</v>
      </c>
      <c r="D25" s="14"/>
      <c r="E25" s="14"/>
      <c r="F25" s="14">
        <v>1</v>
      </c>
      <c r="G25" s="14"/>
      <c r="H25" s="14"/>
      <c r="I25" s="14"/>
      <c r="J25" s="14">
        <v>1</v>
      </c>
      <c r="K25" s="14" t="s">
        <v>38</v>
      </c>
      <c r="L25" s="15" t="s">
        <v>39</v>
      </c>
      <c r="M25" s="15" t="s">
        <v>95</v>
      </c>
      <c r="N25" s="15" t="s">
        <v>26</v>
      </c>
      <c r="O25" s="15" t="s">
        <v>25</v>
      </c>
      <c r="P25" s="15">
        <v>35</v>
      </c>
      <c r="Q25" s="15">
        <v>0.55000000000000004</v>
      </c>
      <c r="R25" s="15">
        <v>0.1</v>
      </c>
      <c r="S25" s="15">
        <v>0.35</v>
      </c>
    </row>
    <row r="26" spans="1:19" ht="15" x14ac:dyDescent="0.25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69">
        <f>SUM(S2:S25)</f>
        <v>9.0499999999999972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3CF4-7ADA-4757-99CA-8B3F31DD5194}">
  <dimension ref="A1:C6"/>
  <sheetViews>
    <sheetView workbookViewId="0">
      <selection activeCell="F12" sqref="F12"/>
    </sheetView>
  </sheetViews>
  <sheetFormatPr baseColWidth="10" defaultRowHeight="15" x14ac:dyDescent="0.25"/>
  <cols>
    <col min="1" max="1" width="16.42578125" customWidth="1"/>
    <col min="2" max="2" width="78.5703125" customWidth="1"/>
    <col min="3" max="3" width="15.42578125" customWidth="1"/>
  </cols>
  <sheetData>
    <row r="1" spans="1:3" x14ac:dyDescent="0.25">
      <c r="A1" s="21" t="s">
        <v>112</v>
      </c>
      <c r="B1" s="21" t="s">
        <v>113</v>
      </c>
      <c r="C1" s="21" t="s">
        <v>167</v>
      </c>
    </row>
    <row r="2" spans="1:3" x14ac:dyDescent="0.25">
      <c r="A2" s="23" t="s">
        <v>111</v>
      </c>
      <c r="B2" s="23" t="s">
        <v>168</v>
      </c>
      <c r="C2" s="24">
        <v>4439.6000000000004</v>
      </c>
    </row>
    <row r="3" spans="1:3" x14ac:dyDescent="0.25">
      <c r="A3" s="25" t="s">
        <v>170</v>
      </c>
      <c r="B3" s="25" t="s">
        <v>171</v>
      </c>
      <c r="C3" s="26">
        <v>528</v>
      </c>
    </row>
    <row r="4" spans="1:3" x14ac:dyDescent="0.25">
      <c r="A4" s="32" t="s">
        <v>170</v>
      </c>
      <c r="B4" s="32" t="s">
        <v>172</v>
      </c>
      <c r="C4" s="33">
        <v>528</v>
      </c>
    </row>
    <row r="5" spans="1:3" x14ac:dyDescent="0.25">
      <c r="A5" s="31" t="s">
        <v>0</v>
      </c>
      <c r="B5" s="31"/>
      <c r="C5" s="34">
        <f>SUBTOTAL(109,Tabla2[Imp.cob.aplic.])</f>
        <v>5495.6</v>
      </c>
    </row>
    <row r="6" spans="1:3" x14ac:dyDescent="0.25">
      <c r="C6" s="2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92F3-6433-4F2B-8D27-2096E0D5AE71}">
  <dimension ref="A1:C3"/>
  <sheetViews>
    <sheetView workbookViewId="0">
      <selection activeCell="B6" sqref="B6:C6"/>
    </sheetView>
  </sheetViews>
  <sheetFormatPr baseColWidth="10" defaultRowHeight="15" x14ac:dyDescent="0.25"/>
  <cols>
    <col min="1" max="1" width="17.85546875" customWidth="1"/>
    <col min="2" max="2" width="51" customWidth="1"/>
    <col min="3" max="3" width="13.28515625" customWidth="1"/>
  </cols>
  <sheetData>
    <row r="1" spans="1:3" x14ac:dyDescent="0.25">
      <c r="A1" s="35" t="s">
        <v>203</v>
      </c>
      <c r="B1" s="35" t="s">
        <v>113</v>
      </c>
      <c r="C1" s="36" t="s">
        <v>204</v>
      </c>
    </row>
    <row r="2" spans="1:3" x14ac:dyDescent="0.25">
      <c r="A2" s="37" t="s">
        <v>111</v>
      </c>
      <c r="B2" s="37" t="s">
        <v>205</v>
      </c>
      <c r="C2" s="38">
        <v>4667.5200000000004</v>
      </c>
    </row>
    <row r="3" spans="1:3" x14ac:dyDescent="0.25">
      <c r="A3" s="39" t="s">
        <v>0</v>
      </c>
      <c r="B3" s="39"/>
      <c r="C3" s="41">
        <f>SUBTOTAL(109,Tabla3[Imp. aplic.])</f>
        <v>4667.5200000000004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A4A2-8A81-4CC2-95E3-9EB241111E29}">
  <dimension ref="A1:C8"/>
  <sheetViews>
    <sheetView workbookViewId="0">
      <selection activeCell="C9" sqref="C9"/>
    </sheetView>
  </sheetViews>
  <sheetFormatPr baseColWidth="10" defaultRowHeight="15" x14ac:dyDescent="0.25"/>
  <cols>
    <col min="1" max="1" width="21.7109375" customWidth="1"/>
    <col min="2" max="2" width="41.140625" customWidth="1"/>
  </cols>
  <sheetData>
    <row r="1" spans="1:3" x14ac:dyDescent="0.25">
      <c r="A1" s="58" t="s">
        <v>203</v>
      </c>
      <c r="B1" s="59" t="s">
        <v>113</v>
      </c>
      <c r="C1" s="59" t="s">
        <v>204</v>
      </c>
    </row>
    <row r="2" spans="1:3" x14ac:dyDescent="0.25">
      <c r="A2" s="60" t="s">
        <v>111</v>
      </c>
      <c r="B2" s="61" t="s">
        <v>261</v>
      </c>
      <c r="C2" s="62">
        <v>4495.04</v>
      </c>
    </row>
    <row r="3" spans="1:3" x14ac:dyDescent="0.25">
      <c r="A3" s="63" t="s">
        <v>111</v>
      </c>
      <c r="B3" s="64" t="s">
        <v>262</v>
      </c>
      <c r="C3" s="65">
        <v>3281.52</v>
      </c>
    </row>
    <row r="4" spans="1:3" ht="15.75" thickBot="1" x14ac:dyDescent="0.3">
      <c r="A4" s="60" t="s">
        <v>263</v>
      </c>
      <c r="B4" s="61" t="s">
        <v>264</v>
      </c>
      <c r="C4" s="62">
        <v>176</v>
      </c>
    </row>
    <row r="5" spans="1:3" ht="15.75" thickTop="1" x14ac:dyDescent="0.25">
      <c r="A5" s="66" t="s">
        <v>0</v>
      </c>
      <c r="B5" s="67"/>
      <c r="C5" s="68">
        <v>7952.5599999999995</v>
      </c>
    </row>
    <row r="8" spans="1:3" x14ac:dyDescent="0.25">
      <c r="B8" s="43" t="s">
        <v>265</v>
      </c>
      <c r="C8" s="44">
        <f>C5+Tabla2[[#Totals],[Imp.cob.aplic.]]+Tabla3[[#Totals],[Imp. aplic.]]</f>
        <v>18115.68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483F-11ED-4637-86F6-36C8B3E16D94}">
  <dimension ref="A1"/>
  <sheetViews>
    <sheetView workbookViewId="0"/>
  </sheetViews>
  <sheetFormatPr baseColWidth="10" defaultRowHeight="15" x14ac:dyDescent="0.25"/>
  <sheetData>
    <row r="1" spans="1:1" x14ac:dyDescent="0.25">
      <c r="A1" t="s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C208-1AA6-4ADC-97FD-280F4FB52830}">
  <dimension ref="A1:C4"/>
  <sheetViews>
    <sheetView workbookViewId="0">
      <selection activeCell="B7" sqref="B7:C7"/>
    </sheetView>
  </sheetViews>
  <sheetFormatPr baseColWidth="10" defaultRowHeight="15" x14ac:dyDescent="0.25"/>
  <cols>
    <col min="1" max="1" width="17.85546875" customWidth="1"/>
    <col min="2" max="2" width="51" customWidth="1"/>
    <col min="3" max="3" width="13.28515625" customWidth="1"/>
  </cols>
  <sheetData>
    <row r="1" spans="1:3" x14ac:dyDescent="0.25">
      <c r="A1" s="35" t="s">
        <v>203</v>
      </c>
      <c r="B1" s="35" t="s">
        <v>113</v>
      </c>
      <c r="C1" s="36" t="s">
        <v>204</v>
      </c>
    </row>
    <row r="2" spans="1:3" s="40" customFormat="1" x14ac:dyDescent="0.25">
      <c r="A2" s="39" t="s">
        <v>206</v>
      </c>
      <c r="B2" s="39" t="s">
        <v>207</v>
      </c>
      <c r="C2" s="42">
        <v>571.20000000000005</v>
      </c>
    </row>
    <row r="3" spans="1:3" x14ac:dyDescent="0.25">
      <c r="A3" s="37" t="s">
        <v>208</v>
      </c>
      <c r="B3" s="37" t="s">
        <v>209</v>
      </c>
      <c r="C3" s="38">
        <v>244.8</v>
      </c>
    </row>
    <row r="4" spans="1:3" x14ac:dyDescent="0.25">
      <c r="A4" s="39" t="s">
        <v>0</v>
      </c>
      <c r="B4" s="39"/>
      <c r="C4" s="41">
        <f>SUBTOTAL(109,Tabla35[Imp. aplic.])</f>
        <v>816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4C5B-7955-4CD6-B4E3-BC4E6E66EC7A}">
  <dimension ref="B2:D6"/>
  <sheetViews>
    <sheetView workbookViewId="0">
      <selection activeCell="D6" sqref="D6"/>
    </sheetView>
  </sheetViews>
  <sheetFormatPr baseColWidth="10" defaultRowHeight="15" x14ac:dyDescent="0.25"/>
  <cols>
    <col min="3" max="3" width="37.28515625" customWidth="1"/>
  </cols>
  <sheetData>
    <row r="2" spans="2:4" x14ac:dyDescent="0.25">
      <c r="B2" t="s">
        <v>266</v>
      </c>
    </row>
    <row r="6" spans="2:4" x14ac:dyDescent="0.25">
      <c r="C6" s="43" t="s">
        <v>267</v>
      </c>
      <c r="D6" s="44">
        <f>Tabla35[[#Totals],[Imp. aplic.]]</f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2026-05-28T08:15:05Z</dcterms:modified>
</cp:coreProperties>
</file>