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N:\_Unidad_Presupuestos\2_PRESUPUESTACIÓN\Presupuesto 2027\Datos\D-I\Indicadores provisionales\"/>
    </mc:Choice>
  </mc:AlternateContent>
  <xr:revisionPtr revIDLastSave="0" documentId="13_ncr:1_{5699B016-DBE2-41D3-9D25-C0AF165B57C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esis" sheetId="4" r:id="rId1"/>
    <sheet name="Sexenios" sheetId="3" r:id="rId2"/>
  </sheets>
  <definedNames>
    <definedName name="_xlnm._FilterDatabase" localSheetId="1" hidden="1">Sexenios!#REF!</definedName>
    <definedName name="_xlnm._FilterDatabase" localSheetId="0" hidden="1">Tesis!$A$1:$U$1</definedName>
    <definedName name="_xlnm.Print_Titles" localSheetId="1">Sexenios!#REF!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6" i="4" l="1"/>
  <c r="S5" i="3"/>
</calcChain>
</file>

<file path=xl/sharedStrings.xml><?xml version="1.0" encoding="utf-8"?>
<sst xmlns="http://schemas.openxmlformats.org/spreadsheetml/2006/main" count="122" uniqueCount="73">
  <si>
    <t>NIF</t>
  </si>
  <si>
    <t>NOMBRE_COMPLETO</t>
  </si>
  <si>
    <t>TIPO_SEXENIO</t>
  </si>
  <si>
    <t>Total general</t>
  </si>
  <si>
    <t>INS
1</t>
  </si>
  <si>
    <t>DED
INS 1</t>
  </si>
  <si>
    <t>INS
2</t>
  </si>
  <si>
    <t>DED
INS 2</t>
  </si>
  <si>
    <t>DED
DEP</t>
  </si>
  <si>
    <t>SEX
INS 1</t>
  </si>
  <si>
    <t>SEX
INS 2</t>
  </si>
  <si>
    <t>SEX
DEP</t>
  </si>
  <si>
    <t>FUNCIONARIO</t>
  </si>
  <si>
    <t>B139</t>
  </si>
  <si>
    <t>21456802X</t>
  </si>
  <si>
    <t>10.23</t>
  </si>
  <si>
    <t>10.25</t>
  </si>
  <si>
    <t>COD DEP</t>
  </si>
  <si>
    <t>20</t>
  </si>
  <si>
    <t>Director de tesis</t>
  </si>
  <si>
    <t>C.D.</t>
  </si>
  <si>
    <t>Departamento</t>
  </si>
  <si>
    <t>Plan</t>
  </si>
  <si>
    <t>Alumno</t>
  </si>
  <si>
    <t>Tesis</t>
  </si>
  <si>
    <t>Fecha</t>
  </si>
  <si>
    <t>Tutor</t>
  </si>
  <si>
    <t>Rol</t>
  </si>
  <si>
    <t>C.DEP.</t>
  </si>
  <si>
    <t>Departamento Tutor</t>
  </si>
  <si>
    <t>ASIGNACIÓN</t>
  </si>
  <si>
    <t>DEP.ASIG.</t>
  </si>
  <si>
    <t>EJERCICIO</t>
  </si>
  <si>
    <t>INS 1</t>
  </si>
  <si>
    <t>DED INS 1</t>
  </si>
  <si>
    <t>INS 2</t>
  </si>
  <si>
    <t>DED INS 2</t>
  </si>
  <si>
    <t>DED DEP</t>
  </si>
  <si>
    <t>TDOC DEP</t>
  </si>
  <si>
    <t>TDOC INST 1</t>
  </si>
  <si>
    <t>TDOC INST 2</t>
  </si>
  <si>
    <t>U036</t>
  </si>
  <si>
    <t>ADM. FACULTAD DE CIENCIAS ECONÓMICAS</t>
  </si>
  <si>
    <t>DOCTORADO EN EMPRESA, ECONOMÍA Y SOCIEDAD</t>
  </si>
  <si>
    <t>Escalona Sepúlveda, Paola Inés</t>
  </si>
  <si>
    <t>Análisis exploratorio sobre el estado y evolución de la Economía Naranja en Chile entre los años 2010-2020.Un estudio basado en estadísticas públicas.</t>
  </si>
  <si>
    <t>08/05/2024</t>
  </si>
  <si>
    <t>ECONOMÍA APLICADA Y POLITICA ECONÓMICA</t>
  </si>
  <si>
    <t>10</t>
  </si>
  <si>
    <t>21478237D</t>
  </si>
  <si>
    <t>30</t>
  </si>
  <si>
    <t/>
  </si>
  <si>
    <t>48559564D</t>
  </si>
  <si>
    <t>NO FUNCIONARIO</t>
  </si>
  <si>
    <t>Administración Facultad de Ciencias Económicas</t>
  </si>
  <si>
    <t>Quispe Fernandez, Gabith Miriam</t>
  </si>
  <si>
    <t>LOS DETERMINANTES DEL ÉXITO Y FRACASO DE LOS EMPRENDIMIENTOS EN
ENTORNOS RURALES CON ENFOQUE DE GÉNERO EN LA PROVINCIA CHIMBORAZO,
ECUADOR</t>
  </si>
  <si>
    <t>30/06/2025</t>
  </si>
  <si>
    <t>Economía Aplicada y Política Económica</t>
  </si>
  <si>
    <t>Ayaviri Nina, Victor Dante</t>
  </si>
  <si>
    <t>PLANIFICACIÓN DEL DESARROLLO EN COMUNIDADES RURALES DE BOLIVIA</t>
  </si>
  <si>
    <t>De Juanes Rodríguez, Álvaro</t>
  </si>
  <si>
    <t>DIVERSIDAD Y ACCESIBILIDAD EN LAS CIUDADES: LA COMPLEJIDAD URBANA COMO 
CLAVE DEL ANÁLISIS TERRITORIAL Y ECONÓMICO</t>
  </si>
  <si>
    <t>07/07/2025</t>
  </si>
  <si>
    <t>2020</t>
  </si>
  <si>
    <t>2021</t>
  </si>
  <si>
    <t>2022</t>
  </si>
  <si>
    <t>2023</t>
  </si>
  <si>
    <t>2024</t>
  </si>
  <si>
    <t>2025</t>
  </si>
  <si>
    <t>Giner Pérez, Jose Miguel</t>
  </si>
  <si>
    <t>Santa María Beneyto, María Jesús</t>
  </si>
  <si>
    <t>Nerja Esteve, Adrián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</si>
</sst>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3" fillId="0" borderId="0"/>
    <xf numFmtId="0" fontId="1" fillId="0" borderId="0"/>
    <xf numFmtId="0" fontId="7" fillId="0" borderId="0"/>
    <xf numFmtId="0" fontId="2" fillId="0" borderId="0"/>
  </cellStyleXfs>
  <cellXfs count="31">
    <xf numFmtId="0" fontId="0" fillId="0" borderId="0" xfId="0"/>
    <xf numFmtId="0" fontId="5" fillId="4" borderId="1" xfId="1" applyFont="1" applyFill="1" applyBorder="1" applyAlignment="1">
      <alignment horizontal="center" textRotation="90" wrapText="1"/>
    </xf>
    <xf numFmtId="0" fontId="5" fillId="3" borderId="1" xfId="1" applyFont="1" applyFill="1" applyBorder="1" applyAlignment="1">
      <alignment horizontal="center" textRotation="90" wrapText="1"/>
    </xf>
    <xf numFmtId="0" fontId="2" fillId="0" borderId="0" xfId="3" applyFont="1"/>
    <xf numFmtId="0" fontId="6" fillId="0" borderId="0" xfId="3" applyFont="1"/>
    <xf numFmtId="0" fontId="6" fillId="0" borderId="0" xfId="3" applyFont="1" applyAlignment="1">
      <alignment horizontal="right"/>
    </xf>
    <xf numFmtId="0" fontId="4" fillId="2" borderId="1" xfId="0" applyFont="1" applyFill="1" applyBorder="1"/>
    <xf numFmtId="0" fontId="4" fillId="2" borderId="1" xfId="0" applyFont="1" applyFill="1" applyBorder="1" applyAlignment="1">
      <alignment textRotation="90"/>
    </xf>
    <xf numFmtId="0" fontId="5" fillId="3" borderId="1" xfId="1" applyFont="1" applyFill="1" applyBorder="1" applyAlignment="1">
      <alignment horizontal="center" wrapText="1"/>
    </xf>
    <xf numFmtId="0" fontId="8" fillId="3" borderId="1" xfId="4" applyFont="1" applyFill="1" applyBorder="1" applyAlignment="1">
      <alignment horizontal="center"/>
    </xf>
    <xf numFmtId="0" fontId="9" fillId="3" borderId="1" xfId="4" applyFont="1" applyFill="1" applyBorder="1" applyAlignment="1">
      <alignment horizontal="center"/>
    </xf>
    <xf numFmtId="0" fontId="9" fillId="3" borderId="1" xfId="5" applyFont="1" applyFill="1" applyBorder="1" applyAlignment="1">
      <alignment horizontal="center"/>
    </xf>
    <xf numFmtId="0" fontId="9" fillId="3" borderId="1" xfId="1" applyFont="1" applyFill="1" applyBorder="1" applyAlignment="1">
      <alignment horizontal="center" wrapText="1"/>
    </xf>
    <xf numFmtId="0" fontId="9" fillId="3" borderId="1" xfId="1" applyFont="1" applyFill="1" applyBorder="1" applyAlignment="1">
      <alignment horizontal="right" wrapText="1"/>
    </xf>
    <xf numFmtId="0" fontId="6" fillId="5" borderId="0" xfId="3" applyFont="1" applyFill="1"/>
    <xf numFmtId="0" fontId="6" fillId="5" borderId="0" xfId="3" applyFont="1" applyFill="1" applyAlignment="1">
      <alignment horizontal="right"/>
    </xf>
    <xf numFmtId="0" fontId="10" fillId="5" borderId="0" xfId="3" applyFont="1" applyFill="1"/>
    <xf numFmtId="0" fontId="6" fillId="0" borderId="1" xfId="3" applyFont="1" applyBorder="1"/>
    <xf numFmtId="0" fontId="6" fillId="0" borderId="1" xfId="3" applyFont="1" applyBorder="1" applyAlignment="1">
      <alignment horizontal="right"/>
    </xf>
    <xf numFmtId="0" fontId="9" fillId="3" borderId="0" xfId="4" applyFont="1" applyFill="1" applyBorder="1" applyAlignment="1">
      <alignment horizontal="center"/>
    </xf>
    <xf numFmtId="0" fontId="8" fillId="3" borderId="0" xfId="4" applyFont="1" applyFill="1" applyBorder="1" applyAlignment="1">
      <alignment horizontal="center"/>
    </xf>
    <xf numFmtId="0" fontId="9" fillId="3" borderId="0" xfId="5" applyFont="1" applyFill="1" applyBorder="1" applyAlignment="1">
      <alignment horizontal="center"/>
    </xf>
    <xf numFmtId="0" fontId="9" fillId="3" borderId="0" xfId="1" applyFont="1" applyFill="1" applyBorder="1" applyAlignment="1">
      <alignment horizontal="center" wrapText="1"/>
    </xf>
    <xf numFmtId="0" fontId="9" fillId="3" borderId="0" xfId="1" applyFont="1" applyFill="1" applyBorder="1" applyAlignment="1">
      <alignment horizontal="right" wrapText="1"/>
    </xf>
    <xf numFmtId="0" fontId="1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0" fillId="6" borderId="0" xfId="0" applyFill="1"/>
    <xf numFmtId="0" fontId="7" fillId="7" borderId="1" xfId="4" applyFill="1" applyBorder="1"/>
    <xf numFmtId="0" fontId="7" fillId="7" borderId="1" xfId="4" applyFill="1" applyBorder="1" applyAlignment="1">
      <alignment horizontal="right"/>
    </xf>
    <xf numFmtId="0" fontId="1" fillId="0" borderId="1" xfId="0" applyFont="1" applyBorder="1" applyAlignment="1">
      <alignment horizontal="right"/>
    </xf>
  </cellXfs>
  <cellStyles count="6">
    <cellStyle name="Normal" xfId="0" builtinId="0"/>
    <cellStyle name="Normal 2" xfId="2" xr:uid="{00000000-0005-0000-0000-000001000000}"/>
    <cellStyle name="Normal 3" xfId="3" xr:uid="{00000000-0005-0000-0000-000002000000}"/>
    <cellStyle name="Normal_Becas 14_9_2005" xfId="5" xr:uid="{4792AF6B-D462-4D55-94AD-1557C01CDC0C}"/>
    <cellStyle name="Normal_Ind.2010" xfId="4" xr:uid="{BFFF5EB4-8DC6-4317-BBB4-ADE458782951}"/>
    <cellStyle name="Normal_PDI por Centro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EA387-553E-422D-B83B-AC4FDB115C05}">
  <dimension ref="A1:U7"/>
  <sheetViews>
    <sheetView workbookViewId="0">
      <selection activeCell="O13" sqref="O13"/>
    </sheetView>
  </sheetViews>
  <sheetFormatPr baseColWidth="10" defaultRowHeight="15" x14ac:dyDescent="0.25"/>
  <cols>
    <col min="2" max="2" width="32.5703125" bestFit="1" customWidth="1"/>
    <col min="3" max="3" width="20.28515625" customWidth="1"/>
    <col min="4" max="4" width="21.7109375" customWidth="1"/>
    <col min="5" max="5" width="68.7109375" customWidth="1"/>
    <col min="10" max="10" width="34" bestFit="1" customWidth="1"/>
    <col min="11" max="11" width="9.140625" customWidth="1"/>
    <col min="12" max="12" width="9.7109375" customWidth="1"/>
  </cols>
  <sheetData>
    <row r="1" spans="1:21" x14ac:dyDescent="0.25">
      <c r="A1" s="9" t="s">
        <v>20</v>
      </c>
      <c r="B1" s="10" t="s">
        <v>21</v>
      </c>
      <c r="C1" s="10" t="s">
        <v>22</v>
      </c>
      <c r="D1" s="10" t="s">
        <v>23</v>
      </c>
      <c r="E1" s="10" t="s">
        <v>24</v>
      </c>
      <c r="F1" s="10" t="s">
        <v>25</v>
      </c>
      <c r="G1" s="10" t="s">
        <v>26</v>
      </c>
      <c r="H1" s="10" t="s">
        <v>27</v>
      </c>
      <c r="I1" s="9" t="s">
        <v>28</v>
      </c>
      <c r="J1" s="10" t="s">
        <v>29</v>
      </c>
      <c r="K1" s="9" t="s">
        <v>30</v>
      </c>
      <c r="L1" s="10" t="s">
        <v>31</v>
      </c>
      <c r="M1" s="11" t="s">
        <v>32</v>
      </c>
      <c r="N1" s="12" t="s">
        <v>33</v>
      </c>
      <c r="O1" s="13" t="s">
        <v>34</v>
      </c>
      <c r="P1" s="12" t="s">
        <v>35</v>
      </c>
      <c r="Q1" s="13" t="s">
        <v>36</v>
      </c>
      <c r="R1" s="12" t="s">
        <v>37</v>
      </c>
      <c r="S1" s="12" t="s">
        <v>38</v>
      </c>
      <c r="T1" s="12" t="s">
        <v>39</v>
      </c>
      <c r="U1" s="12" t="s">
        <v>40</v>
      </c>
    </row>
    <row r="2" spans="1:21" ht="23.25" x14ac:dyDescent="0.25">
      <c r="A2" s="25" t="s">
        <v>41</v>
      </c>
      <c r="B2" s="25" t="s">
        <v>42</v>
      </c>
      <c r="C2" s="25" t="s">
        <v>43</v>
      </c>
      <c r="D2" s="25" t="s">
        <v>44</v>
      </c>
      <c r="E2" s="26" t="s">
        <v>45</v>
      </c>
      <c r="F2" s="25" t="s">
        <v>46</v>
      </c>
      <c r="G2" s="25" t="s">
        <v>14</v>
      </c>
      <c r="H2" s="25" t="s">
        <v>19</v>
      </c>
      <c r="I2" s="25" t="s">
        <v>13</v>
      </c>
      <c r="J2" s="25" t="s">
        <v>47</v>
      </c>
      <c r="K2" s="25">
        <v>1</v>
      </c>
      <c r="L2" s="25" t="s">
        <v>13</v>
      </c>
      <c r="M2" s="25">
        <v>2023</v>
      </c>
      <c r="N2" s="25" t="s">
        <v>15</v>
      </c>
      <c r="O2" s="30" t="s">
        <v>48</v>
      </c>
      <c r="P2" s="25" t="s">
        <v>16</v>
      </c>
      <c r="Q2" s="30" t="s">
        <v>18</v>
      </c>
      <c r="R2" s="25">
        <v>70</v>
      </c>
      <c r="S2" s="25">
        <v>0.7</v>
      </c>
      <c r="T2" s="25">
        <v>0.1</v>
      </c>
      <c r="U2" s="25">
        <v>0.2</v>
      </c>
    </row>
    <row r="3" spans="1:21" s="27" customFormat="1" x14ac:dyDescent="0.25">
      <c r="A3" s="28" t="s">
        <v>41</v>
      </c>
      <c r="B3" s="28" t="s">
        <v>54</v>
      </c>
      <c r="C3" s="28" t="s">
        <v>43</v>
      </c>
      <c r="D3" s="28" t="s">
        <v>55</v>
      </c>
      <c r="E3" s="28" t="s">
        <v>56</v>
      </c>
      <c r="F3" s="28" t="s">
        <v>57</v>
      </c>
      <c r="G3" s="28" t="s">
        <v>14</v>
      </c>
      <c r="H3" s="28" t="s">
        <v>19</v>
      </c>
      <c r="I3" s="28" t="s">
        <v>13</v>
      </c>
      <c r="J3" s="28" t="s">
        <v>58</v>
      </c>
      <c r="K3" s="28">
        <v>1</v>
      </c>
      <c r="L3" s="28" t="s">
        <v>13</v>
      </c>
      <c r="M3" s="28">
        <v>2024</v>
      </c>
      <c r="N3" s="28" t="s">
        <v>16</v>
      </c>
      <c r="O3" s="29" t="s">
        <v>18</v>
      </c>
      <c r="P3" s="28" t="s">
        <v>15</v>
      </c>
      <c r="Q3" s="29" t="s">
        <v>48</v>
      </c>
      <c r="R3" s="28">
        <v>70</v>
      </c>
      <c r="S3" s="28">
        <v>0.7</v>
      </c>
      <c r="T3" s="28">
        <v>0.2</v>
      </c>
      <c r="U3" s="28">
        <v>0.1</v>
      </c>
    </row>
    <row r="4" spans="1:21" s="27" customFormat="1" x14ac:dyDescent="0.25">
      <c r="A4" s="28" t="s">
        <v>41</v>
      </c>
      <c r="B4" s="28" t="s">
        <v>54</v>
      </c>
      <c r="C4" s="28" t="s">
        <v>43</v>
      </c>
      <c r="D4" s="28" t="s">
        <v>59</v>
      </c>
      <c r="E4" s="28" t="s">
        <v>60</v>
      </c>
      <c r="F4" s="28" t="s">
        <v>57</v>
      </c>
      <c r="G4" s="28" t="s">
        <v>14</v>
      </c>
      <c r="H4" s="28" t="s">
        <v>19</v>
      </c>
      <c r="I4" s="28" t="s">
        <v>13</v>
      </c>
      <c r="J4" s="28" t="s">
        <v>58</v>
      </c>
      <c r="K4" s="28">
        <v>1</v>
      </c>
      <c r="L4" s="28" t="s">
        <v>13</v>
      </c>
      <c r="M4" s="28">
        <v>2024</v>
      </c>
      <c r="N4" s="28" t="s">
        <v>16</v>
      </c>
      <c r="O4" s="29" t="s">
        <v>18</v>
      </c>
      <c r="P4" s="28" t="s">
        <v>15</v>
      </c>
      <c r="Q4" s="29" t="s">
        <v>48</v>
      </c>
      <c r="R4" s="28">
        <v>70</v>
      </c>
      <c r="S4" s="28">
        <v>0.7</v>
      </c>
      <c r="T4" s="28">
        <v>0.2</v>
      </c>
      <c r="U4" s="28">
        <v>0.1</v>
      </c>
    </row>
    <row r="5" spans="1:21" x14ac:dyDescent="0.25">
      <c r="A5" s="28" t="s">
        <v>41</v>
      </c>
      <c r="B5" s="28" t="s">
        <v>54</v>
      </c>
      <c r="C5" s="28" t="s">
        <v>43</v>
      </c>
      <c r="D5" s="28" t="s">
        <v>61</v>
      </c>
      <c r="E5" s="28" t="s">
        <v>62</v>
      </c>
      <c r="F5" s="28" t="s">
        <v>63</v>
      </c>
      <c r="G5" s="28" t="s">
        <v>14</v>
      </c>
      <c r="H5" s="28" t="s">
        <v>19</v>
      </c>
      <c r="I5" s="28" t="s">
        <v>13</v>
      </c>
      <c r="J5" s="28" t="s">
        <v>58</v>
      </c>
      <c r="K5" s="28">
        <v>1</v>
      </c>
      <c r="L5" s="28" t="s">
        <v>13</v>
      </c>
      <c r="M5" s="28">
        <v>2024</v>
      </c>
      <c r="N5" s="28" t="s">
        <v>16</v>
      </c>
      <c r="O5" s="29" t="s">
        <v>18</v>
      </c>
      <c r="P5" s="28" t="s">
        <v>15</v>
      </c>
      <c r="Q5" s="29" t="s">
        <v>48</v>
      </c>
      <c r="R5" s="28">
        <v>70</v>
      </c>
      <c r="S5" s="28">
        <v>0.7</v>
      </c>
      <c r="T5" s="28">
        <v>0.2</v>
      </c>
      <c r="U5" s="28">
        <v>0.1</v>
      </c>
    </row>
    <row r="6" spans="1:21" x14ac:dyDescent="0.25">
      <c r="A6" s="20"/>
      <c r="B6" s="19"/>
      <c r="C6" s="19"/>
      <c r="D6" s="19"/>
      <c r="E6" s="19"/>
      <c r="F6" s="19"/>
      <c r="G6" s="19"/>
      <c r="H6" s="19"/>
      <c r="I6" s="20"/>
      <c r="J6" s="19"/>
      <c r="K6" s="20"/>
      <c r="L6" s="19"/>
      <c r="M6" s="21"/>
      <c r="N6" s="22"/>
      <c r="O6" s="23"/>
      <c r="P6" s="22"/>
      <c r="Q6" s="23"/>
      <c r="R6" s="22"/>
      <c r="S6" s="23">
        <f>SUM(S2:S5)</f>
        <v>2.8</v>
      </c>
      <c r="T6" s="22"/>
      <c r="U6" s="22"/>
    </row>
    <row r="7" spans="1:21" x14ac:dyDescent="0.25">
      <c r="S7" s="2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5"/>
  <sheetViews>
    <sheetView tabSelected="1" zoomScaleNormal="100" workbookViewId="0">
      <selection activeCell="M13" sqref="M13"/>
    </sheetView>
  </sheetViews>
  <sheetFormatPr baseColWidth="10" defaultColWidth="11.42578125" defaultRowHeight="12.75" x14ac:dyDescent="0.2"/>
  <cols>
    <col min="1" max="1" width="10.28515625" style="4" bestFit="1" customWidth="1"/>
    <col min="2" max="2" width="37.28515625" style="4" bestFit="1" customWidth="1"/>
    <col min="3" max="3" width="14.5703125" style="4" bestFit="1" customWidth="1"/>
    <col min="4" max="9" width="3.28515625" style="4" bestFit="1" customWidth="1"/>
    <col min="10" max="10" width="13.140625" style="4" bestFit="1" customWidth="1"/>
    <col min="11" max="11" width="5.28515625" style="4" bestFit="1" customWidth="1"/>
    <col min="12" max="13" width="5.7109375" style="4" bestFit="1" customWidth="1"/>
    <col min="14" max="14" width="5.7109375" style="5" bestFit="1" customWidth="1"/>
    <col min="15" max="15" width="5.7109375" style="4" bestFit="1" customWidth="1"/>
    <col min="16" max="16" width="5.7109375" style="5" bestFit="1" customWidth="1"/>
    <col min="17" max="19" width="5.7109375" style="4" bestFit="1" customWidth="1"/>
    <col min="20" max="16384" width="11.42578125" style="4"/>
  </cols>
  <sheetData>
    <row r="1" spans="1:19" s="3" customFormat="1" ht="60" customHeight="1" x14ac:dyDescent="0.2">
      <c r="A1" s="6" t="s">
        <v>0</v>
      </c>
      <c r="B1" s="6" t="s">
        <v>1</v>
      </c>
      <c r="C1" s="6" t="s">
        <v>2</v>
      </c>
      <c r="D1" s="7" t="s">
        <v>64</v>
      </c>
      <c r="E1" s="7" t="s">
        <v>65</v>
      </c>
      <c r="F1" s="7" t="s">
        <v>66</v>
      </c>
      <c r="G1" s="7" t="s">
        <v>67</v>
      </c>
      <c r="H1" s="7" t="s">
        <v>68</v>
      </c>
      <c r="I1" s="7" t="s">
        <v>69</v>
      </c>
      <c r="J1" s="6" t="s">
        <v>3</v>
      </c>
      <c r="K1" s="8" t="s">
        <v>17</v>
      </c>
      <c r="L1" s="1" t="s">
        <v>4</v>
      </c>
      <c r="M1" s="1" t="s">
        <v>5</v>
      </c>
      <c r="N1" s="1" t="s">
        <v>6</v>
      </c>
      <c r="O1" s="1" t="s">
        <v>7</v>
      </c>
      <c r="P1" s="2" t="s">
        <v>8</v>
      </c>
      <c r="Q1" s="2" t="s">
        <v>9</v>
      </c>
      <c r="R1" s="2" t="s">
        <v>10</v>
      </c>
      <c r="S1" s="2" t="s">
        <v>11</v>
      </c>
    </row>
    <row r="2" spans="1:19" x14ac:dyDescent="0.2">
      <c r="A2" s="17" t="s">
        <v>14</v>
      </c>
      <c r="B2" s="17" t="s">
        <v>70</v>
      </c>
      <c r="C2" s="17" t="s">
        <v>12</v>
      </c>
      <c r="D2" s="17"/>
      <c r="E2" s="17"/>
      <c r="F2" s="17"/>
      <c r="G2" s="17"/>
      <c r="H2" s="17"/>
      <c r="I2" s="17">
        <v>1</v>
      </c>
      <c r="J2" s="17">
        <v>1</v>
      </c>
      <c r="K2" s="17" t="s">
        <v>13</v>
      </c>
      <c r="L2" s="17" t="s">
        <v>16</v>
      </c>
      <c r="M2" s="17" t="s">
        <v>18</v>
      </c>
      <c r="N2" s="18" t="s">
        <v>15</v>
      </c>
      <c r="O2" s="17" t="s">
        <v>48</v>
      </c>
      <c r="P2" s="18">
        <v>70</v>
      </c>
      <c r="Q2" s="17">
        <v>0.2</v>
      </c>
      <c r="R2" s="17">
        <v>0.1</v>
      </c>
      <c r="S2" s="17">
        <v>0.7</v>
      </c>
    </row>
    <row r="3" spans="1:19" x14ac:dyDescent="0.2">
      <c r="A3" s="17" t="s">
        <v>49</v>
      </c>
      <c r="B3" s="17" t="s">
        <v>71</v>
      </c>
      <c r="C3" s="17" t="s">
        <v>12</v>
      </c>
      <c r="D3" s="17"/>
      <c r="E3" s="17"/>
      <c r="F3" s="17"/>
      <c r="G3" s="17"/>
      <c r="H3" s="17">
        <v>1</v>
      </c>
      <c r="I3" s="17"/>
      <c r="J3" s="17">
        <v>1</v>
      </c>
      <c r="K3" s="17" t="s">
        <v>13</v>
      </c>
      <c r="L3" s="17" t="s">
        <v>16</v>
      </c>
      <c r="M3" s="17" t="s">
        <v>50</v>
      </c>
      <c r="N3" s="18" t="s">
        <v>51</v>
      </c>
      <c r="O3" s="17" t="s">
        <v>51</v>
      </c>
      <c r="P3" s="18">
        <v>70</v>
      </c>
      <c r="Q3" s="17">
        <v>0.3</v>
      </c>
      <c r="R3" s="17">
        <v>0</v>
      </c>
      <c r="S3" s="17">
        <v>0.7</v>
      </c>
    </row>
    <row r="4" spans="1:19" x14ac:dyDescent="0.2">
      <c r="A4" s="17" t="s">
        <v>52</v>
      </c>
      <c r="B4" s="17" t="s">
        <v>72</v>
      </c>
      <c r="C4" s="17" t="s">
        <v>53</v>
      </c>
      <c r="D4" s="17"/>
      <c r="E4" s="17"/>
      <c r="F4" s="17"/>
      <c r="G4" s="17"/>
      <c r="H4" s="17">
        <v>1</v>
      </c>
      <c r="I4" s="17"/>
      <c r="J4" s="17">
        <v>1</v>
      </c>
      <c r="K4" s="17" t="s">
        <v>13</v>
      </c>
      <c r="L4" s="17">
        <v>0</v>
      </c>
      <c r="M4" s="17">
        <v>0</v>
      </c>
      <c r="N4" s="18" t="s">
        <v>51</v>
      </c>
      <c r="O4" s="17" t="s">
        <v>51</v>
      </c>
      <c r="P4" s="18">
        <v>100</v>
      </c>
      <c r="Q4" s="17">
        <v>0</v>
      </c>
      <c r="R4" s="17">
        <v>0</v>
      </c>
      <c r="S4" s="17">
        <v>1</v>
      </c>
    </row>
    <row r="5" spans="1:19" x14ac:dyDescent="0.2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5"/>
      <c r="O5" s="14"/>
      <c r="P5" s="15"/>
      <c r="Q5" s="14"/>
      <c r="R5" s="14"/>
      <c r="S5" s="16">
        <f>SUM(S2:S4)</f>
        <v>2.4</v>
      </c>
    </row>
  </sheetData>
  <pageMargins left="0.39370078740157483" right="0.39370078740157483" top="0.39370078740157483" bottom="0.39370078740157483" header="0.31496062992125984" footer="0.31496062992125984"/>
  <pageSetup paperSize="9" scale="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Tesis</vt:lpstr>
      <vt:lpstr>Sexenios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21387280V</dc:creator>
  <cp:lastModifiedBy>mayte.pujalte</cp:lastModifiedBy>
  <dcterms:created xsi:type="dcterms:W3CDTF">2019-07-03T07:15:54Z</dcterms:created>
  <dcterms:modified xsi:type="dcterms:W3CDTF">2026-05-18T11:33:34Z</dcterms:modified>
</cp:coreProperties>
</file>