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B503DA02-DDAA-46A3-BBC6-0DE6D4DCB20B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Tesis" sheetId="2" r:id="rId1"/>
    <sheet name="Sexenios" sheetId="3" r:id="rId2"/>
    <sheet name="Ingresos investigación 2023" sheetId="10" r:id="rId3"/>
    <sheet name="Ingresos investigación 2024" sheetId="11" r:id="rId4"/>
    <sheet name="Ingresos investigación 2025" sheetId="12" r:id="rId5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2" l="1"/>
  <c r="C7" i="11"/>
  <c r="C6" i="10"/>
  <c r="S20" i="3" l="1"/>
  <c r="S25" i="2" l="1"/>
</calcChain>
</file>

<file path=xl/sharedStrings.xml><?xml version="1.0" encoding="utf-8"?>
<sst xmlns="http://schemas.openxmlformats.org/spreadsheetml/2006/main" count="538" uniqueCount="180">
  <si>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</si>
  <si>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</si>
  <si>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</si>
  <si>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</si>
  <si>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</si>
  <si>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</si>
  <si>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</si>
  <si>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</si>
  <si>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</si>
  <si>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</si>
  <si>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</si>
  <si>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</si>
  <si>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</si>
  <si>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</si>
  <si>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</si>
  <si>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</si>
  <si>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</si>
  <si>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</si>
  <si>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</si>
  <si>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</si>
  <si>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</si>
  <si>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</si>
  <si>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</si>
  <si>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</si>
  <si>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10.16</t>
  </si>
  <si>
    <t>B167 </t>
  </si>
  <si>
    <t>MATEMÁTICA APLICADA </t>
  </si>
  <si>
    <t>B167</t>
  </si>
  <si>
    <t>DOCTORADO EN MÉTODOS MATEMÁTICOS Y MODELIZACIÓN EN CIENCIAS E INGENIERÍA </t>
  </si>
  <si>
    <t>48764226V </t>
  </si>
  <si>
    <t>21417952F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</si>
  <si>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</si>
  <si>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</si>
  <si>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</si>
  <si>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</si>
  <si>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</si>
  <si>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</si>
  <si>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</si>
  <si>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</si>
  <si>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</si>
  <si>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</si>
  <si>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</si>
  <si>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</si>
  <si>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</si>
  <si>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</si>
  <si>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24251881Z</t>
  </si>
  <si>
    <t>21384653N</t>
  </si>
  <si>
    <t>44761785J</t>
  </si>
  <si>
    <t>21417952F</t>
  </si>
  <si>
    <t>48379135S</t>
  </si>
  <si>
    <t>22143601Y</t>
  </si>
  <si>
    <t>21507544Z</t>
  </si>
  <si>
    <t>48764226V</t>
  </si>
  <si>
    <t>31829328L</t>
  </si>
  <si>
    <t>07976905E</t>
  </si>
  <si>
    <t>21402086B</t>
  </si>
  <si>
    <t>Alonso Stenberg, Kristian </t>
  </si>
  <si>
    <t>DISEÑO E IMPLEMENTACIÓN DE UN SIMULADOR DE ANÁLISIS CAUSAL </t>
  </si>
  <si>
    <t>15/07/2020 </t>
  </si>
  <si>
    <t>21661251N</t>
  </si>
  <si>
    <t>29202941W</t>
  </si>
  <si>
    <t>Cód. org. aplic.</t>
  </si>
  <si>
    <t>Descripción justificante</t>
  </si>
  <si>
    <t>36.40.6P.00.15</t>
  </si>
  <si>
    <t>36.40.6P.00.16</t>
  </si>
  <si>
    <t>COD DEP</t>
  </si>
  <si>
    <t>20845326N</t>
  </si>
  <si>
    <t>Imp.cob.aplic.</t>
  </si>
  <si>
    <t>36.40.6P.00.17</t>
  </si>
  <si>
    <t>36.40.6C.00.02</t>
  </si>
  <si>
    <t>36.40.6P.00.18</t>
  </si>
  <si>
    <t>22136635D</t>
  </si>
  <si>
    <t>Servicio de asistencia técnica para la explotación de observaciones de geodesia espacial (segunda entrega parcial).</t>
  </si>
  <si>
    <t xml:space="preserve">PID2020-118574GB-I00/118816GB-I00/119124RB-I00/119144RB-I00/119320GB-I00/119383GB-I00/119734RB-I00/119878GB-I00/119959GB-I00/120213RB-I00 </t>
  </si>
  <si>
    <t xml:space="preserve">PROMETEO/2020/093/006/017/024/030/055/057/073/079/088 </t>
  </si>
  <si>
    <t>SEJIGENT 2021 ANUALIDAD 2023 SUBVENCIONA LA EXCELENCIA CIENTÍFICA DE JUNIORS   INVESTIG. RESOL. CONCESIÓN DGCI 14-9-21</t>
  </si>
  <si>
    <t>MATEMÁTICA APLICADA</t>
  </si>
  <si>
    <t>DOCTORADO EN MÉTODOS MATEMÁTICOS Y MODELIZACIÓN EN CIENCIAS E INGENIERÍA</t>
  </si>
  <si>
    <t>Mayorga Arias, Carlos</t>
  </si>
  <si>
    <t>Soluciones numéricas exactas y esquemas en diferencias finitas no estándar para ecuaciones diferenciales con retardo</t>
  </si>
  <si>
    <t>28/05/2024</t>
  </si>
  <si>
    <t>21396315J</t>
  </si>
  <si>
    <t>Codirector de tesis</t>
  </si>
  <si>
    <t>30</t>
  </si>
  <si>
    <t>Lachachi , Fatima Zohra</t>
  </si>
  <si>
    <t>Ecohydrological Feedbacks and Random Perturbations in Semiarid Vegetation</t>
  </si>
  <si>
    <t>26/07/2024</t>
  </si>
  <si>
    <t>Medjahdi , Ikram</t>
  </si>
  <si>
    <t>Effects of delayed responses on dryland vegetation models</t>
  </si>
  <si>
    <t>30/07/2024</t>
  </si>
  <si>
    <t>Vargas Alemañy, Juan Adrián</t>
  </si>
  <si>
    <t>Estimation of Ocean Flow from Satellite Gravity Data and Contributions to Correlation Analysis</t>
  </si>
  <si>
    <t>29/01/2024</t>
  </si>
  <si>
    <t>ZZ</t>
  </si>
  <si>
    <t>SIN ASIGNAR</t>
  </si>
  <si>
    <t>Belgharbi , Ibrahim</t>
  </si>
  <si>
    <t>Análisis del escape en el problema del anillo de N cuerpos</t>
  </si>
  <si>
    <t>08/03/2024</t>
  </si>
  <si>
    <t>Director de tesis</t>
  </si>
  <si>
    <t>Berkal , Messaoud</t>
  </si>
  <si>
    <t>Estudio cualitativo de algunos sistemas dinámicos discretos</t>
  </si>
  <si>
    <t>09/07/2024</t>
  </si>
  <si>
    <t>Velásquez Flores, Carlos Andrés</t>
  </si>
  <si>
    <t>Modelos matemáticos para optimizacion de intervalos temporales de calibración y difusión del calor en tecnología SSL</t>
  </si>
  <si>
    <t>26/09/2024</t>
  </si>
  <si>
    <t>Org. aplic.</t>
  </si>
  <si>
    <t>Imp. aplic.</t>
  </si>
  <si>
    <t>Servicio de asistencia técnica para la explotación de observaciones de geodesia espacial (tercera y última entrega)</t>
  </si>
  <si>
    <t>PID2020-112540RB-C43-112930GB-I00-115735GB-I00-115956GB-I00-119383GB-I00-119734RB-I00</t>
  </si>
  <si>
    <t xml:space="preserve">ayudas PROMETEO/2021/006, PROMETEO/2021/017, PROMETEO/2021/030, PROMETEO/2021/055, PROMETEO/2021/057, PROMETEO/2021/073, PROMETEO/2021/079, PROMETEO/2021/088 </t>
  </si>
  <si>
    <t xml:space="preserve">ayudas SEJIGENT/2021/001, SEJIGENT/2021/005 </t>
  </si>
  <si>
    <t>Anualidad 2023 proyectos Thinkinazul</t>
  </si>
  <si>
    <t>B157</t>
  </si>
  <si>
    <t>Ecología</t>
  </si>
  <si>
    <t>DOCTORADO EN CONSERVACIÓN Y RESTAURACIÓN DE ECOSISTEMAS</t>
  </si>
  <si>
    <t>Flores García, Adrián</t>
  </si>
  <si>
    <t>Dynamic modelling applied to population ecology and environmental problems.</t>
  </si>
  <si>
    <t>07/04/2025</t>
  </si>
  <si>
    <t>MATEMATICA APLICADA</t>
  </si>
  <si>
    <t>Boulahia , Ahmed Kamel</t>
  </si>
  <si>
    <t>Water Mass Exchange and Hydrological Cycles: A Comprehensive Study of the Mediterranean, Baltic, and Arabian Gulf</t>
  </si>
  <si>
    <t>10/04/2025</t>
  </si>
  <si>
    <t>Noureddine , Si Abdallah</t>
  </si>
  <si>
    <t>Connections Between Interpretations of Causality and Their Applications</t>
  </si>
  <si>
    <t>09/12/2024</t>
  </si>
  <si>
    <t>48679559J</t>
  </si>
  <si>
    <t>Márquez Astorga, Jenny Julissa</t>
  </si>
  <si>
    <t>Análisis retrospectivo (REMEDID) para la estimación de los primeros contagios de la COVID-19. Casos de estudio Chile y Colombia</t>
  </si>
  <si>
    <t>02/07/2025</t>
  </si>
  <si>
    <t>BOUREGHDA , ZAHRA</t>
  </si>
  <si>
    <t>On the exploration of the (N+2)-body ring problem</t>
  </si>
  <si>
    <t>28/02/2025</t>
  </si>
  <si>
    <t>U020</t>
  </si>
  <si>
    <t>Instituto Universitario Agua y Ciencias Ambientales (10.05)</t>
  </si>
  <si>
    <t>DOCTORADO EN AGUA Y DESARROLLO SOSTENIBLE</t>
  </si>
  <si>
    <t>Chabour , Houssem Eddine</t>
  </si>
  <si>
    <t>Sizing photovoltaic installations for an off-grid pressurised irrigation network with no energy
storage</t>
  </si>
  <si>
    <t>16/07/2025</t>
  </si>
  <si>
    <t>GUESSOUM , SONIA</t>
  </si>
  <si>
    <t>ON THE IMPROVEMENT OF EARTH ORIENTATION PARAMETERS PREDICTIONS USING DEEP LEARNING METHODS</t>
  </si>
  <si>
    <t>22/09/2025</t>
  </si>
  <si>
    <t>2020</t>
  </si>
  <si>
    <t>2021</t>
  </si>
  <si>
    <t>2022</t>
  </si>
  <si>
    <t>2023</t>
  </si>
  <si>
    <t>2024</t>
  </si>
  <si>
    <t>2025</t>
  </si>
  <si>
    <t>Vigo Aguiar, María Isabel</t>
  </si>
  <si>
    <t>B189</t>
  </si>
  <si>
    <t>Sayol España, Juan Manuel</t>
  </si>
  <si>
    <t>Ferrándiz Leal, José Manuel</t>
  </si>
  <si>
    <t>Emérito</t>
  </si>
  <si>
    <t>Villacampa Esteve, Yolanda</t>
  </si>
  <si>
    <t>Lloret Climent, Miguel</t>
  </si>
  <si>
    <t>Navarro Llinares, Juan Francisco</t>
  </si>
  <si>
    <t>Cortés Molina, Mónica</t>
  </si>
  <si>
    <t>Segura Abad, Lorena</t>
  </si>
  <si>
    <t>Navarro González, Francisco José</t>
  </si>
  <si>
    <t>Castro López, María Ángeles</t>
  </si>
  <si>
    <t>Belda Palazón, Santiago</t>
  </si>
  <si>
    <t>Rodríguez Mateo, Francisco</t>
  </si>
  <si>
    <t>García García, David</t>
  </si>
  <si>
    <t>45843574C</t>
  </si>
  <si>
    <t>Moreno Martínez, Laura</t>
  </si>
  <si>
    <t>Martínez Belda, María del Carmen</t>
  </si>
  <si>
    <t>48573991S</t>
  </si>
  <si>
    <t>Pérez Cervera, Alberto</t>
  </si>
  <si>
    <t>Alonso Stenberg, Kristian</t>
  </si>
  <si>
    <t>Nescolarde Selva, Josué Antonio</t>
  </si>
  <si>
    <t>36.40.6C.00.03</t>
  </si>
  <si>
    <t xml:space="preserve">Servicio de asistencia técnica para la explotación e investigación científica de datos del proyecto Raege para geodesia. </t>
  </si>
  <si>
    <t xml:space="preserve">DEVOLUCIÓN DE INGRESOS_MODELO 047_ REFERENCIA: PROMETEO 2021 EN 2024_PROMETEO/2021/006, PROMETEO/2021/017, PROMETEO/2021/030, PROMETEO/2021/055, PROMETEO/2021/057, PROMETEO/2021/073, PROMETEO/2021/079, PROMETEO/2021/088 </t>
  </si>
  <si>
    <t>GVA-THINKINAZUL/2021/014/015/016/035/039/041/043/044. Programa: Plan Recuperación, Transformación y Resilencia.</t>
  </si>
  <si>
    <t>36.40.6P.00.20</t>
  </si>
  <si>
    <t xml:space="preserve">AYUDAS RYC2023-043965-I, RYC2023-043965-I (DOT. ADICIONAL), RYC2023-045149-I, RYC2023-045149-I , (DOT. ADICIONAL), RYC2023-045813-I, RYC2023-045813-I (DOT. ADICIONAL) </t>
  </si>
  <si>
    <t>36.40.6P.00.21</t>
  </si>
  <si>
    <t>Ingreso ayudas CIGE/2024/56/95/108/145/178/184/194/199/200/201/202/203/204/205/208/209/212/213</t>
  </si>
  <si>
    <t>36.40.6P.00.22</t>
  </si>
  <si>
    <t>Ayudas CIAICO 2024/6/31/81/130/150/168/186/204/238/296/319</t>
  </si>
  <si>
    <t>Total ingresos investigación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</si>
</sst>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1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0" fillId="0" borderId="0" applyFont="0" applyFill="0" applyBorder="0" applyAlignment="0" applyProtection="0"/>
  </cellStyleXfs>
  <cellXfs count="64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2" fillId="4" borderId="2" xfId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166" fontId="2" fillId="4" borderId="2" xfId="1" applyNumberForma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43" fontId="6" fillId="7" borderId="3" xfId="6" applyNumberFormat="1" applyFont="1" applyFill="1" applyBorder="1"/>
    <xf numFmtId="43" fontId="6" fillId="0" borderId="3" xfId="6" applyNumberFormat="1" applyFont="1" applyBorder="1"/>
    <xf numFmtId="0" fontId="9" fillId="7" borderId="3" xfId="0" applyFont="1" applyFill="1" applyBorder="1"/>
    <xf numFmtId="0" fontId="9" fillId="0" borderId="3" xfId="0" applyFont="1" applyBorder="1"/>
    <xf numFmtId="43" fontId="0" fillId="0" borderId="0" xfId="0" applyNumberFormat="1"/>
    <xf numFmtId="0" fontId="0" fillId="8" borderId="0" xfId="0" applyFill="1"/>
    <xf numFmtId="0" fontId="0" fillId="8" borderId="0" xfId="0" applyFill="1" applyAlignment="1">
      <alignment horizontal="left"/>
    </xf>
    <xf numFmtId="0" fontId="12" fillId="8" borderId="0" xfId="0" applyFont="1" applyFill="1"/>
    <xf numFmtId="0" fontId="2" fillId="2" borderId="0" xfId="1" applyFill="1"/>
    <xf numFmtId="0" fontId="2" fillId="2" borderId="0" xfId="1" applyFill="1" applyAlignment="1">
      <alignment horizontal="right"/>
    </xf>
    <xf numFmtId="165" fontId="3" fillId="2" borderId="0" xfId="1" applyNumberFormat="1" applyFont="1" applyFill="1"/>
    <xf numFmtId="0" fontId="2" fillId="4" borderId="2" xfId="1" applyFont="1" applyFill="1" applyBorder="1"/>
    <xf numFmtId="0" fontId="2" fillId="4" borderId="0" xfId="1" applyFont="1" applyFill="1"/>
    <xf numFmtId="43" fontId="6" fillId="0" borderId="5" xfId="6" applyNumberFormat="1" applyFont="1" applyBorder="1"/>
    <xf numFmtId="0" fontId="0" fillId="0" borderId="5" xfId="0" applyBorder="1"/>
    <xf numFmtId="0" fontId="9" fillId="0" borderId="5" xfId="0" applyFont="1" applyBorder="1"/>
    <xf numFmtId="0" fontId="11" fillId="6" borderId="4" xfId="0" applyFont="1" applyFill="1" applyBorder="1"/>
    <xf numFmtId="43" fontId="0" fillId="0" borderId="5" xfId="0" applyNumberFormat="1" applyBorder="1"/>
    <xf numFmtId="0" fontId="0" fillId="7" borderId="3" xfId="0" applyNumberFormat="1" applyFont="1" applyFill="1" applyBorder="1"/>
    <xf numFmtId="43" fontId="0" fillId="7" borderId="3" xfId="6" applyNumberFormat="1" applyFont="1" applyFill="1" applyBorder="1"/>
    <xf numFmtId="0" fontId="0" fillId="0" borderId="3" xfId="0" applyNumberFormat="1" applyFont="1" applyBorder="1"/>
    <xf numFmtId="43" fontId="0" fillId="0" borderId="3" xfId="6" applyNumberFormat="1" applyFont="1" applyBorder="1"/>
    <xf numFmtId="0" fontId="13" fillId="6" borderId="4" xfId="0" applyFont="1" applyFill="1" applyBorder="1"/>
    <xf numFmtId="43" fontId="13" fillId="6" borderId="4" xfId="6" applyNumberFormat="1" applyFont="1" applyFill="1" applyBorder="1"/>
    <xf numFmtId="0" fontId="0" fillId="7" borderId="5" xfId="0" applyNumberFormat="1" applyFont="1" applyFill="1" applyBorder="1"/>
    <xf numFmtId="43" fontId="0" fillId="7" borderId="5" xfId="6" applyNumberFormat="1" applyFont="1" applyFill="1" applyBorder="1"/>
    <xf numFmtId="0" fontId="0" fillId="9" borderId="5" xfId="0" applyFont="1" applyFill="1" applyBorder="1"/>
    <xf numFmtId="43" fontId="10" fillId="9" borderId="5" xfId="0" applyNumberFormat="1" applyFont="1" applyFill="1" applyBorder="1"/>
    <xf numFmtId="0" fontId="12" fillId="0" borderId="1" xfId="0" applyFont="1" applyBorder="1"/>
    <xf numFmtId="164" fontId="12" fillId="0" borderId="1" xfId="6" applyFont="1" applyBorder="1"/>
    <xf numFmtId="0" fontId="14" fillId="10" borderId="6" xfId="0" applyFont="1" applyFill="1" applyBorder="1"/>
    <xf numFmtId="0" fontId="14" fillId="10" borderId="7" xfId="0" applyFont="1" applyFill="1" applyBorder="1"/>
    <xf numFmtId="0" fontId="15" fillId="11" borderId="6" xfId="0" applyFont="1" applyFill="1" applyBorder="1"/>
    <xf numFmtId="0" fontId="15" fillId="11" borderId="7" xfId="0" applyFont="1" applyFill="1" applyBorder="1"/>
    <xf numFmtId="164" fontId="15" fillId="11" borderId="7" xfId="6" applyFont="1" applyFill="1" applyBorder="1"/>
    <xf numFmtId="0" fontId="15" fillId="0" borderId="6" xfId="0" applyFont="1" applyBorder="1"/>
    <xf numFmtId="0" fontId="15" fillId="0" borderId="7" xfId="0" applyFont="1" applyBorder="1"/>
    <xf numFmtId="164" fontId="15" fillId="0" borderId="7" xfId="6" applyFont="1" applyBorder="1"/>
    <xf numFmtId="0" fontId="16" fillId="0" borderId="8" xfId="0" applyFont="1" applyBorder="1"/>
    <xf numFmtId="0" fontId="16" fillId="0" borderId="9" xfId="0" applyFont="1" applyBorder="1"/>
    <xf numFmtId="164" fontId="16" fillId="0" borderId="9" xfId="6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 patternType="solid">
          <fgColor theme="9" tint="0.79998168889431442"/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BDCC2A-5FFA-4C5F-9BA3-F012107A09F7}" name="Tabla2" displayName="Tabla2" ref="A1:C6" totalsRowCount="1" headerRowDxfId="13" headerRowBorderDxfId="12" tableBorderDxfId="11" totalsRowBorderDxfId="10">
  <autoFilter ref="A1:C5" xr:uid="{F07E30F5-7BEA-4465-8697-4787B85DD6DA}"/>
  <tableColumns count="3">
    <tableColumn id="1" xr3:uid="{53016F28-D18A-4513-92E3-ED005AFE5256}" name="Cód. org. aplic." totalsRowLabel="Total"/>
    <tableColumn id="2" xr3:uid="{683720FC-E856-4699-8A68-A02DA2C8C891}" name="Descripción justificante"/>
    <tableColumn id="3" xr3:uid="{73911ED4-2412-4024-87A8-57EF92CE9233}" name="Imp.cob.aplic.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93EC79-6EA8-4CCE-9C9C-33C655FD2B69}" name="Tabla3" displayName="Tabla3" ref="A1:C7" totalsRowCount="1" totalsRowDxfId="7" headerRowBorderDxfId="9" tableBorderDxfId="8" totalsRowBorderDxfId="6">
  <autoFilter ref="A1:C6" xr:uid="{109D3EFC-E175-47B3-A200-B81100230731}"/>
  <tableColumns count="3">
    <tableColumn id="1" xr3:uid="{B710A655-16DE-43ED-AE52-573A42C68F57}" name="Org. aplic." totalsRowLabel="Total" dataDxfId="5" totalsRowDxfId="4"/>
    <tableColumn id="2" xr3:uid="{C8943158-F5CB-41E8-8D8E-EE010204B929}" name="Descripción justificante" dataDxfId="3" totalsRowDxfId="2"/>
    <tableColumn id="3" xr3:uid="{B72126C7-C84A-4113-A105-6B425F73C0F8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5"/>
  <sheetViews>
    <sheetView showGridLines="0" zoomScale="120" zoomScaleNormal="120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W13" sqref="W13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7" customWidth="1"/>
    <col min="16" max="16" width="4.88671875" style="6" customWidth="1"/>
    <col min="17" max="17" width="3.5546875" style="7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0.799999999999997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">
      <c r="A2" s="13" t="s">
        <v>25</v>
      </c>
      <c r="B2" s="13" t="s">
        <v>26</v>
      </c>
      <c r="C2" s="13" t="s">
        <v>28</v>
      </c>
      <c r="D2" s="13" t="s">
        <v>56</v>
      </c>
      <c r="E2" s="13" t="s">
        <v>57</v>
      </c>
      <c r="F2" s="13" t="s">
        <v>58</v>
      </c>
      <c r="G2" s="13" t="s">
        <v>29</v>
      </c>
      <c r="H2" s="13" t="s">
        <v>22</v>
      </c>
      <c r="I2" s="13" t="s">
        <v>25</v>
      </c>
      <c r="J2" s="13" t="s">
        <v>26</v>
      </c>
      <c r="K2" s="17">
        <v>0.5</v>
      </c>
      <c r="L2" s="13" t="s">
        <v>27</v>
      </c>
      <c r="M2" s="13">
        <v>2019</v>
      </c>
      <c r="N2" s="13" t="s">
        <v>23</v>
      </c>
      <c r="O2" s="14" t="s">
        <v>23</v>
      </c>
      <c r="P2" s="13" t="s">
        <v>23</v>
      </c>
      <c r="Q2" s="14" t="s">
        <v>23</v>
      </c>
      <c r="R2" s="15">
        <v>100</v>
      </c>
      <c r="S2" s="16">
        <v>0.5</v>
      </c>
      <c r="T2" s="16">
        <v>0</v>
      </c>
      <c r="U2" s="16">
        <v>0</v>
      </c>
    </row>
    <row r="3" spans="1:21" x14ac:dyDescent="0.2">
      <c r="A3" s="13" t="s">
        <v>25</v>
      </c>
      <c r="B3" s="13" t="s">
        <v>26</v>
      </c>
      <c r="C3" s="13" t="s">
        <v>28</v>
      </c>
      <c r="D3" s="13" t="s">
        <v>56</v>
      </c>
      <c r="E3" s="13" t="s">
        <v>57</v>
      </c>
      <c r="F3" s="13" t="s">
        <v>58</v>
      </c>
      <c r="G3" s="13" t="s">
        <v>30</v>
      </c>
      <c r="H3" s="13" t="s">
        <v>22</v>
      </c>
      <c r="I3" s="13" t="s">
        <v>25</v>
      </c>
      <c r="J3" s="13" t="s">
        <v>26</v>
      </c>
      <c r="K3" s="17">
        <v>0.5</v>
      </c>
      <c r="L3" s="13" t="s">
        <v>27</v>
      </c>
      <c r="M3" s="13">
        <v>2019</v>
      </c>
      <c r="N3" s="13" t="s">
        <v>23</v>
      </c>
      <c r="O3" s="14" t="s">
        <v>23</v>
      </c>
      <c r="P3" s="13" t="s">
        <v>23</v>
      </c>
      <c r="Q3" s="14" t="s">
        <v>23</v>
      </c>
      <c r="R3" s="15">
        <v>100</v>
      </c>
      <c r="S3" s="16">
        <v>0.5</v>
      </c>
      <c r="T3" s="16">
        <v>0</v>
      </c>
      <c r="U3" s="16">
        <v>0</v>
      </c>
    </row>
    <row r="4" spans="1:21" x14ac:dyDescent="0.2">
      <c r="A4" s="13" t="s">
        <v>27</v>
      </c>
      <c r="B4" s="13" t="s">
        <v>76</v>
      </c>
      <c r="C4" s="13" t="s">
        <v>77</v>
      </c>
      <c r="D4" s="13" t="s">
        <v>78</v>
      </c>
      <c r="E4" s="13" t="s">
        <v>79</v>
      </c>
      <c r="F4" s="13" t="s">
        <v>80</v>
      </c>
      <c r="G4" s="13" t="s">
        <v>81</v>
      </c>
      <c r="H4" s="13" t="s">
        <v>82</v>
      </c>
      <c r="I4" s="13" t="s">
        <v>27</v>
      </c>
      <c r="J4" s="13" t="s">
        <v>76</v>
      </c>
      <c r="K4" s="13">
        <v>0.5</v>
      </c>
      <c r="L4" s="13" t="s">
        <v>27</v>
      </c>
      <c r="M4" s="13">
        <v>2023</v>
      </c>
      <c r="N4" s="13" t="s">
        <v>23</v>
      </c>
      <c r="O4" s="13" t="s">
        <v>23</v>
      </c>
      <c r="P4" s="13" t="s">
        <v>23</v>
      </c>
      <c r="Q4" s="13" t="s">
        <v>23</v>
      </c>
      <c r="R4" s="13">
        <v>100</v>
      </c>
      <c r="S4" s="13">
        <v>0.5</v>
      </c>
      <c r="T4" s="13">
        <v>0</v>
      </c>
      <c r="U4" s="13">
        <v>0</v>
      </c>
    </row>
    <row r="5" spans="1:21" x14ac:dyDescent="0.2">
      <c r="A5" s="13" t="s">
        <v>27</v>
      </c>
      <c r="B5" s="13" t="s">
        <v>76</v>
      </c>
      <c r="C5" s="13" t="s">
        <v>77</v>
      </c>
      <c r="D5" s="13" t="s">
        <v>78</v>
      </c>
      <c r="E5" s="13" t="s">
        <v>79</v>
      </c>
      <c r="F5" s="13" t="s">
        <v>80</v>
      </c>
      <c r="G5" s="13" t="s">
        <v>53</v>
      </c>
      <c r="H5" s="13" t="s">
        <v>82</v>
      </c>
      <c r="I5" s="13" t="s">
        <v>27</v>
      </c>
      <c r="J5" s="13" t="s">
        <v>76</v>
      </c>
      <c r="K5" s="13">
        <v>0.5</v>
      </c>
      <c r="L5" s="13" t="s">
        <v>27</v>
      </c>
      <c r="M5" s="13">
        <v>2023</v>
      </c>
      <c r="N5" s="13" t="s">
        <v>24</v>
      </c>
      <c r="O5" s="13" t="s">
        <v>83</v>
      </c>
      <c r="P5" s="13" t="s">
        <v>23</v>
      </c>
      <c r="Q5" s="13" t="s">
        <v>23</v>
      </c>
      <c r="R5" s="13">
        <v>70</v>
      </c>
      <c r="S5" s="13">
        <v>0.35</v>
      </c>
      <c r="T5" s="13">
        <v>0.15</v>
      </c>
      <c r="U5" s="13">
        <v>0</v>
      </c>
    </row>
    <row r="6" spans="1:21" x14ac:dyDescent="0.2">
      <c r="A6" s="13" t="s">
        <v>27</v>
      </c>
      <c r="B6" s="13" t="s">
        <v>76</v>
      </c>
      <c r="C6" s="13" t="s">
        <v>77</v>
      </c>
      <c r="D6" s="13" t="s">
        <v>84</v>
      </c>
      <c r="E6" s="13" t="s">
        <v>85</v>
      </c>
      <c r="F6" s="13" t="s">
        <v>86</v>
      </c>
      <c r="G6" s="13" t="s">
        <v>45</v>
      </c>
      <c r="H6" s="13" t="s">
        <v>82</v>
      </c>
      <c r="I6" s="13" t="s">
        <v>27</v>
      </c>
      <c r="J6" s="13" t="s">
        <v>76</v>
      </c>
      <c r="K6" s="13">
        <v>0.5</v>
      </c>
      <c r="L6" s="13" t="s">
        <v>27</v>
      </c>
      <c r="M6" s="13">
        <v>2023</v>
      </c>
      <c r="N6" s="13" t="s">
        <v>23</v>
      </c>
      <c r="O6" s="13" t="s">
        <v>23</v>
      </c>
      <c r="P6" s="13" t="s">
        <v>23</v>
      </c>
      <c r="Q6" s="13" t="s">
        <v>23</v>
      </c>
      <c r="R6" s="13">
        <v>100</v>
      </c>
      <c r="S6" s="13">
        <v>0.5</v>
      </c>
      <c r="T6" s="13">
        <v>0</v>
      </c>
      <c r="U6" s="13">
        <v>0</v>
      </c>
    </row>
    <row r="7" spans="1:21" x14ac:dyDescent="0.2">
      <c r="A7" s="13" t="s">
        <v>27</v>
      </c>
      <c r="B7" s="13" t="s">
        <v>76</v>
      </c>
      <c r="C7" s="13" t="s">
        <v>77</v>
      </c>
      <c r="D7" s="13" t="s">
        <v>84</v>
      </c>
      <c r="E7" s="13" t="s">
        <v>85</v>
      </c>
      <c r="F7" s="13" t="s">
        <v>86</v>
      </c>
      <c r="G7" s="13" t="s">
        <v>53</v>
      </c>
      <c r="H7" s="13" t="s">
        <v>82</v>
      </c>
      <c r="I7" s="13" t="s">
        <v>27</v>
      </c>
      <c r="J7" s="13" t="s">
        <v>76</v>
      </c>
      <c r="K7" s="13">
        <v>0.5</v>
      </c>
      <c r="L7" s="13" t="s">
        <v>27</v>
      </c>
      <c r="M7" s="13">
        <v>2023</v>
      </c>
      <c r="N7" s="13" t="s">
        <v>24</v>
      </c>
      <c r="O7" s="13" t="s">
        <v>83</v>
      </c>
      <c r="P7" s="13" t="s">
        <v>23</v>
      </c>
      <c r="Q7" s="13" t="s">
        <v>23</v>
      </c>
      <c r="R7" s="13">
        <v>70</v>
      </c>
      <c r="S7" s="13">
        <v>0.35</v>
      </c>
      <c r="T7" s="13">
        <v>0.15</v>
      </c>
      <c r="U7" s="13">
        <v>0</v>
      </c>
    </row>
    <row r="8" spans="1:21" x14ac:dyDescent="0.2">
      <c r="A8" s="13" t="s">
        <v>27</v>
      </c>
      <c r="B8" s="13" t="s">
        <v>76</v>
      </c>
      <c r="C8" s="13" t="s">
        <v>77</v>
      </c>
      <c r="D8" s="13" t="s">
        <v>87</v>
      </c>
      <c r="E8" s="13" t="s">
        <v>88</v>
      </c>
      <c r="F8" s="13" t="s">
        <v>89</v>
      </c>
      <c r="G8" s="13" t="s">
        <v>45</v>
      </c>
      <c r="H8" s="13" t="s">
        <v>82</v>
      </c>
      <c r="I8" s="13" t="s">
        <v>27</v>
      </c>
      <c r="J8" s="13" t="s">
        <v>76</v>
      </c>
      <c r="K8" s="13">
        <v>0.5</v>
      </c>
      <c r="L8" s="13" t="s">
        <v>27</v>
      </c>
      <c r="M8" s="13">
        <v>2023</v>
      </c>
      <c r="N8" s="13" t="s">
        <v>23</v>
      </c>
      <c r="O8" s="13" t="s">
        <v>23</v>
      </c>
      <c r="P8" s="13" t="s">
        <v>23</v>
      </c>
      <c r="Q8" s="13" t="s">
        <v>23</v>
      </c>
      <c r="R8" s="13">
        <v>100</v>
      </c>
      <c r="S8" s="13">
        <v>0.5</v>
      </c>
      <c r="T8" s="13">
        <v>0</v>
      </c>
      <c r="U8" s="13">
        <v>0</v>
      </c>
    </row>
    <row r="9" spans="1:21" x14ac:dyDescent="0.2">
      <c r="A9" s="13" t="s">
        <v>27</v>
      </c>
      <c r="B9" s="13" t="s">
        <v>76</v>
      </c>
      <c r="C9" s="13" t="s">
        <v>77</v>
      </c>
      <c r="D9" s="13" t="s">
        <v>87</v>
      </c>
      <c r="E9" s="13" t="s">
        <v>88</v>
      </c>
      <c r="F9" s="13" t="s">
        <v>89</v>
      </c>
      <c r="G9" s="13" t="s">
        <v>53</v>
      </c>
      <c r="H9" s="13" t="s">
        <v>82</v>
      </c>
      <c r="I9" s="13" t="s">
        <v>27</v>
      </c>
      <c r="J9" s="13" t="s">
        <v>76</v>
      </c>
      <c r="K9" s="13">
        <v>0.5</v>
      </c>
      <c r="L9" s="13" t="s">
        <v>27</v>
      </c>
      <c r="M9" s="13">
        <v>2023</v>
      </c>
      <c r="N9" s="13" t="s">
        <v>24</v>
      </c>
      <c r="O9" s="13" t="s">
        <v>83</v>
      </c>
      <c r="P9" s="13" t="s">
        <v>23</v>
      </c>
      <c r="Q9" s="13" t="s">
        <v>23</v>
      </c>
      <c r="R9" s="13">
        <v>70</v>
      </c>
      <c r="S9" s="13">
        <v>0.35</v>
      </c>
      <c r="T9" s="13">
        <v>0.15</v>
      </c>
      <c r="U9" s="13">
        <v>0</v>
      </c>
    </row>
    <row r="10" spans="1:21" x14ac:dyDescent="0.2">
      <c r="A10" s="13" t="s">
        <v>27</v>
      </c>
      <c r="B10" s="13" t="s">
        <v>76</v>
      </c>
      <c r="C10" s="13" t="s">
        <v>77</v>
      </c>
      <c r="D10" s="13" t="s">
        <v>90</v>
      </c>
      <c r="E10" s="13" t="s">
        <v>91</v>
      </c>
      <c r="F10" s="13" t="s">
        <v>92</v>
      </c>
      <c r="G10" s="13" t="s">
        <v>54</v>
      </c>
      <c r="H10" s="13" t="s">
        <v>82</v>
      </c>
      <c r="I10" s="13" t="s">
        <v>27</v>
      </c>
      <c r="J10" s="13" t="s">
        <v>76</v>
      </c>
      <c r="K10" s="13">
        <v>0.5</v>
      </c>
      <c r="L10" s="13" t="s">
        <v>27</v>
      </c>
      <c r="M10" s="13">
        <v>2023</v>
      </c>
      <c r="N10" s="13" t="s">
        <v>23</v>
      </c>
      <c r="O10" s="13" t="s">
        <v>23</v>
      </c>
      <c r="P10" s="13" t="s">
        <v>23</v>
      </c>
      <c r="Q10" s="13" t="s">
        <v>23</v>
      </c>
      <c r="R10" s="13">
        <v>100</v>
      </c>
      <c r="S10" s="13">
        <v>0.5</v>
      </c>
      <c r="T10" s="13">
        <v>0</v>
      </c>
      <c r="U10" s="13">
        <v>0</v>
      </c>
    </row>
    <row r="11" spans="1:21" s="35" customFormat="1" x14ac:dyDescent="0.2">
      <c r="A11" s="34" t="s">
        <v>27</v>
      </c>
      <c r="B11" s="34" t="s">
        <v>76</v>
      </c>
      <c r="C11" s="34" t="s">
        <v>77</v>
      </c>
      <c r="D11" s="34" t="s">
        <v>102</v>
      </c>
      <c r="E11" s="34" t="s">
        <v>103</v>
      </c>
      <c r="F11" s="34" t="s">
        <v>104</v>
      </c>
      <c r="G11" s="34" t="s">
        <v>45</v>
      </c>
      <c r="H11" s="34" t="s">
        <v>82</v>
      </c>
      <c r="I11" s="34" t="s">
        <v>27</v>
      </c>
      <c r="J11" s="34" t="s">
        <v>76</v>
      </c>
      <c r="K11" s="34">
        <v>0.5</v>
      </c>
      <c r="L11" s="34" t="s">
        <v>27</v>
      </c>
      <c r="M11" s="34">
        <v>2024</v>
      </c>
      <c r="N11" s="34" t="s">
        <v>23</v>
      </c>
      <c r="O11" s="34" t="s">
        <v>23</v>
      </c>
      <c r="P11" s="34" t="s">
        <v>23</v>
      </c>
      <c r="Q11" s="34" t="s">
        <v>23</v>
      </c>
      <c r="R11" s="34">
        <v>100</v>
      </c>
      <c r="S11" s="34">
        <v>0.5</v>
      </c>
      <c r="T11" s="34">
        <v>0</v>
      </c>
      <c r="U11" s="34">
        <v>0</v>
      </c>
    </row>
    <row r="12" spans="1:21" s="35" customFormat="1" x14ac:dyDescent="0.2">
      <c r="A12" s="34" t="s">
        <v>27</v>
      </c>
      <c r="B12" s="34" t="s">
        <v>76</v>
      </c>
      <c r="C12" s="34" t="s">
        <v>77</v>
      </c>
      <c r="D12" s="34" t="s">
        <v>102</v>
      </c>
      <c r="E12" s="34" t="s">
        <v>103</v>
      </c>
      <c r="F12" s="34" t="s">
        <v>104</v>
      </c>
      <c r="G12" s="34" t="s">
        <v>53</v>
      </c>
      <c r="H12" s="34" t="s">
        <v>82</v>
      </c>
      <c r="I12" s="34" t="s">
        <v>27</v>
      </c>
      <c r="J12" s="34" t="s">
        <v>76</v>
      </c>
      <c r="K12" s="34">
        <v>0.5</v>
      </c>
      <c r="L12" s="34" t="s">
        <v>27</v>
      </c>
      <c r="M12" s="34">
        <v>2025</v>
      </c>
      <c r="N12" s="34" t="s">
        <v>24</v>
      </c>
      <c r="O12" s="34" t="s">
        <v>83</v>
      </c>
      <c r="P12" s="34" t="s">
        <v>23</v>
      </c>
      <c r="Q12" s="34" t="s">
        <v>23</v>
      </c>
      <c r="R12" s="34">
        <v>70</v>
      </c>
      <c r="S12" s="34">
        <v>0.35</v>
      </c>
      <c r="T12" s="34">
        <v>0.15</v>
      </c>
      <c r="U12" s="34">
        <v>0</v>
      </c>
    </row>
    <row r="13" spans="1:21" x14ac:dyDescent="0.2">
      <c r="A13" s="13" t="s">
        <v>93</v>
      </c>
      <c r="B13" s="13" t="s">
        <v>94</v>
      </c>
      <c r="C13" s="13" t="s">
        <v>77</v>
      </c>
      <c r="D13" s="13" t="s">
        <v>95</v>
      </c>
      <c r="E13" s="13" t="s">
        <v>96</v>
      </c>
      <c r="F13" s="13" t="s">
        <v>97</v>
      </c>
      <c r="G13" s="13" t="s">
        <v>51</v>
      </c>
      <c r="H13" s="13" t="s">
        <v>98</v>
      </c>
      <c r="I13" s="13" t="s">
        <v>27</v>
      </c>
      <c r="J13" s="13" t="s">
        <v>76</v>
      </c>
      <c r="K13" s="13">
        <v>1</v>
      </c>
      <c r="L13" s="13" t="s">
        <v>27</v>
      </c>
      <c r="M13" s="13">
        <v>2023</v>
      </c>
      <c r="N13" s="13" t="s">
        <v>23</v>
      </c>
      <c r="O13" s="13" t="s">
        <v>23</v>
      </c>
      <c r="P13" s="13" t="s">
        <v>23</v>
      </c>
      <c r="Q13" s="13" t="s">
        <v>23</v>
      </c>
      <c r="R13" s="13">
        <v>100</v>
      </c>
      <c r="S13" s="13">
        <v>1</v>
      </c>
      <c r="T13" s="13">
        <v>0</v>
      </c>
      <c r="U13" s="13">
        <v>0</v>
      </c>
    </row>
    <row r="14" spans="1:21" x14ac:dyDescent="0.2">
      <c r="A14" s="13" t="s">
        <v>93</v>
      </c>
      <c r="B14" s="13" t="s">
        <v>94</v>
      </c>
      <c r="C14" s="13" t="s">
        <v>77</v>
      </c>
      <c r="D14" s="13" t="s">
        <v>99</v>
      </c>
      <c r="E14" s="13" t="s">
        <v>100</v>
      </c>
      <c r="F14" s="13" t="s">
        <v>101</v>
      </c>
      <c r="G14" s="13" t="s">
        <v>51</v>
      </c>
      <c r="H14" s="13" t="s">
        <v>98</v>
      </c>
      <c r="I14" s="13" t="s">
        <v>27</v>
      </c>
      <c r="J14" s="13" t="s">
        <v>76</v>
      </c>
      <c r="K14" s="13">
        <v>1</v>
      </c>
      <c r="L14" s="13" t="s">
        <v>27</v>
      </c>
      <c r="M14" s="13">
        <v>2023</v>
      </c>
      <c r="N14" s="13" t="s">
        <v>23</v>
      </c>
      <c r="O14" s="13" t="s">
        <v>23</v>
      </c>
      <c r="P14" s="13" t="s">
        <v>23</v>
      </c>
      <c r="Q14" s="13" t="s">
        <v>23</v>
      </c>
      <c r="R14" s="13">
        <v>100</v>
      </c>
      <c r="S14" s="13">
        <v>1</v>
      </c>
      <c r="T14" s="13">
        <v>0</v>
      </c>
      <c r="U14" s="13">
        <v>0</v>
      </c>
    </row>
    <row r="15" spans="1:21" x14ac:dyDescent="0.2">
      <c r="A15" s="13" t="s">
        <v>112</v>
      </c>
      <c r="B15" s="13" t="s">
        <v>113</v>
      </c>
      <c r="C15" s="13" t="s">
        <v>114</v>
      </c>
      <c r="D15" s="13" t="s">
        <v>115</v>
      </c>
      <c r="E15" s="13" t="s">
        <v>116</v>
      </c>
      <c r="F15" s="13" t="s">
        <v>117</v>
      </c>
      <c r="G15" s="13" t="s">
        <v>47</v>
      </c>
      <c r="H15" s="13" t="s">
        <v>82</v>
      </c>
      <c r="I15" s="13" t="s">
        <v>27</v>
      </c>
      <c r="J15" s="13" t="s">
        <v>118</v>
      </c>
      <c r="K15" s="13">
        <v>0.5</v>
      </c>
      <c r="L15" s="13" t="s">
        <v>27</v>
      </c>
      <c r="M15" s="13">
        <v>2024</v>
      </c>
      <c r="N15" s="13" t="s">
        <v>23</v>
      </c>
      <c r="O15" s="13" t="s">
        <v>23</v>
      </c>
      <c r="P15" s="13" t="s">
        <v>23</v>
      </c>
      <c r="Q15" s="13" t="s">
        <v>23</v>
      </c>
      <c r="R15" s="13">
        <v>100</v>
      </c>
      <c r="S15" s="13">
        <v>0.5</v>
      </c>
      <c r="T15" s="13">
        <v>0</v>
      </c>
      <c r="U15" s="13">
        <v>0</v>
      </c>
    </row>
    <row r="16" spans="1:21" x14ac:dyDescent="0.2">
      <c r="A16" s="13" t="s">
        <v>27</v>
      </c>
      <c r="B16" s="13" t="s">
        <v>118</v>
      </c>
      <c r="C16" s="13" t="s">
        <v>77</v>
      </c>
      <c r="D16" s="13" t="s">
        <v>119</v>
      </c>
      <c r="E16" s="13" t="s">
        <v>120</v>
      </c>
      <c r="F16" s="13" t="s">
        <v>121</v>
      </c>
      <c r="G16" s="13" t="s">
        <v>47</v>
      </c>
      <c r="H16" s="13" t="s">
        <v>82</v>
      </c>
      <c r="I16" s="13" t="s">
        <v>27</v>
      </c>
      <c r="J16" s="13" t="s">
        <v>118</v>
      </c>
      <c r="K16" s="13">
        <v>0.5</v>
      </c>
      <c r="L16" s="13" t="s">
        <v>27</v>
      </c>
      <c r="M16" s="13">
        <v>2024</v>
      </c>
      <c r="N16" s="13" t="s">
        <v>23</v>
      </c>
      <c r="O16" s="13" t="s">
        <v>23</v>
      </c>
      <c r="P16" s="13" t="s">
        <v>23</v>
      </c>
      <c r="Q16" s="13" t="s">
        <v>23</v>
      </c>
      <c r="R16" s="13">
        <v>100</v>
      </c>
      <c r="S16" s="13">
        <v>0.5</v>
      </c>
      <c r="T16" s="13">
        <v>0</v>
      </c>
      <c r="U16" s="13">
        <v>0</v>
      </c>
    </row>
    <row r="17" spans="1:21" x14ac:dyDescent="0.2">
      <c r="A17" s="13" t="s">
        <v>27</v>
      </c>
      <c r="B17" s="13" t="s">
        <v>118</v>
      </c>
      <c r="C17" s="13" t="s">
        <v>77</v>
      </c>
      <c r="D17" s="13" t="s">
        <v>119</v>
      </c>
      <c r="E17" s="13" t="s">
        <v>120</v>
      </c>
      <c r="F17" s="13" t="s">
        <v>121</v>
      </c>
      <c r="G17" s="13" t="s">
        <v>66</v>
      </c>
      <c r="H17" s="13" t="s">
        <v>82</v>
      </c>
      <c r="I17" s="13" t="s">
        <v>27</v>
      </c>
      <c r="J17" s="13" t="s">
        <v>118</v>
      </c>
      <c r="K17" s="13">
        <v>0.5</v>
      </c>
      <c r="L17" s="13" t="s">
        <v>27</v>
      </c>
      <c r="M17" s="13">
        <v>2024</v>
      </c>
      <c r="N17" s="13" t="s">
        <v>23</v>
      </c>
      <c r="O17" s="13" t="s">
        <v>23</v>
      </c>
      <c r="P17" s="13" t="s">
        <v>23</v>
      </c>
      <c r="Q17" s="13" t="s">
        <v>23</v>
      </c>
      <c r="R17" s="13">
        <v>100</v>
      </c>
      <c r="S17" s="13">
        <v>0.5</v>
      </c>
      <c r="T17" s="13">
        <v>0</v>
      </c>
      <c r="U17" s="13">
        <v>0</v>
      </c>
    </row>
    <row r="18" spans="1:21" x14ac:dyDescent="0.2">
      <c r="A18" s="13" t="s">
        <v>27</v>
      </c>
      <c r="B18" s="13" t="s">
        <v>118</v>
      </c>
      <c r="C18" s="13" t="s">
        <v>77</v>
      </c>
      <c r="D18" s="13" t="s">
        <v>122</v>
      </c>
      <c r="E18" s="13" t="s">
        <v>123</v>
      </c>
      <c r="F18" s="13" t="s">
        <v>124</v>
      </c>
      <c r="G18" s="13" t="s">
        <v>48</v>
      </c>
      <c r="H18" s="13" t="s">
        <v>82</v>
      </c>
      <c r="I18" s="13" t="s">
        <v>27</v>
      </c>
      <c r="J18" s="13" t="s">
        <v>118</v>
      </c>
      <c r="K18" s="13">
        <v>0.5</v>
      </c>
      <c r="L18" s="13" t="s">
        <v>27</v>
      </c>
      <c r="M18" s="13">
        <v>2024</v>
      </c>
      <c r="N18" s="13" t="s">
        <v>23</v>
      </c>
      <c r="O18" s="13" t="s">
        <v>23</v>
      </c>
      <c r="P18" s="13" t="s">
        <v>23</v>
      </c>
      <c r="Q18" s="13" t="s">
        <v>23</v>
      </c>
      <c r="R18" s="13">
        <v>100</v>
      </c>
      <c r="S18" s="13">
        <v>0.5</v>
      </c>
      <c r="T18" s="13">
        <v>0</v>
      </c>
      <c r="U18" s="13">
        <v>0</v>
      </c>
    </row>
    <row r="19" spans="1:21" x14ac:dyDescent="0.2">
      <c r="A19" s="13" t="s">
        <v>27</v>
      </c>
      <c r="B19" s="13" t="s">
        <v>118</v>
      </c>
      <c r="C19" s="13" t="s">
        <v>77</v>
      </c>
      <c r="D19" s="13" t="s">
        <v>122</v>
      </c>
      <c r="E19" s="13" t="s">
        <v>123</v>
      </c>
      <c r="F19" s="13" t="s">
        <v>124</v>
      </c>
      <c r="G19" s="13" t="s">
        <v>125</v>
      </c>
      <c r="H19" s="13" t="s">
        <v>82</v>
      </c>
      <c r="I19" s="13" t="s">
        <v>27</v>
      </c>
      <c r="J19" s="13" t="s">
        <v>118</v>
      </c>
      <c r="K19" s="13">
        <v>0.5</v>
      </c>
      <c r="L19" s="13" t="s">
        <v>27</v>
      </c>
      <c r="M19" s="13">
        <v>2024</v>
      </c>
      <c r="N19" s="13" t="s">
        <v>23</v>
      </c>
      <c r="O19" s="13" t="s">
        <v>23</v>
      </c>
      <c r="P19" s="13" t="s">
        <v>23</v>
      </c>
      <c r="Q19" s="13" t="s">
        <v>23</v>
      </c>
      <c r="R19" s="13">
        <v>100</v>
      </c>
      <c r="S19" s="13">
        <v>0.5</v>
      </c>
      <c r="T19" s="13">
        <v>0</v>
      </c>
      <c r="U19" s="13">
        <v>0</v>
      </c>
    </row>
    <row r="20" spans="1:21" x14ac:dyDescent="0.2">
      <c r="A20" s="13" t="s">
        <v>27</v>
      </c>
      <c r="B20" s="13" t="s">
        <v>118</v>
      </c>
      <c r="C20" s="13" t="s">
        <v>77</v>
      </c>
      <c r="D20" s="13" t="s">
        <v>126</v>
      </c>
      <c r="E20" s="13" t="s">
        <v>127</v>
      </c>
      <c r="F20" s="13" t="s">
        <v>128</v>
      </c>
      <c r="G20" s="13" t="s">
        <v>47</v>
      </c>
      <c r="H20" s="13" t="s">
        <v>98</v>
      </c>
      <c r="I20" s="13" t="s">
        <v>27</v>
      </c>
      <c r="J20" s="13" t="s">
        <v>118</v>
      </c>
      <c r="K20" s="13">
        <v>1</v>
      </c>
      <c r="L20" s="13" t="s">
        <v>27</v>
      </c>
      <c r="M20" s="13">
        <v>2024</v>
      </c>
      <c r="N20" s="13" t="s">
        <v>23</v>
      </c>
      <c r="O20" s="13" t="s">
        <v>23</v>
      </c>
      <c r="P20" s="13" t="s">
        <v>23</v>
      </c>
      <c r="Q20" s="13" t="s">
        <v>23</v>
      </c>
      <c r="R20" s="13">
        <v>100</v>
      </c>
      <c r="S20" s="13">
        <v>1</v>
      </c>
      <c r="T20" s="13">
        <v>0</v>
      </c>
      <c r="U20" s="13">
        <v>0</v>
      </c>
    </row>
    <row r="21" spans="1:21" x14ac:dyDescent="0.2">
      <c r="A21" s="13" t="s">
        <v>27</v>
      </c>
      <c r="B21" s="13" t="s">
        <v>118</v>
      </c>
      <c r="C21" s="13" t="s">
        <v>77</v>
      </c>
      <c r="D21" s="13" t="s">
        <v>129</v>
      </c>
      <c r="E21" s="13" t="s">
        <v>130</v>
      </c>
      <c r="F21" s="13" t="s">
        <v>131</v>
      </c>
      <c r="G21" s="13" t="s">
        <v>49</v>
      </c>
      <c r="H21" s="13" t="s">
        <v>98</v>
      </c>
      <c r="I21" s="13" t="s">
        <v>27</v>
      </c>
      <c r="J21" s="13" t="s">
        <v>118</v>
      </c>
      <c r="K21" s="13">
        <v>1</v>
      </c>
      <c r="L21" s="13" t="s">
        <v>27</v>
      </c>
      <c r="M21" s="13">
        <v>2024</v>
      </c>
      <c r="N21" s="13" t="s">
        <v>23</v>
      </c>
      <c r="O21" s="13" t="s">
        <v>23</v>
      </c>
      <c r="P21" s="13" t="s">
        <v>23</v>
      </c>
      <c r="Q21" s="13" t="s">
        <v>23</v>
      </c>
      <c r="R21" s="13">
        <v>100</v>
      </c>
      <c r="S21" s="13">
        <v>1</v>
      </c>
      <c r="T21" s="13">
        <v>0</v>
      </c>
      <c r="U21" s="13">
        <v>0</v>
      </c>
    </row>
    <row r="22" spans="1:21" x14ac:dyDescent="0.2">
      <c r="A22" s="13" t="s">
        <v>132</v>
      </c>
      <c r="B22" s="13" t="s">
        <v>133</v>
      </c>
      <c r="C22" s="13" t="s">
        <v>134</v>
      </c>
      <c r="D22" s="13" t="s">
        <v>135</v>
      </c>
      <c r="E22" s="13" t="s">
        <v>136</v>
      </c>
      <c r="F22" s="13" t="s">
        <v>137</v>
      </c>
      <c r="G22" s="13" t="s">
        <v>50</v>
      </c>
      <c r="H22" s="13" t="s">
        <v>82</v>
      </c>
      <c r="I22" s="13" t="s">
        <v>27</v>
      </c>
      <c r="J22" s="13" t="s">
        <v>118</v>
      </c>
      <c r="K22" s="13">
        <v>0.5</v>
      </c>
      <c r="L22" s="13" t="s">
        <v>27</v>
      </c>
      <c r="M22" s="13">
        <v>2024</v>
      </c>
      <c r="N22" s="13" t="s">
        <v>23</v>
      </c>
      <c r="O22" s="13" t="s">
        <v>23</v>
      </c>
      <c r="P22" s="13" t="s">
        <v>23</v>
      </c>
      <c r="Q22" s="13" t="s">
        <v>23</v>
      </c>
      <c r="R22" s="13">
        <v>100</v>
      </c>
      <c r="S22" s="13">
        <v>0.5</v>
      </c>
      <c r="T22" s="13">
        <v>0</v>
      </c>
      <c r="U22" s="13">
        <v>0</v>
      </c>
    </row>
    <row r="23" spans="1:21" x14ac:dyDescent="0.2">
      <c r="A23" s="13" t="s">
        <v>93</v>
      </c>
      <c r="B23" s="13" t="s">
        <v>94</v>
      </c>
      <c r="C23" s="13" t="s">
        <v>77</v>
      </c>
      <c r="D23" s="13" t="s">
        <v>138</v>
      </c>
      <c r="E23" s="13" t="s">
        <v>139</v>
      </c>
      <c r="F23" s="13" t="s">
        <v>140</v>
      </c>
      <c r="G23" s="13" t="s">
        <v>60</v>
      </c>
      <c r="H23" s="13" t="s">
        <v>82</v>
      </c>
      <c r="I23" s="13" t="s">
        <v>27</v>
      </c>
      <c r="J23" s="13" t="s">
        <v>118</v>
      </c>
      <c r="K23" s="13">
        <v>0.5</v>
      </c>
      <c r="L23" s="13" t="s">
        <v>27</v>
      </c>
      <c r="M23" s="13">
        <v>2024</v>
      </c>
      <c r="N23" s="13" t="s">
        <v>23</v>
      </c>
      <c r="O23" s="13" t="s">
        <v>23</v>
      </c>
      <c r="P23" s="13" t="s">
        <v>23</v>
      </c>
      <c r="Q23" s="13" t="s">
        <v>23</v>
      </c>
      <c r="R23" s="13">
        <v>100</v>
      </c>
      <c r="S23" s="13">
        <v>0.5</v>
      </c>
      <c r="T23" s="13">
        <v>0</v>
      </c>
      <c r="U23" s="13">
        <v>0</v>
      </c>
    </row>
    <row r="24" spans="1:21" x14ac:dyDescent="0.2">
      <c r="A24" s="13" t="s">
        <v>93</v>
      </c>
      <c r="B24" s="13" t="s">
        <v>94</v>
      </c>
      <c r="C24" s="13" t="s">
        <v>77</v>
      </c>
      <c r="D24" s="13" t="s">
        <v>138</v>
      </c>
      <c r="E24" s="13" t="s">
        <v>139</v>
      </c>
      <c r="F24" s="13" t="s">
        <v>140</v>
      </c>
      <c r="G24" s="13" t="s">
        <v>46</v>
      </c>
      <c r="H24" s="13" t="s">
        <v>82</v>
      </c>
      <c r="I24" s="13" t="s">
        <v>27</v>
      </c>
      <c r="J24" s="13" t="s">
        <v>118</v>
      </c>
      <c r="K24" s="13">
        <v>0.5</v>
      </c>
      <c r="L24" s="13" t="s">
        <v>27</v>
      </c>
      <c r="M24" s="13">
        <v>2024</v>
      </c>
      <c r="N24" s="13" t="s">
        <v>23</v>
      </c>
      <c r="O24" s="13" t="s">
        <v>23</v>
      </c>
      <c r="P24" s="13" t="s">
        <v>23</v>
      </c>
      <c r="Q24" s="13" t="s">
        <v>23</v>
      </c>
      <c r="R24" s="13">
        <v>100</v>
      </c>
      <c r="S24" s="13">
        <v>0.5</v>
      </c>
      <c r="T24" s="13">
        <v>0</v>
      </c>
      <c r="U24" s="13">
        <v>0</v>
      </c>
    </row>
    <row r="25" spans="1:21" x14ac:dyDescent="0.2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2"/>
      <c r="P25" s="31"/>
      <c r="Q25" s="32"/>
      <c r="R25" s="31"/>
      <c r="S25" s="33">
        <f>SUM(S2:S24)</f>
        <v>12.9</v>
      </c>
      <c r="T25" s="31"/>
      <c r="U25" s="31"/>
    </row>
  </sheetData>
  <autoFilter ref="A1:U1" xr:uid="{00000000-0009-0000-0000-000000000000}">
    <sortState xmlns:xlrd2="http://schemas.microsoft.com/office/spreadsheetml/2017/richdata2" ref="A2:S1890">
      <sortCondition ref="K2:K1890"/>
      <sortCondition ref="D2:D1890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0"/>
  <sheetViews>
    <sheetView zoomScaleNormal="100" workbookViewId="0">
      <selection activeCell="B25" sqref="B25"/>
    </sheetView>
  </sheetViews>
  <sheetFormatPr baseColWidth="10" defaultColWidth="11.44140625" defaultRowHeight="13.2" x14ac:dyDescent="0.25"/>
  <cols>
    <col min="1" max="1" width="10.33203125" style="11" bestFit="1" customWidth="1"/>
    <col min="2" max="2" width="38.44140625" style="11" bestFit="1" customWidth="1"/>
    <col min="3" max="3" width="17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20" s="10" customFormat="1" ht="60" customHeight="1" x14ac:dyDescent="0.25">
      <c r="A1" s="18" t="s">
        <v>31</v>
      </c>
      <c r="B1" s="18" t="s">
        <v>32</v>
      </c>
      <c r="C1" s="18" t="s">
        <v>33</v>
      </c>
      <c r="D1" s="19" t="s">
        <v>141</v>
      </c>
      <c r="E1" s="19" t="s">
        <v>142</v>
      </c>
      <c r="F1" s="19" t="s">
        <v>143</v>
      </c>
      <c r="G1" s="19" t="s">
        <v>144</v>
      </c>
      <c r="H1" s="19" t="s">
        <v>145</v>
      </c>
      <c r="I1" s="19" t="s">
        <v>146</v>
      </c>
      <c r="J1" s="18" t="s">
        <v>34</v>
      </c>
      <c r="K1" s="20" t="s">
        <v>65</v>
      </c>
      <c r="L1" s="8" t="s">
        <v>35</v>
      </c>
      <c r="M1" s="8" t="s">
        <v>36</v>
      </c>
      <c r="N1" s="8" t="s">
        <v>37</v>
      </c>
      <c r="O1" s="8" t="s">
        <v>38</v>
      </c>
      <c r="P1" s="9" t="s">
        <v>39</v>
      </c>
      <c r="Q1" s="9" t="s">
        <v>40</v>
      </c>
      <c r="R1" s="9" t="s">
        <v>41</v>
      </c>
      <c r="S1" s="9" t="s">
        <v>42</v>
      </c>
      <c r="T1" s="11"/>
    </row>
    <row r="2" spans="1:20" ht="14.4" x14ac:dyDescent="0.3">
      <c r="A2" s="21" t="s">
        <v>54</v>
      </c>
      <c r="B2" s="21" t="s">
        <v>147</v>
      </c>
      <c r="C2" s="21" t="s">
        <v>43</v>
      </c>
      <c r="D2" s="21"/>
      <c r="E2" s="21"/>
      <c r="F2" s="21">
        <v>1</v>
      </c>
      <c r="G2" s="21"/>
      <c r="H2" s="21"/>
      <c r="I2" s="21"/>
      <c r="J2" s="21">
        <v>1</v>
      </c>
      <c r="K2" s="21" t="s">
        <v>148</v>
      </c>
      <c r="L2" s="22">
        <v>0</v>
      </c>
      <c r="M2" s="22">
        <v>0</v>
      </c>
      <c r="N2" s="22" t="s">
        <v>23</v>
      </c>
      <c r="O2" s="22" t="s">
        <v>23</v>
      </c>
      <c r="P2" s="22">
        <v>100</v>
      </c>
      <c r="Q2" s="22">
        <v>0</v>
      </c>
      <c r="R2" s="22">
        <v>0</v>
      </c>
      <c r="S2" s="22">
        <v>1</v>
      </c>
    </row>
    <row r="3" spans="1:20" ht="14.4" x14ac:dyDescent="0.3">
      <c r="A3" s="21" t="s">
        <v>66</v>
      </c>
      <c r="B3" s="21" t="s">
        <v>149</v>
      </c>
      <c r="C3" s="21" t="s">
        <v>44</v>
      </c>
      <c r="D3" s="21"/>
      <c r="E3" s="21"/>
      <c r="F3" s="21"/>
      <c r="G3" s="21"/>
      <c r="H3" s="21">
        <v>2</v>
      </c>
      <c r="I3" s="21"/>
      <c r="J3" s="21">
        <v>2</v>
      </c>
      <c r="K3" s="21" t="s">
        <v>148</v>
      </c>
      <c r="L3" s="22">
        <v>0</v>
      </c>
      <c r="M3" s="22">
        <v>0</v>
      </c>
      <c r="N3" s="22" t="s">
        <v>23</v>
      </c>
      <c r="O3" s="22" t="s">
        <v>23</v>
      </c>
      <c r="P3" s="22">
        <v>100</v>
      </c>
      <c r="Q3" s="22">
        <v>0</v>
      </c>
      <c r="R3" s="22">
        <v>0</v>
      </c>
      <c r="S3" s="22">
        <v>2</v>
      </c>
    </row>
    <row r="4" spans="1:20" ht="14.4" x14ac:dyDescent="0.3">
      <c r="A4" s="21" t="s">
        <v>46</v>
      </c>
      <c r="B4" s="21" t="s">
        <v>150</v>
      </c>
      <c r="C4" s="21" t="s">
        <v>151</v>
      </c>
      <c r="D4" s="21"/>
      <c r="E4" s="21"/>
      <c r="F4" s="21"/>
      <c r="G4" s="21"/>
      <c r="H4" s="21"/>
      <c r="I4" s="21">
        <v>1</v>
      </c>
      <c r="J4" s="21">
        <v>1</v>
      </c>
      <c r="K4" s="21" t="s">
        <v>148</v>
      </c>
      <c r="L4" s="22">
        <v>0</v>
      </c>
      <c r="M4" s="22">
        <v>0</v>
      </c>
      <c r="N4" s="22" t="s">
        <v>23</v>
      </c>
      <c r="O4" s="22" t="s">
        <v>23</v>
      </c>
      <c r="P4" s="22">
        <v>100</v>
      </c>
      <c r="Q4" s="22">
        <v>0</v>
      </c>
      <c r="R4" s="22">
        <v>0</v>
      </c>
      <c r="S4" s="22">
        <v>1</v>
      </c>
    </row>
    <row r="5" spans="1:20" ht="14.4" x14ac:dyDescent="0.3">
      <c r="A5" s="21" t="s">
        <v>55</v>
      </c>
      <c r="B5" s="21" t="s">
        <v>152</v>
      </c>
      <c r="C5" s="21" t="s">
        <v>43</v>
      </c>
      <c r="D5" s="21"/>
      <c r="E5" s="21"/>
      <c r="F5" s="21"/>
      <c r="G5" s="21"/>
      <c r="H5" s="21">
        <v>1</v>
      </c>
      <c r="I5" s="21"/>
      <c r="J5" s="21">
        <v>1</v>
      </c>
      <c r="K5" s="21" t="s">
        <v>148</v>
      </c>
      <c r="L5" s="22">
        <v>0</v>
      </c>
      <c r="M5" s="22">
        <v>0</v>
      </c>
      <c r="N5" s="22" t="s">
        <v>23</v>
      </c>
      <c r="O5" s="22" t="s">
        <v>23</v>
      </c>
      <c r="P5" s="22">
        <v>100</v>
      </c>
      <c r="Q5" s="22">
        <v>0</v>
      </c>
      <c r="R5" s="22">
        <v>0</v>
      </c>
      <c r="S5" s="22">
        <v>1</v>
      </c>
    </row>
    <row r="6" spans="1:20" ht="14.4" x14ac:dyDescent="0.3">
      <c r="A6" s="21" t="s">
        <v>48</v>
      </c>
      <c r="B6" s="21" t="s">
        <v>153</v>
      </c>
      <c r="C6" s="21" t="s">
        <v>43</v>
      </c>
      <c r="D6" s="21"/>
      <c r="E6" s="21"/>
      <c r="F6" s="21">
        <v>1</v>
      </c>
      <c r="G6" s="21"/>
      <c r="H6" s="21"/>
      <c r="I6" s="21"/>
      <c r="J6" s="21">
        <v>1</v>
      </c>
      <c r="K6" s="21" t="s">
        <v>148</v>
      </c>
      <c r="L6" s="22">
        <v>0</v>
      </c>
      <c r="M6" s="22">
        <v>0</v>
      </c>
      <c r="N6" s="22" t="s">
        <v>23</v>
      </c>
      <c r="O6" s="22" t="s">
        <v>23</v>
      </c>
      <c r="P6" s="22">
        <v>100</v>
      </c>
      <c r="Q6" s="22">
        <v>0</v>
      </c>
      <c r="R6" s="22">
        <v>0</v>
      </c>
      <c r="S6" s="22">
        <v>1</v>
      </c>
    </row>
    <row r="7" spans="1:20" ht="14.4" x14ac:dyDescent="0.3">
      <c r="A7" s="21" t="s">
        <v>51</v>
      </c>
      <c r="B7" s="21" t="s">
        <v>154</v>
      </c>
      <c r="C7" s="21" t="s">
        <v>43</v>
      </c>
      <c r="D7" s="21"/>
      <c r="E7" s="21"/>
      <c r="F7" s="21"/>
      <c r="G7" s="21"/>
      <c r="H7" s="21"/>
      <c r="I7" s="21">
        <v>1</v>
      </c>
      <c r="J7" s="21">
        <v>1</v>
      </c>
      <c r="K7" s="21" t="s">
        <v>148</v>
      </c>
      <c r="L7" s="22">
        <v>0</v>
      </c>
      <c r="M7" s="22">
        <v>0</v>
      </c>
      <c r="N7" s="22" t="s">
        <v>23</v>
      </c>
      <c r="O7" s="22" t="s">
        <v>23</v>
      </c>
      <c r="P7" s="22">
        <v>100</v>
      </c>
      <c r="Q7" s="22">
        <v>0</v>
      </c>
      <c r="R7" s="22">
        <v>0</v>
      </c>
      <c r="S7" s="22">
        <v>1</v>
      </c>
    </row>
    <row r="8" spans="1:20" ht="14.4" x14ac:dyDescent="0.3">
      <c r="A8" s="21" t="s">
        <v>59</v>
      </c>
      <c r="B8" s="21" t="s">
        <v>155</v>
      </c>
      <c r="C8" s="21" t="s">
        <v>43</v>
      </c>
      <c r="D8" s="21"/>
      <c r="E8" s="21">
        <v>1</v>
      </c>
      <c r="F8" s="21"/>
      <c r="G8" s="21"/>
      <c r="H8" s="21"/>
      <c r="I8" s="21"/>
      <c r="J8" s="21">
        <v>1</v>
      </c>
      <c r="K8" s="21" t="s">
        <v>148</v>
      </c>
      <c r="L8" s="22">
        <v>0</v>
      </c>
      <c r="M8" s="22">
        <v>0</v>
      </c>
      <c r="N8" s="22" t="s">
        <v>23</v>
      </c>
      <c r="O8" s="22" t="s">
        <v>23</v>
      </c>
      <c r="P8" s="22">
        <v>100</v>
      </c>
      <c r="Q8" s="22">
        <v>0</v>
      </c>
      <c r="R8" s="22">
        <v>0</v>
      </c>
      <c r="S8" s="22">
        <v>1</v>
      </c>
    </row>
    <row r="9" spans="1:20" ht="14.4" x14ac:dyDescent="0.3">
      <c r="A9" s="21" t="s">
        <v>71</v>
      </c>
      <c r="B9" s="21" t="s">
        <v>156</v>
      </c>
      <c r="C9" s="21" t="s">
        <v>43</v>
      </c>
      <c r="D9" s="21">
        <v>1</v>
      </c>
      <c r="E9" s="21"/>
      <c r="F9" s="21"/>
      <c r="G9" s="21"/>
      <c r="H9" s="21"/>
      <c r="I9" s="21"/>
      <c r="J9" s="21">
        <v>1</v>
      </c>
      <c r="K9" s="21" t="s">
        <v>148</v>
      </c>
      <c r="L9" s="22">
        <v>0</v>
      </c>
      <c r="M9" s="22">
        <v>0</v>
      </c>
      <c r="N9" s="22" t="s">
        <v>23</v>
      </c>
      <c r="O9" s="22" t="s">
        <v>23</v>
      </c>
      <c r="P9" s="22">
        <v>100</v>
      </c>
      <c r="Q9" s="22">
        <v>0</v>
      </c>
      <c r="R9" s="22">
        <v>0</v>
      </c>
      <c r="S9" s="22">
        <v>1</v>
      </c>
    </row>
    <row r="10" spans="1:20" ht="14.4" x14ac:dyDescent="0.3">
      <c r="A10" s="21" t="s">
        <v>50</v>
      </c>
      <c r="B10" s="21" t="s">
        <v>157</v>
      </c>
      <c r="C10" s="21" t="s">
        <v>43</v>
      </c>
      <c r="D10" s="21"/>
      <c r="E10" s="21"/>
      <c r="F10" s="21">
        <v>1</v>
      </c>
      <c r="G10" s="21"/>
      <c r="H10" s="21">
        <v>1</v>
      </c>
      <c r="I10" s="21"/>
      <c r="J10" s="21">
        <v>2</v>
      </c>
      <c r="K10" s="21" t="s">
        <v>148</v>
      </c>
      <c r="L10" s="22">
        <v>0</v>
      </c>
      <c r="M10" s="22">
        <v>0</v>
      </c>
      <c r="N10" s="22" t="s">
        <v>23</v>
      </c>
      <c r="O10" s="22" t="s">
        <v>23</v>
      </c>
      <c r="P10" s="22">
        <v>100</v>
      </c>
      <c r="Q10" s="22">
        <v>0</v>
      </c>
      <c r="R10" s="22">
        <v>0</v>
      </c>
      <c r="S10" s="22">
        <v>2</v>
      </c>
    </row>
    <row r="11" spans="1:20" ht="14.4" x14ac:dyDescent="0.3">
      <c r="A11" s="21" t="s">
        <v>45</v>
      </c>
      <c r="B11" s="21" t="s">
        <v>158</v>
      </c>
      <c r="C11" s="21" t="s">
        <v>43</v>
      </c>
      <c r="D11" s="21"/>
      <c r="E11" s="21"/>
      <c r="F11" s="21"/>
      <c r="G11" s="21"/>
      <c r="H11" s="21">
        <v>1</v>
      </c>
      <c r="I11" s="21"/>
      <c r="J11" s="21">
        <v>1</v>
      </c>
      <c r="K11" s="21" t="s">
        <v>148</v>
      </c>
      <c r="L11" s="22">
        <v>0</v>
      </c>
      <c r="M11" s="22">
        <v>0</v>
      </c>
      <c r="N11" s="22" t="s">
        <v>23</v>
      </c>
      <c r="O11" s="22" t="s">
        <v>23</v>
      </c>
      <c r="P11" s="22">
        <v>100</v>
      </c>
      <c r="Q11" s="22">
        <v>0</v>
      </c>
      <c r="R11" s="22">
        <v>0</v>
      </c>
      <c r="S11" s="22">
        <v>1</v>
      </c>
    </row>
    <row r="12" spans="1:20" ht="14.4" x14ac:dyDescent="0.3">
      <c r="A12" s="21" t="s">
        <v>60</v>
      </c>
      <c r="B12" s="21" t="s">
        <v>159</v>
      </c>
      <c r="C12" s="21" t="s">
        <v>44</v>
      </c>
      <c r="D12" s="21"/>
      <c r="E12" s="21"/>
      <c r="F12" s="21"/>
      <c r="G12" s="21"/>
      <c r="H12" s="21"/>
      <c r="I12" s="21">
        <v>2</v>
      </c>
      <c r="J12" s="21">
        <v>2</v>
      </c>
      <c r="K12" s="21" t="s">
        <v>148</v>
      </c>
      <c r="L12" s="22">
        <v>0</v>
      </c>
      <c r="M12" s="22">
        <v>0</v>
      </c>
      <c r="N12" s="22" t="s">
        <v>23</v>
      </c>
      <c r="O12" s="22" t="s">
        <v>23</v>
      </c>
      <c r="P12" s="22">
        <v>100</v>
      </c>
      <c r="Q12" s="22">
        <v>0</v>
      </c>
      <c r="R12" s="22">
        <v>0</v>
      </c>
      <c r="S12" s="22">
        <v>2</v>
      </c>
    </row>
    <row r="13" spans="1:20" ht="14.4" x14ac:dyDescent="0.3">
      <c r="A13" s="21" t="s">
        <v>53</v>
      </c>
      <c r="B13" s="21" t="s">
        <v>160</v>
      </c>
      <c r="C13" s="21" t="s">
        <v>43</v>
      </c>
      <c r="D13" s="21"/>
      <c r="E13" s="21"/>
      <c r="F13" s="21"/>
      <c r="G13" s="21"/>
      <c r="H13" s="21"/>
      <c r="I13" s="21">
        <v>1</v>
      </c>
      <c r="J13" s="21">
        <v>1</v>
      </c>
      <c r="K13" s="21" t="s">
        <v>148</v>
      </c>
      <c r="L13" s="22" t="s">
        <v>24</v>
      </c>
      <c r="M13" s="22" t="s">
        <v>83</v>
      </c>
      <c r="N13" s="22" t="s">
        <v>23</v>
      </c>
      <c r="O13" s="22" t="s">
        <v>23</v>
      </c>
      <c r="P13" s="22">
        <v>70</v>
      </c>
      <c r="Q13" s="22">
        <v>0.3</v>
      </c>
      <c r="R13" s="22">
        <v>0</v>
      </c>
      <c r="S13" s="22">
        <v>0.7</v>
      </c>
    </row>
    <row r="14" spans="1:20" ht="14.4" x14ac:dyDescent="0.3">
      <c r="A14" s="21" t="s">
        <v>47</v>
      </c>
      <c r="B14" s="21" t="s">
        <v>161</v>
      </c>
      <c r="C14" s="21" t="s">
        <v>43</v>
      </c>
      <c r="D14" s="21"/>
      <c r="E14" s="21"/>
      <c r="F14" s="21">
        <v>1</v>
      </c>
      <c r="G14" s="21"/>
      <c r="H14" s="21"/>
      <c r="I14" s="21"/>
      <c r="J14" s="21">
        <v>1</v>
      </c>
      <c r="K14" s="21" t="s">
        <v>148</v>
      </c>
      <c r="L14" s="22">
        <v>0</v>
      </c>
      <c r="M14" s="22">
        <v>0</v>
      </c>
      <c r="N14" s="22" t="s">
        <v>23</v>
      </c>
      <c r="O14" s="22" t="s">
        <v>23</v>
      </c>
      <c r="P14" s="22">
        <v>100</v>
      </c>
      <c r="Q14" s="22">
        <v>0</v>
      </c>
      <c r="R14" s="22">
        <v>0</v>
      </c>
      <c r="S14" s="22">
        <v>1</v>
      </c>
    </row>
    <row r="15" spans="1:20" ht="14.4" x14ac:dyDescent="0.3">
      <c r="A15" s="21" t="s">
        <v>162</v>
      </c>
      <c r="B15" s="21" t="s">
        <v>163</v>
      </c>
      <c r="C15" s="21" t="s">
        <v>44</v>
      </c>
      <c r="D15" s="21"/>
      <c r="E15" s="21"/>
      <c r="F15" s="21"/>
      <c r="G15" s="21"/>
      <c r="H15" s="21"/>
      <c r="I15" s="21">
        <v>1</v>
      </c>
      <c r="J15" s="21">
        <v>1</v>
      </c>
      <c r="K15" s="21" t="s">
        <v>148</v>
      </c>
      <c r="L15" s="22">
        <v>0</v>
      </c>
      <c r="M15" s="22">
        <v>0</v>
      </c>
      <c r="N15" s="22" t="s">
        <v>23</v>
      </c>
      <c r="O15" s="22" t="s">
        <v>23</v>
      </c>
      <c r="P15" s="22">
        <v>100</v>
      </c>
      <c r="Q15" s="22">
        <v>0</v>
      </c>
      <c r="R15" s="22">
        <v>0</v>
      </c>
      <c r="S15" s="22">
        <v>1</v>
      </c>
    </row>
    <row r="16" spans="1:20" ht="14.4" x14ac:dyDescent="0.3">
      <c r="A16" s="21" t="s">
        <v>49</v>
      </c>
      <c r="B16" s="21" t="s">
        <v>164</v>
      </c>
      <c r="C16" s="21" t="s">
        <v>44</v>
      </c>
      <c r="D16" s="21"/>
      <c r="E16" s="21"/>
      <c r="F16" s="21"/>
      <c r="G16" s="21"/>
      <c r="H16" s="21">
        <v>1</v>
      </c>
      <c r="I16" s="21"/>
      <c r="J16" s="21">
        <v>1</v>
      </c>
      <c r="K16" s="21" t="s">
        <v>148</v>
      </c>
      <c r="L16" s="22">
        <v>0</v>
      </c>
      <c r="M16" s="22">
        <v>0</v>
      </c>
      <c r="N16" s="22" t="s">
        <v>23</v>
      </c>
      <c r="O16" s="22" t="s">
        <v>23</v>
      </c>
      <c r="P16" s="22">
        <v>100</v>
      </c>
      <c r="Q16" s="22">
        <v>0</v>
      </c>
      <c r="R16" s="22">
        <v>0</v>
      </c>
      <c r="S16" s="22">
        <v>1</v>
      </c>
    </row>
    <row r="17" spans="1:19" ht="14.4" x14ac:dyDescent="0.3">
      <c r="A17" s="21" t="s">
        <v>165</v>
      </c>
      <c r="B17" s="21" t="s">
        <v>166</v>
      </c>
      <c r="C17" s="21" t="s">
        <v>44</v>
      </c>
      <c r="D17" s="21"/>
      <c r="E17" s="21"/>
      <c r="F17" s="21"/>
      <c r="G17" s="21"/>
      <c r="H17" s="21"/>
      <c r="I17" s="21">
        <v>1</v>
      </c>
      <c r="J17" s="21">
        <v>1</v>
      </c>
      <c r="K17" s="21" t="s">
        <v>148</v>
      </c>
      <c r="L17" s="22">
        <v>0</v>
      </c>
      <c r="M17" s="22">
        <v>0</v>
      </c>
      <c r="N17" s="22" t="s">
        <v>23</v>
      </c>
      <c r="O17" s="22" t="s">
        <v>23</v>
      </c>
      <c r="P17" s="22">
        <v>100</v>
      </c>
      <c r="Q17" s="22">
        <v>0</v>
      </c>
      <c r="R17" s="22">
        <v>0</v>
      </c>
      <c r="S17" s="22">
        <v>1</v>
      </c>
    </row>
    <row r="18" spans="1:19" ht="14.4" x14ac:dyDescent="0.3">
      <c r="A18" s="21" t="s">
        <v>125</v>
      </c>
      <c r="B18" s="21" t="s">
        <v>167</v>
      </c>
      <c r="C18" s="21" t="s">
        <v>44</v>
      </c>
      <c r="D18" s="21"/>
      <c r="E18" s="21"/>
      <c r="F18" s="21"/>
      <c r="G18" s="21"/>
      <c r="H18" s="21"/>
      <c r="I18" s="21">
        <v>1</v>
      </c>
      <c r="J18" s="21">
        <v>1</v>
      </c>
      <c r="K18" s="21" t="s">
        <v>148</v>
      </c>
      <c r="L18" s="22">
        <v>0</v>
      </c>
      <c r="M18" s="22">
        <v>0</v>
      </c>
      <c r="N18" s="22" t="s">
        <v>23</v>
      </c>
      <c r="O18" s="22" t="s">
        <v>23</v>
      </c>
      <c r="P18" s="22">
        <v>100</v>
      </c>
      <c r="Q18" s="22">
        <v>0</v>
      </c>
      <c r="R18" s="22">
        <v>0</v>
      </c>
      <c r="S18" s="22">
        <v>1</v>
      </c>
    </row>
    <row r="19" spans="1:19" ht="14.4" x14ac:dyDescent="0.3">
      <c r="A19" s="21" t="s">
        <v>52</v>
      </c>
      <c r="B19" s="21" t="s">
        <v>168</v>
      </c>
      <c r="C19" s="21" t="s">
        <v>43</v>
      </c>
      <c r="D19" s="21">
        <v>1</v>
      </c>
      <c r="E19" s="21"/>
      <c r="F19" s="21"/>
      <c r="G19" s="21"/>
      <c r="H19" s="21"/>
      <c r="I19" s="21"/>
      <c r="J19" s="21">
        <v>1</v>
      </c>
      <c r="K19" s="21" t="s">
        <v>148</v>
      </c>
      <c r="L19" s="22">
        <v>0</v>
      </c>
      <c r="M19" s="22">
        <v>0</v>
      </c>
      <c r="N19" s="22" t="s">
        <v>23</v>
      </c>
      <c r="O19" s="22" t="s">
        <v>23</v>
      </c>
      <c r="P19" s="22">
        <v>100</v>
      </c>
      <c r="Q19" s="22">
        <v>0</v>
      </c>
      <c r="R19" s="22">
        <v>0</v>
      </c>
      <c r="S19" s="22">
        <v>1</v>
      </c>
    </row>
    <row r="20" spans="1:19" ht="14.4" x14ac:dyDescent="0.3">
      <c r="A20" s="28"/>
      <c r="B20" s="28"/>
      <c r="C20" s="29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30">
        <f>SUM(S2:S19)</f>
        <v>20.7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DF3D-CC80-4F80-981C-8F5DEE7896FC}">
  <dimension ref="A1:C7"/>
  <sheetViews>
    <sheetView workbookViewId="0">
      <selection activeCell="E15" sqref="E15"/>
    </sheetView>
  </sheetViews>
  <sheetFormatPr baseColWidth="10" defaultRowHeight="14.4" x14ac:dyDescent="0.3"/>
  <cols>
    <col min="1" max="1" width="17" customWidth="1"/>
    <col min="2" max="2" width="84.88671875" customWidth="1"/>
    <col min="3" max="3" width="16" customWidth="1"/>
  </cols>
  <sheetData>
    <row r="1" spans="1:3" x14ac:dyDescent="0.3">
      <c r="A1" s="39" t="s">
        <v>61</v>
      </c>
      <c r="B1" s="39" t="s">
        <v>62</v>
      </c>
      <c r="C1" s="39" t="s">
        <v>67</v>
      </c>
    </row>
    <row r="2" spans="1:3" x14ac:dyDescent="0.3">
      <c r="A2" s="25" t="s">
        <v>69</v>
      </c>
      <c r="B2" s="25" t="s">
        <v>72</v>
      </c>
      <c r="C2" s="23">
        <v>57555.83</v>
      </c>
    </row>
    <row r="3" spans="1:3" x14ac:dyDescent="0.3">
      <c r="A3" s="26" t="s">
        <v>63</v>
      </c>
      <c r="B3" s="26" t="s">
        <v>73</v>
      </c>
      <c r="C3" s="24">
        <v>13737.39</v>
      </c>
    </row>
    <row r="4" spans="1:3" x14ac:dyDescent="0.3">
      <c r="A4" s="25" t="s">
        <v>64</v>
      </c>
      <c r="B4" s="25" t="s">
        <v>74</v>
      </c>
      <c r="C4" s="23">
        <v>101637.67</v>
      </c>
    </row>
    <row r="5" spans="1:3" x14ac:dyDescent="0.3">
      <c r="A5" s="38" t="s">
        <v>68</v>
      </c>
      <c r="B5" s="38" t="s">
        <v>75</v>
      </c>
      <c r="C5" s="36">
        <v>45712.56</v>
      </c>
    </row>
    <row r="6" spans="1:3" x14ac:dyDescent="0.3">
      <c r="A6" s="37" t="s">
        <v>0</v>
      </c>
      <c r="B6" s="37"/>
      <c r="C6" s="40">
        <f>SUBTOTAL(109,Tabla2[Imp.cob.aplic.])</f>
        <v>218643.45</v>
      </c>
    </row>
    <row r="7" spans="1:3" x14ac:dyDescent="0.3">
      <c r="C7" s="2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958E-88FF-40BE-B4EE-350979031D98}">
  <dimension ref="A1:C7"/>
  <sheetViews>
    <sheetView workbookViewId="0">
      <selection activeCell="B10" sqref="B10:C10"/>
    </sheetView>
  </sheetViews>
  <sheetFormatPr baseColWidth="10" defaultRowHeight="14.4" x14ac:dyDescent="0.3"/>
  <cols>
    <col min="1" max="1" width="12" customWidth="1"/>
    <col min="2" max="2" width="55.109375" customWidth="1"/>
    <col min="3" max="3" width="13.109375" customWidth="1"/>
  </cols>
  <sheetData>
    <row r="1" spans="1:3" x14ac:dyDescent="0.3">
      <c r="A1" s="45" t="s">
        <v>105</v>
      </c>
      <c r="B1" s="45" t="s">
        <v>62</v>
      </c>
      <c r="C1" s="46" t="s">
        <v>106</v>
      </c>
    </row>
    <row r="2" spans="1:3" x14ac:dyDescent="0.3">
      <c r="A2" s="41" t="s">
        <v>69</v>
      </c>
      <c r="B2" s="41" t="s">
        <v>107</v>
      </c>
      <c r="C2" s="42">
        <v>57555.83</v>
      </c>
    </row>
    <row r="3" spans="1:3" x14ac:dyDescent="0.3">
      <c r="A3" s="43" t="s">
        <v>63</v>
      </c>
      <c r="B3" s="43" t="s">
        <v>108</v>
      </c>
      <c r="C3" s="44">
        <v>31824</v>
      </c>
    </row>
    <row r="4" spans="1:3" x14ac:dyDescent="0.3">
      <c r="A4" s="41" t="s">
        <v>64</v>
      </c>
      <c r="B4" s="41" t="s">
        <v>109</v>
      </c>
      <c r="C4" s="42">
        <v>101904.25</v>
      </c>
    </row>
    <row r="5" spans="1:3" x14ac:dyDescent="0.3">
      <c r="A5" s="43" t="s">
        <v>68</v>
      </c>
      <c r="B5" s="43" t="s">
        <v>110</v>
      </c>
      <c r="C5" s="44">
        <v>45350.559999999998</v>
      </c>
    </row>
    <row r="6" spans="1:3" x14ac:dyDescent="0.3">
      <c r="A6" s="47" t="s">
        <v>70</v>
      </c>
      <c r="B6" s="47" t="s">
        <v>111</v>
      </c>
      <c r="C6" s="48">
        <v>13239.47</v>
      </c>
    </row>
    <row r="7" spans="1:3" x14ac:dyDescent="0.3">
      <c r="A7" s="49" t="s">
        <v>0</v>
      </c>
      <c r="B7" s="49"/>
      <c r="C7" s="50">
        <f>SUBTOTAL(109,Tabla3[Imp. aplic.])</f>
        <v>249874.11000000002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5218-D958-4216-8511-58ADDC0E7EB4}">
  <dimension ref="A1:C11"/>
  <sheetViews>
    <sheetView tabSelected="1" workbookViewId="0">
      <selection activeCell="C12" sqref="C12"/>
    </sheetView>
  </sheetViews>
  <sheetFormatPr baseColWidth="10" defaultRowHeight="14.4" x14ac:dyDescent="0.3"/>
  <cols>
    <col min="1" max="1" width="20.77734375" customWidth="1"/>
    <col min="2" max="2" width="50.6640625" customWidth="1"/>
    <col min="3" max="3" width="17.6640625" customWidth="1"/>
  </cols>
  <sheetData>
    <row r="1" spans="1:3" x14ac:dyDescent="0.3">
      <c r="A1" s="53" t="s">
        <v>105</v>
      </c>
      <c r="B1" s="54" t="s">
        <v>62</v>
      </c>
      <c r="C1" s="54" t="s">
        <v>106</v>
      </c>
    </row>
    <row r="2" spans="1:3" x14ac:dyDescent="0.3">
      <c r="A2" s="55" t="s">
        <v>169</v>
      </c>
      <c r="B2" s="56" t="s">
        <v>170</v>
      </c>
      <c r="C2" s="57">
        <v>15210.96</v>
      </c>
    </row>
    <row r="3" spans="1:3" x14ac:dyDescent="0.3">
      <c r="A3" s="58" t="s">
        <v>64</v>
      </c>
      <c r="B3" s="59" t="s">
        <v>171</v>
      </c>
      <c r="C3" s="60">
        <v>-54519.76</v>
      </c>
    </row>
    <row r="4" spans="1:3" x14ac:dyDescent="0.3">
      <c r="A4" s="55" t="s">
        <v>70</v>
      </c>
      <c r="B4" s="56" t="s">
        <v>172</v>
      </c>
      <c r="C4" s="57">
        <v>9509.56</v>
      </c>
    </row>
    <row r="5" spans="1:3" x14ac:dyDescent="0.3">
      <c r="A5" s="58" t="s">
        <v>173</v>
      </c>
      <c r="B5" s="59" t="s">
        <v>174</v>
      </c>
      <c r="C5" s="60">
        <v>25000</v>
      </c>
    </row>
    <row r="6" spans="1:3" x14ac:dyDescent="0.3">
      <c r="A6" s="55" t="s">
        <v>175</v>
      </c>
      <c r="B6" s="56" t="s">
        <v>176</v>
      </c>
      <c r="C6" s="57">
        <v>4000</v>
      </c>
    </row>
    <row r="7" spans="1:3" ht="15" thickBot="1" x14ac:dyDescent="0.35">
      <c r="A7" s="58" t="s">
        <v>177</v>
      </c>
      <c r="B7" s="59" t="s">
        <v>178</v>
      </c>
      <c r="C7" s="60">
        <v>5000</v>
      </c>
    </row>
    <row r="8" spans="1:3" ht="15" thickTop="1" x14ac:dyDescent="0.3">
      <c r="A8" s="61" t="s">
        <v>0</v>
      </c>
      <c r="B8" s="62"/>
      <c r="C8" s="63">
        <v>4200.7599999999948</v>
      </c>
    </row>
    <row r="11" spans="1:3" x14ac:dyDescent="0.3">
      <c r="B11" s="51" t="s">
        <v>179</v>
      </c>
      <c r="C11" s="52">
        <f>Tabla3[[#Totals],[Imp. aplic.]]+Tabla2[[#Totals],[Imp.cob.aplic.]]+C8</f>
        <v>472718.32000000007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2023</vt:lpstr>
      <vt:lpstr>Ingresos investigación 2024</vt:lpstr>
      <vt:lpstr>Ingresos investigación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2026-05-22T10:52:15Z</dcterms:modified>
</cp:coreProperties>
</file>