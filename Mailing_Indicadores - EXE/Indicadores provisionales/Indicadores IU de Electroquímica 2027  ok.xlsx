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8A8D6EFC-B199-4205-90B6-0A33956D2D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Tesis!$A$1:$U$24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" i="3" l="1"/>
  <c r="C22" i="11"/>
  <c r="S24" i="2"/>
  <c r="C29" i="10"/>
  <c r="C22" i="9"/>
</calcChain>
</file>

<file path=xl/sharedStrings.xml><?xml version="1.0" encoding="utf-8"?>
<sst xmlns="http://schemas.openxmlformats.org/spreadsheetml/2006/main" count="587" uniqueCount="248">
  <si>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</si>
  <si>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</si>
  <si>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</si>
  <si>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</si>
  <si>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</si>
  <si>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</si>
  <si>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</si>
  <si>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</si>
  <si>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</si>
  <si>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</si>
  <si>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</si>
  <si>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</si>
  <si>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</si>
  <si>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</si>
  <si>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</si>
  <si>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</si>
  <si>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</si>
  <si>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</si>
  <si>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</si>
  <si>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</si>
  <si>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</si>
  <si>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</si>
  <si>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</si>
  <si>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</si>
  <si>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</si>
  <si>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U045 </t>
  </si>
  <si>
    <t>ADM. I.U. DE ELECTROQUÍMICA </t>
  </si>
  <si>
    <t>DOCTORADO EN ELECTROQUÍMICA. CIENCIA Y TECNOLOGÍA </t>
  </si>
  <si>
    <t>10.12</t>
  </si>
  <si>
    <t>U045</t>
  </si>
  <si>
    <t>DOCTORADO EN ELECTROQUÍMICA. CIENCIA Y TECNOLOGÍA</t>
  </si>
  <si>
    <t>U052 </t>
  </si>
  <si>
    <t>ADM. I.U. DE MATERIALES </t>
  </si>
  <si>
    <t>DOCTORADO EN CIENCIA DE MATERIALES </t>
  </si>
  <si>
    <t>50</t>
  </si>
  <si>
    <t>100</t>
  </si>
  <si>
    <t>21372220E </t>
  </si>
  <si>
    <t>B128 </t>
  </si>
  <si>
    <t>QUÍMICA FÍSICA </t>
  </si>
  <si>
    <t>B128</t>
  </si>
  <si>
    <t>22008840W </t>
  </si>
  <si>
    <t>21434493B </t>
  </si>
  <si>
    <t>21470777R </t>
  </si>
  <si>
    <t>21444744G </t>
  </si>
  <si>
    <t>21511645K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</si>
  <si>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</si>
  <si>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</si>
  <si>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</si>
  <si>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</si>
  <si>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</si>
  <si>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</si>
  <si>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</si>
  <si>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</si>
  <si>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</si>
  <si>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</si>
  <si>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</si>
  <si>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</si>
  <si>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</si>
  <si>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22003613L</t>
  </si>
  <si>
    <t>21511645K</t>
  </si>
  <si>
    <t>22008840W</t>
  </si>
  <si>
    <t>21470777R</t>
  </si>
  <si>
    <t>33443060W</t>
  </si>
  <si>
    <t>21434493B</t>
  </si>
  <si>
    <t>21444744G</t>
  </si>
  <si>
    <t>21444057F</t>
  </si>
  <si>
    <t>40.80.6X.00.02</t>
  </si>
  <si>
    <t>Sanjuán Moltó, Ignacio </t>
  </si>
  <si>
    <t>"Treatment of the reject water from an Electrodialysis Reversal plant by electrochemical methods" </t>
  </si>
  <si>
    <t>28/07/2020 </t>
  </si>
  <si>
    <t>Boronat González, Ana </t>
  </si>
  <si>
    <t>EFECTOS DE LA ESTRUCTURA SUPERFICIAL EN REACCIONES ASOCIADAS A PILAS DE COMBUSTIBLE </t>
  </si>
  <si>
    <t>14/02/2020 </t>
  </si>
  <si>
    <t>Briega Martos, Valentín </t>
  </si>
  <si>
    <t>Unraveling the oxygen reduction reaction mechanism: occurrence of a bifurcation point before hydrogen peroxide formation </t>
  </si>
  <si>
    <t>25/10/2019 </t>
  </si>
  <si>
    <t>COD DEP</t>
  </si>
  <si>
    <t>NO FUNCIONARIO</t>
  </si>
  <si>
    <t>33330450T</t>
  </si>
  <si>
    <t>Quiñonero Aliaga, Javier </t>
  </si>
  <si>
    <t>"Improving the photoelectrochemical activity of photoelectrodes through Surface engineering: systematic electrocatalysis and co-catalysis studies¿. </t>
  </si>
  <si>
    <t>16/12/2020 </t>
  </si>
  <si>
    <t>Sarabia Gambín, Francisco José </t>
  </si>
  <si>
    <t>Interfacial studies of Pt and Cu single-crystal electrodes modified by transition metal deposition </t>
  </si>
  <si>
    <t>05/02/2021 </t>
  </si>
  <si>
    <t>30801600T </t>
  </si>
  <si>
    <t>40.80.6P.00.16</t>
  </si>
  <si>
    <t>40.80.6P.00.17</t>
  </si>
  <si>
    <t>Cód. org. aplic.</t>
  </si>
  <si>
    <t>Descripción justificante</t>
  </si>
  <si>
    <t>40.80.6C.00.24</t>
  </si>
  <si>
    <t>40.80.6P.00.22</t>
  </si>
  <si>
    <t>74370842C</t>
  </si>
  <si>
    <t>28/06/2022 </t>
  </si>
  <si>
    <t>Miralles Gómez, Carmen </t>
  </si>
  <si>
    <t>Materiales basados en óxidos de manganeso para baterías multivalentes recargables de magnesio y calcio </t>
  </si>
  <si>
    <t>Imp.cob.aplic.</t>
  </si>
  <si>
    <t>40.80.6C.00.28</t>
  </si>
  <si>
    <t>40.80.6C.00.31</t>
  </si>
  <si>
    <t>40.80.6P.00.23</t>
  </si>
  <si>
    <t>40.80.6P.00.24</t>
  </si>
  <si>
    <t>40.80.6P.00.28</t>
  </si>
  <si>
    <t>I.U. DE ELECTROQUÍMICA (10.12) </t>
  </si>
  <si>
    <t>ADSORPTION STUDIES OF CAPPING AGENTS ON NOBLE METAL SINGLE CRYSTAL ELECTRODES </t>
  </si>
  <si>
    <t>10/02/2023 </t>
  </si>
  <si>
    <t>I.U. DE MATERIALES (10.14) </t>
  </si>
  <si>
    <t>Fotoelecrolisis del agua con óxidos ternarios: Una aproximación experimental y teórica </t>
  </si>
  <si>
    <t>27/01/2023 </t>
  </si>
  <si>
    <t>40.80.6P.00.21</t>
  </si>
  <si>
    <t>40.80.6P.00.25</t>
  </si>
  <si>
    <t>ANUALIDAD 2023 CONCEPTO: MPI1-21Y/10.01.2023/FHI/ //</t>
  </si>
  <si>
    <t>SEGUNDO PAGO CONVENIO UA-EURODIA. AYUDA CONTRATOS PREDOCTORALES COFINANCIADOS CONDUCENTES A TESIS SIN MENCIÓN DE DOCTORADO INDUSTRIAL</t>
  </si>
  <si>
    <t>40.80.6C.00.32</t>
  </si>
  <si>
    <t>Primer pago (30%) "EVALUACIÓN DE LA APLICACIÓN DE LA TECNOLOGÍA DE ELECTROCOAGULACIÓN PARA EL POSIBLE TRATAMIENTO DE LAS MUESTRAS PROPORCIONADAS POR LA EMPRESA" VICENTE MONTIEL LEGUEY</t>
  </si>
  <si>
    <t>Pago final (70%). Evaluación de la aplicación de la tecnología de electrocoagulación para el posible tratamiento de las muestras proporcionadas por la empresa - Vicente Montiel Leguey</t>
  </si>
  <si>
    <t>40.80.6C.00.33</t>
  </si>
  <si>
    <t>PRIMER PAGO (30%) - EVALUACIÓN ESPECÍFICA DE LA APLICACIÓN DE LA TECNOLOGÍA DE ELECTROCOAGULACIÓN EN MUESTRAS REPRESENTATIVAS DE DISTINTAS ETAPAS DEL PROCESO DE DEPURACIÓN DE LAS AGUAS PROPORCIONADAS POR AGUAS DE LORCA-VICENTE MONTIEL LEGUEY</t>
  </si>
  <si>
    <t>SEGUNDO PAGO TRAS LOS DOS MESES DE LA FECHA DE FIRMA DEL CONVENIO (05/09/2023) EVALUACIÓN ESPECÍFICA DE LA APLICACIÓN DE LA TECNOLOGÍA DE ELECTROCOAGULACIÓN EN MUESTRAS REPRESENTATIVAS DE DISTINTAS ETAPAS DEL PROCESO DE DEPURACIÓN DE LAS AGUAS PROPORCIONADAS POR AGUAS DE LORCA-VICENTE MONTIEL LEGUEY</t>
  </si>
  <si>
    <t>Pago final-Evaluación específica de la aplicación de la tecnología de electrocoagulación en muestras representativas de distintas etapas del proceso de depuración de las aguas proporcionadas por AGUAS DE LORCA-Vicente Montiel Leguey</t>
  </si>
  <si>
    <t>DEVOLUCIÓN DE INGRESOS_MODELO 047_ Nº de liquidación:46/2023/RAS/10289/1_ Número de justificante:047/1/002377560_ Nº de referencia:047/1/002377560</t>
  </si>
  <si>
    <t xml:space="preserve">CDEIGENT/2019/018 </t>
  </si>
  <si>
    <t>PROMETEO/2020/063-064-089-092</t>
  </si>
  <si>
    <t>DEVOLUCIÓN DE INGRESOS_MODELO 047_Nº DE LIQUIDACIÓN:46/2023/RAS/10414/1 Nº DE JUSTIFICANTE:047/1/002412503_Nº DE REFERENCIA:047/1/002412503</t>
  </si>
  <si>
    <t xml:space="preserve">AYUDAS INNEST/2021/296, INNEST/2021/3 </t>
  </si>
  <si>
    <t>PLEC2021-00779PEPLE21-1-3 ANUALIDAD LIBERADOS 23/05/2023 ANUALIDAD 2023 PROYECTOS LÍNEAS ESTRATEGICAS COLOABORACION</t>
  </si>
  <si>
    <t>40.80.6P.00.26</t>
  </si>
  <si>
    <t>Anulación de derechos por minoración del importe justificado. Se adjunta resolución de minoración. Propuesta Resolución Provisional Concesión Ayudas al Dllo y Aplicación de proyectos I+D+i en materia medioambiental de adaptación, mitigación del cambio climático y transición ecológica en la CV (Consellería Agricultura)</t>
  </si>
  <si>
    <t>40.80.6P.00.27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</si>
  <si>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</si>
  <si>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>40.80.6P.00.30</t>
  </si>
  <si>
    <t xml:space="preserve">ayudas PID2022  138464NB-142516OB-139990NB-141382OB-137350NB-139899OB--136847NB-137385NB-139294NB-137873NA-138786NB-141712NB-136590OB-139105OB-142356NB-141694NB-136399NB  </t>
  </si>
  <si>
    <t>40.80.6P.00.31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</si>
  <si>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</si>
  <si>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40.80.6S.00.08</t>
  </si>
  <si>
    <t>INDEMNIZACIÓN POR SINIESTRO SUCEDIDO EN EL INSTITUTO DE ELECTROQUÍMICA</t>
  </si>
  <si>
    <t xml:space="preserve">Compensación del abono parcial 2023/A00000000010 del justificante de gasto 47928/2022 y se compensa en el justificante de gasto 20530/2023  </t>
  </si>
  <si>
    <t>I.U. DE ELECTROQUÍMICA (10.12)</t>
  </si>
  <si>
    <t>Paredes Salazar, Enrique Adalberto</t>
  </si>
  <si>
    <t>Integração de Abordagens Numéricas e Experimentais na Compreensão da Dinâmica de Reações Eletroquímicas</t>
  </si>
  <si>
    <t>27/02/2024</t>
  </si>
  <si>
    <t>'-</t>
  </si>
  <si>
    <t>Codirector de tesis</t>
  </si>
  <si>
    <t>ZZ</t>
  </si>
  <si>
    <t>SIN ASIGNAR</t>
  </si>
  <si>
    <t>Mekazni , Dalila Soumicha</t>
  </si>
  <si>
    <t>Study of the electrochemical behavior of C1-C3 molecules on well-defined Pt surfaces</t>
  </si>
  <si>
    <t>18/07/2024</t>
  </si>
  <si>
    <t>Botello Oropeza, Luis Enrique</t>
  </si>
  <si>
    <t>Electrochemical acquisition of kinetic and thermodynamic information from hydrogen adsorption on Pt single crystal surfaces</t>
  </si>
  <si>
    <t>16/09/2024</t>
  </si>
  <si>
    <t>Director de tesis</t>
  </si>
  <si>
    <t>QUÍMICA FÍSICA</t>
  </si>
  <si>
    <t>U052</t>
  </si>
  <si>
    <t>I.U. DE MATERIALES (10.14)</t>
  </si>
  <si>
    <t>DOCTORADO EN CIENCIA DE MATERIALES</t>
  </si>
  <si>
    <t>Contreras , Maxime</t>
  </si>
  <si>
    <t>Preparation and characterization of transition metal oxides and oxynitrides for solar fuels generation</t>
  </si>
  <si>
    <t>26/01/2024</t>
  </si>
  <si>
    <t>Gisbert González, José María</t>
  </si>
  <si>
    <t>Pastor Rodríguez, Francisco Jose</t>
  </si>
  <si>
    <t>Org. aplic.</t>
  </si>
  <si>
    <t>Imp. aplic.</t>
  </si>
  <si>
    <t>INGRESO PERCIBIDO EN CONCEPTO DE CONVENIO MPI1-21Y 08.02.2024 FHI</t>
  </si>
  <si>
    <t>TERCER PAGO CONVENIO UA-EURODIA. AYUDA CONTRATOS PREDOCTORALES COFINANCIADOS CONDUCENTES A TESIS SIN MENCIÓN DE DOCTORADO INDUSTRIAL</t>
  </si>
  <si>
    <t>CUARTO PAGO CONVENIO UA-EURODIA. AYUDA CONTRATOS PREDOCTORALES COFINANCIADOS CONDUCENTES A TESIS SIN MENCIÓN DE DOCTORADO INDUSTRIAL</t>
  </si>
  <si>
    <t>40.80.6C.00.34</t>
  </si>
  <si>
    <t>EVALUACIÓN DE LA TECNOLOGÍA DE ELECTROCOAGULACIÓN A ESCALA PILOTO DE LAS AGUAS DE DEPURACIÓN DE AGUAS DE LORCA PARA SU AFINO. Número de pedido 3201737109</t>
  </si>
  <si>
    <t>40.80.6C.00.35</t>
  </si>
  <si>
    <t>ACTUALIZACIÓN DE LA WEB DEL GRUPO ESPECIALIZADO DE ELECTROQUÍMICA DE LA REAL SOCIEDAD ESPAÑOLA DE QUÍMICA (RSEQ) Proyecto ref. RSEQ1-24TPA</t>
  </si>
  <si>
    <t>40.80.6C.00.36</t>
  </si>
  <si>
    <t>ACTUALIZACIÓN DE LA WEB DE LA SECCIÓN TERRITORIAL DE ALICANTE DE LA REAL SOCIEDAD ESPAÑOLA DE QUÍMICA (RSEQ). Proyecto ref. RSEQ2-24TPA</t>
  </si>
  <si>
    <t>40.80.6C.00.37</t>
  </si>
  <si>
    <t>CREACIÓN Y MANTENIMIENTO DE LAS REDES SOCIALES Y LA PÁGINA WEB DE LA RED DE EXCELENCIA "APLICACIONES MEDIOAMBIENTALES Y ENERGÉTICAS DE LA TECNOLOGÍA ELECTROQUÍMICA FRENTE A LOS RETOS DEL NEXO AGUA-ENERGÍA (E3TECH-PLUS)" Proyecto ref. UCLM1-24TPA</t>
  </si>
  <si>
    <t>40.80.6C.00.38</t>
  </si>
  <si>
    <t>PREPARACIÓN Y CARACTERIZACIÓN DE DIFERENTES TIPOS DE NANOPARTÍCULAS METÁLICAS. Ref. proyecto: DROPSENS1-24TPA</t>
  </si>
  <si>
    <t>40.80.6I.00.03</t>
  </si>
  <si>
    <t>DEVOLUCIÓN DE INGRESOS_MODELO 047_ IDIFEDER 2021/014/024_Nº DE LIQUIDACIÓN: 46/2024/RAS/10301/1_NºN DE JUSTIFICANTE: 047/1/002546776_ Nº DE REFERENCIA: 047/1/002546776</t>
  </si>
  <si>
    <t xml:space="preserve">ayuda CDEIGENT/2019/018, CDEIGENT/2019/018 </t>
  </si>
  <si>
    <t>INNEST/2021/3. ANULACIÓN DE DERECHOS DEBIDO A COBRO MATERIAL DE MENOR IMPORTE.</t>
  </si>
  <si>
    <t>PID2021-126485OB-I00-126858NB-I00-126990NB-I00-127332NB-I00-127426OB-C22-127566NB-I00-127967NB-I00-127999NB-I00-128381NB-I00-128761OB-C21-128766OB-I00-128805NA-I00-128876OB-I00</t>
  </si>
  <si>
    <t xml:space="preserve">Ayudas MFA/2022/001, MFA/2022/036, MFA/2022/045, MFA/2022/048, MFA/2022/058, MFA/2022/059, MFA/2022/061, MFA/2022/062 </t>
  </si>
  <si>
    <t xml:space="preserve">Ayudas MFA/2022/001, MFA/2022/036, MFA/2022/045, MFA/2022/048, MFA/2022/058, MFA/2022/059, MFA/2022/061, MFA/2022/062 (ANUALIDAD 2023) </t>
  </si>
  <si>
    <t>PID2022-138111NB-I00-141543OB-I00-137350NB-I00-138491OB-C32-137364OB-I00-138329NB-I00-142830NB-I00-138453OB-I00-138696OB-C22-138853NB-I00-142712NB-I00</t>
  </si>
  <si>
    <t>40.80.6P.00.32</t>
  </si>
  <si>
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</si>
  <si>
    <t>40.80.6P.00.33</t>
  </si>
  <si>
    <t>40.80.6P.00.35</t>
  </si>
  <si>
    <t xml:space="preserve">AYUDAS CNS2023-145404, CNS2023-144791, CNS2023-145354 </t>
  </si>
  <si>
    <t>40.80.6P.00.36</t>
  </si>
  <si>
    <t xml:space="preserve">ayudas CIPROM/2023/2, CIPROM/2023/3, CIPROM/2023/6, CIPROM/2023/11, CIPROM/2023/35 </t>
  </si>
  <si>
    <t>40.80.6P.00.41</t>
  </si>
  <si>
    <t>PCI2024-155110-2PIA212024-1</t>
  </si>
  <si>
    <t>Cobro Intermedio del proyecto LIBERATE</t>
  </si>
  <si>
    <t xml:space="preserve">Cobro intermedio del proyecto LIBERATE. </t>
  </si>
  <si>
    <t>Pago intermedio del proyecto LIBERATE</t>
  </si>
  <si>
    <t xml:space="preserve">Pago Intermedio proyecto LIBERATE </t>
  </si>
  <si>
    <t>Cobro final del proyecto LIBERATE</t>
  </si>
  <si>
    <t>U022</t>
  </si>
  <si>
    <t>Administración Facultad de Ciencias</t>
  </si>
  <si>
    <t>DOCTORADO EN CIENCIAS EXPERIMENTALES Y BIOSANITARIAS</t>
  </si>
  <si>
    <t>Narro Serrano, Jennifer</t>
  </si>
  <si>
    <t>Biomarcadores en orina y alteraciones metabólicas en la COVID-19: Integración de análisis clínicos y
metabolómicos</t>
  </si>
  <si>
    <t>23/09/2025</t>
  </si>
  <si>
    <t>Química Física</t>
  </si>
  <si>
    <t>I.U. de Electroquímica (10.12)</t>
  </si>
  <si>
    <t>Mundaray Guilarte, Eleana Carolina</t>
  </si>
  <si>
    <t>Acumulador de flujo redox de energía eléctrica con hidrógeno como vector del proceso</t>
  </si>
  <si>
    <t>14/03/2025</t>
  </si>
  <si>
    <t>Amrine , Roumayssa</t>
  </si>
  <si>
    <t>Development of new electrocatalysts for the electrochemical reduction of nitrogen to ammonia</t>
  </si>
  <si>
    <t>30/09/2025</t>
  </si>
  <si>
    <t>2020</t>
  </si>
  <si>
    <t>2021</t>
  </si>
  <si>
    <t>2022</t>
  </si>
  <si>
    <t>2023</t>
  </si>
  <si>
    <t>2024</t>
  </si>
  <si>
    <t>2025</t>
  </si>
  <si>
    <t>Montiel Leguey, Vicente</t>
  </si>
  <si>
    <t>Rodes García, Antonio Joaquin</t>
  </si>
  <si>
    <t>Orts Mateo, Jose Manuel</t>
  </si>
  <si>
    <t>Herrero Rodríguez, Enrique</t>
  </si>
  <si>
    <t>Climent Payá, Víctor José</t>
  </si>
  <si>
    <t>21676499B</t>
  </si>
  <si>
    <t>Monllor Satoca, Damián</t>
  </si>
  <si>
    <t>Bonete Ferrández, Pedro Luis</t>
  </si>
  <si>
    <t>Gómez Torregrosa, Roberto</t>
  </si>
  <si>
    <t>Solla Gullón, José</t>
  </si>
  <si>
    <t>Lana Villarreal, Teresa</t>
  </si>
  <si>
    <t>INGRESO PERCIBIDO POR LA UNIVERSIDAD DE ALICANTE EN VIRTUD DE CONVENIO CON REFERENCIA MPI1-21Y 10.02.2025 FHI.</t>
  </si>
  <si>
    <t>ESTUDIO MEMBRANAS DE DISTINTOS PROVEEDORES PARA VALORIZACIÓN DE SALMUERAS. Segundo pago. Ref. proyecto AQUALIA1-22T. Low energy desalination - Mediterranean living lab-1GBN H2020 Rewaise no. 869496</t>
  </si>
  <si>
    <t>QUINTO PAGO CONVENIO UA-EURODIA. AYUDA CONTRATOS PREDOCTORALES COFINANCIADOS CONDUCENTES A TESIS SIN MENCIÓN DE DOCTORADO INDUSTRIAL. Ref. proyecto: EURODIA1-21Y</t>
  </si>
  <si>
    <t>SEXTO PAGO CONVENIO UA-EURODIA. AYUDA CONTRATOS PREDOCTORALES COFINANCIADOS CONDUCENTES A TESIS SIN MENCIÓN DE DOCTORADO INDUSTRIAL. Ref. proyecto: EURODIA1-21Y</t>
  </si>
  <si>
    <t>EVALUACIÓN DE LA TECNOLOGÍA DE ELECTROCOAGULACIÓN A ESCALA PILOTO DE LAS AGUAS DE DEPURACIÓN DE AGUAS DE LORCA PARA SU AFINO. Ref. proyecto: AGUASLORCA1-24I Segundo pago del 30% del total.</t>
  </si>
  <si>
    <t>40.80.6C.00.39</t>
  </si>
  <si>
    <t>ASESORAMIENTO PARA EL DISEÑO DE UN REACTOR DE ELECTROCOAGULACIÓN A ESCALA LABORATORIO Y PARA EL DESARROLLO DE LAS TAREAS DE ANÁLISIS ASOCIADAS AL USO DE ÉSTE POR PARTE DE LA EMPRESA EN EL TRATAMIENTO DE UN TIPO DE AGUAS. Ref. proyecto: PROGT1-25APA. Primer pago.</t>
  </si>
  <si>
    <t>ASESORAMIENTO PARA EL DISEÑO DE UN REACTOR DE ELECTROCOAGULACIÓN A ESCALA LABORATORIO Y PARA EL DESARROLLO DE LAS TAREAS DE ANÁLISIS ASOCIADAS AL USO DE ÉSTE POR PARTE DE LA EMPRESA EN EL TRATAMIENTO DE UN TIPO DE AGUAS. Ref. proyecto: PROGT1-25APA. Segundo pago.</t>
  </si>
  <si>
    <t>40.80.6C.00.40</t>
  </si>
  <si>
    <t>DISEÑO Y TRANSFERENCIA DE PLANOS PARA CONSTRUCCIÓN DE CUBA DE ELECTROCOAGULACIÓN A ESCALA PILOTO. Primera factura del proyecto: PROGT2-25T. Investigador Responsable D. Vicente Montiel Leguey.</t>
  </si>
  <si>
    <t>DISEÑO Y TRANSFERENCIA DE PLANOS PARA CONSTRUCCIÓN DE CUBA DE ELECTROCOAGULACIÓN A ESCALA PILOTO. Ref. proyecto: PROGT2-25T. Investigador Responsable D. Vicente Montiel Leguey.</t>
  </si>
  <si>
    <t>DEVOLUCIÓN DE INGRESO_MODELO 047_ Nº DE REFERENCIA: 047/1/002592900</t>
  </si>
  <si>
    <t>DEVOLUCIÓN DE INGRESOS_MODELO 047_ CDEIGENT/2019/018 ANUALIDAD 2023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</si>
  <si>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</si>
  <si>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</si>
  <si>
    <t>CIPROM/2023/2/3/6/11/35</t>
  </si>
  <si>
    <t>40.80.6P.00.44</t>
  </si>
  <si>
    <t>Ingreso ayudas CIGE/2024/56/95/108/145/178/184/194/199/200/201/202/203/204/205/208/209/212/213</t>
  </si>
  <si>
    <t>Total ingresos de investigación 2023-25</t>
  </si>
  <si>
    <t>Aran Ais, Rosa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</si>
</sst>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63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4" borderId="1" xfId="1" applyFill="1" applyBorder="1"/>
    <xf numFmtId="0" fontId="2" fillId="2" borderId="0" xfId="1" applyFill="1"/>
    <xf numFmtId="0" fontId="2" fillId="2" borderId="0" xfId="1" applyFill="1" applyAlignment="1">
      <alignment horizontal="right"/>
    </xf>
    <xf numFmtId="0" fontId="2" fillId="2" borderId="3" xfId="1" applyFill="1" applyBorder="1"/>
    <xf numFmtId="165" fontId="3" fillId="2" borderId="3" xfId="1" applyNumberFormat="1" applyFont="1" applyFill="1" applyBorder="1"/>
    <xf numFmtId="0" fontId="15" fillId="7" borderId="2" xfId="0" applyFont="1" applyFill="1" applyBorder="1"/>
    <xf numFmtId="43" fontId="0" fillId="7" borderId="2" xfId="6" applyNumberFormat="1" applyFont="1" applyFill="1" applyBorder="1"/>
    <xf numFmtId="0" fontId="15" fillId="0" borderId="2" xfId="0" applyFont="1" applyBorder="1"/>
    <xf numFmtId="43" fontId="0" fillId="0" borderId="2" xfId="6" applyNumberFormat="1" applyFont="1" applyBorder="1"/>
    <xf numFmtId="43" fontId="0" fillId="0" borderId="0" xfId="0" applyNumberFormat="1"/>
    <xf numFmtId="0" fontId="0" fillId="8" borderId="0" xfId="0" applyFill="1"/>
    <xf numFmtId="0" fontId="0" fillId="8" borderId="0" xfId="0" applyFill="1" applyAlignment="1">
      <alignment horizontal="left"/>
    </xf>
    <xf numFmtId="165" fontId="12" fillId="8" borderId="0" xfId="0" applyNumberFormat="1" applyFont="1" applyFill="1"/>
    <xf numFmtId="0" fontId="14" fillId="6" borderId="4" xfId="0" applyFont="1" applyFill="1" applyBorder="1"/>
    <xf numFmtId="0" fontId="15" fillId="0" borderId="5" xfId="0" applyFont="1" applyBorder="1"/>
    <xf numFmtId="0" fontId="9" fillId="0" borderId="5" xfId="0" applyFont="1" applyBorder="1"/>
    <xf numFmtId="43" fontId="0" fillId="0" borderId="5" xfId="6" applyNumberFormat="1" applyFont="1" applyBorder="1"/>
    <xf numFmtId="43" fontId="13" fillId="0" borderId="5" xfId="0" applyNumberFormat="1" applyFont="1" applyBorder="1"/>
    <xf numFmtId="0" fontId="0" fillId="7" borderId="2" xfId="0" applyNumberFormat="1" applyFont="1" applyFill="1" applyBorder="1"/>
    <xf numFmtId="0" fontId="0" fillId="0" borderId="2" xfId="0" applyNumberFormat="1" applyFont="1" applyBorder="1"/>
    <xf numFmtId="0" fontId="11" fillId="6" borderId="4" xfId="0" applyFont="1" applyFill="1" applyBorder="1"/>
    <xf numFmtId="43" fontId="11" fillId="6" borderId="4" xfId="6" applyNumberFormat="1" applyFont="1" applyFill="1" applyBorder="1"/>
    <xf numFmtId="0" fontId="0" fillId="7" borderId="5" xfId="0" applyNumberFormat="1" applyFont="1" applyFill="1" applyBorder="1"/>
    <xf numFmtId="43" fontId="0" fillId="7" borderId="5" xfId="6" applyNumberFormat="1" applyFont="1" applyFill="1" applyBorder="1"/>
    <xf numFmtId="0" fontId="0" fillId="9" borderId="5" xfId="0" applyFont="1" applyFill="1" applyBorder="1"/>
    <xf numFmtId="43" fontId="13" fillId="9" borderId="5" xfId="0" applyNumberFormat="1" applyFont="1" applyFill="1" applyBorder="1"/>
    <xf numFmtId="0" fontId="0" fillId="10" borderId="0" xfId="0" applyFill="1"/>
    <xf numFmtId="0" fontId="12" fillId="0" borderId="1" xfId="0" applyFont="1" applyBorder="1"/>
    <xf numFmtId="164" fontId="12" fillId="0" borderId="1" xfId="6" applyFont="1" applyBorder="1"/>
    <xf numFmtId="0" fontId="14" fillId="11" borderId="6" xfId="0" applyFont="1" applyFill="1" applyBorder="1"/>
    <xf numFmtId="0" fontId="14" fillId="11" borderId="7" xfId="0" applyFont="1" applyFill="1" applyBorder="1"/>
    <xf numFmtId="0" fontId="9" fillId="12" borderId="6" xfId="0" applyFont="1" applyFill="1" applyBorder="1"/>
    <xf numFmtId="0" fontId="9" fillId="12" borderId="7" xfId="0" applyFont="1" applyFill="1" applyBorder="1"/>
    <xf numFmtId="164" fontId="9" fillId="12" borderId="7" xfId="6" applyFont="1" applyFill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6" applyFont="1" applyBorder="1"/>
    <xf numFmtId="0" fontId="10" fillId="0" borderId="8" xfId="0" applyFont="1" applyBorder="1"/>
    <xf numFmtId="0" fontId="10" fillId="0" borderId="9" xfId="0" applyFont="1" applyBorder="1"/>
    <xf numFmtId="164" fontId="10" fillId="0" borderId="9" xfId="6" applyFont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0" fillId="0" borderId="1" xfId="0" applyFill="1" applyBorder="1"/>
    <xf numFmtId="0" fontId="6" fillId="0" borderId="1" xfId="0" applyFont="1" applyFill="1" applyBorder="1" applyAlignment="1">
      <alignment horizontal="center"/>
    </xf>
    <xf numFmtId="0" fontId="9" fillId="0" borderId="0" xfId="5" applyFont="1" applyFill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777F28-0C76-47BC-BDA6-8F2CAA626C5F}" name="Tabla2" displayName="Tabla2" ref="A1:C22" totalsRowCount="1" headerRowDxfId="19" headerRowBorderDxfId="18" tableBorderDxfId="17" totalsRowBorderDxfId="16">
  <autoFilter ref="A1:C21" xr:uid="{50813092-7132-41A8-ACB4-81B974D5E9AF}"/>
  <tableColumns count="3">
    <tableColumn id="1" xr3:uid="{F064B4E4-4BC5-4A3D-ABFB-12811DA1F55F}" name="Cód. org. aplic." totalsRowLabel="Total" dataDxfId="15" totalsRowDxfId="14"/>
    <tableColumn id="2" xr3:uid="{9524DF71-0541-4EC9-91FB-65E8118BAB09}" name="Descripción justificante" dataDxfId="13" totalsRowDxfId="12"/>
    <tableColumn id="3" xr3:uid="{A3C499C8-0122-40E8-BA43-44633DBDE82C}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7D29AB-20F9-4CCB-9424-BD1D514A4C4C}" name="Tabla3" displayName="Tabla3" ref="A1:C29" totalsRowCount="1" totalsRowDxfId="7" headerRowBorderDxfId="9" tableBorderDxfId="8" totalsRowBorderDxfId="6">
  <autoFilter ref="A1:C28" xr:uid="{9A5316E6-3E92-4096-B101-2FECB9D131BF}"/>
  <tableColumns count="3">
    <tableColumn id="1" xr3:uid="{1C381D94-EA58-4F80-B7DF-42212167436D}" name="Org. aplic." totalsRowLabel="Total" dataDxfId="5" totalsRowDxfId="4"/>
    <tableColumn id="2" xr3:uid="{13CF3978-A8B9-4B42-88B5-4C4DE13C5669}" name="Descripción justificante" dataDxfId="3" totalsRowDxfId="2"/>
    <tableColumn id="3" xr3:uid="{1D085101-EBD1-4C8A-B8B7-F702FF67BABA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4"/>
  <sheetViews>
    <sheetView showGridLines="0" topLeftCell="B1" zoomScale="106" zoomScaleNormal="106" workbookViewId="0">
      <selection activeCell="C28" sqref="C28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5.28515625" style="7" customWidth="1"/>
    <col min="14" max="14" width="4.85546875" style="6" customWidth="1"/>
    <col min="15" max="15" width="5.28515625" style="7" customWidth="1"/>
    <col min="16" max="16" width="4.85546875" style="6" customWidth="1"/>
    <col min="17" max="17" width="3.5703125" style="7" customWidth="1"/>
    <col min="18" max="18" width="7.140625" style="6" bestFit="1" customWidth="1"/>
    <col min="19" max="19" width="10.85546875" style="6" customWidth="1"/>
    <col min="20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8" t="s">
        <v>25</v>
      </c>
      <c r="B2" s="18" t="s">
        <v>26</v>
      </c>
      <c r="C2" s="18" t="s">
        <v>27</v>
      </c>
      <c r="D2" s="18" t="s">
        <v>67</v>
      </c>
      <c r="E2" s="18" t="s">
        <v>68</v>
      </c>
      <c r="F2" s="18" t="s">
        <v>69</v>
      </c>
      <c r="G2" s="18" t="s">
        <v>85</v>
      </c>
      <c r="H2" s="18" t="s">
        <v>22</v>
      </c>
      <c r="I2" s="18" t="s">
        <v>25</v>
      </c>
      <c r="J2" s="18" t="s">
        <v>26</v>
      </c>
      <c r="K2" s="18">
        <v>0.5</v>
      </c>
      <c r="L2" s="18" t="s">
        <v>28</v>
      </c>
      <c r="M2" s="18">
        <v>2019</v>
      </c>
      <c r="N2" s="18" t="s">
        <v>23</v>
      </c>
      <c r="O2" s="18" t="s">
        <v>23</v>
      </c>
      <c r="P2" s="18" t="s">
        <v>23</v>
      </c>
      <c r="Q2" s="18" t="s">
        <v>23</v>
      </c>
      <c r="R2" s="18">
        <v>100</v>
      </c>
      <c r="S2" s="18">
        <v>0.5</v>
      </c>
      <c r="T2" s="18">
        <v>0</v>
      </c>
      <c r="U2" s="18">
        <v>0</v>
      </c>
    </row>
    <row r="3" spans="1:21" x14ac:dyDescent="0.2">
      <c r="A3" s="18" t="s">
        <v>29</v>
      </c>
      <c r="B3" s="18" t="s">
        <v>136</v>
      </c>
      <c r="C3" s="18" t="s">
        <v>30</v>
      </c>
      <c r="D3" s="18" t="s">
        <v>137</v>
      </c>
      <c r="E3" s="18" t="s">
        <v>138</v>
      </c>
      <c r="F3" s="18" t="s">
        <v>139</v>
      </c>
      <c r="G3" s="18" t="s">
        <v>140</v>
      </c>
      <c r="H3" s="18" t="s">
        <v>141</v>
      </c>
      <c r="I3" s="18" t="s">
        <v>142</v>
      </c>
      <c r="J3" s="18" t="s">
        <v>143</v>
      </c>
      <c r="K3" s="18">
        <v>0.5</v>
      </c>
      <c r="L3" s="18" t="s">
        <v>28</v>
      </c>
      <c r="M3" s="18">
        <v>2023</v>
      </c>
      <c r="N3" s="18" t="s">
        <v>23</v>
      </c>
      <c r="O3" s="18" t="s">
        <v>23</v>
      </c>
      <c r="P3" s="18" t="s">
        <v>23</v>
      </c>
      <c r="Q3" s="18" t="s">
        <v>23</v>
      </c>
      <c r="R3" s="18">
        <v>100</v>
      </c>
      <c r="S3" s="18">
        <v>0.5</v>
      </c>
      <c r="T3" s="18">
        <v>0</v>
      </c>
      <c r="U3" s="18">
        <v>0</v>
      </c>
    </row>
    <row r="4" spans="1:21" x14ac:dyDescent="0.2">
      <c r="A4" s="18" t="s">
        <v>142</v>
      </c>
      <c r="B4" s="18" t="s">
        <v>143</v>
      </c>
      <c r="C4" s="18" t="s">
        <v>30</v>
      </c>
      <c r="D4" s="18" t="s">
        <v>144</v>
      </c>
      <c r="E4" s="18" t="s">
        <v>145</v>
      </c>
      <c r="F4" s="18" t="s">
        <v>146</v>
      </c>
      <c r="G4" s="18" t="s">
        <v>92</v>
      </c>
      <c r="H4" s="18" t="s">
        <v>141</v>
      </c>
      <c r="I4" s="18" t="s">
        <v>29</v>
      </c>
      <c r="J4" s="18" t="s">
        <v>136</v>
      </c>
      <c r="K4" s="18">
        <v>0.5</v>
      </c>
      <c r="L4" s="18" t="s">
        <v>28</v>
      </c>
      <c r="M4" s="18">
        <v>2023</v>
      </c>
      <c r="N4" s="18" t="s">
        <v>28</v>
      </c>
      <c r="O4" s="18" t="s">
        <v>35</v>
      </c>
      <c r="P4" s="18" t="s">
        <v>23</v>
      </c>
      <c r="Q4" s="18" t="s">
        <v>23</v>
      </c>
      <c r="R4" s="18">
        <v>0</v>
      </c>
      <c r="S4" s="18">
        <v>0</v>
      </c>
      <c r="T4" s="18">
        <v>0.5</v>
      </c>
      <c r="U4" s="18">
        <v>0</v>
      </c>
    </row>
    <row r="5" spans="1:21" x14ac:dyDescent="0.2">
      <c r="A5" s="18" t="s">
        <v>25</v>
      </c>
      <c r="B5" s="18" t="s">
        <v>26</v>
      </c>
      <c r="C5" s="18" t="s">
        <v>27</v>
      </c>
      <c r="D5" s="18" t="s">
        <v>67</v>
      </c>
      <c r="E5" s="18" t="s">
        <v>68</v>
      </c>
      <c r="F5" s="18" t="s">
        <v>69</v>
      </c>
      <c r="G5" s="18" t="s">
        <v>41</v>
      </c>
      <c r="H5" s="18" t="s">
        <v>22</v>
      </c>
      <c r="I5" s="18" t="s">
        <v>37</v>
      </c>
      <c r="J5" s="18" t="s">
        <v>38</v>
      </c>
      <c r="K5" s="18">
        <v>0.5</v>
      </c>
      <c r="L5" s="18" t="s">
        <v>39</v>
      </c>
      <c r="M5" s="18">
        <v>2019</v>
      </c>
      <c r="N5" s="18" t="s">
        <v>28</v>
      </c>
      <c r="O5" s="18" t="s">
        <v>34</v>
      </c>
      <c r="P5" s="18" t="s">
        <v>23</v>
      </c>
      <c r="Q5" s="18" t="s">
        <v>23</v>
      </c>
      <c r="R5" s="18">
        <v>50</v>
      </c>
      <c r="S5" s="18">
        <v>0.25</v>
      </c>
      <c r="T5" s="18">
        <v>0.25</v>
      </c>
      <c r="U5" s="18">
        <v>0</v>
      </c>
    </row>
    <row r="6" spans="1:21" x14ac:dyDescent="0.2">
      <c r="A6" s="18" t="s">
        <v>25</v>
      </c>
      <c r="B6" s="18" t="s">
        <v>26</v>
      </c>
      <c r="C6" s="18" t="s">
        <v>27</v>
      </c>
      <c r="D6" s="18" t="s">
        <v>70</v>
      </c>
      <c r="E6" s="18" t="s">
        <v>71</v>
      </c>
      <c r="F6" s="18" t="s">
        <v>72</v>
      </c>
      <c r="G6" s="18" t="s">
        <v>42</v>
      </c>
      <c r="H6" s="18" t="s">
        <v>24</v>
      </c>
      <c r="I6" s="18" t="s">
        <v>37</v>
      </c>
      <c r="J6" s="18" t="s">
        <v>38</v>
      </c>
      <c r="K6" s="18">
        <v>1</v>
      </c>
      <c r="L6" s="18" t="s">
        <v>39</v>
      </c>
      <c r="M6" s="18">
        <v>2019</v>
      </c>
      <c r="N6" s="18" t="s">
        <v>28</v>
      </c>
      <c r="O6" s="18" t="s">
        <v>34</v>
      </c>
      <c r="P6" s="18" t="s">
        <v>23</v>
      </c>
      <c r="Q6" s="18" t="s">
        <v>23</v>
      </c>
      <c r="R6" s="18">
        <v>50</v>
      </c>
      <c r="S6" s="18">
        <v>0.5</v>
      </c>
      <c r="T6" s="18">
        <v>0.5</v>
      </c>
      <c r="U6" s="18">
        <v>0</v>
      </c>
    </row>
    <row r="7" spans="1:21" x14ac:dyDescent="0.2">
      <c r="A7" s="18" t="s">
        <v>25</v>
      </c>
      <c r="B7" s="18" t="s">
        <v>26</v>
      </c>
      <c r="C7" s="18" t="s">
        <v>27</v>
      </c>
      <c r="D7" s="18" t="s">
        <v>73</v>
      </c>
      <c r="E7" s="18" t="s">
        <v>74</v>
      </c>
      <c r="F7" s="18" t="s">
        <v>75</v>
      </c>
      <c r="G7" s="18" t="s">
        <v>36</v>
      </c>
      <c r="H7" s="18" t="s">
        <v>22</v>
      </c>
      <c r="I7" s="18" t="s">
        <v>37</v>
      </c>
      <c r="J7" s="18" t="s">
        <v>38</v>
      </c>
      <c r="K7" s="18">
        <v>0.5</v>
      </c>
      <c r="L7" s="18" t="s">
        <v>39</v>
      </c>
      <c r="M7" s="18">
        <v>2019</v>
      </c>
      <c r="N7" s="18" t="s">
        <v>28</v>
      </c>
      <c r="O7" s="18" t="s">
        <v>34</v>
      </c>
      <c r="P7" s="18" t="s">
        <v>23</v>
      </c>
      <c r="Q7" s="18" t="s">
        <v>23</v>
      </c>
      <c r="R7" s="18">
        <v>50</v>
      </c>
      <c r="S7" s="18">
        <v>0.25</v>
      </c>
      <c r="T7" s="18">
        <v>0.25</v>
      </c>
      <c r="U7" s="18">
        <v>0</v>
      </c>
    </row>
    <row r="8" spans="1:21" x14ac:dyDescent="0.2">
      <c r="A8" s="18" t="s">
        <v>25</v>
      </c>
      <c r="B8" s="18" t="s">
        <v>26</v>
      </c>
      <c r="C8" s="18" t="s">
        <v>27</v>
      </c>
      <c r="D8" s="18" t="s">
        <v>73</v>
      </c>
      <c r="E8" s="18" t="s">
        <v>74</v>
      </c>
      <c r="F8" s="18" t="s">
        <v>75</v>
      </c>
      <c r="G8" s="18" t="s">
        <v>42</v>
      </c>
      <c r="H8" s="18" t="s">
        <v>22</v>
      </c>
      <c r="I8" s="18" t="s">
        <v>37</v>
      </c>
      <c r="J8" s="18" t="s">
        <v>38</v>
      </c>
      <c r="K8" s="18">
        <v>0.5</v>
      </c>
      <c r="L8" s="18" t="s">
        <v>39</v>
      </c>
      <c r="M8" s="18">
        <v>2019</v>
      </c>
      <c r="N8" s="18" t="s">
        <v>28</v>
      </c>
      <c r="O8" s="18" t="s">
        <v>34</v>
      </c>
      <c r="P8" s="18" t="s">
        <v>23</v>
      </c>
      <c r="Q8" s="18" t="s">
        <v>23</v>
      </c>
      <c r="R8" s="18">
        <v>50</v>
      </c>
      <c r="S8" s="18">
        <v>0.25</v>
      </c>
      <c r="T8" s="18">
        <v>0.25</v>
      </c>
      <c r="U8" s="18">
        <v>0</v>
      </c>
    </row>
    <row r="9" spans="1:21" x14ac:dyDescent="0.2">
      <c r="A9" s="18" t="s">
        <v>31</v>
      </c>
      <c r="B9" s="18" t="s">
        <v>32</v>
      </c>
      <c r="C9" s="18" t="s">
        <v>33</v>
      </c>
      <c r="D9" s="18" t="s">
        <v>79</v>
      </c>
      <c r="E9" s="18" t="s">
        <v>80</v>
      </c>
      <c r="F9" s="18" t="s">
        <v>81</v>
      </c>
      <c r="G9" s="18" t="s">
        <v>40</v>
      </c>
      <c r="H9" s="18" t="s">
        <v>24</v>
      </c>
      <c r="I9" s="18" t="s">
        <v>37</v>
      </c>
      <c r="J9" s="18" t="s">
        <v>38</v>
      </c>
      <c r="K9" s="18">
        <v>1</v>
      </c>
      <c r="L9" s="18" t="s">
        <v>39</v>
      </c>
      <c r="M9" s="18">
        <v>2019</v>
      </c>
      <c r="N9" s="18" t="s">
        <v>28</v>
      </c>
      <c r="O9" s="18">
        <v>50</v>
      </c>
      <c r="P9" s="18" t="s">
        <v>23</v>
      </c>
      <c r="Q9" s="18">
        <v>0</v>
      </c>
      <c r="R9" s="18">
        <v>50</v>
      </c>
      <c r="S9" s="18">
        <v>0.5</v>
      </c>
      <c r="T9" s="18">
        <v>0.5</v>
      </c>
      <c r="U9" s="18">
        <v>0</v>
      </c>
    </row>
    <row r="10" spans="1:21" x14ac:dyDescent="0.2">
      <c r="A10" s="18" t="s">
        <v>25</v>
      </c>
      <c r="B10" s="18" t="s">
        <v>26</v>
      </c>
      <c r="C10" s="18" t="s">
        <v>27</v>
      </c>
      <c r="D10" s="18" t="s">
        <v>82</v>
      </c>
      <c r="E10" s="18" t="s">
        <v>83</v>
      </c>
      <c r="F10" s="18" t="s">
        <v>84</v>
      </c>
      <c r="G10" s="18" t="s">
        <v>44</v>
      </c>
      <c r="H10" s="18" t="s">
        <v>22</v>
      </c>
      <c r="I10" s="18" t="s">
        <v>37</v>
      </c>
      <c r="J10" s="18" t="s">
        <v>38</v>
      </c>
      <c r="K10" s="18">
        <v>0.5</v>
      </c>
      <c r="L10" s="18" t="s">
        <v>39</v>
      </c>
      <c r="M10" s="18">
        <v>2020</v>
      </c>
      <c r="N10" s="18" t="s">
        <v>28</v>
      </c>
      <c r="O10" s="18">
        <v>50</v>
      </c>
      <c r="P10" s="18" t="s">
        <v>23</v>
      </c>
      <c r="Q10" s="18">
        <v>0</v>
      </c>
      <c r="R10" s="18">
        <v>50</v>
      </c>
      <c r="S10" s="18">
        <v>0.25</v>
      </c>
      <c r="T10" s="18">
        <v>0.25</v>
      </c>
      <c r="U10" s="18">
        <v>0</v>
      </c>
    </row>
    <row r="11" spans="1:21" x14ac:dyDescent="0.2">
      <c r="A11" s="18" t="s">
        <v>31</v>
      </c>
      <c r="B11" s="18" t="s">
        <v>32</v>
      </c>
      <c r="C11" s="18" t="s">
        <v>33</v>
      </c>
      <c r="D11" s="18" t="s">
        <v>94</v>
      </c>
      <c r="E11" s="18" t="s">
        <v>95</v>
      </c>
      <c r="F11" s="18" t="s">
        <v>93</v>
      </c>
      <c r="G11" s="18" t="s">
        <v>40</v>
      </c>
      <c r="H11" s="18" t="s">
        <v>24</v>
      </c>
      <c r="I11" s="18" t="s">
        <v>37</v>
      </c>
      <c r="J11" s="18" t="s">
        <v>38</v>
      </c>
      <c r="K11" s="18">
        <v>1</v>
      </c>
      <c r="L11" s="18" t="s">
        <v>39</v>
      </c>
      <c r="M11" s="18">
        <v>2021</v>
      </c>
      <c r="N11" s="18" t="s">
        <v>28</v>
      </c>
      <c r="O11" s="18">
        <v>50</v>
      </c>
      <c r="P11" s="18" t="s">
        <v>23</v>
      </c>
      <c r="Q11" s="18">
        <v>0</v>
      </c>
      <c r="R11" s="18">
        <v>50</v>
      </c>
      <c r="S11" s="18">
        <v>0.5</v>
      </c>
      <c r="T11" s="18">
        <v>0.5</v>
      </c>
      <c r="U11" s="18">
        <v>0</v>
      </c>
    </row>
    <row r="12" spans="1:21" x14ac:dyDescent="0.2">
      <c r="A12" s="18" t="s">
        <v>25</v>
      </c>
      <c r="B12" s="18" t="s">
        <v>102</v>
      </c>
      <c r="C12" s="18" t="s">
        <v>27</v>
      </c>
      <c r="D12" s="18" t="s">
        <v>158</v>
      </c>
      <c r="E12" s="18" t="s">
        <v>103</v>
      </c>
      <c r="F12" s="18" t="s">
        <v>104</v>
      </c>
      <c r="G12" s="18" t="s">
        <v>42</v>
      </c>
      <c r="H12" s="18" t="s">
        <v>24</v>
      </c>
      <c r="I12" s="18" t="s">
        <v>37</v>
      </c>
      <c r="J12" s="18" t="s">
        <v>38</v>
      </c>
      <c r="K12" s="18">
        <v>1</v>
      </c>
      <c r="L12" s="18" t="s">
        <v>39</v>
      </c>
      <c r="M12" s="18">
        <v>2022</v>
      </c>
      <c r="N12" s="18" t="s">
        <v>28</v>
      </c>
      <c r="O12" s="18">
        <v>50</v>
      </c>
      <c r="P12" s="18" t="s">
        <v>23</v>
      </c>
      <c r="Q12" s="18">
        <v>0</v>
      </c>
      <c r="R12" s="18">
        <v>50</v>
      </c>
      <c r="S12" s="18">
        <v>0.5</v>
      </c>
      <c r="T12" s="18">
        <v>0.5</v>
      </c>
      <c r="U12" s="18">
        <v>0</v>
      </c>
    </row>
    <row r="13" spans="1:21" x14ac:dyDescent="0.2">
      <c r="A13" s="18" t="s">
        <v>31</v>
      </c>
      <c r="B13" s="18" t="s">
        <v>105</v>
      </c>
      <c r="C13" s="18" t="s">
        <v>33</v>
      </c>
      <c r="D13" s="18" t="s">
        <v>159</v>
      </c>
      <c r="E13" s="18" t="s">
        <v>106</v>
      </c>
      <c r="F13" s="18" t="s">
        <v>107</v>
      </c>
      <c r="G13" s="18" t="s">
        <v>43</v>
      </c>
      <c r="H13" s="18" t="s">
        <v>22</v>
      </c>
      <c r="I13" s="18" t="s">
        <v>37</v>
      </c>
      <c r="J13" s="18" t="s">
        <v>38</v>
      </c>
      <c r="K13" s="18">
        <v>0.5</v>
      </c>
      <c r="L13" s="18" t="s">
        <v>39</v>
      </c>
      <c r="M13" s="18">
        <v>2022</v>
      </c>
      <c r="N13" s="18" t="s">
        <v>28</v>
      </c>
      <c r="O13" s="18">
        <v>50</v>
      </c>
      <c r="P13" s="18" t="s">
        <v>23</v>
      </c>
      <c r="Q13" s="18">
        <v>0</v>
      </c>
      <c r="R13" s="18">
        <v>50</v>
      </c>
      <c r="S13" s="18">
        <v>0.25</v>
      </c>
      <c r="T13" s="18">
        <v>0.25</v>
      </c>
      <c r="U13" s="18">
        <v>0</v>
      </c>
    </row>
    <row r="14" spans="1:21" x14ac:dyDescent="0.2">
      <c r="A14" s="18" t="s">
        <v>31</v>
      </c>
      <c r="B14" s="18" t="s">
        <v>105</v>
      </c>
      <c r="C14" s="18" t="s">
        <v>33</v>
      </c>
      <c r="D14" s="18" t="s">
        <v>159</v>
      </c>
      <c r="E14" s="18" t="s">
        <v>106</v>
      </c>
      <c r="F14" s="18" t="s">
        <v>107</v>
      </c>
      <c r="G14" s="18" t="s">
        <v>40</v>
      </c>
      <c r="H14" s="18" t="s">
        <v>22</v>
      </c>
      <c r="I14" s="18" t="s">
        <v>37</v>
      </c>
      <c r="J14" s="18" t="s">
        <v>38</v>
      </c>
      <c r="K14" s="18">
        <v>0.5</v>
      </c>
      <c r="L14" s="18" t="s">
        <v>39</v>
      </c>
      <c r="M14" s="18">
        <v>2022</v>
      </c>
      <c r="N14" s="18" t="s">
        <v>28</v>
      </c>
      <c r="O14" s="18">
        <v>50</v>
      </c>
      <c r="P14" s="18" t="s">
        <v>23</v>
      </c>
      <c r="Q14" s="18">
        <v>0</v>
      </c>
      <c r="R14" s="18">
        <v>50</v>
      </c>
      <c r="S14" s="18">
        <v>0.25</v>
      </c>
      <c r="T14" s="18">
        <v>0.25</v>
      </c>
      <c r="U14" s="18">
        <v>0</v>
      </c>
    </row>
    <row r="15" spans="1:21" x14ac:dyDescent="0.2">
      <c r="A15" s="18" t="s">
        <v>29</v>
      </c>
      <c r="B15" s="18" t="s">
        <v>136</v>
      </c>
      <c r="C15" s="18" t="s">
        <v>30</v>
      </c>
      <c r="D15" s="18" t="s">
        <v>147</v>
      </c>
      <c r="E15" s="18" t="s">
        <v>148</v>
      </c>
      <c r="F15" s="18" t="s">
        <v>149</v>
      </c>
      <c r="G15" s="18" t="s">
        <v>59</v>
      </c>
      <c r="H15" s="18" t="s">
        <v>150</v>
      </c>
      <c r="I15" s="18" t="s">
        <v>39</v>
      </c>
      <c r="J15" s="18" t="s">
        <v>151</v>
      </c>
      <c r="K15" s="18">
        <v>1</v>
      </c>
      <c r="L15" s="18" t="s">
        <v>39</v>
      </c>
      <c r="M15" s="18">
        <v>2023</v>
      </c>
      <c r="N15" s="18" t="s">
        <v>28</v>
      </c>
      <c r="O15" s="18" t="s">
        <v>34</v>
      </c>
      <c r="P15" s="18" t="s">
        <v>23</v>
      </c>
      <c r="Q15" s="18" t="s">
        <v>23</v>
      </c>
      <c r="R15" s="18">
        <v>50</v>
      </c>
      <c r="S15" s="18">
        <v>0.5</v>
      </c>
      <c r="T15" s="18">
        <v>0.5</v>
      </c>
      <c r="U15" s="18">
        <v>0</v>
      </c>
    </row>
    <row r="16" spans="1:21" x14ac:dyDescent="0.2">
      <c r="A16" s="18" t="s">
        <v>29</v>
      </c>
      <c r="B16" s="18" t="s">
        <v>136</v>
      </c>
      <c r="C16" s="18" t="s">
        <v>30</v>
      </c>
      <c r="D16" s="18" t="s">
        <v>137</v>
      </c>
      <c r="E16" s="18" t="s">
        <v>138</v>
      </c>
      <c r="F16" s="18" t="s">
        <v>139</v>
      </c>
      <c r="G16" s="18" t="s">
        <v>61</v>
      </c>
      <c r="H16" s="18" t="s">
        <v>141</v>
      </c>
      <c r="I16" s="18" t="s">
        <v>39</v>
      </c>
      <c r="J16" s="18" t="s">
        <v>151</v>
      </c>
      <c r="K16" s="18">
        <v>0.5</v>
      </c>
      <c r="L16" s="18" t="s">
        <v>39</v>
      </c>
      <c r="M16" s="18">
        <v>2023</v>
      </c>
      <c r="N16" s="18" t="s">
        <v>28</v>
      </c>
      <c r="O16" s="18" t="s">
        <v>34</v>
      </c>
      <c r="P16" s="18" t="s">
        <v>23</v>
      </c>
      <c r="Q16" s="18" t="s">
        <v>23</v>
      </c>
      <c r="R16" s="18">
        <v>50</v>
      </c>
      <c r="S16" s="18">
        <v>0.25</v>
      </c>
      <c r="T16" s="18">
        <v>0.25</v>
      </c>
      <c r="U16" s="18">
        <v>0</v>
      </c>
    </row>
    <row r="17" spans="1:21" x14ac:dyDescent="0.2">
      <c r="A17" s="18" t="s">
        <v>152</v>
      </c>
      <c r="B17" s="18" t="s">
        <v>153</v>
      </c>
      <c r="C17" s="18" t="s">
        <v>154</v>
      </c>
      <c r="D17" s="18" t="s">
        <v>155</v>
      </c>
      <c r="E17" s="18" t="s">
        <v>156</v>
      </c>
      <c r="F17" s="18" t="s">
        <v>157</v>
      </c>
      <c r="G17" s="18" t="s">
        <v>62</v>
      </c>
      <c r="H17" s="18" t="s">
        <v>141</v>
      </c>
      <c r="I17" s="18" t="s">
        <v>39</v>
      </c>
      <c r="J17" s="18" t="s">
        <v>151</v>
      </c>
      <c r="K17" s="18">
        <v>0.5</v>
      </c>
      <c r="L17" s="18" t="s">
        <v>39</v>
      </c>
      <c r="M17" s="18">
        <v>2023</v>
      </c>
      <c r="N17" s="18" t="s">
        <v>28</v>
      </c>
      <c r="O17" s="18" t="s">
        <v>34</v>
      </c>
      <c r="P17" s="18" t="s">
        <v>23</v>
      </c>
      <c r="Q17" s="18" t="s">
        <v>23</v>
      </c>
      <c r="R17" s="18">
        <v>50</v>
      </c>
      <c r="S17" s="18">
        <v>0.25</v>
      </c>
      <c r="T17" s="18">
        <v>0.25</v>
      </c>
      <c r="U17" s="18">
        <v>0</v>
      </c>
    </row>
    <row r="18" spans="1:21" x14ac:dyDescent="0.2">
      <c r="A18" s="18" t="s">
        <v>152</v>
      </c>
      <c r="B18" s="18" t="s">
        <v>153</v>
      </c>
      <c r="C18" s="18" t="s">
        <v>154</v>
      </c>
      <c r="D18" s="18" t="s">
        <v>155</v>
      </c>
      <c r="E18" s="18" t="s">
        <v>156</v>
      </c>
      <c r="F18" s="18" t="s">
        <v>157</v>
      </c>
      <c r="G18" s="18" t="s">
        <v>60</v>
      </c>
      <c r="H18" s="18" t="s">
        <v>141</v>
      </c>
      <c r="I18" s="18" t="s">
        <v>39</v>
      </c>
      <c r="J18" s="18" t="s">
        <v>151</v>
      </c>
      <c r="K18" s="18">
        <v>0.5</v>
      </c>
      <c r="L18" s="18" t="s">
        <v>39</v>
      </c>
      <c r="M18" s="18">
        <v>2023</v>
      </c>
      <c r="N18" s="18" t="s">
        <v>28</v>
      </c>
      <c r="O18" s="18" t="s">
        <v>34</v>
      </c>
      <c r="P18" s="18" t="s">
        <v>23</v>
      </c>
      <c r="Q18" s="18" t="s">
        <v>23</v>
      </c>
      <c r="R18" s="18">
        <v>50</v>
      </c>
      <c r="S18" s="18">
        <v>0.25</v>
      </c>
      <c r="T18" s="18">
        <v>0.25</v>
      </c>
      <c r="U18" s="18">
        <v>0</v>
      </c>
    </row>
    <row r="19" spans="1:21" x14ac:dyDescent="0.2">
      <c r="A19" s="18" t="s">
        <v>142</v>
      </c>
      <c r="B19" s="18" t="s">
        <v>143</v>
      </c>
      <c r="C19" s="18" t="s">
        <v>30</v>
      </c>
      <c r="D19" s="18" t="s">
        <v>144</v>
      </c>
      <c r="E19" s="18" t="s">
        <v>145</v>
      </c>
      <c r="F19" s="18" t="s">
        <v>146</v>
      </c>
      <c r="G19" s="18" t="s">
        <v>92</v>
      </c>
      <c r="H19" s="18" t="s">
        <v>141</v>
      </c>
      <c r="I19" s="18" t="s">
        <v>29</v>
      </c>
      <c r="J19" s="18" t="s">
        <v>136</v>
      </c>
      <c r="K19" s="18">
        <v>0.5</v>
      </c>
      <c r="L19" s="18" t="s">
        <v>28</v>
      </c>
      <c r="M19" s="18">
        <v>2023</v>
      </c>
      <c r="N19" s="18" t="s">
        <v>28</v>
      </c>
      <c r="O19" s="18" t="s">
        <v>35</v>
      </c>
      <c r="P19" s="18" t="s">
        <v>23</v>
      </c>
      <c r="Q19" s="18" t="s">
        <v>23</v>
      </c>
      <c r="R19" s="18">
        <v>0</v>
      </c>
      <c r="S19" s="18">
        <v>0</v>
      </c>
      <c r="T19" s="18">
        <v>0.5</v>
      </c>
      <c r="U19" s="18">
        <v>0</v>
      </c>
    </row>
    <row r="20" spans="1:21" x14ac:dyDescent="0.2">
      <c r="A20" s="18" t="s">
        <v>142</v>
      </c>
      <c r="B20" s="18" t="s">
        <v>143</v>
      </c>
      <c r="C20" s="18" t="s">
        <v>30</v>
      </c>
      <c r="D20" s="18" t="s">
        <v>144</v>
      </c>
      <c r="E20" s="18" t="s">
        <v>145</v>
      </c>
      <c r="F20" s="18" t="s">
        <v>146</v>
      </c>
      <c r="G20" s="18" t="s">
        <v>61</v>
      </c>
      <c r="H20" s="18" t="s">
        <v>141</v>
      </c>
      <c r="I20" s="18" t="s">
        <v>39</v>
      </c>
      <c r="J20" s="18" t="s">
        <v>151</v>
      </c>
      <c r="K20" s="18">
        <v>0.5</v>
      </c>
      <c r="L20" s="18" t="s">
        <v>39</v>
      </c>
      <c r="M20" s="18">
        <v>2023</v>
      </c>
      <c r="N20" s="18" t="s">
        <v>28</v>
      </c>
      <c r="O20" s="18" t="s">
        <v>34</v>
      </c>
      <c r="P20" s="18" t="s">
        <v>23</v>
      </c>
      <c r="Q20" s="18" t="s">
        <v>23</v>
      </c>
      <c r="R20" s="18">
        <v>50</v>
      </c>
      <c r="S20" s="18">
        <v>0.25</v>
      </c>
      <c r="T20" s="18">
        <v>0.25</v>
      </c>
      <c r="U20" s="18">
        <v>0</v>
      </c>
    </row>
    <row r="21" spans="1:21" x14ac:dyDescent="0.2">
      <c r="A21" s="18" t="s">
        <v>197</v>
      </c>
      <c r="B21" s="18" t="s">
        <v>198</v>
      </c>
      <c r="C21" s="18" t="s">
        <v>199</v>
      </c>
      <c r="D21" s="18" t="s">
        <v>200</v>
      </c>
      <c r="E21" s="18" t="s">
        <v>201</v>
      </c>
      <c r="F21" s="18" t="s">
        <v>202</v>
      </c>
      <c r="G21" s="18" t="s">
        <v>60</v>
      </c>
      <c r="H21" s="18" t="s">
        <v>141</v>
      </c>
      <c r="I21" s="18" t="s">
        <v>39</v>
      </c>
      <c r="J21" s="18" t="s">
        <v>203</v>
      </c>
      <c r="K21" s="18">
        <v>0.5</v>
      </c>
      <c r="L21" s="18" t="s">
        <v>39</v>
      </c>
      <c r="M21" s="18">
        <v>2024</v>
      </c>
      <c r="N21" s="18" t="s">
        <v>28</v>
      </c>
      <c r="O21" s="18" t="s">
        <v>34</v>
      </c>
      <c r="P21" s="18" t="s">
        <v>23</v>
      </c>
      <c r="Q21" s="18" t="s">
        <v>23</v>
      </c>
      <c r="R21" s="18">
        <v>50</v>
      </c>
      <c r="S21" s="18">
        <v>0.25</v>
      </c>
      <c r="T21" s="18">
        <v>0.25</v>
      </c>
      <c r="U21" s="18">
        <v>0</v>
      </c>
    </row>
    <row r="22" spans="1:21" x14ac:dyDescent="0.2">
      <c r="A22" s="18" t="s">
        <v>29</v>
      </c>
      <c r="B22" s="18" t="s">
        <v>204</v>
      </c>
      <c r="C22" s="18" t="s">
        <v>30</v>
      </c>
      <c r="D22" s="18" t="s">
        <v>205</v>
      </c>
      <c r="E22" s="18" t="s">
        <v>206</v>
      </c>
      <c r="F22" s="18" t="s">
        <v>207</v>
      </c>
      <c r="G22" s="18" t="s">
        <v>63</v>
      </c>
      <c r="H22" s="18" t="s">
        <v>150</v>
      </c>
      <c r="I22" s="18" t="s">
        <v>39</v>
      </c>
      <c r="J22" s="18" t="s">
        <v>203</v>
      </c>
      <c r="K22" s="18">
        <v>1</v>
      </c>
      <c r="L22" s="18" t="s">
        <v>39</v>
      </c>
      <c r="M22" s="18">
        <v>2024</v>
      </c>
      <c r="N22" s="18" t="s">
        <v>28</v>
      </c>
      <c r="O22" s="18" t="s">
        <v>34</v>
      </c>
      <c r="P22" s="18" t="s">
        <v>23</v>
      </c>
      <c r="Q22" s="18" t="s">
        <v>23</v>
      </c>
      <c r="R22" s="18">
        <v>50</v>
      </c>
      <c r="S22" s="18">
        <v>0.5</v>
      </c>
      <c r="T22" s="18">
        <v>0.5</v>
      </c>
      <c r="U22" s="18">
        <v>0</v>
      </c>
    </row>
    <row r="23" spans="1:21" x14ac:dyDescent="0.2">
      <c r="A23" s="18" t="s">
        <v>29</v>
      </c>
      <c r="B23" s="18" t="s">
        <v>204</v>
      </c>
      <c r="C23" s="18" t="s">
        <v>30</v>
      </c>
      <c r="D23" s="18" t="s">
        <v>208</v>
      </c>
      <c r="E23" s="18" t="s">
        <v>209</v>
      </c>
      <c r="F23" s="18" t="s">
        <v>210</v>
      </c>
      <c r="G23" s="18" t="s">
        <v>78</v>
      </c>
      <c r="H23" s="18" t="s">
        <v>150</v>
      </c>
      <c r="I23" s="18" t="s">
        <v>39</v>
      </c>
      <c r="J23" s="18" t="s">
        <v>203</v>
      </c>
      <c r="K23" s="18">
        <v>1</v>
      </c>
      <c r="L23" s="18" t="s">
        <v>39</v>
      </c>
      <c r="M23" s="18">
        <v>2024</v>
      </c>
      <c r="N23" s="18" t="s">
        <v>28</v>
      </c>
      <c r="O23" s="18" t="s">
        <v>34</v>
      </c>
      <c r="P23" s="18" t="s">
        <v>23</v>
      </c>
      <c r="Q23" s="18" t="s">
        <v>23</v>
      </c>
      <c r="R23" s="18">
        <v>50</v>
      </c>
      <c r="S23" s="18">
        <v>0.5</v>
      </c>
      <c r="T23" s="18">
        <v>0.5</v>
      </c>
      <c r="U23" s="18">
        <v>0</v>
      </c>
    </row>
    <row r="24" spans="1:2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19"/>
      <c r="O24" s="20"/>
      <c r="P24" s="19"/>
      <c r="Q24" s="20"/>
      <c r="R24" s="19"/>
      <c r="S24" s="22">
        <f>SUM(S2:S4,T5:T23)</f>
        <v>7.75</v>
      </c>
      <c r="T24" s="21"/>
      <c r="U24" s="19"/>
    </row>
  </sheetData>
  <autoFilter ref="A1:U24" xr:uid="{00000000-0009-0000-0000-000000000000}"/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3"/>
  <sheetViews>
    <sheetView tabSelected="1" zoomScaleNormal="100" workbookViewId="0">
      <selection activeCell="B12" sqref="B12"/>
    </sheetView>
  </sheetViews>
  <sheetFormatPr baseColWidth="10" defaultColWidth="11.42578125" defaultRowHeight="12.75" x14ac:dyDescent="0.2"/>
  <cols>
    <col min="1" max="1" width="10.85546875" style="11" bestFit="1" customWidth="1"/>
    <col min="2" max="2" width="33.140625" style="11" bestFit="1" customWidth="1"/>
    <col min="3" max="3" width="14.5703125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2" width="5.7109375" style="11" bestFit="1" customWidth="1"/>
    <col min="13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5.099999999999994" customHeight="1" x14ac:dyDescent="0.2">
      <c r="A1" s="13" t="s">
        <v>45</v>
      </c>
      <c r="B1" s="13" t="s">
        <v>46</v>
      </c>
      <c r="C1" s="13" t="s">
        <v>47</v>
      </c>
      <c r="D1" s="14" t="s">
        <v>211</v>
      </c>
      <c r="E1" s="14" t="s">
        <v>212</v>
      </c>
      <c r="F1" s="14" t="s">
        <v>213</v>
      </c>
      <c r="G1" s="14" t="s">
        <v>214</v>
      </c>
      <c r="H1" s="14" t="s">
        <v>215</v>
      </c>
      <c r="I1" s="14" t="s">
        <v>216</v>
      </c>
      <c r="J1" s="13" t="s">
        <v>48</v>
      </c>
      <c r="K1" s="15" t="s">
        <v>76</v>
      </c>
      <c r="L1" s="8" t="s">
        <v>49</v>
      </c>
      <c r="M1" s="8" t="s">
        <v>50</v>
      </c>
      <c r="N1" s="8" t="s">
        <v>51</v>
      </c>
      <c r="O1" s="8" t="s">
        <v>52</v>
      </c>
      <c r="P1" s="9" t="s">
        <v>53</v>
      </c>
      <c r="Q1" s="9" t="s">
        <v>54</v>
      </c>
      <c r="R1" s="9" t="s">
        <v>55</v>
      </c>
      <c r="S1" s="9" t="s">
        <v>56</v>
      </c>
      <c r="T1" s="11"/>
    </row>
    <row r="2" spans="1:20" ht="15" x14ac:dyDescent="0.25">
      <c r="A2" s="17" t="s">
        <v>63</v>
      </c>
      <c r="B2" s="17" t="s">
        <v>217</v>
      </c>
      <c r="C2" s="17" t="s">
        <v>57</v>
      </c>
      <c r="D2" s="17"/>
      <c r="E2" s="17">
        <v>1</v>
      </c>
      <c r="F2" s="17"/>
      <c r="G2" s="17"/>
      <c r="H2" s="17"/>
      <c r="I2" s="17"/>
      <c r="J2" s="17">
        <v>1</v>
      </c>
      <c r="K2" s="17" t="s">
        <v>39</v>
      </c>
      <c r="L2" s="16" t="s">
        <v>28</v>
      </c>
      <c r="M2" s="16" t="s">
        <v>34</v>
      </c>
      <c r="N2" s="16" t="s">
        <v>23</v>
      </c>
      <c r="O2" s="16" t="s">
        <v>23</v>
      </c>
      <c r="P2" s="16">
        <v>50</v>
      </c>
      <c r="Q2" s="16">
        <v>0.5</v>
      </c>
      <c r="R2" s="16">
        <v>0</v>
      </c>
      <c r="S2" s="16">
        <v>0.5</v>
      </c>
    </row>
    <row r="3" spans="1:20" ht="15" x14ac:dyDescent="0.25">
      <c r="A3" s="17" t="s">
        <v>65</v>
      </c>
      <c r="B3" s="17" t="s">
        <v>218</v>
      </c>
      <c r="C3" s="17" t="s">
        <v>57</v>
      </c>
      <c r="D3" s="17"/>
      <c r="E3" s="17"/>
      <c r="F3" s="17"/>
      <c r="G3" s="17"/>
      <c r="H3" s="17">
        <v>1</v>
      </c>
      <c r="I3" s="17"/>
      <c r="J3" s="17">
        <v>1</v>
      </c>
      <c r="K3" s="17" t="s">
        <v>39</v>
      </c>
      <c r="L3" s="16" t="s">
        <v>28</v>
      </c>
      <c r="M3" s="16" t="s">
        <v>34</v>
      </c>
      <c r="N3" s="16" t="s">
        <v>23</v>
      </c>
      <c r="O3" s="16" t="s">
        <v>23</v>
      </c>
      <c r="P3" s="16">
        <v>50</v>
      </c>
      <c r="Q3" s="16">
        <v>0.5</v>
      </c>
      <c r="R3" s="16">
        <v>0</v>
      </c>
      <c r="S3" s="16">
        <v>0.5</v>
      </c>
    </row>
    <row r="4" spans="1:20" ht="15" x14ac:dyDescent="0.25">
      <c r="A4" s="17" t="s">
        <v>64</v>
      </c>
      <c r="B4" s="17" t="s">
        <v>219</v>
      </c>
      <c r="C4" s="17" t="s">
        <v>57</v>
      </c>
      <c r="D4" s="17"/>
      <c r="E4" s="17"/>
      <c r="F4" s="17"/>
      <c r="G4" s="17"/>
      <c r="H4" s="17"/>
      <c r="I4" s="17">
        <v>1</v>
      </c>
      <c r="J4" s="17">
        <v>1</v>
      </c>
      <c r="K4" s="17" t="s">
        <v>39</v>
      </c>
      <c r="L4" s="16" t="s">
        <v>28</v>
      </c>
      <c r="M4" s="16" t="s">
        <v>34</v>
      </c>
      <c r="N4" s="16" t="s">
        <v>23</v>
      </c>
      <c r="O4" s="16" t="s">
        <v>23</v>
      </c>
      <c r="P4" s="16">
        <v>50</v>
      </c>
      <c r="Q4" s="16">
        <v>0.5</v>
      </c>
      <c r="R4" s="16">
        <v>0</v>
      </c>
      <c r="S4" s="16">
        <v>0.5</v>
      </c>
    </row>
    <row r="5" spans="1:20" ht="15" x14ac:dyDescent="0.25">
      <c r="A5" s="17" t="s">
        <v>61</v>
      </c>
      <c r="B5" s="17" t="s">
        <v>220</v>
      </c>
      <c r="C5" s="17" t="s">
        <v>57</v>
      </c>
      <c r="D5" s="17"/>
      <c r="E5" s="17">
        <v>1</v>
      </c>
      <c r="F5" s="17"/>
      <c r="G5" s="17"/>
      <c r="H5" s="17"/>
      <c r="I5" s="17"/>
      <c r="J5" s="17">
        <v>1</v>
      </c>
      <c r="K5" s="17" t="s">
        <v>39</v>
      </c>
      <c r="L5" s="16" t="s">
        <v>28</v>
      </c>
      <c r="M5" s="16" t="s">
        <v>34</v>
      </c>
      <c r="N5" s="16" t="s">
        <v>23</v>
      </c>
      <c r="O5" s="16" t="s">
        <v>23</v>
      </c>
      <c r="P5" s="16">
        <v>50</v>
      </c>
      <c r="Q5" s="16">
        <v>0.5</v>
      </c>
      <c r="R5" s="16">
        <v>0</v>
      </c>
      <c r="S5" s="16">
        <v>0.5</v>
      </c>
    </row>
    <row r="6" spans="1:20" ht="15" x14ac:dyDescent="0.25">
      <c r="A6" s="17" t="s">
        <v>59</v>
      </c>
      <c r="B6" s="17" t="s">
        <v>221</v>
      </c>
      <c r="C6" s="17" t="s">
        <v>57</v>
      </c>
      <c r="D6" s="17">
        <v>1</v>
      </c>
      <c r="E6" s="17"/>
      <c r="F6" s="17"/>
      <c r="G6" s="17"/>
      <c r="H6" s="17"/>
      <c r="I6" s="17"/>
      <c r="J6" s="17">
        <v>1</v>
      </c>
      <c r="K6" s="17" t="s">
        <v>39</v>
      </c>
      <c r="L6" s="16" t="s">
        <v>28</v>
      </c>
      <c r="M6" s="16" t="s">
        <v>34</v>
      </c>
      <c r="N6" s="16" t="s">
        <v>23</v>
      </c>
      <c r="O6" s="16" t="s">
        <v>23</v>
      </c>
      <c r="P6" s="16">
        <v>50</v>
      </c>
      <c r="Q6" s="16">
        <v>0.5</v>
      </c>
      <c r="R6" s="16">
        <v>0</v>
      </c>
      <c r="S6" s="16">
        <v>0.5</v>
      </c>
    </row>
    <row r="7" spans="1:20" ht="15" x14ac:dyDescent="0.25">
      <c r="A7" s="17" t="s">
        <v>222</v>
      </c>
      <c r="B7" s="17" t="s">
        <v>223</v>
      </c>
      <c r="C7" s="17" t="s">
        <v>57</v>
      </c>
      <c r="D7" s="17"/>
      <c r="E7" s="17"/>
      <c r="F7" s="17"/>
      <c r="G7" s="17"/>
      <c r="H7" s="17"/>
      <c r="I7" s="17">
        <v>1</v>
      </c>
      <c r="J7" s="17">
        <v>1</v>
      </c>
      <c r="K7" s="17" t="s">
        <v>39</v>
      </c>
      <c r="L7" s="16" t="s">
        <v>28</v>
      </c>
      <c r="M7" s="16" t="s">
        <v>34</v>
      </c>
      <c r="N7" s="16" t="s">
        <v>23</v>
      </c>
      <c r="O7" s="16" t="s">
        <v>23</v>
      </c>
      <c r="P7" s="16">
        <v>50</v>
      </c>
      <c r="Q7" s="16">
        <v>0.5</v>
      </c>
      <c r="R7" s="16">
        <v>0</v>
      </c>
      <c r="S7" s="16">
        <v>0.5</v>
      </c>
    </row>
    <row r="8" spans="1:20" ht="15" x14ac:dyDescent="0.25">
      <c r="A8" s="17" t="s">
        <v>58</v>
      </c>
      <c r="B8" s="17" t="s">
        <v>224</v>
      </c>
      <c r="C8" s="17" t="s">
        <v>57</v>
      </c>
      <c r="D8" s="17">
        <v>4</v>
      </c>
      <c r="E8" s="17"/>
      <c r="F8" s="17"/>
      <c r="G8" s="17"/>
      <c r="H8" s="17"/>
      <c r="I8" s="17"/>
      <c r="J8" s="17">
        <v>4</v>
      </c>
      <c r="K8" s="17" t="s">
        <v>39</v>
      </c>
      <c r="L8" s="16" t="s">
        <v>28</v>
      </c>
      <c r="M8" s="16" t="s">
        <v>34</v>
      </c>
      <c r="N8" s="16" t="s">
        <v>23</v>
      </c>
      <c r="O8" s="16" t="s">
        <v>23</v>
      </c>
      <c r="P8" s="16">
        <v>50</v>
      </c>
      <c r="Q8" s="16">
        <v>2</v>
      </c>
      <c r="R8" s="16">
        <v>0</v>
      </c>
      <c r="S8" s="16">
        <v>2</v>
      </c>
    </row>
    <row r="9" spans="1:20" ht="15" x14ac:dyDescent="0.25">
      <c r="A9" s="17" t="s">
        <v>60</v>
      </c>
      <c r="B9" s="17" t="s">
        <v>225</v>
      </c>
      <c r="C9" s="17" t="s">
        <v>57</v>
      </c>
      <c r="D9" s="17"/>
      <c r="E9" s="17">
        <v>1</v>
      </c>
      <c r="F9" s="17"/>
      <c r="G9" s="17"/>
      <c r="H9" s="17"/>
      <c r="I9" s="17"/>
      <c r="J9" s="17">
        <v>1</v>
      </c>
      <c r="K9" s="17" t="s">
        <v>39</v>
      </c>
      <c r="L9" s="16" t="s">
        <v>28</v>
      </c>
      <c r="M9" s="16" t="s">
        <v>34</v>
      </c>
      <c r="N9" s="16" t="s">
        <v>23</v>
      </c>
      <c r="O9" s="16" t="s">
        <v>23</v>
      </c>
      <c r="P9" s="16">
        <v>50</v>
      </c>
      <c r="Q9" s="16">
        <v>0.5</v>
      </c>
      <c r="R9" s="16">
        <v>0</v>
      </c>
      <c r="S9" s="16">
        <v>0.5</v>
      </c>
    </row>
    <row r="10" spans="1:20" ht="15" x14ac:dyDescent="0.25">
      <c r="A10" s="17" t="s">
        <v>78</v>
      </c>
      <c r="B10" s="17" t="s">
        <v>226</v>
      </c>
      <c r="C10" s="17" t="s">
        <v>57</v>
      </c>
      <c r="D10" s="17"/>
      <c r="E10" s="17"/>
      <c r="F10" s="17">
        <v>3</v>
      </c>
      <c r="G10" s="17">
        <v>1</v>
      </c>
      <c r="H10" s="17"/>
      <c r="I10" s="17"/>
      <c r="J10" s="17">
        <v>4</v>
      </c>
      <c r="K10" s="17" t="s">
        <v>39</v>
      </c>
      <c r="L10" s="16" t="s">
        <v>28</v>
      </c>
      <c r="M10" s="16" t="s">
        <v>34</v>
      </c>
      <c r="N10" s="16" t="s">
        <v>23</v>
      </c>
      <c r="O10" s="16" t="s">
        <v>23</v>
      </c>
      <c r="P10" s="16">
        <v>50</v>
      </c>
      <c r="Q10" s="16">
        <v>2</v>
      </c>
      <c r="R10" s="16">
        <v>0</v>
      </c>
      <c r="S10" s="16">
        <v>2</v>
      </c>
    </row>
    <row r="11" spans="1:20" ht="15" x14ac:dyDescent="0.25">
      <c r="A11" s="17" t="s">
        <v>62</v>
      </c>
      <c r="B11" s="17" t="s">
        <v>227</v>
      </c>
      <c r="C11" s="17" t="s">
        <v>57</v>
      </c>
      <c r="D11" s="17"/>
      <c r="E11" s="17"/>
      <c r="F11" s="17"/>
      <c r="G11" s="17"/>
      <c r="H11" s="17">
        <v>1</v>
      </c>
      <c r="I11" s="17"/>
      <c r="J11" s="17">
        <v>1</v>
      </c>
      <c r="K11" s="17" t="s">
        <v>39</v>
      </c>
      <c r="L11" s="16" t="s">
        <v>28</v>
      </c>
      <c r="M11" s="16" t="s">
        <v>34</v>
      </c>
      <c r="N11" s="16" t="s">
        <v>23</v>
      </c>
      <c r="O11" s="16" t="s">
        <v>23</v>
      </c>
      <c r="P11" s="16">
        <v>50</v>
      </c>
      <c r="Q11" s="16">
        <v>0.5</v>
      </c>
      <c r="R11" s="16">
        <v>0</v>
      </c>
      <c r="S11" s="16">
        <v>0.5</v>
      </c>
    </row>
    <row r="12" spans="1:20" s="62" customFormat="1" ht="15" x14ac:dyDescent="0.25">
      <c r="A12" s="58" t="s">
        <v>92</v>
      </c>
      <c r="B12" s="58" t="s">
        <v>247</v>
      </c>
      <c r="C12" s="59" t="s">
        <v>77</v>
      </c>
      <c r="D12" s="58"/>
      <c r="E12" s="58"/>
      <c r="F12" s="58"/>
      <c r="G12" s="58">
        <v>1</v>
      </c>
      <c r="H12" s="58">
        <v>1</v>
      </c>
      <c r="I12" s="58"/>
      <c r="J12" s="58">
        <v>2</v>
      </c>
      <c r="K12" s="60" t="s">
        <v>28</v>
      </c>
      <c r="L12" s="61" t="s">
        <v>28</v>
      </c>
      <c r="M12" s="61" t="s">
        <v>35</v>
      </c>
      <c r="N12" s="61" t="s">
        <v>23</v>
      </c>
      <c r="O12" s="61" t="s">
        <v>23</v>
      </c>
      <c r="P12" s="61">
        <v>0</v>
      </c>
      <c r="Q12" s="61">
        <v>2</v>
      </c>
      <c r="R12" s="61">
        <v>0</v>
      </c>
      <c r="S12" s="61">
        <v>0</v>
      </c>
    </row>
    <row r="13" spans="1:20" ht="15" x14ac:dyDescent="0.25">
      <c r="A13" s="28"/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0">
        <f>SUM(Q2:Q12)</f>
        <v>10</v>
      </c>
      <c r="R13" s="28"/>
      <c r="S13" s="28"/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EE0C-AD98-44F3-9F24-2177DCF46388}">
  <dimension ref="A1:C23"/>
  <sheetViews>
    <sheetView workbookViewId="0">
      <selection activeCell="B22" sqref="B22"/>
    </sheetView>
  </sheetViews>
  <sheetFormatPr baseColWidth="10" defaultRowHeight="15" x14ac:dyDescent="0.25"/>
  <cols>
    <col min="1" max="1" width="17" customWidth="1"/>
    <col min="2" max="2" width="76.28515625" customWidth="1"/>
    <col min="3" max="3" width="16" customWidth="1"/>
  </cols>
  <sheetData>
    <row r="1" spans="1:3" x14ac:dyDescent="0.25">
      <c r="A1" s="31" t="s">
        <v>88</v>
      </c>
      <c r="B1" s="31" t="s">
        <v>89</v>
      </c>
      <c r="C1" s="31" t="s">
        <v>96</v>
      </c>
    </row>
    <row r="2" spans="1:3" x14ac:dyDescent="0.25">
      <c r="A2" s="23" t="s">
        <v>90</v>
      </c>
      <c r="B2" s="23" t="s">
        <v>110</v>
      </c>
      <c r="C2" s="24">
        <v>20000</v>
      </c>
    </row>
    <row r="3" spans="1:3" x14ac:dyDescent="0.25">
      <c r="A3" s="25" t="s">
        <v>98</v>
      </c>
      <c r="B3" s="25" t="s">
        <v>111</v>
      </c>
      <c r="C3" s="26">
        <v>6000</v>
      </c>
    </row>
    <row r="4" spans="1:3" x14ac:dyDescent="0.25">
      <c r="A4" s="23" t="s">
        <v>112</v>
      </c>
      <c r="B4" s="23" t="s">
        <v>113</v>
      </c>
      <c r="C4" s="24">
        <v>528</v>
      </c>
    </row>
    <row r="5" spans="1:3" x14ac:dyDescent="0.25">
      <c r="A5" s="25" t="s">
        <v>112</v>
      </c>
      <c r="B5" s="25" t="s">
        <v>114</v>
      </c>
      <c r="C5" s="26">
        <v>1232</v>
      </c>
    </row>
    <row r="6" spans="1:3" x14ac:dyDescent="0.25">
      <c r="A6" s="23" t="s">
        <v>115</v>
      </c>
      <c r="B6" s="23" t="s">
        <v>116</v>
      </c>
      <c r="C6" s="24">
        <v>792</v>
      </c>
    </row>
    <row r="7" spans="1:3" x14ac:dyDescent="0.25">
      <c r="A7" s="25" t="s">
        <v>115</v>
      </c>
      <c r="B7" s="25" t="s">
        <v>117</v>
      </c>
      <c r="C7" s="26">
        <v>1848</v>
      </c>
    </row>
    <row r="8" spans="1:3" x14ac:dyDescent="0.25">
      <c r="A8" s="23" t="s">
        <v>115</v>
      </c>
      <c r="B8" s="23" t="s">
        <v>118</v>
      </c>
      <c r="C8" s="24">
        <v>1320</v>
      </c>
    </row>
    <row r="9" spans="1:3" x14ac:dyDescent="0.25">
      <c r="A9" s="25" t="s">
        <v>86</v>
      </c>
      <c r="B9" s="25" t="s">
        <v>119</v>
      </c>
      <c r="C9" s="26">
        <v>-61.57</v>
      </c>
    </row>
    <row r="10" spans="1:3" x14ac:dyDescent="0.25">
      <c r="A10" s="23" t="s">
        <v>86</v>
      </c>
      <c r="B10" s="23" t="s">
        <v>120</v>
      </c>
      <c r="C10" s="24">
        <v>11125</v>
      </c>
    </row>
    <row r="11" spans="1:3" x14ac:dyDescent="0.25">
      <c r="A11" s="25" t="s">
        <v>87</v>
      </c>
      <c r="B11" s="25" t="s">
        <v>121</v>
      </c>
      <c r="C11" s="26">
        <v>52478.09</v>
      </c>
    </row>
    <row r="12" spans="1:3" x14ac:dyDescent="0.25">
      <c r="A12" s="23" t="s">
        <v>87</v>
      </c>
      <c r="B12" s="23" t="s">
        <v>122</v>
      </c>
      <c r="C12" s="24">
        <v>-115.53</v>
      </c>
    </row>
    <row r="13" spans="1:3" x14ac:dyDescent="0.25">
      <c r="A13" s="25" t="s">
        <v>108</v>
      </c>
      <c r="B13" s="25" t="s">
        <v>123</v>
      </c>
      <c r="C13" s="26">
        <v>10846.04</v>
      </c>
    </row>
    <row r="14" spans="1:3" x14ac:dyDescent="0.25">
      <c r="A14" s="23" t="s">
        <v>91</v>
      </c>
      <c r="B14" s="23" t="s">
        <v>124</v>
      </c>
      <c r="C14" s="24">
        <v>22092.6</v>
      </c>
    </row>
    <row r="15" spans="1:3" x14ac:dyDescent="0.25">
      <c r="A15" s="25" t="s">
        <v>125</v>
      </c>
      <c r="B15" s="25" t="s">
        <v>126</v>
      </c>
      <c r="C15" s="26">
        <v>-18041.099999999999</v>
      </c>
    </row>
    <row r="16" spans="1:3" x14ac:dyDescent="0.25">
      <c r="A16" s="23" t="s">
        <v>127</v>
      </c>
      <c r="B16" s="23" t="s">
        <v>126</v>
      </c>
      <c r="C16" s="24">
        <v>-5000</v>
      </c>
    </row>
    <row r="17" spans="1:3" x14ac:dyDescent="0.25">
      <c r="A17" s="25" t="s">
        <v>101</v>
      </c>
      <c r="B17" s="25" t="s">
        <v>128</v>
      </c>
      <c r="C17" s="26">
        <v>78988</v>
      </c>
    </row>
    <row r="18" spans="1:3" x14ac:dyDescent="0.25">
      <c r="A18" s="23" t="s">
        <v>129</v>
      </c>
      <c r="B18" s="23" t="s">
        <v>130</v>
      </c>
      <c r="C18" s="24">
        <v>140790</v>
      </c>
    </row>
    <row r="19" spans="1:3" x14ac:dyDescent="0.25">
      <c r="A19" s="25" t="s">
        <v>131</v>
      </c>
      <c r="B19" s="25" t="s">
        <v>132</v>
      </c>
      <c r="C19" s="26">
        <v>168872</v>
      </c>
    </row>
    <row r="20" spans="1:3" x14ac:dyDescent="0.25">
      <c r="A20" s="23" t="s">
        <v>133</v>
      </c>
      <c r="B20" s="23" t="s">
        <v>134</v>
      </c>
      <c r="C20" s="24">
        <v>6473.5</v>
      </c>
    </row>
    <row r="21" spans="1:3" x14ac:dyDescent="0.25">
      <c r="A21" s="32" t="s">
        <v>66</v>
      </c>
      <c r="B21" s="32" t="s">
        <v>135</v>
      </c>
      <c r="C21" s="34">
        <v>2134.66</v>
      </c>
    </row>
    <row r="22" spans="1:3" x14ac:dyDescent="0.25">
      <c r="A22" s="33" t="s">
        <v>0</v>
      </c>
      <c r="B22" s="33"/>
      <c r="C22" s="35">
        <f>SUBTOTAL(109,Tabla2[Imp.cob.aplic.])</f>
        <v>502301.69</v>
      </c>
    </row>
    <row r="23" spans="1:3" x14ac:dyDescent="0.25">
      <c r="C23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B954-C661-4860-A93D-CA183F4D1F15}">
  <dimension ref="A1:C29"/>
  <sheetViews>
    <sheetView topLeftCell="A16" workbookViewId="0">
      <selection activeCell="B32" sqref="B32:C32"/>
    </sheetView>
  </sheetViews>
  <sheetFormatPr baseColWidth="10" defaultRowHeight="15" x14ac:dyDescent="0.25"/>
  <cols>
    <col min="1" max="1" width="14.5703125" customWidth="1"/>
    <col min="2" max="2" width="65.28515625" customWidth="1"/>
    <col min="3" max="3" width="20.140625" customWidth="1"/>
  </cols>
  <sheetData>
    <row r="1" spans="1:3" x14ac:dyDescent="0.25">
      <c r="A1" s="38" t="s">
        <v>160</v>
      </c>
      <c r="B1" s="38" t="s">
        <v>89</v>
      </c>
      <c r="C1" s="39" t="s">
        <v>161</v>
      </c>
    </row>
    <row r="2" spans="1:3" x14ac:dyDescent="0.25">
      <c r="A2" s="36" t="s">
        <v>90</v>
      </c>
      <c r="B2" s="36" t="s">
        <v>162</v>
      </c>
      <c r="C2" s="24">
        <v>20000</v>
      </c>
    </row>
    <row r="3" spans="1:3" x14ac:dyDescent="0.25">
      <c r="A3" s="37" t="s">
        <v>98</v>
      </c>
      <c r="B3" s="37" t="s">
        <v>163</v>
      </c>
      <c r="C3" s="26">
        <v>6000</v>
      </c>
    </row>
    <row r="4" spans="1:3" x14ac:dyDescent="0.25">
      <c r="A4" s="36" t="s">
        <v>98</v>
      </c>
      <c r="B4" s="36" t="s">
        <v>164</v>
      </c>
      <c r="C4" s="24">
        <v>6000</v>
      </c>
    </row>
    <row r="5" spans="1:3" x14ac:dyDescent="0.25">
      <c r="A5" s="37" t="s">
        <v>165</v>
      </c>
      <c r="B5" s="37" t="s">
        <v>166</v>
      </c>
      <c r="C5" s="26">
        <v>12320</v>
      </c>
    </row>
    <row r="6" spans="1:3" x14ac:dyDescent="0.25">
      <c r="A6" s="36" t="s">
        <v>167</v>
      </c>
      <c r="B6" s="36" t="s">
        <v>168</v>
      </c>
      <c r="C6" s="24">
        <v>1760</v>
      </c>
    </row>
    <row r="7" spans="1:3" x14ac:dyDescent="0.25">
      <c r="A7" s="37" t="s">
        <v>169</v>
      </c>
      <c r="B7" s="37" t="s">
        <v>170</v>
      </c>
      <c r="C7" s="26">
        <v>704</v>
      </c>
    </row>
    <row r="8" spans="1:3" x14ac:dyDescent="0.25">
      <c r="A8" s="36" t="s">
        <v>171</v>
      </c>
      <c r="B8" s="36" t="s">
        <v>172</v>
      </c>
      <c r="C8" s="24">
        <v>3300</v>
      </c>
    </row>
    <row r="9" spans="1:3" x14ac:dyDescent="0.25">
      <c r="A9" s="37" t="s">
        <v>173</v>
      </c>
      <c r="B9" s="37" t="s">
        <v>174</v>
      </c>
      <c r="C9" s="26">
        <v>7392</v>
      </c>
    </row>
    <row r="10" spans="1:3" x14ac:dyDescent="0.25">
      <c r="A10" s="36" t="s">
        <v>175</v>
      </c>
      <c r="B10" s="36" t="s">
        <v>176</v>
      </c>
      <c r="C10" s="24">
        <v>-10</v>
      </c>
    </row>
    <row r="11" spans="1:3" x14ac:dyDescent="0.25">
      <c r="A11" s="37" t="s">
        <v>86</v>
      </c>
      <c r="B11" s="37" t="s">
        <v>177</v>
      </c>
      <c r="C11" s="26">
        <v>25000</v>
      </c>
    </row>
    <row r="12" spans="1:3" x14ac:dyDescent="0.25">
      <c r="A12" s="36" t="s">
        <v>108</v>
      </c>
      <c r="B12" s="36" t="s">
        <v>178</v>
      </c>
      <c r="C12" s="24">
        <v>-317.70999999999998</v>
      </c>
    </row>
    <row r="13" spans="1:3" x14ac:dyDescent="0.25">
      <c r="A13" s="37" t="s">
        <v>99</v>
      </c>
      <c r="B13" s="37" t="s">
        <v>179</v>
      </c>
      <c r="C13" s="26">
        <v>8500</v>
      </c>
    </row>
    <row r="14" spans="1:3" x14ac:dyDescent="0.25">
      <c r="A14" s="36" t="s">
        <v>100</v>
      </c>
      <c r="B14" s="36" t="s">
        <v>179</v>
      </c>
      <c r="C14" s="24">
        <v>6800</v>
      </c>
    </row>
    <row r="15" spans="1:3" x14ac:dyDescent="0.25">
      <c r="A15" s="37" t="s">
        <v>109</v>
      </c>
      <c r="B15" s="37" t="s">
        <v>180</v>
      </c>
      <c r="C15" s="26">
        <v>40840.71</v>
      </c>
    </row>
    <row r="16" spans="1:3" x14ac:dyDescent="0.25">
      <c r="A16" s="36" t="s">
        <v>109</v>
      </c>
      <c r="B16" s="36" t="s">
        <v>181</v>
      </c>
      <c r="C16" s="24">
        <v>40840.720000000001</v>
      </c>
    </row>
    <row r="17" spans="1:3" x14ac:dyDescent="0.25">
      <c r="A17" s="37" t="s">
        <v>129</v>
      </c>
      <c r="B17" s="37" t="s">
        <v>182</v>
      </c>
      <c r="C17" s="26">
        <v>33540</v>
      </c>
    </row>
    <row r="18" spans="1:3" x14ac:dyDescent="0.25">
      <c r="A18" s="36" t="s">
        <v>131</v>
      </c>
      <c r="B18" s="36" t="s">
        <v>182</v>
      </c>
      <c r="C18" s="24">
        <v>13072</v>
      </c>
    </row>
    <row r="19" spans="1:3" x14ac:dyDescent="0.25">
      <c r="A19" s="37" t="s">
        <v>183</v>
      </c>
      <c r="B19" s="37" t="s">
        <v>184</v>
      </c>
      <c r="C19" s="26">
        <v>30000</v>
      </c>
    </row>
    <row r="20" spans="1:3" x14ac:dyDescent="0.25">
      <c r="A20" s="36" t="s">
        <v>185</v>
      </c>
      <c r="B20" s="36" t="s">
        <v>184</v>
      </c>
      <c r="C20" s="24">
        <v>30000</v>
      </c>
    </row>
    <row r="21" spans="1:3" x14ac:dyDescent="0.25">
      <c r="A21" s="37" t="s">
        <v>186</v>
      </c>
      <c r="B21" s="37" t="s">
        <v>187</v>
      </c>
      <c r="C21" s="26">
        <v>164900</v>
      </c>
    </row>
    <row r="22" spans="1:3" x14ac:dyDescent="0.25">
      <c r="A22" s="36" t="s">
        <v>188</v>
      </c>
      <c r="B22" s="36" t="s">
        <v>189</v>
      </c>
      <c r="C22" s="24">
        <v>39500</v>
      </c>
    </row>
    <row r="23" spans="1:3" x14ac:dyDescent="0.25">
      <c r="A23" s="37" t="s">
        <v>190</v>
      </c>
      <c r="B23" s="37" t="s">
        <v>191</v>
      </c>
      <c r="C23" s="26">
        <v>109000</v>
      </c>
    </row>
    <row r="24" spans="1:3" x14ac:dyDescent="0.25">
      <c r="A24" s="36" t="s">
        <v>66</v>
      </c>
      <c r="B24" s="36" t="s">
        <v>192</v>
      </c>
      <c r="C24" s="24">
        <v>29220</v>
      </c>
    </row>
    <row r="25" spans="1:3" x14ac:dyDescent="0.25">
      <c r="A25" s="37" t="s">
        <v>66</v>
      </c>
      <c r="B25" s="37" t="s">
        <v>193</v>
      </c>
      <c r="C25" s="26">
        <v>22000</v>
      </c>
    </row>
    <row r="26" spans="1:3" x14ac:dyDescent="0.25">
      <c r="A26" s="36" t="s">
        <v>66</v>
      </c>
      <c r="B26" s="36" t="s">
        <v>194</v>
      </c>
      <c r="C26" s="24">
        <v>22000</v>
      </c>
    </row>
    <row r="27" spans="1:3" x14ac:dyDescent="0.25">
      <c r="A27" s="37" t="s">
        <v>66</v>
      </c>
      <c r="B27" s="37" t="s">
        <v>195</v>
      </c>
      <c r="C27" s="26">
        <v>22000</v>
      </c>
    </row>
    <row r="28" spans="1:3" x14ac:dyDescent="0.25">
      <c r="A28" s="40" t="s">
        <v>66</v>
      </c>
      <c r="B28" s="40" t="s">
        <v>196</v>
      </c>
      <c r="C28" s="41">
        <v>22000</v>
      </c>
    </row>
    <row r="29" spans="1:3" s="44" customFormat="1" x14ac:dyDescent="0.25">
      <c r="A29" s="42" t="s">
        <v>0</v>
      </c>
      <c r="B29" s="42"/>
      <c r="C29" s="43">
        <f>SUBTOTAL(109,Tabla3[Imp. aplic.])</f>
        <v>716361.72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4F96-9494-4711-BAD6-5BBD1DE61BB4}">
  <dimension ref="A1:C22"/>
  <sheetViews>
    <sheetView workbookViewId="0">
      <selection activeCell="C23" sqref="C23"/>
    </sheetView>
  </sheetViews>
  <sheetFormatPr baseColWidth="10" defaultRowHeight="15" x14ac:dyDescent="0.25"/>
  <cols>
    <col min="1" max="1" width="19" customWidth="1"/>
    <col min="2" max="2" width="44.7109375" customWidth="1"/>
    <col min="3" max="3" width="23" customWidth="1"/>
  </cols>
  <sheetData>
    <row r="1" spans="1:3" x14ac:dyDescent="0.25">
      <c r="A1" s="47" t="s">
        <v>160</v>
      </c>
      <c r="B1" s="48" t="s">
        <v>89</v>
      </c>
      <c r="C1" s="48" t="s">
        <v>161</v>
      </c>
    </row>
    <row r="2" spans="1:3" x14ac:dyDescent="0.25">
      <c r="A2" s="49" t="s">
        <v>90</v>
      </c>
      <c r="B2" s="50" t="s">
        <v>228</v>
      </c>
      <c r="C2" s="51">
        <v>20000</v>
      </c>
    </row>
    <row r="3" spans="1:3" x14ac:dyDescent="0.25">
      <c r="A3" s="52" t="s">
        <v>97</v>
      </c>
      <c r="B3" s="53" t="s">
        <v>229</v>
      </c>
      <c r="C3" s="54">
        <v>5280</v>
      </c>
    </row>
    <row r="4" spans="1:3" x14ac:dyDescent="0.25">
      <c r="A4" s="49" t="s">
        <v>98</v>
      </c>
      <c r="B4" s="50" t="s">
        <v>230</v>
      </c>
      <c r="C4" s="51">
        <v>6000</v>
      </c>
    </row>
    <row r="5" spans="1:3" x14ac:dyDescent="0.25">
      <c r="A5" s="52" t="s">
        <v>98</v>
      </c>
      <c r="B5" s="53" t="s">
        <v>231</v>
      </c>
      <c r="C5" s="54">
        <v>6000</v>
      </c>
    </row>
    <row r="6" spans="1:3" x14ac:dyDescent="0.25">
      <c r="A6" s="49" t="s">
        <v>165</v>
      </c>
      <c r="B6" s="50" t="s">
        <v>232</v>
      </c>
      <c r="C6" s="51">
        <v>5280</v>
      </c>
    </row>
    <row r="7" spans="1:3" x14ac:dyDescent="0.25">
      <c r="A7" s="52" t="s">
        <v>233</v>
      </c>
      <c r="B7" s="53" t="s">
        <v>234</v>
      </c>
      <c r="C7" s="54">
        <v>4400</v>
      </c>
    </row>
    <row r="8" spans="1:3" x14ac:dyDescent="0.25">
      <c r="A8" s="49" t="s">
        <v>233</v>
      </c>
      <c r="B8" s="50" t="s">
        <v>235</v>
      </c>
      <c r="C8" s="51">
        <v>4400</v>
      </c>
    </row>
    <row r="9" spans="1:3" x14ac:dyDescent="0.25">
      <c r="A9" s="52" t="s">
        <v>236</v>
      </c>
      <c r="B9" s="53" t="s">
        <v>237</v>
      </c>
      <c r="C9" s="54">
        <v>8800</v>
      </c>
    </row>
    <row r="10" spans="1:3" x14ac:dyDescent="0.25">
      <c r="A10" s="49" t="s">
        <v>236</v>
      </c>
      <c r="B10" s="50" t="s">
        <v>238</v>
      </c>
      <c r="C10" s="51">
        <v>8800</v>
      </c>
    </row>
    <row r="11" spans="1:3" x14ac:dyDescent="0.25">
      <c r="A11" s="52" t="s">
        <v>86</v>
      </c>
      <c r="B11" s="53" t="s">
        <v>239</v>
      </c>
      <c r="C11" s="54">
        <v>-25000</v>
      </c>
    </row>
    <row r="12" spans="1:3" x14ac:dyDescent="0.25">
      <c r="A12" s="49" t="s">
        <v>86</v>
      </c>
      <c r="B12" s="50" t="s">
        <v>240</v>
      </c>
      <c r="C12" s="51">
        <v>-1806.01</v>
      </c>
    </row>
    <row r="13" spans="1:3" x14ac:dyDescent="0.25">
      <c r="A13" s="52" t="s">
        <v>129</v>
      </c>
      <c r="B13" s="53" t="s">
        <v>241</v>
      </c>
      <c r="C13" s="54">
        <v>20670</v>
      </c>
    </row>
    <row r="14" spans="1:3" x14ac:dyDescent="0.25">
      <c r="A14" s="49" t="s">
        <v>131</v>
      </c>
      <c r="B14" s="50" t="s">
        <v>241</v>
      </c>
      <c r="C14" s="51">
        <v>8056</v>
      </c>
    </row>
    <row r="15" spans="1:3" x14ac:dyDescent="0.25">
      <c r="A15" s="52" t="s">
        <v>183</v>
      </c>
      <c r="B15" s="53" t="s">
        <v>242</v>
      </c>
      <c r="C15" s="54">
        <v>20000</v>
      </c>
    </row>
    <row r="16" spans="1:3" x14ac:dyDescent="0.25">
      <c r="A16" s="49" t="s">
        <v>185</v>
      </c>
      <c r="B16" s="50" t="s">
        <v>242</v>
      </c>
      <c r="C16" s="51">
        <v>20000</v>
      </c>
    </row>
    <row r="17" spans="1:3" x14ac:dyDescent="0.25">
      <c r="A17" s="52" t="s">
        <v>188</v>
      </c>
      <c r="B17" s="53" t="s">
        <v>243</v>
      </c>
      <c r="C17" s="54">
        <v>118500</v>
      </c>
    </row>
    <row r="18" spans="1:3" ht="15.75" thickBot="1" x14ac:dyDescent="0.3">
      <c r="A18" s="49" t="s">
        <v>244</v>
      </c>
      <c r="B18" s="50" t="s">
        <v>245</v>
      </c>
      <c r="C18" s="51">
        <v>4000</v>
      </c>
    </row>
    <row r="19" spans="1:3" ht="15.75" thickTop="1" x14ac:dyDescent="0.25">
      <c r="A19" s="55" t="s">
        <v>0</v>
      </c>
      <c r="B19" s="56"/>
      <c r="C19" s="57">
        <v>233379.99</v>
      </c>
    </row>
    <row r="22" spans="1:3" x14ac:dyDescent="0.25">
      <c r="B22" s="45" t="s">
        <v>246</v>
      </c>
      <c r="C22" s="46">
        <f>C19+Tabla2[[#Totals],[Imp.cob.aplic.]]+Tabla3[[#Totals],[Imp. aplic.]]</f>
        <v>1452043.4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2026-05-25T11:31:27Z</dcterms:modified>
</cp:coreProperties>
</file>