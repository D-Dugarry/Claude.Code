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nexe.ua.es/remote.php/dav/files/mayte.pujalte@ua.es/_Unidad_Presupuestos/2_PRESUPUESTACIÓN/Presupuesto 2027/Datos/D-I/Indicadores provisionales/"/>
    </mc:Choice>
  </mc:AlternateContent>
  <xr:revisionPtr revIDLastSave="0" documentId="13_ncr:1_{3DFFF7D5-568A-4D6B-8594-6F0D70AECE73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Tesis" sheetId="2" r:id="rId1"/>
    <sheet name="Sexenios" sheetId="3" r:id="rId2"/>
    <sheet name="Ingresos investigación 2023" sheetId="9" r:id="rId3"/>
    <sheet name="Ingresos investigación 2024" sheetId="10" r:id="rId4"/>
    <sheet name="Ingresos investigación 2025" sheetId="11" r:id="rId5"/>
  </sheets>
  <definedNames>
    <definedName name="_xlnm._FilterDatabase" localSheetId="1" hidden="1">Sexenios!#REF!</definedName>
    <definedName name="_xlnm._FilterDatabase" localSheetId="0" hidden="1">Tesis!$A$1:$U$1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11" l="1"/>
  <c r="C5" i="10"/>
  <c r="S13" i="3"/>
  <c r="S23" i="2" l="1"/>
</calcChain>
</file>

<file path=xl/sharedStrings.xml><?xml version="1.0" encoding="utf-8"?>
<sst xmlns="http://schemas.openxmlformats.org/spreadsheetml/2006/main" count="423" uniqueCount="179">
  <si>
    <t>Total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</si>
  <si>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</si>
  <si>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</si>
  <si>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</si>
  <si>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</si>
  <si>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</si>
  <si>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</si>
  <si>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</si>
  <si>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</si>
  <si>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</si>
  <si>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</si>
  <si>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</si>
  <si>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</si>
  <si>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</si>
  <si>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</si>
  <si>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</si>
  <si>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</si>
  <si>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</si>
  <si>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</si>
  <si>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</si>
  <si>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</si>
  <si>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</si>
  <si>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</si>
  <si>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/>
  </si>
  <si>
    <t>Director de tesis </t>
  </si>
  <si>
    <t>10.25</t>
  </si>
  <si>
    <t>60</t>
  </si>
  <si>
    <t>U023 </t>
  </si>
  <si>
    <t>ADM. FACULTAD DE FILOSOFIA Y LETRAS </t>
  </si>
  <si>
    <t>10.23</t>
  </si>
  <si>
    <t>U073 </t>
  </si>
  <si>
    <t>ADM. I.U. INVESTIGACIÓN DE ESTUDIOS DE GÉNERO </t>
  </si>
  <si>
    <t>DOCTORADO EN ESTUDIOS INTERDISCIPLINARES DE GÉNERO </t>
  </si>
  <si>
    <t>DOCTORADO EN FILOSOFÍA Y LETRAS </t>
  </si>
  <si>
    <t>B174 </t>
  </si>
  <si>
    <t>HISTORIA MEDIEVAL, HISTORIA MODERNA Y CIENCIAS Y TÉCNICAS HISTORIOGRÀFICAS </t>
  </si>
  <si>
    <t>22126836P </t>
  </si>
  <si>
    <t>B174</t>
  </si>
  <si>
    <t>21395777G </t>
  </si>
  <si>
    <t>74171221Q </t>
  </si>
  <si>
    <t>21436046T </t>
  </si>
  <si>
    <t>50283950Q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</si>
  <si>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</si>
  <si>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</si>
  <si>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</si>
  <si>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</si>
  <si>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</si>
  <si>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</si>
  <si>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</si>
  <si>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</si>
  <si>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</si>
  <si>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</si>
  <si>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</si>
  <si>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</si>
  <si>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</si>
  <si>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21395777G</t>
  </si>
  <si>
    <t>21436046T</t>
  </si>
  <si>
    <t>21413644T</t>
  </si>
  <si>
    <t>22126836P</t>
  </si>
  <si>
    <t>50283950Q</t>
  </si>
  <si>
    <t>21978192J</t>
  </si>
  <si>
    <t>74171221Q</t>
  </si>
  <si>
    <t>Castro Carbonell, Ana Isabel </t>
  </si>
  <si>
    <t>MUERTE, ESPIRITUALIDAD Y MATERIALIDAD EN EL SUR DEL REINO DE VALENCIA (SIGLOS XIV-XVI) </t>
  </si>
  <si>
    <t>31/01/2020 </t>
  </si>
  <si>
    <t>Die Maculet, María del Rosario </t>
  </si>
  <si>
    <t>LA CORRESPONDENCIA ERUDITA DE ANTONIO VALCÁRCEL PIO DE SABOYA, CONDE DE LUMIARES (1748-1808) </t>
  </si>
  <si>
    <t>15/09/2020 </t>
  </si>
  <si>
    <t>Pérez Pérez, Lucía Del Mar </t>
  </si>
  <si>
    <t>LA VOZ DE LA PROFECÍA FEMENINA DE LOS JESUITAS ESPAÑOLES (1767-1814) </t>
  </si>
  <si>
    <t>28/11/2019 </t>
  </si>
  <si>
    <t>Pometti Benítez, Kevin Albert </t>
  </si>
  <si>
    <t>INESTABILIDAD AMBIENTAL Y SALUD PÚBLICA EN UNA CIUDAD MEDITERRÁNEA DEL ANTIGUO RÉGIMEN, BARCELONA ENTRE EL PALUDISMO Y LA FIEBRE AMARILLA (1780-1821) </t>
  </si>
  <si>
    <t>04/12/2019 </t>
  </si>
  <si>
    <t>COD DEP</t>
  </si>
  <si>
    <t>50</t>
  </si>
  <si>
    <t>B112 </t>
  </si>
  <si>
    <t>DIDACTICA GENERAL Y DIDÁCTICAS ESPECÍFICAS </t>
  </si>
  <si>
    <t>DOCTORADO EN INVESTIGACIÓN EDUCATIVA </t>
  </si>
  <si>
    <t>Ventura Romero, José Modesto </t>
  </si>
  <si>
    <t>Factores asociados a las causas de deserción estudiantil en instituciones de educación superior de El Salvador </t>
  </si>
  <si>
    <t>31/05/2021 </t>
  </si>
  <si>
    <t>DOCTORADO EN TRANSFERENCIAS INTERCULTURALES E HISTÓRICAS EN LA EUROPA MEDIE </t>
  </si>
  <si>
    <t>Soler Molina, Joan Abel </t>
  </si>
  <si>
    <t>Intervenció senyorial i transformacions locals a la baronia de Rebollet-Comtat d'Oliva (segles XIII-XVI). Els Carròs i el Centelles </t>
  </si>
  <si>
    <t>04/03/2021 </t>
  </si>
  <si>
    <t>Blanco Fernández, Marta Susana </t>
  </si>
  <si>
    <t>Origen, demonización y pervivencia de lo divino femenino en la península ibérica. Una aproximación desde la tealogía y el ecofeminismo </t>
  </si>
  <si>
    <t>28/05/2021 </t>
  </si>
  <si>
    <t>Crespo Amat, Carlos </t>
  </si>
  <si>
    <t>Entre Castilla, la Corona de Aragón y el Mediterráneo: la formación de un mercado transnacional en el reino de Valencia durante la Baja Edad Media (1370-1430) </t>
  </si>
  <si>
    <t>30/09/2021 </t>
  </si>
  <si>
    <t>Cañizares Gómez, María José </t>
  </si>
  <si>
    <t>Iglesia, frontera y poder: el pleito del obispado de Orihuela entre la Corona de Castilla y la Corona de Aragón (siglos XIII y XVI) </t>
  </si>
  <si>
    <t>29/09/2021 </t>
  </si>
  <si>
    <t>Ávila Martínez, María Teresa </t>
  </si>
  <si>
    <t>Una viajera con nombre propio: Lady Elizabeth Holland y sus cuadernos hispanos </t>
  </si>
  <si>
    <t>27/05/2022 </t>
  </si>
  <si>
    <t>Corona Verdú, Rafael </t>
  </si>
  <si>
    <t>Viri ac mulieres ludentes. Los hábitos higiénicos y los juegos recreativos como elementos articuladores del hecho deportivo en la España Moderna (1700-1812) </t>
  </si>
  <si>
    <t>25/07/2022 </t>
  </si>
  <si>
    <t>44765640G</t>
  </si>
  <si>
    <t>NO FUNCIONARIO</t>
  </si>
  <si>
    <t>Descripción justificante</t>
  </si>
  <si>
    <t>30.30.6P.00.11</t>
  </si>
  <si>
    <t>"Y si valer no pudiere por testamento, valga por codicilo". La cultura de la muerte en Alicante durante el Setecientos. </t>
  </si>
  <si>
    <t>27/01/2023 </t>
  </si>
  <si>
    <t>21466262V </t>
  </si>
  <si>
    <t>La percepción de la naturaleza, el clima y las catástrofes en los epistolarios españoles del siglo XVIII. La correspondencia de los Borbones españoles como fuente climática. </t>
  </si>
  <si>
    <t>05/06/2023 </t>
  </si>
  <si>
    <t>I.U. INVESTIGACIÓN DE ESTUDIOS DE GÉNERO (10.23) </t>
  </si>
  <si>
    <t>Aprendiendo a ser hombre. La construcción de la masculinidad hegemónica en la modernidad </t>
  </si>
  <si>
    <t>16/12/2022 </t>
  </si>
  <si>
    <t>21491656L</t>
  </si>
  <si>
    <t>sin ingresos investigación 2023</t>
  </si>
  <si>
    <t>U023</t>
  </si>
  <si>
    <t>ADM. FACULTAD DE FILOSOFIA Y LETRAS</t>
  </si>
  <si>
    <t>DOCTORADO EN FILOSOFÍA Y LETRAS</t>
  </si>
  <si>
    <t>Berná Ortigosa, Antonio Manuel</t>
  </si>
  <si>
    <t>Prensa y desastres en el Mercurio Histórico Político-Mercurio de España (1738-1830)</t>
  </si>
  <si>
    <t>16/01/2024</t>
  </si>
  <si>
    <t>Codirector de tesis</t>
  </si>
  <si>
    <t>HISTORIA MEDIEVAL, HISTORIA MODERNA Y CIENCIAS Y TÉCNICAS HISTORIOGRÀFICAS</t>
  </si>
  <si>
    <t>S</t>
  </si>
  <si>
    <t>Lozano Díaz, José Daniel</t>
  </si>
  <si>
    <t>La percepción del clima, la naturaleza y los desastres a partir de la Gazeta de Madrid durante el siglo XVIII</t>
  </si>
  <si>
    <t>02/07/2024</t>
  </si>
  <si>
    <t>Director de tesis</t>
  </si>
  <si>
    <t>U075</t>
  </si>
  <si>
    <t>I.U.INVESTIGACIÓN DE ESTUDIOS SOCIALES DE AMÉRICA LATINA (10.25)</t>
  </si>
  <si>
    <t>DOCTORADO EN HUMANIDADES Y ESTUDIOS SOCIALES DE AMÉRICA LATINA</t>
  </si>
  <si>
    <t>Parada Giraldo, Daryeny</t>
  </si>
  <si>
    <t>CARTOGRAFÍA TEATRAL-CULTURAL A PARTIR DEL ANÁLISIS DE LA DANZA RITUAL</t>
  </si>
  <si>
    <t>14/11/2023</t>
  </si>
  <si>
    <t>Ropero Mérida, Antonio</t>
  </si>
  <si>
    <t>Andreu Candela, Irene</t>
  </si>
  <si>
    <t>Herranz Velázquez, Fernando</t>
  </si>
  <si>
    <t xml:space="preserve">U023 </t>
  </si>
  <si>
    <t>Robles Delgado, Alberto</t>
  </si>
  <si>
    <t>Épica y barbarie en la pantalla: Representación de la cultura vikinga a través de las ficciones del cine y la televisión</t>
  </si>
  <si>
    <t>21/09/2023</t>
  </si>
  <si>
    <t xml:space="preserve">21436046T </t>
  </si>
  <si>
    <t>10</t>
  </si>
  <si>
    <t>25</t>
  </si>
  <si>
    <t>20</t>
  </si>
  <si>
    <t>30</t>
  </si>
  <si>
    <t>48315462Y</t>
  </si>
  <si>
    <t>74009417V</t>
  </si>
  <si>
    <t>Org. aplic.</t>
  </si>
  <si>
    <t>Imp. aplic.</t>
  </si>
  <si>
    <t>30.30.6C.00.03</t>
  </si>
  <si>
    <t>Transcripción de protocolos notariales medievales de Castalla en Archivo Mpal. de Jijona. Protocolo de Joan Pérez (1460-1461). Un volumen.</t>
  </si>
  <si>
    <t>30.30.6C.00.04</t>
  </si>
  <si>
    <t>Transcripción de documentación medieval. Años 1456, 1457 y 1458. Expte.: 2010/2024</t>
  </si>
  <si>
    <t xml:space="preserve">PID2021-122263OB-C22 -122320NA-I00 -122397NB-C22 --122500OB-I00 -122685OB-I00 -122988NB-I00 -123079OB-I00 -123091NB-C22 -123118NA-I00 -123124OB-I00 -123699NB-I00-123135OB-C21 -123453NB-I00 -123956OB-I00 </t>
  </si>
  <si>
    <t>Administración Facultad de Filosofía y Letras</t>
  </si>
  <si>
    <t>Angelino Pardo, Maria Alejandra</t>
  </si>
  <si>
    <t>Leonor Francès ante el Tribunal de la Inquisición de Valencia. La biografía de una conversa valenciana entre finales del siglo XV y principios del siglo XVI</t>
  </si>
  <si>
    <t>24/01/2025</t>
  </si>
  <si>
    <t>Historia Medieval, Historia Moderna y Ciencias y Técnicas Historiográficas</t>
  </si>
  <si>
    <t>2020</t>
  </si>
  <si>
    <t>2021</t>
  </si>
  <si>
    <t>2022</t>
  </si>
  <si>
    <t>2023</t>
  </si>
  <si>
    <t>2024</t>
  </si>
  <si>
    <t>2025</t>
  </si>
  <si>
    <t>Alberola Romá, Armando</t>
  </si>
  <si>
    <t>Bernabé Gil, David</t>
  </si>
  <si>
    <t>Barrio Barrio, Juan Antonio</t>
  </si>
  <si>
    <t>Carrasco Rodríguez, Antonio</t>
  </si>
  <si>
    <t>Irles Vicente, María del Carmen</t>
  </si>
  <si>
    <t>Cabezuelo Pliego, José Vicente</t>
  </si>
  <si>
    <t>Soler Milla, Juan Leonardo</t>
  </si>
  <si>
    <t>García Arenas, María del Mar</t>
  </si>
  <si>
    <t>Fernández Arrillaga, María Inmaculada Concepcion</t>
  </si>
  <si>
    <t>García Torres, Adrián</t>
  </si>
  <si>
    <t>Mas Galvañ, Cayetano Enrique</t>
  </si>
  <si>
    <t>sin ingresos investigación 2025</t>
  </si>
  <si>
    <t>Total ingresos investigación 2023-25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</si>
</sst>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€_-;\-* #,##0.00\ _€_-;_-* &quot;-&quot;??\ _€_-;_-@_-"/>
    <numFmt numFmtId="165" formatCode="0.0"/>
  </numFmts>
  <fonts count="13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7">
    <xf numFmtId="0" fontId="0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4" fontId="10" fillId="0" borderId="0" applyFont="0" applyFill="0" applyBorder="0" applyAlignment="0" applyProtection="0"/>
  </cellStyleXfs>
  <cellXfs count="38">
    <xf numFmtId="0" fontId="0" fillId="0" borderId="0" xfId="0"/>
    <xf numFmtId="0" fontId="3" fillId="3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4" fillId="3" borderId="1" xfId="2" applyFont="1" applyFill="1" applyBorder="1" applyAlignment="1">
      <alignment horizontal="center"/>
    </xf>
    <xf numFmtId="0" fontId="4" fillId="3" borderId="1" xfId="3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right" wrapText="1"/>
    </xf>
    <xf numFmtId="0" fontId="2" fillId="4" borderId="0" xfId="1" applyFill="1"/>
    <xf numFmtId="0" fontId="2" fillId="4" borderId="0" xfId="1" applyFill="1" applyAlignment="1">
      <alignment horizontal="right"/>
    </xf>
    <xf numFmtId="0" fontId="8" fillId="5" borderId="1" xfId="3" applyFont="1" applyFill="1" applyBorder="1" applyAlignment="1">
      <alignment horizontal="center" textRotation="90" wrapText="1"/>
    </xf>
    <xf numFmtId="0" fontId="8" fillId="3" borderId="1" xfId="3" applyFont="1" applyFill="1" applyBorder="1" applyAlignment="1">
      <alignment horizontal="center" textRotation="90" wrapText="1"/>
    </xf>
    <xf numFmtId="0" fontId="5" fillId="0" borderId="0" xfId="5" applyFont="1"/>
    <xf numFmtId="0" fontId="9" fillId="0" borderId="0" xfId="5" applyFont="1"/>
    <xf numFmtId="0" fontId="9" fillId="0" borderId="0" xfId="5" applyFont="1" applyAlignment="1">
      <alignment horizontal="right"/>
    </xf>
    <xf numFmtId="0" fontId="7" fillId="2" borderId="1" xfId="0" applyFont="1" applyFill="1" applyBorder="1"/>
    <xf numFmtId="0" fontId="7" fillId="2" borderId="1" xfId="0" applyFont="1" applyFill="1" applyBorder="1" applyAlignment="1">
      <alignment textRotation="90"/>
    </xf>
    <xf numFmtId="0" fontId="8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4" borderId="1" xfId="1" applyFill="1" applyBorder="1"/>
    <xf numFmtId="43" fontId="0" fillId="7" borderId="2" xfId="6" applyNumberFormat="1" applyFont="1" applyFill="1" applyBorder="1"/>
    <xf numFmtId="43" fontId="0" fillId="0" borderId="2" xfId="6" applyNumberFormat="1" applyFont="1" applyBorder="1"/>
    <xf numFmtId="0" fontId="2" fillId="8" borderId="0" xfId="1" applyFill="1"/>
    <xf numFmtId="0" fontId="2" fillId="8" borderId="0" xfId="1" applyFill="1" applyAlignment="1">
      <alignment horizontal="right"/>
    </xf>
    <xf numFmtId="0" fontId="0" fillId="0" borderId="1" xfId="0" applyBorder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165" fontId="11" fillId="8" borderId="0" xfId="0" applyNumberFormat="1" applyFont="1" applyFill="1"/>
    <xf numFmtId="165" fontId="3" fillId="8" borderId="0" xfId="1" applyNumberFormat="1" applyFont="1" applyFill="1"/>
    <xf numFmtId="0" fontId="0" fillId="0" borderId="4" xfId="0" applyBorder="1"/>
    <xf numFmtId="43" fontId="0" fillId="0" borderId="4" xfId="0" applyNumberFormat="1" applyBorder="1"/>
    <xf numFmtId="0" fontId="0" fillId="7" borderId="2" xfId="0" applyFill="1" applyBorder="1"/>
    <xf numFmtId="0" fontId="0" fillId="0" borderId="2" xfId="0" applyBorder="1"/>
    <xf numFmtId="0" fontId="12" fillId="6" borderId="3" xfId="0" applyFont="1" applyFill="1" applyBorder="1"/>
    <xf numFmtId="43" fontId="12" fillId="6" borderId="3" xfId="6" applyNumberFormat="1" applyFont="1" applyFill="1" applyBorder="1"/>
    <xf numFmtId="0" fontId="0" fillId="7" borderId="4" xfId="0" applyFill="1" applyBorder="1"/>
    <xf numFmtId="43" fontId="0" fillId="7" borderId="4" xfId="6" applyNumberFormat="1" applyFont="1" applyFill="1" applyBorder="1"/>
    <xf numFmtId="0" fontId="11" fillId="0" borderId="1" xfId="0" applyFont="1" applyBorder="1"/>
    <xf numFmtId="43" fontId="11" fillId="0" borderId="1" xfId="0" applyNumberFormat="1" applyFont="1" applyBorder="1"/>
  </cellXfs>
  <cellStyles count="7">
    <cellStyle name="Millares" xfId="6" builtinId="3"/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6000000}"/>
  </cellStyles>
  <dxfs count="3"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684248-54C0-4094-80C5-48EF1F4435AA}" name="Tabla2" displayName="Tabla2" ref="A1:C5" totalsRowCount="1" headerRowBorderDxfId="2" tableBorderDxfId="1" totalsRowBorderDxfId="0">
  <autoFilter ref="A1:C4" xr:uid="{58684248-54C0-4094-80C5-48EF1F4435AA}"/>
  <tableColumns count="3">
    <tableColumn id="1" xr3:uid="{0AD0CC59-0149-48CA-A0A6-2F7003F1486F}" name="Org. aplic." totalsRowLabel="Total"/>
    <tableColumn id="2" xr3:uid="{6D1880DD-19BE-4F4C-87E6-90004C2CDB75}" name="Descripción justificante"/>
    <tableColumn id="3" xr3:uid="{987F8B4E-8AEE-4985-8415-B9CDAF289122}" name="Imp. aplic.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23"/>
  <sheetViews>
    <sheetView showGridLines="0" zoomScale="120" zoomScaleNormal="12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28" sqref="F28"/>
    </sheetView>
  </sheetViews>
  <sheetFormatPr baseColWidth="10" defaultColWidth="10.33203125" defaultRowHeight="10.199999999999999" x14ac:dyDescent="0.2"/>
  <cols>
    <col min="1" max="1" width="5" style="6" customWidth="1"/>
    <col min="2" max="2" width="29.6640625" style="6" customWidth="1"/>
    <col min="3" max="3" width="15" style="6" customWidth="1"/>
    <col min="4" max="4" width="21.5546875" style="6" customWidth="1"/>
    <col min="5" max="5" width="19.6640625" style="6" customWidth="1"/>
    <col min="6" max="6" width="9.109375" style="6" customWidth="1"/>
    <col min="7" max="7" width="9.6640625" style="6" customWidth="1"/>
    <col min="8" max="8" width="14.44140625" style="6" customWidth="1"/>
    <col min="9" max="9" width="5.88671875" style="6" customWidth="1"/>
    <col min="10" max="10" width="25.6640625" style="6" customWidth="1"/>
    <col min="11" max="12" width="5.109375" style="6" customWidth="1"/>
    <col min="13" max="13" width="4.44140625" style="6" customWidth="1"/>
    <col min="14" max="14" width="4.88671875" style="6" customWidth="1"/>
    <col min="15" max="15" width="4.88671875" style="7" customWidth="1"/>
    <col min="16" max="16" width="4.88671875" style="6" customWidth="1"/>
    <col min="17" max="17" width="3.5546875" style="7" customWidth="1"/>
    <col min="18" max="18" width="3.5546875" style="6" customWidth="1"/>
    <col min="19" max="21" width="5.109375" style="6" customWidth="1"/>
    <col min="22" max="16384" width="10.33203125" style="6"/>
  </cols>
  <sheetData>
    <row r="1" spans="1:21" ht="40.799999999999997" x14ac:dyDescent="0.2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1" t="s">
        <v>9</v>
      </c>
      <c r="J1" s="2" t="s">
        <v>10</v>
      </c>
      <c r="K1" s="1" t="s">
        <v>11</v>
      </c>
      <c r="L1" s="2" t="s">
        <v>12</v>
      </c>
      <c r="M1" s="3" t="s">
        <v>13</v>
      </c>
      <c r="N1" s="4" t="s">
        <v>14</v>
      </c>
      <c r="O1" s="5" t="s">
        <v>15</v>
      </c>
      <c r="P1" s="4" t="s">
        <v>16</v>
      </c>
      <c r="Q1" s="5" t="s">
        <v>17</v>
      </c>
      <c r="R1" s="4" t="s">
        <v>18</v>
      </c>
      <c r="S1" s="4" t="s">
        <v>19</v>
      </c>
      <c r="T1" s="4" t="s">
        <v>20</v>
      </c>
      <c r="U1" s="4" t="s">
        <v>21</v>
      </c>
    </row>
    <row r="2" spans="1:21" x14ac:dyDescent="0.2">
      <c r="A2" s="18" t="s">
        <v>27</v>
      </c>
      <c r="B2" s="18" t="s">
        <v>28</v>
      </c>
      <c r="C2" s="18" t="s">
        <v>33</v>
      </c>
      <c r="D2" s="18" t="s">
        <v>65</v>
      </c>
      <c r="E2" s="18" t="s">
        <v>66</v>
      </c>
      <c r="F2" s="18" t="s">
        <v>67</v>
      </c>
      <c r="G2" s="18" t="s">
        <v>39</v>
      </c>
      <c r="H2" s="18" t="s">
        <v>22</v>
      </c>
      <c r="I2" s="18" t="s">
        <v>34</v>
      </c>
      <c r="J2" s="18" t="s">
        <v>35</v>
      </c>
      <c r="K2" s="18">
        <v>0.5</v>
      </c>
      <c r="L2" s="18" t="s">
        <v>37</v>
      </c>
      <c r="M2" s="18">
        <v>2019</v>
      </c>
      <c r="N2" s="18" t="s">
        <v>23</v>
      </c>
      <c r="O2" s="18" t="s">
        <v>23</v>
      </c>
      <c r="P2" s="18" t="s">
        <v>23</v>
      </c>
      <c r="Q2" s="18" t="s">
        <v>23</v>
      </c>
      <c r="R2" s="18">
        <v>100</v>
      </c>
      <c r="S2" s="18">
        <v>0.5</v>
      </c>
      <c r="T2" s="18">
        <v>0</v>
      </c>
      <c r="U2" s="18">
        <v>0</v>
      </c>
    </row>
    <row r="3" spans="1:21" x14ac:dyDescent="0.2">
      <c r="A3" s="18" t="s">
        <v>27</v>
      </c>
      <c r="B3" s="18" t="s">
        <v>28</v>
      </c>
      <c r="C3" s="18" t="s">
        <v>33</v>
      </c>
      <c r="D3" s="18" t="s">
        <v>71</v>
      </c>
      <c r="E3" s="18" t="s">
        <v>72</v>
      </c>
      <c r="F3" s="18" t="s">
        <v>73</v>
      </c>
      <c r="G3" s="18" t="s">
        <v>38</v>
      </c>
      <c r="H3" s="18" t="s">
        <v>22</v>
      </c>
      <c r="I3" s="18" t="s">
        <v>34</v>
      </c>
      <c r="J3" s="18" t="s">
        <v>35</v>
      </c>
      <c r="K3" s="18">
        <v>0.5</v>
      </c>
      <c r="L3" s="18" t="s">
        <v>37</v>
      </c>
      <c r="M3" s="18">
        <v>2019</v>
      </c>
      <c r="N3" s="18" t="s">
        <v>23</v>
      </c>
      <c r="O3" s="18" t="s">
        <v>23</v>
      </c>
      <c r="P3" s="18" t="s">
        <v>23</v>
      </c>
      <c r="Q3" s="18" t="s">
        <v>23</v>
      </c>
      <c r="R3" s="18">
        <v>100</v>
      </c>
      <c r="S3" s="18">
        <v>0.5</v>
      </c>
      <c r="T3" s="18">
        <v>0</v>
      </c>
      <c r="U3" s="18">
        <v>0</v>
      </c>
    </row>
    <row r="4" spans="1:21" x14ac:dyDescent="0.2">
      <c r="A4" s="18" t="s">
        <v>27</v>
      </c>
      <c r="B4" s="18" t="s">
        <v>28</v>
      </c>
      <c r="C4" s="18" t="s">
        <v>33</v>
      </c>
      <c r="D4" s="18" t="s">
        <v>62</v>
      </c>
      <c r="E4" s="18" t="s">
        <v>63</v>
      </c>
      <c r="F4" s="18" t="s">
        <v>64</v>
      </c>
      <c r="G4" s="18" t="s">
        <v>36</v>
      </c>
      <c r="H4" s="18" t="s">
        <v>24</v>
      </c>
      <c r="I4" s="18" t="s">
        <v>34</v>
      </c>
      <c r="J4" s="18" t="s">
        <v>35</v>
      </c>
      <c r="K4" s="18">
        <v>1</v>
      </c>
      <c r="L4" s="18" t="s">
        <v>37</v>
      </c>
      <c r="M4" s="18">
        <v>2019</v>
      </c>
      <c r="N4" s="18" t="s">
        <v>25</v>
      </c>
      <c r="O4" s="18" t="s">
        <v>75</v>
      </c>
      <c r="P4" s="18" t="s">
        <v>23</v>
      </c>
      <c r="Q4" s="18" t="s">
        <v>23</v>
      </c>
      <c r="R4" s="18">
        <v>50</v>
      </c>
      <c r="S4" s="18">
        <v>0.5</v>
      </c>
      <c r="T4" s="18">
        <v>0.5</v>
      </c>
      <c r="U4" s="18">
        <v>0</v>
      </c>
    </row>
    <row r="5" spans="1:21" x14ac:dyDescent="0.2">
      <c r="A5" s="18" t="s">
        <v>30</v>
      </c>
      <c r="B5" s="18" t="s">
        <v>31</v>
      </c>
      <c r="C5" s="18" t="s">
        <v>32</v>
      </c>
      <c r="D5" s="18" t="s">
        <v>68</v>
      </c>
      <c r="E5" s="18" t="s">
        <v>69</v>
      </c>
      <c r="F5" s="18" t="s">
        <v>70</v>
      </c>
      <c r="G5" s="18" t="s">
        <v>41</v>
      </c>
      <c r="H5" s="18" t="s">
        <v>22</v>
      </c>
      <c r="I5" s="18" t="s">
        <v>34</v>
      </c>
      <c r="J5" s="18" t="s">
        <v>35</v>
      </c>
      <c r="K5" s="18">
        <v>0.5</v>
      </c>
      <c r="L5" s="18" t="s">
        <v>37</v>
      </c>
      <c r="M5" s="18">
        <v>2019</v>
      </c>
      <c r="N5" s="18" t="s">
        <v>29</v>
      </c>
      <c r="O5" s="18" t="s">
        <v>26</v>
      </c>
      <c r="P5" s="18" t="s">
        <v>23</v>
      </c>
      <c r="Q5" s="18" t="s">
        <v>23</v>
      </c>
      <c r="R5" s="18">
        <v>40</v>
      </c>
      <c r="S5" s="18">
        <v>0.2</v>
      </c>
      <c r="T5" s="18">
        <v>0.3</v>
      </c>
      <c r="U5" s="18">
        <v>0</v>
      </c>
    </row>
    <row r="6" spans="1:21" x14ac:dyDescent="0.2">
      <c r="A6" s="18" t="s">
        <v>76</v>
      </c>
      <c r="B6" s="18" t="s">
        <v>77</v>
      </c>
      <c r="C6" s="18" t="s">
        <v>78</v>
      </c>
      <c r="D6" s="18" t="s">
        <v>79</v>
      </c>
      <c r="E6" s="18" t="s">
        <v>80</v>
      </c>
      <c r="F6" s="18" t="s">
        <v>81</v>
      </c>
      <c r="G6" s="18" t="s">
        <v>36</v>
      </c>
      <c r="H6" s="18" t="s">
        <v>24</v>
      </c>
      <c r="I6" s="18" t="s">
        <v>34</v>
      </c>
      <c r="J6" s="18" t="s">
        <v>35</v>
      </c>
      <c r="K6" s="18">
        <v>1</v>
      </c>
      <c r="L6" s="18" t="s">
        <v>37</v>
      </c>
      <c r="M6" s="18">
        <v>2020</v>
      </c>
      <c r="N6" s="18" t="s">
        <v>25</v>
      </c>
      <c r="O6" s="18">
        <v>50</v>
      </c>
      <c r="P6" s="18" t="s">
        <v>23</v>
      </c>
      <c r="Q6" s="18">
        <v>0</v>
      </c>
      <c r="R6" s="18">
        <v>50</v>
      </c>
      <c r="S6" s="18">
        <v>0.5</v>
      </c>
      <c r="T6" s="18">
        <v>0.5</v>
      </c>
      <c r="U6" s="18">
        <v>0</v>
      </c>
    </row>
    <row r="7" spans="1:21" x14ac:dyDescent="0.2">
      <c r="A7" s="18" t="s">
        <v>27</v>
      </c>
      <c r="B7" s="18" t="s">
        <v>28</v>
      </c>
      <c r="C7" s="18" t="s">
        <v>33</v>
      </c>
      <c r="D7" s="18" t="s">
        <v>89</v>
      </c>
      <c r="E7" s="18" t="s">
        <v>90</v>
      </c>
      <c r="F7" s="18" t="s">
        <v>91</v>
      </c>
      <c r="G7" s="18" t="s">
        <v>36</v>
      </c>
      <c r="H7" s="18" t="s">
        <v>22</v>
      </c>
      <c r="I7" s="18" t="s">
        <v>34</v>
      </c>
      <c r="J7" s="18" t="s">
        <v>35</v>
      </c>
      <c r="K7" s="18">
        <v>0.5</v>
      </c>
      <c r="L7" s="18" t="s">
        <v>37</v>
      </c>
      <c r="M7" s="18">
        <v>2020</v>
      </c>
      <c r="N7" s="18" t="s">
        <v>25</v>
      </c>
      <c r="O7" s="18">
        <v>50</v>
      </c>
      <c r="P7" s="18" t="s">
        <v>23</v>
      </c>
      <c r="Q7" s="18">
        <v>0</v>
      </c>
      <c r="R7" s="18">
        <v>50</v>
      </c>
      <c r="S7" s="18">
        <v>0.25</v>
      </c>
      <c r="T7" s="18">
        <v>0.25</v>
      </c>
      <c r="U7" s="18">
        <v>0</v>
      </c>
    </row>
    <row r="8" spans="1:21" x14ac:dyDescent="0.2">
      <c r="A8" s="18" t="s">
        <v>27</v>
      </c>
      <c r="B8" s="18" t="s">
        <v>28</v>
      </c>
      <c r="C8" s="18" t="s">
        <v>33</v>
      </c>
      <c r="D8" s="18" t="s">
        <v>92</v>
      </c>
      <c r="E8" s="18" t="s">
        <v>93</v>
      </c>
      <c r="F8" s="18" t="s">
        <v>94</v>
      </c>
      <c r="G8" s="18" t="s">
        <v>40</v>
      </c>
      <c r="H8" s="18" t="s">
        <v>22</v>
      </c>
      <c r="I8" s="18" t="s">
        <v>34</v>
      </c>
      <c r="J8" s="18" t="s">
        <v>35</v>
      </c>
      <c r="K8" s="18">
        <v>0.5</v>
      </c>
      <c r="L8" s="18" t="s">
        <v>37</v>
      </c>
      <c r="M8" s="18">
        <v>2020</v>
      </c>
      <c r="N8" s="18" t="s">
        <v>29</v>
      </c>
      <c r="O8" s="18">
        <v>10</v>
      </c>
      <c r="P8" s="18" t="s">
        <v>25</v>
      </c>
      <c r="Q8" s="18">
        <v>25</v>
      </c>
      <c r="R8" s="18">
        <v>65</v>
      </c>
      <c r="S8" s="18">
        <v>0.32500000000000001</v>
      </c>
      <c r="T8" s="18">
        <v>0.05</v>
      </c>
      <c r="U8" s="18">
        <v>0.125</v>
      </c>
    </row>
    <row r="9" spans="1:21" x14ac:dyDescent="0.2">
      <c r="A9" s="18" t="s">
        <v>27</v>
      </c>
      <c r="B9" s="18" t="s">
        <v>28</v>
      </c>
      <c r="C9" s="18" t="s">
        <v>33</v>
      </c>
      <c r="D9" s="18" t="s">
        <v>92</v>
      </c>
      <c r="E9" s="18" t="s">
        <v>93</v>
      </c>
      <c r="F9" s="18" t="s">
        <v>94</v>
      </c>
      <c r="G9" s="18" t="s">
        <v>36</v>
      </c>
      <c r="H9" s="18" t="s">
        <v>22</v>
      </c>
      <c r="I9" s="18" t="s">
        <v>34</v>
      </c>
      <c r="J9" s="18" t="s">
        <v>35</v>
      </c>
      <c r="K9" s="18">
        <v>0.5</v>
      </c>
      <c r="L9" s="18" t="s">
        <v>37</v>
      </c>
      <c r="M9" s="18">
        <v>2020</v>
      </c>
      <c r="N9" s="18" t="s">
        <v>25</v>
      </c>
      <c r="O9" s="18">
        <v>50</v>
      </c>
      <c r="P9" s="18" t="s">
        <v>23</v>
      </c>
      <c r="Q9" s="18">
        <v>0</v>
      </c>
      <c r="R9" s="18">
        <v>50</v>
      </c>
      <c r="S9" s="18">
        <v>0.25</v>
      </c>
      <c r="T9" s="18">
        <v>0.25</v>
      </c>
      <c r="U9" s="18">
        <v>0</v>
      </c>
    </row>
    <row r="10" spans="1:21" x14ac:dyDescent="0.2">
      <c r="A10" s="18" t="s">
        <v>27</v>
      </c>
      <c r="B10" s="18" t="s">
        <v>28</v>
      </c>
      <c r="C10" s="18" t="s">
        <v>82</v>
      </c>
      <c r="D10" s="18" t="s">
        <v>83</v>
      </c>
      <c r="E10" s="18" t="s">
        <v>84</v>
      </c>
      <c r="F10" s="18" t="s">
        <v>85</v>
      </c>
      <c r="G10" s="18" t="s">
        <v>36</v>
      </c>
      <c r="H10" s="18" t="s">
        <v>22</v>
      </c>
      <c r="I10" s="18" t="s">
        <v>34</v>
      </c>
      <c r="J10" s="18" t="s">
        <v>35</v>
      </c>
      <c r="K10" s="18">
        <v>0.5</v>
      </c>
      <c r="L10" s="18" t="s">
        <v>37</v>
      </c>
      <c r="M10" s="18">
        <v>2020</v>
      </c>
      <c r="N10" s="18" t="s">
        <v>25</v>
      </c>
      <c r="O10" s="18">
        <v>50</v>
      </c>
      <c r="P10" s="18" t="s">
        <v>23</v>
      </c>
      <c r="Q10" s="18">
        <v>0</v>
      </c>
      <c r="R10" s="18">
        <v>50</v>
      </c>
      <c r="S10" s="18">
        <v>0.25</v>
      </c>
      <c r="T10" s="18">
        <v>0.25</v>
      </c>
      <c r="U10" s="18">
        <v>0</v>
      </c>
    </row>
    <row r="11" spans="1:21" x14ac:dyDescent="0.2">
      <c r="A11" s="18" t="s">
        <v>30</v>
      </c>
      <c r="B11" s="18" t="s">
        <v>31</v>
      </c>
      <c r="C11" s="18" t="s">
        <v>32</v>
      </c>
      <c r="D11" s="18" t="s">
        <v>86</v>
      </c>
      <c r="E11" s="18" t="s">
        <v>87</v>
      </c>
      <c r="F11" s="18" t="s">
        <v>88</v>
      </c>
      <c r="G11" s="18" t="s">
        <v>41</v>
      </c>
      <c r="H11" s="18" t="s">
        <v>24</v>
      </c>
      <c r="I11" s="18" t="s">
        <v>34</v>
      </c>
      <c r="J11" s="18" t="s">
        <v>35</v>
      </c>
      <c r="K11" s="18">
        <v>1</v>
      </c>
      <c r="L11" s="18" t="s">
        <v>37</v>
      </c>
      <c r="M11" s="18">
        <v>2020</v>
      </c>
      <c r="N11" s="18" t="s">
        <v>29</v>
      </c>
      <c r="O11" s="18">
        <v>60</v>
      </c>
      <c r="P11" s="18" t="s">
        <v>23</v>
      </c>
      <c r="Q11" s="18">
        <v>0</v>
      </c>
      <c r="R11" s="18">
        <v>40</v>
      </c>
      <c r="S11" s="18">
        <v>0.4</v>
      </c>
      <c r="T11" s="18">
        <v>0.6</v>
      </c>
      <c r="U11" s="18">
        <v>0</v>
      </c>
    </row>
    <row r="12" spans="1:21" x14ac:dyDescent="0.2">
      <c r="A12" s="18" t="s">
        <v>30</v>
      </c>
      <c r="B12" s="18" t="s">
        <v>31</v>
      </c>
      <c r="C12" s="18" t="s">
        <v>32</v>
      </c>
      <c r="D12" s="18" t="s">
        <v>95</v>
      </c>
      <c r="E12" s="18" t="s">
        <v>96</v>
      </c>
      <c r="F12" s="18" t="s">
        <v>97</v>
      </c>
      <c r="G12" s="18" t="s">
        <v>41</v>
      </c>
      <c r="H12" s="18" t="s">
        <v>24</v>
      </c>
      <c r="I12" s="18" t="s">
        <v>34</v>
      </c>
      <c r="J12" s="18" t="s">
        <v>35</v>
      </c>
      <c r="K12" s="18">
        <v>1</v>
      </c>
      <c r="L12" s="18" t="s">
        <v>37</v>
      </c>
      <c r="M12" s="18">
        <v>2021</v>
      </c>
      <c r="N12" s="18" t="s">
        <v>29</v>
      </c>
      <c r="O12" s="18">
        <v>60</v>
      </c>
      <c r="P12" s="18" t="s">
        <v>23</v>
      </c>
      <c r="Q12" s="18">
        <v>0</v>
      </c>
      <c r="R12" s="18">
        <v>40</v>
      </c>
      <c r="S12" s="18">
        <v>0.4</v>
      </c>
      <c r="T12" s="18">
        <v>0.6</v>
      </c>
      <c r="U12" s="18">
        <v>0</v>
      </c>
    </row>
    <row r="13" spans="1:21" x14ac:dyDescent="0.2">
      <c r="A13" s="18" t="s">
        <v>30</v>
      </c>
      <c r="B13" s="18" t="s">
        <v>31</v>
      </c>
      <c r="C13" s="18" t="s">
        <v>32</v>
      </c>
      <c r="D13" s="18" t="s">
        <v>98</v>
      </c>
      <c r="E13" s="18" t="s">
        <v>99</v>
      </c>
      <c r="F13" s="18" t="s">
        <v>100</v>
      </c>
      <c r="G13" s="18" t="s">
        <v>41</v>
      </c>
      <c r="H13" s="18" t="s">
        <v>24</v>
      </c>
      <c r="I13" s="18" t="s">
        <v>34</v>
      </c>
      <c r="J13" s="18" t="s">
        <v>35</v>
      </c>
      <c r="K13" s="18">
        <v>1</v>
      </c>
      <c r="L13" s="18" t="s">
        <v>37</v>
      </c>
      <c r="M13" s="18">
        <v>2021</v>
      </c>
      <c r="N13" s="18" t="s">
        <v>29</v>
      </c>
      <c r="O13" s="18">
        <v>60</v>
      </c>
      <c r="P13" s="18" t="s">
        <v>23</v>
      </c>
      <c r="Q13" s="18">
        <v>0</v>
      </c>
      <c r="R13" s="18">
        <v>40</v>
      </c>
      <c r="S13" s="18">
        <v>0.4</v>
      </c>
      <c r="T13" s="18">
        <v>0.6</v>
      </c>
      <c r="U13" s="18">
        <v>0</v>
      </c>
    </row>
    <row r="14" spans="1:21" x14ac:dyDescent="0.2">
      <c r="A14" s="18" t="s">
        <v>27</v>
      </c>
      <c r="B14" s="18" t="s">
        <v>28</v>
      </c>
      <c r="C14" s="18" t="s">
        <v>33</v>
      </c>
      <c r="D14" s="18" t="s">
        <v>134</v>
      </c>
      <c r="E14" s="18" t="s">
        <v>105</v>
      </c>
      <c r="F14" s="18" t="s">
        <v>106</v>
      </c>
      <c r="G14" s="18" t="s">
        <v>107</v>
      </c>
      <c r="H14" s="18" t="s">
        <v>24</v>
      </c>
      <c r="I14" s="18" t="s">
        <v>34</v>
      </c>
      <c r="J14" s="18" t="s">
        <v>35</v>
      </c>
      <c r="K14" s="18">
        <v>1</v>
      </c>
      <c r="L14" s="18" t="s">
        <v>37</v>
      </c>
      <c r="M14" s="18">
        <v>2022</v>
      </c>
      <c r="N14" s="18" t="s">
        <v>29</v>
      </c>
      <c r="O14" s="18">
        <v>20</v>
      </c>
      <c r="P14" s="18" t="s">
        <v>23</v>
      </c>
      <c r="Q14" s="18">
        <v>0</v>
      </c>
      <c r="R14" s="18">
        <v>80</v>
      </c>
      <c r="S14" s="18">
        <v>0.8</v>
      </c>
      <c r="T14" s="18">
        <v>0.2</v>
      </c>
      <c r="U14" s="18">
        <v>0</v>
      </c>
    </row>
    <row r="15" spans="1:21" x14ac:dyDescent="0.2">
      <c r="A15" s="18" t="s">
        <v>27</v>
      </c>
      <c r="B15" s="18" t="s">
        <v>28</v>
      </c>
      <c r="C15" s="18" t="s">
        <v>33</v>
      </c>
      <c r="D15" s="18" t="s">
        <v>135</v>
      </c>
      <c r="E15" s="18" t="s">
        <v>108</v>
      </c>
      <c r="F15" s="18" t="s">
        <v>109</v>
      </c>
      <c r="G15" s="18" t="s">
        <v>38</v>
      </c>
      <c r="H15" s="18" t="s">
        <v>22</v>
      </c>
      <c r="I15" s="18" t="s">
        <v>34</v>
      </c>
      <c r="J15" s="18" t="s">
        <v>35</v>
      </c>
      <c r="K15" s="18">
        <v>0.5</v>
      </c>
      <c r="L15" s="18" t="s">
        <v>37</v>
      </c>
      <c r="M15" s="18">
        <v>2022</v>
      </c>
      <c r="N15" s="18" t="s">
        <v>23</v>
      </c>
      <c r="O15" s="18" t="s">
        <v>23</v>
      </c>
      <c r="P15" s="18" t="s">
        <v>23</v>
      </c>
      <c r="Q15" s="18" t="s">
        <v>23</v>
      </c>
      <c r="R15" s="18">
        <v>100</v>
      </c>
      <c r="S15" s="18">
        <v>0.5</v>
      </c>
      <c r="T15" s="18">
        <v>0</v>
      </c>
      <c r="U15" s="18">
        <v>0</v>
      </c>
    </row>
    <row r="16" spans="1:21" x14ac:dyDescent="0.2">
      <c r="A16" s="18" t="s">
        <v>27</v>
      </c>
      <c r="B16" s="18" t="s">
        <v>28</v>
      </c>
      <c r="C16" s="18" t="s">
        <v>33</v>
      </c>
      <c r="D16" s="18" t="s">
        <v>135</v>
      </c>
      <c r="E16" s="18" t="s">
        <v>108</v>
      </c>
      <c r="F16" s="18" t="s">
        <v>109</v>
      </c>
      <c r="G16" s="18" t="s">
        <v>39</v>
      </c>
      <c r="H16" s="18" t="s">
        <v>22</v>
      </c>
      <c r="I16" s="18" t="s">
        <v>34</v>
      </c>
      <c r="J16" s="18" t="s">
        <v>35</v>
      </c>
      <c r="K16" s="18">
        <v>0.5</v>
      </c>
      <c r="L16" s="18" t="s">
        <v>37</v>
      </c>
      <c r="M16" s="18">
        <v>2022</v>
      </c>
      <c r="N16" s="18" t="s">
        <v>23</v>
      </c>
      <c r="O16" s="18" t="s">
        <v>23</v>
      </c>
      <c r="P16" s="18" t="s">
        <v>23</v>
      </c>
      <c r="Q16" s="18" t="s">
        <v>23</v>
      </c>
      <c r="R16" s="18">
        <v>100</v>
      </c>
      <c r="S16" s="18">
        <v>0.5</v>
      </c>
      <c r="T16" s="18">
        <v>0</v>
      </c>
      <c r="U16" s="18">
        <v>0</v>
      </c>
    </row>
    <row r="17" spans="1:22" x14ac:dyDescent="0.2">
      <c r="A17" s="18" t="s">
        <v>30</v>
      </c>
      <c r="B17" s="18" t="s">
        <v>110</v>
      </c>
      <c r="C17" s="18" t="s">
        <v>32</v>
      </c>
      <c r="D17" s="18" t="s">
        <v>136</v>
      </c>
      <c r="E17" s="18" t="s">
        <v>111</v>
      </c>
      <c r="F17" s="18" t="s">
        <v>112</v>
      </c>
      <c r="G17" s="18" t="s">
        <v>41</v>
      </c>
      <c r="H17" s="18" t="s">
        <v>24</v>
      </c>
      <c r="I17" s="18" t="s">
        <v>34</v>
      </c>
      <c r="J17" s="18" t="s">
        <v>35</v>
      </c>
      <c r="K17" s="18">
        <v>1</v>
      </c>
      <c r="L17" s="18" t="s">
        <v>37</v>
      </c>
      <c r="M17" s="18">
        <v>2022</v>
      </c>
      <c r="N17" s="18" t="s">
        <v>29</v>
      </c>
      <c r="O17" s="18">
        <v>60</v>
      </c>
      <c r="P17" s="18" t="s">
        <v>23</v>
      </c>
      <c r="Q17" s="18">
        <v>0</v>
      </c>
      <c r="R17" s="18">
        <v>40</v>
      </c>
      <c r="S17" s="18">
        <v>0.4</v>
      </c>
      <c r="T17" s="18">
        <v>0.6</v>
      </c>
      <c r="U17" s="18">
        <v>0</v>
      </c>
    </row>
    <row r="18" spans="1:22" x14ac:dyDescent="0.2">
      <c r="A18" s="18" t="s">
        <v>137</v>
      </c>
      <c r="B18" s="18" t="s">
        <v>116</v>
      </c>
      <c r="C18" s="18" t="s">
        <v>117</v>
      </c>
      <c r="D18" s="18" t="s">
        <v>138</v>
      </c>
      <c r="E18" s="18" t="s">
        <v>139</v>
      </c>
      <c r="F18" s="18" t="s">
        <v>140</v>
      </c>
      <c r="G18" s="18" t="s">
        <v>141</v>
      </c>
      <c r="H18" s="18" t="s">
        <v>121</v>
      </c>
      <c r="I18" s="18" t="s">
        <v>37</v>
      </c>
      <c r="J18" s="18" t="s">
        <v>122</v>
      </c>
      <c r="K18" s="18">
        <v>0.5</v>
      </c>
      <c r="L18" s="18" t="s">
        <v>37</v>
      </c>
      <c r="M18" s="18">
        <v>2022</v>
      </c>
      <c r="N18" s="18" t="s">
        <v>29</v>
      </c>
      <c r="O18" s="18">
        <v>10</v>
      </c>
      <c r="P18" s="18" t="s">
        <v>25</v>
      </c>
      <c r="Q18" s="18">
        <v>25</v>
      </c>
      <c r="R18" s="18">
        <v>65</v>
      </c>
      <c r="S18" s="18">
        <v>0.32500000000000001</v>
      </c>
      <c r="T18" s="18">
        <v>0.05</v>
      </c>
      <c r="U18" s="18">
        <v>0.125</v>
      </c>
    </row>
    <row r="19" spans="1:22" x14ac:dyDescent="0.2">
      <c r="A19" s="18" t="s">
        <v>115</v>
      </c>
      <c r="B19" s="18" t="s">
        <v>116</v>
      </c>
      <c r="C19" s="18" t="s">
        <v>117</v>
      </c>
      <c r="D19" s="18" t="s">
        <v>118</v>
      </c>
      <c r="E19" s="18" t="s">
        <v>119</v>
      </c>
      <c r="F19" s="18" t="s">
        <v>120</v>
      </c>
      <c r="G19" s="18" t="s">
        <v>55</v>
      </c>
      <c r="H19" s="18" t="s">
        <v>121</v>
      </c>
      <c r="I19" s="18" t="s">
        <v>37</v>
      </c>
      <c r="J19" s="18" t="s">
        <v>122</v>
      </c>
      <c r="K19" s="18">
        <v>0.5</v>
      </c>
      <c r="L19" s="18" t="s">
        <v>37</v>
      </c>
      <c r="M19" s="18">
        <v>2023</v>
      </c>
      <c r="N19" s="18" t="s">
        <v>23</v>
      </c>
      <c r="O19" s="18" t="s">
        <v>23</v>
      </c>
      <c r="P19" s="18" t="s">
        <v>23</v>
      </c>
      <c r="Q19" s="18" t="s">
        <v>23</v>
      </c>
      <c r="R19" s="18">
        <v>100</v>
      </c>
      <c r="S19" s="18">
        <v>0.5</v>
      </c>
      <c r="T19" s="18">
        <v>0</v>
      </c>
      <c r="U19" s="18">
        <v>0</v>
      </c>
      <c r="V19" s="6" t="s">
        <v>123</v>
      </c>
    </row>
    <row r="20" spans="1:22" x14ac:dyDescent="0.2">
      <c r="A20" s="18" t="s">
        <v>115</v>
      </c>
      <c r="B20" s="18" t="s">
        <v>116</v>
      </c>
      <c r="C20" s="18" t="s">
        <v>117</v>
      </c>
      <c r="D20" s="18" t="s">
        <v>124</v>
      </c>
      <c r="E20" s="18" t="s">
        <v>125</v>
      </c>
      <c r="F20" s="18" t="s">
        <v>126</v>
      </c>
      <c r="G20" s="18" t="s">
        <v>61</v>
      </c>
      <c r="H20" s="18" t="s">
        <v>127</v>
      </c>
      <c r="I20" s="18" t="s">
        <v>37</v>
      </c>
      <c r="J20" s="18" t="s">
        <v>122</v>
      </c>
      <c r="K20" s="18">
        <v>1</v>
      </c>
      <c r="L20" s="18" t="s">
        <v>37</v>
      </c>
      <c r="M20" s="18">
        <v>2023</v>
      </c>
      <c r="N20" s="18" t="s">
        <v>23</v>
      </c>
      <c r="O20" s="18" t="s">
        <v>23</v>
      </c>
      <c r="P20" s="18" t="s">
        <v>23</v>
      </c>
      <c r="Q20" s="18" t="s">
        <v>23</v>
      </c>
      <c r="R20" s="18">
        <v>100</v>
      </c>
      <c r="S20" s="18">
        <v>1</v>
      </c>
      <c r="T20" s="18">
        <v>0</v>
      </c>
      <c r="U20" s="18">
        <v>0</v>
      </c>
      <c r="V20" s="6" t="s">
        <v>123</v>
      </c>
    </row>
    <row r="21" spans="1:22" x14ac:dyDescent="0.2">
      <c r="A21" s="18" t="s">
        <v>128</v>
      </c>
      <c r="B21" s="18" t="s">
        <v>129</v>
      </c>
      <c r="C21" s="18" t="s">
        <v>130</v>
      </c>
      <c r="D21" s="18" t="s">
        <v>131</v>
      </c>
      <c r="E21" s="18" t="s">
        <v>132</v>
      </c>
      <c r="F21" s="18" t="s">
        <v>133</v>
      </c>
      <c r="G21" s="18" t="s">
        <v>58</v>
      </c>
      <c r="H21" s="18" t="s">
        <v>127</v>
      </c>
      <c r="I21" s="18" t="s">
        <v>37</v>
      </c>
      <c r="J21" s="18" t="s">
        <v>122</v>
      </c>
      <c r="K21" s="18">
        <v>1</v>
      </c>
      <c r="L21" s="18" t="s">
        <v>37</v>
      </c>
      <c r="M21" s="18">
        <v>2023</v>
      </c>
      <c r="N21" s="18" t="s">
        <v>25</v>
      </c>
      <c r="O21" s="18" t="s">
        <v>75</v>
      </c>
      <c r="P21" s="18" t="s">
        <v>23</v>
      </c>
      <c r="Q21" s="18" t="s">
        <v>23</v>
      </c>
      <c r="R21" s="18">
        <v>50</v>
      </c>
      <c r="S21" s="18">
        <v>0.5</v>
      </c>
      <c r="T21" s="18">
        <v>0.5</v>
      </c>
      <c r="U21" s="18">
        <v>0</v>
      </c>
      <c r="V21" s="6" t="s">
        <v>123</v>
      </c>
    </row>
    <row r="22" spans="1:22" x14ac:dyDescent="0.2">
      <c r="A22" s="18" t="s">
        <v>115</v>
      </c>
      <c r="B22" s="18" t="s">
        <v>155</v>
      </c>
      <c r="C22" s="18" t="s">
        <v>117</v>
      </c>
      <c r="D22" s="18" t="s">
        <v>156</v>
      </c>
      <c r="E22" s="18" t="s">
        <v>157</v>
      </c>
      <c r="F22" s="18" t="s">
        <v>158</v>
      </c>
      <c r="G22" s="18" t="s">
        <v>56</v>
      </c>
      <c r="H22" s="18" t="s">
        <v>127</v>
      </c>
      <c r="I22" s="18" t="s">
        <v>37</v>
      </c>
      <c r="J22" s="18" t="s">
        <v>159</v>
      </c>
      <c r="K22" s="18">
        <v>1</v>
      </c>
      <c r="L22" s="18" t="s">
        <v>37</v>
      </c>
      <c r="M22" s="18">
        <v>2024</v>
      </c>
      <c r="N22" s="18" t="s">
        <v>25</v>
      </c>
      <c r="O22" s="18" t="s">
        <v>143</v>
      </c>
      <c r="P22" s="18" t="s">
        <v>29</v>
      </c>
      <c r="Q22" s="18" t="s">
        <v>142</v>
      </c>
      <c r="R22" s="18">
        <v>65</v>
      </c>
      <c r="S22" s="18">
        <v>0.65</v>
      </c>
      <c r="T22" s="18">
        <v>0.25</v>
      </c>
      <c r="U22" s="18">
        <v>0.1</v>
      </c>
    </row>
    <row r="23" spans="1:22" x14ac:dyDescent="0.2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2"/>
      <c r="P23" s="21"/>
      <c r="Q23" s="22"/>
      <c r="R23" s="21"/>
      <c r="S23" s="27">
        <f>SUM(S2:S22)</f>
        <v>9.65</v>
      </c>
      <c r="T23" s="21"/>
      <c r="U23" s="21"/>
    </row>
  </sheetData>
  <autoFilter ref="A1:U1" xr:uid="{00000000-0009-0000-0000-000000000000}">
    <sortState xmlns:xlrd2="http://schemas.microsoft.com/office/spreadsheetml/2017/richdata2" ref="A2:T1885">
      <sortCondition ref="K2:K1885"/>
      <sortCondition ref="L2:L1885"/>
      <sortCondition ref="D2:D1885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13"/>
  <sheetViews>
    <sheetView zoomScaleNormal="100" workbookViewId="0">
      <selection activeCell="E20" sqref="E20"/>
    </sheetView>
  </sheetViews>
  <sheetFormatPr baseColWidth="10" defaultColWidth="11.44140625" defaultRowHeight="13.2" x14ac:dyDescent="0.25"/>
  <cols>
    <col min="1" max="1" width="10.44140625" style="11" bestFit="1" customWidth="1"/>
    <col min="2" max="2" width="56.5546875" style="11" bestFit="1" customWidth="1"/>
    <col min="3" max="3" width="14.5546875" style="11" bestFit="1" customWidth="1"/>
    <col min="4" max="9" width="3.33203125" style="11" bestFit="1" customWidth="1"/>
    <col min="10" max="10" width="13.109375" style="11" bestFit="1" customWidth="1"/>
    <col min="11" max="11" width="5.33203125" style="11" bestFit="1" customWidth="1"/>
    <col min="12" max="13" width="5.6640625" style="11" bestFit="1" customWidth="1"/>
    <col min="14" max="14" width="5.6640625" style="12" bestFit="1" customWidth="1"/>
    <col min="15" max="15" width="5.6640625" style="11" bestFit="1" customWidth="1"/>
    <col min="16" max="16" width="5.6640625" style="12" bestFit="1" customWidth="1"/>
    <col min="17" max="19" width="5.6640625" style="11" bestFit="1" customWidth="1"/>
    <col min="20" max="16384" width="11.44140625" style="11"/>
  </cols>
  <sheetData>
    <row r="1" spans="1:20" s="10" customFormat="1" ht="60" customHeight="1" x14ac:dyDescent="0.25">
      <c r="A1" s="13" t="s">
        <v>42</v>
      </c>
      <c r="B1" s="13" t="s">
        <v>43</v>
      </c>
      <c r="C1" s="13" t="s">
        <v>44</v>
      </c>
      <c r="D1" s="14" t="s">
        <v>160</v>
      </c>
      <c r="E1" s="14" t="s">
        <v>161</v>
      </c>
      <c r="F1" s="14" t="s">
        <v>162</v>
      </c>
      <c r="G1" s="14" t="s">
        <v>163</v>
      </c>
      <c r="H1" s="14" t="s">
        <v>164</v>
      </c>
      <c r="I1" s="14" t="s">
        <v>165</v>
      </c>
      <c r="J1" s="13" t="s">
        <v>45</v>
      </c>
      <c r="K1" s="15" t="s">
        <v>74</v>
      </c>
      <c r="L1" s="8" t="s">
        <v>46</v>
      </c>
      <c r="M1" s="8" t="s">
        <v>47</v>
      </c>
      <c r="N1" s="8" t="s">
        <v>48</v>
      </c>
      <c r="O1" s="8" t="s">
        <v>49</v>
      </c>
      <c r="P1" s="9" t="s">
        <v>50</v>
      </c>
      <c r="Q1" s="9" t="s">
        <v>51</v>
      </c>
      <c r="R1" s="9" t="s">
        <v>52</v>
      </c>
      <c r="S1" s="9" t="s">
        <v>53</v>
      </c>
      <c r="T1" s="11"/>
    </row>
    <row r="2" spans="1:20" ht="14.4" x14ac:dyDescent="0.3">
      <c r="A2" s="16" t="s">
        <v>55</v>
      </c>
      <c r="B2" s="16" t="s">
        <v>166</v>
      </c>
      <c r="C2" s="16">
        <v>6</v>
      </c>
      <c r="D2" s="16"/>
      <c r="E2" s="16"/>
      <c r="F2" s="16"/>
      <c r="G2" s="16"/>
      <c r="H2" s="16"/>
      <c r="I2" s="16">
        <v>1</v>
      </c>
      <c r="J2" s="16">
        <v>1</v>
      </c>
      <c r="K2" s="16" t="s">
        <v>37</v>
      </c>
      <c r="L2" s="17">
        <v>0</v>
      </c>
      <c r="M2" s="17">
        <v>0</v>
      </c>
      <c r="N2" s="17" t="s">
        <v>23</v>
      </c>
      <c r="O2" s="17" t="s">
        <v>23</v>
      </c>
      <c r="P2" s="17">
        <v>100</v>
      </c>
      <c r="Q2" s="17">
        <v>0</v>
      </c>
      <c r="R2" s="17">
        <v>0</v>
      </c>
      <c r="S2" s="17">
        <v>1</v>
      </c>
    </row>
    <row r="3" spans="1:20" ht="14.4" x14ac:dyDescent="0.3">
      <c r="A3" s="16" t="s">
        <v>57</v>
      </c>
      <c r="B3" s="16" t="s">
        <v>167</v>
      </c>
      <c r="C3" s="16">
        <v>6</v>
      </c>
      <c r="D3" s="16"/>
      <c r="E3" s="16"/>
      <c r="F3" s="16"/>
      <c r="G3" s="16"/>
      <c r="H3" s="16"/>
      <c r="I3" s="16">
        <v>1</v>
      </c>
      <c r="J3" s="16">
        <v>1</v>
      </c>
      <c r="K3" s="16" t="s">
        <v>37</v>
      </c>
      <c r="L3" s="17">
        <v>0</v>
      </c>
      <c r="M3" s="17">
        <v>0</v>
      </c>
      <c r="N3" s="17" t="s">
        <v>23</v>
      </c>
      <c r="O3" s="17" t="s">
        <v>23</v>
      </c>
      <c r="P3" s="17">
        <v>100</v>
      </c>
      <c r="Q3" s="17">
        <v>0</v>
      </c>
      <c r="R3" s="17">
        <v>0</v>
      </c>
      <c r="S3" s="17">
        <v>1</v>
      </c>
    </row>
    <row r="4" spans="1:20" ht="14.4" x14ac:dyDescent="0.3">
      <c r="A4" s="16" t="s">
        <v>56</v>
      </c>
      <c r="B4" s="16" t="s">
        <v>168</v>
      </c>
      <c r="C4" s="16" t="s">
        <v>54</v>
      </c>
      <c r="D4" s="16"/>
      <c r="E4" s="16"/>
      <c r="F4" s="16"/>
      <c r="G4" s="16">
        <v>1</v>
      </c>
      <c r="H4" s="16"/>
      <c r="I4" s="16"/>
      <c r="J4" s="16">
        <v>1</v>
      </c>
      <c r="K4" s="16" t="s">
        <v>37</v>
      </c>
      <c r="L4" s="17" t="s">
        <v>25</v>
      </c>
      <c r="M4" s="17" t="s">
        <v>143</v>
      </c>
      <c r="N4" s="17" t="s">
        <v>29</v>
      </c>
      <c r="O4" s="17" t="s">
        <v>142</v>
      </c>
      <c r="P4" s="17">
        <v>65</v>
      </c>
      <c r="Q4" s="17">
        <v>0.25</v>
      </c>
      <c r="R4" s="17">
        <v>0.1</v>
      </c>
      <c r="S4" s="17">
        <v>0.65</v>
      </c>
    </row>
    <row r="5" spans="1:20" ht="14.4" x14ac:dyDescent="0.3">
      <c r="A5" s="16" t="s">
        <v>113</v>
      </c>
      <c r="B5" s="16" t="s">
        <v>169</v>
      </c>
      <c r="C5" s="16" t="s">
        <v>102</v>
      </c>
      <c r="D5" s="16"/>
      <c r="E5" s="16"/>
      <c r="F5" s="16"/>
      <c r="G5" s="16"/>
      <c r="H5" s="16">
        <v>1</v>
      </c>
      <c r="I5" s="16"/>
      <c r="J5" s="16">
        <v>1</v>
      </c>
      <c r="K5" s="16" t="s">
        <v>37</v>
      </c>
      <c r="L5" s="17" t="s">
        <v>29</v>
      </c>
      <c r="M5" s="17" t="s">
        <v>144</v>
      </c>
      <c r="N5" s="17" t="s">
        <v>23</v>
      </c>
      <c r="O5" s="17" t="s">
        <v>23</v>
      </c>
      <c r="P5" s="17">
        <v>80</v>
      </c>
      <c r="Q5" s="17">
        <v>0.2</v>
      </c>
      <c r="R5" s="17">
        <v>0</v>
      </c>
      <c r="S5" s="17">
        <v>0.8</v>
      </c>
    </row>
    <row r="6" spans="1:20" ht="14.4" x14ac:dyDescent="0.3">
      <c r="A6" s="16" t="s">
        <v>60</v>
      </c>
      <c r="B6" s="16" t="s">
        <v>170</v>
      </c>
      <c r="C6" s="16" t="s">
        <v>54</v>
      </c>
      <c r="D6" s="16">
        <v>1</v>
      </c>
      <c r="E6" s="16"/>
      <c r="F6" s="16"/>
      <c r="G6" s="16"/>
      <c r="H6" s="16"/>
      <c r="I6" s="16"/>
      <c r="J6" s="16">
        <v>1</v>
      </c>
      <c r="K6" s="16" t="s">
        <v>37</v>
      </c>
      <c r="L6" s="17">
        <v>0</v>
      </c>
      <c r="M6" s="17">
        <v>0</v>
      </c>
      <c r="N6" s="17" t="s">
        <v>23</v>
      </c>
      <c r="O6" s="17" t="s">
        <v>23</v>
      </c>
      <c r="P6" s="17">
        <v>100</v>
      </c>
      <c r="Q6" s="17">
        <v>0</v>
      </c>
      <c r="R6" s="17">
        <v>0</v>
      </c>
      <c r="S6" s="17">
        <v>1</v>
      </c>
    </row>
    <row r="7" spans="1:20" ht="14.4" x14ac:dyDescent="0.3">
      <c r="A7" s="16" t="s">
        <v>58</v>
      </c>
      <c r="B7" s="16" t="s">
        <v>171</v>
      </c>
      <c r="C7" s="16" t="s">
        <v>54</v>
      </c>
      <c r="D7" s="16">
        <v>1</v>
      </c>
      <c r="E7" s="16"/>
      <c r="F7" s="16"/>
      <c r="G7" s="16"/>
      <c r="H7" s="16"/>
      <c r="I7" s="16"/>
      <c r="J7" s="16">
        <v>1</v>
      </c>
      <c r="K7" s="16" t="s">
        <v>37</v>
      </c>
      <c r="L7" s="17" t="s">
        <v>25</v>
      </c>
      <c r="M7" s="17" t="s">
        <v>75</v>
      </c>
      <c r="N7" s="17" t="s">
        <v>23</v>
      </c>
      <c r="O7" s="17" t="s">
        <v>23</v>
      </c>
      <c r="P7" s="17">
        <v>50</v>
      </c>
      <c r="Q7" s="17">
        <v>0.5</v>
      </c>
      <c r="R7" s="17">
        <v>0</v>
      </c>
      <c r="S7" s="17">
        <v>0.5</v>
      </c>
    </row>
    <row r="8" spans="1:20" ht="14.4" x14ac:dyDescent="0.3">
      <c r="A8" s="16" t="s">
        <v>101</v>
      </c>
      <c r="B8" s="16" t="s">
        <v>172</v>
      </c>
      <c r="C8" s="16" t="s">
        <v>102</v>
      </c>
      <c r="D8" s="16"/>
      <c r="E8" s="16"/>
      <c r="F8" s="16">
        <v>1</v>
      </c>
      <c r="G8" s="16"/>
      <c r="H8" s="16"/>
      <c r="I8" s="16"/>
      <c r="J8" s="16">
        <v>1</v>
      </c>
      <c r="K8" s="16" t="s">
        <v>37</v>
      </c>
      <c r="L8" s="17" t="s">
        <v>25</v>
      </c>
      <c r="M8" s="17" t="s">
        <v>145</v>
      </c>
      <c r="N8" s="17" t="s">
        <v>23</v>
      </c>
      <c r="O8" s="17" t="s">
        <v>23</v>
      </c>
      <c r="P8" s="17">
        <v>70</v>
      </c>
      <c r="Q8" s="17">
        <v>0.3</v>
      </c>
      <c r="R8" s="17">
        <v>0</v>
      </c>
      <c r="S8" s="17">
        <v>0.7</v>
      </c>
    </row>
    <row r="9" spans="1:20" ht="14.4" x14ac:dyDescent="0.3">
      <c r="A9" s="16" t="s">
        <v>146</v>
      </c>
      <c r="B9" s="16" t="s">
        <v>173</v>
      </c>
      <c r="C9" s="16" t="s">
        <v>102</v>
      </c>
      <c r="D9" s="16"/>
      <c r="E9" s="16"/>
      <c r="F9" s="16"/>
      <c r="G9" s="16"/>
      <c r="H9" s="16">
        <v>1</v>
      </c>
      <c r="I9" s="16">
        <v>1</v>
      </c>
      <c r="J9" s="16">
        <v>2</v>
      </c>
      <c r="K9" s="16" t="s">
        <v>37</v>
      </c>
      <c r="L9" s="17">
        <v>0</v>
      </c>
      <c r="M9" s="17">
        <v>0</v>
      </c>
      <c r="N9" s="17" t="s">
        <v>23</v>
      </c>
      <c r="O9" s="17" t="s">
        <v>23</v>
      </c>
      <c r="P9" s="17">
        <v>100</v>
      </c>
      <c r="Q9" s="17">
        <v>0</v>
      </c>
      <c r="R9" s="17">
        <v>0</v>
      </c>
      <c r="S9" s="17">
        <v>2</v>
      </c>
    </row>
    <row r="10" spans="1:20" ht="14.4" x14ac:dyDescent="0.3">
      <c r="A10" s="16" t="s">
        <v>59</v>
      </c>
      <c r="B10" s="16" t="s">
        <v>174</v>
      </c>
      <c r="C10" s="16" t="s">
        <v>54</v>
      </c>
      <c r="D10" s="16"/>
      <c r="E10" s="16"/>
      <c r="F10" s="16"/>
      <c r="G10" s="16">
        <v>1</v>
      </c>
      <c r="H10" s="16"/>
      <c r="I10" s="16"/>
      <c r="J10" s="16">
        <v>1</v>
      </c>
      <c r="K10" s="16" t="s">
        <v>37</v>
      </c>
      <c r="L10" s="17" t="s">
        <v>29</v>
      </c>
      <c r="M10" s="17" t="s">
        <v>26</v>
      </c>
      <c r="N10" s="17" t="s">
        <v>23</v>
      </c>
      <c r="O10" s="17" t="s">
        <v>23</v>
      </c>
      <c r="P10" s="17">
        <v>40</v>
      </c>
      <c r="Q10" s="17">
        <v>0.6</v>
      </c>
      <c r="R10" s="17">
        <v>0</v>
      </c>
      <c r="S10" s="17">
        <v>0.4</v>
      </c>
    </row>
    <row r="11" spans="1:20" ht="14.4" x14ac:dyDescent="0.3">
      <c r="A11" s="16" t="s">
        <v>147</v>
      </c>
      <c r="B11" s="16" t="s">
        <v>175</v>
      </c>
      <c r="C11" s="23" t="s">
        <v>102</v>
      </c>
      <c r="D11" s="16"/>
      <c r="E11" s="16"/>
      <c r="F11" s="16"/>
      <c r="G11" s="16"/>
      <c r="H11" s="16"/>
      <c r="I11" s="16">
        <v>1</v>
      </c>
      <c r="J11" s="16">
        <v>1</v>
      </c>
      <c r="K11" s="16" t="s">
        <v>37</v>
      </c>
      <c r="L11" s="17">
        <v>0</v>
      </c>
      <c r="M11" s="17">
        <v>0</v>
      </c>
      <c r="N11" s="17" t="s">
        <v>23</v>
      </c>
      <c r="O11" s="17" t="s">
        <v>23</v>
      </c>
      <c r="P11" s="17">
        <v>100</v>
      </c>
      <c r="Q11" s="17">
        <v>0</v>
      </c>
      <c r="R11" s="17">
        <v>0</v>
      </c>
      <c r="S11" s="17">
        <v>1</v>
      </c>
    </row>
    <row r="12" spans="1:20" ht="14.4" x14ac:dyDescent="0.3">
      <c r="A12" s="16" t="s">
        <v>61</v>
      </c>
      <c r="B12" s="16" t="s">
        <v>176</v>
      </c>
      <c r="C12" s="23" t="s">
        <v>54</v>
      </c>
      <c r="D12" s="16"/>
      <c r="E12" s="16"/>
      <c r="F12" s="16"/>
      <c r="G12" s="16">
        <v>1</v>
      </c>
      <c r="H12" s="16"/>
      <c r="I12" s="16"/>
      <c r="J12" s="16">
        <v>1</v>
      </c>
      <c r="K12" s="16" t="s">
        <v>37</v>
      </c>
      <c r="L12" s="17">
        <v>0</v>
      </c>
      <c r="M12" s="17">
        <v>0</v>
      </c>
      <c r="N12" s="17" t="s">
        <v>23</v>
      </c>
      <c r="O12" s="17" t="s">
        <v>23</v>
      </c>
      <c r="P12" s="17">
        <v>100</v>
      </c>
      <c r="Q12" s="17">
        <v>0</v>
      </c>
      <c r="R12" s="17">
        <v>0</v>
      </c>
      <c r="S12" s="17">
        <v>1</v>
      </c>
    </row>
    <row r="13" spans="1:20" ht="14.4" x14ac:dyDescent="0.3">
      <c r="A13" s="24"/>
      <c r="B13" s="24"/>
      <c r="C13" s="25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6">
        <f>SUM(S2:S12)</f>
        <v>10.050000000000001</v>
      </c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5D4D0-50A7-40BF-84E8-582286670942}">
  <dimension ref="B1"/>
  <sheetViews>
    <sheetView workbookViewId="0">
      <selection activeCell="B1" sqref="B1"/>
    </sheetView>
  </sheetViews>
  <sheetFormatPr baseColWidth="10" defaultRowHeight="14.4" x14ac:dyDescent="0.3"/>
  <cols>
    <col min="2" max="2" width="35.88671875" bestFit="1" customWidth="1"/>
  </cols>
  <sheetData>
    <row r="1" spans="2:2" x14ac:dyDescent="0.3">
      <c r="B1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AF21A-3BF8-4E44-8DCA-FE2B22F56DC3}">
  <dimension ref="A1:C5"/>
  <sheetViews>
    <sheetView workbookViewId="0">
      <selection activeCell="B8" sqref="B8:C8"/>
    </sheetView>
  </sheetViews>
  <sheetFormatPr baseColWidth="10" defaultRowHeight="14.4" x14ac:dyDescent="0.3"/>
  <cols>
    <col min="1" max="1" width="16.6640625" customWidth="1"/>
    <col min="2" max="2" width="53.44140625" customWidth="1"/>
    <col min="3" max="3" width="13" customWidth="1"/>
  </cols>
  <sheetData>
    <row r="1" spans="1:3" x14ac:dyDescent="0.3">
      <c r="A1" s="32" t="s">
        <v>148</v>
      </c>
      <c r="B1" s="32" t="s">
        <v>103</v>
      </c>
      <c r="C1" s="33" t="s">
        <v>149</v>
      </c>
    </row>
    <row r="2" spans="1:3" x14ac:dyDescent="0.3">
      <c r="A2" s="30" t="s">
        <v>150</v>
      </c>
      <c r="B2" s="30" t="s">
        <v>151</v>
      </c>
      <c r="C2" s="19">
        <v>880</v>
      </c>
    </row>
    <row r="3" spans="1:3" x14ac:dyDescent="0.3">
      <c r="A3" s="31" t="s">
        <v>152</v>
      </c>
      <c r="B3" s="31" t="s">
        <v>153</v>
      </c>
      <c r="C3" s="20">
        <v>880</v>
      </c>
    </row>
    <row r="4" spans="1:3" x14ac:dyDescent="0.3">
      <c r="A4" s="34" t="s">
        <v>104</v>
      </c>
      <c r="B4" s="34" t="s">
        <v>154</v>
      </c>
      <c r="C4" s="35">
        <v>4100</v>
      </c>
    </row>
    <row r="5" spans="1:3" x14ac:dyDescent="0.3">
      <c r="A5" s="28" t="s">
        <v>0</v>
      </c>
      <c r="B5" s="28"/>
      <c r="C5" s="29">
        <f>SUBTOTAL(109,Tabla2[Imp. aplic.])</f>
        <v>5860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F9842-801B-492C-B690-B8AEFCA21352}">
  <dimension ref="B2:C6"/>
  <sheetViews>
    <sheetView tabSelected="1" workbookViewId="0">
      <selection activeCell="B12" sqref="B12"/>
    </sheetView>
  </sheetViews>
  <sheetFormatPr baseColWidth="10" defaultRowHeight="14.4" x14ac:dyDescent="0.3"/>
  <cols>
    <col min="2" max="2" width="35.5546875" customWidth="1"/>
  </cols>
  <sheetData>
    <row r="2" spans="2:3" x14ac:dyDescent="0.3">
      <c r="B2" t="s">
        <v>177</v>
      </c>
    </row>
    <row r="6" spans="2:3" x14ac:dyDescent="0.3">
      <c r="B6" s="36" t="s">
        <v>178</v>
      </c>
      <c r="C6" s="37">
        <f>Tabla2[[#Totals],[Imp. aplic.]]</f>
        <v>5860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Tesis</vt:lpstr>
      <vt:lpstr>Sexenios</vt:lpstr>
      <vt:lpstr>Ingresos investigación 2023</vt:lpstr>
      <vt:lpstr>Ingresos investigación 2024</vt:lpstr>
      <vt:lpstr>Ingresos investigación 2025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MARIA TERESA PUJALTE DEVIS</cp:lastModifiedBy>
  <dcterms:created xsi:type="dcterms:W3CDTF">2019-07-03T07:15:54Z</dcterms:created>
  <dcterms:modified xsi:type="dcterms:W3CDTF">2026-05-22T10:11:29Z</dcterms:modified>
</cp:coreProperties>
</file>