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AEC4B9DF-1598-4406-AD07-88EE14025097}" xr6:coauthVersionLast="47" xr6:coauthVersionMax="47" xr10:uidLastSave="{00000000-0000-0000-0000-000000000000}"/>
  <bookViews>
    <workbookView xWindow="-120" yWindow="-120" windowWidth="29040" windowHeight="15720" tabRatio="728" firstSheet="1" activeTab="7" xr2:uid="{00000000-000D-0000-FFFF-FFFF00000000}"/>
  </bookViews>
  <sheets>
    <sheet name="Tesis" sheetId="8" r:id="rId1"/>
    <sheet name="Sexenios" sheetId="9" r:id="rId2"/>
    <sheet name="Ingresos investigación 2023" sheetId="21" r:id="rId3"/>
    <sheet name="Ingresos investigación 2024" sheetId="23" r:id="rId4"/>
    <sheet name="Ingresos investigación 2025" sheetId="25" r:id="rId5"/>
    <sheet name="Ingresos formación 2023" sheetId="22" r:id="rId6"/>
    <sheet name="Ingresos formación 2024" sheetId="24" r:id="rId7"/>
    <sheet name="Ingresos formación 2025" sheetId="26" r:id="rId8"/>
  </sheets>
  <definedNames>
    <definedName name="_xlnm._FilterDatabase" localSheetId="1" hidden="1">Sexenios!#REF!</definedName>
    <definedName name="_xlnm._FilterDatabase" localSheetId="0" hidden="1">Tesis!$A$1:$U$52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7" i="25" l="1"/>
  <c r="C4" i="24"/>
  <c r="C9" i="26" s="1"/>
  <c r="C9" i="22"/>
  <c r="C19" i="23"/>
  <c r="C14" i="21"/>
  <c r="S88" i="8"/>
  <c r="S51" i="9"/>
</calcChain>
</file>

<file path=xl/sharedStrings.xml><?xml version="1.0" encoding="utf-8"?>
<sst xmlns="http://schemas.openxmlformats.org/spreadsheetml/2006/main" count="1774" uniqueCount="514">
  <si>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</si>
  <si>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</si>
  <si>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</si>
  <si>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</si>
  <si>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</si>
  <si>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</si>
  <si>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</si>
  <si>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</si>
  <si>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</si>
  <si>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</si>
  <si>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</si>
  <si>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</si>
  <si>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</si>
  <si>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</si>
  <si>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</si>
  <si>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</si>
  <si>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</si>
  <si>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</si>
  <si>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</si>
  <si>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</si>
  <si>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</si>
  <si>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</si>
  <si>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</si>
  <si>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</si>
  <si>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</si>
  <si>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</si>
  <si>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- </t>
  </si>
  <si>
    <t>B112 </t>
  </si>
  <si>
    <t>DIDACTICA GENERAL Y DIDÁCTICAS ESPECÍFICAS </t>
  </si>
  <si>
    <t>DOCTORADO EN INVESTIGACIÓN EDUCATIVA </t>
  </si>
  <si>
    <t>10.25</t>
  </si>
  <si>
    <t>10.17</t>
  </si>
  <si>
    <t>30</t>
  </si>
  <si>
    <t>21478406V </t>
  </si>
  <si>
    <t>B112</t>
  </si>
  <si>
    <t>25126858W </t>
  </si>
  <si>
    <t>21362631R </t>
  </si>
  <si>
    <t>21386831M </t>
  </si>
  <si>
    <t>10.20</t>
  </si>
  <si>
    <t>20</t>
  </si>
  <si>
    <t>B177 </t>
  </si>
  <si>
    <t>PSICOLOGÍA EVOLUTIVA Y DIDÁCTICA </t>
  </si>
  <si>
    <t>21506145H </t>
  </si>
  <si>
    <t>10.19</t>
  </si>
  <si>
    <t>21660466D </t>
  </si>
  <si>
    <t>48345196R </t>
  </si>
  <si>
    <t>21515031A </t>
  </si>
  <si>
    <t>71018179K </t>
  </si>
  <si>
    <t>21457927P </t>
  </si>
  <si>
    <t>10.23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</si>
  <si>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</si>
  <si>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</si>
  <si>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</si>
  <si>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</si>
  <si>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</si>
  <si>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</si>
  <si>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</si>
  <si>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</si>
  <si>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</si>
  <si>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</si>
  <si>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</si>
  <si>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</si>
  <si>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</si>
  <si>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</si>
  <si>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25339428Y</t>
  </si>
  <si>
    <t>71018179K</t>
  </si>
  <si>
    <t>21660466D</t>
  </si>
  <si>
    <t>73536751R</t>
  </si>
  <si>
    <t>76941801Q</t>
  </si>
  <si>
    <t>48364767E</t>
  </si>
  <si>
    <t>74221742Y</t>
  </si>
  <si>
    <t>48379979P</t>
  </si>
  <si>
    <t>07860559X</t>
  </si>
  <si>
    <t>21386831M</t>
  </si>
  <si>
    <t>48345196R</t>
  </si>
  <si>
    <t>48769418B</t>
  </si>
  <si>
    <t>21478406V</t>
  </si>
  <si>
    <t>21506145H</t>
  </si>
  <si>
    <t>21686601Q</t>
  </si>
  <si>
    <t>25126858W</t>
  </si>
  <si>
    <t>21515031A</t>
  </si>
  <si>
    <t>López Guevara, Noris Isabel </t>
  </si>
  <si>
    <t>LA ATENCIÓN TUTORIAL. APROXIMACIÓN A UN MODELO BASADO EN EL APRENDIZAJE SOCIAL/COMUNIDAD DE APRENDIZAJE </t>
  </si>
  <si>
    <t>29/10/2019 </t>
  </si>
  <si>
    <t>Olaya Cuartero, Javier </t>
  </si>
  <si>
    <t>Análisis del rendimiento del segmento de carrera a pie en triatlón mediante la potencia y la técnica </t>
  </si>
  <si>
    <t>10/12/2019 </t>
  </si>
  <si>
    <t>52773764B</t>
  </si>
  <si>
    <t>15421692P</t>
  </si>
  <si>
    <t>48561192G</t>
  </si>
  <si>
    <t>COD DEP</t>
  </si>
  <si>
    <t>10.21</t>
  </si>
  <si>
    <t>21501988R</t>
  </si>
  <si>
    <t>21633898Y</t>
  </si>
  <si>
    <t>33492789M</t>
  </si>
  <si>
    <t>79107466R</t>
  </si>
  <si>
    <t>Rojas Viteri, Juan Carlos </t>
  </si>
  <si>
    <t>MODELO FLIPPED LEARNING APLICADO A LA ASIGNATURA DE SISTEMAS OPERATIVOS II DE LA CARRERA DE INFORMÁTICA DE LA UCE: ESTUDIO DE CASO PARA MEDIR EL NIVEL DE MOTIVACIÓN Y SATISFACCIÓN TECNOLÓGICA EN EL USO DE LA PLATAFORMA MOODLE </t>
  </si>
  <si>
    <t>04/11/2020 </t>
  </si>
  <si>
    <t>Blanco Reyes, Lidia </t>
  </si>
  <si>
    <t>EL DESARROLLO PROFESIONAL DOCENTE A TRAVÉS DEL PROGRAMA ERASMUS+: UN ESTUDIO DE CASOS </t>
  </si>
  <si>
    <t>15/12/2020 </t>
  </si>
  <si>
    <t>76941801Q </t>
  </si>
  <si>
    <t>48379979P </t>
  </si>
  <si>
    <t>Blanes Mora, Ruben </t>
  </si>
  <si>
    <t>EL GRUPO FOTOGRÁFICO AFAL. LA HISTORIA VISUAL DE ESPAÑA (1956-1963) </t>
  </si>
  <si>
    <t>05/10/2020 </t>
  </si>
  <si>
    <t>Grau Barrera, Beatriz </t>
  </si>
  <si>
    <t>"Modelo de gestión para la innovación e integración digital progresiva en un centro educativo basado en la mejora continua y el liderazgo compartido" </t>
  </si>
  <si>
    <t>U023 </t>
  </si>
  <si>
    <t>ADM. FACULTAD DE FILOSOFIA Y LETRAS </t>
  </si>
  <si>
    <t>DOCTORADO EN FILOSOFÍA Y LETRAS </t>
  </si>
  <si>
    <t>Latorre Aizaga, Franklin Lenin </t>
  </si>
  <si>
    <t>IMPACTO DE LAS POLÍTICAS ECONOMICAS-LABORALES EN LAS CONDICIONES DE TRABAJO EN ECUADOR (2007-2017) </t>
  </si>
  <si>
    <t>23/10/2020 </t>
  </si>
  <si>
    <t>Gómez Ramos, Julia </t>
  </si>
  <si>
    <t>Análisis de los factores de rendimiento en la práctica del estilo Choy Lee Fut de Kung-Fu y en combates de Sanda </t>
  </si>
  <si>
    <t>28/05/2021 </t>
  </si>
  <si>
    <t>48379055G </t>
  </si>
  <si>
    <t>Sebastia Amat, Sergio </t>
  </si>
  <si>
    <t>Propuesta de evaluación motriz en personas com enfermedad de Parkinson / Motor evaluation proposal for people with Parkinson Disease </t>
  </si>
  <si>
    <t>20/07/2021 </t>
  </si>
  <si>
    <t>Urrea Solano, María Encarnación </t>
  </si>
  <si>
    <t>El liderazgo de las académicas en la Educación Superior: un estudio de caso </t>
  </si>
  <si>
    <t>22/02/2021 </t>
  </si>
  <si>
    <t>48769418B </t>
  </si>
  <si>
    <t>Nicolás Castellano, Carolina </t>
  </si>
  <si>
    <t>Hacia el cambio didáctico en la enseñanza de las ciencias en la educación primaria: de la enseñanza transmisiva a la enseñanza problematizada </t>
  </si>
  <si>
    <t>20/04/2021 </t>
  </si>
  <si>
    <t>Diseño y evaluación de un programa para el desarrollo de la competencia investigadora en la formación inicial de docentes: percepción de alumnado y profesorado </t>
  </si>
  <si>
    <t>30/09/2021 </t>
  </si>
  <si>
    <t>Cazarez Valdiviezo, José Luis </t>
  </si>
  <si>
    <t>Competencias del profesorado universitario en relación al uso de Tecnologías de la Información y Comunicación. Un estudio de caso en la Universidad Central de Ecuador </t>
  </si>
  <si>
    <t>18/02/2021 </t>
  </si>
  <si>
    <t>Silva Martínez, Gardenia </t>
  </si>
  <si>
    <t>Análisis de las dificultades de los estudiantes para desarrollar su carrera en al Universidad UTE Santo Domingo (Ecuador) </t>
  </si>
  <si>
    <t>19/02/2021 </t>
  </si>
  <si>
    <t>Sierra Pazmiño, Diego Xavier </t>
  </si>
  <si>
    <t>Evaluación de las competencias digitales en la formación inicial docente de los y las estudiantes de la Facultad de Filosofía y Letras y Ciencias de la Educación de la Universidad Central de Ecuador </t>
  </si>
  <si>
    <t>25/02/2021 </t>
  </si>
  <si>
    <t>Fabra Brell, Eugenio </t>
  </si>
  <si>
    <t>Flipped Learning y Aprendizaje Musical: Un estudio colectivo de casos con estudiantes de Educación Secundaria Obligatoria en un entorno rural </t>
  </si>
  <si>
    <t>Morillo Revelo, Edgardo Javier </t>
  </si>
  <si>
    <t>Reducción de la pobreza en Ecuador (2007-2017). El caso del Cantón Pedro Moncayo </t>
  </si>
  <si>
    <t>27/04/2021 </t>
  </si>
  <si>
    <t>Ramos Altamira, Ignacio </t>
  </si>
  <si>
    <t>"Rafael Altamira y Crevea y su contribución a la educación popular y la escuela pública española" </t>
  </si>
  <si>
    <t>29/07/2021 </t>
  </si>
  <si>
    <t>21633898Y </t>
  </si>
  <si>
    <t>U062 </t>
  </si>
  <si>
    <t>ADM. I.U. DE INVESTIGACIÓN INFORMÁTICA </t>
  </si>
  <si>
    <t>DOCTORADO EN INFORMÁTICA </t>
  </si>
  <si>
    <t>Jiménez Álvarez, Luis Gonzalo </t>
  </si>
  <si>
    <t>Diseño y Especificación del ocio digital con fines de aprendizaje ODFA Subproblema: Ocio digital formativo en competencias ODFC para la UCE </t>
  </si>
  <si>
    <t>21686601Q </t>
  </si>
  <si>
    <t>U075 </t>
  </si>
  <si>
    <t>ADM. I.U.INVESTIGACIÓN DE ESTUDIOS SOCIALES DE AMÉRICA LATINA </t>
  </si>
  <si>
    <t>DOCTORADO EN HUMANIDADES Y ESTUDIOS SOCIALES DE AMÉRICA LATINA </t>
  </si>
  <si>
    <t>Hoyos Londoño, María Carmenza </t>
  </si>
  <si>
    <t>Vida y obra del poeta colombiano Raúl Gómez Jattin: su indiscutible propensión a la poesía </t>
  </si>
  <si>
    <t>02/07/2021 </t>
  </si>
  <si>
    <t>33.10.6P.00.14</t>
  </si>
  <si>
    <t>33.10.6P.00.15</t>
  </si>
  <si>
    <t>Sánchez García, Luis Fermín </t>
  </si>
  <si>
    <t>Factores condicionales de rendimiento deportivo en corredores jóvenes de trail running </t>
  </si>
  <si>
    <t>15/06/2021 </t>
  </si>
  <si>
    <t>48364767E </t>
  </si>
  <si>
    <t>Brenes Maltez, Perla Mayela </t>
  </si>
  <si>
    <t>Serrano Ramón, Josep Manel </t>
  </si>
  <si>
    <t>"Efectos de la restricción del flujo sanguíneo durante el entrenamiento de fuerza en base a la velocidad </t>
  </si>
  <si>
    <t>10/02/2022 </t>
  </si>
  <si>
    <t>Ruano Masiá, Carmen </t>
  </si>
  <si>
    <t>Comparación del rendimiento físico y técnico en diferentes fases del ciclo menstrual en deportistas de gimnasia rítmica de nivel nacional </t>
  </si>
  <si>
    <t>18/02/2022 </t>
  </si>
  <si>
    <t>García del Castillo López, Fernando </t>
  </si>
  <si>
    <t>Estilos de vida, comportamiento digital, estado emocional y actividad física en situación de confinamiento por la COVID-19, en una muestra de estudiantes universitarios </t>
  </si>
  <si>
    <t>11/03/2022 </t>
  </si>
  <si>
    <t>Elvira Aranda, Carlos </t>
  </si>
  <si>
    <t>ANÁLISIS DEL COMPORTAMIENTO OFENSIVO EN FÚTBOL: LAS SITUACIONES DE JUEGO REDUCIDO COMO VARIABLES EXPLICATIVAS DEL ÉXITO </t>
  </si>
  <si>
    <t>21/12/2021 </t>
  </si>
  <si>
    <t>Gavilán Martín, Diego </t>
  </si>
  <si>
    <t>La integración de la igualdad de género en la formación de los futuros docentes de Educación Primaria: los espacios de género </t>
  </si>
  <si>
    <t>18/10/2021 </t>
  </si>
  <si>
    <t>García Martínez, Salvador </t>
  </si>
  <si>
    <t>Modificación del estigma asociado a la enfermedad mental grave mediante la educación física </t>
  </si>
  <si>
    <t>05/04/2022 </t>
  </si>
  <si>
    <t>González Magaña, Jose L. </t>
  </si>
  <si>
    <t>ELOY VAQUERO CANTILLO O EL OPTIMISMO TRÁGICO EN UN NACER QUE TUVO ANTICIPADO </t>
  </si>
  <si>
    <t>27/05/2022 </t>
  </si>
  <si>
    <t>15422184V</t>
  </si>
  <si>
    <t>21409087C</t>
  </si>
  <si>
    <t>21484456H</t>
  </si>
  <si>
    <t>21511105X</t>
  </si>
  <si>
    <t>43081296L</t>
  </si>
  <si>
    <t>44757440S</t>
  </si>
  <si>
    <t>44769550G</t>
  </si>
  <si>
    <t>45563110H</t>
  </si>
  <si>
    <t>48496100W</t>
  </si>
  <si>
    <t>48785270Q</t>
  </si>
  <si>
    <t>74002849G</t>
  </si>
  <si>
    <t>74237659F</t>
  </si>
  <si>
    <t>75129631Q</t>
  </si>
  <si>
    <t>Cód. org. aplic.</t>
  </si>
  <si>
    <t>Descripción justificante</t>
  </si>
  <si>
    <t>Imp.cob.aplic.</t>
  </si>
  <si>
    <t>33.10.6C.00.12</t>
  </si>
  <si>
    <t>Martínez Loza, Rommel Esteban </t>
  </si>
  <si>
    <t>LA FORMACIÓN DEL PROFESORADO DE LA UNIVERSIDAD CENTRAL DEL ECUADOR Y SU REPERCUSIÓN EN LA DOCENCIA </t>
  </si>
  <si>
    <t>31/03/2023 </t>
  </si>
  <si>
    <t>Romero García, Gonzalo </t>
  </si>
  <si>
    <t>Executive functions in basketball coaches. </t>
  </si>
  <si>
    <t>13/03/2023 </t>
  </si>
  <si>
    <t>25339428Y </t>
  </si>
  <si>
    <t>Luján Feliu-Pascual, Isabel </t>
  </si>
  <si>
    <t>Una propuesta didáctica de enseñanza por indagación sobre la problemática de los residuos en educación infantil, educación primaria y futuros docentes. formando a las nuevas generaciones para dar respuesta a las necesidades de nuestro planeta. </t>
  </si>
  <si>
    <t>07/07/2023 </t>
  </si>
  <si>
    <t>74221742Y </t>
  </si>
  <si>
    <t>Sotos Martínez, Victor Javier </t>
  </si>
  <si>
    <t>BENEFICIOS DE LA GAMIFICACIÓN EN EL PERFIL MOTIVACIONAL DEL ALUMNADO DE EDUCACIÓN FÍSICA </t>
  </si>
  <si>
    <t>26/06/2023 </t>
  </si>
  <si>
    <t>74002849G </t>
  </si>
  <si>
    <t>Villalón Gasch, Lamberto Cristobal </t>
  </si>
  <si>
    <t>VALIDACIÓN DE INSTRUMENTOS PARA LA DETERMINACIÓN DEL SALTO </t>
  </si>
  <si>
    <t>13/01/2023 </t>
  </si>
  <si>
    <t>Soler Ortiz, Seila Aixa </t>
  </si>
  <si>
    <t>La educación en Alicante durante el primer tercio del siglo XX: las memorias técnicas como objeto de estudio en un período de transición hacia la graduación escolar. </t>
  </si>
  <si>
    <t>11/07/2023 </t>
  </si>
  <si>
    <t>Borja Naranjo, Germania Maricela </t>
  </si>
  <si>
    <t>LOS ESTEREOTIPOS SEXISTAS EN EL LENGUAJE DEL ESTUDIANTADO Y DEL PROFESORADO DE LA CARRERA DE PEDAGOGÍA DE LA LENGUA Y LA LITERATURA DE LA UNIVERSIDAD CENTRAL DEL ECUADOR </t>
  </si>
  <si>
    <t>21484456H </t>
  </si>
  <si>
    <t>Campra Garcia De Viguera, Carmen </t>
  </si>
  <si>
    <t>Estudio del efecto de la Enseñanza Tradicional (transmisiva) frente al Aprendizaje Basado en Problemas, y detección de obstáculos de aprendizaje sobre el tema "Encuentro de la edificación con el terreno", en el alumnado del Grado en Arquitectura, par </t>
  </si>
  <si>
    <t>22/09/2023 </t>
  </si>
  <si>
    <t>Baeza Legaz, Josep Enric </t>
  </si>
  <si>
    <t>Diseño y validación de un nuevo instrumento para valorar el comportamiento de miedo y evitación en personas con dolor lumbar </t>
  </si>
  <si>
    <t>27/02/2023 </t>
  </si>
  <si>
    <t>Univio Molano, Julio Esteban </t>
  </si>
  <si>
    <t>La formación pedagógica del docente de Filosofía para la educación media </t>
  </si>
  <si>
    <t>04/05/2023 </t>
  </si>
  <si>
    <t>Poveda Garberi, Victoria </t>
  </si>
  <si>
    <t>Afganistà i les seues arestes: un cas pràctic. </t>
  </si>
  <si>
    <t>16/12/2022 </t>
  </si>
  <si>
    <t>DOCTORADO EN TRANSFERENCIAS INTERCULTURALES E HISTÓRICAS EN LA EUROPA MEDIE </t>
  </si>
  <si>
    <t>Crescenza , Giorgio </t>
  </si>
  <si>
    <t>L¿ADOLESCENZA E L¿IMPREVEDIBILE NELL¿EDUCAZIONE. UN¿ANALISI SOCIOPEDAGOGICA SUL DISAGIO SCOLASTICO E FORMATIVO [[La adolescencia y lo imprevisible en la educación. Un análisis sociopedagógico del malestar escolar y educativo]. </t>
  </si>
  <si>
    <t>24/02/2023 </t>
  </si>
  <si>
    <t>I.U.INVESTIGACIÓN DE ESTUDIOS SOCIALES DE AMÉRICA LATINA (10.25) </t>
  </si>
  <si>
    <t>Vásquez Peñafiel, María Stefanie </t>
  </si>
  <si>
    <t>Competencia Digital docente de las Instituciones de Educación Superior </t>
  </si>
  <si>
    <t>08/06/2023 </t>
  </si>
  <si>
    <t>20421173W</t>
  </si>
  <si>
    <t>22138253V</t>
  </si>
  <si>
    <t>48379055G</t>
  </si>
  <si>
    <t>48603390C</t>
  </si>
  <si>
    <t>33.10.6C.00.01</t>
  </si>
  <si>
    <t>Pago mínimo regalías por transferencia de tecnología 2022</t>
  </si>
  <si>
    <t>S</t>
  </si>
  <si>
    <t xml:space="preserve">2ª fase del Proyecto Grupo Educaphys. Actividades concertadas en Fase 2.  Tratamiento de los datos recogidos, análisis cualitativos y cuantitativos de la información recolectada, elaboración y entrega del informe final del proyecto.   </t>
  </si>
  <si>
    <t>33.10.6C.00.14</t>
  </si>
  <si>
    <t xml:space="preserve">Realización de investigación y LONG-LIFE LEARNING EN MATERIA DE COMPETENCIAS DIGITALES EN EL ÁMBITO DE EMPRESA PARA LA MEJORA DE LAS CAPACIDADES DE RECURSOS HUMANOS. </t>
  </si>
  <si>
    <t>33.10.6C.00.15</t>
  </si>
  <si>
    <t xml:space="preserve">ELABORACIÓN DE UNA GUÍA EDUCATIVA DE NUTRICIÓN PARA JUGADORES DE BALONMANO.  </t>
  </si>
  <si>
    <t>33.10.6C.00.16</t>
  </si>
  <si>
    <t>Redacción y maquetación de cuatro guías didácticas para el Espacio Memorialista del Fondó.  Expediente de contratación de referencia (2357/2023) Consignación presupuestaria 220230004104 (Gastos Diversos  Turismo)</t>
  </si>
  <si>
    <t>DEVOLUCIÓN DE INGRESOS_MODELO 047_ Nº de liquidación:46/2023/RAS/10224/1_Número de justificante: 047/1/002367815_Nº de referencia:047/1/002367815</t>
  </si>
  <si>
    <t>33.10.6P.00.22</t>
  </si>
  <si>
    <t xml:space="preserve">INNVA1/2022/16 INNVA1/2022/26 INNVA1/2022/34 INNVA1/2022/36 </t>
  </si>
  <si>
    <t>33.10.6P.00.24</t>
  </si>
  <si>
    <t>AYUDAS MEMUNI/2023/2, MEMUNI/2023/3, MEMUNI/2023/5</t>
  </si>
  <si>
    <t>33.10.6P.00.26</t>
  </si>
  <si>
    <t>ayudas CIGE/2022/4-6-8-10-15-16-21-30-36-45-46-51-52- 54-55-105-170-179</t>
  </si>
  <si>
    <t>33.10.6P.00.27</t>
  </si>
  <si>
    <t>33.10.6P.00.28</t>
  </si>
  <si>
    <t>DIDACTICA GENERAL Y DIDÁCTICAS ESPECÍFICAS</t>
  </si>
  <si>
    <t>DOCTORADO EN INVESTIGACIÓN EDUCATIVA</t>
  </si>
  <si>
    <t>Oller Benítez, Alba</t>
  </si>
  <si>
    <t>Percepciones de los futuros docentes sobre la formación audiovisual en Educación Primaria</t>
  </si>
  <si>
    <t>22/03/2024</t>
  </si>
  <si>
    <t>79160375X</t>
  </si>
  <si>
    <t>Codirector de tesis</t>
  </si>
  <si>
    <t>B177</t>
  </si>
  <si>
    <t>PSICOLOGÍA EVOLUTIVA Y DIDÁCTICA</t>
  </si>
  <si>
    <t>Castaño Romero, Antonio</t>
  </si>
  <si>
    <t>Efectos del Entrenamiento Neuromuscular en niños de Educación Primaria durante las
clases de Educación Física.</t>
  </si>
  <si>
    <t>14/03/2024</t>
  </si>
  <si>
    <t>Bayas Vallejo, Alejandro</t>
  </si>
  <si>
    <t>Itinerario educativo ambiental en dos áreas protegidas del Ecuador para los estudiantes
de la carrera de pedagogía de las Ciencias Experimentales, Química y Biología, de la
Universidad Central de Educador.</t>
  </si>
  <si>
    <t>13/03/2024</t>
  </si>
  <si>
    <t>Almeida Shapán, Rita</t>
  </si>
  <si>
    <t>Integración de la etnobotánica en la formación del futuro profesorado de la carrera de pedagogía de las ciencias experimentales química y biología de la universidad central del ecuador.</t>
  </si>
  <si>
    <t>23/10/2023</t>
  </si>
  <si>
    <t>Camús Ferri, María Del Mar</t>
  </si>
  <si>
    <t>La comunicación didáctica en la docencia universitaria: un estudio de caso en la
 Universidad de Alicante y en la Universidad de Valencia</t>
  </si>
  <si>
    <t>14/02/2024</t>
  </si>
  <si>
    <t>Boned Gómez, Salvador</t>
  </si>
  <si>
    <t xml:space="preserve">Hacia un futuro sostenible: revisión y propuestas curriculares en educación física enfocadas en el fortalecimiento de la conciencia en sostenibilidad
</t>
  </si>
  <si>
    <t>05/07/2024</t>
  </si>
  <si>
    <t>Arroyo Salgueira, Sandra</t>
  </si>
  <si>
    <t>La movilidad académica en el desarrollo profesional docente: un estudio de caso en la Universidad de Alicante</t>
  </si>
  <si>
    <t>15/02/2024</t>
  </si>
  <si>
    <t>Terol Sanchis, Mario</t>
  </si>
  <si>
    <t>Efecto de diferentes tipos de ejercicio físico sobre la presión arterial en sujetos varones
de entre 50-70 años con sobrepeso en la ciudad de Alicante.</t>
  </si>
  <si>
    <t>23/07/2024</t>
  </si>
  <si>
    <t>Martínez Roig, Rosabel</t>
  </si>
  <si>
    <t>La integración de la robótica social y la Música como elemento transversal en los procesos de enseñanza-aprendizaje en el contexto de la Inteligencia Artificial</t>
  </si>
  <si>
    <t>28/06/2024</t>
  </si>
  <si>
    <t>González Céspedes, Guy</t>
  </si>
  <si>
    <t>Efecto de la modalidad deportiva sobre la inhibición motora proactiva y reactiva.</t>
  </si>
  <si>
    <t>19/04/2024</t>
  </si>
  <si>
    <t>Director de tesis</t>
  </si>
  <si>
    <t>U023</t>
  </si>
  <si>
    <t>ADM. FACULTAD DE FILOSOFIA Y LETRAS</t>
  </si>
  <si>
    <t>DOCTORADO EN TRANSFERENCIAS INTERCULTURALES E HISTÓRICAS EN LA EUROPA MEDIE</t>
  </si>
  <si>
    <t>dourgounoglou , antonios</t>
  </si>
  <si>
    <t>The role of the school nurse in organizing health education programs in special schools - The mental health of children with disabilities and the development of their skills on issues related to public health</t>
  </si>
  <si>
    <t>01/07/2024</t>
  </si>
  <si>
    <t>12772877B</t>
  </si>
  <si>
    <t>20494919X</t>
  </si>
  <si>
    <t>21682923H</t>
  </si>
  <si>
    <t>32887286T</t>
  </si>
  <si>
    <t>53247303A</t>
  </si>
  <si>
    <t>U075</t>
  </si>
  <si>
    <t>I.U.INVESTIGACIÓN DE ESTUDIOS SOCIALES DE AMÉRICA LATINA (10.25)</t>
  </si>
  <si>
    <t>DOCTORADO EN HUMANIDADES Y ESTUDIOS SOCIALES DE AMÉRICA LATINA</t>
  </si>
  <si>
    <t>Medina Romero, Raúl Andrés</t>
  </si>
  <si>
    <t>Liderazgo organizacional y mistagogía ignaciana. Integración de los Ejercicios Espirituales a la figura del líder-servidor</t>
  </si>
  <si>
    <t>20/09/2024</t>
  </si>
  <si>
    <t>Rodríguez Sánchez, Dolores Amparito</t>
  </si>
  <si>
    <t>CONSUMO DE DROGAS Y SUS CONSECUENCIAS PSICOLÓGICAS EN PACIENTES INTERNOS EN COMUNIDADES TERAPÉUTICAS DE ECUADOR</t>
  </si>
  <si>
    <t>26/09/2024</t>
  </si>
  <si>
    <t>74241126R</t>
  </si>
  <si>
    <t>Org. aplic.</t>
  </si>
  <si>
    <t>Imp. aplic.</t>
  </si>
  <si>
    <t>Pago regalías 2023 por transferencia de tecnología - Ref. contrato EBT KINETICPERFORMANCE(EBT)-130</t>
  </si>
  <si>
    <t>33.10.6C.00.17</t>
  </si>
  <si>
    <t>ASESORAMIENTO Y LA ASISTENCIA CIENTÍFICO-TÉCNICA EN ACTIVIDADES DE FORMACIÓN, INVESTIGACIÓN Y TRANSFERENCIA EN LOS ÁMBITOS Y OBJETIVOS INTERDISCIPLINARES REFERIDOS A LA FORMACIÓN PERMANENTE. REF. KIOBUS1-24A</t>
  </si>
  <si>
    <t>33.10.6C.00.18</t>
  </si>
  <si>
    <t>Consultoría y asesoramiento científico-técnico en actividades específicas de formación e investigación de postgrado, y transferencia de resultados de investigación. FUNDORTEGAYGASSET1-24A</t>
  </si>
  <si>
    <t>33.10.6P.00.20</t>
  </si>
  <si>
    <t>Ingreso formalización: PARA GASTOS DERIVADOS DE LA APLICACIÓN DE LA LEY 52/2007 SUBVENCIÓN CONCURRENCIA COMPETITIVA (JI-2022-2200)</t>
  </si>
  <si>
    <t xml:space="preserve">ayudas INNVA1/2022/16, INNVA1/2022/26, INNVA1/2022/34, INNVA1/2022/36 </t>
  </si>
  <si>
    <t>ayudas CIGE/2022/4, CIGE/2022/6, CIGE/2022/8, CIGE/2022/15, CIGE/2022/16, CIGE/2022/21, CIGE/2022/30, CIGE/2022/45, CIGE/2022/46, CIGE/2022/51, CIGE/2022/52, CIGE/2022/54, CIGE/2022/55, CIGE/2022/105, CIGE/2022/170, CIGE/2022/179</t>
  </si>
  <si>
    <t>DEVOLUCIÓN DE INGRESOS_ MODELO 047_ Nº DE LIQUIDACIÓN: 46/2024/RAS/10325/1 Nº DE JUSTIFICANTE: 047/1/002551836_Nº DE REFERENCIA: 047/1/002551836</t>
  </si>
  <si>
    <t>33.10.6P.00.29</t>
  </si>
  <si>
    <t>AYUDAS EN CONCURRENCIA COMPETITIVA A PROYECTOS DE SALVAGUARDIA DEL PATRIMONIO CULTURAL INMATERIAL A COMUNIDADES AUTONOMAS</t>
  </si>
  <si>
    <t>33.10.6P.00.30</t>
  </si>
  <si>
    <t>ayudas CIAORG/2023/2, CIAORG/2023/4, CIAORG/2023/11, CIAORG/2023/15, CIAORG/2023/28, CIAORG/2023/40, CIAORG/2023/43, CIAORG/2023/54, CIAORG/2023/62, CIAORG/2023/65, CIAORG/2023/73, CIAORG/2023/91, CIAORG/2023/152, CIAORG/2023/154, CIAORG/2023/169, CIAORG/2023/170, CIAORG/2023/178 (LINEA DE SUBVENCIÓN S0296)</t>
  </si>
  <si>
    <t>33.10.6P.00.31</t>
  </si>
  <si>
    <t>ayudas CIGE/2023/52, CIGE/2023/94, CIGE/2023/129, CIGE/2023/146, CIGE/2023/165, CIGE/2023/175, CIGE/2023/181, CIGE/2023/184, CIGE/2023/188, CIGE/2023/196, CIGE/2023/197, CIGE/2023/216, CIGE/2023/225, CIGE/2023/227 (LINEA SUBVENCIÓN S0296)</t>
  </si>
  <si>
    <t>33.10.6P.00.32</t>
  </si>
  <si>
    <t>33.10.6P.00.33</t>
  </si>
  <si>
    <t>AYUDAS PID2023-146660OB-I00, PID2023-148259NB-I00, PID2023-148881OB-I00, PID2023-149456NB-I00, PID2023-149624NB-I00, PID2023-149643NB-I00, PID2023-149994NB-I00, PID2023-150750NB-I00, PID2023-150795NB-C22,PID2023-151958NB-I00, PID2023-151982NB-I00, PID2023-152305NB-I00, PID2023-152358NA-I00, PID2023-152372NB-I00, PID2023-152734NB-I00, PID2023-152869OB-C21, PID2023-153032NB-I00</t>
  </si>
  <si>
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</si>
  <si>
    <t>33.10.6P.00.35</t>
  </si>
  <si>
    <t>109-MD-2024 ACTIVIDADES RELACIONADAS CON LA RECUPERACION DE LA MEMORIA DEMOCRÁTICA</t>
  </si>
  <si>
    <t>10.91.2T.00.11</t>
  </si>
  <si>
    <t xml:space="preserve">Plan_GH91 Curso_2022-23 Emitido_2022-23 -Blogs. Un recurso para el aula </t>
  </si>
  <si>
    <t>10.91.2T.00.12</t>
  </si>
  <si>
    <t xml:space="preserve">Plan_GH93 Curso_2022-23 Emitido_2022-23 - DISEÑO Y CREACIÓN DE WEBQUESTS. APRENDIZAJE A TRAVÉS DE INTERNET </t>
  </si>
  <si>
    <t>10.91.2T.00.14</t>
  </si>
  <si>
    <t>Plan_GH92 Curso_2022-23 Emitido_2022-23 - DISEÑO DE MURALES MULTIMEDIA EN INTERNET COMO RECURSO DIDÁCTICO</t>
  </si>
  <si>
    <t>10.91.2T.00.15</t>
  </si>
  <si>
    <t xml:space="preserve">Plan_GI82 Curso_2022-23 Emitido_2022-23 - METODOLOGÍA DE LA ENSEÑANZA EN BALONCESTO </t>
  </si>
  <si>
    <t>10.91.2T.00.08</t>
  </si>
  <si>
    <t xml:space="preserve">Plan_GH76 Curso_2022-23 Emitido_2022-23 - CONGRESO INTERNACIONAL EDUCACIÓN Y CONOCIMIENTO </t>
  </si>
  <si>
    <t>10.91.2T.00.19</t>
  </si>
  <si>
    <t xml:space="preserve">LIQ-TitProp_GH77-1 Curso_2023-24 AñoCont_2023 - CONGRESO INTERNACIONAL HUMANIDADES Y CONOCIMIENTO </t>
  </si>
  <si>
    <t xml:space="preserve">LIQ-TitProp_GK20-1 Curso_2023-24 AñoCont_2024 - CONGRESO INTERNACIONAL EDUCACIÓN Y CONOCIMIENTO 2024 </t>
  </si>
  <si>
    <t xml:space="preserve">LIQ-TitProp_GK84-1 Curso_2024-25 AñoCont_2024 - III CONGRESO INTERNACIONAL HUMANIDADES Y CONOCIMIENTO (2024) </t>
  </si>
  <si>
    <t>10.91.2T.00.23</t>
  </si>
  <si>
    <t xml:space="preserve">LIQ-TitProp_GJ96-1 Curso_2023-24 AñoCont_2023 - SALUD Y VALORES OLÍMPICOS: UN ENFOQUE PRÁCTICO PARA INSPIRARTE Y MOTIVAR </t>
  </si>
  <si>
    <t>Didáctica General y Didácticas específicas</t>
  </si>
  <si>
    <t>DOCTORADO EN CIENCIAS DE LA ACTIVIDAD FÍSICA Y DEL DEPORTE</t>
  </si>
  <si>
    <t>Arévalo Chico, Héctor</t>
  </si>
  <si>
    <t>Análisis y Evaluación del Rendimiento y del Entrenamiento en Triatletas de Élite</t>
  </si>
  <si>
    <t>04/06/2025</t>
  </si>
  <si>
    <t>B166</t>
  </si>
  <si>
    <t>Innovación y Formación Didáctica</t>
  </si>
  <si>
    <t>Sainz Muñoz, Francisco Javier</t>
  </si>
  <si>
    <t>Innovación en educación física, una mirada hacia el futuro en la evaluación.</t>
  </si>
  <si>
    <t>18/07/2025</t>
  </si>
  <si>
    <t>Chust Pérez, Verónica</t>
  </si>
  <si>
    <t>El uso de las TIC para el desarrollo de la competencia lingüística en la enseñanza del inglés en la educación secundaria. Una propuesta de diseño de Investigación Educativa.</t>
  </si>
  <si>
    <t>10/07/2025</t>
  </si>
  <si>
    <t>Chaveco Asin, Kirenia</t>
  </si>
  <si>
    <t>La integración del enfoque de género en la docencia: las necesidades formativas del profesorado de la Universidad de Oriente (Cuba)</t>
  </si>
  <si>
    <t>09/12/2024</t>
  </si>
  <si>
    <t>Psicología Evolutiva y Didáctica</t>
  </si>
  <si>
    <t>Montiel Bonmatí, Javier</t>
  </si>
  <si>
    <t>Influencia de la edad relativa en el aprendizaje y desarrollo en el deporte de orientación.</t>
  </si>
  <si>
    <t>15/05/2025</t>
  </si>
  <si>
    <t>Giner Samper, Pilar</t>
  </si>
  <si>
    <t>Educadoras y educadores museísticos: contribución de sus historias de vida a la experiencia educativa del Museo Arqueológico Provincial de Alicante.</t>
  </si>
  <si>
    <t>23/07/2025</t>
  </si>
  <si>
    <t>González Martínez, Julián</t>
  </si>
  <si>
    <t>PERCEPCIÓN DE BARRERAS PARA REALIZAR ACTIVIDAD FÍSICA Y SU RELACIÓN CON LA AGRESIVIDAD, LAS ORIENTACIONES DE META Y LA SALUD MENTAL</t>
  </si>
  <si>
    <t>10/02/2025</t>
  </si>
  <si>
    <t>Sánchez-Gil Machín, Ricardo</t>
  </si>
  <si>
    <t>Impacto del aula invertida en las habilidades blandas, la motivación y el rendimiento académico .</t>
  </si>
  <si>
    <t>02/09/2025</t>
  </si>
  <si>
    <t>Vidaci Vidaci, Andreea</t>
  </si>
  <si>
    <t>Influencia del Programa Docente de Expresión Corporal en la Estructura Cognitiva y el Control Neuromuscular de los estudiantes de CAFD.</t>
  </si>
  <si>
    <t>07/02/2025</t>
  </si>
  <si>
    <t>Instituto Universitario Investigación de Estudios Sociales de América Latina (10</t>
  </si>
  <si>
    <t>Verdecia Marin, Marleys</t>
  </si>
  <si>
    <t>LA OBRA EDUCATIVA DE ALITA CABRERA MARCAIDA Y SU CONTRIBUCIÓN ESTÉTICA A LA ACADEMIA DE BALLET EN CIENFUEGOS</t>
  </si>
  <si>
    <t>13/03/2025</t>
  </si>
  <si>
    <t>2020</t>
  </si>
  <si>
    <t>2021</t>
  </si>
  <si>
    <t>2022</t>
  </si>
  <si>
    <t>2023</t>
  </si>
  <si>
    <t>2024</t>
  </si>
  <si>
    <t>2025</t>
  </si>
  <si>
    <t>05424026M</t>
  </si>
  <si>
    <t>Rey Cubero, Alexandra</t>
  </si>
  <si>
    <t>Manchado López, María Carmen</t>
  </si>
  <si>
    <t>Lucas Palacios, Laura</t>
  </si>
  <si>
    <t>Penichet Tomás, Alfonso</t>
  </si>
  <si>
    <t>Hernández Amorós, María José</t>
  </si>
  <si>
    <t>Álvarez Herrero, Juan Francisco</t>
  </si>
  <si>
    <t>Sebastiá Amat, Sergio</t>
  </si>
  <si>
    <t>Martínez Torregrosa, Joaquin</t>
  </si>
  <si>
    <t>Giner Gomis, Antonio Vicente</t>
  </si>
  <si>
    <t>Pérez Turpin, José Antonio</t>
  </si>
  <si>
    <t>Gavilán Martín, Diego</t>
  </si>
  <si>
    <t>Ávalos Ramos, María Alejandra</t>
  </si>
  <si>
    <t>Pueo Ortega, Basilio</t>
  </si>
  <si>
    <t>Diez Ros, Maria del Rocio</t>
  </si>
  <si>
    <t>Tortosa Martínez, Juan</t>
  </si>
  <si>
    <t>Sebastiá Alcaraz, Rafael</t>
  </si>
  <si>
    <t>Cortell Tormo, Juan Manuel</t>
  </si>
  <si>
    <t>Aparicio Flores, María del Pilar</t>
  </si>
  <si>
    <t>Rico Gómez, María Luisa</t>
  </si>
  <si>
    <t>García Martínez, Salvador</t>
  </si>
  <si>
    <t>Roig Vila, Rosabel</t>
  </si>
  <si>
    <t>Alarcón López, Francisco</t>
  </si>
  <si>
    <t>García Torres, Andrea</t>
  </si>
  <si>
    <t>Chinchilla Mira, Juan Jose</t>
  </si>
  <si>
    <t>Gómez Puerta, José Marcos</t>
  </si>
  <si>
    <t>Ponsoda López de Atalaya, Santiago</t>
  </si>
  <si>
    <t>Ortuño Martínez, Bárbara</t>
  </si>
  <si>
    <t>40</t>
  </si>
  <si>
    <t>Pertegal Felices, María Luisa</t>
  </si>
  <si>
    <t>Menargues Marcilla, María de la Asunción</t>
  </si>
  <si>
    <t>Jiménez Olmedo, José Manuel</t>
  </si>
  <si>
    <t>García Jaén, Miguel</t>
  </si>
  <si>
    <t>Lozano Cabezas, Ines</t>
  </si>
  <si>
    <t>Urrea Solano, María Encarnación</t>
  </si>
  <si>
    <t>Rosa Cintas, Sergio</t>
  </si>
  <si>
    <t>Sanchis Soler, Gema</t>
  </si>
  <si>
    <t>Merma Molina, Gladys</t>
  </si>
  <si>
    <t>Vega Ramirez, Lilyan Mercedes</t>
  </si>
  <si>
    <t>Gómez Trigueros, Isabel María</t>
  </si>
  <si>
    <t>Fernández Sogorb, Aitana</t>
  </si>
  <si>
    <t>Cejuela Anta, Roberto</t>
  </si>
  <si>
    <t>Esteve Faubel, José María</t>
  </si>
  <si>
    <t>Ferriz Valero, Alberto</t>
  </si>
  <si>
    <t>74003040B</t>
  </si>
  <si>
    <t>Molina García, Nuria</t>
  </si>
  <si>
    <t>Limiñana Morcillo, Rubén</t>
  </si>
  <si>
    <t>Sellés Pérez, Sergio</t>
  </si>
  <si>
    <t>Baena Morales, Salvador</t>
  </si>
  <si>
    <t>Iglesias Martínez, Marcos Jesús</t>
  </si>
  <si>
    <t>Carbonell Martínez, José Antonio</t>
  </si>
  <si>
    <t>Esteve Faubel, Rosa Pilar</t>
  </si>
  <si>
    <t>Pago mínimo de regalías por transferencia de tecnología 2024 - Ref. contrato de licencia: KINETICPERFORMANCE(EBT)1-13O</t>
  </si>
  <si>
    <t>Pago del importe restante del presupuesto total tras la firma del contrato FUNDORTEGAYGASSET1-24A</t>
  </si>
  <si>
    <t>33.10.6C.00.19</t>
  </si>
  <si>
    <t>ARASTI1-24TPA - Elaboración y diseño de material/programa formativo (guías) de ejercicio físico para personas mayores con determinadas patologías, siguiendo las directrices en la elaboración de acuerdo con la empresa ARASTI BARCA MS SL</t>
  </si>
  <si>
    <t>33.10.6C.00.20</t>
  </si>
  <si>
    <t>Geolocalización de los lugares por los que pasaron los exiliados españoles en el norte de África (Túnez, Argelia y Marruecos)</t>
  </si>
  <si>
    <t>33.10.6C.00.21</t>
  </si>
  <si>
    <t>CONTRATO DE SERVICIOS DE ASESORAMIENTO Y FORMACIÓN A TRAVÉS DE CONFERENCIAS Y SEMINARIOS SOBRE CONCIENCIA CIUDADANA DENTRO DE LA LINEA DE INVESTIGACIÓN NOSOTROS PROPONEMOS - COEDUCACIÓN CIUDADANA. EXPEDIENTE: 2025/6900</t>
  </si>
  <si>
    <t>33.10.6C.00.22</t>
  </si>
  <si>
    <t>Evaluación longitudinal del rendimiento y del entrenamiento en nadadores absolutos y jóvenes. CLUBASPRILLAS1-25I Primera aportación para contribuir con los gastos necesarios para financiar la investigación anual.</t>
  </si>
  <si>
    <t>33.10.6C.00.23</t>
  </si>
  <si>
    <t>Consultoría y asesoramiento científico-técnico en actividades específicas de formación e investigación de postgrado, y transferencia de resultados de investigación. FUNDORTEGAYGASSET1-25A Abono del primer pago del 50% del presupuesto total (22.612,50 euros) tras la firma del Contrato</t>
  </si>
  <si>
    <t>Consultoría y asesoramiento científico-técnico en actividades específicas de formación e investigación de postgrado, y transferencia de resultados de investigación. FUNDORTEGAYGASSET1-25A Abono del segundo pago del importe restante (22.612,50€) en el mes de diciembre de 2025</t>
  </si>
  <si>
    <t>33.10.6C.00.24</t>
  </si>
  <si>
    <t>Realización de servicios requeridos en la primera fase del proyecto de investigación "Construyendo hábitos saludables en jóvenes - Muévete" Toma de contacto con centros educativos del municipio y exposición del estudio de investigación; Gestionar autorizaciones de Consellería Educación y Centros Docentes implicados; Preparación y validación de las herramientas de investigación (41,3223 €/hora, 30 horas)Toma de contacto con centros educativos del municipio y exposición del estudio de investigación; Gestionar autorizaciones de Consellería Educación y Centros Docentes implicados; Preparación y validación de las herramientas de investigación (41,3223 €/hora, 30 horas)</t>
  </si>
  <si>
    <t>33.10.6C.00.25</t>
  </si>
  <si>
    <t>Evaluación del rendimiento y entrenamiento en nadadores de categorías de formación jóvenes. CLUBLEUCANTE1-25I. Primera aportación, tras la firma del contrato, para contribuir con los gastos necesarios para financiar la investigación anual</t>
  </si>
  <si>
    <t>33.10.6D.00.01</t>
  </si>
  <si>
    <t>INGRESO PERCIBIDO POR LA UNIVERSIDAD DE ALICANTE EN CONCEPTO DE CONVENIO DE COLABORACIÓN PARA EL MANTENIMIENTO DE LA CÁTEDRA DE ARTE CONTEMPORÁNEO ANTONI MIRÓ DE LA UNIVERSITAT D'ALACANT.</t>
  </si>
  <si>
    <t>33.10.6G.00.05</t>
  </si>
  <si>
    <t>INGRESO INSCRIPCIONES CONGRESO INTERNACIONAL: LA ESPAÑA DEL DESARROLLISMO. LA GRAN TRANSFORMACIÓN SOCIAL (1957-1975)</t>
  </si>
  <si>
    <t xml:space="preserve">Minoración Ayuda INNVA1/2022/34 </t>
  </si>
  <si>
    <t>Minoración Ayuda INNVA1/2022/34</t>
  </si>
  <si>
    <t>DEVOLUCIÓN DE INGRESOS_MODELO 047_CIGE 2022</t>
  </si>
  <si>
    <t xml:space="preserve">CIGE/2023/52/94/129/146/165/175/181/184/188/196/197/216/225/227. EN CIGE/2023/196 HAY UNA REASIGNACIÓN DEL IMPORTE (EN JI-2024-3632 SE PRODUCE UNA MINORACIÓN DE 9879,02 Y SE ASIGNA A ESTE AÑO) </t>
  </si>
  <si>
    <t>Minoración Ayudas CIGE/2023/52, CIGE/2023/94, CIGE/2023/129, CIGE/2023/146, CIGE/2023/165, CIGE/2023/175, CIGE/2023/181, CIGE/2023/184, CIGE/2023/188, CIGE/2023/197, CIGE/2023/216,  CIGE/2023/227 (LINEA SUBVENCIÓN S0296)</t>
  </si>
  <si>
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</si>
  <si>
    <t>33.10.6P.00.36</t>
  </si>
  <si>
    <t xml:space="preserve">CIAORG/2024/003. CIAORG/2024/005.  CIAORG/2024/017. CIAORG/2024/035. CIAORG/2024/079. CIAORG/2024/085. CIAORG/2024/098. CIAORG/2024/123. CIAORG/2024/158. CIAORG/2024/187. CIAORG/2024/193         </t>
  </si>
  <si>
    <t>33.10.6P.00.37</t>
  </si>
  <si>
    <t>INREIA/2024/151/176/188. AYUDAS PARA PROYECTOS DE DESARROLLO EXPERIMENTAL EN EL ÁREA DE LA INTELIGENCIA ARTIFICIAL Y EL IMPULSO AL DESARROLLO DE ESPACIOS DE DATOS SECTORIALES. Línea Subvención: S1470</t>
  </si>
  <si>
    <t>33.10.6P.00.39</t>
  </si>
  <si>
    <t>Ingreso ayudas CIGE/2024/56/95/108/145/178/184/194/199/200/201/202/203/204/205/208/209/212/213</t>
  </si>
  <si>
    <t>33.10.6P.00.40</t>
  </si>
  <si>
    <t>33.10.6P.00.41</t>
  </si>
  <si>
    <t>Ingreso subvención para la realización de investigaciones feministas_29-01-ID25</t>
  </si>
  <si>
    <t>33.10.6Q.00.01</t>
  </si>
  <si>
    <t>Subvencion Nominativa Catedra Camilo Cano de Cultura para el Deporte y Deporte para la Cultura. Decreto N.: 2024-2601</t>
  </si>
  <si>
    <t>33.10.6Q.00.03</t>
  </si>
  <si>
    <t>CONVENIO COLABORACIÓN CÁTEDRA DE ARTE CONTEMPORÁNEO ANTONI MIRÓ.  CONVENIO ENTRE AYTO. DE ALCOY Y UNIVERSIDAD DE ALICANTE</t>
  </si>
  <si>
    <t>ANULACIÓN DE DERECHO REFERENTE A CONVENIO COLABORACIÓN CÁTEDRA DE ARTE CONTEMPORÁNEO ANTONI MIRÓ.  CONVENIO ENTRE AYTO. DE ALCOY Y UNIVERSIDAD DE ALICANTE.</t>
  </si>
  <si>
    <t>Total ingresos investigación 2023-25</t>
  </si>
  <si>
    <t>LIQ-TitProp_GM78-N Curso_2024-25 AñoCont_2025 - 4º CONGRESO INTERNACIONAL: EDUCACIÓN Y CONOCIMIENTO</t>
  </si>
  <si>
    <t xml:space="preserve">LIQ-TitProp_GM87-N Curso_2025-26 AñoCont_2025 - 4º CONGRESO INTERNACIONAL HUMANIDADES Y CONOCIMIENTO </t>
  </si>
  <si>
    <t>10.91.2T.01.60</t>
  </si>
  <si>
    <t>CÓD: GM35. COMPETENCIAS GEOESPACIALES, TECNOLOGÍAS E IA PARA LA ENSEÑANZA DE LA GEOGRAFÍA</t>
  </si>
  <si>
    <t>10.91.2T.01.61</t>
  </si>
  <si>
    <t>LIQ-TitProp_GM35-N Curso_2024-25 AñoCont_2025 - COMPETENCIAS GEOESPACIALES, TECNOLOGÍAS E INTELIGENCIA ARTIFICIAL PARA LA</t>
  </si>
  <si>
    <t>Total ingresos de formación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</si>
</sst>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2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3" fillId="0" borderId="0"/>
    <xf numFmtId="0" fontId="3" fillId="0" borderId="0"/>
    <xf numFmtId="0" fontId="4" fillId="0" borderId="0"/>
    <xf numFmtId="0" fontId="1" fillId="0" borderId="0"/>
    <xf numFmtId="164" fontId="9" fillId="0" borderId="0" applyFont="0" applyFill="0" applyBorder="0" applyAlignment="0" applyProtection="0"/>
  </cellStyleXfs>
  <cellXfs count="87">
    <xf numFmtId="0" fontId="0" fillId="0" borderId="0" xfId="0"/>
    <xf numFmtId="0" fontId="6" fillId="5" borderId="1" xfId="3" applyFont="1" applyFill="1" applyBorder="1" applyAlignment="1">
      <alignment horizontal="center" textRotation="90" wrapText="1"/>
    </xf>
    <xf numFmtId="0" fontId="6" fillId="3" borderId="1" xfId="3" applyFont="1" applyFill="1" applyBorder="1" applyAlignment="1">
      <alignment horizontal="center" textRotation="90" wrapText="1"/>
    </xf>
    <xf numFmtId="0" fontId="3" fillId="0" borderId="0" xfId="5" applyFont="1"/>
    <xf numFmtId="0" fontId="7" fillId="0" borderId="0" xfId="5" applyFont="1"/>
    <xf numFmtId="0" fontId="7" fillId="0" borderId="0" xfId="5" applyFont="1" applyAlignment="1">
      <alignment horizontal="right"/>
    </xf>
    <xf numFmtId="0" fontId="5" fillId="2" borderId="1" xfId="0" applyFont="1" applyFill="1" applyBorder="1"/>
    <xf numFmtId="0" fontId="5" fillId="2" borderId="1" xfId="0" applyFont="1" applyFill="1" applyBorder="1" applyAlignment="1">
      <alignment textRotation="90"/>
    </xf>
    <xf numFmtId="0" fontId="6" fillId="3" borderId="1" xfId="3" applyFont="1" applyFill="1" applyBorder="1" applyAlignment="1">
      <alignment horizontal="center" wrapText="1"/>
    </xf>
    <xf numFmtId="0" fontId="11" fillId="8" borderId="7" xfId="0" applyFont="1" applyFill="1" applyBorder="1"/>
    <xf numFmtId="43" fontId="0" fillId="8" borderId="7" xfId="6" applyNumberFormat="1" applyFont="1" applyFill="1" applyBorder="1"/>
    <xf numFmtId="0" fontId="11" fillId="0" borderId="7" xfId="0" applyFont="1" applyBorder="1"/>
    <xf numFmtId="43" fontId="0" fillId="0" borderId="7" xfId="6" applyNumberFormat="1" applyFont="1" applyBorder="1"/>
    <xf numFmtId="43" fontId="0" fillId="0" borderId="0" xfId="0" applyNumberFormat="1"/>
    <xf numFmtId="0" fontId="7" fillId="9" borderId="0" xfId="5" applyFont="1" applyFill="1"/>
    <xf numFmtId="0" fontId="7" fillId="9" borderId="0" xfId="5" applyFont="1" applyFill="1" applyAlignment="1">
      <alignment horizontal="right"/>
    </xf>
    <xf numFmtId="0" fontId="8" fillId="9" borderId="0" xfId="5" applyFont="1" applyFill="1"/>
    <xf numFmtId="0" fontId="7" fillId="0" borderId="1" xfId="5" applyFont="1" applyBorder="1"/>
    <xf numFmtId="0" fontId="7" fillId="0" borderId="1" xfId="5" applyFont="1" applyBorder="1" applyAlignment="1">
      <alignment horizontal="right"/>
    </xf>
    <xf numFmtId="0" fontId="9" fillId="0" borderId="0" xfId="0" applyFont="1"/>
    <xf numFmtId="0" fontId="14" fillId="3" borderId="1" xfId="1" applyFont="1" applyFill="1" applyBorder="1" applyAlignment="1">
      <alignment horizontal="center"/>
    </xf>
    <xf numFmtId="0" fontId="15" fillId="3" borderId="1" xfId="1" applyFont="1" applyFill="1" applyBorder="1" applyAlignment="1">
      <alignment horizontal="center"/>
    </xf>
    <xf numFmtId="0" fontId="15" fillId="3" borderId="1" xfId="2" applyFont="1" applyFill="1" applyBorder="1" applyAlignment="1">
      <alignment horizontal="center"/>
    </xf>
    <xf numFmtId="0" fontId="15" fillId="3" borderId="1" xfId="3" applyFont="1" applyFill="1" applyBorder="1" applyAlignment="1">
      <alignment horizontal="center" wrapText="1"/>
    </xf>
    <xf numFmtId="0" fontId="15" fillId="3" borderId="1" xfId="3" applyFont="1" applyFill="1" applyBorder="1" applyAlignment="1">
      <alignment horizontal="right" wrapText="1"/>
    </xf>
    <xf numFmtId="0" fontId="16" fillId="4" borderId="0" xfId="1" applyFont="1" applyFill="1"/>
    <xf numFmtId="0" fontId="16" fillId="0" borderId="1" xfId="1" applyFont="1" applyBorder="1"/>
    <xf numFmtId="0" fontId="16" fillId="4" borderId="1" xfId="1" applyFont="1" applyFill="1" applyBorder="1"/>
    <xf numFmtId="0" fontId="16" fillId="4" borderId="1" xfId="1" applyFont="1" applyFill="1" applyBorder="1" applyAlignment="1">
      <alignment horizontal="right"/>
    </xf>
    <xf numFmtId="0" fontId="16" fillId="4" borderId="2" xfId="1" applyFont="1" applyFill="1" applyBorder="1"/>
    <xf numFmtId="166" fontId="16" fillId="4" borderId="2" xfId="1" applyNumberFormat="1" applyFont="1" applyFill="1" applyBorder="1"/>
    <xf numFmtId="0" fontId="16" fillId="4" borderId="2" xfId="1" applyFont="1" applyFill="1" applyBorder="1" applyAlignment="1">
      <alignment horizontal="right"/>
    </xf>
    <xf numFmtId="1" fontId="16" fillId="4" borderId="2" xfId="1" applyNumberFormat="1" applyFont="1" applyFill="1" applyBorder="1"/>
    <xf numFmtId="165" fontId="16" fillId="4" borderId="2" xfId="1" applyNumberFormat="1" applyFont="1" applyFill="1" applyBorder="1"/>
    <xf numFmtId="0" fontId="16" fillId="4" borderId="6" xfId="1" applyFont="1" applyFill="1" applyBorder="1"/>
    <xf numFmtId="0" fontId="17" fillId="6" borderId="1" xfId="0" applyFont="1" applyFill="1" applyBorder="1" applyAlignment="1">
      <alignment horizontal="left" vertical="center"/>
    </xf>
    <xf numFmtId="0" fontId="17" fillId="6" borderId="3" xfId="0" applyFont="1" applyFill="1" applyBorder="1" applyAlignment="1">
      <alignment horizontal="left" vertical="center"/>
    </xf>
    <xf numFmtId="0" fontId="17" fillId="6" borderId="4" xfId="0" applyFont="1" applyFill="1" applyBorder="1" applyAlignment="1">
      <alignment horizontal="left" vertical="center"/>
    </xf>
    <xf numFmtId="0" fontId="17" fillId="6" borderId="5" xfId="0" applyFont="1" applyFill="1" applyBorder="1" applyAlignment="1">
      <alignment horizontal="left" vertical="center"/>
    </xf>
    <xf numFmtId="0" fontId="16" fillId="0" borderId="1" xfId="0" applyFont="1" applyBorder="1"/>
    <xf numFmtId="0" fontId="16" fillId="0" borderId="0" xfId="0" applyFont="1"/>
    <xf numFmtId="0" fontId="16" fillId="9" borderId="0" xfId="1" applyFont="1" applyFill="1"/>
    <xf numFmtId="0" fontId="16" fillId="9" borderId="0" xfId="1" applyFont="1" applyFill="1" applyAlignment="1">
      <alignment horizontal="right"/>
    </xf>
    <xf numFmtId="0" fontId="16" fillId="4" borderId="0" xfId="1" applyFont="1" applyFill="1" applyAlignment="1">
      <alignment horizontal="right"/>
    </xf>
    <xf numFmtId="0" fontId="10" fillId="7" borderId="8" xfId="0" applyFont="1" applyFill="1" applyBorder="1"/>
    <xf numFmtId="0" fontId="0" fillId="0" borderId="9" xfId="0" applyBorder="1"/>
    <xf numFmtId="0" fontId="0" fillId="11" borderId="0" xfId="0" applyFill="1"/>
    <xf numFmtId="0" fontId="11" fillId="0" borderId="9" xfId="0" applyFont="1" applyBorder="1"/>
    <xf numFmtId="43" fontId="0" fillId="0" borderId="9" xfId="6" applyNumberFormat="1" applyFont="1" applyBorder="1"/>
    <xf numFmtId="0" fontId="7" fillId="0" borderId="9" xfId="0" applyFont="1" applyBorder="1"/>
    <xf numFmtId="43" fontId="9" fillId="0" borderId="9" xfId="0" applyNumberFormat="1" applyFont="1" applyBorder="1"/>
    <xf numFmtId="0" fontId="0" fillId="8" borderId="7" xfId="0" applyFill="1" applyBorder="1"/>
    <xf numFmtId="0" fontId="0" fillId="0" borderId="7" xfId="0" applyBorder="1"/>
    <xf numFmtId="0" fontId="12" fillId="7" borderId="8" xfId="0" applyFont="1" applyFill="1" applyBorder="1"/>
    <xf numFmtId="43" fontId="12" fillId="7" borderId="8" xfId="6" applyNumberFormat="1" applyFont="1" applyFill="1" applyBorder="1"/>
    <xf numFmtId="0" fontId="0" fillId="8" borderId="9" xfId="0" applyFill="1" applyBorder="1"/>
    <xf numFmtId="43" fontId="0" fillId="8" borderId="9" xfId="6" applyNumberFormat="1" applyFont="1" applyFill="1" applyBorder="1"/>
    <xf numFmtId="43" fontId="9" fillId="8" borderId="9" xfId="0" applyNumberFormat="1" applyFont="1" applyFill="1" applyBorder="1"/>
    <xf numFmtId="164" fontId="0" fillId="0" borderId="9" xfId="0" applyNumberFormat="1" applyFont="1" applyBorder="1"/>
    <xf numFmtId="0" fontId="18" fillId="7" borderId="8" xfId="0" applyFont="1" applyFill="1" applyBorder="1"/>
    <xf numFmtId="0" fontId="7" fillId="8" borderId="7" xfId="0" applyFont="1" applyFill="1" applyBorder="1"/>
    <xf numFmtId="0" fontId="7" fillId="10" borderId="7" xfId="0" applyFont="1" applyFill="1" applyBorder="1"/>
    <xf numFmtId="164" fontId="7" fillId="8" borderId="7" xfId="6" applyFont="1" applyFill="1" applyBorder="1"/>
    <xf numFmtId="164" fontId="7" fillId="10" borderId="7" xfId="6" applyFont="1" applyFill="1" applyBorder="1"/>
    <xf numFmtId="0" fontId="13" fillId="0" borderId="1" xfId="0" applyFont="1" applyBorder="1"/>
    <xf numFmtId="164" fontId="13" fillId="0" borderId="1" xfId="0" applyNumberFormat="1" applyFont="1" applyBorder="1"/>
    <xf numFmtId="164" fontId="7" fillId="0" borderId="9" xfId="0" applyNumberFormat="1" applyFont="1" applyBorder="1"/>
    <xf numFmtId="0" fontId="16" fillId="4" borderId="10" xfId="1" applyFont="1" applyFill="1" applyBorder="1"/>
    <xf numFmtId="0" fontId="16" fillId="0" borderId="10" xfId="0" applyFont="1" applyBorder="1"/>
    <xf numFmtId="0" fontId="16" fillId="4" borderId="11" xfId="1" applyFont="1" applyFill="1" applyBorder="1"/>
    <xf numFmtId="0" fontId="16" fillId="0" borderId="11" xfId="1" applyFont="1" applyBorder="1"/>
    <xf numFmtId="0" fontId="16" fillId="0" borderId="11" xfId="0" applyFont="1" applyBorder="1"/>
    <xf numFmtId="165" fontId="14" fillId="9" borderId="0" xfId="1" applyNumberFormat="1" applyFont="1" applyFill="1"/>
    <xf numFmtId="0" fontId="19" fillId="12" borderId="12" xfId="0" applyFont="1" applyFill="1" applyBorder="1"/>
    <xf numFmtId="0" fontId="19" fillId="12" borderId="13" xfId="0" applyFont="1" applyFill="1" applyBorder="1"/>
    <xf numFmtId="0" fontId="20" fillId="13" borderId="12" xfId="0" applyFont="1" applyFill="1" applyBorder="1"/>
    <xf numFmtId="0" fontId="20" fillId="13" borderId="13" xfId="0" applyFont="1" applyFill="1" applyBorder="1"/>
    <xf numFmtId="164" fontId="20" fillId="13" borderId="13" xfId="6" applyFont="1" applyFill="1" applyBorder="1"/>
    <xf numFmtId="0" fontId="20" fillId="0" borderId="12" xfId="0" applyFont="1" applyBorder="1"/>
    <xf numFmtId="0" fontId="20" fillId="0" borderId="13" xfId="0" applyFont="1" applyBorder="1"/>
    <xf numFmtId="164" fontId="20" fillId="0" borderId="13" xfId="6" applyFont="1" applyBorder="1"/>
    <xf numFmtId="0" fontId="21" fillId="0" borderId="14" xfId="0" applyFont="1" applyBorder="1"/>
    <xf numFmtId="0" fontId="21" fillId="0" borderId="15" xfId="0" applyFont="1" applyBorder="1"/>
    <xf numFmtId="164" fontId="21" fillId="0" borderId="15" xfId="6" applyFont="1" applyBorder="1"/>
    <xf numFmtId="43" fontId="13" fillId="0" borderId="1" xfId="0" applyNumberFormat="1" applyFont="1" applyBorder="1"/>
    <xf numFmtId="164" fontId="19" fillId="12" borderId="13" xfId="6" applyFont="1" applyFill="1" applyBorder="1"/>
    <xf numFmtId="164" fontId="21" fillId="0" borderId="15" xfId="0" applyNumberFormat="1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\ _€_-;\-* #,##0.00\ _€_-;_-* &quot;-&quot;??\ _€_-;_-@_-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</font>
    </dxf>
    <dxf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</font>
    </dxf>
    <dxf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</font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* #,##0.00\ _€_-;\-* #,##0.00\ _€_-;_-* &quot;-&quot;??\ _€_-;_-@_-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</font>
    </dxf>
    <dxf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</font>
    </dxf>
    <dxf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</font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9DC174-A56A-4632-AD70-EDDB84694C8B}" name="Tabla2" displayName="Tabla2" ref="A1:C14" totalsRowCount="1" headerRowDxfId="38" headerRowBorderDxfId="37" tableBorderDxfId="36" totalsRowBorderDxfId="35">
  <autoFilter ref="A1:C13" xr:uid="{3E9DC174-A56A-4632-AD70-EDDB84694C8B}"/>
  <tableColumns count="3">
    <tableColumn id="1" xr3:uid="{84513409-FC90-4B31-8873-75E88BFE80FF}" name="Cód. org. aplic." totalsRowLabel="Total" dataDxfId="34" totalsRowDxfId="33"/>
    <tableColumn id="2" xr3:uid="{5A962A1F-80AA-438E-B1D3-B42B5DC4F2D4}" name="Descripción justificante" dataDxfId="32" totalsRowDxfId="31"/>
    <tableColumn id="3" xr3:uid="{C8562CE3-E567-4CFE-B680-9947C2C07278}" name="Imp.cob.aplic." totalsRowFunction="sum" dataDxfId="30" totalsRowDxfId="29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956ECC-FB33-4C3F-B119-66C5FDE48495}" name="Tabla3" displayName="Tabla3" ref="A1:C19" totalsRowCount="1" headerRowBorderDxfId="28" tableBorderDxfId="27" totalsRowBorderDxfId="26">
  <autoFilter ref="A1:C18" xr:uid="{34956ECC-FB33-4C3F-B119-66C5FDE48495}"/>
  <tableColumns count="3">
    <tableColumn id="1" xr3:uid="{BBD34543-9D98-4D94-9430-E340D17D0DAA}" name="Org. aplic." totalsRowLabel="Total" dataDxfId="25" totalsRowDxfId="24"/>
    <tableColumn id="2" xr3:uid="{3A43E49E-BBEB-4D2F-A886-F72DB46862FA}" name="Descripción justificante" dataDxfId="23" totalsRowDxfId="22"/>
    <tableColumn id="3" xr3:uid="{BC36FCA6-1528-4E0A-AED8-BA02BFEB72FA}" name="Imp. aplic." totalsRowFunction="sum" dataDxfId="21" totalsRowDxfId="20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4C9984-9C56-41C8-A7BA-E0E1CCB681CB}" name="Tabla46" displayName="Tabla46" ref="A1:C9" totalsRowCount="1" headerRowDxfId="19" headerRowBorderDxfId="18" tableBorderDxfId="17" totalsRowBorderDxfId="16">
  <autoFilter ref="A1:C8" xr:uid="{B04C9984-9C56-41C8-A7BA-E0E1CCB681CB}"/>
  <tableColumns count="3">
    <tableColumn id="1" xr3:uid="{7AAAE761-5148-4B14-A847-0017BEC3D06D}" name="Cód. org. aplic." totalsRowLabel="Total" dataDxfId="15" totalsRowDxfId="14"/>
    <tableColumn id="2" xr3:uid="{11E9E18F-12D0-474A-BF15-00F29FDF049A}" name="Descripción justificante" dataDxfId="13" totalsRowDxfId="12"/>
    <tableColumn id="3" xr3:uid="{068A6F0C-953D-4906-BC7D-73C6AD35B37F}" name="Imp.cob.aplic." totalsRowFunction="sum" dataDxfId="11" totalsRowDxfId="10" dataCellStyle="Millares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B80912-67E2-464D-B301-3401D1F182C0}" name="Tabla468" displayName="Tabla468" ref="A1:C4" totalsRowCount="1" headerRowDxfId="9" headerRowBorderDxfId="8" tableBorderDxfId="7" totalsRowBorderDxfId="6">
  <autoFilter ref="A1:C3" xr:uid="{B8B80912-67E2-464D-B301-3401D1F182C0}"/>
  <tableColumns count="3">
    <tableColumn id="1" xr3:uid="{014364EE-209A-4DA0-B269-D8D8A1937DFA}" name="Cód. org. aplic." totalsRowLabel="Total" dataDxfId="5" totalsRowDxfId="4"/>
    <tableColumn id="2" xr3:uid="{1C458E17-8FC4-414C-8778-2B470406F1C3}" name="Descripción justificante" dataDxfId="3" totalsRowDxfId="2"/>
    <tableColumn id="3" xr3:uid="{522F5989-BC40-4430-A820-BF67B2641EF0}" name="Imp.cob.aplic." totalsRowFunction="sum" dataDxfId="1" totalsRowDxfId="0" dataCellStyle="Millare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8"/>
  <sheetViews>
    <sheetView showGridLines="0" zoomScaleNormal="100"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AA79" sqref="AA79"/>
    </sheetView>
  </sheetViews>
  <sheetFormatPr baseColWidth="10" defaultColWidth="10.28515625" defaultRowHeight="15" x14ac:dyDescent="0.25"/>
  <cols>
    <col min="1" max="1" width="5" style="25" customWidth="1"/>
    <col min="2" max="4" width="29.7109375" style="25" customWidth="1"/>
    <col min="5" max="5" width="40.7109375" style="25" customWidth="1"/>
    <col min="6" max="6" width="9.140625" style="25" customWidth="1"/>
    <col min="7" max="7" width="9.7109375" style="25" customWidth="1"/>
    <col min="8" max="8" width="14.42578125" style="25" customWidth="1"/>
    <col min="9" max="9" width="5.85546875" style="25" customWidth="1"/>
    <col min="10" max="10" width="38.42578125" style="25" customWidth="1"/>
    <col min="11" max="12" width="5.140625" style="25" customWidth="1"/>
    <col min="13" max="13" width="5.7109375" style="25" customWidth="1"/>
    <col min="14" max="14" width="4.85546875" style="25" customWidth="1"/>
    <col min="15" max="15" width="4.85546875" style="43" customWidth="1"/>
    <col min="16" max="16" width="4.85546875" style="25" customWidth="1"/>
    <col min="17" max="17" width="3.5703125" style="43" customWidth="1"/>
    <col min="18" max="18" width="6.7109375" style="25" customWidth="1"/>
    <col min="19" max="21" width="5.140625" style="25" customWidth="1"/>
    <col min="22" max="16384" width="10.28515625" style="25"/>
  </cols>
  <sheetData>
    <row r="1" spans="1:21" ht="60" x14ac:dyDescent="0.25">
      <c r="A1" s="20" t="s">
        <v>1</v>
      </c>
      <c r="B1" s="21" t="s">
        <v>2</v>
      </c>
      <c r="C1" s="21" t="s">
        <v>3</v>
      </c>
      <c r="D1" s="21" t="s">
        <v>4</v>
      </c>
      <c r="E1" s="21" t="s">
        <v>5</v>
      </c>
      <c r="F1" s="21" t="s">
        <v>6</v>
      </c>
      <c r="G1" s="21" t="s">
        <v>7</v>
      </c>
      <c r="H1" s="21" t="s">
        <v>8</v>
      </c>
      <c r="I1" s="20" t="s">
        <v>9</v>
      </c>
      <c r="J1" s="21" t="s">
        <v>10</v>
      </c>
      <c r="K1" s="20" t="s">
        <v>11</v>
      </c>
      <c r="L1" s="21" t="s">
        <v>12</v>
      </c>
      <c r="M1" s="22" t="s">
        <v>13</v>
      </c>
      <c r="N1" s="23" t="s">
        <v>14</v>
      </c>
      <c r="O1" s="24" t="s">
        <v>15</v>
      </c>
      <c r="P1" s="23" t="s">
        <v>16</v>
      </c>
      <c r="Q1" s="24" t="s">
        <v>17</v>
      </c>
      <c r="R1" s="23" t="s">
        <v>18</v>
      </c>
      <c r="S1" s="23" t="s">
        <v>19</v>
      </c>
      <c r="T1" s="23" t="s">
        <v>20</v>
      </c>
      <c r="U1" s="23" t="s">
        <v>21</v>
      </c>
    </row>
    <row r="2" spans="1:21" x14ac:dyDescent="0.25">
      <c r="A2" s="29" t="s">
        <v>40</v>
      </c>
      <c r="B2" s="29" t="s">
        <v>41</v>
      </c>
      <c r="C2" s="29" t="s">
        <v>29</v>
      </c>
      <c r="D2" s="29" t="s">
        <v>84</v>
      </c>
      <c r="E2" s="29" t="s">
        <v>85</v>
      </c>
      <c r="F2" s="29" t="s">
        <v>86</v>
      </c>
      <c r="G2" s="29" t="s">
        <v>47</v>
      </c>
      <c r="H2" s="29" t="s">
        <v>25</v>
      </c>
      <c r="I2" s="29" t="s">
        <v>27</v>
      </c>
      <c r="J2" s="29" t="s">
        <v>28</v>
      </c>
      <c r="K2" s="30">
        <v>1</v>
      </c>
      <c r="L2" s="29" t="s">
        <v>34</v>
      </c>
      <c r="M2" s="29">
        <v>2019</v>
      </c>
      <c r="N2" s="29" t="s">
        <v>24</v>
      </c>
      <c r="O2" s="31" t="s">
        <v>24</v>
      </c>
      <c r="P2" s="29" t="s">
        <v>24</v>
      </c>
      <c r="Q2" s="31" t="s">
        <v>24</v>
      </c>
      <c r="R2" s="32">
        <v>100</v>
      </c>
      <c r="S2" s="33">
        <v>1</v>
      </c>
      <c r="T2" s="33">
        <v>0</v>
      </c>
      <c r="U2" s="33">
        <v>0</v>
      </c>
    </row>
    <row r="3" spans="1:21" x14ac:dyDescent="0.25">
      <c r="A3" s="29" t="s">
        <v>40</v>
      </c>
      <c r="B3" s="29" t="s">
        <v>41</v>
      </c>
      <c r="C3" s="29" t="s">
        <v>29</v>
      </c>
      <c r="D3" s="29" t="s">
        <v>81</v>
      </c>
      <c r="E3" s="29" t="s">
        <v>82</v>
      </c>
      <c r="F3" s="29" t="s">
        <v>83</v>
      </c>
      <c r="G3" s="29" t="s">
        <v>36</v>
      </c>
      <c r="H3" s="29" t="s">
        <v>25</v>
      </c>
      <c r="I3" s="29" t="s">
        <v>27</v>
      </c>
      <c r="J3" s="29" t="s">
        <v>28</v>
      </c>
      <c r="K3" s="30">
        <v>1</v>
      </c>
      <c r="L3" s="29" t="s">
        <v>34</v>
      </c>
      <c r="M3" s="29">
        <v>2019</v>
      </c>
      <c r="N3" s="29" t="s">
        <v>24</v>
      </c>
      <c r="O3" s="31" t="s">
        <v>24</v>
      </c>
      <c r="P3" s="29" t="s">
        <v>24</v>
      </c>
      <c r="Q3" s="31" t="s">
        <v>24</v>
      </c>
      <c r="R3" s="32">
        <v>100</v>
      </c>
      <c r="S3" s="33">
        <v>1</v>
      </c>
      <c r="T3" s="33">
        <v>0</v>
      </c>
      <c r="U3" s="33">
        <v>0</v>
      </c>
    </row>
    <row r="4" spans="1:21" x14ac:dyDescent="0.25">
      <c r="A4" s="27" t="s">
        <v>40</v>
      </c>
      <c r="B4" s="27" t="s">
        <v>41</v>
      </c>
      <c r="C4" s="27" t="s">
        <v>29</v>
      </c>
      <c r="D4" s="27" t="s">
        <v>96</v>
      </c>
      <c r="E4" s="27" t="s">
        <v>97</v>
      </c>
      <c r="F4" s="27" t="s">
        <v>98</v>
      </c>
      <c r="G4" s="27" t="s">
        <v>35</v>
      </c>
      <c r="H4" s="27" t="s">
        <v>25</v>
      </c>
      <c r="I4" s="27" t="s">
        <v>27</v>
      </c>
      <c r="J4" s="27" t="s">
        <v>28</v>
      </c>
      <c r="K4" s="26">
        <v>1</v>
      </c>
      <c r="L4" s="26" t="s">
        <v>34</v>
      </c>
      <c r="M4" s="34">
        <v>2019</v>
      </c>
      <c r="N4" s="27" t="s">
        <v>30</v>
      </c>
      <c r="O4" s="28">
        <v>30</v>
      </c>
      <c r="P4" s="27" t="s">
        <v>24</v>
      </c>
      <c r="Q4" s="28">
        <v>0</v>
      </c>
      <c r="R4" s="27">
        <v>70</v>
      </c>
      <c r="S4" s="27">
        <v>0.7</v>
      </c>
      <c r="T4" s="27">
        <v>0.3</v>
      </c>
      <c r="U4" s="27">
        <v>0</v>
      </c>
    </row>
    <row r="5" spans="1:21" x14ac:dyDescent="0.25">
      <c r="A5" s="27" t="s">
        <v>40</v>
      </c>
      <c r="B5" s="27" t="s">
        <v>41</v>
      </c>
      <c r="C5" s="27" t="s">
        <v>29</v>
      </c>
      <c r="D5" s="27" t="s">
        <v>99</v>
      </c>
      <c r="E5" s="27" t="s">
        <v>100</v>
      </c>
      <c r="F5" s="27" t="s">
        <v>101</v>
      </c>
      <c r="G5" s="27" t="s">
        <v>102</v>
      </c>
      <c r="H5" s="27" t="s">
        <v>22</v>
      </c>
      <c r="I5" s="27" t="s">
        <v>27</v>
      </c>
      <c r="J5" s="27" t="s">
        <v>28</v>
      </c>
      <c r="K5" s="26">
        <v>0.5</v>
      </c>
      <c r="L5" s="26" t="s">
        <v>34</v>
      </c>
      <c r="M5" s="34">
        <v>2019</v>
      </c>
      <c r="N5" s="27" t="s">
        <v>30</v>
      </c>
      <c r="O5" s="28">
        <v>30</v>
      </c>
      <c r="P5" s="27" t="s">
        <v>49</v>
      </c>
      <c r="Q5" s="28">
        <v>20</v>
      </c>
      <c r="R5" s="27">
        <v>50</v>
      </c>
      <c r="S5" s="27">
        <v>0.25</v>
      </c>
      <c r="T5" s="27">
        <v>0.15</v>
      </c>
      <c r="U5" s="27">
        <v>0.1</v>
      </c>
    </row>
    <row r="6" spans="1:21" x14ac:dyDescent="0.25">
      <c r="A6" s="27" t="s">
        <v>40</v>
      </c>
      <c r="B6" s="27" t="s">
        <v>41</v>
      </c>
      <c r="C6" s="27" t="s">
        <v>29</v>
      </c>
      <c r="D6" s="27" t="s">
        <v>99</v>
      </c>
      <c r="E6" s="27" t="s">
        <v>100</v>
      </c>
      <c r="F6" s="27" t="s">
        <v>101</v>
      </c>
      <c r="G6" s="27" t="s">
        <v>103</v>
      </c>
      <c r="H6" s="27" t="s">
        <v>22</v>
      </c>
      <c r="I6" s="27" t="s">
        <v>27</v>
      </c>
      <c r="J6" s="27" t="s">
        <v>28</v>
      </c>
      <c r="K6" s="26">
        <v>0.5</v>
      </c>
      <c r="L6" s="26" t="s">
        <v>34</v>
      </c>
      <c r="M6" s="34">
        <v>2019</v>
      </c>
      <c r="N6" s="27" t="s">
        <v>30</v>
      </c>
      <c r="O6" s="28">
        <v>30</v>
      </c>
      <c r="P6" s="27" t="s">
        <v>49</v>
      </c>
      <c r="Q6" s="28">
        <v>20</v>
      </c>
      <c r="R6" s="27">
        <v>50</v>
      </c>
      <c r="S6" s="27">
        <v>0.25</v>
      </c>
      <c r="T6" s="27">
        <v>0.15</v>
      </c>
      <c r="U6" s="27">
        <v>0.1</v>
      </c>
    </row>
    <row r="7" spans="1:21" x14ac:dyDescent="0.25">
      <c r="A7" s="27" t="s">
        <v>40</v>
      </c>
      <c r="B7" s="27" t="s">
        <v>41</v>
      </c>
      <c r="C7" s="27" t="s">
        <v>29</v>
      </c>
      <c r="D7" s="27" t="s">
        <v>104</v>
      </c>
      <c r="E7" s="27" t="s">
        <v>105</v>
      </c>
      <c r="F7" s="27" t="s">
        <v>106</v>
      </c>
      <c r="G7" s="27" t="s">
        <v>48</v>
      </c>
      <c r="H7" s="27" t="s">
        <v>25</v>
      </c>
      <c r="I7" s="27" t="s">
        <v>27</v>
      </c>
      <c r="J7" s="27" t="s">
        <v>28</v>
      </c>
      <c r="K7" s="26">
        <v>1</v>
      </c>
      <c r="L7" s="26" t="s">
        <v>34</v>
      </c>
      <c r="M7" s="34">
        <v>2019</v>
      </c>
      <c r="N7" s="27" t="s">
        <v>30</v>
      </c>
      <c r="O7" s="28">
        <v>80</v>
      </c>
      <c r="P7" s="27" t="s">
        <v>24</v>
      </c>
      <c r="Q7" s="28">
        <v>0</v>
      </c>
      <c r="R7" s="27">
        <v>20</v>
      </c>
      <c r="S7" s="27">
        <v>0.2</v>
      </c>
      <c r="T7" s="27">
        <v>0.8</v>
      </c>
      <c r="U7" s="27">
        <v>0</v>
      </c>
    </row>
    <row r="8" spans="1:21" x14ac:dyDescent="0.25">
      <c r="A8" s="27" t="s">
        <v>40</v>
      </c>
      <c r="B8" s="27" t="s">
        <v>41</v>
      </c>
      <c r="C8" s="27" t="s">
        <v>29</v>
      </c>
      <c r="D8" s="27" t="s">
        <v>107</v>
      </c>
      <c r="E8" s="27" t="s">
        <v>108</v>
      </c>
      <c r="F8" s="27" t="s">
        <v>98</v>
      </c>
      <c r="G8" s="27" t="s">
        <v>35</v>
      </c>
      <c r="H8" s="27" t="s">
        <v>25</v>
      </c>
      <c r="I8" s="27" t="s">
        <v>27</v>
      </c>
      <c r="J8" s="27" t="s">
        <v>28</v>
      </c>
      <c r="K8" s="26">
        <v>1</v>
      </c>
      <c r="L8" s="26" t="s">
        <v>34</v>
      </c>
      <c r="M8" s="34">
        <v>2019</v>
      </c>
      <c r="N8" s="27" t="s">
        <v>30</v>
      </c>
      <c r="O8" s="28">
        <v>30</v>
      </c>
      <c r="P8" s="27" t="s">
        <v>24</v>
      </c>
      <c r="Q8" s="28">
        <v>0</v>
      </c>
      <c r="R8" s="27">
        <v>70</v>
      </c>
      <c r="S8" s="27">
        <v>0.7</v>
      </c>
      <c r="T8" s="27">
        <v>0.3</v>
      </c>
      <c r="U8" s="27">
        <v>0</v>
      </c>
    </row>
    <row r="9" spans="1:21" ht="15.75" thickBot="1" x14ac:dyDescent="0.3">
      <c r="A9" s="27" t="s">
        <v>109</v>
      </c>
      <c r="B9" s="27" t="s">
        <v>110</v>
      </c>
      <c r="C9" s="27" t="s">
        <v>111</v>
      </c>
      <c r="D9" s="27" t="s">
        <v>112</v>
      </c>
      <c r="E9" s="27" t="s">
        <v>113</v>
      </c>
      <c r="F9" s="27" t="s">
        <v>114</v>
      </c>
      <c r="G9" s="27" t="s">
        <v>48</v>
      </c>
      <c r="H9" s="27" t="s">
        <v>22</v>
      </c>
      <c r="I9" s="27" t="s">
        <v>27</v>
      </c>
      <c r="J9" s="27" t="s">
        <v>28</v>
      </c>
      <c r="K9" s="26">
        <v>0.5</v>
      </c>
      <c r="L9" s="26" t="s">
        <v>34</v>
      </c>
      <c r="M9" s="34">
        <v>2019</v>
      </c>
      <c r="N9" s="27" t="s">
        <v>30</v>
      </c>
      <c r="O9" s="28">
        <v>80</v>
      </c>
      <c r="P9" s="27" t="s">
        <v>24</v>
      </c>
      <c r="Q9" s="28">
        <v>0</v>
      </c>
      <c r="R9" s="27">
        <v>20</v>
      </c>
      <c r="S9" s="27">
        <v>0.1</v>
      </c>
      <c r="T9" s="27">
        <v>0.4</v>
      </c>
      <c r="U9" s="27">
        <v>0</v>
      </c>
    </row>
    <row r="10" spans="1:21" ht="15.75" thickBot="1" x14ac:dyDescent="0.3">
      <c r="A10" s="35" t="s">
        <v>27</v>
      </c>
      <c r="B10" s="35" t="s">
        <v>28</v>
      </c>
      <c r="C10" s="35" t="s">
        <v>29</v>
      </c>
      <c r="D10" s="35" t="s">
        <v>115</v>
      </c>
      <c r="E10" s="35" t="s">
        <v>116</v>
      </c>
      <c r="F10" s="35" t="s">
        <v>117</v>
      </c>
      <c r="G10" s="36" t="s">
        <v>44</v>
      </c>
      <c r="H10" s="37" t="s">
        <v>22</v>
      </c>
      <c r="I10" s="37" t="s">
        <v>27</v>
      </c>
      <c r="J10" s="38" t="s">
        <v>28</v>
      </c>
      <c r="K10" s="26">
        <v>0.5</v>
      </c>
      <c r="L10" s="26" t="s">
        <v>34</v>
      </c>
      <c r="M10" s="27">
        <v>2020</v>
      </c>
      <c r="N10" s="27" t="s">
        <v>24</v>
      </c>
      <c r="O10" s="28" t="s">
        <v>24</v>
      </c>
      <c r="P10" s="27" t="s">
        <v>24</v>
      </c>
      <c r="Q10" s="28" t="s">
        <v>24</v>
      </c>
      <c r="R10" s="27">
        <v>100</v>
      </c>
      <c r="S10" s="27">
        <v>0.5</v>
      </c>
      <c r="T10" s="27">
        <v>0</v>
      </c>
      <c r="U10" s="27">
        <v>0</v>
      </c>
    </row>
    <row r="11" spans="1:21" ht="15.75" thickBot="1" x14ac:dyDescent="0.3">
      <c r="A11" s="35" t="s">
        <v>27</v>
      </c>
      <c r="B11" s="35" t="s">
        <v>28</v>
      </c>
      <c r="C11" s="35" t="s">
        <v>29</v>
      </c>
      <c r="D11" s="35" t="s">
        <v>115</v>
      </c>
      <c r="E11" s="35" t="s">
        <v>116</v>
      </c>
      <c r="F11" s="35" t="s">
        <v>117</v>
      </c>
      <c r="G11" s="36" t="s">
        <v>118</v>
      </c>
      <c r="H11" s="37" t="s">
        <v>22</v>
      </c>
      <c r="I11" s="37" t="s">
        <v>27</v>
      </c>
      <c r="J11" s="38" t="s">
        <v>28</v>
      </c>
      <c r="K11" s="26">
        <v>0.5</v>
      </c>
      <c r="L11" s="26" t="s">
        <v>34</v>
      </c>
      <c r="M11" s="27">
        <v>2020</v>
      </c>
      <c r="N11" s="27" t="s">
        <v>24</v>
      </c>
      <c r="O11" s="28" t="s">
        <v>24</v>
      </c>
      <c r="P11" s="27" t="s">
        <v>24</v>
      </c>
      <c r="Q11" s="28" t="s">
        <v>24</v>
      </c>
      <c r="R11" s="27">
        <v>100</v>
      </c>
      <c r="S11" s="27">
        <v>0.5</v>
      </c>
      <c r="T11" s="27">
        <v>0</v>
      </c>
      <c r="U11" s="27">
        <v>0</v>
      </c>
    </row>
    <row r="12" spans="1:21" ht="15.75" thickBot="1" x14ac:dyDescent="0.3">
      <c r="A12" s="35" t="s">
        <v>27</v>
      </c>
      <c r="B12" s="35" t="s">
        <v>28</v>
      </c>
      <c r="C12" s="35" t="s">
        <v>29</v>
      </c>
      <c r="D12" s="35" t="s">
        <v>119</v>
      </c>
      <c r="E12" s="35" t="s">
        <v>120</v>
      </c>
      <c r="F12" s="35" t="s">
        <v>121</v>
      </c>
      <c r="G12" s="36" t="s">
        <v>42</v>
      </c>
      <c r="H12" s="37" t="s">
        <v>22</v>
      </c>
      <c r="I12" s="37" t="s">
        <v>27</v>
      </c>
      <c r="J12" s="38" t="s">
        <v>28</v>
      </c>
      <c r="K12" s="26">
        <v>0.5</v>
      </c>
      <c r="L12" s="26" t="s">
        <v>34</v>
      </c>
      <c r="M12" s="27">
        <v>2020</v>
      </c>
      <c r="N12" s="27" t="s">
        <v>43</v>
      </c>
      <c r="O12" s="28">
        <v>20</v>
      </c>
      <c r="P12" s="27" t="s">
        <v>24</v>
      </c>
      <c r="Q12" s="28">
        <v>0</v>
      </c>
      <c r="R12" s="27">
        <v>80</v>
      </c>
      <c r="S12" s="27">
        <v>0.4</v>
      </c>
      <c r="T12" s="27">
        <v>0.1</v>
      </c>
      <c r="U12" s="27">
        <v>0</v>
      </c>
    </row>
    <row r="13" spans="1:21" ht="15.75" thickBot="1" x14ac:dyDescent="0.3">
      <c r="A13" s="35" t="s">
        <v>27</v>
      </c>
      <c r="B13" s="35" t="s">
        <v>28</v>
      </c>
      <c r="C13" s="35" t="s">
        <v>29</v>
      </c>
      <c r="D13" s="35" t="s">
        <v>119</v>
      </c>
      <c r="E13" s="35" t="s">
        <v>120</v>
      </c>
      <c r="F13" s="35" t="s">
        <v>121</v>
      </c>
      <c r="G13" s="36" t="s">
        <v>46</v>
      </c>
      <c r="H13" s="37" t="s">
        <v>22</v>
      </c>
      <c r="I13" s="37" t="s">
        <v>27</v>
      </c>
      <c r="J13" s="38" t="s">
        <v>28</v>
      </c>
      <c r="K13" s="26">
        <v>0.5</v>
      </c>
      <c r="L13" s="26" t="s">
        <v>34</v>
      </c>
      <c r="M13" s="27">
        <v>2020</v>
      </c>
      <c r="N13" s="27" t="s">
        <v>24</v>
      </c>
      <c r="O13" s="28" t="s">
        <v>24</v>
      </c>
      <c r="P13" s="27" t="s">
        <v>24</v>
      </c>
      <c r="Q13" s="28" t="s">
        <v>24</v>
      </c>
      <c r="R13" s="27">
        <v>100</v>
      </c>
      <c r="S13" s="27">
        <v>0.5</v>
      </c>
      <c r="T13" s="27">
        <v>0</v>
      </c>
      <c r="U13" s="27">
        <v>0</v>
      </c>
    </row>
    <row r="14" spans="1:21" ht="15.75" thickBot="1" x14ac:dyDescent="0.3">
      <c r="A14" s="35" t="s">
        <v>27</v>
      </c>
      <c r="B14" s="35" t="s">
        <v>28</v>
      </c>
      <c r="C14" s="35" t="s">
        <v>29</v>
      </c>
      <c r="D14" s="35" t="s">
        <v>163</v>
      </c>
      <c r="E14" s="35" t="s">
        <v>164</v>
      </c>
      <c r="F14" s="35" t="s">
        <v>165</v>
      </c>
      <c r="G14" s="36" t="s">
        <v>42</v>
      </c>
      <c r="H14" s="37" t="s">
        <v>22</v>
      </c>
      <c r="I14" s="37" t="s">
        <v>27</v>
      </c>
      <c r="J14" s="38" t="s">
        <v>28</v>
      </c>
      <c r="K14" s="26">
        <v>0.5</v>
      </c>
      <c r="L14" s="26" t="s">
        <v>34</v>
      </c>
      <c r="M14" s="27">
        <v>2020</v>
      </c>
      <c r="N14" s="27" t="s">
        <v>43</v>
      </c>
      <c r="O14" s="28">
        <v>20</v>
      </c>
      <c r="P14" s="27" t="s">
        <v>24</v>
      </c>
      <c r="Q14" s="28">
        <v>0</v>
      </c>
      <c r="R14" s="27">
        <v>80</v>
      </c>
      <c r="S14" s="27">
        <v>0.4</v>
      </c>
      <c r="T14" s="27">
        <v>0.1</v>
      </c>
      <c r="U14" s="27">
        <v>0</v>
      </c>
    </row>
    <row r="15" spans="1:21" ht="15.75" thickBot="1" x14ac:dyDescent="0.3">
      <c r="A15" s="35" t="s">
        <v>27</v>
      </c>
      <c r="B15" s="35" t="s">
        <v>28</v>
      </c>
      <c r="C15" s="35" t="s">
        <v>29</v>
      </c>
      <c r="D15" s="35" t="s">
        <v>163</v>
      </c>
      <c r="E15" s="35" t="s">
        <v>164</v>
      </c>
      <c r="F15" s="35" t="s">
        <v>165</v>
      </c>
      <c r="G15" s="36" t="s">
        <v>166</v>
      </c>
      <c r="H15" s="37" t="s">
        <v>22</v>
      </c>
      <c r="I15" s="37" t="s">
        <v>27</v>
      </c>
      <c r="J15" s="38" t="s">
        <v>28</v>
      </c>
      <c r="K15" s="26">
        <v>0.5</v>
      </c>
      <c r="L15" s="26" t="s">
        <v>34</v>
      </c>
      <c r="M15" s="27">
        <v>2020</v>
      </c>
      <c r="N15" s="27" t="s">
        <v>24</v>
      </c>
      <c r="O15" s="28" t="s">
        <v>24</v>
      </c>
      <c r="P15" s="27" t="s">
        <v>24</v>
      </c>
      <c r="Q15" s="28" t="s">
        <v>24</v>
      </c>
      <c r="R15" s="27">
        <v>100</v>
      </c>
      <c r="S15" s="27">
        <v>0.5</v>
      </c>
      <c r="T15" s="27">
        <v>0</v>
      </c>
      <c r="U15" s="27">
        <v>0</v>
      </c>
    </row>
    <row r="16" spans="1:21" ht="15.75" thickBot="1" x14ac:dyDescent="0.3">
      <c r="A16" s="35" t="s">
        <v>27</v>
      </c>
      <c r="B16" s="35" t="s">
        <v>28</v>
      </c>
      <c r="C16" s="35" t="s">
        <v>29</v>
      </c>
      <c r="D16" s="35" t="s">
        <v>122</v>
      </c>
      <c r="E16" s="35" t="s">
        <v>123</v>
      </c>
      <c r="F16" s="35" t="s">
        <v>124</v>
      </c>
      <c r="G16" s="36" t="s">
        <v>125</v>
      </c>
      <c r="H16" s="37" t="s">
        <v>22</v>
      </c>
      <c r="I16" s="37" t="s">
        <v>27</v>
      </c>
      <c r="J16" s="38" t="s">
        <v>28</v>
      </c>
      <c r="K16" s="26">
        <v>0.5</v>
      </c>
      <c r="L16" s="26" t="s">
        <v>34</v>
      </c>
      <c r="M16" s="27">
        <v>2020</v>
      </c>
      <c r="N16" s="27" t="s">
        <v>49</v>
      </c>
      <c r="O16" s="28">
        <v>30</v>
      </c>
      <c r="P16" s="27" t="s">
        <v>30</v>
      </c>
      <c r="Q16" s="28">
        <v>30</v>
      </c>
      <c r="R16" s="27">
        <v>40</v>
      </c>
      <c r="S16" s="27">
        <v>0.2</v>
      </c>
      <c r="T16" s="27">
        <v>0.15</v>
      </c>
      <c r="U16" s="27">
        <v>0.15</v>
      </c>
    </row>
    <row r="17" spans="1:21" ht="15.75" thickBot="1" x14ac:dyDescent="0.3">
      <c r="A17" s="35" t="s">
        <v>27</v>
      </c>
      <c r="B17" s="35" t="s">
        <v>28</v>
      </c>
      <c r="C17" s="35" t="s">
        <v>29</v>
      </c>
      <c r="D17" s="35" t="s">
        <v>122</v>
      </c>
      <c r="E17" s="35" t="s">
        <v>123</v>
      </c>
      <c r="F17" s="35" t="s">
        <v>124</v>
      </c>
      <c r="G17" s="36" t="s">
        <v>36</v>
      </c>
      <c r="H17" s="37" t="s">
        <v>22</v>
      </c>
      <c r="I17" s="37" t="s">
        <v>27</v>
      </c>
      <c r="J17" s="38" t="s">
        <v>28</v>
      </c>
      <c r="K17" s="26">
        <v>0.5</v>
      </c>
      <c r="L17" s="26" t="s">
        <v>34</v>
      </c>
      <c r="M17" s="27">
        <v>2020</v>
      </c>
      <c r="N17" s="27" t="s">
        <v>24</v>
      </c>
      <c r="O17" s="28" t="s">
        <v>24</v>
      </c>
      <c r="P17" s="27" t="s">
        <v>24</v>
      </c>
      <c r="Q17" s="28" t="s">
        <v>24</v>
      </c>
      <c r="R17" s="27">
        <v>100</v>
      </c>
      <c r="S17" s="27">
        <v>0.5</v>
      </c>
      <c r="T17" s="27">
        <v>0</v>
      </c>
      <c r="U17" s="27">
        <v>0</v>
      </c>
    </row>
    <row r="18" spans="1:21" ht="15.75" thickBot="1" x14ac:dyDescent="0.3">
      <c r="A18" s="35" t="s">
        <v>27</v>
      </c>
      <c r="B18" s="35" t="s">
        <v>28</v>
      </c>
      <c r="C18" s="35" t="s">
        <v>29</v>
      </c>
      <c r="D18" s="35" t="s">
        <v>126</v>
      </c>
      <c r="E18" s="35" t="s">
        <v>127</v>
      </c>
      <c r="F18" s="35" t="s">
        <v>128</v>
      </c>
      <c r="G18" s="36" t="s">
        <v>37</v>
      </c>
      <c r="H18" s="37" t="s">
        <v>25</v>
      </c>
      <c r="I18" s="37" t="s">
        <v>27</v>
      </c>
      <c r="J18" s="38" t="s">
        <v>28</v>
      </c>
      <c r="K18" s="26">
        <v>1</v>
      </c>
      <c r="L18" s="26" t="s">
        <v>34</v>
      </c>
      <c r="M18" s="27">
        <v>2020</v>
      </c>
      <c r="N18" s="27" t="s">
        <v>38</v>
      </c>
      <c r="O18" s="28">
        <v>50</v>
      </c>
      <c r="P18" s="27" t="s">
        <v>24</v>
      </c>
      <c r="Q18" s="28">
        <v>0</v>
      </c>
      <c r="R18" s="27">
        <v>50</v>
      </c>
      <c r="S18" s="27">
        <v>0.5</v>
      </c>
      <c r="T18" s="27">
        <v>0.5</v>
      </c>
      <c r="U18" s="27">
        <v>0</v>
      </c>
    </row>
    <row r="19" spans="1:21" ht="15.75" thickBot="1" x14ac:dyDescent="0.3">
      <c r="A19" s="35" t="s">
        <v>27</v>
      </c>
      <c r="B19" s="35" t="s">
        <v>28</v>
      </c>
      <c r="C19" s="35" t="s">
        <v>29</v>
      </c>
      <c r="D19" s="35" t="s">
        <v>167</v>
      </c>
      <c r="E19" s="35" t="s">
        <v>129</v>
      </c>
      <c r="F19" s="35" t="s">
        <v>130</v>
      </c>
      <c r="G19" s="36" t="s">
        <v>102</v>
      </c>
      <c r="H19" s="37" t="s">
        <v>25</v>
      </c>
      <c r="I19" s="37" t="s">
        <v>27</v>
      </c>
      <c r="J19" s="38" t="s">
        <v>28</v>
      </c>
      <c r="K19" s="26">
        <v>1</v>
      </c>
      <c r="L19" s="26" t="s">
        <v>34</v>
      </c>
      <c r="M19" s="27">
        <v>2020</v>
      </c>
      <c r="N19" s="27" t="s">
        <v>30</v>
      </c>
      <c r="O19" s="28">
        <v>30</v>
      </c>
      <c r="P19" s="27" t="s">
        <v>49</v>
      </c>
      <c r="Q19" s="28">
        <v>20</v>
      </c>
      <c r="R19" s="27">
        <v>50</v>
      </c>
      <c r="S19" s="27">
        <v>0.5</v>
      </c>
      <c r="T19" s="27">
        <v>0.3</v>
      </c>
      <c r="U19" s="27">
        <v>0.2</v>
      </c>
    </row>
    <row r="20" spans="1:21" ht="15.75" thickBot="1" x14ac:dyDescent="0.3">
      <c r="A20" s="35" t="s">
        <v>40</v>
      </c>
      <c r="B20" s="35" t="s">
        <v>41</v>
      </c>
      <c r="C20" s="35" t="s">
        <v>29</v>
      </c>
      <c r="D20" s="35" t="s">
        <v>131</v>
      </c>
      <c r="E20" s="35" t="s">
        <v>132</v>
      </c>
      <c r="F20" s="35" t="s">
        <v>133</v>
      </c>
      <c r="G20" s="36" t="s">
        <v>35</v>
      </c>
      <c r="H20" s="37" t="s">
        <v>25</v>
      </c>
      <c r="I20" s="37" t="s">
        <v>27</v>
      </c>
      <c r="J20" s="38" t="s">
        <v>28</v>
      </c>
      <c r="K20" s="26">
        <v>1</v>
      </c>
      <c r="L20" s="26" t="s">
        <v>34</v>
      </c>
      <c r="M20" s="27">
        <v>2020</v>
      </c>
      <c r="N20" s="27" t="s">
        <v>30</v>
      </c>
      <c r="O20" s="28">
        <v>30</v>
      </c>
      <c r="P20" s="27" t="s">
        <v>24</v>
      </c>
      <c r="Q20" s="28">
        <v>0</v>
      </c>
      <c r="R20" s="27">
        <v>70</v>
      </c>
      <c r="S20" s="27">
        <v>0.7</v>
      </c>
      <c r="T20" s="27">
        <v>0.3</v>
      </c>
      <c r="U20" s="27">
        <v>0</v>
      </c>
    </row>
    <row r="21" spans="1:21" ht="15.75" thickBot="1" x14ac:dyDescent="0.3">
      <c r="A21" s="35" t="s">
        <v>40</v>
      </c>
      <c r="B21" s="35" t="s">
        <v>41</v>
      </c>
      <c r="C21" s="35" t="s">
        <v>29</v>
      </c>
      <c r="D21" s="35" t="s">
        <v>134</v>
      </c>
      <c r="E21" s="35" t="s">
        <v>135</v>
      </c>
      <c r="F21" s="35" t="s">
        <v>136</v>
      </c>
      <c r="G21" s="36" t="s">
        <v>102</v>
      </c>
      <c r="H21" s="37" t="s">
        <v>25</v>
      </c>
      <c r="I21" s="37" t="s">
        <v>27</v>
      </c>
      <c r="J21" s="38" t="s">
        <v>28</v>
      </c>
      <c r="K21" s="26">
        <v>1</v>
      </c>
      <c r="L21" s="26" t="s">
        <v>34</v>
      </c>
      <c r="M21" s="27">
        <v>2020</v>
      </c>
      <c r="N21" s="27" t="s">
        <v>30</v>
      </c>
      <c r="O21" s="28">
        <v>30</v>
      </c>
      <c r="P21" s="27" t="s">
        <v>49</v>
      </c>
      <c r="Q21" s="28">
        <v>20</v>
      </c>
      <c r="R21" s="27">
        <v>50</v>
      </c>
      <c r="S21" s="27">
        <v>0.5</v>
      </c>
      <c r="T21" s="27">
        <v>0.3</v>
      </c>
      <c r="U21" s="27">
        <v>0.2</v>
      </c>
    </row>
    <row r="22" spans="1:21" ht="15.75" thickBot="1" x14ac:dyDescent="0.3">
      <c r="A22" s="35" t="s">
        <v>40</v>
      </c>
      <c r="B22" s="35" t="s">
        <v>41</v>
      </c>
      <c r="C22" s="35" t="s">
        <v>29</v>
      </c>
      <c r="D22" s="35" t="s">
        <v>137</v>
      </c>
      <c r="E22" s="35" t="s">
        <v>138</v>
      </c>
      <c r="F22" s="35" t="s">
        <v>139</v>
      </c>
      <c r="G22" s="36" t="s">
        <v>35</v>
      </c>
      <c r="H22" s="37" t="s">
        <v>25</v>
      </c>
      <c r="I22" s="37" t="s">
        <v>27</v>
      </c>
      <c r="J22" s="38" t="s">
        <v>28</v>
      </c>
      <c r="K22" s="26">
        <v>1</v>
      </c>
      <c r="L22" s="26" t="s">
        <v>34</v>
      </c>
      <c r="M22" s="27">
        <v>2020</v>
      </c>
      <c r="N22" s="27" t="s">
        <v>30</v>
      </c>
      <c r="O22" s="28">
        <v>30</v>
      </c>
      <c r="P22" s="27" t="s">
        <v>24</v>
      </c>
      <c r="Q22" s="28">
        <v>0</v>
      </c>
      <c r="R22" s="27">
        <v>70</v>
      </c>
      <c r="S22" s="27">
        <v>0.7</v>
      </c>
      <c r="T22" s="27">
        <v>0.3</v>
      </c>
      <c r="U22" s="27">
        <v>0</v>
      </c>
    </row>
    <row r="23" spans="1:21" ht="15.75" thickBot="1" x14ac:dyDescent="0.3">
      <c r="A23" s="35" t="s">
        <v>40</v>
      </c>
      <c r="B23" s="35" t="s">
        <v>41</v>
      </c>
      <c r="C23" s="35" t="s">
        <v>29</v>
      </c>
      <c r="D23" s="35" t="s">
        <v>140</v>
      </c>
      <c r="E23" s="35" t="s">
        <v>141</v>
      </c>
      <c r="F23" s="35" t="s">
        <v>133</v>
      </c>
      <c r="G23" s="36" t="s">
        <v>35</v>
      </c>
      <c r="H23" s="37" t="s">
        <v>25</v>
      </c>
      <c r="I23" s="37" t="s">
        <v>27</v>
      </c>
      <c r="J23" s="38" t="s">
        <v>28</v>
      </c>
      <c r="K23" s="26">
        <v>1</v>
      </c>
      <c r="L23" s="26" t="s">
        <v>34</v>
      </c>
      <c r="M23" s="27">
        <v>2020</v>
      </c>
      <c r="N23" s="27" t="s">
        <v>30</v>
      </c>
      <c r="O23" s="28">
        <v>30</v>
      </c>
      <c r="P23" s="27" t="s">
        <v>24</v>
      </c>
      <c r="Q23" s="28">
        <v>0</v>
      </c>
      <c r="R23" s="27">
        <v>70</v>
      </c>
      <c r="S23" s="27">
        <v>0.7</v>
      </c>
      <c r="T23" s="27">
        <v>0.3</v>
      </c>
      <c r="U23" s="27">
        <v>0</v>
      </c>
    </row>
    <row r="24" spans="1:21" ht="15.75" thickBot="1" x14ac:dyDescent="0.3">
      <c r="A24" s="35" t="s">
        <v>109</v>
      </c>
      <c r="B24" s="35" t="s">
        <v>110</v>
      </c>
      <c r="C24" s="35" t="s">
        <v>111</v>
      </c>
      <c r="D24" s="35" t="s">
        <v>142</v>
      </c>
      <c r="E24" s="35" t="s">
        <v>143</v>
      </c>
      <c r="F24" s="35" t="s">
        <v>144</v>
      </c>
      <c r="G24" s="36" t="s">
        <v>48</v>
      </c>
      <c r="H24" s="37" t="s">
        <v>25</v>
      </c>
      <c r="I24" s="37" t="s">
        <v>27</v>
      </c>
      <c r="J24" s="38" t="s">
        <v>28</v>
      </c>
      <c r="K24" s="26">
        <v>1</v>
      </c>
      <c r="L24" s="26" t="s">
        <v>34</v>
      </c>
      <c r="M24" s="27">
        <v>2020</v>
      </c>
      <c r="N24" s="27" t="s">
        <v>30</v>
      </c>
      <c r="O24" s="28">
        <v>80</v>
      </c>
      <c r="P24" s="27" t="s">
        <v>24</v>
      </c>
      <c r="Q24" s="28">
        <v>0</v>
      </c>
      <c r="R24" s="27">
        <v>20</v>
      </c>
      <c r="S24" s="27">
        <v>0.2</v>
      </c>
      <c r="T24" s="27">
        <v>0.8</v>
      </c>
      <c r="U24" s="27">
        <v>0</v>
      </c>
    </row>
    <row r="25" spans="1:21" ht="15.75" thickBot="1" x14ac:dyDescent="0.3">
      <c r="A25" s="35" t="s">
        <v>109</v>
      </c>
      <c r="B25" s="35" t="s">
        <v>110</v>
      </c>
      <c r="C25" s="35" t="s">
        <v>111</v>
      </c>
      <c r="D25" s="35" t="s">
        <v>145</v>
      </c>
      <c r="E25" s="35" t="s">
        <v>146</v>
      </c>
      <c r="F25" s="35" t="s">
        <v>147</v>
      </c>
      <c r="G25" s="36" t="s">
        <v>148</v>
      </c>
      <c r="H25" s="37" t="s">
        <v>22</v>
      </c>
      <c r="I25" s="37" t="s">
        <v>27</v>
      </c>
      <c r="J25" s="38" t="s">
        <v>28</v>
      </c>
      <c r="K25" s="26">
        <v>0.5</v>
      </c>
      <c r="L25" s="26" t="s">
        <v>34</v>
      </c>
      <c r="M25" s="27">
        <v>2020</v>
      </c>
      <c r="N25" s="27" t="s">
        <v>91</v>
      </c>
      <c r="O25" s="28">
        <v>50</v>
      </c>
      <c r="P25" s="27" t="s">
        <v>24</v>
      </c>
      <c r="Q25" s="28">
        <v>0</v>
      </c>
      <c r="R25" s="27">
        <v>50</v>
      </c>
      <c r="S25" s="27">
        <v>0.25</v>
      </c>
      <c r="T25" s="27">
        <v>0.25</v>
      </c>
      <c r="U25" s="27">
        <v>0</v>
      </c>
    </row>
    <row r="26" spans="1:21" ht="15.75" thickBot="1" x14ac:dyDescent="0.3">
      <c r="A26" s="35" t="s">
        <v>149</v>
      </c>
      <c r="B26" s="35" t="s">
        <v>150</v>
      </c>
      <c r="C26" s="35" t="s">
        <v>151</v>
      </c>
      <c r="D26" s="35" t="s">
        <v>152</v>
      </c>
      <c r="E26" s="35" t="s">
        <v>153</v>
      </c>
      <c r="F26" s="35" t="s">
        <v>139</v>
      </c>
      <c r="G26" s="36" t="s">
        <v>154</v>
      </c>
      <c r="H26" s="37" t="s">
        <v>22</v>
      </c>
      <c r="I26" s="37" t="s">
        <v>27</v>
      </c>
      <c r="J26" s="38" t="s">
        <v>28</v>
      </c>
      <c r="K26" s="26">
        <v>0.5</v>
      </c>
      <c r="L26" s="26" t="s">
        <v>34</v>
      </c>
      <c r="M26" s="27">
        <v>2020</v>
      </c>
      <c r="N26" s="27" t="s">
        <v>30</v>
      </c>
      <c r="O26" s="28">
        <v>50</v>
      </c>
      <c r="P26" s="27" t="s">
        <v>24</v>
      </c>
      <c r="Q26" s="28">
        <v>0</v>
      </c>
      <c r="R26" s="27">
        <v>50</v>
      </c>
      <c r="S26" s="27">
        <v>0.25</v>
      </c>
      <c r="T26" s="27">
        <v>0.25</v>
      </c>
      <c r="U26" s="27">
        <v>0</v>
      </c>
    </row>
    <row r="27" spans="1:21" x14ac:dyDescent="0.25">
      <c r="A27" s="27" t="s">
        <v>155</v>
      </c>
      <c r="B27" s="27" t="s">
        <v>156</v>
      </c>
      <c r="C27" s="27" t="s">
        <v>157</v>
      </c>
      <c r="D27" s="27" t="s">
        <v>158</v>
      </c>
      <c r="E27" s="27" t="s">
        <v>159</v>
      </c>
      <c r="F27" s="27" t="s">
        <v>160</v>
      </c>
      <c r="G27" s="27" t="s">
        <v>48</v>
      </c>
      <c r="H27" s="27" t="s">
        <v>25</v>
      </c>
      <c r="I27" s="27" t="s">
        <v>27</v>
      </c>
      <c r="J27" s="27" t="s">
        <v>28</v>
      </c>
      <c r="K27" s="26">
        <v>1</v>
      </c>
      <c r="L27" s="26" t="s">
        <v>34</v>
      </c>
      <c r="M27" s="27">
        <v>2020</v>
      </c>
      <c r="N27" s="27" t="s">
        <v>30</v>
      </c>
      <c r="O27" s="28">
        <v>80</v>
      </c>
      <c r="P27" s="27" t="s">
        <v>24</v>
      </c>
      <c r="Q27" s="28">
        <v>0</v>
      </c>
      <c r="R27" s="27">
        <v>20</v>
      </c>
      <c r="S27" s="27">
        <v>0.2</v>
      </c>
      <c r="T27" s="27">
        <v>0.8</v>
      </c>
      <c r="U27" s="27">
        <v>0</v>
      </c>
    </row>
    <row r="28" spans="1:21" x14ac:dyDescent="0.25">
      <c r="A28" s="27" t="s">
        <v>27</v>
      </c>
      <c r="B28" s="27" t="s">
        <v>28</v>
      </c>
      <c r="C28" s="27" t="s">
        <v>29</v>
      </c>
      <c r="D28" s="27" t="s">
        <v>168</v>
      </c>
      <c r="E28" s="27" t="s">
        <v>169</v>
      </c>
      <c r="F28" s="27" t="s">
        <v>170</v>
      </c>
      <c r="G28" s="27" t="s">
        <v>44</v>
      </c>
      <c r="H28" s="27" t="s">
        <v>22</v>
      </c>
      <c r="I28" s="27" t="s">
        <v>27</v>
      </c>
      <c r="J28" s="27" t="s">
        <v>28</v>
      </c>
      <c r="K28" s="26">
        <v>0.5</v>
      </c>
      <c r="L28" s="26" t="s">
        <v>34</v>
      </c>
      <c r="M28" s="27">
        <v>2021</v>
      </c>
      <c r="N28" s="27" t="s">
        <v>24</v>
      </c>
      <c r="O28" s="28" t="s">
        <v>24</v>
      </c>
      <c r="P28" s="27" t="s">
        <v>24</v>
      </c>
      <c r="Q28" s="28" t="s">
        <v>24</v>
      </c>
      <c r="R28" s="27">
        <v>100</v>
      </c>
      <c r="S28" s="27">
        <v>0.5</v>
      </c>
      <c r="T28" s="27">
        <v>0</v>
      </c>
      <c r="U28" s="27">
        <v>0</v>
      </c>
    </row>
    <row r="29" spans="1:21" x14ac:dyDescent="0.25">
      <c r="A29" s="27" t="s">
        <v>27</v>
      </c>
      <c r="B29" s="27" t="s">
        <v>28</v>
      </c>
      <c r="C29" s="27" t="s">
        <v>29</v>
      </c>
      <c r="D29" s="27" t="s">
        <v>168</v>
      </c>
      <c r="E29" s="27" t="s">
        <v>169</v>
      </c>
      <c r="F29" s="27" t="s">
        <v>170</v>
      </c>
      <c r="G29" s="27" t="s">
        <v>118</v>
      </c>
      <c r="H29" s="27" t="s">
        <v>22</v>
      </c>
      <c r="I29" s="27" t="s">
        <v>27</v>
      </c>
      <c r="J29" s="27" t="s">
        <v>28</v>
      </c>
      <c r="K29" s="26">
        <v>0.5</v>
      </c>
      <c r="L29" s="26" t="s">
        <v>34</v>
      </c>
      <c r="M29" s="27">
        <v>2021</v>
      </c>
      <c r="N29" s="27" t="s">
        <v>24</v>
      </c>
      <c r="O29" s="28" t="s">
        <v>24</v>
      </c>
      <c r="P29" s="27" t="s">
        <v>24</v>
      </c>
      <c r="Q29" s="28" t="s">
        <v>24</v>
      </c>
      <c r="R29" s="27">
        <v>100</v>
      </c>
      <c r="S29" s="27">
        <v>0.5</v>
      </c>
      <c r="T29" s="27">
        <v>0</v>
      </c>
      <c r="U29" s="27">
        <v>0</v>
      </c>
    </row>
    <row r="30" spans="1:21" x14ac:dyDescent="0.25">
      <c r="A30" s="27" t="s">
        <v>27</v>
      </c>
      <c r="B30" s="27" t="s">
        <v>28</v>
      </c>
      <c r="C30" s="27" t="s">
        <v>29</v>
      </c>
      <c r="D30" s="27" t="s">
        <v>171</v>
      </c>
      <c r="E30" s="27" t="s">
        <v>172</v>
      </c>
      <c r="F30" s="27" t="s">
        <v>173</v>
      </c>
      <c r="G30" s="27" t="s">
        <v>47</v>
      </c>
      <c r="H30" s="27" t="s">
        <v>25</v>
      </c>
      <c r="I30" s="27" t="s">
        <v>27</v>
      </c>
      <c r="J30" s="27" t="s">
        <v>28</v>
      </c>
      <c r="K30" s="26">
        <v>1</v>
      </c>
      <c r="L30" s="26" t="s">
        <v>34</v>
      </c>
      <c r="M30" s="27">
        <v>2021</v>
      </c>
      <c r="N30" s="27" t="s">
        <v>24</v>
      </c>
      <c r="O30" s="28" t="s">
        <v>24</v>
      </c>
      <c r="P30" s="27" t="s">
        <v>24</v>
      </c>
      <c r="Q30" s="28" t="s">
        <v>24</v>
      </c>
      <c r="R30" s="27">
        <v>100</v>
      </c>
      <c r="S30" s="27">
        <v>1</v>
      </c>
      <c r="T30" s="27">
        <v>0</v>
      </c>
      <c r="U30" s="27">
        <v>0</v>
      </c>
    </row>
    <row r="31" spans="1:21" x14ac:dyDescent="0.25">
      <c r="A31" s="27" t="s">
        <v>27</v>
      </c>
      <c r="B31" s="27" t="s">
        <v>28</v>
      </c>
      <c r="C31" s="27" t="s">
        <v>29</v>
      </c>
      <c r="D31" s="27" t="s">
        <v>174</v>
      </c>
      <c r="E31" s="27" t="s">
        <v>175</v>
      </c>
      <c r="F31" s="27" t="s">
        <v>176</v>
      </c>
      <c r="G31" s="27" t="s">
        <v>46</v>
      </c>
      <c r="H31" s="27" t="s">
        <v>22</v>
      </c>
      <c r="I31" s="27" t="s">
        <v>27</v>
      </c>
      <c r="J31" s="27" t="s">
        <v>28</v>
      </c>
      <c r="K31" s="26">
        <v>0.5</v>
      </c>
      <c r="L31" s="26" t="s">
        <v>34</v>
      </c>
      <c r="M31" s="27">
        <v>2021</v>
      </c>
      <c r="N31" s="27" t="s">
        <v>24</v>
      </c>
      <c r="O31" s="28" t="s">
        <v>24</v>
      </c>
      <c r="P31" s="27" t="s">
        <v>24</v>
      </c>
      <c r="Q31" s="28" t="s">
        <v>24</v>
      </c>
      <c r="R31" s="27">
        <v>100</v>
      </c>
      <c r="S31" s="27">
        <v>0.5</v>
      </c>
      <c r="T31" s="27">
        <v>0</v>
      </c>
      <c r="U31" s="27">
        <v>0</v>
      </c>
    </row>
    <row r="32" spans="1:21" x14ac:dyDescent="0.25">
      <c r="A32" s="27" t="s">
        <v>27</v>
      </c>
      <c r="B32" s="27" t="s">
        <v>28</v>
      </c>
      <c r="C32" s="27" t="s">
        <v>29</v>
      </c>
      <c r="D32" s="27" t="s">
        <v>177</v>
      </c>
      <c r="E32" s="27" t="s">
        <v>178</v>
      </c>
      <c r="F32" s="27" t="s">
        <v>179</v>
      </c>
      <c r="G32" s="27" t="s">
        <v>33</v>
      </c>
      <c r="H32" s="27" t="s">
        <v>22</v>
      </c>
      <c r="I32" s="27" t="s">
        <v>27</v>
      </c>
      <c r="J32" s="27" t="s">
        <v>28</v>
      </c>
      <c r="K32" s="26">
        <v>0.5</v>
      </c>
      <c r="L32" s="26" t="s">
        <v>34</v>
      </c>
      <c r="M32" s="27">
        <v>2021</v>
      </c>
      <c r="N32" s="27" t="s">
        <v>31</v>
      </c>
      <c r="O32" s="28">
        <v>20</v>
      </c>
      <c r="P32" s="27" t="s">
        <v>24</v>
      </c>
      <c r="Q32" s="28">
        <v>0</v>
      </c>
      <c r="R32" s="27">
        <v>80</v>
      </c>
      <c r="S32" s="27">
        <v>0.4</v>
      </c>
      <c r="T32" s="27">
        <v>0.1</v>
      </c>
      <c r="U32" s="27">
        <v>0</v>
      </c>
    </row>
    <row r="33" spans="1:21" x14ac:dyDescent="0.25">
      <c r="A33" s="27" t="s">
        <v>27</v>
      </c>
      <c r="B33" s="27" t="s">
        <v>28</v>
      </c>
      <c r="C33" s="27" t="s">
        <v>29</v>
      </c>
      <c r="D33" s="27" t="s">
        <v>177</v>
      </c>
      <c r="E33" s="27" t="s">
        <v>178</v>
      </c>
      <c r="F33" s="27" t="s">
        <v>179</v>
      </c>
      <c r="G33" s="27" t="s">
        <v>26</v>
      </c>
      <c r="H33" s="27" t="s">
        <v>22</v>
      </c>
      <c r="I33" s="27" t="s">
        <v>27</v>
      </c>
      <c r="J33" s="27" t="s">
        <v>28</v>
      </c>
      <c r="K33" s="26">
        <v>0.5</v>
      </c>
      <c r="L33" s="26" t="s">
        <v>34</v>
      </c>
      <c r="M33" s="27">
        <v>2021</v>
      </c>
      <c r="N33" s="27" t="s">
        <v>24</v>
      </c>
      <c r="O33" s="28" t="s">
        <v>24</v>
      </c>
      <c r="P33" s="27" t="s">
        <v>24</v>
      </c>
      <c r="Q33" s="28" t="s">
        <v>24</v>
      </c>
      <c r="R33" s="27">
        <v>100</v>
      </c>
      <c r="S33" s="27">
        <v>0.5</v>
      </c>
      <c r="T33" s="27">
        <v>0</v>
      </c>
      <c r="U33" s="27">
        <v>0</v>
      </c>
    </row>
    <row r="34" spans="1:21" x14ac:dyDescent="0.25">
      <c r="A34" s="27" t="s">
        <v>40</v>
      </c>
      <c r="B34" s="27" t="s">
        <v>41</v>
      </c>
      <c r="C34" s="27" t="s">
        <v>29</v>
      </c>
      <c r="D34" s="27" t="s">
        <v>180</v>
      </c>
      <c r="E34" s="27" t="s">
        <v>181</v>
      </c>
      <c r="F34" s="27" t="s">
        <v>182</v>
      </c>
      <c r="G34" s="27" t="s">
        <v>125</v>
      </c>
      <c r="H34" s="27" t="s">
        <v>25</v>
      </c>
      <c r="I34" s="27" t="s">
        <v>27</v>
      </c>
      <c r="J34" s="27" t="s">
        <v>28</v>
      </c>
      <c r="K34" s="26">
        <v>1</v>
      </c>
      <c r="L34" s="26" t="s">
        <v>34</v>
      </c>
      <c r="M34" s="27">
        <v>2021</v>
      </c>
      <c r="N34" s="27" t="s">
        <v>49</v>
      </c>
      <c r="O34" s="28">
        <v>30</v>
      </c>
      <c r="P34" s="27" t="s">
        <v>30</v>
      </c>
      <c r="Q34" s="28">
        <v>30</v>
      </c>
      <c r="R34" s="27">
        <v>40</v>
      </c>
      <c r="S34" s="27">
        <v>0.4</v>
      </c>
      <c r="T34" s="27">
        <v>0.3</v>
      </c>
      <c r="U34" s="27">
        <v>0.3</v>
      </c>
    </row>
    <row r="35" spans="1:21" x14ac:dyDescent="0.25">
      <c r="A35" s="27" t="s">
        <v>40</v>
      </c>
      <c r="B35" s="27" t="s">
        <v>41</v>
      </c>
      <c r="C35" s="27" t="s">
        <v>29</v>
      </c>
      <c r="D35" s="27" t="s">
        <v>183</v>
      </c>
      <c r="E35" s="27" t="s">
        <v>184</v>
      </c>
      <c r="F35" s="27" t="s">
        <v>185</v>
      </c>
      <c r="G35" s="27" t="s">
        <v>46</v>
      </c>
      <c r="H35" s="27" t="s">
        <v>22</v>
      </c>
      <c r="I35" s="27" t="s">
        <v>27</v>
      </c>
      <c r="J35" s="27" t="s">
        <v>28</v>
      </c>
      <c r="K35" s="26">
        <v>0.5</v>
      </c>
      <c r="L35" s="26" t="s">
        <v>34</v>
      </c>
      <c r="M35" s="27">
        <v>2021</v>
      </c>
      <c r="N35" s="27" t="s">
        <v>24</v>
      </c>
      <c r="O35" s="28" t="s">
        <v>24</v>
      </c>
      <c r="P35" s="27" t="s">
        <v>24</v>
      </c>
      <c r="Q35" s="28" t="s">
        <v>24</v>
      </c>
      <c r="R35" s="27">
        <v>100</v>
      </c>
      <c r="S35" s="27">
        <v>0.5</v>
      </c>
      <c r="T35" s="27">
        <v>0</v>
      </c>
      <c r="U35" s="27">
        <v>0</v>
      </c>
    </row>
    <row r="36" spans="1:21" x14ac:dyDescent="0.25">
      <c r="A36" s="27" t="s">
        <v>109</v>
      </c>
      <c r="B36" s="27" t="s">
        <v>110</v>
      </c>
      <c r="C36" s="27" t="s">
        <v>111</v>
      </c>
      <c r="D36" s="27" t="s">
        <v>186</v>
      </c>
      <c r="E36" s="27" t="s">
        <v>187</v>
      </c>
      <c r="F36" s="27" t="s">
        <v>188</v>
      </c>
      <c r="G36" s="27" t="s">
        <v>148</v>
      </c>
      <c r="H36" s="27" t="s">
        <v>22</v>
      </c>
      <c r="I36" s="27" t="s">
        <v>27</v>
      </c>
      <c r="J36" s="27" t="s">
        <v>28</v>
      </c>
      <c r="K36" s="26">
        <v>0.5</v>
      </c>
      <c r="L36" s="26" t="s">
        <v>34</v>
      </c>
      <c r="M36" s="27">
        <v>2021</v>
      </c>
      <c r="N36" s="27" t="s">
        <v>91</v>
      </c>
      <c r="O36" s="28">
        <v>50</v>
      </c>
      <c r="P36" s="27" t="s">
        <v>24</v>
      </c>
      <c r="Q36" s="28">
        <v>0</v>
      </c>
      <c r="R36" s="27">
        <v>50</v>
      </c>
      <c r="S36" s="27">
        <v>0.25</v>
      </c>
      <c r="T36" s="27">
        <v>0.25</v>
      </c>
      <c r="U36" s="27">
        <v>0</v>
      </c>
    </row>
    <row r="37" spans="1:21" x14ac:dyDescent="0.25">
      <c r="A37" s="27" t="s">
        <v>27</v>
      </c>
      <c r="B37" s="27" t="s">
        <v>28</v>
      </c>
      <c r="C37" s="27" t="s">
        <v>29</v>
      </c>
      <c r="D37" s="27" t="s">
        <v>206</v>
      </c>
      <c r="E37" s="27" t="s">
        <v>207</v>
      </c>
      <c r="F37" s="27" t="s">
        <v>208</v>
      </c>
      <c r="G37" s="27" t="s">
        <v>125</v>
      </c>
      <c r="H37" s="27" t="s">
        <v>25</v>
      </c>
      <c r="I37" s="27" t="s">
        <v>27</v>
      </c>
      <c r="J37" s="27" t="s">
        <v>28</v>
      </c>
      <c r="K37" s="39">
        <v>1</v>
      </c>
      <c r="L37" s="39" t="s">
        <v>34</v>
      </c>
      <c r="M37" s="27">
        <v>2022</v>
      </c>
      <c r="N37" s="39" t="s">
        <v>49</v>
      </c>
      <c r="O37" s="39">
        <v>30</v>
      </c>
      <c r="P37" s="39" t="s">
        <v>30</v>
      </c>
      <c r="Q37" s="39">
        <v>30</v>
      </c>
      <c r="R37" s="39">
        <v>40</v>
      </c>
      <c r="S37" s="39">
        <v>0.4</v>
      </c>
      <c r="T37" s="39">
        <v>0.3</v>
      </c>
      <c r="U37" s="39">
        <v>0.3</v>
      </c>
    </row>
    <row r="38" spans="1:21" x14ac:dyDescent="0.25">
      <c r="A38" s="27" t="s">
        <v>27</v>
      </c>
      <c r="B38" s="27" t="s">
        <v>28</v>
      </c>
      <c r="C38" s="27" t="s">
        <v>29</v>
      </c>
      <c r="D38" s="27" t="s">
        <v>209</v>
      </c>
      <c r="E38" s="27" t="s">
        <v>210</v>
      </c>
      <c r="F38" s="27" t="s">
        <v>211</v>
      </c>
      <c r="G38" s="27" t="s">
        <v>212</v>
      </c>
      <c r="H38" s="27" t="s">
        <v>25</v>
      </c>
      <c r="I38" s="27" t="s">
        <v>27</v>
      </c>
      <c r="J38" s="27" t="s">
        <v>28</v>
      </c>
      <c r="K38" s="39">
        <v>1</v>
      </c>
      <c r="L38" s="39" t="s">
        <v>34</v>
      </c>
      <c r="M38" s="27">
        <v>2022</v>
      </c>
      <c r="N38" s="39" t="s">
        <v>24</v>
      </c>
      <c r="O38" s="39" t="s">
        <v>24</v>
      </c>
      <c r="P38" s="39" t="s">
        <v>24</v>
      </c>
      <c r="Q38" s="39" t="s">
        <v>24</v>
      </c>
      <c r="R38" s="39">
        <v>100</v>
      </c>
      <c r="S38" s="39">
        <v>1</v>
      </c>
      <c r="T38" s="39">
        <v>0</v>
      </c>
      <c r="U38" s="39">
        <v>0</v>
      </c>
    </row>
    <row r="39" spans="1:21" x14ac:dyDescent="0.25">
      <c r="A39" s="27" t="s">
        <v>27</v>
      </c>
      <c r="B39" s="27" t="s">
        <v>28</v>
      </c>
      <c r="C39" s="27" t="s">
        <v>29</v>
      </c>
      <c r="D39" s="27" t="s">
        <v>213</v>
      </c>
      <c r="E39" s="27" t="s">
        <v>214</v>
      </c>
      <c r="F39" s="27" t="s">
        <v>215</v>
      </c>
      <c r="G39" s="27" t="s">
        <v>216</v>
      </c>
      <c r="H39" s="27" t="s">
        <v>22</v>
      </c>
      <c r="I39" s="27" t="s">
        <v>27</v>
      </c>
      <c r="J39" s="27" t="s">
        <v>28</v>
      </c>
      <c r="K39" s="39">
        <v>0.5</v>
      </c>
      <c r="L39" s="39" t="s">
        <v>34</v>
      </c>
      <c r="M39" s="27">
        <v>2022</v>
      </c>
      <c r="N39" s="39" t="s">
        <v>38</v>
      </c>
      <c r="O39" s="39">
        <v>50</v>
      </c>
      <c r="P39" s="39" t="s">
        <v>24</v>
      </c>
      <c r="Q39" s="39">
        <v>0</v>
      </c>
      <c r="R39" s="39">
        <v>50</v>
      </c>
      <c r="S39" s="39">
        <v>0.25</v>
      </c>
      <c r="T39" s="39">
        <v>0.25</v>
      </c>
      <c r="U39" s="39">
        <v>0</v>
      </c>
    </row>
    <row r="40" spans="1:21" x14ac:dyDescent="0.25">
      <c r="A40" s="27" t="s">
        <v>27</v>
      </c>
      <c r="B40" s="27" t="s">
        <v>28</v>
      </c>
      <c r="C40" s="27" t="s">
        <v>29</v>
      </c>
      <c r="D40" s="27" t="s">
        <v>213</v>
      </c>
      <c r="E40" s="27" t="s">
        <v>214</v>
      </c>
      <c r="F40" s="27" t="s">
        <v>215</v>
      </c>
      <c r="G40" s="27" t="s">
        <v>45</v>
      </c>
      <c r="H40" s="27" t="s">
        <v>22</v>
      </c>
      <c r="I40" s="27" t="s">
        <v>27</v>
      </c>
      <c r="J40" s="27" t="s">
        <v>28</v>
      </c>
      <c r="K40" s="39">
        <v>0.5</v>
      </c>
      <c r="L40" s="39" t="s">
        <v>34</v>
      </c>
      <c r="M40" s="27">
        <v>2022</v>
      </c>
      <c r="N40" s="39" t="s">
        <v>38</v>
      </c>
      <c r="O40" s="39">
        <v>50</v>
      </c>
      <c r="P40" s="39" t="s">
        <v>24</v>
      </c>
      <c r="Q40" s="39">
        <v>0</v>
      </c>
      <c r="R40" s="39">
        <v>50</v>
      </c>
      <c r="S40" s="39">
        <v>0.25</v>
      </c>
      <c r="T40" s="39">
        <v>0.25</v>
      </c>
      <c r="U40" s="39">
        <v>0</v>
      </c>
    </row>
    <row r="41" spans="1:21" x14ac:dyDescent="0.25">
      <c r="A41" s="27" t="s">
        <v>27</v>
      </c>
      <c r="B41" s="27" t="s">
        <v>28</v>
      </c>
      <c r="C41" s="27" t="s">
        <v>29</v>
      </c>
      <c r="D41" s="27" t="s">
        <v>217</v>
      </c>
      <c r="E41" s="27" t="s">
        <v>218</v>
      </c>
      <c r="F41" s="27" t="s">
        <v>219</v>
      </c>
      <c r="G41" s="27" t="s">
        <v>46</v>
      </c>
      <c r="H41" s="27" t="s">
        <v>22</v>
      </c>
      <c r="I41" s="27" t="s">
        <v>27</v>
      </c>
      <c r="J41" s="27" t="s">
        <v>28</v>
      </c>
      <c r="K41" s="39">
        <v>0.5</v>
      </c>
      <c r="L41" s="39" t="s">
        <v>34</v>
      </c>
      <c r="M41" s="27">
        <v>2022</v>
      </c>
      <c r="N41" s="39" t="s">
        <v>24</v>
      </c>
      <c r="O41" s="39" t="s">
        <v>24</v>
      </c>
      <c r="P41" s="39" t="s">
        <v>24</v>
      </c>
      <c r="Q41" s="39" t="s">
        <v>24</v>
      </c>
      <c r="R41" s="39">
        <v>100</v>
      </c>
      <c r="S41" s="39">
        <v>0.5</v>
      </c>
      <c r="T41" s="39">
        <v>0</v>
      </c>
      <c r="U41" s="39">
        <v>0</v>
      </c>
    </row>
    <row r="42" spans="1:21" x14ac:dyDescent="0.25">
      <c r="A42" s="27" t="s">
        <v>27</v>
      </c>
      <c r="B42" s="27" t="s">
        <v>28</v>
      </c>
      <c r="C42" s="27" t="s">
        <v>29</v>
      </c>
      <c r="D42" s="27" t="s">
        <v>217</v>
      </c>
      <c r="E42" s="27" t="s">
        <v>218</v>
      </c>
      <c r="F42" s="27" t="s">
        <v>219</v>
      </c>
      <c r="G42" s="27" t="s">
        <v>220</v>
      </c>
      <c r="H42" s="27" t="s">
        <v>22</v>
      </c>
      <c r="I42" s="27" t="s">
        <v>27</v>
      </c>
      <c r="J42" s="27" t="s">
        <v>28</v>
      </c>
      <c r="K42" s="39">
        <v>0.5</v>
      </c>
      <c r="L42" s="39" t="s">
        <v>34</v>
      </c>
      <c r="M42" s="27">
        <v>2022</v>
      </c>
      <c r="N42" s="39" t="s">
        <v>24</v>
      </c>
      <c r="O42" s="39" t="s">
        <v>24</v>
      </c>
      <c r="P42" s="39" t="s">
        <v>24</v>
      </c>
      <c r="Q42" s="39" t="s">
        <v>24</v>
      </c>
      <c r="R42" s="39">
        <v>100</v>
      </c>
      <c r="S42" s="39">
        <v>0.5</v>
      </c>
      <c r="T42" s="39">
        <v>0</v>
      </c>
      <c r="U42" s="39">
        <v>0</v>
      </c>
    </row>
    <row r="43" spans="1:21" x14ac:dyDescent="0.25">
      <c r="A43" s="27" t="s">
        <v>27</v>
      </c>
      <c r="B43" s="27" t="s">
        <v>28</v>
      </c>
      <c r="C43" s="27" t="s">
        <v>29</v>
      </c>
      <c r="D43" s="27" t="s">
        <v>221</v>
      </c>
      <c r="E43" s="27" t="s">
        <v>222</v>
      </c>
      <c r="F43" s="27" t="s">
        <v>223</v>
      </c>
      <c r="G43" s="27" t="s">
        <v>166</v>
      </c>
      <c r="H43" s="27" t="s">
        <v>25</v>
      </c>
      <c r="I43" s="27" t="s">
        <v>27</v>
      </c>
      <c r="J43" s="27" t="s">
        <v>28</v>
      </c>
      <c r="K43" s="39">
        <v>1</v>
      </c>
      <c r="L43" s="39" t="s">
        <v>34</v>
      </c>
      <c r="M43" s="27">
        <v>2022</v>
      </c>
      <c r="N43" s="39" t="s">
        <v>24</v>
      </c>
      <c r="O43" s="39" t="s">
        <v>24</v>
      </c>
      <c r="P43" s="39" t="s">
        <v>24</v>
      </c>
      <c r="Q43" s="39" t="s">
        <v>24</v>
      </c>
      <c r="R43" s="39">
        <v>100</v>
      </c>
      <c r="S43" s="39">
        <v>1</v>
      </c>
      <c r="T43" s="39">
        <v>0</v>
      </c>
      <c r="U43" s="39">
        <v>0</v>
      </c>
    </row>
    <row r="44" spans="1:21" x14ac:dyDescent="0.25">
      <c r="A44" s="27" t="s">
        <v>27</v>
      </c>
      <c r="B44" s="27" t="s">
        <v>28</v>
      </c>
      <c r="C44" s="27" t="s">
        <v>29</v>
      </c>
      <c r="D44" s="27" t="s">
        <v>224</v>
      </c>
      <c r="E44" s="27" t="s">
        <v>225</v>
      </c>
      <c r="F44" s="27" t="s">
        <v>226</v>
      </c>
      <c r="G44" s="27" t="s">
        <v>125</v>
      </c>
      <c r="H44" s="27" t="s">
        <v>22</v>
      </c>
      <c r="I44" s="27" t="s">
        <v>27</v>
      </c>
      <c r="J44" s="27" t="s">
        <v>28</v>
      </c>
      <c r="K44" s="39">
        <v>0.5</v>
      </c>
      <c r="L44" s="39" t="s">
        <v>34</v>
      </c>
      <c r="M44" s="27">
        <v>2022</v>
      </c>
      <c r="N44" s="39" t="s">
        <v>49</v>
      </c>
      <c r="O44" s="39">
        <v>30</v>
      </c>
      <c r="P44" s="39" t="s">
        <v>30</v>
      </c>
      <c r="Q44" s="39">
        <v>30</v>
      </c>
      <c r="R44" s="39">
        <v>40</v>
      </c>
      <c r="S44" s="39">
        <v>0.2</v>
      </c>
      <c r="T44" s="39">
        <v>0.15</v>
      </c>
      <c r="U44" s="39">
        <v>0.15</v>
      </c>
    </row>
    <row r="45" spans="1:21" x14ac:dyDescent="0.25">
      <c r="A45" s="27" t="s">
        <v>27</v>
      </c>
      <c r="B45" s="27" t="s">
        <v>28</v>
      </c>
      <c r="C45" s="27" t="s">
        <v>29</v>
      </c>
      <c r="D45" s="27" t="s">
        <v>224</v>
      </c>
      <c r="E45" s="27" t="s">
        <v>225</v>
      </c>
      <c r="F45" s="27" t="s">
        <v>226</v>
      </c>
      <c r="G45" s="27" t="s">
        <v>154</v>
      </c>
      <c r="H45" s="27" t="s">
        <v>22</v>
      </c>
      <c r="I45" s="27" t="s">
        <v>27</v>
      </c>
      <c r="J45" s="27" t="s">
        <v>28</v>
      </c>
      <c r="K45" s="39">
        <v>0.5</v>
      </c>
      <c r="L45" s="39" t="s">
        <v>34</v>
      </c>
      <c r="M45" s="27">
        <v>2022</v>
      </c>
      <c r="N45" s="39" t="s">
        <v>30</v>
      </c>
      <c r="O45" s="39">
        <v>50</v>
      </c>
      <c r="P45" s="39" t="s">
        <v>24</v>
      </c>
      <c r="Q45" s="39">
        <v>0</v>
      </c>
      <c r="R45" s="39">
        <v>50</v>
      </c>
      <c r="S45" s="39">
        <v>0.25</v>
      </c>
      <c r="T45" s="39">
        <v>0.25</v>
      </c>
      <c r="U45" s="39">
        <v>0</v>
      </c>
    </row>
    <row r="46" spans="1:21" x14ac:dyDescent="0.25">
      <c r="A46" s="27" t="s">
        <v>40</v>
      </c>
      <c r="B46" s="27" t="s">
        <v>41</v>
      </c>
      <c r="C46" s="27" t="s">
        <v>29</v>
      </c>
      <c r="D46" s="27" t="s">
        <v>227</v>
      </c>
      <c r="E46" s="27" t="s">
        <v>228</v>
      </c>
      <c r="F46" s="27" t="s">
        <v>208</v>
      </c>
      <c r="G46" s="27" t="s">
        <v>125</v>
      </c>
      <c r="H46" s="27" t="s">
        <v>22</v>
      </c>
      <c r="I46" s="27" t="s">
        <v>27</v>
      </c>
      <c r="J46" s="27" t="s">
        <v>28</v>
      </c>
      <c r="K46" s="39">
        <v>0.5</v>
      </c>
      <c r="L46" s="39" t="s">
        <v>34</v>
      </c>
      <c r="M46" s="27">
        <v>2022</v>
      </c>
      <c r="N46" s="39" t="s">
        <v>49</v>
      </c>
      <c r="O46" s="39">
        <v>30</v>
      </c>
      <c r="P46" s="39" t="s">
        <v>30</v>
      </c>
      <c r="Q46" s="39">
        <v>30</v>
      </c>
      <c r="R46" s="39">
        <v>40</v>
      </c>
      <c r="S46" s="39">
        <v>0.2</v>
      </c>
      <c r="T46" s="39">
        <v>0.15</v>
      </c>
      <c r="U46" s="39">
        <v>0.15</v>
      </c>
    </row>
    <row r="47" spans="1:21" x14ac:dyDescent="0.25">
      <c r="A47" s="27" t="s">
        <v>40</v>
      </c>
      <c r="B47" s="27" t="s">
        <v>41</v>
      </c>
      <c r="C47" s="27" t="s">
        <v>29</v>
      </c>
      <c r="D47" s="27" t="s">
        <v>227</v>
      </c>
      <c r="E47" s="27" t="s">
        <v>228</v>
      </c>
      <c r="F47" s="27" t="s">
        <v>208</v>
      </c>
      <c r="G47" s="27" t="s">
        <v>229</v>
      </c>
      <c r="H47" s="27" t="s">
        <v>22</v>
      </c>
      <c r="I47" s="27" t="s">
        <v>27</v>
      </c>
      <c r="J47" s="27" t="s">
        <v>28</v>
      </c>
      <c r="K47" s="39">
        <v>0.5</v>
      </c>
      <c r="L47" s="39" t="s">
        <v>34</v>
      </c>
      <c r="M47" s="27">
        <v>2022</v>
      </c>
      <c r="N47" s="39" t="s">
        <v>49</v>
      </c>
      <c r="O47" s="39">
        <v>20</v>
      </c>
      <c r="P47" s="39" t="s">
        <v>24</v>
      </c>
      <c r="Q47" s="39">
        <v>0</v>
      </c>
      <c r="R47" s="39">
        <v>80</v>
      </c>
      <c r="S47" s="39">
        <v>0.4</v>
      </c>
      <c r="T47" s="39">
        <v>0.1</v>
      </c>
      <c r="U47" s="39">
        <v>0</v>
      </c>
    </row>
    <row r="48" spans="1:21" x14ac:dyDescent="0.25">
      <c r="A48" s="27" t="s">
        <v>40</v>
      </c>
      <c r="B48" s="27" t="s">
        <v>41</v>
      </c>
      <c r="C48" s="27" t="s">
        <v>29</v>
      </c>
      <c r="D48" s="27" t="s">
        <v>230</v>
      </c>
      <c r="E48" s="27" t="s">
        <v>231</v>
      </c>
      <c r="F48" s="27" t="s">
        <v>232</v>
      </c>
      <c r="G48" s="27" t="s">
        <v>45</v>
      </c>
      <c r="H48" s="27" t="s">
        <v>22</v>
      </c>
      <c r="I48" s="27" t="s">
        <v>27</v>
      </c>
      <c r="J48" s="27" t="s">
        <v>28</v>
      </c>
      <c r="K48" s="39">
        <v>0.5</v>
      </c>
      <c r="L48" s="39" t="s">
        <v>34</v>
      </c>
      <c r="M48" s="27">
        <v>2022</v>
      </c>
      <c r="N48" s="39" t="s">
        <v>38</v>
      </c>
      <c r="O48" s="39">
        <v>50</v>
      </c>
      <c r="P48" s="39" t="s">
        <v>24</v>
      </c>
      <c r="Q48" s="39">
        <v>0</v>
      </c>
      <c r="R48" s="39">
        <v>50</v>
      </c>
      <c r="S48" s="39">
        <v>0.25</v>
      </c>
      <c r="T48" s="39">
        <v>0.25</v>
      </c>
      <c r="U48" s="39">
        <v>0</v>
      </c>
    </row>
    <row r="49" spans="1:25" x14ac:dyDescent="0.25">
      <c r="A49" s="27" t="s">
        <v>40</v>
      </c>
      <c r="B49" s="27" t="s">
        <v>41</v>
      </c>
      <c r="C49" s="27" t="s">
        <v>29</v>
      </c>
      <c r="D49" s="27" t="s">
        <v>233</v>
      </c>
      <c r="E49" s="27" t="s">
        <v>234</v>
      </c>
      <c r="F49" s="27" t="s">
        <v>235</v>
      </c>
      <c r="G49" s="27" t="s">
        <v>44</v>
      </c>
      <c r="H49" s="27" t="s">
        <v>22</v>
      </c>
      <c r="I49" s="27" t="s">
        <v>27</v>
      </c>
      <c r="J49" s="27" t="s">
        <v>28</v>
      </c>
      <c r="K49" s="39">
        <v>0.5</v>
      </c>
      <c r="L49" s="39" t="s">
        <v>34</v>
      </c>
      <c r="M49" s="27">
        <v>2022</v>
      </c>
      <c r="N49" s="39" t="s">
        <v>24</v>
      </c>
      <c r="O49" s="39" t="s">
        <v>24</v>
      </c>
      <c r="P49" s="39" t="s">
        <v>24</v>
      </c>
      <c r="Q49" s="39" t="s">
        <v>24</v>
      </c>
      <c r="R49" s="39">
        <v>100</v>
      </c>
      <c r="S49" s="39">
        <v>0.5</v>
      </c>
      <c r="T49" s="39">
        <v>0</v>
      </c>
      <c r="U49" s="39">
        <v>0</v>
      </c>
    </row>
    <row r="50" spans="1:25" x14ac:dyDescent="0.25">
      <c r="A50" s="27" t="s">
        <v>40</v>
      </c>
      <c r="B50" s="27" t="s">
        <v>41</v>
      </c>
      <c r="C50" s="27" t="s">
        <v>29</v>
      </c>
      <c r="D50" s="27" t="s">
        <v>236</v>
      </c>
      <c r="E50" s="27" t="s">
        <v>237</v>
      </c>
      <c r="F50" s="27" t="s">
        <v>238</v>
      </c>
      <c r="G50" s="27" t="s">
        <v>102</v>
      </c>
      <c r="H50" s="27" t="s">
        <v>25</v>
      </c>
      <c r="I50" s="27" t="s">
        <v>27</v>
      </c>
      <c r="J50" s="27" t="s">
        <v>28</v>
      </c>
      <c r="K50" s="39">
        <v>1</v>
      </c>
      <c r="L50" s="39" t="s">
        <v>34</v>
      </c>
      <c r="M50" s="27">
        <v>2022</v>
      </c>
      <c r="N50" s="39" t="s">
        <v>30</v>
      </c>
      <c r="O50" s="39">
        <v>30</v>
      </c>
      <c r="P50" s="39" t="s">
        <v>49</v>
      </c>
      <c r="Q50" s="39">
        <v>20</v>
      </c>
      <c r="R50" s="39">
        <v>50</v>
      </c>
      <c r="S50" s="39">
        <v>0.5</v>
      </c>
      <c r="T50" s="39">
        <v>0.3</v>
      </c>
      <c r="U50" s="39">
        <v>0.2</v>
      </c>
    </row>
    <row r="51" spans="1:25" x14ac:dyDescent="0.25">
      <c r="A51" s="27" t="s">
        <v>109</v>
      </c>
      <c r="B51" s="27" t="s">
        <v>110</v>
      </c>
      <c r="C51" s="27" t="s">
        <v>111</v>
      </c>
      <c r="D51" s="27" t="s">
        <v>239</v>
      </c>
      <c r="E51" s="27" t="s">
        <v>240</v>
      </c>
      <c r="F51" s="27" t="s">
        <v>241</v>
      </c>
      <c r="G51" s="27" t="s">
        <v>148</v>
      </c>
      <c r="H51" s="27" t="s">
        <v>22</v>
      </c>
      <c r="I51" s="27" t="s">
        <v>27</v>
      </c>
      <c r="J51" s="27" t="s">
        <v>28</v>
      </c>
      <c r="K51" s="39">
        <v>0.5</v>
      </c>
      <c r="L51" s="39" t="s">
        <v>34</v>
      </c>
      <c r="M51" s="27">
        <v>2022</v>
      </c>
      <c r="N51" s="39" t="s">
        <v>91</v>
      </c>
      <c r="O51" s="39">
        <v>50</v>
      </c>
      <c r="P51" s="39" t="s">
        <v>24</v>
      </c>
      <c r="Q51" s="39">
        <v>0</v>
      </c>
      <c r="R51" s="39">
        <v>50</v>
      </c>
      <c r="S51" s="39">
        <v>0.25</v>
      </c>
      <c r="T51" s="39">
        <v>0.25</v>
      </c>
      <c r="U51" s="39">
        <v>0</v>
      </c>
    </row>
    <row r="52" spans="1:25" x14ac:dyDescent="0.25">
      <c r="A52" s="67" t="s">
        <v>109</v>
      </c>
      <c r="B52" s="67" t="s">
        <v>110</v>
      </c>
      <c r="C52" s="67" t="s">
        <v>242</v>
      </c>
      <c r="D52" s="67" t="s">
        <v>243</v>
      </c>
      <c r="E52" s="67" t="s">
        <v>244</v>
      </c>
      <c r="F52" s="67" t="s">
        <v>245</v>
      </c>
      <c r="G52" s="67" t="s">
        <v>35</v>
      </c>
      <c r="H52" s="67" t="s">
        <v>22</v>
      </c>
      <c r="I52" s="67" t="s">
        <v>27</v>
      </c>
      <c r="J52" s="67" t="s">
        <v>28</v>
      </c>
      <c r="K52" s="68">
        <v>0.5</v>
      </c>
      <c r="L52" s="68" t="s">
        <v>34</v>
      </c>
      <c r="M52" s="67">
        <v>2022</v>
      </c>
      <c r="N52" s="68" t="s">
        <v>30</v>
      </c>
      <c r="O52" s="68">
        <v>30</v>
      </c>
      <c r="P52" s="68" t="s">
        <v>24</v>
      </c>
      <c r="Q52" s="68">
        <v>0</v>
      </c>
      <c r="R52" s="68">
        <v>70</v>
      </c>
      <c r="S52" s="68">
        <v>0.35</v>
      </c>
      <c r="T52" s="68">
        <v>0.15</v>
      </c>
      <c r="U52" s="68">
        <v>0</v>
      </c>
    </row>
    <row r="53" spans="1:25" s="27" customFormat="1" x14ac:dyDescent="0.25">
      <c r="A53" s="27" t="s">
        <v>155</v>
      </c>
      <c r="B53" s="27" t="s">
        <v>246</v>
      </c>
      <c r="C53" s="27" t="s">
        <v>157</v>
      </c>
      <c r="D53" s="27" t="s">
        <v>247</v>
      </c>
      <c r="E53" s="27" t="s">
        <v>248</v>
      </c>
      <c r="F53" s="27" t="s">
        <v>249</v>
      </c>
      <c r="G53" s="27" t="s">
        <v>35</v>
      </c>
      <c r="H53" s="27" t="s">
        <v>25</v>
      </c>
      <c r="I53" s="27" t="s">
        <v>27</v>
      </c>
      <c r="J53" s="27" t="s">
        <v>28</v>
      </c>
      <c r="K53" s="39">
        <v>1</v>
      </c>
      <c r="L53" s="39" t="s">
        <v>34</v>
      </c>
      <c r="M53" s="27">
        <v>2022</v>
      </c>
      <c r="N53" s="39" t="s">
        <v>30</v>
      </c>
      <c r="O53" s="39">
        <v>30</v>
      </c>
      <c r="P53" s="39" t="s">
        <v>24</v>
      </c>
      <c r="Q53" s="39">
        <v>0</v>
      </c>
      <c r="R53" s="39">
        <v>70</v>
      </c>
      <c r="S53" s="39">
        <v>0.7</v>
      </c>
      <c r="T53" s="39">
        <v>0.3</v>
      </c>
      <c r="U53" s="39">
        <v>0</v>
      </c>
    </row>
    <row r="54" spans="1:25" s="19" customFormat="1" x14ac:dyDescent="0.25">
      <c r="A54" s="69" t="s">
        <v>34</v>
      </c>
      <c r="B54" s="69" t="s">
        <v>273</v>
      </c>
      <c r="C54" s="69" t="s">
        <v>274</v>
      </c>
      <c r="D54" s="69" t="s">
        <v>275</v>
      </c>
      <c r="E54" s="69" t="s">
        <v>276</v>
      </c>
      <c r="F54" s="69" t="s">
        <v>277</v>
      </c>
      <c r="G54" s="69" t="s">
        <v>278</v>
      </c>
      <c r="H54" s="69" t="s">
        <v>279</v>
      </c>
      <c r="I54" s="70" t="s">
        <v>34</v>
      </c>
      <c r="J54" s="69" t="s">
        <v>273</v>
      </c>
      <c r="K54" s="71">
        <v>0.5</v>
      </c>
      <c r="L54" s="71" t="s">
        <v>34</v>
      </c>
      <c r="M54" s="71">
        <v>2023</v>
      </c>
      <c r="N54" s="71" t="s">
        <v>24</v>
      </c>
      <c r="O54" s="71" t="s">
        <v>24</v>
      </c>
      <c r="P54" s="71" t="s">
        <v>24</v>
      </c>
      <c r="Q54" s="71" t="s">
        <v>24</v>
      </c>
      <c r="R54" s="71">
        <v>100</v>
      </c>
      <c r="S54" s="71">
        <v>0.5</v>
      </c>
      <c r="T54" s="71">
        <v>0</v>
      </c>
      <c r="U54" s="71">
        <v>0</v>
      </c>
      <c r="V54" s="40" t="s">
        <v>256</v>
      </c>
      <c r="Y54" s="25"/>
    </row>
    <row r="55" spans="1:25" s="19" customFormat="1" x14ac:dyDescent="0.25">
      <c r="A55" s="27" t="s">
        <v>34</v>
      </c>
      <c r="B55" s="27" t="s">
        <v>273</v>
      </c>
      <c r="C55" s="27" t="s">
        <v>274</v>
      </c>
      <c r="D55" s="27" t="s">
        <v>275</v>
      </c>
      <c r="E55" s="27" t="s">
        <v>276</v>
      </c>
      <c r="F55" s="27" t="s">
        <v>277</v>
      </c>
      <c r="G55" s="27" t="s">
        <v>67</v>
      </c>
      <c r="H55" s="27" t="s">
        <v>279</v>
      </c>
      <c r="I55" s="26" t="s">
        <v>34</v>
      </c>
      <c r="J55" s="27" t="s">
        <v>273</v>
      </c>
      <c r="K55" s="39">
        <v>0.5</v>
      </c>
      <c r="L55" s="39" t="s">
        <v>34</v>
      </c>
      <c r="M55" s="39">
        <v>2023</v>
      </c>
      <c r="N55" s="39" t="s">
        <v>30</v>
      </c>
      <c r="O55" s="39" t="s">
        <v>23</v>
      </c>
      <c r="P55" s="39" t="s">
        <v>24</v>
      </c>
      <c r="Q55" s="39" t="s">
        <v>24</v>
      </c>
      <c r="R55" s="39">
        <v>50</v>
      </c>
      <c r="S55" s="39">
        <v>0.25</v>
      </c>
      <c r="T55" s="39">
        <v>0.25</v>
      </c>
      <c r="U55" s="39">
        <v>0</v>
      </c>
      <c r="V55" s="40" t="s">
        <v>256</v>
      </c>
      <c r="Y55" s="25"/>
    </row>
    <row r="56" spans="1:25" s="19" customFormat="1" x14ac:dyDescent="0.25">
      <c r="A56" s="27" t="s">
        <v>280</v>
      </c>
      <c r="B56" s="27" t="s">
        <v>281</v>
      </c>
      <c r="C56" s="27" t="s">
        <v>274</v>
      </c>
      <c r="D56" s="27" t="s">
        <v>282</v>
      </c>
      <c r="E56" s="27" t="s">
        <v>283</v>
      </c>
      <c r="F56" s="27" t="s">
        <v>284</v>
      </c>
      <c r="G56" s="27" t="s">
        <v>80</v>
      </c>
      <c r="H56" s="27" t="s">
        <v>279</v>
      </c>
      <c r="I56" s="26" t="s">
        <v>34</v>
      </c>
      <c r="J56" s="27" t="s">
        <v>273</v>
      </c>
      <c r="K56" s="39">
        <v>0.5</v>
      </c>
      <c r="L56" s="39" t="s">
        <v>34</v>
      </c>
      <c r="M56" s="39">
        <v>2023</v>
      </c>
      <c r="N56" s="39" t="s">
        <v>24</v>
      </c>
      <c r="O56" s="39" t="s">
        <v>24</v>
      </c>
      <c r="P56" s="39" t="s">
        <v>24</v>
      </c>
      <c r="Q56" s="39" t="s">
        <v>24</v>
      </c>
      <c r="R56" s="39">
        <v>100</v>
      </c>
      <c r="S56" s="39">
        <v>0.5</v>
      </c>
      <c r="T56" s="39">
        <v>0</v>
      </c>
      <c r="U56" s="39">
        <v>0</v>
      </c>
      <c r="V56" s="40" t="s">
        <v>256</v>
      </c>
      <c r="Y56" s="25"/>
    </row>
    <row r="57" spans="1:25" s="19" customFormat="1" x14ac:dyDescent="0.25">
      <c r="A57" s="27" t="s">
        <v>280</v>
      </c>
      <c r="B57" s="27" t="s">
        <v>281</v>
      </c>
      <c r="C57" s="27" t="s">
        <v>274</v>
      </c>
      <c r="D57" s="27" t="s">
        <v>282</v>
      </c>
      <c r="E57" s="27" t="s">
        <v>283</v>
      </c>
      <c r="F57" s="27" t="s">
        <v>284</v>
      </c>
      <c r="G57" s="27" t="s">
        <v>72</v>
      </c>
      <c r="H57" s="27" t="s">
        <v>279</v>
      </c>
      <c r="I57" s="26" t="s">
        <v>34</v>
      </c>
      <c r="J57" s="27" t="s">
        <v>273</v>
      </c>
      <c r="K57" s="39">
        <v>0.5</v>
      </c>
      <c r="L57" s="39" t="s">
        <v>34</v>
      </c>
      <c r="M57" s="39">
        <v>2023</v>
      </c>
      <c r="N57" s="39" t="s">
        <v>49</v>
      </c>
      <c r="O57" s="39" t="s">
        <v>39</v>
      </c>
      <c r="P57" s="39" t="s">
        <v>24</v>
      </c>
      <c r="Q57" s="39" t="s">
        <v>24</v>
      </c>
      <c r="R57" s="39">
        <v>80</v>
      </c>
      <c r="S57" s="39">
        <v>0.4</v>
      </c>
      <c r="T57" s="39">
        <v>0.1</v>
      </c>
      <c r="U57" s="39">
        <v>0</v>
      </c>
      <c r="V57" s="40" t="s">
        <v>256</v>
      </c>
      <c r="Y57" s="25"/>
    </row>
    <row r="58" spans="1:25" s="19" customFormat="1" x14ac:dyDescent="0.25">
      <c r="A58" s="27" t="s">
        <v>280</v>
      </c>
      <c r="B58" s="27" t="s">
        <v>281</v>
      </c>
      <c r="C58" s="27" t="s">
        <v>274</v>
      </c>
      <c r="D58" s="27" t="s">
        <v>285</v>
      </c>
      <c r="E58" s="27" t="s">
        <v>286</v>
      </c>
      <c r="F58" s="27" t="s">
        <v>287</v>
      </c>
      <c r="G58" s="27" t="s">
        <v>71</v>
      </c>
      <c r="H58" s="27" t="s">
        <v>279</v>
      </c>
      <c r="I58" s="26" t="s">
        <v>34</v>
      </c>
      <c r="J58" s="27" t="s">
        <v>273</v>
      </c>
      <c r="K58" s="39">
        <v>0.5</v>
      </c>
      <c r="L58" s="39" t="s">
        <v>34</v>
      </c>
      <c r="M58" s="39">
        <v>2023</v>
      </c>
      <c r="N58" s="39" t="s">
        <v>30</v>
      </c>
      <c r="O58" s="39" t="s">
        <v>32</v>
      </c>
      <c r="P58" s="39" t="s">
        <v>49</v>
      </c>
      <c r="Q58" s="39" t="s">
        <v>39</v>
      </c>
      <c r="R58" s="39">
        <v>50</v>
      </c>
      <c r="S58" s="39">
        <v>0.25</v>
      </c>
      <c r="T58" s="39">
        <v>0.15</v>
      </c>
      <c r="U58" s="39">
        <v>0.1</v>
      </c>
      <c r="V58" s="40" t="s">
        <v>256</v>
      </c>
      <c r="Y58" s="25"/>
    </row>
    <row r="59" spans="1:25" s="19" customFormat="1" x14ac:dyDescent="0.25">
      <c r="A59" s="27" t="s">
        <v>280</v>
      </c>
      <c r="B59" s="27" t="s">
        <v>281</v>
      </c>
      <c r="C59" s="27" t="s">
        <v>274</v>
      </c>
      <c r="D59" s="27" t="s">
        <v>288</v>
      </c>
      <c r="E59" s="27" t="s">
        <v>289</v>
      </c>
      <c r="F59" s="27" t="s">
        <v>290</v>
      </c>
      <c r="G59" s="27" t="s">
        <v>75</v>
      </c>
      <c r="H59" s="27" t="s">
        <v>279</v>
      </c>
      <c r="I59" s="26" t="s">
        <v>34</v>
      </c>
      <c r="J59" s="27" t="s">
        <v>273</v>
      </c>
      <c r="K59" s="39">
        <v>0.5</v>
      </c>
      <c r="L59" s="39" t="s">
        <v>34</v>
      </c>
      <c r="M59" s="39">
        <v>2023</v>
      </c>
      <c r="N59" s="39" t="s">
        <v>49</v>
      </c>
      <c r="O59" s="39" t="s">
        <v>32</v>
      </c>
      <c r="P59" s="39" t="s">
        <v>30</v>
      </c>
      <c r="Q59" s="39" t="s">
        <v>32</v>
      </c>
      <c r="R59" s="39">
        <v>40</v>
      </c>
      <c r="S59" s="39">
        <v>0.2</v>
      </c>
      <c r="T59" s="39">
        <v>0.15</v>
      </c>
      <c r="U59" s="39">
        <v>0.15</v>
      </c>
      <c r="V59" s="40" t="s">
        <v>256</v>
      </c>
      <c r="Y59" s="25"/>
    </row>
    <row r="60" spans="1:25" s="19" customFormat="1" x14ac:dyDescent="0.25">
      <c r="A60" s="27" t="s">
        <v>280</v>
      </c>
      <c r="B60" s="27" t="s">
        <v>281</v>
      </c>
      <c r="C60" s="27" t="s">
        <v>274</v>
      </c>
      <c r="D60" s="27" t="s">
        <v>291</v>
      </c>
      <c r="E60" s="27" t="s">
        <v>292</v>
      </c>
      <c r="F60" s="27" t="s">
        <v>293</v>
      </c>
      <c r="G60" s="27" t="s">
        <v>68</v>
      </c>
      <c r="H60" s="27" t="s">
        <v>279</v>
      </c>
      <c r="I60" s="26" t="s">
        <v>34</v>
      </c>
      <c r="J60" s="27" t="s">
        <v>273</v>
      </c>
      <c r="K60" s="39">
        <v>0.5</v>
      </c>
      <c r="L60" s="39" t="s">
        <v>34</v>
      </c>
      <c r="M60" s="39">
        <v>2023</v>
      </c>
      <c r="N60" s="39" t="s">
        <v>30</v>
      </c>
      <c r="O60" s="39" t="s">
        <v>32</v>
      </c>
      <c r="P60" s="39" t="s">
        <v>49</v>
      </c>
      <c r="Q60" s="39" t="s">
        <v>39</v>
      </c>
      <c r="R60" s="39">
        <v>50</v>
      </c>
      <c r="S60" s="39">
        <v>0.25</v>
      </c>
      <c r="T60" s="39">
        <v>0.15</v>
      </c>
      <c r="U60" s="39">
        <v>0.1</v>
      </c>
      <c r="V60" s="40" t="s">
        <v>256</v>
      </c>
      <c r="Y60" s="25"/>
    </row>
    <row r="61" spans="1:25" s="19" customFormat="1" x14ac:dyDescent="0.25">
      <c r="A61" s="27" t="s">
        <v>280</v>
      </c>
      <c r="B61" s="27" t="s">
        <v>281</v>
      </c>
      <c r="C61" s="27" t="s">
        <v>274</v>
      </c>
      <c r="D61" s="27" t="s">
        <v>291</v>
      </c>
      <c r="E61" s="27" t="s">
        <v>292</v>
      </c>
      <c r="F61" s="27" t="s">
        <v>293</v>
      </c>
      <c r="G61" s="27" t="s">
        <v>71</v>
      </c>
      <c r="H61" s="27" t="s">
        <v>279</v>
      </c>
      <c r="I61" s="26" t="s">
        <v>34</v>
      </c>
      <c r="J61" s="27" t="s">
        <v>273</v>
      </c>
      <c r="K61" s="39">
        <v>0.5</v>
      </c>
      <c r="L61" s="39" t="s">
        <v>34</v>
      </c>
      <c r="M61" s="39">
        <v>2023</v>
      </c>
      <c r="N61" s="39" t="s">
        <v>30</v>
      </c>
      <c r="O61" s="39" t="s">
        <v>32</v>
      </c>
      <c r="P61" s="39" t="s">
        <v>49</v>
      </c>
      <c r="Q61" s="39" t="s">
        <v>39</v>
      </c>
      <c r="R61" s="39">
        <v>50</v>
      </c>
      <c r="S61" s="39">
        <v>0.25</v>
      </c>
      <c r="T61" s="39">
        <v>0.15</v>
      </c>
      <c r="U61" s="39">
        <v>0.1</v>
      </c>
      <c r="V61" s="40" t="s">
        <v>256</v>
      </c>
      <c r="Y61" s="25"/>
    </row>
    <row r="62" spans="1:25" s="19" customFormat="1" x14ac:dyDescent="0.25">
      <c r="A62" s="27" t="s">
        <v>280</v>
      </c>
      <c r="B62" s="27" t="s">
        <v>281</v>
      </c>
      <c r="C62" s="27" t="s">
        <v>274</v>
      </c>
      <c r="D62" s="27" t="s">
        <v>294</v>
      </c>
      <c r="E62" s="27" t="s">
        <v>295</v>
      </c>
      <c r="F62" s="27" t="s">
        <v>296</v>
      </c>
      <c r="G62" s="27" t="s">
        <v>199</v>
      </c>
      <c r="H62" s="27" t="s">
        <v>279</v>
      </c>
      <c r="I62" s="26" t="s">
        <v>34</v>
      </c>
      <c r="J62" s="27" t="s">
        <v>273</v>
      </c>
      <c r="K62" s="39">
        <v>0.5</v>
      </c>
      <c r="L62" s="39" t="s">
        <v>34</v>
      </c>
      <c r="M62" s="39">
        <v>2023</v>
      </c>
      <c r="N62" s="39" t="s">
        <v>24</v>
      </c>
      <c r="O62" s="39" t="s">
        <v>24</v>
      </c>
      <c r="P62" s="39" t="s">
        <v>24</v>
      </c>
      <c r="Q62" s="39" t="s">
        <v>24</v>
      </c>
      <c r="R62" s="39">
        <v>100</v>
      </c>
      <c r="S62" s="39">
        <v>0.5</v>
      </c>
      <c r="T62" s="39">
        <v>0</v>
      </c>
      <c r="U62" s="39">
        <v>0</v>
      </c>
      <c r="V62" s="40" t="s">
        <v>256</v>
      </c>
      <c r="Y62" s="25"/>
    </row>
    <row r="63" spans="1:25" s="19" customFormat="1" x14ac:dyDescent="0.25">
      <c r="A63" s="27" t="s">
        <v>280</v>
      </c>
      <c r="B63" s="27" t="s">
        <v>281</v>
      </c>
      <c r="C63" s="27" t="s">
        <v>274</v>
      </c>
      <c r="D63" s="27" t="s">
        <v>294</v>
      </c>
      <c r="E63" s="27" t="s">
        <v>295</v>
      </c>
      <c r="F63" s="27" t="s">
        <v>296</v>
      </c>
      <c r="G63" s="27" t="s">
        <v>201</v>
      </c>
      <c r="H63" s="27" t="s">
        <v>279</v>
      </c>
      <c r="I63" s="26" t="s">
        <v>34</v>
      </c>
      <c r="J63" s="27" t="s">
        <v>273</v>
      </c>
      <c r="K63" s="39">
        <v>0.5</v>
      </c>
      <c r="L63" s="39" t="s">
        <v>34</v>
      </c>
      <c r="M63" s="39">
        <v>2023</v>
      </c>
      <c r="N63" s="39" t="s">
        <v>24</v>
      </c>
      <c r="O63" s="39" t="s">
        <v>24</v>
      </c>
      <c r="P63" s="39" t="s">
        <v>24</v>
      </c>
      <c r="Q63" s="39" t="s">
        <v>24</v>
      </c>
      <c r="R63" s="39">
        <v>100</v>
      </c>
      <c r="S63" s="39">
        <v>0.5</v>
      </c>
      <c r="T63" s="39">
        <v>0</v>
      </c>
      <c r="U63" s="39">
        <v>0</v>
      </c>
      <c r="V63" s="40" t="s">
        <v>256</v>
      </c>
      <c r="Y63" s="25"/>
    </row>
    <row r="64" spans="1:25" s="19" customFormat="1" x14ac:dyDescent="0.25">
      <c r="A64" s="27" t="s">
        <v>280</v>
      </c>
      <c r="B64" s="27" t="s">
        <v>281</v>
      </c>
      <c r="C64" s="27" t="s">
        <v>274</v>
      </c>
      <c r="D64" s="27" t="s">
        <v>297</v>
      </c>
      <c r="E64" s="27" t="s">
        <v>298</v>
      </c>
      <c r="F64" s="27" t="s">
        <v>299</v>
      </c>
      <c r="G64" s="27" t="s">
        <v>68</v>
      </c>
      <c r="H64" s="27" t="s">
        <v>279</v>
      </c>
      <c r="I64" s="26" t="s">
        <v>34</v>
      </c>
      <c r="J64" s="27" t="s">
        <v>273</v>
      </c>
      <c r="K64" s="39">
        <v>0.5</v>
      </c>
      <c r="L64" s="39" t="s">
        <v>34</v>
      </c>
      <c r="M64" s="39">
        <v>2023</v>
      </c>
      <c r="N64" s="39" t="s">
        <v>30</v>
      </c>
      <c r="O64" s="39" t="s">
        <v>32</v>
      </c>
      <c r="P64" s="39" t="s">
        <v>49</v>
      </c>
      <c r="Q64" s="39" t="s">
        <v>39</v>
      </c>
      <c r="R64" s="39">
        <v>50</v>
      </c>
      <c r="S64" s="39">
        <v>0.25</v>
      </c>
      <c r="T64" s="39">
        <v>0.15</v>
      </c>
      <c r="U64" s="39">
        <v>0.1</v>
      </c>
      <c r="V64" s="40" t="s">
        <v>256</v>
      </c>
      <c r="Y64" s="25"/>
    </row>
    <row r="65" spans="1:25" s="19" customFormat="1" x14ac:dyDescent="0.25">
      <c r="A65" s="27" t="s">
        <v>280</v>
      </c>
      <c r="B65" s="27" t="s">
        <v>281</v>
      </c>
      <c r="C65" s="27" t="s">
        <v>274</v>
      </c>
      <c r="D65" s="27" t="s">
        <v>297</v>
      </c>
      <c r="E65" s="27" t="s">
        <v>298</v>
      </c>
      <c r="F65" s="27" t="s">
        <v>299</v>
      </c>
      <c r="G65" s="27" t="s">
        <v>71</v>
      </c>
      <c r="H65" s="27" t="s">
        <v>279</v>
      </c>
      <c r="I65" s="26" t="s">
        <v>34</v>
      </c>
      <c r="J65" s="27" t="s">
        <v>273</v>
      </c>
      <c r="K65" s="39">
        <v>0.5</v>
      </c>
      <c r="L65" s="39" t="s">
        <v>34</v>
      </c>
      <c r="M65" s="39">
        <v>2023</v>
      </c>
      <c r="N65" s="39" t="s">
        <v>30</v>
      </c>
      <c r="O65" s="39" t="s">
        <v>32</v>
      </c>
      <c r="P65" s="39" t="s">
        <v>49</v>
      </c>
      <c r="Q65" s="39" t="s">
        <v>39</v>
      </c>
      <c r="R65" s="39">
        <v>50</v>
      </c>
      <c r="S65" s="39">
        <v>0.25</v>
      </c>
      <c r="T65" s="39">
        <v>0.15</v>
      </c>
      <c r="U65" s="39">
        <v>0.1</v>
      </c>
      <c r="V65" s="40" t="s">
        <v>256</v>
      </c>
      <c r="Y65" s="25"/>
    </row>
    <row r="66" spans="1:25" s="19" customFormat="1" x14ac:dyDescent="0.25">
      <c r="A66" s="27" t="s">
        <v>280</v>
      </c>
      <c r="B66" s="27" t="s">
        <v>281</v>
      </c>
      <c r="C66" s="27" t="s">
        <v>274</v>
      </c>
      <c r="D66" s="27" t="s">
        <v>300</v>
      </c>
      <c r="E66" s="27" t="s">
        <v>301</v>
      </c>
      <c r="F66" s="27" t="s">
        <v>302</v>
      </c>
      <c r="G66" s="27" t="s">
        <v>76</v>
      </c>
      <c r="H66" s="27" t="s">
        <v>279</v>
      </c>
      <c r="I66" s="26" t="s">
        <v>34</v>
      </c>
      <c r="J66" s="27" t="s">
        <v>273</v>
      </c>
      <c r="K66" s="39">
        <v>0.5</v>
      </c>
      <c r="L66" s="39" t="s">
        <v>34</v>
      </c>
      <c r="M66" s="39">
        <v>2023</v>
      </c>
      <c r="N66" s="39" t="s">
        <v>31</v>
      </c>
      <c r="O66" s="39" t="s">
        <v>39</v>
      </c>
      <c r="P66" s="39" t="s">
        <v>24</v>
      </c>
      <c r="Q66" s="39" t="s">
        <v>24</v>
      </c>
      <c r="R66" s="39">
        <v>80</v>
      </c>
      <c r="S66" s="39">
        <v>0.4</v>
      </c>
      <c r="T66" s="39">
        <v>0.1</v>
      </c>
      <c r="U66" s="39">
        <v>0</v>
      </c>
      <c r="V66" s="40" t="s">
        <v>256</v>
      </c>
      <c r="Y66" s="25"/>
    </row>
    <row r="67" spans="1:25" s="19" customFormat="1" x14ac:dyDescent="0.25">
      <c r="A67" s="27" t="s">
        <v>280</v>
      </c>
      <c r="B67" s="27" t="s">
        <v>281</v>
      </c>
      <c r="C67" s="27" t="s">
        <v>274</v>
      </c>
      <c r="D67" s="27" t="s">
        <v>303</v>
      </c>
      <c r="E67" s="27" t="s">
        <v>304</v>
      </c>
      <c r="F67" s="27" t="s">
        <v>305</v>
      </c>
      <c r="G67" s="27" t="s">
        <v>67</v>
      </c>
      <c r="H67" s="27" t="s">
        <v>279</v>
      </c>
      <c r="I67" s="26" t="s">
        <v>34</v>
      </c>
      <c r="J67" s="27" t="s">
        <v>273</v>
      </c>
      <c r="K67" s="39">
        <v>0.5</v>
      </c>
      <c r="L67" s="39" t="s">
        <v>34</v>
      </c>
      <c r="M67" s="39">
        <v>2023</v>
      </c>
      <c r="N67" s="39" t="s">
        <v>30</v>
      </c>
      <c r="O67" s="39" t="s">
        <v>23</v>
      </c>
      <c r="P67" s="39" t="s">
        <v>24</v>
      </c>
      <c r="Q67" s="39" t="s">
        <v>24</v>
      </c>
      <c r="R67" s="39">
        <v>50</v>
      </c>
      <c r="S67" s="39">
        <v>0.25</v>
      </c>
      <c r="T67" s="39">
        <v>0.25</v>
      </c>
      <c r="U67" s="39">
        <v>0</v>
      </c>
      <c r="V67" s="40" t="s">
        <v>256</v>
      </c>
      <c r="Y67" s="25"/>
    </row>
    <row r="68" spans="1:25" s="19" customFormat="1" x14ac:dyDescent="0.25">
      <c r="A68" s="27" t="s">
        <v>280</v>
      </c>
      <c r="B68" s="27" t="s">
        <v>281</v>
      </c>
      <c r="C68" s="27" t="s">
        <v>274</v>
      </c>
      <c r="D68" s="27" t="s">
        <v>306</v>
      </c>
      <c r="E68" s="27" t="s">
        <v>307</v>
      </c>
      <c r="F68" s="27" t="s">
        <v>308</v>
      </c>
      <c r="G68" s="27" t="s">
        <v>64</v>
      </c>
      <c r="H68" s="27" t="s">
        <v>309</v>
      </c>
      <c r="I68" s="26" t="s">
        <v>34</v>
      </c>
      <c r="J68" s="27" t="s">
        <v>273</v>
      </c>
      <c r="K68" s="39">
        <v>1</v>
      </c>
      <c r="L68" s="39" t="s">
        <v>34</v>
      </c>
      <c r="M68" s="39">
        <v>2023</v>
      </c>
      <c r="N68" s="39" t="s">
        <v>24</v>
      </c>
      <c r="O68" s="39" t="s">
        <v>24</v>
      </c>
      <c r="P68" s="39" t="s">
        <v>24</v>
      </c>
      <c r="Q68" s="39" t="s">
        <v>24</v>
      </c>
      <c r="R68" s="39">
        <v>100</v>
      </c>
      <c r="S68" s="39">
        <v>1</v>
      </c>
      <c r="T68" s="39">
        <v>0</v>
      </c>
      <c r="U68" s="39">
        <v>0</v>
      </c>
      <c r="V68" s="40" t="s">
        <v>256</v>
      </c>
      <c r="Y68" s="25"/>
    </row>
    <row r="69" spans="1:25" s="40" customFormat="1" x14ac:dyDescent="0.25">
      <c r="A69" s="27" t="s">
        <v>321</v>
      </c>
      <c r="B69" s="27" t="s">
        <v>322</v>
      </c>
      <c r="C69" s="27" t="s">
        <v>323</v>
      </c>
      <c r="D69" s="27" t="s">
        <v>324</v>
      </c>
      <c r="E69" s="27" t="s">
        <v>325</v>
      </c>
      <c r="F69" s="27" t="s">
        <v>326</v>
      </c>
      <c r="G69" s="27" t="s">
        <v>87</v>
      </c>
      <c r="H69" s="27" t="s">
        <v>279</v>
      </c>
      <c r="I69" s="26" t="s">
        <v>34</v>
      </c>
      <c r="J69" s="27" t="s">
        <v>273</v>
      </c>
      <c r="K69" s="39">
        <v>0.5</v>
      </c>
      <c r="L69" s="39" t="s">
        <v>34</v>
      </c>
      <c r="M69" s="39">
        <v>2023</v>
      </c>
      <c r="N69" s="39" t="s">
        <v>30</v>
      </c>
      <c r="O69" s="39" t="s">
        <v>32</v>
      </c>
      <c r="P69" s="39" t="s">
        <v>49</v>
      </c>
      <c r="Q69" s="39" t="s">
        <v>39</v>
      </c>
      <c r="R69" s="39">
        <v>50</v>
      </c>
      <c r="S69" s="39">
        <v>0.25</v>
      </c>
      <c r="T69" s="39">
        <v>0.15</v>
      </c>
      <c r="U69" s="39">
        <v>0.1</v>
      </c>
      <c r="V69" s="40" t="s">
        <v>256</v>
      </c>
      <c r="Y69" s="25"/>
    </row>
    <row r="70" spans="1:25" s="40" customFormat="1" x14ac:dyDescent="0.25">
      <c r="A70" s="27" t="s">
        <v>321</v>
      </c>
      <c r="B70" s="27" t="s">
        <v>322</v>
      </c>
      <c r="C70" s="27" t="s">
        <v>323</v>
      </c>
      <c r="D70" s="27" t="s">
        <v>327</v>
      </c>
      <c r="E70" s="27" t="s">
        <v>328</v>
      </c>
      <c r="F70" s="27" t="s">
        <v>329</v>
      </c>
      <c r="G70" s="27" t="s">
        <v>330</v>
      </c>
      <c r="H70" s="27" t="s">
        <v>279</v>
      </c>
      <c r="I70" s="26" t="s">
        <v>34</v>
      </c>
      <c r="J70" s="27" t="s">
        <v>273</v>
      </c>
      <c r="K70" s="39">
        <v>0.5</v>
      </c>
      <c r="L70" s="39" t="s">
        <v>34</v>
      </c>
      <c r="M70" s="39">
        <v>2023</v>
      </c>
      <c r="N70" s="39" t="s">
        <v>30</v>
      </c>
      <c r="O70" s="39" t="s">
        <v>32</v>
      </c>
      <c r="P70" s="39" t="s">
        <v>24</v>
      </c>
      <c r="Q70" s="39" t="s">
        <v>24</v>
      </c>
      <c r="R70" s="39">
        <v>70</v>
      </c>
      <c r="S70" s="39">
        <v>0.35</v>
      </c>
      <c r="T70" s="39">
        <v>0.15</v>
      </c>
      <c r="U70" s="39">
        <v>0</v>
      </c>
      <c r="V70" s="40" t="s">
        <v>256</v>
      </c>
      <c r="Y70" s="25"/>
    </row>
    <row r="71" spans="1:25" x14ac:dyDescent="0.25">
      <c r="A71" s="27" t="s">
        <v>310</v>
      </c>
      <c r="B71" s="27" t="s">
        <v>311</v>
      </c>
      <c r="C71" s="27" t="s">
        <v>312</v>
      </c>
      <c r="D71" s="27" t="s">
        <v>313</v>
      </c>
      <c r="E71" s="27" t="s">
        <v>314</v>
      </c>
      <c r="F71" s="27" t="s">
        <v>315</v>
      </c>
      <c r="G71" s="27" t="s">
        <v>79</v>
      </c>
      <c r="H71" s="27" t="s">
        <v>309</v>
      </c>
      <c r="I71" s="26" t="s">
        <v>34</v>
      </c>
      <c r="J71" s="27" t="s">
        <v>273</v>
      </c>
      <c r="K71" s="39">
        <v>1</v>
      </c>
      <c r="L71" s="39" t="s">
        <v>34</v>
      </c>
      <c r="M71" s="39">
        <v>2023</v>
      </c>
      <c r="N71" s="39" t="s">
        <v>30</v>
      </c>
      <c r="O71" s="39" t="s">
        <v>32</v>
      </c>
      <c r="P71" s="39" t="s">
        <v>24</v>
      </c>
      <c r="Q71" s="39" t="s">
        <v>24</v>
      </c>
      <c r="R71" s="39">
        <v>70</v>
      </c>
      <c r="S71" s="39">
        <v>0.7</v>
      </c>
      <c r="T71" s="39">
        <v>0.3</v>
      </c>
      <c r="U71" s="39">
        <v>0</v>
      </c>
      <c r="V71" s="40" t="s">
        <v>256</v>
      </c>
    </row>
    <row r="72" spans="1:25" x14ac:dyDescent="0.25">
      <c r="A72" s="27" t="s">
        <v>34</v>
      </c>
      <c r="B72" s="27" t="s">
        <v>371</v>
      </c>
      <c r="C72" s="27" t="s">
        <v>372</v>
      </c>
      <c r="D72" s="27" t="s">
        <v>373</v>
      </c>
      <c r="E72" s="27" t="s">
        <v>374</v>
      </c>
      <c r="F72" s="27" t="s">
        <v>375</v>
      </c>
      <c r="G72" s="27" t="s">
        <v>65</v>
      </c>
      <c r="H72" s="27" t="s">
        <v>279</v>
      </c>
      <c r="I72" s="26" t="s">
        <v>34</v>
      </c>
      <c r="J72" s="27" t="s">
        <v>371</v>
      </c>
      <c r="K72" s="39">
        <v>0.5</v>
      </c>
      <c r="L72" s="39" t="s">
        <v>34</v>
      </c>
      <c r="M72" s="39">
        <v>2024</v>
      </c>
      <c r="N72" s="39" t="s">
        <v>24</v>
      </c>
      <c r="O72" s="39" t="s">
        <v>24</v>
      </c>
      <c r="P72" s="39" t="s">
        <v>24</v>
      </c>
      <c r="Q72" s="39" t="s">
        <v>24</v>
      </c>
      <c r="R72" s="39">
        <v>100</v>
      </c>
      <c r="S72" s="39">
        <v>0.5</v>
      </c>
      <c r="T72" s="39">
        <v>0</v>
      </c>
      <c r="U72" s="39">
        <v>0</v>
      </c>
      <c r="V72" s="40"/>
    </row>
    <row r="73" spans="1:25" x14ac:dyDescent="0.25">
      <c r="A73" s="27" t="s">
        <v>34</v>
      </c>
      <c r="B73" s="27" t="s">
        <v>371</v>
      </c>
      <c r="C73" s="27" t="s">
        <v>372</v>
      </c>
      <c r="D73" s="27" t="s">
        <v>373</v>
      </c>
      <c r="E73" s="27" t="s">
        <v>374</v>
      </c>
      <c r="F73" s="27" t="s">
        <v>375</v>
      </c>
      <c r="G73" s="27" t="s">
        <v>200</v>
      </c>
      <c r="H73" s="27" t="s">
        <v>279</v>
      </c>
      <c r="I73" s="26" t="s">
        <v>34</v>
      </c>
      <c r="J73" s="27" t="s">
        <v>371</v>
      </c>
      <c r="K73" s="39">
        <v>0.5</v>
      </c>
      <c r="L73" s="39" t="s">
        <v>34</v>
      </c>
      <c r="M73" s="39">
        <v>2024</v>
      </c>
      <c r="N73" s="39" t="s">
        <v>24</v>
      </c>
      <c r="O73" s="39" t="s">
        <v>24</v>
      </c>
      <c r="P73" s="39" t="s">
        <v>24</v>
      </c>
      <c r="Q73" s="39" t="s">
        <v>24</v>
      </c>
      <c r="R73" s="39">
        <v>100</v>
      </c>
      <c r="S73" s="39">
        <v>0.5</v>
      </c>
      <c r="T73" s="39">
        <v>0</v>
      </c>
      <c r="U73" s="39">
        <v>0</v>
      </c>
      <c r="V73" s="40"/>
    </row>
    <row r="74" spans="1:25" x14ac:dyDescent="0.25">
      <c r="A74" s="27" t="s">
        <v>376</v>
      </c>
      <c r="B74" s="27" t="s">
        <v>377</v>
      </c>
      <c r="C74" s="27" t="s">
        <v>274</v>
      </c>
      <c r="D74" s="27" t="s">
        <v>378</v>
      </c>
      <c r="E74" s="27" t="s">
        <v>379</v>
      </c>
      <c r="F74" s="27" t="s">
        <v>380</v>
      </c>
      <c r="G74" s="27" t="s">
        <v>199</v>
      </c>
      <c r="H74" s="27" t="s">
        <v>279</v>
      </c>
      <c r="I74" s="26" t="s">
        <v>34</v>
      </c>
      <c r="J74" s="27" t="s">
        <v>371</v>
      </c>
      <c r="K74" s="39">
        <v>0.5</v>
      </c>
      <c r="L74" s="39" t="s">
        <v>34</v>
      </c>
      <c r="M74" s="39">
        <v>2024</v>
      </c>
      <c r="N74" s="39" t="s">
        <v>24</v>
      </c>
      <c r="O74" s="39" t="s">
        <v>24</v>
      </c>
      <c r="P74" s="39" t="s">
        <v>24</v>
      </c>
      <c r="Q74" s="39" t="s">
        <v>24</v>
      </c>
      <c r="R74" s="39">
        <v>100</v>
      </c>
      <c r="S74" s="39">
        <v>0.5</v>
      </c>
      <c r="T74" s="39">
        <v>0</v>
      </c>
      <c r="U74" s="39">
        <v>0</v>
      </c>
      <c r="V74" s="40"/>
    </row>
    <row r="75" spans="1:25" x14ac:dyDescent="0.25">
      <c r="A75" s="27" t="s">
        <v>376</v>
      </c>
      <c r="B75" s="27" t="s">
        <v>377</v>
      </c>
      <c r="C75" s="27" t="s">
        <v>274</v>
      </c>
      <c r="D75" s="27" t="s">
        <v>378</v>
      </c>
      <c r="E75" s="27" t="s">
        <v>379</v>
      </c>
      <c r="F75" s="27" t="s">
        <v>380</v>
      </c>
      <c r="G75" s="27" t="s">
        <v>201</v>
      </c>
      <c r="H75" s="27" t="s">
        <v>279</v>
      </c>
      <c r="I75" s="26" t="s">
        <v>34</v>
      </c>
      <c r="J75" s="27" t="s">
        <v>371</v>
      </c>
      <c r="K75" s="39">
        <v>0.5</v>
      </c>
      <c r="L75" s="39" t="s">
        <v>34</v>
      </c>
      <c r="M75" s="39">
        <v>2024</v>
      </c>
      <c r="N75" s="39" t="s">
        <v>24</v>
      </c>
      <c r="O75" s="39" t="s">
        <v>24</v>
      </c>
      <c r="P75" s="39" t="s">
        <v>24</v>
      </c>
      <c r="Q75" s="39" t="s">
        <v>24</v>
      </c>
      <c r="R75" s="39">
        <v>100</v>
      </c>
      <c r="S75" s="39">
        <v>0.5</v>
      </c>
      <c r="T75" s="39">
        <v>0</v>
      </c>
      <c r="U75" s="39">
        <v>0</v>
      </c>
      <c r="V75" s="40"/>
    </row>
    <row r="76" spans="1:25" x14ac:dyDescent="0.25">
      <c r="A76" s="27" t="s">
        <v>376</v>
      </c>
      <c r="B76" s="27" t="s">
        <v>377</v>
      </c>
      <c r="C76" s="27" t="s">
        <v>274</v>
      </c>
      <c r="D76" s="27" t="s">
        <v>381</v>
      </c>
      <c r="E76" s="27" t="s">
        <v>382</v>
      </c>
      <c r="F76" s="27" t="s">
        <v>383</v>
      </c>
      <c r="G76" s="27" t="s">
        <v>278</v>
      </c>
      <c r="H76" s="27" t="s">
        <v>279</v>
      </c>
      <c r="I76" s="26" t="s">
        <v>34</v>
      </c>
      <c r="J76" s="27" t="s">
        <v>371</v>
      </c>
      <c r="K76" s="39">
        <v>0.5</v>
      </c>
      <c r="L76" s="39" t="s">
        <v>34</v>
      </c>
      <c r="M76" s="39">
        <v>2024</v>
      </c>
      <c r="N76" s="39" t="s">
        <v>24</v>
      </c>
      <c r="O76" s="39" t="s">
        <v>24</v>
      </c>
      <c r="P76" s="39" t="s">
        <v>24</v>
      </c>
      <c r="Q76" s="39" t="s">
        <v>24</v>
      </c>
      <c r="R76" s="39">
        <v>100</v>
      </c>
      <c r="S76" s="39">
        <v>0.5</v>
      </c>
      <c r="T76" s="39">
        <v>0</v>
      </c>
      <c r="U76" s="39">
        <v>0</v>
      </c>
      <c r="V76" s="40"/>
    </row>
    <row r="77" spans="1:25" x14ac:dyDescent="0.25">
      <c r="A77" s="27" t="s">
        <v>376</v>
      </c>
      <c r="B77" s="27" t="s">
        <v>377</v>
      </c>
      <c r="C77" s="27" t="s">
        <v>274</v>
      </c>
      <c r="D77" s="27" t="s">
        <v>381</v>
      </c>
      <c r="E77" s="27" t="s">
        <v>382</v>
      </c>
      <c r="F77" s="27" t="s">
        <v>383</v>
      </c>
      <c r="G77" s="27" t="s">
        <v>67</v>
      </c>
      <c r="H77" s="27" t="s">
        <v>279</v>
      </c>
      <c r="I77" s="26" t="s">
        <v>34</v>
      </c>
      <c r="J77" s="27" t="s">
        <v>371</v>
      </c>
      <c r="K77" s="39">
        <v>0.5</v>
      </c>
      <c r="L77" s="39" t="s">
        <v>34</v>
      </c>
      <c r="M77" s="39">
        <v>2024</v>
      </c>
      <c r="N77" s="39" t="s">
        <v>24</v>
      </c>
      <c r="O77" s="39" t="s">
        <v>24</v>
      </c>
      <c r="P77" s="39" t="s">
        <v>24</v>
      </c>
      <c r="Q77" s="39" t="s">
        <v>24</v>
      </c>
      <c r="R77" s="39">
        <v>100</v>
      </c>
      <c r="S77" s="39">
        <v>0.5</v>
      </c>
      <c r="T77" s="39">
        <v>0</v>
      </c>
      <c r="U77" s="39">
        <v>0</v>
      </c>
      <c r="V77" s="40"/>
    </row>
    <row r="78" spans="1:25" x14ac:dyDescent="0.25">
      <c r="A78" s="27" t="s">
        <v>376</v>
      </c>
      <c r="B78" s="27" t="s">
        <v>377</v>
      </c>
      <c r="C78" s="27" t="s">
        <v>274</v>
      </c>
      <c r="D78" s="27" t="s">
        <v>384</v>
      </c>
      <c r="E78" s="27" t="s">
        <v>385</v>
      </c>
      <c r="F78" s="27" t="s">
        <v>386</v>
      </c>
      <c r="G78" s="27" t="s">
        <v>75</v>
      </c>
      <c r="H78" s="27" t="s">
        <v>279</v>
      </c>
      <c r="I78" s="26" t="s">
        <v>34</v>
      </c>
      <c r="J78" s="27" t="s">
        <v>371</v>
      </c>
      <c r="K78" s="39">
        <v>0.5</v>
      </c>
      <c r="L78" s="39" t="s">
        <v>34</v>
      </c>
      <c r="M78" s="39">
        <v>2024</v>
      </c>
      <c r="N78" s="39" t="s">
        <v>30</v>
      </c>
      <c r="O78" s="39" t="s">
        <v>32</v>
      </c>
      <c r="P78" s="39" t="s">
        <v>49</v>
      </c>
      <c r="Q78" s="39" t="s">
        <v>32</v>
      </c>
      <c r="R78" s="39">
        <v>40</v>
      </c>
      <c r="S78" s="39">
        <v>0.2</v>
      </c>
      <c r="T78" s="39">
        <v>0.15</v>
      </c>
      <c r="U78" s="39">
        <v>0.15</v>
      </c>
      <c r="V78" s="40"/>
    </row>
    <row r="79" spans="1:25" x14ac:dyDescent="0.25">
      <c r="A79" s="27" t="s">
        <v>376</v>
      </c>
      <c r="B79" s="27" t="s">
        <v>377</v>
      </c>
      <c r="C79" s="27" t="s">
        <v>274</v>
      </c>
      <c r="D79" s="27" t="s">
        <v>384</v>
      </c>
      <c r="E79" s="27" t="s">
        <v>385</v>
      </c>
      <c r="F79" s="27" t="s">
        <v>386</v>
      </c>
      <c r="G79" s="27" t="s">
        <v>197</v>
      </c>
      <c r="H79" s="27" t="s">
        <v>279</v>
      </c>
      <c r="I79" s="26" t="s">
        <v>34</v>
      </c>
      <c r="J79" s="27" t="s">
        <v>371</v>
      </c>
      <c r="K79" s="39">
        <v>0.5</v>
      </c>
      <c r="L79" s="39" t="s">
        <v>34</v>
      </c>
      <c r="M79" s="39">
        <v>2024</v>
      </c>
      <c r="N79" s="39" t="s">
        <v>49</v>
      </c>
      <c r="O79" s="39" t="s">
        <v>39</v>
      </c>
      <c r="P79" s="39" t="s">
        <v>24</v>
      </c>
      <c r="Q79" s="39" t="s">
        <v>24</v>
      </c>
      <c r="R79" s="39">
        <v>80</v>
      </c>
      <c r="S79" s="39">
        <v>0.4</v>
      </c>
      <c r="T79" s="39">
        <v>0.1</v>
      </c>
      <c r="U79" s="39">
        <v>0</v>
      </c>
      <c r="V79" s="40"/>
    </row>
    <row r="80" spans="1:25" x14ac:dyDescent="0.25">
      <c r="A80" s="27" t="s">
        <v>280</v>
      </c>
      <c r="B80" s="27" t="s">
        <v>387</v>
      </c>
      <c r="C80" s="27" t="s">
        <v>274</v>
      </c>
      <c r="D80" s="27" t="s">
        <v>388</v>
      </c>
      <c r="E80" s="27" t="s">
        <v>389</v>
      </c>
      <c r="F80" s="27" t="s">
        <v>390</v>
      </c>
      <c r="G80" s="27" t="s">
        <v>199</v>
      </c>
      <c r="H80" s="27" t="s">
        <v>309</v>
      </c>
      <c r="I80" s="26" t="s">
        <v>34</v>
      </c>
      <c r="J80" s="27" t="s">
        <v>371</v>
      </c>
      <c r="K80" s="39">
        <v>1</v>
      </c>
      <c r="L80" s="39" t="s">
        <v>34</v>
      </c>
      <c r="M80" s="39">
        <v>2024</v>
      </c>
      <c r="N80" s="39" t="s">
        <v>24</v>
      </c>
      <c r="O80" s="39" t="s">
        <v>24</v>
      </c>
      <c r="P80" s="39" t="s">
        <v>24</v>
      </c>
      <c r="Q80" s="39" t="s">
        <v>24</v>
      </c>
      <c r="R80" s="39">
        <v>100</v>
      </c>
      <c r="S80" s="39">
        <v>1</v>
      </c>
      <c r="T80" s="39">
        <v>0</v>
      </c>
      <c r="U80" s="39">
        <v>0</v>
      </c>
      <c r="V80" s="40"/>
    </row>
    <row r="81" spans="1:25" x14ac:dyDescent="0.25">
      <c r="A81" s="27" t="s">
        <v>280</v>
      </c>
      <c r="B81" s="27" t="s">
        <v>387</v>
      </c>
      <c r="C81" s="27" t="s">
        <v>274</v>
      </c>
      <c r="D81" s="27" t="s">
        <v>391</v>
      </c>
      <c r="E81" s="27" t="s">
        <v>392</v>
      </c>
      <c r="F81" s="27" t="s">
        <v>393</v>
      </c>
      <c r="G81" s="27" t="s">
        <v>68</v>
      </c>
      <c r="H81" s="27" t="s">
        <v>309</v>
      </c>
      <c r="I81" s="26" t="s">
        <v>34</v>
      </c>
      <c r="J81" s="27" t="s">
        <v>371</v>
      </c>
      <c r="K81" s="39">
        <v>1</v>
      </c>
      <c r="L81" s="39" t="s">
        <v>34</v>
      </c>
      <c r="M81" s="39">
        <v>2024</v>
      </c>
      <c r="N81" s="39" t="s">
        <v>49</v>
      </c>
      <c r="O81" s="39" t="s">
        <v>39</v>
      </c>
      <c r="P81" s="39" t="s">
        <v>30</v>
      </c>
      <c r="Q81" s="39" t="s">
        <v>32</v>
      </c>
      <c r="R81" s="39">
        <v>50</v>
      </c>
      <c r="S81" s="39">
        <v>0.5</v>
      </c>
      <c r="T81" s="39">
        <v>0.2</v>
      </c>
      <c r="U81" s="39">
        <v>0.3</v>
      </c>
      <c r="V81" s="40"/>
    </row>
    <row r="82" spans="1:25" x14ac:dyDescent="0.25">
      <c r="A82" s="27" t="s">
        <v>280</v>
      </c>
      <c r="B82" s="27" t="s">
        <v>387</v>
      </c>
      <c r="C82" s="27" t="s">
        <v>274</v>
      </c>
      <c r="D82" s="27" t="s">
        <v>394</v>
      </c>
      <c r="E82" s="27" t="s">
        <v>395</v>
      </c>
      <c r="F82" s="27" t="s">
        <v>396</v>
      </c>
      <c r="G82" s="27" t="s">
        <v>66</v>
      </c>
      <c r="H82" s="27" t="s">
        <v>309</v>
      </c>
      <c r="I82" s="26" t="s">
        <v>34</v>
      </c>
      <c r="J82" s="27" t="s">
        <v>371</v>
      </c>
      <c r="K82" s="39">
        <v>1</v>
      </c>
      <c r="L82" s="39" t="s">
        <v>34</v>
      </c>
      <c r="M82" s="39">
        <v>2024</v>
      </c>
      <c r="N82" s="39" t="s">
        <v>24</v>
      </c>
      <c r="O82" s="39" t="s">
        <v>24</v>
      </c>
      <c r="P82" s="39" t="s">
        <v>24</v>
      </c>
      <c r="Q82" s="39" t="s">
        <v>24</v>
      </c>
      <c r="R82" s="39">
        <v>100</v>
      </c>
      <c r="S82" s="39">
        <v>1</v>
      </c>
      <c r="T82" s="39">
        <v>0</v>
      </c>
      <c r="U82" s="39">
        <v>0</v>
      </c>
      <c r="V82" s="40"/>
    </row>
    <row r="83" spans="1:25" x14ac:dyDescent="0.25">
      <c r="A83" s="27" t="s">
        <v>280</v>
      </c>
      <c r="B83" s="27" t="s">
        <v>387</v>
      </c>
      <c r="C83" s="27" t="s">
        <v>274</v>
      </c>
      <c r="D83" s="27" t="s">
        <v>397</v>
      </c>
      <c r="E83" s="27" t="s">
        <v>398</v>
      </c>
      <c r="F83" s="27" t="s">
        <v>399</v>
      </c>
      <c r="G83" s="27" t="s">
        <v>199</v>
      </c>
      <c r="H83" s="27" t="s">
        <v>279</v>
      </c>
      <c r="I83" s="26" t="s">
        <v>34</v>
      </c>
      <c r="J83" s="27" t="s">
        <v>371</v>
      </c>
      <c r="K83" s="39">
        <v>0.5</v>
      </c>
      <c r="L83" s="39" t="s">
        <v>34</v>
      </c>
      <c r="M83" s="39">
        <v>2024</v>
      </c>
      <c r="N83" s="39" t="s">
        <v>24</v>
      </c>
      <c r="O83" s="39" t="s">
        <v>24</v>
      </c>
      <c r="P83" s="39" t="s">
        <v>24</v>
      </c>
      <c r="Q83" s="39" t="s">
        <v>24</v>
      </c>
      <c r="R83" s="39">
        <v>100</v>
      </c>
      <c r="S83" s="39">
        <v>0.5</v>
      </c>
      <c r="T83" s="39">
        <v>0</v>
      </c>
      <c r="U83" s="39">
        <v>0</v>
      </c>
      <c r="V83" s="40"/>
    </row>
    <row r="84" spans="1:25" s="40" customFormat="1" x14ac:dyDescent="0.25">
      <c r="A84" s="27" t="s">
        <v>280</v>
      </c>
      <c r="B84" s="27" t="s">
        <v>387</v>
      </c>
      <c r="C84" s="27" t="s">
        <v>274</v>
      </c>
      <c r="D84" s="27" t="s">
        <v>397</v>
      </c>
      <c r="E84" s="27" t="s">
        <v>398</v>
      </c>
      <c r="F84" s="27" t="s">
        <v>399</v>
      </c>
      <c r="G84" s="27" t="s">
        <v>201</v>
      </c>
      <c r="H84" s="27" t="s">
        <v>279</v>
      </c>
      <c r="I84" s="26" t="s">
        <v>34</v>
      </c>
      <c r="J84" s="27" t="s">
        <v>371</v>
      </c>
      <c r="K84" s="39">
        <v>0.5</v>
      </c>
      <c r="L84" s="39" t="s">
        <v>34</v>
      </c>
      <c r="M84" s="39">
        <v>2024</v>
      </c>
      <c r="N84" s="39" t="s">
        <v>24</v>
      </c>
      <c r="O84" s="39" t="s">
        <v>24</v>
      </c>
      <c r="P84" s="39" t="s">
        <v>24</v>
      </c>
      <c r="Q84" s="39" t="s">
        <v>24</v>
      </c>
      <c r="R84" s="39">
        <v>100</v>
      </c>
      <c r="S84" s="39">
        <v>0.5</v>
      </c>
      <c r="T84" s="39">
        <v>0</v>
      </c>
      <c r="U84" s="39">
        <v>0</v>
      </c>
      <c r="Y84" s="25"/>
    </row>
    <row r="85" spans="1:25" s="40" customFormat="1" x14ac:dyDescent="0.25">
      <c r="A85" s="27" t="s">
        <v>280</v>
      </c>
      <c r="B85" s="27" t="s">
        <v>387</v>
      </c>
      <c r="C85" s="27" t="s">
        <v>274</v>
      </c>
      <c r="D85" s="27" t="s">
        <v>400</v>
      </c>
      <c r="E85" s="27" t="s">
        <v>401</v>
      </c>
      <c r="F85" s="27" t="s">
        <v>402</v>
      </c>
      <c r="G85" s="27" t="s">
        <v>66</v>
      </c>
      <c r="H85" s="27" t="s">
        <v>279</v>
      </c>
      <c r="I85" s="26" t="s">
        <v>34</v>
      </c>
      <c r="J85" s="27" t="s">
        <v>371</v>
      </c>
      <c r="K85" s="39">
        <v>0.5</v>
      </c>
      <c r="L85" s="39" t="s">
        <v>34</v>
      </c>
      <c r="M85" s="39">
        <v>2024</v>
      </c>
      <c r="N85" s="39" t="s">
        <v>24</v>
      </c>
      <c r="O85" s="39" t="s">
        <v>24</v>
      </c>
      <c r="P85" s="39" t="s">
        <v>24</v>
      </c>
      <c r="Q85" s="39" t="s">
        <v>24</v>
      </c>
      <c r="R85" s="39">
        <v>100</v>
      </c>
      <c r="S85" s="39">
        <v>0.5</v>
      </c>
      <c r="T85" s="39">
        <v>0</v>
      </c>
      <c r="U85" s="39">
        <v>0</v>
      </c>
      <c r="Y85" s="25"/>
    </row>
    <row r="86" spans="1:25" s="40" customFormat="1" x14ac:dyDescent="0.25">
      <c r="A86" s="27" t="s">
        <v>280</v>
      </c>
      <c r="B86" s="27" t="s">
        <v>387</v>
      </c>
      <c r="C86" s="27" t="s">
        <v>274</v>
      </c>
      <c r="D86" s="27" t="s">
        <v>400</v>
      </c>
      <c r="E86" s="27" t="s">
        <v>401</v>
      </c>
      <c r="F86" s="27" t="s">
        <v>402</v>
      </c>
      <c r="G86" s="27" t="s">
        <v>198</v>
      </c>
      <c r="H86" s="27" t="s">
        <v>279</v>
      </c>
      <c r="I86" s="26" t="s">
        <v>34</v>
      </c>
      <c r="J86" s="27" t="s">
        <v>371</v>
      </c>
      <c r="K86" s="39">
        <v>0.5</v>
      </c>
      <c r="L86" s="39" t="s">
        <v>34</v>
      </c>
      <c r="M86" s="39">
        <v>2024</v>
      </c>
      <c r="N86" s="39" t="s">
        <v>24</v>
      </c>
      <c r="O86" s="39" t="s">
        <v>24</v>
      </c>
      <c r="P86" s="39" t="s">
        <v>24</v>
      </c>
      <c r="Q86" s="39" t="s">
        <v>24</v>
      </c>
      <c r="R86" s="39">
        <v>100</v>
      </c>
      <c r="S86" s="39">
        <v>0.5</v>
      </c>
      <c r="T86" s="39">
        <v>0</v>
      </c>
      <c r="U86" s="39">
        <v>0</v>
      </c>
      <c r="Y86" s="25"/>
    </row>
    <row r="87" spans="1:25" x14ac:dyDescent="0.25">
      <c r="A87" s="27" t="s">
        <v>321</v>
      </c>
      <c r="B87" s="27" t="s">
        <v>403</v>
      </c>
      <c r="C87" s="27" t="s">
        <v>323</v>
      </c>
      <c r="D87" s="27" t="s">
        <v>404</v>
      </c>
      <c r="E87" s="27" t="s">
        <v>405</v>
      </c>
      <c r="F87" s="27" t="s">
        <v>406</v>
      </c>
      <c r="G87" s="27" t="s">
        <v>67</v>
      </c>
      <c r="H87" s="27" t="s">
        <v>279</v>
      </c>
      <c r="I87" s="26" t="s">
        <v>34</v>
      </c>
      <c r="J87" s="27" t="s">
        <v>371</v>
      </c>
      <c r="K87" s="39">
        <v>0.33333333333333331</v>
      </c>
      <c r="L87" s="39" t="s">
        <v>34</v>
      </c>
      <c r="M87" s="39">
        <v>2024</v>
      </c>
      <c r="N87" s="39" t="s">
        <v>24</v>
      </c>
      <c r="O87" s="39" t="s">
        <v>24</v>
      </c>
      <c r="P87" s="39" t="s">
        <v>24</v>
      </c>
      <c r="Q87" s="39" t="s">
        <v>24</v>
      </c>
      <c r="R87" s="39">
        <v>100</v>
      </c>
      <c r="S87" s="39">
        <v>0.33333333333333326</v>
      </c>
      <c r="T87" s="39">
        <v>0</v>
      </c>
      <c r="U87" s="39">
        <v>0</v>
      </c>
      <c r="V87" s="40"/>
    </row>
    <row r="88" spans="1:25" x14ac:dyDescent="0.25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2"/>
      <c r="P88" s="41"/>
      <c r="Q88" s="42"/>
      <c r="R88" s="41"/>
      <c r="S88" s="72">
        <f>SUM(S2:S87)</f>
        <v>39.733333333333334</v>
      </c>
      <c r="T88" s="41"/>
      <c r="U88" s="41"/>
    </row>
  </sheetData>
  <autoFilter ref="A1:U52" xr:uid="{00000000-0009-0000-0000-000000000000}">
    <sortState xmlns:xlrd2="http://schemas.microsoft.com/office/spreadsheetml/2017/richdata2" ref="A2:U1834">
      <sortCondition ref="L2:L1834"/>
      <sortCondition ref="M2:M1834"/>
      <sortCondition ref="D2:D1834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51"/>
  <sheetViews>
    <sheetView topLeftCell="A12" zoomScaleNormal="100" workbookViewId="0">
      <selection activeCell="W13" sqref="W13"/>
    </sheetView>
  </sheetViews>
  <sheetFormatPr baseColWidth="10" defaultColWidth="11.42578125" defaultRowHeight="12.75" x14ac:dyDescent="0.2"/>
  <cols>
    <col min="1" max="1" width="10.85546875" style="4" bestFit="1" customWidth="1"/>
    <col min="2" max="2" width="40.5703125" style="4" bestFit="1" customWidth="1"/>
    <col min="3" max="3" width="17" style="4" bestFit="1" customWidth="1"/>
    <col min="4" max="9" width="3.28515625" style="4" bestFit="1" customWidth="1"/>
    <col min="10" max="10" width="13.140625" style="4" bestFit="1" customWidth="1"/>
    <col min="11" max="11" width="5.28515625" style="4" bestFit="1" customWidth="1"/>
    <col min="12" max="13" width="5.7109375" style="4" bestFit="1" customWidth="1"/>
    <col min="14" max="14" width="5.7109375" style="5" bestFit="1" customWidth="1"/>
    <col min="15" max="15" width="5.7109375" style="4" bestFit="1" customWidth="1"/>
    <col min="16" max="16" width="5.7109375" style="5" bestFit="1" customWidth="1"/>
    <col min="17" max="19" width="5.7109375" style="4" bestFit="1" customWidth="1"/>
    <col min="20" max="16384" width="11.42578125" style="4"/>
  </cols>
  <sheetData>
    <row r="1" spans="1:19" s="3" customFormat="1" ht="60" customHeight="1" x14ac:dyDescent="0.2">
      <c r="A1" s="6" t="s">
        <v>50</v>
      </c>
      <c r="B1" s="6" t="s">
        <v>51</v>
      </c>
      <c r="C1" s="6" t="s">
        <v>52</v>
      </c>
      <c r="D1" s="7" t="s">
        <v>407</v>
      </c>
      <c r="E1" s="7" t="s">
        <v>408</v>
      </c>
      <c r="F1" s="7" t="s">
        <v>409</v>
      </c>
      <c r="G1" s="7" t="s">
        <v>410</v>
      </c>
      <c r="H1" s="7" t="s">
        <v>411</v>
      </c>
      <c r="I1" s="7" t="s">
        <v>412</v>
      </c>
      <c r="J1" s="6" t="s">
        <v>53</v>
      </c>
      <c r="K1" s="8" t="s">
        <v>90</v>
      </c>
      <c r="L1" s="1" t="s">
        <v>54</v>
      </c>
      <c r="M1" s="1" t="s">
        <v>55</v>
      </c>
      <c r="N1" s="1" t="s">
        <v>56</v>
      </c>
      <c r="O1" s="1" t="s">
        <v>57</v>
      </c>
      <c r="P1" s="2" t="s">
        <v>58</v>
      </c>
      <c r="Q1" s="2" t="s">
        <v>59</v>
      </c>
      <c r="R1" s="2" t="s">
        <v>60</v>
      </c>
      <c r="S1" s="2" t="s">
        <v>61</v>
      </c>
    </row>
    <row r="2" spans="1:19" x14ac:dyDescent="0.2">
      <c r="A2" s="17" t="s">
        <v>413</v>
      </c>
      <c r="B2" s="17" t="s">
        <v>414</v>
      </c>
      <c r="C2" s="17" t="s">
        <v>63</v>
      </c>
      <c r="D2" s="17"/>
      <c r="E2" s="17"/>
      <c r="F2" s="17"/>
      <c r="G2" s="17"/>
      <c r="H2" s="17"/>
      <c r="I2" s="17">
        <v>1</v>
      </c>
      <c r="J2" s="17">
        <v>1</v>
      </c>
      <c r="K2" s="17" t="s">
        <v>34</v>
      </c>
      <c r="L2" s="17">
        <v>0</v>
      </c>
      <c r="M2" s="17">
        <v>0</v>
      </c>
      <c r="N2" s="18" t="s">
        <v>24</v>
      </c>
      <c r="O2" s="17" t="s">
        <v>24</v>
      </c>
      <c r="P2" s="18">
        <v>100</v>
      </c>
      <c r="Q2" s="17">
        <v>0</v>
      </c>
      <c r="R2" s="17">
        <v>0</v>
      </c>
      <c r="S2" s="17">
        <v>1</v>
      </c>
    </row>
    <row r="3" spans="1:19" x14ac:dyDescent="0.2">
      <c r="A3" s="17" t="s">
        <v>72</v>
      </c>
      <c r="B3" s="17" t="s">
        <v>415</v>
      </c>
      <c r="C3" s="17" t="s">
        <v>62</v>
      </c>
      <c r="D3" s="17">
        <v>1</v>
      </c>
      <c r="E3" s="17"/>
      <c r="F3" s="17"/>
      <c r="G3" s="17"/>
      <c r="H3" s="17"/>
      <c r="I3" s="17"/>
      <c r="J3" s="17">
        <v>1</v>
      </c>
      <c r="K3" s="17" t="s">
        <v>34</v>
      </c>
      <c r="L3" s="17" t="s">
        <v>49</v>
      </c>
      <c r="M3" s="17" t="s">
        <v>39</v>
      </c>
      <c r="N3" s="18" t="s">
        <v>24</v>
      </c>
      <c r="O3" s="17" t="s">
        <v>24</v>
      </c>
      <c r="P3" s="18">
        <v>80</v>
      </c>
      <c r="Q3" s="17">
        <v>0.2</v>
      </c>
      <c r="R3" s="17">
        <v>0</v>
      </c>
      <c r="S3" s="17">
        <v>0.8</v>
      </c>
    </row>
    <row r="4" spans="1:19" x14ac:dyDescent="0.2">
      <c r="A4" s="17" t="s">
        <v>316</v>
      </c>
      <c r="B4" s="17" t="s">
        <v>416</v>
      </c>
      <c r="C4" s="17" t="s">
        <v>62</v>
      </c>
      <c r="D4" s="17"/>
      <c r="E4" s="17"/>
      <c r="F4" s="17"/>
      <c r="G4" s="17"/>
      <c r="H4" s="17"/>
      <c r="I4" s="17">
        <v>1</v>
      </c>
      <c r="J4" s="17">
        <v>1</v>
      </c>
      <c r="K4" s="17" t="s">
        <v>34</v>
      </c>
      <c r="L4" s="17" t="s">
        <v>49</v>
      </c>
      <c r="M4" s="17" t="s">
        <v>32</v>
      </c>
      <c r="N4" s="18" t="s">
        <v>24</v>
      </c>
      <c r="O4" s="17" t="s">
        <v>24</v>
      </c>
      <c r="P4" s="18">
        <v>70</v>
      </c>
      <c r="Q4" s="17">
        <v>0.3</v>
      </c>
      <c r="R4" s="17">
        <v>0</v>
      </c>
      <c r="S4" s="17">
        <v>0.7</v>
      </c>
    </row>
    <row r="5" spans="1:19" x14ac:dyDescent="0.2">
      <c r="A5" s="17" t="s">
        <v>88</v>
      </c>
      <c r="B5" s="17" t="s">
        <v>417</v>
      </c>
      <c r="C5" s="17" t="s">
        <v>62</v>
      </c>
      <c r="D5" s="17"/>
      <c r="E5" s="17"/>
      <c r="F5" s="17"/>
      <c r="G5" s="17"/>
      <c r="H5" s="17"/>
      <c r="I5" s="17">
        <v>2</v>
      </c>
      <c r="J5" s="17">
        <v>2</v>
      </c>
      <c r="K5" s="17" t="s">
        <v>34</v>
      </c>
      <c r="L5" s="17">
        <v>0</v>
      </c>
      <c r="M5" s="17">
        <v>0</v>
      </c>
      <c r="N5" s="18" t="s">
        <v>24</v>
      </c>
      <c r="O5" s="17" t="s">
        <v>24</v>
      </c>
      <c r="P5" s="18">
        <v>100</v>
      </c>
      <c r="Q5" s="17">
        <v>0</v>
      </c>
      <c r="R5" s="17">
        <v>0</v>
      </c>
      <c r="S5" s="17">
        <v>2</v>
      </c>
    </row>
    <row r="6" spans="1:19" x14ac:dyDescent="0.2">
      <c r="A6" s="17" t="s">
        <v>189</v>
      </c>
      <c r="B6" s="17" t="s">
        <v>418</v>
      </c>
      <c r="C6" s="17" t="s">
        <v>63</v>
      </c>
      <c r="D6" s="17"/>
      <c r="E6" s="17"/>
      <c r="F6" s="17">
        <v>1</v>
      </c>
      <c r="G6" s="17"/>
      <c r="H6" s="17"/>
      <c r="I6" s="17"/>
      <c r="J6" s="17">
        <v>1</v>
      </c>
      <c r="K6" s="17" t="s">
        <v>34</v>
      </c>
      <c r="L6" s="17">
        <v>0</v>
      </c>
      <c r="M6" s="17">
        <v>0</v>
      </c>
      <c r="N6" s="18" t="s">
        <v>24</v>
      </c>
      <c r="O6" s="17" t="s">
        <v>24</v>
      </c>
      <c r="P6" s="18">
        <v>100</v>
      </c>
      <c r="Q6" s="17">
        <v>0</v>
      </c>
      <c r="R6" s="17">
        <v>0</v>
      </c>
      <c r="S6" s="17">
        <v>1</v>
      </c>
    </row>
    <row r="7" spans="1:19" x14ac:dyDescent="0.2">
      <c r="A7" s="17" t="s">
        <v>250</v>
      </c>
      <c r="B7" s="17" t="s">
        <v>419</v>
      </c>
      <c r="C7" s="17" t="s">
        <v>62</v>
      </c>
      <c r="D7" s="17"/>
      <c r="E7" s="17"/>
      <c r="F7" s="17"/>
      <c r="G7" s="17"/>
      <c r="H7" s="17"/>
      <c r="I7" s="17">
        <v>1</v>
      </c>
      <c r="J7" s="17">
        <v>1</v>
      </c>
      <c r="K7" s="17" t="s">
        <v>34</v>
      </c>
      <c r="L7" s="17">
        <v>0</v>
      </c>
      <c r="M7" s="17">
        <v>0</v>
      </c>
      <c r="N7" s="18" t="s">
        <v>24</v>
      </c>
      <c r="O7" s="17" t="s">
        <v>24</v>
      </c>
      <c r="P7" s="18">
        <v>100</v>
      </c>
      <c r="Q7" s="17">
        <v>0</v>
      </c>
      <c r="R7" s="17">
        <v>0</v>
      </c>
      <c r="S7" s="17">
        <v>1</v>
      </c>
    </row>
    <row r="8" spans="1:19" x14ac:dyDescent="0.2">
      <c r="A8" s="17" t="s">
        <v>317</v>
      </c>
      <c r="B8" s="17" t="s">
        <v>420</v>
      </c>
      <c r="C8" s="17" t="s">
        <v>63</v>
      </c>
      <c r="D8" s="17"/>
      <c r="E8" s="17"/>
      <c r="F8" s="17"/>
      <c r="G8" s="17"/>
      <c r="H8" s="17">
        <v>1</v>
      </c>
      <c r="I8" s="17"/>
      <c r="J8" s="17">
        <v>1</v>
      </c>
      <c r="K8" s="17" t="s">
        <v>34</v>
      </c>
      <c r="L8" s="17">
        <v>0</v>
      </c>
      <c r="M8" s="17">
        <v>0</v>
      </c>
      <c r="N8" s="18" t="s">
        <v>24</v>
      </c>
      <c r="O8" s="17" t="s">
        <v>24</v>
      </c>
      <c r="P8" s="18">
        <v>100</v>
      </c>
      <c r="Q8" s="17">
        <v>0</v>
      </c>
      <c r="R8" s="17">
        <v>0</v>
      </c>
      <c r="S8" s="17">
        <v>1</v>
      </c>
    </row>
    <row r="9" spans="1:19" x14ac:dyDescent="0.2">
      <c r="A9" s="17" t="s">
        <v>73</v>
      </c>
      <c r="B9" s="17" t="s">
        <v>421</v>
      </c>
      <c r="C9" s="17" t="s">
        <v>62</v>
      </c>
      <c r="D9" s="17"/>
      <c r="E9" s="17">
        <v>1</v>
      </c>
      <c r="F9" s="17"/>
      <c r="G9" s="17"/>
      <c r="H9" s="17"/>
      <c r="I9" s="17"/>
      <c r="J9" s="17">
        <v>1</v>
      </c>
      <c r="K9" s="17" t="s">
        <v>34</v>
      </c>
      <c r="L9" s="17">
        <v>0</v>
      </c>
      <c r="M9" s="17">
        <v>0</v>
      </c>
      <c r="N9" s="18" t="s">
        <v>24</v>
      </c>
      <c r="O9" s="17" t="s">
        <v>24</v>
      </c>
      <c r="P9" s="18">
        <v>100</v>
      </c>
      <c r="Q9" s="17">
        <v>0</v>
      </c>
      <c r="R9" s="17">
        <v>0</v>
      </c>
      <c r="S9" s="17">
        <v>1</v>
      </c>
    </row>
    <row r="10" spans="1:19" x14ac:dyDescent="0.2">
      <c r="A10" s="17" t="s">
        <v>190</v>
      </c>
      <c r="B10" s="17" t="s">
        <v>422</v>
      </c>
      <c r="C10" s="17" t="s">
        <v>62</v>
      </c>
      <c r="D10" s="17"/>
      <c r="E10" s="17"/>
      <c r="F10" s="17">
        <v>1</v>
      </c>
      <c r="G10" s="17"/>
      <c r="H10" s="17"/>
      <c r="I10" s="17"/>
      <c r="J10" s="17">
        <v>1</v>
      </c>
      <c r="K10" s="17" t="s">
        <v>34</v>
      </c>
      <c r="L10" s="17">
        <v>0</v>
      </c>
      <c r="M10" s="17">
        <v>0</v>
      </c>
      <c r="N10" s="18" t="s">
        <v>24</v>
      </c>
      <c r="O10" s="17" t="s">
        <v>24</v>
      </c>
      <c r="P10" s="18">
        <v>100</v>
      </c>
      <c r="Q10" s="17">
        <v>0</v>
      </c>
      <c r="R10" s="17">
        <v>0</v>
      </c>
      <c r="S10" s="17">
        <v>1</v>
      </c>
    </row>
    <row r="11" spans="1:19" x14ac:dyDescent="0.2">
      <c r="A11" s="17" t="s">
        <v>76</v>
      </c>
      <c r="B11" s="17" t="s">
        <v>423</v>
      </c>
      <c r="C11" s="17" t="s">
        <v>62</v>
      </c>
      <c r="D11" s="17"/>
      <c r="E11" s="17">
        <v>1</v>
      </c>
      <c r="F11" s="17"/>
      <c r="G11" s="17"/>
      <c r="H11" s="17"/>
      <c r="I11" s="17"/>
      <c r="J11" s="17">
        <v>1</v>
      </c>
      <c r="K11" s="17" t="s">
        <v>34</v>
      </c>
      <c r="L11" s="17" t="s">
        <v>31</v>
      </c>
      <c r="M11" s="17" t="s">
        <v>39</v>
      </c>
      <c r="N11" s="18" t="s">
        <v>24</v>
      </c>
      <c r="O11" s="17" t="s">
        <v>24</v>
      </c>
      <c r="P11" s="18">
        <v>80</v>
      </c>
      <c r="Q11" s="17">
        <v>0.2</v>
      </c>
      <c r="R11" s="17">
        <v>0</v>
      </c>
      <c r="S11" s="17">
        <v>0.8</v>
      </c>
    </row>
    <row r="12" spans="1:19" x14ac:dyDescent="0.2">
      <c r="A12" s="17" t="s">
        <v>191</v>
      </c>
      <c r="B12" s="17" t="s">
        <v>424</v>
      </c>
      <c r="C12" s="17" t="s">
        <v>63</v>
      </c>
      <c r="D12" s="17"/>
      <c r="E12" s="17"/>
      <c r="F12" s="17"/>
      <c r="G12" s="17"/>
      <c r="H12" s="17">
        <v>1</v>
      </c>
      <c r="I12" s="17"/>
      <c r="J12" s="17">
        <v>1</v>
      </c>
      <c r="K12" s="17" t="s">
        <v>34</v>
      </c>
      <c r="L12" s="17" t="s">
        <v>49</v>
      </c>
      <c r="M12" s="17" t="s">
        <v>39</v>
      </c>
      <c r="N12" s="18" t="s">
        <v>24</v>
      </c>
      <c r="O12" s="17" t="s">
        <v>24</v>
      </c>
      <c r="P12" s="18">
        <v>80</v>
      </c>
      <c r="Q12" s="17">
        <v>0.2</v>
      </c>
      <c r="R12" s="17">
        <v>0</v>
      </c>
      <c r="S12" s="17">
        <v>0.8</v>
      </c>
    </row>
    <row r="13" spans="1:19" x14ac:dyDescent="0.2">
      <c r="A13" s="17" t="s">
        <v>92</v>
      </c>
      <c r="B13" s="17" t="s">
        <v>425</v>
      </c>
      <c r="C13" s="17" t="s">
        <v>62</v>
      </c>
      <c r="D13" s="17"/>
      <c r="E13" s="17"/>
      <c r="F13" s="17">
        <v>1</v>
      </c>
      <c r="G13" s="17"/>
      <c r="H13" s="17"/>
      <c r="I13" s="17"/>
      <c r="J13" s="17">
        <v>1</v>
      </c>
      <c r="K13" s="17" t="s">
        <v>34</v>
      </c>
      <c r="L13" s="17">
        <v>0</v>
      </c>
      <c r="M13" s="17">
        <v>0</v>
      </c>
      <c r="N13" s="18" t="s">
        <v>24</v>
      </c>
      <c r="O13" s="17" t="s">
        <v>24</v>
      </c>
      <c r="P13" s="18">
        <v>100</v>
      </c>
      <c r="Q13" s="17">
        <v>0</v>
      </c>
      <c r="R13" s="17">
        <v>0</v>
      </c>
      <c r="S13" s="17">
        <v>1</v>
      </c>
    </row>
    <row r="14" spans="1:19" x14ac:dyDescent="0.2">
      <c r="A14" s="17" t="s">
        <v>77</v>
      </c>
      <c r="B14" s="17" t="s">
        <v>426</v>
      </c>
      <c r="C14" s="17" t="s">
        <v>62</v>
      </c>
      <c r="D14" s="17"/>
      <c r="E14" s="17"/>
      <c r="F14" s="17">
        <v>1</v>
      </c>
      <c r="G14" s="17"/>
      <c r="H14" s="17"/>
      <c r="I14" s="17"/>
      <c r="J14" s="17">
        <v>1</v>
      </c>
      <c r="K14" s="17" t="s">
        <v>34</v>
      </c>
      <c r="L14" s="17">
        <v>0</v>
      </c>
      <c r="M14" s="17">
        <v>0</v>
      </c>
      <c r="N14" s="18" t="s">
        <v>24</v>
      </c>
      <c r="O14" s="17" t="s">
        <v>24</v>
      </c>
      <c r="P14" s="18">
        <v>100</v>
      </c>
      <c r="Q14" s="17">
        <v>0</v>
      </c>
      <c r="R14" s="17">
        <v>0</v>
      </c>
      <c r="S14" s="17">
        <v>1</v>
      </c>
    </row>
    <row r="15" spans="1:19" x14ac:dyDescent="0.2">
      <c r="A15" s="17" t="s">
        <v>192</v>
      </c>
      <c r="B15" s="17" t="s">
        <v>427</v>
      </c>
      <c r="C15" s="17" t="s">
        <v>62</v>
      </c>
      <c r="D15" s="17"/>
      <c r="E15" s="17"/>
      <c r="F15" s="17"/>
      <c r="G15" s="17"/>
      <c r="H15" s="17">
        <v>1</v>
      </c>
      <c r="I15" s="17"/>
      <c r="J15" s="17">
        <v>1</v>
      </c>
      <c r="K15" s="17" t="s">
        <v>34</v>
      </c>
      <c r="L15" s="17" t="s">
        <v>30</v>
      </c>
      <c r="M15" s="17" t="s">
        <v>32</v>
      </c>
      <c r="N15" s="18" t="s">
        <v>49</v>
      </c>
      <c r="O15" s="17" t="s">
        <v>39</v>
      </c>
      <c r="P15" s="18">
        <v>50</v>
      </c>
      <c r="Q15" s="17">
        <v>0.3</v>
      </c>
      <c r="R15" s="17">
        <v>0.2</v>
      </c>
      <c r="S15" s="17">
        <v>0.5</v>
      </c>
    </row>
    <row r="16" spans="1:19" x14ac:dyDescent="0.2">
      <c r="A16" s="17" t="s">
        <v>80</v>
      </c>
      <c r="B16" s="17" t="s">
        <v>428</v>
      </c>
      <c r="C16" s="17" t="s">
        <v>62</v>
      </c>
      <c r="D16" s="17"/>
      <c r="E16" s="17"/>
      <c r="F16" s="17"/>
      <c r="G16" s="17"/>
      <c r="H16" s="17"/>
      <c r="I16" s="17">
        <v>1</v>
      </c>
      <c r="J16" s="17">
        <v>1</v>
      </c>
      <c r="K16" s="17" t="s">
        <v>34</v>
      </c>
      <c r="L16" s="17">
        <v>0</v>
      </c>
      <c r="M16" s="17">
        <v>0</v>
      </c>
      <c r="N16" s="18" t="s">
        <v>24</v>
      </c>
      <c r="O16" s="17" t="s">
        <v>24</v>
      </c>
      <c r="P16" s="18">
        <v>100</v>
      </c>
      <c r="Q16" s="17">
        <v>0</v>
      </c>
      <c r="R16" s="17">
        <v>0</v>
      </c>
      <c r="S16" s="17">
        <v>1</v>
      </c>
    </row>
    <row r="17" spans="1:19" x14ac:dyDescent="0.2">
      <c r="A17" s="17" t="s">
        <v>93</v>
      </c>
      <c r="B17" s="17" t="s">
        <v>429</v>
      </c>
      <c r="C17" s="17" t="s">
        <v>62</v>
      </c>
      <c r="D17" s="17"/>
      <c r="E17" s="17">
        <v>1</v>
      </c>
      <c r="F17" s="17"/>
      <c r="G17" s="17"/>
      <c r="H17" s="17"/>
      <c r="I17" s="17"/>
      <c r="J17" s="17">
        <v>1</v>
      </c>
      <c r="K17" s="17" t="s">
        <v>34</v>
      </c>
      <c r="L17" s="17" t="s">
        <v>91</v>
      </c>
      <c r="M17" s="17" t="s">
        <v>23</v>
      </c>
      <c r="N17" s="18" t="s">
        <v>24</v>
      </c>
      <c r="O17" s="17" t="s">
        <v>24</v>
      </c>
      <c r="P17" s="18">
        <v>50</v>
      </c>
      <c r="Q17" s="17">
        <v>0.5</v>
      </c>
      <c r="R17" s="17">
        <v>0</v>
      </c>
      <c r="S17" s="17">
        <v>0.5</v>
      </c>
    </row>
    <row r="18" spans="1:19" x14ac:dyDescent="0.2">
      <c r="A18" s="17" t="s">
        <v>66</v>
      </c>
      <c r="B18" s="17" t="s">
        <v>430</v>
      </c>
      <c r="C18" s="17" t="s">
        <v>62</v>
      </c>
      <c r="D18" s="17"/>
      <c r="E18" s="17"/>
      <c r="F18" s="17"/>
      <c r="G18" s="17"/>
      <c r="H18" s="17">
        <v>1</v>
      </c>
      <c r="I18" s="17"/>
      <c r="J18" s="17">
        <v>1</v>
      </c>
      <c r="K18" s="17" t="s">
        <v>34</v>
      </c>
      <c r="L18" s="17">
        <v>0</v>
      </c>
      <c r="M18" s="17">
        <v>0</v>
      </c>
      <c r="N18" s="18" t="s">
        <v>24</v>
      </c>
      <c r="O18" s="17" t="s">
        <v>24</v>
      </c>
      <c r="P18" s="18">
        <v>100</v>
      </c>
      <c r="Q18" s="17">
        <v>0</v>
      </c>
      <c r="R18" s="17">
        <v>0</v>
      </c>
      <c r="S18" s="17">
        <v>1</v>
      </c>
    </row>
    <row r="19" spans="1:19" x14ac:dyDescent="0.2">
      <c r="A19" s="17" t="s">
        <v>318</v>
      </c>
      <c r="B19" s="17" t="s">
        <v>431</v>
      </c>
      <c r="C19" s="17" t="s">
        <v>63</v>
      </c>
      <c r="D19" s="17"/>
      <c r="E19" s="17"/>
      <c r="F19" s="17"/>
      <c r="G19" s="17"/>
      <c r="H19" s="17"/>
      <c r="I19" s="17">
        <v>1</v>
      </c>
      <c r="J19" s="17">
        <v>1</v>
      </c>
      <c r="K19" s="17" t="s">
        <v>34</v>
      </c>
      <c r="L19" s="17">
        <v>0</v>
      </c>
      <c r="M19" s="17">
        <v>0</v>
      </c>
      <c r="N19" s="18" t="s">
        <v>24</v>
      </c>
      <c r="O19" s="17" t="s">
        <v>24</v>
      </c>
      <c r="P19" s="18">
        <v>100</v>
      </c>
      <c r="Q19" s="17">
        <v>0</v>
      </c>
      <c r="R19" s="17">
        <v>0</v>
      </c>
      <c r="S19" s="17">
        <v>1</v>
      </c>
    </row>
    <row r="20" spans="1:19" x14ac:dyDescent="0.2">
      <c r="A20" s="17" t="s">
        <v>78</v>
      </c>
      <c r="B20" s="17" t="s">
        <v>432</v>
      </c>
      <c r="C20" s="17" t="s">
        <v>62</v>
      </c>
      <c r="D20" s="17"/>
      <c r="E20" s="17"/>
      <c r="F20" s="17"/>
      <c r="G20" s="17">
        <v>1</v>
      </c>
      <c r="H20" s="17"/>
      <c r="I20" s="17">
        <v>1</v>
      </c>
      <c r="J20" s="17">
        <v>2</v>
      </c>
      <c r="K20" s="17" t="s">
        <v>34</v>
      </c>
      <c r="L20" s="17" t="s">
        <v>30</v>
      </c>
      <c r="M20" s="17" t="s">
        <v>32</v>
      </c>
      <c r="N20" s="18" t="s">
        <v>24</v>
      </c>
      <c r="O20" s="17" t="s">
        <v>24</v>
      </c>
      <c r="P20" s="18">
        <v>70</v>
      </c>
      <c r="Q20" s="17">
        <v>0.6</v>
      </c>
      <c r="R20" s="17">
        <v>0</v>
      </c>
      <c r="S20" s="17">
        <v>1.4</v>
      </c>
    </row>
    <row r="21" spans="1:19" x14ac:dyDescent="0.2">
      <c r="A21" s="17" t="s">
        <v>251</v>
      </c>
      <c r="B21" s="17" t="s">
        <v>433</v>
      </c>
      <c r="C21" s="17" t="s">
        <v>63</v>
      </c>
      <c r="D21" s="17"/>
      <c r="E21" s="17"/>
      <c r="F21" s="17"/>
      <c r="G21" s="17">
        <v>1</v>
      </c>
      <c r="H21" s="17"/>
      <c r="I21" s="17"/>
      <c r="J21" s="17">
        <v>1</v>
      </c>
      <c r="K21" s="17" t="s">
        <v>34</v>
      </c>
      <c r="L21" s="17">
        <v>0</v>
      </c>
      <c r="M21" s="17">
        <v>0</v>
      </c>
      <c r="N21" s="18" t="s">
        <v>24</v>
      </c>
      <c r="O21" s="17" t="s">
        <v>24</v>
      </c>
      <c r="P21" s="18">
        <v>100</v>
      </c>
      <c r="Q21" s="17">
        <v>0</v>
      </c>
      <c r="R21" s="17">
        <v>0</v>
      </c>
      <c r="S21" s="17">
        <v>1</v>
      </c>
    </row>
    <row r="22" spans="1:19" x14ac:dyDescent="0.2">
      <c r="A22" s="17" t="s">
        <v>79</v>
      </c>
      <c r="B22" s="17" t="s">
        <v>434</v>
      </c>
      <c r="C22" s="17" t="s">
        <v>62</v>
      </c>
      <c r="D22" s="17"/>
      <c r="E22" s="17"/>
      <c r="F22" s="17"/>
      <c r="G22" s="17"/>
      <c r="H22" s="17"/>
      <c r="I22" s="17">
        <v>1</v>
      </c>
      <c r="J22" s="17">
        <v>1</v>
      </c>
      <c r="K22" s="17" t="s">
        <v>34</v>
      </c>
      <c r="L22" s="17">
        <v>0</v>
      </c>
      <c r="M22" s="17">
        <v>0</v>
      </c>
      <c r="N22" s="18" t="s">
        <v>24</v>
      </c>
      <c r="O22" s="17" t="s">
        <v>24</v>
      </c>
      <c r="P22" s="18">
        <v>100</v>
      </c>
      <c r="Q22" s="17">
        <v>0</v>
      </c>
      <c r="R22" s="17">
        <v>0</v>
      </c>
      <c r="S22" s="17">
        <v>1</v>
      </c>
    </row>
    <row r="23" spans="1:19" x14ac:dyDescent="0.2">
      <c r="A23" s="17" t="s">
        <v>64</v>
      </c>
      <c r="B23" s="17" t="s">
        <v>435</v>
      </c>
      <c r="C23" s="17" t="s">
        <v>62</v>
      </c>
      <c r="D23" s="17"/>
      <c r="E23" s="17">
        <v>1</v>
      </c>
      <c r="F23" s="17"/>
      <c r="G23" s="17"/>
      <c r="H23" s="17"/>
      <c r="I23" s="17"/>
      <c r="J23" s="17">
        <v>1</v>
      </c>
      <c r="K23" s="17" t="s">
        <v>34</v>
      </c>
      <c r="L23" s="17">
        <v>0</v>
      </c>
      <c r="M23" s="17">
        <v>0</v>
      </c>
      <c r="N23" s="18" t="s">
        <v>24</v>
      </c>
      <c r="O23" s="17" t="s">
        <v>24</v>
      </c>
      <c r="P23" s="18">
        <v>100</v>
      </c>
      <c r="Q23" s="17">
        <v>0</v>
      </c>
      <c r="R23" s="17">
        <v>0</v>
      </c>
      <c r="S23" s="17">
        <v>1</v>
      </c>
    </row>
    <row r="24" spans="1:19" x14ac:dyDescent="0.2">
      <c r="A24" s="17" t="s">
        <v>319</v>
      </c>
      <c r="B24" s="17" t="s">
        <v>436</v>
      </c>
      <c r="C24" s="17" t="s">
        <v>63</v>
      </c>
      <c r="D24" s="17"/>
      <c r="E24" s="17"/>
      <c r="F24" s="17"/>
      <c r="G24" s="17"/>
      <c r="H24" s="17">
        <v>1</v>
      </c>
      <c r="I24" s="17"/>
      <c r="J24" s="17">
        <v>1</v>
      </c>
      <c r="K24" s="17" t="s">
        <v>34</v>
      </c>
      <c r="L24" s="17">
        <v>0</v>
      </c>
      <c r="M24" s="17">
        <v>0</v>
      </c>
      <c r="N24" s="18" t="s">
        <v>24</v>
      </c>
      <c r="O24" s="17" t="s">
        <v>24</v>
      </c>
      <c r="P24" s="18">
        <v>100</v>
      </c>
      <c r="Q24" s="17">
        <v>0</v>
      </c>
      <c r="R24" s="17">
        <v>0</v>
      </c>
      <c r="S24" s="17">
        <v>1</v>
      </c>
    </row>
    <row r="25" spans="1:19" x14ac:dyDescent="0.2">
      <c r="A25" s="17" t="s">
        <v>94</v>
      </c>
      <c r="B25" s="17" t="s">
        <v>437</v>
      </c>
      <c r="C25" s="17" t="s">
        <v>63</v>
      </c>
      <c r="D25" s="17">
        <v>1</v>
      </c>
      <c r="E25" s="17">
        <v>1</v>
      </c>
      <c r="F25" s="17"/>
      <c r="G25" s="17"/>
      <c r="H25" s="17"/>
      <c r="I25" s="17"/>
      <c r="J25" s="17">
        <v>2</v>
      </c>
      <c r="K25" s="17" t="s">
        <v>34</v>
      </c>
      <c r="L25" s="17">
        <v>0</v>
      </c>
      <c r="M25" s="17">
        <v>0</v>
      </c>
      <c r="N25" s="18" t="s">
        <v>24</v>
      </c>
      <c r="O25" s="17" t="s">
        <v>24</v>
      </c>
      <c r="P25" s="18">
        <v>100</v>
      </c>
      <c r="Q25" s="17">
        <v>0</v>
      </c>
      <c r="R25" s="17">
        <v>0</v>
      </c>
      <c r="S25" s="17">
        <v>2</v>
      </c>
    </row>
    <row r="26" spans="1:19" x14ac:dyDescent="0.2">
      <c r="A26" s="17" t="s">
        <v>193</v>
      </c>
      <c r="B26" s="17" t="s">
        <v>438</v>
      </c>
      <c r="C26" s="17" t="s">
        <v>62</v>
      </c>
      <c r="D26" s="17"/>
      <c r="E26" s="17"/>
      <c r="F26" s="17"/>
      <c r="G26" s="17">
        <v>1</v>
      </c>
      <c r="H26" s="17"/>
      <c r="I26" s="17"/>
      <c r="J26" s="17">
        <v>1</v>
      </c>
      <c r="K26" s="17" t="s">
        <v>34</v>
      </c>
      <c r="L26" s="17">
        <v>0</v>
      </c>
      <c r="M26" s="17">
        <v>0</v>
      </c>
      <c r="N26" s="18" t="s">
        <v>24</v>
      </c>
      <c r="O26" s="17" t="s">
        <v>24</v>
      </c>
      <c r="P26" s="18">
        <v>100</v>
      </c>
      <c r="Q26" s="17">
        <v>0</v>
      </c>
      <c r="R26" s="17">
        <v>0</v>
      </c>
      <c r="S26" s="17">
        <v>1</v>
      </c>
    </row>
    <row r="27" spans="1:19" x14ac:dyDescent="0.2">
      <c r="A27" s="17" t="s">
        <v>194</v>
      </c>
      <c r="B27" s="17" t="s">
        <v>439</v>
      </c>
      <c r="C27" s="17" t="s">
        <v>63</v>
      </c>
      <c r="D27" s="17"/>
      <c r="E27" s="17"/>
      <c r="F27" s="17">
        <v>1</v>
      </c>
      <c r="G27" s="17"/>
      <c r="H27" s="17"/>
      <c r="I27" s="17"/>
      <c r="J27" s="17">
        <v>1</v>
      </c>
      <c r="K27" s="17" t="s">
        <v>34</v>
      </c>
      <c r="L27" s="17" t="s">
        <v>30</v>
      </c>
      <c r="M27" s="17" t="s">
        <v>32</v>
      </c>
      <c r="N27" s="18" t="s">
        <v>24</v>
      </c>
      <c r="O27" s="17" t="s">
        <v>24</v>
      </c>
      <c r="P27" s="18">
        <v>70</v>
      </c>
      <c r="Q27" s="17">
        <v>0.3</v>
      </c>
      <c r="R27" s="17">
        <v>0</v>
      </c>
      <c r="S27" s="17">
        <v>0.7</v>
      </c>
    </row>
    <row r="28" spans="1:19" x14ac:dyDescent="0.2">
      <c r="A28" s="17" t="s">
        <v>195</v>
      </c>
      <c r="B28" s="17" t="s">
        <v>440</v>
      </c>
      <c r="C28" s="17" t="s">
        <v>63</v>
      </c>
      <c r="D28" s="17"/>
      <c r="E28" s="17"/>
      <c r="F28" s="17"/>
      <c r="G28" s="17">
        <v>1</v>
      </c>
      <c r="H28" s="17"/>
      <c r="I28" s="17"/>
      <c r="J28" s="17">
        <v>1</v>
      </c>
      <c r="K28" s="17" t="s">
        <v>34</v>
      </c>
      <c r="L28" s="17" t="s">
        <v>30</v>
      </c>
      <c r="M28" s="17" t="s">
        <v>32</v>
      </c>
      <c r="N28" s="18" t="s">
        <v>49</v>
      </c>
      <c r="O28" s="17" t="s">
        <v>441</v>
      </c>
      <c r="P28" s="18">
        <v>30</v>
      </c>
      <c r="Q28" s="17">
        <v>0.3</v>
      </c>
      <c r="R28" s="17">
        <v>0.4</v>
      </c>
      <c r="S28" s="17">
        <v>0.3</v>
      </c>
    </row>
    <row r="29" spans="1:19" x14ac:dyDescent="0.2">
      <c r="A29" s="17" t="s">
        <v>196</v>
      </c>
      <c r="B29" s="17" t="s">
        <v>442</v>
      </c>
      <c r="C29" s="17" t="s">
        <v>62</v>
      </c>
      <c r="D29" s="17"/>
      <c r="E29" s="17">
        <v>1</v>
      </c>
      <c r="F29" s="17"/>
      <c r="G29" s="17"/>
      <c r="H29" s="17"/>
      <c r="I29" s="17"/>
      <c r="J29" s="17">
        <v>1</v>
      </c>
      <c r="K29" s="17" t="s">
        <v>34</v>
      </c>
      <c r="L29" s="17">
        <v>0</v>
      </c>
      <c r="M29" s="17">
        <v>0</v>
      </c>
      <c r="N29" s="18" t="s">
        <v>24</v>
      </c>
      <c r="O29" s="17" t="s">
        <v>24</v>
      </c>
      <c r="P29" s="18">
        <v>100</v>
      </c>
      <c r="Q29" s="17">
        <v>0</v>
      </c>
      <c r="R29" s="17">
        <v>0</v>
      </c>
      <c r="S29" s="17">
        <v>1</v>
      </c>
    </row>
    <row r="30" spans="1:19" x14ac:dyDescent="0.2">
      <c r="A30" s="17" t="s">
        <v>74</v>
      </c>
      <c r="B30" s="17" t="s">
        <v>443</v>
      </c>
      <c r="C30" s="17" t="s">
        <v>62</v>
      </c>
      <c r="D30" s="17">
        <v>1</v>
      </c>
      <c r="E30" s="17"/>
      <c r="F30" s="17"/>
      <c r="G30" s="17"/>
      <c r="H30" s="17"/>
      <c r="I30" s="17">
        <v>1</v>
      </c>
      <c r="J30" s="17">
        <v>2</v>
      </c>
      <c r="K30" s="17" t="s">
        <v>34</v>
      </c>
      <c r="L30" s="17">
        <v>0</v>
      </c>
      <c r="M30" s="17">
        <v>0</v>
      </c>
      <c r="N30" s="18" t="s">
        <v>24</v>
      </c>
      <c r="O30" s="17" t="s">
        <v>24</v>
      </c>
      <c r="P30" s="18">
        <v>100</v>
      </c>
      <c r="Q30" s="17">
        <v>0</v>
      </c>
      <c r="R30" s="17">
        <v>0</v>
      </c>
      <c r="S30" s="17">
        <v>2</v>
      </c>
    </row>
    <row r="31" spans="1:19" x14ac:dyDescent="0.2">
      <c r="A31" s="17" t="s">
        <v>69</v>
      </c>
      <c r="B31" s="17" t="s">
        <v>444</v>
      </c>
      <c r="C31" s="17" t="s">
        <v>62</v>
      </c>
      <c r="D31" s="17"/>
      <c r="E31" s="17"/>
      <c r="F31" s="17">
        <v>1</v>
      </c>
      <c r="G31" s="17"/>
      <c r="H31" s="17">
        <v>1</v>
      </c>
      <c r="I31" s="17"/>
      <c r="J31" s="17">
        <v>2</v>
      </c>
      <c r="K31" s="17" t="s">
        <v>34</v>
      </c>
      <c r="L31" s="17">
        <v>0</v>
      </c>
      <c r="M31" s="17">
        <v>0</v>
      </c>
      <c r="N31" s="18" t="s">
        <v>24</v>
      </c>
      <c r="O31" s="17" t="s">
        <v>24</v>
      </c>
      <c r="P31" s="18">
        <v>100</v>
      </c>
      <c r="Q31" s="17">
        <v>0</v>
      </c>
      <c r="R31" s="17">
        <v>0</v>
      </c>
      <c r="S31" s="17">
        <v>2</v>
      </c>
    </row>
    <row r="32" spans="1:19" x14ac:dyDescent="0.2">
      <c r="A32" s="17" t="s">
        <v>252</v>
      </c>
      <c r="B32" s="17" t="s">
        <v>445</v>
      </c>
      <c r="C32" s="17" t="s">
        <v>63</v>
      </c>
      <c r="D32" s="17"/>
      <c r="E32" s="17"/>
      <c r="F32" s="17"/>
      <c r="G32" s="17"/>
      <c r="H32" s="17">
        <v>1</v>
      </c>
      <c r="I32" s="17"/>
      <c r="J32" s="17">
        <v>1</v>
      </c>
      <c r="K32" s="17" t="s">
        <v>34</v>
      </c>
      <c r="L32" s="17">
        <v>0</v>
      </c>
      <c r="M32" s="17">
        <v>0</v>
      </c>
      <c r="N32" s="18" t="s">
        <v>24</v>
      </c>
      <c r="O32" s="17" t="s">
        <v>24</v>
      </c>
      <c r="P32" s="18">
        <v>100</v>
      </c>
      <c r="Q32" s="17">
        <v>0</v>
      </c>
      <c r="R32" s="17">
        <v>0</v>
      </c>
      <c r="S32" s="17">
        <v>1</v>
      </c>
    </row>
    <row r="33" spans="1:19" x14ac:dyDescent="0.2">
      <c r="A33" s="17" t="s">
        <v>71</v>
      </c>
      <c r="B33" s="17" t="s">
        <v>446</v>
      </c>
      <c r="C33" s="17" t="s">
        <v>62</v>
      </c>
      <c r="D33" s="17"/>
      <c r="E33" s="17">
        <v>1</v>
      </c>
      <c r="F33" s="17"/>
      <c r="G33" s="17">
        <v>1</v>
      </c>
      <c r="H33" s="17"/>
      <c r="I33" s="17"/>
      <c r="J33" s="17">
        <v>2</v>
      </c>
      <c r="K33" s="17" t="s">
        <v>34</v>
      </c>
      <c r="L33" s="17" t="s">
        <v>49</v>
      </c>
      <c r="M33" s="17" t="s">
        <v>39</v>
      </c>
      <c r="N33" s="18" t="s">
        <v>30</v>
      </c>
      <c r="O33" s="17" t="s">
        <v>32</v>
      </c>
      <c r="P33" s="18">
        <v>50</v>
      </c>
      <c r="Q33" s="17">
        <v>0.4</v>
      </c>
      <c r="R33" s="17">
        <v>0.6</v>
      </c>
      <c r="S33" s="17">
        <v>1</v>
      </c>
    </row>
    <row r="34" spans="1:19" x14ac:dyDescent="0.2">
      <c r="A34" s="17" t="s">
        <v>197</v>
      </c>
      <c r="B34" s="17" t="s">
        <v>447</v>
      </c>
      <c r="C34" s="17" t="s">
        <v>63</v>
      </c>
      <c r="D34" s="17"/>
      <c r="E34" s="17"/>
      <c r="F34" s="17"/>
      <c r="G34" s="17"/>
      <c r="H34" s="17">
        <v>1</v>
      </c>
      <c r="I34" s="17"/>
      <c r="J34" s="17">
        <v>1</v>
      </c>
      <c r="K34" s="17" t="s">
        <v>34</v>
      </c>
      <c r="L34" s="17" t="s">
        <v>49</v>
      </c>
      <c r="M34" s="17" t="s">
        <v>39</v>
      </c>
      <c r="N34" s="18" t="s">
        <v>24</v>
      </c>
      <c r="O34" s="17" t="s">
        <v>24</v>
      </c>
      <c r="P34" s="18">
        <v>80</v>
      </c>
      <c r="Q34" s="17">
        <v>0.2</v>
      </c>
      <c r="R34" s="17">
        <v>0</v>
      </c>
      <c r="S34" s="17">
        <v>0.8</v>
      </c>
    </row>
    <row r="35" spans="1:19" x14ac:dyDescent="0.2">
      <c r="A35" s="17" t="s">
        <v>89</v>
      </c>
      <c r="B35" s="17" t="s">
        <v>448</v>
      </c>
      <c r="C35" s="17" t="s">
        <v>63</v>
      </c>
      <c r="D35" s="17"/>
      <c r="E35" s="17"/>
      <c r="F35" s="17">
        <v>1</v>
      </c>
      <c r="G35" s="17"/>
      <c r="H35" s="17"/>
      <c r="I35" s="17"/>
      <c r="J35" s="17">
        <v>1</v>
      </c>
      <c r="K35" s="17" t="s">
        <v>34</v>
      </c>
      <c r="L35" s="17">
        <v>0</v>
      </c>
      <c r="M35" s="17">
        <v>0</v>
      </c>
      <c r="N35" s="18" t="s">
        <v>24</v>
      </c>
      <c r="O35" s="17" t="s">
        <v>24</v>
      </c>
      <c r="P35" s="18">
        <v>100</v>
      </c>
      <c r="Q35" s="17">
        <v>0</v>
      </c>
      <c r="R35" s="17">
        <v>0</v>
      </c>
      <c r="S35" s="17">
        <v>1</v>
      </c>
    </row>
    <row r="36" spans="1:19" x14ac:dyDescent="0.2">
      <c r="A36" s="17" t="s">
        <v>253</v>
      </c>
      <c r="B36" s="17" t="s">
        <v>449</v>
      </c>
      <c r="C36" s="17" t="s">
        <v>63</v>
      </c>
      <c r="D36" s="17"/>
      <c r="E36" s="17"/>
      <c r="F36" s="17"/>
      <c r="G36" s="17"/>
      <c r="H36" s="17">
        <v>1</v>
      </c>
      <c r="I36" s="17"/>
      <c r="J36" s="17">
        <v>1</v>
      </c>
      <c r="K36" s="17" t="s">
        <v>34</v>
      </c>
      <c r="L36" s="17">
        <v>0</v>
      </c>
      <c r="M36" s="17">
        <v>0</v>
      </c>
      <c r="N36" s="18" t="s">
        <v>24</v>
      </c>
      <c r="O36" s="17" t="s">
        <v>24</v>
      </c>
      <c r="P36" s="18">
        <v>100</v>
      </c>
      <c r="Q36" s="17">
        <v>0</v>
      </c>
      <c r="R36" s="17">
        <v>0</v>
      </c>
      <c r="S36" s="17">
        <v>1</v>
      </c>
    </row>
    <row r="37" spans="1:19" x14ac:dyDescent="0.2">
      <c r="A37" s="17" t="s">
        <v>75</v>
      </c>
      <c r="B37" s="17" t="s">
        <v>450</v>
      </c>
      <c r="C37" s="17" t="s">
        <v>62</v>
      </c>
      <c r="D37" s="17"/>
      <c r="E37" s="17">
        <v>1</v>
      </c>
      <c r="F37" s="17"/>
      <c r="G37" s="17">
        <v>1</v>
      </c>
      <c r="H37" s="17"/>
      <c r="I37" s="17"/>
      <c r="J37" s="17">
        <v>2</v>
      </c>
      <c r="K37" s="17" t="s">
        <v>34</v>
      </c>
      <c r="L37" s="17" t="s">
        <v>30</v>
      </c>
      <c r="M37" s="17" t="s">
        <v>32</v>
      </c>
      <c r="N37" s="18" t="s">
        <v>49</v>
      </c>
      <c r="O37" s="17" t="s">
        <v>32</v>
      </c>
      <c r="P37" s="18">
        <v>40</v>
      </c>
      <c r="Q37" s="17">
        <v>0.6</v>
      </c>
      <c r="R37" s="17">
        <v>0.6</v>
      </c>
      <c r="S37" s="17">
        <v>0.8</v>
      </c>
    </row>
    <row r="38" spans="1:19" x14ac:dyDescent="0.2">
      <c r="A38" s="17" t="s">
        <v>198</v>
      </c>
      <c r="B38" s="17" t="s">
        <v>451</v>
      </c>
      <c r="C38" s="17" t="s">
        <v>63</v>
      </c>
      <c r="D38" s="17"/>
      <c r="E38" s="17"/>
      <c r="F38" s="17">
        <v>1</v>
      </c>
      <c r="G38" s="17"/>
      <c r="H38" s="17"/>
      <c r="I38" s="17"/>
      <c r="J38" s="17">
        <v>1</v>
      </c>
      <c r="K38" s="17" t="s">
        <v>34</v>
      </c>
      <c r="L38" s="17">
        <v>0</v>
      </c>
      <c r="M38" s="17">
        <v>0</v>
      </c>
      <c r="N38" s="18" t="s">
        <v>24</v>
      </c>
      <c r="O38" s="17" t="s">
        <v>24</v>
      </c>
      <c r="P38" s="18">
        <v>100</v>
      </c>
      <c r="Q38" s="17">
        <v>0</v>
      </c>
      <c r="R38" s="17">
        <v>0</v>
      </c>
      <c r="S38" s="17">
        <v>1</v>
      </c>
    </row>
    <row r="39" spans="1:19" x14ac:dyDescent="0.2">
      <c r="A39" s="17" t="s">
        <v>87</v>
      </c>
      <c r="B39" s="17" t="s">
        <v>452</v>
      </c>
      <c r="C39" s="17" t="s">
        <v>62</v>
      </c>
      <c r="D39" s="17"/>
      <c r="E39" s="17"/>
      <c r="F39" s="17"/>
      <c r="G39" s="17">
        <v>1</v>
      </c>
      <c r="H39" s="17"/>
      <c r="I39" s="17"/>
      <c r="J39" s="17">
        <v>1</v>
      </c>
      <c r="K39" s="17" t="s">
        <v>34</v>
      </c>
      <c r="L39" s="17" t="s">
        <v>49</v>
      </c>
      <c r="M39" s="17" t="s">
        <v>39</v>
      </c>
      <c r="N39" s="18" t="s">
        <v>30</v>
      </c>
      <c r="O39" s="17" t="s">
        <v>32</v>
      </c>
      <c r="P39" s="18">
        <v>50</v>
      </c>
      <c r="Q39" s="17">
        <v>0.2</v>
      </c>
      <c r="R39" s="17">
        <v>0.3</v>
      </c>
      <c r="S39" s="17">
        <v>0.5</v>
      </c>
    </row>
    <row r="40" spans="1:19" x14ac:dyDescent="0.2">
      <c r="A40" s="17" t="s">
        <v>320</v>
      </c>
      <c r="B40" s="17" t="s">
        <v>453</v>
      </c>
      <c r="C40" s="17" t="s">
        <v>63</v>
      </c>
      <c r="D40" s="17"/>
      <c r="E40" s="17"/>
      <c r="F40" s="17"/>
      <c r="G40" s="17"/>
      <c r="H40" s="17">
        <v>1</v>
      </c>
      <c r="I40" s="17"/>
      <c r="J40" s="17">
        <v>1</v>
      </c>
      <c r="K40" s="17" t="s">
        <v>34</v>
      </c>
      <c r="L40" s="17">
        <v>0</v>
      </c>
      <c r="M40" s="17">
        <v>0</v>
      </c>
      <c r="N40" s="18" t="s">
        <v>24</v>
      </c>
      <c r="O40" s="17" t="s">
        <v>24</v>
      </c>
      <c r="P40" s="18">
        <v>100</v>
      </c>
      <c r="Q40" s="17">
        <v>0</v>
      </c>
      <c r="R40" s="17">
        <v>0</v>
      </c>
      <c r="S40" s="17">
        <v>1</v>
      </c>
    </row>
    <row r="41" spans="1:19" x14ac:dyDescent="0.2">
      <c r="A41" s="17" t="s">
        <v>65</v>
      </c>
      <c r="B41" s="17" t="s">
        <v>454</v>
      </c>
      <c r="C41" s="17" t="s">
        <v>62</v>
      </c>
      <c r="D41" s="17"/>
      <c r="E41" s="17"/>
      <c r="F41" s="17"/>
      <c r="G41" s="17"/>
      <c r="H41" s="17"/>
      <c r="I41" s="17">
        <v>1</v>
      </c>
      <c r="J41" s="17">
        <v>1</v>
      </c>
      <c r="K41" s="17" t="s">
        <v>34</v>
      </c>
      <c r="L41" s="17">
        <v>0</v>
      </c>
      <c r="M41" s="17">
        <v>0</v>
      </c>
      <c r="N41" s="18" t="s">
        <v>24</v>
      </c>
      <c r="O41" s="17" t="s">
        <v>24</v>
      </c>
      <c r="P41" s="18">
        <v>100</v>
      </c>
      <c r="Q41" s="17">
        <v>0</v>
      </c>
      <c r="R41" s="17">
        <v>0</v>
      </c>
      <c r="S41" s="17">
        <v>1</v>
      </c>
    </row>
    <row r="42" spans="1:19" x14ac:dyDescent="0.2">
      <c r="A42" s="17" t="s">
        <v>67</v>
      </c>
      <c r="B42" s="17" t="s">
        <v>455</v>
      </c>
      <c r="C42" s="17" t="s">
        <v>62</v>
      </c>
      <c r="D42" s="17"/>
      <c r="E42" s="17"/>
      <c r="F42" s="17">
        <v>1</v>
      </c>
      <c r="G42" s="17"/>
      <c r="H42" s="17"/>
      <c r="I42" s="17"/>
      <c r="J42" s="17">
        <v>1</v>
      </c>
      <c r="K42" s="17" t="s">
        <v>34</v>
      </c>
      <c r="L42" s="17">
        <v>0</v>
      </c>
      <c r="M42" s="17">
        <v>0</v>
      </c>
      <c r="N42" s="18" t="s">
        <v>24</v>
      </c>
      <c r="O42" s="17" t="s">
        <v>24</v>
      </c>
      <c r="P42" s="18">
        <v>100</v>
      </c>
      <c r="Q42" s="17">
        <v>0</v>
      </c>
      <c r="R42" s="17">
        <v>0</v>
      </c>
      <c r="S42" s="17">
        <v>1</v>
      </c>
    </row>
    <row r="43" spans="1:19" x14ac:dyDescent="0.2">
      <c r="A43" s="17" t="s">
        <v>199</v>
      </c>
      <c r="B43" s="17" t="s">
        <v>456</v>
      </c>
      <c r="C43" s="17" t="s">
        <v>62</v>
      </c>
      <c r="D43" s="17"/>
      <c r="E43" s="17"/>
      <c r="F43" s="17"/>
      <c r="G43" s="17"/>
      <c r="H43" s="17"/>
      <c r="I43" s="17">
        <v>1</v>
      </c>
      <c r="J43" s="17">
        <v>1</v>
      </c>
      <c r="K43" s="17" t="s">
        <v>34</v>
      </c>
      <c r="L43" s="17">
        <v>0</v>
      </c>
      <c r="M43" s="17">
        <v>0</v>
      </c>
      <c r="N43" s="18" t="s">
        <v>24</v>
      </c>
      <c r="O43" s="17" t="s">
        <v>24</v>
      </c>
      <c r="P43" s="18">
        <v>100</v>
      </c>
      <c r="Q43" s="17">
        <v>0</v>
      </c>
      <c r="R43" s="17">
        <v>0</v>
      </c>
      <c r="S43" s="17">
        <v>1</v>
      </c>
    </row>
    <row r="44" spans="1:19" x14ac:dyDescent="0.2">
      <c r="A44" s="17" t="s">
        <v>457</v>
      </c>
      <c r="B44" s="17" t="s">
        <v>458</v>
      </c>
      <c r="C44" s="17" t="s">
        <v>63</v>
      </c>
      <c r="D44" s="17"/>
      <c r="E44" s="17"/>
      <c r="F44" s="17"/>
      <c r="G44" s="17"/>
      <c r="H44" s="17"/>
      <c r="I44" s="17">
        <v>1</v>
      </c>
      <c r="J44" s="17">
        <v>1</v>
      </c>
      <c r="K44" s="17" t="s">
        <v>34</v>
      </c>
      <c r="L44" s="17">
        <v>0</v>
      </c>
      <c r="M44" s="17">
        <v>0</v>
      </c>
      <c r="N44" s="18" t="s">
        <v>24</v>
      </c>
      <c r="O44" s="17" t="s">
        <v>24</v>
      </c>
      <c r="P44" s="18">
        <v>100</v>
      </c>
      <c r="Q44" s="17">
        <v>0</v>
      </c>
      <c r="R44" s="17">
        <v>0</v>
      </c>
      <c r="S44" s="17">
        <v>1</v>
      </c>
    </row>
    <row r="45" spans="1:19" x14ac:dyDescent="0.2">
      <c r="A45" s="17" t="s">
        <v>70</v>
      </c>
      <c r="B45" s="17" t="s">
        <v>459</v>
      </c>
      <c r="C45" s="17" t="s">
        <v>62</v>
      </c>
      <c r="D45" s="17"/>
      <c r="E45" s="17">
        <v>1</v>
      </c>
      <c r="F45" s="17">
        <v>1</v>
      </c>
      <c r="G45" s="17"/>
      <c r="H45" s="17"/>
      <c r="I45" s="17"/>
      <c r="J45" s="17">
        <v>2</v>
      </c>
      <c r="K45" s="17" t="s">
        <v>34</v>
      </c>
      <c r="L45" s="17">
        <v>0</v>
      </c>
      <c r="M45" s="17">
        <v>0</v>
      </c>
      <c r="N45" s="18" t="s">
        <v>24</v>
      </c>
      <c r="O45" s="17" t="s">
        <v>24</v>
      </c>
      <c r="P45" s="18">
        <v>100</v>
      </c>
      <c r="Q45" s="17">
        <v>0</v>
      </c>
      <c r="R45" s="17">
        <v>0</v>
      </c>
      <c r="S45" s="17">
        <v>2</v>
      </c>
    </row>
    <row r="46" spans="1:19" s="3" customFormat="1" x14ac:dyDescent="0.2">
      <c r="A46" s="17" t="s">
        <v>200</v>
      </c>
      <c r="B46" s="17" t="s">
        <v>460</v>
      </c>
      <c r="C46" s="17" t="s">
        <v>62</v>
      </c>
      <c r="D46" s="17"/>
      <c r="E46" s="17"/>
      <c r="F46" s="17"/>
      <c r="G46" s="17"/>
      <c r="H46" s="17"/>
      <c r="I46" s="17">
        <v>1</v>
      </c>
      <c r="J46" s="17">
        <v>1</v>
      </c>
      <c r="K46" s="17" t="s">
        <v>34</v>
      </c>
      <c r="L46" s="17">
        <v>0</v>
      </c>
      <c r="M46" s="17">
        <v>0</v>
      </c>
      <c r="N46" s="18" t="s">
        <v>24</v>
      </c>
      <c r="O46" s="17" t="s">
        <v>24</v>
      </c>
      <c r="P46" s="18">
        <v>100</v>
      </c>
      <c r="Q46" s="17">
        <v>0</v>
      </c>
      <c r="R46" s="17">
        <v>0</v>
      </c>
      <c r="S46" s="17">
        <v>1</v>
      </c>
    </row>
    <row r="47" spans="1:19" s="3" customFormat="1" x14ac:dyDescent="0.2">
      <c r="A47" s="17" t="s">
        <v>201</v>
      </c>
      <c r="B47" s="17" t="s">
        <v>461</v>
      </c>
      <c r="C47" s="17" t="s">
        <v>62</v>
      </c>
      <c r="D47" s="17"/>
      <c r="E47" s="17"/>
      <c r="F47" s="17"/>
      <c r="G47" s="17"/>
      <c r="H47" s="17">
        <v>1</v>
      </c>
      <c r="I47" s="17"/>
      <c r="J47" s="17">
        <v>1</v>
      </c>
      <c r="K47" s="17" t="s">
        <v>34</v>
      </c>
      <c r="L47" s="17">
        <v>0</v>
      </c>
      <c r="M47" s="17">
        <v>0</v>
      </c>
      <c r="N47" s="18" t="s">
        <v>24</v>
      </c>
      <c r="O47" s="17" t="s">
        <v>24</v>
      </c>
      <c r="P47" s="18">
        <v>100</v>
      </c>
      <c r="Q47" s="17">
        <v>0</v>
      </c>
      <c r="R47" s="17">
        <v>0</v>
      </c>
      <c r="S47" s="17">
        <v>1</v>
      </c>
    </row>
    <row r="48" spans="1:19" s="3" customFormat="1" x14ac:dyDescent="0.2">
      <c r="A48" s="17" t="s">
        <v>68</v>
      </c>
      <c r="B48" s="17" t="s">
        <v>462</v>
      </c>
      <c r="C48" s="17" t="s">
        <v>62</v>
      </c>
      <c r="D48" s="17"/>
      <c r="E48" s="17">
        <v>1</v>
      </c>
      <c r="F48" s="17"/>
      <c r="G48" s="17">
        <v>1</v>
      </c>
      <c r="H48" s="17"/>
      <c r="I48" s="17"/>
      <c r="J48" s="17">
        <v>2</v>
      </c>
      <c r="K48" s="17" t="s">
        <v>34</v>
      </c>
      <c r="L48" s="17" t="s">
        <v>49</v>
      </c>
      <c r="M48" s="17" t="s">
        <v>39</v>
      </c>
      <c r="N48" s="18" t="s">
        <v>30</v>
      </c>
      <c r="O48" s="17" t="s">
        <v>32</v>
      </c>
      <c r="P48" s="18">
        <v>50</v>
      </c>
      <c r="Q48" s="17">
        <v>0.4</v>
      </c>
      <c r="R48" s="17">
        <v>0.6</v>
      </c>
      <c r="S48" s="17">
        <v>1</v>
      </c>
    </row>
    <row r="49" spans="1:19" s="3" customFormat="1" x14ac:dyDescent="0.2">
      <c r="A49" s="17" t="s">
        <v>95</v>
      </c>
      <c r="B49" s="17" t="s">
        <v>463</v>
      </c>
      <c r="C49" s="17" t="s">
        <v>63</v>
      </c>
      <c r="D49" s="17"/>
      <c r="E49" s="17">
        <v>1</v>
      </c>
      <c r="F49" s="17"/>
      <c r="G49" s="17"/>
      <c r="H49" s="17"/>
      <c r="I49" s="17"/>
      <c r="J49" s="17">
        <v>1</v>
      </c>
      <c r="K49" s="17" t="s">
        <v>34</v>
      </c>
      <c r="L49" s="17">
        <v>0</v>
      </c>
      <c r="M49" s="17">
        <v>0</v>
      </c>
      <c r="N49" s="18" t="s">
        <v>24</v>
      </c>
      <c r="O49" s="17" t="s">
        <v>24</v>
      </c>
      <c r="P49" s="18">
        <v>100</v>
      </c>
      <c r="Q49" s="17">
        <v>0</v>
      </c>
      <c r="R49" s="17">
        <v>0</v>
      </c>
      <c r="S49" s="17">
        <v>1</v>
      </c>
    </row>
    <row r="50" spans="1:19" x14ac:dyDescent="0.2">
      <c r="A50" s="17" t="s">
        <v>278</v>
      </c>
      <c r="B50" s="17" t="s">
        <v>464</v>
      </c>
      <c r="C50" s="17" t="s">
        <v>63</v>
      </c>
      <c r="D50" s="17"/>
      <c r="E50" s="17"/>
      <c r="F50" s="17"/>
      <c r="G50" s="17"/>
      <c r="H50" s="17"/>
      <c r="I50" s="17">
        <v>1</v>
      </c>
      <c r="J50" s="17">
        <v>1</v>
      </c>
      <c r="K50" s="17" t="s">
        <v>34</v>
      </c>
      <c r="L50" s="17">
        <v>0</v>
      </c>
      <c r="M50" s="17">
        <v>0</v>
      </c>
      <c r="N50" s="18" t="s">
        <v>24</v>
      </c>
      <c r="O50" s="17" t="s">
        <v>24</v>
      </c>
      <c r="P50" s="18">
        <v>100</v>
      </c>
      <c r="Q50" s="17">
        <v>0</v>
      </c>
      <c r="R50" s="17">
        <v>0</v>
      </c>
      <c r="S50" s="17">
        <v>1</v>
      </c>
    </row>
    <row r="51" spans="1:19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5"/>
      <c r="O51" s="14"/>
      <c r="P51" s="15"/>
      <c r="Q51" s="14"/>
      <c r="R51" s="14"/>
      <c r="S51" s="16">
        <f>SUM(S2:S50)</f>
        <v>50.599999999999994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481A-1464-401B-8265-9E46B18451AD}">
  <dimension ref="A1:C15"/>
  <sheetViews>
    <sheetView workbookViewId="0">
      <selection activeCell="E14" sqref="E14"/>
    </sheetView>
  </sheetViews>
  <sheetFormatPr baseColWidth="10" defaultRowHeight="15" x14ac:dyDescent="0.25"/>
  <cols>
    <col min="1" max="1" width="16.42578125" customWidth="1"/>
    <col min="2" max="2" width="85.7109375" customWidth="1"/>
    <col min="3" max="3" width="15.42578125" customWidth="1"/>
  </cols>
  <sheetData>
    <row r="1" spans="1:3" x14ac:dyDescent="0.25">
      <c r="A1" s="44" t="s">
        <v>202</v>
      </c>
      <c r="B1" s="44" t="s">
        <v>203</v>
      </c>
      <c r="C1" s="44" t="s">
        <v>204</v>
      </c>
    </row>
    <row r="2" spans="1:3" x14ac:dyDescent="0.25">
      <c r="A2" s="9" t="s">
        <v>254</v>
      </c>
      <c r="B2" s="9" t="s">
        <v>255</v>
      </c>
      <c r="C2" s="10">
        <v>1800</v>
      </c>
    </row>
    <row r="3" spans="1:3" x14ac:dyDescent="0.25">
      <c r="A3" s="11" t="s">
        <v>205</v>
      </c>
      <c r="B3" s="11" t="s">
        <v>257</v>
      </c>
      <c r="C3" s="12">
        <v>1716</v>
      </c>
    </row>
    <row r="4" spans="1:3" x14ac:dyDescent="0.25">
      <c r="A4" s="9" t="s">
        <v>258</v>
      </c>
      <c r="B4" s="9" t="s">
        <v>259</v>
      </c>
      <c r="C4" s="10">
        <v>6160</v>
      </c>
    </row>
    <row r="5" spans="1:3" x14ac:dyDescent="0.25">
      <c r="A5" s="11" t="s">
        <v>260</v>
      </c>
      <c r="B5" s="11" t="s">
        <v>261</v>
      </c>
      <c r="C5" s="12">
        <v>3080</v>
      </c>
    </row>
    <row r="6" spans="1:3" x14ac:dyDescent="0.25">
      <c r="A6" s="9" t="s">
        <v>262</v>
      </c>
      <c r="B6" s="9" t="s">
        <v>263</v>
      </c>
      <c r="C6" s="10">
        <v>1056</v>
      </c>
    </row>
    <row r="7" spans="1:3" x14ac:dyDescent="0.25">
      <c r="A7" s="11" t="s">
        <v>161</v>
      </c>
      <c r="B7" s="11" t="s">
        <v>264</v>
      </c>
      <c r="C7" s="12">
        <v>-96.8</v>
      </c>
    </row>
    <row r="8" spans="1:3" x14ac:dyDescent="0.25">
      <c r="A8" s="9" t="s">
        <v>162</v>
      </c>
      <c r="B8" s="9" t="s">
        <v>264</v>
      </c>
      <c r="C8" s="10">
        <v>-5000</v>
      </c>
    </row>
    <row r="9" spans="1:3" x14ac:dyDescent="0.25">
      <c r="A9" s="11" t="s">
        <v>265</v>
      </c>
      <c r="B9" s="11" t="s">
        <v>266</v>
      </c>
      <c r="C9" s="12">
        <v>84000.82</v>
      </c>
    </row>
    <row r="10" spans="1:3" x14ac:dyDescent="0.25">
      <c r="A10" s="9" t="s">
        <v>267</v>
      </c>
      <c r="B10" s="9" t="s">
        <v>268</v>
      </c>
      <c r="C10" s="10">
        <v>2820</v>
      </c>
    </row>
    <row r="11" spans="1:3" x14ac:dyDescent="0.25">
      <c r="A11" s="11" t="s">
        <v>269</v>
      </c>
      <c r="B11" s="11" t="s">
        <v>270</v>
      </c>
      <c r="C11" s="12">
        <v>5028</v>
      </c>
    </row>
    <row r="12" spans="1:3" x14ac:dyDescent="0.25">
      <c r="A12" s="9" t="s">
        <v>271</v>
      </c>
      <c r="B12" s="9" t="s">
        <v>270</v>
      </c>
      <c r="C12" s="10">
        <v>9000</v>
      </c>
    </row>
    <row r="13" spans="1:3" x14ac:dyDescent="0.25">
      <c r="A13" s="47" t="s">
        <v>272</v>
      </c>
      <c r="B13" s="47" t="s">
        <v>270</v>
      </c>
      <c r="C13" s="48">
        <v>10000</v>
      </c>
    </row>
    <row r="14" spans="1:3" x14ac:dyDescent="0.25">
      <c r="A14" s="49" t="s">
        <v>0</v>
      </c>
      <c r="B14" s="49"/>
      <c r="C14" s="50">
        <f>SUBTOTAL(109,Tabla2[Imp.cob.aplic.])</f>
        <v>119564.02</v>
      </c>
    </row>
    <row r="15" spans="1:3" x14ac:dyDescent="0.25">
      <c r="C15" s="1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8998-E82D-4BB8-899C-079FF28A92BB}">
  <dimension ref="A1:C19"/>
  <sheetViews>
    <sheetView topLeftCell="A7" workbookViewId="0">
      <selection activeCell="B22" sqref="B22:C22"/>
    </sheetView>
  </sheetViews>
  <sheetFormatPr baseColWidth="10" defaultRowHeight="15" x14ac:dyDescent="0.25"/>
  <cols>
    <col min="2" max="2" width="50.140625" customWidth="1"/>
    <col min="3" max="3" width="13.28515625" customWidth="1"/>
  </cols>
  <sheetData>
    <row r="1" spans="1:3" x14ac:dyDescent="0.25">
      <c r="A1" s="53" t="s">
        <v>331</v>
      </c>
      <c r="B1" s="53" t="s">
        <v>203</v>
      </c>
      <c r="C1" s="54" t="s">
        <v>332</v>
      </c>
    </row>
    <row r="2" spans="1:3" x14ac:dyDescent="0.25">
      <c r="A2" s="51" t="s">
        <v>254</v>
      </c>
      <c r="B2" s="51" t="s">
        <v>333</v>
      </c>
      <c r="C2" s="10">
        <v>2471.2399999999998</v>
      </c>
    </row>
    <row r="3" spans="1:3" x14ac:dyDescent="0.25">
      <c r="A3" s="52" t="s">
        <v>334</v>
      </c>
      <c r="B3" s="52" t="s">
        <v>335</v>
      </c>
      <c r="C3" s="12">
        <v>30800</v>
      </c>
    </row>
    <row r="4" spans="1:3" x14ac:dyDescent="0.25">
      <c r="A4" s="51" t="s">
        <v>336</v>
      </c>
      <c r="B4" s="51" t="s">
        <v>337</v>
      </c>
      <c r="C4" s="10">
        <v>22704</v>
      </c>
    </row>
    <row r="5" spans="1:3" x14ac:dyDescent="0.25">
      <c r="A5" s="52" t="s">
        <v>338</v>
      </c>
      <c r="B5" s="52" t="s">
        <v>339</v>
      </c>
      <c r="C5" s="12">
        <v>2250</v>
      </c>
    </row>
    <row r="6" spans="1:3" x14ac:dyDescent="0.25">
      <c r="A6" s="51" t="s">
        <v>265</v>
      </c>
      <c r="B6" s="51" t="s">
        <v>340</v>
      </c>
      <c r="C6" s="10">
        <v>119153.79</v>
      </c>
    </row>
    <row r="7" spans="1:3" x14ac:dyDescent="0.25">
      <c r="A7" s="52" t="s">
        <v>269</v>
      </c>
      <c r="B7" s="52" t="s">
        <v>341</v>
      </c>
      <c r="C7" s="12">
        <v>5000</v>
      </c>
    </row>
    <row r="8" spans="1:3" x14ac:dyDescent="0.25">
      <c r="A8" s="51" t="s">
        <v>269</v>
      </c>
      <c r="B8" s="51" t="s">
        <v>342</v>
      </c>
      <c r="C8" s="10">
        <v>-1156.0899999999999</v>
      </c>
    </row>
    <row r="9" spans="1:3" x14ac:dyDescent="0.25">
      <c r="A9" s="52" t="s">
        <v>271</v>
      </c>
      <c r="B9" s="52" t="s">
        <v>341</v>
      </c>
      <c r="C9" s="12">
        <v>6000</v>
      </c>
    </row>
    <row r="10" spans="1:3" x14ac:dyDescent="0.25">
      <c r="A10" s="51" t="s">
        <v>272</v>
      </c>
      <c r="B10" s="51" t="s">
        <v>341</v>
      </c>
      <c r="C10" s="10">
        <v>10000</v>
      </c>
    </row>
    <row r="11" spans="1:3" x14ac:dyDescent="0.25">
      <c r="A11" s="52" t="s">
        <v>272</v>
      </c>
      <c r="B11" s="52" t="s">
        <v>342</v>
      </c>
      <c r="C11" s="12">
        <v>-3698.59</v>
      </c>
    </row>
    <row r="12" spans="1:3" x14ac:dyDescent="0.25">
      <c r="A12" s="51" t="s">
        <v>343</v>
      </c>
      <c r="B12" s="51" t="s">
        <v>344</v>
      </c>
      <c r="C12" s="10">
        <v>16335</v>
      </c>
    </row>
    <row r="13" spans="1:3" x14ac:dyDescent="0.25">
      <c r="A13" s="52" t="s">
        <v>345</v>
      </c>
      <c r="B13" s="52" t="s">
        <v>346</v>
      </c>
      <c r="C13" s="12">
        <v>9000</v>
      </c>
    </row>
    <row r="14" spans="1:3" x14ac:dyDescent="0.25">
      <c r="A14" s="51" t="s">
        <v>347</v>
      </c>
      <c r="B14" s="51" t="s">
        <v>348</v>
      </c>
      <c r="C14" s="10">
        <v>10000</v>
      </c>
    </row>
    <row r="15" spans="1:3" x14ac:dyDescent="0.25">
      <c r="A15" s="52" t="s">
        <v>349</v>
      </c>
      <c r="B15" s="52" t="s">
        <v>348</v>
      </c>
      <c r="C15" s="12">
        <v>9950</v>
      </c>
    </row>
    <row r="16" spans="1:3" x14ac:dyDescent="0.25">
      <c r="A16" s="51" t="s">
        <v>350</v>
      </c>
      <c r="B16" s="51" t="s">
        <v>351</v>
      </c>
      <c r="C16" s="10">
        <v>23100</v>
      </c>
    </row>
    <row r="17" spans="1:3" x14ac:dyDescent="0.25">
      <c r="A17" s="52" t="s">
        <v>350</v>
      </c>
      <c r="B17" s="52" t="s">
        <v>352</v>
      </c>
      <c r="C17" s="12">
        <v>4142.6000000000004</v>
      </c>
    </row>
    <row r="18" spans="1:3" x14ac:dyDescent="0.25">
      <c r="A18" s="55" t="s">
        <v>353</v>
      </c>
      <c r="B18" s="55" t="s">
        <v>354</v>
      </c>
      <c r="C18" s="56">
        <v>3000</v>
      </c>
    </row>
    <row r="19" spans="1:3" x14ac:dyDescent="0.25">
      <c r="A19" s="55" t="s">
        <v>0</v>
      </c>
      <c r="B19" s="55"/>
      <c r="C19" s="57">
        <f>SUBTOTAL(109,Tabla3[Imp. aplic.])</f>
        <v>269051.95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4373-1CED-4D79-B185-AFC3F61878CE}">
  <dimension ref="A1:C37"/>
  <sheetViews>
    <sheetView topLeftCell="A10" workbookViewId="0">
      <selection activeCell="B38" sqref="B38"/>
    </sheetView>
  </sheetViews>
  <sheetFormatPr baseColWidth="10" defaultRowHeight="15" x14ac:dyDescent="0.25"/>
  <cols>
    <col min="1" max="1" width="17.85546875" customWidth="1"/>
    <col min="2" max="2" width="53.28515625" customWidth="1"/>
    <col min="3" max="3" width="19.5703125" customWidth="1"/>
  </cols>
  <sheetData>
    <row r="1" spans="1:3" x14ac:dyDescent="0.25">
      <c r="A1" s="73" t="s">
        <v>331</v>
      </c>
      <c r="B1" s="74" t="s">
        <v>203</v>
      </c>
      <c r="C1" s="74" t="s">
        <v>332</v>
      </c>
    </row>
    <row r="2" spans="1:3" x14ac:dyDescent="0.25">
      <c r="A2" s="75" t="s">
        <v>254</v>
      </c>
      <c r="B2" s="76" t="s">
        <v>465</v>
      </c>
      <c r="C2" s="77">
        <v>1800</v>
      </c>
    </row>
    <row r="3" spans="1:3" x14ac:dyDescent="0.25">
      <c r="A3" s="78" t="s">
        <v>336</v>
      </c>
      <c r="B3" s="79" t="s">
        <v>466</v>
      </c>
      <c r="C3" s="80">
        <v>22704</v>
      </c>
    </row>
    <row r="4" spans="1:3" x14ac:dyDescent="0.25">
      <c r="A4" s="75" t="s">
        <v>467</v>
      </c>
      <c r="B4" s="76" t="s">
        <v>468</v>
      </c>
      <c r="C4" s="77">
        <v>4400</v>
      </c>
    </row>
    <row r="5" spans="1:3" x14ac:dyDescent="0.25">
      <c r="A5" s="78" t="s">
        <v>469</v>
      </c>
      <c r="B5" s="79" t="s">
        <v>470</v>
      </c>
      <c r="C5" s="80">
        <v>704</v>
      </c>
    </row>
    <row r="6" spans="1:3" x14ac:dyDescent="0.25">
      <c r="A6" s="75" t="s">
        <v>471</v>
      </c>
      <c r="B6" s="76" t="s">
        <v>472</v>
      </c>
      <c r="C6" s="77">
        <v>440</v>
      </c>
    </row>
    <row r="7" spans="1:3" x14ac:dyDescent="0.25">
      <c r="A7" s="78" t="s">
        <v>473</v>
      </c>
      <c r="B7" s="79" t="s">
        <v>474</v>
      </c>
      <c r="C7" s="80">
        <v>363.63</v>
      </c>
    </row>
    <row r="8" spans="1:3" x14ac:dyDescent="0.25">
      <c r="A8" s="75" t="s">
        <v>475</v>
      </c>
      <c r="B8" s="76" t="s">
        <v>476</v>
      </c>
      <c r="C8" s="77">
        <v>19899</v>
      </c>
    </row>
    <row r="9" spans="1:3" x14ac:dyDescent="0.25">
      <c r="A9" s="78" t="s">
        <v>475</v>
      </c>
      <c r="B9" s="79" t="s">
        <v>477</v>
      </c>
      <c r="C9" s="80">
        <v>19899</v>
      </c>
    </row>
    <row r="10" spans="1:3" x14ac:dyDescent="0.25">
      <c r="A10" s="75" t="s">
        <v>478</v>
      </c>
      <c r="B10" s="76" t="s">
        <v>479</v>
      </c>
      <c r="C10" s="77">
        <v>1090.9100000000001</v>
      </c>
    </row>
    <row r="11" spans="1:3" x14ac:dyDescent="0.25">
      <c r="A11" s="78" t="s">
        <v>480</v>
      </c>
      <c r="B11" s="79" t="s">
        <v>481</v>
      </c>
      <c r="C11" s="80">
        <v>363.63</v>
      </c>
    </row>
    <row r="12" spans="1:3" x14ac:dyDescent="0.25">
      <c r="A12" s="75" t="s">
        <v>482</v>
      </c>
      <c r="B12" s="76" t="s">
        <v>483</v>
      </c>
      <c r="C12" s="77">
        <v>9681.65</v>
      </c>
    </row>
    <row r="13" spans="1:3" x14ac:dyDescent="0.25">
      <c r="A13" s="78" t="s">
        <v>484</v>
      </c>
      <c r="B13" s="79" t="s">
        <v>485</v>
      </c>
      <c r="C13" s="80">
        <v>1670</v>
      </c>
    </row>
    <row r="14" spans="1:3" x14ac:dyDescent="0.25">
      <c r="A14" s="75" t="s">
        <v>265</v>
      </c>
      <c r="B14" s="76" t="s">
        <v>486</v>
      </c>
      <c r="C14" s="77">
        <v>-7668.32</v>
      </c>
    </row>
    <row r="15" spans="1:3" x14ac:dyDescent="0.25">
      <c r="A15" s="78" t="s">
        <v>265</v>
      </c>
      <c r="B15" s="79" t="s">
        <v>487</v>
      </c>
      <c r="C15" s="80">
        <v>-1231.79</v>
      </c>
    </row>
    <row r="16" spans="1:3" x14ac:dyDescent="0.25">
      <c r="A16" s="75" t="s">
        <v>265</v>
      </c>
      <c r="B16" s="76" t="s">
        <v>486</v>
      </c>
      <c r="C16" s="77">
        <v>-198.67</v>
      </c>
    </row>
    <row r="17" spans="1:3" x14ac:dyDescent="0.25">
      <c r="A17" s="78" t="s">
        <v>269</v>
      </c>
      <c r="B17" s="79" t="s">
        <v>488</v>
      </c>
      <c r="C17" s="80">
        <v>-2.96</v>
      </c>
    </row>
    <row r="18" spans="1:3" x14ac:dyDescent="0.25">
      <c r="A18" s="75" t="s">
        <v>271</v>
      </c>
      <c r="B18" s="76" t="s">
        <v>488</v>
      </c>
      <c r="C18" s="77">
        <v>-6000</v>
      </c>
    </row>
    <row r="19" spans="1:3" x14ac:dyDescent="0.25">
      <c r="A19" s="78" t="s">
        <v>272</v>
      </c>
      <c r="B19" s="79" t="s">
        <v>488</v>
      </c>
      <c r="C19" s="80">
        <v>-4378.5600000000004</v>
      </c>
    </row>
    <row r="20" spans="1:3" x14ac:dyDescent="0.25">
      <c r="A20" s="75" t="s">
        <v>347</v>
      </c>
      <c r="B20" s="76" t="s">
        <v>489</v>
      </c>
      <c r="C20" s="77">
        <v>10000</v>
      </c>
    </row>
    <row r="21" spans="1:3" x14ac:dyDescent="0.25">
      <c r="A21" s="78" t="s">
        <v>347</v>
      </c>
      <c r="B21" s="79" t="s">
        <v>490</v>
      </c>
      <c r="C21" s="80">
        <v>-5403.87</v>
      </c>
    </row>
    <row r="22" spans="1:3" x14ac:dyDescent="0.25">
      <c r="A22" s="75" t="s">
        <v>349</v>
      </c>
      <c r="B22" s="76" t="s">
        <v>489</v>
      </c>
      <c r="C22" s="77">
        <v>10000</v>
      </c>
    </row>
    <row r="23" spans="1:3" x14ac:dyDescent="0.25">
      <c r="A23" s="78" t="s">
        <v>349</v>
      </c>
      <c r="B23" s="79" t="s">
        <v>490</v>
      </c>
      <c r="C23" s="80">
        <v>-3088.25</v>
      </c>
    </row>
    <row r="24" spans="1:3" x14ac:dyDescent="0.25">
      <c r="A24" s="75" t="s">
        <v>350</v>
      </c>
      <c r="B24" s="76" t="s">
        <v>491</v>
      </c>
      <c r="C24" s="77">
        <v>3418.8</v>
      </c>
    </row>
    <row r="25" spans="1:3" x14ac:dyDescent="0.25">
      <c r="A25" s="78" t="s">
        <v>492</v>
      </c>
      <c r="B25" s="79" t="s">
        <v>493</v>
      </c>
      <c r="C25" s="80">
        <v>8800</v>
      </c>
    </row>
    <row r="26" spans="1:3" x14ac:dyDescent="0.25">
      <c r="A26" s="75" t="s">
        <v>494</v>
      </c>
      <c r="B26" s="76" t="s">
        <v>495</v>
      </c>
      <c r="C26" s="77">
        <v>77426.8</v>
      </c>
    </row>
    <row r="27" spans="1:3" x14ac:dyDescent="0.25">
      <c r="A27" s="78" t="s">
        <v>496</v>
      </c>
      <c r="B27" s="79" t="s">
        <v>497</v>
      </c>
      <c r="C27" s="80">
        <v>4000</v>
      </c>
    </row>
    <row r="28" spans="1:3" x14ac:dyDescent="0.25">
      <c r="A28" s="75" t="s">
        <v>498</v>
      </c>
      <c r="B28" s="76" t="s">
        <v>497</v>
      </c>
      <c r="C28" s="77">
        <v>3975</v>
      </c>
    </row>
    <row r="29" spans="1:3" x14ac:dyDescent="0.25">
      <c r="A29" s="78" t="s">
        <v>499</v>
      </c>
      <c r="B29" s="79" t="s">
        <v>500</v>
      </c>
      <c r="C29" s="80">
        <v>20809</v>
      </c>
    </row>
    <row r="30" spans="1:3" x14ac:dyDescent="0.25">
      <c r="A30" s="75" t="s">
        <v>501</v>
      </c>
      <c r="B30" s="76" t="s">
        <v>502</v>
      </c>
      <c r="C30" s="77">
        <v>52100</v>
      </c>
    </row>
    <row r="31" spans="1:3" x14ac:dyDescent="0.25">
      <c r="A31" s="78" t="s">
        <v>503</v>
      </c>
      <c r="B31" s="79" t="s">
        <v>504</v>
      </c>
      <c r="C31" s="80">
        <v>4000</v>
      </c>
    </row>
    <row r="32" spans="1:3" ht="15.75" thickBot="1" x14ac:dyDescent="0.3">
      <c r="A32" s="75" t="s">
        <v>503</v>
      </c>
      <c r="B32" s="76" t="s">
        <v>505</v>
      </c>
      <c r="C32" s="77">
        <v>-307.73</v>
      </c>
    </row>
    <row r="33" spans="1:3" ht="15.75" thickTop="1" x14ac:dyDescent="0.25">
      <c r="A33" s="81" t="s">
        <v>0</v>
      </c>
      <c r="B33" s="82"/>
      <c r="C33" s="83">
        <v>249265.27</v>
      </c>
    </row>
    <row r="37" spans="1:3" x14ac:dyDescent="0.25">
      <c r="B37" s="64" t="s">
        <v>506</v>
      </c>
      <c r="C37" s="84">
        <f>Tabla3[[#Totals],[Imp. aplic.]]+Tabla2[[#Totals],[Imp.cob.aplic.]]+C33</f>
        <v>637881.24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9760-F3F2-498F-B6F5-EA1124D9198B}">
  <dimension ref="A1:C9"/>
  <sheetViews>
    <sheetView workbookViewId="0">
      <selection activeCell="F12" sqref="F12"/>
    </sheetView>
  </sheetViews>
  <sheetFormatPr baseColWidth="10" defaultRowHeight="15" x14ac:dyDescent="0.25"/>
  <cols>
    <col min="1" max="1" width="16.42578125" customWidth="1"/>
    <col min="2" max="2" width="74.42578125" customWidth="1"/>
    <col min="3" max="3" width="15.42578125" customWidth="1"/>
  </cols>
  <sheetData>
    <row r="1" spans="1:3" x14ac:dyDescent="0.25">
      <c r="A1" s="59" t="s">
        <v>202</v>
      </c>
      <c r="B1" s="59" t="s">
        <v>203</v>
      </c>
      <c r="C1" s="59" t="s">
        <v>204</v>
      </c>
    </row>
    <row r="2" spans="1:3" x14ac:dyDescent="0.25">
      <c r="A2" s="60" t="s">
        <v>363</v>
      </c>
      <c r="B2" s="60" t="s">
        <v>364</v>
      </c>
      <c r="C2" s="62">
        <v>637.5</v>
      </c>
    </row>
    <row r="3" spans="1:3" s="46" customFormat="1" x14ac:dyDescent="0.25">
      <c r="A3" s="61" t="s">
        <v>355</v>
      </c>
      <c r="B3" s="61" t="s">
        <v>356</v>
      </c>
      <c r="C3" s="63">
        <v>331.5</v>
      </c>
    </row>
    <row r="4" spans="1:3" x14ac:dyDescent="0.25">
      <c r="A4" s="60" t="s">
        <v>357</v>
      </c>
      <c r="B4" s="60" t="s">
        <v>358</v>
      </c>
      <c r="C4" s="62">
        <v>280.5</v>
      </c>
    </row>
    <row r="5" spans="1:3" s="46" customFormat="1" x14ac:dyDescent="0.25">
      <c r="A5" s="61" t="s">
        <v>359</v>
      </c>
      <c r="B5" s="61" t="s">
        <v>360</v>
      </c>
      <c r="C5" s="63">
        <v>433.5</v>
      </c>
    </row>
    <row r="6" spans="1:3" x14ac:dyDescent="0.25">
      <c r="A6" s="60" t="s">
        <v>361</v>
      </c>
      <c r="B6" s="60" t="s">
        <v>362</v>
      </c>
      <c r="C6" s="62">
        <v>4258.5</v>
      </c>
    </row>
    <row r="7" spans="1:3" s="46" customFormat="1" x14ac:dyDescent="0.25">
      <c r="A7" s="61" t="s">
        <v>365</v>
      </c>
      <c r="B7" s="61" t="s">
        <v>366</v>
      </c>
      <c r="C7" s="63">
        <v>382.5</v>
      </c>
    </row>
    <row r="8" spans="1:3" x14ac:dyDescent="0.25">
      <c r="A8" s="60" t="s">
        <v>369</v>
      </c>
      <c r="B8" s="60" t="s">
        <v>370</v>
      </c>
      <c r="C8" s="62">
        <v>255</v>
      </c>
    </row>
    <row r="9" spans="1:3" x14ac:dyDescent="0.25">
      <c r="A9" s="45" t="s">
        <v>0</v>
      </c>
      <c r="B9" s="45"/>
      <c r="C9" s="66">
        <f>SUBTOTAL(109,Tabla46[Imp.cob.aplic.])</f>
        <v>6579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1B3A-C177-44FA-9AC7-CDDCAC61D0C2}">
  <dimension ref="A1:C4"/>
  <sheetViews>
    <sheetView workbookViewId="0">
      <selection activeCell="B12" sqref="B12"/>
    </sheetView>
  </sheetViews>
  <sheetFormatPr baseColWidth="10" defaultRowHeight="15" x14ac:dyDescent="0.25"/>
  <cols>
    <col min="1" max="1" width="16.42578125" customWidth="1"/>
    <col min="2" max="2" width="74.42578125" customWidth="1"/>
    <col min="3" max="3" width="15.42578125" customWidth="1"/>
  </cols>
  <sheetData>
    <row r="1" spans="1:3" x14ac:dyDescent="0.25">
      <c r="A1" s="59" t="s">
        <v>202</v>
      </c>
      <c r="B1" s="59" t="s">
        <v>203</v>
      </c>
      <c r="C1" s="59" t="s">
        <v>204</v>
      </c>
    </row>
    <row r="2" spans="1:3" x14ac:dyDescent="0.25">
      <c r="A2" s="60" t="s">
        <v>363</v>
      </c>
      <c r="B2" s="60" t="s">
        <v>367</v>
      </c>
      <c r="C2" s="62">
        <v>510</v>
      </c>
    </row>
    <row r="3" spans="1:3" s="46" customFormat="1" x14ac:dyDescent="0.25">
      <c r="A3" s="61" t="s">
        <v>365</v>
      </c>
      <c r="B3" s="61" t="s">
        <v>368</v>
      </c>
      <c r="C3" s="63">
        <v>340</v>
      </c>
    </row>
    <row r="4" spans="1:3" x14ac:dyDescent="0.25">
      <c r="A4" s="45" t="s">
        <v>0</v>
      </c>
      <c r="B4" s="45"/>
      <c r="C4" s="58">
        <f>SUBTOTAL(109,Tabla468[Imp.cob.aplic.])</f>
        <v>850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3379F-936D-4889-B3CB-59B6B6E946D1}">
  <dimension ref="A1:C9"/>
  <sheetViews>
    <sheetView tabSelected="1" workbookViewId="0">
      <selection activeCell="D18" sqref="D18"/>
    </sheetView>
  </sheetViews>
  <sheetFormatPr baseColWidth="10" defaultRowHeight="15" x14ac:dyDescent="0.25"/>
  <cols>
    <col min="1" max="1" width="16.5703125" customWidth="1"/>
    <col min="2" max="2" width="50.28515625" customWidth="1"/>
    <col min="3" max="3" width="13.85546875" customWidth="1"/>
  </cols>
  <sheetData>
    <row r="1" spans="1:3" x14ac:dyDescent="0.25">
      <c r="A1" s="73" t="s">
        <v>331</v>
      </c>
      <c r="B1" s="74" t="s">
        <v>203</v>
      </c>
      <c r="C1" s="85" t="s">
        <v>332</v>
      </c>
    </row>
    <row r="2" spans="1:3" x14ac:dyDescent="0.25">
      <c r="A2" s="75" t="s">
        <v>363</v>
      </c>
      <c r="B2" s="76" t="s">
        <v>507</v>
      </c>
      <c r="C2" s="77">
        <v>204</v>
      </c>
    </row>
    <row r="3" spans="1:3" x14ac:dyDescent="0.25">
      <c r="A3" s="78" t="s">
        <v>365</v>
      </c>
      <c r="B3" s="79" t="s">
        <v>508</v>
      </c>
      <c r="C3" s="80">
        <v>153</v>
      </c>
    </row>
    <row r="4" spans="1:3" x14ac:dyDescent="0.25">
      <c r="A4" s="75" t="s">
        <v>509</v>
      </c>
      <c r="B4" s="76" t="s">
        <v>510</v>
      </c>
      <c r="C4" s="77">
        <v>481.95</v>
      </c>
    </row>
    <row r="5" spans="1:3" ht="15.75" thickBot="1" x14ac:dyDescent="0.3">
      <c r="A5" s="78" t="s">
        <v>511</v>
      </c>
      <c r="B5" s="79" t="s">
        <v>512</v>
      </c>
      <c r="C5" s="80">
        <v>299.7</v>
      </c>
    </row>
    <row r="6" spans="1:3" ht="15.75" thickTop="1" x14ac:dyDescent="0.25">
      <c r="A6" s="81" t="s">
        <v>0</v>
      </c>
      <c r="B6" s="82"/>
      <c r="C6" s="86">
        <v>1138.6500000000001</v>
      </c>
    </row>
    <row r="9" spans="1:3" x14ac:dyDescent="0.25">
      <c r="B9" s="64" t="s">
        <v>513</v>
      </c>
      <c r="C9" s="65">
        <f>C6+Tabla46[[#Totals],[Imp.cob.aplic.]]+Tabla468[[#Totals],[Imp.cob.aplic.]]</f>
        <v>8567.65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dcterms:created xsi:type="dcterms:W3CDTF">2019-07-03T07:15:54Z</dcterms:created>
  <dcterms:modified xsi:type="dcterms:W3CDTF">2026-05-27T12:05:19Z</dcterms:modified>
</cp:coreProperties>
</file>