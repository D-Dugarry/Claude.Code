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F890FFDA-773C-44A2-961A-4069766B4CC6}" xr6:coauthVersionLast="47" xr6:coauthVersionMax="47" xr10:uidLastSave="{00000000-0000-0000-0000-000000000000}"/>
  <bookViews>
    <workbookView xWindow="-108" yWindow="-108" windowWidth="23256" windowHeight="13896" tabRatio="796" firstSheet="3" activeTab="7" xr2:uid="{00000000-000D-0000-FFFF-FFFF00000000}"/>
  </bookViews>
  <sheets>
    <sheet name="Tesis" sheetId="9" r:id="rId1"/>
    <sheet name="Sexenios" sheetId="10" r:id="rId2"/>
    <sheet name="Ingresos investigación 2023" sheetId="21" r:id="rId3"/>
    <sheet name="Ingresos investigación 2024" sheetId="23" r:id="rId4"/>
    <sheet name="Ingresos investigación 2025" sheetId="25" r:id="rId5"/>
    <sheet name="Ingresos formación 2023" sheetId="22" r:id="rId6"/>
    <sheet name="Ingresos formación 2024" sheetId="24" r:id="rId7"/>
    <sheet name="Ingresos formación 2025" sheetId="26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6" l="1"/>
  <c r="C59" i="25"/>
  <c r="C5" i="24"/>
  <c r="C7" i="22"/>
  <c r="C52" i="23"/>
  <c r="C51" i="21"/>
  <c r="S30" i="10"/>
  <c r="S32" i="9" l="1"/>
</calcChain>
</file>

<file path=xl/sharedStrings.xml><?xml version="1.0" encoding="utf-8"?>
<sst xmlns="http://schemas.openxmlformats.org/spreadsheetml/2006/main" count="1027" uniqueCount="453">
  <si>
    <t>Total</t>
  </si>
  <si>
    <t>33.30.2T.00.01</t>
  </si>
  <si>
    <t>33.30.2T.00.03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</si>
  <si>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</si>
  <si>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</si>
  <si>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</si>
  <si>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</si>
  <si>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</si>
  <si>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</si>
  <si>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</si>
  <si>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</si>
  <si>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</si>
  <si>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</si>
  <si>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</si>
  <si>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</si>
  <si>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</si>
  <si>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</si>
  <si>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</si>
  <si>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</si>
  <si>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</si>
  <si>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</si>
  <si>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</si>
  <si>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</si>
  <si>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</si>
  <si>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</si>
  <si>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</si>
  <si>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</si>
  <si>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</si>
  <si>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DOCTORADO EN BIOLOGÍA EXPERIMENTAL Y APLICADA </t>
  </si>
  <si>
    <t>B164 </t>
  </si>
  <si>
    <t>FISIOLOGÍA, GENÉTICA Y MICROBIOLOGÍA </t>
  </si>
  <si>
    <t>10.20</t>
  </si>
  <si>
    <t>10.14</t>
  </si>
  <si>
    <t>U044 </t>
  </si>
  <si>
    <t>ADM. FACULTAD DE CIENCIAS DE LA SALUD </t>
  </si>
  <si>
    <t>DOCTORADO EN CIENCIAS DE LA SALUD </t>
  </si>
  <si>
    <t>U066 </t>
  </si>
  <si>
    <t>ADM. I.U. FÍSICA APLICADA A LA CIENCIAS Y A LAS TECNOLOGIAS </t>
  </si>
  <si>
    <t>DOCTORADO EN FÍSICA APLICADA A LAS CIENCIAS Y LAS TECNOLOGÍAS </t>
  </si>
  <si>
    <t>B178 </t>
  </si>
  <si>
    <t>ÓPTICA, FARMACOLOGÍA Y ANATOMÍA </t>
  </si>
  <si>
    <t>B178</t>
  </si>
  <si>
    <t>25416455Y </t>
  </si>
  <si>
    <t>21516909H </t>
  </si>
  <si>
    <t>21472440P </t>
  </si>
  <si>
    <t>73996071B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</si>
  <si>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</si>
  <si>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</si>
  <si>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</si>
  <si>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</si>
  <si>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</si>
  <si>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</si>
  <si>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</si>
  <si>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</si>
  <si>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</si>
  <si>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</si>
  <si>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</si>
  <si>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</si>
  <si>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</si>
  <si>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</si>
  <si>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52771150L</t>
  </si>
  <si>
    <t>21396421G</t>
  </si>
  <si>
    <t>77562996G</t>
  </si>
  <si>
    <t>29168744Y</t>
  </si>
  <si>
    <t>52723265C</t>
  </si>
  <si>
    <t>73995818B</t>
  </si>
  <si>
    <t>48536273V</t>
  </si>
  <si>
    <t>21676502Z</t>
  </si>
  <si>
    <t>48325137K</t>
  </si>
  <si>
    <t>21508379K</t>
  </si>
  <si>
    <t>25416455Y</t>
  </si>
  <si>
    <t>33491671Z</t>
  </si>
  <si>
    <t>20015950Q</t>
  </si>
  <si>
    <t>21983769R</t>
  </si>
  <si>
    <t>21456187Q</t>
  </si>
  <si>
    <t>21456823P</t>
  </si>
  <si>
    <t>33.30.6C.00.19</t>
  </si>
  <si>
    <t>33.30.6C.00.23</t>
  </si>
  <si>
    <t>33.30.6C.00.24</t>
  </si>
  <si>
    <t>Kutsyr , Oksana </t>
  </si>
  <si>
    <t>EFFECTS OF ENVIRONMENTAL FACTORS AND NEUROPROTECTIVE COMPOUNDS ON OXIDATIVE STRESS AND INFLAMMATION IN RETINAL NEURODEGENERATIVE DISEASES </t>
  </si>
  <si>
    <t>11/09/2020 </t>
  </si>
  <si>
    <t>Martínez Abad, Antonio </t>
  </si>
  <si>
    <t>DESARROLLO Y VALIDACIÓN DE NUEVOS ALGORITMOS DE DETECCIÓN Y PREDICCIÓN DE LA PROGESIÓN DE LA PATOLOGÍA ECTÁSICA DE LA CÓRNEA </t>
  </si>
  <si>
    <t>22/11/2019 </t>
  </si>
  <si>
    <t>48344600A</t>
  </si>
  <si>
    <t>73996071B</t>
  </si>
  <si>
    <t>21472440P</t>
  </si>
  <si>
    <t>Bataille , Laurent Guy François </t>
  </si>
  <si>
    <t>21/06/2021 </t>
  </si>
  <si>
    <t>Bilbao Porta, Carmen </t>
  </si>
  <si>
    <t>EVALUACIÓN Y CARACTERIZACIÓN DE DISFUNCIONES OCULOMOTORAS Y ANOMALÍAS BINOCULARES EN DIFERENTES GRUPOS DE POBLACIÓN INFANTIL. </t>
  </si>
  <si>
    <t>12/07/2021 </t>
  </si>
  <si>
    <t>33.30.6C.00.42</t>
  </si>
  <si>
    <t>33.30.6P.00.16</t>
  </si>
  <si>
    <t>Cód. org. aplic.</t>
  </si>
  <si>
    <t>Descripción justificante</t>
  </si>
  <si>
    <t>33.30.6C.00.46</t>
  </si>
  <si>
    <t>EVALUACIÓN DE LA VISIÓN DEL COLOR MEDIANTE TESTS PSICOFÍSICOS DE DIAGNÓSTICO</t>
  </si>
  <si>
    <t>33.30.6C.00.54</t>
  </si>
  <si>
    <t>Caracterización geométrica del tejido conjuntivo escleral y su relación con el estudio de miopía </t>
  </si>
  <si>
    <t>U022 </t>
  </si>
  <si>
    <t>ADM. FACULTAD DE CIENCIAS </t>
  </si>
  <si>
    <t>DOCTORADO EN CIENCIAS EXPERIMENTALES Y BIOSANITARIAS </t>
  </si>
  <si>
    <t>Comíns Palacios, Patricia María </t>
  </si>
  <si>
    <t>Influencia de la percepción visual en las habilidades motrices, lectoras y el rendimiento matemático de los niños de educación Infantil, Primaria y ESO </t>
  </si>
  <si>
    <t>01/07/2022 </t>
  </si>
  <si>
    <t>Canto Cerdan, Mario </t>
  </si>
  <si>
    <t>Elaboración y validación de un cuestionario sobre sintomatología asociada a las disfunciones visuales. </t>
  </si>
  <si>
    <t>11/03/2022 </t>
  </si>
  <si>
    <t>22003995X </t>
  </si>
  <si>
    <t>52754474H </t>
  </si>
  <si>
    <t>Tomás López, María Baralida </t>
  </si>
  <si>
    <t>Estudio e implementación de técnicas subpíxel para medidas no invasivas </t>
  </si>
  <si>
    <t>10/06/2022 </t>
  </si>
  <si>
    <t>33491671Z </t>
  </si>
  <si>
    <t>Hamida Abdelkader, Sidi Mohamed </t>
  </si>
  <si>
    <t>OPTIMIZACIÓN Y PREDICCIÓN DEL RESULTADO DE DISTINTAS OPCIONES DETRATAMIENTO EN QUERATOCONO </t>
  </si>
  <si>
    <t>27/06/2022 </t>
  </si>
  <si>
    <t>I Y Huraibat , Khalil </t>
  </si>
  <si>
    <t>Advanced digital reproduction of goniochromatic objects </t>
  </si>
  <si>
    <t>16/05/2022 </t>
  </si>
  <si>
    <t>Gil Casas, Maria Amparo </t>
  </si>
  <si>
    <t>CARACTERIZACIÓN DE LA FUNCIÓN BINOCULAR Y OCULOMOTORA EN SUJETOS CON ESCLEROSIS MÚLTIPLE </t>
  </si>
  <si>
    <t>21/12/2021 </t>
  </si>
  <si>
    <t>20047589F </t>
  </si>
  <si>
    <t>COD DEP</t>
  </si>
  <si>
    <t>Imp.cob.aplic.</t>
  </si>
  <si>
    <t>33.30.6P.00.22</t>
  </si>
  <si>
    <t>33.30.6C.00.53</t>
  </si>
  <si>
    <t>33.30.6C.00.58</t>
  </si>
  <si>
    <t>33.30.6C.00.62</t>
  </si>
  <si>
    <t>33.30.6C.00.65</t>
  </si>
  <si>
    <t>EVALUACIÓN DEL COLOR MEDIANTE TESTS PSICOFÍSICOS DE DIAGNÓSTICO</t>
  </si>
  <si>
    <t>33.30.6C.00.76</t>
  </si>
  <si>
    <t>33.30.6P.00.21</t>
  </si>
  <si>
    <t>33.30.6P.00.24</t>
  </si>
  <si>
    <t>Cantó Sancho, Natalia </t>
  </si>
  <si>
    <t>Traducción, adaptación cultural y validación del cuestionario de Síndrome Visual Informático (CVS-Q©) al italiano, portugués, persa, eslovaco, chino e inglés </t>
  </si>
  <si>
    <t>12/09/2023 </t>
  </si>
  <si>
    <t>Artime Ríos, Eva María </t>
  </si>
  <si>
    <t>EFECTO DEL EMPLEO DE LA HISTORIA CLÍNICA DIGITAL EN LA SINTOMATOLOGÍA OCULAR Y VISUAL DE TRABAJADORES SANITARIOS </t>
  </si>
  <si>
    <t>29/09/2023 </t>
  </si>
  <si>
    <t>I.U. FÍSICA APLICADA A LA CIENCIAS Y A LAS TECNOLOGIAS (10.20) </t>
  </si>
  <si>
    <t>Hernández Rodríguez, Carlos Javier </t>
  </si>
  <si>
    <t>EFECTIVIDAD DE LA TERAPIA VISUAL BASADA EN APRENDIZAJE PERCEPTUAL Y TERAPIA DICÓPTICA PARA LA REHABILITACIÓN DE LA AMBLIOPÍA EN PACIENTES RESISTENTES AL PARCHE </t>
  </si>
  <si>
    <t>07/07/2023 </t>
  </si>
  <si>
    <t>Sánchez García, Alicia </t>
  </si>
  <si>
    <t>CARACTERIZACIÓN DEL EFECTO ORTOQUERATOLÓGICO EN MIOPÍA E HIPERMETROPÍA: FACTORES DE PREDICCIÓN DEL ÉXITO DEL RESULTADO </t>
  </si>
  <si>
    <t>18/11/2022 </t>
  </si>
  <si>
    <t>Bayón Rozas, Sergio </t>
  </si>
  <si>
    <t>Image measurement and interpretation based on goniometrical textural data </t>
  </si>
  <si>
    <t>19/12/2022 </t>
  </si>
  <si>
    <t>Milla Barrios, Miriam </t>
  </si>
  <si>
    <t>Ambliopía estrábica: Caraterización y manejo clínico </t>
  </si>
  <si>
    <t>23/12/2022 </t>
  </si>
  <si>
    <t>Fukumitsu Miyamoto, Hideki </t>
  </si>
  <si>
    <t>OPTIMIZACIÓN DEL CÁLCULO DE LENTES INTRAOCULARES EN BASE A LA CARACTERIZACIÓN DE LA POSICIÓN ANATÓMICA DE LA LENTE MEDIANTE REFLECTOMETRÍA ÓPTICA DE BAJA COHERENCIA </t>
  </si>
  <si>
    <t>31/03/2023 </t>
  </si>
  <si>
    <t>15421218V</t>
  </si>
  <si>
    <t>Vivos</t>
  </si>
  <si>
    <t>Consultoría regulatoria en evaluaciones clínicas de productos sanitarios</t>
  </si>
  <si>
    <t>S</t>
  </si>
  <si>
    <t>SCIENTIFIC ARTICLE IMPACT FACTOR 1 "EAGLE EYE LUTEIN20"</t>
  </si>
  <si>
    <t>ASESORAMIENTO CIENTÍFICO, ASISTENCIA CLÍNICA Y ELABORACIÓN DE ARTÍCULOS. ABRIL 2023</t>
  </si>
  <si>
    <t>ASESORIAMIENTO CIENTÍFICO, ASISTENCIA CLÍNICA Y ELABORACIÓN DE ARTÍCULOS. JUNIO 2023</t>
  </si>
  <si>
    <t>ASESORAMIENTO CIENTÍFICO ASISTENCIA CLÍNICA Y ELABORACIÓN DE ARTÍCULOS. MARZO 2023</t>
  </si>
  <si>
    <t>ASESORIAMIENTO CIENTÍFICO, ASISTENCIA CLÍNICA Y ELABORACIÓN DE ARTÍCULOS. JULIO 2023</t>
  </si>
  <si>
    <t>ASESORAMIENTO CIENTÍFICO ASISTENCIA CLÍNICA Y ELABORACIÓN DE ARTÍCULOS. FEBRERO 2023</t>
  </si>
  <si>
    <t>ASESORAMIENTO CIENTÍFICO, ASISTENCIA CLÍNICA Y ELABORACIÓN DE ARTÍCULOS.  NOVIEMBRE 2023</t>
  </si>
  <si>
    <t>ASESORAMIENTO CIENTÍFICO, ASISTENCIA CLÍNICA Y ELABORACIÓN DE ARTÍCULOS. AGOSTO 2023</t>
  </si>
  <si>
    <t>ASESORAMIENTO CIENTÍFICO, ASISTENCIA CLÍNICA Y ELABORACIÓN DE ARTÍCULOS. SEPTIEMBRE 2023</t>
  </si>
  <si>
    <t>ASESORAMIENTO CIENTÍFICO ASISTENCIA CLÍNICA Y ELABORACIÓN DE ARTÍCULOS. DICIEMBRE 2022</t>
  </si>
  <si>
    <t>ASESORAMIENTO CIENTÍFICO ASISTENCIA CLÍNICA Y ELABORACIÓN DE ARTÍCULOS. ENERO 2023</t>
  </si>
  <si>
    <t>ASESORAMIENTO CIENTÍFICO, ASISTENCIA CLÍNICA Y ELABORACIÓN DE ARTÍCULOS, MAYO 2023</t>
  </si>
  <si>
    <t>ASESORAMIENTO CIENTÍFICO, ASISTENCIA CLÍNICA Y ELABORACIÓN DE ARTÍCULOS. OCTUBRE 2023</t>
  </si>
  <si>
    <t xml:space="preserve">Other goods and services item WP3 Software optimisation consultancy Acuerdo de consultoría (referencia nº VALCASADO1-20I) Firmado en el ámbito del proyecto titulado "Virtual eye model system for personalised refractive surgery treatment" - 'VEMoS' ('action') Grant Agreement number: 878748 - VEMoS-h2020-EIC-FTI-2018-2020 Finalización de la consultoría en las siguientes tareas: Tarea 3.3. Estudio a gran escala de ojos no tratados. Inicio y finalización de la consultoría. </t>
  </si>
  <si>
    <t>Other goods and services item WP2 Software optimisation consultancy Acuerdo de consultoría (referencia nº VALCASADO1-20I) Firmado en el ámbito del proyecto titulado "Virtual eye model system for personalised refractive surgery treatment" - 'VEMoS' ('action') Grant Agreement number: 878748 -VEMoS-h2020-EIC-FTI-2018-2020 Finalización de la consultoría en las siguientes tareas: Tarea 2.3. Actualización e integración del programa VEMOS Tarea 2.4. Optimización de la simulación de ojos no tratados</t>
  </si>
  <si>
    <t xml:space="preserve">Other goods and services item WP3 Software optimisation consultancy Acuerdo de consultoría referencia nº VALCASADO1-20I) Firmado en el ámbito del proyecto titulado "Virtual eye model system for personalised refractive surgery treatment" - 'VEMoS' ('action') Grant Agreement number: 878748 - VEMoSh2020-EIC-FTI-2018-2020 Finalización de la consultoría en las siguientes tareas: Tarea 3.4. Estudio piloto a gran escala de ojos  tratados. </t>
  </si>
  <si>
    <t>ESTUDIO MEDIANTE MATLAB DE CLASIFICACIÓN Y ASIGNACIÓN DE TONOS A LOS COLORES DEKTON Nº pedido:2555373 Pago final: 50%</t>
  </si>
  <si>
    <t>Formación Teórico-Práctica Astigmatismo: Adaptación de lentes de contacto en directo. 23 y 24 marzo. AEC-Cornellá, Barcelona. PO 3004503811</t>
  </si>
  <si>
    <t xml:space="preserve">Fase 1: "Desarrollo de una herramienta de control de calidad basado en un sistema de medida en líquido" Fase 1.2. Perfeccionamiento de las herramientas Fase 1.3.  Implementación a I'iCrom (software propio) Fase 1.4- Validación final </t>
  </si>
  <si>
    <t>INICIO DEL ESTUDIO CLÍNICO "EVALUACIÓN CLÍNICA DE LAS LENTES DE CONTACTO DE ORTOQUERATOLOGÍA ALEXA AR EN POBLACIÓN MIOPE"</t>
  </si>
  <si>
    <t>Fase de finalización del estudio clínico: "EVALUACIÓN CLÍNICA DE LAS LENTES DE CONTACTO DE ORTOQUERATOLOGÍA ALEXA AR EN POBLACIÓN MIOPE".</t>
  </si>
  <si>
    <t>"EVALUACIÓN CLÍNICA DE LAS LENTES DE CONTACTO DE ORTOQUERATOLOGÍA ALEXA AR EN POBLACIÓN MIOPE"</t>
  </si>
  <si>
    <t>Realización de la revisión sistemática "Efficacy of presbyopia-correcting contact lenses: a systematic review"</t>
  </si>
  <si>
    <t>33.30.6C.00.66</t>
  </si>
  <si>
    <t>Pruebas de evaluación del estado de la visión del color mediante tests psicofísicos de diagnóstico</t>
  </si>
  <si>
    <t>Segundo pago para realizar un estudio epidemiológico para comparar los cambios en la prevalencia de problemas del sueño y del estado de ánimo en una muestra de usuarios de dispositivos digitales tras el consumo de un producto alimenticio</t>
  </si>
  <si>
    <t>33.30.6C.00.80</t>
  </si>
  <si>
    <t>Preparación del artículo para envío a revista científica titulado "Long term safety and efficacy of a foldable iris-fixated phakic intraocular lens for the correction of myopia"</t>
  </si>
  <si>
    <t>33.30.6C.00.81</t>
  </si>
  <si>
    <t>EVALUACIÓN DE LA VISIÓN DEL COLOR MEDIANTE TEST PSICOFÍSICOS DE DIAGNÓSTICO</t>
  </si>
  <si>
    <t>33.30.6C.00.82</t>
  </si>
  <si>
    <t>Evaluación de la visión del color mediante test psicofísicos de diagnóstico</t>
  </si>
  <si>
    <t>33.30.6C.00.83</t>
  </si>
  <si>
    <t xml:space="preserve">Evaluación del color mediante test psicofísicos de diagnósitico. </t>
  </si>
  <si>
    <t>33.30.6C.00.84</t>
  </si>
  <si>
    <t>Evaluación del color mediante tests psicofísicos de diagnóstico</t>
  </si>
  <si>
    <t>33.30.6C.00.85</t>
  </si>
  <si>
    <t>33.30.6C.00.87</t>
  </si>
  <si>
    <t>Evaluación del color mediante test psicofísicos de diagnóstico</t>
  </si>
  <si>
    <t>33.30.6C.00.88</t>
  </si>
  <si>
    <t>Evaluación de la visión mediante tests psicofísicos de diagnóstico</t>
  </si>
  <si>
    <t>33.30.6C.00.89</t>
  </si>
  <si>
    <t>33.30.6C.00.91</t>
  </si>
  <si>
    <t>EVALUACIÓN DE LA VISIÓN DEL COLOR MEDIANTE TEST PSICOFÍSICOS DE DIAGNÓSTICO. PACIENTE PAU MORENO NAVARRO</t>
  </si>
  <si>
    <t>33.30.6C.00.92</t>
  </si>
  <si>
    <t xml:space="preserve">PREPARACIÓN DEL ARTÍCULO PARA EUROPEAN JOURNAL OF OPHTHALMOLOGY TITULADO "SHORT-TERM CLINICAL OUTCOMES OF CATARACT SURGERY WITH IMPLANTATION OF THE AT LISA TRI TORIC 939M/MP INTRAOCULAR LENS USING AN OPTIMIZED PREOPERATIVE AND INTRAO"  </t>
  </si>
  <si>
    <t>33.30.6C.00.93</t>
  </si>
  <si>
    <t>Preparación del artículo para la revista científica sobre los resultados clínicos del implante de la lente intraocular Synergy Toric.</t>
  </si>
  <si>
    <t>33.30.6C.00.94</t>
  </si>
  <si>
    <t>PO. 4500030235 COMPARISON OF THE OPTICAL RING SECTION CORRESPONDING TO DIAMETER HIGHER THAN 4 MM OF THE MINI WELL READY AND THE MONOFOCAL MINI 4 READY IOLS</t>
  </si>
  <si>
    <t>33.30.6C.00.96</t>
  </si>
  <si>
    <t>EVALUACIÓN DEL COLOR MEDIANTE TESTS PSICOFÍSICOS DE DIAGNÓSTICO .  PACIENTE: ANGEL LUIS MORENO GUTIÉRREZ</t>
  </si>
  <si>
    <t>33.30.6C.00.99</t>
  </si>
  <si>
    <t>33.30.6C.01.00</t>
  </si>
  <si>
    <t>PREPARACIÓN DEL ARTÍCULO PARA ENVÍO A REVISTA CIENTÍFICA TITULADO " ANALYSIS OF THE VISUAL FUNCTION WITH THE CONTINUOUS TRANSITIONAL FOCUS INTRAOCULAR LENS PRECIZON PRESBYOPIC"</t>
  </si>
  <si>
    <t>33.30.6C.01.01</t>
  </si>
  <si>
    <t xml:space="preserve">PID2019-104980GB-I00/107265GB-I00/108192GB-I00/109627GB-I00/111208GB-I00/105542RB-I00/106230RB-I00/106601RB-I00 </t>
  </si>
  <si>
    <t xml:space="preserve">AICO/2021/013/062/093/130/132/163/165 </t>
  </si>
  <si>
    <t>DEVOLUCIÓN DE INGRESOS_MODELO 047_Nº de liquidación: 46/2023/RAS/10200/1_Número de justificante: 047/1/002359944_Nº de referencia:047/1/002359944</t>
  </si>
  <si>
    <t>33.30.6P.00.23</t>
  </si>
  <si>
    <t xml:space="preserve">CIDEXG/2022/45  CIDEXG/2022/60  </t>
  </si>
  <si>
    <t>DEVOLUCIÓN DE INGRESOS_MODELO 047_CIACO 2021 EN 2022_Nº de liquidación:46/2023/RAS/10205/1 047/_Número de justificante:047/1/002362793_Nº de referencia:047/1/002362793</t>
  </si>
  <si>
    <t xml:space="preserve">CIAICO/2021/019/074/124/158/167/173/221/279/305/328/335/339/345/348 </t>
  </si>
  <si>
    <t>JORNADA OPTOINNOVA 2023. INSCRIPCIÓN DANIEL MONSÁLVEZ ROMÍN</t>
  </si>
  <si>
    <t xml:space="preserve">Plan_GH96 Curso_2022-23 Emitido_2022-23 -JORNADA OPTOINNOVA 2023 </t>
  </si>
  <si>
    <t>DEVOLUCIÓN TASAS NÓMINA REMESA Nº2023DTR200234/RDTINVERSA EN :2023EXPADM1253</t>
  </si>
  <si>
    <t>JORNADA OPTOINNOVA 2023. INSCRIPCIÓN ANA TAUSTE FRANCÉS</t>
  </si>
  <si>
    <t xml:space="preserve">Plan_9164 Curso_2022-23 Emitido_2022-23 - MÁSTER EN TECNOLOGÍA DEL COLOR PARA EL SECTOR AUTOMOCIÓN </t>
  </si>
  <si>
    <t>U044</t>
  </si>
  <si>
    <t>ADM. FACULTAD DE CIENCIAS DE LA SALUD</t>
  </si>
  <si>
    <t>DOCTORADO EN CIENCIAS DE LA SALUD</t>
  </si>
  <si>
    <t>Sánchez Brau, María del Mar</t>
  </si>
  <si>
    <t>Análisis de los factores determinantes del síndrome visual informático y la influencia del diseño de lentes progresivas para su prevención</t>
  </si>
  <si>
    <t>10/09/2024</t>
  </si>
  <si>
    <t>Director de tesis</t>
  </si>
  <si>
    <t>ÓPTICA, FARMACOLOGÍA Y ANATOMÍA</t>
  </si>
  <si>
    <t>20</t>
  </si>
  <si>
    <t>20047589F</t>
  </si>
  <si>
    <t>10</t>
  </si>
  <si>
    <t>21459318L</t>
  </si>
  <si>
    <t>21516909H</t>
  </si>
  <si>
    <t>22003995X</t>
  </si>
  <si>
    <t>52754474H</t>
  </si>
  <si>
    <t>Org. aplic.</t>
  </si>
  <si>
    <t>Imp. aplic.</t>
  </si>
  <si>
    <t>Consultoría regulatoria en evaluación clínica de producto sanitario (anillos de tensión capsular).</t>
  </si>
  <si>
    <t>"Predicted accuracy of postoperative spherical equivalent after cataract surgery using Barrett Universal II and IOLMaster 700 biometry" &amp; "Evaluation of perception of photic phenomena through diffractive multifocal intraocular lens designs by its virtual implantation"</t>
  </si>
  <si>
    <t>ASESORAMIENTO CIENTÍFICO, ASISTENCIA CLÍNICA Y ELABORACIÓN DE ARTÍCULOS. DICIEMBRE 2023</t>
  </si>
  <si>
    <t>Asesoramiento científico, asistencia clínica y elaboración de artículos científicos.  Enero 2024</t>
  </si>
  <si>
    <t>Asesoramiento científico, asistencia clínica y elaboración de artículos científicos.  Febrero 2024</t>
  </si>
  <si>
    <t>Asesoramiento científico, asistencia clínica y elaboración de artículos científicos.  Marzo 2024</t>
  </si>
  <si>
    <t>Asesoramiento científico, asistencia clínica y elaboración de artículos científicos.  Abril 2024</t>
  </si>
  <si>
    <t>Asesoramiento científico, asistencia clínica y elaboración de artículos científicos.  Mayo 2024</t>
  </si>
  <si>
    <t>Asesoramiento científico, asistencia clínica y elaboración de artículos científicos.  JUNIO 2024</t>
  </si>
  <si>
    <t>Asesoramiento científico, asistencia clínica y elaboración de artículos científicos. JULIO 2024</t>
  </si>
  <si>
    <t>Asesoramiento científico, asistencia clínica y elaboración de artículos científicos. AGOSTO 2024</t>
  </si>
  <si>
    <t>Asesoramiento científico, asistencia clínica y elaboración de artículos científicos. SEPTIEMBRE 2024</t>
  </si>
  <si>
    <t>Asesoramiento científico, asistencia clínica y elaboración de artículos científicos. OCTUBRE  2024</t>
  </si>
  <si>
    <t>ASESORÍA CLÍNICA Y DE INVESTIGACIÓN A NIVEL DE TERAPIA VISUAL, CONTROL DE MIOPÍA Y SUPERFICIE OCULAR EN EL ÁMBITO ASISTENCIAL DEL DEPARTAMENTO DE OFTALMOLOGÍA DE UN HOSPITAL NOVIEMBRE 2024 CONTRATO "IMQO1-24T"- INVESTIGADOR RESPONSABLE: DAVID PIÑERO LLORENS</t>
  </si>
  <si>
    <t>INFORME TÉCNICO SOBRE DEFINICIÓN, MANEJO Y BIOMARCADORES DE OJO SECO</t>
  </si>
  <si>
    <t>33.30.6C.00.90</t>
  </si>
  <si>
    <t>CONSULTANCY SERVICES</t>
  </si>
  <si>
    <t>33.30.6C.00.95</t>
  </si>
  <si>
    <t>Realización de una presentación en el pasado congreso de la SEO en Sevilla (Septiembre 2023) y dos webinars sobre control de miopía (Noviembre 2023)</t>
  </si>
  <si>
    <t>Realización de una presentación en el congreso OPTOM24 celebrado en Madrid (12 abril 2024).</t>
  </si>
  <si>
    <t>33.30.6C.00.97</t>
  </si>
  <si>
    <t>Artículo científico titulado "Characterization of vault with two models of posterior chamber phakic intraocular lenses".</t>
  </si>
  <si>
    <t>33.30.6C.01.02</t>
  </si>
  <si>
    <t>PO 4500033662 COMPARISON OF THE OPTICAL RING SECTION CORRESPONDING TO DIAMETER HIGHER THAN 4 MM OF THE VIVITY AND THE LUXSMART IOLS</t>
  </si>
  <si>
    <t>33.30.6C.01.03</t>
  </si>
  <si>
    <t>DEVELOP A STRUCTURE FOR AN ESCRS POSITIONING PAPER ON "ELEVATING THE STANDARD OF CARE WITH THE POWER OF EVIDENCE-BASED MEDICINE" PO: P25668042N</t>
  </si>
  <si>
    <t>33.30.6C.01.04</t>
  </si>
  <si>
    <t>33.30.6C.01.06</t>
  </si>
  <si>
    <t>Informe técnico sobre calidad óptica de lente</t>
  </si>
  <si>
    <t>33.30.6C.01.07</t>
  </si>
  <si>
    <t>PREPARACIÓN Y PUBLICACIÓN DE ARTÍCULO PARA LA REVISTA CIENTÍFICA JOURNAL OF REFRACTIVE SURGERY TITULADO "LONG-TERM PREVALENCE OF OPACIFICATION OF A HYDROPHYLIC ACRYLIC ROTATIONALLY ASYMMETRIC REFRACTIVE MULTIFOCAL INTRAOCULAR LENS"</t>
  </si>
  <si>
    <t>33.30.6C.01.08</t>
  </si>
  <si>
    <t>33.30.6C.01.09</t>
  </si>
  <si>
    <t>33.30.6C.01.10</t>
  </si>
  <si>
    <t>Proyecto de Investigación. "Reposicionamiento de fármacos bloqueantes de la entrada de calcio a la célula para el tratamiento de enfermedades neurodegenerativas de la retina"</t>
  </si>
  <si>
    <t>33.30.6C.01.11</t>
  </si>
  <si>
    <t>33.30.6C.01.12</t>
  </si>
  <si>
    <t>33.30.6C.01.13</t>
  </si>
  <si>
    <t xml:space="preserve">Fase 2 del ensayo clínico para evaluar la seguridad y eficacia de las lentes de contacto de ortoqueratología KATT. Pago inicial. </t>
  </si>
  <si>
    <t xml:space="preserve">Fase 2 del ensayo clínico para evaluar la seguridad y eficacia de las lentes de contacto de ortoqueratología KATT.  Segundo pago. </t>
  </si>
  <si>
    <t>33.30.6C.01.14</t>
  </si>
  <si>
    <t>33.30.6C.01.15</t>
  </si>
  <si>
    <t>ANALYSIS OPTICAL PERFORMANCE RAYONE IOL PO 4500037214</t>
  </si>
  <si>
    <t>33.30.6C.01.16</t>
  </si>
  <si>
    <t>33.30.6C.01.17</t>
  </si>
  <si>
    <t>ORDEN DE COMPRA Nº 4200223593 Servicios de consultoría  - Programa de Desarrollo Profesional 2024. Madrid - Programa de Desenvolvimento Profissional 2024.</t>
  </si>
  <si>
    <t>33.30.6C.01.18</t>
  </si>
  <si>
    <t>EVALUACIÓN DE CONTENIDO Y EJECUCIÓN DEL EJERCICIO 2023 DEL PROYECTO 952.608 DE LA EMPRESA INSTITUTO OFTALMOLÓGICO FERNÁNDEZ-VEGA, S.L.</t>
  </si>
  <si>
    <t>33.30.6C.01.20</t>
  </si>
  <si>
    <t>33.30.6C.01.21</t>
  </si>
  <si>
    <t>33.30.6C.01.22</t>
  </si>
  <si>
    <t>33.30.6C.01.23</t>
  </si>
  <si>
    <t>IDENTIFICATION OF PARAMETERS AND RELATIVE RANGES IN ORDER TO ALLOW A SAFE IMPLANT OF THE EVOLUX IOL PO 4500038297</t>
  </si>
  <si>
    <t>33.30.6C.01.24</t>
  </si>
  <si>
    <t>DEVOLUCIÓN DE INGRESO_MODELO 047_SUBVENCIÓN AICO  ANUALIDAD_2023</t>
  </si>
  <si>
    <t xml:space="preserve">ayudas CIDEXG/2022/45, CIDEXG/2022/60, CIDEXG/2022/45, CIDEXG/2022/60  </t>
  </si>
  <si>
    <t xml:space="preserve">CIAICO/2021/019/074/124/158/167/173/279/305/328/335/345/348/339 </t>
  </si>
  <si>
    <t>DEVOLUCIÓN DE INGRESOS_MODELO 047_Nº DE LIQUIDACIÓN: 46/2024/RAS/10135/1_ Nº DE JUSTIFICANTE: 047/1/002493531/ Nº DE REFERENCIA: 047/1/002493531</t>
  </si>
  <si>
    <t>33.30.6P.00.26</t>
  </si>
  <si>
    <t>PROGRAMA AYUDAS ICAR 2023 PROYECTO PRESBYSIM</t>
  </si>
  <si>
    <t>33.30.6P.00.27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</si>
  <si>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</si>
  <si>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</si>
  <si>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33.30.6X.00.02</t>
  </si>
  <si>
    <t>Primer cobro del proyecto xDDiff</t>
  </si>
  <si>
    <t xml:space="preserve">LIQ-TitProp_GK25-1 Curso_2023-24 AñoCont_2024 - OPTOINNOVA 2024 </t>
  </si>
  <si>
    <t>DEVOLUCIÓN TASAS NÓMINAS_REMESA Nº 2024DTR207964_ RDT INVERSA 2024EXPADM1087</t>
  </si>
  <si>
    <t>DEVOLUCIÓN DE TASAS NÓMINAS_REMESA Nº 2024DTR231568/RDT INVERSA 2024EXPADM1155</t>
  </si>
  <si>
    <t>B164</t>
  </si>
  <si>
    <t>Fisiología, Genética y Microbiología</t>
  </si>
  <si>
    <t>DOCTORADO EN BIOLOGÍA EXPERIMENTAL Y APLICADA</t>
  </si>
  <si>
    <t>Juvier Riesgo, Tamara</t>
  </si>
  <si>
    <t>Análisis comparativo entre una plataforma de realidad virtual asistida por inteligencia artificial y el
examen convencional para la evaluación de funciones visuales en neuro-oftalmología</t>
  </si>
  <si>
    <t>09/06/2025</t>
  </si>
  <si>
    <t>Codirector de tesis</t>
  </si>
  <si>
    <t>Óptica, Farmacología y Anatomía</t>
  </si>
  <si>
    <t>Administración Facultad de Ciencias de la Salud</t>
  </si>
  <si>
    <t>Cervera Sánchez, Zaíra</t>
  </si>
  <si>
    <t>EFICACIA DE LA FOTOTERAPIA OPTOMÉTRICA SYNTONIC PARA PRODUCIR CAMBIOS EN LA SINTOMATOLOGÍA VISUAL, EL ESTADO REFRACTIVO, LA VISIÓN BINOCULAR Y LA FUNCIÓN VISUAL</t>
  </si>
  <si>
    <t>06/02/2025</t>
  </si>
  <si>
    <t>DEL ROSARIO GILABERT, David</t>
  </si>
  <si>
    <t>Efectos de las ondas mecánicas audibles sobre neuronas no auditivas: diseño e
implementación de dispositivos biocompatibles para aplicaciones de sonobiología</t>
  </si>
  <si>
    <t>25/03/2025</t>
  </si>
  <si>
    <t>U066</t>
  </si>
  <si>
    <t>Instituto Universitario de Física Aplicada a las Ciencias y las Tecnologías (10.</t>
  </si>
  <si>
    <t>DOCTORADO EN FÍSICA APLICADA A LAS CIENCIAS Y LAS TECNOLOGÍAS</t>
  </si>
  <si>
    <t>Lloret López, Tomás</t>
  </si>
  <si>
    <t>Holographic lens characterization for
imaging and nonimaging photonics systems</t>
  </si>
  <si>
    <t>07/02/2025</t>
  </si>
  <si>
    <t>Mena Guevara, Kévin Javier</t>
  </si>
  <si>
    <t>VALIDACIÓN DE HERRAMIENTAS DIGITALES PARA EVALUAR LA FUNCIÓN BINOCULAR Y
LA SENSIBILIDAD AL CONTRASTE Y ESTUDIO DE SU APLICABILIDAD CLÍNICA EN EL
ÁMBITO DE LAS LENTES DE CONTACTO MULTIFOCALES</t>
  </si>
  <si>
    <t>20/12/2024</t>
  </si>
  <si>
    <t>Berramdane , kheloud</t>
  </si>
  <si>
    <t>Holographic diffraction gratings storage in phototohydrogel</t>
  </si>
  <si>
    <t>24/01/2025</t>
  </si>
  <si>
    <t>2020</t>
  </si>
  <si>
    <t>2021</t>
  </si>
  <si>
    <t>2022</t>
  </si>
  <si>
    <t>2023</t>
  </si>
  <si>
    <t>2024</t>
  </si>
  <si>
    <t>2025</t>
  </si>
  <si>
    <t>Morales Vidal, Marta</t>
  </si>
  <si>
    <t>Miret Mari, Juan Jose</t>
  </si>
  <si>
    <t>Molina Martín, Ainhoa</t>
  </si>
  <si>
    <t>20472122Y</t>
  </si>
  <si>
    <t>González López, Pablo</t>
  </si>
  <si>
    <t>Boj Giménez, Pedro José</t>
  </si>
  <si>
    <t>Pérez Rodríguez, Jorge</t>
  </si>
  <si>
    <t>Vázquez Ferri, Carmen</t>
  </si>
  <si>
    <t>Doménech Amigot, María Begoña</t>
  </si>
  <si>
    <t>Seguí Crespo, María del Mar</t>
  </si>
  <si>
    <t>García Llopis, Celia</t>
  </si>
  <si>
    <t>Piñero Llorens, David Pablo</t>
  </si>
  <si>
    <t>Fernández Sánchez, Laura</t>
  </si>
  <si>
    <t>Pascual Villalobos, María Inmaculada</t>
  </si>
  <si>
    <t>Cacho Martínez, Maria del Pilar</t>
  </si>
  <si>
    <t>Maneu Flores, Victoria Eugenia</t>
  </si>
  <si>
    <t>Camps Sanchis, Vicente Jesús</t>
  </si>
  <si>
    <t>Mas Candela, David Salvador</t>
  </si>
  <si>
    <t>45842003J</t>
  </si>
  <si>
    <t>Vidal Gil, Lorena</t>
  </si>
  <si>
    <t>Fernández Varó, María Helena</t>
  </si>
  <si>
    <t>Gómez Vicente, María Violeta</t>
  </si>
  <si>
    <t>Esquiva Sobrino, Gema</t>
  </si>
  <si>
    <t>de Fez Sáiz, María Dolores</t>
  </si>
  <si>
    <t>García Muñoz, Ángel</t>
  </si>
  <si>
    <t>Ausó Monreal, Eva</t>
  </si>
  <si>
    <t>Espinosa Tomás, Julián</t>
  </si>
  <si>
    <t>Perales Romero, Esther</t>
  </si>
  <si>
    <t>74231817F</t>
  </si>
  <si>
    <t>Meléndez Oliva, Erika</t>
  </si>
  <si>
    <t>Caballero Caballero, María Teresa</t>
  </si>
  <si>
    <t>33.30.6C.00.08</t>
  </si>
  <si>
    <t>Regalías anualidad 2024 por la licencia de uso de la obra "Cuestionario de síndrome visual informático CVS-Q" y obras derivadas. (Ref.contratoIMIM1-17O) Nº comanda: S132600</t>
  </si>
  <si>
    <t>Revisión del artículo científico "Feasibility of a membrane--based cytology method for minimally invasive human corneal epithelial sampling: integrated results from three prospective multicenter biomolecular sub-studies".  CORNEA1-24TD - CORNEA PROJECT - David Piñero Llorens</t>
  </si>
  <si>
    <t>33.30.6C.01.05</t>
  </si>
  <si>
    <t>Evaluación clínica de las lentes de ortoqueratología "Seefree" en población infantil.  Primer pago</t>
  </si>
  <si>
    <t>SEGUNDA FACTURA DEL CONTRATO (6 MESES DESDE EL INICIO DEL ENSAYO)</t>
  </si>
  <si>
    <t>TERCERA FACTURA DEL CONTRATO (12 MESES DESDE EL INICIO DEL ENSAYO)</t>
  </si>
  <si>
    <t>INFORME TÉCNICO SOBRE LA CALIDAD ÓPTICA DE UNA LENTE</t>
  </si>
  <si>
    <t>ORDEN DE COMPRA Nº 4200231176 ADVISORY TORICS Consultoría David Piñero</t>
  </si>
  <si>
    <t>ORDEN DE COMPRA Nº 4200276586 Formación a los ópticos en el PDP Alcon</t>
  </si>
  <si>
    <t>ORDEN DE COMPRA Nº 4200282555 Commercial Advisory &amp; Consulting- Advisory Board - David Piñero</t>
  </si>
  <si>
    <t>33.30.6C.01.19</t>
  </si>
  <si>
    <t>Asesoría científico-clínica de varios dispositivos comercializados por AJL Ophthalmic</t>
  </si>
  <si>
    <t>33.30.6C.01.25</t>
  </si>
  <si>
    <t>ASESORÍA CLÍNICA Y DE INVESTIGACIÓN A NIVEL DE TERAPIA VISUAL, CONTROL DE MIOPÍA Y SUPERFICIE OCULAR EN EL ÁMBITO ASISTENCIAL DEL DEPARTAMENTO DE OFTALMOLOGÍA DE UN HOSPITAL  DICIEMBRE 2024 CONTRATO "IMQO1-24T"- INVESTIGADOR RESPONSABLE: DAVID PIÑERO LLORENS</t>
  </si>
  <si>
    <t>ASESORÍA CLÍNICA Y DE INVESTIGACIÓN A NIVEL DE TERAPIA VISUAL, CONTROL DE MIOPÍA Y SUPERFICIE OCULAR EN EL ÁMBITO ASISTENCIAL DEL DEPARTAMENTO DE OFTALMOLOGÍA DE UN HOSPITAL   ENERO 2025 CONTRATO "IMQO1-24T"- INVESTIGADOR RESPONSABLE: DAVID PIÑERO LLORENS</t>
  </si>
  <si>
    <t>ASESORÍA CLÍNICA Y DE INVESTIGACIÓN A NIVEL DE TERAPIA VISUAL, CONTROL DE MIOPÍA Y SUPERFICIE OCULAR EN EL ÁMBITO ASISTENCIAL DEL DEPARTAMENTO DE OFTALMOLOGÍA DE UN HOSPITAL  FEBRERO 2025 CONTRATO "IMQO1-24T"- INVESTIGADOR RESPONSABLE: DAVID PIÑERO LLORENS</t>
  </si>
  <si>
    <t>ASESORÍA CLÍNICA Y DE INVESTIGACIÓN A NIVEL DE TERAPIA VISUAL, CONTROL DE MIOPÍA Y SUPERFICIE OCULAR EN EL ÁMBITO ASISTENCIAL DEL DEPARTAMENTO DE OFTALMOLOGÍA DE UN HOSPITAL MARZO 2025. CONTRATO"IMQO1-24T"-INVESTIGADOR RESPONSABLE: DAVID PIÑERO LLORENS</t>
  </si>
  <si>
    <t>ASESORÍA CLÍNICA Y DE INVESTIGACIÓN A NIVEL DE TERAPIA VISUAL, CONTROL DE MIOPÍA Y SUPERFICIE OCULAR EN EL ÁMBITO ASISTENCIAL DEL DEPARTAMENTO DE OFTALMOLOGÍA DE UN HOSPITAL. ABRIL 2025 - CONTRATO"IMQO1-24T"-INVESTIGADOR RESPONSABLE: DAVID PIÑERO LLORENS</t>
  </si>
  <si>
    <t>ASESORÍA CLÍNICA Y DE INVESTIGACIÓN A NIVEL DE TERAPIA VISUAL, CONTROL DE MIOPÍA Y SUPERFICIE OCULAR EN EL ÁMBITO ASISTENCIAL DEL DEPARTAMENTO DE OFTALMOLOGÍA DE UN HOSPITAL. JUNIO 2025. CONTRATO "IMQO1-24T" - INVESTIGADOR RESPONSABLE: DAVID PIÑERO LLORENS</t>
  </si>
  <si>
    <t>Asesoría clínica y de investigación a nivel de terapia visual, control de miopía y superficie ocular en el ámbito asistencial del departamento de oftalmología de un hospital. JULIO 2025. Contrato "IMQO1-24T" - Investigador David Piñero Llorens</t>
  </si>
  <si>
    <t>Asesoría clínica y de investigación a nivel de terapia visual, control de miopía y superficie ocular en el ámbito asistencial del departamento de oftalmología de un hospital. AGOSTO 2025. Contrato "IMQO1-24T" - Investigador David Piñero Llorens</t>
  </si>
  <si>
    <t>Asesoría clínica y de investigación a nivel de terapia visual, control de miopía y superficie ocular en el ámbito asistencial del departamento de oftalmología de un hospital. SEPTIEMBRE 2025. Contrato "IMQO1-24T" - Investigador David Piñero Llorens</t>
  </si>
  <si>
    <t>Asesoría clínica y de investigación a nivel de terapia visual, control de miopía y superficie ocular en el ámbito asistencial del departamento de oftalmología de un hospital. OCTUBRE 2025 Contrato "IMQO1-24T" - Investigador David Piñero Llorens</t>
  </si>
  <si>
    <t>Asesoría clínica y de investigación a nivel de terapia visual, control de miopía y superficie ocular en el ámbito asistencial del departamento de oftalmología de un hospital. NOVIEMBRE 2025 Contrato "IMQO1-24T" - Investigador David Piñero Llorens</t>
  </si>
  <si>
    <t>33.30.6C.01.27</t>
  </si>
  <si>
    <t>ANALYSIS OF THE OPTICAL PERFORMANCE OF THE EVOLUX IOL  PO N. 4500039086</t>
  </si>
  <si>
    <t>33.30.6C.01.28</t>
  </si>
  <si>
    <t>33.30.6C.01.29</t>
  </si>
  <si>
    <t xml:space="preserve">EVALUACIÓN DE LA VISIÓN DEL COLOR MEDIANTE TEST PSICOFÍSICOS DE DIAGNOSTICO </t>
  </si>
  <si>
    <t>33.30.6C.01.30</t>
  </si>
  <si>
    <t>EVALUACIÓN DE LA VISIÓN DEL COLOR MEDIANTE TEST PSICOFÍSICOS DE DIAGNOSTICO</t>
  </si>
  <si>
    <t>33.30.6C.01.31</t>
  </si>
  <si>
    <t>33.30.6C.01.32</t>
  </si>
  <si>
    <t>33.30.6C.01.33</t>
  </si>
  <si>
    <t>EVALUACIÓN DE LA VISIÓN DEL COLOR MEDIANTE TEST PSICOFÍSICOS DE DISGNÓSTICO</t>
  </si>
  <si>
    <t>33.30.6C.01.34</t>
  </si>
  <si>
    <t>33.30.6C.01.35</t>
  </si>
  <si>
    <t>PREPARACIÓN Y PUBLICACIÓN DEL ARTÍCULO PARA LA REVISTA CIENTÍFICA JOURNAL OF CATARACT AND REFRACTIVE SURGERY TITULADO "FULL CHARACTERIZATION OF OPACIFICATIONS OF A SPECIFIC TYPE OF HYDROPHILIC INTRAOCULAR LENSES INCLUDING OPTICAL COHERENCE TOMOGRAPHY ANALYSIS"</t>
  </si>
  <si>
    <t>33.30.6C.01.36</t>
  </si>
  <si>
    <t>33.30.6C.01.37</t>
  </si>
  <si>
    <t>33.30.6C.01.38</t>
  </si>
  <si>
    <t>Participation and scientific advice form Dr. Vicente J. Camps at the advisory board meeting titled "EVIDENCE-BASED FUNCTIONAL CLASSIFICATION OF SIMULTANEOUS VISION INTRAOCULAR LENSES SEEKING CONSENSUS ON SIFI IOL PORTFOLIO", held on 11 April 2025 in Rome, Italy PO 45000042286</t>
  </si>
  <si>
    <t>33.30.6C.01.39</t>
  </si>
  <si>
    <t>Evaluación de la visión del color mediante tests psicofísicos de diagnóstico</t>
  </si>
  <si>
    <t>33.30.6C.01.41</t>
  </si>
  <si>
    <t>33.30.6C.01.42</t>
  </si>
  <si>
    <t xml:space="preserve">EVALUACION DE LA VISIÓN DEL COLOR MEDIANTE TEST PSICOFÍSICOS DE DIAGNÓSTICO </t>
  </si>
  <si>
    <t>33.30.6C.01.43</t>
  </si>
  <si>
    <t>DEVELOP A WORKING OPTOPAD UNIT</t>
  </si>
  <si>
    <t>33.30.6C.01.44</t>
  </si>
  <si>
    <t>33.30.6C.01.45</t>
  </si>
  <si>
    <t>33.30.6C.01.46</t>
  </si>
  <si>
    <t>Preparación del artículo para la revista científica sobre los resultados clínicos del implante de la lente intraocular PureSee</t>
  </si>
  <si>
    <t>33.30.6C.01.47</t>
  </si>
  <si>
    <t>33.30.6C.01.48</t>
  </si>
  <si>
    <t>33.30.6C.01.49</t>
  </si>
  <si>
    <t>33.30.6C.01.50</t>
  </si>
  <si>
    <t>33.30.6C.01.51</t>
  </si>
  <si>
    <t>33.30.6C.01.52</t>
  </si>
  <si>
    <t>Participation and scientific advice from Dr. Vicente Jesús Camps at the advisory board meeting titled "Decoding the Wavefront Signature of SIFI IOLs: From Science to Clinical Evidence and Real- World Benefits", held on 24-26 October 2025 in Taormina, Italy P.O. 4500043534</t>
  </si>
  <si>
    <t>33.30.6C.01.53</t>
  </si>
  <si>
    <t>33.30.6C.01.54</t>
  </si>
  <si>
    <t>33.30.6C.01.55</t>
  </si>
  <si>
    <t>DEVOLUCIÓN DE INGRESOS_SGI_REINTEGRO DE REMANENTES DE PROYECTOS MEDIANTE TRANSFERENCIA BANCARIA.</t>
  </si>
  <si>
    <t xml:space="preserve">Ayudas CIDEXG/2022/45, CIDEXG/2022/45 , CIDEXG/2022/60 , CIDEXG/2022/60  </t>
  </si>
  <si>
    <t>DEVOLUCIÓN DE INGRESOS_MODELO 047_  REFERENCIA: CIACO/2021/158/279/339/124/348/074/345/173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</si>
  <si>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</si>
  <si>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33.30.6P.00.28</t>
  </si>
  <si>
    <t>Ayudas CIESGT/2025/08 - CIESGT/2025/09</t>
  </si>
  <si>
    <t>Total ingresos investigación 2023-25</t>
  </si>
  <si>
    <t xml:space="preserve">LIQ-TitProp_GM24-N Curso_2024-25 AñoCont_2025 - OPTOINNOVA 2025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</si>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</sst>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/>
      <top style="medium">
        <color rgb="FF878787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96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166" fontId="2" fillId="4" borderId="2" xfId="1" applyNumberFormat="1" applyFill="1" applyBorder="1"/>
    <xf numFmtId="0" fontId="12" fillId="6" borderId="3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2" fillId="4" borderId="3" xfId="1" applyFill="1" applyBorder="1"/>
    <xf numFmtId="0" fontId="2" fillId="0" borderId="3" xfId="1" applyBorder="1"/>
    <xf numFmtId="0" fontId="2" fillId="4" borderId="3" xfId="1" applyFill="1" applyBorder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/>
    <xf numFmtId="43" fontId="6" fillId="8" borderId="7" xfId="6" applyNumberFormat="1" applyFont="1" applyFill="1" applyBorder="1"/>
    <xf numFmtId="43" fontId="6" fillId="0" borderId="7" xfId="6" applyNumberFormat="1" applyFont="1" applyBorder="1"/>
    <xf numFmtId="0" fontId="9" fillId="8" borderId="7" xfId="0" applyFont="1" applyFill="1" applyBorder="1"/>
    <xf numFmtId="0" fontId="9" fillId="0" borderId="7" xfId="0" applyFont="1" applyBorder="1"/>
    <xf numFmtId="43" fontId="0" fillId="0" borderId="0" xfId="0" applyNumberForma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1" fillId="9" borderId="0" xfId="0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165" fontId="3" fillId="2" borderId="0" xfId="1" applyNumberFormat="1" applyFont="1" applyFill="1"/>
    <xf numFmtId="43" fontId="6" fillId="8" borderId="9" xfId="6" applyNumberFormat="1" applyFont="1" applyFill="1" applyBorder="1"/>
    <xf numFmtId="0" fontId="0" fillId="0" borderId="9" xfId="0" applyBorder="1"/>
    <xf numFmtId="0" fontId="9" fillId="8" borderId="9" xfId="0" applyFont="1" applyFill="1" applyBorder="1"/>
    <xf numFmtId="0" fontId="9" fillId="10" borderId="9" xfId="0" applyFont="1" applyFill="1" applyBorder="1"/>
    <xf numFmtId="43" fontId="6" fillId="10" borderId="9" xfId="0" applyNumberFormat="1" applyFont="1" applyFill="1" applyBorder="1"/>
    <xf numFmtId="0" fontId="0" fillId="11" borderId="0" xfId="0" applyFill="1"/>
    <xf numFmtId="0" fontId="14" fillId="7" borderId="8" xfId="0" applyFont="1" applyFill="1" applyBorder="1"/>
    <xf numFmtId="0" fontId="9" fillId="0" borderId="9" xfId="0" applyFont="1" applyBorder="1"/>
    <xf numFmtId="43" fontId="6" fillId="0" borderId="9" xfId="6" applyNumberFormat="1" applyFont="1" applyBorder="1"/>
    <xf numFmtId="43" fontId="6" fillId="0" borderId="9" xfId="0" applyNumberFormat="1" applyFont="1" applyBorder="1"/>
    <xf numFmtId="0" fontId="0" fillId="8" borderId="7" xfId="0" applyFill="1" applyBorder="1"/>
    <xf numFmtId="43" fontId="0" fillId="8" borderId="7" xfId="6" applyNumberFormat="1" applyFont="1" applyFill="1" applyBorder="1"/>
    <xf numFmtId="0" fontId="0" fillId="0" borderId="7" xfId="0" applyBorder="1"/>
    <xf numFmtId="43" fontId="0" fillId="0" borderId="7" xfId="6" applyNumberFormat="1" applyFont="1" applyBorder="1"/>
    <xf numFmtId="0" fontId="10" fillId="7" borderId="8" xfId="0" applyFont="1" applyFill="1" applyBorder="1"/>
    <xf numFmtId="43" fontId="10" fillId="7" borderId="8" xfId="6" applyNumberFormat="1" applyFont="1" applyFill="1" applyBorder="1"/>
    <xf numFmtId="43" fontId="0" fillId="0" borderId="9" xfId="6" applyNumberFormat="1" applyFont="1" applyBorder="1"/>
    <xf numFmtId="43" fontId="13" fillId="0" borderId="9" xfId="0" applyNumberFormat="1" applyFont="1" applyBorder="1"/>
    <xf numFmtId="0" fontId="0" fillId="8" borderId="9" xfId="0" applyFill="1" applyBorder="1"/>
    <xf numFmtId="43" fontId="0" fillId="8" borderId="9" xfId="6" applyNumberFormat="1" applyFont="1" applyFill="1" applyBorder="1"/>
    <xf numFmtId="43" fontId="0" fillId="0" borderId="9" xfId="0" applyNumberFormat="1" applyBorder="1"/>
    <xf numFmtId="0" fontId="11" fillId="0" borderId="1" xfId="0" applyFont="1" applyBorder="1"/>
    <xf numFmtId="43" fontId="11" fillId="0" borderId="1" xfId="0" applyNumberFormat="1" applyFont="1" applyBorder="1"/>
    <xf numFmtId="164" fontId="11" fillId="0" borderId="1" xfId="0" applyNumberFormat="1" applyFont="1" applyBorder="1"/>
    <xf numFmtId="0" fontId="2" fillId="4" borderId="1" xfId="1" applyFont="1" applyFill="1" applyBorder="1"/>
    <xf numFmtId="0" fontId="2" fillId="0" borderId="1" xfId="1" applyFont="1" applyBorder="1"/>
    <xf numFmtId="0" fontId="2" fillId="0" borderId="0" xfId="0" applyFont="1"/>
    <xf numFmtId="0" fontId="2" fillId="4" borderId="0" xfId="1" applyFont="1" applyFill="1"/>
    <xf numFmtId="0" fontId="16" fillId="12" borderId="10" xfId="0" applyFont="1" applyFill="1" applyBorder="1"/>
    <xf numFmtId="0" fontId="16" fillId="12" borderId="11" xfId="0" applyFont="1" applyFill="1" applyBorder="1"/>
    <xf numFmtId="0" fontId="17" fillId="13" borderId="10" xfId="0" applyFont="1" applyFill="1" applyBorder="1"/>
    <xf numFmtId="0" fontId="17" fillId="13" borderId="11" xfId="0" applyFont="1" applyFill="1" applyBorder="1"/>
    <xf numFmtId="164" fontId="17" fillId="13" borderId="11" xfId="6" applyFont="1" applyFill="1" applyBorder="1"/>
    <xf numFmtId="0" fontId="17" fillId="0" borderId="10" xfId="0" applyFont="1" applyBorder="1"/>
    <xf numFmtId="0" fontId="17" fillId="0" borderId="11" xfId="0" applyFont="1" applyBorder="1"/>
    <xf numFmtId="164" fontId="17" fillId="0" borderId="11" xfId="6" applyFont="1" applyBorder="1"/>
    <xf numFmtId="0" fontId="18" fillId="0" borderId="12" xfId="0" applyFont="1" applyBorder="1"/>
    <xf numFmtId="0" fontId="18" fillId="0" borderId="13" xfId="0" applyFont="1" applyBorder="1"/>
    <xf numFmtId="164" fontId="18" fillId="0" borderId="13" xfId="6" applyFont="1" applyBorder="1"/>
    <xf numFmtId="0" fontId="14" fillId="12" borderId="10" xfId="0" applyFont="1" applyFill="1" applyBorder="1"/>
    <xf numFmtId="0" fontId="14" fillId="12" borderId="11" xfId="0" applyFont="1" applyFill="1" applyBorder="1"/>
    <xf numFmtId="164" fontId="14" fillId="12" borderId="11" xfId="6" applyFont="1" applyFill="1" applyBorder="1"/>
    <xf numFmtId="0" fontId="9" fillId="13" borderId="10" xfId="0" applyFont="1" applyFill="1" applyBorder="1"/>
    <xf numFmtId="0" fontId="9" fillId="13" borderId="11" xfId="0" applyFont="1" applyFill="1" applyBorder="1"/>
    <xf numFmtId="164" fontId="9" fillId="13" borderId="11" xfId="6" applyFont="1" applyFill="1" applyBorder="1"/>
    <xf numFmtId="0" fontId="15" fillId="0" borderId="12" xfId="0" applyFont="1" applyBorder="1"/>
    <xf numFmtId="0" fontId="15" fillId="0" borderId="13" xfId="0" applyFont="1" applyBorder="1"/>
    <xf numFmtId="164" fontId="15" fillId="0" borderId="13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4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706CDF-2724-48C7-98CF-B90CE623B226}" name="Tabla2" displayName="Tabla2" ref="A1:C51" totalsRowCount="1" headerRowDxfId="33" headerRowBorderDxfId="32" tableBorderDxfId="31" totalsRowBorderDxfId="30">
  <autoFilter ref="A1:C50" xr:uid="{DA706CDF-2724-48C7-98CF-B90CE623B226}"/>
  <tableColumns count="3">
    <tableColumn id="1" xr3:uid="{E951AF63-66A3-4D49-B585-E5FC9550C8C6}" name="Cód. org. aplic." totalsRowLabel="Total" dataDxfId="29" totalsRowDxfId="28"/>
    <tableColumn id="2" xr3:uid="{89D2894E-32C0-4A2F-A361-EC2F9E37F022}" name="Descripción justificante" dataDxfId="27" totalsRowDxfId="26"/>
    <tableColumn id="3" xr3:uid="{C9CBC527-1A17-4C7E-80E7-68F2FF6FE19B}" name="Imp.cob.aplic." totalsRowFunction="sum" dataDxfId="25" totalsRowDxfId="24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0058A-296A-41F7-980A-0CF175B474D0}" name="Tabla3" displayName="Tabla3" ref="A1:C52" totalsRowCount="1" headerRowBorderDxfId="23" tableBorderDxfId="22" totalsRowBorderDxfId="21">
  <autoFilter ref="A1:C51" xr:uid="{5350058A-296A-41F7-980A-0CF175B474D0}"/>
  <tableColumns count="3">
    <tableColumn id="1" xr3:uid="{A0491697-0A4A-4C4B-BC29-1E404778D498}" name="Org. aplic." totalsRowLabel="Total" dataDxfId="20" totalsRowDxfId="19"/>
    <tableColumn id="2" xr3:uid="{B0E253FA-6B0F-4C5A-AC0D-CF54F87924F8}" name="Descripción justificante" dataDxfId="18" totalsRowDxfId="17"/>
    <tableColumn id="3" xr3:uid="{2EC368CB-9AD7-4620-B0C5-81F3ADFBCBA6}" name="Imp. aplic." totalsRowFunction="sum" dataDxfId="16" totalsRowDxfId="15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E4C57B-6063-4B6D-B792-678A0E0A9DD6}" name="Tabla5" displayName="Tabla5" ref="A1:C7" totalsRowCount="1" headerRowDxfId="14" totalsRowDxfId="11" headerRowBorderDxfId="13" tableBorderDxfId="12" totalsRowBorderDxfId="10">
  <autoFilter ref="A1:C6" xr:uid="{1FE4C57B-6063-4B6D-B792-678A0E0A9DD6}"/>
  <tableColumns count="3">
    <tableColumn id="1" xr3:uid="{7C3B5133-E2E3-4689-B2BA-35787CDB70AA}" name="Cód. org. aplic." totalsRowLabel="Total" dataDxfId="9" totalsRowDxfId="8"/>
    <tableColumn id="2" xr3:uid="{AD98D583-4D6A-4C3B-9DD5-644BEB081FAB}" name="Descripción justificante" dataDxfId="7" totalsRowDxfId="6"/>
    <tableColumn id="3" xr3:uid="{B0E1F80C-053D-41CD-B0DA-F31D30597767}" name="Imp.cob.aplic." totalsRowFunction="sum" dataDxfId="5" totalsRowDxfId="4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3516FF-CD3B-4F9E-AB15-B4264D0F6D3C}" name="Tabla6" displayName="Tabla6" ref="A1:C5" totalsRowCount="1" headerRowDxfId="3" headerRowBorderDxfId="2" tableBorderDxfId="1" totalsRowBorderDxfId="0">
  <autoFilter ref="A1:C4" xr:uid="{2C3516FF-CD3B-4F9E-AB15-B4264D0F6D3C}"/>
  <tableColumns count="3">
    <tableColumn id="1" xr3:uid="{F0249BFA-2F70-4E0F-9EBC-C3AFA3D93E63}" name="Org. aplic." totalsRowLabel="Total"/>
    <tableColumn id="2" xr3:uid="{C5A3BFF9-BB44-4797-A011-70A4DA6DEAFB}" name="Descripción justificante"/>
    <tableColumn id="3" xr3:uid="{E373E901-90E1-445F-83ED-404320F13F90}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2"/>
  <sheetViews>
    <sheetView showGridLines="0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X13" sqref="X1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1" t="s">
        <v>11</v>
      </c>
      <c r="J1" s="2" t="s">
        <v>12</v>
      </c>
      <c r="K1" s="1" t="s">
        <v>13</v>
      </c>
      <c r="L1" s="2" t="s">
        <v>14</v>
      </c>
      <c r="M1" s="3" t="s">
        <v>15</v>
      </c>
      <c r="N1" s="4" t="s">
        <v>16</v>
      </c>
      <c r="O1" s="5" t="s">
        <v>17</v>
      </c>
      <c r="P1" s="4" t="s">
        <v>18</v>
      </c>
      <c r="Q1" s="5" t="s">
        <v>19</v>
      </c>
      <c r="R1" s="4" t="s">
        <v>20</v>
      </c>
      <c r="S1" s="4" t="s">
        <v>21</v>
      </c>
      <c r="T1" s="4" t="s">
        <v>22</v>
      </c>
      <c r="U1" s="4" t="s">
        <v>23</v>
      </c>
    </row>
    <row r="2" spans="1:21" x14ac:dyDescent="0.2">
      <c r="A2" s="15" t="s">
        <v>29</v>
      </c>
      <c r="B2" s="15" t="s">
        <v>30</v>
      </c>
      <c r="C2" s="15" t="s">
        <v>28</v>
      </c>
      <c r="D2" s="15" t="s">
        <v>79</v>
      </c>
      <c r="E2" s="15" t="s">
        <v>80</v>
      </c>
      <c r="F2" s="15" t="s">
        <v>81</v>
      </c>
      <c r="G2" s="15" t="s">
        <v>42</v>
      </c>
      <c r="H2" s="15" t="s">
        <v>24</v>
      </c>
      <c r="I2" s="15" t="s">
        <v>39</v>
      </c>
      <c r="J2" s="15" t="s">
        <v>40</v>
      </c>
      <c r="K2" s="20">
        <v>0.5</v>
      </c>
      <c r="L2" s="15" t="s">
        <v>41</v>
      </c>
      <c r="M2" s="15">
        <v>2019</v>
      </c>
      <c r="N2" s="15" t="s">
        <v>26</v>
      </c>
      <c r="O2" s="16" t="s">
        <v>26</v>
      </c>
      <c r="P2" s="15" t="s">
        <v>26</v>
      </c>
      <c r="Q2" s="16" t="s">
        <v>26</v>
      </c>
      <c r="R2" s="17">
        <v>100</v>
      </c>
      <c r="S2" s="18">
        <v>0.5</v>
      </c>
      <c r="T2" s="18">
        <v>0</v>
      </c>
      <c r="U2" s="18">
        <v>0</v>
      </c>
    </row>
    <row r="3" spans="1:21" ht="10.8" thickBot="1" x14ac:dyDescent="0.25">
      <c r="A3" s="15" t="s">
        <v>36</v>
      </c>
      <c r="B3" s="15" t="s">
        <v>37</v>
      </c>
      <c r="C3" s="15" t="s">
        <v>38</v>
      </c>
      <c r="D3" s="15" t="s">
        <v>82</v>
      </c>
      <c r="E3" s="15" t="s">
        <v>83</v>
      </c>
      <c r="F3" s="15" t="s">
        <v>84</v>
      </c>
      <c r="G3" s="15" t="s">
        <v>43</v>
      </c>
      <c r="H3" s="15" t="s">
        <v>27</v>
      </c>
      <c r="I3" s="15" t="s">
        <v>39</v>
      </c>
      <c r="J3" s="15" t="s">
        <v>40</v>
      </c>
      <c r="K3" s="20">
        <v>1</v>
      </c>
      <c r="L3" s="15" t="s">
        <v>41</v>
      </c>
      <c r="M3" s="15">
        <v>2019</v>
      </c>
      <c r="N3" s="15" t="s">
        <v>26</v>
      </c>
      <c r="O3" s="16" t="s">
        <v>26</v>
      </c>
      <c r="P3" s="15" t="s">
        <v>26</v>
      </c>
      <c r="Q3" s="16" t="s">
        <v>26</v>
      </c>
      <c r="R3" s="17">
        <v>100</v>
      </c>
      <c r="S3" s="18">
        <v>1</v>
      </c>
      <c r="T3" s="18">
        <v>0</v>
      </c>
      <c r="U3" s="18">
        <v>0</v>
      </c>
    </row>
    <row r="4" spans="1:21" x14ac:dyDescent="0.2">
      <c r="A4" s="21" t="s">
        <v>36</v>
      </c>
      <c r="B4" s="21" t="s">
        <v>37</v>
      </c>
      <c r="C4" s="21" t="s">
        <v>38</v>
      </c>
      <c r="D4" s="21" t="s">
        <v>88</v>
      </c>
      <c r="E4" s="21" t="s">
        <v>100</v>
      </c>
      <c r="F4" s="21" t="s">
        <v>89</v>
      </c>
      <c r="G4" s="22" t="s">
        <v>43</v>
      </c>
      <c r="H4" s="23" t="s">
        <v>27</v>
      </c>
      <c r="I4" s="23" t="s">
        <v>39</v>
      </c>
      <c r="J4" s="24" t="s">
        <v>40</v>
      </c>
      <c r="K4" s="26">
        <v>1</v>
      </c>
      <c r="L4" s="26" t="s">
        <v>41</v>
      </c>
      <c r="M4" s="25">
        <v>2020</v>
      </c>
      <c r="N4" s="25" t="s">
        <v>26</v>
      </c>
      <c r="O4" s="27" t="s">
        <v>26</v>
      </c>
      <c r="P4" s="25" t="s">
        <v>26</v>
      </c>
      <c r="Q4" s="27" t="s">
        <v>26</v>
      </c>
      <c r="R4" s="25">
        <v>100</v>
      </c>
      <c r="S4" s="25">
        <v>1</v>
      </c>
      <c r="T4" s="25">
        <v>0</v>
      </c>
      <c r="U4" s="25">
        <v>0</v>
      </c>
    </row>
    <row r="5" spans="1:21" x14ac:dyDescent="0.2">
      <c r="A5" s="13" t="s">
        <v>36</v>
      </c>
      <c r="B5" s="13" t="s">
        <v>37</v>
      </c>
      <c r="C5" s="13" t="s">
        <v>38</v>
      </c>
      <c r="D5" s="13" t="s">
        <v>90</v>
      </c>
      <c r="E5" s="13" t="s">
        <v>91</v>
      </c>
      <c r="F5" s="13" t="s">
        <v>92</v>
      </c>
      <c r="G5" s="13" t="s">
        <v>43</v>
      </c>
      <c r="H5" s="13" t="s">
        <v>27</v>
      </c>
      <c r="I5" s="13" t="s">
        <v>39</v>
      </c>
      <c r="J5" s="13" t="s">
        <v>40</v>
      </c>
      <c r="K5" s="19">
        <v>1</v>
      </c>
      <c r="L5" s="19" t="s">
        <v>41</v>
      </c>
      <c r="M5" s="13">
        <v>2020</v>
      </c>
      <c r="N5" s="13" t="s">
        <v>26</v>
      </c>
      <c r="O5" s="14" t="s">
        <v>26</v>
      </c>
      <c r="P5" s="13" t="s">
        <v>26</v>
      </c>
      <c r="Q5" s="14" t="s">
        <v>26</v>
      </c>
      <c r="R5" s="13">
        <v>100</v>
      </c>
      <c r="S5" s="13">
        <v>1</v>
      </c>
      <c r="T5" s="13">
        <v>0</v>
      </c>
      <c r="U5" s="13">
        <v>0</v>
      </c>
    </row>
    <row r="6" spans="1:21" x14ac:dyDescent="0.2">
      <c r="A6" s="13" t="s">
        <v>101</v>
      </c>
      <c r="B6" s="13" t="s">
        <v>102</v>
      </c>
      <c r="C6" s="13" t="s">
        <v>103</v>
      </c>
      <c r="D6" s="13" t="s">
        <v>104</v>
      </c>
      <c r="E6" s="13" t="s">
        <v>105</v>
      </c>
      <c r="F6" s="13" t="s">
        <v>106</v>
      </c>
      <c r="G6" s="13" t="s">
        <v>43</v>
      </c>
      <c r="H6" s="13" t="s">
        <v>27</v>
      </c>
      <c r="I6" s="13" t="s">
        <v>39</v>
      </c>
      <c r="J6" s="13" t="s">
        <v>40</v>
      </c>
      <c r="K6" s="19">
        <v>1</v>
      </c>
      <c r="L6" s="19" t="s">
        <v>41</v>
      </c>
      <c r="M6" s="13">
        <v>2021</v>
      </c>
      <c r="N6" s="13" t="s">
        <v>26</v>
      </c>
      <c r="O6" s="14" t="s">
        <v>26</v>
      </c>
      <c r="P6" s="13" t="s">
        <v>26</v>
      </c>
      <c r="Q6" s="14" t="s">
        <v>26</v>
      </c>
      <c r="R6" s="13">
        <v>100</v>
      </c>
      <c r="S6" s="13">
        <v>1</v>
      </c>
      <c r="T6" s="13">
        <v>0</v>
      </c>
      <c r="U6" s="13">
        <v>0</v>
      </c>
    </row>
    <row r="7" spans="1:21" x14ac:dyDescent="0.2">
      <c r="A7" s="13" t="s">
        <v>33</v>
      </c>
      <c r="B7" s="13" t="s">
        <v>34</v>
      </c>
      <c r="C7" s="13" t="s">
        <v>35</v>
      </c>
      <c r="D7" s="13" t="s">
        <v>107</v>
      </c>
      <c r="E7" s="13" t="s">
        <v>108</v>
      </c>
      <c r="F7" s="13" t="s">
        <v>109</v>
      </c>
      <c r="G7" s="13" t="s">
        <v>110</v>
      </c>
      <c r="H7" s="13" t="s">
        <v>24</v>
      </c>
      <c r="I7" s="13" t="s">
        <v>39</v>
      </c>
      <c r="J7" s="13" t="s">
        <v>40</v>
      </c>
      <c r="K7" s="19">
        <v>0.5</v>
      </c>
      <c r="L7" s="19" t="s">
        <v>41</v>
      </c>
      <c r="M7" s="13">
        <v>2021</v>
      </c>
      <c r="N7" s="13" t="s">
        <v>26</v>
      </c>
      <c r="O7" s="14" t="s">
        <v>26</v>
      </c>
      <c r="P7" s="13" t="s">
        <v>26</v>
      </c>
      <c r="Q7" s="14" t="s">
        <v>26</v>
      </c>
      <c r="R7" s="13">
        <v>100</v>
      </c>
      <c r="S7" s="13">
        <v>0.5</v>
      </c>
      <c r="T7" s="13">
        <v>0</v>
      </c>
      <c r="U7" s="13">
        <v>0</v>
      </c>
    </row>
    <row r="8" spans="1:21" x14ac:dyDescent="0.2">
      <c r="A8" s="13" t="s">
        <v>33</v>
      </c>
      <c r="B8" s="13" t="s">
        <v>34</v>
      </c>
      <c r="C8" s="13" t="s">
        <v>35</v>
      </c>
      <c r="D8" s="13" t="s">
        <v>107</v>
      </c>
      <c r="E8" s="13" t="s">
        <v>108</v>
      </c>
      <c r="F8" s="13" t="s">
        <v>109</v>
      </c>
      <c r="G8" s="13" t="s">
        <v>111</v>
      </c>
      <c r="H8" s="13" t="s">
        <v>24</v>
      </c>
      <c r="I8" s="13" t="s">
        <v>39</v>
      </c>
      <c r="J8" s="13" t="s">
        <v>40</v>
      </c>
      <c r="K8" s="19">
        <v>0.5</v>
      </c>
      <c r="L8" s="19" t="s">
        <v>41</v>
      </c>
      <c r="M8" s="13">
        <v>2021</v>
      </c>
      <c r="N8" s="13" t="s">
        <v>26</v>
      </c>
      <c r="O8" s="14" t="s">
        <v>26</v>
      </c>
      <c r="P8" s="13" t="s">
        <v>26</v>
      </c>
      <c r="Q8" s="14" t="s">
        <v>26</v>
      </c>
      <c r="R8" s="13">
        <v>100</v>
      </c>
      <c r="S8" s="13">
        <v>0.5</v>
      </c>
      <c r="T8" s="13">
        <v>0</v>
      </c>
      <c r="U8" s="13">
        <v>0</v>
      </c>
    </row>
    <row r="9" spans="1:21" x14ac:dyDescent="0.2">
      <c r="A9" s="13" t="s">
        <v>36</v>
      </c>
      <c r="B9" s="13" t="s">
        <v>37</v>
      </c>
      <c r="C9" s="13" t="s">
        <v>38</v>
      </c>
      <c r="D9" s="13" t="s">
        <v>112</v>
      </c>
      <c r="E9" s="13" t="s">
        <v>113</v>
      </c>
      <c r="F9" s="13" t="s">
        <v>114</v>
      </c>
      <c r="G9" s="13" t="s">
        <v>115</v>
      </c>
      <c r="H9" s="13" t="s">
        <v>24</v>
      </c>
      <c r="I9" s="13" t="s">
        <v>39</v>
      </c>
      <c r="J9" s="13" t="s">
        <v>40</v>
      </c>
      <c r="K9" s="19">
        <v>0.5</v>
      </c>
      <c r="L9" s="19" t="s">
        <v>41</v>
      </c>
      <c r="M9" s="13">
        <v>2021</v>
      </c>
      <c r="N9" s="13" t="s">
        <v>31</v>
      </c>
      <c r="O9" s="14">
        <v>50</v>
      </c>
      <c r="P9" s="13" t="s">
        <v>26</v>
      </c>
      <c r="Q9" s="14">
        <v>0</v>
      </c>
      <c r="R9" s="13">
        <v>50</v>
      </c>
      <c r="S9" s="13">
        <v>0.25</v>
      </c>
      <c r="T9" s="13">
        <v>0.25</v>
      </c>
      <c r="U9" s="13">
        <v>0</v>
      </c>
    </row>
    <row r="10" spans="1:21" x14ac:dyDescent="0.2">
      <c r="A10" s="13" t="s">
        <v>36</v>
      </c>
      <c r="B10" s="13" t="s">
        <v>37</v>
      </c>
      <c r="C10" s="13" t="s">
        <v>38</v>
      </c>
      <c r="D10" s="13" t="s">
        <v>116</v>
      </c>
      <c r="E10" s="13" t="s">
        <v>117</v>
      </c>
      <c r="F10" s="13" t="s">
        <v>118</v>
      </c>
      <c r="G10" s="13" t="s">
        <v>43</v>
      </c>
      <c r="H10" s="13" t="s">
        <v>27</v>
      </c>
      <c r="I10" s="13" t="s">
        <v>39</v>
      </c>
      <c r="J10" s="13" t="s">
        <v>40</v>
      </c>
      <c r="K10" s="19">
        <v>1</v>
      </c>
      <c r="L10" s="19" t="s">
        <v>41</v>
      </c>
      <c r="M10" s="13">
        <v>2021</v>
      </c>
      <c r="N10" s="13" t="s">
        <v>26</v>
      </c>
      <c r="O10" s="14" t="s">
        <v>26</v>
      </c>
      <c r="P10" s="13" t="s">
        <v>26</v>
      </c>
      <c r="Q10" s="14" t="s">
        <v>26</v>
      </c>
      <c r="R10" s="13">
        <v>100</v>
      </c>
      <c r="S10" s="13">
        <v>1</v>
      </c>
      <c r="T10" s="13">
        <v>0</v>
      </c>
      <c r="U10" s="13">
        <v>0</v>
      </c>
    </row>
    <row r="11" spans="1:21" x14ac:dyDescent="0.2">
      <c r="A11" s="13" t="s">
        <v>36</v>
      </c>
      <c r="B11" s="13" t="s">
        <v>37</v>
      </c>
      <c r="C11" s="13" t="s">
        <v>38</v>
      </c>
      <c r="D11" s="13" t="s">
        <v>119</v>
      </c>
      <c r="E11" s="13" t="s">
        <v>120</v>
      </c>
      <c r="F11" s="13" t="s">
        <v>121</v>
      </c>
      <c r="G11" s="13" t="s">
        <v>45</v>
      </c>
      <c r="H11" s="13" t="s">
        <v>24</v>
      </c>
      <c r="I11" s="13" t="s">
        <v>39</v>
      </c>
      <c r="J11" s="13" t="s">
        <v>40</v>
      </c>
      <c r="K11" s="19">
        <v>0.5</v>
      </c>
      <c r="L11" s="19" t="s">
        <v>41</v>
      </c>
      <c r="M11" s="13">
        <v>2021</v>
      </c>
      <c r="N11" s="13" t="s">
        <v>31</v>
      </c>
      <c r="O11" s="14">
        <v>50</v>
      </c>
      <c r="P11" s="13" t="s">
        <v>26</v>
      </c>
      <c r="Q11" s="14">
        <v>0</v>
      </c>
      <c r="R11" s="13">
        <v>50</v>
      </c>
      <c r="S11" s="13">
        <v>0.25</v>
      </c>
      <c r="T11" s="13">
        <v>0.25</v>
      </c>
      <c r="U11" s="13">
        <v>0</v>
      </c>
    </row>
    <row r="12" spans="1:21" x14ac:dyDescent="0.2">
      <c r="A12" s="13" t="s">
        <v>36</v>
      </c>
      <c r="B12" s="13" t="s">
        <v>37</v>
      </c>
      <c r="C12" s="13" t="s">
        <v>38</v>
      </c>
      <c r="D12" s="13" t="s">
        <v>122</v>
      </c>
      <c r="E12" s="13" t="s">
        <v>123</v>
      </c>
      <c r="F12" s="13" t="s">
        <v>124</v>
      </c>
      <c r="G12" s="13" t="s">
        <v>43</v>
      </c>
      <c r="H12" s="13" t="s">
        <v>24</v>
      </c>
      <c r="I12" s="13" t="s">
        <v>39</v>
      </c>
      <c r="J12" s="13" t="s">
        <v>40</v>
      </c>
      <c r="K12" s="19">
        <v>0.5</v>
      </c>
      <c r="L12" s="19" t="s">
        <v>41</v>
      </c>
      <c r="M12" s="13">
        <v>2021</v>
      </c>
      <c r="N12" s="13" t="s">
        <v>26</v>
      </c>
      <c r="O12" s="14" t="s">
        <v>26</v>
      </c>
      <c r="P12" s="13" t="s">
        <v>26</v>
      </c>
      <c r="Q12" s="14" t="s">
        <v>26</v>
      </c>
      <c r="R12" s="13">
        <v>100</v>
      </c>
      <c r="S12" s="13">
        <v>0.5</v>
      </c>
      <c r="T12" s="13">
        <v>0</v>
      </c>
      <c r="U12" s="13">
        <v>0</v>
      </c>
    </row>
    <row r="13" spans="1:21" x14ac:dyDescent="0.2">
      <c r="A13" s="13" t="s">
        <v>36</v>
      </c>
      <c r="B13" s="13" t="s">
        <v>37</v>
      </c>
      <c r="C13" s="13" t="s">
        <v>38</v>
      </c>
      <c r="D13" s="13" t="s">
        <v>122</v>
      </c>
      <c r="E13" s="13" t="s">
        <v>123</v>
      </c>
      <c r="F13" s="13" t="s">
        <v>124</v>
      </c>
      <c r="G13" s="13" t="s">
        <v>125</v>
      </c>
      <c r="H13" s="13" t="s">
        <v>24</v>
      </c>
      <c r="I13" s="13" t="s">
        <v>39</v>
      </c>
      <c r="J13" s="13" t="s">
        <v>40</v>
      </c>
      <c r="K13" s="19">
        <v>0.5</v>
      </c>
      <c r="L13" s="19" t="s">
        <v>41</v>
      </c>
      <c r="M13" s="13">
        <v>2021</v>
      </c>
      <c r="N13" s="13" t="s">
        <v>26</v>
      </c>
      <c r="O13" s="14" t="s">
        <v>26</v>
      </c>
      <c r="P13" s="13" t="s">
        <v>26</v>
      </c>
      <c r="Q13" s="14" t="s">
        <v>26</v>
      </c>
      <c r="R13" s="13">
        <v>100</v>
      </c>
      <c r="S13" s="13">
        <v>0.5</v>
      </c>
      <c r="T13" s="13">
        <v>0</v>
      </c>
      <c r="U13" s="13">
        <v>0</v>
      </c>
    </row>
    <row r="14" spans="1:21" x14ac:dyDescent="0.2">
      <c r="A14" s="13" t="s">
        <v>33</v>
      </c>
      <c r="B14" s="13" t="s">
        <v>34</v>
      </c>
      <c r="C14" s="13" t="s">
        <v>35</v>
      </c>
      <c r="D14" s="13" t="s">
        <v>137</v>
      </c>
      <c r="E14" s="13" t="s">
        <v>138</v>
      </c>
      <c r="F14" s="13" t="s">
        <v>139</v>
      </c>
      <c r="G14" s="13" t="s">
        <v>44</v>
      </c>
      <c r="H14" s="13" t="s">
        <v>24</v>
      </c>
      <c r="I14" s="13" t="s">
        <v>39</v>
      </c>
      <c r="J14" s="13" t="s">
        <v>40</v>
      </c>
      <c r="K14" s="34">
        <v>0.5</v>
      </c>
      <c r="L14" s="34" t="s">
        <v>41</v>
      </c>
      <c r="M14" s="13">
        <v>2022</v>
      </c>
      <c r="N14" s="34" t="s">
        <v>26</v>
      </c>
      <c r="O14" s="34" t="s">
        <v>26</v>
      </c>
      <c r="P14" s="34" t="s">
        <v>26</v>
      </c>
      <c r="Q14" s="34" t="s">
        <v>26</v>
      </c>
      <c r="R14" s="34">
        <v>100</v>
      </c>
      <c r="S14" s="34">
        <v>0.5</v>
      </c>
      <c r="T14" s="34">
        <v>0</v>
      </c>
      <c r="U14" s="34">
        <v>0</v>
      </c>
    </row>
    <row r="15" spans="1:21" x14ac:dyDescent="0.2">
      <c r="A15" s="13" t="s">
        <v>33</v>
      </c>
      <c r="B15" s="13" t="s">
        <v>34</v>
      </c>
      <c r="C15" s="13" t="s">
        <v>35</v>
      </c>
      <c r="D15" s="13" t="s">
        <v>140</v>
      </c>
      <c r="E15" s="13" t="s">
        <v>141</v>
      </c>
      <c r="F15" s="13" t="s">
        <v>142</v>
      </c>
      <c r="G15" s="13" t="s">
        <v>44</v>
      </c>
      <c r="H15" s="13" t="s">
        <v>24</v>
      </c>
      <c r="I15" s="13" t="s">
        <v>39</v>
      </c>
      <c r="J15" s="13" t="s">
        <v>40</v>
      </c>
      <c r="K15" s="34">
        <v>0.5</v>
      </c>
      <c r="L15" s="34" t="s">
        <v>41</v>
      </c>
      <c r="M15" s="13">
        <v>2022</v>
      </c>
      <c r="N15" s="34" t="s">
        <v>26</v>
      </c>
      <c r="O15" s="34" t="s">
        <v>26</v>
      </c>
      <c r="P15" s="34" t="s">
        <v>26</v>
      </c>
      <c r="Q15" s="34" t="s">
        <v>26</v>
      </c>
      <c r="R15" s="34">
        <v>100</v>
      </c>
      <c r="S15" s="34">
        <v>0.5</v>
      </c>
      <c r="T15" s="34">
        <v>0</v>
      </c>
      <c r="U15" s="34">
        <v>0</v>
      </c>
    </row>
    <row r="16" spans="1:21" x14ac:dyDescent="0.2">
      <c r="A16" s="13" t="s">
        <v>36</v>
      </c>
      <c r="B16" s="13" t="s">
        <v>143</v>
      </c>
      <c r="C16" s="13" t="s">
        <v>38</v>
      </c>
      <c r="D16" s="13" t="s">
        <v>144</v>
      </c>
      <c r="E16" s="13" t="s">
        <v>145</v>
      </c>
      <c r="F16" s="13" t="s">
        <v>146</v>
      </c>
      <c r="G16" s="13" t="s">
        <v>43</v>
      </c>
      <c r="H16" s="13" t="s">
        <v>27</v>
      </c>
      <c r="I16" s="13" t="s">
        <v>39</v>
      </c>
      <c r="J16" s="13" t="s">
        <v>40</v>
      </c>
      <c r="K16" s="34">
        <v>1</v>
      </c>
      <c r="L16" s="34" t="s">
        <v>41</v>
      </c>
      <c r="M16" s="13">
        <v>2022</v>
      </c>
      <c r="N16" s="34" t="s">
        <v>26</v>
      </c>
      <c r="O16" s="34" t="s">
        <v>26</v>
      </c>
      <c r="P16" s="34" t="s">
        <v>26</v>
      </c>
      <c r="Q16" s="34" t="s">
        <v>26</v>
      </c>
      <c r="R16" s="34">
        <v>100</v>
      </c>
      <c r="S16" s="34">
        <v>1</v>
      </c>
      <c r="T16" s="34">
        <v>0</v>
      </c>
      <c r="U16" s="34">
        <v>0</v>
      </c>
    </row>
    <row r="17" spans="1:22" x14ac:dyDescent="0.2">
      <c r="A17" s="13" t="s">
        <v>36</v>
      </c>
      <c r="B17" s="13" t="s">
        <v>143</v>
      </c>
      <c r="C17" s="13" t="s">
        <v>38</v>
      </c>
      <c r="D17" s="13" t="s">
        <v>147</v>
      </c>
      <c r="E17" s="13" t="s">
        <v>148</v>
      </c>
      <c r="F17" s="13" t="s">
        <v>149</v>
      </c>
      <c r="G17" s="13" t="s">
        <v>43</v>
      </c>
      <c r="H17" s="13" t="s">
        <v>24</v>
      </c>
      <c r="I17" s="13" t="s">
        <v>39</v>
      </c>
      <c r="J17" s="13" t="s">
        <v>40</v>
      </c>
      <c r="K17" s="34">
        <v>0.5</v>
      </c>
      <c r="L17" s="34" t="s">
        <v>41</v>
      </c>
      <c r="M17" s="13">
        <v>2022</v>
      </c>
      <c r="N17" s="34" t="s">
        <v>26</v>
      </c>
      <c r="O17" s="34" t="s">
        <v>26</v>
      </c>
      <c r="P17" s="34" t="s">
        <v>26</v>
      </c>
      <c r="Q17" s="34" t="s">
        <v>26</v>
      </c>
      <c r="R17" s="34">
        <v>100</v>
      </c>
      <c r="S17" s="34">
        <v>0.5</v>
      </c>
      <c r="T17" s="34">
        <v>0</v>
      </c>
      <c r="U17" s="34">
        <v>0</v>
      </c>
    </row>
    <row r="18" spans="1:22" x14ac:dyDescent="0.2">
      <c r="A18" s="13" t="s">
        <v>36</v>
      </c>
      <c r="B18" s="13" t="s">
        <v>143</v>
      </c>
      <c r="C18" s="13" t="s">
        <v>38</v>
      </c>
      <c r="D18" s="13" t="s">
        <v>150</v>
      </c>
      <c r="E18" s="13" t="s">
        <v>151</v>
      </c>
      <c r="F18" s="13" t="s">
        <v>152</v>
      </c>
      <c r="G18" s="13" t="s">
        <v>45</v>
      </c>
      <c r="H18" s="13" t="s">
        <v>27</v>
      </c>
      <c r="I18" s="13" t="s">
        <v>39</v>
      </c>
      <c r="J18" s="13" t="s">
        <v>40</v>
      </c>
      <c r="K18" s="34">
        <v>1</v>
      </c>
      <c r="L18" s="34" t="s">
        <v>41</v>
      </c>
      <c r="M18" s="13">
        <v>2022</v>
      </c>
      <c r="N18" s="34" t="s">
        <v>31</v>
      </c>
      <c r="O18" s="34">
        <v>50</v>
      </c>
      <c r="P18" s="34" t="s">
        <v>26</v>
      </c>
      <c r="Q18" s="34">
        <v>0</v>
      </c>
      <c r="R18" s="34">
        <v>50</v>
      </c>
      <c r="S18" s="34">
        <v>0.5</v>
      </c>
      <c r="T18" s="34">
        <v>0.5</v>
      </c>
      <c r="U18" s="34">
        <v>0</v>
      </c>
    </row>
    <row r="19" spans="1:22" x14ac:dyDescent="0.2">
      <c r="A19" s="13" t="s">
        <v>36</v>
      </c>
      <c r="B19" s="13" t="s">
        <v>143</v>
      </c>
      <c r="C19" s="13" t="s">
        <v>38</v>
      </c>
      <c r="D19" s="13" t="s">
        <v>153</v>
      </c>
      <c r="E19" s="13" t="s">
        <v>154</v>
      </c>
      <c r="F19" s="13" t="s">
        <v>155</v>
      </c>
      <c r="G19" s="13" t="s">
        <v>43</v>
      </c>
      <c r="H19" s="13" t="s">
        <v>24</v>
      </c>
      <c r="I19" s="13" t="s">
        <v>39</v>
      </c>
      <c r="J19" s="13" t="s">
        <v>40</v>
      </c>
      <c r="K19" s="34">
        <v>0.5</v>
      </c>
      <c r="L19" s="34" t="s">
        <v>41</v>
      </c>
      <c r="M19" s="13">
        <v>2022</v>
      </c>
      <c r="N19" s="34" t="s">
        <v>26</v>
      </c>
      <c r="O19" s="34" t="s">
        <v>26</v>
      </c>
      <c r="P19" s="34" t="s">
        <v>26</v>
      </c>
      <c r="Q19" s="34" t="s">
        <v>26</v>
      </c>
      <c r="R19" s="34">
        <v>100</v>
      </c>
      <c r="S19" s="34">
        <v>0.5</v>
      </c>
      <c r="T19" s="34">
        <v>0</v>
      </c>
      <c r="U19" s="34">
        <v>0</v>
      </c>
    </row>
    <row r="20" spans="1:22" x14ac:dyDescent="0.2">
      <c r="A20" s="13" t="s">
        <v>36</v>
      </c>
      <c r="B20" s="13" t="s">
        <v>143</v>
      </c>
      <c r="C20" s="13" t="s">
        <v>38</v>
      </c>
      <c r="D20" s="13" t="s">
        <v>153</v>
      </c>
      <c r="E20" s="13" t="s">
        <v>154</v>
      </c>
      <c r="F20" s="13" t="s">
        <v>155</v>
      </c>
      <c r="G20" s="13" t="s">
        <v>125</v>
      </c>
      <c r="H20" s="13" t="s">
        <v>24</v>
      </c>
      <c r="I20" s="13" t="s">
        <v>39</v>
      </c>
      <c r="J20" s="13" t="s">
        <v>40</v>
      </c>
      <c r="K20" s="34">
        <v>0.5</v>
      </c>
      <c r="L20" s="34" t="s">
        <v>41</v>
      </c>
      <c r="M20" s="13">
        <v>2022</v>
      </c>
      <c r="N20" s="34" t="s">
        <v>26</v>
      </c>
      <c r="O20" s="34" t="s">
        <v>26</v>
      </c>
      <c r="P20" s="34" t="s">
        <v>26</v>
      </c>
      <c r="Q20" s="34" t="s">
        <v>26</v>
      </c>
      <c r="R20" s="34">
        <v>100</v>
      </c>
      <c r="S20" s="34">
        <v>0.5</v>
      </c>
      <c r="T20" s="34">
        <v>0</v>
      </c>
      <c r="U20" s="34">
        <v>0</v>
      </c>
    </row>
    <row r="21" spans="1:22" x14ac:dyDescent="0.2">
      <c r="A21" s="13" t="s">
        <v>36</v>
      </c>
      <c r="B21" s="13" t="s">
        <v>143</v>
      </c>
      <c r="C21" s="13" t="s">
        <v>38</v>
      </c>
      <c r="D21" s="13" t="s">
        <v>156</v>
      </c>
      <c r="E21" s="13" t="s">
        <v>157</v>
      </c>
      <c r="F21" s="13" t="s">
        <v>158</v>
      </c>
      <c r="G21" s="13" t="s">
        <v>43</v>
      </c>
      <c r="H21" s="13" t="s">
        <v>27</v>
      </c>
      <c r="I21" s="13" t="s">
        <v>39</v>
      </c>
      <c r="J21" s="13" t="s">
        <v>40</v>
      </c>
      <c r="K21" s="34">
        <v>1</v>
      </c>
      <c r="L21" s="34" t="s">
        <v>41</v>
      </c>
      <c r="M21" s="13">
        <v>2022</v>
      </c>
      <c r="N21" s="34" t="s">
        <v>26</v>
      </c>
      <c r="O21" s="34" t="s">
        <v>26</v>
      </c>
      <c r="P21" s="34" t="s">
        <v>26</v>
      </c>
      <c r="Q21" s="34" t="s">
        <v>26</v>
      </c>
      <c r="R21" s="34">
        <v>100</v>
      </c>
      <c r="S21" s="34">
        <v>1</v>
      </c>
      <c r="T21" s="34">
        <v>0</v>
      </c>
      <c r="U21" s="34">
        <v>0</v>
      </c>
    </row>
    <row r="22" spans="1:22" s="75" customFormat="1" x14ac:dyDescent="0.2">
      <c r="A22" s="72" t="s">
        <v>231</v>
      </c>
      <c r="B22" s="72" t="s">
        <v>232</v>
      </c>
      <c r="C22" s="72" t="s">
        <v>233</v>
      </c>
      <c r="D22" s="72" t="s">
        <v>234</v>
      </c>
      <c r="E22" s="72" t="s">
        <v>235</v>
      </c>
      <c r="F22" s="72" t="s">
        <v>236</v>
      </c>
      <c r="G22" s="72" t="s">
        <v>87</v>
      </c>
      <c r="H22" s="72" t="s">
        <v>237</v>
      </c>
      <c r="I22" s="73" t="s">
        <v>41</v>
      </c>
      <c r="J22" s="72" t="s">
        <v>238</v>
      </c>
      <c r="K22" s="34">
        <v>1</v>
      </c>
      <c r="L22" s="34" t="s">
        <v>41</v>
      </c>
      <c r="M22" s="34">
        <v>2023</v>
      </c>
      <c r="N22" s="34" t="s">
        <v>26</v>
      </c>
      <c r="O22" s="34" t="s">
        <v>26</v>
      </c>
      <c r="P22" s="34" t="s">
        <v>26</v>
      </c>
      <c r="Q22" s="34" t="s">
        <v>26</v>
      </c>
      <c r="R22" s="34">
        <v>100</v>
      </c>
      <c r="S22" s="34">
        <v>1</v>
      </c>
      <c r="T22" s="34">
        <v>0</v>
      </c>
      <c r="U22" s="34">
        <v>0</v>
      </c>
      <c r="V22" s="74" t="s">
        <v>162</v>
      </c>
    </row>
    <row r="23" spans="1:22" s="75" customFormat="1" x14ac:dyDescent="0.2">
      <c r="A23" s="72" t="s">
        <v>316</v>
      </c>
      <c r="B23" s="72" t="s">
        <v>317</v>
      </c>
      <c r="C23" s="72" t="s">
        <v>318</v>
      </c>
      <c r="D23" s="72" t="s">
        <v>319</v>
      </c>
      <c r="E23" s="72" t="s">
        <v>320</v>
      </c>
      <c r="F23" s="72" t="s">
        <v>321</v>
      </c>
      <c r="G23" s="72" t="s">
        <v>70</v>
      </c>
      <c r="H23" s="72" t="s">
        <v>322</v>
      </c>
      <c r="I23" s="73" t="s">
        <v>41</v>
      </c>
      <c r="J23" s="72" t="s">
        <v>323</v>
      </c>
      <c r="K23" s="34">
        <v>0.5</v>
      </c>
      <c r="L23" s="34" t="s">
        <v>41</v>
      </c>
      <c r="M23" s="34">
        <v>2024</v>
      </c>
      <c r="N23" s="34" t="s">
        <v>26</v>
      </c>
      <c r="O23" s="34" t="s">
        <v>26</v>
      </c>
      <c r="P23" s="34" t="s">
        <v>26</v>
      </c>
      <c r="Q23" s="34" t="s">
        <v>26</v>
      </c>
      <c r="R23" s="34">
        <v>100</v>
      </c>
      <c r="S23" s="34">
        <v>0.5</v>
      </c>
      <c r="T23" s="34">
        <v>0</v>
      </c>
      <c r="U23" s="34">
        <v>0</v>
      </c>
      <c r="V23" s="74"/>
    </row>
    <row r="24" spans="1:22" s="75" customFormat="1" x14ac:dyDescent="0.2">
      <c r="A24" s="72" t="s">
        <v>231</v>
      </c>
      <c r="B24" s="72" t="s">
        <v>324</v>
      </c>
      <c r="C24" s="72" t="s">
        <v>233</v>
      </c>
      <c r="D24" s="72" t="s">
        <v>325</v>
      </c>
      <c r="E24" s="72" t="s">
        <v>326</v>
      </c>
      <c r="F24" s="72" t="s">
        <v>327</v>
      </c>
      <c r="G24" s="72" t="s">
        <v>244</v>
      </c>
      <c r="H24" s="72" t="s">
        <v>322</v>
      </c>
      <c r="I24" s="73" t="s">
        <v>41</v>
      </c>
      <c r="J24" s="72" t="s">
        <v>323</v>
      </c>
      <c r="K24" s="34">
        <v>0.5</v>
      </c>
      <c r="L24" s="34" t="s">
        <v>41</v>
      </c>
      <c r="M24" s="34">
        <v>2024</v>
      </c>
      <c r="N24" s="34" t="s">
        <v>26</v>
      </c>
      <c r="O24" s="34" t="s">
        <v>26</v>
      </c>
      <c r="P24" s="34" t="s">
        <v>26</v>
      </c>
      <c r="Q24" s="34" t="s">
        <v>26</v>
      </c>
      <c r="R24" s="34">
        <v>100</v>
      </c>
      <c r="S24" s="34">
        <v>0.5</v>
      </c>
      <c r="T24" s="34">
        <v>0</v>
      </c>
      <c r="U24" s="34">
        <v>0</v>
      </c>
      <c r="V24" s="74"/>
    </row>
    <row r="25" spans="1:22" s="75" customFormat="1" x14ac:dyDescent="0.2">
      <c r="A25" s="72" t="s">
        <v>231</v>
      </c>
      <c r="B25" s="72" t="s">
        <v>324</v>
      </c>
      <c r="C25" s="72" t="s">
        <v>233</v>
      </c>
      <c r="D25" s="72" t="s">
        <v>325</v>
      </c>
      <c r="E25" s="72" t="s">
        <v>326</v>
      </c>
      <c r="F25" s="72" t="s">
        <v>327</v>
      </c>
      <c r="G25" s="72" t="s">
        <v>245</v>
      </c>
      <c r="H25" s="72" t="s">
        <v>322</v>
      </c>
      <c r="I25" s="73" t="s">
        <v>41</v>
      </c>
      <c r="J25" s="72" t="s">
        <v>323</v>
      </c>
      <c r="K25" s="34">
        <v>0.5</v>
      </c>
      <c r="L25" s="34" t="s">
        <v>41</v>
      </c>
      <c r="M25" s="34">
        <v>2024</v>
      </c>
      <c r="N25" s="34" t="s">
        <v>26</v>
      </c>
      <c r="O25" s="34" t="s">
        <v>26</v>
      </c>
      <c r="P25" s="34" t="s">
        <v>26</v>
      </c>
      <c r="Q25" s="34" t="s">
        <v>26</v>
      </c>
      <c r="R25" s="34">
        <v>100</v>
      </c>
      <c r="S25" s="34">
        <v>0.5</v>
      </c>
      <c r="T25" s="34">
        <v>0</v>
      </c>
      <c r="U25" s="34">
        <v>0</v>
      </c>
      <c r="V25" s="74"/>
    </row>
    <row r="26" spans="1:22" s="75" customFormat="1" x14ac:dyDescent="0.2">
      <c r="A26" s="72" t="s">
        <v>231</v>
      </c>
      <c r="B26" s="72" t="s">
        <v>324</v>
      </c>
      <c r="C26" s="72" t="s">
        <v>233</v>
      </c>
      <c r="D26" s="72" t="s">
        <v>328</v>
      </c>
      <c r="E26" s="72" t="s">
        <v>329</v>
      </c>
      <c r="F26" s="72" t="s">
        <v>330</v>
      </c>
      <c r="G26" s="72" t="s">
        <v>66</v>
      </c>
      <c r="H26" s="72" t="s">
        <v>322</v>
      </c>
      <c r="I26" s="73" t="s">
        <v>41</v>
      </c>
      <c r="J26" s="72" t="s">
        <v>323</v>
      </c>
      <c r="K26" s="34">
        <v>0.5</v>
      </c>
      <c r="L26" s="34" t="s">
        <v>41</v>
      </c>
      <c r="M26" s="34">
        <v>2024</v>
      </c>
      <c r="N26" s="34" t="s">
        <v>26</v>
      </c>
      <c r="O26" s="34" t="s">
        <v>26</v>
      </c>
      <c r="P26" s="34" t="s">
        <v>26</v>
      </c>
      <c r="Q26" s="34" t="s">
        <v>26</v>
      </c>
      <c r="R26" s="34">
        <v>100</v>
      </c>
      <c r="S26" s="34">
        <v>0.5</v>
      </c>
      <c r="T26" s="34">
        <v>0</v>
      </c>
      <c r="U26" s="34">
        <v>0</v>
      </c>
      <c r="V26" s="74"/>
    </row>
    <row r="27" spans="1:22" s="75" customFormat="1" x14ac:dyDescent="0.2">
      <c r="A27" s="72" t="s">
        <v>331</v>
      </c>
      <c r="B27" s="72" t="s">
        <v>332</v>
      </c>
      <c r="C27" s="72" t="s">
        <v>333</v>
      </c>
      <c r="D27" s="72" t="s">
        <v>334</v>
      </c>
      <c r="E27" s="72" t="s">
        <v>335</v>
      </c>
      <c r="F27" s="72" t="s">
        <v>336</v>
      </c>
      <c r="G27" s="72" t="s">
        <v>159</v>
      </c>
      <c r="H27" s="72" t="s">
        <v>322</v>
      </c>
      <c r="I27" s="73" t="s">
        <v>41</v>
      </c>
      <c r="J27" s="72" t="s">
        <v>323</v>
      </c>
      <c r="K27" s="34">
        <v>0.5</v>
      </c>
      <c r="L27" s="34" t="s">
        <v>41</v>
      </c>
      <c r="M27" s="34">
        <v>2024</v>
      </c>
      <c r="N27" s="34" t="s">
        <v>31</v>
      </c>
      <c r="O27" s="34" t="s">
        <v>25</v>
      </c>
      <c r="P27" s="34" t="s">
        <v>26</v>
      </c>
      <c r="Q27" s="34" t="s">
        <v>26</v>
      </c>
      <c r="R27" s="34">
        <v>50</v>
      </c>
      <c r="S27" s="34">
        <v>0.25</v>
      </c>
      <c r="T27" s="34">
        <v>0.25</v>
      </c>
      <c r="U27" s="34">
        <v>0</v>
      </c>
      <c r="V27" s="74"/>
    </row>
    <row r="28" spans="1:22" s="75" customFormat="1" x14ac:dyDescent="0.2">
      <c r="A28" s="72" t="s">
        <v>331</v>
      </c>
      <c r="B28" s="72" t="s">
        <v>332</v>
      </c>
      <c r="C28" s="72" t="s">
        <v>333</v>
      </c>
      <c r="D28" s="72" t="s">
        <v>334</v>
      </c>
      <c r="E28" s="72" t="s">
        <v>335</v>
      </c>
      <c r="F28" s="72" t="s">
        <v>336</v>
      </c>
      <c r="G28" s="72" t="s">
        <v>73</v>
      </c>
      <c r="H28" s="72" t="s">
        <v>322</v>
      </c>
      <c r="I28" s="73" t="s">
        <v>41</v>
      </c>
      <c r="J28" s="72" t="s">
        <v>323</v>
      </c>
      <c r="K28" s="34">
        <v>0.5</v>
      </c>
      <c r="L28" s="34" t="s">
        <v>41</v>
      </c>
      <c r="M28" s="34">
        <v>2024</v>
      </c>
      <c r="N28" s="34" t="s">
        <v>31</v>
      </c>
      <c r="O28" s="34" t="s">
        <v>25</v>
      </c>
      <c r="P28" s="34" t="s">
        <v>26</v>
      </c>
      <c r="Q28" s="34" t="s">
        <v>26</v>
      </c>
      <c r="R28" s="34">
        <v>50</v>
      </c>
      <c r="S28" s="34">
        <v>0.25</v>
      </c>
      <c r="T28" s="34">
        <v>0.25</v>
      </c>
      <c r="U28" s="34">
        <v>0</v>
      </c>
      <c r="V28" s="74"/>
    </row>
    <row r="29" spans="1:22" s="75" customFormat="1" x14ac:dyDescent="0.2">
      <c r="A29" s="72" t="s">
        <v>331</v>
      </c>
      <c r="B29" s="72" t="s">
        <v>332</v>
      </c>
      <c r="C29" s="72" t="s">
        <v>333</v>
      </c>
      <c r="D29" s="72" t="s">
        <v>337</v>
      </c>
      <c r="E29" s="72" t="s">
        <v>338</v>
      </c>
      <c r="F29" s="72" t="s">
        <v>339</v>
      </c>
      <c r="G29" s="72" t="s">
        <v>64</v>
      </c>
      <c r="H29" s="72" t="s">
        <v>322</v>
      </c>
      <c r="I29" s="73" t="s">
        <v>41</v>
      </c>
      <c r="J29" s="72" t="s">
        <v>323</v>
      </c>
      <c r="K29" s="34">
        <v>0.5</v>
      </c>
      <c r="L29" s="34" t="s">
        <v>41</v>
      </c>
      <c r="M29" s="34">
        <v>2024</v>
      </c>
      <c r="N29" s="34" t="s">
        <v>26</v>
      </c>
      <c r="O29" s="34" t="s">
        <v>26</v>
      </c>
      <c r="P29" s="34" t="s">
        <v>26</v>
      </c>
      <c r="Q29" s="34" t="s">
        <v>26</v>
      </c>
      <c r="R29" s="34">
        <v>100</v>
      </c>
      <c r="S29" s="34">
        <v>0.5</v>
      </c>
      <c r="T29" s="34">
        <v>0</v>
      </c>
      <c r="U29" s="34">
        <v>0</v>
      </c>
      <c r="V29" s="74"/>
    </row>
    <row r="30" spans="1:22" s="75" customFormat="1" x14ac:dyDescent="0.2">
      <c r="A30" s="72" t="s">
        <v>331</v>
      </c>
      <c r="B30" s="72" t="s">
        <v>332</v>
      </c>
      <c r="C30" s="72" t="s">
        <v>333</v>
      </c>
      <c r="D30" s="72" t="s">
        <v>337</v>
      </c>
      <c r="E30" s="72" t="s">
        <v>338</v>
      </c>
      <c r="F30" s="72" t="s">
        <v>339</v>
      </c>
      <c r="G30" s="72" t="s">
        <v>243</v>
      </c>
      <c r="H30" s="72" t="s">
        <v>322</v>
      </c>
      <c r="I30" s="73" t="s">
        <v>41</v>
      </c>
      <c r="J30" s="72" t="s">
        <v>323</v>
      </c>
      <c r="K30" s="34">
        <v>0.5</v>
      </c>
      <c r="L30" s="34" t="s">
        <v>41</v>
      </c>
      <c r="M30" s="34">
        <v>2024</v>
      </c>
      <c r="N30" s="34" t="s">
        <v>26</v>
      </c>
      <c r="O30" s="34" t="s">
        <v>26</v>
      </c>
      <c r="P30" s="34" t="s">
        <v>26</v>
      </c>
      <c r="Q30" s="34" t="s">
        <v>26</v>
      </c>
      <c r="R30" s="34">
        <v>100</v>
      </c>
      <c r="S30" s="34">
        <v>0.5</v>
      </c>
      <c r="T30" s="34">
        <v>0</v>
      </c>
      <c r="U30" s="34">
        <v>0</v>
      </c>
      <c r="V30" s="74"/>
    </row>
    <row r="31" spans="1:22" s="75" customFormat="1" x14ac:dyDescent="0.2">
      <c r="A31" s="72" t="s">
        <v>331</v>
      </c>
      <c r="B31" s="72" t="s">
        <v>332</v>
      </c>
      <c r="C31" s="72" t="s">
        <v>333</v>
      </c>
      <c r="D31" s="72" t="s">
        <v>340</v>
      </c>
      <c r="E31" s="72" t="s">
        <v>341</v>
      </c>
      <c r="F31" s="72" t="s">
        <v>342</v>
      </c>
      <c r="G31" s="72" t="s">
        <v>73</v>
      </c>
      <c r="H31" s="72" t="s">
        <v>322</v>
      </c>
      <c r="I31" s="73" t="s">
        <v>41</v>
      </c>
      <c r="J31" s="72" t="s">
        <v>323</v>
      </c>
      <c r="K31" s="34">
        <v>0.5</v>
      </c>
      <c r="L31" s="34" t="s">
        <v>41</v>
      </c>
      <c r="M31" s="34">
        <v>2024</v>
      </c>
      <c r="N31" s="34" t="s">
        <v>31</v>
      </c>
      <c r="O31" s="34" t="s">
        <v>25</v>
      </c>
      <c r="P31" s="34" t="s">
        <v>26</v>
      </c>
      <c r="Q31" s="34" t="s">
        <v>26</v>
      </c>
      <c r="R31" s="34">
        <v>50</v>
      </c>
      <c r="S31" s="34">
        <v>0.25</v>
      </c>
      <c r="T31" s="34">
        <v>0.25</v>
      </c>
      <c r="U31" s="34">
        <v>0</v>
      </c>
      <c r="V31" s="74"/>
    </row>
    <row r="32" spans="1:22" x14ac:dyDescent="0.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6"/>
      <c r="P32" s="45"/>
      <c r="Q32" s="46"/>
      <c r="R32" s="45"/>
      <c r="S32" s="47">
        <f>SUM(S2:S31)</f>
        <v>17.75</v>
      </c>
      <c r="T32" s="45"/>
      <c r="U32" s="45"/>
    </row>
  </sheetData>
  <autoFilter ref="A1:U1" xr:uid="{00000000-0009-0000-0000-000000000000}">
    <sortState xmlns:xlrd2="http://schemas.microsoft.com/office/spreadsheetml/2017/richdata2" ref="A2:T1887">
      <sortCondition ref="K2:K1887"/>
      <sortCondition ref="L2:L1887"/>
      <sortCondition ref="D2:D1887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0"/>
  <sheetViews>
    <sheetView topLeftCell="A4" zoomScaleNormal="100" workbookViewId="0">
      <selection activeCell="C39" sqref="C39"/>
    </sheetView>
  </sheetViews>
  <sheetFormatPr baseColWidth="10" defaultColWidth="11.44140625" defaultRowHeight="13.2" x14ac:dyDescent="0.25"/>
  <cols>
    <col min="1" max="1" width="10.44140625" style="11" bestFit="1" customWidth="1"/>
    <col min="2" max="2" width="39.554687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28" t="s">
        <v>46</v>
      </c>
      <c r="B1" s="28" t="s">
        <v>47</v>
      </c>
      <c r="C1" s="28" t="s">
        <v>48</v>
      </c>
      <c r="D1" s="29" t="s">
        <v>343</v>
      </c>
      <c r="E1" s="29" t="s">
        <v>344</v>
      </c>
      <c r="F1" s="29" t="s">
        <v>345</v>
      </c>
      <c r="G1" s="29" t="s">
        <v>346</v>
      </c>
      <c r="H1" s="29" t="s">
        <v>347</v>
      </c>
      <c r="I1" s="29" t="s">
        <v>348</v>
      </c>
      <c r="J1" s="28" t="s">
        <v>49</v>
      </c>
      <c r="K1" s="30" t="s">
        <v>126</v>
      </c>
      <c r="L1" s="8" t="s">
        <v>50</v>
      </c>
      <c r="M1" s="8" t="s">
        <v>51</v>
      </c>
      <c r="N1" s="8" t="s">
        <v>52</v>
      </c>
      <c r="O1" s="8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11"/>
    </row>
    <row r="2" spans="1:20" ht="14.4" x14ac:dyDescent="0.3">
      <c r="A2" s="31" t="s">
        <v>159</v>
      </c>
      <c r="B2" s="31" t="s">
        <v>349</v>
      </c>
      <c r="C2" s="31" t="s">
        <v>58</v>
      </c>
      <c r="D2" s="31"/>
      <c r="E2" s="31"/>
      <c r="F2" s="31"/>
      <c r="G2" s="31"/>
      <c r="H2" s="31"/>
      <c r="I2" s="31">
        <v>2</v>
      </c>
      <c r="J2" s="31">
        <v>2</v>
      </c>
      <c r="K2" s="31" t="s">
        <v>41</v>
      </c>
      <c r="L2" s="32" t="s">
        <v>31</v>
      </c>
      <c r="M2" s="32" t="s">
        <v>25</v>
      </c>
      <c r="N2" s="32" t="s">
        <v>26</v>
      </c>
      <c r="O2" s="32" t="s">
        <v>26</v>
      </c>
      <c r="P2" s="32">
        <v>50</v>
      </c>
      <c r="Q2" s="32">
        <v>1</v>
      </c>
      <c r="R2" s="32">
        <v>0</v>
      </c>
      <c r="S2" s="32">
        <v>1</v>
      </c>
    </row>
    <row r="3" spans="1:20" ht="14.4" x14ac:dyDescent="0.3">
      <c r="A3" s="31" t="s">
        <v>72</v>
      </c>
      <c r="B3" s="31" t="s">
        <v>350</v>
      </c>
      <c r="C3" s="31" t="s">
        <v>58</v>
      </c>
      <c r="D3" s="31"/>
      <c r="E3" s="31"/>
      <c r="F3" s="31">
        <v>1</v>
      </c>
      <c r="G3" s="31"/>
      <c r="H3" s="31"/>
      <c r="I3" s="31"/>
      <c r="J3" s="31">
        <v>1</v>
      </c>
      <c r="K3" s="31" t="s">
        <v>41</v>
      </c>
      <c r="L3" s="32" t="s">
        <v>31</v>
      </c>
      <c r="M3" s="32" t="s">
        <v>239</v>
      </c>
      <c r="N3" s="32" t="s">
        <v>26</v>
      </c>
      <c r="O3" s="32" t="s">
        <v>26</v>
      </c>
      <c r="P3" s="32">
        <v>80</v>
      </c>
      <c r="Q3" s="32">
        <v>0.2</v>
      </c>
      <c r="R3" s="32">
        <v>0</v>
      </c>
      <c r="S3" s="32">
        <v>0.8</v>
      </c>
    </row>
    <row r="4" spans="1:20" ht="14.4" x14ac:dyDescent="0.3">
      <c r="A4" s="31" t="s">
        <v>240</v>
      </c>
      <c r="B4" s="31" t="s">
        <v>351</v>
      </c>
      <c r="C4" s="31" t="s">
        <v>59</v>
      </c>
      <c r="D4" s="31"/>
      <c r="E4" s="31"/>
      <c r="F4" s="31"/>
      <c r="G4" s="31"/>
      <c r="H4" s="31">
        <v>1</v>
      </c>
      <c r="I4" s="31"/>
      <c r="J4" s="31">
        <v>1</v>
      </c>
      <c r="K4" s="31" t="s">
        <v>41</v>
      </c>
      <c r="L4" s="32">
        <v>0</v>
      </c>
      <c r="M4" s="32">
        <v>0</v>
      </c>
      <c r="N4" s="32" t="s">
        <v>26</v>
      </c>
      <c r="O4" s="32" t="s">
        <v>26</v>
      </c>
      <c r="P4" s="32">
        <v>100</v>
      </c>
      <c r="Q4" s="32">
        <v>0</v>
      </c>
      <c r="R4" s="32">
        <v>0</v>
      </c>
      <c r="S4" s="32">
        <v>1</v>
      </c>
    </row>
    <row r="5" spans="1:20" ht="14.4" x14ac:dyDescent="0.3">
      <c r="A5" s="31" t="s">
        <v>352</v>
      </c>
      <c r="B5" s="31" t="s">
        <v>353</v>
      </c>
      <c r="C5" s="33" t="s">
        <v>59</v>
      </c>
      <c r="D5" s="31"/>
      <c r="E5" s="31"/>
      <c r="F5" s="31"/>
      <c r="G5" s="31"/>
      <c r="H5" s="31"/>
      <c r="I5" s="31">
        <v>1</v>
      </c>
      <c r="J5" s="31">
        <v>1</v>
      </c>
      <c r="K5" s="31" t="s">
        <v>41</v>
      </c>
      <c r="L5" s="32">
        <v>0</v>
      </c>
      <c r="M5" s="32">
        <v>0</v>
      </c>
      <c r="N5" s="32" t="s">
        <v>26</v>
      </c>
      <c r="O5" s="32" t="s">
        <v>26</v>
      </c>
      <c r="P5" s="32">
        <v>100</v>
      </c>
      <c r="Q5" s="32">
        <v>0</v>
      </c>
      <c r="R5" s="32">
        <v>0</v>
      </c>
      <c r="S5" s="32">
        <v>1</v>
      </c>
    </row>
    <row r="6" spans="1:20" ht="14.4" x14ac:dyDescent="0.3">
      <c r="A6" s="31" t="s">
        <v>61</v>
      </c>
      <c r="B6" s="31" t="s">
        <v>354</v>
      </c>
      <c r="C6" s="31" t="s">
        <v>160</v>
      </c>
      <c r="D6" s="31"/>
      <c r="E6" s="31"/>
      <c r="F6" s="31"/>
      <c r="G6" s="31"/>
      <c r="H6" s="31"/>
      <c r="I6" s="31">
        <v>1</v>
      </c>
      <c r="J6" s="31">
        <v>1</v>
      </c>
      <c r="K6" s="31" t="s">
        <v>41</v>
      </c>
      <c r="L6" s="32" t="s">
        <v>32</v>
      </c>
      <c r="M6" s="32" t="s">
        <v>241</v>
      </c>
      <c r="N6" s="32" t="s">
        <v>26</v>
      </c>
      <c r="O6" s="32" t="s">
        <v>26</v>
      </c>
      <c r="P6" s="32">
        <v>90</v>
      </c>
      <c r="Q6" s="32">
        <v>0.1</v>
      </c>
      <c r="R6" s="32">
        <v>0</v>
      </c>
      <c r="S6" s="32">
        <v>0.9</v>
      </c>
    </row>
    <row r="7" spans="1:20" ht="14.4" x14ac:dyDescent="0.3">
      <c r="A7" s="31" t="s">
        <v>74</v>
      </c>
      <c r="B7" s="31" t="s">
        <v>355</v>
      </c>
      <c r="C7" s="31" t="s">
        <v>58</v>
      </c>
      <c r="D7" s="31"/>
      <c r="E7" s="31"/>
      <c r="F7" s="31"/>
      <c r="G7" s="31"/>
      <c r="H7" s="31">
        <v>1</v>
      </c>
      <c r="I7" s="31"/>
      <c r="J7" s="31">
        <v>1</v>
      </c>
      <c r="K7" s="31" t="s">
        <v>41</v>
      </c>
      <c r="L7" s="32" t="s">
        <v>31</v>
      </c>
      <c r="M7" s="32" t="s">
        <v>25</v>
      </c>
      <c r="N7" s="32" t="s">
        <v>26</v>
      </c>
      <c r="O7" s="32" t="s">
        <v>26</v>
      </c>
      <c r="P7" s="32">
        <v>50</v>
      </c>
      <c r="Q7" s="32">
        <v>0.5</v>
      </c>
      <c r="R7" s="32">
        <v>0</v>
      </c>
      <c r="S7" s="32">
        <v>0.5</v>
      </c>
    </row>
    <row r="8" spans="1:20" ht="14.4" x14ac:dyDescent="0.3">
      <c r="A8" s="31" t="s">
        <v>75</v>
      </c>
      <c r="B8" s="31" t="s">
        <v>356</v>
      </c>
      <c r="C8" s="31" t="s">
        <v>160</v>
      </c>
      <c r="D8" s="31"/>
      <c r="E8" s="31"/>
      <c r="F8" s="31"/>
      <c r="G8" s="31"/>
      <c r="H8" s="31"/>
      <c r="I8" s="31">
        <v>1</v>
      </c>
      <c r="J8" s="31">
        <v>1</v>
      </c>
      <c r="K8" s="31" t="s">
        <v>41</v>
      </c>
      <c r="L8" s="32" t="s">
        <v>31</v>
      </c>
      <c r="M8" s="32" t="s">
        <v>239</v>
      </c>
      <c r="N8" s="32" t="s">
        <v>26</v>
      </c>
      <c r="O8" s="32" t="s">
        <v>26</v>
      </c>
      <c r="P8" s="32">
        <v>80</v>
      </c>
      <c r="Q8" s="32">
        <v>0.2</v>
      </c>
      <c r="R8" s="32">
        <v>0</v>
      </c>
      <c r="S8" s="32">
        <v>0.8</v>
      </c>
    </row>
    <row r="9" spans="1:20" ht="14.4" x14ac:dyDescent="0.3">
      <c r="A9" s="31" t="s">
        <v>242</v>
      </c>
      <c r="B9" s="31" t="s">
        <v>357</v>
      </c>
      <c r="C9" s="31" t="s">
        <v>58</v>
      </c>
      <c r="D9" s="31"/>
      <c r="E9" s="31"/>
      <c r="F9" s="31"/>
      <c r="G9" s="31"/>
      <c r="H9" s="31">
        <v>1</v>
      </c>
      <c r="I9" s="31"/>
      <c r="J9" s="31">
        <v>1</v>
      </c>
      <c r="K9" s="31" t="s">
        <v>41</v>
      </c>
      <c r="L9" s="32" t="s">
        <v>31</v>
      </c>
      <c r="M9" s="32" t="s">
        <v>239</v>
      </c>
      <c r="N9" s="32" t="s">
        <v>26</v>
      </c>
      <c r="O9" s="32" t="s">
        <v>26</v>
      </c>
      <c r="P9" s="32">
        <v>80</v>
      </c>
      <c r="Q9" s="32">
        <v>0.2</v>
      </c>
      <c r="R9" s="32">
        <v>0</v>
      </c>
      <c r="S9" s="32">
        <v>0.8</v>
      </c>
    </row>
    <row r="10" spans="1:20" ht="14.4" x14ac:dyDescent="0.3">
      <c r="A10" s="31" t="s">
        <v>87</v>
      </c>
      <c r="B10" s="31" t="s">
        <v>358</v>
      </c>
      <c r="C10" s="31" t="s">
        <v>58</v>
      </c>
      <c r="D10" s="31">
        <v>1</v>
      </c>
      <c r="E10" s="31"/>
      <c r="F10" s="31"/>
      <c r="G10" s="31"/>
      <c r="H10" s="31"/>
      <c r="I10" s="31"/>
      <c r="J10" s="31">
        <v>1</v>
      </c>
      <c r="K10" s="31" t="s">
        <v>41</v>
      </c>
      <c r="L10" s="32">
        <v>0</v>
      </c>
      <c r="M10" s="32">
        <v>0</v>
      </c>
      <c r="N10" s="32" t="s">
        <v>26</v>
      </c>
      <c r="O10" s="32" t="s">
        <v>26</v>
      </c>
      <c r="P10" s="32">
        <v>100</v>
      </c>
      <c r="Q10" s="32">
        <v>0</v>
      </c>
      <c r="R10" s="32">
        <v>0</v>
      </c>
      <c r="S10" s="32">
        <v>1</v>
      </c>
    </row>
    <row r="11" spans="1:20" ht="14.4" x14ac:dyDescent="0.3">
      <c r="A11" s="31" t="s">
        <v>69</v>
      </c>
      <c r="B11" s="31" t="s">
        <v>359</v>
      </c>
      <c r="C11" s="31" t="s">
        <v>58</v>
      </c>
      <c r="D11" s="31"/>
      <c r="E11" s="31"/>
      <c r="F11" s="31"/>
      <c r="G11" s="31">
        <v>1</v>
      </c>
      <c r="H11" s="31"/>
      <c r="I11" s="31"/>
      <c r="J11" s="31">
        <v>1</v>
      </c>
      <c r="K11" s="31" t="s">
        <v>41</v>
      </c>
      <c r="L11" s="32" t="s">
        <v>31</v>
      </c>
      <c r="M11" s="32" t="s">
        <v>239</v>
      </c>
      <c r="N11" s="32" t="s">
        <v>26</v>
      </c>
      <c r="O11" s="32" t="s">
        <v>26</v>
      </c>
      <c r="P11" s="32">
        <v>80</v>
      </c>
      <c r="Q11" s="32">
        <v>0.2</v>
      </c>
      <c r="R11" s="32">
        <v>0</v>
      </c>
      <c r="S11" s="32">
        <v>0.8</v>
      </c>
    </row>
    <row r="12" spans="1:20" ht="14.4" x14ac:dyDescent="0.3">
      <c r="A12" s="31" t="s">
        <v>243</v>
      </c>
      <c r="B12" s="31" t="s">
        <v>360</v>
      </c>
      <c r="C12" s="31" t="s">
        <v>58</v>
      </c>
      <c r="D12" s="31"/>
      <c r="E12" s="31"/>
      <c r="F12" s="31"/>
      <c r="G12" s="31"/>
      <c r="H12" s="31">
        <v>2</v>
      </c>
      <c r="I12" s="31">
        <v>1</v>
      </c>
      <c r="J12" s="31">
        <v>3</v>
      </c>
      <c r="K12" s="31" t="s">
        <v>41</v>
      </c>
      <c r="L12" s="32">
        <v>0</v>
      </c>
      <c r="M12" s="32">
        <v>0</v>
      </c>
      <c r="N12" s="32" t="s">
        <v>26</v>
      </c>
      <c r="O12" s="32" t="s">
        <v>26</v>
      </c>
      <c r="P12" s="32">
        <v>100</v>
      </c>
      <c r="Q12" s="32">
        <v>0</v>
      </c>
      <c r="R12" s="32">
        <v>0</v>
      </c>
      <c r="S12" s="32">
        <v>3</v>
      </c>
    </row>
    <row r="13" spans="1:20" x14ac:dyDescent="0.25">
      <c r="A13" s="40" t="s">
        <v>67</v>
      </c>
      <c r="B13" s="40" t="s">
        <v>361</v>
      </c>
      <c r="C13" s="40" t="s">
        <v>58</v>
      </c>
      <c r="D13" s="40"/>
      <c r="E13" s="40"/>
      <c r="F13" s="40"/>
      <c r="G13" s="40">
        <v>2</v>
      </c>
      <c r="H13" s="40"/>
      <c r="I13" s="40">
        <v>1</v>
      </c>
      <c r="J13" s="40">
        <v>3</v>
      </c>
      <c r="K13" s="40" t="s">
        <v>41</v>
      </c>
      <c r="L13" s="41">
        <v>0</v>
      </c>
      <c r="M13" s="41">
        <v>0</v>
      </c>
      <c r="N13" s="41" t="s">
        <v>26</v>
      </c>
      <c r="O13" s="41" t="s">
        <v>26</v>
      </c>
      <c r="P13" s="41">
        <v>100</v>
      </c>
      <c r="Q13" s="41">
        <v>0</v>
      </c>
      <c r="R13" s="41">
        <v>0</v>
      </c>
      <c r="S13" s="41">
        <v>3</v>
      </c>
    </row>
    <row r="14" spans="1:20" ht="14.4" x14ac:dyDescent="0.3">
      <c r="A14" s="31" t="s">
        <v>73</v>
      </c>
      <c r="B14" s="31" t="s">
        <v>362</v>
      </c>
      <c r="C14" s="31" t="s">
        <v>58</v>
      </c>
      <c r="D14" s="31"/>
      <c r="E14" s="31"/>
      <c r="F14" s="31"/>
      <c r="G14" s="31">
        <v>1</v>
      </c>
      <c r="H14" s="31"/>
      <c r="I14" s="31"/>
      <c r="J14" s="31">
        <v>1</v>
      </c>
      <c r="K14" s="31" t="s">
        <v>41</v>
      </c>
      <c r="L14" s="32" t="s">
        <v>31</v>
      </c>
      <c r="M14" s="32" t="s">
        <v>25</v>
      </c>
      <c r="N14" s="32" t="s">
        <v>26</v>
      </c>
      <c r="O14" s="32" t="s">
        <v>26</v>
      </c>
      <c r="P14" s="32">
        <v>50</v>
      </c>
      <c r="Q14" s="32">
        <v>0.5</v>
      </c>
      <c r="R14" s="32">
        <v>0</v>
      </c>
      <c r="S14" s="32">
        <v>0.5</v>
      </c>
    </row>
    <row r="15" spans="1:20" ht="14.4" x14ac:dyDescent="0.3">
      <c r="A15" s="31" t="s">
        <v>244</v>
      </c>
      <c r="B15" s="31" t="s">
        <v>363</v>
      </c>
      <c r="C15" s="31" t="s">
        <v>58</v>
      </c>
      <c r="D15" s="31"/>
      <c r="E15" s="31"/>
      <c r="F15" s="31"/>
      <c r="G15" s="31"/>
      <c r="H15" s="31">
        <v>1</v>
      </c>
      <c r="I15" s="31"/>
      <c r="J15" s="31">
        <v>1</v>
      </c>
      <c r="K15" s="31" t="s">
        <v>41</v>
      </c>
      <c r="L15" s="32">
        <v>0</v>
      </c>
      <c r="M15" s="32">
        <v>0</v>
      </c>
      <c r="N15" s="32" t="s">
        <v>26</v>
      </c>
      <c r="O15" s="32" t="s">
        <v>26</v>
      </c>
      <c r="P15" s="32">
        <v>100</v>
      </c>
      <c r="Q15" s="32">
        <v>0</v>
      </c>
      <c r="R15" s="32">
        <v>0</v>
      </c>
      <c r="S15" s="32">
        <v>1</v>
      </c>
    </row>
    <row r="16" spans="1:20" ht="14.4" x14ac:dyDescent="0.3">
      <c r="A16" s="31" t="s">
        <v>70</v>
      </c>
      <c r="B16" s="31" t="s">
        <v>364</v>
      </c>
      <c r="C16" s="33" t="s">
        <v>58</v>
      </c>
      <c r="D16" s="31"/>
      <c r="E16" s="31"/>
      <c r="F16" s="31"/>
      <c r="G16" s="31"/>
      <c r="H16" s="31">
        <v>1</v>
      </c>
      <c r="I16" s="31"/>
      <c r="J16" s="31">
        <v>1</v>
      </c>
      <c r="K16" s="31" t="s">
        <v>41</v>
      </c>
      <c r="L16" s="32">
        <v>0</v>
      </c>
      <c r="M16" s="32">
        <v>0</v>
      </c>
      <c r="N16" s="32" t="s">
        <v>26</v>
      </c>
      <c r="O16" s="32" t="s">
        <v>26</v>
      </c>
      <c r="P16" s="32">
        <v>100</v>
      </c>
      <c r="Q16" s="32">
        <v>0</v>
      </c>
      <c r="R16" s="32">
        <v>0</v>
      </c>
      <c r="S16" s="32">
        <v>1</v>
      </c>
    </row>
    <row r="17" spans="1:19" ht="14.4" x14ac:dyDescent="0.3">
      <c r="A17" s="31" t="s">
        <v>63</v>
      </c>
      <c r="B17" s="31" t="s">
        <v>365</v>
      </c>
      <c r="C17" s="31" t="s">
        <v>58</v>
      </c>
      <c r="D17" s="31"/>
      <c r="E17" s="31">
        <v>1</v>
      </c>
      <c r="F17" s="31"/>
      <c r="G17" s="31"/>
      <c r="H17" s="31"/>
      <c r="I17" s="31"/>
      <c r="J17" s="31">
        <v>1</v>
      </c>
      <c r="K17" s="31" t="s">
        <v>41</v>
      </c>
      <c r="L17" s="32">
        <v>0</v>
      </c>
      <c r="M17" s="32">
        <v>0</v>
      </c>
      <c r="N17" s="32" t="s">
        <v>26</v>
      </c>
      <c r="O17" s="32" t="s">
        <v>26</v>
      </c>
      <c r="P17" s="32">
        <v>100</v>
      </c>
      <c r="Q17" s="32">
        <v>0</v>
      </c>
      <c r="R17" s="32">
        <v>0</v>
      </c>
      <c r="S17" s="32">
        <v>1</v>
      </c>
    </row>
    <row r="18" spans="1:19" ht="14.4" x14ac:dyDescent="0.3">
      <c r="A18" s="31" t="s">
        <v>71</v>
      </c>
      <c r="B18" s="31" t="s">
        <v>366</v>
      </c>
      <c r="C18" s="31" t="s">
        <v>58</v>
      </c>
      <c r="D18" s="31">
        <v>1</v>
      </c>
      <c r="E18" s="31"/>
      <c r="F18" s="31"/>
      <c r="G18" s="31"/>
      <c r="H18" s="31"/>
      <c r="I18" s="31"/>
      <c r="J18" s="31">
        <v>1</v>
      </c>
      <c r="K18" s="31" t="s">
        <v>41</v>
      </c>
      <c r="L18" s="32" t="s">
        <v>31</v>
      </c>
      <c r="M18" s="32" t="s">
        <v>25</v>
      </c>
      <c r="N18" s="32" t="s">
        <v>26</v>
      </c>
      <c r="O18" s="32" t="s">
        <v>26</v>
      </c>
      <c r="P18" s="32">
        <v>50</v>
      </c>
      <c r="Q18" s="32">
        <v>0.5</v>
      </c>
      <c r="R18" s="32">
        <v>0</v>
      </c>
      <c r="S18" s="32">
        <v>0.5</v>
      </c>
    </row>
    <row r="19" spans="1:19" ht="14.4" x14ac:dyDescent="0.3">
      <c r="A19" s="31" t="s">
        <v>367</v>
      </c>
      <c r="B19" s="31" t="s">
        <v>368</v>
      </c>
      <c r="C19" s="31" t="s">
        <v>59</v>
      </c>
      <c r="D19" s="31"/>
      <c r="E19" s="31"/>
      <c r="F19" s="31"/>
      <c r="G19" s="31"/>
      <c r="H19" s="31"/>
      <c r="I19" s="31">
        <v>1</v>
      </c>
      <c r="J19" s="31">
        <v>1</v>
      </c>
      <c r="K19" s="31" t="s">
        <v>41</v>
      </c>
      <c r="L19" s="32">
        <v>0</v>
      </c>
      <c r="M19" s="32">
        <v>0</v>
      </c>
      <c r="N19" s="32" t="s">
        <v>26</v>
      </c>
      <c r="O19" s="32" t="s">
        <v>26</v>
      </c>
      <c r="P19" s="32">
        <v>100</v>
      </c>
      <c r="Q19" s="32">
        <v>0</v>
      </c>
      <c r="R19" s="32">
        <v>0</v>
      </c>
      <c r="S19" s="32">
        <v>1</v>
      </c>
    </row>
    <row r="20" spans="1:19" ht="14.4" x14ac:dyDescent="0.3">
      <c r="A20" s="31" t="s">
        <v>68</v>
      </c>
      <c r="B20" s="31" t="s">
        <v>369</v>
      </c>
      <c r="C20" s="31" t="s">
        <v>160</v>
      </c>
      <c r="D20" s="31"/>
      <c r="E20" s="31"/>
      <c r="F20" s="31"/>
      <c r="G20" s="31"/>
      <c r="H20" s="31"/>
      <c r="I20" s="31">
        <v>1</v>
      </c>
      <c r="J20" s="31">
        <v>1</v>
      </c>
      <c r="K20" s="31" t="s">
        <v>41</v>
      </c>
      <c r="L20" s="32" t="s">
        <v>31</v>
      </c>
      <c r="M20" s="32" t="s">
        <v>239</v>
      </c>
      <c r="N20" s="32" t="s">
        <v>26</v>
      </c>
      <c r="O20" s="32" t="s">
        <v>26</v>
      </c>
      <c r="P20" s="32">
        <v>80</v>
      </c>
      <c r="Q20" s="32">
        <v>0.2</v>
      </c>
      <c r="R20" s="32">
        <v>0</v>
      </c>
      <c r="S20" s="32">
        <v>0.8</v>
      </c>
    </row>
    <row r="21" spans="1:19" ht="14.4" x14ac:dyDescent="0.3">
      <c r="A21" s="31" t="s">
        <v>85</v>
      </c>
      <c r="B21" s="31" t="s">
        <v>370</v>
      </c>
      <c r="C21" s="31" t="s">
        <v>58</v>
      </c>
      <c r="D21" s="31">
        <v>2</v>
      </c>
      <c r="E21" s="31"/>
      <c r="F21" s="31">
        <v>1</v>
      </c>
      <c r="G21" s="31"/>
      <c r="H21" s="31"/>
      <c r="I21" s="31"/>
      <c r="J21" s="31">
        <v>3</v>
      </c>
      <c r="K21" s="31" t="s">
        <v>41</v>
      </c>
      <c r="L21" s="32">
        <v>0</v>
      </c>
      <c r="M21" s="32">
        <v>0</v>
      </c>
      <c r="N21" s="32" t="s">
        <v>26</v>
      </c>
      <c r="O21" s="32" t="s">
        <v>26</v>
      </c>
      <c r="P21" s="32">
        <v>100</v>
      </c>
      <c r="Q21" s="32">
        <v>0</v>
      </c>
      <c r="R21" s="32">
        <v>0</v>
      </c>
      <c r="S21" s="32">
        <v>3</v>
      </c>
    </row>
    <row r="22" spans="1:19" ht="14.4" x14ac:dyDescent="0.3">
      <c r="A22" s="31" t="s">
        <v>66</v>
      </c>
      <c r="B22" s="31" t="s">
        <v>371</v>
      </c>
      <c r="C22" s="31" t="s">
        <v>58</v>
      </c>
      <c r="D22" s="31"/>
      <c r="E22" s="31"/>
      <c r="F22" s="31">
        <v>2</v>
      </c>
      <c r="G22" s="31"/>
      <c r="H22" s="31"/>
      <c r="I22" s="31"/>
      <c r="J22" s="31">
        <v>2</v>
      </c>
      <c r="K22" s="31" t="s">
        <v>41</v>
      </c>
      <c r="L22" s="32">
        <v>0</v>
      </c>
      <c r="M22" s="32">
        <v>0</v>
      </c>
      <c r="N22" s="32" t="s">
        <v>26</v>
      </c>
      <c r="O22" s="32" t="s">
        <v>26</v>
      </c>
      <c r="P22" s="32">
        <v>100</v>
      </c>
      <c r="Q22" s="32">
        <v>0</v>
      </c>
      <c r="R22" s="32">
        <v>0</v>
      </c>
      <c r="S22" s="32">
        <v>2</v>
      </c>
    </row>
    <row r="23" spans="1:19" ht="14.4" x14ac:dyDescent="0.3">
      <c r="A23" s="31" t="s">
        <v>64</v>
      </c>
      <c r="B23" s="31" t="s">
        <v>372</v>
      </c>
      <c r="C23" s="31" t="s">
        <v>58</v>
      </c>
      <c r="D23" s="31"/>
      <c r="E23" s="31"/>
      <c r="F23" s="31"/>
      <c r="G23" s="31">
        <v>1</v>
      </c>
      <c r="H23" s="31"/>
      <c r="I23" s="31"/>
      <c r="J23" s="31">
        <v>1</v>
      </c>
      <c r="K23" s="31" t="s">
        <v>41</v>
      </c>
      <c r="L23" s="32">
        <v>0</v>
      </c>
      <c r="M23" s="32">
        <v>0</v>
      </c>
      <c r="N23" s="32" t="s">
        <v>26</v>
      </c>
      <c r="O23" s="32" t="s">
        <v>26</v>
      </c>
      <c r="P23" s="32">
        <v>100</v>
      </c>
      <c r="Q23" s="32">
        <v>0</v>
      </c>
      <c r="R23" s="32">
        <v>0</v>
      </c>
      <c r="S23" s="32">
        <v>1</v>
      </c>
    </row>
    <row r="24" spans="1:19" ht="14.4" x14ac:dyDescent="0.3">
      <c r="A24" s="31" t="s">
        <v>245</v>
      </c>
      <c r="B24" s="31" t="s">
        <v>373</v>
      </c>
      <c r="C24" s="33" t="s">
        <v>58</v>
      </c>
      <c r="D24" s="31"/>
      <c r="E24" s="31"/>
      <c r="F24" s="31"/>
      <c r="G24" s="31"/>
      <c r="H24" s="31">
        <v>1</v>
      </c>
      <c r="I24" s="31"/>
      <c r="J24" s="31">
        <v>1</v>
      </c>
      <c r="K24" s="31" t="s">
        <v>41</v>
      </c>
      <c r="L24" s="32">
        <v>0</v>
      </c>
      <c r="M24" s="32">
        <v>0</v>
      </c>
      <c r="N24" s="32" t="s">
        <v>26</v>
      </c>
      <c r="O24" s="32" t="s">
        <v>26</v>
      </c>
      <c r="P24" s="32">
        <v>100</v>
      </c>
      <c r="Q24" s="32">
        <v>0</v>
      </c>
      <c r="R24" s="32">
        <v>0</v>
      </c>
      <c r="S24" s="32">
        <v>1</v>
      </c>
    </row>
    <row r="25" spans="1:19" ht="14.4" x14ac:dyDescent="0.3">
      <c r="A25" s="31" t="s">
        <v>60</v>
      </c>
      <c r="B25" s="31" t="s">
        <v>374</v>
      </c>
      <c r="C25" s="33" t="s">
        <v>58</v>
      </c>
      <c r="D25" s="31"/>
      <c r="E25" s="31"/>
      <c r="F25" s="31"/>
      <c r="G25" s="31"/>
      <c r="H25" s="31"/>
      <c r="I25" s="31">
        <v>3</v>
      </c>
      <c r="J25" s="31">
        <v>3</v>
      </c>
      <c r="K25" s="31" t="s">
        <v>41</v>
      </c>
      <c r="L25" s="32">
        <v>0</v>
      </c>
      <c r="M25" s="32">
        <v>0</v>
      </c>
      <c r="N25" s="32" t="s">
        <v>26</v>
      </c>
      <c r="O25" s="32" t="s">
        <v>26</v>
      </c>
      <c r="P25" s="32">
        <v>100</v>
      </c>
      <c r="Q25" s="32">
        <v>0</v>
      </c>
      <c r="R25" s="32">
        <v>0</v>
      </c>
      <c r="S25" s="32">
        <v>3</v>
      </c>
    </row>
    <row r="26" spans="1:19" ht="14.4" x14ac:dyDescent="0.3">
      <c r="A26" s="31" t="s">
        <v>65</v>
      </c>
      <c r="B26" s="31" t="s">
        <v>375</v>
      </c>
      <c r="C26" s="33" t="s">
        <v>58</v>
      </c>
      <c r="D26" s="31"/>
      <c r="E26" s="31"/>
      <c r="F26" s="31"/>
      <c r="G26" s="31">
        <v>1</v>
      </c>
      <c r="H26" s="31"/>
      <c r="I26" s="31"/>
      <c r="J26" s="31">
        <v>1</v>
      </c>
      <c r="K26" s="31" t="s">
        <v>41</v>
      </c>
      <c r="L26" s="32" t="s">
        <v>31</v>
      </c>
      <c r="M26" s="32" t="s">
        <v>239</v>
      </c>
      <c r="N26" s="32" t="s">
        <v>26</v>
      </c>
      <c r="O26" s="32" t="s">
        <v>26</v>
      </c>
      <c r="P26" s="32">
        <v>80</v>
      </c>
      <c r="Q26" s="32">
        <v>0.2</v>
      </c>
      <c r="R26" s="32">
        <v>0</v>
      </c>
      <c r="S26" s="32">
        <v>0.8</v>
      </c>
    </row>
    <row r="27" spans="1:19" ht="14.4" x14ac:dyDescent="0.3">
      <c r="A27" s="31" t="s">
        <v>86</v>
      </c>
      <c r="B27" s="31" t="s">
        <v>376</v>
      </c>
      <c r="C27" s="33" t="s">
        <v>58</v>
      </c>
      <c r="D27" s="31"/>
      <c r="E27" s="31"/>
      <c r="F27" s="31">
        <v>2</v>
      </c>
      <c r="G27" s="31"/>
      <c r="H27" s="31"/>
      <c r="I27" s="31">
        <v>1</v>
      </c>
      <c r="J27" s="31">
        <v>3</v>
      </c>
      <c r="K27" s="31" t="s">
        <v>41</v>
      </c>
      <c r="L27" s="41" t="s">
        <v>31</v>
      </c>
      <c r="M27" s="41" t="s">
        <v>25</v>
      </c>
      <c r="N27" s="41" t="s">
        <v>26</v>
      </c>
      <c r="O27" s="41" t="s">
        <v>26</v>
      </c>
      <c r="P27" s="41">
        <v>50</v>
      </c>
      <c r="Q27" s="41">
        <v>1.5</v>
      </c>
      <c r="R27" s="41">
        <v>0</v>
      </c>
      <c r="S27" s="41">
        <v>1.5</v>
      </c>
    </row>
    <row r="28" spans="1:19" ht="14.4" x14ac:dyDescent="0.3">
      <c r="A28" s="31" t="s">
        <v>377</v>
      </c>
      <c r="B28" s="31" t="s">
        <v>378</v>
      </c>
      <c r="C28" s="33" t="s">
        <v>59</v>
      </c>
      <c r="D28" s="31"/>
      <c r="E28" s="31"/>
      <c r="F28" s="31"/>
      <c r="G28" s="31"/>
      <c r="H28" s="31"/>
      <c r="I28" s="31">
        <v>1</v>
      </c>
      <c r="J28" s="31">
        <v>1</v>
      </c>
      <c r="K28" s="31" t="s">
        <v>41</v>
      </c>
      <c r="L28" s="41">
        <v>0</v>
      </c>
      <c r="M28" s="41">
        <v>0</v>
      </c>
      <c r="N28" s="41" t="s">
        <v>26</v>
      </c>
      <c r="O28" s="41" t="s">
        <v>26</v>
      </c>
      <c r="P28" s="41">
        <v>100</v>
      </c>
      <c r="Q28" s="41">
        <v>0</v>
      </c>
      <c r="R28" s="41">
        <v>0</v>
      </c>
      <c r="S28" s="41">
        <v>1</v>
      </c>
    </row>
    <row r="29" spans="1:19" ht="14.4" x14ac:dyDescent="0.3">
      <c r="A29" s="31" t="s">
        <v>62</v>
      </c>
      <c r="B29" s="31" t="s">
        <v>379</v>
      </c>
      <c r="C29" s="33" t="s">
        <v>58</v>
      </c>
      <c r="D29" s="31"/>
      <c r="E29" s="31"/>
      <c r="F29" s="31">
        <v>1</v>
      </c>
      <c r="G29" s="31"/>
      <c r="H29" s="31"/>
      <c r="I29" s="31"/>
      <c r="J29" s="31">
        <v>1</v>
      </c>
      <c r="K29" s="31" t="s">
        <v>41</v>
      </c>
      <c r="L29" s="41">
        <v>0</v>
      </c>
      <c r="M29" s="41">
        <v>0</v>
      </c>
      <c r="N29" s="41" t="s">
        <v>26</v>
      </c>
      <c r="O29" s="41" t="s">
        <v>26</v>
      </c>
      <c r="P29" s="41">
        <v>100</v>
      </c>
      <c r="Q29" s="41">
        <v>0</v>
      </c>
      <c r="R29" s="41">
        <v>0</v>
      </c>
      <c r="S29" s="41">
        <v>1</v>
      </c>
    </row>
    <row r="30" spans="1:19" ht="14.4" x14ac:dyDescent="0.3">
      <c r="A30" s="42"/>
      <c r="B30" s="42"/>
      <c r="C30" s="43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4">
        <f>SUM(S2:S29)</f>
        <v>34.700000000000003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7BEF-39B1-43EC-BF6D-175F19829099}">
  <dimension ref="A1:C52"/>
  <sheetViews>
    <sheetView topLeftCell="A7" workbookViewId="0">
      <selection activeCell="G46" sqref="G46"/>
    </sheetView>
  </sheetViews>
  <sheetFormatPr baseColWidth="10" defaultRowHeight="14.4" x14ac:dyDescent="0.3"/>
  <cols>
    <col min="1" max="1" width="17.6640625" customWidth="1"/>
    <col min="2" max="2" width="85.109375" customWidth="1"/>
    <col min="3" max="3" width="15.44140625" customWidth="1"/>
  </cols>
  <sheetData>
    <row r="1" spans="1:3" x14ac:dyDescent="0.3">
      <c r="A1" s="54" t="s">
        <v>95</v>
      </c>
      <c r="B1" s="54" t="s">
        <v>96</v>
      </c>
      <c r="C1" s="54" t="s">
        <v>127</v>
      </c>
    </row>
    <row r="2" spans="1:3" x14ac:dyDescent="0.3">
      <c r="A2" s="37" t="s">
        <v>76</v>
      </c>
      <c r="B2" s="37" t="s">
        <v>161</v>
      </c>
      <c r="C2" s="35">
        <v>352</v>
      </c>
    </row>
    <row r="3" spans="1:3" x14ac:dyDescent="0.3">
      <c r="A3" s="38" t="s">
        <v>77</v>
      </c>
      <c r="B3" s="38" t="s">
        <v>163</v>
      </c>
      <c r="C3" s="36">
        <v>774.4</v>
      </c>
    </row>
    <row r="4" spans="1:3" x14ac:dyDescent="0.3">
      <c r="A4" s="37" t="s">
        <v>78</v>
      </c>
      <c r="B4" s="37" t="s">
        <v>164</v>
      </c>
      <c r="C4" s="35">
        <v>1352.91</v>
      </c>
    </row>
    <row r="5" spans="1:3" x14ac:dyDescent="0.3">
      <c r="A5" s="38" t="s">
        <v>78</v>
      </c>
      <c r="B5" s="38" t="s">
        <v>165</v>
      </c>
      <c r="C5" s="36">
        <v>1913.93</v>
      </c>
    </row>
    <row r="6" spans="1:3" x14ac:dyDescent="0.3">
      <c r="A6" s="37" t="s">
        <v>78</v>
      </c>
      <c r="B6" s="37" t="s">
        <v>166</v>
      </c>
      <c r="C6" s="35">
        <v>1242.95</v>
      </c>
    </row>
    <row r="7" spans="1:3" x14ac:dyDescent="0.3">
      <c r="A7" s="38" t="s">
        <v>78</v>
      </c>
      <c r="B7" s="38" t="s">
        <v>167</v>
      </c>
      <c r="C7" s="36">
        <v>663.09</v>
      </c>
    </row>
    <row r="8" spans="1:3" x14ac:dyDescent="0.3">
      <c r="A8" s="37" t="s">
        <v>78</v>
      </c>
      <c r="B8" s="37" t="s">
        <v>168</v>
      </c>
      <c r="C8" s="35">
        <v>1346.29</v>
      </c>
    </row>
    <row r="9" spans="1:3" x14ac:dyDescent="0.3">
      <c r="A9" s="38" t="s">
        <v>78</v>
      </c>
      <c r="B9" s="38" t="s">
        <v>169</v>
      </c>
      <c r="C9" s="36">
        <v>1013.09</v>
      </c>
    </row>
    <row r="10" spans="1:3" x14ac:dyDescent="0.3">
      <c r="A10" s="37" t="s">
        <v>78</v>
      </c>
      <c r="B10" s="37" t="s">
        <v>170</v>
      </c>
      <c r="C10" s="35">
        <v>961.93</v>
      </c>
    </row>
    <row r="11" spans="1:3" x14ac:dyDescent="0.3">
      <c r="A11" s="38" t="s">
        <v>78</v>
      </c>
      <c r="B11" s="38" t="s">
        <v>171</v>
      </c>
      <c r="C11" s="36">
        <v>146.87</v>
      </c>
    </row>
    <row r="12" spans="1:3" x14ac:dyDescent="0.3">
      <c r="A12" s="37" t="s">
        <v>78</v>
      </c>
      <c r="B12" s="37" t="s">
        <v>172</v>
      </c>
      <c r="C12" s="35">
        <v>1386</v>
      </c>
    </row>
    <row r="13" spans="1:3" x14ac:dyDescent="0.3">
      <c r="A13" s="38" t="s">
        <v>78</v>
      </c>
      <c r="B13" s="38" t="s">
        <v>173</v>
      </c>
      <c r="C13" s="36">
        <v>1007.25</v>
      </c>
    </row>
    <row r="14" spans="1:3" x14ac:dyDescent="0.3">
      <c r="A14" s="37" t="s">
        <v>78</v>
      </c>
      <c r="B14" s="37" t="s">
        <v>174</v>
      </c>
      <c r="C14" s="35">
        <v>1328.98</v>
      </c>
    </row>
    <row r="15" spans="1:3" x14ac:dyDescent="0.3">
      <c r="A15" s="38" t="s">
        <v>78</v>
      </c>
      <c r="B15" s="38" t="s">
        <v>175</v>
      </c>
      <c r="C15" s="36">
        <v>1035.74</v>
      </c>
    </row>
    <row r="16" spans="1:3" x14ac:dyDescent="0.3">
      <c r="A16" s="37" t="s">
        <v>93</v>
      </c>
      <c r="B16" s="37" t="s">
        <v>176</v>
      </c>
      <c r="C16" s="35">
        <v>2200</v>
      </c>
    </row>
    <row r="17" spans="1:3" x14ac:dyDescent="0.3">
      <c r="A17" s="38" t="s">
        <v>93</v>
      </c>
      <c r="B17" s="38" t="s">
        <v>177</v>
      </c>
      <c r="C17" s="36">
        <v>7040</v>
      </c>
    </row>
    <row r="18" spans="1:3" x14ac:dyDescent="0.3">
      <c r="A18" s="37" t="s">
        <v>93</v>
      </c>
      <c r="B18" s="37" t="s">
        <v>178</v>
      </c>
      <c r="C18" s="35">
        <v>2200</v>
      </c>
    </row>
    <row r="19" spans="1:3" x14ac:dyDescent="0.3">
      <c r="A19" s="38" t="s">
        <v>97</v>
      </c>
      <c r="B19" s="38" t="s">
        <v>179</v>
      </c>
      <c r="C19" s="36">
        <v>3548.16</v>
      </c>
    </row>
    <row r="20" spans="1:3" x14ac:dyDescent="0.3">
      <c r="A20" s="37" t="s">
        <v>129</v>
      </c>
      <c r="B20" s="37" t="s">
        <v>180</v>
      </c>
      <c r="C20" s="35">
        <v>1408</v>
      </c>
    </row>
    <row r="21" spans="1:3" x14ac:dyDescent="0.3">
      <c r="A21" s="38" t="s">
        <v>99</v>
      </c>
      <c r="B21" s="38" t="s">
        <v>181</v>
      </c>
      <c r="C21" s="36">
        <v>10909.1</v>
      </c>
    </row>
    <row r="22" spans="1:3" x14ac:dyDescent="0.3">
      <c r="A22" s="37" t="s">
        <v>130</v>
      </c>
      <c r="B22" s="37" t="s">
        <v>182</v>
      </c>
      <c r="C22" s="35">
        <v>2474.21</v>
      </c>
    </row>
    <row r="23" spans="1:3" x14ac:dyDescent="0.3">
      <c r="A23" s="38" t="s">
        <v>130</v>
      </c>
      <c r="B23" s="38" t="s">
        <v>183</v>
      </c>
      <c r="C23" s="36">
        <v>2474.21</v>
      </c>
    </row>
    <row r="24" spans="1:3" x14ac:dyDescent="0.3">
      <c r="A24" s="37" t="s">
        <v>130</v>
      </c>
      <c r="B24" s="37" t="s">
        <v>184</v>
      </c>
      <c r="C24" s="35">
        <v>2474.21</v>
      </c>
    </row>
    <row r="25" spans="1:3" x14ac:dyDescent="0.3">
      <c r="A25" s="38" t="s">
        <v>131</v>
      </c>
      <c r="B25" s="38" t="s">
        <v>185</v>
      </c>
      <c r="C25" s="36">
        <v>880</v>
      </c>
    </row>
    <row r="26" spans="1:3" x14ac:dyDescent="0.3">
      <c r="A26" s="37" t="s">
        <v>186</v>
      </c>
      <c r="B26" s="37" t="s">
        <v>187</v>
      </c>
      <c r="C26" s="35">
        <v>88</v>
      </c>
    </row>
    <row r="27" spans="1:3" x14ac:dyDescent="0.3">
      <c r="A27" s="38" t="s">
        <v>134</v>
      </c>
      <c r="B27" s="38" t="s">
        <v>188</v>
      </c>
      <c r="C27" s="36">
        <v>2125</v>
      </c>
    </row>
    <row r="28" spans="1:3" x14ac:dyDescent="0.3">
      <c r="A28" s="38" t="s">
        <v>189</v>
      </c>
      <c r="B28" s="38" t="s">
        <v>190</v>
      </c>
      <c r="C28" s="36">
        <v>1452</v>
      </c>
    </row>
    <row r="29" spans="1:3" x14ac:dyDescent="0.3">
      <c r="A29" s="37" t="s">
        <v>191</v>
      </c>
      <c r="B29" s="37" t="s">
        <v>192</v>
      </c>
      <c r="C29" s="35">
        <v>114.4</v>
      </c>
    </row>
    <row r="30" spans="1:3" x14ac:dyDescent="0.3">
      <c r="A30" s="38" t="s">
        <v>193</v>
      </c>
      <c r="B30" s="38" t="s">
        <v>194</v>
      </c>
      <c r="C30" s="36">
        <v>114.4</v>
      </c>
    </row>
    <row r="31" spans="1:3" x14ac:dyDescent="0.3">
      <c r="A31" s="37" t="s">
        <v>195</v>
      </c>
      <c r="B31" s="37" t="s">
        <v>196</v>
      </c>
      <c r="C31" s="35">
        <v>114.4</v>
      </c>
    </row>
    <row r="32" spans="1:3" x14ac:dyDescent="0.3">
      <c r="A32" s="38" t="s">
        <v>197</v>
      </c>
      <c r="B32" s="38" t="s">
        <v>198</v>
      </c>
      <c r="C32" s="36">
        <v>114.4</v>
      </c>
    </row>
    <row r="33" spans="1:3" x14ac:dyDescent="0.3">
      <c r="A33" s="37" t="s">
        <v>199</v>
      </c>
      <c r="B33" s="37" t="s">
        <v>133</v>
      </c>
      <c r="C33" s="35">
        <v>114.4</v>
      </c>
    </row>
    <row r="34" spans="1:3" x14ac:dyDescent="0.3">
      <c r="A34" s="38" t="s">
        <v>200</v>
      </c>
      <c r="B34" s="38" t="s">
        <v>201</v>
      </c>
      <c r="C34" s="36">
        <v>114.4</v>
      </c>
    </row>
    <row r="35" spans="1:3" x14ac:dyDescent="0.3">
      <c r="A35" s="37" t="s">
        <v>202</v>
      </c>
      <c r="B35" s="37" t="s">
        <v>203</v>
      </c>
      <c r="C35" s="35">
        <v>88</v>
      </c>
    </row>
    <row r="36" spans="1:3" x14ac:dyDescent="0.3">
      <c r="A36" s="38" t="s">
        <v>204</v>
      </c>
      <c r="B36" s="38" t="s">
        <v>98</v>
      </c>
      <c r="C36" s="36">
        <v>88</v>
      </c>
    </row>
    <row r="37" spans="1:3" x14ac:dyDescent="0.3">
      <c r="A37" s="37" t="s">
        <v>205</v>
      </c>
      <c r="B37" s="37" t="s">
        <v>206</v>
      </c>
      <c r="C37" s="35">
        <v>114.4</v>
      </c>
    </row>
    <row r="38" spans="1:3" x14ac:dyDescent="0.3">
      <c r="A38" s="38" t="s">
        <v>207</v>
      </c>
      <c r="B38" s="38" t="s">
        <v>208</v>
      </c>
      <c r="C38" s="36">
        <v>1690.9</v>
      </c>
    </row>
    <row r="39" spans="1:3" x14ac:dyDescent="0.3">
      <c r="A39" s="37" t="s">
        <v>209</v>
      </c>
      <c r="B39" s="37" t="s">
        <v>210</v>
      </c>
      <c r="C39" s="35">
        <v>1320</v>
      </c>
    </row>
    <row r="40" spans="1:3" x14ac:dyDescent="0.3">
      <c r="A40" s="38" t="s">
        <v>211</v>
      </c>
      <c r="B40" s="38" t="s">
        <v>212</v>
      </c>
      <c r="C40" s="36">
        <v>1760</v>
      </c>
    </row>
    <row r="41" spans="1:3" x14ac:dyDescent="0.3">
      <c r="A41" s="37" t="s">
        <v>213</v>
      </c>
      <c r="B41" s="37" t="s">
        <v>214</v>
      </c>
      <c r="C41" s="35">
        <v>114.4</v>
      </c>
    </row>
    <row r="42" spans="1:3" x14ac:dyDescent="0.3">
      <c r="A42" s="38" t="s">
        <v>215</v>
      </c>
      <c r="B42" s="38" t="s">
        <v>133</v>
      </c>
      <c r="C42" s="36">
        <v>114.4</v>
      </c>
    </row>
    <row r="43" spans="1:3" x14ac:dyDescent="0.3">
      <c r="A43" s="37" t="s">
        <v>216</v>
      </c>
      <c r="B43" s="37" t="s">
        <v>217</v>
      </c>
      <c r="C43" s="35">
        <v>1496</v>
      </c>
    </row>
    <row r="44" spans="1:3" x14ac:dyDescent="0.3">
      <c r="A44" s="38" t="s">
        <v>218</v>
      </c>
      <c r="B44" s="38" t="s">
        <v>192</v>
      </c>
      <c r="C44" s="36">
        <v>114.4</v>
      </c>
    </row>
    <row r="45" spans="1:3" x14ac:dyDescent="0.3">
      <c r="A45" s="37" t="s">
        <v>94</v>
      </c>
      <c r="B45" s="37" t="s">
        <v>219</v>
      </c>
      <c r="C45" s="35">
        <v>41280</v>
      </c>
    </row>
    <row r="46" spans="1:3" x14ac:dyDescent="0.3">
      <c r="A46" s="38" t="s">
        <v>128</v>
      </c>
      <c r="B46" s="38" t="s">
        <v>220</v>
      </c>
      <c r="C46" s="36">
        <v>29500</v>
      </c>
    </row>
    <row r="47" spans="1:3" x14ac:dyDescent="0.3">
      <c r="A47" s="37" t="s">
        <v>128</v>
      </c>
      <c r="B47" s="37" t="s">
        <v>221</v>
      </c>
      <c r="C47" s="35">
        <v>-216.8</v>
      </c>
    </row>
    <row r="48" spans="1:3" x14ac:dyDescent="0.3">
      <c r="A48" s="38" t="s">
        <v>222</v>
      </c>
      <c r="B48" s="38" t="s">
        <v>223</v>
      </c>
      <c r="C48" s="36">
        <v>95000</v>
      </c>
    </row>
    <row r="49" spans="1:3" x14ac:dyDescent="0.3">
      <c r="A49" s="37" t="s">
        <v>136</v>
      </c>
      <c r="B49" s="37" t="s">
        <v>224</v>
      </c>
      <c r="C49" s="35">
        <v>-1832.23</v>
      </c>
    </row>
    <row r="50" spans="1:3" x14ac:dyDescent="0.3">
      <c r="A50" s="55" t="s">
        <v>136</v>
      </c>
      <c r="B50" s="55" t="s">
        <v>225</v>
      </c>
      <c r="C50" s="56">
        <v>28690</v>
      </c>
    </row>
    <row r="51" spans="1:3" x14ac:dyDescent="0.3">
      <c r="A51" s="55" t="s">
        <v>0</v>
      </c>
      <c r="B51" s="55"/>
      <c r="C51" s="57">
        <f>SUBTOTAL(109,Tabla2[Imp.cob.aplic.])</f>
        <v>253806.19000000003</v>
      </c>
    </row>
    <row r="52" spans="1:3" x14ac:dyDescent="0.3">
      <c r="C52" s="3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6920-8236-4E7C-AC9E-36A3C4FCCD84}">
  <dimension ref="A1:C52"/>
  <sheetViews>
    <sheetView topLeftCell="A40" workbookViewId="0">
      <selection activeCell="B55" sqref="B55:C55"/>
    </sheetView>
  </sheetViews>
  <sheetFormatPr baseColWidth="10" defaultRowHeight="14.4" x14ac:dyDescent="0.3"/>
  <cols>
    <col min="2" max="2" width="47" customWidth="1"/>
    <col min="3" max="3" width="13.33203125" customWidth="1"/>
  </cols>
  <sheetData>
    <row r="1" spans="1:3" x14ac:dyDescent="0.3">
      <c r="A1" s="62" t="s">
        <v>246</v>
      </c>
      <c r="B1" s="62" t="s">
        <v>96</v>
      </c>
      <c r="C1" s="63" t="s">
        <v>247</v>
      </c>
    </row>
    <row r="2" spans="1:3" x14ac:dyDescent="0.3">
      <c r="A2" s="58" t="s">
        <v>76</v>
      </c>
      <c r="B2" s="58" t="s">
        <v>248</v>
      </c>
      <c r="C2" s="59">
        <v>264</v>
      </c>
    </row>
    <row r="3" spans="1:3" x14ac:dyDescent="0.3">
      <c r="A3" s="60" t="s">
        <v>77</v>
      </c>
      <c r="B3" s="60" t="s">
        <v>249</v>
      </c>
      <c r="C3" s="61">
        <v>2464</v>
      </c>
    </row>
    <row r="4" spans="1:3" x14ac:dyDescent="0.3">
      <c r="A4" s="58" t="s">
        <v>78</v>
      </c>
      <c r="B4" s="58" t="s">
        <v>250</v>
      </c>
      <c r="C4" s="59">
        <v>1430.55</v>
      </c>
    </row>
    <row r="5" spans="1:3" x14ac:dyDescent="0.3">
      <c r="A5" s="60" t="s">
        <v>78</v>
      </c>
      <c r="B5" s="60" t="s">
        <v>251</v>
      </c>
      <c r="C5" s="61">
        <v>517.49</v>
      </c>
    </row>
    <row r="6" spans="1:3" x14ac:dyDescent="0.3">
      <c r="A6" s="58" t="s">
        <v>78</v>
      </c>
      <c r="B6" s="58" t="s">
        <v>252</v>
      </c>
      <c r="C6" s="59">
        <v>782.72</v>
      </c>
    </row>
    <row r="7" spans="1:3" x14ac:dyDescent="0.3">
      <c r="A7" s="60" t="s">
        <v>78</v>
      </c>
      <c r="B7" s="60" t="s">
        <v>253</v>
      </c>
      <c r="C7" s="61">
        <v>448.25</v>
      </c>
    </row>
    <row r="8" spans="1:3" x14ac:dyDescent="0.3">
      <c r="A8" s="58" t="s">
        <v>78</v>
      </c>
      <c r="B8" s="58" t="s">
        <v>254</v>
      </c>
      <c r="C8" s="59">
        <v>21.89</v>
      </c>
    </row>
    <row r="9" spans="1:3" x14ac:dyDescent="0.3">
      <c r="A9" s="60" t="s">
        <v>78</v>
      </c>
      <c r="B9" s="60" t="s">
        <v>255</v>
      </c>
      <c r="C9" s="61">
        <v>127.78</v>
      </c>
    </row>
    <row r="10" spans="1:3" x14ac:dyDescent="0.3">
      <c r="A10" s="58" t="s">
        <v>78</v>
      </c>
      <c r="B10" s="58" t="s">
        <v>256</v>
      </c>
      <c r="C10" s="59">
        <v>1884.14</v>
      </c>
    </row>
    <row r="11" spans="1:3" x14ac:dyDescent="0.3">
      <c r="A11" s="60" t="s">
        <v>78</v>
      </c>
      <c r="B11" s="60" t="s">
        <v>257</v>
      </c>
      <c r="C11" s="61">
        <v>525.13</v>
      </c>
    </row>
    <row r="12" spans="1:3" x14ac:dyDescent="0.3">
      <c r="A12" s="58" t="s">
        <v>78</v>
      </c>
      <c r="B12" s="58" t="s">
        <v>258</v>
      </c>
      <c r="C12" s="59">
        <v>1056.6199999999999</v>
      </c>
    </row>
    <row r="13" spans="1:3" x14ac:dyDescent="0.3">
      <c r="A13" s="60" t="s">
        <v>78</v>
      </c>
      <c r="B13" s="60" t="s">
        <v>259</v>
      </c>
      <c r="C13" s="61">
        <v>3429.77</v>
      </c>
    </row>
    <row r="14" spans="1:3" x14ac:dyDescent="0.3">
      <c r="A14" s="58" t="s">
        <v>78</v>
      </c>
      <c r="B14" s="58" t="s">
        <v>260</v>
      </c>
      <c r="C14" s="59">
        <v>785.81</v>
      </c>
    </row>
    <row r="15" spans="1:3" x14ac:dyDescent="0.3">
      <c r="A15" s="60" t="s">
        <v>78</v>
      </c>
      <c r="B15" s="60" t="s">
        <v>261</v>
      </c>
      <c r="C15" s="61">
        <v>499.27</v>
      </c>
    </row>
    <row r="16" spans="1:3" x14ac:dyDescent="0.3">
      <c r="A16" s="58" t="s">
        <v>132</v>
      </c>
      <c r="B16" s="58" t="s">
        <v>262</v>
      </c>
      <c r="C16" s="59">
        <v>352</v>
      </c>
    </row>
    <row r="17" spans="1:3" x14ac:dyDescent="0.3">
      <c r="A17" s="60" t="s">
        <v>263</v>
      </c>
      <c r="B17" s="60" t="s">
        <v>264</v>
      </c>
      <c r="C17" s="61">
        <v>4400</v>
      </c>
    </row>
    <row r="18" spans="1:3" x14ac:dyDescent="0.3">
      <c r="A18" s="58" t="s">
        <v>265</v>
      </c>
      <c r="B18" s="58" t="s">
        <v>266</v>
      </c>
      <c r="C18" s="59">
        <v>696.96</v>
      </c>
    </row>
    <row r="19" spans="1:3" x14ac:dyDescent="0.3">
      <c r="A19" s="60" t="s">
        <v>265</v>
      </c>
      <c r="B19" s="60" t="s">
        <v>267</v>
      </c>
      <c r="C19" s="61">
        <v>343.2</v>
      </c>
    </row>
    <row r="20" spans="1:3" x14ac:dyDescent="0.3">
      <c r="A20" s="58" t="s">
        <v>268</v>
      </c>
      <c r="B20" s="58" t="s">
        <v>269</v>
      </c>
      <c r="C20" s="59">
        <v>1320</v>
      </c>
    </row>
    <row r="21" spans="1:3" x14ac:dyDescent="0.3">
      <c r="A21" s="60" t="s">
        <v>270</v>
      </c>
      <c r="B21" s="60" t="s">
        <v>271</v>
      </c>
      <c r="C21" s="61">
        <v>3520</v>
      </c>
    </row>
    <row r="22" spans="1:3" x14ac:dyDescent="0.3">
      <c r="A22" s="58" t="s">
        <v>272</v>
      </c>
      <c r="B22" s="58" t="s">
        <v>273</v>
      </c>
      <c r="C22" s="59">
        <v>924</v>
      </c>
    </row>
    <row r="23" spans="1:3" x14ac:dyDescent="0.3">
      <c r="A23" s="60" t="s">
        <v>274</v>
      </c>
      <c r="B23" s="60" t="s">
        <v>192</v>
      </c>
      <c r="C23" s="61">
        <v>114.4</v>
      </c>
    </row>
    <row r="24" spans="1:3" x14ac:dyDescent="0.3">
      <c r="A24" s="58" t="s">
        <v>275</v>
      </c>
      <c r="B24" s="58" t="s">
        <v>276</v>
      </c>
      <c r="C24" s="59">
        <v>5280</v>
      </c>
    </row>
    <row r="25" spans="1:3" x14ac:dyDescent="0.3">
      <c r="A25" s="60" t="s">
        <v>275</v>
      </c>
      <c r="B25" s="60" t="s">
        <v>276</v>
      </c>
      <c r="C25" s="61">
        <v>5280</v>
      </c>
    </row>
    <row r="26" spans="1:3" x14ac:dyDescent="0.3">
      <c r="A26" s="58" t="s">
        <v>277</v>
      </c>
      <c r="B26" s="58" t="s">
        <v>278</v>
      </c>
      <c r="C26" s="59">
        <v>1056</v>
      </c>
    </row>
    <row r="27" spans="1:3" x14ac:dyDescent="0.3">
      <c r="A27" s="60" t="s">
        <v>279</v>
      </c>
      <c r="B27" s="60" t="s">
        <v>133</v>
      </c>
      <c r="C27" s="61">
        <v>114.4</v>
      </c>
    </row>
    <row r="28" spans="1:3" x14ac:dyDescent="0.3">
      <c r="A28" s="58" t="s">
        <v>280</v>
      </c>
      <c r="B28" s="58" t="s">
        <v>133</v>
      </c>
      <c r="C28" s="59">
        <v>114.4</v>
      </c>
    </row>
    <row r="29" spans="1:3" x14ac:dyDescent="0.3">
      <c r="A29" s="60" t="s">
        <v>281</v>
      </c>
      <c r="B29" s="60" t="s">
        <v>282</v>
      </c>
      <c r="C29" s="61">
        <v>12144</v>
      </c>
    </row>
    <row r="30" spans="1:3" x14ac:dyDescent="0.3">
      <c r="A30" s="58" t="s">
        <v>283</v>
      </c>
      <c r="B30" s="58" t="s">
        <v>192</v>
      </c>
      <c r="C30" s="59">
        <v>114.4</v>
      </c>
    </row>
    <row r="31" spans="1:3" x14ac:dyDescent="0.3">
      <c r="A31" s="60" t="s">
        <v>284</v>
      </c>
      <c r="B31" s="60" t="s">
        <v>133</v>
      </c>
      <c r="C31" s="61">
        <v>114.4</v>
      </c>
    </row>
    <row r="32" spans="1:3" x14ac:dyDescent="0.3">
      <c r="A32" s="58" t="s">
        <v>285</v>
      </c>
      <c r="B32" s="58" t="s">
        <v>286</v>
      </c>
      <c r="C32" s="59">
        <v>6231.58</v>
      </c>
    </row>
    <row r="33" spans="1:3" x14ac:dyDescent="0.3">
      <c r="A33" s="60" t="s">
        <v>285</v>
      </c>
      <c r="B33" s="60" t="s">
        <v>287</v>
      </c>
      <c r="C33" s="61">
        <v>3115.79</v>
      </c>
    </row>
    <row r="34" spans="1:3" x14ac:dyDescent="0.3">
      <c r="A34" s="58" t="s">
        <v>288</v>
      </c>
      <c r="B34" s="58" t="s">
        <v>133</v>
      </c>
      <c r="C34" s="59">
        <v>114.4</v>
      </c>
    </row>
    <row r="35" spans="1:3" x14ac:dyDescent="0.3">
      <c r="A35" s="60" t="s">
        <v>289</v>
      </c>
      <c r="B35" s="60" t="s">
        <v>290</v>
      </c>
      <c r="C35" s="61">
        <v>1760</v>
      </c>
    </row>
    <row r="36" spans="1:3" x14ac:dyDescent="0.3">
      <c r="A36" s="58" t="s">
        <v>291</v>
      </c>
      <c r="B36" s="58" t="s">
        <v>133</v>
      </c>
      <c r="C36" s="59">
        <v>114.4</v>
      </c>
    </row>
    <row r="37" spans="1:3" x14ac:dyDescent="0.3">
      <c r="A37" s="60" t="s">
        <v>292</v>
      </c>
      <c r="B37" s="60" t="s">
        <v>293</v>
      </c>
      <c r="C37" s="61">
        <v>1830.4</v>
      </c>
    </row>
    <row r="38" spans="1:3" x14ac:dyDescent="0.3">
      <c r="A38" s="58" t="s">
        <v>294</v>
      </c>
      <c r="B38" s="58" t="s">
        <v>295</v>
      </c>
      <c r="C38" s="59">
        <v>572</v>
      </c>
    </row>
    <row r="39" spans="1:3" x14ac:dyDescent="0.3">
      <c r="A39" s="60" t="s">
        <v>296</v>
      </c>
      <c r="B39" s="60" t="s">
        <v>98</v>
      </c>
      <c r="C39" s="61">
        <v>114.4</v>
      </c>
    </row>
    <row r="40" spans="1:3" x14ac:dyDescent="0.3">
      <c r="A40" s="58" t="s">
        <v>297</v>
      </c>
      <c r="B40" s="58" t="s">
        <v>98</v>
      </c>
      <c r="C40" s="59">
        <v>114.4</v>
      </c>
    </row>
    <row r="41" spans="1:3" x14ac:dyDescent="0.3">
      <c r="A41" s="60" t="s">
        <v>298</v>
      </c>
      <c r="B41" s="60" t="s">
        <v>98</v>
      </c>
      <c r="C41" s="61">
        <v>114.4</v>
      </c>
    </row>
    <row r="42" spans="1:3" x14ac:dyDescent="0.3">
      <c r="A42" s="58" t="s">
        <v>299</v>
      </c>
      <c r="B42" s="58" t="s">
        <v>300</v>
      </c>
      <c r="C42" s="59">
        <v>2200</v>
      </c>
    </row>
    <row r="43" spans="1:3" x14ac:dyDescent="0.3">
      <c r="A43" s="60" t="s">
        <v>301</v>
      </c>
      <c r="B43" s="60" t="s">
        <v>98</v>
      </c>
      <c r="C43" s="61">
        <v>114.4</v>
      </c>
    </row>
    <row r="44" spans="1:3" x14ac:dyDescent="0.3">
      <c r="A44" s="58" t="s">
        <v>128</v>
      </c>
      <c r="B44" s="58" t="s">
        <v>302</v>
      </c>
      <c r="C44" s="59">
        <v>-259.04000000000002</v>
      </c>
    </row>
    <row r="45" spans="1:3" x14ac:dyDescent="0.3">
      <c r="A45" s="60" t="s">
        <v>222</v>
      </c>
      <c r="B45" s="60" t="s">
        <v>303</v>
      </c>
      <c r="C45" s="61">
        <v>95000</v>
      </c>
    </row>
    <row r="46" spans="1:3" x14ac:dyDescent="0.3">
      <c r="A46" s="58" t="s">
        <v>136</v>
      </c>
      <c r="B46" s="58" t="s">
        <v>304</v>
      </c>
      <c r="C46" s="59">
        <v>29390</v>
      </c>
    </row>
    <row r="47" spans="1:3" x14ac:dyDescent="0.3">
      <c r="A47" s="60" t="s">
        <v>136</v>
      </c>
      <c r="B47" s="60" t="s">
        <v>305</v>
      </c>
      <c r="C47" s="61">
        <v>-9293.84</v>
      </c>
    </row>
    <row r="48" spans="1:3" x14ac:dyDescent="0.3">
      <c r="A48" s="58" t="s">
        <v>306</v>
      </c>
      <c r="B48" s="58" t="s">
        <v>307</v>
      </c>
      <c r="C48" s="59">
        <v>10557.76</v>
      </c>
    </row>
    <row r="49" spans="1:3" x14ac:dyDescent="0.3">
      <c r="A49" s="60" t="s">
        <v>308</v>
      </c>
      <c r="B49" s="60" t="s">
        <v>309</v>
      </c>
      <c r="C49" s="61">
        <v>96000</v>
      </c>
    </row>
    <row r="50" spans="1:3" x14ac:dyDescent="0.3">
      <c r="A50" s="58" t="s">
        <v>308</v>
      </c>
      <c r="B50" s="58" t="s">
        <v>310</v>
      </c>
      <c r="C50" s="59">
        <v>17216</v>
      </c>
    </row>
    <row r="51" spans="1:3" x14ac:dyDescent="0.3">
      <c r="A51" s="49" t="s">
        <v>311</v>
      </c>
      <c r="B51" s="49" t="s">
        <v>312</v>
      </c>
      <c r="C51" s="64">
        <v>66495</v>
      </c>
    </row>
    <row r="52" spans="1:3" x14ac:dyDescent="0.3">
      <c r="A52" s="49" t="s">
        <v>0</v>
      </c>
      <c r="B52" s="49"/>
      <c r="C52" s="65">
        <f>SUBTOTAL(109,Tabla3[Imp. aplic.])</f>
        <v>371627.63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4814-8B39-47AB-A4AE-AD3B9439D5E5}">
  <dimension ref="A1:C59"/>
  <sheetViews>
    <sheetView topLeftCell="A43" workbookViewId="0">
      <selection activeCell="C60" sqref="C60"/>
    </sheetView>
  </sheetViews>
  <sheetFormatPr baseColWidth="10" defaultRowHeight="14.4" x14ac:dyDescent="0.3"/>
  <cols>
    <col min="1" max="1" width="18.33203125" customWidth="1"/>
    <col min="2" max="2" width="45.21875" customWidth="1"/>
    <col min="3" max="3" width="18.21875" customWidth="1"/>
  </cols>
  <sheetData>
    <row r="1" spans="1:3" x14ac:dyDescent="0.3">
      <c r="A1" s="76" t="s">
        <v>246</v>
      </c>
      <c r="B1" s="77" t="s">
        <v>96</v>
      </c>
      <c r="C1" s="77" t="s">
        <v>247</v>
      </c>
    </row>
    <row r="2" spans="1:3" x14ac:dyDescent="0.3">
      <c r="A2" s="78" t="s">
        <v>380</v>
      </c>
      <c r="B2" s="79" t="s">
        <v>381</v>
      </c>
      <c r="C2" s="80">
        <v>1800</v>
      </c>
    </row>
    <row r="3" spans="1:3" x14ac:dyDescent="0.3">
      <c r="A3" s="81" t="s">
        <v>132</v>
      </c>
      <c r="B3" s="82" t="s">
        <v>382</v>
      </c>
      <c r="C3" s="83">
        <v>220</v>
      </c>
    </row>
    <row r="4" spans="1:3" x14ac:dyDescent="0.3">
      <c r="A4" s="78" t="s">
        <v>383</v>
      </c>
      <c r="B4" s="79" t="s">
        <v>384</v>
      </c>
      <c r="C4" s="80">
        <v>3005.2</v>
      </c>
    </row>
    <row r="5" spans="1:3" x14ac:dyDescent="0.3">
      <c r="A5" s="81" t="s">
        <v>383</v>
      </c>
      <c r="B5" s="82" t="s">
        <v>385</v>
      </c>
      <c r="C5" s="83">
        <v>3005.2</v>
      </c>
    </row>
    <row r="6" spans="1:3" x14ac:dyDescent="0.3">
      <c r="A6" s="78" t="s">
        <v>383</v>
      </c>
      <c r="B6" s="79" t="s">
        <v>386</v>
      </c>
      <c r="C6" s="80">
        <v>3005.2</v>
      </c>
    </row>
    <row r="7" spans="1:3" x14ac:dyDescent="0.3">
      <c r="A7" s="81" t="s">
        <v>275</v>
      </c>
      <c r="B7" s="82" t="s">
        <v>387</v>
      </c>
      <c r="C7" s="83">
        <v>6600</v>
      </c>
    </row>
    <row r="8" spans="1:3" x14ac:dyDescent="0.3">
      <c r="A8" s="78" t="s">
        <v>292</v>
      </c>
      <c r="B8" s="79" t="s">
        <v>388</v>
      </c>
      <c r="C8" s="80">
        <v>422.4</v>
      </c>
    </row>
    <row r="9" spans="1:3" x14ac:dyDescent="0.3">
      <c r="A9" s="81" t="s">
        <v>292</v>
      </c>
      <c r="B9" s="82" t="s">
        <v>389</v>
      </c>
      <c r="C9" s="83">
        <v>915.2</v>
      </c>
    </row>
    <row r="10" spans="1:3" x14ac:dyDescent="0.3">
      <c r="A10" s="78" t="s">
        <v>292</v>
      </c>
      <c r="B10" s="79" t="s">
        <v>390</v>
      </c>
      <c r="C10" s="80">
        <v>2816</v>
      </c>
    </row>
    <row r="11" spans="1:3" x14ac:dyDescent="0.3">
      <c r="A11" s="81" t="s">
        <v>391</v>
      </c>
      <c r="B11" s="82" t="s">
        <v>392</v>
      </c>
      <c r="C11" s="83">
        <v>704</v>
      </c>
    </row>
    <row r="12" spans="1:3" x14ac:dyDescent="0.3">
      <c r="A12" s="78" t="s">
        <v>393</v>
      </c>
      <c r="B12" s="79" t="s">
        <v>394</v>
      </c>
      <c r="C12" s="80">
        <v>1014.37</v>
      </c>
    </row>
    <row r="13" spans="1:3" x14ac:dyDescent="0.3">
      <c r="A13" s="81" t="s">
        <v>393</v>
      </c>
      <c r="B13" s="82" t="s">
        <v>395</v>
      </c>
      <c r="C13" s="83">
        <v>821.93</v>
      </c>
    </row>
    <row r="14" spans="1:3" x14ac:dyDescent="0.3">
      <c r="A14" s="78" t="s">
        <v>393</v>
      </c>
      <c r="B14" s="79" t="s">
        <v>396</v>
      </c>
      <c r="C14" s="80">
        <v>1329.12</v>
      </c>
    </row>
    <row r="15" spans="1:3" x14ac:dyDescent="0.3">
      <c r="A15" s="81" t="s">
        <v>393</v>
      </c>
      <c r="B15" s="82" t="s">
        <v>397</v>
      </c>
      <c r="C15" s="83">
        <v>1238.69</v>
      </c>
    </row>
    <row r="16" spans="1:3" x14ac:dyDescent="0.3">
      <c r="A16" s="78" t="s">
        <v>393</v>
      </c>
      <c r="B16" s="79" t="s">
        <v>398</v>
      </c>
      <c r="C16" s="80">
        <v>861.89</v>
      </c>
    </row>
    <row r="17" spans="1:3" x14ac:dyDescent="0.3">
      <c r="A17" s="81" t="s">
        <v>393</v>
      </c>
      <c r="B17" s="82" t="s">
        <v>399</v>
      </c>
      <c r="C17" s="83">
        <v>1380.9</v>
      </c>
    </row>
    <row r="18" spans="1:3" x14ac:dyDescent="0.3">
      <c r="A18" s="78" t="s">
        <v>393</v>
      </c>
      <c r="B18" s="79" t="s">
        <v>400</v>
      </c>
      <c r="C18" s="80">
        <v>714.25</v>
      </c>
    </row>
    <row r="19" spans="1:3" x14ac:dyDescent="0.3">
      <c r="A19" s="81" t="s">
        <v>393</v>
      </c>
      <c r="B19" s="82" t="s">
        <v>401</v>
      </c>
      <c r="C19" s="83">
        <v>463.34</v>
      </c>
    </row>
    <row r="20" spans="1:3" x14ac:dyDescent="0.3">
      <c r="A20" s="78" t="s">
        <v>393</v>
      </c>
      <c r="B20" s="79" t="s">
        <v>402</v>
      </c>
      <c r="C20" s="80">
        <v>644.64</v>
      </c>
    </row>
    <row r="21" spans="1:3" x14ac:dyDescent="0.3">
      <c r="A21" s="81" t="s">
        <v>393</v>
      </c>
      <c r="B21" s="82" t="s">
        <v>403</v>
      </c>
      <c r="C21" s="83">
        <v>1045.92</v>
      </c>
    </row>
    <row r="22" spans="1:3" x14ac:dyDescent="0.3">
      <c r="A22" s="78" t="s">
        <v>393</v>
      </c>
      <c r="B22" s="79" t="s">
        <v>404</v>
      </c>
      <c r="C22" s="80">
        <v>1026.07</v>
      </c>
    </row>
    <row r="23" spans="1:3" x14ac:dyDescent="0.3">
      <c r="A23" s="81" t="s">
        <v>405</v>
      </c>
      <c r="B23" s="82" t="s">
        <v>406</v>
      </c>
      <c r="C23" s="83">
        <v>1760</v>
      </c>
    </row>
    <row r="24" spans="1:3" x14ac:dyDescent="0.3">
      <c r="A24" s="78" t="s">
        <v>407</v>
      </c>
      <c r="B24" s="79" t="s">
        <v>192</v>
      </c>
      <c r="C24" s="80">
        <v>114.4</v>
      </c>
    </row>
    <row r="25" spans="1:3" x14ac:dyDescent="0.3">
      <c r="A25" s="81" t="s">
        <v>408</v>
      </c>
      <c r="B25" s="82" t="s">
        <v>409</v>
      </c>
      <c r="C25" s="83">
        <v>114.4</v>
      </c>
    </row>
    <row r="26" spans="1:3" x14ac:dyDescent="0.3">
      <c r="A26" s="78" t="s">
        <v>410</v>
      </c>
      <c r="B26" s="79" t="s">
        <v>411</v>
      </c>
      <c r="C26" s="80">
        <v>114.4</v>
      </c>
    </row>
    <row r="27" spans="1:3" x14ac:dyDescent="0.3">
      <c r="A27" s="81" t="s">
        <v>412</v>
      </c>
      <c r="B27" s="82" t="s">
        <v>192</v>
      </c>
      <c r="C27" s="83">
        <v>114.4</v>
      </c>
    </row>
    <row r="28" spans="1:3" x14ac:dyDescent="0.3">
      <c r="A28" s="78" t="s">
        <v>413</v>
      </c>
      <c r="B28" s="79" t="s">
        <v>192</v>
      </c>
      <c r="C28" s="80">
        <v>114.4</v>
      </c>
    </row>
    <row r="29" spans="1:3" x14ac:dyDescent="0.3">
      <c r="A29" s="81" t="s">
        <v>414</v>
      </c>
      <c r="B29" s="82" t="s">
        <v>415</v>
      </c>
      <c r="C29" s="83">
        <v>114.4</v>
      </c>
    </row>
    <row r="30" spans="1:3" x14ac:dyDescent="0.3">
      <c r="A30" s="78" t="s">
        <v>416</v>
      </c>
      <c r="B30" s="79" t="s">
        <v>192</v>
      </c>
      <c r="C30" s="80">
        <v>114.4</v>
      </c>
    </row>
    <row r="31" spans="1:3" x14ac:dyDescent="0.3">
      <c r="A31" s="81" t="s">
        <v>417</v>
      </c>
      <c r="B31" s="82" t="s">
        <v>418</v>
      </c>
      <c r="C31" s="83">
        <v>1056</v>
      </c>
    </row>
    <row r="32" spans="1:3" x14ac:dyDescent="0.3">
      <c r="A32" s="78" t="s">
        <v>419</v>
      </c>
      <c r="B32" s="79" t="s">
        <v>192</v>
      </c>
      <c r="C32" s="80">
        <v>114.4</v>
      </c>
    </row>
    <row r="33" spans="1:3" x14ac:dyDescent="0.3">
      <c r="A33" s="81" t="s">
        <v>420</v>
      </c>
      <c r="B33" s="82" t="s">
        <v>98</v>
      </c>
      <c r="C33" s="83">
        <v>114.4</v>
      </c>
    </row>
    <row r="34" spans="1:3" x14ac:dyDescent="0.3">
      <c r="A34" s="78" t="s">
        <v>421</v>
      </c>
      <c r="B34" s="79" t="s">
        <v>422</v>
      </c>
      <c r="C34" s="80">
        <v>880</v>
      </c>
    </row>
    <row r="35" spans="1:3" x14ac:dyDescent="0.3">
      <c r="A35" s="81" t="s">
        <v>423</v>
      </c>
      <c r="B35" s="82" t="s">
        <v>424</v>
      </c>
      <c r="C35" s="83">
        <v>114.4</v>
      </c>
    </row>
    <row r="36" spans="1:3" x14ac:dyDescent="0.3">
      <c r="A36" s="78" t="s">
        <v>425</v>
      </c>
      <c r="B36" s="79" t="s">
        <v>192</v>
      </c>
      <c r="C36" s="80">
        <v>114.4</v>
      </c>
    </row>
    <row r="37" spans="1:3" x14ac:dyDescent="0.3">
      <c r="A37" s="81" t="s">
        <v>426</v>
      </c>
      <c r="B37" s="82" t="s">
        <v>427</v>
      </c>
      <c r="C37" s="83">
        <v>114.4</v>
      </c>
    </row>
    <row r="38" spans="1:3" x14ac:dyDescent="0.3">
      <c r="A38" s="78" t="s">
        <v>428</v>
      </c>
      <c r="B38" s="79" t="s">
        <v>429</v>
      </c>
      <c r="C38" s="80">
        <v>2640</v>
      </c>
    </row>
    <row r="39" spans="1:3" x14ac:dyDescent="0.3">
      <c r="A39" s="81" t="s">
        <v>430</v>
      </c>
      <c r="B39" s="82" t="s">
        <v>192</v>
      </c>
      <c r="C39" s="83">
        <v>114.4</v>
      </c>
    </row>
    <row r="40" spans="1:3" x14ac:dyDescent="0.3">
      <c r="A40" s="78" t="s">
        <v>431</v>
      </c>
      <c r="B40" s="79" t="s">
        <v>415</v>
      </c>
      <c r="C40" s="80">
        <v>114.4</v>
      </c>
    </row>
    <row r="41" spans="1:3" x14ac:dyDescent="0.3">
      <c r="A41" s="81" t="s">
        <v>432</v>
      </c>
      <c r="B41" s="82" t="s">
        <v>433</v>
      </c>
      <c r="C41" s="83">
        <v>1056</v>
      </c>
    </row>
    <row r="42" spans="1:3" x14ac:dyDescent="0.3">
      <c r="A42" s="78" t="s">
        <v>434</v>
      </c>
      <c r="B42" s="79" t="s">
        <v>192</v>
      </c>
      <c r="C42" s="80">
        <v>114.4</v>
      </c>
    </row>
    <row r="43" spans="1:3" x14ac:dyDescent="0.3">
      <c r="A43" s="81" t="s">
        <v>435</v>
      </c>
      <c r="B43" s="82" t="s">
        <v>98</v>
      </c>
      <c r="C43" s="83">
        <v>114.4</v>
      </c>
    </row>
    <row r="44" spans="1:3" x14ac:dyDescent="0.3">
      <c r="A44" s="78" t="s">
        <v>436</v>
      </c>
      <c r="B44" s="79" t="s">
        <v>98</v>
      </c>
      <c r="C44" s="80">
        <v>114.4</v>
      </c>
    </row>
    <row r="45" spans="1:3" x14ac:dyDescent="0.3">
      <c r="A45" s="81" t="s">
        <v>437</v>
      </c>
      <c r="B45" s="82" t="s">
        <v>98</v>
      </c>
      <c r="C45" s="83">
        <v>114.4</v>
      </c>
    </row>
    <row r="46" spans="1:3" x14ac:dyDescent="0.3">
      <c r="A46" s="78" t="s">
        <v>438</v>
      </c>
      <c r="B46" s="79" t="s">
        <v>98</v>
      </c>
      <c r="C46" s="80">
        <v>114.4</v>
      </c>
    </row>
    <row r="47" spans="1:3" x14ac:dyDescent="0.3">
      <c r="A47" s="81" t="s">
        <v>439</v>
      </c>
      <c r="B47" s="82" t="s">
        <v>440</v>
      </c>
      <c r="C47" s="83">
        <v>1760</v>
      </c>
    </row>
    <row r="48" spans="1:3" x14ac:dyDescent="0.3">
      <c r="A48" s="78" t="s">
        <v>441</v>
      </c>
      <c r="B48" s="79" t="s">
        <v>98</v>
      </c>
      <c r="C48" s="80">
        <v>114.4</v>
      </c>
    </row>
    <row r="49" spans="1:3" x14ac:dyDescent="0.3">
      <c r="A49" s="81" t="s">
        <v>442</v>
      </c>
      <c r="B49" s="82" t="s">
        <v>98</v>
      </c>
      <c r="C49" s="83">
        <v>114.4</v>
      </c>
    </row>
    <row r="50" spans="1:3" x14ac:dyDescent="0.3">
      <c r="A50" s="78" t="s">
        <v>443</v>
      </c>
      <c r="B50" s="79" t="s">
        <v>98</v>
      </c>
      <c r="C50" s="80">
        <v>114.4</v>
      </c>
    </row>
    <row r="51" spans="1:3" x14ac:dyDescent="0.3">
      <c r="A51" s="81" t="s">
        <v>135</v>
      </c>
      <c r="B51" s="82" t="s">
        <v>444</v>
      </c>
      <c r="C51" s="83">
        <v>-3803.16</v>
      </c>
    </row>
    <row r="52" spans="1:3" x14ac:dyDescent="0.3">
      <c r="A52" s="78" t="s">
        <v>222</v>
      </c>
      <c r="B52" s="79" t="s">
        <v>445</v>
      </c>
      <c r="C52" s="80">
        <v>95238.1</v>
      </c>
    </row>
    <row r="53" spans="1:3" x14ac:dyDescent="0.3">
      <c r="A53" s="81" t="s">
        <v>136</v>
      </c>
      <c r="B53" s="82" t="s">
        <v>446</v>
      </c>
      <c r="C53" s="83">
        <v>-327.97</v>
      </c>
    </row>
    <row r="54" spans="1:3" x14ac:dyDescent="0.3">
      <c r="A54" s="78" t="s">
        <v>308</v>
      </c>
      <c r="B54" s="79" t="s">
        <v>447</v>
      </c>
      <c r="C54" s="80">
        <v>14208</v>
      </c>
    </row>
    <row r="55" spans="1:3" ht="15" thickBot="1" x14ac:dyDescent="0.35">
      <c r="A55" s="81" t="s">
        <v>448</v>
      </c>
      <c r="B55" s="82" t="s">
        <v>449</v>
      </c>
      <c r="C55" s="83">
        <v>26630.14</v>
      </c>
    </row>
    <row r="56" spans="1:3" ht="15" thickTop="1" x14ac:dyDescent="0.3">
      <c r="A56" s="84" t="s">
        <v>0</v>
      </c>
      <c r="B56" s="85"/>
      <c r="C56" s="86">
        <v>176648.23000000004</v>
      </c>
    </row>
    <row r="59" spans="1:3" x14ac:dyDescent="0.3">
      <c r="B59" s="69" t="s">
        <v>450</v>
      </c>
      <c r="C59" s="70">
        <f>C56+Tabla2[[#Totals],[Imp.cob.aplic.]]+Tabla3[[#Totals],[Imp. aplic.]]</f>
        <v>802082.05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2DC8-B1DD-48EE-B554-4346635D0562}">
  <dimension ref="A1:C8"/>
  <sheetViews>
    <sheetView workbookViewId="0">
      <selection activeCell="B14" sqref="B14"/>
    </sheetView>
  </sheetViews>
  <sheetFormatPr baseColWidth="10" defaultRowHeight="14.4" x14ac:dyDescent="0.3"/>
  <cols>
    <col min="1" max="1" width="16.44140625" customWidth="1"/>
    <col min="2" max="2" width="53.44140625" customWidth="1"/>
    <col min="3" max="3" width="15.44140625" customWidth="1"/>
  </cols>
  <sheetData>
    <row r="1" spans="1:3" x14ac:dyDescent="0.3">
      <c r="A1" s="54" t="s">
        <v>95</v>
      </c>
      <c r="B1" s="54" t="s">
        <v>96</v>
      </c>
      <c r="C1" s="54" t="s">
        <v>127</v>
      </c>
    </row>
    <row r="2" spans="1:3" x14ac:dyDescent="0.3">
      <c r="A2" s="37" t="s">
        <v>1</v>
      </c>
      <c r="B2" s="37" t="s">
        <v>226</v>
      </c>
      <c r="C2" s="35">
        <v>30</v>
      </c>
    </row>
    <row r="3" spans="1:3" x14ac:dyDescent="0.3">
      <c r="A3" s="38" t="s">
        <v>1</v>
      </c>
      <c r="B3" s="38" t="s">
        <v>227</v>
      </c>
      <c r="C3" s="36">
        <v>1764</v>
      </c>
    </row>
    <row r="4" spans="1:3" x14ac:dyDescent="0.3">
      <c r="A4" s="37" t="s">
        <v>1</v>
      </c>
      <c r="B4" s="37" t="s">
        <v>228</v>
      </c>
      <c r="C4" s="35">
        <v>-9</v>
      </c>
    </row>
    <row r="5" spans="1:3" x14ac:dyDescent="0.3">
      <c r="A5" s="38" t="s">
        <v>1</v>
      </c>
      <c r="B5" s="38" t="s">
        <v>229</v>
      </c>
      <c r="C5" s="36">
        <v>35</v>
      </c>
    </row>
    <row r="6" spans="1:3" x14ac:dyDescent="0.3">
      <c r="A6" s="50" t="s">
        <v>2</v>
      </c>
      <c r="B6" s="50" t="s">
        <v>230</v>
      </c>
      <c r="C6" s="48">
        <v>1964.39</v>
      </c>
    </row>
    <row r="7" spans="1:3" s="53" customFormat="1" x14ac:dyDescent="0.3">
      <c r="A7" s="51" t="s">
        <v>0</v>
      </c>
      <c r="B7" s="51"/>
      <c r="C7" s="52">
        <f>SUBTOTAL(109,Tabla5[Imp.cob.aplic.])</f>
        <v>3784.3900000000003</v>
      </c>
    </row>
    <row r="8" spans="1:3" x14ac:dyDescent="0.3">
      <c r="C8" s="3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9304-2745-4739-AB16-F6D15787000C}">
  <dimension ref="A1:C5"/>
  <sheetViews>
    <sheetView workbookViewId="0">
      <selection activeCell="B8" sqref="B8:C8"/>
    </sheetView>
  </sheetViews>
  <sheetFormatPr baseColWidth="10" defaultRowHeight="14.4" x14ac:dyDescent="0.3"/>
  <cols>
    <col min="2" max="2" width="50.33203125" customWidth="1"/>
    <col min="3" max="3" width="11.6640625" customWidth="1"/>
  </cols>
  <sheetData>
    <row r="1" spans="1:3" x14ac:dyDescent="0.3">
      <c r="A1" s="62" t="s">
        <v>246</v>
      </c>
      <c r="B1" s="62" t="s">
        <v>96</v>
      </c>
      <c r="C1" s="62" t="s">
        <v>247</v>
      </c>
    </row>
    <row r="2" spans="1:3" x14ac:dyDescent="0.3">
      <c r="A2" s="58" t="s">
        <v>1</v>
      </c>
      <c r="B2" s="58" t="s">
        <v>313</v>
      </c>
      <c r="C2" s="59">
        <v>625.5</v>
      </c>
    </row>
    <row r="3" spans="1:3" x14ac:dyDescent="0.3">
      <c r="A3" s="60" t="s">
        <v>1</v>
      </c>
      <c r="B3" s="60" t="s">
        <v>314</v>
      </c>
      <c r="C3" s="61">
        <v>-27</v>
      </c>
    </row>
    <row r="4" spans="1:3" x14ac:dyDescent="0.3">
      <c r="A4" s="66" t="s">
        <v>1</v>
      </c>
      <c r="B4" s="66" t="s">
        <v>315</v>
      </c>
      <c r="C4" s="67">
        <v>-40.5</v>
      </c>
    </row>
    <row r="5" spans="1:3" x14ac:dyDescent="0.3">
      <c r="A5" s="49" t="s">
        <v>0</v>
      </c>
      <c r="B5" s="49"/>
      <c r="C5" s="68">
        <f>SUBTOTAL(109,Tabla6[Imp. aplic.])</f>
        <v>558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69E8-6D4F-419C-A5C8-719066A6B58C}">
  <dimension ref="A1:C7"/>
  <sheetViews>
    <sheetView tabSelected="1" workbookViewId="0">
      <selection activeCell="C8" sqref="C8"/>
    </sheetView>
  </sheetViews>
  <sheetFormatPr baseColWidth="10" defaultRowHeight="14.4" x14ac:dyDescent="0.3"/>
  <cols>
    <col min="1" max="1" width="17.77734375" customWidth="1"/>
    <col min="2" max="2" width="55.109375" customWidth="1"/>
    <col min="3" max="3" width="17.77734375" customWidth="1"/>
  </cols>
  <sheetData>
    <row r="1" spans="1:3" x14ac:dyDescent="0.3">
      <c r="A1" s="87" t="s">
        <v>246</v>
      </c>
      <c r="B1" s="88" t="s">
        <v>96</v>
      </c>
      <c r="C1" s="89" t="s">
        <v>247</v>
      </c>
    </row>
    <row r="2" spans="1:3" ht="15" thickBot="1" x14ac:dyDescent="0.35">
      <c r="A2" s="90" t="s">
        <v>1</v>
      </c>
      <c r="B2" s="91" t="s">
        <v>451</v>
      </c>
      <c r="C2" s="92">
        <v>657</v>
      </c>
    </row>
    <row r="3" spans="1:3" ht="15" thickTop="1" x14ac:dyDescent="0.3">
      <c r="A3" s="93" t="s">
        <v>0</v>
      </c>
      <c r="B3" s="94"/>
      <c r="C3" s="95">
        <v>657</v>
      </c>
    </row>
    <row r="7" spans="1:3" x14ac:dyDescent="0.3">
      <c r="B7" s="69" t="s">
        <v>452</v>
      </c>
      <c r="C7" s="71">
        <f>C3+Tabla5[[#Totals],[Imp.cob.aplic.]]+Tabla6[[#Totals],[Imp. aplic.]]</f>
        <v>4999.3900000000003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2026-05-26T12:50:52Z</dcterms:modified>
</cp:coreProperties>
</file>