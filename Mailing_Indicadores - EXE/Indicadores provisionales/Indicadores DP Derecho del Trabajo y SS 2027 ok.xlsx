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59CEC55F-7E02-4066-BFF3-09EB5636BA88}" xr6:coauthVersionLast="47" xr6:coauthVersionMax="47" xr10:uidLastSave="{00000000-0000-0000-0000-000000000000}"/>
  <bookViews>
    <workbookView xWindow="28680" yWindow="-120" windowWidth="20730" windowHeight="11040" firstSheet="5" activeTab="7" xr2:uid="{00000000-000D-0000-FFFF-FFFF00000000}"/>
  </bookViews>
  <sheets>
    <sheet name="Tesis" sheetId="2" r:id="rId1"/>
    <sheet name="Sexenios" sheetId="3" r:id="rId2"/>
    <sheet name="Ingresos investigación 2023" sheetId="9" r:id="rId3"/>
    <sheet name="Ingresos investigación 2024" sheetId="10" r:id="rId4"/>
    <sheet name="Ingresos investigación 2025" sheetId="14" r:id="rId5"/>
    <sheet name="Ingresos formación 2023" sheetId="11" r:id="rId6"/>
    <sheet name="Ingresos formación 2024" sheetId="12" r:id="rId7"/>
    <sheet name="Ingresos formación 2025" sheetId="15" r:id="rId8"/>
  </sheets>
  <definedNames>
    <definedName name="_xlnm._FilterDatabase" localSheetId="1" hidden="1">Sexenios!#REF!</definedName>
    <definedName name="_xlnm._FilterDatabase" localSheetId="0" hidden="1">Tesis!$A$1:$U$2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5" l="1"/>
  <c r="C9" i="14"/>
  <c r="C4" i="11"/>
  <c r="C5" i="10"/>
  <c r="C7" i="9"/>
  <c r="S11" i="3"/>
  <c r="S6" i="2"/>
</calcChain>
</file>

<file path=xl/sharedStrings.xml><?xml version="1.0" encoding="utf-8"?>
<sst xmlns="http://schemas.openxmlformats.org/spreadsheetml/2006/main" count="215" uniqueCount="114">
  <si>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</si>
  <si>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</si>
  <si>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</si>
  <si>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</si>
  <si>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</si>
  <si>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</si>
  <si>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</si>
  <si>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</si>
  <si>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</si>
  <si>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</si>
  <si>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</si>
  <si>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</si>
  <si>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</si>
  <si>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</si>
  <si>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</si>
  <si>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</si>
  <si>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</si>
  <si>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</si>
  <si>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</si>
  <si>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</si>
  <si>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</si>
  <si>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</si>
  <si>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/>
  </si>
  <si>
    <t>10.23</t>
  </si>
  <si>
    <t>B140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</si>
  <si>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</si>
  <si>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</si>
  <si>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</si>
  <si>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</si>
  <si>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</si>
  <si>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</si>
  <si>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</si>
  <si>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</si>
  <si>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</si>
  <si>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</si>
  <si>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</si>
  <si>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</si>
  <si>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</si>
  <si>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29019785H</t>
  </si>
  <si>
    <t>29008313T</t>
  </si>
  <si>
    <t>74219509G</t>
  </si>
  <si>
    <t>21495623F</t>
  </si>
  <si>
    <t>74086488S</t>
  </si>
  <si>
    <t>21416360W</t>
  </si>
  <si>
    <t>COD DEP</t>
  </si>
  <si>
    <t>21455665T</t>
  </si>
  <si>
    <t>10.25</t>
  </si>
  <si>
    <t>48622474Z</t>
  </si>
  <si>
    <t>NO FUNCIONARIO</t>
  </si>
  <si>
    <t>Cód. org. aplic.</t>
  </si>
  <si>
    <t>Descripción justificante</t>
  </si>
  <si>
    <t>Imp.cob.aplic.</t>
  </si>
  <si>
    <t>34.10.6P.00.07</t>
  </si>
  <si>
    <t>34.10.6P.00.08</t>
  </si>
  <si>
    <t>34.10.6C.00.08</t>
  </si>
  <si>
    <t>ELABORACIÓN PROPUESTA TÉCNICA RELATIVA A LA CONFECCIÓN DE LA RELACÓN DE PUESTOS DE TRABAJO Y VALORACIÓN PUESTOS TRABAJO DEL PERSONAL MANCOMUNIDAD DEL VALLE DEL VINALOPO.</t>
  </si>
  <si>
    <t>S</t>
  </si>
  <si>
    <t>CIGE/2021/021/041/046/103/136/162/178/153</t>
  </si>
  <si>
    <t>DEVOLUCIÓN DE INGRESOS_ MODELO 047_Nº de liquidación:46/2023/RAS/10321/1_ Número de justificante:047/1/002385120_Nº de referencia:047/1/002385120</t>
  </si>
  <si>
    <t xml:space="preserve">TED2021-130707B-I00, TED2021-129617B-I00, TED2021-129894B-I00, TED2021-129216B-I00, TED2021-130070B-I00, TED2021-130080B-I00, TED2021-130776A-I00, TED2021-132697B-I00, TED2021-131028B-I00, TED2021-132103A-I00, TED2021-130304B-I00 </t>
  </si>
  <si>
    <t>34.10.6X.00.01</t>
  </si>
  <si>
    <t>Primer cobro del Proyecto BUDGET IT.</t>
  </si>
  <si>
    <t>U025</t>
  </si>
  <si>
    <t>ADM. FACULTAD DE DERECHO</t>
  </si>
  <si>
    <t>DOCTORADO EN DERECHO</t>
  </si>
  <si>
    <t>Aranda Martínez, María Carmen</t>
  </si>
  <si>
    <t>Dirección y control de la prestación de trabajo</t>
  </si>
  <si>
    <t>08/03/2024</t>
  </si>
  <si>
    <t>Codirector de tesis</t>
  </si>
  <si>
    <t>DERECHO DEL TRABAJO Y DE LA SEGURIDAD SOCIAL</t>
  </si>
  <si>
    <t>50</t>
  </si>
  <si>
    <t>21673749K</t>
  </si>
  <si>
    <t>20</t>
  </si>
  <si>
    <t>34.10.6C.00.11</t>
  </si>
  <si>
    <t>PAGO 30% DEL PRESUPUESTO A LA FIRMA DEL CONTRATO</t>
  </si>
  <si>
    <t>DEVOLUCIÓN DE INGRESOS_MODELO 047_Nº DE LIQUIDACIÓN: 46/2024/RAS/10112/1_ Nº DE JUSTIFICANTE: 047/1/002477921_ Nº DE REFERENCIA: 047/1/002477921</t>
  </si>
  <si>
    <t>Cobro proyecto BUDGET IT (Interim payment)</t>
  </si>
  <si>
    <t>Org. aplic.</t>
  </si>
  <si>
    <t>Imp. aplic.</t>
  </si>
  <si>
    <t>10.91.2T.00.17</t>
  </si>
  <si>
    <t>MARIA VICTORIA GONZÁLEZ - GI83 POLÍTICAS DE IGUALDAD</t>
  </si>
  <si>
    <t xml:space="preserve">Plan_GI83 Curso_2023-24 Emitido_2023-24 - POLÍTICAS DE IGUALDAD. PLANES DE IGUALDAD Y OTRAS HERRAMIENTAS </t>
  </si>
  <si>
    <t>Sin ingresos de formación en el año 2024</t>
  </si>
  <si>
    <t>Administración Facultad de Derecho</t>
  </si>
  <si>
    <t>Parres Miralles, Rubén</t>
  </si>
  <si>
    <t>La forma del despido por causas objetivas</t>
  </si>
  <si>
    <t>04/11/2024</t>
  </si>
  <si>
    <t>Derecho del Trabajo y de la Seguridad Social</t>
  </si>
  <si>
    <t>2020</t>
  </si>
  <si>
    <t>2021</t>
  </si>
  <si>
    <t>2022</t>
  </si>
  <si>
    <t>2023</t>
  </si>
  <si>
    <t>2024</t>
  </si>
  <si>
    <t>2025</t>
  </si>
  <si>
    <t>Viqueira Pérez, María del Carmen</t>
  </si>
  <si>
    <t>Rivera Sánchez, Juan Ramón</t>
  </si>
  <si>
    <t>Montoya Medina, David</t>
  </si>
  <si>
    <t>Fernández-Peinado Martínez, Alicia</t>
  </si>
  <si>
    <t>Ballester Laguna, Fernando</t>
  </si>
  <si>
    <t>Bajo García, Irene</t>
  </si>
  <si>
    <t>Basterra Hernández, Miguel</t>
  </si>
  <si>
    <t>Sirvent Hernández, Nancy</t>
  </si>
  <si>
    <t>Blasco Jover, Carolina</t>
  </si>
  <si>
    <t>70% del total presupuestado tras la entrega del informe final de resultados. Ref: CESCV1-23I  Proyecto: Economía sumergida en la Comunitat Valenciana.</t>
  </si>
  <si>
    <t>DEVOLUCIÓN DE INGRESOS_CARTA DE PAGO_REFERENCIA: TED2021-130070B-I00, anualidad: 2023</t>
  </si>
  <si>
    <t>34.10.6P.00.10</t>
  </si>
  <si>
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</si>
  <si>
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</si>
  <si>
    <t>Total ingresos investigación 2023-25</t>
  </si>
  <si>
    <t>10.91.2T.01.76</t>
  </si>
  <si>
    <t>CÓD: GL60. MICROCREDENCIAL. POLÍTICAS DE IGUALDAD. PLANES DE IGUALDAD Y OTRAS HERRAMIENTAS.</t>
  </si>
  <si>
    <t>10.91.2T.01.77</t>
  </si>
  <si>
    <t xml:space="preserve">CÓD: GL60. MICROCREDENCIAL. LIQ-TitProp_GL60-N Curso_2024-25 AñoCont_2025 - POLÍTICAS DE IGUALDAD. PLANES DE IGUALDAD Y OTRAS HERRAMIENTAS </t>
  </si>
  <si>
    <t>Total ingresos formación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</si>
</sst>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0" fillId="0" borderId="0" applyFont="0" applyFill="0" applyBorder="0" applyAlignment="0" applyProtection="0"/>
  </cellStyleXfs>
  <cellXfs count="64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1" xfId="1" applyFill="1" applyBorder="1"/>
    <xf numFmtId="165" fontId="2" fillId="4" borderId="1" xfId="1" applyNumberFormat="1" applyFill="1" applyBorder="1"/>
    <xf numFmtId="0" fontId="2" fillId="4" borderId="1" xfId="1" applyFill="1" applyBorder="1" applyAlignment="1">
      <alignment horizontal="right"/>
    </xf>
    <xf numFmtId="1" fontId="2" fillId="4" borderId="1" xfId="1" applyNumberFormat="1" applyFill="1" applyBorder="1"/>
    <xf numFmtId="0" fontId="2" fillId="2" borderId="0" xfId="1" applyFill="1"/>
    <xf numFmtId="0" fontId="2" fillId="2" borderId="0" xfId="1" applyFill="1" applyAlignment="1">
      <alignment horizontal="right"/>
    </xf>
    <xf numFmtId="165" fontId="3" fillId="2" borderId="1" xfId="1" applyNumberFormat="1" applyFont="1" applyFill="1" applyBorder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43" fontId="0" fillId="7" borderId="2" xfId="6" applyNumberFormat="1" applyFont="1" applyFill="1" applyBorder="1"/>
    <xf numFmtId="43" fontId="0" fillId="0" borderId="2" xfId="6" applyNumberFormat="1" applyFont="1" applyBorder="1"/>
    <xf numFmtId="0" fontId="13" fillId="7" borderId="2" xfId="0" applyFont="1" applyFill="1" applyBorder="1"/>
    <xf numFmtId="0" fontId="13" fillId="0" borderId="2" xfId="0" applyFont="1" applyBorder="1"/>
    <xf numFmtId="43" fontId="0" fillId="0" borderId="0" xfId="0" applyNumberFormat="1"/>
    <xf numFmtId="0" fontId="9" fillId="8" borderId="0" xfId="5" applyFont="1" applyFill="1"/>
    <xf numFmtId="0" fontId="9" fillId="8" borderId="0" xfId="5" applyFont="1" applyFill="1" applyAlignment="1">
      <alignment horizontal="right"/>
    </xf>
    <xf numFmtId="0" fontId="11" fillId="8" borderId="0" xfId="5" applyFont="1" applyFill="1"/>
    <xf numFmtId="0" fontId="9" fillId="0" borderId="1" xfId="5" applyFont="1" applyBorder="1"/>
    <xf numFmtId="0" fontId="9" fillId="0" borderId="1" xfId="5" applyFont="1" applyBorder="1" applyAlignment="1">
      <alignment horizontal="right"/>
    </xf>
    <xf numFmtId="0" fontId="3" fillId="2" borderId="0" xfId="1" applyFont="1" applyFill="1"/>
    <xf numFmtId="0" fontId="0" fillId="0" borderId="4" xfId="0" applyBorder="1"/>
    <xf numFmtId="0" fontId="12" fillId="6" borderId="3" xfId="0" applyFont="1" applyFill="1" applyBorder="1"/>
    <xf numFmtId="0" fontId="13" fillId="7" borderId="4" xfId="0" applyFont="1" applyFill="1" applyBorder="1"/>
    <xf numFmtId="43" fontId="0" fillId="7" borderId="4" xfId="6" applyNumberFormat="1" applyFont="1" applyFill="1" applyBorder="1"/>
    <xf numFmtId="0" fontId="9" fillId="9" borderId="4" xfId="0" applyFont="1" applyFill="1" applyBorder="1"/>
    <xf numFmtId="43" fontId="10" fillId="9" borderId="4" xfId="0" applyNumberFormat="1" applyFont="1" applyFill="1" applyBorder="1"/>
    <xf numFmtId="0" fontId="0" fillId="10" borderId="0" xfId="0" applyFill="1"/>
    <xf numFmtId="0" fontId="0" fillId="7" borderId="2" xfId="0" applyFill="1" applyBorder="1"/>
    <xf numFmtId="0" fontId="0" fillId="0" borderId="2" xfId="0" applyBorder="1"/>
    <xf numFmtId="0" fontId="14" fillId="6" borderId="3" xfId="0" applyFont="1" applyFill="1" applyBorder="1"/>
    <xf numFmtId="43" fontId="14" fillId="6" borderId="3" xfId="6" applyNumberFormat="1" applyFont="1" applyFill="1" applyBorder="1"/>
    <xf numFmtId="0" fontId="0" fillId="7" borderId="4" xfId="0" applyFill="1" applyBorder="1"/>
    <xf numFmtId="43" fontId="0" fillId="0" borderId="4" xfId="0" applyNumberFormat="1" applyBorder="1"/>
    <xf numFmtId="0" fontId="15" fillId="0" borderId="0" xfId="0" applyFont="1"/>
    <xf numFmtId="43" fontId="15" fillId="0" borderId="0" xfId="0" applyNumberFormat="1" applyFont="1"/>
    <xf numFmtId="0" fontId="15" fillId="0" borderId="1" xfId="0" applyFont="1" applyBorder="1"/>
    <xf numFmtId="43" fontId="15" fillId="0" borderId="1" xfId="0" applyNumberFormat="1" applyFont="1" applyBorder="1"/>
    <xf numFmtId="0" fontId="16" fillId="11" borderId="5" xfId="0" applyFont="1" applyFill="1" applyBorder="1"/>
    <xf numFmtId="0" fontId="16" fillId="11" borderId="6" xfId="0" applyFont="1" applyFill="1" applyBorder="1"/>
    <xf numFmtId="0" fontId="17" fillId="12" borderId="5" xfId="0" applyFont="1" applyFill="1" applyBorder="1"/>
    <xf numFmtId="0" fontId="17" fillId="12" borderId="6" xfId="0" applyFont="1" applyFill="1" applyBorder="1"/>
    <xf numFmtId="164" fontId="17" fillId="12" borderId="6" xfId="6" applyFont="1" applyFill="1" applyBorder="1"/>
    <xf numFmtId="0" fontId="17" fillId="0" borderId="5" xfId="0" applyFont="1" applyBorder="1"/>
    <xf numFmtId="0" fontId="17" fillId="0" borderId="6" xfId="0" applyFont="1" applyBorder="1"/>
    <xf numFmtId="164" fontId="17" fillId="0" borderId="6" xfId="6" applyFont="1" applyBorder="1"/>
    <xf numFmtId="0" fontId="18" fillId="0" borderId="7" xfId="0" applyFont="1" applyBorder="1"/>
    <xf numFmtId="0" fontId="18" fillId="0" borderId="8" xfId="0" applyFont="1" applyBorder="1"/>
    <xf numFmtId="164" fontId="18" fillId="0" borderId="8" xfId="6" applyFont="1" applyBorder="1"/>
    <xf numFmtId="164" fontId="16" fillId="11" borderId="6" xfId="6" applyFont="1" applyFill="1" applyBorder="1"/>
    <xf numFmtId="164" fontId="18" fillId="0" borderId="8" xfId="0" applyNumberFormat="1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20">
    <dxf>
      <numFmt numFmtId="35" formatCode="_-* #,##0.00_-;\-* #,##0.00_-;_-* &quot;-&quot;??_-;_-@_-"/>
      <border diagonalUp="0" diagonalDown="0" outline="0">
        <left/>
        <right/>
        <top style="thin">
          <color theme="9" tint="0.39997558519241921"/>
        </top>
        <bottom/>
      </border>
    </dxf>
    <dxf>
      <border diagonalUp="0" diagonalDown="0" outline="0">
        <left/>
        <right/>
        <top style="thin">
          <color theme="9" tint="0.39997558519241921"/>
        </top>
        <bottom/>
      </border>
    </dxf>
    <dxf>
      <border diagonalUp="0" diagonalDown="0" outline="0">
        <left/>
        <right/>
        <top style="thin">
          <color theme="9" tint="0.39997558519241921"/>
        </top>
        <bottom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3B189E-2958-4EA2-8849-822DF7D0CD3F}" name="Tabla2" displayName="Tabla2" ref="A1:C7" totalsRowCount="1" headerRowDxfId="19" totalsRowDxfId="16" headerRowBorderDxfId="18" tableBorderDxfId="17" totalsRowBorderDxfId="15">
  <autoFilter ref="A1:C6" xr:uid="{2A3B189E-2958-4EA2-8849-822DF7D0CD3F}"/>
  <tableColumns count="3">
    <tableColumn id="1" xr3:uid="{1C331E56-F786-47E9-828F-EE6DB6F414A3}" name="Cód. org. aplic." totalsRowLabel="Total" dataDxfId="14" totalsRowDxfId="13"/>
    <tableColumn id="2" xr3:uid="{8B2EA5E0-10B5-470A-91F1-EBC78879FC67}" name="Descripción justificante" dataDxfId="12" totalsRowDxfId="11"/>
    <tableColumn id="3" xr3:uid="{3A3FC382-D66A-4FDD-88C7-08C628D816DB}" name="Imp.cob.aplic." totalsRowFunction="sum" dataDxfId="10" totalsRowDxfId="9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1A4545-AF11-4835-9A57-684B470F4874}" name="Tabla3" displayName="Tabla3" ref="A1:C5" totalsRowCount="1" headerRowBorderDxfId="8" tableBorderDxfId="7" totalsRowBorderDxfId="6">
  <autoFilter ref="A1:C4" xr:uid="{631A4545-AF11-4835-9A57-684B470F4874}"/>
  <tableColumns count="3">
    <tableColumn id="1" xr3:uid="{31FB67D4-58DA-4620-B501-8EBF02F01026}" name="Org. aplic." totalsRowLabel="Total"/>
    <tableColumn id="2" xr3:uid="{4D0BB3A4-5730-4DB7-AEE2-D6B1ADCE3AB7}" name="Descripción justificante"/>
    <tableColumn id="3" xr3:uid="{DE33C2EF-5E15-46B0-A11F-E90F29722854}" name="Imp. aplic." totalsRowFunction="s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F8FEFB-89DF-47CA-AC24-4A087208CE4B}" name="Tabla35" displayName="Tabla35" ref="A1:C4" totalsRowCount="1" headerRowBorderDxfId="5" tableBorderDxfId="4" totalsRowBorderDxfId="3">
  <autoFilter ref="A1:C3" xr:uid="{39F8FEFB-89DF-47CA-AC24-4A087208CE4B}"/>
  <tableColumns count="3">
    <tableColumn id="1" xr3:uid="{087EE46D-B15A-4DDD-ABCD-E947A44963C0}" name="Org. aplic." totalsRowLabel="Total" totalsRowDxfId="2"/>
    <tableColumn id="2" xr3:uid="{96A19E70-E5AA-46DD-87FC-F3B56D267020}" name="Descripción justificante" totalsRowDxfId="1"/>
    <tableColumn id="3" xr3:uid="{188964BD-522D-4905-BD2C-88C2DECBD51F}" name="Imp. aplic." totalsRowFunction="sum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6"/>
  <sheetViews>
    <sheetView showGridLines="0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13" sqref="Q13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4.44140625" style="6" customWidth="1"/>
    <col min="14" max="14" width="4.88671875" style="6" customWidth="1"/>
    <col min="15" max="15" width="4.88671875" style="14" customWidth="1"/>
    <col min="16" max="16" width="4.88671875" style="6" customWidth="1"/>
    <col min="17" max="17" width="3.5546875" style="14" customWidth="1"/>
    <col min="18" max="18" width="9" style="6" customWidth="1"/>
    <col min="19" max="21" width="5.109375" style="6" customWidth="1"/>
    <col min="22" max="16384" width="10.33203125" style="6"/>
  </cols>
  <sheetData>
    <row r="1" spans="1:22" ht="40.799999999999997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2" x14ac:dyDescent="0.2">
      <c r="A2" s="7" t="s">
        <v>62</v>
      </c>
      <c r="B2" s="7" t="s">
        <v>63</v>
      </c>
      <c r="C2" s="7" t="s">
        <v>64</v>
      </c>
      <c r="D2" s="7" t="s">
        <v>65</v>
      </c>
      <c r="E2" s="7" t="s">
        <v>66</v>
      </c>
      <c r="F2" s="7" t="s">
        <v>67</v>
      </c>
      <c r="G2" s="7" t="s">
        <v>43</v>
      </c>
      <c r="H2" s="7" t="s">
        <v>68</v>
      </c>
      <c r="I2" s="7" t="s">
        <v>24</v>
      </c>
      <c r="J2" s="7" t="s">
        <v>69</v>
      </c>
      <c r="K2" s="7">
        <v>0.5</v>
      </c>
      <c r="L2" s="7" t="s">
        <v>24</v>
      </c>
      <c r="M2" s="7">
        <v>2023</v>
      </c>
      <c r="N2" s="9" t="s">
        <v>22</v>
      </c>
      <c r="O2" s="7" t="s">
        <v>22</v>
      </c>
      <c r="P2" s="9" t="s">
        <v>22</v>
      </c>
      <c r="Q2" s="10" t="s">
        <v>22</v>
      </c>
      <c r="R2" s="8">
        <v>100</v>
      </c>
      <c r="S2" s="8">
        <v>0.5</v>
      </c>
      <c r="T2" s="8">
        <v>0</v>
      </c>
      <c r="U2" s="6">
        <v>0</v>
      </c>
      <c r="V2" s="6" t="s">
        <v>56</v>
      </c>
    </row>
    <row r="3" spans="1:22" x14ac:dyDescent="0.2">
      <c r="A3" s="7" t="s">
        <v>62</v>
      </c>
      <c r="B3" s="7" t="s">
        <v>63</v>
      </c>
      <c r="C3" s="7" t="s">
        <v>64</v>
      </c>
      <c r="D3" s="7" t="s">
        <v>65</v>
      </c>
      <c r="E3" s="7" t="s">
        <v>66</v>
      </c>
      <c r="F3" s="7" t="s">
        <v>67</v>
      </c>
      <c r="G3" s="7" t="s">
        <v>41</v>
      </c>
      <c r="H3" s="7" t="s">
        <v>68</v>
      </c>
      <c r="I3" s="7" t="s">
        <v>24</v>
      </c>
      <c r="J3" s="7" t="s">
        <v>69</v>
      </c>
      <c r="K3" s="7">
        <v>0.5</v>
      </c>
      <c r="L3" s="7" t="s">
        <v>24</v>
      </c>
      <c r="M3" s="7">
        <v>2023</v>
      </c>
      <c r="N3" s="9" t="s">
        <v>22</v>
      </c>
      <c r="O3" s="7" t="s">
        <v>22</v>
      </c>
      <c r="P3" s="9" t="s">
        <v>22</v>
      </c>
      <c r="Q3" s="10" t="s">
        <v>22</v>
      </c>
      <c r="R3" s="8">
        <v>100</v>
      </c>
      <c r="S3" s="8">
        <v>0.5</v>
      </c>
      <c r="T3" s="8">
        <v>0</v>
      </c>
      <c r="U3" s="6">
        <v>0</v>
      </c>
      <c r="V3" s="6" t="s">
        <v>56</v>
      </c>
    </row>
    <row r="4" spans="1:22" x14ac:dyDescent="0.2">
      <c r="A4" s="7" t="s">
        <v>62</v>
      </c>
      <c r="B4" s="7" t="s">
        <v>83</v>
      </c>
      <c r="C4" s="7" t="s">
        <v>64</v>
      </c>
      <c r="D4" s="7" t="s">
        <v>84</v>
      </c>
      <c r="E4" s="7" t="s">
        <v>85</v>
      </c>
      <c r="F4" s="7" t="s">
        <v>86</v>
      </c>
      <c r="G4" s="7" t="s">
        <v>40</v>
      </c>
      <c r="H4" s="7" t="s">
        <v>68</v>
      </c>
      <c r="I4" s="7" t="s">
        <v>24</v>
      </c>
      <c r="J4" s="7" t="s">
        <v>87</v>
      </c>
      <c r="K4" s="7">
        <v>0.5</v>
      </c>
      <c r="L4" s="7" t="s">
        <v>24</v>
      </c>
      <c r="M4" s="7">
        <v>2024</v>
      </c>
      <c r="N4" s="9" t="s">
        <v>22</v>
      </c>
      <c r="O4" s="7" t="s">
        <v>22</v>
      </c>
      <c r="P4" s="9" t="s">
        <v>22</v>
      </c>
      <c r="Q4" s="10" t="s">
        <v>22</v>
      </c>
      <c r="R4" s="8">
        <v>100</v>
      </c>
      <c r="S4" s="8">
        <v>0.5</v>
      </c>
      <c r="T4" s="8">
        <v>0</v>
      </c>
      <c r="U4" s="6">
        <v>0</v>
      </c>
    </row>
    <row r="5" spans="1:22" x14ac:dyDescent="0.2">
      <c r="A5" s="7" t="s">
        <v>62</v>
      </c>
      <c r="B5" s="7" t="s">
        <v>83</v>
      </c>
      <c r="C5" s="7" t="s">
        <v>64</v>
      </c>
      <c r="D5" s="7" t="s">
        <v>84</v>
      </c>
      <c r="E5" s="7" t="s">
        <v>85</v>
      </c>
      <c r="F5" s="7" t="s">
        <v>86</v>
      </c>
      <c r="G5" s="7" t="s">
        <v>43</v>
      </c>
      <c r="H5" s="7" t="s">
        <v>68</v>
      </c>
      <c r="I5" s="7" t="s">
        <v>24</v>
      </c>
      <c r="J5" s="7" t="s">
        <v>87</v>
      </c>
      <c r="K5" s="7">
        <v>0.5</v>
      </c>
      <c r="L5" s="7" t="s">
        <v>24</v>
      </c>
      <c r="M5" s="7">
        <v>2024</v>
      </c>
      <c r="N5" s="9" t="s">
        <v>22</v>
      </c>
      <c r="O5" s="7" t="s">
        <v>22</v>
      </c>
      <c r="P5" s="9" t="s">
        <v>22</v>
      </c>
      <c r="Q5" s="10" t="s">
        <v>22</v>
      </c>
      <c r="R5" s="8">
        <v>100</v>
      </c>
      <c r="S5" s="8">
        <v>0.5</v>
      </c>
      <c r="T5" s="8">
        <v>0</v>
      </c>
      <c r="U5" s="6">
        <v>0</v>
      </c>
    </row>
    <row r="6" spans="1:22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1"/>
      <c r="P6" s="12"/>
      <c r="Q6" s="11"/>
      <c r="R6" s="13"/>
      <c r="S6" s="33">
        <f>SUM(S2:S5)</f>
        <v>2</v>
      </c>
      <c r="T6" s="11"/>
      <c r="U6" s="11"/>
    </row>
  </sheetData>
  <autoFilter ref="A1:U2" xr:uid="{00000000-0009-0000-0000-000000000000}">
    <sortState xmlns:xlrd2="http://schemas.microsoft.com/office/spreadsheetml/2017/richdata2" ref="A2:U1910">
      <sortCondition ref="L2:L1910"/>
      <sortCondition ref="M2:M1910"/>
      <sortCondition ref="D2:D1910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4"/>
  <sheetViews>
    <sheetView zoomScaleNormal="100" workbookViewId="0">
      <selection activeCell="X11" sqref="X11"/>
    </sheetView>
  </sheetViews>
  <sheetFormatPr baseColWidth="10" defaultColWidth="11.44140625" defaultRowHeight="13.2" x14ac:dyDescent="0.25"/>
  <cols>
    <col min="1" max="1" width="10.88671875" style="18" bestFit="1" customWidth="1"/>
    <col min="2" max="2" width="36.88671875" style="18" bestFit="1" customWidth="1"/>
    <col min="3" max="3" width="14.5546875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3" width="5.6640625" style="18" bestFit="1" customWidth="1"/>
    <col min="14" max="14" width="5.6640625" style="19" bestFit="1" customWidth="1"/>
    <col min="15" max="15" width="5.6640625" style="18" bestFit="1" customWidth="1"/>
    <col min="16" max="16" width="5.6640625" style="19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20" t="s">
        <v>25</v>
      </c>
      <c r="B1" s="20" t="s">
        <v>26</v>
      </c>
      <c r="C1" s="20" t="s">
        <v>27</v>
      </c>
      <c r="D1" s="21" t="s">
        <v>88</v>
      </c>
      <c r="E1" s="21" t="s">
        <v>89</v>
      </c>
      <c r="F1" s="21" t="s">
        <v>90</v>
      </c>
      <c r="G1" s="21" t="s">
        <v>91</v>
      </c>
      <c r="H1" s="21" t="s">
        <v>92</v>
      </c>
      <c r="I1" s="21" t="s">
        <v>93</v>
      </c>
      <c r="J1" s="20" t="s">
        <v>28</v>
      </c>
      <c r="K1" s="22" t="s">
        <v>44</v>
      </c>
      <c r="L1" s="15" t="s">
        <v>29</v>
      </c>
      <c r="M1" s="15" t="s">
        <v>30</v>
      </c>
      <c r="N1" s="15" t="s">
        <v>31</v>
      </c>
      <c r="O1" s="15" t="s">
        <v>32</v>
      </c>
      <c r="P1" s="16" t="s">
        <v>33</v>
      </c>
      <c r="Q1" s="16" t="s">
        <v>34</v>
      </c>
      <c r="R1" s="16" t="s">
        <v>35</v>
      </c>
      <c r="S1" s="16" t="s">
        <v>36</v>
      </c>
    </row>
    <row r="2" spans="1:19" x14ac:dyDescent="0.25">
      <c r="A2" s="31" t="s">
        <v>43</v>
      </c>
      <c r="B2" s="31" t="s">
        <v>94</v>
      </c>
      <c r="C2" s="31" t="s">
        <v>37</v>
      </c>
      <c r="D2" s="31">
        <v>1</v>
      </c>
      <c r="E2" s="31"/>
      <c r="F2" s="31"/>
      <c r="G2" s="31"/>
      <c r="H2" s="31"/>
      <c r="I2" s="31"/>
      <c r="J2" s="31">
        <v>1</v>
      </c>
      <c r="K2" s="31" t="s">
        <v>24</v>
      </c>
      <c r="L2" s="31">
        <v>0</v>
      </c>
      <c r="M2" s="31">
        <v>0</v>
      </c>
      <c r="N2" s="32" t="s">
        <v>22</v>
      </c>
      <c r="O2" s="31" t="s">
        <v>22</v>
      </c>
      <c r="P2" s="32">
        <v>100</v>
      </c>
      <c r="Q2" s="31">
        <v>0</v>
      </c>
      <c r="R2" s="31">
        <v>0</v>
      </c>
      <c r="S2" s="31">
        <v>1</v>
      </c>
    </row>
    <row r="3" spans="1:19" x14ac:dyDescent="0.25">
      <c r="A3" s="31" t="s">
        <v>45</v>
      </c>
      <c r="B3" s="31" t="s">
        <v>95</v>
      </c>
      <c r="C3" s="31" t="s">
        <v>37</v>
      </c>
      <c r="D3" s="31"/>
      <c r="E3" s="31">
        <v>1</v>
      </c>
      <c r="F3" s="31"/>
      <c r="G3" s="31"/>
      <c r="H3" s="31"/>
      <c r="I3" s="31"/>
      <c r="J3" s="31">
        <v>1</v>
      </c>
      <c r="K3" s="31" t="s">
        <v>24</v>
      </c>
      <c r="L3" s="31" t="s">
        <v>46</v>
      </c>
      <c r="M3" s="31" t="s">
        <v>70</v>
      </c>
      <c r="N3" s="32" t="s">
        <v>22</v>
      </c>
      <c r="O3" s="31" t="s">
        <v>22</v>
      </c>
      <c r="P3" s="32">
        <v>50</v>
      </c>
      <c r="Q3" s="31">
        <v>0.5</v>
      </c>
      <c r="R3" s="31">
        <v>0</v>
      </c>
      <c r="S3" s="31">
        <v>0.5</v>
      </c>
    </row>
    <row r="4" spans="1:19" x14ac:dyDescent="0.25">
      <c r="A4" s="31" t="s">
        <v>41</v>
      </c>
      <c r="B4" s="31" t="s">
        <v>96</v>
      </c>
      <c r="C4" s="31" t="s">
        <v>37</v>
      </c>
      <c r="D4" s="31"/>
      <c r="E4" s="31"/>
      <c r="F4" s="31"/>
      <c r="G4" s="31">
        <v>1</v>
      </c>
      <c r="H4" s="31"/>
      <c r="I4" s="31"/>
      <c r="J4" s="31">
        <v>1</v>
      </c>
      <c r="K4" s="31" t="s">
        <v>24</v>
      </c>
      <c r="L4" s="31">
        <v>0</v>
      </c>
      <c r="M4" s="31">
        <v>0</v>
      </c>
      <c r="N4" s="32" t="s">
        <v>22</v>
      </c>
      <c r="O4" s="31" t="s">
        <v>22</v>
      </c>
      <c r="P4" s="32">
        <v>100</v>
      </c>
      <c r="Q4" s="31">
        <v>0</v>
      </c>
      <c r="R4" s="31">
        <v>0</v>
      </c>
      <c r="S4" s="31">
        <v>1</v>
      </c>
    </row>
    <row r="5" spans="1:19" x14ac:dyDescent="0.25">
      <c r="A5" s="31" t="s">
        <v>71</v>
      </c>
      <c r="B5" s="31" t="s">
        <v>97</v>
      </c>
      <c r="C5" s="31" t="s">
        <v>48</v>
      </c>
      <c r="D5" s="31"/>
      <c r="E5" s="31"/>
      <c r="F5" s="31"/>
      <c r="G5" s="31"/>
      <c r="H5" s="31">
        <v>1</v>
      </c>
      <c r="I5" s="31"/>
      <c r="J5" s="31">
        <v>1</v>
      </c>
      <c r="K5" s="31" t="s">
        <v>24</v>
      </c>
      <c r="L5" s="31">
        <v>0</v>
      </c>
      <c r="M5" s="31">
        <v>0</v>
      </c>
      <c r="N5" s="32" t="s">
        <v>22</v>
      </c>
      <c r="O5" s="31" t="s">
        <v>22</v>
      </c>
      <c r="P5" s="32">
        <v>100</v>
      </c>
      <c r="Q5" s="31">
        <v>0</v>
      </c>
      <c r="R5" s="31">
        <v>0</v>
      </c>
      <c r="S5" s="31">
        <v>1</v>
      </c>
    </row>
    <row r="6" spans="1:19" x14ac:dyDescent="0.25">
      <c r="A6" s="31" t="s">
        <v>39</v>
      </c>
      <c r="B6" s="31" t="s">
        <v>98</v>
      </c>
      <c r="C6" s="31" t="s">
        <v>37</v>
      </c>
      <c r="D6" s="31"/>
      <c r="E6" s="31">
        <v>1</v>
      </c>
      <c r="F6" s="31"/>
      <c r="G6" s="31"/>
      <c r="H6" s="31"/>
      <c r="I6" s="31"/>
      <c r="J6" s="31">
        <v>1</v>
      </c>
      <c r="K6" s="31" t="s">
        <v>24</v>
      </c>
      <c r="L6" s="31">
        <v>0</v>
      </c>
      <c r="M6" s="31">
        <v>0</v>
      </c>
      <c r="N6" s="32" t="s">
        <v>22</v>
      </c>
      <c r="O6" s="31" t="s">
        <v>22</v>
      </c>
      <c r="P6" s="32">
        <v>100</v>
      </c>
      <c r="Q6" s="31">
        <v>0</v>
      </c>
      <c r="R6" s="31">
        <v>0</v>
      </c>
      <c r="S6" s="31">
        <v>1</v>
      </c>
    </row>
    <row r="7" spans="1:19" x14ac:dyDescent="0.25">
      <c r="A7" s="31" t="s">
        <v>38</v>
      </c>
      <c r="B7" s="31" t="s">
        <v>99</v>
      </c>
      <c r="C7" s="31" t="s">
        <v>37</v>
      </c>
      <c r="D7" s="31"/>
      <c r="E7" s="31"/>
      <c r="F7" s="31"/>
      <c r="G7" s="31">
        <v>1</v>
      </c>
      <c r="H7" s="31"/>
      <c r="I7" s="31"/>
      <c r="J7" s="31">
        <v>1</v>
      </c>
      <c r="K7" s="31" t="s">
        <v>24</v>
      </c>
      <c r="L7" s="31" t="s">
        <v>23</v>
      </c>
      <c r="M7" s="31" t="s">
        <v>72</v>
      </c>
      <c r="N7" s="32" t="s">
        <v>22</v>
      </c>
      <c r="O7" s="31" t="s">
        <v>22</v>
      </c>
      <c r="P7" s="32">
        <v>80</v>
      </c>
      <c r="Q7" s="31">
        <v>0.2</v>
      </c>
      <c r="R7" s="31">
        <v>0</v>
      </c>
      <c r="S7" s="31">
        <v>0.8</v>
      </c>
    </row>
    <row r="8" spans="1:19" x14ac:dyDescent="0.25">
      <c r="A8" s="31" t="s">
        <v>47</v>
      </c>
      <c r="B8" s="31" t="s">
        <v>100</v>
      </c>
      <c r="C8" s="31" t="s">
        <v>37</v>
      </c>
      <c r="D8" s="31"/>
      <c r="E8" s="31"/>
      <c r="F8" s="31"/>
      <c r="G8" s="31">
        <v>1</v>
      </c>
      <c r="H8" s="31"/>
      <c r="I8" s="31"/>
      <c r="J8" s="31">
        <v>1</v>
      </c>
      <c r="K8" s="31" t="s">
        <v>24</v>
      </c>
      <c r="L8" s="31">
        <v>0</v>
      </c>
      <c r="M8" s="31">
        <v>0</v>
      </c>
      <c r="N8" s="32" t="s">
        <v>22</v>
      </c>
      <c r="O8" s="31" t="s">
        <v>22</v>
      </c>
      <c r="P8" s="32">
        <v>100</v>
      </c>
      <c r="Q8" s="31">
        <v>0</v>
      </c>
      <c r="R8" s="31">
        <v>0</v>
      </c>
      <c r="S8" s="31">
        <v>1</v>
      </c>
    </row>
    <row r="9" spans="1:19" x14ac:dyDescent="0.25">
      <c r="A9" s="31" t="s">
        <v>42</v>
      </c>
      <c r="B9" s="31" t="s">
        <v>101</v>
      </c>
      <c r="C9" s="31" t="s">
        <v>37</v>
      </c>
      <c r="D9" s="31">
        <v>1</v>
      </c>
      <c r="E9" s="31"/>
      <c r="F9" s="31"/>
      <c r="G9" s="31"/>
      <c r="H9" s="31"/>
      <c r="I9" s="31"/>
      <c r="J9" s="31">
        <v>1</v>
      </c>
      <c r="K9" s="31" t="s">
        <v>24</v>
      </c>
      <c r="L9" s="31">
        <v>0</v>
      </c>
      <c r="M9" s="31">
        <v>0</v>
      </c>
      <c r="N9" s="32" t="s">
        <v>22</v>
      </c>
      <c r="O9" s="31" t="s">
        <v>22</v>
      </c>
      <c r="P9" s="32">
        <v>100</v>
      </c>
      <c r="Q9" s="31">
        <v>0</v>
      </c>
      <c r="R9" s="31">
        <v>0</v>
      </c>
      <c r="S9" s="31">
        <v>1</v>
      </c>
    </row>
    <row r="10" spans="1:19" x14ac:dyDescent="0.25">
      <c r="A10" s="31" t="s">
        <v>40</v>
      </c>
      <c r="B10" s="31" t="s">
        <v>102</v>
      </c>
      <c r="C10" s="31" t="s">
        <v>37</v>
      </c>
      <c r="D10" s="31"/>
      <c r="E10" s="31"/>
      <c r="F10" s="31"/>
      <c r="G10" s="31">
        <v>1</v>
      </c>
      <c r="H10" s="31"/>
      <c r="I10" s="31"/>
      <c r="J10" s="31">
        <v>1</v>
      </c>
      <c r="K10" s="31" t="s">
        <v>24</v>
      </c>
      <c r="L10" s="31">
        <v>0</v>
      </c>
      <c r="M10" s="31">
        <v>0</v>
      </c>
      <c r="N10" s="32" t="s">
        <v>22</v>
      </c>
      <c r="O10" s="31" t="s">
        <v>22</v>
      </c>
      <c r="P10" s="32">
        <v>100</v>
      </c>
      <c r="Q10" s="31">
        <v>0</v>
      </c>
      <c r="R10" s="31">
        <v>0</v>
      </c>
      <c r="S10" s="31">
        <v>1</v>
      </c>
    </row>
    <row r="11" spans="1:19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9"/>
      <c r="O11" s="28"/>
      <c r="P11" s="29"/>
      <c r="Q11" s="28"/>
      <c r="R11" s="28"/>
      <c r="S11" s="30">
        <f>SUM(S2:S10)</f>
        <v>8.3000000000000007</v>
      </c>
    </row>
    <row r="14" spans="1:19" s="17" customFormat="1" ht="60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9"/>
      <c r="O14" s="18"/>
      <c r="P14" s="19"/>
      <c r="Q14" s="18"/>
      <c r="R14" s="18"/>
      <c r="S14" s="18"/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B3A9-806E-4122-92AE-88AE615541D8}">
  <dimension ref="A1:C8"/>
  <sheetViews>
    <sheetView workbookViewId="0">
      <selection activeCell="B16" sqref="B16"/>
    </sheetView>
  </sheetViews>
  <sheetFormatPr baseColWidth="10" defaultRowHeight="14.4" x14ac:dyDescent="0.3"/>
  <cols>
    <col min="1" max="1" width="16.44140625" customWidth="1"/>
    <col min="2" max="2" width="77.5546875" customWidth="1"/>
    <col min="3" max="3" width="15.44140625" customWidth="1"/>
  </cols>
  <sheetData>
    <row r="1" spans="1:3" x14ac:dyDescent="0.3">
      <c r="A1" s="35" t="s">
        <v>49</v>
      </c>
      <c r="B1" s="35" t="s">
        <v>50</v>
      </c>
      <c r="C1" s="35" t="s">
        <v>51</v>
      </c>
    </row>
    <row r="2" spans="1:3" x14ac:dyDescent="0.3">
      <c r="A2" s="25" t="s">
        <v>54</v>
      </c>
      <c r="B2" s="25" t="s">
        <v>55</v>
      </c>
      <c r="C2" s="23">
        <v>4312</v>
      </c>
    </row>
    <row r="3" spans="1:3" x14ac:dyDescent="0.3">
      <c r="A3" s="26" t="s">
        <v>52</v>
      </c>
      <c r="B3" s="26" t="s">
        <v>57</v>
      </c>
      <c r="C3" s="24">
        <v>10000</v>
      </c>
    </row>
    <row r="4" spans="1:3" x14ac:dyDescent="0.3">
      <c r="A4" s="25" t="s">
        <v>52</v>
      </c>
      <c r="B4" s="25" t="s">
        <v>58</v>
      </c>
      <c r="C4" s="23">
        <v>-10000</v>
      </c>
    </row>
    <row r="5" spans="1:3" x14ac:dyDescent="0.3">
      <c r="A5" s="26" t="s">
        <v>53</v>
      </c>
      <c r="B5" s="26" t="s">
        <v>59</v>
      </c>
      <c r="C5" s="24">
        <v>1960</v>
      </c>
    </row>
    <row r="6" spans="1:3" x14ac:dyDescent="0.3">
      <c r="A6" s="36" t="s">
        <v>60</v>
      </c>
      <c r="B6" s="36" t="s">
        <v>61</v>
      </c>
      <c r="C6" s="37">
        <v>109832.25</v>
      </c>
    </row>
    <row r="7" spans="1:3" s="40" customFormat="1" x14ac:dyDescent="0.3">
      <c r="A7" s="38" t="s">
        <v>0</v>
      </c>
      <c r="B7" s="38"/>
      <c r="C7" s="39">
        <f>SUBTOTAL(109,Tabla2[Imp.cob.aplic.])</f>
        <v>116104.25</v>
      </c>
    </row>
    <row r="8" spans="1:3" x14ac:dyDescent="0.3">
      <c r="C8" s="2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4D59-3F6C-42AE-BEC2-B88AF5024746}">
  <dimension ref="A1:C5"/>
  <sheetViews>
    <sheetView workbookViewId="0">
      <selection activeCell="B8" sqref="B8:C8"/>
    </sheetView>
  </sheetViews>
  <sheetFormatPr baseColWidth="10" defaultRowHeight="14.4" x14ac:dyDescent="0.3"/>
  <cols>
    <col min="1" max="1" width="19.109375" customWidth="1"/>
    <col min="2" max="2" width="50.6640625" customWidth="1"/>
    <col min="3" max="3" width="13.33203125" customWidth="1"/>
  </cols>
  <sheetData>
    <row r="1" spans="1:3" x14ac:dyDescent="0.3">
      <c r="A1" s="43" t="s">
        <v>77</v>
      </c>
      <c r="B1" s="43" t="s">
        <v>50</v>
      </c>
      <c r="C1" s="44" t="s">
        <v>78</v>
      </c>
    </row>
    <row r="2" spans="1:3" x14ac:dyDescent="0.3">
      <c r="A2" s="41" t="s">
        <v>73</v>
      </c>
      <c r="B2" s="41" t="s">
        <v>74</v>
      </c>
      <c r="C2" s="23">
        <v>11880</v>
      </c>
    </row>
    <row r="3" spans="1:3" x14ac:dyDescent="0.3">
      <c r="A3" s="42" t="s">
        <v>52</v>
      </c>
      <c r="B3" s="42" t="s">
        <v>75</v>
      </c>
      <c r="C3" s="24">
        <v>-6339.39</v>
      </c>
    </row>
    <row r="4" spans="1:3" x14ac:dyDescent="0.3">
      <c r="A4" s="45" t="s">
        <v>60</v>
      </c>
      <c r="B4" s="45" t="s">
        <v>76</v>
      </c>
      <c r="C4" s="37">
        <v>14644.3</v>
      </c>
    </row>
    <row r="5" spans="1:3" x14ac:dyDescent="0.3">
      <c r="A5" s="34" t="s">
        <v>0</v>
      </c>
      <c r="B5" s="34"/>
      <c r="C5" s="46">
        <f>SUBTOTAL(109,Tabla3[Imp. aplic.])</f>
        <v>20184.91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9864-9B3A-4D6F-A756-7E3C756F9CBF}">
  <dimension ref="A1:C9"/>
  <sheetViews>
    <sheetView workbookViewId="0">
      <selection activeCell="B15" sqref="B15"/>
    </sheetView>
  </sheetViews>
  <sheetFormatPr baseColWidth="10" defaultRowHeight="14.4" x14ac:dyDescent="0.3"/>
  <cols>
    <col min="1" max="1" width="19.109375" customWidth="1"/>
    <col min="2" max="2" width="54" customWidth="1"/>
    <col min="3" max="3" width="22.33203125" customWidth="1"/>
  </cols>
  <sheetData>
    <row r="1" spans="1:3" x14ac:dyDescent="0.3">
      <c r="A1" s="51" t="s">
        <v>77</v>
      </c>
      <c r="B1" s="52" t="s">
        <v>50</v>
      </c>
      <c r="C1" s="52" t="s">
        <v>78</v>
      </c>
    </row>
    <row r="2" spans="1:3" x14ac:dyDescent="0.3">
      <c r="A2" s="53" t="s">
        <v>73</v>
      </c>
      <c r="B2" s="54" t="s">
        <v>103</v>
      </c>
      <c r="C2" s="55">
        <v>27720</v>
      </c>
    </row>
    <row r="3" spans="1:3" x14ac:dyDescent="0.3">
      <c r="A3" s="56" t="s">
        <v>53</v>
      </c>
      <c r="B3" s="57" t="s">
        <v>104</v>
      </c>
      <c r="C3" s="58">
        <v>-694.22</v>
      </c>
    </row>
    <row r="4" spans="1:3" x14ac:dyDescent="0.3">
      <c r="A4" s="53" t="s">
        <v>105</v>
      </c>
      <c r="B4" s="54" t="s">
        <v>106</v>
      </c>
      <c r="C4" s="55">
        <v>3600</v>
      </c>
    </row>
    <row r="5" spans="1:3" ht="15" thickBot="1" x14ac:dyDescent="0.35">
      <c r="A5" s="56" t="s">
        <v>105</v>
      </c>
      <c r="B5" s="57" t="s">
        <v>107</v>
      </c>
      <c r="C5" s="58">
        <v>2040</v>
      </c>
    </row>
    <row r="6" spans="1:3" ht="15" thickTop="1" x14ac:dyDescent="0.3">
      <c r="A6" s="59" t="s">
        <v>0</v>
      </c>
      <c r="B6" s="60"/>
      <c r="C6" s="61">
        <v>32665.78</v>
      </c>
    </row>
    <row r="9" spans="1:3" x14ac:dyDescent="0.3">
      <c r="B9" s="49" t="s">
        <v>108</v>
      </c>
      <c r="C9" s="50">
        <f>Tabla3[[#Totals],[Imp. aplic.]]+Tabla2[[#Totals],[Imp.cob.aplic.]]+C6</f>
        <v>168954.94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F6BE-D280-4ED2-8832-CBCE73EC098F}">
  <dimension ref="A1:C7"/>
  <sheetViews>
    <sheetView workbookViewId="0">
      <selection activeCell="B7" sqref="B7"/>
    </sheetView>
  </sheetViews>
  <sheetFormatPr baseColWidth="10" defaultRowHeight="14.4" x14ac:dyDescent="0.3"/>
  <cols>
    <col min="1" max="1" width="15.33203125" customWidth="1"/>
    <col min="2" max="2" width="50.6640625" customWidth="1"/>
    <col min="3" max="3" width="13.33203125" customWidth="1"/>
  </cols>
  <sheetData>
    <row r="1" spans="1:3" x14ac:dyDescent="0.3">
      <c r="A1" s="43" t="s">
        <v>77</v>
      </c>
      <c r="B1" s="43" t="s">
        <v>50</v>
      </c>
      <c r="C1" s="44" t="s">
        <v>78</v>
      </c>
    </row>
    <row r="2" spans="1:3" x14ac:dyDescent="0.3">
      <c r="A2" s="41" t="s">
        <v>79</v>
      </c>
      <c r="B2" s="41" t="s">
        <v>80</v>
      </c>
      <c r="C2" s="23">
        <v>55</v>
      </c>
    </row>
    <row r="3" spans="1:3" x14ac:dyDescent="0.3">
      <c r="A3" s="42" t="s">
        <v>79</v>
      </c>
      <c r="B3" s="42" t="s">
        <v>81</v>
      </c>
      <c r="C3" s="24">
        <v>981.75</v>
      </c>
    </row>
    <row r="4" spans="1:3" x14ac:dyDescent="0.3">
      <c r="A4" s="34" t="s">
        <v>0</v>
      </c>
      <c r="B4" s="34"/>
      <c r="C4" s="46">
        <f>SUBTOTAL(109,Tabla35[Imp. aplic.])</f>
        <v>1036.75</v>
      </c>
    </row>
    <row r="7" spans="1:3" x14ac:dyDescent="0.3">
      <c r="B7" s="47"/>
      <c r="C7" s="48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F789-6B96-4545-82C1-B175B6BF8CB9}">
  <dimension ref="A1"/>
  <sheetViews>
    <sheetView workbookViewId="0">
      <selection activeCell="E17" sqref="E17"/>
    </sheetView>
  </sheetViews>
  <sheetFormatPr baseColWidth="10" defaultRowHeight="14.4" x14ac:dyDescent="0.3"/>
  <cols>
    <col min="2" max="2" width="32.6640625" customWidth="1"/>
  </cols>
  <sheetData>
    <row r="1" spans="1:1" x14ac:dyDescent="0.3">
      <c r="A1" t="s">
        <v>82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D239-E68B-47EA-8DE3-6818CFCF6316}">
  <dimension ref="A1:C7"/>
  <sheetViews>
    <sheetView tabSelected="1" workbookViewId="0">
      <selection activeCell="B14" sqref="B14"/>
    </sheetView>
  </sheetViews>
  <sheetFormatPr baseColWidth="10" defaultRowHeight="14.4" x14ac:dyDescent="0.3"/>
  <cols>
    <col min="1" max="1" width="19.5546875" customWidth="1"/>
    <col min="2" max="2" width="71" customWidth="1"/>
    <col min="3" max="3" width="15" customWidth="1"/>
  </cols>
  <sheetData>
    <row r="1" spans="1:3" x14ac:dyDescent="0.3">
      <c r="A1" s="51" t="s">
        <v>77</v>
      </c>
      <c r="B1" s="52" t="s">
        <v>50</v>
      </c>
      <c r="C1" s="62" t="s">
        <v>78</v>
      </c>
    </row>
    <row r="2" spans="1:3" x14ac:dyDescent="0.3">
      <c r="A2" s="53" t="s">
        <v>109</v>
      </c>
      <c r="B2" s="54" t="s">
        <v>110</v>
      </c>
      <c r="C2" s="55">
        <v>635.16</v>
      </c>
    </row>
    <row r="3" spans="1:3" ht="15" thickBot="1" x14ac:dyDescent="0.35">
      <c r="A3" s="56" t="s">
        <v>111</v>
      </c>
      <c r="B3" s="57" t="s">
        <v>112</v>
      </c>
      <c r="C3" s="58">
        <v>299.2</v>
      </c>
    </row>
    <row r="4" spans="1:3" ht="15" thickTop="1" x14ac:dyDescent="0.3">
      <c r="A4" s="59" t="s">
        <v>0</v>
      </c>
      <c r="B4" s="60"/>
      <c r="C4" s="63">
        <v>934.3599999999999</v>
      </c>
    </row>
    <row r="7" spans="1:3" x14ac:dyDescent="0.3">
      <c r="B7" s="49" t="s">
        <v>113</v>
      </c>
      <c r="C7" s="50">
        <f>Tabla35[[#Totals],[Imp. aplic.]]+C4</f>
        <v>1971.11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dcterms:created xsi:type="dcterms:W3CDTF">2019-07-03T07:15:54Z</dcterms:created>
  <dcterms:modified xsi:type="dcterms:W3CDTF">2026-05-26T10:06:15Z</dcterms:modified>
</cp:coreProperties>
</file>