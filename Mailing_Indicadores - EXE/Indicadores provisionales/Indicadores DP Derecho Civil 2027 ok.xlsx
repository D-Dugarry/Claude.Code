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A702C486-6D49-49D9-8B5B-F8237A26465A}" xr6:coauthVersionLast="47" xr6:coauthVersionMax="47" xr10:uidLastSave="{00000000-0000-0000-0000-000000000000}"/>
  <bookViews>
    <workbookView xWindow="-120" yWindow="-120" windowWidth="29040" windowHeight="15720" firstSheet="3" activeTab="7" xr2:uid="{00000000-000D-0000-FFFF-FFFF00000000}"/>
  </bookViews>
  <sheets>
    <sheet name="Tesis" sheetId="2" r:id="rId1"/>
    <sheet name="Sexenios" sheetId="3" r:id="rId2"/>
    <sheet name="Ingresos investigación 2023" sheetId="12" r:id="rId3"/>
    <sheet name="Ingresos investigación 2024" sheetId="14" r:id="rId4"/>
    <sheet name="Ingresos investigación 2025" sheetId="16" r:id="rId5"/>
    <sheet name="Ingresos docencia 2023" sheetId="13" r:id="rId6"/>
    <sheet name="Ingresos docencia 2024" sheetId="15" r:id="rId7"/>
    <sheet name="Ingresos docencia 2025" sheetId="17" r:id="rId8"/>
  </sheets>
  <definedNames>
    <definedName name="_xlnm._FilterDatabase" localSheetId="1" hidden="1">Sexenios!#REF!</definedName>
    <definedName name="_xlnm._FilterDatabase" localSheetId="0" hidden="1">Tesis!$A$1:$U$1</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7" l="1"/>
  <c r="C9" i="17"/>
  <c r="C20" i="16"/>
  <c r="C14" i="15"/>
  <c r="C15" i="13"/>
  <c r="C13" i="14"/>
  <c r="C9" i="12"/>
  <c r="S19" i="2"/>
  <c r="S17" i="3"/>
</calcChain>
</file>

<file path=xl/sharedStrings.xml><?xml version="1.0" encoding="utf-8"?>
<sst xmlns="http://schemas.openxmlformats.org/spreadsheetml/2006/main" count="539" uniqueCount="220">
  <si>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</si>
  <si>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</si>
  <si>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</si>
  <si>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</si>
  <si>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</si>
  <si>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</si>
  <si>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</si>
  <si>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</si>
  <si>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</si>
  <si>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</si>
  <si>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</si>
  <si>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</si>
  <si>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</si>
  <si>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</si>
  <si>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</si>
  <si>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</si>
  <si>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</si>
  <si>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</si>
  <si>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</si>
  <si>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</si>
  <si>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</si>
  <si>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</si>
  <si>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</si>
  <si>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</si>
  <si>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</si>
  <si>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U025 </t>
  </si>
  <si>
    <t>ADM. FACULTAD DE DERECHO </t>
  </si>
  <si>
    <t>DOCTORADO EN DERECHO </t>
  </si>
  <si>
    <t>21422601X </t>
  </si>
  <si>
    <t>B107 </t>
  </si>
  <si>
    <t>DERECHO CIVIL </t>
  </si>
  <si>
    <t>B107</t>
  </si>
  <si>
    <t>33484045R </t>
  </si>
  <si>
    <t>NIF</t>
  </si>
  <si>
    <t>NOMBRE_COMPLETO</t>
  </si>
  <si>
    <t>TIPO_SEXENIO</t>
  </si>
  <si>
    <t>Total general</t>
  </si>
  <si>
    <t>INS
1</t>
  </si>
  <si>
    <t>DED
INS 1</t>
  </si>
  <si>
    <t>INS
2</t>
  </si>
  <si>
    <t>DED
INS 2</t>
  </si>
  <si>
    <t>DED
DEP</t>
  </si>
  <si>
    <t>SEX
INS 1</t>
  </si>
  <si>
    <t>SEX
INS 2</t>
  </si>
  <si>
    <t>SEX
DEP</t>
  </si>
  <si>
    <t>FUNCIONARIO</t>
  </si>
  <si>
    <t>NO FUNCIONARIO</t>
  </si>
  <si>
    <t>21468249A</t>
  </si>
  <si>
    <t>74086111Y</t>
  </si>
  <si>
    <t>48361709T</t>
  </si>
  <si>
    <t>21491593W</t>
  </si>
  <si>
    <t>25128665S</t>
  </si>
  <si>
    <t>21484360Z</t>
  </si>
  <si>
    <t>52774099R</t>
  </si>
  <si>
    <t>21422601X</t>
  </si>
  <si>
    <t>21485458P</t>
  </si>
  <si>
    <t>21985902H</t>
  </si>
  <si>
    <t>21664172N</t>
  </si>
  <si>
    <t>17/09/2020 </t>
  </si>
  <si>
    <t>Configuración actual del consentimiento informado en la lex artis y como garantía de los derechos constitucionales; presupuestos de la responsabilidad civil ante su vulneración </t>
  </si>
  <si>
    <t>Ortiz Fernández, Manuel </t>
  </si>
  <si>
    <t>21484360Z </t>
  </si>
  <si>
    <t>09/12/2019 </t>
  </si>
  <si>
    <t>RESPONSABILIDADE CIVIL POR DANO AO MEIO AMBIENTE: DA PROBABILIDADE PELA PERDA DA CHANCE À POSSIBILIDADE PELA APLICAÇAO DA LÓGICA FUZZY </t>
  </si>
  <si>
    <t>Enzweiler , Romano José </t>
  </si>
  <si>
    <t>COD DEP</t>
  </si>
  <si>
    <t>Navas Segura, Antonio </t>
  </si>
  <si>
    <t>El deslinde como instrumento para la gestión de la información territorial y su configuración jurídica tras la Ley 13/2015, de 24 de junio </t>
  </si>
  <si>
    <t>18/02/2021 </t>
  </si>
  <si>
    <t>López Mas, Pedro José </t>
  </si>
  <si>
    <t>Configuración actual del lucro cesante: su apreciación jurisprudencial y análisis de los criterios para su determinación judicial </t>
  </si>
  <si>
    <t>28/05/2021 </t>
  </si>
  <si>
    <t>52774099R </t>
  </si>
  <si>
    <t>31.60.6P.00.10</t>
  </si>
  <si>
    <t>31.60.6P.00.11</t>
  </si>
  <si>
    <t>31.60.6Q.00.01</t>
  </si>
  <si>
    <t>31.60.2T.00.02</t>
  </si>
  <si>
    <t>31.60.2T.00.03</t>
  </si>
  <si>
    <t>De Blas Javaloyas, José Ramón </t>
  </si>
  <si>
    <t>El necesario reequilibrio de la compensación equitativa por copia privada en el mercado único digital </t>
  </si>
  <si>
    <t>17/12/2021 </t>
  </si>
  <si>
    <t>21664172N </t>
  </si>
  <si>
    <t>Extremera Fernández, Beatriz </t>
  </si>
  <si>
    <t>La carga de mitigar el daño </t>
  </si>
  <si>
    <t>25/11/2021 </t>
  </si>
  <si>
    <t>25128665S </t>
  </si>
  <si>
    <t>10.23</t>
  </si>
  <si>
    <t>21504263E</t>
  </si>
  <si>
    <t>29039351B</t>
  </si>
  <si>
    <t>48566867K</t>
  </si>
  <si>
    <t>Cód. org. aplic.</t>
  </si>
  <si>
    <t>Descripción justificante</t>
  </si>
  <si>
    <t>Imp.cob.aplic.</t>
  </si>
  <si>
    <t>Casells Bonacho, Jose Luis </t>
  </si>
  <si>
    <t>Protección jurídico civil de los sujetos del ensayo clínico con medicamentos: mecanismos resarcitorios </t>
  </si>
  <si>
    <t>07/06/2023 </t>
  </si>
  <si>
    <t>21485458P </t>
  </si>
  <si>
    <t>Molina Martínez, Lucía </t>
  </si>
  <si>
    <t>El daño indirecto o por rebote por causa de lesiones </t>
  </si>
  <si>
    <t>22/09/2023 </t>
  </si>
  <si>
    <t>Vivos</t>
  </si>
  <si>
    <t xml:space="preserve">LIQ-TitProp_GI08-1 Curso_2023-24 AñoCont_2023 - GESTIÓN E INTERMEDIACIÓN INMOBILIARIA </t>
  </si>
  <si>
    <t xml:space="preserve">LIQ-TitProp_9390 Curso_2023-24 AñoCont_2023 - EXPERTO/A EN GESTIÓN E INTERMEDIACIÓN INMOBILIARIA </t>
  </si>
  <si>
    <t>Isaac Manuel Juan Pastor. EXPERTO/A EN GESTION E INTERMEDIACION INMOBILIARIA</t>
  </si>
  <si>
    <t xml:space="preserve">Plan_9342 Curso_2022-23 Emitido_2022-23 - EXPERTO/A EN GESTION E INTERMEDIACION INMOBILIARIA </t>
  </si>
  <si>
    <t xml:space="preserve">DEVOLUCIÓN TASAS NÓMINAS_ REMESA Nº 2023DTR302407  RDT INVERSA_2023EXPADM1734 </t>
  </si>
  <si>
    <t>DEVOLUCIÓN TASAS NÓMINAS_REMESA Nº 2023DTR312885 RDT INVERSA_2023EXPADM1754</t>
  </si>
  <si>
    <t xml:space="preserve">AD_LIQ-TitProp_9390 Curso_2023-24 AñoCont_2023 - EXPERTO/A EN GESTIÓN E INTERMEDIACIÓN INMOBILIARIA </t>
  </si>
  <si>
    <t>Cristina Morato Sese. Experto/a en Gestión e Intermediación Inmobililaria</t>
  </si>
  <si>
    <t>Cristina Morató Sese. EXPERTO/A EN GESTION E INTERMEDIACION INMOBILIARIA</t>
  </si>
  <si>
    <t>Bibiano Antonio Lorenzo de Membiela. EXPERTO/A EN GESTION E INTERMEDIACION INMOBILIARIA</t>
  </si>
  <si>
    <t>LIQ-TitProp_9362-1-2 Curso_2023-24 Emitido_2023-24 - MASTER DE FORMACION PERMANENTE EN DERECHO DE LA SOCIEDAD DIGITAL</t>
  </si>
  <si>
    <t xml:space="preserve">Plan_9344 Curso_2022-23 Emitido_2022-23 - MÁSTER EN DERECHO DE LA SOCIEDAD DIGITAL </t>
  </si>
  <si>
    <t>AD_LIQ-TitProp_9362-1-2 Curso_2023-24 Emitido_2023-24 - MASTER DE FORMACION PERMANENTE EN DERECHO DE LA SOCIEDAD DIGITAL</t>
  </si>
  <si>
    <t>DEVOLUCIÓN DE INGRESOS_MODELO 047_ Nº de liquidación:46/2023/RAS/10224/1_Número de justificante: 047/1/002367815_Nº de referencia:047/1/002367815</t>
  </si>
  <si>
    <t>PID2020-115956GB-I00/116185GB-I00/116496RB-C21/116514GB-I00/116998RB-I00/117303GBC22/118006RB-I00/118322RB-I00/118447RA-I00/118476RR-C22</t>
  </si>
  <si>
    <t>31.60.6P.00.12</t>
  </si>
  <si>
    <t>CIPROM/2022/13/26/40. PROMETEO 2023</t>
  </si>
  <si>
    <t>31.60.6P.00.13</t>
  </si>
  <si>
    <t xml:space="preserve">ayudas PID2022  138464NB-142516OB-139990NB-141382OB-137350NB-139899OB--136847NB-137385NB-139294NB-137873NA-138786NB-141712NB-136590OB-139105OB-142356NB-141694NB-136399NB  </t>
  </si>
  <si>
    <t>Primer pago financiación Curso 2023/2024 Cátedra de Derecho Notarial de la Universidad de Alicante, conforme acuerdo de colaboración de 14 de octubre de 2021</t>
  </si>
  <si>
    <t>Segundo pago financiación Curso 2022/2023 Cátedra de Derecho Notarial de la Universidad de Alicante, conforme acuerdo de colaboración de 14 de octubre de 2021</t>
  </si>
  <si>
    <t>31.60.6Q.00.02</t>
  </si>
  <si>
    <t>Cátedra Iberoamericana de Cultura Digital y Propiedad Intelectual UA (2023)</t>
  </si>
  <si>
    <t>U025</t>
  </si>
  <si>
    <t>ADM. FACULTAD DE DERECHO</t>
  </si>
  <si>
    <t>DOCTORADO EN DERECHO</t>
  </si>
  <si>
    <t>Feliz Sarraf Ferri, Caroline</t>
  </si>
  <si>
    <t>Os serviços de registro imobiliário brasileiro e espanhol em perspectiva: segurança jurídica, eficiência e eficácia social</t>
  </si>
  <si>
    <t>31/07/2024</t>
  </si>
  <si>
    <t>Codirector de tesis</t>
  </si>
  <si>
    <t>DERECHO CIVIL</t>
  </si>
  <si>
    <t>20</t>
  </si>
  <si>
    <t>Argüello Ortiz, Arsenio</t>
  </si>
  <si>
    <t>La reparación integral de los daños al ambiente</t>
  </si>
  <si>
    <t>27/09/2024</t>
  </si>
  <si>
    <t>Director de tesis</t>
  </si>
  <si>
    <t>Org. aplic.</t>
  </si>
  <si>
    <t>Imp. aplic.</t>
  </si>
  <si>
    <t>31.60.6C.00.02</t>
  </si>
  <si>
    <t>Asesoría jurídica para la realización de un estudio sobre compra pública verde y valoración de subproductos hospitalarios a lo largo de las distintas fases del proyecto "Sanidad Circular", cuya ejecución está prevista para los años 2024 y 2025. Código del Proyecto INNEST/2024/605.</t>
  </si>
  <si>
    <t>DEVOLUCIÓN DE INGRESO_ CARTA DE PAGO_ REFERENCIA: PID2020-116185GB-I00, ANUALIDAD: 2021</t>
  </si>
  <si>
    <t xml:space="preserve">AYUDAS CIPROM/2022/13, CIPROM/2022/26, CIPROM/2022/40 </t>
  </si>
  <si>
    <t>PID2022-138464NB-I00-142516OB-I00-139990NB-I00-141382OB-I00-139899OB-I00-136847NB-I00-137385NB-I00-139294NB-I00-137873NA-I00-138786NB-I00-136590OB-C43</t>
  </si>
  <si>
    <t>31.60.6P.00.14</t>
  </si>
  <si>
    <t>PROGRAMA AYUDAS ICAR 2023 PROYECTO DSPMAP</t>
  </si>
  <si>
    <t>31.60.6P.00.15</t>
  </si>
  <si>
    <t>ayudas CIGE/2023/52, CIGE/2023/94, CIGE/2023/129, CIGE/2023/146, CIGE/2023/165, CIGE/2023/175, CIGE/2023/181, CIGE/2023/184, CIGE/2023/188, CIGE/2023/196, CIGE/2023/197, CIGE/2023/216, CIGE/2023/225, CIGE/2023/227 (LINEA SUBVENCIÓN S0296)</t>
  </si>
  <si>
    <t>31.60.6P.00.16</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</si>
  <si>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</si>
  <si>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31.60.6P.00.17</t>
  </si>
  <si>
    <t>2024 TSPUNI/2024/03/2 Fomento Autogobierno. S040800000. fact: 6003141073</t>
  </si>
  <si>
    <t>Segundo pago financiación Curso 2023-2024 Cátedra de Derecho Notarial de la Universidad de Alicante, conforme acuerdo de colaboración de 14 de octubre de 2021</t>
  </si>
  <si>
    <t>Primer pago financiación Curso 2024/2025 Cátedra de Derecho Notarial de la Universidad de Alicante, conforme acuerdo de colaboración de 14 de octubre de 2021</t>
  </si>
  <si>
    <t>Cátedra Iberoamericana de Cultura digital y Propiedad intelectual</t>
  </si>
  <si>
    <t xml:space="preserve">LIQ-TitProp_9390-3 Curso_2023-24 AñoCont_2023 - EXPERTO/A EN GESTIÓN E INTERMEDIACIÓN INMOBILIARIA </t>
  </si>
  <si>
    <t>DEVOLUCIÓN DE PRECIOS PÚBLICOS POR INGRESOS DE MATRÍCULAS TANTO DE ESTUDIOS OFICIALES COMO DE ENSEÑANZAS PROPIAS. REMESA Nº 2024DTR302665_ RDT INVERSA 2024EXPADM1536</t>
  </si>
  <si>
    <t>DEVOLUCIÓN DE PRECIOS PÚBLICOS POR INGRESOS DE MATRÍCULA_REMESA Nº 2024DTR350464</t>
  </si>
  <si>
    <t xml:space="preserve">LIQ-TitProp_9362-3 Curso_2023-24 AñoCont_2023 - MÁSTER DE FORMACIÓN PERMANENTE EN DERECHO DE LA SOCIEDAD DIGITAL </t>
  </si>
  <si>
    <t xml:space="preserve">LIQ-TitProp_9362-4 Curso_2023-24 AñoCont_2023 - MÁSTER DE FORMACIÓN PERMANENTE EN DERECHO DE LA SOCIEDAD DIGITAL </t>
  </si>
  <si>
    <t xml:space="preserve">LIQ-TitProp_9362-1 Curso_2024-25 AñoCont_2024 - MÁSTER DE FORMACIÓN PERMANENTE EN DERECHO DE LA SOCIEDAD DIGITAL </t>
  </si>
  <si>
    <t xml:space="preserve">LIQ-TitProp_9362-2 Curso_2024-25 AñoCont_2024 - MÁSTER DE FORMACIÓN PERMANENTE EN DERECHO DE LA SOCIEDAD DIGITAL </t>
  </si>
  <si>
    <t xml:space="preserve">Liq.PPub_311,00__ADRmsa_2024__EFP Enseñanzas Formación Permanente - Master, Especialista y Experto.  LIQ-TitProp_9362-N Curso_2024-25 AñoCont_2024 - MÁSTER DE FORMACIÓN PERMANENTE EN DERECHO DE LA SOCIEDAD DIGITAL </t>
  </si>
  <si>
    <t xml:space="preserve">AD_Liq.PPub_311,00__ADRmsa_2024__EFP Enseñanzas Formación Permanente - Master, Especialista y Experto.  LIQ-TitProp_9362-N Curso_2024-25 AñoCont_2024 - MÁSTER DE FORMACIÓN PERMANENTE EN DERECHO DE LA SOCIEDAD DIGITAL </t>
  </si>
  <si>
    <t xml:space="preserve">LIQ-EP_Plan_9362-N Curso_2023-24_AñoCont_2024 TipoRec_EjeAnt - MÁSTER DE FORMACIÓN PERMANENTE EN DERECHO DE LA SOCIEDAD DIGITAL _ (Cierre-24) </t>
  </si>
  <si>
    <t xml:space="preserve">LIQ-EP_Plan_9362-N Curso_2024-25_AñoCont_2024 TipoRec_Emitido - MÁSTER DE FORMACIÓN PERMANENTE EN DERECHO DE LA SOCIEDAD DIGITAL _ (Cierre-24) </t>
  </si>
  <si>
    <t>Administración Facultad de Derecho</t>
  </si>
  <si>
    <t>Serrano Sánchez, Beatriz Ana</t>
  </si>
  <si>
    <t>Los datos como contraprestación para el suministro de contenidos digitales</t>
  </si>
  <si>
    <t>13/12/2024</t>
  </si>
  <si>
    <t>Derecho Civil</t>
  </si>
  <si>
    <t>2020</t>
  </si>
  <si>
    <t>2021</t>
  </si>
  <si>
    <t>2022</t>
  </si>
  <si>
    <t>2023</t>
  </si>
  <si>
    <t>2024</t>
  </si>
  <si>
    <t>2025</t>
  </si>
  <si>
    <t>Moreno Martínez, Juan Antonio</t>
  </si>
  <si>
    <t>Algarra Prats, Esther</t>
  </si>
  <si>
    <t>Femenía López, Pedro José</t>
  </si>
  <si>
    <t>Múrtula Lafuente, Virginia</t>
  </si>
  <si>
    <t>Cabedo Serna, María de los Llanos</t>
  </si>
  <si>
    <t>Bustos Moreno, Yolanda</t>
  </si>
  <si>
    <t>Ribera Blanes, Begoña</t>
  </si>
  <si>
    <t>Ramos Maestre, Aurea</t>
  </si>
  <si>
    <t>Evangelio Llorca, María Raquel</t>
  </si>
  <si>
    <t>De las Heras García, Manuel Ángel</t>
  </si>
  <si>
    <t>Berenguer Albaladejo, Cristina</t>
  </si>
  <si>
    <t>Martínez Martínez, Nuria</t>
  </si>
  <si>
    <t>López Richart, Julian</t>
  </si>
  <si>
    <t>53630331N</t>
  </si>
  <si>
    <t>Extremera Fernández, Beatriz</t>
  </si>
  <si>
    <t>Barcelo Domenech, Javier</t>
  </si>
  <si>
    <t>31.60.6C.00.05</t>
  </si>
  <si>
    <t>Referencia del pedido 801003188 ASESORAMIENTO EXPERTO, EN FORMA DE UN BREVE INFORME, SOBRE EL MARCO LEGAL Y LOS NUEVOS DESAFÍOS PARA LA MODERACIÓN DE CONTENIDOS EN APLICACIONES DE MUNDOS VIRTUALES EMERGENTES (TAMBIÉN CONOCIDAS COMO APLICACIONES DEL METAVERSO). EL ALCANCE DE ESTE DOCUMENTO ES DEFINIR LOS REQUISITOS TÉCNICOS DEL PRODUCTO.</t>
  </si>
  <si>
    <t>31.60.6C.00.06</t>
  </si>
  <si>
    <t xml:space="preserve">Análisis del cumplimiento de la normativa sobre inteligencia artificial y protección de datos. Evaluación en la actividad a desarrollar: Revisión de la adaptación de las pruebas conforme a normativa. Ref. Contrato: 15540/2025 </t>
  </si>
  <si>
    <t>31.60.6C.00.07</t>
  </si>
  <si>
    <t>Directrices para la elaboración del marco jurídico para la implementación del entorno controlado de pruebas del Puerto de Alicante. Expediente num.: 343/2025</t>
  </si>
  <si>
    <t>CIPROM/2022/13/26/40</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</si>
  <si>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</si>
  <si>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CIGE/2023/52/94/129/146/165/175/181/184/188/196/197/216/225/227. EN CIGE/2023/196 HAY UNA REASIGNACIÓN DEL IMPORTE (EN JI-2024-3632 SE PRODUCE UNA MINORACIÓN DE 9879,02 Y SE ASIGNA A ESTE AÑO) </t>
  </si>
  <si>
    <t>MINORACIÓN AYUDA CIGE/2023/196</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</si>
  <si>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</si>
  <si>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31.60.6P.00.18</t>
  </si>
  <si>
    <t xml:space="preserve">CIAORG/2024/003. CIAORG/2024/005.  CIAORG/2024/017. CIAORG/2024/035. CIAORG/2024/079. CIAORG/2024/085. CIAORG/2024/098. CIAORG/2024/123. CIAORG/2024/158. CIAORG/2024/187. CIAORG/2024/193         </t>
  </si>
  <si>
    <t>31.60.6P.00.19</t>
  </si>
  <si>
    <t>31.60.6P.00.20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</si>
  <si>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</si>
  <si>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Segundo pago financiación Curso 2024/2025 Cátedra de Derecho Notarial de la Universidad de Alicante, conforme acuerdo de colaboración de 14 de octubre de 2021</t>
  </si>
  <si>
    <t>INGRESO PERCIBIDO POR LA UNIVERSIDAD DE ALICANTE EN CONCEPTO DE CONVENIO DE COLABORACIÓN PARA EL MANTENIMIENTO DE LA CÁTEDRA INSTITUCIONAL DE DERECHO NOTARIAL.</t>
  </si>
  <si>
    <t>Cátedra Iberoamericana de Cultura Digital y Propiedad Intelectual</t>
  </si>
  <si>
    <t>Total ingresos investigación 2023-25</t>
  </si>
  <si>
    <t>10.91.2T.02.05</t>
  </si>
  <si>
    <t xml:space="preserve">LIQ-TitProp_GN36-N Curso_2025-26 AñoCont_2025 - PROPIEDAD INTELECTUAL Y CULTURA DIGITAL EN IBEROAMÉRICA (CIERRE 25 APLAZADO) </t>
  </si>
  <si>
    <t>LIQ-TitProp_GN36-N Curso_2025-26 AñoCont_2025 - PROPIEDAD INTELECTUAL Y CULTURA DIGITAL EN IBEROAMÉRICA _ (Cierre-25)_EMITIDO 25</t>
  </si>
  <si>
    <t xml:space="preserve">LIQ-TitProp_9362-3 Curso_2024-25 AñoCont_2025 - MÁSTER DE FORMACIÓN PERMANENTE EN DERECHO DE LA SOCIEDAD DIGITAL (PARTE 443 DEL JI-24-6789 JI-AD-6790) </t>
  </si>
  <si>
    <t>LIQ-TitProp_9362-4 Curso_2024-25 AñoCont_2025 - MÁSTER DE FORMACIÓN PERMANENTE EN DERECHO DE LA SOCIEDAD DIGITAL (parte 443 2024-6790)</t>
  </si>
  <si>
    <t xml:space="preserve">LIQ-TitProp_9362-N Curso_2024-25 AñoCont_2025 - MÁSTER DE FORMACIÓN PERMANENTE EN DERECHO DE LA SOCIEDAD DIGITAL (PARTE 443 DEL 2024 PENDIENTE - CIERRE 2025) </t>
  </si>
  <si>
    <t>Total ingresos docencia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</si>
</sst>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1"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sz val="11"/>
      <color theme="1"/>
      <name val="Calibri"/>
      <family val="2"/>
      <scheme val="minor"/>
    </font>
    <font>
      <u/>
      <sz val="11"/>
      <color theme="10"/>
      <name val="Calibri"/>
      <family val="2"/>
      <scheme val="minor"/>
    </font>
    <font>
      <b/>
      <u/>
      <sz val="8"/>
      <color rgb="FFFF0000"/>
      <name val="Arial"/>
      <family val="2"/>
    </font>
    <font>
      <b/>
      <sz val="10"/>
      <color theme="0"/>
      <name val="Arial"/>
      <family val="2"/>
    </font>
    <font>
      <sz val="10"/>
      <color theme="1"/>
      <name val="Arial"/>
      <family val="2"/>
    </font>
    <font>
      <b/>
      <sz val="11"/>
      <color theme="1"/>
      <name val="Calibri"/>
      <family val="2"/>
      <scheme val="minor"/>
    </font>
    <font>
      <b/>
      <sz val="11"/>
      <color theme="0"/>
      <name val="Calibri"/>
      <family val="2"/>
      <scheme val="minor"/>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8">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xf numFmtId="0" fontId="12" fillId="0" borderId="0" applyNumberFormat="0" applyFill="0" applyBorder="0" applyAlignment="0" applyProtection="0"/>
  </cellStyleXfs>
  <cellXfs count="75">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2" fillId="4" borderId="1" xfId="1" applyFill="1" applyBorder="1"/>
    <xf numFmtId="0" fontId="2" fillId="4" borderId="2" xfId="1" applyFill="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2" fillId="4" borderId="1" xfId="1" applyFill="1" applyBorder="1" applyAlignment="1">
      <alignment horizontal="right"/>
    </xf>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8" fillId="3" borderId="1" xfId="3" applyFont="1" applyFill="1" applyBorder="1" applyAlignment="1">
      <alignment horizontal="center" wrapText="1"/>
    </xf>
    <xf numFmtId="43" fontId="0" fillId="8" borderId="6" xfId="6" applyNumberFormat="1" applyFont="1" applyFill="1" applyBorder="1"/>
    <xf numFmtId="43" fontId="0" fillId="0" borderId="6" xfId="6" applyNumberFormat="1" applyFont="1" applyBorder="1"/>
    <xf numFmtId="0" fontId="13" fillId="4" borderId="0" xfId="7" applyFont="1" applyFill="1" applyAlignment="1">
      <alignment horizontal="center"/>
    </xf>
    <xf numFmtId="0" fontId="2" fillId="0" borderId="1" xfId="0" applyFont="1" applyBorder="1"/>
    <xf numFmtId="0" fontId="2" fillId="2" borderId="0" xfId="1" applyFill="1"/>
    <xf numFmtId="0" fontId="2" fillId="2" borderId="0" xfId="1" applyFill="1" applyAlignment="1">
      <alignment horizontal="right"/>
    </xf>
    <xf numFmtId="165" fontId="2" fillId="2" borderId="0" xfId="1" applyNumberFormat="1" applyFill="1"/>
    <xf numFmtId="0" fontId="15" fillId="8" borderId="6" xfId="0" applyFont="1" applyFill="1" applyBorder="1"/>
    <xf numFmtId="0" fontId="15" fillId="0" borderId="6" xfId="0" applyFont="1" applyBorder="1"/>
    <xf numFmtId="43" fontId="0" fillId="0" borderId="0" xfId="0" applyNumberFormat="1"/>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0" fillId="9" borderId="0" xfId="0" applyFill="1"/>
    <xf numFmtId="0" fontId="0" fillId="9" borderId="0" xfId="0" applyFill="1" applyAlignment="1">
      <alignment horizontal="left"/>
    </xf>
    <xf numFmtId="0" fontId="16" fillId="9" borderId="0" xfId="0" applyFont="1" applyFill="1"/>
    <xf numFmtId="165" fontId="3" fillId="2" borderId="0" xfId="1" applyNumberFormat="1" applyFont="1" applyFill="1"/>
    <xf numFmtId="43" fontId="0" fillId="8" borderId="8" xfId="6" applyNumberFormat="1" applyFont="1" applyFill="1" applyBorder="1"/>
    <xf numFmtId="0" fontId="0" fillId="0" borderId="8" xfId="0" applyBorder="1"/>
    <xf numFmtId="0" fontId="9" fillId="10" borderId="8" xfId="0" applyFont="1" applyFill="1" applyBorder="1"/>
    <xf numFmtId="43" fontId="11" fillId="10" borderId="8" xfId="0" applyNumberFormat="1" applyFont="1" applyFill="1" applyBorder="1"/>
    <xf numFmtId="0" fontId="0" fillId="11" borderId="0" xfId="0" applyFill="1"/>
    <xf numFmtId="0" fontId="14" fillId="7" borderId="7" xfId="0" applyFont="1" applyFill="1" applyBorder="1"/>
    <xf numFmtId="0" fontId="15" fillId="8" borderId="8" xfId="0" applyFont="1" applyFill="1" applyBorder="1"/>
    <xf numFmtId="0" fontId="0" fillId="8" borderId="6" xfId="0" applyFill="1" applyBorder="1"/>
    <xf numFmtId="0" fontId="0" fillId="0" borderId="6" xfId="0" applyBorder="1"/>
    <xf numFmtId="0" fontId="17" fillId="7" borderId="7" xfId="0" applyFont="1" applyFill="1" applyBorder="1"/>
    <xf numFmtId="43" fontId="17" fillId="7" borderId="7" xfId="6" applyNumberFormat="1" applyFont="1" applyFill="1" applyBorder="1"/>
    <xf numFmtId="0" fontId="0" fillId="8" borderId="8" xfId="0" applyFill="1" applyBorder="1"/>
    <xf numFmtId="0" fontId="0" fillId="10" borderId="8" xfId="0" applyFill="1" applyBorder="1"/>
    <xf numFmtId="43" fontId="0" fillId="0" borderId="8" xfId="6" applyNumberFormat="1" applyFont="1" applyBorder="1"/>
    <xf numFmtId="43" fontId="11" fillId="0" borderId="8" xfId="0" applyNumberFormat="1" applyFont="1" applyBorder="1"/>
    <xf numFmtId="0" fontId="18" fillId="12" borderId="9" xfId="0" applyFont="1" applyFill="1" applyBorder="1"/>
    <xf numFmtId="0" fontId="18" fillId="12" borderId="10" xfId="0" applyFont="1" applyFill="1" applyBorder="1"/>
    <xf numFmtId="0" fontId="19" fillId="13" borderId="9" xfId="0" applyFont="1" applyFill="1" applyBorder="1"/>
    <xf numFmtId="0" fontId="19" fillId="13" borderId="10" xfId="0" applyFont="1" applyFill="1" applyBorder="1"/>
    <xf numFmtId="164" fontId="19" fillId="13" borderId="10" xfId="6" applyFont="1" applyFill="1" applyBorder="1"/>
    <xf numFmtId="0" fontId="19" fillId="0" borderId="9" xfId="0" applyFont="1" applyBorder="1"/>
    <xf numFmtId="0" fontId="19" fillId="0" borderId="10" xfId="0" applyFont="1" applyBorder="1"/>
    <xf numFmtId="164" fontId="19" fillId="0" borderId="10" xfId="6" applyFont="1" applyBorder="1"/>
    <xf numFmtId="0" fontId="20" fillId="0" borderId="11" xfId="0" applyFont="1" applyBorder="1"/>
    <xf numFmtId="0" fontId="20" fillId="0" borderId="12" xfId="0" applyFont="1" applyBorder="1"/>
    <xf numFmtId="164" fontId="20" fillId="0" borderId="12" xfId="6" applyFont="1" applyBorder="1"/>
    <xf numFmtId="0" fontId="16" fillId="0" borderId="1" xfId="0" applyFont="1" applyBorder="1"/>
    <xf numFmtId="43" fontId="16" fillId="0" borderId="1" xfId="0" applyNumberFormat="1" applyFont="1" applyBorder="1"/>
    <xf numFmtId="164" fontId="18" fillId="12" borderId="10" xfId="6" applyFont="1" applyFill="1" applyBorder="1"/>
    <xf numFmtId="164" fontId="20" fillId="0" borderId="12" xfId="0" applyNumberFormat="1" applyFont="1" applyBorder="1"/>
  </cellXfs>
  <cellStyles count="8">
    <cellStyle name="Hipervínculo" xfId="7" builtinId="8"/>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42">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8E7AB7-500E-42DC-BA4F-83D59EF5E038}" name="Tabla2" displayName="Tabla2" ref="A1:C9" totalsRowCount="1" headerRowDxfId="41" totalsRowDxfId="38" headerRowBorderDxfId="40" tableBorderDxfId="39" totalsRowBorderDxfId="37">
  <autoFilter ref="A1:C8" xr:uid="{AE8E7AB7-500E-42DC-BA4F-83D59EF5E038}"/>
  <tableColumns count="3">
    <tableColumn id="1" xr3:uid="{2DB7EA5F-E120-4D2F-9E1E-0F261316EA1C}" name="Cód. org. aplic." totalsRowLabel="Total" dataDxfId="36" totalsRowDxfId="35"/>
    <tableColumn id="2" xr3:uid="{21A0608E-C49F-4A9A-8E72-CC57D5E05859}" name="Descripción justificante" dataDxfId="34" totalsRowDxfId="33"/>
    <tableColumn id="3" xr3:uid="{E629BD8F-FCEC-459C-9D64-D7EA19DF29F5}" name="Imp.cob.aplic." totalsRowFunction="sum" dataDxfId="32" totalsRowDxfId="3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684F0F-0956-4DD1-8383-26CE96518E54}" name="Tabla3" displayName="Tabla3" ref="A1:C13" totalsRowCount="1" totalsRowDxfId="28" headerRowBorderDxfId="30" tableBorderDxfId="29" totalsRowBorderDxfId="27">
  <autoFilter ref="A1:C12" xr:uid="{5D684F0F-0956-4DD1-8383-26CE96518E54}"/>
  <tableColumns count="3">
    <tableColumn id="1" xr3:uid="{781F4FE9-EAD3-429C-BADA-4061F15D46EB}" name="Org. aplic." totalsRowLabel="Total" dataDxfId="26" totalsRowDxfId="25"/>
    <tableColumn id="2" xr3:uid="{7D1A4705-8664-46AA-9CBD-69F2CB076C85}" name="Descripción justificante" dataDxfId="24" totalsRowDxfId="23"/>
    <tableColumn id="3" xr3:uid="{BBF84722-1AED-4DDE-889D-14EF381344F4}"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C974E0-0EC7-406A-9AF9-817EF17B4E12}" name="Tabla5" displayName="Tabla5" ref="A1:C15" totalsRowCount="1" headerRowDxfId="20" totalsRowDxfId="17" headerRowBorderDxfId="19" tableBorderDxfId="18" totalsRowBorderDxfId="16">
  <autoFilter ref="A1:C14" xr:uid="{DAC974E0-0EC7-406A-9AF9-817EF17B4E12}"/>
  <tableColumns count="3">
    <tableColumn id="1" xr3:uid="{88B3F093-8530-4B55-86BD-01AF3DF8BF08}" name="Cód. org. aplic." totalsRowLabel="Total" dataDxfId="15" totalsRowDxfId="14"/>
    <tableColumn id="2" xr3:uid="{AA4D9BA4-386D-40AF-BF60-4E49B8027CFE}" name="Descripción justificante" dataDxfId="13" totalsRowDxfId="12"/>
    <tableColumn id="3" xr3:uid="{A33663B6-911A-4615-98C8-0A5061AD484C}" name="Imp.cob.aplic." totalsRowFunction="sum" dataDxfId="11" totalsRowDxfId="10"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48919C-4A30-4FF8-BC94-BEAD4E6046FA}" name="Tabla6" displayName="Tabla6" ref="A1:C14" totalsRowCount="1" headerRowDxfId="9" headerRowBorderDxfId="8" tableBorderDxfId="7" totalsRowBorderDxfId="6">
  <autoFilter ref="A1:C13" xr:uid="{0E48919C-4A30-4FF8-BC94-BEAD4E6046FA}"/>
  <tableColumns count="3">
    <tableColumn id="1" xr3:uid="{E5614C47-F301-4D7F-A78F-AF6CCD40FFE2}" name="Org. aplic." totalsRowLabel="Total" dataDxfId="5" totalsRowDxfId="4"/>
    <tableColumn id="2" xr3:uid="{887CDC11-8630-485E-9379-C8F64DC791C0}" name="Descripción justificante" dataDxfId="3" totalsRowDxfId="2"/>
    <tableColumn id="3" xr3:uid="{4BD11A88-3FF7-4AB1-BC83-F15A454C606D}"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9"/>
  <sheetViews>
    <sheetView showGridLines="0" zoomScale="120" zoomScaleNormal="120" workbookViewId="0">
      <pane xSplit="1" ySplit="1" topLeftCell="B2" activePane="bottomRight" state="frozen"/>
      <selection pane="topRight" activeCell="B1" sqref="B1"/>
      <selection pane="bottomLeft" activeCell="A2" sqref="A2"/>
      <selection pane="bottomRight" activeCell="D25" sqref="D25"/>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21" width="5.140625" style="6" customWidth="1"/>
    <col min="22" max="16384" width="10.28515625" style="6"/>
  </cols>
  <sheetData>
    <row r="1" spans="1:23"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3" x14ac:dyDescent="0.2">
      <c r="A2" s="16" t="s">
        <v>25</v>
      </c>
      <c r="B2" s="16" t="s">
        <v>26</v>
      </c>
      <c r="C2" s="16" t="s">
        <v>27</v>
      </c>
      <c r="D2" s="16" t="s">
        <v>60</v>
      </c>
      <c r="E2" s="16" t="s">
        <v>59</v>
      </c>
      <c r="F2" s="16" t="s">
        <v>58</v>
      </c>
      <c r="G2" s="16" t="s">
        <v>28</v>
      </c>
      <c r="H2" s="16" t="s">
        <v>22</v>
      </c>
      <c r="I2" s="16" t="s">
        <v>29</v>
      </c>
      <c r="J2" s="16" t="s">
        <v>30</v>
      </c>
      <c r="K2" s="22">
        <v>0.5</v>
      </c>
      <c r="L2" s="16" t="s">
        <v>31</v>
      </c>
      <c r="M2" s="16">
        <v>2019</v>
      </c>
      <c r="N2" s="16" t="s">
        <v>23</v>
      </c>
      <c r="O2" s="23" t="s">
        <v>23</v>
      </c>
      <c r="P2" s="16" t="s">
        <v>23</v>
      </c>
      <c r="Q2" s="23" t="s">
        <v>23</v>
      </c>
      <c r="R2" s="24">
        <v>100</v>
      </c>
      <c r="S2" s="25">
        <v>0.5</v>
      </c>
      <c r="T2" s="25">
        <v>0</v>
      </c>
      <c r="U2" s="25">
        <v>0</v>
      </c>
    </row>
    <row r="3" spans="1:23" x14ac:dyDescent="0.2">
      <c r="A3" s="16" t="s">
        <v>25</v>
      </c>
      <c r="B3" s="16" t="s">
        <v>26</v>
      </c>
      <c r="C3" s="16" t="s">
        <v>27</v>
      </c>
      <c r="D3" s="16" t="s">
        <v>60</v>
      </c>
      <c r="E3" s="16" t="s">
        <v>59</v>
      </c>
      <c r="F3" s="16" t="s">
        <v>58</v>
      </c>
      <c r="G3" s="16" t="s">
        <v>32</v>
      </c>
      <c r="H3" s="16" t="s">
        <v>22</v>
      </c>
      <c r="I3" s="16" t="s">
        <v>29</v>
      </c>
      <c r="J3" s="16" t="s">
        <v>30</v>
      </c>
      <c r="K3" s="22">
        <v>0.5</v>
      </c>
      <c r="L3" s="16" t="s">
        <v>31</v>
      </c>
      <c r="M3" s="16">
        <v>2019</v>
      </c>
      <c r="N3" s="16" t="s">
        <v>23</v>
      </c>
      <c r="O3" s="23" t="s">
        <v>23</v>
      </c>
      <c r="P3" s="16" t="s">
        <v>23</v>
      </c>
      <c r="Q3" s="23" t="s">
        <v>23</v>
      </c>
      <c r="R3" s="24">
        <v>100</v>
      </c>
      <c r="S3" s="25">
        <v>0.5</v>
      </c>
      <c r="T3" s="25">
        <v>0</v>
      </c>
      <c r="U3" s="25">
        <v>0</v>
      </c>
    </row>
    <row r="4" spans="1:23" ht="12" thickBot="1" x14ac:dyDescent="0.25">
      <c r="A4" s="16" t="s">
        <v>25</v>
      </c>
      <c r="B4" s="16" t="s">
        <v>26</v>
      </c>
      <c r="C4" s="16" t="s">
        <v>27</v>
      </c>
      <c r="D4" s="16" t="s">
        <v>64</v>
      </c>
      <c r="E4" s="16" t="s">
        <v>63</v>
      </c>
      <c r="F4" s="16" t="s">
        <v>62</v>
      </c>
      <c r="G4" s="16" t="s">
        <v>61</v>
      </c>
      <c r="H4" s="16" t="s">
        <v>22</v>
      </c>
      <c r="I4" s="16" t="s">
        <v>29</v>
      </c>
      <c r="J4" s="16" t="s">
        <v>30</v>
      </c>
      <c r="K4" s="22">
        <v>0.5</v>
      </c>
      <c r="L4" s="16" t="s">
        <v>31</v>
      </c>
      <c r="M4" s="16">
        <v>2019</v>
      </c>
      <c r="N4" s="16" t="s">
        <v>23</v>
      </c>
      <c r="O4" s="23" t="s">
        <v>23</v>
      </c>
      <c r="P4" s="16" t="s">
        <v>23</v>
      </c>
      <c r="Q4" s="23" t="s">
        <v>23</v>
      </c>
      <c r="R4" s="24">
        <v>100</v>
      </c>
      <c r="S4" s="25">
        <v>0.5</v>
      </c>
      <c r="T4" s="25">
        <v>0</v>
      </c>
      <c r="U4" s="25">
        <v>0</v>
      </c>
      <c r="W4" s="30"/>
    </row>
    <row r="5" spans="1:23" ht="12" thickBot="1" x14ac:dyDescent="0.25">
      <c r="A5" s="17" t="s">
        <v>25</v>
      </c>
      <c r="B5" s="17" t="s">
        <v>26</v>
      </c>
      <c r="C5" s="17" t="s">
        <v>27</v>
      </c>
      <c r="D5" s="17" t="s">
        <v>66</v>
      </c>
      <c r="E5" s="17" t="s">
        <v>67</v>
      </c>
      <c r="F5" s="17" t="s">
        <v>68</v>
      </c>
      <c r="G5" s="18" t="s">
        <v>28</v>
      </c>
      <c r="H5" s="19" t="s">
        <v>24</v>
      </c>
      <c r="I5" s="19" t="s">
        <v>29</v>
      </c>
      <c r="J5" s="20" t="s">
        <v>30</v>
      </c>
      <c r="K5" s="26">
        <v>1</v>
      </c>
      <c r="L5" s="26" t="s">
        <v>31</v>
      </c>
      <c r="M5" s="15">
        <v>2020</v>
      </c>
      <c r="N5" s="15" t="s">
        <v>23</v>
      </c>
      <c r="O5" s="21" t="s">
        <v>23</v>
      </c>
      <c r="P5" s="15" t="s">
        <v>23</v>
      </c>
      <c r="Q5" s="21" t="s">
        <v>23</v>
      </c>
      <c r="R5" s="15">
        <v>100</v>
      </c>
      <c r="S5" s="15">
        <v>1</v>
      </c>
      <c r="T5" s="15">
        <v>0</v>
      </c>
      <c r="U5" s="15">
        <v>0</v>
      </c>
    </row>
    <row r="6" spans="1:23" ht="12" thickBot="1" x14ac:dyDescent="0.25">
      <c r="A6" s="17" t="s">
        <v>25</v>
      </c>
      <c r="B6" s="17" t="s">
        <v>26</v>
      </c>
      <c r="C6" s="17" t="s">
        <v>27</v>
      </c>
      <c r="D6" s="17" t="s">
        <v>69</v>
      </c>
      <c r="E6" s="17" t="s">
        <v>70</v>
      </c>
      <c r="F6" s="17" t="s">
        <v>71</v>
      </c>
      <c r="G6" s="18" t="s">
        <v>28</v>
      </c>
      <c r="H6" s="19" t="s">
        <v>22</v>
      </c>
      <c r="I6" s="19" t="s">
        <v>29</v>
      </c>
      <c r="J6" s="20" t="s">
        <v>30</v>
      </c>
      <c r="K6" s="26">
        <v>0.5</v>
      </c>
      <c r="L6" s="26" t="s">
        <v>31</v>
      </c>
      <c r="M6" s="15">
        <v>2020</v>
      </c>
      <c r="N6" s="15" t="s">
        <v>23</v>
      </c>
      <c r="O6" s="21" t="s">
        <v>23</v>
      </c>
      <c r="P6" s="15" t="s">
        <v>23</v>
      </c>
      <c r="Q6" s="21" t="s">
        <v>23</v>
      </c>
      <c r="R6" s="15">
        <v>100</v>
      </c>
      <c r="S6" s="15">
        <v>0.5</v>
      </c>
      <c r="T6" s="15">
        <v>0</v>
      </c>
      <c r="U6" s="15">
        <v>0</v>
      </c>
    </row>
    <row r="7" spans="1:23" ht="12" thickBot="1" x14ac:dyDescent="0.25">
      <c r="A7" s="17" t="s">
        <v>25</v>
      </c>
      <c r="B7" s="17" t="s">
        <v>26</v>
      </c>
      <c r="C7" s="17" t="s">
        <v>27</v>
      </c>
      <c r="D7" s="17" t="s">
        <v>69</v>
      </c>
      <c r="E7" s="17" t="s">
        <v>70</v>
      </c>
      <c r="F7" s="17" t="s">
        <v>71</v>
      </c>
      <c r="G7" s="18" t="s">
        <v>72</v>
      </c>
      <c r="H7" s="19" t="s">
        <v>22</v>
      </c>
      <c r="I7" s="19" t="s">
        <v>29</v>
      </c>
      <c r="J7" s="20" t="s">
        <v>30</v>
      </c>
      <c r="K7" s="26">
        <v>0.5</v>
      </c>
      <c r="L7" s="26" t="s">
        <v>31</v>
      </c>
      <c r="M7" s="15">
        <v>2020</v>
      </c>
      <c r="N7" s="15" t="s">
        <v>23</v>
      </c>
      <c r="O7" s="21" t="s">
        <v>23</v>
      </c>
      <c r="P7" s="15" t="s">
        <v>23</v>
      </c>
      <c r="Q7" s="21" t="s">
        <v>23</v>
      </c>
      <c r="R7" s="15">
        <v>100</v>
      </c>
      <c r="S7" s="15">
        <v>0.5</v>
      </c>
      <c r="T7" s="15">
        <v>0</v>
      </c>
      <c r="U7" s="15">
        <v>0</v>
      </c>
    </row>
    <row r="8" spans="1:23" x14ac:dyDescent="0.2">
      <c r="A8" s="15" t="s">
        <v>25</v>
      </c>
      <c r="B8" s="15" t="s">
        <v>26</v>
      </c>
      <c r="C8" s="15" t="s">
        <v>27</v>
      </c>
      <c r="D8" s="15" t="s">
        <v>78</v>
      </c>
      <c r="E8" s="15" t="s">
        <v>79</v>
      </c>
      <c r="F8" s="15" t="s">
        <v>80</v>
      </c>
      <c r="G8" s="15" t="s">
        <v>81</v>
      </c>
      <c r="H8" s="15" t="s">
        <v>22</v>
      </c>
      <c r="I8" s="15" t="s">
        <v>29</v>
      </c>
      <c r="J8" s="15" t="s">
        <v>30</v>
      </c>
      <c r="K8" s="26">
        <v>0.5</v>
      </c>
      <c r="L8" s="26" t="s">
        <v>31</v>
      </c>
      <c r="M8" s="15">
        <v>2021</v>
      </c>
      <c r="N8" s="15" t="s">
        <v>23</v>
      </c>
      <c r="O8" s="21" t="s">
        <v>23</v>
      </c>
      <c r="P8" s="15" t="s">
        <v>23</v>
      </c>
      <c r="Q8" s="21" t="s">
        <v>23</v>
      </c>
      <c r="R8" s="15">
        <v>100</v>
      </c>
      <c r="S8" s="15">
        <v>0.5</v>
      </c>
      <c r="T8" s="15">
        <v>0</v>
      </c>
      <c r="U8" s="15">
        <v>0</v>
      </c>
    </row>
    <row r="9" spans="1:23" x14ac:dyDescent="0.2">
      <c r="A9" s="15" t="s">
        <v>25</v>
      </c>
      <c r="B9" s="15" t="s">
        <v>26</v>
      </c>
      <c r="C9" s="15" t="s">
        <v>27</v>
      </c>
      <c r="D9" s="15" t="s">
        <v>78</v>
      </c>
      <c r="E9" s="15" t="s">
        <v>79</v>
      </c>
      <c r="F9" s="15" t="s">
        <v>80</v>
      </c>
      <c r="G9" s="15" t="s">
        <v>28</v>
      </c>
      <c r="H9" s="15" t="s">
        <v>22</v>
      </c>
      <c r="I9" s="15" t="s">
        <v>29</v>
      </c>
      <c r="J9" s="15" t="s">
        <v>30</v>
      </c>
      <c r="K9" s="26">
        <v>0.5</v>
      </c>
      <c r="L9" s="26" t="s">
        <v>31</v>
      </c>
      <c r="M9" s="15">
        <v>2021</v>
      </c>
      <c r="N9" s="15" t="s">
        <v>23</v>
      </c>
      <c r="O9" s="21" t="s">
        <v>23</v>
      </c>
      <c r="P9" s="15" t="s">
        <v>23</v>
      </c>
      <c r="Q9" s="21" t="s">
        <v>23</v>
      </c>
      <c r="R9" s="15">
        <v>100</v>
      </c>
      <c r="S9" s="15">
        <v>0.5</v>
      </c>
      <c r="T9" s="15">
        <v>0</v>
      </c>
      <c r="U9" s="15">
        <v>0</v>
      </c>
    </row>
    <row r="10" spans="1:23" x14ac:dyDescent="0.2">
      <c r="A10" s="15" t="s">
        <v>25</v>
      </c>
      <c r="B10" s="15" t="s">
        <v>26</v>
      </c>
      <c r="C10" s="15" t="s">
        <v>27</v>
      </c>
      <c r="D10" s="15" t="s">
        <v>82</v>
      </c>
      <c r="E10" s="15" t="s">
        <v>83</v>
      </c>
      <c r="F10" s="15" t="s">
        <v>84</v>
      </c>
      <c r="G10" s="15" t="s">
        <v>85</v>
      </c>
      <c r="H10" s="15" t="s">
        <v>22</v>
      </c>
      <c r="I10" s="15" t="s">
        <v>29</v>
      </c>
      <c r="J10" s="15" t="s">
        <v>30</v>
      </c>
      <c r="K10" s="26">
        <v>0.5</v>
      </c>
      <c r="L10" s="26" t="s">
        <v>31</v>
      </c>
      <c r="M10" s="15">
        <v>2021</v>
      </c>
      <c r="N10" s="15" t="s">
        <v>23</v>
      </c>
      <c r="O10" s="21" t="s">
        <v>23</v>
      </c>
      <c r="P10" s="15" t="s">
        <v>23</v>
      </c>
      <c r="Q10" s="21" t="s">
        <v>23</v>
      </c>
      <c r="R10" s="15">
        <v>100</v>
      </c>
      <c r="S10" s="15">
        <v>0.5</v>
      </c>
      <c r="T10" s="15">
        <v>0</v>
      </c>
      <c r="U10" s="15">
        <v>0</v>
      </c>
    </row>
    <row r="11" spans="1:23" x14ac:dyDescent="0.2">
      <c r="A11" s="15" t="s">
        <v>25</v>
      </c>
      <c r="B11" s="15" t="s">
        <v>26</v>
      </c>
      <c r="C11" s="15" t="s">
        <v>27</v>
      </c>
      <c r="D11" s="15" t="s">
        <v>82</v>
      </c>
      <c r="E11" s="15" t="s">
        <v>83</v>
      </c>
      <c r="F11" s="15" t="s">
        <v>84</v>
      </c>
      <c r="G11" s="15" t="s">
        <v>28</v>
      </c>
      <c r="H11" s="15" t="s">
        <v>22</v>
      </c>
      <c r="I11" s="15" t="s">
        <v>29</v>
      </c>
      <c r="J11" s="15" t="s">
        <v>30</v>
      </c>
      <c r="K11" s="26">
        <v>0.5</v>
      </c>
      <c r="L11" s="26" t="s">
        <v>31</v>
      </c>
      <c r="M11" s="15">
        <v>2021</v>
      </c>
      <c r="N11" s="15" t="s">
        <v>23</v>
      </c>
      <c r="O11" s="21" t="s">
        <v>23</v>
      </c>
      <c r="P11" s="15" t="s">
        <v>23</v>
      </c>
      <c r="Q11" s="21" t="s">
        <v>23</v>
      </c>
      <c r="R11" s="15">
        <v>100</v>
      </c>
      <c r="S11" s="15">
        <v>0.5</v>
      </c>
      <c r="T11" s="15">
        <v>0</v>
      </c>
      <c r="U11" s="15">
        <v>0</v>
      </c>
    </row>
    <row r="12" spans="1:23" customFormat="1" ht="10.15" customHeight="1" x14ac:dyDescent="0.25">
      <c r="A12" s="15" t="s">
        <v>25</v>
      </c>
      <c r="B12" s="15" t="s">
        <v>26</v>
      </c>
      <c r="C12" s="15" t="s">
        <v>27</v>
      </c>
      <c r="D12" s="15" t="s">
        <v>93</v>
      </c>
      <c r="E12" s="15" t="s">
        <v>94</v>
      </c>
      <c r="F12" s="15" t="s">
        <v>95</v>
      </c>
      <c r="G12" s="15" t="s">
        <v>28</v>
      </c>
      <c r="H12" s="15" t="s">
        <v>22</v>
      </c>
      <c r="I12" s="15" t="s">
        <v>29</v>
      </c>
      <c r="J12" s="15" t="s">
        <v>30</v>
      </c>
      <c r="K12" s="31">
        <v>0.5</v>
      </c>
      <c r="L12" s="31" t="s">
        <v>31</v>
      </c>
      <c r="M12" s="15">
        <v>2022</v>
      </c>
      <c r="N12" s="31" t="s">
        <v>23</v>
      </c>
      <c r="O12" s="31" t="s">
        <v>23</v>
      </c>
      <c r="P12" s="31" t="s">
        <v>23</v>
      </c>
      <c r="Q12" s="31" t="s">
        <v>23</v>
      </c>
      <c r="R12" s="31">
        <v>100</v>
      </c>
      <c r="S12" s="31">
        <v>0.5</v>
      </c>
      <c r="T12" s="31">
        <v>0</v>
      </c>
      <c r="U12" s="31">
        <v>0</v>
      </c>
    </row>
    <row r="13" spans="1:23" customFormat="1" ht="10.15" customHeight="1" x14ac:dyDescent="0.25">
      <c r="A13" s="15" t="s">
        <v>25</v>
      </c>
      <c r="B13" s="15" t="s">
        <v>26</v>
      </c>
      <c r="C13" s="15" t="s">
        <v>27</v>
      </c>
      <c r="D13" s="15" t="s">
        <v>93</v>
      </c>
      <c r="E13" s="15" t="s">
        <v>94</v>
      </c>
      <c r="F13" s="15" t="s">
        <v>95</v>
      </c>
      <c r="G13" s="15" t="s">
        <v>96</v>
      </c>
      <c r="H13" s="15" t="s">
        <v>22</v>
      </c>
      <c r="I13" s="15" t="s">
        <v>29</v>
      </c>
      <c r="J13" s="15" t="s">
        <v>30</v>
      </c>
      <c r="K13" s="31">
        <v>0.5</v>
      </c>
      <c r="L13" s="31" t="s">
        <v>31</v>
      </c>
      <c r="M13" s="15">
        <v>2022</v>
      </c>
      <c r="N13" s="31" t="s">
        <v>86</v>
      </c>
      <c r="O13" s="31">
        <v>20</v>
      </c>
      <c r="P13" s="31" t="s">
        <v>23</v>
      </c>
      <c r="Q13" s="31">
        <v>0</v>
      </c>
      <c r="R13" s="31">
        <v>80</v>
      </c>
      <c r="S13" s="31">
        <v>0.4</v>
      </c>
      <c r="T13" s="31">
        <v>0.1</v>
      </c>
      <c r="U13" s="31">
        <v>0</v>
      </c>
    </row>
    <row r="14" spans="1:23" customFormat="1" ht="10.15" customHeight="1" x14ac:dyDescent="0.25">
      <c r="A14" s="15" t="s">
        <v>25</v>
      </c>
      <c r="B14" s="15" t="s">
        <v>26</v>
      </c>
      <c r="C14" s="15" t="s">
        <v>27</v>
      </c>
      <c r="D14" s="15" t="s">
        <v>97</v>
      </c>
      <c r="E14" s="15" t="s">
        <v>98</v>
      </c>
      <c r="F14" s="15" t="s">
        <v>99</v>
      </c>
      <c r="G14" s="15" t="s">
        <v>28</v>
      </c>
      <c r="H14" s="15" t="s">
        <v>24</v>
      </c>
      <c r="I14" s="15" t="s">
        <v>29</v>
      </c>
      <c r="J14" s="15" t="s">
        <v>30</v>
      </c>
      <c r="K14" s="31">
        <v>1</v>
      </c>
      <c r="L14" s="31" t="s">
        <v>31</v>
      </c>
      <c r="M14" s="15">
        <v>2022</v>
      </c>
      <c r="N14" s="31" t="s">
        <v>23</v>
      </c>
      <c r="O14" s="31" t="s">
        <v>23</v>
      </c>
      <c r="P14" s="31" t="s">
        <v>23</v>
      </c>
      <c r="Q14" s="31" t="s">
        <v>23</v>
      </c>
      <c r="R14" s="31">
        <v>100</v>
      </c>
      <c r="S14" s="31">
        <v>1</v>
      </c>
      <c r="T14" s="31">
        <v>0</v>
      </c>
      <c r="U14" s="31">
        <v>0</v>
      </c>
    </row>
    <row r="15" spans="1:23" customFormat="1" ht="10.15" customHeight="1" x14ac:dyDescent="0.25">
      <c r="A15" s="15" t="s">
        <v>124</v>
      </c>
      <c r="B15" s="15" t="s">
        <v>125</v>
      </c>
      <c r="C15" s="15" t="s">
        <v>126</v>
      </c>
      <c r="D15" s="15" t="s">
        <v>127</v>
      </c>
      <c r="E15" s="15" t="s">
        <v>128</v>
      </c>
      <c r="F15" s="15" t="s">
        <v>129</v>
      </c>
      <c r="G15" s="15" t="s">
        <v>52</v>
      </c>
      <c r="H15" s="15" t="s">
        <v>130</v>
      </c>
      <c r="I15" s="15" t="s">
        <v>31</v>
      </c>
      <c r="J15" s="15" t="s">
        <v>131</v>
      </c>
      <c r="K15" s="31">
        <v>0.5</v>
      </c>
      <c r="L15" s="31" t="s">
        <v>31</v>
      </c>
      <c r="M15" s="15">
        <v>2023</v>
      </c>
      <c r="N15" s="31" t="s">
        <v>23</v>
      </c>
      <c r="O15" s="31" t="s">
        <v>23</v>
      </c>
      <c r="P15" s="31" t="s">
        <v>23</v>
      </c>
      <c r="Q15" s="31" t="s">
        <v>23</v>
      </c>
      <c r="R15" s="31">
        <v>100</v>
      </c>
      <c r="S15" s="31">
        <v>0.5</v>
      </c>
      <c r="T15" s="31">
        <v>0</v>
      </c>
      <c r="U15" s="31">
        <v>0</v>
      </c>
    </row>
    <row r="16" spans="1:23" customFormat="1" ht="10.15" customHeight="1" x14ac:dyDescent="0.25">
      <c r="A16" s="15" t="s">
        <v>124</v>
      </c>
      <c r="B16" s="15" t="s">
        <v>125</v>
      </c>
      <c r="C16" s="15" t="s">
        <v>126</v>
      </c>
      <c r="D16" s="15" t="s">
        <v>133</v>
      </c>
      <c r="E16" s="15" t="s">
        <v>134</v>
      </c>
      <c r="F16" s="15" t="s">
        <v>135</v>
      </c>
      <c r="G16" s="15" t="s">
        <v>47</v>
      </c>
      <c r="H16" s="15" t="s">
        <v>136</v>
      </c>
      <c r="I16" s="15" t="s">
        <v>31</v>
      </c>
      <c r="J16" s="15" t="s">
        <v>131</v>
      </c>
      <c r="K16" s="31">
        <v>1</v>
      </c>
      <c r="L16" s="31" t="s">
        <v>31</v>
      </c>
      <c r="M16" s="15">
        <v>2023</v>
      </c>
      <c r="N16" s="31" t="s">
        <v>23</v>
      </c>
      <c r="O16" s="31" t="s">
        <v>23</v>
      </c>
      <c r="P16" s="31" t="s">
        <v>23</v>
      </c>
      <c r="Q16" s="31" t="s">
        <v>23</v>
      </c>
      <c r="R16" s="31">
        <v>100</v>
      </c>
      <c r="S16" s="31">
        <v>1</v>
      </c>
      <c r="T16" s="31">
        <v>0</v>
      </c>
      <c r="U16" s="31">
        <v>0</v>
      </c>
    </row>
    <row r="17" spans="1:21" customFormat="1" ht="10.15" customHeight="1" x14ac:dyDescent="0.25">
      <c r="A17" s="15" t="s">
        <v>124</v>
      </c>
      <c r="B17" s="15" t="s">
        <v>166</v>
      </c>
      <c r="C17" s="15" t="s">
        <v>126</v>
      </c>
      <c r="D17" s="15" t="s">
        <v>167</v>
      </c>
      <c r="E17" s="15" t="s">
        <v>168</v>
      </c>
      <c r="F17" s="15" t="s">
        <v>169</v>
      </c>
      <c r="G17" s="15" t="s">
        <v>54</v>
      </c>
      <c r="H17" s="15" t="s">
        <v>130</v>
      </c>
      <c r="I17" s="15" t="s">
        <v>31</v>
      </c>
      <c r="J17" s="15" t="s">
        <v>170</v>
      </c>
      <c r="K17" s="31">
        <v>0.5</v>
      </c>
      <c r="L17" s="31" t="s">
        <v>31</v>
      </c>
      <c r="M17" s="15">
        <v>2024</v>
      </c>
      <c r="N17" s="31" t="s">
        <v>23</v>
      </c>
      <c r="O17" s="31" t="s">
        <v>23</v>
      </c>
      <c r="P17" s="31" t="s">
        <v>23</v>
      </c>
      <c r="Q17" s="31" t="s">
        <v>23</v>
      </c>
      <c r="R17" s="31">
        <v>100</v>
      </c>
      <c r="S17" s="31">
        <v>0.5</v>
      </c>
      <c r="T17" s="31">
        <v>0</v>
      </c>
      <c r="U17" s="31">
        <v>0</v>
      </c>
    </row>
    <row r="18" spans="1:21" customFormat="1" ht="10.15" customHeight="1" x14ac:dyDescent="0.25">
      <c r="A18" s="15" t="s">
        <v>124</v>
      </c>
      <c r="B18" s="15" t="s">
        <v>166</v>
      </c>
      <c r="C18" s="15" t="s">
        <v>126</v>
      </c>
      <c r="D18" s="15" t="s">
        <v>167</v>
      </c>
      <c r="E18" s="15" t="s">
        <v>168</v>
      </c>
      <c r="F18" s="15" t="s">
        <v>169</v>
      </c>
      <c r="G18" s="15" t="s">
        <v>87</v>
      </c>
      <c r="H18" s="15" t="s">
        <v>130</v>
      </c>
      <c r="I18" s="15" t="s">
        <v>31</v>
      </c>
      <c r="J18" s="15" t="s">
        <v>170</v>
      </c>
      <c r="K18" s="31">
        <v>0.5</v>
      </c>
      <c r="L18" s="31" t="s">
        <v>31</v>
      </c>
      <c r="M18" s="15">
        <v>2024</v>
      </c>
      <c r="N18" s="31" t="s">
        <v>23</v>
      </c>
      <c r="O18" s="31" t="s">
        <v>23</v>
      </c>
      <c r="P18" s="31" t="s">
        <v>23</v>
      </c>
      <c r="Q18" s="31" t="s">
        <v>23</v>
      </c>
      <c r="R18" s="31">
        <v>100</v>
      </c>
      <c r="S18" s="31">
        <v>0.5</v>
      </c>
      <c r="T18" s="31">
        <v>0</v>
      </c>
      <c r="U18" s="31">
        <v>0</v>
      </c>
    </row>
    <row r="19" spans="1:21" x14ac:dyDescent="0.2">
      <c r="A19" s="32"/>
      <c r="B19" s="32"/>
      <c r="C19" s="32"/>
      <c r="D19" s="32"/>
      <c r="E19" s="32"/>
      <c r="F19" s="32"/>
      <c r="G19" s="32"/>
      <c r="H19" s="32"/>
      <c r="I19" s="32"/>
      <c r="J19" s="32"/>
      <c r="K19" s="32"/>
      <c r="L19" s="32"/>
      <c r="M19" s="32"/>
      <c r="N19" s="33"/>
      <c r="O19" s="32"/>
      <c r="P19" s="33"/>
      <c r="Q19" s="32"/>
      <c r="R19" s="34"/>
      <c r="S19" s="44">
        <f>SUM(S2:S18)</f>
        <v>9.9</v>
      </c>
      <c r="T19" s="32"/>
      <c r="U19" s="32"/>
    </row>
  </sheetData>
  <autoFilter ref="A1:U1" xr:uid="{00000000-0009-0000-0000-000000000000}">
    <sortState xmlns:xlrd2="http://schemas.microsoft.com/office/spreadsheetml/2017/richdata2" ref="A2:U1898">
      <sortCondition ref="L2:L1898"/>
      <sortCondition ref="M2:M1898"/>
      <sortCondition ref="D2:D1898"/>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7"/>
  <sheetViews>
    <sheetView zoomScaleNormal="100" workbookViewId="0">
      <selection activeCell="C23" sqref="C23"/>
    </sheetView>
  </sheetViews>
  <sheetFormatPr baseColWidth="10" defaultColWidth="11.42578125" defaultRowHeight="12.75" x14ac:dyDescent="0.2"/>
  <cols>
    <col min="1" max="1" width="10.85546875" style="11" bestFit="1" customWidth="1"/>
    <col min="2" max="2" width="42" style="11" bestFit="1" customWidth="1"/>
    <col min="3" max="3" width="17" style="11" bestFit="1" customWidth="1"/>
    <col min="4" max="9" width="3.28515625" style="11" bestFit="1" customWidth="1"/>
    <col min="10" max="10" width="13.140625" style="11" bestFit="1" customWidth="1"/>
    <col min="11" max="11" width="5.28515625" style="11" bestFit="1" customWidth="1"/>
    <col min="12" max="13" width="5.7109375" style="11" bestFit="1" customWidth="1"/>
    <col min="14"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20" s="10" customFormat="1" ht="60" customHeight="1" x14ac:dyDescent="0.2">
      <c r="A1" s="13" t="s">
        <v>33</v>
      </c>
      <c r="B1" s="13" t="s">
        <v>34</v>
      </c>
      <c r="C1" s="13" t="s">
        <v>35</v>
      </c>
      <c r="D1" s="14" t="s">
        <v>171</v>
      </c>
      <c r="E1" s="14" t="s">
        <v>172</v>
      </c>
      <c r="F1" s="14" t="s">
        <v>173</v>
      </c>
      <c r="G1" s="14" t="s">
        <v>174</v>
      </c>
      <c r="H1" s="14" t="s">
        <v>175</v>
      </c>
      <c r="I1" s="14" t="s">
        <v>176</v>
      </c>
      <c r="J1" s="13" t="s">
        <v>36</v>
      </c>
      <c r="K1" s="27" t="s">
        <v>65</v>
      </c>
      <c r="L1" s="8" t="s">
        <v>37</v>
      </c>
      <c r="M1" s="8" t="s">
        <v>38</v>
      </c>
      <c r="N1" s="8" t="s">
        <v>39</v>
      </c>
      <c r="O1" s="8" t="s">
        <v>40</v>
      </c>
      <c r="P1" s="9" t="s">
        <v>41</v>
      </c>
      <c r="Q1" s="9" t="s">
        <v>42</v>
      </c>
      <c r="R1" s="9" t="s">
        <v>43</v>
      </c>
      <c r="S1" s="9" t="s">
        <v>44</v>
      </c>
      <c r="T1" s="11"/>
    </row>
    <row r="2" spans="1:20" ht="15" x14ac:dyDescent="0.25">
      <c r="A2" s="38" t="s">
        <v>54</v>
      </c>
      <c r="B2" s="38" t="s">
        <v>177</v>
      </c>
      <c r="C2" s="38" t="s">
        <v>45</v>
      </c>
      <c r="D2" s="38"/>
      <c r="E2" s="38"/>
      <c r="F2" s="38"/>
      <c r="G2" s="38"/>
      <c r="H2" s="38"/>
      <c r="I2" s="38">
        <v>1</v>
      </c>
      <c r="J2" s="38">
        <v>1</v>
      </c>
      <c r="K2" s="38" t="s">
        <v>31</v>
      </c>
      <c r="L2" s="39">
        <v>0</v>
      </c>
      <c r="M2" s="39">
        <v>0</v>
      </c>
      <c r="N2" s="39" t="s">
        <v>23</v>
      </c>
      <c r="O2" s="39" t="s">
        <v>23</v>
      </c>
      <c r="P2" s="39">
        <v>100</v>
      </c>
      <c r="Q2" s="39">
        <v>0</v>
      </c>
      <c r="R2" s="39">
        <v>0</v>
      </c>
      <c r="S2" s="39">
        <v>1</v>
      </c>
    </row>
    <row r="3" spans="1:20" ht="15" x14ac:dyDescent="0.25">
      <c r="A3" s="38" t="s">
        <v>47</v>
      </c>
      <c r="B3" s="38" t="s">
        <v>178</v>
      </c>
      <c r="C3" s="38" t="s">
        <v>45</v>
      </c>
      <c r="D3" s="38"/>
      <c r="E3" s="38"/>
      <c r="F3" s="38"/>
      <c r="G3" s="38"/>
      <c r="H3" s="38">
        <v>1</v>
      </c>
      <c r="I3" s="38"/>
      <c r="J3" s="38">
        <v>1</v>
      </c>
      <c r="K3" s="38" t="s">
        <v>31</v>
      </c>
      <c r="L3" s="39">
        <v>0</v>
      </c>
      <c r="M3" s="39">
        <v>0</v>
      </c>
      <c r="N3" s="39" t="s">
        <v>23</v>
      </c>
      <c r="O3" s="39" t="s">
        <v>23</v>
      </c>
      <c r="P3" s="39">
        <v>100</v>
      </c>
      <c r="Q3" s="39">
        <v>0</v>
      </c>
      <c r="R3" s="39">
        <v>0</v>
      </c>
      <c r="S3" s="39">
        <v>1</v>
      </c>
    </row>
    <row r="4" spans="1:20" ht="15" x14ac:dyDescent="0.25">
      <c r="A4" s="38" t="s">
        <v>52</v>
      </c>
      <c r="B4" s="38" t="s">
        <v>179</v>
      </c>
      <c r="C4" s="38" t="s">
        <v>45</v>
      </c>
      <c r="D4" s="38">
        <v>1</v>
      </c>
      <c r="E4" s="38"/>
      <c r="F4" s="38"/>
      <c r="G4" s="38"/>
      <c r="H4" s="38"/>
      <c r="I4" s="38"/>
      <c r="J4" s="38">
        <v>1</v>
      </c>
      <c r="K4" s="38" t="s">
        <v>31</v>
      </c>
      <c r="L4" s="39">
        <v>0</v>
      </c>
      <c r="M4" s="39">
        <v>0</v>
      </c>
      <c r="N4" s="39" t="s">
        <v>23</v>
      </c>
      <c r="O4" s="39" t="s">
        <v>23</v>
      </c>
      <c r="P4" s="39">
        <v>100</v>
      </c>
      <c r="Q4" s="39">
        <v>0</v>
      </c>
      <c r="R4" s="39">
        <v>0</v>
      </c>
      <c r="S4" s="39">
        <v>1</v>
      </c>
    </row>
    <row r="5" spans="1:20" ht="15" x14ac:dyDescent="0.25">
      <c r="A5" s="38" t="s">
        <v>55</v>
      </c>
      <c r="B5" s="38" t="s">
        <v>180</v>
      </c>
      <c r="C5" s="38" t="s">
        <v>45</v>
      </c>
      <c r="D5" s="38">
        <v>1</v>
      </c>
      <c r="E5" s="38"/>
      <c r="F5" s="38"/>
      <c r="G5" s="38"/>
      <c r="H5" s="38"/>
      <c r="I5" s="38"/>
      <c r="J5" s="38">
        <v>1</v>
      </c>
      <c r="K5" s="38" t="s">
        <v>31</v>
      </c>
      <c r="L5" s="39" t="s">
        <v>86</v>
      </c>
      <c r="M5" s="39" t="s">
        <v>132</v>
      </c>
      <c r="N5" s="39" t="s">
        <v>23</v>
      </c>
      <c r="O5" s="39" t="s">
        <v>23</v>
      </c>
      <c r="P5" s="39">
        <v>80</v>
      </c>
      <c r="Q5" s="39">
        <v>0.2</v>
      </c>
      <c r="R5" s="39">
        <v>0</v>
      </c>
      <c r="S5" s="39">
        <v>0.8</v>
      </c>
    </row>
    <row r="6" spans="1:20" ht="15" x14ac:dyDescent="0.25">
      <c r="A6" s="38" t="s">
        <v>50</v>
      </c>
      <c r="B6" s="38" t="s">
        <v>181</v>
      </c>
      <c r="C6" s="38" t="s">
        <v>46</v>
      </c>
      <c r="D6" s="38"/>
      <c r="E6" s="38">
        <v>1</v>
      </c>
      <c r="F6" s="38"/>
      <c r="G6" s="38"/>
      <c r="H6" s="38"/>
      <c r="I6" s="38"/>
      <c r="J6" s="38">
        <v>1</v>
      </c>
      <c r="K6" s="38" t="s">
        <v>31</v>
      </c>
      <c r="L6" s="39">
        <v>0</v>
      </c>
      <c r="M6" s="39">
        <v>0</v>
      </c>
      <c r="N6" s="39" t="s">
        <v>23</v>
      </c>
      <c r="O6" s="39" t="s">
        <v>23</v>
      </c>
      <c r="P6" s="39">
        <v>100</v>
      </c>
      <c r="Q6" s="39">
        <v>0</v>
      </c>
      <c r="R6" s="39">
        <v>0</v>
      </c>
      <c r="S6" s="39">
        <v>1</v>
      </c>
    </row>
    <row r="7" spans="1:20" ht="15" x14ac:dyDescent="0.25">
      <c r="A7" s="38" t="s">
        <v>87</v>
      </c>
      <c r="B7" s="38" t="s">
        <v>182</v>
      </c>
      <c r="C7" s="38" t="s">
        <v>45</v>
      </c>
      <c r="D7" s="38"/>
      <c r="E7" s="38"/>
      <c r="F7" s="38">
        <v>1</v>
      </c>
      <c r="G7" s="38"/>
      <c r="H7" s="38"/>
      <c r="I7" s="38"/>
      <c r="J7" s="38">
        <v>1</v>
      </c>
      <c r="K7" s="38" t="s">
        <v>31</v>
      </c>
      <c r="L7" s="39">
        <v>0</v>
      </c>
      <c r="M7" s="39">
        <v>0</v>
      </c>
      <c r="N7" s="39" t="s">
        <v>23</v>
      </c>
      <c r="O7" s="39" t="s">
        <v>23</v>
      </c>
      <c r="P7" s="39">
        <v>100</v>
      </c>
      <c r="Q7" s="39">
        <v>0</v>
      </c>
      <c r="R7" s="39">
        <v>0</v>
      </c>
      <c r="S7" s="39">
        <v>1</v>
      </c>
    </row>
    <row r="8" spans="1:20" ht="15" x14ac:dyDescent="0.25">
      <c r="A8" s="38" t="s">
        <v>57</v>
      </c>
      <c r="B8" s="38" t="s">
        <v>183</v>
      </c>
      <c r="C8" s="38" t="s">
        <v>45</v>
      </c>
      <c r="D8" s="38"/>
      <c r="E8" s="38"/>
      <c r="F8" s="38"/>
      <c r="G8" s="38"/>
      <c r="H8" s="38">
        <v>1</v>
      </c>
      <c r="I8" s="38"/>
      <c r="J8" s="38">
        <v>1</v>
      </c>
      <c r="K8" s="38" t="s">
        <v>31</v>
      </c>
      <c r="L8" s="39">
        <v>0</v>
      </c>
      <c r="M8" s="39">
        <v>0</v>
      </c>
      <c r="N8" s="39" t="s">
        <v>23</v>
      </c>
      <c r="O8" s="39" t="s">
        <v>23</v>
      </c>
      <c r="P8" s="39">
        <v>100</v>
      </c>
      <c r="Q8" s="39">
        <v>0</v>
      </c>
      <c r="R8" s="39">
        <v>0</v>
      </c>
      <c r="S8" s="39">
        <v>1</v>
      </c>
    </row>
    <row r="9" spans="1:20" ht="15" x14ac:dyDescent="0.25">
      <c r="A9" s="38" t="s">
        <v>56</v>
      </c>
      <c r="B9" s="38" t="s">
        <v>184</v>
      </c>
      <c r="C9" s="38" t="s">
        <v>100</v>
      </c>
      <c r="D9" s="38"/>
      <c r="E9" s="38"/>
      <c r="F9" s="38"/>
      <c r="G9" s="38"/>
      <c r="H9" s="38"/>
      <c r="I9" s="38">
        <v>1</v>
      </c>
      <c r="J9" s="38">
        <v>1</v>
      </c>
      <c r="K9" s="38" t="s">
        <v>31</v>
      </c>
      <c r="L9" s="39">
        <v>0</v>
      </c>
      <c r="M9" s="39">
        <v>0</v>
      </c>
      <c r="N9" s="39" t="s">
        <v>23</v>
      </c>
      <c r="O9" s="39" t="s">
        <v>23</v>
      </c>
      <c r="P9" s="39">
        <v>100</v>
      </c>
      <c r="Q9" s="39">
        <v>0</v>
      </c>
      <c r="R9" s="39">
        <v>0</v>
      </c>
      <c r="S9" s="39">
        <v>1</v>
      </c>
    </row>
    <row r="10" spans="1:20" ht="15" x14ac:dyDescent="0.25">
      <c r="A10" s="38" t="s">
        <v>51</v>
      </c>
      <c r="B10" s="38" t="s">
        <v>185</v>
      </c>
      <c r="C10" s="38" t="s">
        <v>45</v>
      </c>
      <c r="D10" s="38"/>
      <c r="E10" s="38"/>
      <c r="F10" s="38"/>
      <c r="G10" s="38"/>
      <c r="H10" s="38"/>
      <c r="I10" s="38">
        <v>1</v>
      </c>
      <c r="J10" s="38">
        <v>1</v>
      </c>
      <c r="K10" s="38" t="s">
        <v>31</v>
      </c>
      <c r="L10" s="39">
        <v>0</v>
      </c>
      <c r="M10" s="39">
        <v>0</v>
      </c>
      <c r="N10" s="39" t="s">
        <v>23</v>
      </c>
      <c r="O10" s="39" t="s">
        <v>23</v>
      </c>
      <c r="P10" s="39">
        <v>100</v>
      </c>
      <c r="Q10" s="39">
        <v>0</v>
      </c>
      <c r="R10" s="39">
        <v>0</v>
      </c>
      <c r="S10" s="39">
        <v>1</v>
      </c>
    </row>
    <row r="11" spans="1:20" ht="15" x14ac:dyDescent="0.25">
      <c r="A11" s="38" t="s">
        <v>88</v>
      </c>
      <c r="B11" s="38" t="s">
        <v>186</v>
      </c>
      <c r="C11" s="38" t="s">
        <v>45</v>
      </c>
      <c r="D11" s="38"/>
      <c r="E11" s="38"/>
      <c r="F11" s="38"/>
      <c r="G11" s="38"/>
      <c r="H11" s="38"/>
      <c r="I11" s="38">
        <v>2</v>
      </c>
      <c r="J11" s="38">
        <v>2</v>
      </c>
      <c r="K11" s="38" t="s">
        <v>31</v>
      </c>
      <c r="L11" s="39">
        <v>0</v>
      </c>
      <c r="M11" s="39">
        <v>0</v>
      </c>
      <c r="N11" s="39" t="s">
        <v>23</v>
      </c>
      <c r="O11" s="39" t="s">
        <v>23</v>
      </c>
      <c r="P11" s="39">
        <v>100</v>
      </c>
      <c r="Q11" s="39">
        <v>0</v>
      </c>
      <c r="R11" s="39">
        <v>0</v>
      </c>
      <c r="S11" s="39">
        <v>2</v>
      </c>
    </row>
    <row r="12" spans="1:20" ht="15" x14ac:dyDescent="0.25">
      <c r="A12" s="38" t="s">
        <v>49</v>
      </c>
      <c r="B12" s="38" t="s">
        <v>187</v>
      </c>
      <c r="C12" s="38" t="s">
        <v>45</v>
      </c>
      <c r="D12" s="38"/>
      <c r="E12" s="38"/>
      <c r="F12" s="38"/>
      <c r="G12" s="38">
        <v>2</v>
      </c>
      <c r="H12" s="38"/>
      <c r="I12" s="38"/>
      <c r="J12" s="38">
        <v>2</v>
      </c>
      <c r="K12" s="38" t="s">
        <v>31</v>
      </c>
      <c r="L12" s="39">
        <v>0</v>
      </c>
      <c r="M12" s="39">
        <v>0</v>
      </c>
      <c r="N12" s="39" t="s">
        <v>23</v>
      </c>
      <c r="O12" s="39" t="s">
        <v>23</v>
      </c>
      <c r="P12" s="39">
        <v>100</v>
      </c>
      <c r="Q12" s="39">
        <v>0</v>
      </c>
      <c r="R12" s="39">
        <v>0</v>
      </c>
      <c r="S12" s="39">
        <v>2</v>
      </c>
    </row>
    <row r="13" spans="1:20" ht="15" x14ac:dyDescent="0.25">
      <c r="A13" s="38" t="s">
        <v>89</v>
      </c>
      <c r="B13" s="38" t="s">
        <v>188</v>
      </c>
      <c r="C13" s="38" t="s">
        <v>46</v>
      </c>
      <c r="D13" s="38"/>
      <c r="E13" s="38"/>
      <c r="F13" s="38"/>
      <c r="G13" s="38"/>
      <c r="H13" s="38">
        <v>1</v>
      </c>
      <c r="I13" s="38"/>
      <c r="J13" s="38">
        <v>1</v>
      </c>
      <c r="K13" s="38" t="s">
        <v>31</v>
      </c>
      <c r="L13" s="39">
        <v>0</v>
      </c>
      <c r="M13" s="39">
        <v>0</v>
      </c>
      <c r="N13" s="39" t="s">
        <v>23</v>
      </c>
      <c r="O13" s="39" t="s">
        <v>23</v>
      </c>
      <c r="P13" s="39">
        <v>100</v>
      </c>
      <c r="Q13" s="39">
        <v>0</v>
      </c>
      <c r="R13" s="39">
        <v>0</v>
      </c>
      <c r="S13" s="39">
        <v>1</v>
      </c>
    </row>
    <row r="14" spans="1:20" ht="15" x14ac:dyDescent="0.25">
      <c r="A14" s="38" t="s">
        <v>53</v>
      </c>
      <c r="B14" s="38" t="s">
        <v>189</v>
      </c>
      <c r="C14" s="38" t="s">
        <v>45</v>
      </c>
      <c r="D14" s="38"/>
      <c r="E14" s="38"/>
      <c r="F14" s="38"/>
      <c r="G14" s="38"/>
      <c r="H14" s="38"/>
      <c r="I14" s="38">
        <v>1</v>
      </c>
      <c r="J14" s="38">
        <v>1</v>
      </c>
      <c r="K14" s="38" t="s">
        <v>31</v>
      </c>
      <c r="L14" s="39">
        <v>0</v>
      </c>
      <c r="M14" s="39">
        <v>0</v>
      </c>
      <c r="N14" s="39" t="s">
        <v>23</v>
      </c>
      <c r="O14" s="39" t="s">
        <v>23</v>
      </c>
      <c r="P14" s="39">
        <v>100</v>
      </c>
      <c r="Q14" s="39">
        <v>0</v>
      </c>
      <c r="R14" s="39">
        <v>0</v>
      </c>
      <c r="S14" s="39">
        <v>1</v>
      </c>
    </row>
    <row r="15" spans="1:20" ht="15" x14ac:dyDescent="0.25">
      <c r="A15" s="38" t="s">
        <v>190</v>
      </c>
      <c r="B15" s="38" t="s">
        <v>191</v>
      </c>
      <c r="C15" s="38" t="s">
        <v>46</v>
      </c>
      <c r="D15" s="38"/>
      <c r="E15" s="38"/>
      <c r="F15" s="38"/>
      <c r="G15" s="38"/>
      <c r="H15" s="38"/>
      <c r="I15" s="38">
        <v>1</v>
      </c>
      <c r="J15" s="38">
        <v>1</v>
      </c>
      <c r="K15" s="38" t="s">
        <v>31</v>
      </c>
      <c r="L15" s="39">
        <v>0</v>
      </c>
      <c r="M15" s="39">
        <v>0</v>
      </c>
      <c r="N15" s="39" t="s">
        <v>23</v>
      </c>
      <c r="O15" s="39" t="s">
        <v>23</v>
      </c>
      <c r="P15" s="39">
        <v>100</v>
      </c>
      <c r="Q15" s="39">
        <v>0</v>
      </c>
      <c r="R15" s="39">
        <v>0</v>
      </c>
      <c r="S15" s="39">
        <v>1</v>
      </c>
    </row>
    <row r="16" spans="1:20" ht="15" x14ac:dyDescent="0.25">
      <c r="A16" s="38" t="s">
        <v>48</v>
      </c>
      <c r="B16" s="38" t="s">
        <v>192</v>
      </c>
      <c r="C16" s="40" t="s">
        <v>45</v>
      </c>
      <c r="D16" s="38"/>
      <c r="E16" s="38"/>
      <c r="F16" s="38"/>
      <c r="G16" s="38"/>
      <c r="H16" s="38"/>
      <c r="I16" s="38">
        <v>1</v>
      </c>
      <c r="J16" s="38">
        <v>1</v>
      </c>
      <c r="K16" s="38" t="s">
        <v>31</v>
      </c>
      <c r="L16" s="39">
        <v>0</v>
      </c>
      <c r="M16" s="39">
        <v>0</v>
      </c>
      <c r="N16" s="39" t="s">
        <v>23</v>
      </c>
      <c r="O16" s="39" t="s">
        <v>23</v>
      </c>
      <c r="P16" s="39">
        <v>100</v>
      </c>
      <c r="Q16" s="39">
        <v>0</v>
      </c>
      <c r="R16" s="39">
        <v>0</v>
      </c>
      <c r="S16" s="39">
        <v>1</v>
      </c>
    </row>
    <row r="17" spans="1:19" ht="15" x14ac:dyDescent="0.25">
      <c r="A17" s="41"/>
      <c r="B17" s="41"/>
      <c r="C17" s="42"/>
      <c r="D17" s="41"/>
      <c r="E17" s="41"/>
      <c r="F17" s="41"/>
      <c r="G17" s="41"/>
      <c r="H17" s="41"/>
      <c r="I17" s="41"/>
      <c r="J17" s="41"/>
      <c r="K17" s="41"/>
      <c r="L17" s="41"/>
      <c r="M17" s="41"/>
      <c r="N17" s="41"/>
      <c r="O17" s="41"/>
      <c r="P17" s="41"/>
      <c r="Q17" s="41"/>
      <c r="R17" s="41"/>
      <c r="S17" s="43">
        <f>SUM(S2:S16)</f>
        <v>16.8</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5681-87C0-42A9-A643-0A81A69A4D12}">
  <dimension ref="A1:C10"/>
  <sheetViews>
    <sheetView workbookViewId="0">
      <selection activeCell="B15" sqref="B15"/>
    </sheetView>
  </sheetViews>
  <sheetFormatPr baseColWidth="10" defaultRowHeight="15" x14ac:dyDescent="0.25"/>
  <cols>
    <col min="1" max="1" width="16.42578125" customWidth="1"/>
    <col min="2" max="2" width="76.7109375" customWidth="1"/>
    <col min="3" max="3" width="15.42578125" customWidth="1"/>
  </cols>
  <sheetData>
    <row r="1" spans="1:3" x14ac:dyDescent="0.25">
      <c r="A1" s="50" t="s">
        <v>90</v>
      </c>
      <c r="B1" s="50" t="s">
        <v>91</v>
      </c>
      <c r="C1" s="50" t="s">
        <v>92</v>
      </c>
    </row>
    <row r="2" spans="1:3" x14ac:dyDescent="0.25">
      <c r="A2" s="35" t="s">
        <v>73</v>
      </c>
      <c r="B2" s="35" t="s">
        <v>114</v>
      </c>
      <c r="C2" s="28">
        <v>-369.73</v>
      </c>
    </row>
    <row r="3" spans="1:3" x14ac:dyDescent="0.25">
      <c r="A3" s="36" t="s">
        <v>74</v>
      </c>
      <c r="B3" s="36" t="s">
        <v>115</v>
      </c>
      <c r="C3" s="29">
        <v>16476.38</v>
      </c>
    </row>
    <row r="4" spans="1:3" x14ac:dyDescent="0.25">
      <c r="A4" s="35" t="s">
        <v>116</v>
      </c>
      <c r="B4" s="35" t="s">
        <v>117</v>
      </c>
      <c r="C4" s="28">
        <v>118500</v>
      </c>
    </row>
    <row r="5" spans="1:3" x14ac:dyDescent="0.25">
      <c r="A5" s="36" t="s">
        <v>118</v>
      </c>
      <c r="B5" s="36" t="s">
        <v>119</v>
      </c>
      <c r="C5" s="29">
        <v>32490</v>
      </c>
    </row>
    <row r="6" spans="1:3" x14ac:dyDescent="0.25">
      <c r="A6" s="35" t="s">
        <v>75</v>
      </c>
      <c r="B6" s="35" t="s">
        <v>120</v>
      </c>
      <c r="C6" s="28">
        <v>15000</v>
      </c>
    </row>
    <row r="7" spans="1:3" x14ac:dyDescent="0.25">
      <c r="A7" s="36" t="s">
        <v>75</v>
      </c>
      <c r="B7" s="36" t="s">
        <v>121</v>
      </c>
      <c r="C7" s="29">
        <v>15000</v>
      </c>
    </row>
    <row r="8" spans="1:3" x14ac:dyDescent="0.25">
      <c r="A8" s="51" t="s">
        <v>122</v>
      </c>
      <c r="B8" s="51" t="s">
        <v>123</v>
      </c>
      <c r="C8" s="45">
        <v>20000</v>
      </c>
    </row>
    <row r="9" spans="1:3" s="49" customFormat="1" x14ac:dyDescent="0.25">
      <c r="A9" s="47" t="s">
        <v>0</v>
      </c>
      <c r="B9" s="47"/>
      <c r="C9" s="48">
        <f>SUBTOTAL(109,Tabla2[Imp.cob.aplic.])</f>
        <v>217096.65</v>
      </c>
    </row>
    <row r="10" spans="1:3" x14ac:dyDescent="0.25">
      <c r="C10" s="3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9833-36CD-4905-9438-68D040FBA2CE}">
  <dimension ref="A1:C13"/>
  <sheetViews>
    <sheetView workbookViewId="0">
      <selection activeCell="B16" sqref="B16:C16"/>
    </sheetView>
  </sheetViews>
  <sheetFormatPr baseColWidth="10" defaultRowHeight="15" x14ac:dyDescent="0.25"/>
  <cols>
    <col min="1" max="1" width="14.7109375" customWidth="1"/>
    <col min="2" max="2" width="51.28515625" customWidth="1"/>
    <col min="3" max="3" width="13.28515625" customWidth="1"/>
  </cols>
  <sheetData>
    <row r="1" spans="1:3" x14ac:dyDescent="0.25">
      <c r="A1" s="54" t="s">
        <v>137</v>
      </c>
      <c r="B1" s="54" t="s">
        <v>91</v>
      </c>
      <c r="C1" s="55" t="s">
        <v>138</v>
      </c>
    </row>
    <row r="2" spans="1:3" x14ac:dyDescent="0.25">
      <c r="A2" s="52" t="s">
        <v>139</v>
      </c>
      <c r="B2" s="52" t="s">
        <v>140</v>
      </c>
      <c r="C2" s="28">
        <v>3080</v>
      </c>
    </row>
    <row r="3" spans="1:3" x14ac:dyDescent="0.25">
      <c r="A3" s="53" t="s">
        <v>74</v>
      </c>
      <c r="B3" s="53" t="s">
        <v>141</v>
      </c>
      <c r="C3" s="29">
        <v>-281.01</v>
      </c>
    </row>
    <row r="4" spans="1:3" x14ac:dyDescent="0.25">
      <c r="A4" s="52" t="s">
        <v>116</v>
      </c>
      <c r="B4" s="52" t="s">
        <v>142</v>
      </c>
      <c r="C4" s="28">
        <v>118500</v>
      </c>
    </row>
    <row r="5" spans="1:3" x14ac:dyDescent="0.25">
      <c r="A5" s="53" t="s">
        <v>118</v>
      </c>
      <c r="B5" s="53" t="s">
        <v>143</v>
      </c>
      <c r="C5" s="29">
        <v>7740</v>
      </c>
    </row>
    <row r="6" spans="1:3" x14ac:dyDescent="0.25">
      <c r="A6" s="52" t="s">
        <v>144</v>
      </c>
      <c r="B6" s="52" t="s">
        <v>145</v>
      </c>
      <c r="C6" s="28">
        <v>5653.29</v>
      </c>
    </row>
    <row r="7" spans="1:3" x14ac:dyDescent="0.25">
      <c r="A7" s="53" t="s">
        <v>146</v>
      </c>
      <c r="B7" s="53" t="s">
        <v>147</v>
      </c>
      <c r="C7" s="29">
        <v>10000</v>
      </c>
    </row>
    <row r="8" spans="1:3" x14ac:dyDescent="0.25">
      <c r="A8" s="52" t="s">
        <v>148</v>
      </c>
      <c r="B8" s="52" t="s">
        <v>149</v>
      </c>
      <c r="C8" s="28">
        <v>31836</v>
      </c>
    </row>
    <row r="9" spans="1:3" x14ac:dyDescent="0.25">
      <c r="A9" s="53" t="s">
        <v>150</v>
      </c>
      <c r="B9" s="53" t="s">
        <v>151</v>
      </c>
      <c r="C9" s="29">
        <v>1069.5</v>
      </c>
    </row>
    <row r="10" spans="1:3" x14ac:dyDescent="0.25">
      <c r="A10" s="52" t="s">
        <v>75</v>
      </c>
      <c r="B10" s="52" t="s">
        <v>152</v>
      </c>
      <c r="C10" s="28">
        <v>15000</v>
      </c>
    </row>
    <row r="11" spans="1:3" x14ac:dyDescent="0.25">
      <c r="A11" s="53" t="s">
        <v>75</v>
      </c>
      <c r="B11" s="53" t="s">
        <v>153</v>
      </c>
      <c r="C11" s="29">
        <v>15000</v>
      </c>
    </row>
    <row r="12" spans="1:3" x14ac:dyDescent="0.25">
      <c r="A12" s="56" t="s">
        <v>122</v>
      </c>
      <c r="B12" s="56" t="s">
        <v>154</v>
      </c>
      <c r="C12" s="45">
        <v>20000</v>
      </c>
    </row>
    <row r="13" spans="1:3" s="49" customFormat="1" x14ac:dyDescent="0.25">
      <c r="A13" s="57" t="s">
        <v>0</v>
      </c>
      <c r="B13" s="57"/>
      <c r="C13" s="48">
        <f>SUBTOTAL(109,Tabla3[Imp. aplic.])</f>
        <v>227597.78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FB89-95EC-4F76-A42E-DFF61FCFABAD}">
  <dimension ref="A1:C20"/>
  <sheetViews>
    <sheetView workbookViewId="0">
      <selection activeCell="B27" sqref="B27"/>
    </sheetView>
  </sheetViews>
  <sheetFormatPr baseColWidth="10" defaultRowHeight="15" x14ac:dyDescent="0.25"/>
  <cols>
    <col min="1" max="1" width="15.85546875" customWidth="1"/>
    <col min="2" max="2" width="57.5703125" customWidth="1"/>
    <col min="3" max="3" width="19.7109375" customWidth="1"/>
  </cols>
  <sheetData>
    <row r="1" spans="1:3" x14ac:dyDescent="0.25">
      <c r="A1" s="60" t="s">
        <v>137</v>
      </c>
      <c r="B1" s="61" t="s">
        <v>91</v>
      </c>
      <c r="C1" s="61" t="s">
        <v>138</v>
      </c>
    </row>
    <row r="2" spans="1:3" x14ac:dyDescent="0.25">
      <c r="A2" s="62" t="s">
        <v>193</v>
      </c>
      <c r="B2" s="63" t="s">
        <v>194</v>
      </c>
      <c r="C2" s="64">
        <v>1980</v>
      </c>
    </row>
    <row r="3" spans="1:3" x14ac:dyDescent="0.25">
      <c r="A3" s="65" t="s">
        <v>195</v>
      </c>
      <c r="B3" s="66" t="s">
        <v>196</v>
      </c>
      <c r="C3" s="67">
        <v>2917.9</v>
      </c>
    </row>
    <row r="4" spans="1:3" x14ac:dyDescent="0.25">
      <c r="A4" s="62" t="s">
        <v>197</v>
      </c>
      <c r="B4" s="63" t="s">
        <v>198</v>
      </c>
      <c r="C4" s="64">
        <v>12584</v>
      </c>
    </row>
    <row r="5" spans="1:3" x14ac:dyDescent="0.25">
      <c r="A5" s="65" t="s">
        <v>116</v>
      </c>
      <c r="B5" s="66" t="s">
        <v>199</v>
      </c>
      <c r="C5" s="67">
        <v>118500</v>
      </c>
    </row>
    <row r="6" spans="1:3" x14ac:dyDescent="0.25">
      <c r="A6" s="62" t="s">
        <v>118</v>
      </c>
      <c r="B6" s="63" t="s">
        <v>200</v>
      </c>
      <c r="C6" s="64">
        <v>4770</v>
      </c>
    </row>
    <row r="7" spans="1:3" x14ac:dyDescent="0.25">
      <c r="A7" s="65" t="s">
        <v>146</v>
      </c>
      <c r="B7" s="66" t="s">
        <v>201</v>
      </c>
      <c r="C7" s="67">
        <v>19879.02</v>
      </c>
    </row>
    <row r="8" spans="1:3" x14ac:dyDescent="0.25">
      <c r="A8" s="62" t="s">
        <v>146</v>
      </c>
      <c r="B8" s="63" t="s">
        <v>202</v>
      </c>
      <c r="C8" s="64">
        <v>-9879.02</v>
      </c>
    </row>
    <row r="9" spans="1:3" x14ac:dyDescent="0.25">
      <c r="A9" s="65" t="s">
        <v>148</v>
      </c>
      <c r="B9" s="66" t="s">
        <v>203</v>
      </c>
      <c r="C9" s="67">
        <v>5544</v>
      </c>
    </row>
    <row r="10" spans="1:3" x14ac:dyDescent="0.25">
      <c r="A10" s="62" t="s">
        <v>204</v>
      </c>
      <c r="B10" s="63" t="s">
        <v>205</v>
      </c>
      <c r="C10" s="64">
        <v>5000</v>
      </c>
    </row>
    <row r="11" spans="1:3" x14ac:dyDescent="0.25">
      <c r="A11" s="65" t="s">
        <v>206</v>
      </c>
      <c r="B11" s="66" t="s">
        <v>205</v>
      </c>
      <c r="C11" s="67">
        <v>6000</v>
      </c>
    </row>
    <row r="12" spans="1:3" x14ac:dyDescent="0.25">
      <c r="A12" s="62" t="s">
        <v>207</v>
      </c>
      <c r="B12" s="63" t="s">
        <v>208</v>
      </c>
      <c r="C12" s="64">
        <v>24535</v>
      </c>
    </row>
    <row r="13" spans="1:3" x14ac:dyDescent="0.25">
      <c r="A13" s="65" t="s">
        <v>75</v>
      </c>
      <c r="B13" s="66" t="s">
        <v>209</v>
      </c>
      <c r="C13" s="67">
        <v>15000</v>
      </c>
    </row>
    <row r="14" spans="1:3" x14ac:dyDescent="0.25">
      <c r="A14" s="62" t="s">
        <v>75</v>
      </c>
      <c r="B14" s="63" t="s">
        <v>210</v>
      </c>
      <c r="C14" s="64">
        <v>27500</v>
      </c>
    </row>
    <row r="15" spans="1:3" ht="15.75" thickBot="1" x14ac:dyDescent="0.3">
      <c r="A15" s="65" t="s">
        <v>122</v>
      </c>
      <c r="B15" s="66" t="s">
        <v>211</v>
      </c>
      <c r="C15" s="67">
        <v>14193</v>
      </c>
    </row>
    <row r="16" spans="1:3" ht="15.75" thickTop="1" x14ac:dyDescent="0.25">
      <c r="A16" s="68" t="s">
        <v>0</v>
      </c>
      <c r="B16" s="69"/>
      <c r="C16" s="70">
        <v>248523.9</v>
      </c>
    </row>
    <row r="20" spans="2:3" x14ac:dyDescent="0.25">
      <c r="B20" s="71" t="s">
        <v>212</v>
      </c>
      <c r="C20" s="72">
        <f>Tabla3[[#Totals],[Imp. aplic.]]+Tabla2[[#Totals],[Imp.cob.aplic.]]+C16</f>
        <v>693218.33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DF96-3568-4DA4-BCCE-D2A5B568FDBF}">
  <dimension ref="A1:C16"/>
  <sheetViews>
    <sheetView workbookViewId="0">
      <selection activeCell="E20" sqref="E20"/>
    </sheetView>
  </sheetViews>
  <sheetFormatPr baseColWidth="10" defaultRowHeight="15" x14ac:dyDescent="0.25"/>
  <cols>
    <col min="1" max="1" width="16.42578125" customWidth="1"/>
    <col min="2" max="2" width="76.85546875" customWidth="1"/>
    <col min="3" max="3" width="15.42578125" customWidth="1"/>
  </cols>
  <sheetData>
    <row r="1" spans="1:3" x14ac:dyDescent="0.25">
      <c r="A1" s="50" t="s">
        <v>90</v>
      </c>
      <c r="B1" s="50" t="s">
        <v>91</v>
      </c>
      <c r="C1" s="50" t="s">
        <v>92</v>
      </c>
    </row>
    <row r="2" spans="1:3" x14ac:dyDescent="0.25">
      <c r="A2" s="35" t="s">
        <v>76</v>
      </c>
      <c r="B2" s="35" t="s">
        <v>101</v>
      </c>
      <c r="C2" s="28">
        <v>4329</v>
      </c>
    </row>
    <row r="3" spans="1:3" x14ac:dyDescent="0.25">
      <c r="A3" s="36" t="s">
        <v>76</v>
      </c>
      <c r="B3" s="36" t="s">
        <v>102</v>
      </c>
      <c r="C3" s="29">
        <v>6369.52</v>
      </c>
    </row>
    <row r="4" spans="1:3" x14ac:dyDescent="0.25">
      <c r="A4" s="35" t="s">
        <v>76</v>
      </c>
      <c r="B4" s="35" t="s">
        <v>103</v>
      </c>
      <c r="C4" s="28">
        <v>1283.8399999999999</v>
      </c>
    </row>
    <row r="5" spans="1:3" x14ac:dyDescent="0.25">
      <c r="A5" s="36" t="s">
        <v>76</v>
      </c>
      <c r="B5" s="36" t="s">
        <v>104</v>
      </c>
      <c r="C5" s="29">
        <v>15394.6</v>
      </c>
    </row>
    <row r="6" spans="1:3" x14ac:dyDescent="0.25">
      <c r="A6" s="35" t="s">
        <v>76</v>
      </c>
      <c r="B6" s="35" t="s">
        <v>105</v>
      </c>
      <c r="C6" s="28">
        <v>-158.68</v>
      </c>
    </row>
    <row r="7" spans="1:3" x14ac:dyDescent="0.25">
      <c r="A7" s="36" t="s">
        <v>76</v>
      </c>
      <c r="B7" s="36" t="s">
        <v>106</v>
      </c>
      <c r="C7" s="29">
        <v>-158.84</v>
      </c>
    </row>
    <row r="8" spans="1:3" x14ac:dyDescent="0.25">
      <c r="A8" s="35" t="s">
        <v>76</v>
      </c>
      <c r="B8" s="35" t="s">
        <v>107</v>
      </c>
      <c r="C8" s="28">
        <v>-1530.87</v>
      </c>
    </row>
    <row r="9" spans="1:3" x14ac:dyDescent="0.25">
      <c r="A9" s="36" t="s">
        <v>76</v>
      </c>
      <c r="B9" s="36" t="s">
        <v>108</v>
      </c>
      <c r="C9" s="29">
        <v>658.84</v>
      </c>
    </row>
    <row r="10" spans="1:3" x14ac:dyDescent="0.25">
      <c r="A10" s="35" t="s">
        <v>76</v>
      </c>
      <c r="B10" s="35" t="s">
        <v>109</v>
      </c>
      <c r="C10" s="28">
        <v>625</v>
      </c>
    </row>
    <row r="11" spans="1:3" x14ac:dyDescent="0.25">
      <c r="A11" s="36" t="s">
        <v>76</v>
      </c>
      <c r="B11" s="36" t="s">
        <v>110</v>
      </c>
      <c r="C11" s="29">
        <v>1283.8399999999999</v>
      </c>
    </row>
    <row r="12" spans="1:3" x14ac:dyDescent="0.25">
      <c r="A12" s="35" t="s">
        <v>77</v>
      </c>
      <c r="B12" s="35" t="s">
        <v>111</v>
      </c>
      <c r="C12" s="28">
        <v>36720</v>
      </c>
    </row>
    <row r="13" spans="1:3" x14ac:dyDescent="0.25">
      <c r="A13" s="36" t="s">
        <v>77</v>
      </c>
      <c r="B13" s="36" t="s">
        <v>112</v>
      </c>
      <c r="C13" s="29">
        <v>11467.92</v>
      </c>
    </row>
    <row r="14" spans="1:3" x14ac:dyDescent="0.25">
      <c r="A14" s="51" t="s">
        <v>77</v>
      </c>
      <c r="B14" s="51" t="s">
        <v>113</v>
      </c>
      <c r="C14" s="45">
        <v>-14799.78</v>
      </c>
    </row>
    <row r="15" spans="1:3" s="49" customFormat="1" x14ac:dyDescent="0.25">
      <c r="A15" s="47" t="s">
        <v>0</v>
      </c>
      <c r="B15" s="47"/>
      <c r="C15" s="48">
        <f>SUBTOTAL(109,Tabla5[Imp.cob.aplic.])</f>
        <v>61484.39</v>
      </c>
    </row>
    <row r="16" spans="1:3" x14ac:dyDescent="0.25">
      <c r="C16" s="37"/>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BC9F-711E-442E-B402-1AEBB487583F}">
  <dimension ref="A1:C14"/>
  <sheetViews>
    <sheetView workbookViewId="0">
      <selection activeCell="B17" sqref="B17:C17"/>
    </sheetView>
  </sheetViews>
  <sheetFormatPr baseColWidth="10" defaultRowHeight="15" x14ac:dyDescent="0.25"/>
  <cols>
    <col min="2" max="2" width="41.7109375" customWidth="1"/>
    <col min="3" max="3" width="11.7109375" customWidth="1"/>
  </cols>
  <sheetData>
    <row r="1" spans="1:3" x14ac:dyDescent="0.25">
      <c r="A1" s="54" t="s">
        <v>137</v>
      </c>
      <c r="B1" s="54" t="s">
        <v>91</v>
      </c>
      <c r="C1" s="54" t="s">
        <v>138</v>
      </c>
    </row>
    <row r="2" spans="1:3" x14ac:dyDescent="0.25">
      <c r="A2" s="52" t="s">
        <v>76</v>
      </c>
      <c r="B2" s="52" t="s">
        <v>155</v>
      </c>
      <c r="C2" s="28">
        <v>1530.87</v>
      </c>
    </row>
    <row r="3" spans="1:3" x14ac:dyDescent="0.25">
      <c r="A3" s="53" t="s">
        <v>76</v>
      </c>
      <c r="B3" s="53" t="s">
        <v>156</v>
      </c>
      <c r="C3" s="29">
        <v>-1070.69</v>
      </c>
    </row>
    <row r="4" spans="1:3" x14ac:dyDescent="0.25">
      <c r="A4" s="52" t="s">
        <v>76</v>
      </c>
      <c r="B4" s="52" t="s">
        <v>157</v>
      </c>
      <c r="C4" s="28">
        <v>-3789.34</v>
      </c>
    </row>
    <row r="5" spans="1:3" x14ac:dyDescent="0.25">
      <c r="A5" s="53" t="s">
        <v>77</v>
      </c>
      <c r="B5" s="53" t="s">
        <v>158</v>
      </c>
      <c r="C5" s="29">
        <v>6505.6</v>
      </c>
    </row>
    <row r="6" spans="1:3" x14ac:dyDescent="0.25">
      <c r="A6" s="52" t="s">
        <v>77</v>
      </c>
      <c r="B6" s="52" t="s">
        <v>159</v>
      </c>
      <c r="C6" s="28">
        <v>7146.68</v>
      </c>
    </row>
    <row r="7" spans="1:3" x14ac:dyDescent="0.25">
      <c r="A7" s="53" t="s">
        <v>77</v>
      </c>
      <c r="B7" s="53" t="s">
        <v>156</v>
      </c>
      <c r="C7" s="29">
        <v>-1020</v>
      </c>
    </row>
    <row r="8" spans="1:3" x14ac:dyDescent="0.25">
      <c r="A8" s="52" t="s">
        <v>77</v>
      </c>
      <c r="B8" s="52" t="s">
        <v>160</v>
      </c>
      <c r="C8" s="28">
        <v>11602.5</v>
      </c>
    </row>
    <row r="9" spans="1:3" x14ac:dyDescent="0.25">
      <c r="A9" s="53" t="s">
        <v>77</v>
      </c>
      <c r="B9" s="53" t="s">
        <v>161</v>
      </c>
      <c r="C9" s="29">
        <v>1785</v>
      </c>
    </row>
    <row r="10" spans="1:3" x14ac:dyDescent="0.25">
      <c r="A10" s="52" t="s">
        <v>77</v>
      </c>
      <c r="B10" s="52" t="s">
        <v>162</v>
      </c>
      <c r="C10" s="28">
        <v>8925</v>
      </c>
    </row>
    <row r="11" spans="1:3" x14ac:dyDescent="0.25">
      <c r="A11" s="53" t="s">
        <v>77</v>
      </c>
      <c r="B11" s="53" t="s">
        <v>163</v>
      </c>
      <c r="C11" s="29">
        <v>-8925</v>
      </c>
    </row>
    <row r="12" spans="1:3" x14ac:dyDescent="0.25">
      <c r="A12" s="52" t="s">
        <v>77</v>
      </c>
      <c r="B12" s="52" t="s">
        <v>164</v>
      </c>
      <c r="C12" s="28">
        <v>1147.5</v>
      </c>
    </row>
    <row r="13" spans="1:3" x14ac:dyDescent="0.25">
      <c r="A13" s="46" t="s">
        <v>77</v>
      </c>
      <c r="B13" s="46" t="s">
        <v>165</v>
      </c>
      <c r="C13" s="58">
        <v>3697.5</v>
      </c>
    </row>
    <row r="14" spans="1:3" x14ac:dyDescent="0.25">
      <c r="A14" s="46" t="s">
        <v>0</v>
      </c>
      <c r="B14" s="46"/>
      <c r="C14" s="59">
        <f>SUBTOTAL(109,Tabla6[Imp. aplic.])</f>
        <v>27535.620000000003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A0A6-B12D-4D90-B188-0FE78694429E}">
  <dimension ref="A1:C12"/>
  <sheetViews>
    <sheetView tabSelected="1" workbookViewId="0">
      <selection activeCell="B24" sqref="B24"/>
    </sheetView>
  </sheetViews>
  <sheetFormatPr baseColWidth="10" defaultRowHeight="15" x14ac:dyDescent="0.25"/>
  <cols>
    <col min="1" max="1" width="23" customWidth="1"/>
    <col min="2" max="2" width="66.7109375" customWidth="1"/>
    <col min="3" max="3" width="20.85546875" customWidth="1"/>
  </cols>
  <sheetData>
    <row r="1" spans="1:3" x14ac:dyDescent="0.25">
      <c r="A1" s="60" t="s">
        <v>137</v>
      </c>
      <c r="B1" s="61" t="s">
        <v>91</v>
      </c>
      <c r="C1" s="73" t="s">
        <v>138</v>
      </c>
    </row>
    <row r="2" spans="1:3" x14ac:dyDescent="0.25">
      <c r="A2" s="62" t="s">
        <v>213</v>
      </c>
      <c r="B2" s="63" t="s">
        <v>211</v>
      </c>
      <c r="C2" s="64">
        <v>3807</v>
      </c>
    </row>
    <row r="3" spans="1:3" x14ac:dyDescent="0.25">
      <c r="A3" s="65" t="s">
        <v>213</v>
      </c>
      <c r="B3" s="66" t="s">
        <v>214</v>
      </c>
      <c r="C3" s="67">
        <v>2277.15</v>
      </c>
    </row>
    <row r="4" spans="1:3" x14ac:dyDescent="0.25">
      <c r="A4" s="62" t="s">
        <v>213</v>
      </c>
      <c r="B4" s="63" t="s">
        <v>214</v>
      </c>
      <c r="C4" s="64">
        <v>-2277.15</v>
      </c>
    </row>
    <row r="5" spans="1:3" x14ac:dyDescent="0.25">
      <c r="A5" s="65" t="s">
        <v>213</v>
      </c>
      <c r="B5" s="66" t="s">
        <v>215</v>
      </c>
      <c r="C5" s="67">
        <v>1198.5</v>
      </c>
    </row>
    <row r="6" spans="1:3" x14ac:dyDescent="0.25">
      <c r="A6" s="62" t="s">
        <v>77</v>
      </c>
      <c r="B6" s="63" t="s">
        <v>216</v>
      </c>
      <c r="C6" s="64">
        <v>3570</v>
      </c>
    </row>
    <row r="7" spans="1:3" x14ac:dyDescent="0.25">
      <c r="A7" s="65" t="s">
        <v>77</v>
      </c>
      <c r="B7" s="66" t="s">
        <v>217</v>
      </c>
      <c r="C7" s="67">
        <v>4462.5</v>
      </c>
    </row>
    <row r="8" spans="1:3" ht="15.75" thickBot="1" x14ac:dyDescent="0.3">
      <c r="A8" s="62" t="s">
        <v>77</v>
      </c>
      <c r="B8" s="63" t="s">
        <v>218</v>
      </c>
      <c r="C8" s="64">
        <v>892.5</v>
      </c>
    </row>
    <row r="9" spans="1:3" ht="15.75" thickTop="1" x14ac:dyDescent="0.25">
      <c r="A9" s="68" t="s">
        <v>0</v>
      </c>
      <c r="B9" s="69"/>
      <c r="C9" s="74">
        <f>SUM(C2:C8)</f>
        <v>13930.5</v>
      </c>
    </row>
    <row r="12" spans="1:3" x14ac:dyDescent="0.25">
      <c r="B12" s="71" t="s">
        <v>219</v>
      </c>
      <c r="C12" s="72">
        <f>Tabla6[[#Totals],[Imp. aplic.]]+Tabla5[[#Totals],[Imp.cob.aplic.]]+C9</f>
        <v>102950.51000000001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Tesis</vt:lpstr>
      <vt:lpstr>Sexenios</vt:lpstr>
      <vt:lpstr>Ingresos investigación 2023</vt:lpstr>
      <vt:lpstr>Ingresos investigación 2024</vt:lpstr>
      <vt:lpstr>Ingresos investigación 2025</vt:lpstr>
      <vt:lpstr>Ingresos docencia 2023</vt:lpstr>
      <vt:lpstr>Ingresos docencia 2024</vt:lpstr>
      <vt:lpstr>Ingresos docencia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2026-05-25T11:51:11Z</dcterms:modified>
</cp:coreProperties>
</file>