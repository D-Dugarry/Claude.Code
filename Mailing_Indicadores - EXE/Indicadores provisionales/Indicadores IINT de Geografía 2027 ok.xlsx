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7C62B362-5063-460B-B9FF-2E07FF66F712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2" r:id="rId1"/>
    <sheet name="Sexenios" sheetId="3" r:id="rId2"/>
    <sheet name="Ingresos investigación 2023" sheetId="16" r:id="rId3"/>
    <sheet name="Ingresos investigación 2024" sheetId="18" r:id="rId4"/>
    <sheet name="Ingresos investigación 2025" sheetId="20" r:id="rId5"/>
    <sheet name="Ingresos formación 2023" sheetId="17" r:id="rId6"/>
    <sheet name="Ingresos formación 2024" sheetId="19" r:id="rId7"/>
    <sheet name="Ingresos formación 2025" sheetId="21" r:id="rId8"/>
  </sheets>
  <definedNames>
    <definedName name="_xlnm._FilterDatabase" localSheetId="1" hidden="1">Sexenios!#REF!</definedName>
    <definedName name="_xlnm._FilterDatabase" localSheetId="0" hidden="1">Tesis!$A$1:$U$38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1" l="1"/>
  <c r="C14" i="20"/>
  <c r="Q27" i="3"/>
  <c r="C3" i="19"/>
  <c r="C4" i="17"/>
  <c r="T38" i="2"/>
  <c r="C22" i="18"/>
  <c r="C6" i="16"/>
</calcChain>
</file>

<file path=xl/sharedStrings.xml><?xml version="1.0" encoding="utf-8"?>
<sst xmlns="http://schemas.openxmlformats.org/spreadsheetml/2006/main" count="823" uniqueCount="321">
  <si>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</si>
  <si>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</si>
  <si>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</si>
  <si>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</si>
  <si>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</si>
  <si>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</si>
  <si>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</si>
  <si>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</si>
  <si>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</si>
  <si>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</si>
  <si>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</si>
  <si>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</si>
  <si>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</si>
  <si>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</si>
  <si>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</si>
  <si>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</si>
  <si>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</si>
  <si>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</si>
  <si>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</si>
  <si>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</si>
  <si>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</si>
  <si>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</si>
  <si>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</si>
  <si>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10.05</t>
  </si>
  <si>
    <t/>
  </si>
  <si>
    <t>Director de tesis </t>
  </si>
  <si>
    <t>10.13</t>
  </si>
  <si>
    <t>U058 </t>
  </si>
  <si>
    <t>ADM. I.U. DE INVESTIGACIONES TURÍSTICAS </t>
  </si>
  <si>
    <t>DOCTORADO EN TURISMO </t>
  </si>
  <si>
    <t>10.17</t>
  </si>
  <si>
    <t>10.21</t>
  </si>
  <si>
    <t>ANALISIS ECONOMICO APLICADO </t>
  </si>
  <si>
    <t>B138</t>
  </si>
  <si>
    <t>10</t>
  </si>
  <si>
    <t>40</t>
  </si>
  <si>
    <t>U036 </t>
  </si>
  <si>
    <t>ADM. FACULTAD DE CIENCIAS ECONÓMICAS </t>
  </si>
  <si>
    <t>DOCTORADO EN EMPRESA, ECONOMÍA Y SOCIEDAD </t>
  </si>
  <si>
    <t>30</t>
  </si>
  <si>
    <t>U023 </t>
  </si>
  <si>
    <t>ADM. FACULTAD DE FILOSOFIA Y LETRAS </t>
  </si>
  <si>
    <t>DOCTORADO EN FILOSOFÍA Y LETRAS </t>
  </si>
  <si>
    <t>B173 </t>
  </si>
  <si>
    <t>ANÁLISIS GEOGRÁFICO REGIONAL Y GEOGRAFÍA FÍSICA </t>
  </si>
  <si>
    <t>B173</t>
  </si>
  <si>
    <t>70</t>
  </si>
  <si>
    <t>74218439S </t>
  </si>
  <si>
    <t>B120 </t>
  </si>
  <si>
    <t>GEOGRAFIA HUMANA </t>
  </si>
  <si>
    <t>B120</t>
  </si>
  <si>
    <t>74211761F </t>
  </si>
  <si>
    <t>21463610X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</si>
  <si>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</si>
  <si>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</si>
  <si>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</si>
  <si>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</si>
  <si>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</si>
  <si>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</si>
  <si>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</si>
  <si>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</si>
  <si>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</si>
  <si>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</si>
  <si>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</si>
  <si>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</si>
  <si>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</si>
  <si>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</si>
  <si>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21994525Q</t>
  </si>
  <si>
    <t>16284755L</t>
  </si>
  <si>
    <t>48353391P</t>
  </si>
  <si>
    <t>21655866D</t>
  </si>
  <si>
    <t>21464937A</t>
  </si>
  <si>
    <t>74211761F</t>
  </si>
  <si>
    <t>21463610X</t>
  </si>
  <si>
    <t>27439255W</t>
  </si>
  <si>
    <t>21485448K</t>
  </si>
  <si>
    <t>74218439S</t>
  </si>
  <si>
    <t>21466152E</t>
  </si>
  <si>
    <t>21485335T</t>
  </si>
  <si>
    <t>40.20.6P.00.07</t>
  </si>
  <si>
    <t>40.20.2E.00.01</t>
  </si>
  <si>
    <t>Villar Navascués, Rubén Alejandro </t>
  </si>
  <si>
    <t>SISTEMAS DE SUMINISTRO Y TENDENCIAS DE CONSUMO DE AGUA URBANO-TURÍSTICO EN LOS MUNICIPIOS LITORALES DE ALICANTE (2000-2017) </t>
  </si>
  <si>
    <t>29/11/2019 </t>
  </si>
  <si>
    <t>21434118G</t>
  </si>
  <si>
    <t>21503087L</t>
  </si>
  <si>
    <t>COD DEP</t>
  </si>
  <si>
    <t>B112</t>
  </si>
  <si>
    <t>21436398F</t>
  </si>
  <si>
    <t>21633898Y</t>
  </si>
  <si>
    <t>10.25</t>
  </si>
  <si>
    <t>21479431F</t>
  </si>
  <si>
    <t>Muñoz Castillo, Juan Antonio </t>
  </si>
  <si>
    <t>Patrimonio nuclear del sur de España: un estudio geográfico </t>
  </si>
  <si>
    <t>30/11/2020 </t>
  </si>
  <si>
    <t>21464937A </t>
  </si>
  <si>
    <t>Ramos Altamira, Ignacio </t>
  </si>
  <si>
    <t>"Rafael Altamira y Crevea y su contribución a la educación popular y la escuela pública española" </t>
  </si>
  <si>
    <t>29/07/2021 </t>
  </si>
  <si>
    <t>21633898Y </t>
  </si>
  <si>
    <t>B112 </t>
  </si>
  <si>
    <t>DIDACTICA GENERAL Y DIDÁCTICAS ESPECÍFICAS </t>
  </si>
  <si>
    <t>Lalangui Ramírez, Jessica Ivonne </t>
  </si>
  <si>
    <t>CONTRIBUCIÓN A LAS POTENCIALIDADES DE LOS DESTINOS TURÍSTICOS DE LA PROVINCIA DE EL ORO - ECUADOR </t>
  </si>
  <si>
    <t>22/03/2021 </t>
  </si>
  <si>
    <t>40.20.6P.00.08</t>
  </si>
  <si>
    <t>Cód. org. aplic.</t>
  </si>
  <si>
    <t>Descripción justificante</t>
  </si>
  <si>
    <t>40.20.6X.00.01</t>
  </si>
  <si>
    <t>40.20.2T.00.01</t>
  </si>
  <si>
    <t>González Magaña, Jose L. </t>
  </si>
  <si>
    <t>ELOY VAQUERO CANTILLO O EL OPTIMISMO TRÁGICO EN UN NACER QUE TUVO ANTICIPADO </t>
  </si>
  <si>
    <t>27/05/2022 </t>
  </si>
  <si>
    <t>Vázquez Pérez, Antonio </t>
  </si>
  <si>
    <t>El manejo de fuentes renovables de energía para el desarrollo local endógeno y sostenible en la provincia de Manabí (Ecuador) </t>
  </si>
  <si>
    <t>08/03/2022 </t>
  </si>
  <si>
    <t>Díaz Soto, Carlos Manuel </t>
  </si>
  <si>
    <t>Análisis y estrategias de mejoramiento del turismo de salud y bienestar en Bucaramanga y su zona metropolitana </t>
  </si>
  <si>
    <t>10/06/2022 </t>
  </si>
  <si>
    <t>U020 </t>
  </si>
  <si>
    <t>DOCTORADO EN AGUA Y DESARROLLO SOSTENIBLE </t>
  </si>
  <si>
    <t>27439255W </t>
  </si>
  <si>
    <t>Ríos Pérez, Manuel </t>
  </si>
  <si>
    <t>Concesiones de transporte público regular de viajeros por carretera y su dependencia territorial. Evolución, contexto socioeconómico y modelo desarrollado en la provincia de Alicante </t>
  </si>
  <si>
    <t>05/11/2020 </t>
  </si>
  <si>
    <t>74218386P </t>
  </si>
  <si>
    <t>Latorre Aizaga, Franklin Lenin </t>
  </si>
  <si>
    <t>IMPACTO DE LAS POLÍTICAS ECONOMICAS-LABORALES EN LAS CONDICIONES DE TRABAJO EN ECUADOR (2007-2017) </t>
  </si>
  <si>
    <t>23/10/2020 </t>
  </si>
  <si>
    <t>U013 </t>
  </si>
  <si>
    <t>ADM. I.U. BIODIVERSIDAD (CIBIO) </t>
  </si>
  <si>
    <t>DOCTORADO EN BIODIVERSIDAD Y CONSERVACIÓN </t>
  </si>
  <si>
    <t>Soulopoulou , Polyxeni </t>
  </si>
  <si>
    <t>Intensity of agricultural land use and climate effects on bird biodiversity along a Greek natura 2000 site and implications for sustainable agro-management. </t>
  </si>
  <si>
    <t>29/09/2021 </t>
  </si>
  <si>
    <t>21434118G </t>
  </si>
  <si>
    <t>21479431F </t>
  </si>
  <si>
    <t>García Serrano, Irma </t>
  </si>
  <si>
    <t>FACTORES SOCIOECONÓMICOS Y CULTURALES QUE EXPLICAN EL DESARROLLO COMUNITARIO EN ECUADOR. Incidencia de la cooperación internacional en comunidades de la parroquia de Cangahua, Cantón Cayambe, Provincia de Pichincha </t>
  </si>
  <si>
    <t>García Botella, María Estela </t>
  </si>
  <si>
    <t>Variables de información geográfica en los estudios de inundabilidad de pequeñas cuencas alteradas en el sureste de la Península Ibérica </t>
  </si>
  <si>
    <t>27/07/2021 </t>
  </si>
  <si>
    <t>21466152E </t>
  </si>
  <si>
    <t>Prieto Cerdán, Antonio </t>
  </si>
  <si>
    <t>Infraestructura Verde como instrumento de ordenación territorial: analisis multiescalar </t>
  </si>
  <si>
    <t>30/04/2021 </t>
  </si>
  <si>
    <t>Ayón Villafuerte, Libia Soledad </t>
  </si>
  <si>
    <t>El ecoturismo en el perfil costero de Manabí (Ecuador). Estudio de caso Puerto López </t>
  </si>
  <si>
    <t>09/06/2022 </t>
  </si>
  <si>
    <t>U075 </t>
  </si>
  <si>
    <t>ADM. I.U.INVESTIGACIÓN DE ESTUDIOS SOCIALES DE AMÉRICA LATINA </t>
  </si>
  <si>
    <t>DOCTORADO EN HUMANIDADES Y ESTUDIOS SOCIALES DE AMÉRICA LATINA </t>
  </si>
  <si>
    <t>Demarchi Sánchez, Geydi Dahiana </t>
  </si>
  <si>
    <t>Gestión educativa y curricular en la educación superior. reflexiones desde las pruebas saber pro en Medellín ¿Colombia </t>
  </si>
  <si>
    <t>12/09/2022 </t>
  </si>
  <si>
    <t>44774024Q</t>
  </si>
  <si>
    <t>74218386P</t>
  </si>
  <si>
    <t>Imp.cob.aplic.</t>
  </si>
  <si>
    <t>I.U. DEL AGUA Y DE LAS CIENCIAS AMBIENTALES (10.05) </t>
  </si>
  <si>
    <t>SEQUÍA Y ESCASEZ EN LA DEMARCACIÓN HIDROGRÁFICA DEL SEGURA, IMPACTOS </t>
  </si>
  <si>
    <t>06/07/2023 </t>
  </si>
  <si>
    <t>Optimización de la Gobernanza del Recurso Hídrico en Panamá </t>
  </si>
  <si>
    <t>25/04/2023 </t>
  </si>
  <si>
    <t>Experiencias de gestión del riesgo de inundación: acciones desde la adaptación y resiliencia al cambio climático en la provincia de Alicante </t>
  </si>
  <si>
    <t>20/09/2023 </t>
  </si>
  <si>
    <t>Afganistà i les seues arestes: un cas pràctic. </t>
  </si>
  <si>
    <t>16/12/2022 </t>
  </si>
  <si>
    <t>Modelos y propuestas estratégicas del turismo en Cuba. Trinidad y Camajuaní </t>
  </si>
  <si>
    <t>12/09/2023 </t>
  </si>
  <si>
    <t>44774024Q </t>
  </si>
  <si>
    <t>I.U. DE INVESTIGACIONES TURÍSTICAS (10.17) </t>
  </si>
  <si>
    <t>DESARROLLO SOSTENIBLE Y GESTIÓN DEL GEOTURISMO EN GEOPARQUES ECUADOR: ESTUDIO DE CASO DEL GEOPARQUE IMBABURA </t>
  </si>
  <si>
    <t>28/04/2023 </t>
  </si>
  <si>
    <t>Desarrollo territorial sostenible del turismo en Manabí, Ecuador. Modelos y estrategias </t>
  </si>
  <si>
    <t>Ecosistema Urbano de Emprendimiento: Factores Clave para la Innovación en los Centros Históricos a través de la Economía Creativa. </t>
  </si>
  <si>
    <t>15/09/2023 </t>
  </si>
  <si>
    <t>I.U.INVESTIGACIÓN DE ESTUDIOS SOCIALES DE AMÉRICA LATINA (10.25) </t>
  </si>
  <si>
    <t>Cine y turismo en la provincia de Alicante: las oportunidades perdidas para la creación de productos de turismo cinematográfico. </t>
  </si>
  <si>
    <t>01/02/2023 </t>
  </si>
  <si>
    <t>21389246M</t>
  </si>
  <si>
    <t>21678844X</t>
  </si>
  <si>
    <t>B134</t>
  </si>
  <si>
    <t>52763585K</t>
  </si>
  <si>
    <t>48356326E</t>
  </si>
  <si>
    <t>40.20.6C.00.17</t>
  </si>
  <si>
    <t>Asesoramiento técnico en el cumplimiento de los condicionantes de la Declaración de Impacto Ambiental de fecha 9 de mayo de 2018, en relación con el Modificado del Proyecto de Urbanización de la UE-2 del Sector D-1 "Alameda del Mar", del PGOU de Orihuela; y elaboración de documento de síntesis de las revisiones y cartografía asociados de los estudios ambientales para la protección de especies de flora y fauna (sendas, accesos y restauración ambiental)</t>
  </si>
  <si>
    <t>40.20.6D.00.01</t>
  </si>
  <si>
    <t>ayuda AV-SEM1-23I</t>
  </si>
  <si>
    <t>40.20.6M.00.02</t>
  </si>
  <si>
    <t>Pago de honorarios a la profesora María Francisca Zaragoza Martí por servicios de apoyo académico de tutorización, orientación y acompañamiento en el aprendizaje de los estudiantes de "Trabajo final de grado" (código 03.537), de los Estudios de Derecho y Ciencia Política, durante el segundo semestre del curso académico 2022/2023</t>
  </si>
  <si>
    <t>DEVOLUCIÓN DE INGRESOS_CARTA DE PAGO_Reintegro en voluntaria de la referencia PCI2019-103395, anualidad: 2021</t>
  </si>
  <si>
    <t>Según BOE 27.09.2021, del Convenio entre el Consorcio de Compensación de Seguros E.P.E. y la Universidad de Alicante, Cláusula Tercera.2: "El CCS se compromete a entregar la cantidad de 7.000 euros anuales para su utilización en forma de becas, pudiendo destinarse una parte de dicha cantidad, hasta un máximo del 40%, a gastos de gestión interna", correspondiente a la Edición XIII, curso 2022-2023</t>
  </si>
  <si>
    <t>Según acuerdo de colaboración para la incorporación de cursos en las plataformas de Telefónica Educación Digital, cláusula Sexta, reparto de ingresos con la Universidad: Periodo 2021 y 2022</t>
  </si>
  <si>
    <t>U023</t>
  </si>
  <si>
    <t>ADM. FACULTAD DE FILOSOFIA Y LETRAS</t>
  </si>
  <si>
    <t>DOCTORADO EN FILOSOFÍA Y LETRAS</t>
  </si>
  <si>
    <t>Villacreses Viteri, Carlos Gustavo</t>
  </si>
  <si>
    <t>Análisis de la resiliencia territorial multidimensional frente al riesgo de desastres naturales en Manabí (Ecuador)</t>
  </si>
  <si>
    <t>26/04/2024</t>
  </si>
  <si>
    <t>Director de tesis</t>
  </si>
  <si>
    <t>GEOGRAFIA HUMANA</t>
  </si>
  <si>
    <t>Montoro Sánchez, Elisa</t>
  </si>
  <si>
    <t>SEVERIANO SÁNCHEZ BALLESTA, ARQUITECTO (1884¿1943). SU ÉPOCA Y ENTORNO.</t>
  </si>
  <si>
    <t>15/03/2024</t>
  </si>
  <si>
    <t>Redondo Orts, Jose Alberto</t>
  </si>
  <si>
    <t>Vega Cervera, Valeiry</t>
  </si>
  <si>
    <t>Sánchez Almodóvar, Esther</t>
  </si>
  <si>
    <t>Poveda Garberi, Victoria</t>
  </si>
  <si>
    <t>Pelegrín Naranjo, Lestter</t>
  </si>
  <si>
    <t>Pazmiño Valle, Patricia</t>
  </si>
  <si>
    <t>Garcia Reinoso, Nelson</t>
  </si>
  <si>
    <t xml:space="preserve">U023 </t>
  </si>
  <si>
    <t>Ponce Murcia, María</t>
  </si>
  <si>
    <t>Las Cortesanas. Las figuras silenciadas de la Historia del Arte.</t>
  </si>
  <si>
    <t>27/09/2023</t>
  </si>
  <si>
    <t xml:space="preserve">21389246M </t>
  </si>
  <si>
    <t>Codirector de tesis</t>
  </si>
  <si>
    <t>Payá Pérez, Virginia Sofía</t>
  </si>
  <si>
    <t>Devesa Morcillo, Roberto</t>
  </si>
  <si>
    <t>35</t>
  </si>
  <si>
    <t>50</t>
  </si>
  <si>
    <t>20</t>
  </si>
  <si>
    <t>48530775Q</t>
  </si>
  <si>
    <t>48533253X</t>
  </si>
  <si>
    <t>10.22</t>
  </si>
  <si>
    <t>Sánchez Gallardo, Francisco Javier</t>
  </si>
  <si>
    <t>Diálogo sobre Desarrollo Local y Empleo. Estudio del mercado de empleo de Torrevieja</t>
  </si>
  <si>
    <t>24/09/2024</t>
  </si>
  <si>
    <t>Abad Coloma, Ricardo</t>
  </si>
  <si>
    <t>Evaluación de la pobreza hídrica en entornos urbanos del litoral mediterráneo: Estudios de caso</t>
  </si>
  <si>
    <t>27/09/2024</t>
  </si>
  <si>
    <t>ANAL. GEOGRAF. REGIONAL Y GEOGRAFIA FISI</t>
  </si>
  <si>
    <t>Org. aplic.</t>
  </si>
  <si>
    <t>Imp. aplic.</t>
  </si>
  <si>
    <t>40.20.6C.00.18</t>
  </si>
  <si>
    <t xml:space="preserve">Elaborar un informe técnico para el Consorcio de Aguas de la Marina Baja, sobre la asignación de caudales ecológicos en los ríos-rambla Guadalest y Amadorio   </t>
  </si>
  <si>
    <t>40.20.6G.00.01</t>
  </si>
  <si>
    <t>Luis Miguel Sánchez Escolano. Dpto. Geografía Humana, Facultad de Filosofía y Letras, Universidad de Granada. Campus de Cartuja, s/n. Inscripción en Congreso XII Desarrollo Local (Alicante, 3-5 junio 2024)</t>
  </si>
  <si>
    <t xml:space="preserve">Salvador Martínez Puche Inscripción en Congreso XII Desarrollo Local (Alicante, 3-5 junio 2024) </t>
  </si>
  <si>
    <t xml:space="preserve">Krzysztof Janc Inscripción en Congreso XII Desarrollo Local (Alicante, 3-5 junio 2024) </t>
  </si>
  <si>
    <t xml:space="preserve">Sylwia Dolzblasz Inscripción en Congreso XII Desarrollo Local (Alicante, 3-5 junio 2024) </t>
  </si>
  <si>
    <t>Liq_JyC_2024__XII_Des_Local_01__Congreso XII Desarrollo Local - La Geografía ante los retos del desarrollo local</t>
  </si>
  <si>
    <t>Liq_JyC_2024__XII_Des_Local_02__Congreso XII Desarrollo Local - La Geografía ante los retos del desarrollo local</t>
  </si>
  <si>
    <t>Juan Gabriel Tirado Ballesteros Inscripción en Congreso XII Desarrollo Local (Alicante, 3-5 junio 2024)</t>
  </si>
  <si>
    <t>Gabriel Wei Li Inscripción en Congreso XII Desarrollo Local (Alicante, 3-5 junio 2024)</t>
  </si>
  <si>
    <t xml:space="preserve">Luis Alfonso Hortelano Mínguez Inscripción en Congreso XII Desarrollo Local (Alicante, 3-5 junio 2024) </t>
  </si>
  <si>
    <t xml:space="preserve">Francisco José Morales Yago Inscripción en Congreso XII Desarrollo Local (Alicante, 3-5 junio 2024) </t>
  </si>
  <si>
    <t xml:space="preserve">Manuel Expósito Langa Inscripción en Congreso XII Desarrollo Local (Alicante, 3-5 junio 2024) </t>
  </si>
  <si>
    <t>Liq_JyC_2024__XII_Des_Local_03__Congreso XII Desarrollo Local - La Geografía ante los retos del desarrollo local</t>
  </si>
  <si>
    <t xml:space="preserve">Francisco Javier Ruiz Ruiz Inscripción en Congreso XII Desarrollo Local (Alicante, 3-5 junio 2024) </t>
  </si>
  <si>
    <t xml:space="preserve">Elena Martínez Giménez Inscripción en Congreso XII Desarrollo Local (Alicante, 3-5 junio 2024) </t>
  </si>
  <si>
    <t xml:space="preserve">Raúl Barrientos Antón Inscripción en Congreso XII Desarrollo Local (Alicante, 3-5 junio 2024) </t>
  </si>
  <si>
    <t>Liq_JyC_2024__XII_Des_Local_04__Congreso XII Desarrollo Local - La Geografía ante los retos del desarrollo local</t>
  </si>
  <si>
    <t>40.20.6M.00.03</t>
  </si>
  <si>
    <t>Tutorización, orientación y acompañamiento en el aprendizaje de la asignatura "Trabajo Final de Grado" de los estudios de Derecho y Ciencias Políticas (primer semestre curso 2023/2024)</t>
  </si>
  <si>
    <t>DEVOLUCIÓN DE INGRESOS_CARTA DE PAGO_REFERENCIA: PID2019-104456RB-C22, ANUALIDAD: 2020</t>
  </si>
  <si>
    <t>INGRESO PERCIBIDO POR LA UNIVERSIDAD DE ALICANTE EN CONCEPTO DE ÚLTIMO PAGO DEL PROYECTO  H2OMAP, PERTENCIENTE A LA PROFESORA F.Z.</t>
  </si>
  <si>
    <t>Según acuerdo de colaboración para la incorporación de cursos en las plataformas de Telefónica Educación Digital, cláusula Sexta, reparto de ingresos con la Universidad: Periodo 2023. PEDIDO Nº 4500036913</t>
  </si>
  <si>
    <t>Administración Facultad de Filosofía y Letras</t>
  </si>
  <si>
    <t>Linzán Saltos, María Fernanda</t>
  </si>
  <si>
    <t>La influencia de las narrativas en la política de infraestructura para el desarrollo rural. El caso de Manabí, Ecuador</t>
  </si>
  <si>
    <t>07/03/2025</t>
  </si>
  <si>
    <t>Geografía Humana</t>
  </si>
  <si>
    <t>Vargas Mursulí, Flavia María</t>
  </si>
  <si>
    <t>Profesionales y herramientas para el desarrollo local en la provincia de Manabí. Evaluación y propuestas de futuro</t>
  </si>
  <si>
    <t>28/02/2025</t>
  </si>
  <si>
    <t>U075</t>
  </si>
  <si>
    <t>Instituto Universitario Investigación de Estudios Sociales de América Latina (10</t>
  </si>
  <si>
    <t>DOCTORADO EN HUMANIDADES Y ESTUDIOS SOCIALES DE AMÉRICA LATINA</t>
  </si>
  <si>
    <t>Pérez Guevara, David Anacleto</t>
  </si>
  <si>
    <t>Metodología para la evaluación del potencial turístico de una localidad</t>
  </si>
  <si>
    <t>16/09/2025</t>
  </si>
  <si>
    <t>2020</t>
  </si>
  <si>
    <t>2021</t>
  </si>
  <si>
    <t>2022</t>
  </si>
  <si>
    <t>2023</t>
  </si>
  <si>
    <t>2024</t>
  </si>
  <si>
    <t>2025</t>
  </si>
  <si>
    <t>Sáez García, Miguel Ángel</t>
  </si>
  <si>
    <t>Marco Molina, Juan Antonio</t>
  </si>
  <si>
    <t>Rico Amorós, Antonio Manuel</t>
  </si>
  <si>
    <t>Olcina Cantos, Jorge</t>
  </si>
  <si>
    <t>Ramon Morte, Alfredo</t>
  </si>
  <si>
    <t>Padilla Blanco, Ascensión</t>
  </si>
  <si>
    <t>21493423S</t>
  </si>
  <si>
    <t>García Mayor, María Clara</t>
  </si>
  <si>
    <t>B184</t>
  </si>
  <si>
    <t>Rico Cánovas, Elisa</t>
  </si>
  <si>
    <t>Sebastiá Alcaraz, Rafael</t>
  </si>
  <si>
    <t>Moltó Mantero, Enrique Alfonso</t>
  </si>
  <si>
    <t>Juliá Sanchís, Rocío</t>
  </si>
  <si>
    <t>Miranda Encarnación, José Antonio</t>
  </si>
  <si>
    <t>Amat Montesinos, Xavier</t>
  </si>
  <si>
    <t>Giménez Font, Pablo</t>
  </si>
  <si>
    <t>Capdepón Frías, Margarita</t>
  </si>
  <si>
    <t>Espinosa Seguí, Ana Isabel</t>
  </si>
  <si>
    <t>Ortiz Pérez, Samuel</t>
  </si>
  <si>
    <t>López Jiménez, Juan</t>
  </si>
  <si>
    <t>Ponce Herrero, Gabino Joaquín</t>
  </si>
  <si>
    <t>Martínez Puche, Antonio</t>
  </si>
  <si>
    <t>Such Climent, Mari Paz</t>
  </si>
  <si>
    <t>Torres Alfosea, Francisco José</t>
  </si>
  <si>
    <t>Baños Castiñeira, Carlos Javier</t>
  </si>
  <si>
    <t>López Ortiz, María Inmaculada</t>
  </si>
  <si>
    <t>Hernández Hernández, María</t>
  </si>
  <si>
    <t>40.20.6C.00.19</t>
  </si>
  <si>
    <t>Estudio de la calidad de las aguas del Consorcio de Aguas y Saneamientos de la Marina Baja, para abastecimiento y regadío, a partir de una base de datos (Excel) con analíticas de calidad realizadas por fuentes de suministro [PROAGUAS1-25TPA]</t>
  </si>
  <si>
    <t>40.20.6G.00.02</t>
  </si>
  <si>
    <t>Liq_JyC_2025__GeoUrba_26_01__XVIII COLOQUIO GEOGRAFÍA HUMANA. II COLOQUIO INTERNACIONAL</t>
  </si>
  <si>
    <t>GONZALO ANDRÉS LÓPEZ. Inscripción en XVIII Coloquio Geografía Urbana. II Coloquio Internacional (9-13 junio 2026, Alicante-Cartagena)</t>
  </si>
  <si>
    <t>CARLOS HUGO SORIA CÁCERES. Inscripción en XVIII Coloquio Geografía Urbana. II Coloquio Internacional (9-13 junio 2026, Alicante-Cartagena)</t>
  </si>
  <si>
    <t>IGOR MARTINS MEDEIROS ROBAINA. Inscripción en XVIII Coloquio Geografía Urbana. II Coloquio Internacional (9-13 junio 2026, Alicante-Cartagena)</t>
  </si>
  <si>
    <t>Liq_JyC_2025__GeoUrba_26_02__XVIII COLOQUIO GEOGRAFÍA HUMANA. II</t>
  </si>
  <si>
    <t>Liq_JyC_2025__GeoUrba_26_03__XVIII COLOQUIO GEOGRAFÍA HUMANA. II COLOQUIO INTERNACIONAL</t>
  </si>
  <si>
    <t>40.20.6P.00.11</t>
  </si>
  <si>
    <t>DEVOLUCIÓN DE INGRESOS_CARTA DE PAGO_REFERENCIA:FJC2021-046686-I, ANUALIDAD: 2022</t>
  </si>
  <si>
    <t>40.20.6Q.00.01</t>
  </si>
  <si>
    <t>Ingreso Cátedra Interuniversitaria AVANT, anualidad 2025</t>
  </si>
  <si>
    <t>Total ingresos investigación 2023-25</t>
  </si>
  <si>
    <t>Total ingresos formación 2023-25</t>
  </si>
  <si>
    <t>Sin ingresos de formación 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</si>
</sst>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2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0" fontId="0" fillId="0" borderId="0" xfId="5" applyFont="1"/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16" fillId="7" borderId="2" xfId="0" applyFont="1" applyFill="1" applyBorder="1"/>
    <xf numFmtId="0" fontId="16" fillId="0" borderId="2" xfId="0" applyFont="1" applyBorder="1"/>
    <xf numFmtId="4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43" fontId="0" fillId="0" borderId="5" xfId="6" applyNumberFormat="1" applyFont="1" applyBorder="1"/>
    <xf numFmtId="0" fontId="0" fillId="0" borderId="5" xfId="0" applyBorder="1"/>
    <xf numFmtId="43" fontId="12" fillId="0" borderId="5" xfId="0" applyNumberFormat="1" applyFont="1" applyBorder="1"/>
    <xf numFmtId="0" fontId="15" fillId="6" borderId="4" xfId="0" applyFont="1" applyFill="1" applyBorder="1"/>
    <xf numFmtId="0" fontId="16" fillId="0" borderId="5" xfId="0" applyFont="1" applyBorder="1"/>
    <xf numFmtId="43" fontId="0" fillId="0" borderId="5" xfId="0" applyNumberFormat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10" fillId="6" borderId="4" xfId="0" applyFont="1" applyFill="1" applyBorder="1"/>
    <xf numFmtId="43" fontId="10" fillId="6" borderId="4" xfId="6" applyNumberFormat="1" applyFont="1" applyFill="1" applyBorder="1"/>
    <xf numFmtId="0" fontId="0" fillId="0" borderId="5" xfId="0" applyNumberFormat="1" applyFont="1" applyBorder="1"/>
    <xf numFmtId="0" fontId="0" fillId="0" borderId="5" xfId="0" applyFont="1" applyBorder="1"/>
    <xf numFmtId="0" fontId="0" fillId="10" borderId="0" xfId="0" applyFill="1"/>
    <xf numFmtId="0" fontId="0" fillId="7" borderId="5" xfId="0" applyNumberFormat="1" applyFont="1" applyFill="1" applyBorder="1"/>
    <xf numFmtId="43" fontId="0" fillId="7" borderId="5" xfId="6" applyNumberFormat="1" applyFont="1" applyFill="1" applyBorder="1"/>
    <xf numFmtId="0" fontId="0" fillId="9" borderId="5" xfId="0" applyFont="1" applyFill="1" applyBorder="1"/>
    <xf numFmtId="43" fontId="12" fillId="9" borderId="5" xfId="0" applyNumberFormat="1" applyFont="1" applyFill="1" applyBorder="1"/>
    <xf numFmtId="0" fontId="11" fillId="0" borderId="1" xfId="0" applyFont="1" applyBorder="1"/>
    <xf numFmtId="164" fontId="11" fillId="0" borderId="1" xfId="6" applyFont="1" applyBorder="1"/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3" fillId="11" borderId="6" xfId="0" applyFont="1" applyFill="1" applyBorder="1"/>
    <xf numFmtId="0" fontId="13" fillId="11" borderId="7" xfId="0" applyFont="1" applyFill="1" applyBorder="1"/>
    <xf numFmtId="0" fontId="9" fillId="12" borderId="6" xfId="0" applyFont="1" applyFill="1" applyBorder="1"/>
    <xf numFmtId="0" fontId="9" fillId="12" borderId="7" xfId="0" applyFont="1" applyFill="1" applyBorder="1"/>
    <xf numFmtId="164" fontId="9" fillId="12" borderId="7" xfId="6" applyFont="1" applyFill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6" applyFont="1" applyBorder="1"/>
    <xf numFmtId="0" fontId="14" fillId="0" borderId="8" xfId="0" applyFont="1" applyBorder="1"/>
    <xf numFmtId="0" fontId="14" fillId="0" borderId="9" xfId="0" applyFont="1" applyBorder="1"/>
    <xf numFmtId="164" fontId="14" fillId="0" borderId="9" xfId="6" applyFont="1" applyBorder="1"/>
    <xf numFmtId="0" fontId="11" fillId="8" borderId="3" xfId="0" applyFont="1" applyFill="1" applyBorder="1" applyAlignment="1">
      <alignment horizontal="center"/>
    </xf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C75BA0-D6CA-457C-BAC1-98EE1F9CC630}" name="Tabla2" displayName="Tabla2" ref="A1:C6" totalsRowCount="1" headerRowDxfId="27" headerRowBorderDxfId="26" tableBorderDxfId="25" totalsRowBorderDxfId="24">
  <autoFilter ref="A1:C5" xr:uid="{4394C999-3A31-47C0-BE09-D32C2DE5CBD1}"/>
  <tableColumns count="3">
    <tableColumn id="1" xr3:uid="{FEA8DCD9-1B8E-4183-944F-2FB2BFD78B5E}" name="Cód. org. aplic." totalsRowLabel="Total"/>
    <tableColumn id="2" xr3:uid="{26280DED-57AF-490E-B3E1-0AD8B14B1EB8}" name="Descripción justificante"/>
    <tableColumn id="3" xr3:uid="{7D9D67D4-5B1F-4795-A59F-8AFD32A8666B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AB19F-DD6A-4A9F-AB49-1F7E6DED9B20}" name="Tabla3" displayName="Tabla3" ref="A1:C22" totalsRowCount="1" headerRowBorderDxfId="23" tableBorderDxfId="22" totalsRowBorderDxfId="21">
  <autoFilter ref="A1:C21" xr:uid="{652D5E7C-8D1D-49D5-9D8C-2C95211F5871}"/>
  <tableColumns count="3">
    <tableColumn id="1" xr3:uid="{D5ACB69A-3299-4640-95F5-FBD5B3402CA4}" name="Org. aplic." totalsRowLabel="Total" dataDxfId="20" totalsRowDxfId="19"/>
    <tableColumn id="2" xr3:uid="{E0279EF9-EBF7-4420-9397-FDDF5DDCD4BE}" name="Descripción justificante" dataDxfId="18" totalsRowDxfId="17"/>
    <tableColumn id="3" xr3:uid="{963111EF-21FB-4C82-BCA6-90C4287AE3E7}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5782D6-6388-4A72-B0F2-9E424FAD5A72}" name="Tabla5" displayName="Tabla5" ref="A1:C4" totalsRowCount="1" headerRowDxfId="14" headerRowBorderDxfId="13" tableBorderDxfId="12" totalsRowBorderDxfId="11">
  <autoFilter ref="A1:C3" xr:uid="{F4BEDC83-8A98-48B6-9988-90EE75F2FC6E}"/>
  <tableColumns count="3">
    <tableColumn id="1" xr3:uid="{EE0A705E-2A45-45B3-B9EE-ACF33E51213F}" name="Cód. org. aplic." totalsRowLabel="Total"/>
    <tableColumn id="2" xr3:uid="{6145376E-D56A-43C2-AD6C-BB0CEF317C71}" name="Descripción justificante"/>
    <tableColumn id="3" xr3:uid="{DFE7CA62-71F3-4CB6-B903-915BEDF52D6E}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CB2B9F-23EC-4F72-B4A2-A7E85CB6EDA1}" name="Tabla6" displayName="Tabla6" ref="A1:C3" totalsRowCount="1" headerRowDxfId="10" totalsRowDxfId="7" headerRowBorderDxfId="9" tableBorderDxfId="8" totalsRowBorderDxfId="6">
  <autoFilter ref="A1:C2" xr:uid="{FE3F70CF-CC33-4950-8DF3-DF3B228405DB}"/>
  <tableColumns count="3">
    <tableColumn id="1" xr3:uid="{605907E0-C6B4-4818-B183-CE8CD4A0943C}" name="Org. aplic." totalsRowLabel="Total" dataDxfId="5" totalsRowDxfId="4"/>
    <tableColumn id="2" xr3:uid="{44F2A84D-7FC9-43F2-ADC3-1B3D6846B236}" name="Descripción justificante" dataDxfId="3" totalsRowDxfId="2"/>
    <tableColumn id="3" xr3:uid="{089A539F-19AC-474F-8836-D479EE5E313F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topLeftCell="D1" zoomScale="99" zoomScaleNormal="99" workbookViewId="0">
      <selection activeCell="T38" sqref="T38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9" t="s">
        <v>40</v>
      </c>
      <c r="B2" s="19" t="s">
        <v>41</v>
      </c>
      <c r="C2" s="19" t="s">
        <v>42</v>
      </c>
      <c r="D2" s="19" t="s">
        <v>81</v>
      </c>
      <c r="E2" s="19" t="s">
        <v>82</v>
      </c>
      <c r="F2" s="19" t="s">
        <v>83</v>
      </c>
      <c r="G2" s="19" t="s">
        <v>52</v>
      </c>
      <c r="H2" s="19" t="s">
        <v>22</v>
      </c>
      <c r="I2" s="19" t="s">
        <v>43</v>
      </c>
      <c r="J2" s="19" t="s">
        <v>44</v>
      </c>
      <c r="K2" s="19">
        <v>0.5</v>
      </c>
      <c r="L2" s="19" t="s">
        <v>45</v>
      </c>
      <c r="M2" s="19">
        <v>2019</v>
      </c>
      <c r="N2" s="19" t="s">
        <v>31</v>
      </c>
      <c r="O2" s="19" t="s">
        <v>46</v>
      </c>
      <c r="P2" s="19" t="s">
        <v>24</v>
      </c>
      <c r="Q2" s="19" t="s">
        <v>24</v>
      </c>
      <c r="R2" s="19">
        <v>30</v>
      </c>
      <c r="S2" s="19">
        <v>0.15</v>
      </c>
      <c r="T2" s="19">
        <v>0.35</v>
      </c>
      <c r="U2" s="19">
        <v>0</v>
      </c>
    </row>
    <row r="3" spans="1:21" x14ac:dyDescent="0.2">
      <c r="A3" s="19" t="s">
        <v>40</v>
      </c>
      <c r="B3" s="19" t="s">
        <v>41</v>
      </c>
      <c r="C3" s="19" t="s">
        <v>42</v>
      </c>
      <c r="D3" s="19" t="s">
        <v>81</v>
      </c>
      <c r="E3" s="19" t="s">
        <v>82</v>
      </c>
      <c r="F3" s="19" t="s">
        <v>83</v>
      </c>
      <c r="G3" s="19" t="s">
        <v>47</v>
      </c>
      <c r="H3" s="19" t="s">
        <v>22</v>
      </c>
      <c r="I3" s="19" t="s">
        <v>43</v>
      </c>
      <c r="J3" s="19" t="s">
        <v>44</v>
      </c>
      <c r="K3" s="19">
        <v>0.5</v>
      </c>
      <c r="L3" s="19" t="s">
        <v>45</v>
      </c>
      <c r="M3" s="19">
        <v>2019</v>
      </c>
      <c r="N3" s="19" t="s">
        <v>31</v>
      </c>
      <c r="O3" s="19" t="s">
        <v>35</v>
      </c>
      <c r="P3" s="19" t="s">
        <v>30</v>
      </c>
      <c r="Q3" s="19" t="s">
        <v>34</v>
      </c>
      <c r="R3" s="19">
        <v>50</v>
      </c>
      <c r="S3" s="19">
        <v>0.25</v>
      </c>
      <c r="T3" s="19">
        <v>0.2</v>
      </c>
      <c r="U3" s="19">
        <v>0.05</v>
      </c>
    </row>
    <row r="4" spans="1:21" x14ac:dyDescent="0.2">
      <c r="A4" s="19" t="s">
        <v>40</v>
      </c>
      <c r="B4" s="19" t="s">
        <v>41</v>
      </c>
      <c r="C4" s="19" t="s">
        <v>42</v>
      </c>
      <c r="D4" s="19" t="s">
        <v>92</v>
      </c>
      <c r="E4" s="19" t="s">
        <v>93</v>
      </c>
      <c r="F4" s="19" t="s">
        <v>94</v>
      </c>
      <c r="G4" s="19" t="s">
        <v>95</v>
      </c>
      <c r="H4" s="19" t="s">
        <v>25</v>
      </c>
      <c r="I4" s="19" t="s">
        <v>43</v>
      </c>
      <c r="J4" s="19" t="s">
        <v>44</v>
      </c>
      <c r="K4" s="19">
        <v>1</v>
      </c>
      <c r="L4" s="19" t="s">
        <v>45</v>
      </c>
      <c r="M4" s="19">
        <v>2019</v>
      </c>
      <c r="N4" s="19" t="s">
        <v>31</v>
      </c>
      <c r="O4" s="19">
        <v>50</v>
      </c>
      <c r="P4" s="19" t="s">
        <v>24</v>
      </c>
      <c r="Q4" s="19">
        <v>0</v>
      </c>
      <c r="R4" s="19">
        <v>50</v>
      </c>
      <c r="S4" s="19">
        <v>0.5</v>
      </c>
      <c r="T4" s="19">
        <v>0.5</v>
      </c>
      <c r="U4" s="19">
        <v>0</v>
      </c>
    </row>
    <row r="5" spans="1:21" x14ac:dyDescent="0.2">
      <c r="A5" s="19" t="s">
        <v>40</v>
      </c>
      <c r="B5" s="19" t="s">
        <v>41</v>
      </c>
      <c r="C5" s="19" t="s">
        <v>42</v>
      </c>
      <c r="D5" s="19" t="s">
        <v>96</v>
      </c>
      <c r="E5" s="19" t="s">
        <v>97</v>
      </c>
      <c r="F5" s="19" t="s">
        <v>98</v>
      </c>
      <c r="G5" s="19" t="s">
        <v>99</v>
      </c>
      <c r="H5" s="19" t="s">
        <v>22</v>
      </c>
      <c r="I5" s="19" t="s">
        <v>100</v>
      </c>
      <c r="J5" s="19" t="s">
        <v>101</v>
      </c>
      <c r="K5" s="19">
        <v>0.5</v>
      </c>
      <c r="L5" s="19" t="s">
        <v>87</v>
      </c>
      <c r="M5" s="19">
        <v>2020</v>
      </c>
      <c r="N5" s="19" t="s">
        <v>31</v>
      </c>
      <c r="O5" s="19">
        <v>50</v>
      </c>
      <c r="P5" s="19" t="s">
        <v>24</v>
      </c>
      <c r="Q5" s="19">
        <v>0</v>
      </c>
      <c r="R5" s="19">
        <v>50</v>
      </c>
      <c r="S5" s="19">
        <v>0.25</v>
      </c>
      <c r="T5" s="19">
        <v>0.25</v>
      </c>
      <c r="U5" s="19">
        <v>0</v>
      </c>
    </row>
    <row r="6" spans="1:21" x14ac:dyDescent="0.2">
      <c r="A6" s="19" t="s">
        <v>27</v>
      </c>
      <c r="B6" s="19" t="s">
        <v>28</v>
      </c>
      <c r="C6" s="19" t="s">
        <v>29</v>
      </c>
      <c r="D6" s="19" t="s">
        <v>102</v>
      </c>
      <c r="E6" s="19" t="s">
        <v>103</v>
      </c>
      <c r="F6" s="19" t="s">
        <v>104</v>
      </c>
      <c r="G6" s="19" t="s">
        <v>47</v>
      </c>
      <c r="H6" s="19" t="s">
        <v>25</v>
      </c>
      <c r="I6" s="19" t="s">
        <v>43</v>
      </c>
      <c r="J6" s="19" t="s">
        <v>44</v>
      </c>
      <c r="K6" s="19">
        <v>1</v>
      </c>
      <c r="L6" s="19" t="s">
        <v>45</v>
      </c>
      <c r="M6" s="19">
        <v>2020</v>
      </c>
      <c r="N6" s="19" t="s">
        <v>31</v>
      </c>
      <c r="O6" s="19">
        <v>40</v>
      </c>
      <c r="P6" s="19" t="s">
        <v>30</v>
      </c>
      <c r="Q6" s="19">
        <v>10</v>
      </c>
      <c r="R6" s="19">
        <v>50</v>
      </c>
      <c r="S6" s="19">
        <v>0.5</v>
      </c>
      <c r="T6" s="19">
        <v>0.4</v>
      </c>
      <c r="U6" s="19">
        <v>0.1</v>
      </c>
    </row>
    <row r="7" spans="1:21" x14ac:dyDescent="0.2">
      <c r="A7" s="19" t="s">
        <v>40</v>
      </c>
      <c r="B7" s="19" t="s">
        <v>41</v>
      </c>
      <c r="C7" s="19" t="s">
        <v>42</v>
      </c>
      <c r="D7" s="19" t="s">
        <v>110</v>
      </c>
      <c r="E7" s="19" t="s">
        <v>111</v>
      </c>
      <c r="F7" s="19" t="s">
        <v>112</v>
      </c>
      <c r="G7" s="19" t="s">
        <v>99</v>
      </c>
      <c r="H7" s="19" t="s">
        <v>22</v>
      </c>
      <c r="I7" s="19" t="s">
        <v>100</v>
      </c>
      <c r="J7" s="19" t="s">
        <v>101</v>
      </c>
      <c r="K7" s="19">
        <v>0.5</v>
      </c>
      <c r="L7" s="19" t="s">
        <v>87</v>
      </c>
      <c r="M7" s="19">
        <v>2021</v>
      </c>
      <c r="N7" s="19" t="s">
        <v>31</v>
      </c>
      <c r="O7" s="19">
        <v>50</v>
      </c>
      <c r="P7" s="19" t="s">
        <v>24</v>
      </c>
      <c r="Q7" s="19">
        <v>0</v>
      </c>
      <c r="R7" s="19">
        <v>50</v>
      </c>
      <c r="S7" s="19">
        <v>0.25</v>
      </c>
      <c r="T7" s="19">
        <v>0.25</v>
      </c>
      <c r="U7" s="19">
        <v>0</v>
      </c>
    </row>
    <row r="8" spans="1:21" x14ac:dyDescent="0.2">
      <c r="A8" s="19" t="s">
        <v>40</v>
      </c>
      <c r="B8" s="19" t="s">
        <v>41</v>
      </c>
      <c r="C8" s="19" t="s">
        <v>42</v>
      </c>
      <c r="D8" s="19" t="s">
        <v>113</v>
      </c>
      <c r="E8" s="19" t="s">
        <v>114</v>
      </c>
      <c r="F8" s="19" t="s">
        <v>115</v>
      </c>
      <c r="G8" s="19" t="s">
        <v>51</v>
      </c>
      <c r="H8" s="19" t="s">
        <v>25</v>
      </c>
      <c r="I8" s="19" t="s">
        <v>48</v>
      </c>
      <c r="J8" s="19" t="s">
        <v>49</v>
      </c>
      <c r="K8" s="19">
        <v>1</v>
      </c>
      <c r="L8" s="19" t="s">
        <v>50</v>
      </c>
      <c r="M8" s="19">
        <v>2021</v>
      </c>
      <c r="N8" s="19" t="s">
        <v>31</v>
      </c>
      <c r="O8" s="19">
        <v>10</v>
      </c>
      <c r="P8" s="19" t="s">
        <v>24</v>
      </c>
      <c r="Q8" s="19">
        <v>0</v>
      </c>
      <c r="R8" s="19">
        <v>90</v>
      </c>
      <c r="S8" s="19">
        <v>0.9</v>
      </c>
      <c r="T8" s="19">
        <v>0.1</v>
      </c>
      <c r="U8" s="19">
        <v>0</v>
      </c>
    </row>
    <row r="9" spans="1:21" x14ac:dyDescent="0.2">
      <c r="A9" s="19" t="s">
        <v>27</v>
      </c>
      <c r="B9" s="19" t="s">
        <v>28</v>
      </c>
      <c r="C9" s="19" t="s">
        <v>29</v>
      </c>
      <c r="D9" s="19" t="s">
        <v>116</v>
      </c>
      <c r="E9" s="19" t="s">
        <v>117</v>
      </c>
      <c r="F9" s="19" t="s">
        <v>118</v>
      </c>
      <c r="G9" s="19" t="s">
        <v>47</v>
      </c>
      <c r="H9" s="19" t="s">
        <v>25</v>
      </c>
      <c r="I9" s="19" t="s">
        <v>43</v>
      </c>
      <c r="J9" s="19" t="s">
        <v>44</v>
      </c>
      <c r="K9" s="19">
        <v>1</v>
      </c>
      <c r="L9" s="19" t="s">
        <v>45</v>
      </c>
      <c r="M9" s="19">
        <v>2021</v>
      </c>
      <c r="N9" s="19" t="s">
        <v>31</v>
      </c>
      <c r="O9" s="19">
        <v>40</v>
      </c>
      <c r="P9" s="19" t="s">
        <v>30</v>
      </c>
      <c r="Q9" s="19">
        <v>10</v>
      </c>
      <c r="R9" s="19">
        <v>50</v>
      </c>
      <c r="S9" s="19">
        <v>0.5</v>
      </c>
      <c r="T9" s="19">
        <v>0.4</v>
      </c>
      <c r="U9" s="19">
        <v>0.1</v>
      </c>
    </row>
    <row r="10" spans="1:21" x14ac:dyDescent="0.2">
      <c r="A10" s="19" t="s">
        <v>119</v>
      </c>
      <c r="B10" s="19" t="s">
        <v>158</v>
      </c>
      <c r="C10" s="19" t="s">
        <v>120</v>
      </c>
      <c r="D10" s="19" t="s">
        <v>204</v>
      </c>
      <c r="E10" s="19" t="s">
        <v>159</v>
      </c>
      <c r="F10" s="19" t="s">
        <v>160</v>
      </c>
      <c r="G10" s="19" t="s">
        <v>121</v>
      </c>
      <c r="H10" s="19" t="s">
        <v>22</v>
      </c>
      <c r="I10" s="19" t="s">
        <v>33</v>
      </c>
      <c r="J10" s="19" t="s">
        <v>32</v>
      </c>
      <c r="K10" s="19">
        <v>0.5</v>
      </c>
      <c r="L10" s="19" t="s">
        <v>33</v>
      </c>
      <c r="M10" s="19">
        <v>2022</v>
      </c>
      <c r="N10" s="19" t="s">
        <v>31</v>
      </c>
      <c r="O10" s="19">
        <v>30</v>
      </c>
      <c r="P10" s="19" t="s">
        <v>23</v>
      </c>
      <c r="Q10" s="19">
        <v>20</v>
      </c>
      <c r="R10" s="19">
        <v>50</v>
      </c>
      <c r="S10" s="19">
        <v>0.25</v>
      </c>
      <c r="T10" s="19">
        <v>0.15</v>
      </c>
      <c r="U10" s="19">
        <v>0.1</v>
      </c>
    </row>
    <row r="11" spans="1:21" x14ac:dyDescent="0.2">
      <c r="A11" s="19" t="s">
        <v>119</v>
      </c>
      <c r="B11" s="19" t="s">
        <v>158</v>
      </c>
      <c r="C11" s="19" t="s">
        <v>120</v>
      </c>
      <c r="D11" s="19" t="s">
        <v>205</v>
      </c>
      <c r="E11" s="19" t="s">
        <v>161</v>
      </c>
      <c r="F11" s="19" t="s">
        <v>162</v>
      </c>
      <c r="G11" s="19" t="s">
        <v>121</v>
      </c>
      <c r="H11" s="19" t="s">
        <v>22</v>
      </c>
      <c r="I11" s="19" t="s">
        <v>33</v>
      </c>
      <c r="J11" s="19" t="s">
        <v>32</v>
      </c>
      <c r="K11" s="19">
        <v>0.5</v>
      </c>
      <c r="L11" s="19" t="s">
        <v>33</v>
      </c>
      <c r="M11" s="19">
        <v>2022</v>
      </c>
      <c r="N11" s="19" t="s">
        <v>31</v>
      </c>
      <c r="O11" s="19">
        <v>30</v>
      </c>
      <c r="P11" s="19" t="s">
        <v>23</v>
      </c>
      <c r="Q11" s="19">
        <v>20</v>
      </c>
      <c r="R11" s="19">
        <v>50</v>
      </c>
      <c r="S11" s="19">
        <v>0.25</v>
      </c>
      <c r="T11" s="19">
        <v>0.15</v>
      </c>
      <c r="U11" s="19">
        <v>0.1</v>
      </c>
    </row>
    <row r="12" spans="1:21" x14ac:dyDescent="0.2">
      <c r="A12" s="19" t="s">
        <v>40</v>
      </c>
      <c r="B12" s="19" t="s">
        <v>41</v>
      </c>
      <c r="C12" s="19" t="s">
        <v>42</v>
      </c>
      <c r="D12" s="19" t="s">
        <v>206</v>
      </c>
      <c r="E12" s="19" t="s">
        <v>163</v>
      </c>
      <c r="F12" s="19" t="s">
        <v>164</v>
      </c>
      <c r="G12" s="19" t="s">
        <v>95</v>
      </c>
      <c r="H12" s="19" t="s">
        <v>22</v>
      </c>
      <c r="I12" s="19" t="s">
        <v>43</v>
      </c>
      <c r="J12" s="19" t="s">
        <v>44</v>
      </c>
      <c r="K12" s="19">
        <v>0.5</v>
      </c>
      <c r="L12" s="19" t="s">
        <v>45</v>
      </c>
      <c r="M12" s="19">
        <v>2022</v>
      </c>
      <c r="N12" s="19" t="s">
        <v>31</v>
      </c>
      <c r="O12" s="19">
        <v>50</v>
      </c>
      <c r="P12" s="19" t="s">
        <v>24</v>
      </c>
      <c r="Q12" s="19">
        <v>0</v>
      </c>
      <c r="R12" s="19">
        <v>50</v>
      </c>
      <c r="S12" s="19">
        <v>0.25</v>
      </c>
      <c r="T12" s="19">
        <v>0.25</v>
      </c>
      <c r="U12" s="19">
        <v>0</v>
      </c>
    </row>
    <row r="13" spans="1:21" x14ac:dyDescent="0.2">
      <c r="A13" s="19" t="s">
        <v>40</v>
      </c>
      <c r="B13" s="19" t="s">
        <v>41</v>
      </c>
      <c r="C13" s="19" t="s">
        <v>42</v>
      </c>
      <c r="D13" s="19" t="s">
        <v>207</v>
      </c>
      <c r="E13" s="19" t="s">
        <v>165</v>
      </c>
      <c r="F13" s="19" t="s">
        <v>166</v>
      </c>
      <c r="G13" s="19" t="s">
        <v>99</v>
      </c>
      <c r="H13" s="19" t="s">
        <v>22</v>
      </c>
      <c r="I13" s="19" t="s">
        <v>100</v>
      </c>
      <c r="J13" s="19" t="s">
        <v>101</v>
      </c>
      <c r="K13" s="19">
        <v>0.5</v>
      </c>
      <c r="L13" s="19" t="s">
        <v>87</v>
      </c>
      <c r="M13" s="19">
        <v>2022</v>
      </c>
      <c r="N13" s="19" t="s">
        <v>31</v>
      </c>
      <c r="O13" s="19">
        <v>50</v>
      </c>
      <c r="P13" s="19" t="s">
        <v>24</v>
      </c>
      <c r="Q13" s="19">
        <v>0</v>
      </c>
      <c r="R13" s="19">
        <v>50</v>
      </c>
      <c r="S13" s="19">
        <v>0.25</v>
      </c>
      <c r="T13" s="19">
        <v>0.25</v>
      </c>
      <c r="U13" s="19">
        <v>0</v>
      </c>
    </row>
    <row r="14" spans="1:21" x14ac:dyDescent="0.2">
      <c r="A14" s="19" t="s">
        <v>40</v>
      </c>
      <c r="B14" s="19" t="s">
        <v>41</v>
      </c>
      <c r="C14" s="19" t="s">
        <v>42</v>
      </c>
      <c r="D14" s="19" t="s">
        <v>208</v>
      </c>
      <c r="E14" s="19" t="s">
        <v>167</v>
      </c>
      <c r="F14" s="19" t="s">
        <v>168</v>
      </c>
      <c r="G14" s="19" t="s">
        <v>169</v>
      </c>
      <c r="H14" s="19" t="s">
        <v>25</v>
      </c>
      <c r="I14" s="19" t="s">
        <v>48</v>
      </c>
      <c r="J14" s="19" t="s">
        <v>49</v>
      </c>
      <c r="K14" s="19">
        <v>1</v>
      </c>
      <c r="L14" s="19" t="s">
        <v>50</v>
      </c>
      <c r="M14" s="19">
        <v>2022</v>
      </c>
      <c r="N14" s="19" t="s">
        <v>31</v>
      </c>
      <c r="O14" s="19">
        <v>10</v>
      </c>
      <c r="P14" s="19" t="s">
        <v>24</v>
      </c>
      <c r="Q14" s="19">
        <v>0</v>
      </c>
      <c r="R14" s="19">
        <v>90</v>
      </c>
      <c r="S14" s="19">
        <v>0.9</v>
      </c>
      <c r="T14" s="19">
        <v>0.1</v>
      </c>
      <c r="U14" s="19">
        <v>0</v>
      </c>
    </row>
    <row r="15" spans="1:21" x14ac:dyDescent="0.2">
      <c r="A15" s="19" t="s">
        <v>27</v>
      </c>
      <c r="B15" s="19" t="s">
        <v>170</v>
      </c>
      <c r="C15" s="19" t="s">
        <v>29</v>
      </c>
      <c r="D15" s="19" t="s">
        <v>209</v>
      </c>
      <c r="E15" s="19" t="s">
        <v>171</v>
      </c>
      <c r="F15" s="19" t="s">
        <v>172</v>
      </c>
      <c r="G15" s="19" t="s">
        <v>47</v>
      </c>
      <c r="H15" s="19" t="s">
        <v>25</v>
      </c>
      <c r="I15" s="19" t="s">
        <v>43</v>
      </c>
      <c r="J15" s="19" t="s">
        <v>44</v>
      </c>
      <c r="K15" s="19">
        <v>1</v>
      </c>
      <c r="L15" s="19" t="s">
        <v>45</v>
      </c>
      <c r="M15" s="19">
        <v>2022</v>
      </c>
      <c r="N15" s="19" t="s">
        <v>31</v>
      </c>
      <c r="O15" s="19">
        <v>40</v>
      </c>
      <c r="P15" s="19" t="s">
        <v>30</v>
      </c>
      <c r="Q15" s="19">
        <v>10</v>
      </c>
      <c r="R15" s="19">
        <v>50</v>
      </c>
      <c r="S15" s="19">
        <v>0.5</v>
      </c>
      <c r="T15" s="19">
        <v>0.4</v>
      </c>
      <c r="U15" s="19">
        <v>0.1</v>
      </c>
    </row>
    <row r="16" spans="1:21" x14ac:dyDescent="0.2">
      <c r="A16" s="19" t="s">
        <v>27</v>
      </c>
      <c r="B16" s="19" t="s">
        <v>170</v>
      </c>
      <c r="C16" s="19" t="s">
        <v>29</v>
      </c>
      <c r="D16" s="19" t="s">
        <v>210</v>
      </c>
      <c r="E16" s="19" t="s">
        <v>173</v>
      </c>
      <c r="F16" s="19" t="s">
        <v>166</v>
      </c>
      <c r="G16" s="19" t="s">
        <v>47</v>
      </c>
      <c r="H16" s="19" t="s">
        <v>22</v>
      </c>
      <c r="I16" s="19" t="s">
        <v>43</v>
      </c>
      <c r="J16" s="19" t="s">
        <v>44</v>
      </c>
      <c r="K16" s="19">
        <v>0.5</v>
      </c>
      <c r="L16" s="19" t="s">
        <v>45</v>
      </c>
      <c r="M16" s="19">
        <v>2022</v>
      </c>
      <c r="N16" s="19" t="s">
        <v>31</v>
      </c>
      <c r="O16" s="19">
        <v>40</v>
      </c>
      <c r="P16" s="19" t="s">
        <v>30</v>
      </c>
      <c r="Q16" s="19">
        <v>10</v>
      </c>
      <c r="R16" s="19">
        <v>50</v>
      </c>
      <c r="S16" s="19">
        <v>0.25</v>
      </c>
      <c r="T16" s="19">
        <v>0.2</v>
      </c>
      <c r="U16" s="19">
        <v>0.05</v>
      </c>
    </row>
    <row r="17" spans="1:21" x14ac:dyDescent="0.2">
      <c r="A17" s="19" t="s">
        <v>211</v>
      </c>
      <c r="B17" s="19" t="s">
        <v>194</v>
      </c>
      <c r="C17" s="19" t="s">
        <v>195</v>
      </c>
      <c r="D17" s="19" t="s">
        <v>212</v>
      </c>
      <c r="E17" s="19" t="s">
        <v>213</v>
      </c>
      <c r="F17" s="19" t="s">
        <v>214</v>
      </c>
      <c r="G17" s="19" t="s">
        <v>215</v>
      </c>
      <c r="H17" s="19" t="s">
        <v>216</v>
      </c>
      <c r="I17" s="19" t="s">
        <v>50</v>
      </c>
      <c r="J17" s="19" t="s">
        <v>200</v>
      </c>
      <c r="K17" s="19">
        <v>0.5</v>
      </c>
      <c r="L17" s="19" t="s">
        <v>50</v>
      </c>
      <c r="M17" s="19">
        <v>2022</v>
      </c>
      <c r="N17" s="19" t="s">
        <v>31</v>
      </c>
      <c r="O17" s="19">
        <v>30</v>
      </c>
      <c r="P17" s="19" t="s">
        <v>24</v>
      </c>
      <c r="Q17" s="19">
        <v>0</v>
      </c>
      <c r="R17" s="19">
        <v>70</v>
      </c>
      <c r="S17" s="19">
        <v>0.35</v>
      </c>
      <c r="T17" s="19">
        <v>0.15</v>
      </c>
      <c r="U17" s="19">
        <v>0</v>
      </c>
    </row>
    <row r="18" spans="1:21" x14ac:dyDescent="0.2">
      <c r="A18" s="19" t="s">
        <v>193</v>
      </c>
      <c r="B18" s="19" t="s">
        <v>194</v>
      </c>
      <c r="C18" s="19" t="s">
        <v>195</v>
      </c>
      <c r="D18" s="19" t="s">
        <v>196</v>
      </c>
      <c r="E18" s="19" t="s">
        <v>197</v>
      </c>
      <c r="F18" s="19" t="s">
        <v>198</v>
      </c>
      <c r="G18" s="19" t="s">
        <v>155</v>
      </c>
      <c r="H18" s="19" t="s">
        <v>199</v>
      </c>
      <c r="I18" s="19" t="s">
        <v>50</v>
      </c>
      <c r="J18" s="19" t="s">
        <v>200</v>
      </c>
      <c r="K18" s="19">
        <v>1</v>
      </c>
      <c r="L18" s="19" t="s">
        <v>50</v>
      </c>
      <c r="M18" s="19">
        <v>2023</v>
      </c>
      <c r="N18" s="19" t="s">
        <v>31</v>
      </c>
      <c r="O18" s="19" t="s">
        <v>34</v>
      </c>
      <c r="P18" s="19" t="s">
        <v>24</v>
      </c>
      <c r="Q18" s="19" t="s">
        <v>24</v>
      </c>
      <c r="R18" s="19">
        <v>90</v>
      </c>
      <c r="S18" s="19">
        <v>0.9</v>
      </c>
      <c r="T18" s="19">
        <v>0.1</v>
      </c>
      <c r="U18" s="19">
        <v>0</v>
      </c>
    </row>
    <row r="19" spans="1:21" x14ac:dyDescent="0.2">
      <c r="A19" s="19" t="s">
        <v>193</v>
      </c>
      <c r="B19" s="19" t="s">
        <v>194</v>
      </c>
      <c r="C19" s="19" t="s">
        <v>195</v>
      </c>
      <c r="D19" s="19" t="s">
        <v>201</v>
      </c>
      <c r="E19" s="19" t="s">
        <v>202</v>
      </c>
      <c r="F19" s="19" t="s">
        <v>203</v>
      </c>
      <c r="G19" s="19" t="s">
        <v>179</v>
      </c>
      <c r="H19" s="19" t="s">
        <v>199</v>
      </c>
      <c r="I19" s="19" t="s">
        <v>50</v>
      </c>
      <c r="J19" s="19" t="s">
        <v>200</v>
      </c>
      <c r="K19" s="19">
        <v>1</v>
      </c>
      <c r="L19" s="19" t="s">
        <v>50</v>
      </c>
      <c r="M19" s="19">
        <v>2023</v>
      </c>
      <c r="N19" s="19" t="s">
        <v>31</v>
      </c>
      <c r="O19" s="19" t="s">
        <v>39</v>
      </c>
      <c r="P19" s="19" t="s">
        <v>24</v>
      </c>
      <c r="Q19" s="19" t="s">
        <v>24</v>
      </c>
      <c r="R19" s="19">
        <v>70</v>
      </c>
      <c r="S19" s="19">
        <v>0.7</v>
      </c>
      <c r="T19" s="19">
        <v>0.3</v>
      </c>
      <c r="U19" s="19">
        <v>0</v>
      </c>
    </row>
    <row r="20" spans="1:21" x14ac:dyDescent="0.2">
      <c r="A20" s="19" t="s">
        <v>40</v>
      </c>
      <c r="B20" s="19" t="s">
        <v>41</v>
      </c>
      <c r="C20" s="19" t="s">
        <v>42</v>
      </c>
      <c r="D20" s="19" t="s">
        <v>122</v>
      </c>
      <c r="E20" s="19" t="s">
        <v>123</v>
      </c>
      <c r="F20" s="19" t="s">
        <v>124</v>
      </c>
      <c r="G20" s="19" t="s">
        <v>125</v>
      </c>
      <c r="H20" s="19" t="s">
        <v>22</v>
      </c>
      <c r="I20" s="19" t="s">
        <v>48</v>
      </c>
      <c r="J20" s="19" t="s">
        <v>49</v>
      </c>
      <c r="K20" s="19">
        <v>0.5</v>
      </c>
      <c r="L20" s="19" t="s">
        <v>50</v>
      </c>
      <c r="M20" s="19">
        <v>2019</v>
      </c>
      <c r="N20" s="19" t="s">
        <v>90</v>
      </c>
      <c r="O20" s="19">
        <v>30</v>
      </c>
      <c r="P20" s="19" t="s">
        <v>31</v>
      </c>
      <c r="Q20" s="19">
        <v>30</v>
      </c>
      <c r="R20" s="19">
        <v>40</v>
      </c>
      <c r="S20" s="19">
        <v>0.2</v>
      </c>
      <c r="T20" s="19">
        <v>0.15</v>
      </c>
      <c r="U20" s="19">
        <v>0.15</v>
      </c>
    </row>
    <row r="21" spans="1:21" x14ac:dyDescent="0.2">
      <c r="A21" s="19" t="s">
        <v>40</v>
      </c>
      <c r="B21" s="19" t="s">
        <v>41</v>
      </c>
      <c r="C21" s="19" t="s">
        <v>42</v>
      </c>
      <c r="D21" s="19" t="s">
        <v>126</v>
      </c>
      <c r="E21" s="19" t="s">
        <v>127</v>
      </c>
      <c r="F21" s="19" t="s">
        <v>128</v>
      </c>
      <c r="G21" s="19" t="s">
        <v>125</v>
      </c>
      <c r="H21" s="19" t="s">
        <v>22</v>
      </c>
      <c r="I21" s="19" t="s">
        <v>48</v>
      </c>
      <c r="J21" s="19" t="s">
        <v>49</v>
      </c>
      <c r="K21" s="19">
        <v>0.5</v>
      </c>
      <c r="L21" s="19" t="s">
        <v>50</v>
      </c>
      <c r="M21" s="19">
        <v>2019</v>
      </c>
      <c r="N21" s="19" t="s">
        <v>90</v>
      </c>
      <c r="O21" s="19">
        <v>30</v>
      </c>
      <c r="P21" s="19" t="s">
        <v>31</v>
      </c>
      <c r="Q21" s="19">
        <v>30</v>
      </c>
      <c r="R21" s="19">
        <v>40</v>
      </c>
      <c r="S21" s="19">
        <v>0.2</v>
      </c>
      <c r="T21" s="19">
        <v>0.15</v>
      </c>
      <c r="U21" s="19">
        <v>0.15</v>
      </c>
    </row>
    <row r="22" spans="1:21" x14ac:dyDescent="0.2">
      <c r="A22" s="19" t="s">
        <v>129</v>
      </c>
      <c r="B22" s="19" t="s">
        <v>130</v>
      </c>
      <c r="C22" s="19" t="s">
        <v>131</v>
      </c>
      <c r="D22" s="19" t="s">
        <v>132</v>
      </c>
      <c r="E22" s="19" t="s">
        <v>133</v>
      </c>
      <c r="F22" s="19" t="s">
        <v>134</v>
      </c>
      <c r="G22" s="19" t="s">
        <v>135</v>
      </c>
      <c r="H22" s="19" t="s">
        <v>22</v>
      </c>
      <c r="I22" s="19" t="s">
        <v>43</v>
      </c>
      <c r="J22" s="19" t="s">
        <v>44</v>
      </c>
      <c r="K22" s="19">
        <v>0.5</v>
      </c>
      <c r="L22" s="19" t="s">
        <v>45</v>
      </c>
      <c r="M22" s="19">
        <v>2020</v>
      </c>
      <c r="N22" s="19" t="s">
        <v>26</v>
      </c>
      <c r="O22" s="19">
        <v>20</v>
      </c>
      <c r="P22" s="19" t="s">
        <v>31</v>
      </c>
      <c r="Q22" s="19">
        <v>40</v>
      </c>
      <c r="R22" s="19">
        <v>40</v>
      </c>
      <c r="S22" s="19">
        <v>0.2</v>
      </c>
      <c r="T22" s="19">
        <v>0.1</v>
      </c>
      <c r="U22" s="19">
        <v>0.2</v>
      </c>
    </row>
    <row r="23" spans="1:21" x14ac:dyDescent="0.2">
      <c r="A23" s="19" t="s">
        <v>129</v>
      </c>
      <c r="B23" s="19" t="s">
        <v>130</v>
      </c>
      <c r="C23" s="19" t="s">
        <v>131</v>
      </c>
      <c r="D23" s="19" t="s">
        <v>132</v>
      </c>
      <c r="E23" s="19" t="s">
        <v>133</v>
      </c>
      <c r="F23" s="19" t="s">
        <v>134</v>
      </c>
      <c r="G23" s="19" t="s">
        <v>136</v>
      </c>
      <c r="H23" s="19" t="s">
        <v>22</v>
      </c>
      <c r="I23" s="19" t="s">
        <v>43</v>
      </c>
      <c r="J23" s="19" t="s">
        <v>44</v>
      </c>
      <c r="K23" s="19">
        <v>0.5</v>
      </c>
      <c r="L23" s="19" t="s">
        <v>45</v>
      </c>
      <c r="M23" s="19">
        <v>2020</v>
      </c>
      <c r="N23" s="19" t="s">
        <v>26</v>
      </c>
      <c r="O23" s="19">
        <v>20</v>
      </c>
      <c r="P23" s="19" t="s">
        <v>31</v>
      </c>
      <c r="Q23" s="19">
        <v>40</v>
      </c>
      <c r="R23" s="19">
        <v>40</v>
      </c>
      <c r="S23" s="19">
        <v>0.2</v>
      </c>
      <c r="T23" s="19">
        <v>0.1</v>
      </c>
      <c r="U23" s="19">
        <v>0.2</v>
      </c>
    </row>
    <row r="24" spans="1:21" x14ac:dyDescent="0.2">
      <c r="A24" s="19" t="s">
        <v>40</v>
      </c>
      <c r="B24" s="19" t="s">
        <v>41</v>
      </c>
      <c r="C24" s="19" t="s">
        <v>42</v>
      </c>
      <c r="D24" s="19" t="s">
        <v>137</v>
      </c>
      <c r="E24" s="19" t="s">
        <v>138</v>
      </c>
      <c r="F24" s="19" t="s">
        <v>134</v>
      </c>
      <c r="G24" s="19" t="s">
        <v>125</v>
      </c>
      <c r="H24" s="19" t="s">
        <v>25</v>
      </c>
      <c r="I24" s="19" t="s">
        <v>48</v>
      </c>
      <c r="J24" s="19" t="s">
        <v>49</v>
      </c>
      <c r="K24" s="19">
        <v>1</v>
      </c>
      <c r="L24" s="19" t="s">
        <v>50</v>
      </c>
      <c r="M24" s="19">
        <v>2020</v>
      </c>
      <c r="N24" s="19" t="s">
        <v>90</v>
      </c>
      <c r="O24" s="19">
        <v>30</v>
      </c>
      <c r="P24" s="19" t="s">
        <v>31</v>
      </c>
      <c r="Q24" s="19">
        <v>30</v>
      </c>
      <c r="R24" s="19">
        <v>40</v>
      </c>
      <c r="S24" s="19">
        <v>0.4</v>
      </c>
      <c r="T24" s="19">
        <v>0.3</v>
      </c>
      <c r="U24" s="19">
        <v>0.3</v>
      </c>
    </row>
    <row r="25" spans="1:21" x14ac:dyDescent="0.2">
      <c r="A25" s="19" t="s">
        <v>40</v>
      </c>
      <c r="B25" s="19" t="s">
        <v>41</v>
      </c>
      <c r="C25" s="19" t="s">
        <v>42</v>
      </c>
      <c r="D25" s="19" t="s">
        <v>139</v>
      </c>
      <c r="E25" s="19" t="s">
        <v>140</v>
      </c>
      <c r="F25" s="19" t="s">
        <v>141</v>
      </c>
      <c r="G25" s="19" t="s">
        <v>142</v>
      </c>
      <c r="H25" s="19" t="s">
        <v>25</v>
      </c>
      <c r="I25" s="19" t="s">
        <v>43</v>
      </c>
      <c r="J25" s="19" t="s">
        <v>44</v>
      </c>
      <c r="K25" s="19">
        <v>1</v>
      </c>
      <c r="L25" s="19" t="s">
        <v>45</v>
      </c>
      <c r="M25" s="19">
        <v>2020</v>
      </c>
      <c r="N25" s="19" t="s">
        <v>30</v>
      </c>
      <c r="O25" s="19">
        <v>10</v>
      </c>
      <c r="P25" s="19" t="s">
        <v>31</v>
      </c>
      <c r="Q25" s="19">
        <v>50</v>
      </c>
      <c r="R25" s="19">
        <v>40</v>
      </c>
      <c r="S25" s="19">
        <v>0.4</v>
      </c>
      <c r="T25" s="19">
        <v>0.1</v>
      </c>
      <c r="U25" s="19">
        <v>0.5</v>
      </c>
    </row>
    <row r="26" spans="1:21" x14ac:dyDescent="0.2">
      <c r="A26" s="19" t="s">
        <v>40</v>
      </c>
      <c r="B26" s="19" t="s">
        <v>41</v>
      </c>
      <c r="C26" s="19" t="s">
        <v>42</v>
      </c>
      <c r="D26" s="19" t="s">
        <v>143</v>
      </c>
      <c r="E26" s="19" t="s">
        <v>144</v>
      </c>
      <c r="F26" s="19" t="s">
        <v>145</v>
      </c>
      <c r="G26" s="19" t="s">
        <v>136</v>
      </c>
      <c r="H26" s="19" t="s">
        <v>25</v>
      </c>
      <c r="I26" s="19" t="s">
        <v>43</v>
      </c>
      <c r="J26" s="19" t="s">
        <v>44</v>
      </c>
      <c r="K26" s="19">
        <v>1</v>
      </c>
      <c r="L26" s="19" t="s">
        <v>45</v>
      </c>
      <c r="M26" s="19">
        <v>2020</v>
      </c>
      <c r="N26" s="19" t="s">
        <v>26</v>
      </c>
      <c r="O26" s="19">
        <v>20</v>
      </c>
      <c r="P26" s="19" t="s">
        <v>31</v>
      </c>
      <c r="Q26" s="19">
        <v>40</v>
      </c>
      <c r="R26" s="19">
        <v>40</v>
      </c>
      <c r="S26" s="19">
        <v>0.4</v>
      </c>
      <c r="T26" s="19">
        <v>0.2</v>
      </c>
      <c r="U26" s="19">
        <v>0.4</v>
      </c>
    </row>
    <row r="27" spans="1:21" x14ac:dyDescent="0.2">
      <c r="A27" s="19" t="s">
        <v>40</v>
      </c>
      <c r="B27" s="19" t="s">
        <v>41</v>
      </c>
      <c r="C27" s="19" t="s">
        <v>42</v>
      </c>
      <c r="D27" s="19" t="s">
        <v>146</v>
      </c>
      <c r="E27" s="19" t="s">
        <v>147</v>
      </c>
      <c r="F27" s="19" t="s">
        <v>148</v>
      </c>
      <c r="G27" s="19" t="s">
        <v>125</v>
      </c>
      <c r="H27" s="19" t="s">
        <v>25</v>
      </c>
      <c r="I27" s="19" t="s">
        <v>48</v>
      </c>
      <c r="J27" s="19" t="s">
        <v>49</v>
      </c>
      <c r="K27" s="19">
        <v>1</v>
      </c>
      <c r="L27" s="19" t="s">
        <v>50</v>
      </c>
      <c r="M27" s="19">
        <v>2021</v>
      </c>
      <c r="N27" s="19" t="s">
        <v>90</v>
      </c>
      <c r="O27" s="19">
        <v>30</v>
      </c>
      <c r="P27" s="19" t="s">
        <v>31</v>
      </c>
      <c r="Q27" s="19">
        <v>30</v>
      </c>
      <c r="R27" s="19">
        <v>40</v>
      </c>
      <c r="S27" s="19">
        <v>0.4</v>
      </c>
      <c r="T27" s="19">
        <v>0.3</v>
      </c>
      <c r="U27" s="19">
        <v>0.3</v>
      </c>
    </row>
    <row r="28" spans="1:21" x14ac:dyDescent="0.2">
      <c r="A28" s="19" t="s">
        <v>149</v>
      </c>
      <c r="B28" s="19" t="s">
        <v>150</v>
      </c>
      <c r="C28" s="19" t="s">
        <v>151</v>
      </c>
      <c r="D28" s="19" t="s">
        <v>152</v>
      </c>
      <c r="E28" s="19" t="s">
        <v>153</v>
      </c>
      <c r="F28" s="19" t="s">
        <v>154</v>
      </c>
      <c r="G28" s="19" t="s">
        <v>125</v>
      </c>
      <c r="H28" s="19" t="s">
        <v>25</v>
      </c>
      <c r="I28" s="19" t="s">
        <v>48</v>
      </c>
      <c r="J28" s="19" t="s">
        <v>49</v>
      </c>
      <c r="K28" s="19">
        <v>1</v>
      </c>
      <c r="L28" s="19" t="s">
        <v>50</v>
      </c>
      <c r="M28" s="19">
        <v>2021</v>
      </c>
      <c r="N28" s="19" t="s">
        <v>90</v>
      </c>
      <c r="O28" s="19">
        <v>30</v>
      </c>
      <c r="P28" s="19" t="s">
        <v>31</v>
      </c>
      <c r="Q28" s="19">
        <v>30</v>
      </c>
      <c r="R28" s="19">
        <v>40</v>
      </c>
      <c r="S28" s="19">
        <v>0.4</v>
      </c>
      <c r="T28" s="19">
        <v>0.3</v>
      </c>
      <c r="U28" s="19">
        <v>0.3</v>
      </c>
    </row>
    <row r="29" spans="1:21" x14ac:dyDescent="0.2">
      <c r="A29" s="19" t="s">
        <v>36</v>
      </c>
      <c r="B29" s="19" t="s">
        <v>37</v>
      </c>
      <c r="C29" s="19" t="s">
        <v>38</v>
      </c>
      <c r="D29" s="19" t="s">
        <v>217</v>
      </c>
      <c r="E29" s="19" t="s">
        <v>174</v>
      </c>
      <c r="F29" s="19" t="s">
        <v>175</v>
      </c>
      <c r="G29" s="19" t="s">
        <v>125</v>
      </c>
      <c r="H29" s="19" t="s">
        <v>22</v>
      </c>
      <c r="I29" s="19" t="s">
        <v>48</v>
      </c>
      <c r="J29" s="19" t="s">
        <v>49</v>
      </c>
      <c r="K29" s="19">
        <v>0.5</v>
      </c>
      <c r="L29" s="19" t="s">
        <v>50</v>
      </c>
      <c r="M29" s="19">
        <v>2022</v>
      </c>
      <c r="N29" s="19" t="s">
        <v>90</v>
      </c>
      <c r="O29" s="19">
        <v>30</v>
      </c>
      <c r="P29" s="19" t="s">
        <v>31</v>
      </c>
      <c r="Q29" s="19">
        <v>30</v>
      </c>
      <c r="R29" s="19">
        <v>40</v>
      </c>
      <c r="S29" s="19">
        <v>0.2</v>
      </c>
      <c r="T29" s="19">
        <v>0.15</v>
      </c>
      <c r="U29" s="19">
        <v>0.15</v>
      </c>
    </row>
    <row r="30" spans="1:21" x14ac:dyDescent="0.2">
      <c r="A30" s="19" t="s">
        <v>27</v>
      </c>
      <c r="B30" s="19" t="s">
        <v>170</v>
      </c>
      <c r="C30" s="19" t="s">
        <v>29</v>
      </c>
      <c r="D30" s="19" t="s">
        <v>210</v>
      </c>
      <c r="E30" s="19" t="s">
        <v>173</v>
      </c>
      <c r="F30" s="19" t="s">
        <v>166</v>
      </c>
      <c r="G30" s="19" t="s">
        <v>125</v>
      </c>
      <c r="H30" s="19" t="s">
        <v>22</v>
      </c>
      <c r="I30" s="19" t="s">
        <v>48</v>
      </c>
      <c r="J30" s="19" t="s">
        <v>49</v>
      </c>
      <c r="K30" s="19">
        <v>0.5</v>
      </c>
      <c r="L30" s="19" t="s">
        <v>50</v>
      </c>
      <c r="M30" s="19">
        <v>2022</v>
      </c>
      <c r="N30" s="19" t="s">
        <v>90</v>
      </c>
      <c r="O30" s="19">
        <v>30</v>
      </c>
      <c r="P30" s="19" t="s">
        <v>31</v>
      </c>
      <c r="Q30" s="19">
        <v>30</v>
      </c>
      <c r="R30" s="19">
        <v>40</v>
      </c>
      <c r="S30" s="19">
        <v>0.2</v>
      </c>
      <c r="T30" s="19">
        <v>0.15</v>
      </c>
      <c r="U30" s="19">
        <v>0.15</v>
      </c>
    </row>
    <row r="31" spans="1:21" x14ac:dyDescent="0.2">
      <c r="A31" s="19" t="s">
        <v>149</v>
      </c>
      <c r="B31" s="19" t="s">
        <v>176</v>
      </c>
      <c r="C31" s="19" t="s">
        <v>151</v>
      </c>
      <c r="D31" s="19" t="s">
        <v>218</v>
      </c>
      <c r="E31" s="19" t="s">
        <v>177</v>
      </c>
      <c r="F31" s="19" t="s">
        <v>178</v>
      </c>
      <c r="G31" s="19" t="s">
        <v>125</v>
      </c>
      <c r="H31" s="19" t="s">
        <v>25</v>
      </c>
      <c r="I31" s="19" t="s">
        <v>48</v>
      </c>
      <c r="J31" s="19" t="s">
        <v>49</v>
      </c>
      <c r="K31" s="19">
        <v>1</v>
      </c>
      <c r="L31" s="19" t="s">
        <v>50</v>
      </c>
      <c r="M31" s="19">
        <v>2022</v>
      </c>
      <c r="N31" s="19" t="s">
        <v>90</v>
      </c>
      <c r="O31" s="19">
        <v>30</v>
      </c>
      <c r="P31" s="19" t="s">
        <v>31</v>
      </c>
      <c r="Q31" s="19">
        <v>30</v>
      </c>
      <c r="R31" s="19">
        <v>40</v>
      </c>
      <c r="S31" s="19">
        <v>0.4</v>
      </c>
      <c r="T31" s="19">
        <v>0.3</v>
      </c>
      <c r="U31" s="19">
        <v>0.3</v>
      </c>
    </row>
    <row r="32" spans="1:21" x14ac:dyDescent="0.2">
      <c r="A32" s="19" t="s">
        <v>193</v>
      </c>
      <c r="B32" s="19" t="s">
        <v>194</v>
      </c>
      <c r="C32" s="19" t="s">
        <v>195</v>
      </c>
      <c r="D32" s="19" t="s">
        <v>225</v>
      </c>
      <c r="E32" s="19" t="s">
        <v>226</v>
      </c>
      <c r="F32" s="19" t="s">
        <v>227</v>
      </c>
      <c r="G32" s="19" t="s">
        <v>156</v>
      </c>
      <c r="H32" s="19" t="s">
        <v>199</v>
      </c>
      <c r="I32" s="19" t="s">
        <v>50</v>
      </c>
      <c r="J32" s="19" t="s">
        <v>200</v>
      </c>
      <c r="K32" s="19">
        <v>1</v>
      </c>
      <c r="L32" s="19" t="s">
        <v>50</v>
      </c>
      <c r="M32" s="19">
        <v>2023</v>
      </c>
      <c r="N32" s="19" t="s">
        <v>90</v>
      </c>
      <c r="O32" s="19" t="s">
        <v>39</v>
      </c>
      <c r="P32" s="19" t="s">
        <v>31</v>
      </c>
      <c r="Q32" s="19" t="s">
        <v>39</v>
      </c>
      <c r="R32" s="19">
        <v>40</v>
      </c>
      <c r="S32" s="19">
        <v>0.4</v>
      </c>
      <c r="T32" s="19">
        <v>0.3</v>
      </c>
      <c r="U32" s="19">
        <v>0.3</v>
      </c>
    </row>
    <row r="33" spans="1:21" x14ac:dyDescent="0.2">
      <c r="A33" s="19" t="s">
        <v>193</v>
      </c>
      <c r="B33" s="19" t="s">
        <v>194</v>
      </c>
      <c r="C33" s="19" t="s">
        <v>195</v>
      </c>
      <c r="D33" s="19" t="s">
        <v>228</v>
      </c>
      <c r="E33" s="19" t="s">
        <v>229</v>
      </c>
      <c r="F33" s="19" t="s">
        <v>230</v>
      </c>
      <c r="G33" s="19" t="s">
        <v>73</v>
      </c>
      <c r="H33" s="19" t="s">
        <v>216</v>
      </c>
      <c r="I33" s="19" t="s">
        <v>45</v>
      </c>
      <c r="J33" s="19" t="s">
        <v>231</v>
      </c>
      <c r="K33" s="19">
        <v>0.5</v>
      </c>
      <c r="L33" s="19" t="s">
        <v>45</v>
      </c>
      <c r="M33" s="19">
        <v>2023</v>
      </c>
      <c r="N33" s="19" t="s">
        <v>31</v>
      </c>
      <c r="O33" s="19" t="s">
        <v>46</v>
      </c>
      <c r="P33" s="19" t="s">
        <v>24</v>
      </c>
      <c r="Q33" s="19" t="s">
        <v>24</v>
      </c>
      <c r="R33" s="19">
        <v>30</v>
      </c>
      <c r="S33" s="19">
        <v>0.15</v>
      </c>
      <c r="T33" s="19">
        <v>0.35</v>
      </c>
      <c r="U33" s="19">
        <v>0</v>
      </c>
    </row>
    <row r="34" spans="1:21" x14ac:dyDescent="0.2">
      <c r="A34" s="19" t="s">
        <v>193</v>
      </c>
      <c r="B34" s="19" t="s">
        <v>194</v>
      </c>
      <c r="C34" s="19" t="s">
        <v>195</v>
      </c>
      <c r="D34" s="19" t="s">
        <v>228</v>
      </c>
      <c r="E34" s="19" t="s">
        <v>229</v>
      </c>
      <c r="F34" s="19" t="s">
        <v>230</v>
      </c>
      <c r="G34" s="19" t="s">
        <v>76</v>
      </c>
      <c r="H34" s="19" t="s">
        <v>216</v>
      </c>
      <c r="I34" s="19" t="s">
        <v>45</v>
      </c>
      <c r="J34" s="19" t="s">
        <v>231</v>
      </c>
      <c r="K34" s="19">
        <v>0.5</v>
      </c>
      <c r="L34" s="19" t="s">
        <v>45</v>
      </c>
      <c r="M34" s="19">
        <v>2023</v>
      </c>
      <c r="N34" s="19" t="s">
        <v>31</v>
      </c>
      <c r="O34" s="19" t="s">
        <v>35</v>
      </c>
      <c r="P34" s="19" t="s">
        <v>30</v>
      </c>
      <c r="Q34" s="19" t="s">
        <v>34</v>
      </c>
      <c r="R34" s="19">
        <v>50</v>
      </c>
      <c r="S34" s="19">
        <v>0.25</v>
      </c>
      <c r="T34" s="19">
        <v>0.2</v>
      </c>
      <c r="U34" s="19">
        <v>0.05</v>
      </c>
    </row>
    <row r="35" spans="1:21" x14ac:dyDescent="0.2">
      <c r="A35" s="19" t="s">
        <v>193</v>
      </c>
      <c r="B35" s="19" t="s">
        <v>258</v>
      </c>
      <c r="C35" s="19" t="s">
        <v>195</v>
      </c>
      <c r="D35" s="19" t="s">
        <v>259</v>
      </c>
      <c r="E35" s="19" t="s">
        <v>260</v>
      </c>
      <c r="F35" s="19" t="s">
        <v>261</v>
      </c>
      <c r="G35" s="19" t="s">
        <v>155</v>
      </c>
      <c r="H35" s="19" t="s">
        <v>199</v>
      </c>
      <c r="I35" s="19" t="s">
        <v>50</v>
      </c>
      <c r="J35" s="19" t="s">
        <v>262</v>
      </c>
      <c r="K35" s="19">
        <v>1</v>
      </c>
      <c r="L35" s="19" t="s">
        <v>50</v>
      </c>
      <c r="M35" s="19">
        <v>2024</v>
      </c>
      <c r="N35" s="19" t="s">
        <v>31</v>
      </c>
      <c r="O35" s="19" t="s">
        <v>34</v>
      </c>
      <c r="P35" s="19" t="s">
        <v>24</v>
      </c>
      <c r="Q35" s="19" t="s">
        <v>24</v>
      </c>
      <c r="R35" s="19">
        <v>90</v>
      </c>
      <c r="S35" s="19">
        <v>0.9</v>
      </c>
      <c r="T35" s="19">
        <v>0.1</v>
      </c>
      <c r="U35" s="19">
        <v>0</v>
      </c>
    </row>
    <row r="36" spans="1:21" x14ac:dyDescent="0.2">
      <c r="A36" s="19" t="s">
        <v>193</v>
      </c>
      <c r="B36" s="19" t="s">
        <v>258</v>
      </c>
      <c r="C36" s="19" t="s">
        <v>195</v>
      </c>
      <c r="D36" s="19" t="s">
        <v>263</v>
      </c>
      <c r="E36" s="19" t="s">
        <v>264</v>
      </c>
      <c r="F36" s="19" t="s">
        <v>265</v>
      </c>
      <c r="G36" s="19" t="s">
        <v>155</v>
      </c>
      <c r="H36" s="19" t="s">
        <v>199</v>
      </c>
      <c r="I36" s="19" t="s">
        <v>50</v>
      </c>
      <c r="J36" s="19" t="s">
        <v>262</v>
      </c>
      <c r="K36" s="19">
        <v>1</v>
      </c>
      <c r="L36" s="19" t="s">
        <v>50</v>
      </c>
      <c r="M36" s="19">
        <v>2024</v>
      </c>
      <c r="N36" s="19" t="s">
        <v>31</v>
      </c>
      <c r="O36" s="19" t="s">
        <v>34</v>
      </c>
      <c r="P36" s="19" t="s">
        <v>24</v>
      </c>
      <c r="Q36" s="19" t="s">
        <v>24</v>
      </c>
      <c r="R36" s="19">
        <v>90</v>
      </c>
      <c r="S36" s="19">
        <v>0.9</v>
      </c>
      <c r="T36" s="19">
        <v>0.1</v>
      </c>
      <c r="U36" s="19">
        <v>0</v>
      </c>
    </row>
    <row r="37" spans="1:21" x14ac:dyDescent="0.2">
      <c r="A37" s="19" t="s">
        <v>266</v>
      </c>
      <c r="B37" s="19" t="s">
        <v>267</v>
      </c>
      <c r="C37" s="19" t="s">
        <v>268</v>
      </c>
      <c r="D37" s="19" t="s">
        <v>269</v>
      </c>
      <c r="E37" s="19" t="s">
        <v>270</v>
      </c>
      <c r="F37" s="19" t="s">
        <v>271</v>
      </c>
      <c r="G37" s="19" t="s">
        <v>156</v>
      </c>
      <c r="H37" s="19" t="s">
        <v>216</v>
      </c>
      <c r="I37" s="19" t="s">
        <v>50</v>
      </c>
      <c r="J37" s="19" t="s">
        <v>262</v>
      </c>
      <c r="K37" s="19">
        <v>0.5</v>
      </c>
      <c r="L37" s="19" t="s">
        <v>50</v>
      </c>
      <c r="M37" s="19">
        <v>2024</v>
      </c>
      <c r="N37" s="19" t="s">
        <v>31</v>
      </c>
      <c r="O37" s="19" t="s">
        <v>39</v>
      </c>
      <c r="P37" s="19" t="s">
        <v>90</v>
      </c>
      <c r="Q37" s="19" t="s">
        <v>39</v>
      </c>
      <c r="R37" s="19">
        <v>40</v>
      </c>
      <c r="S37" s="19">
        <v>0.2</v>
      </c>
      <c r="T37" s="19">
        <v>0.15</v>
      </c>
      <c r="U37" s="19">
        <v>0.15</v>
      </c>
    </row>
    <row r="38" spans="1:21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4"/>
      <c r="N38" s="23"/>
      <c r="O38" s="24"/>
      <c r="P38" s="23"/>
      <c r="Q38" s="24"/>
      <c r="R38" s="23"/>
      <c r="S38" s="23"/>
      <c r="T38" s="25">
        <f>SUM(T2:T19,U20:U32,T33:T37)</f>
        <v>8.8000000000000007</v>
      </c>
      <c r="U38" s="23"/>
    </row>
  </sheetData>
  <autoFilter ref="A1:U38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7"/>
  <sheetViews>
    <sheetView topLeftCell="A7" zoomScaleNormal="100" workbookViewId="0">
      <selection activeCell="U20" sqref="U20"/>
    </sheetView>
  </sheetViews>
  <sheetFormatPr baseColWidth="10" defaultColWidth="11.42578125" defaultRowHeight="12.75" x14ac:dyDescent="0.2"/>
  <cols>
    <col min="1" max="1" width="10.85546875" style="11" bestFit="1" customWidth="1"/>
    <col min="2" max="2" width="38.8554687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2" width="5.7109375" style="11" bestFit="1" customWidth="1"/>
    <col min="13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4" s="10" customFormat="1" ht="65.099999999999994" customHeight="1" x14ac:dyDescent="0.2">
      <c r="A1" s="13" t="s">
        <v>53</v>
      </c>
      <c r="B1" s="13" t="s">
        <v>54</v>
      </c>
      <c r="C1" s="13" t="s">
        <v>55</v>
      </c>
      <c r="D1" s="14" t="s">
        <v>272</v>
      </c>
      <c r="E1" s="14" t="s">
        <v>273</v>
      </c>
      <c r="F1" s="14" t="s">
        <v>274</v>
      </c>
      <c r="G1" s="14" t="s">
        <v>275</v>
      </c>
      <c r="H1" s="14" t="s">
        <v>276</v>
      </c>
      <c r="I1" s="14" t="s">
        <v>277</v>
      </c>
      <c r="J1" s="13" t="s">
        <v>56</v>
      </c>
      <c r="K1" s="15" t="s">
        <v>86</v>
      </c>
      <c r="L1" s="8" t="s">
        <v>57</v>
      </c>
      <c r="M1" s="8" t="s">
        <v>58</v>
      </c>
      <c r="N1" s="8" t="s">
        <v>59</v>
      </c>
      <c r="O1" s="8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11"/>
    </row>
    <row r="2" spans="1:24" ht="15" x14ac:dyDescent="0.25">
      <c r="A2" s="16" t="s">
        <v>68</v>
      </c>
      <c r="B2" s="16" t="s">
        <v>278</v>
      </c>
      <c r="C2" s="16" t="s">
        <v>65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33</v>
      </c>
      <c r="L2" s="17" t="s">
        <v>31</v>
      </c>
      <c r="M2" s="17" t="s">
        <v>221</v>
      </c>
      <c r="N2" s="17" t="s">
        <v>23</v>
      </c>
      <c r="O2" s="17" t="s">
        <v>34</v>
      </c>
      <c r="P2" s="53">
        <v>70</v>
      </c>
      <c r="Q2" s="53">
        <v>0.2</v>
      </c>
      <c r="R2" s="53">
        <v>0.1</v>
      </c>
      <c r="S2" s="53">
        <v>0.7</v>
      </c>
    </row>
    <row r="3" spans="1:24" ht="15" x14ac:dyDescent="0.25">
      <c r="A3" s="16" t="s">
        <v>84</v>
      </c>
      <c r="B3" s="16" t="s">
        <v>279</v>
      </c>
      <c r="C3" s="16" t="s">
        <v>65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45</v>
      </c>
      <c r="L3" s="17" t="s">
        <v>31</v>
      </c>
      <c r="M3" s="17" t="s">
        <v>35</v>
      </c>
      <c r="N3" s="17" t="s">
        <v>26</v>
      </c>
      <c r="O3" s="17" t="s">
        <v>221</v>
      </c>
      <c r="P3" s="53">
        <v>40</v>
      </c>
      <c r="Q3" s="53">
        <v>0.4</v>
      </c>
      <c r="R3" s="53">
        <v>0.2</v>
      </c>
      <c r="S3" s="53">
        <v>0.4</v>
      </c>
    </row>
    <row r="4" spans="1:24" ht="15" x14ac:dyDescent="0.25">
      <c r="A4" s="16" t="s">
        <v>73</v>
      </c>
      <c r="B4" s="16" t="s">
        <v>280</v>
      </c>
      <c r="C4" s="16" t="s">
        <v>65</v>
      </c>
      <c r="D4" s="16"/>
      <c r="E4" s="16">
        <v>1</v>
      </c>
      <c r="F4" s="16"/>
      <c r="G4" s="16"/>
      <c r="H4" s="16"/>
      <c r="I4" s="16"/>
      <c r="J4" s="16">
        <v>1</v>
      </c>
      <c r="K4" s="16" t="s">
        <v>45</v>
      </c>
      <c r="L4" s="17" t="s">
        <v>31</v>
      </c>
      <c r="M4" s="17" t="s">
        <v>46</v>
      </c>
      <c r="N4" s="17" t="s">
        <v>24</v>
      </c>
      <c r="O4" s="17" t="s">
        <v>24</v>
      </c>
      <c r="P4" s="53">
        <v>30</v>
      </c>
      <c r="Q4" s="53">
        <v>0.7</v>
      </c>
      <c r="R4" s="53">
        <v>0</v>
      </c>
      <c r="S4" s="53">
        <v>0.3</v>
      </c>
    </row>
    <row r="5" spans="1:24" ht="15" x14ac:dyDescent="0.25">
      <c r="A5" s="16" t="s">
        <v>71</v>
      </c>
      <c r="B5" s="16" t="s">
        <v>281</v>
      </c>
      <c r="C5" s="16" t="s">
        <v>65</v>
      </c>
      <c r="D5" s="16">
        <v>1</v>
      </c>
      <c r="E5" s="16"/>
      <c r="F5" s="16"/>
      <c r="G5" s="16"/>
      <c r="H5" s="16"/>
      <c r="I5" s="16"/>
      <c r="J5" s="16">
        <v>1</v>
      </c>
      <c r="K5" s="16" t="s">
        <v>45</v>
      </c>
      <c r="L5" s="17" t="s">
        <v>31</v>
      </c>
      <c r="M5" s="17" t="s">
        <v>220</v>
      </c>
      <c r="N5" s="17" t="s">
        <v>24</v>
      </c>
      <c r="O5" s="17" t="s">
        <v>24</v>
      </c>
      <c r="P5" s="53">
        <v>50</v>
      </c>
      <c r="Q5" s="53">
        <v>0.5</v>
      </c>
      <c r="R5" s="53">
        <v>0</v>
      </c>
      <c r="S5" s="53">
        <v>0.5</v>
      </c>
    </row>
    <row r="6" spans="1:24" ht="15" x14ac:dyDescent="0.25">
      <c r="A6" s="16" t="s">
        <v>77</v>
      </c>
      <c r="B6" s="16" t="s">
        <v>282</v>
      </c>
      <c r="C6" s="16" t="s">
        <v>65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45</v>
      </c>
      <c r="L6" s="17" t="s">
        <v>31</v>
      </c>
      <c r="M6" s="17" t="s">
        <v>220</v>
      </c>
      <c r="N6" s="17" t="s">
        <v>30</v>
      </c>
      <c r="O6" s="17" t="s">
        <v>34</v>
      </c>
      <c r="P6" s="53">
        <v>40</v>
      </c>
      <c r="Q6" s="53">
        <v>0.5</v>
      </c>
      <c r="R6" s="53">
        <v>0.1</v>
      </c>
      <c r="S6" s="53">
        <v>0.4</v>
      </c>
    </row>
    <row r="7" spans="1:24" ht="15" x14ac:dyDescent="0.25">
      <c r="A7" s="16" t="s">
        <v>91</v>
      </c>
      <c r="B7" s="16" t="s">
        <v>283</v>
      </c>
      <c r="C7" s="16" t="s">
        <v>65</v>
      </c>
      <c r="D7" s="16"/>
      <c r="E7" s="16">
        <v>1</v>
      </c>
      <c r="F7" s="16"/>
      <c r="G7" s="16"/>
      <c r="H7" s="16"/>
      <c r="I7" s="16"/>
      <c r="J7" s="16">
        <v>1</v>
      </c>
      <c r="K7" s="16" t="s">
        <v>45</v>
      </c>
      <c r="L7" s="17" t="s">
        <v>31</v>
      </c>
      <c r="M7" s="17" t="s">
        <v>35</v>
      </c>
      <c r="N7" s="17" t="s">
        <v>26</v>
      </c>
      <c r="O7" s="17" t="s">
        <v>221</v>
      </c>
      <c r="P7" s="53">
        <v>40</v>
      </c>
      <c r="Q7" s="53">
        <v>0.4</v>
      </c>
      <c r="R7" s="53">
        <v>0.2</v>
      </c>
      <c r="S7" s="53">
        <v>0.4</v>
      </c>
    </row>
    <row r="8" spans="1:24" ht="15" x14ac:dyDescent="0.25">
      <c r="A8" s="16" t="s">
        <v>284</v>
      </c>
      <c r="B8" s="16" t="s">
        <v>285</v>
      </c>
      <c r="C8" s="16" t="s">
        <v>65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286</v>
      </c>
      <c r="L8" s="17" t="s">
        <v>31</v>
      </c>
      <c r="M8" s="17" t="s">
        <v>34</v>
      </c>
      <c r="N8" s="17" t="s">
        <v>24</v>
      </c>
      <c r="O8" s="17" t="s">
        <v>24</v>
      </c>
      <c r="P8" s="53">
        <v>90</v>
      </c>
      <c r="Q8" s="53">
        <v>0.1</v>
      </c>
      <c r="R8" s="53">
        <v>0</v>
      </c>
      <c r="S8" s="53">
        <v>0.9</v>
      </c>
    </row>
    <row r="9" spans="1:24" ht="15" x14ac:dyDescent="0.25">
      <c r="A9" s="16" t="s">
        <v>85</v>
      </c>
      <c r="B9" s="16" t="s">
        <v>287</v>
      </c>
      <c r="C9" s="16" t="s">
        <v>66</v>
      </c>
      <c r="D9" s="16"/>
      <c r="E9" s="16"/>
      <c r="F9" s="16"/>
      <c r="G9" s="16"/>
      <c r="H9" s="16">
        <v>1</v>
      </c>
      <c r="I9" s="16"/>
      <c r="J9" s="16">
        <v>1</v>
      </c>
      <c r="K9" s="16" t="s">
        <v>45</v>
      </c>
      <c r="L9" s="17" t="s">
        <v>31</v>
      </c>
      <c r="M9" s="17" t="s">
        <v>221</v>
      </c>
      <c r="N9" s="17" t="s">
        <v>30</v>
      </c>
      <c r="O9" s="17" t="s">
        <v>220</v>
      </c>
      <c r="P9" s="53">
        <v>30</v>
      </c>
      <c r="Q9" s="53">
        <v>0.2</v>
      </c>
      <c r="R9" s="53">
        <v>0.5</v>
      </c>
      <c r="S9" s="53">
        <v>0.3</v>
      </c>
      <c r="X9" s="20"/>
    </row>
    <row r="10" spans="1:24" ht="15" x14ac:dyDescent="0.25">
      <c r="A10" s="16" t="s">
        <v>89</v>
      </c>
      <c r="B10" s="16" t="s">
        <v>288</v>
      </c>
      <c r="C10" s="16" t="s">
        <v>65</v>
      </c>
      <c r="D10" s="16"/>
      <c r="E10" s="16">
        <v>1</v>
      </c>
      <c r="F10" s="16"/>
      <c r="G10" s="16"/>
      <c r="H10" s="16"/>
      <c r="I10" s="16"/>
      <c r="J10" s="16">
        <v>1</v>
      </c>
      <c r="K10" s="16" t="s">
        <v>87</v>
      </c>
      <c r="L10" s="17" t="s">
        <v>31</v>
      </c>
      <c r="M10" s="17" t="s">
        <v>220</v>
      </c>
      <c r="N10" s="17" t="s">
        <v>24</v>
      </c>
      <c r="O10" s="17" t="s">
        <v>24</v>
      </c>
      <c r="P10" s="53">
        <v>50</v>
      </c>
      <c r="Q10" s="53">
        <v>0.5</v>
      </c>
      <c r="R10" s="53">
        <v>0</v>
      </c>
      <c r="S10" s="53">
        <v>0.5</v>
      </c>
    </row>
    <row r="11" spans="1:24" ht="15" x14ac:dyDescent="0.25">
      <c r="A11" s="16" t="s">
        <v>70</v>
      </c>
      <c r="B11" s="16" t="s">
        <v>289</v>
      </c>
      <c r="C11" s="16" t="s">
        <v>66</v>
      </c>
      <c r="D11" s="16"/>
      <c r="E11" s="16"/>
      <c r="F11" s="16"/>
      <c r="G11" s="16"/>
      <c r="H11" s="16"/>
      <c r="I11" s="16">
        <v>1</v>
      </c>
      <c r="J11" s="16">
        <v>1</v>
      </c>
      <c r="K11" s="16" t="s">
        <v>45</v>
      </c>
      <c r="L11" s="17" t="s">
        <v>31</v>
      </c>
      <c r="M11" s="17" t="s">
        <v>220</v>
      </c>
      <c r="N11" s="17" t="s">
        <v>24</v>
      </c>
      <c r="O11" s="17" t="s">
        <v>24</v>
      </c>
      <c r="P11" s="53">
        <v>50</v>
      </c>
      <c r="Q11" s="53">
        <v>0.5</v>
      </c>
      <c r="R11" s="53">
        <v>0</v>
      </c>
      <c r="S11" s="53">
        <v>0.5</v>
      </c>
    </row>
    <row r="12" spans="1:24" ht="15" x14ac:dyDescent="0.25">
      <c r="A12" s="16" t="s">
        <v>180</v>
      </c>
      <c r="B12" s="16" t="s">
        <v>290</v>
      </c>
      <c r="C12" s="16" t="s">
        <v>65</v>
      </c>
      <c r="D12" s="16"/>
      <c r="E12" s="16"/>
      <c r="F12" s="16"/>
      <c r="G12" s="16"/>
      <c r="H12" s="16">
        <v>1</v>
      </c>
      <c r="I12" s="16"/>
      <c r="J12" s="16">
        <v>1</v>
      </c>
      <c r="K12" s="16" t="s">
        <v>181</v>
      </c>
      <c r="L12" s="17" t="s">
        <v>31</v>
      </c>
      <c r="M12" s="17" t="s">
        <v>39</v>
      </c>
      <c r="N12" s="17" t="s">
        <v>24</v>
      </c>
      <c r="O12" s="17" t="s">
        <v>24</v>
      </c>
      <c r="P12" s="53">
        <v>70</v>
      </c>
      <c r="Q12" s="53">
        <v>0.3</v>
      </c>
      <c r="R12" s="53">
        <v>0</v>
      </c>
      <c r="S12" s="53">
        <v>0.7</v>
      </c>
    </row>
    <row r="13" spans="1:24" ht="15" x14ac:dyDescent="0.25">
      <c r="A13" s="16" t="s">
        <v>67</v>
      </c>
      <c r="B13" s="16" t="s">
        <v>291</v>
      </c>
      <c r="C13" s="16" t="s">
        <v>65</v>
      </c>
      <c r="D13" s="16"/>
      <c r="E13" s="16"/>
      <c r="F13" s="16"/>
      <c r="G13" s="16"/>
      <c r="H13" s="16">
        <v>1</v>
      </c>
      <c r="I13" s="16"/>
      <c r="J13" s="16">
        <v>1</v>
      </c>
      <c r="K13" s="16" t="s">
        <v>33</v>
      </c>
      <c r="L13" s="17" t="s">
        <v>31</v>
      </c>
      <c r="M13" s="17" t="s">
        <v>39</v>
      </c>
      <c r="N13" s="17" t="s">
        <v>23</v>
      </c>
      <c r="O13" s="17" t="s">
        <v>221</v>
      </c>
      <c r="P13" s="53">
        <v>50</v>
      </c>
      <c r="Q13" s="53">
        <v>0.3</v>
      </c>
      <c r="R13" s="53">
        <v>0.2</v>
      </c>
      <c r="S13" s="53">
        <v>0.5</v>
      </c>
    </row>
    <row r="14" spans="1:24" ht="15" x14ac:dyDescent="0.25">
      <c r="A14" s="16" t="s">
        <v>155</v>
      </c>
      <c r="B14" s="16" t="s">
        <v>292</v>
      </c>
      <c r="C14" s="16" t="s">
        <v>66</v>
      </c>
      <c r="D14" s="16"/>
      <c r="E14" s="16"/>
      <c r="F14" s="16">
        <v>1</v>
      </c>
      <c r="G14" s="16"/>
      <c r="H14" s="16">
        <v>1</v>
      </c>
      <c r="I14" s="16"/>
      <c r="J14" s="16">
        <v>2</v>
      </c>
      <c r="K14" s="16" t="s">
        <v>50</v>
      </c>
      <c r="L14" s="17" t="s">
        <v>31</v>
      </c>
      <c r="M14" s="17" t="s">
        <v>34</v>
      </c>
      <c r="N14" s="17" t="s">
        <v>24</v>
      </c>
      <c r="O14" s="17" t="s">
        <v>24</v>
      </c>
      <c r="P14" s="53">
        <v>90</v>
      </c>
      <c r="Q14" s="53">
        <v>0.2</v>
      </c>
      <c r="R14" s="53">
        <v>0</v>
      </c>
      <c r="S14" s="53">
        <v>1.8</v>
      </c>
    </row>
    <row r="15" spans="1:24" ht="15" x14ac:dyDescent="0.25">
      <c r="A15" s="29" t="s">
        <v>69</v>
      </c>
      <c r="B15" s="29" t="s">
        <v>293</v>
      </c>
      <c r="C15" s="30" t="s">
        <v>65</v>
      </c>
      <c r="D15" s="29"/>
      <c r="E15" s="29"/>
      <c r="F15" s="29">
        <v>1</v>
      </c>
      <c r="G15" s="29"/>
      <c r="H15" s="29"/>
      <c r="I15" s="29"/>
      <c r="J15" s="29">
        <v>1</v>
      </c>
      <c r="K15" s="16" t="s">
        <v>45</v>
      </c>
      <c r="L15" s="31" t="s">
        <v>31</v>
      </c>
      <c r="M15" s="31" t="s">
        <v>220</v>
      </c>
      <c r="N15" s="31" t="s">
        <v>26</v>
      </c>
      <c r="O15" s="31" t="s">
        <v>221</v>
      </c>
      <c r="P15" s="54">
        <v>30</v>
      </c>
      <c r="Q15" s="54">
        <v>0.5</v>
      </c>
      <c r="R15" s="54">
        <v>0.2</v>
      </c>
      <c r="S15" s="54">
        <v>0.3</v>
      </c>
    </row>
    <row r="16" spans="1:24" ht="15" x14ac:dyDescent="0.25">
      <c r="A16" s="29" t="s">
        <v>183</v>
      </c>
      <c r="B16" s="29" t="s">
        <v>294</v>
      </c>
      <c r="C16" s="30" t="s">
        <v>66</v>
      </c>
      <c r="D16" s="29"/>
      <c r="E16" s="29"/>
      <c r="F16" s="29"/>
      <c r="G16" s="29"/>
      <c r="H16" s="29"/>
      <c r="I16" s="29">
        <v>1</v>
      </c>
      <c r="J16" s="29">
        <v>1</v>
      </c>
      <c r="K16" s="16" t="s">
        <v>45</v>
      </c>
      <c r="L16" s="31" t="s">
        <v>31</v>
      </c>
      <c r="M16" s="31" t="s">
        <v>39</v>
      </c>
      <c r="N16" s="31" t="s">
        <v>30</v>
      </c>
      <c r="O16" s="31" t="s">
        <v>39</v>
      </c>
      <c r="P16" s="54">
        <v>40</v>
      </c>
      <c r="Q16" s="54">
        <v>0.3</v>
      </c>
      <c r="R16" s="54">
        <v>0.3</v>
      </c>
      <c r="S16" s="54">
        <v>0.4</v>
      </c>
    </row>
    <row r="17" spans="1:19" ht="15" x14ac:dyDescent="0.25">
      <c r="A17" s="16" t="s">
        <v>222</v>
      </c>
      <c r="B17" s="16" t="s">
        <v>295</v>
      </c>
      <c r="C17" s="16" t="s">
        <v>65</v>
      </c>
      <c r="D17" s="16"/>
      <c r="E17" s="16"/>
      <c r="F17" s="16"/>
      <c r="G17" s="16"/>
      <c r="H17" s="16">
        <v>2</v>
      </c>
      <c r="I17" s="16"/>
      <c r="J17" s="16">
        <v>2</v>
      </c>
      <c r="K17" s="16" t="s">
        <v>50</v>
      </c>
      <c r="L17" s="17" t="s">
        <v>31</v>
      </c>
      <c r="M17" s="17" t="s">
        <v>34</v>
      </c>
      <c r="N17" s="17" t="s">
        <v>24</v>
      </c>
      <c r="O17" s="17" t="s">
        <v>24</v>
      </c>
      <c r="P17" s="53">
        <v>90</v>
      </c>
      <c r="Q17" s="53">
        <v>0.2</v>
      </c>
      <c r="R17" s="53">
        <v>0</v>
      </c>
      <c r="S17" s="53">
        <v>1.8</v>
      </c>
    </row>
    <row r="18" spans="1:19" ht="15" x14ac:dyDescent="0.25">
      <c r="A18" s="16" t="s">
        <v>223</v>
      </c>
      <c r="B18" s="16" t="s">
        <v>296</v>
      </c>
      <c r="C18" s="16" t="s">
        <v>66</v>
      </c>
      <c r="D18" s="16"/>
      <c r="E18" s="16"/>
      <c r="F18" s="16"/>
      <c r="G18" s="16"/>
      <c r="H18" s="16">
        <v>1</v>
      </c>
      <c r="I18" s="16">
        <v>1</v>
      </c>
      <c r="J18" s="16">
        <v>2</v>
      </c>
      <c r="K18" s="16" t="s">
        <v>50</v>
      </c>
      <c r="L18" s="17" t="s">
        <v>31</v>
      </c>
      <c r="M18" s="17" t="s">
        <v>34</v>
      </c>
      <c r="N18" s="17" t="s">
        <v>224</v>
      </c>
      <c r="O18" s="17" t="s">
        <v>34</v>
      </c>
      <c r="P18" s="53">
        <v>80</v>
      </c>
      <c r="Q18" s="53">
        <v>0.2</v>
      </c>
      <c r="R18" s="53">
        <v>0.2</v>
      </c>
      <c r="S18" s="53">
        <v>1.6</v>
      </c>
    </row>
    <row r="19" spans="1:19" ht="15" x14ac:dyDescent="0.25">
      <c r="A19" s="16" t="s">
        <v>182</v>
      </c>
      <c r="B19" s="16" t="s">
        <v>297</v>
      </c>
      <c r="C19" s="16" t="s">
        <v>66</v>
      </c>
      <c r="D19" s="16"/>
      <c r="E19" s="16"/>
      <c r="F19" s="16"/>
      <c r="G19" s="16"/>
      <c r="H19" s="16">
        <v>1</v>
      </c>
      <c r="I19" s="16"/>
      <c r="J19" s="16">
        <v>1</v>
      </c>
      <c r="K19" s="16" t="s">
        <v>50</v>
      </c>
      <c r="L19" s="17" t="s">
        <v>31</v>
      </c>
      <c r="M19" s="17" t="s">
        <v>34</v>
      </c>
      <c r="N19" s="17" t="s">
        <v>24</v>
      </c>
      <c r="O19" s="17" t="s">
        <v>24</v>
      </c>
      <c r="P19" s="53">
        <v>90</v>
      </c>
      <c r="Q19" s="53">
        <v>0.1</v>
      </c>
      <c r="R19" s="53">
        <v>0</v>
      </c>
      <c r="S19" s="53">
        <v>0.9</v>
      </c>
    </row>
    <row r="20" spans="1:19" ht="15" x14ac:dyDescent="0.25">
      <c r="A20" s="16" t="s">
        <v>72</v>
      </c>
      <c r="B20" s="16" t="s">
        <v>298</v>
      </c>
      <c r="C20" s="16" t="s">
        <v>65</v>
      </c>
      <c r="D20" s="16">
        <v>1</v>
      </c>
      <c r="E20" s="16"/>
      <c r="F20" s="16"/>
      <c r="G20" s="16"/>
      <c r="H20" s="16"/>
      <c r="I20" s="16"/>
      <c r="J20" s="16">
        <v>1</v>
      </c>
      <c r="K20" s="16" t="s">
        <v>50</v>
      </c>
      <c r="L20" s="17" t="s">
        <v>31</v>
      </c>
      <c r="M20" s="17" t="s">
        <v>34</v>
      </c>
      <c r="N20" s="17" t="s">
        <v>24</v>
      </c>
      <c r="O20" s="17" t="s">
        <v>24</v>
      </c>
      <c r="P20" s="53">
        <v>90</v>
      </c>
      <c r="Q20" s="53">
        <v>0.1</v>
      </c>
      <c r="R20" s="53">
        <v>0</v>
      </c>
      <c r="S20" s="53">
        <v>0.9</v>
      </c>
    </row>
    <row r="21" spans="1:19" ht="15" x14ac:dyDescent="0.25">
      <c r="A21" s="16" t="s">
        <v>156</v>
      </c>
      <c r="B21" s="16" t="s">
        <v>299</v>
      </c>
      <c r="C21" s="16" t="s">
        <v>65</v>
      </c>
      <c r="D21" s="16"/>
      <c r="E21" s="16"/>
      <c r="F21" s="16"/>
      <c r="G21" s="16"/>
      <c r="H21" s="16"/>
      <c r="I21" s="16">
        <v>1</v>
      </c>
      <c r="J21" s="16">
        <v>1</v>
      </c>
      <c r="K21" s="16" t="s">
        <v>50</v>
      </c>
      <c r="L21" s="17" t="s">
        <v>31</v>
      </c>
      <c r="M21" s="17" t="s">
        <v>39</v>
      </c>
      <c r="N21" s="17" t="s">
        <v>90</v>
      </c>
      <c r="O21" s="17" t="s">
        <v>39</v>
      </c>
      <c r="P21" s="53">
        <v>40</v>
      </c>
      <c r="Q21" s="53">
        <v>0.3</v>
      </c>
      <c r="R21" s="53">
        <v>0.3</v>
      </c>
      <c r="S21" s="53">
        <v>0.4</v>
      </c>
    </row>
    <row r="22" spans="1:19" ht="15" x14ac:dyDescent="0.25">
      <c r="A22" s="16" t="s">
        <v>88</v>
      </c>
      <c r="B22" s="16" t="s">
        <v>300</v>
      </c>
      <c r="C22" s="18" t="s">
        <v>65</v>
      </c>
      <c r="D22" s="16"/>
      <c r="E22" s="16">
        <v>1</v>
      </c>
      <c r="F22" s="16"/>
      <c r="G22" s="16"/>
      <c r="H22" s="16"/>
      <c r="I22" s="16"/>
      <c r="J22" s="16">
        <v>1</v>
      </c>
      <c r="K22" s="16" t="s">
        <v>45</v>
      </c>
      <c r="L22" s="17" t="s">
        <v>30</v>
      </c>
      <c r="M22" s="17" t="s">
        <v>219</v>
      </c>
      <c r="N22" s="17" t="s">
        <v>31</v>
      </c>
      <c r="O22" s="17" t="s">
        <v>39</v>
      </c>
      <c r="P22" s="53">
        <v>35</v>
      </c>
      <c r="Q22" s="53">
        <v>0.35</v>
      </c>
      <c r="R22" s="53">
        <v>0.3</v>
      </c>
      <c r="S22" s="53">
        <v>0.35</v>
      </c>
    </row>
    <row r="23" spans="1:19" ht="15" x14ac:dyDescent="0.25">
      <c r="A23" s="16" t="s">
        <v>78</v>
      </c>
      <c r="B23" s="16" t="s">
        <v>301</v>
      </c>
      <c r="C23" s="16" t="s">
        <v>65</v>
      </c>
      <c r="D23" s="16"/>
      <c r="E23" s="16"/>
      <c r="F23" s="16"/>
      <c r="G23" s="16">
        <v>1</v>
      </c>
      <c r="H23" s="16"/>
      <c r="I23" s="16"/>
      <c r="J23" s="16">
        <v>1</v>
      </c>
      <c r="K23" s="16" t="s">
        <v>45</v>
      </c>
      <c r="L23" s="17" t="s">
        <v>30</v>
      </c>
      <c r="M23" s="17" t="s">
        <v>221</v>
      </c>
      <c r="N23" s="17" t="s">
        <v>31</v>
      </c>
      <c r="O23" s="17" t="s">
        <v>220</v>
      </c>
      <c r="P23" s="53">
        <v>30</v>
      </c>
      <c r="Q23" s="53">
        <v>0.2</v>
      </c>
      <c r="R23" s="53">
        <v>0.5</v>
      </c>
      <c r="S23" s="53">
        <v>0.3</v>
      </c>
    </row>
    <row r="24" spans="1:19" ht="15" x14ac:dyDescent="0.25">
      <c r="A24" s="16" t="s">
        <v>75</v>
      </c>
      <c r="B24" s="16" t="s">
        <v>302</v>
      </c>
      <c r="C24" s="16" t="s">
        <v>65</v>
      </c>
      <c r="D24" s="16"/>
      <c r="E24" s="16"/>
      <c r="F24" s="16"/>
      <c r="G24" s="16">
        <v>1</v>
      </c>
      <c r="H24" s="16"/>
      <c r="I24" s="16"/>
      <c r="J24" s="16">
        <v>1</v>
      </c>
      <c r="K24" s="16" t="s">
        <v>45</v>
      </c>
      <c r="L24" s="17" t="s">
        <v>30</v>
      </c>
      <c r="M24" s="17" t="s">
        <v>221</v>
      </c>
      <c r="N24" s="17" t="s">
        <v>31</v>
      </c>
      <c r="O24" s="17" t="s">
        <v>39</v>
      </c>
      <c r="P24" s="53">
        <v>50</v>
      </c>
      <c r="Q24" s="53">
        <v>0.2</v>
      </c>
      <c r="R24" s="53">
        <v>0.3</v>
      </c>
      <c r="S24" s="53">
        <v>0.5</v>
      </c>
    </row>
    <row r="25" spans="1:19" ht="15" x14ac:dyDescent="0.25">
      <c r="A25" s="16" t="s">
        <v>74</v>
      </c>
      <c r="B25" s="16" t="s">
        <v>303</v>
      </c>
      <c r="C25" s="16" t="s">
        <v>65</v>
      </c>
      <c r="D25" s="16">
        <v>1</v>
      </c>
      <c r="E25" s="16"/>
      <c r="F25" s="16"/>
      <c r="G25" s="16"/>
      <c r="H25" s="16"/>
      <c r="I25" s="16"/>
      <c r="J25" s="16">
        <v>1</v>
      </c>
      <c r="K25" s="16" t="s">
        <v>33</v>
      </c>
      <c r="L25" s="17" t="s">
        <v>23</v>
      </c>
      <c r="M25" s="17" t="s">
        <v>221</v>
      </c>
      <c r="N25" s="17" t="s">
        <v>31</v>
      </c>
      <c r="O25" s="17" t="s">
        <v>39</v>
      </c>
      <c r="P25" s="53">
        <v>50</v>
      </c>
      <c r="Q25" s="53">
        <v>0.2</v>
      </c>
      <c r="R25" s="53">
        <v>0.3</v>
      </c>
      <c r="S25" s="53">
        <v>0.5</v>
      </c>
    </row>
    <row r="26" spans="1:19" s="20" customFormat="1" ht="15" x14ac:dyDescent="0.25">
      <c r="A26" s="56" t="s">
        <v>76</v>
      </c>
      <c r="B26" s="56" t="s">
        <v>304</v>
      </c>
      <c r="C26" s="57" t="s">
        <v>65</v>
      </c>
      <c r="D26" s="56">
        <v>1</v>
      </c>
      <c r="E26" s="56"/>
      <c r="F26" s="56"/>
      <c r="G26" s="56"/>
      <c r="H26" s="56"/>
      <c r="I26" s="56"/>
      <c r="J26" s="56">
        <v>1</v>
      </c>
      <c r="K26" s="55" t="s">
        <v>45</v>
      </c>
      <c r="L26" s="58" t="s">
        <v>30</v>
      </c>
      <c r="M26" s="58" t="s">
        <v>34</v>
      </c>
      <c r="N26" s="58" t="s">
        <v>31</v>
      </c>
      <c r="O26" s="58" t="s">
        <v>35</v>
      </c>
      <c r="P26" s="59">
        <v>50</v>
      </c>
      <c r="Q26" s="59">
        <v>0.1</v>
      </c>
      <c r="R26" s="59">
        <v>0.4</v>
      </c>
      <c r="S26" s="59">
        <v>0.5</v>
      </c>
    </row>
    <row r="27" spans="1:19" ht="15" x14ac:dyDescent="0.25">
      <c r="A27" s="32"/>
      <c r="B27" s="32"/>
      <c r="C27" s="33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71">
        <f>SUM(R22:R26,Q2:Q21)</f>
        <v>8.3000000000000007</v>
      </c>
      <c r="R27" s="71"/>
      <c r="S27" s="32"/>
    </row>
  </sheetData>
  <mergeCells count="1">
    <mergeCell ref="Q27:R27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A38-89D3-44C0-9D4D-B7FD36C6F4FB}">
  <dimension ref="A1:C7"/>
  <sheetViews>
    <sheetView workbookViewId="0">
      <selection activeCell="F14" sqref="F14"/>
    </sheetView>
  </sheetViews>
  <sheetFormatPr baseColWidth="10" defaultRowHeight="15" x14ac:dyDescent="0.25"/>
  <cols>
    <col min="1" max="1" width="17.42578125" customWidth="1"/>
    <col min="2" max="2" width="54" customWidth="1"/>
    <col min="3" max="3" width="16" customWidth="1"/>
  </cols>
  <sheetData>
    <row r="1" spans="1:3" x14ac:dyDescent="0.25">
      <c r="A1" s="37" t="s">
        <v>106</v>
      </c>
      <c r="B1" s="37" t="s">
        <v>107</v>
      </c>
      <c r="C1" s="37" t="s">
        <v>157</v>
      </c>
    </row>
    <row r="2" spans="1:3" x14ac:dyDescent="0.25">
      <c r="A2" s="26" t="s">
        <v>184</v>
      </c>
      <c r="B2" s="26" t="s">
        <v>185</v>
      </c>
      <c r="C2" s="21">
        <v>3520</v>
      </c>
    </row>
    <row r="3" spans="1:3" x14ac:dyDescent="0.25">
      <c r="A3" s="27" t="s">
        <v>186</v>
      </c>
      <c r="B3" s="27" t="s">
        <v>187</v>
      </c>
      <c r="C3" s="22">
        <v>40000</v>
      </c>
    </row>
    <row r="4" spans="1:3" x14ac:dyDescent="0.25">
      <c r="A4" s="26" t="s">
        <v>188</v>
      </c>
      <c r="B4" s="26" t="s">
        <v>189</v>
      </c>
      <c r="C4" s="21">
        <v>1839.2</v>
      </c>
    </row>
    <row r="5" spans="1:3" x14ac:dyDescent="0.25">
      <c r="A5" s="38" t="s">
        <v>79</v>
      </c>
      <c r="B5" s="38" t="s">
        <v>190</v>
      </c>
      <c r="C5" s="34">
        <v>-3194.36</v>
      </c>
    </row>
    <row r="6" spans="1:3" x14ac:dyDescent="0.25">
      <c r="A6" s="35" t="s">
        <v>0</v>
      </c>
      <c r="B6" s="35"/>
      <c r="C6" s="39">
        <f>SUBTOTAL(109,Tabla2[Imp.cob.aplic.])</f>
        <v>42164.84</v>
      </c>
    </row>
    <row r="7" spans="1:3" x14ac:dyDescent="0.25">
      <c r="C7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6CF1-BA38-4809-8873-4D3BF8697D3B}">
  <dimension ref="A1:C22"/>
  <sheetViews>
    <sheetView workbookViewId="0">
      <selection activeCell="B25" sqref="B25:C25"/>
    </sheetView>
  </sheetViews>
  <sheetFormatPr baseColWidth="10" defaultRowHeight="15" x14ac:dyDescent="0.25"/>
  <cols>
    <col min="1" max="1" width="18.42578125" customWidth="1"/>
    <col min="2" max="2" width="58.85546875" customWidth="1"/>
    <col min="3" max="3" width="15" customWidth="1"/>
  </cols>
  <sheetData>
    <row r="1" spans="1:3" x14ac:dyDescent="0.25">
      <c r="A1" s="42" t="s">
        <v>232</v>
      </c>
      <c r="B1" s="42" t="s">
        <v>107</v>
      </c>
      <c r="C1" s="43" t="s">
        <v>233</v>
      </c>
    </row>
    <row r="2" spans="1:3" x14ac:dyDescent="0.25">
      <c r="A2" s="40" t="s">
        <v>234</v>
      </c>
      <c r="B2" s="40" t="s">
        <v>235</v>
      </c>
      <c r="C2" s="21">
        <v>6160</v>
      </c>
    </row>
    <row r="3" spans="1:3" x14ac:dyDescent="0.25">
      <c r="A3" s="41" t="s">
        <v>236</v>
      </c>
      <c r="B3" s="41" t="s">
        <v>237</v>
      </c>
      <c r="C3" s="22">
        <v>160</v>
      </c>
    </row>
    <row r="4" spans="1:3" x14ac:dyDescent="0.25">
      <c r="A4" s="40" t="s">
        <v>236</v>
      </c>
      <c r="B4" s="40" t="s">
        <v>238</v>
      </c>
      <c r="C4" s="21">
        <v>75</v>
      </c>
    </row>
    <row r="5" spans="1:3" x14ac:dyDescent="0.25">
      <c r="A5" s="41" t="s">
        <v>236</v>
      </c>
      <c r="B5" s="41" t="s">
        <v>239</v>
      </c>
      <c r="C5" s="22">
        <v>180</v>
      </c>
    </row>
    <row r="6" spans="1:3" x14ac:dyDescent="0.25">
      <c r="A6" s="40" t="s">
        <v>236</v>
      </c>
      <c r="B6" s="40" t="s">
        <v>240</v>
      </c>
      <c r="C6" s="21">
        <v>180</v>
      </c>
    </row>
    <row r="7" spans="1:3" x14ac:dyDescent="0.25">
      <c r="A7" s="41" t="s">
        <v>236</v>
      </c>
      <c r="B7" s="41" t="s">
        <v>241</v>
      </c>
      <c r="C7" s="22">
        <v>1010</v>
      </c>
    </row>
    <row r="8" spans="1:3" x14ac:dyDescent="0.25">
      <c r="A8" s="40" t="s">
        <v>236</v>
      </c>
      <c r="B8" s="40" t="s">
        <v>242</v>
      </c>
      <c r="C8" s="21">
        <v>1375</v>
      </c>
    </row>
    <row r="9" spans="1:3" x14ac:dyDescent="0.25">
      <c r="A9" s="41" t="s">
        <v>236</v>
      </c>
      <c r="B9" s="41" t="s">
        <v>243</v>
      </c>
      <c r="C9" s="22">
        <v>160</v>
      </c>
    </row>
    <row r="10" spans="1:3" x14ac:dyDescent="0.25">
      <c r="A10" s="40" t="s">
        <v>236</v>
      </c>
      <c r="B10" s="40" t="s">
        <v>244</v>
      </c>
      <c r="C10" s="21">
        <v>75</v>
      </c>
    </row>
    <row r="11" spans="1:3" x14ac:dyDescent="0.25">
      <c r="A11" s="41" t="s">
        <v>236</v>
      </c>
      <c r="B11" s="41" t="s">
        <v>245</v>
      </c>
      <c r="C11" s="22">
        <v>160</v>
      </c>
    </row>
    <row r="12" spans="1:3" x14ac:dyDescent="0.25">
      <c r="A12" s="40" t="s">
        <v>236</v>
      </c>
      <c r="B12" s="40" t="s">
        <v>246</v>
      </c>
      <c r="C12" s="21">
        <v>160</v>
      </c>
    </row>
    <row r="13" spans="1:3" x14ac:dyDescent="0.25">
      <c r="A13" s="41" t="s">
        <v>236</v>
      </c>
      <c r="B13" s="41" t="s">
        <v>247</v>
      </c>
      <c r="C13" s="22">
        <v>160</v>
      </c>
    </row>
    <row r="14" spans="1:3" x14ac:dyDescent="0.25">
      <c r="A14" s="40" t="s">
        <v>236</v>
      </c>
      <c r="B14" s="40" t="s">
        <v>248</v>
      </c>
      <c r="C14" s="21">
        <v>814.15</v>
      </c>
    </row>
    <row r="15" spans="1:3" x14ac:dyDescent="0.25">
      <c r="A15" s="41" t="s">
        <v>236</v>
      </c>
      <c r="B15" s="41" t="s">
        <v>249</v>
      </c>
      <c r="C15" s="22">
        <v>200</v>
      </c>
    </row>
    <row r="16" spans="1:3" x14ac:dyDescent="0.25">
      <c r="A16" s="40" t="s">
        <v>236</v>
      </c>
      <c r="B16" s="40" t="s">
        <v>250</v>
      </c>
      <c r="C16" s="21">
        <v>180</v>
      </c>
    </row>
    <row r="17" spans="1:3" x14ac:dyDescent="0.25">
      <c r="A17" s="41" t="s">
        <v>236</v>
      </c>
      <c r="B17" s="41" t="s">
        <v>251</v>
      </c>
      <c r="C17" s="22">
        <v>75</v>
      </c>
    </row>
    <row r="18" spans="1:3" x14ac:dyDescent="0.25">
      <c r="A18" s="40" t="s">
        <v>236</v>
      </c>
      <c r="B18" s="40" t="s">
        <v>252</v>
      </c>
      <c r="C18" s="21">
        <v>425</v>
      </c>
    </row>
    <row r="19" spans="1:3" x14ac:dyDescent="0.25">
      <c r="A19" s="41" t="s">
        <v>253</v>
      </c>
      <c r="B19" s="41" t="s">
        <v>254</v>
      </c>
      <c r="C19" s="22">
        <v>369.6</v>
      </c>
    </row>
    <row r="20" spans="1:3" x14ac:dyDescent="0.25">
      <c r="A20" s="40" t="s">
        <v>105</v>
      </c>
      <c r="B20" s="40" t="s">
        <v>255</v>
      </c>
      <c r="C20" s="21">
        <v>-13240.99</v>
      </c>
    </row>
    <row r="21" spans="1:3" x14ac:dyDescent="0.25">
      <c r="A21" s="44" t="s">
        <v>108</v>
      </c>
      <c r="B21" s="44" t="s">
        <v>256</v>
      </c>
      <c r="C21" s="34">
        <v>1585.38</v>
      </c>
    </row>
    <row r="22" spans="1:3" x14ac:dyDescent="0.25">
      <c r="A22" s="45" t="s">
        <v>0</v>
      </c>
      <c r="B22" s="45"/>
      <c r="C22" s="36">
        <f>SUBTOTAL(109,Tabla3[Imp. aplic.])</f>
        <v>263.14000000000033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F68E-C5AA-432B-A4E7-4CE2F084BA0F}">
  <dimension ref="A1:C14"/>
  <sheetViews>
    <sheetView workbookViewId="0">
      <selection activeCell="C15" sqref="C15"/>
    </sheetView>
  </sheetViews>
  <sheetFormatPr baseColWidth="10" defaultRowHeight="15" x14ac:dyDescent="0.25"/>
  <cols>
    <col min="1" max="1" width="18.28515625" customWidth="1"/>
    <col min="2" max="2" width="50.5703125" customWidth="1"/>
    <col min="3" max="3" width="15.7109375" customWidth="1"/>
  </cols>
  <sheetData>
    <row r="1" spans="1:3" x14ac:dyDescent="0.25">
      <c r="A1" s="60" t="s">
        <v>232</v>
      </c>
      <c r="B1" s="61" t="s">
        <v>107</v>
      </c>
      <c r="C1" s="61" t="s">
        <v>233</v>
      </c>
    </row>
    <row r="2" spans="1:3" x14ac:dyDescent="0.25">
      <c r="A2" s="62" t="s">
        <v>305</v>
      </c>
      <c r="B2" s="63" t="s">
        <v>306</v>
      </c>
      <c r="C2" s="64">
        <v>2356.64</v>
      </c>
    </row>
    <row r="3" spans="1:3" x14ac:dyDescent="0.25">
      <c r="A3" s="65" t="s">
        <v>307</v>
      </c>
      <c r="B3" s="66" t="s">
        <v>308</v>
      </c>
      <c r="C3" s="67">
        <v>290</v>
      </c>
    </row>
    <row r="4" spans="1:3" x14ac:dyDescent="0.25">
      <c r="A4" s="62" t="s">
        <v>307</v>
      </c>
      <c r="B4" s="63" t="s">
        <v>309</v>
      </c>
      <c r="C4" s="64">
        <v>260</v>
      </c>
    </row>
    <row r="5" spans="1:3" x14ac:dyDescent="0.25">
      <c r="A5" s="65" t="s">
        <v>307</v>
      </c>
      <c r="B5" s="66" t="s">
        <v>310</v>
      </c>
      <c r="C5" s="67">
        <v>260</v>
      </c>
    </row>
    <row r="6" spans="1:3" x14ac:dyDescent="0.25">
      <c r="A6" s="62" t="s">
        <v>307</v>
      </c>
      <c r="B6" s="63" t="s">
        <v>311</v>
      </c>
      <c r="C6" s="64">
        <v>310</v>
      </c>
    </row>
    <row r="7" spans="1:3" x14ac:dyDescent="0.25">
      <c r="A7" s="65" t="s">
        <v>307</v>
      </c>
      <c r="B7" s="66" t="s">
        <v>312</v>
      </c>
      <c r="C7" s="67">
        <v>830</v>
      </c>
    </row>
    <row r="8" spans="1:3" x14ac:dyDescent="0.25">
      <c r="A8" s="62" t="s">
        <v>307</v>
      </c>
      <c r="B8" s="63" t="s">
        <v>313</v>
      </c>
      <c r="C8" s="64">
        <v>260</v>
      </c>
    </row>
    <row r="9" spans="1:3" x14ac:dyDescent="0.25">
      <c r="A9" s="65" t="s">
        <v>314</v>
      </c>
      <c r="B9" s="66" t="s">
        <v>315</v>
      </c>
      <c r="C9" s="67">
        <v>-509.99</v>
      </c>
    </row>
    <row r="10" spans="1:3" ht="15.75" thickBot="1" x14ac:dyDescent="0.3">
      <c r="A10" s="62" t="s">
        <v>316</v>
      </c>
      <c r="B10" s="63" t="s">
        <v>317</v>
      </c>
      <c r="C10" s="64">
        <v>10000</v>
      </c>
    </row>
    <row r="11" spans="1:3" ht="15.75" thickTop="1" x14ac:dyDescent="0.25">
      <c r="A11" s="68" t="s">
        <v>0</v>
      </c>
      <c r="B11" s="69"/>
      <c r="C11" s="70">
        <v>14056.65</v>
      </c>
    </row>
    <row r="14" spans="1:3" x14ac:dyDescent="0.25">
      <c r="B14" s="51" t="s">
        <v>318</v>
      </c>
      <c r="C14" s="52">
        <f>C11+Tabla2[[#Totals],[Imp.cob.aplic.]]+Tabla3[[#Totals],[Imp. aplic.]]</f>
        <v>56484.63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8B6D-BE8D-4313-A763-08E56CCE5ABE}">
  <dimension ref="A1:C5"/>
  <sheetViews>
    <sheetView workbookViewId="0">
      <selection activeCell="B12" sqref="B12"/>
    </sheetView>
  </sheetViews>
  <sheetFormatPr baseColWidth="10" defaultRowHeight="15" x14ac:dyDescent="0.25"/>
  <cols>
    <col min="1" max="1" width="17" customWidth="1"/>
    <col min="2" max="2" width="91.7109375" customWidth="1"/>
    <col min="3" max="3" width="16" customWidth="1"/>
  </cols>
  <sheetData>
    <row r="1" spans="1:3" x14ac:dyDescent="0.25">
      <c r="A1" s="37" t="s">
        <v>106</v>
      </c>
      <c r="B1" s="37" t="s">
        <v>107</v>
      </c>
      <c r="C1" s="37" t="s">
        <v>157</v>
      </c>
    </row>
    <row r="2" spans="1:3" x14ac:dyDescent="0.25">
      <c r="A2" s="26" t="s">
        <v>80</v>
      </c>
      <c r="B2" s="26" t="s">
        <v>191</v>
      </c>
      <c r="C2" s="21">
        <v>2800</v>
      </c>
    </row>
    <row r="3" spans="1:3" x14ac:dyDescent="0.25">
      <c r="A3" s="38" t="s">
        <v>109</v>
      </c>
      <c r="B3" s="38" t="s">
        <v>192</v>
      </c>
      <c r="C3" s="34">
        <v>338.66</v>
      </c>
    </row>
    <row r="4" spans="1:3" x14ac:dyDescent="0.25">
      <c r="A4" s="35" t="s">
        <v>0</v>
      </c>
      <c r="B4" s="35"/>
      <c r="C4" s="39">
        <f>SUBTOTAL(109,Tabla5[Imp.cob.aplic.])</f>
        <v>3138.66</v>
      </c>
    </row>
    <row r="5" spans="1:3" x14ac:dyDescent="0.25">
      <c r="C5" s="2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19AD-490C-4F2D-AED1-28A207351202}">
  <dimension ref="A1:C3"/>
  <sheetViews>
    <sheetView workbookViewId="0">
      <selection activeCell="B6" sqref="B6:C6"/>
    </sheetView>
  </sheetViews>
  <sheetFormatPr baseColWidth="10" defaultRowHeight="15" x14ac:dyDescent="0.25"/>
  <cols>
    <col min="1" max="1" width="12" customWidth="1"/>
    <col min="2" max="2" width="67.85546875" customWidth="1"/>
    <col min="3" max="3" width="12.28515625" customWidth="1"/>
  </cols>
  <sheetData>
    <row r="1" spans="1:3" x14ac:dyDescent="0.25">
      <c r="A1" s="42" t="s">
        <v>232</v>
      </c>
      <c r="B1" s="42" t="s">
        <v>107</v>
      </c>
      <c r="C1" s="42" t="s">
        <v>233</v>
      </c>
    </row>
    <row r="2" spans="1:3" x14ac:dyDescent="0.25">
      <c r="A2" s="47" t="s">
        <v>109</v>
      </c>
      <c r="B2" s="47" t="s">
        <v>257</v>
      </c>
      <c r="C2" s="48">
        <v>15.81</v>
      </c>
    </row>
    <row r="3" spans="1:3" s="46" customFormat="1" x14ac:dyDescent="0.25">
      <c r="A3" s="49" t="s">
        <v>0</v>
      </c>
      <c r="B3" s="49"/>
      <c r="C3" s="50">
        <f>SUBTOTAL(109,Tabla6[Imp. aplic.])</f>
        <v>15.81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49D1-FABA-4DA5-AC1C-D8F560CE9035}">
  <dimension ref="B2:D5"/>
  <sheetViews>
    <sheetView tabSelected="1" workbookViewId="0">
      <selection activeCell="D6" sqref="D6"/>
    </sheetView>
  </sheetViews>
  <sheetFormatPr baseColWidth="10" defaultRowHeight="15" x14ac:dyDescent="0.25"/>
  <cols>
    <col min="3" max="3" width="39.85546875" customWidth="1"/>
    <col min="4" max="4" width="23.85546875" customWidth="1"/>
  </cols>
  <sheetData>
    <row r="2" spans="2:4" x14ac:dyDescent="0.25">
      <c r="B2" t="s">
        <v>320</v>
      </c>
    </row>
    <row r="5" spans="2:4" x14ac:dyDescent="0.25">
      <c r="C5" s="51" t="s">
        <v>319</v>
      </c>
      <c r="D5" s="52">
        <f>Tabla5[[#Totals],[Imp.cob.aplic.]]+Tabla6[[#Totals],[Imp. aplic.]]</f>
        <v>3154.47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2026-05-27T10:23:38Z</dcterms:modified>
</cp:coreProperties>
</file>