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378D66B6-7F37-4935-AA64-3C673A988C63}" xr6:coauthVersionLast="47" xr6:coauthVersionMax="47" xr10:uidLastSave="{00000000-0000-0000-0000-000000000000}"/>
  <bookViews>
    <workbookView xWindow="-120" yWindow="-120" windowWidth="29040" windowHeight="15720" tabRatio="768" activeTab="5" xr2:uid="{00000000-000D-0000-FFFF-FFFF00000000}"/>
  </bookViews>
  <sheets>
    <sheet name="Tesis" sheetId="13" r:id="rId1"/>
    <sheet name="Sexenios" sheetId="14" r:id="rId2"/>
    <sheet name="Ingresos investigación 2023" sheetId="29" r:id="rId3"/>
    <sheet name="Ingresos investigación 2024" sheetId="30" r:id="rId4"/>
    <sheet name="Ingresos investigación 2025" sheetId="31" r:id="rId5"/>
    <sheet name="Ingresos formación 2025" sheetId="32" r:id="rId6"/>
  </sheets>
  <definedNames>
    <definedName name="_xlnm._FilterDatabase" localSheetId="1" hidden="1">Sexenios!#REF!</definedName>
    <definedName name="_xlnm._FilterDatabase" localSheetId="0" hidden="1">Tesis!$A$1:$U$40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32" l="1"/>
  <c r="C44" i="31"/>
  <c r="C4" i="30"/>
  <c r="C19" i="29"/>
  <c r="S40" i="13"/>
  <c r="S21" i="14" l="1"/>
</calcChain>
</file>

<file path=xl/sharedStrings.xml><?xml version="1.0" encoding="utf-8"?>
<sst xmlns="http://schemas.openxmlformats.org/spreadsheetml/2006/main" count="866" uniqueCount="261">
  <si>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</si>
  <si>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</si>
  <si>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</si>
  <si>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</si>
  <si>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</si>
  <si>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</si>
  <si>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</si>
  <si>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</si>
  <si>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</si>
  <si>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</si>
  <si>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</si>
  <si>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</si>
  <si>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</si>
  <si>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</si>
  <si>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</si>
  <si>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</si>
  <si>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</si>
  <si>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</si>
  <si>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</si>
  <si>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</si>
  <si>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</si>
  <si>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</si>
  <si>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</si>
  <si>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</si>
  <si>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</si>
  <si>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10</t>
  </si>
  <si>
    <t>- </t>
  </si>
  <si>
    <t>10.15</t>
  </si>
  <si>
    <t>U023 </t>
  </si>
  <si>
    <t>ADM. FACULTAD DE FILOSOFIA Y LETRAS </t>
  </si>
  <si>
    <t>DOCTORADO EN FILOSOFÍA Y LETRAS </t>
  </si>
  <si>
    <t>B172 </t>
  </si>
  <si>
    <t>TRADUCCIÓN E INTERPRETACIÓN </t>
  </si>
  <si>
    <t>21435102E </t>
  </si>
  <si>
    <t>B172</t>
  </si>
  <si>
    <t>19851817B </t>
  </si>
  <si>
    <t>48364398K </t>
  </si>
  <si>
    <t>DOCTORADO EN TRADUCTOLOGÍA, TRADUCCIÓN PROFESIONAL Y AUDIOVISUAL </t>
  </si>
  <si>
    <t>04589672E </t>
  </si>
  <si>
    <t>21461853R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</si>
  <si>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</si>
  <si>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</si>
  <si>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</si>
  <si>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</si>
  <si>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</si>
  <si>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</si>
  <si>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</si>
  <si>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</si>
  <si>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</si>
  <si>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</si>
  <si>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</si>
  <si>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</si>
  <si>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</si>
  <si>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04589672E</t>
  </si>
  <si>
    <t>21435102E</t>
  </si>
  <si>
    <t>48351663M</t>
  </si>
  <si>
    <t>48364398K</t>
  </si>
  <si>
    <t>19851817B</t>
  </si>
  <si>
    <t>08922282F</t>
  </si>
  <si>
    <t>53223751A</t>
  </si>
  <si>
    <t>21461853R</t>
  </si>
  <si>
    <t>09/01/2020 </t>
  </si>
  <si>
    <t>ESTUDIO CONTRASTIVO Y SEMÁNTICO DE REFRANES EN LENGUA CHINA Y LENGUA ESPAÑOLA. PROBLEMAS DE TRADUCCIÓN Y DE EQUIVALENCIA </t>
  </si>
  <si>
    <t>Qin , Jian </t>
  </si>
  <si>
    <t>28/09/2020 </t>
  </si>
  <si>
    <t>TRANSFERENCIA DE LOS REFERENTES CULTURALES EN LAS PELÍCULAS DE SHREK: UN ESTUDIO DE CASO SOBRE LAS VERSIONES SUBTITULADAS Y DOBLADAS DEL INGLÉS AL ESPAÑOL, FRANCÉS Y ÁRABE </t>
  </si>
  <si>
    <t>Bouabdellah , Omar </t>
  </si>
  <si>
    <t>COD DEP</t>
  </si>
  <si>
    <t>44772347H</t>
  </si>
  <si>
    <t>NO FUNCIONARIO</t>
  </si>
  <si>
    <t>Picazo Millán, Elena </t>
  </si>
  <si>
    <t>Los manuales de español y francés lengua extranjera y su contenido en unidades fraseológicas. Estudio contrastivo español-francés. </t>
  </si>
  <si>
    <t>23/02/2021 </t>
  </si>
  <si>
    <t>X5550095B </t>
  </si>
  <si>
    <t>Rodrigues Barbosa, Edilene </t>
  </si>
  <si>
    <t>LA AUDIODESCRIPCIÓN DE LOS GESTOS EN LAS PELÍCULAS ESPAÑOLAS: CATEGORÍAS, ESTRATEGIAS Y GRADO DE EXPLICITACIÓN </t>
  </si>
  <si>
    <t>16/03/2021 </t>
  </si>
  <si>
    <t>21676265F </t>
  </si>
  <si>
    <t>Cód. org. aplic.</t>
  </si>
  <si>
    <t>Descripción justificante</t>
  </si>
  <si>
    <t>36.60.6P.00.10</t>
  </si>
  <si>
    <t>López Medel, María </t>
  </si>
  <si>
    <t>Traducción no sexista en la Unión Europea. Recomendaciones, aplicación y propuesta de guía </t>
  </si>
  <si>
    <t>26/07/2021 </t>
  </si>
  <si>
    <t>34829970N </t>
  </si>
  <si>
    <t>Djabri , Souhila </t>
  </si>
  <si>
    <t>¿Traducción asistida por ordenador: Análisis contrastivo de las coincidencias parciales fuzzy matches en los pares de lenguas español-francés, francés-español y árabe-español mediante transformaciones semántico-sintácticas.¿ </t>
  </si>
  <si>
    <t>26/04/2022 </t>
  </si>
  <si>
    <t>Pérez Estevan, Elena </t>
  </si>
  <si>
    <t>Interpretación en final de vida y duelo. Un modelo psicolingüístico de análisis aplicado a situaciones de malas noticias, últimos días y duelo. </t>
  </si>
  <si>
    <t>30/03/2022 </t>
  </si>
  <si>
    <t>Pérez Escudero, Francisco </t>
  </si>
  <si>
    <t>Panorámica de la investigación en traducción audiovisual. Análisis histórico, bibliométrico y webmétrico </t>
  </si>
  <si>
    <t>29/10/2021 </t>
  </si>
  <si>
    <t>Hein , Milton Ariel </t>
  </si>
  <si>
    <t>La competencia fraseológica y la enseñanza de fraseología en las carreras universitarias de traducción en la república Argentina </t>
  </si>
  <si>
    <t>12/04/2022 </t>
  </si>
  <si>
    <t>46080159G </t>
  </si>
  <si>
    <t>Rivarola , Romina Noelia </t>
  </si>
  <si>
    <t>LA ENSEÑANZA DE LAS UNIDADES FRASEOLÓGICAS EN LA CLASE DE ELE PARA ALUMNOS DE HABLA INGLESA, LA INCLUSIÓN DE VARIEDADES DIATÓPICAS EN LOS MANUALES DE ELE Y EL USO DE LA TRADUCCIÓN COMO ESTRATEGIA DE ENSEÑANZA </t>
  </si>
  <si>
    <t>Sulzer , Christof Thomas </t>
  </si>
  <si>
    <t>A Journey into the Reader's Mind: Towards a Critical-Reflective Development of Rational Empathy in Translator Education </t>
  </si>
  <si>
    <t>19/07/2022 </t>
  </si>
  <si>
    <t>46080159G</t>
  </si>
  <si>
    <t>48531929C</t>
  </si>
  <si>
    <t>74242314Q</t>
  </si>
  <si>
    <t>Imp.cob.aplic.</t>
  </si>
  <si>
    <t>36.60.6G.00.03</t>
  </si>
  <si>
    <t>36.60.6P.00.12</t>
  </si>
  <si>
    <t>Los neologismos médicos traducidos del inglés al árabe. </t>
  </si>
  <si>
    <t>19/12/2022 </t>
  </si>
  <si>
    <t>A contrastive analysis of phraseological units results from specialized fields based on the classes of objects¿ theory in examples in Spanish, German and English </t>
  </si>
  <si>
    <t>14/10/2022 </t>
  </si>
  <si>
    <t>A contrastive analysis of phraseological units results from specialized fields based on the classes of objects¿ theory in examples in Spanish and German </t>
  </si>
  <si>
    <t>15/09/2023 </t>
  </si>
  <si>
    <t>ANÁLISIS PRAGMÁTICO Y CULTURAL DE LAS UNIDADES FRASEOLÓGICAS DE LA </t>
  </si>
  <si>
    <t>18/09/2023 </t>
  </si>
  <si>
    <t>ESTUDIO FRASEOTRADUCTOLÓGICO SOBRE LA IDENTIFICACIÓN, CLASIFICACIÓN </t>
  </si>
  <si>
    <t>20/06/2023 </t>
  </si>
  <si>
    <t>LAS LENGUAS CRIOLLAS DE BASE LÉXICA FRANCESA DE LAS ISLAS DE GUADALUPE Y MARTINICA: ESTUDIO DE LAS PAREMIAS, LAS COMPARACIONES Y SUS EQUIVALENCIAS EN FRANCÉS Y ESPAÑOL </t>
  </si>
  <si>
    <t>20/09/2023 </t>
  </si>
  <si>
    <t>11465206M </t>
  </si>
  <si>
    <t>11465206M</t>
  </si>
  <si>
    <t>20033585X</t>
  </si>
  <si>
    <t>10.23</t>
  </si>
  <si>
    <t>55176006H</t>
  </si>
  <si>
    <t xml:space="preserve">Inscripción VIII Coloquio Lucentino, Mª TANAGUA BARCELÓ MARTÍNEZ. (Ingresos 1 nº orden 26 y 3 nº orden 3) </t>
  </si>
  <si>
    <t>S</t>
  </si>
  <si>
    <t>Pago Inscripción VIII Coloquio Lucentino. M. MAR JIMENEZ-CERVANTES ARNAO. (Ingreso 1 nº orden 14). Pago realizado el 21/07/2022</t>
  </si>
  <si>
    <t>Pago Inscripción VIII Coloquio Lucentino.MARÍA HELENA AGUILÀ RUZOLA. (Ingreso 2 nº orden 12)</t>
  </si>
  <si>
    <t>Pago inscripción VIII Coloquio Lucentino. EGLÉ ALOSEVICIENE (Ingreso 2 nº orden 18)</t>
  </si>
  <si>
    <t>Pago Inscripción VIII Congreso Lucentino. Aurora Ruiz Mezcua. (Ingreso 2. nº orden 16)</t>
  </si>
  <si>
    <t>Pago Inscripción VIII Coloquio Lucentino. Pilar Castillo Bernal (Ingreso 1 nº orden 17) Pago realizado el 13/09/2022</t>
  </si>
  <si>
    <t>Pago inscripción VIII Coloquio Lucentino. Gisella Policastro y Manuela Álvarez Jurado (Ingreso 3 nº 12) Pago realizado el 28/10/2022</t>
  </si>
  <si>
    <t>Pago Inscripción VIII Coloquio Lucentino. Mª del Mar Ogea Pozo. (Ingreso 1. Nº orden 6) Pago efectuado el 10/10/2022</t>
  </si>
  <si>
    <t>Devolución de ingreso por incripción en Lucentino VIII</t>
  </si>
  <si>
    <t>Pago Inscripción VIII Coloquio Lucentino. ESTHER GRACIA PALOMO. (Ingreso 2 nº orden 2)</t>
  </si>
  <si>
    <t>Pago Inscripción VIII Coloquio Lucentino.  Virginia Mattioli. (Ingreso 2 nº orden 19)</t>
  </si>
  <si>
    <t>Pago Inscripción VIII Coloquio Lucentino. GIORGIA MARANGON. (Ingreso 1 nº orden 15)</t>
  </si>
  <si>
    <t>Devolución de ingreso de  VIII Coloquio Lucentino, JI 2022-4803</t>
  </si>
  <si>
    <t>Devolución de ingreso de inscripción al VIII Coloquio Lucentino, JI 2022-4803 , 2022ExpAdm1777</t>
  </si>
  <si>
    <t>Pago Inscripción VIII Coloquio Lucentino.MANUELA ÁLVAREZ JURADO (Ingreso 6 nº orden 1). Pago realizado el 28/10/2022</t>
  </si>
  <si>
    <t xml:space="preserve">PID2020-112540RB-C43/112611RB-I00/112930GB-I00/113343GB-I00/113472RB-I00/114381GB-I00/114517GB-I00/114896RB-I00/115140RB-I00/115735GB-I00  </t>
  </si>
  <si>
    <t xml:space="preserve">DEVOLUCIÓN DE INGRESOS_MODELO 047_Nº de liquidación:46/2023/RAS/10276/1_ Número de justificante:047/1/002376790_Nº de referencia:047/1/002376790 </t>
  </si>
  <si>
    <t>Chbab El Fakhi, Habiba</t>
  </si>
  <si>
    <t>Medina Serrano, Rubén</t>
  </si>
  <si>
    <t>Li , Ling</t>
  </si>
  <si>
    <t>Harteel , Kendall Jennifer Jessica</t>
  </si>
  <si>
    <t>Telga , Laureen</t>
  </si>
  <si>
    <t xml:space="preserve">B172 </t>
  </si>
  <si>
    <t>TRADUCCIÓN E INTERPRETACIÓN</t>
  </si>
  <si>
    <t>DOCTORADO EN TRADUCTOLOGÍA, TRADUCCIÓN PROFESIONAL Y AUDIOVISUAL</t>
  </si>
  <si>
    <t>Telga Morales, Laureen</t>
  </si>
  <si>
    <t>LAS LENGUAS CRIOLLAS DE BASE LÉXICA FRANCESA DE LAS ISLAS DE GUADALUPE Y MARTINICA: ESTUDIO DE LAS PAREMIAS, LAS COMPARACIONES Y SUS EQUIVALENCIAS EN FRANCÉS Y ESPAÑOL</t>
  </si>
  <si>
    <t>20/09/2023</t>
  </si>
  <si>
    <t xml:space="preserve">11465206M </t>
  </si>
  <si>
    <t>Codirector de tesis</t>
  </si>
  <si>
    <t xml:space="preserve">19851817B </t>
  </si>
  <si>
    <t>20</t>
  </si>
  <si>
    <t>25</t>
  </si>
  <si>
    <t>TRADUCCION E INTERPRETACION</t>
  </si>
  <si>
    <t>Labrada Hernández, Geisy</t>
  </si>
  <si>
    <t>Construcciones verbales fijas zoomorfas en el español de Cuba: variantes y propuesta de traducción al inglés</t>
  </si>
  <si>
    <t>12/09/2024</t>
  </si>
  <si>
    <t>'-</t>
  </si>
  <si>
    <t>Org. aplic.</t>
  </si>
  <si>
    <t>Imp. aplic.</t>
  </si>
  <si>
    <t>36.60.6C.00.02</t>
  </si>
  <si>
    <t xml:space="preserve">TRADUCCIÓN JURADA DE CERTIFICADOS PERSONALES </t>
  </si>
  <si>
    <t>PID2020-112540RB-C43-112930GB-I00-115735GB-I00-115956GB-I00-119383GB-I00-119734RB-I00</t>
  </si>
  <si>
    <t>Traducción e Interpretación</t>
  </si>
  <si>
    <t>Picazo Izquierdo, Alicia</t>
  </si>
  <si>
    <t>Estudio analítico de la traducción automática de protocolos de ensayos clínicos: propuesta de patrones de posedición</t>
  </si>
  <si>
    <t>07/07/2025</t>
  </si>
  <si>
    <t>34829970N</t>
  </si>
  <si>
    <t>Director de tesis</t>
  </si>
  <si>
    <t>15</t>
  </si>
  <si>
    <t>Sánchez Ferre, Silvia</t>
  </si>
  <si>
    <t>La entonación en la transmisión de la ironía en interpretación simultánea: análisis acústico-perceptivo en intérpretes profesionales e intérpretes en formación</t>
  </si>
  <si>
    <t>09/05/2025</t>
  </si>
  <si>
    <t>López Díez, Alba</t>
  </si>
  <si>
    <t>Traducción económica e investigación por autores europeos. Estudio bibliométrico</t>
  </si>
  <si>
    <t>04/07/2025</t>
  </si>
  <si>
    <t>Mosquera Muñoz, Claudia Judith</t>
  </si>
  <si>
    <t>Análisis diatópico y traductológico de las unidades fraseológicas utilizadas en la novela La reina del sur, de Arturo Pérez-Reverte</t>
  </si>
  <si>
    <t>09/01/2025</t>
  </si>
  <si>
    <t>Jaimes Guerrero, Carlos Alberto</t>
  </si>
  <si>
    <t>El lenguaje turístico en las páginas web. Análisis geolingüístico en Colombia, Argentina, España, México, Venezuela y sus equivalentes en francés y en inglés</t>
  </si>
  <si>
    <t>10/01/2025</t>
  </si>
  <si>
    <t>2020</t>
  </si>
  <si>
    <t>2021</t>
  </si>
  <si>
    <t>2022</t>
  </si>
  <si>
    <t>2023</t>
  </si>
  <si>
    <t>2024</t>
  </si>
  <si>
    <t>2025</t>
  </si>
  <si>
    <t>Albaladejo Martínez, Juan Antonio</t>
  </si>
  <si>
    <t>05205651S</t>
  </si>
  <si>
    <t>López Medel, María</t>
  </si>
  <si>
    <t>Ortega Herráez, Juan Miguel</t>
  </si>
  <si>
    <t>Masseau Díaz, Paola Concepción</t>
  </si>
  <si>
    <t>Vivos</t>
  </si>
  <si>
    <t>18918951W</t>
  </si>
  <si>
    <t>González Royo, Carmen</t>
  </si>
  <si>
    <t>19011064T</t>
  </si>
  <si>
    <t>Pérez Mateo, María Virgen</t>
  </si>
  <si>
    <t>Mogorrón Huerta, Pedro Joaquín</t>
  </si>
  <si>
    <t>Montes Fernández, Antonia</t>
  </si>
  <si>
    <t>Franco Aixela, Javier</t>
  </si>
  <si>
    <t>Valero Cuadra, María del Pino</t>
  </si>
  <si>
    <t>44765551F</t>
  </si>
  <si>
    <t>Martínez Blasco, Ivan</t>
  </si>
  <si>
    <t>Navarro Brotons, Lucía</t>
  </si>
  <si>
    <t>Cuadrado Rey, Analia Rosa</t>
  </si>
  <si>
    <t>Gallego Hernández, Daniel Emilio</t>
  </si>
  <si>
    <t>Iliescu Gheorghiu, Catalina Anca</t>
  </si>
  <si>
    <t>Botella Tejera, Carla María</t>
  </si>
  <si>
    <t>Tolosa Igualada, Miguel</t>
  </si>
  <si>
    <t>El Zawam Bin, Khaled Omran</t>
  </si>
  <si>
    <t>Serrano Bertos, Elena</t>
  </si>
  <si>
    <t>36.60.6G.00.04</t>
  </si>
  <si>
    <t>Liq_JyC_2025__Lucentino_26_01__CONGRESO IX INTERNACIONAL LUCENTINO</t>
  </si>
  <si>
    <t xml:space="preserve">Inscripción en el Congreso IX Coloquio Internacional Lucentino que se celebrará del 28 al 30 de enero de 2026. Carmen Cuéllar Lázaro </t>
  </si>
  <si>
    <t>Liq_JyC_2025__Lucentino_26_02__CONGRESO IX INTERNACIONAL LUCENTINO</t>
  </si>
  <si>
    <t>Inscripción en el Congreso IX Coloquio Internacional Lucentino que se celebrará del 28 al 30 de enero de 2026. Carmen Valero Garcés</t>
  </si>
  <si>
    <t>Inscripción en el Congreso IX Coloquio Internacional Lucentino que se celebrará del 28 al 30 de enero de 2026. Silviya Damyanova Radeva</t>
  </si>
  <si>
    <t>Inscripción en el Congreso IX Coloquio Internacional Lucentino que se celebrará del 28 al 30 de enero de 2026. Nuria Gaso Gómez</t>
  </si>
  <si>
    <t>Inscripción en el Congreso IX Coloquio Internacional Lucentino que se celebrará del 28 al 30 de enero de 2026. Maria José Espinoza Saavedra</t>
  </si>
  <si>
    <t>Inscripción en el Congreso IX Coloquio Internacional Lucentino que se celebrará del 28 al 30 de enero de 2026. ADRIAN VALENCIANO CEREZO</t>
  </si>
  <si>
    <t>Liq_JyC_2025__Lucentino_26_03__CONGRESO IX INTERNACIONAL LUCENTINO</t>
  </si>
  <si>
    <t>Liq_JyC_2025__Lucentino_26_04__CONGRESO IX INTERNACIONAL LUCENTINO</t>
  </si>
  <si>
    <t>Inscripción en el Congreso IX Coloquio Internacional Lucentino que se celebrará del 28 al 30 de enero de 2026. Ester Lidia Cicchetti</t>
  </si>
  <si>
    <t>Liq_JyC_2025__Lucentino_26_05__CONGRESO IX INTERNACIONAL LUCENTINO</t>
  </si>
  <si>
    <t>Inscripción en el Congreso IX Coloquio Internacional Lucentino que se celebrará del 28 al 30 de enero de 2026. Blanca Mallén Dorado</t>
  </si>
  <si>
    <t>Inscripción en el Congreso IX Coloquio Internacional Lucentino que se celebrará del 28 al 30 de enero de 2026. Marina Gil Aranda</t>
  </si>
  <si>
    <t>Liq_JyC_2025__Lucentino_26_07__CONGRESO IX INTERNACIONAL LUCENTINO</t>
  </si>
  <si>
    <t xml:space="preserve">Liq_JyC_2025__Lucentino_26_06-DEV__CONGRESO IX INTERNACIONAL LUCENTINO    </t>
  </si>
  <si>
    <t xml:space="preserve">Devolución ingresos Liq_JyC_2025__Lucentino_26_06-DEV__CONGRESO IX INTERNACIONAL LUCENTINO    </t>
  </si>
  <si>
    <t>Liq_JyC_2025__Lucentino_26_08__CONGRESO IX INTERNACIONAL LUCENTINO</t>
  </si>
  <si>
    <t>Liq_JyC_2025__Lucentino_26_09__CONGRESO IX INTERNACIONAL LUCENTINO</t>
  </si>
  <si>
    <t>Inscripción en el Congreso IX Coloquio Internacional Lucentino que se celebrará del 28 al 30 de enero de 2026. Paula Igareda Gonzalez</t>
  </si>
  <si>
    <t>Liq_JyC_2025__Lucentino_26_10-DEV__CONGRESO IX INTERNACIONAL LUCENTINO</t>
  </si>
  <si>
    <t>Inscripción en el Congreso IX Coloquio Internacional Lucentino que se celebrará del 28 al 30 de enero de 2026. Sara Llopis Mestre</t>
  </si>
  <si>
    <t>Inscripción en el Congreso IX Coloquio Internacional Lucentino que se celebrará del 28 al 30 de enero de 2026. Ingrid Cáceres Wursig</t>
  </si>
  <si>
    <t>Inscripción en el Congreso IX Coloquio Internacional Lucentino que se celebrará del 28 al 30 de enero de 2026. Maria Carmen Aguilar Camacho</t>
  </si>
  <si>
    <t>Liq_JyC_2025__Lucentino_26_11-DEV__CONGRESO IX INTERNACIONAL LUCENTINO</t>
  </si>
  <si>
    <t>Inscripción en el Congreso IX Coloquio Internacional Lucentino que se celebrará del 28 al 30 de enero de 2026. Anjana Martínez Tejerina</t>
  </si>
  <si>
    <t>Inscripción en el Congreso IX Coloquio Internacional Lucentino que se celebrará del 28 al 30 de enero de 2026. Miguel David Corado Palomo</t>
  </si>
  <si>
    <t>Liq_JyC_2025__Lucentino_26_12__CONGRESO IX INTERNACIONAL LUCENTINO</t>
  </si>
  <si>
    <t>Liq_JyC_2025__Lucentino_26_14__CONGRESO IX INTERNACIONAL LUCENTINO</t>
  </si>
  <si>
    <t>Devolución ingreso - Liq_JyC_2025__Lucentino_26_13-DEV__CONGRESO IX INTERNACIONAL LUCENTINO</t>
  </si>
  <si>
    <t>Liq_JyC_2025__Lucentino_26_15__CONGRESO IX INTERNACIONAL LUCENTINO</t>
  </si>
  <si>
    <t>Devolución de Ingresos Liq_JyC_2025__Lucentino_26_08,16-DEV__CONGRESO IX INTERNACIONAL LUCENTINO</t>
  </si>
  <si>
    <t>Liq_JyC_2025__Lucentino_26_17__CONGRESO IX INTERNACIONAL LUCENTINO</t>
  </si>
  <si>
    <t>Liq_JyC_2026__Lucentino_26_18__CONGRESO IX INTERNACIONAL LUCENTINO</t>
  </si>
  <si>
    <t>DEVOLUCIÓN DE INGRESOS_CARTA DE PAGO_REFERENCIA: PID2020-112930GB-I00, ANUALIDAD: 2021</t>
  </si>
  <si>
    <t>36.60.6P.00.16</t>
  </si>
  <si>
    <t>Ingreso ayudas CIGE/2024/56/95/108/145/178/184/194/199/200/201/202/203/204/205/208/209/212/213</t>
  </si>
  <si>
    <t>Total ingresos investigación 2023-25</t>
  </si>
  <si>
    <t>10.91.2T.01.99</t>
  </si>
  <si>
    <t xml:space="preserve">LIQ-TitProp_GN73-N Curso_2025-26 AñoCont_2025 - FUNDAMENTOS PARA LA PRÁCTICA DE LA INTERPRETACIÓN EN SERVICIOS PÚBLICOS  </t>
  </si>
  <si>
    <t>Total ingresos formación 2023-2025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</si>
</sst>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"/>
  </numFmts>
  <fonts count="1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2" fillId="0" borderId="0" applyFont="0" applyFill="0" applyBorder="0" applyAlignment="0" applyProtection="0"/>
  </cellStyleXfs>
  <cellXfs count="74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0" fontId="2" fillId="4" borderId="2" xfId="1" applyFill="1" applyBorder="1"/>
    <xf numFmtId="0" fontId="2" fillId="4" borderId="2" xfId="1" applyFill="1" applyBorder="1" applyAlignment="1">
      <alignment horizontal="right"/>
    </xf>
    <xf numFmtId="1" fontId="2" fillId="4" borderId="2" xfId="1" applyNumberFormat="1" applyFill="1" applyBorder="1"/>
    <xf numFmtId="165" fontId="2" fillId="4" borderId="2" xfId="1" applyNumberFormat="1" applyFill="1" applyBorder="1"/>
    <xf numFmtId="0" fontId="10" fillId="6" borderId="1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2" fillId="0" borderId="1" xfId="1" applyBorder="1"/>
    <xf numFmtId="0" fontId="0" fillId="0" borderId="1" xfId="0" applyBorder="1" applyAlignment="1">
      <alignment horizontal="left"/>
    </xf>
    <xf numFmtId="43" fontId="0" fillId="8" borderId="6" xfId="6" applyNumberFormat="1" applyFont="1" applyFill="1" applyBorder="1"/>
    <xf numFmtId="0" fontId="2" fillId="2" borderId="0" xfId="1" applyFill="1"/>
    <xf numFmtId="0" fontId="2" fillId="2" borderId="0" xfId="1" applyFill="1" applyAlignment="1">
      <alignment horizontal="right"/>
    </xf>
    <xf numFmtId="0" fontId="9" fillId="8" borderId="6" xfId="0" applyFont="1" applyFill="1" applyBorder="1"/>
    <xf numFmtId="43" fontId="6" fillId="8" borderId="6" xfId="6" applyNumberFormat="1" applyFont="1" applyFill="1" applyBorder="1"/>
    <xf numFmtId="0" fontId="9" fillId="0" borderId="6" xfId="0" applyFont="1" applyBorder="1"/>
    <xf numFmtId="43" fontId="6" fillId="0" borderId="6" xfId="6" applyNumberFormat="1" applyFont="1" applyBorder="1"/>
    <xf numFmtId="43" fontId="0" fillId="0" borderId="0" xfId="0" applyNumberFormat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left"/>
    </xf>
    <xf numFmtId="165" fontId="15" fillId="9" borderId="0" xfId="0" applyNumberFormat="1" applyFont="1" applyFill="1"/>
    <xf numFmtId="165" fontId="3" fillId="2" borderId="0" xfId="1" applyNumberFormat="1" applyFont="1" applyFill="1"/>
    <xf numFmtId="0" fontId="13" fillId="7" borderId="7" xfId="0" applyFont="1" applyFill="1" applyBorder="1"/>
    <xf numFmtId="0" fontId="0" fillId="0" borderId="8" xfId="0" applyBorder="1"/>
    <xf numFmtId="0" fontId="9" fillId="8" borderId="8" xfId="0" applyFont="1" applyFill="1" applyBorder="1"/>
    <xf numFmtId="0" fontId="9" fillId="10" borderId="8" xfId="0" applyFont="1" applyFill="1" applyBorder="1"/>
    <xf numFmtId="43" fontId="6" fillId="8" borderId="8" xfId="6" applyNumberFormat="1" applyFont="1" applyFill="1" applyBorder="1"/>
    <xf numFmtId="43" fontId="6" fillId="10" borderId="8" xfId="0" applyNumberFormat="1" applyFont="1" applyFill="1" applyBorder="1"/>
    <xf numFmtId="0" fontId="0" fillId="8" borderId="6" xfId="0" applyNumberFormat="1" applyFont="1" applyFill="1" applyBorder="1"/>
    <xf numFmtId="0" fontId="11" fillId="7" borderId="7" xfId="0" applyFont="1" applyFill="1" applyBorder="1"/>
    <xf numFmtId="43" fontId="11" fillId="7" borderId="7" xfId="6" applyNumberFormat="1" applyFont="1" applyFill="1" applyBorder="1"/>
    <xf numFmtId="0" fontId="0" fillId="0" borderId="8" xfId="0" applyNumberFormat="1" applyFont="1" applyBorder="1"/>
    <xf numFmtId="43" fontId="0" fillId="0" borderId="8" xfId="6" applyNumberFormat="1" applyFont="1" applyBorder="1"/>
    <xf numFmtId="43" fontId="0" fillId="0" borderId="8" xfId="0" applyNumberFormat="1" applyBorder="1"/>
    <xf numFmtId="0" fontId="15" fillId="0" borderId="1" xfId="0" applyFont="1" applyBorder="1"/>
    <xf numFmtId="164" fontId="15" fillId="0" borderId="1" xfId="6" applyFont="1" applyBorder="1"/>
    <xf numFmtId="0" fontId="13" fillId="11" borderId="9" xfId="0" applyFont="1" applyFill="1" applyBorder="1"/>
    <xf numFmtId="0" fontId="13" fillId="11" borderId="10" xfId="0" applyFont="1" applyFill="1" applyBorder="1"/>
    <xf numFmtId="0" fontId="9" fillId="12" borderId="9" xfId="0" applyFont="1" applyFill="1" applyBorder="1"/>
    <xf numFmtId="0" fontId="9" fillId="12" borderId="10" xfId="0" applyFont="1" applyFill="1" applyBorder="1"/>
    <xf numFmtId="164" fontId="9" fillId="12" borderId="10" xfId="6" applyFont="1" applyFill="1" applyBorder="1"/>
    <xf numFmtId="0" fontId="9" fillId="0" borderId="9" xfId="0" applyFont="1" applyBorder="1"/>
    <xf numFmtId="0" fontId="9" fillId="0" borderId="10" xfId="0" applyFont="1" applyBorder="1"/>
    <xf numFmtId="164" fontId="9" fillId="0" borderId="10" xfId="6" applyFont="1" applyBorder="1"/>
    <xf numFmtId="0" fontId="14" fillId="0" borderId="11" xfId="0" applyFont="1" applyBorder="1"/>
    <xf numFmtId="0" fontId="14" fillId="0" borderId="12" xfId="0" applyFont="1" applyBorder="1"/>
    <xf numFmtId="164" fontId="14" fillId="0" borderId="12" xfId="6" applyFont="1" applyBorder="1"/>
    <xf numFmtId="164" fontId="13" fillId="11" borderId="10" xfId="6" applyFont="1" applyFill="1" applyBorder="1"/>
    <xf numFmtId="164" fontId="14" fillId="0" borderId="12" xfId="0" applyNumberFormat="1" applyFont="1" applyBorder="1"/>
    <xf numFmtId="0" fontId="14" fillId="0" borderId="1" xfId="0" applyFont="1" applyBorder="1"/>
    <xf numFmtId="164" fontId="14" fillId="0" borderId="1" xfId="0" applyNumberFormat="1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14"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 patternType="solid">
          <fgColor theme="9" tint="0.79998168889431442"/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AE84A2-71B5-472D-89AE-7FC48983E114}" name="Tabla2" displayName="Tabla2" ref="A1:C19" totalsRowCount="1" headerRowDxfId="13" totalsRowDxfId="10" headerRowBorderDxfId="12" tableBorderDxfId="11" totalsRowBorderDxfId="9">
  <autoFilter ref="A1:C18" xr:uid="{72F38FD4-E60B-46C7-9C45-1F4B1555353B}"/>
  <tableColumns count="3">
    <tableColumn id="1" xr3:uid="{7DB15BF0-CD21-4CDF-8DA1-8ACF9A9892F9}" name="Cód. org. aplic." totalsRowLabel="Total" dataDxfId="8" totalsRowDxfId="7"/>
    <tableColumn id="2" xr3:uid="{B577B998-992C-4084-85A6-072ADCCA1468}" name="Descripción justificante" dataDxfId="6" totalsRowDxfId="5"/>
    <tableColumn id="3" xr3:uid="{27F76775-71BA-44D1-A3E0-192F4617E0D3}" name="Imp.cob.aplic." totalsRowFunction="sum" dataDxfId="4" totalsRowDxfId="3" dataCellStyle="Millares" totalsRowCellStyle="Millare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4E725E-3D65-4760-B639-6FD84511E48C}" name="Tabla3" displayName="Tabla3" ref="A1:C4" totalsRowCount="1" headerRowBorderDxfId="2" tableBorderDxfId="1" totalsRowBorderDxfId="0">
  <autoFilter ref="A1:C3" xr:uid="{A62159F3-E272-4990-93E6-B0DF3949905C}"/>
  <tableColumns count="3">
    <tableColumn id="1" xr3:uid="{7A8409DC-977A-4715-B868-2A7982C2E27B}" name="Org. aplic." totalsRowLabel="Total"/>
    <tableColumn id="2" xr3:uid="{F5C857B4-BB6B-4CE4-8917-7546A5EB2F82}" name="Descripción justificante"/>
    <tableColumn id="3" xr3:uid="{1E64F069-A6EB-41E8-B720-02B38177FEE3}" name="Imp. aplic.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0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43" sqref="E43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25.7109375" style="6" customWidth="1"/>
    <col min="11" max="11" width="6.7109375" style="6" customWidth="1"/>
    <col min="12" max="12" width="5.140625" style="6" customWidth="1"/>
    <col min="13" max="13" width="4.42578125" style="6" customWidth="1"/>
    <col min="14" max="14" width="4.85546875" style="6" customWidth="1"/>
    <col min="15" max="15" width="4.85546875" style="7" customWidth="1"/>
    <col min="16" max="16" width="4.85546875" style="6" customWidth="1"/>
    <col min="17" max="17" width="3.5703125" style="7" customWidth="1"/>
    <col min="18" max="18" width="5.42578125" style="6" customWidth="1"/>
    <col min="19" max="21" width="5.140625" style="6" customWidth="1"/>
    <col min="22" max="16384" width="10.28515625" style="6"/>
  </cols>
  <sheetData>
    <row r="1" spans="1:21" ht="45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">
      <c r="A2" s="20" t="s">
        <v>31</v>
      </c>
      <c r="B2" s="20" t="s">
        <v>32</v>
      </c>
      <c r="C2" s="20" t="s">
        <v>37</v>
      </c>
      <c r="D2" s="20" t="s">
        <v>63</v>
      </c>
      <c r="E2" s="20" t="s">
        <v>62</v>
      </c>
      <c r="F2" s="20" t="s">
        <v>61</v>
      </c>
      <c r="G2" s="20" t="s">
        <v>35</v>
      </c>
      <c r="H2" s="20" t="s">
        <v>24</v>
      </c>
      <c r="I2" s="20" t="s">
        <v>31</v>
      </c>
      <c r="J2" s="20" t="s">
        <v>32</v>
      </c>
      <c r="K2" s="20">
        <v>1</v>
      </c>
      <c r="L2" s="20" t="s">
        <v>34</v>
      </c>
      <c r="M2" s="20">
        <v>2019</v>
      </c>
      <c r="N2" s="21" t="s">
        <v>23</v>
      </c>
      <c r="O2" s="20" t="s">
        <v>23</v>
      </c>
      <c r="P2" s="21" t="s">
        <v>23</v>
      </c>
      <c r="Q2" s="22" t="s">
        <v>23</v>
      </c>
      <c r="R2" s="23">
        <v>100</v>
      </c>
      <c r="S2" s="23">
        <v>1</v>
      </c>
      <c r="T2" s="23">
        <v>0</v>
      </c>
      <c r="U2" s="6">
        <v>0</v>
      </c>
    </row>
    <row r="3" spans="1:21" x14ac:dyDescent="0.2">
      <c r="A3" s="20" t="s">
        <v>28</v>
      </c>
      <c r="B3" s="20" t="s">
        <v>29</v>
      </c>
      <c r="C3" s="20" t="s">
        <v>30</v>
      </c>
      <c r="D3" s="20" t="s">
        <v>66</v>
      </c>
      <c r="E3" s="20" t="s">
        <v>65</v>
      </c>
      <c r="F3" s="20" t="s">
        <v>64</v>
      </c>
      <c r="G3" s="20" t="s">
        <v>35</v>
      </c>
      <c r="H3" s="20" t="s">
        <v>24</v>
      </c>
      <c r="I3" s="20" t="s">
        <v>31</v>
      </c>
      <c r="J3" s="20" t="s">
        <v>32</v>
      </c>
      <c r="K3" s="20">
        <v>1</v>
      </c>
      <c r="L3" s="20" t="s">
        <v>34</v>
      </c>
      <c r="M3" s="20">
        <v>2019</v>
      </c>
      <c r="N3" s="21" t="s">
        <v>23</v>
      </c>
      <c r="O3" s="20" t="s">
        <v>23</v>
      </c>
      <c r="P3" s="21" t="s">
        <v>23</v>
      </c>
      <c r="Q3" s="22" t="s">
        <v>23</v>
      </c>
      <c r="R3" s="23">
        <v>100</v>
      </c>
      <c r="S3" s="23">
        <v>1</v>
      </c>
      <c r="T3" s="23">
        <v>0</v>
      </c>
      <c r="U3" s="6">
        <v>0</v>
      </c>
    </row>
    <row r="4" spans="1:21" x14ac:dyDescent="0.2">
      <c r="A4" s="20" t="s">
        <v>31</v>
      </c>
      <c r="B4" s="20" t="s">
        <v>32</v>
      </c>
      <c r="C4" s="20" t="s">
        <v>37</v>
      </c>
      <c r="D4" s="20" t="s">
        <v>81</v>
      </c>
      <c r="E4" s="20" t="s">
        <v>82</v>
      </c>
      <c r="F4" s="20" t="s">
        <v>83</v>
      </c>
      <c r="G4" s="20" t="s">
        <v>84</v>
      </c>
      <c r="H4" s="20" t="s">
        <v>22</v>
      </c>
      <c r="I4" s="20" t="s">
        <v>31</v>
      </c>
      <c r="J4" s="20" t="s">
        <v>32</v>
      </c>
      <c r="K4" s="20">
        <v>0.5</v>
      </c>
      <c r="L4" s="20" t="s">
        <v>34</v>
      </c>
      <c r="M4" s="20">
        <v>2020</v>
      </c>
      <c r="N4" s="21" t="s">
        <v>27</v>
      </c>
      <c r="O4" s="20">
        <v>15</v>
      </c>
      <c r="P4" s="21" t="s">
        <v>23</v>
      </c>
      <c r="Q4" s="22">
        <v>0</v>
      </c>
      <c r="R4" s="23">
        <v>85</v>
      </c>
      <c r="S4" s="23">
        <v>0.42499999999999999</v>
      </c>
      <c r="T4" s="23">
        <v>7.4999999999999997E-2</v>
      </c>
      <c r="U4" s="6">
        <v>0</v>
      </c>
    </row>
    <row r="5" spans="1:21" x14ac:dyDescent="0.2">
      <c r="A5" s="20" t="s">
        <v>31</v>
      </c>
      <c r="B5" s="20" t="s">
        <v>32</v>
      </c>
      <c r="C5" s="20" t="s">
        <v>37</v>
      </c>
      <c r="D5" s="20" t="s">
        <v>81</v>
      </c>
      <c r="E5" s="20" t="s">
        <v>82</v>
      </c>
      <c r="F5" s="20" t="s">
        <v>83</v>
      </c>
      <c r="G5" s="20" t="s">
        <v>33</v>
      </c>
      <c r="H5" s="20" t="s">
        <v>22</v>
      </c>
      <c r="I5" s="20" t="s">
        <v>31</v>
      </c>
      <c r="J5" s="20" t="s">
        <v>32</v>
      </c>
      <c r="K5" s="20">
        <v>0.5</v>
      </c>
      <c r="L5" s="20" t="s">
        <v>34</v>
      </c>
      <c r="M5" s="20">
        <v>2020</v>
      </c>
      <c r="N5" s="21" t="s">
        <v>23</v>
      </c>
      <c r="O5" s="20" t="s">
        <v>23</v>
      </c>
      <c r="P5" s="21" t="s">
        <v>23</v>
      </c>
      <c r="Q5" s="22" t="s">
        <v>23</v>
      </c>
      <c r="R5" s="23">
        <v>100</v>
      </c>
      <c r="S5" s="23">
        <v>0.5</v>
      </c>
      <c r="T5" s="23">
        <v>0</v>
      </c>
      <c r="U5" s="6">
        <v>0</v>
      </c>
    </row>
    <row r="6" spans="1:21" x14ac:dyDescent="0.2">
      <c r="A6" s="20" t="s">
        <v>31</v>
      </c>
      <c r="B6" s="20" t="s">
        <v>32</v>
      </c>
      <c r="C6" s="20" t="s">
        <v>37</v>
      </c>
      <c r="D6" s="20" t="s">
        <v>70</v>
      </c>
      <c r="E6" s="20" t="s">
        <v>71</v>
      </c>
      <c r="F6" s="20" t="s">
        <v>72</v>
      </c>
      <c r="G6" s="20" t="s">
        <v>73</v>
      </c>
      <c r="H6" s="20" t="s">
        <v>22</v>
      </c>
      <c r="I6" s="20" t="s">
        <v>31</v>
      </c>
      <c r="J6" s="20" t="s">
        <v>32</v>
      </c>
      <c r="K6" s="20">
        <v>0.5</v>
      </c>
      <c r="L6" s="20" t="s">
        <v>34</v>
      </c>
      <c r="M6" s="20">
        <v>2020</v>
      </c>
      <c r="N6" s="21" t="s">
        <v>23</v>
      </c>
      <c r="O6" s="20" t="s">
        <v>23</v>
      </c>
      <c r="P6" s="21" t="s">
        <v>23</v>
      </c>
      <c r="Q6" s="22" t="s">
        <v>23</v>
      </c>
      <c r="R6" s="23">
        <v>100</v>
      </c>
      <c r="S6" s="23">
        <v>0.5</v>
      </c>
      <c r="T6" s="23">
        <v>0</v>
      </c>
      <c r="U6" s="6">
        <v>0</v>
      </c>
    </row>
    <row r="7" spans="1:21" x14ac:dyDescent="0.2">
      <c r="A7" s="20" t="s">
        <v>31</v>
      </c>
      <c r="B7" s="20" t="s">
        <v>32</v>
      </c>
      <c r="C7" s="20" t="s">
        <v>37</v>
      </c>
      <c r="D7" s="20" t="s">
        <v>70</v>
      </c>
      <c r="E7" s="20" t="s">
        <v>71</v>
      </c>
      <c r="F7" s="20" t="s">
        <v>72</v>
      </c>
      <c r="G7" s="20" t="s">
        <v>35</v>
      </c>
      <c r="H7" s="20" t="s">
        <v>22</v>
      </c>
      <c r="I7" s="20" t="s">
        <v>31</v>
      </c>
      <c r="J7" s="20" t="s">
        <v>32</v>
      </c>
      <c r="K7" s="20">
        <v>0.5</v>
      </c>
      <c r="L7" s="20" t="s">
        <v>34</v>
      </c>
      <c r="M7" s="20">
        <v>2020</v>
      </c>
      <c r="N7" s="21" t="s">
        <v>23</v>
      </c>
      <c r="O7" s="20" t="s">
        <v>23</v>
      </c>
      <c r="P7" s="21" t="s">
        <v>23</v>
      </c>
      <c r="Q7" s="22" t="s">
        <v>23</v>
      </c>
      <c r="R7" s="23">
        <v>100</v>
      </c>
      <c r="S7" s="23">
        <v>0.5</v>
      </c>
      <c r="T7" s="23">
        <v>0</v>
      </c>
      <c r="U7" s="6">
        <v>0</v>
      </c>
    </row>
    <row r="8" spans="1:21" x14ac:dyDescent="0.2">
      <c r="A8" s="20" t="s">
        <v>28</v>
      </c>
      <c r="B8" s="20" t="s">
        <v>29</v>
      </c>
      <c r="C8" s="20" t="s">
        <v>30</v>
      </c>
      <c r="D8" s="20" t="s">
        <v>74</v>
      </c>
      <c r="E8" s="20" t="s">
        <v>75</v>
      </c>
      <c r="F8" s="20" t="s">
        <v>76</v>
      </c>
      <c r="G8" s="20" t="s">
        <v>38</v>
      </c>
      <c r="H8" s="20" t="s">
        <v>22</v>
      </c>
      <c r="I8" s="20" t="s">
        <v>31</v>
      </c>
      <c r="J8" s="20" t="s">
        <v>32</v>
      </c>
      <c r="K8" s="20">
        <v>0.5</v>
      </c>
      <c r="L8" s="20" t="s">
        <v>34</v>
      </c>
      <c r="M8" s="20">
        <v>2020</v>
      </c>
      <c r="N8" s="21" t="s">
        <v>23</v>
      </c>
      <c r="O8" s="20" t="s">
        <v>23</v>
      </c>
      <c r="P8" s="21" t="s">
        <v>23</v>
      </c>
      <c r="Q8" s="22" t="s">
        <v>23</v>
      </c>
      <c r="R8" s="23">
        <v>100</v>
      </c>
      <c r="S8" s="23">
        <v>0.5</v>
      </c>
      <c r="T8" s="23">
        <v>0</v>
      </c>
      <c r="U8" s="6">
        <v>0</v>
      </c>
    </row>
    <row r="9" spans="1:21" x14ac:dyDescent="0.2">
      <c r="A9" s="20" t="s">
        <v>28</v>
      </c>
      <c r="B9" s="20" t="s">
        <v>29</v>
      </c>
      <c r="C9" s="20" t="s">
        <v>30</v>
      </c>
      <c r="D9" s="20" t="s">
        <v>74</v>
      </c>
      <c r="E9" s="20" t="s">
        <v>75</v>
      </c>
      <c r="F9" s="20" t="s">
        <v>76</v>
      </c>
      <c r="G9" s="20" t="s">
        <v>77</v>
      </c>
      <c r="H9" s="20" t="s">
        <v>22</v>
      </c>
      <c r="I9" s="20" t="s">
        <v>31</v>
      </c>
      <c r="J9" s="20" t="s">
        <v>32</v>
      </c>
      <c r="K9" s="20">
        <v>0.5</v>
      </c>
      <c r="L9" s="20" t="s">
        <v>34</v>
      </c>
      <c r="M9" s="20">
        <v>2020</v>
      </c>
      <c r="N9" s="21" t="s">
        <v>23</v>
      </c>
      <c r="O9" s="20" t="s">
        <v>23</v>
      </c>
      <c r="P9" s="21" t="s">
        <v>23</v>
      </c>
      <c r="Q9" s="22" t="s">
        <v>23</v>
      </c>
      <c r="R9" s="23">
        <v>100</v>
      </c>
      <c r="S9" s="23">
        <v>0.5</v>
      </c>
      <c r="T9" s="23">
        <v>0</v>
      </c>
      <c r="U9" s="6">
        <v>0</v>
      </c>
    </row>
    <row r="10" spans="1:21" x14ac:dyDescent="0.2">
      <c r="A10" s="20" t="s">
        <v>31</v>
      </c>
      <c r="B10" s="20" t="s">
        <v>32</v>
      </c>
      <c r="C10" s="20" t="s">
        <v>37</v>
      </c>
      <c r="D10" s="20" t="s">
        <v>85</v>
      </c>
      <c r="E10" s="20" t="s">
        <v>86</v>
      </c>
      <c r="F10" s="20" t="s">
        <v>87</v>
      </c>
      <c r="G10" s="20" t="s">
        <v>26</v>
      </c>
      <c r="H10" s="20" t="s">
        <v>22</v>
      </c>
      <c r="I10" s="20" t="s">
        <v>31</v>
      </c>
      <c r="J10" s="20" t="s">
        <v>32</v>
      </c>
      <c r="K10" s="20">
        <v>1</v>
      </c>
      <c r="L10" s="20" t="s">
        <v>34</v>
      </c>
      <c r="M10" s="20">
        <v>2021</v>
      </c>
      <c r="N10" s="21" t="s">
        <v>23</v>
      </c>
      <c r="O10" s="20" t="s">
        <v>23</v>
      </c>
      <c r="P10" s="21" t="s">
        <v>23</v>
      </c>
      <c r="Q10" s="22" t="s">
        <v>23</v>
      </c>
      <c r="R10" s="23">
        <v>100</v>
      </c>
      <c r="S10" s="23">
        <v>1</v>
      </c>
      <c r="T10" s="23">
        <v>0</v>
      </c>
      <c r="U10" s="6">
        <v>0</v>
      </c>
    </row>
    <row r="11" spans="1:21" x14ac:dyDescent="0.2">
      <c r="A11" s="20" t="s">
        <v>31</v>
      </c>
      <c r="B11" s="20" t="s">
        <v>32</v>
      </c>
      <c r="C11" s="20" t="s">
        <v>37</v>
      </c>
      <c r="D11" s="20" t="s">
        <v>88</v>
      </c>
      <c r="E11" s="20" t="s">
        <v>89</v>
      </c>
      <c r="F11" s="20" t="s">
        <v>90</v>
      </c>
      <c r="G11" s="20" t="s">
        <v>36</v>
      </c>
      <c r="H11" s="20" t="s">
        <v>24</v>
      </c>
      <c r="I11" s="20" t="s">
        <v>31</v>
      </c>
      <c r="J11" s="20" t="s">
        <v>32</v>
      </c>
      <c r="K11" s="20">
        <v>1</v>
      </c>
      <c r="L11" s="20" t="s">
        <v>34</v>
      </c>
      <c r="M11" s="20">
        <v>2021</v>
      </c>
      <c r="N11" s="21" t="s">
        <v>27</v>
      </c>
      <c r="O11" s="20">
        <v>10</v>
      </c>
      <c r="P11" s="21" t="s">
        <v>23</v>
      </c>
      <c r="Q11" s="22">
        <v>0</v>
      </c>
      <c r="R11" s="23">
        <v>90</v>
      </c>
      <c r="S11" s="23">
        <v>0.9</v>
      </c>
      <c r="T11" s="23">
        <v>0.1</v>
      </c>
      <c r="U11" s="6">
        <v>0</v>
      </c>
    </row>
    <row r="12" spans="1:21" x14ac:dyDescent="0.2">
      <c r="A12" s="20" t="s">
        <v>31</v>
      </c>
      <c r="B12" s="20" t="s">
        <v>32</v>
      </c>
      <c r="C12" s="20" t="s">
        <v>37</v>
      </c>
      <c r="D12" s="20" t="s">
        <v>91</v>
      </c>
      <c r="E12" s="20" t="s">
        <v>92</v>
      </c>
      <c r="F12" s="20" t="s">
        <v>93</v>
      </c>
      <c r="G12" s="20" t="s">
        <v>33</v>
      </c>
      <c r="H12" s="20" t="s">
        <v>22</v>
      </c>
      <c r="I12" s="20" t="s">
        <v>31</v>
      </c>
      <c r="J12" s="20" t="s">
        <v>32</v>
      </c>
      <c r="K12" s="20">
        <v>0.5</v>
      </c>
      <c r="L12" s="20" t="s">
        <v>34</v>
      </c>
      <c r="M12" s="20">
        <v>2021</v>
      </c>
      <c r="N12" s="21" t="s">
        <v>23</v>
      </c>
      <c r="O12" s="20" t="s">
        <v>23</v>
      </c>
      <c r="P12" s="21" t="s">
        <v>23</v>
      </c>
      <c r="Q12" s="22" t="s">
        <v>23</v>
      </c>
      <c r="R12" s="23">
        <v>100</v>
      </c>
      <c r="S12" s="23">
        <v>0.5</v>
      </c>
      <c r="T12" s="23">
        <v>0</v>
      </c>
      <c r="U12" s="6">
        <v>0</v>
      </c>
    </row>
    <row r="13" spans="1:21" x14ac:dyDescent="0.2">
      <c r="A13" s="20" t="s">
        <v>31</v>
      </c>
      <c r="B13" s="20" t="s">
        <v>32</v>
      </c>
      <c r="C13" s="20" t="s">
        <v>37</v>
      </c>
      <c r="D13" s="20" t="s">
        <v>91</v>
      </c>
      <c r="E13" s="20" t="s">
        <v>92</v>
      </c>
      <c r="F13" s="20" t="s">
        <v>93</v>
      </c>
      <c r="G13" s="20" t="s">
        <v>26</v>
      </c>
      <c r="H13" s="20" t="s">
        <v>22</v>
      </c>
      <c r="I13" s="20" t="s">
        <v>31</v>
      </c>
      <c r="J13" s="20" t="s">
        <v>32</v>
      </c>
      <c r="K13" s="20">
        <v>0.5</v>
      </c>
      <c r="L13" s="20" t="s">
        <v>34</v>
      </c>
      <c r="M13" s="20">
        <v>2021</v>
      </c>
      <c r="N13" s="21" t="s">
        <v>23</v>
      </c>
      <c r="O13" s="20" t="s">
        <v>23</v>
      </c>
      <c r="P13" s="21" t="s">
        <v>23</v>
      </c>
      <c r="Q13" s="22" t="s">
        <v>23</v>
      </c>
      <c r="R13" s="23">
        <v>100</v>
      </c>
      <c r="S13" s="23">
        <v>0.5</v>
      </c>
      <c r="T13" s="23">
        <v>0</v>
      </c>
      <c r="U13" s="6">
        <v>0</v>
      </c>
    </row>
    <row r="14" spans="1:21" x14ac:dyDescent="0.2">
      <c r="A14" s="20" t="s">
        <v>31</v>
      </c>
      <c r="B14" s="20" t="s">
        <v>32</v>
      </c>
      <c r="C14" s="20" t="s">
        <v>37</v>
      </c>
      <c r="D14" s="20" t="s">
        <v>94</v>
      </c>
      <c r="E14" s="20" t="s">
        <v>95</v>
      </c>
      <c r="F14" s="20" t="s">
        <v>96</v>
      </c>
      <c r="G14" s="20" t="s">
        <v>97</v>
      </c>
      <c r="H14" s="20" t="s">
        <v>22</v>
      </c>
      <c r="I14" s="20" t="s">
        <v>31</v>
      </c>
      <c r="J14" s="20" t="s">
        <v>32</v>
      </c>
      <c r="K14" s="20">
        <v>0.5</v>
      </c>
      <c r="L14" s="20" t="s">
        <v>34</v>
      </c>
      <c r="M14" s="20">
        <v>2021</v>
      </c>
      <c r="N14" s="21" t="s">
        <v>23</v>
      </c>
      <c r="O14" s="20" t="s">
        <v>23</v>
      </c>
      <c r="P14" s="21" t="s">
        <v>23</v>
      </c>
      <c r="Q14" s="22" t="s">
        <v>23</v>
      </c>
      <c r="R14" s="23">
        <v>100</v>
      </c>
      <c r="S14" s="23">
        <v>0.5</v>
      </c>
      <c r="T14" s="23">
        <v>0</v>
      </c>
      <c r="U14" s="6">
        <v>0</v>
      </c>
    </row>
    <row r="15" spans="1:21" x14ac:dyDescent="0.2">
      <c r="A15" s="20" t="s">
        <v>31</v>
      </c>
      <c r="B15" s="20" t="s">
        <v>32</v>
      </c>
      <c r="C15" s="20" t="s">
        <v>37</v>
      </c>
      <c r="D15" s="20" t="s">
        <v>94</v>
      </c>
      <c r="E15" s="20" t="s">
        <v>95</v>
      </c>
      <c r="F15" s="20" t="s">
        <v>96</v>
      </c>
      <c r="G15" s="20" t="s">
        <v>35</v>
      </c>
      <c r="H15" s="20" t="s">
        <v>22</v>
      </c>
      <c r="I15" s="20" t="s">
        <v>31</v>
      </c>
      <c r="J15" s="20" t="s">
        <v>32</v>
      </c>
      <c r="K15" s="20">
        <v>0.5</v>
      </c>
      <c r="L15" s="20" t="s">
        <v>34</v>
      </c>
      <c r="M15" s="20">
        <v>2021</v>
      </c>
      <c r="N15" s="21" t="s">
        <v>23</v>
      </c>
      <c r="O15" s="20" t="s">
        <v>23</v>
      </c>
      <c r="P15" s="21" t="s">
        <v>23</v>
      </c>
      <c r="Q15" s="22" t="s">
        <v>23</v>
      </c>
      <c r="R15" s="23">
        <v>100</v>
      </c>
      <c r="S15" s="23">
        <v>0.5</v>
      </c>
      <c r="T15" s="23">
        <v>0</v>
      </c>
      <c r="U15" s="6">
        <v>0</v>
      </c>
    </row>
    <row r="16" spans="1:21" x14ac:dyDescent="0.2">
      <c r="A16" s="20" t="s">
        <v>31</v>
      </c>
      <c r="B16" s="20" t="s">
        <v>32</v>
      </c>
      <c r="C16" s="20" t="s">
        <v>37</v>
      </c>
      <c r="D16" s="20" t="s">
        <v>98</v>
      </c>
      <c r="E16" s="20" t="s">
        <v>99</v>
      </c>
      <c r="F16" s="20" t="s">
        <v>96</v>
      </c>
      <c r="G16" s="20" t="s">
        <v>97</v>
      </c>
      <c r="H16" s="20" t="s">
        <v>22</v>
      </c>
      <c r="I16" s="20" t="s">
        <v>31</v>
      </c>
      <c r="J16" s="20" t="s">
        <v>32</v>
      </c>
      <c r="K16" s="20">
        <v>0.5</v>
      </c>
      <c r="L16" s="20" t="s">
        <v>34</v>
      </c>
      <c r="M16" s="20">
        <v>2021</v>
      </c>
      <c r="N16" s="21" t="s">
        <v>23</v>
      </c>
      <c r="O16" s="20" t="s">
        <v>23</v>
      </c>
      <c r="P16" s="21" t="s">
        <v>23</v>
      </c>
      <c r="Q16" s="22" t="s">
        <v>23</v>
      </c>
      <c r="R16" s="23">
        <v>100</v>
      </c>
      <c r="S16" s="23">
        <v>0.5</v>
      </c>
      <c r="T16" s="23">
        <v>0</v>
      </c>
      <c r="U16" s="6">
        <v>0</v>
      </c>
    </row>
    <row r="17" spans="1:22" x14ac:dyDescent="0.2">
      <c r="A17" s="20" t="s">
        <v>31</v>
      </c>
      <c r="B17" s="20" t="s">
        <v>32</v>
      </c>
      <c r="C17" s="20" t="s">
        <v>37</v>
      </c>
      <c r="D17" s="20" t="s">
        <v>98</v>
      </c>
      <c r="E17" s="20" t="s">
        <v>99</v>
      </c>
      <c r="F17" s="20" t="s">
        <v>96</v>
      </c>
      <c r="G17" s="20" t="s">
        <v>35</v>
      </c>
      <c r="H17" s="20" t="s">
        <v>22</v>
      </c>
      <c r="I17" s="20" t="s">
        <v>31</v>
      </c>
      <c r="J17" s="20" t="s">
        <v>32</v>
      </c>
      <c r="K17" s="20">
        <v>0.5</v>
      </c>
      <c r="L17" s="20" t="s">
        <v>34</v>
      </c>
      <c r="M17" s="20">
        <v>2021</v>
      </c>
      <c r="N17" s="21" t="s">
        <v>23</v>
      </c>
      <c r="O17" s="20" t="s">
        <v>23</v>
      </c>
      <c r="P17" s="21" t="s">
        <v>23</v>
      </c>
      <c r="Q17" s="22" t="s">
        <v>23</v>
      </c>
      <c r="R17" s="23">
        <v>100</v>
      </c>
      <c r="S17" s="23">
        <v>0.5</v>
      </c>
      <c r="T17" s="23">
        <v>0</v>
      </c>
      <c r="U17" s="6">
        <v>0</v>
      </c>
    </row>
    <row r="18" spans="1:22" ht="12" thickBot="1" x14ac:dyDescent="0.25">
      <c r="A18" s="20" t="s">
        <v>31</v>
      </c>
      <c r="B18" s="20" t="s">
        <v>32</v>
      </c>
      <c r="C18" s="20" t="s">
        <v>37</v>
      </c>
      <c r="D18" s="20" t="s">
        <v>100</v>
      </c>
      <c r="E18" s="20" t="s">
        <v>101</v>
      </c>
      <c r="F18" s="20" t="s">
        <v>102</v>
      </c>
      <c r="G18" s="20" t="s">
        <v>38</v>
      </c>
      <c r="H18" s="20" t="s">
        <v>22</v>
      </c>
      <c r="I18" s="20" t="s">
        <v>31</v>
      </c>
      <c r="J18" s="20" t="s">
        <v>32</v>
      </c>
      <c r="K18" s="20">
        <v>0.5</v>
      </c>
      <c r="L18" s="20" t="s">
        <v>34</v>
      </c>
      <c r="M18" s="20">
        <v>2021</v>
      </c>
      <c r="N18" s="21" t="s">
        <v>23</v>
      </c>
      <c r="O18" s="20" t="s">
        <v>23</v>
      </c>
      <c r="P18" s="21" t="s">
        <v>23</v>
      </c>
      <c r="Q18" s="22" t="s">
        <v>23</v>
      </c>
      <c r="R18" s="23">
        <v>100</v>
      </c>
      <c r="S18" s="23">
        <v>0.5</v>
      </c>
      <c r="T18" s="23">
        <v>0</v>
      </c>
      <c r="U18" s="6">
        <v>0</v>
      </c>
    </row>
    <row r="19" spans="1:22" ht="12" thickBot="1" x14ac:dyDescent="0.25">
      <c r="A19" s="24" t="s">
        <v>31</v>
      </c>
      <c r="B19" s="24" t="s">
        <v>32</v>
      </c>
      <c r="C19" s="24" t="s">
        <v>37</v>
      </c>
      <c r="D19" s="24" t="s">
        <v>100</v>
      </c>
      <c r="E19" s="24" t="s">
        <v>101</v>
      </c>
      <c r="F19" s="24" t="s">
        <v>102</v>
      </c>
      <c r="G19" s="25" t="s">
        <v>26</v>
      </c>
      <c r="H19" s="26" t="s">
        <v>22</v>
      </c>
      <c r="I19" s="26" t="s">
        <v>31</v>
      </c>
      <c r="J19" s="27" t="s">
        <v>32</v>
      </c>
      <c r="K19" s="28">
        <v>0.5</v>
      </c>
      <c r="L19" s="18" t="s">
        <v>34</v>
      </c>
      <c r="M19" s="18">
        <v>2021</v>
      </c>
      <c r="N19" s="19" t="s">
        <v>23</v>
      </c>
      <c r="O19" s="18" t="s">
        <v>23</v>
      </c>
      <c r="P19" s="19" t="s">
        <v>23</v>
      </c>
      <c r="Q19" s="18" t="s">
        <v>23</v>
      </c>
      <c r="R19" s="18">
        <v>100</v>
      </c>
      <c r="S19" s="18">
        <v>0.5</v>
      </c>
      <c r="T19" s="18">
        <v>0</v>
      </c>
      <c r="U19" s="6">
        <v>0</v>
      </c>
    </row>
    <row r="20" spans="1:22" ht="12" thickBot="1" x14ac:dyDescent="0.25">
      <c r="A20" s="24" t="s">
        <v>31</v>
      </c>
      <c r="B20" s="24" t="s">
        <v>32</v>
      </c>
      <c r="C20" s="24" t="s">
        <v>37</v>
      </c>
      <c r="D20" s="24" t="s">
        <v>144</v>
      </c>
      <c r="E20" s="24" t="s">
        <v>109</v>
      </c>
      <c r="F20" s="24" t="s">
        <v>110</v>
      </c>
      <c r="G20" s="25" t="s">
        <v>33</v>
      </c>
      <c r="H20" s="26" t="s">
        <v>22</v>
      </c>
      <c r="I20" s="26" t="s">
        <v>31</v>
      </c>
      <c r="J20" s="27" t="s">
        <v>32</v>
      </c>
      <c r="K20" s="28">
        <v>0.5</v>
      </c>
      <c r="L20" s="18" t="s">
        <v>34</v>
      </c>
      <c r="M20" s="18">
        <v>2022</v>
      </c>
      <c r="N20" s="19" t="s">
        <v>23</v>
      </c>
      <c r="O20" s="18" t="s">
        <v>23</v>
      </c>
      <c r="P20" s="19" t="s">
        <v>23</v>
      </c>
      <c r="Q20" s="18" t="s">
        <v>23</v>
      </c>
      <c r="R20" s="18">
        <v>100</v>
      </c>
      <c r="S20" s="18">
        <v>0.5</v>
      </c>
      <c r="T20" s="18">
        <v>0</v>
      </c>
      <c r="U20" s="6">
        <v>0</v>
      </c>
    </row>
    <row r="21" spans="1:22" ht="12" thickBot="1" x14ac:dyDescent="0.25">
      <c r="A21" s="24" t="s">
        <v>31</v>
      </c>
      <c r="B21" s="24" t="s">
        <v>32</v>
      </c>
      <c r="C21" s="24" t="s">
        <v>37</v>
      </c>
      <c r="D21" s="24" t="s">
        <v>145</v>
      </c>
      <c r="E21" s="24" t="s">
        <v>111</v>
      </c>
      <c r="F21" s="24" t="s">
        <v>112</v>
      </c>
      <c r="G21" s="25" t="s">
        <v>39</v>
      </c>
      <c r="H21" s="26" t="s">
        <v>24</v>
      </c>
      <c r="I21" s="26" t="s">
        <v>31</v>
      </c>
      <c r="J21" s="27" t="s">
        <v>32</v>
      </c>
      <c r="K21" s="28">
        <v>1</v>
      </c>
      <c r="L21" s="18" t="s">
        <v>34</v>
      </c>
      <c r="M21" s="18">
        <v>2022</v>
      </c>
      <c r="N21" s="19" t="s">
        <v>23</v>
      </c>
      <c r="O21" s="18" t="s">
        <v>23</v>
      </c>
      <c r="P21" s="19" t="s">
        <v>23</v>
      </c>
      <c r="Q21" s="18" t="s">
        <v>23</v>
      </c>
      <c r="R21" s="18">
        <v>100</v>
      </c>
      <c r="S21" s="18">
        <v>1</v>
      </c>
      <c r="T21" s="18">
        <v>0</v>
      </c>
      <c r="U21" s="6">
        <v>0</v>
      </c>
    </row>
    <row r="22" spans="1:22" ht="12" thickBot="1" x14ac:dyDescent="0.25">
      <c r="A22" s="24" t="s">
        <v>31</v>
      </c>
      <c r="B22" s="24" t="s">
        <v>32</v>
      </c>
      <c r="C22" s="24" t="s">
        <v>37</v>
      </c>
      <c r="D22" s="24" t="s">
        <v>145</v>
      </c>
      <c r="E22" s="24" t="s">
        <v>113</v>
      </c>
      <c r="F22" s="24" t="s">
        <v>114</v>
      </c>
      <c r="G22" s="25" t="s">
        <v>39</v>
      </c>
      <c r="H22" s="26" t="s">
        <v>24</v>
      </c>
      <c r="I22" s="26" t="s">
        <v>31</v>
      </c>
      <c r="J22" s="27" t="s">
        <v>32</v>
      </c>
      <c r="K22" s="28">
        <v>1</v>
      </c>
      <c r="L22" s="18" t="s">
        <v>34</v>
      </c>
      <c r="M22" s="18">
        <v>2022</v>
      </c>
      <c r="N22" s="19" t="s">
        <v>23</v>
      </c>
      <c r="O22" s="18" t="s">
        <v>23</v>
      </c>
      <c r="P22" s="19" t="s">
        <v>23</v>
      </c>
      <c r="Q22" s="18" t="s">
        <v>23</v>
      </c>
      <c r="R22" s="18">
        <v>100</v>
      </c>
      <c r="S22" s="18">
        <v>1</v>
      </c>
      <c r="T22" s="18">
        <v>0</v>
      </c>
      <c r="U22" s="6">
        <v>0</v>
      </c>
    </row>
    <row r="23" spans="1:22" ht="12" thickBot="1" x14ac:dyDescent="0.25">
      <c r="A23" s="24" t="s">
        <v>31</v>
      </c>
      <c r="B23" s="24" t="s">
        <v>32</v>
      </c>
      <c r="C23" s="24" t="s">
        <v>37</v>
      </c>
      <c r="D23" s="24" t="s">
        <v>146</v>
      </c>
      <c r="E23" s="24" t="s">
        <v>115</v>
      </c>
      <c r="F23" s="24" t="s">
        <v>116</v>
      </c>
      <c r="G23" s="25" t="s">
        <v>35</v>
      </c>
      <c r="H23" s="26" t="s">
        <v>22</v>
      </c>
      <c r="I23" s="26" t="s">
        <v>31</v>
      </c>
      <c r="J23" s="27" t="s">
        <v>32</v>
      </c>
      <c r="K23" s="28">
        <v>0.5</v>
      </c>
      <c r="L23" s="18" t="s">
        <v>34</v>
      </c>
      <c r="M23" s="18">
        <v>2022</v>
      </c>
      <c r="N23" s="19" t="s">
        <v>23</v>
      </c>
      <c r="O23" s="18" t="s">
        <v>23</v>
      </c>
      <c r="P23" s="19" t="s">
        <v>23</v>
      </c>
      <c r="Q23" s="18" t="s">
        <v>23</v>
      </c>
      <c r="R23" s="18">
        <v>100</v>
      </c>
      <c r="S23" s="18">
        <v>0.5</v>
      </c>
      <c r="T23" s="18">
        <v>0</v>
      </c>
      <c r="U23" s="6">
        <v>0</v>
      </c>
    </row>
    <row r="24" spans="1:22" ht="12" thickBot="1" x14ac:dyDescent="0.25">
      <c r="A24" s="24" t="s">
        <v>31</v>
      </c>
      <c r="B24" s="24" t="s">
        <v>32</v>
      </c>
      <c r="C24" s="24" t="s">
        <v>37</v>
      </c>
      <c r="D24" s="24" t="s">
        <v>146</v>
      </c>
      <c r="E24" s="24" t="s">
        <v>115</v>
      </c>
      <c r="F24" s="24" t="s">
        <v>116</v>
      </c>
      <c r="G24" s="25" t="s">
        <v>26</v>
      </c>
      <c r="H24" s="26" t="s">
        <v>22</v>
      </c>
      <c r="I24" s="26" t="s">
        <v>31</v>
      </c>
      <c r="J24" s="27" t="s">
        <v>32</v>
      </c>
      <c r="K24" s="28">
        <v>0.5</v>
      </c>
      <c r="L24" s="18" t="s">
        <v>34</v>
      </c>
      <c r="M24" s="18">
        <v>2022</v>
      </c>
      <c r="N24" s="19" t="s">
        <v>23</v>
      </c>
      <c r="O24" s="18" t="s">
        <v>23</v>
      </c>
      <c r="P24" s="19" t="s">
        <v>23</v>
      </c>
      <c r="Q24" s="18" t="s">
        <v>23</v>
      </c>
      <c r="R24" s="18">
        <v>100</v>
      </c>
      <c r="S24" s="18">
        <v>0.5</v>
      </c>
      <c r="T24" s="18">
        <v>0</v>
      </c>
      <c r="U24" s="6">
        <v>0</v>
      </c>
    </row>
    <row r="25" spans="1:22" x14ac:dyDescent="0.2">
      <c r="A25" s="18" t="s">
        <v>31</v>
      </c>
      <c r="B25" s="18" t="s">
        <v>32</v>
      </c>
      <c r="C25" s="18" t="s">
        <v>37</v>
      </c>
      <c r="D25" s="18" t="s">
        <v>147</v>
      </c>
      <c r="E25" s="18" t="s">
        <v>117</v>
      </c>
      <c r="F25" s="18" t="s">
        <v>118</v>
      </c>
      <c r="G25" s="18" t="s">
        <v>35</v>
      </c>
      <c r="H25" s="18" t="s">
        <v>22</v>
      </c>
      <c r="I25" s="18" t="s">
        <v>31</v>
      </c>
      <c r="J25" s="18" t="s">
        <v>32</v>
      </c>
      <c r="K25" s="28">
        <v>0.5</v>
      </c>
      <c r="L25" s="18" t="s">
        <v>34</v>
      </c>
      <c r="M25" s="18">
        <v>2022</v>
      </c>
      <c r="N25" s="19" t="s">
        <v>23</v>
      </c>
      <c r="O25" s="18" t="s">
        <v>23</v>
      </c>
      <c r="P25" s="19" t="s">
        <v>23</v>
      </c>
      <c r="Q25" s="18" t="s">
        <v>23</v>
      </c>
      <c r="R25" s="18">
        <v>100</v>
      </c>
      <c r="S25" s="18">
        <v>0.5</v>
      </c>
      <c r="T25" s="18">
        <v>0</v>
      </c>
      <c r="U25" s="6">
        <v>0</v>
      </c>
    </row>
    <row r="26" spans="1:22" x14ac:dyDescent="0.2">
      <c r="A26" s="18" t="s">
        <v>31</v>
      </c>
      <c r="B26" s="18" t="s">
        <v>32</v>
      </c>
      <c r="C26" s="18" t="s">
        <v>37</v>
      </c>
      <c r="D26" s="18" t="s">
        <v>147</v>
      </c>
      <c r="E26" s="18" t="s">
        <v>117</v>
      </c>
      <c r="F26" s="18" t="s">
        <v>118</v>
      </c>
      <c r="G26" s="18" t="s">
        <v>26</v>
      </c>
      <c r="H26" s="18" t="s">
        <v>22</v>
      </c>
      <c r="I26" s="18" t="s">
        <v>31</v>
      </c>
      <c r="J26" s="18" t="s">
        <v>32</v>
      </c>
      <c r="K26" s="28">
        <v>0.5</v>
      </c>
      <c r="L26" s="18" t="s">
        <v>34</v>
      </c>
      <c r="M26" s="18">
        <v>2022</v>
      </c>
      <c r="N26" s="19" t="s">
        <v>23</v>
      </c>
      <c r="O26" s="18" t="s">
        <v>23</v>
      </c>
      <c r="P26" s="19" t="s">
        <v>23</v>
      </c>
      <c r="Q26" s="18" t="s">
        <v>23</v>
      </c>
      <c r="R26" s="18">
        <v>100</v>
      </c>
      <c r="S26" s="18">
        <v>0.5</v>
      </c>
      <c r="T26" s="18">
        <v>0</v>
      </c>
      <c r="U26" s="6">
        <v>0</v>
      </c>
    </row>
    <row r="27" spans="1:22" x14ac:dyDescent="0.2">
      <c r="A27" s="18" t="s">
        <v>31</v>
      </c>
      <c r="B27" s="18" t="s">
        <v>32</v>
      </c>
      <c r="C27" s="18" t="s">
        <v>37</v>
      </c>
      <c r="D27" s="18" t="s">
        <v>148</v>
      </c>
      <c r="E27" s="18" t="s">
        <v>119</v>
      </c>
      <c r="F27" s="18" t="s">
        <v>120</v>
      </c>
      <c r="G27" s="18" t="s">
        <v>121</v>
      </c>
      <c r="H27" s="18" t="s">
        <v>22</v>
      </c>
      <c r="I27" s="18" t="s">
        <v>31</v>
      </c>
      <c r="J27" s="18" t="s">
        <v>32</v>
      </c>
      <c r="K27" s="28">
        <v>0.5</v>
      </c>
      <c r="L27" s="18" t="s">
        <v>34</v>
      </c>
      <c r="M27" s="18">
        <v>2022</v>
      </c>
      <c r="N27" s="19" t="s">
        <v>23</v>
      </c>
      <c r="O27" s="18" t="s">
        <v>23</v>
      </c>
      <c r="P27" s="19" t="s">
        <v>23</v>
      </c>
      <c r="Q27" s="18" t="s">
        <v>23</v>
      </c>
      <c r="R27" s="18">
        <v>100</v>
      </c>
      <c r="S27" s="18">
        <v>0.5</v>
      </c>
      <c r="T27" s="18">
        <v>0</v>
      </c>
      <c r="U27" s="6">
        <v>0</v>
      </c>
    </row>
    <row r="28" spans="1:22" x14ac:dyDescent="0.2">
      <c r="A28" s="18" t="s">
        <v>31</v>
      </c>
      <c r="B28" s="18" t="s">
        <v>32</v>
      </c>
      <c r="C28" s="18" t="s">
        <v>37</v>
      </c>
      <c r="D28" s="18" t="s">
        <v>148</v>
      </c>
      <c r="E28" s="18" t="s">
        <v>119</v>
      </c>
      <c r="F28" s="18" t="s">
        <v>120</v>
      </c>
      <c r="G28" s="18" t="s">
        <v>35</v>
      </c>
      <c r="H28" s="18" t="s">
        <v>22</v>
      </c>
      <c r="I28" s="18" t="s">
        <v>31</v>
      </c>
      <c r="J28" s="18" t="s">
        <v>32</v>
      </c>
      <c r="K28" s="28">
        <v>0.5</v>
      </c>
      <c r="L28" s="18" t="s">
        <v>34</v>
      </c>
      <c r="M28" s="18">
        <v>2022</v>
      </c>
      <c r="N28" s="19" t="s">
        <v>23</v>
      </c>
      <c r="O28" s="18" t="s">
        <v>23</v>
      </c>
      <c r="P28" s="19" t="s">
        <v>23</v>
      </c>
      <c r="Q28" s="18" t="s">
        <v>23</v>
      </c>
      <c r="R28" s="18">
        <v>100</v>
      </c>
      <c r="S28" s="18">
        <v>0.5</v>
      </c>
      <c r="T28" s="18">
        <v>0</v>
      </c>
      <c r="U28" s="6">
        <v>0</v>
      </c>
    </row>
    <row r="29" spans="1:22" x14ac:dyDescent="0.2">
      <c r="A29" s="18" t="s">
        <v>149</v>
      </c>
      <c r="B29" s="18" t="s">
        <v>150</v>
      </c>
      <c r="C29" s="18" t="s">
        <v>151</v>
      </c>
      <c r="D29" s="18" t="s">
        <v>152</v>
      </c>
      <c r="E29" s="18" t="s">
        <v>153</v>
      </c>
      <c r="F29" s="18" t="s">
        <v>154</v>
      </c>
      <c r="G29" s="18" t="s">
        <v>155</v>
      </c>
      <c r="H29" s="18" t="s">
        <v>156</v>
      </c>
      <c r="I29" s="18" t="s">
        <v>34</v>
      </c>
      <c r="J29" s="18" t="s">
        <v>150</v>
      </c>
      <c r="K29" s="28">
        <v>0.5</v>
      </c>
      <c r="L29" s="18" t="s">
        <v>34</v>
      </c>
      <c r="M29" s="18">
        <v>2022</v>
      </c>
      <c r="N29" s="19" t="s">
        <v>23</v>
      </c>
      <c r="O29" s="18" t="s">
        <v>23</v>
      </c>
      <c r="P29" s="19" t="s">
        <v>23</v>
      </c>
      <c r="Q29" s="18" t="s">
        <v>23</v>
      </c>
      <c r="R29" s="18">
        <v>100</v>
      </c>
      <c r="S29" s="18">
        <v>0.5</v>
      </c>
      <c r="T29" s="18">
        <v>0</v>
      </c>
      <c r="U29" s="6">
        <v>0</v>
      </c>
    </row>
    <row r="30" spans="1:22" x14ac:dyDescent="0.2">
      <c r="A30" s="18" t="s">
        <v>149</v>
      </c>
      <c r="B30" s="18" t="s">
        <v>150</v>
      </c>
      <c r="C30" s="18" t="s">
        <v>151</v>
      </c>
      <c r="D30" s="18" t="s">
        <v>152</v>
      </c>
      <c r="E30" s="18" t="s">
        <v>153</v>
      </c>
      <c r="F30" s="18" t="s">
        <v>154</v>
      </c>
      <c r="G30" s="18" t="s">
        <v>157</v>
      </c>
      <c r="H30" s="18" t="s">
        <v>156</v>
      </c>
      <c r="I30" s="18" t="s">
        <v>34</v>
      </c>
      <c r="J30" s="18" t="s">
        <v>150</v>
      </c>
      <c r="K30" s="28">
        <v>0.5</v>
      </c>
      <c r="L30" s="18" t="s">
        <v>34</v>
      </c>
      <c r="M30" s="18">
        <v>2022</v>
      </c>
      <c r="N30" s="19" t="s">
        <v>23</v>
      </c>
      <c r="O30" s="18" t="s">
        <v>23</v>
      </c>
      <c r="P30" s="19" t="s">
        <v>23</v>
      </c>
      <c r="Q30" s="18" t="s">
        <v>23</v>
      </c>
      <c r="R30" s="18">
        <v>100</v>
      </c>
      <c r="S30" s="18">
        <v>0.5</v>
      </c>
      <c r="T30" s="18">
        <v>0</v>
      </c>
      <c r="U30" s="6">
        <v>0</v>
      </c>
    </row>
    <row r="31" spans="1:22" x14ac:dyDescent="0.2">
      <c r="A31" s="18" t="s">
        <v>34</v>
      </c>
      <c r="B31" s="18" t="s">
        <v>160</v>
      </c>
      <c r="C31" s="18" t="s">
        <v>151</v>
      </c>
      <c r="D31" s="18" t="s">
        <v>161</v>
      </c>
      <c r="E31" s="18" t="s">
        <v>162</v>
      </c>
      <c r="F31" s="18" t="s">
        <v>163</v>
      </c>
      <c r="G31" s="18" t="s">
        <v>57</v>
      </c>
      <c r="H31" s="18" t="s">
        <v>156</v>
      </c>
      <c r="I31" s="18" t="s">
        <v>34</v>
      </c>
      <c r="J31" s="18" t="s">
        <v>160</v>
      </c>
      <c r="K31" s="28">
        <v>0.5</v>
      </c>
      <c r="L31" s="18" t="s">
        <v>34</v>
      </c>
      <c r="M31" s="18">
        <v>2023</v>
      </c>
      <c r="N31" s="19" t="s">
        <v>23</v>
      </c>
      <c r="O31" s="18" t="s">
        <v>23</v>
      </c>
      <c r="P31" s="19" t="s">
        <v>23</v>
      </c>
      <c r="Q31" s="18" t="s">
        <v>23</v>
      </c>
      <c r="R31" s="18">
        <v>100</v>
      </c>
      <c r="S31" s="18">
        <v>0.5</v>
      </c>
      <c r="T31" s="18">
        <v>0</v>
      </c>
      <c r="U31" s="6">
        <v>0</v>
      </c>
      <c r="V31" s="6" t="s">
        <v>127</v>
      </c>
    </row>
    <row r="32" spans="1:22" x14ac:dyDescent="0.2">
      <c r="A32" s="18" t="s">
        <v>34</v>
      </c>
      <c r="B32" s="18" t="s">
        <v>160</v>
      </c>
      <c r="C32" s="18" t="s">
        <v>151</v>
      </c>
      <c r="D32" s="18" t="s">
        <v>161</v>
      </c>
      <c r="E32" s="18" t="s">
        <v>162</v>
      </c>
      <c r="F32" s="18" t="s">
        <v>163</v>
      </c>
      <c r="G32" s="18" t="s">
        <v>164</v>
      </c>
      <c r="H32" s="18" t="s">
        <v>156</v>
      </c>
      <c r="I32" s="18" t="s">
        <v>34</v>
      </c>
      <c r="J32" s="18" t="s">
        <v>160</v>
      </c>
      <c r="K32" s="28">
        <v>0.5</v>
      </c>
      <c r="L32" s="18" t="s">
        <v>34</v>
      </c>
      <c r="M32" s="18">
        <v>2023</v>
      </c>
      <c r="N32" s="19" t="s">
        <v>23</v>
      </c>
      <c r="O32" s="18" t="s">
        <v>23</v>
      </c>
      <c r="P32" s="19" t="s">
        <v>23</v>
      </c>
      <c r="Q32" s="18" t="s">
        <v>23</v>
      </c>
      <c r="R32" s="18">
        <v>100</v>
      </c>
      <c r="S32" s="18">
        <v>0.5</v>
      </c>
      <c r="T32" s="18">
        <v>0</v>
      </c>
      <c r="U32" s="6">
        <v>0</v>
      </c>
      <c r="V32" s="6" t="s">
        <v>127</v>
      </c>
    </row>
    <row r="33" spans="1:21" x14ac:dyDescent="0.2">
      <c r="A33" s="18" t="s">
        <v>34</v>
      </c>
      <c r="B33" s="18" t="s">
        <v>170</v>
      </c>
      <c r="C33" s="18" t="s">
        <v>151</v>
      </c>
      <c r="D33" s="18" t="s">
        <v>171</v>
      </c>
      <c r="E33" s="18" t="s">
        <v>172</v>
      </c>
      <c r="F33" s="18" t="s">
        <v>173</v>
      </c>
      <c r="G33" s="18" t="s">
        <v>174</v>
      </c>
      <c r="H33" s="18" t="s">
        <v>175</v>
      </c>
      <c r="I33" s="18" t="s">
        <v>34</v>
      </c>
      <c r="J33" s="18" t="s">
        <v>170</v>
      </c>
      <c r="K33" s="28">
        <v>1</v>
      </c>
      <c r="L33" s="18" t="s">
        <v>34</v>
      </c>
      <c r="M33" s="18">
        <v>2024</v>
      </c>
      <c r="N33" s="19" t="s">
        <v>27</v>
      </c>
      <c r="O33" s="18" t="s">
        <v>176</v>
      </c>
      <c r="P33" s="19" t="s">
        <v>23</v>
      </c>
      <c r="Q33" s="18" t="s">
        <v>23</v>
      </c>
      <c r="R33" s="18">
        <v>85</v>
      </c>
      <c r="S33" s="18">
        <v>0.85</v>
      </c>
      <c r="T33" s="18">
        <v>0.15</v>
      </c>
      <c r="U33" s="6">
        <v>0</v>
      </c>
    </row>
    <row r="34" spans="1:21" x14ac:dyDescent="0.2">
      <c r="A34" s="18" t="s">
        <v>34</v>
      </c>
      <c r="B34" s="18" t="s">
        <v>170</v>
      </c>
      <c r="C34" s="18" t="s">
        <v>151</v>
      </c>
      <c r="D34" s="18" t="s">
        <v>177</v>
      </c>
      <c r="E34" s="18" t="s">
        <v>178</v>
      </c>
      <c r="F34" s="18" t="s">
        <v>179</v>
      </c>
      <c r="G34" s="18" t="s">
        <v>59</v>
      </c>
      <c r="H34" s="18" t="s">
        <v>175</v>
      </c>
      <c r="I34" s="18" t="s">
        <v>34</v>
      </c>
      <c r="J34" s="18" t="s">
        <v>170</v>
      </c>
      <c r="K34" s="28">
        <v>1</v>
      </c>
      <c r="L34" s="18" t="s">
        <v>34</v>
      </c>
      <c r="M34" s="18">
        <v>2024</v>
      </c>
      <c r="N34" s="19" t="s">
        <v>23</v>
      </c>
      <c r="O34" s="18" t="s">
        <v>23</v>
      </c>
      <c r="P34" s="19" t="s">
        <v>23</v>
      </c>
      <c r="Q34" s="18" t="s">
        <v>23</v>
      </c>
      <c r="R34" s="18">
        <v>100</v>
      </c>
      <c r="S34" s="18">
        <v>1</v>
      </c>
      <c r="T34" s="18">
        <v>0</v>
      </c>
      <c r="U34" s="6">
        <v>0</v>
      </c>
    </row>
    <row r="35" spans="1:21" x14ac:dyDescent="0.2">
      <c r="A35" s="18" t="s">
        <v>34</v>
      </c>
      <c r="B35" s="18" t="s">
        <v>170</v>
      </c>
      <c r="C35" s="18" t="s">
        <v>151</v>
      </c>
      <c r="D35" s="18" t="s">
        <v>180</v>
      </c>
      <c r="E35" s="18" t="s">
        <v>181</v>
      </c>
      <c r="F35" s="18" t="s">
        <v>182</v>
      </c>
      <c r="G35" s="18" t="s">
        <v>55</v>
      </c>
      <c r="H35" s="18" t="s">
        <v>175</v>
      </c>
      <c r="I35" s="18" t="s">
        <v>34</v>
      </c>
      <c r="J35" s="18" t="s">
        <v>170</v>
      </c>
      <c r="K35" s="28">
        <v>1</v>
      </c>
      <c r="L35" s="18" t="s">
        <v>34</v>
      </c>
      <c r="M35" s="18">
        <v>2024</v>
      </c>
      <c r="N35" s="19" t="s">
        <v>27</v>
      </c>
      <c r="O35" s="18" t="s">
        <v>25</v>
      </c>
      <c r="P35" s="19" t="s">
        <v>23</v>
      </c>
      <c r="Q35" s="18" t="s">
        <v>23</v>
      </c>
      <c r="R35" s="18">
        <v>90</v>
      </c>
      <c r="S35" s="18">
        <v>0.9</v>
      </c>
      <c r="T35" s="18">
        <v>0.1</v>
      </c>
      <c r="U35" s="6">
        <v>0</v>
      </c>
    </row>
    <row r="36" spans="1:21" x14ac:dyDescent="0.2">
      <c r="A36" s="18" t="s">
        <v>34</v>
      </c>
      <c r="B36" s="18" t="s">
        <v>170</v>
      </c>
      <c r="C36" s="18" t="s">
        <v>151</v>
      </c>
      <c r="D36" s="18" t="s">
        <v>183</v>
      </c>
      <c r="E36" s="18" t="s">
        <v>184</v>
      </c>
      <c r="F36" s="18" t="s">
        <v>185</v>
      </c>
      <c r="G36" s="18" t="s">
        <v>68</v>
      </c>
      <c r="H36" s="18" t="s">
        <v>156</v>
      </c>
      <c r="I36" s="18" t="s">
        <v>34</v>
      </c>
      <c r="J36" s="18" t="s">
        <v>170</v>
      </c>
      <c r="K36" s="28">
        <v>0.5</v>
      </c>
      <c r="L36" s="18" t="s">
        <v>34</v>
      </c>
      <c r="M36" s="18">
        <v>2024</v>
      </c>
      <c r="N36" s="19" t="s">
        <v>23</v>
      </c>
      <c r="O36" s="18" t="s">
        <v>23</v>
      </c>
      <c r="P36" s="19" t="s">
        <v>23</v>
      </c>
      <c r="Q36" s="18" t="s">
        <v>23</v>
      </c>
      <c r="R36" s="18">
        <v>100</v>
      </c>
      <c r="S36" s="18">
        <v>0.5</v>
      </c>
      <c r="T36" s="18">
        <v>0</v>
      </c>
      <c r="U36" s="6">
        <v>0</v>
      </c>
    </row>
    <row r="37" spans="1:21" x14ac:dyDescent="0.2">
      <c r="A37" s="18" t="s">
        <v>34</v>
      </c>
      <c r="B37" s="18" t="s">
        <v>170</v>
      </c>
      <c r="C37" s="18" t="s">
        <v>151</v>
      </c>
      <c r="D37" s="18" t="s">
        <v>183</v>
      </c>
      <c r="E37" s="18" t="s">
        <v>184</v>
      </c>
      <c r="F37" s="18" t="s">
        <v>185</v>
      </c>
      <c r="G37" s="18" t="s">
        <v>57</v>
      </c>
      <c r="H37" s="18" t="s">
        <v>156</v>
      </c>
      <c r="I37" s="18" t="s">
        <v>34</v>
      </c>
      <c r="J37" s="18" t="s">
        <v>170</v>
      </c>
      <c r="K37" s="28">
        <v>0.5</v>
      </c>
      <c r="L37" s="18" t="s">
        <v>34</v>
      </c>
      <c r="M37" s="18">
        <v>2024</v>
      </c>
      <c r="N37" s="19" t="s">
        <v>23</v>
      </c>
      <c r="O37" s="18" t="s">
        <v>23</v>
      </c>
      <c r="P37" s="19" t="s">
        <v>23</v>
      </c>
      <c r="Q37" s="18" t="s">
        <v>23</v>
      </c>
      <c r="R37" s="18">
        <v>100</v>
      </c>
      <c r="S37" s="18">
        <v>0.5</v>
      </c>
      <c r="T37" s="18">
        <v>0</v>
      </c>
      <c r="U37" s="6">
        <v>0</v>
      </c>
    </row>
    <row r="38" spans="1:21" x14ac:dyDescent="0.2">
      <c r="A38" s="18" t="s">
        <v>34</v>
      </c>
      <c r="B38" s="18" t="s">
        <v>170</v>
      </c>
      <c r="C38" s="18" t="s">
        <v>151</v>
      </c>
      <c r="D38" s="18" t="s">
        <v>186</v>
      </c>
      <c r="E38" s="18" t="s">
        <v>187</v>
      </c>
      <c r="F38" s="18" t="s">
        <v>188</v>
      </c>
      <c r="G38" s="18" t="s">
        <v>103</v>
      </c>
      <c r="H38" s="18" t="s">
        <v>156</v>
      </c>
      <c r="I38" s="18" t="s">
        <v>34</v>
      </c>
      <c r="J38" s="18" t="s">
        <v>170</v>
      </c>
      <c r="K38" s="28">
        <v>0.5</v>
      </c>
      <c r="L38" s="18" t="s">
        <v>34</v>
      </c>
      <c r="M38" s="18">
        <v>2024</v>
      </c>
      <c r="N38" s="19" t="s">
        <v>23</v>
      </c>
      <c r="O38" s="18" t="s">
        <v>23</v>
      </c>
      <c r="P38" s="19" t="s">
        <v>23</v>
      </c>
      <c r="Q38" s="18" t="s">
        <v>23</v>
      </c>
      <c r="R38" s="18">
        <v>100</v>
      </c>
      <c r="S38" s="18">
        <v>0.5</v>
      </c>
      <c r="T38" s="18">
        <v>0</v>
      </c>
      <c r="U38" s="6">
        <v>0</v>
      </c>
    </row>
    <row r="39" spans="1:21" x14ac:dyDescent="0.2">
      <c r="A39" s="18" t="s">
        <v>34</v>
      </c>
      <c r="B39" s="18" t="s">
        <v>170</v>
      </c>
      <c r="C39" s="18" t="s">
        <v>151</v>
      </c>
      <c r="D39" s="18" t="s">
        <v>186</v>
      </c>
      <c r="E39" s="18" t="s">
        <v>187</v>
      </c>
      <c r="F39" s="18" t="s">
        <v>188</v>
      </c>
      <c r="G39" s="18" t="s">
        <v>57</v>
      </c>
      <c r="H39" s="18" t="s">
        <v>156</v>
      </c>
      <c r="I39" s="18" t="s">
        <v>34</v>
      </c>
      <c r="J39" s="18" t="s">
        <v>170</v>
      </c>
      <c r="K39" s="28">
        <v>0.5</v>
      </c>
      <c r="L39" s="18" t="s">
        <v>34</v>
      </c>
      <c r="M39" s="18">
        <v>2024</v>
      </c>
      <c r="N39" s="19" t="s">
        <v>23</v>
      </c>
      <c r="O39" s="18" t="s">
        <v>23</v>
      </c>
      <c r="P39" s="19" t="s">
        <v>23</v>
      </c>
      <c r="Q39" s="18" t="s">
        <v>23</v>
      </c>
      <c r="R39" s="18">
        <v>100</v>
      </c>
      <c r="S39" s="18">
        <v>0.5</v>
      </c>
      <c r="T39" s="18">
        <v>0</v>
      </c>
      <c r="U39" s="6">
        <v>0</v>
      </c>
    </row>
    <row r="40" spans="1:21" x14ac:dyDescent="0.2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2"/>
      <c r="P40" s="31"/>
      <c r="Q40" s="32"/>
      <c r="R40" s="31"/>
      <c r="S40" s="44">
        <f>SUM(S2:S39)</f>
        <v>23.074999999999999</v>
      </c>
      <c r="T40" s="31"/>
      <c r="U40" s="31"/>
    </row>
  </sheetData>
  <autoFilter ref="A1:U40" xr:uid="{00000000-0009-0000-0000-000000000000}">
    <sortState xmlns:xlrd2="http://schemas.microsoft.com/office/spreadsheetml/2017/richdata2" ref="A2:U1890">
      <sortCondition ref="L2:L1890"/>
      <sortCondition ref="M2:M1890"/>
      <sortCondition ref="D2:D1890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1"/>
  <sheetViews>
    <sheetView zoomScaleNormal="100" workbookViewId="0">
      <selection activeCell="U4" sqref="U4"/>
    </sheetView>
  </sheetViews>
  <sheetFormatPr baseColWidth="10" defaultColWidth="11.42578125" defaultRowHeight="12.75" x14ac:dyDescent="0.2"/>
  <cols>
    <col min="1" max="1" width="10.85546875" style="11" bestFit="1" customWidth="1"/>
    <col min="2" max="2" width="39.28515625" style="11" bestFit="1" customWidth="1"/>
    <col min="3" max="3" width="14.5703125" style="11" bestFit="1" customWidth="1"/>
    <col min="4" max="9" width="3.28515625" style="11" bestFit="1" customWidth="1"/>
    <col min="10" max="10" width="13.140625" style="11" bestFit="1" customWidth="1"/>
    <col min="11" max="11" width="5.28515625" style="11" bestFit="1" customWidth="1"/>
    <col min="12" max="13" width="5.7109375" style="11" bestFit="1" customWidth="1"/>
    <col min="14" max="14" width="5.7109375" style="12" bestFit="1" customWidth="1"/>
    <col min="15" max="15" width="5.7109375" style="11" bestFit="1" customWidth="1"/>
    <col min="16" max="16" width="5.7109375" style="12" bestFit="1" customWidth="1"/>
    <col min="17" max="19" width="5.7109375" style="11" bestFit="1" customWidth="1"/>
    <col min="20" max="16384" width="11.42578125" style="11"/>
  </cols>
  <sheetData>
    <row r="1" spans="1:20" s="10" customFormat="1" ht="60" customHeight="1" x14ac:dyDescent="0.2">
      <c r="A1" s="13" t="s">
        <v>40</v>
      </c>
      <c r="B1" s="13" t="s">
        <v>41</v>
      </c>
      <c r="C1" s="13" t="s">
        <v>42</v>
      </c>
      <c r="D1" s="14" t="s">
        <v>189</v>
      </c>
      <c r="E1" s="14" t="s">
        <v>190</v>
      </c>
      <c r="F1" s="14" t="s">
        <v>191</v>
      </c>
      <c r="G1" s="14" t="s">
        <v>192</v>
      </c>
      <c r="H1" s="14" t="s">
        <v>193</v>
      </c>
      <c r="I1" s="14" t="s">
        <v>194</v>
      </c>
      <c r="J1" s="13" t="s">
        <v>43</v>
      </c>
      <c r="K1" s="15" t="s">
        <v>67</v>
      </c>
      <c r="L1" s="8" t="s">
        <v>44</v>
      </c>
      <c r="M1" s="8" t="s">
        <v>45</v>
      </c>
      <c r="N1" s="8" t="s">
        <v>46</v>
      </c>
      <c r="O1" s="8" t="s">
        <v>47</v>
      </c>
      <c r="P1" s="9" t="s">
        <v>48</v>
      </c>
      <c r="Q1" s="9" t="s">
        <v>49</v>
      </c>
      <c r="R1" s="9" t="s">
        <v>50</v>
      </c>
      <c r="S1" s="9" t="s">
        <v>51</v>
      </c>
      <c r="T1" s="11"/>
    </row>
    <row r="2" spans="1:20" ht="15" x14ac:dyDescent="0.25">
      <c r="A2" s="16" t="s">
        <v>53</v>
      </c>
      <c r="B2" s="16" t="s">
        <v>195</v>
      </c>
      <c r="C2" s="16" t="s">
        <v>52</v>
      </c>
      <c r="D2" s="16"/>
      <c r="E2" s="16"/>
      <c r="F2" s="16">
        <v>1</v>
      </c>
      <c r="G2" s="16"/>
      <c r="H2" s="16"/>
      <c r="I2" s="16"/>
      <c r="J2" s="16">
        <v>1</v>
      </c>
      <c r="K2" s="16" t="s">
        <v>34</v>
      </c>
      <c r="L2" s="17">
        <v>0</v>
      </c>
      <c r="M2" s="17">
        <v>0</v>
      </c>
      <c r="N2" s="17" t="s">
        <v>23</v>
      </c>
      <c r="O2" s="17" t="s">
        <v>23</v>
      </c>
      <c r="P2" s="17">
        <v>100</v>
      </c>
      <c r="Q2" s="17">
        <v>0</v>
      </c>
      <c r="R2" s="17">
        <v>0</v>
      </c>
      <c r="S2" s="17">
        <v>1</v>
      </c>
    </row>
    <row r="3" spans="1:20" ht="15" x14ac:dyDescent="0.25">
      <c r="A3" s="16" t="s">
        <v>196</v>
      </c>
      <c r="B3" s="16" t="s">
        <v>197</v>
      </c>
      <c r="C3" s="16" t="s">
        <v>69</v>
      </c>
      <c r="D3" s="16"/>
      <c r="E3" s="16"/>
      <c r="F3" s="16"/>
      <c r="G3" s="16"/>
      <c r="H3" s="16"/>
      <c r="I3" s="16">
        <v>1</v>
      </c>
      <c r="J3" s="16">
        <v>1</v>
      </c>
      <c r="K3" s="16" t="s">
        <v>34</v>
      </c>
      <c r="L3" s="17">
        <v>0</v>
      </c>
      <c r="M3" s="17">
        <v>0</v>
      </c>
      <c r="N3" s="17" t="s">
        <v>23</v>
      </c>
      <c r="O3" s="17" t="s">
        <v>23</v>
      </c>
      <c r="P3" s="17">
        <v>100</v>
      </c>
      <c r="Q3" s="17">
        <v>0</v>
      </c>
      <c r="R3" s="17">
        <v>0</v>
      </c>
      <c r="S3" s="17">
        <v>1</v>
      </c>
    </row>
    <row r="4" spans="1:20" ht="15" x14ac:dyDescent="0.25">
      <c r="A4" s="16" t="s">
        <v>58</v>
      </c>
      <c r="B4" s="16" t="s">
        <v>198</v>
      </c>
      <c r="C4" s="16" t="s">
        <v>52</v>
      </c>
      <c r="D4" s="16"/>
      <c r="E4" s="16"/>
      <c r="F4" s="16">
        <v>1</v>
      </c>
      <c r="G4" s="16"/>
      <c r="H4" s="16">
        <v>1</v>
      </c>
      <c r="I4" s="16"/>
      <c r="J4" s="16">
        <v>2</v>
      </c>
      <c r="K4" s="16" t="s">
        <v>34</v>
      </c>
      <c r="L4" s="17">
        <v>0</v>
      </c>
      <c r="M4" s="17">
        <v>0</v>
      </c>
      <c r="N4" s="17" t="s">
        <v>23</v>
      </c>
      <c r="O4" s="17" t="s">
        <v>23</v>
      </c>
      <c r="P4" s="17">
        <v>100</v>
      </c>
      <c r="Q4" s="17">
        <v>0</v>
      </c>
      <c r="R4" s="17">
        <v>0</v>
      </c>
      <c r="S4" s="17">
        <v>2</v>
      </c>
    </row>
    <row r="5" spans="1:20" ht="15" x14ac:dyDescent="0.25">
      <c r="A5" s="16" t="s">
        <v>122</v>
      </c>
      <c r="B5" s="16" t="s">
        <v>199</v>
      </c>
      <c r="C5" s="16" t="s">
        <v>200</v>
      </c>
      <c r="D5" s="16"/>
      <c r="E5" s="16"/>
      <c r="F5" s="16"/>
      <c r="G5" s="16"/>
      <c r="H5" s="16"/>
      <c r="I5" s="16">
        <v>1</v>
      </c>
      <c r="J5" s="16">
        <v>1</v>
      </c>
      <c r="K5" s="16" t="s">
        <v>34</v>
      </c>
      <c r="L5" s="17">
        <v>0</v>
      </c>
      <c r="M5" s="17">
        <v>0</v>
      </c>
      <c r="N5" s="17" t="s">
        <v>23</v>
      </c>
      <c r="O5" s="17" t="s">
        <v>23</v>
      </c>
      <c r="P5" s="17">
        <v>100</v>
      </c>
      <c r="Q5" s="17">
        <v>0</v>
      </c>
      <c r="R5" s="17">
        <v>0</v>
      </c>
      <c r="S5" s="17">
        <v>1</v>
      </c>
    </row>
    <row r="6" spans="1:20" ht="15" x14ac:dyDescent="0.25">
      <c r="A6" s="16" t="s">
        <v>201</v>
      </c>
      <c r="B6" s="16" t="s">
        <v>202</v>
      </c>
      <c r="C6" s="16" t="s">
        <v>52</v>
      </c>
      <c r="D6" s="16"/>
      <c r="E6" s="16"/>
      <c r="F6" s="16"/>
      <c r="G6" s="16"/>
      <c r="H6" s="16"/>
      <c r="I6" s="16">
        <v>1</v>
      </c>
      <c r="J6" s="16">
        <v>1</v>
      </c>
      <c r="K6" s="16" t="s">
        <v>34</v>
      </c>
      <c r="L6" s="17">
        <v>0</v>
      </c>
      <c r="M6" s="17">
        <v>0</v>
      </c>
      <c r="N6" s="17" t="s">
        <v>23</v>
      </c>
      <c r="O6" s="17" t="s">
        <v>23</v>
      </c>
      <c r="P6" s="17">
        <v>100</v>
      </c>
      <c r="Q6" s="17">
        <v>0</v>
      </c>
      <c r="R6" s="17">
        <v>0</v>
      </c>
      <c r="S6" s="17">
        <v>1</v>
      </c>
    </row>
    <row r="7" spans="1:20" ht="15" x14ac:dyDescent="0.25">
      <c r="A7" s="16" t="s">
        <v>203</v>
      </c>
      <c r="B7" s="16" t="s">
        <v>204</v>
      </c>
      <c r="C7" s="16" t="s">
        <v>69</v>
      </c>
      <c r="D7" s="16"/>
      <c r="E7" s="16"/>
      <c r="F7" s="16"/>
      <c r="G7" s="16"/>
      <c r="H7" s="16"/>
      <c r="I7" s="16">
        <v>1</v>
      </c>
      <c r="J7" s="16">
        <v>1</v>
      </c>
      <c r="K7" s="16" t="s">
        <v>34</v>
      </c>
      <c r="L7" s="17">
        <v>0</v>
      </c>
      <c r="M7" s="17">
        <v>0</v>
      </c>
      <c r="N7" s="17" t="s">
        <v>23</v>
      </c>
      <c r="O7" s="17" t="s">
        <v>23</v>
      </c>
      <c r="P7" s="17">
        <v>100</v>
      </c>
      <c r="Q7" s="17">
        <v>0</v>
      </c>
      <c r="R7" s="17">
        <v>0</v>
      </c>
      <c r="S7" s="17">
        <v>1</v>
      </c>
    </row>
    <row r="8" spans="1:20" ht="15" x14ac:dyDescent="0.25">
      <c r="A8" s="16" t="s">
        <v>57</v>
      </c>
      <c r="B8" s="16" t="s">
        <v>205</v>
      </c>
      <c r="C8" s="16" t="s">
        <v>52</v>
      </c>
      <c r="D8" s="16"/>
      <c r="E8" s="16"/>
      <c r="F8" s="16">
        <v>1</v>
      </c>
      <c r="G8" s="16"/>
      <c r="H8" s="16"/>
      <c r="I8" s="16"/>
      <c r="J8" s="16">
        <v>1</v>
      </c>
      <c r="K8" s="16" t="s">
        <v>34</v>
      </c>
      <c r="L8" s="17">
        <v>0</v>
      </c>
      <c r="M8" s="17">
        <v>0</v>
      </c>
      <c r="N8" s="17" t="s">
        <v>23</v>
      </c>
      <c r="O8" s="17" t="s">
        <v>23</v>
      </c>
      <c r="P8" s="17">
        <v>100</v>
      </c>
      <c r="Q8" s="17">
        <v>0</v>
      </c>
      <c r="R8" s="17">
        <v>0</v>
      </c>
      <c r="S8" s="17">
        <v>1</v>
      </c>
    </row>
    <row r="9" spans="1:20" ht="15" x14ac:dyDescent="0.25">
      <c r="A9" s="16" t="s">
        <v>123</v>
      </c>
      <c r="B9" s="16" t="s">
        <v>206</v>
      </c>
      <c r="C9" s="16" t="s">
        <v>52</v>
      </c>
      <c r="D9" s="16"/>
      <c r="E9" s="16"/>
      <c r="F9" s="16"/>
      <c r="G9" s="16">
        <v>1</v>
      </c>
      <c r="H9" s="16"/>
      <c r="I9" s="16"/>
      <c r="J9" s="16">
        <v>1</v>
      </c>
      <c r="K9" s="16" t="s">
        <v>34</v>
      </c>
      <c r="L9" s="17" t="s">
        <v>124</v>
      </c>
      <c r="M9" s="17" t="s">
        <v>158</v>
      </c>
      <c r="N9" s="17" t="s">
        <v>27</v>
      </c>
      <c r="O9" s="17" t="s">
        <v>25</v>
      </c>
      <c r="P9" s="17">
        <v>70</v>
      </c>
      <c r="Q9" s="17">
        <v>0.2</v>
      </c>
      <c r="R9" s="17">
        <v>0.1</v>
      </c>
      <c r="S9" s="17">
        <v>0.7</v>
      </c>
    </row>
    <row r="10" spans="1:20" ht="15" x14ac:dyDescent="0.25">
      <c r="A10" s="16" t="s">
        <v>54</v>
      </c>
      <c r="B10" s="16" t="s">
        <v>207</v>
      </c>
      <c r="C10" s="16" t="s">
        <v>52</v>
      </c>
      <c r="D10" s="16"/>
      <c r="E10" s="16"/>
      <c r="F10" s="16">
        <v>1</v>
      </c>
      <c r="G10" s="16"/>
      <c r="H10" s="16"/>
      <c r="I10" s="16"/>
      <c r="J10" s="16">
        <v>1</v>
      </c>
      <c r="K10" s="16" t="s">
        <v>34</v>
      </c>
      <c r="L10" s="17">
        <v>0</v>
      </c>
      <c r="M10" s="17">
        <v>0</v>
      </c>
      <c r="N10" s="17" t="s">
        <v>23</v>
      </c>
      <c r="O10" s="17" t="s">
        <v>23</v>
      </c>
      <c r="P10" s="17">
        <v>100</v>
      </c>
      <c r="Q10" s="17">
        <v>0</v>
      </c>
      <c r="R10" s="17">
        <v>0</v>
      </c>
      <c r="S10" s="17">
        <v>1</v>
      </c>
    </row>
    <row r="11" spans="1:20" ht="15" x14ac:dyDescent="0.25">
      <c r="A11" s="16" t="s">
        <v>60</v>
      </c>
      <c r="B11" s="16" t="s">
        <v>208</v>
      </c>
      <c r="C11" s="16" t="s">
        <v>52</v>
      </c>
      <c r="D11" s="16"/>
      <c r="E11" s="16"/>
      <c r="F11" s="16"/>
      <c r="G11" s="16"/>
      <c r="H11" s="16">
        <v>1</v>
      </c>
      <c r="I11" s="16"/>
      <c r="J11" s="16">
        <v>1</v>
      </c>
      <c r="K11" s="16" t="s">
        <v>34</v>
      </c>
      <c r="L11" s="17">
        <v>0</v>
      </c>
      <c r="M11" s="17">
        <v>0</v>
      </c>
      <c r="N11" s="17" t="s">
        <v>23</v>
      </c>
      <c r="O11" s="17" t="s">
        <v>23</v>
      </c>
      <c r="P11" s="17">
        <v>100</v>
      </c>
      <c r="Q11" s="17">
        <v>0</v>
      </c>
      <c r="R11" s="17">
        <v>0</v>
      </c>
      <c r="S11" s="17">
        <v>1</v>
      </c>
    </row>
    <row r="12" spans="1:20" ht="15" x14ac:dyDescent="0.25">
      <c r="A12" s="16" t="s">
        <v>209</v>
      </c>
      <c r="B12" s="16" t="s">
        <v>210</v>
      </c>
      <c r="C12" s="16" t="s">
        <v>69</v>
      </c>
      <c r="D12" s="16"/>
      <c r="E12" s="16"/>
      <c r="F12" s="16"/>
      <c r="G12" s="16"/>
      <c r="H12" s="16"/>
      <c r="I12" s="16">
        <v>1</v>
      </c>
      <c r="J12" s="16">
        <v>1</v>
      </c>
      <c r="K12" s="16" t="s">
        <v>34</v>
      </c>
      <c r="L12" s="17">
        <v>0</v>
      </c>
      <c r="M12" s="17">
        <v>0</v>
      </c>
      <c r="N12" s="17" t="s">
        <v>23</v>
      </c>
      <c r="O12" s="17" t="s">
        <v>23</v>
      </c>
      <c r="P12" s="17">
        <v>100</v>
      </c>
      <c r="Q12" s="17">
        <v>0</v>
      </c>
      <c r="R12" s="17">
        <v>0</v>
      </c>
      <c r="S12" s="17">
        <v>1</v>
      </c>
    </row>
    <row r="13" spans="1:20" ht="15" x14ac:dyDescent="0.25">
      <c r="A13" s="16" t="s">
        <v>68</v>
      </c>
      <c r="B13" s="16" t="s">
        <v>211</v>
      </c>
      <c r="C13" s="16" t="s">
        <v>52</v>
      </c>
      <c r="D13" s="16"/>
      <c r="E13" s="16"/>
      <c r="F13" s="16"/>
      <c r="G13" s="16">
        <v>1</v>
      </c>
      <c r="H13" s="16"/>
      <c r="I13" s="16">
        <v>1</v>
      </c>
      <c r="J13" s="16">
        <v>2</v>
      </c>
      <c r="K13" s="16" t="s">
        <v>34</v>
      </c>
      <c r="L13" s="17">
        <v>0</v>
      </c>
      <c r="M13" s="17">
        <v>0</v>
      </c>
      <c r="N13" s="17" t="s">
        <v>23</v>
      </c>
      <c r="O13" s="17" t="s">
        <v>23</v>
      </c>
      <c r="P13" s="17">
        <v>100</v>
      </c>
      <c r="Q13" s="17">
        <v>0</v>
      </c>
      <c r="R13" s="17">
        <v>0</v>
      </c>
      <c r="S13" s="17">
        <v>2</v>
      </c>
    </row>
    <row r="14" spans="1:20" ht="15" x14ac:dyDescent="0.25">
      <c r="A14" s="16" t="s">
        <v>103</v>
      </c>
      <c r="B14" s="16" t="s">
        <v>212</v>
      </c>
      <c r="C14" s="29" t="s">
        <v>69</v>
      </c>
      <c r="D14" s="16"/>
      <c r="E14" s="16"/>
      <c r="F14" s="16">
        <v>1</v>
      </c>
      <c r="G14" s="16"/>
      <c r="H14" s="16"/>
      <c r="I14" s="16"/>
      <c r="J14" s="16">
        <v>1</v>
      </c>
      <c r="K14" s="16" t="s">
        <v>34</v>
      </c>
      <c r="L14" s="17">
        <v>0</v>
      </c>
      <c r="M14" s="17">
        <v>0</v>
      </c>
      <c r="N14" s="17" t="s">
        <v>23</v>
      </c>
      <c r="O14" s="17" t="s">
        <v>23</v>
      </c>
      <c r="P14" s="17">
        <v>100</v>
      </c>
      <c r="Q14" s="17">
        <v>0</v>
      </c>
      <c r="R14" s="17">
        <v>0</v>
      </c>
      <c r="S14" s="17">
        <v>1</v>
      </c>
    </row>
    <row r="15" spans="1:20" ht="15" x14ac:dyDescent="0.25">
      <c r="A15" s="16" t="s">
        <v>55</v>
      </c>
      <c r="B15" s="16" t="s">
        <v>213</v>
      </c>
      <c r="C15" s="29" t="s">
        <v>52</v>
      </c>
      <c r="D15" s="16">
        <v>1</v>
      </c>
      <c r="E15" s="16"/>
      <c r="F15" s="16"/>
      <c r="G15" s="16"/>
      <c r="H15" s="16"/>
      <c r="I15" s="16"/>
      <c r="J15" s="16">
        <v>1</v>
      </c>
      <c r="K15" s="16" t="s">
        <v>34</v>
      </c>
      <c r="L15" s="17" t="s">
        <v>27</v>
      </c>
      <c r="M15" s="17" t="s">
        <v>25</v>
      </c>
      <c r="N15" s="17" t="s">
        <v>23</v>
      </c>
      <c r="O15" s="17" t="s">
        <v>23</v>
      </c>
      <c r="P15" s="17">
        <v>90</v>
      </c>
      <c r="Q15" s="17">
        <v>0.1</v>
      </c>
      <c r="R15" s="17">
        <v>0</v>
      </c>
      <c r="S15" s="17">
        <v>0.9</v>
      </c>
    </row>
    <row r="16" spans="1:20" ht="15" x14ac:dyDescent="0.25">
      <c r="A16" s="16" t="s">
        <v>56</v>
      </c>
      <c r="B16" s="16" t="s">
        <v>214</v>
      </c>
      <c r="C16" s="29" t="s">
        <v>52</v>
      </c>
      <c r="D16" s="16"/>
      <c r="E16" s="16"/>
      <c r="F16" s="16"/>
      <c r="G16" s="16"/>
      <c r="H16" s="16"/>
      <c r="I16" s="16">
        <v>1</v>
      </c>
      <c r="J16" s="16">
        <v>1</v>
      </c>
      <c r="K16" s="16" t="s">
        <v>34</v>
      </c>
      <c r="L16" s="17" t="s">
        <v>27</v>
      </c>
      <c r="M16" s="17" t="s">
        <v>25</v>
      </c>
      <c r="N16" s="17" t="s">
        <v>23</v>
      </c>
      <c r="O16" s="17" t="s">
        <v>23</v>
      </c>
      <c r="P16" s="17">
        <v>90</v>
      </c>
      <c r="Q16" s="17">
        <v>0.1</v>
      </c>
      <c r="R16" s="17">
        <v>0</v>
      </c>
      <c r="S16" s="17">
        <v>0.9</v>
      </c>
    </row>
    <row r="17" spans="1:19" ht="15" x14ac:dyDescent="0.25">
      <c r="A17" s="16" t="s">
        <v>104</v>
      </c>
      <c r="B17" s="16" t="s">
        <v>215</v>
      </c>
      <c r="C17" s="29" t="s">
        <v>52</v>
      </c>
      <c r="D17" s="16"/>
      <c r="E17" s="16"/>
      <c r="F17" s="16"/>
      <c r="G17" s="16"/>
      <c r="H17" s="16">
        <v>1</v>
      </c>
      <c r="I17" s="16"/>
      <c r="J17" s="16">
        <v>1</v>
      </c>
      <c r="K17" s="16" t="s">
        <v>34</v>
      </c>
      <c r="L17" s="17">
        <v>0</v>
      </c>
      <c r="M17" s="17">
        <v>0</v>
      </c>
      <c r="N17" s="17" t="s">
        <v>23</v>
      </c>
      <c r="O17" s="17" t="s">
        <v>23</v>
      </c>
      <c r="P17" s="17">
        <v>100</v>
      </c>
      <c r="Q17" s="17">
        <v>0</v>
      </c>
      <c r="R17" s="17">
        <v>0</v>
      </c>
      <c r="S17" s="17">
        <v>1</v>
      </c>
    </row>
    <row r="18" spans="1:19" ht="15" x14ac:dyDescent="0.25">
      <c r="A18" s="16" t="s">
        <v>59</v>
      </c>
      <c r="B18" s="16" t="s">
        <v>216</v>
      </c>
      <c r="C18" s="29" t="s">
        <v>52</v>
      </c>
      <c r="D18" s="16"/>
      <c r="E18" s="16"/>
      <c r="F18" s="16"/>
      <c r="G18" s="16">
        <v>1</v>
      </c>
      <c r="H18" s="16"/>
      <c r="I18" s="16"/>
      <c r="J18" s="16">
        <v>1</v>
      </c>
      <c r="K18" s="16" t="s">
        <v>34</v>
      </c>
      <c r="L18" s="17">
        <v>0</v>
      </c>
      <c r="M18" s="17">
        <v>0</v>
      </c>
      <c r="N18" s="17" t="s">
        <v>23</v>
      </c>
      <c r="O18" s="17" t="s">
        <v>23</v>
      </c>
      <c r="P18" s="17">
        <v>100</v>
      </c>
      <c r="Q18" s="17">
        <v>0</v>
      </c>
      <c r="R18" s="17">
        <v>0</v>
      </c>
      <c r="S18" s="17">
        <v>1</v>
      </c>
    </row>
    <row r="19" spans="1:19" ht="15" x14ac:dyDescent="0.25">
      <c r="A19" s="16" t="s">
        <v>125</v>
      </c>
      <c r="B19" s="16" t="s">
        <v>217</v>
      </c>
      <c r="C19" s="29" t="s">
        <v>69</v>
      </c>
      <c r="D19" s="16"/>
      <c r="E19" s="16"/>
      <c r="F19" s="16"/>
      <c r="G19" s="16">
        <v>1</v>
      </c>
      <c r="H19" s="16"/>
      <c r="I19" s="16"/>
      <c r="J19" s="16">
        <v>1</v>
      </c>
      <c r="K19" s="16" t="s">
        <v>34</v>
      </c>
      <c r="L19" s="17">
        <v>0</v>
      </c>
      <c r="M19" s="17">
        <v>0</v>
      </c>
      <c r="N19" s="17" t="s">
        <v>23</v>
      </c>
      <c r="O19" s="17" t="s">
        <v>23</v>
      </c>
      <c r="P19" s="17">
        <v>100</v>
      </c>
      <c r="Q19" s="17">
        <v>0</v>
      </c>
      <c r="R19" s="17">
        <v>0</v>
      </c>
      <c r="S19" s="17">
        <v>1</v>
      </c>
    </row>
    <row r="20" spans="1:19" ht="15" x14ac:dyDescent="0.25">
      <c r="A20" s="38" t="s">
        <v>105</v>
      </c>
      <c r="B20" s="38" t="s">
        <v>218</v>
      </c>
      <c r="C20" s="39" t="s">
        <v>69</v>
      </c>
      <c r="D20" s="38"/>
      <c r="E20" s="38"/>
      <c r="F20" s="38"/>
      <c r="G20" s="38">
        <v>1</v>
      </c>
      <c r="H20" s="38"/>
      <c r="I20" s="38"/>
      <c r="J20" s="38">
        <v>1</v>
      </c>
      <c r="K20" s="16" t="s">
        <v>34</v>
      </c>
      <c r="L20" s="40" t="s">
        <v>27</v>
      </c>
      <c r="M20" s="40" t="s">
        <v>159</v>
      </c>
      <c r="N20" s="40" t="s">
        <v>23</v>
      </c>
      <c r="O20" s="40" t="s">
        <v>23</v>
      </c>
      <c r="P20" s="40">
        <v>75</v>
      </c>
      <c r="Q20" s="40">
        <v>0.25</v>
      </c>
      <c r="R20" s="40">
        <v>0</v>
      </c>
      <c r="S20" s="40">
        <v>0.75</v>
      </c>
    </row>
    <row r="21" spans="1:19" ht="15" x14ac:dyDescent="0.25">
      <c r="A21" s="41"/>
      <c r="B21" s="41"/>
      <c r="C21" s="42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3">
        <f>SUM(S2:S20)</f>
        <v>20.25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2C04-3DDB-4F1E-89BF-26C3E757E7AA}">
  <dimension ref="A1:C20"/>
  <sheetViews>
    <sheetView workbookViewId="0">
      <selection activeCell="B23" sqref="B23"/>
    </sheetView>
  </sheetViews>
  <sheetFormatPr baseColWidth="10" defaultRowHeight="15" x14ac:dyDescent="0.25"/>
  <cols>
    <col min="1" max="1" width="17" customWidth="1"/>
    <col min="2" max="2" width="70.7109375" customWidth="1"/>
    <col min="3" max="3" width="16" customWidth="1"/>
  </cols>
  <sheetData>
    <row r="1" spans="1:3" x14ac:dyDescent="0.25">
      <c r="A1" s="45" t="s">
        <v>78</v>
      </c>
      <c r="B1" s="45" t="s">
        <v>79</v>
      </c>
      <c r="C1" s="45" t="s">
        <v>106</v>
      </c>
    </row>
    <row r="2" spans="1:3" x14ac:dyDescent="0.25">
      <c r="A2" s="33" t="s">
        <v>107</v>
      </c>
      <c r="B2" s="33" t="s">
        <v>126</v>
      </c>
      <c r="C2" s="34">
        <v>120</v>
      </c>
    </row>
    <row r="3" spans="1:3" x14ac:dyDescent="0.25">
      <c r="A3" s="35" t="s">
        <v>107</v>
      </c>
      <c r="B3" s="35" t="s">
        <v>128</v>
      </c>
      <c r="C3" s="36">
        <v>120</v>
      </c>
    </row>
    <row r="4" spans="1:3" x14ac:dyDescent="0.25">
      <c r="A4" s="33" t="s">
        <v>107</v>
      </c>
      <c r="B4" s="33" t="s">
        <v>129</v>
      </c>
      <c r="C4" s="34">
        <v>120</v>
      </c>
    </row>
    <row r="5" spans="1:3" x14ac:dyDescent="0.25">
      <c r="A5" s="35" t="s">
        <v>107</v>
      </c>
      <c r="B5" s="35" t="s">
        <v>130</v>
      </c>
      <c r="C5" s="36">
        <v>120</v>
      </c>
    </row>
    <row r="6" spans="1:3" x14ac:dyDescent="0.25">
      <c r="A6" s="33" t="s">
        <v>107</v>
      </c>
      <c r="B6" s="33" t="s">
        <v>131</v>
      </c>
      <c r="C6" s="34">
        <v>90</v>
      </c>
    </row>
    <row r="7" spans="1:3" x14ac:dyDescent="0.25">
      <c r="A7" s="35" t="s">
        <v>107</v>
      </c>
      <c r="B7" s="35" t="s">
        <v>132</v>
      </c>
      <c r="C7" s="36">
        <v>90</v>
      </c>
    </row>
    <row r="8" spans="1:3" x14ac:dyDescent="0.25">
      <c r="A8" s="33" t="s">
        <v>107</v>
      </c>
      <c r="B8" s="33" t="s">
        <v>133</v>
      </c>
      <c r="C8" s="34">
        <v>150</v>
      </c>
    </row>
    <row r="9" spans="1:3" x14ac:dyDescent="0.25">
      <c r="A9" s="35" t="s">
        <v>107</v>
      </c>
      <c r="B9" s="35" t="s">
        <v>134</v>
      </c>
      <c r="C9" s="36">
        <v>90</v>
      </c>
    </row>
    <row r="10" spans="1:3" x14ac:dyDescent="0.25">
      <c r="A10" s="33" t="s">
        <v>107</v>
      </c>
      <c r="B10" s="33" t="s">
        <v>135</v>
      </c>
      <c r="C10" s="34">
        <v>-60</v>
      </c>
    </row>
    <row r="11" spans="1:3" x14ac:dyDescent="0.25">
      <c r="A11" s="33" t="s">
        <v>107</v>
      </c>
      <c r="B11" s="33" t="s">
        <v>136</v>
      </c>
      <c r="C11" s="34">
        <v>40</v>
      </c>
    </row>
    <row r="12" spans="1:3" x14ac:dyDescent="0.25">
      <c r="A12" s="35" t="s">
        <v>107</v>
      </c>
      <c r="B12" s="35" t="s">
        <v>137</v>
      </c>
      <c r="C12" s="36">
        <v>90</v>
      </c>
    </row>
    <row r="13" spans="1:3" x14ac:dyDescent="0.25">
      <c r="A13" s="33" t="s">
        <v>107</v>
      </c>
      <c r="B13" s="33" t="s">
        <v>138</v>
      </c>
      <c r="C13" s="34">
        <v>120</v>
      </c>
    </row>
    <row r="14" spans="1:3" x14ac:dyDescent="0.25">
      <c r="A14" s="35" t="s">
        <v>107</v>
      </c>
      <c r="B14" s="35" t="s">
        <v>139</v>
      </c>
      <c r="C14" s="36">
        <v>-60</v>
      </c>
    </row>
    <row r="15" spans="1:3" x14ac:dyDescent="0.25">
      <c r="A15" s="33" t="s">
        <v>107</v>
      </c>
      <c r="B15" s="33" t="s">
        <v>140</v>
      </c>
      <c r="C15" s="34">
        <v>-60</v>
      </c>
    </row>
    <row r="16" spans="1:3" x14ac:dyDescent="0.25">
      <c r="A16" s="35" t="s">
        <v>107</v>
      </c>
      <c r="B16" s="35" t="s">
        <v>141</v>
      </c>
      <c r="C16" s="36">
        <v>150</v>
      </c>
    </row>
    <row r="17" spans="1:3" x14ac:dyDescent="0.25">
      <c r="A17" s="35" t="s">
        <v>80</v>
      </c>
      <c r="B17" s="35" t="s">
        <v>142</v>
      </c>
      <c r="C17" s="36">
        <v>4388.33</v>
      </c>
    </row>
    <row r="18" spans="1:3" x14ac:dyDescent="0.25">
      <c r="A18" s="47" t="s">
        <v>108</v>
      </c>
      <c r="B18" s="47" t="s">
        <v>143</v>
      </c>
      <c r="C18" s="49">
        <v>-3163</v>
      </c>
    </row>
    <row r="19" spans="1:3" x14ac:dyDescent="0.25">
      <c r="A19" s="48" t="s">
        <v>0</v>
      </c>
      <c r="B19" s="48"/>
      <c r="C19" s="50">
        <f>SUBTOTAL(109,Tabla2[Imp.cob.aplic.])</f>
        <v>2345.33</v>
      </c>
    </row>
    <row r="20" spans="1:3" x14ac:dyDescent="0.25">
      <c r="C20" s="3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21B5-A534-4E8C-A6AE-9803E1A8151D}">
  <dimension ref="A1:C4"/>
  <sheetViews>
    <sheetView workbookViewId="0">
      <selection activeCell="B7" sqref="B7:C7"/>
    </sheetView>
  </sheetViews>
  <sheetFormatPr baseColWidth="10" defaultRowHeight="15" x14ac:dyDescent="0.25"/>
  <cols>
    <col min="1" max="1" width="12" customWidth="1"/>
    <col min="2" max="2" width="51.5703125" customWidth="1"/>
    <col min="3" max="3" width="13.140625" customWidth="1"/>
  </cols>
  <sheetData>
    <row r="1" spans="1:3" x14ac:dyDescent="0.25">
      <c r="A1" s="52" t="s">
        <v>165</v>
      </c>
      <c r="B1" s="52" t="s">
        <v>79</v>
      </c>
      <c r="C1" s="53" t="s">
        <v>166</v>
      </c>
    </row>
    <row r="2" spans="1:3" x14ac:dyDescent="0.25">
      <c r="A2" s="51" t="s">
        <v>167</v>
      </c>
      <c r="B2" s="51" t="s">
        <v>168</v>
      </c>
      <c r="C2" s="30">
        <v>264</v>
      </c>
    </row>
    <row r="3" spans="1:3" x14ac:dyDescent="0.25">
      <c r="A3" s="54" t="s">
        <v>80</v>
      </c>
      <c r="B3" s="54" t="s">
        <v>169</v>
      </c>
      <c r="C3" s="55">
        <v>10166</v>
      </c>
    </row>
    <row r="4" spans="1:3" x14ac:dyDescent="0.25">
      <c r="A4" s="46" t="s">
        <v>0</v>
      </c>
      <c r="B4" s="46"/>
      <c r="C4" s="56">
        <f>SUBTOTAL(109,Tabla3[Imp. aplic.])</f>
        <v>10430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84B2A-0FB1-496F-9D54-056C824F3236}">
  <dimension ref="A1:C44"/>
  <sheetViews>
    <sheetView topLeftCell="A19" workbookViewId="0">
      <selection activeCell="C45" sqref="C45"/>
    </sheetView>
  </sheetViews>
  <sheetFormatPr baseColWidth="10" defaultRowHeight="15" x14ac:dyDescent="0.25"/>
  <cols>
    <col min="1" max="1" width="19.7109375" customWidth="1"/>
    <col min="2" max="2" width="44.85546875" customWidth="1"/>
    <col min="3" max="3" width="18.42578125" customWidth="1"/>
  </cols>
  <sheetData>
    <row r="1" spans="1:3" x14ac:dyDescent="0.25">
      <c r="A1" s="59" t="s">
        <v>165</v>
      </c>
      <c r="B1" s="60" t="s">
        <v>79</v>
      </c>
      <c r="C1" s="60" t="s">
        <v>166</v>
      </c>
    </row>
    <row r="2" spans="1:3" x14ac:dyDescent="0.25">
      <c r="A2" s="61" t="s">
        <v>219</v>
      </c>
      <c r="B2" s="62" t="s">
        <v>220</v>
      </c>
      <c r="C2" s="63">
        <v>90</v>
      </c>
    </row>
    <row r="3" spans="1:3" x14ac:dyDescent="0.25">
      <c r="A3" s="64" t="s">
        <v>219</v>
      </c>
      <c r="B3" s="65" t="s">
        <v>221</v>
      </c>
      <c r="C3" s="66">
        <v>90</v>
      </c>
    </row>
    <row r="4" spans="1:3" x14ac:dyDescent="0.25">
      <c r="A4" s="61" t="s">
        <v>219</v>
      </c>
      <c r="B4" s="62" t="s">
        <v>222</v>
      </c>
      <c r="C4" s="63">
        <v>350</v>
      </c>
    </row>
    <row r="5" spans="1:3" x14ac:dyDescent="0.25">
      <c r="A5" s="64" t="s">
        <v>219</v>
      </c>
      <c r="B5" s="65" t="s">
        <v>223</v>
      </c>
      <c r="C5" s="66">
        <v>90</v>
      </c>
    </row>
    <row r="6" spans="1:3" x14ac:dyDescent="0.25">
      <c r="A6" s="61" t="s">
        <v>219</v>
      </c>
      <c r="B6" s="62" t="s">
        <v>224</v>
      </c>
      <c r="C6" s="63">
        <v>80</v>
      </c>
    </row>
    <row r="7" spans="1:3" x14ac:dyDescent="0.25">
      <c r="A7" s="64" t="s">
        <v>219</v>
      </c>
      <c r="B7" s="65" t="s">
        <v>225</v>
      </c>
      <c r="C7" s="66">
        <v>90</v>
      </c>
    </row>
    <row r="8" spans="1:3" x14ac:dyDescent="0.25">
      <c r="A8" s="61" t="s">
        <v>219</v>
      </c>
      <c r="B8" s="62" t="s">
        <v>226</v>
      </c>
      <c r="C8" s="63">
        <v>90</v>
      </c>
    </row>
    <row r="9" spans="1:3" x14ac:dyDescent="0.25">
      <c r="A9" s="64" t="s">
        <v>219</v>
      </c>
      <c r="B9" s="65" t="s">
        <v>227</v>
      </c>
      <c r="C9" s="66">
        <v>90</v>
      </c>
    </row>
    <row r="10" spans="1:3" x14ac:dyDescent="0.25">
      <c r="A10" s="61" t="s">
        <v>219</v>
      </c>
      <c r="B10" s="62" t="s">
        <v>228</v>
      </c>
      <c r="C10" s="63">
        <v>880</v>
      </c>
    </row>
    <row r="11" spans="1:3" x14ac:dyDescent="0.25">
      <c r="A11" s="64" t="s">
        <v>219</v>
      </c>
      <c r="B11" s="65" t="s">
        <v>229</v>
      </c>
      <c r="C11" s="66">
        <v>790</v>
      </c>
    </row>
    <row r="12" spans="1:3" x14ac:dyDescent="0.25">
      <c r="A12" s="61" t="s">
        <v>219</v>
      </c>
      <c r="B12" s="62" t="s">
        <v>230</v>
      </c>
      <c r="C12" s="63">
        <v>90</v>
      </c>
    </row>
    <row r="13" spans="1:3" x14ac:dyDescent="0.25">
      <c r="A13" s="64" t="s">
        <v>219</v>
      </c>
      <c r="B13" s="65" t="s">
        <v>231</v>
      </c>
      <c r="C13" s="66">
        <v>600</v>
      </c>
    </row>
    <row r="14" spans="1:3" x14ac:dyDescent="0.25">
      <c r="A14" s="61" t="s">
        <v>219</v>
      </c>
      <c r="B14" s="62" t="s">
        <v>232</v>
      </c>
      <c r="C14" s="63">
        <v>80</v>
      </c>
    </row>
    <row r="15" spans="1:3" x14ac:dyDescent="0.25">
      <c r="A15" s="64" t="s">
        <v>219</v>
      </c>
      <c r="B15" s="65" t="s">
        <v>233</v>
      </c>
      <c r="C15" s="66">
        <v>90</v>
      </c>
    </row>
    <row r="16" spans="1:3" x14ac:dyDescent="0.25">
      <c r="A16" s="61" t="s">
        <v>219</v>
      </c>
      <c r="B16" s="62" t="s">
        <v>234</v>
      </c>
      <c r="C16" s="63">
        <v>890</v>
      </c>
    </row>
    <row r="17" spans="1:3" x14ac:dyDescent="0.25">
      <c r="A17" s="64" t="s">
        <v>219</v>
      </c>
      <c r="B17" s="65" t="s">
        <v>235</v>
      </c>
      <c r="C17" s="66">
        <v>90</v>
      </c>
    </row>
    <row r="18" spans="1:3" x14ac:dyDescent="0.25">
      <c r="A18" s="61" t="s">
        <v>219</v>
      </c>
      <c r="B18" s="62" t="s">
        <v>236</v>
      </c>
      <c r="C18" s="63">
        <v>-90</v>
      </c>
    </row>
    <row r="19" spans="1:3" x14ac:dyDescent="0.25">
      <c r="A19" s="64" t="s">
        <v>219</v>
      </c>
      <c r="B19" s="65" t="s">
        <v>237</v>
      </c>
      <c r="C19" s="66">
        <v>730</v>
      </c>
    </row>
    <row r="20" spans="1:3" x14ac:dyDescent="0.25">
      <c r="A20" s="61" t="s">
        <v>219</v>
      </c>
      <c r="B20" s="62" t="s">
        <v>238</v>
      </c>
      <c r="C20" s="63">
        <v>670</v>
      </c>
    </row>
    <row r="21" spans="1:3" x14ac:dyDescent="0.25">
      <c r="A21" s="64" t="s">
        <v>219</v>
      </c>
      <c r="B21" s="65" t="s">
        <v>239</v>
      </c>
      <c r="C21" s="66">
        <v>90</v>
      </c>
    </row>
    <row r="22" spans="1:3" x14ac:dyDescent="0.25">
      <c r="A22" s="61" t="s">
        <v>219</v>
      </c>
      <c r="B22" s="62" t="s">
        <v>240</v>
      </c>
      <c r="C22" s="63">
        <v>80</v>
      </c>
    </row>
    <row r="23" spans="1:3" x14ac:dyDescent="0.25">
      <c r="A23" s="64" t="s">
        <v>219</v>
      </c>
      <c r="B23" s="65" t="s">
        <v>240</v>
      </c>
      <c r="C23" s="66">
        <v>-80</v>
      </c>
    </row>
    <row r="24" spans="1:3" x14ac:dyDescent="0.25">
      <c r="A24" s="61" t="s">
        <v>219</v>
      </c>
      <c r="B24" s="62" t="s">
        <v>241</v>
      </c>
      <c r="C24" s="63">
        <v>80</v>
      </c>
    </row>
    <row r="25" spans="1:3" x14ac:dyDescent="0.25">
      <c r="A25" s="64" t="s">
        <v>219</v>
      </c>
      <c r="B25" s="65" t="s">
        <v>242</v>
      </c>
      <c r="C25" s="66">
        <v>90</v>
      </c>
    </row>
    <row r="26" spans="1:3" x14ac:dyDescent="0.25">
      <c r="A26" s="61" t="s">
        <v>219</v>
      </c>
      <c r="B26" s="62" t="s">
        <v>243</v>
      </c>
      <c r="C26" s="63">
        <v>90</v>
      </c>
    </row>
    <row r="27" spans="1:3" x14ac:dyDescent="0.25">
      <c r="A27" s="64" t="s">
        <v>219</v>
      </c>
      <c r="B27" s="65" t="s">
        <v>244</v>
      </c>
      <c r="C27" s="66">
        <v>-20</v>
      </c>
    </row>
    <row r="28" spans="1:3" x14ac:dyDescent="0.25">
      <c r="A28" s="61" t="s">
        <v>219</v>
      </c>
      <c r="B28" s="62" t="s">
        <v>245</v>
      </c>
      <c r="C28" s="63">
        <v>90</v>
      </c>
    </row>
    <row r="29" spans="1:3" x14ac:dyDescent="0.25">
      <c r="A29" s="64" t="s">
        <v>219</v>
      </c>
      <c r="B29" s="65" t="s">
        <v>246</v>
      </c>
      <c r="C29" s="66">
        <v>80</v>
      </c>
    </row>
    <row r="30" spans="1:3" x14ac:dyDescent="0.25">
      <c r="A30" s="61" t="s">
        <v>219</v>
      </c>
      <c r="B30" s="62" t="s">
        <v>247</v>
      </c>
      <c r="C30" s="63">
        <v>740</v>
      </c>
    </row>
    <row r="31" spans="1:3" x14ac:dyDescent="0.25">
      <c r="A31" s="64" t="s">
        <v>219</v>
      </c>
      <c r="B31" s="65" t="s">
        <v>248</v>
      </c>
      <c r="C31" s="66">
        <v>300</v>
      </c>
    </row>
    <row r="32" spans="1:3" x14ac:dyDescent="0.25">
      <c r="A32" s="61" t="s">
        <v>219</v>
      </c>
      <c r="B32" s="62" t="s">
        <v>249</v>
      </c>
      <c r="C32" s="63">
        <v>-90</v>
      </c>
    </row>
    <row r="33" spans="1:3" x14ac:dyDescent="0.25">
      <c r="A33" s="64" t="s">
        <v>219</v>
      </c>
      <c r="B33" s="65" t="s">
        <v>250</v>
      </c>
      <c r="C33" s="66">
        <v>580</v>
      </c>
    </row>
    <row r="34" spans="1:3" x14ac:dyDescent="0.25">
      <c r="A34" s="61" t="s">
        <v>219</v>
      </c>
      <c r="B34" s="62" t="s">
        <v>251</v>
      </c>
      <c r="C34" s="63">
        <v>-90</v>
      </c>
    </row>
    <row r="35" spans="1:3" x14ac:dyDescent="0.25">
      <c r="A35" s="64" t="s">
        <v>219</v>
      </c>
      <c r="B35" s="65" t="s">
        <v>252</v>
      </c>
      <c r="C35" s="66">
        <v>564</v>
      </c>
    </row>
    <row r="36" spans="1:3" x14ac:dyDescent="0.25">
      <c r="A36" s="61" t="s">
        <v>219</v>
      </c>
      <c r="B36" s="62" t="s">
        <v>253</v>
      </c>
      <c r="C36" s="63">
        <v>1590</v>
      </c>
    </row>
    <row r="37" spans="1:3" x14ac:dyDescent="0.25">
      <c r="A37" s="64" t="s">
        <v>219</v>
      </c>
      <c r="B37" s="65" t="s">
        <v>244</v>
      </c>
      <c r="C37" s="66">
        <v>20</v>
      </c>
    </row>
    <row r="38" spans="1:3" x14ac:dyDescent="0.25">
      <c r="A38" s="61" t="s">
        <v>219</v>
      </c>
      <c r="B38" s="62" t="s">
        <v>249</v>
      </c>
      <c r="C38" s="63">
        <v>90</v>
      </c>
    </row>
    <row r="39" spans="1:3" x14ac:dyDescent="0.25">
      <c r="A39" s="64" t="s">
        <v>80</v>
      </c>
      <c r="B39" s="65" t="s">
        <v>254</v>
      </c>
      <c r="C39" s="66">
        <v>-1058.8</v>
      </c>
    </row>
    <row r="40" spans="1:3" ht="15.75" thickBot="1" x14ac:dyDescent="0.3">
      <c r="A40" s="61" t="s">
        <v>255</v>
      </c>
      <c r="B40" s="62" t="s">
        <v>256</v>
      </c>
      <c r="C40" s="63">
        <v>4000</v>
      </c>
    </row>
    <row r="41" spans="1:3" ht="15.75" thickTop="1" x14ac:dyDescent="0.25">
      <c r="A41" s="67" t="s">
        <v>0</v>
      </c>
      <c r="B41" s="68"/>
      <c r="C41" s="69">
        <v>12935.2</v>
      </c>
    </row>
    <row r="44" spans="1:3" x14ac:dyDescent="0.25">
      <c r="B44" s="57" t="s">
        <v>257</v>
      </c>
      <c r="C44" s="58">
        <f>C41+Tabla2[[#Totals],[Imp.cob.aplic.]]+Tabla3[[#Totals],[Imp. aplic.]]</f>
        <v>25710.53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B7D46-8FDC-4044-9AB8-AD239171A665}">
  <dimension ref="A1:C6"/>
  <sheetViews>
    <sheetView tabSelected="1" workbookViewId="0">
      <selection activeCell="B13" sqref="B13"/>
    </sheetView>
  </sheetViews>
  <sheetFormatPr baseColWidth="10" defaultRowHeight="15" x14ac:dyDescent="0.25"/>
  <cols>
    <col min="1" max="1" width="15.28515625" customWidth="1"/>
    <col min="2" max="2" width="54.7109375" customWidth="1"/>
    <col min="3" max="3" width="15.28515625" customWidth="1"/>
  </cols>
  <sheetData>
    <row r="1" spans="1:3" x14ac:dyDescent="0.25">
      <c r="A1" s="59" t="s">
        <v>165</v>
      </c>
      <c r="B1" s="60" t="s">
        <v>79</v>
      </c>
      <c r="C1" s="70" t="s">
        <v>166</v>
      </c>
    </row>
    <row r="2" spans="1:3" ht="15.75" thickBot="1" x14ac:dyDescent="0.3">
      <c r="A2" s="61" t="s">
        <v>258</v>
      </c>
      <c r="B2" s="62" t="s">
        <v>259</v>
      </c>
      <c r="C2" s="63">
        <v>3697.5</v>
      </c>
    </row>
    <row r="3" spans="1:3" ht="15.75" thickTop="1" x14ac:dyDescent="0.25">
      <c r="A3" s="67" t="s">
        <v>0</v>
      </c>
      <c r="B3" s="68"/>
      <c r="C3" s="71">
        <v>3697.5</v>
      </c>
    </row>
    <row r="6" spans="1:3" x14ac:dyDescent="0.25">
      <c r="B6" s="72" t="s">
        <v>260</v>
      </c>
      <c r="C6" s="73">
        <f>C3</f>
        <v>3697.5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dcterms:created xsi:type="dcterms:W3CDTF">2019-07-03T07:15:54Z</dcterms:created>
  <dcterms:modified xsi:type="dcterms:W3CDTF">2026-05-27T10:03:36Z</dcterms:modified>
</cp:coreProperties>
</file>