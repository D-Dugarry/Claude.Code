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N:\_Unidad_Presupuestos\2_PRESUPUESTACIÓN\Presupuesto 2027\Datos\D-I\Indicadores provisionales\"/>
    </mc:Choice>
  </mc:AlternateContent>
  <xr:revisionPtr revIDLastSave="0" documentId="13_ncr:1_{D758B19B-EC06-4C77-BE0C-211672A14173}" xr6:coauthVersionLast="47" xr6:coauthVersionMax="47" xr10:uidLastSave="{00000000-0000-0000-0000-000000000000}"/>
  <bookViews>
    <workbookView xWindow="-120" yWindow="-120" windowWidth="29040" windowHeight="15720" xr2:uid="{00000000-000D-0000-FFFF-FFFF00000000}"/>
  </bookViews>
  <sheets>
    <sheet name="Tesis" sheetId="2" r:id="rId1"/>
    <sheet name="Sexenios" sheetId="3" r:id="rId2"/>
    <sheet name="Ingresos investigación 2023" sheetId="9" r:id="rId3"/>
    <sheet name="Ingresos investigación 2024" sheetId="10" r:id="rId4"/>
    <sheet name="Ingresos investigación 2025" sheetId="11" r:id="rId5"/>
  </sheets>
  <definedNames>
    <definedName name="_xlnm._FilterDatabase" localSheetId="1" hidden="1">Sexenios!#REF!</definedName>
    <definedName name="_xlnm._FilterDatabase" localSheetId="0" hidden="1">Tesis!$A$1:$U$1</definedName>
    <definedName name="_xlnm.Print_Titles" localSheetId="1">Sexenios!#REF!</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9" i="11" l="1"/>
  <c r="C54" i="10"/>
  <c r="C57" i="9"/>
  <c r="S22" i="3"/>
  <c r="S60" i="2" l="1"/>
</calcChain>
</file>

<file path=xl/sharedStrings.xml><?xml version="1.0" encoding="utf-8"?>
<sst xmlns="http://schemas.openxmlformats.org/spreadsheetml/2006/main" count="1297" uniqueCount="469">
  <si>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</si>
  <si>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</si>
  <si>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</si>
  <si>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</si>
  <si>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</si>
  <si>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</si>
  <si>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</si>
  <si>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</si>
  <si>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</si>
  <si>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</si>
  <si>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</si>
  <si>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</si>
  <si>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</si>
  <si>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</si>
  <si>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</si>
  <si>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</si>
  <si>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</si>
  <si>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</si>
  <si>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</si>
  <si>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</si>
  <si>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</si>
  <si>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</si>
  <si>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</si>
  <si>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</si>
  <si>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</si>
  <si>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</si>
  <si>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20</t>
  </si>
  <si>
    <t>40</t>
  </si>
  <si>
    <t>10.14</t>
  </si>
  <si>
    <t>B129</t>
  </si>
  <si>
    <t>NIF</t>
  </si>
  <si>
    <t>NOMBRE_COMPLETO</t>
  </si>
  <si>
    <t>TIPO_SEXENIO</t>
  </si>
  <si>
    <t>Total general</t>
  </si>
  <si>
    <t>INS
1</t>
  </si>
  <si>
    <t>DED
INS 1</t>
  </si>
  <si>
    <t>INS
2</t>
  </si>
  <si>
    <t>DED
INS 2</t>
  </si>
  <si>
    <t>DED
DEP</t>
  </si>
  <si>
    <t>SEX
INS 1</t>
  </si>
  <si>
    <t>SEX
INS 2</t>
  </si>
  <si>
    <t>SEX
DEP</t>
  </si>
  <si>
    <t>FUNCIONARIO</t>
  </si>
  <si>
    <t>25127766J</t>
  </si>
  <si>
    <t>52776283T</t>
  </si>
  <si>
    <t>21507611N</t>
  </si>
  <si>
    <t>21994647T</t>
  </si>
  <si>
    <t>22138935D</t>
  </si>
  <si>
    <t>21508739J</t>
  </si>
  <si>
    <t>21462916Y</t>
  </si>
  <si>
    <t>48318313M</t>
  </si>
  <si>
    <t>52775130C</t>
  </si>
  <si>
    <t>24125718Y</t>
  </si>
  <si>
    <t>22131716N</t>
  </si>
  <si>
    <t>21669783B</t>
  </si>
  <si>
    <t>21445209D</t>
  </si>
  <si>
    <t>21477076K</t>
  </si>
  <si>
    <t>21996705B</t>
  </si>
  <si>
    <t>21980176L</t>
  </si>
  <si>
    <t>21516469S</t>
  </si>
  <si>
    <t>31.40.6C.00.61</t>
  </si>
  <si>
    <t>22/07/2020 </t>
  </si>
  <si>
    <t>COD DEP</t>
  </si>
  <si>
    <t>31.40.6P.00.23</t>
  </si>
  <si>
    <t>U052 </t>
  </si>
  <si>
    <t>QUÍMICA INORGÁNICA </t>
  </si>
  <si>
    <t>DOCTORADO EN CIENCIA DE MATERIALES </t>
  </si>
  <si>
    <t>B129 </t>
  </si>
  <si>
    <t>24125718Y </t>
  </si>
  <si>
    <t>ADM. I.U. DE MATERIALES </t>
  </si>
  <si>
    <t>21994647T </t>
  </si>
  <si>
    <t>21445209D </t>
  </si>
  <si>
    <t>21996705B </t>
  </si>
  <si>
    <t>52775130C </t>
  </si>
  <si>
    <t>22138935D </t>
  </si>
  <si>
    <t>21462916Y </t>
  </si>
  <si>
    <t>21516469S </t>
  </si>
  <si>
    <t>48318313M </t>
  </si>
  <si>
    <t>ZZ </t>
  </si>
  <si>
    <t>SIN ASIGNAR </t>
  </si>
  <si>
    <t>21507611N </t>
  </si>
  <si>
    <t>Quintero Jaime, Andrés Felipe </t>
  </si>
  <si>
    <t>Electrochemical functionalization of nanostructured carbon materials for bioelectrochemical applications </t>
  </si>
  <si>
    <t>Fuensanta Soriano, Monica </t>
  </si>
  <si>
    <t>Nuevos adhesivos sensibles a la presión basados en poliuretanos termoplásticos </t>
  </si>
  <si>
    <t>31/01/2020 </t>
  </si>
  <si>
    <t>Fernández Catalá, Javier </t>
  </si>
  <si>
    <t>Catalizadores micro- y nanoestructurados para la oxidación de hidrocarburos y producción de hidrógeno </t>
  </si>
  <si>
    <t>20/03/2020 </t>
  </si>
  <si>
    <t>52776283T </t>
  </si>
  <si>
    <t>Quílez Bermejo, Javier </t>
  </si>
  <si>
    <t>Design of N-doped carbon materials for ORR electrocatalysts through the combination of computational modelling and chemical synthesis </t>
  </si>
  <si>
    <t>04/09/2020 </t>
  </si>
  <si>
    <t>Murillo Acevedo, Yesid Sneider </t>
  </si>
  <si>
    <t>Estudio del efecto de las propiedades fisicoquímicas del carbón activado como soporte catálitico y fotocatalizador para la degradación de fenol desde solución acuosa </t>
  </si>
  <si>
    <t>13/08/2020 </t>
  </si>
  <si>
    <t>Campello Gómez, Ignacio </t>
  </si>
  <si>
    <t>Estudio de los mecanismos de activación y aplicabilidad de materiales carbonosos derivados de espumas de poliuretano en procesos de adsorción, separación de gases y biomedicina </t>
  </si>
  <si>
    <t>20/12/2019 </t>
  </si>
  <si>
    <t>22131716N </t>
  </si>
  <si>
    <t>Gandara Loe, Jesus </t>
  </si>
  <si>
    <t>LARGE VERSATILITY OF METAL-ORGANIC FRAMEWORKS (MOFS) IN GAS/LIQUID ADSORPTION PROCESSES </t>
  </si>
  <si>
    <t>08/10/2020 </t>
  </si>
  <si>
    <t>Cuadrado Collados, Carlos </t>
  </si>
  <si>
    <t>FORMATION AND GROWTH OF CH4 HYDRATES IN THE CONFINED SPACE OF POROUS MATERIALS </t>
  </si>
  <si>
    <t>20/10/2020 </t>
  </si>
  <si>
    <t>Merino González, Camilo </t>
  </si>
  <si>
    <t>Diseño y prototipo de supercondensador asimétrico en electrolito acuoso basado en materiales carbonosos </t>
  </si>
  <si>
    <t>18/01/2021 </t>
  </si>
  <si>
    <t>Ortega Murcia, Alejandro </t>
  </si>
  <si>
    <t>Preparación y caracterización de (electro)catalizadores basados en nanopartículas de paladio soportadas sobre materiales de carbón </t>
  </si>
  <si>
    <t>22/03/2021 </t>
  </si>
  <si>
    <t>Torregrosa Rivero, Verónica </t>
  </si>
  <si>
    <t>BaMnO3 perovskite-based catalysts for pollution control generated by higlhy efficient automotive engines </t>
  </si>
  <si>
    <t>17/09/2021 </t>
  </si>
  <si>
    <t>Ferrández Gómez, Borja </t>
  </si>
  <si>
    <t>Regeneración electroquímica de carbón activado usado en plantas potabilizadoras de agua: escalado, optimización y validación de prototipos </t>
  </si>
  <si>
    <t>Chaparro Garnica, Cristian Yesid </t>
  </si>
  <si>
    <t>Design of monolithic supports by 3D printing for its application in catalysis </t>
  </si>
  <si>
    <t>05/02/2021 </t>
  </si>
  <si>
    <t>Cárdenas Arenas, Liliana Andrea </t>
  </si>
  <si>
    <t>Ni-based catalysts supported on CeO2 for CO2 valorisation </t>
  </si>
  <si>
    <t>02/02/2021 </t>
  </si>
  <si>
    <t>Cód. org. aplic.</t>
  </si>
  <si>
    <t>Descripción justificante</t>
  </si>
  <si>
    <t>31.40.6C.00.91</t>
  </si>
  <si>
    <t>31.40.6C.00.98</t>
  </si>
  <si>
    <t>Ramírez Arias, Aida Mireya </t>
  </si>
  <si>
    <t>Síntesis de materiales adsorbentes obtenidos a partir de desechos para la eliminación de surfactantes vertidos en aguas residuales </t>
  </si>
  <si>
    <t>02/08/2021 </t>
  </si>
  <si>
    <t>Tounici , Abir </t>
  </si>
  <si>
    <t>Structure-property relationship in waterborne poly(urethane urea)s containing small amounts of graphene derivatives of different nature and surface chemistry </t>
  </si>
  <si>
    <t>18/02/2022 </t>
  </si>
  <si>
    <t>Maiorano Lauria, Lucila Paola </t>
  </si>
  <si>
    <t>Materiales espumados metálicos con inclusiones térmicas de base carbono y nanoingeniería interfacial </t>
  </si>
  <si>
    <t>24/03/2022 </t>
  </si>
  <si>
    <t>21669783B </t>
  </si>
  <si>
    <t>Durmus ., Fatma Cagla </t>
  </si>
  <si>
    <t>DEVELOPMENT OF NEW APPROACHES FOR THE FABRICATION OF MULTIPOROUS METALLIC FOAMS </t>
  </si>
  <si>
    <t>23/12/2021 </t>
  </si>
  <si>
    <t>Chaparro Garnica, Jessica Alejandra </t>
  </si>
  <si>
    <t>Diseño de materiales carbonosos porosos de alta durabilidad y bajo coste para el almacenamiento y producción de energía </t>
  </si>
  <si>
    <t>17/12/2021 </t>
  </si>
  <si>
    <t>48341257H</t>
  </si>
  <si>
    <t>Imp.cob.aplic.</t>
  </si>
  <si>
    <t>31.40.6P.00.29</t>
  </si>
  <si>
    <t>31.40.6B.00.03</t>
  </si>
  <si>
    <t>31.40.6C.01.23</t>
  </si>
  <si>
    <t>31.40.6C.01.24</t>
  </si>
  <si>
    <t>31.40.6C.01.27</t>
  </si>
  <si>
    <t>31.40.6C.01.28</t>
  </si>
  <si>
    <t>31.40.6C.01.29</t>
  </si>
  <si>
    <t>31.40.6P.00.32</t>
  </si>
  <si>
    <t>31.40.6P.00.33</t>
  </si>
  <si>
    <t>31.40.6P.00.34</t>
  </si>
  <si>
    <t>31.40.6P.00.39</t>
  </si>
  <si>
    <t>31.40.6P.00.40</t>
  </si>
  <si>
    <t>Reljic ., Snezana </t>
  </si>
  <si>
    <t>Nanoporous materials for CH4 and CO2 adsorption: from powders to monoliths. </t>
  </si>
  <si>
    <t>16/09/2022 </t>
  </si>
  <si>
    <t>I.U. DE MATERIALES (10.14) </t>
  </si>
  <si>
    <t>Ortega Trigueros, Adrián </t>
  </si>
  <si>
    <t>Desarrollo de nuevos materiales basados en carburo de Molibdeno y Silicio (Mo2C y SiC) para su aplicación en catálisis </t>
  </si>
  <si>
    <t>23/09/2022 </t>
  </si>
  <si>
    <t>Martínez Munuera, Juan Carlos </t>
  </si>
  <si>
    <t>Ceria-based catalysts for exhaust aftertreatment systems in last generation diesel and asoline engines </t>
  </si>
  <si>
    <t>28/09/2022 </t>
  </si>
  <si>
    <t>López Rodríguez, Sergio </t>
  </si>
  <si>
    <t>CeO2 based catalysts for CO2 methanation </t>
  </si>
  <si>
    <t>30/09/2022 </t>
  </si>
  <si>
    <t>Villora Picó, Juan José </t>
  </si>
  <si>
    <t>Doped carbons for adsorption and catalysis applications </t>
  </si>
  <si>
    <t>28/02/2023 </t>
  </si>
  <si>
    <t>21477076K </t>
  </si>
  <si>
    <t>21980176L </t>
  </si>
  <si>
    <t>Sorolla Rosario, Débora </t>
  </si>
  <si>
    <t>Detección y caracterización de microplásticos: Preocupación emergente en el ciclo integral del agua </t>
  </si>
  <si>
    <t>17/02/2023 </t>
  </si>
  <si>
    <t>Ruiz Bernal, Zaira </t>
  </si>
  <si>
    <t>Design and optimization of catalysts for biomass transformation to obtain value-added </t>
  </si>
  <si>
    <t>15/09/2023 </t>
  </si>
  <si>
    <t>Martínez Sánchez, Beatriz </t>
  </si>
  <si>
    <t>FUNCIONALIZACIÓN ELECTROQUÍMICA DE MATERIALES CARBONOSOS PARA APLICACIONES ENERGÉTICAS Y MEDIOAMBIENTALES </t>
  </si>
  <si>
    <t>22/09/2023 </t>
  </si>
  <si>
    <t>22008854Q</t>
  </si>
  <si>
    <t>48319677N</t>
  </si>
  <si>
    <t>Delgado Marin, Jose Javier </t>
  </si>
  <si>
    <t>Síntesis innovadora de materiales híbridos y su impacto en la valorización de CO2 </t>
  </si>
  <si>
    <t>27/09/2023 </t>
  </si>
  <si>
    <t>74663636R </t>
  </si>
  <si>
    <t>31.40.6H.00.04</t>
  </si>
  <si>
    <t>31.40.6H.00.05</t>
  </si>
  <si>
    <t>31.40.6P.00.36</t>
  </si>
  <si>
    <t>31.40.6P.00.37</t>
  </si>
  <si>
    <t>Pago mínimo regalías 2022 por transferencia de tecnología</t>
  </si>
  <si>
    <t>Desarrollo de nuevos adhesivos para el pegado de arcilla a semillas. NÚMERO DE PEDIDO. 10123POH000301</t>
  </si>
  <si>
    <t>Última factura del contrato  "Desarrollo de nuevos adhesivos para el pegado de arcilla a semillas" .  Referencia: SYMBORG1-20ID N. PEDIDO : 10123POH000373</t>
  </si>
  <si>
    <t>AGREEMENT BETWEEN JOURNAL OF ADHESION SCIENCE AND TECHNOLOGY AND THE UNIVERSITY OF ALICANTE.</t>
  </si>
  <si>
    <t>GASTOS BILLETE AVION CARGADO A LA COMISION SERVICIOS 2023/1386. EL VIAJE SE ANULÓ A SOLICITUD DE LA EMPRESA</t>
  </si>
  <si>
    <t>NOTE FEE ACCEPTED PERIOD FROM SEPTEMBER 2022-APRIL2023</t>
  </si>
  <si>
    <t>Expenses incurred in the travel to Belfast 29 June to 2 July 2022 Prof. Jose Miguel Martín-Martinez</t>
  </si>
  <si>
    <t>NOTE FEE 5. (PM-AC.FID3873419). PERIOD FROM MAY TO AUGUST 2022</t>
  </si>
  <si>
    <t>UPON  DELIVERY OF DELIVERABLES DL4 AND DL5. P.O. # 5700348073 LAURENT LAVANANT</t>
  </si>
  <si>
    <t>"UPON DELIVERY OF DELIVERABLE DL3 AS SET FORTH IN ROW 5 IN SECTION 8 (TO BE DELIVERED BY t0+6 MONTHS"</t>
  </si>
  <si>
    <t>Second payment upon signature of the Agreement "SOLVING THE RETRACTION OF CORK STOPPERS IN CONTACT WITH SPIRITS OF HIGH ALCOHOL CONTENT".</t>
  </si>
  <si>
    <t>Third payment at month 9 of starting  the Agreement "SOLVING THE RETRACTION OF CORK STOPPERS IN CONTACT WITH SPIRITS OF HIGH ALCOHOL CONTENT"</t>
  </si>
  <si>
    <t xml:space="preserve">SEGUNDA FACTURA CORRESPONDIENTE AL CONTRATO QUE LLEVA POR TITULO "PAPEL DEL GRANULADO DE CORCHO Y DEL AGLOMERANTE POLIMERICO EN LAS PRESTACIONES DE TAPONES DE CORCHO PARA ESPUMOSOS". </t>
  </si>
  <si>
    <t>ADDENDA AL CONTRATO "PAPEL DEL GRANULADO DE CORCHO Y DEL AGLOMERANTE POLIMÉRICO EN LAS PRESTACIONES DE TAPONES DE CORCHO PARA ESPUMOSOS"</t>
  </si>
  <si>
    <t>ADDENDA AL CONTRATO "PAPEL DEL GRANULADO DE CORCHO Y DEL AGLOMERANTE POLIMERICO EN LAS PRESTACIONES DE LOS TAPONES DE CORCHO PARA BOTELLAS"</t>
  </si>
  <si>
    <t>PAPEL DEL GRANULADO DE CORCHO Y DEL AGLOMERANTE POLIMERICO EN LAS PRESTACIONES DE TAPONES DE CORCHO.</t>
  </si>
  <si>
    <t>ASESORIA ONLINE DESDE EL 12/01/2023-13/03/2023. UN TOTAL DE 9 HORAS , 15 MINUTOS</t>
  </si>
  <si>
    <t>ASESORIA EN LA OPTIMIZACION DE LA ADHERENCIA. DESDE EL 06/10/2022 AL 15/12/2022</t>
  </si>
  <si>
    <t>ASESORIA ONLINE A LA EMPRESA PH ADHESIVOS DE MEXICO. PERIODO JUNIO A SEPTIEMBRE DE 2023</t>
  </si>
  <si>
    <t>ASESORIA A EMPRESA PH ADHESIVOS DE MEXICO. PERIODO ABRIL-JUNIO 2023.</t>
  </si>
  <si>
    <t>ULTIMO PAGO ACORDADO A LA FIRMA DEL CONTRATO "INFORME TECNICO SOBRE LA ADHERENCIA COMPARADA DE LAS UNIONES ADHESIVAS DE LAMINAS DE EPDM "</t>
  </si>
  <si>
    <t>31.40.6C.01.32</t>
  </si>
  <si>
    <t>ASESORIA SOBRE LA ESTABILIZACION DE LA VISCOSIDAD DE UN ADHESIVO DE POLIURETANO</t>
  </si>
  <si>
    <t>31.40.6C.01.33</t>
  </si>
  <si>
    <t>REALIZACION MEDIDAS DE RESISTENCIA AL PELADO EN T DE DIFERENTES  MATERIALES TEXTILES. PEDIDO NUMERO:  45896009</t>
  </si>
  <si>
    <t>31.40.6C.01.35</t>
  </si>
  <si>
    <t>I+D PYME (PIDI-CV) 2022 IMIDTA/2022/21. Factura 1 a la firma del contrato</t>
  </si>
  <si>
    <t>I+D PYME (PIDI-CV) 2022 IMIDTA/2022/21. Factura 2 a la finalización de la fase 2.</t>
  </si>
  <si>
    <t>I+D PYME (PIDI-CV) 2022 IMIDTA/2022/21. Última factura  a la finalización de la fase 3.</t>
  </si>
  <si>
    <t>31.40.6C.01.36</t>
  </si>
  <si>
    <t>ASESORIA EN LA MIGRACION DE SUSTANCIAS A LA SUPERFICIE DE GOMAS DE CAUCHO. SEGUNDA FACTURA SEGUN CONTRATO</t>
  </si>
  <si>
    <t>ASESORIA EN LA MIGRACION DE SUSTANCIAS A LA SUPERFICIE EN LAS GOMAS DE CAUCHO. ULTIMA FACTURA DEL CONTRATO</t>
  </si>
  <si>
    <t xml:space="preserve">ASESORIA EN LA MIGRACION DE SUSTANCIAS A LA SUPERFICIE DE GOMAS DE CAUCHO. </t>
  </si>
  <si>
    <t>31.40.6C.01.37</t>
  </si>
  <si>
    <t xml:space="preserve">ESPECTROS IR-ATR DE TAPONES DE CORCHO Y DE PRODUCTOS NATURALES EMPLEADOS PARA EL TRATAMIENTO TAPONES </t>
  </si>
  <si>
    <t>31.40.6C.01.38</t>
  </si>
  <si>
    <t xml:space="preserve">DEFENSE OF THE TECHNICAL REPORTS MADE FOR HENKEL COMPANY IN THE COURT OF BARCELONA </t>
  </si>
  <si>
    <t>31.40.6C.01.39</t>
  </si>
  <si>
    <t>ANALISIS DEL CAMBIO DE COLOR EN GOMAS NATURALES Y AMARILLAS</t>
  </si>
  <si>
    <t>31.40.6C.01.40</t>
  </si>
  <si>
    <t>COMPARACION DE LOS ESPECTROS IR-ATR DE LAS GOMAS NATURAL Y AMARILLA</t>
  </si>
  <si>
    <t>31.40.6C.01.41</t>
  </si>
  <si>
    <t xml:space="preserve">REALIZACION DE ENSAYOS DE PELADO DE UNIONES REALIZADAS CON DIFERENTES MATERIALES Y UN ADHESIVO TERMOFUSIBLE; EVALUACIÓN DEL TACK A DIFERENTES TEMPERATURAS EN CINCO ADHESIVOS DIFERENTES. </t>
  </si>
  <si>
    <t>31.40.6C.01.42</t>
  </si>
  <si>
    <t>Upon delivery of Deliverables DL1: Milestone 1 y Milestone 2. Research on activated carbon &amp; glycerin beads. P.O # 5700699206. Laurent Lavanant</t>
  </si>
  <si>
    <t>Upon delivery of Deliverables DL2 and DL3. Research on activated carbon &amp; glycerin beads. P.O # 5700699206. Laurent Lavanant</t>
  </si>
  <si>
    <t>31.40.6C.01.44</t>
  </si>
  <si>
    <t>Realización de un estudio preliminar a la petición de un proyecto que lidera Química de Nalón sobre síntesis y caracterización de SiC a partir de mezclas de sílice y coque.</t>
  </si>
  <si>
    <t>31.40.6C.01.45</t>
  </si>
  <si>
    <t>ULTIMA FACTURA. ASESORIA EN LA REALIZACION DE UNIONES DE DIFERENTES SUSTRATOS CON ADHESIVOS TERMOFUSIBLES. N. PEDIDO: PC.23-4071. PROYECTO: STICKYSOUND</t>
  </si>
  <si>
    <t>ASESORIA EN LA REALIZACION DE UNIONES DE DIFERENTES SUSTRATOS CON ADHESIVOS TERMOFUSIBLE. N. DE PEDIDO:   FIRMA DE LA ASESORIA N. PEDIDO: PC.23-4071 PROYECTO: STICKYSOUND</t>
  </si>
  <si>
    <t>31.40.6C.01.47</t>
  </si>
  <si>
    <t>Milestone 1 in accordance with the terms of the Agreement  "Particles characterization". P.O. # 5700644669  PMP : Anna Magdalena Susz</t>
  </si>
  <si>
    <t>31.40.6M.00.06</t>
  </si>
  <si>
    <t>CURSO OBTENCIÓN E INTERPRETACIÓN DE ESPECTROS IR-ATR DE MATERIALES DE CALZADO. FECHAS: 21-23/03/2023. 3 SESIONES DE 8 HORAS.</t>
  </si>
  <si>
    <t>31.40.6M.00.07</t>
  </si>
  <si>
    <t>Curso "Adhesión y Uniones Adhesivas". Acción 5059. Grupo 01  Presencial: 6 horas. Fecha realización 26/10/2023. 4 Asistentes</t>
  </si>
  <si>
    <t>31.40.6M.00.08</t>
  </si>
  <si>
    <t>Impartición de un curso general de adhesión y uniones adhesivas en la Universidad de Alicante</t>
  </si>
  <si>
    <t>31.40.6M.00.09</t>
  </si>
  <si>
    <t>Impartición de una formación práctica sobre aplicación de adhesivos termofusibles y adhesivos en base agua en las instalaciones de AITEX en Alcoy. Duración - 14 horas. Pedido PC.23-2693 Proyecto STICKYSOUND</t>
  </si>
  <si>
    <t xml:space="preserve">PID2019-104980GB-I00/107265GB-I00/108192GB-I00/109627GB-I00/111208GB-I00/105542RB-I00/106230RB-I00/106601RB-I00 </t>
  </si>
  <si>
    <t xml:space="preserve">AICO/2021/013/062/093/130/132/163/165 </t>
  </si>
  <si>
    <t>DEVOLUCIÓN DE INGRESOS_MODELO 047_Nº de liquidación: 46/2023/RAS/10200/1_Número de justificante: 047/1/002359944_Nº de referencia:047/1/002359944</t>
  </si>
  <si>
    <t>CIPROM/2021/001/006/017/021/022/027/057/060/062/068/070/074</t>
  </si>
  <si>
    <t>31.40.6P.00.38</t>
  </si>
  <si>
    <t>Anulación de derechos por minoración del importe justificado. Se adjunta resolución de minoración. Propuesta Resolución Provisional Concesión Ayudas al Dllo y Aplicación de proyectos I+D+i en materia medioambiental de adaptación, mitigación del cambio climático y transición ecológica en la CV (Consellería Agricultura)</t>
  </si>
  <si>
    <t xml:space="preserve">TED2021-130707B-I00, TED2021-129617B-I00, TED2021-129894B-I00, TED2021-129216B-I00, TED2021-130070B-I00, TED2021-130080B-I00, TED2021-130776A-I00, TED2021-132697B-I00, TED2021-131028B-I00, TED2021-132103A-I00, TED2021-130304B-I00 </t>
  </si>
  <si>
    <t>PDC2022-133839-C22PDC-2022-1- 2 ANUALIDAD</t>
  </si>
  <si>
    <t>31.40.6P.00.42</t>
  </si>
  <si>
    <t xml:space="preserve">AYUDAS CNS2022-136093 /136107 /135161 </t>
  </si>
  <si>
    <t>31.40.6P.00.43</t>
  </si>
  <si>
    <t xml:space="preserve">Ayudas CIAPE/2022/9 y CIAPE/2022/25 </t>
  </si>
  <si>
    <t>31.40.6P.00.44</t>
  </si>
  <si>
    <t xml:space="preserve">ayudas PID2022 142159OB--137566OB-I00--139552OB-C22--142960OB-C21--137302NB-C33--139820NB-I00--138111NB-I00--141543OB-I00--138491OB-C32--137364OB-I00--138329NB-I00--142830NB-I00--138453OB-I00 PID2022-138696OB-C22 PID2022-138853NB-I00 PID2022-142712NB-I00 </t>
  </si>
  <si>
    <t>B151</t>
  </si>
  <si>
    <t>INGENIERÍA QUÍMICA</t>
  </si>
  <si>
    <t>DOCTORADO EN INGENIERÍA QUÍMICA</t>
  </si>
  <si>
    <t>García Fernández, María Jesús</t>
  </si>
  <si>
    <t>Polymeric materials for catalysis applications</t>
  </si>
  <si>
    <t>26/01/2024</t>
  </si>
  <si>
    <t>Codirector de tesis</t>
  </si>
  <si>
    <t>QUÍMICA INORGÁNICA</t>
  </si>
  <si>
    <t>U052</t>
  </si>
  <si>
    <t>I.U. DE MATERIALES (10.14)</t>
  </si>
  <si>
    <t>DOCTORADO EN CIENCIA DE MATERIALES</t>
  </si>
  <si>
    <t>Mendoza Castro, Monica Judith</t>
  </si>
  <si>
    <t>Hierarchical Zeolite-Based Catalysts for the Conversion of Bulky Molecules</t>
  </si>
  <si>
    <t>22/07/2024</t>
  </si>
  <si>
    <t>Jaimes Paez, Cristian Daniel</t>
  </si>
  <si>
    <t>Desarrollo de electrocatalizadores basados en grafeno coloidal por métodos electroquímicos y otros materiales carbonosos para la generación de energía</t>
  </si>
  <si>
    <t>10/05/2024</t>
  </si>
  <si>
    <t>Guidoum , Maroua</t>
  </si>
  <si>
    <t>Foams Containing Guest Phases (Guefoams) For Emerging Applications: Thermal Management And Pathogen Microorganism Capture</t>
  </si>
  <si>
    <t>15/07/2024</t>
  </si>
  <si>
    <t>Director de tesis</t>
  </si>
  <si>
    <t>Nawel , Ghezali</t>
  </si>
  <si>
    <t>Perovskite catalysts for the removal of pollutants from new highly efficient gasoline engine exhaust</t>
  </si>
  <si>
    <t>05/07/2024</t>
  </si>
  <si>
    <t>Mekki , Imene</t>
  </si>
  <si>
    <t>Study of the uncatalyzed and catalyzed soot combustion in the exhaust of last generation   combustion engines. Kinetic analysis and optimization of the catalytic formulations</t>
  </si>
  <si>
    <t>25/07/2024</t>
  </si>
  <si>
    <t>30</t>
  </si>
  <si>
    <t>NO FUNCIONARIO</t>
  </si>
  <si>
    <t>73571968M</t>
  </si>
  <si>
    <t>Org. aplic.</t>
  </si>
  <si>
    <t>Imp. aplic.</t>
  </si>
  <si>
    <t>Pago regalías 2023 por transferencia de tecnología  - Ref. contrato G2MT1(EBT)-11O</t>
  </si>
  <si>
    <t>AGREEMENT BETWEEN JOURNAL OF ADHESION SCIENCE AND TECHNOLOGY AND THE UNIVERSITY OF ALICANTE. 2025 Editorial Expenses</t>
  </si>
  <si>
    <t>ASESORIA ONLINE DESDE EL 17/10/2023-18/12/2023. UN TOTAL DE 9 HORAS , 15 MINUTOS</t>
  </si>
  <si>
    <t>Asesoría Empresa PH Adhesivos México. Contabilización horas primer trimestre 2024</t>
  </si>
  <si>
    <t>Asesoría empresa PH Adhesivos México.  Contabilización horas segundo y tercer trimestre 2024</t>
  </si>
  <si>
    <t>Asesoría Cuarto trimestre 2024</t>
  </si>
  <si>
    <t>Upon delivery of Deliverables DL4 and DL5. Research on activated carbon &amp; glycerin beads. P.O # 5701021583 Laurent Lavanant</t>
  </si>
  <si>
    <t>31.40.6C.01.48</t>
  </si>
  <si>
    <t xml:space="preserve">Timing compilation Tesa SE January-March 2024 TESA ORDEN NUMBER 5400007244 </t>
  </si>
  <si>
    <t>31.40.6C.01.50</t>
  </si>
  <si>
    <t xml:space="preserve">"CARACTERIZACION DE RECUBRIMIENTOS POLIMERICOS EMPLEADOS EN LA PROTECCIÓN DE PIEDRA NATURAL". PRIMERA FACTURA. </t>
  </si>
  <si>
    <t>CARACTERIZACION DE RECUBRIMIENTOS POLIMERICOS EMPLEADOS EN LA PROTECCIÓN DE PIEDRA NATURAL.</t>
  </si>
  <si>
    <t>Caracterización de recubrimientos poliméricos empleados en la protección de piedra natural. Tercera Factura.</t>
  </si>
  <si>
    <t>31.40.6C.01.51</t>
  </si>
  <si>
    <t>Primera factura segun contrato "Estudio de los factores responsables del comportamiento mecánico/viscoelástico de los tapones de corcho natural y de aglomerado"</t>
  </si>
  <si>
    <t>2ª Factura acordada según contrato "Estudio de los factores responsables del comportamiento mecánico/viscoelático de los tapones de corcho natural y de aglomerado"</t>
  </si>
  <si>
    <t>3ª Factura acordada según contrato "Estudio de los factores responsables del comportamiento mecánico/viscoelático de los tapones de corcho natural y de aglomerado"</t>
  </si>
  <si>
    <t>31.40.6C.01.52</t>
  </si>
  <si>
    <t>Primera factura contrato "ESTUDIO DE LOS FACTORES RESPONSABLES DEL COMPORTAMIENTO MECÁNICO/VISCOELÁSTICO DE LOS TAPONES DE CORCHO NATURAL Y DE AGLOMERADO". GRAPERTE.   PAG-020100-2023-271</t>
  </si>
  <si>
    <t>31.40.6C.01.53</t>
  </si>
  <si>
    <t>ESTUDIO DE LOS FACTORES REPONSABLES DEL COMPORTAMIENTO DE LOS TAPONES DE CORCHO NATURAL Y DE AGLOMERADO. Primera Factura segun contrato. GRAPERTE.</t>
  </si>
  <si>
    <t>ESTUDIO DE LOS FACTORES REPONSABLES DEL COMPORTAMIENTO DE LOS TAPONES DE CORCHO NATURAL Y DE AGLOMERADO. Segunda Factura segun contrato. GRAPERTE.</t>
  </si>
  <si>
    <t>Estudio de los factores responsables del comportamiento  de los tapones de corcho natural y de aglomerado. Tercera Factura según contrato. GRAPERTE</t>
  </si>
  <si>
    <t>Estudio de los factores responsables del comportamiento de los tapones de corcho natural y de aglomerado. Cuarta Factura según contrato. GRAPERTE</t>
  </si>
  <si>
    <t>ESTUDIO DE LOS FACTORES REPONSABLES DEL COMPORTAMIENTO DE LOS TAPONES DE CORCHO NATURAL Y DE AGLOMERADO. Quinta factura según contrato. GRAPERTE</t>
  </si>
  <si>
    <t>31.40.6C.01.54</t>
  </si>
  <si>
    <t xml:space="preserve">Realización de una auditoría técnica en un máximo de 5 formulaciones de adhesivos de poliuretano, 7 formulaciones de adhesivos de policloropreno y 10 equipos/procesos en la sede de la empresa en Bogotá (Colombia). </t>
  </si>
  <si>
    <t>31.40.6C.01.55</t>
  </si>
  <si>
    <t>Factura acordada Contrato de consultoría en adhesión. PROQUINAL1-24A. Fecha 01/02/2024</t>
  </si>
  <si>
    <t>Contrato de Consultoría en Adhesión. PROQUINAL1-24A 2ª Factura según contrato</t>
  </si>
  <si>
    <t xml:space="preserve">Contrato de Consultoría en Adhesión. 3ª Factura según contrato. </t>
  </si>
  <si>
    <t>Contrato de Consultoría en Adhesión PROQUINAL3-24AD. 1º Factura según adenda al contrato</t>
  </si>
  <si>
    <t>Contrato de Consultoría en Adhesión PROQUINAL3-24AD. 2ª Factura según adenda al contrato. Octubre</t>
  </si>
  <si>
    <t>31.40.6C.01.56</t>
  </si>
  <si>
    <t>CARACTERIZACION ESTRUCTURAL DE 5 DISCOS DE CORCHO MEDIANTE CALORIMETRIA DIFERENCIAL DE BARRIDO (DSC) Y ANALISIS TERMOGRAVIMETRICO (TGA)</t>
  </si>
  <si>
    <t>31.40.6C.01.57</t>
  </si>
  <si>
    <t xml:space="preserve">N. Pedido: PC.24-1325. Abril 2024. Asesoría en la síntesis de dispersiones acuosas de poliuretano. Proyecto: P24-001 V-LEATHER. </t>
  </si>
  <si>
    <t>N. Pedido: PC.24-1325. Julio 2024. Asesoría en la síntesis de dispersiones acuosas de poliuretano. Proyecto: P24-001 V-LEATHER.</t>
  </si>
  <si>
    <t>31.40.6C.01.58</t>
  </si>
  <si>
    <t>Factura acordada contrato HOLOGRAMN1-24O-SE. Abril 2024</t>
  </si>
  <si>
    <t>31.40.6C.01.59</t>
  </si>
  <si>
    <t>N. Pedido PC.24-1263. Julio 2024 Asesoramiento y asistencia científico-técnica. Proyecto P24-008 ROOM-TEX</t>
  </si>
  <si>
    <t>Asesoramiento y asistencia científico-técnica. ProyectoP24-008ROOM-TEX. NºdePedido: PC.24-1263.  Octubre 2024</t>
  </si>
  <si>
    <t>Asesoramiento y asistencia científico-técnica. ProyectoP24-008ROOM-TEX. Nº de Pedido: PC24-1263. Diciembre 2024</t>
  </si>
  <si>
    <t>31.40.6C.01.60</t>
  </si>
  <si>
    <t>Adhesivos reversibles para la unión y el desensamblado de productos de consumo complejos. Primer pago correspondiente a 2024. Proyecto HEATEX. Nº de Pedido: PC.24-4616</t>
  </si>
  <si>
    <t>31.40.6C.01.62</t>
  </si>
  <si>
    <t>AUDITORIA LABAQUA,SA.; NUMERO de EVALUACIÓN : 54938   EXPEDIENTE DE EVALUACIÓN: LE/285R5A4 Fechas: 16/07/2024  y  17/07/2024</t>
  </si>
  <si>
    <t>31.40.6C.01.63</t>
  </si>
  <si>
    <t>Development Agreement Nº SATC 2024-057. Dr. Lujaen R. Filfil Kick-off meeting and design experiment protocol</t>
  </si>
  <si>
    <t>Development Agreement Nº SATC 2024-057. Dr. Lujaen R. Filfil. - Introduction of mesoporosity at lab scale in various zeolites with different degrees of microporosity, acidity,and crystallinity. -Submission of the first report with the preparation protocols of all the samples prepared.</t>
  </si>
  <si>
    <t>31.40.6C.01.64</t>
  </si>
  <si>
    <t>Factura acordada según contrato EQA28-24TPA. Proyecto 941.797 de la empresa ANIVI INGENIERIA S.L. "Nueva tecnología de separación y clasificación de minerales procedentes de procesos de molienda (ANIVIINNOV)"</t>
  </si>
  <si>
    <t>INVEST/2022/419/431/450 (2º PAGO A UA PROGRAMA INVESTIGO 2022 DESPLAZAMIENT)</t>
  </si>
  <si>
    <t>31.40.6M.00.10</t>
  </si>
  <si>
    <t>Factura acordada por impartición de dos cursos formativos a PROQUINAL S.A.S, en las fechas: Grupo 1: 22, 23 y 24 de abril de 2024, con duración total de 24 horas (8 horas por día) Grupo 2: 25 y 26 de abril de 2024, con una duración total de 16 horas (8 horas por día)</t>
  </si>
  <si>
    <t>31.40.6M.00.11</t>
  </si>
  <si>
    <t>Acción 5064. Grupo 1 Formación sobre adhesión y unidades adhesivas. Realizado el 03/10/2024. Presencial. 8 horas. 4 asistentes</t>
  </si>
  <si>
    <t>AYUDA CIPROM/2021/001, CIPROM/2021/006, CIPROM/2021/017, CIPROM/2021/021, CIPROM/2021/022, CIPROM/2021/027, CIPROM/2021/057, CIPROM/2021/060, CIPROM/2021/062, CIPROM/2021/068, CIPROM/2021/070, CIPROM/2021/074</t>
  </si>
  <si>
    <t>PID2021-126485OB-I00-126858NB-I00-126990NB-I00-127332NB-I00-127426OB-C22-127566NB-I00-127967NB-I00-127999NB-I00-128381NB-I00-128761OB-C21-128766OB-I00-128805NA-I00-128876OB-I00</t>
  </si>
  <si>
    <t xml:space="preserve">Ayudas MFA/2022/001, MFA/2022/036, MFA/2022/045, MFA/2022/048, MFA/2022/058, MFA/2022/059, MFA/2022/061, MFA/2022/062 </t>
  </si>
  <si>
    <t xml:space="preserve">Ayudas MFA/2022/001, MFA/2022/036, MFA/2022/045, MFA/2022/048, MFA/2022/058, MFA/2022/059, MFA/2022/061, MFA/2022/062 (ANUALIDAD 2023) </t>
  </si>
  <si>
    <t>DEVOLUCIÓN DE INGRESOS_MODELO 047_Nº DE LIQUIDACIÓN: 46/2024/RAS/10336/1 Nº DE JUSTIFICANTE: 047/1/002556900/Nº DE REFERENCIA: 047/1/002556900</t>
  </si>
  <si>
    <t>PID2022-139105OB-I00-141712NB-C22-142356NB-I00-141694NB-I00-136399NB-C21-142159OB-I00-137566OB-I00-139552OB-C22-137302NB-C33-139820NB-I00-142960OB-C21</t>
  </si>
  <si>
    <t>31.40.6P.00.45</t>
  </si>
  <si>
    <t xml:space="preserve">ayudas CIDEXG/2023/2, CIDEXG/2023/13, CIDEXG/2023/7, CIDEXG/2023/2, CIDEXG/2023/13, CIDEXG/2023/7 </t>
  </si>
  <si>
    <t>31.40.6P.00.48</t>
  </si>
  <si>
    <t xml:space="preserve">ayudas CIPROM/2023/2, CIPROM/2023/3, CIPROM/2023/6, CIPROM/2023/11, CIPROM/2023/35 </t>
  </si>
  <si>
    <t>I.U. de Materiales (10.14)</t>
  </si>
  <si>
    <t>FIGUEROA QUINTERO, LEIDY PATRICIA</t>
  </si>
  <si>
    <t>Desarrollo de materiales tipo MOF para captura y valorización de contaminantes atmosféricos</t>
  </si>
  <si>
    <t>19/12/2024</t>
  </si>
  <si>
    <t>74663636R</t>
  </si>
  <si>
    <t>Química Inorgánica</t>
  </si>
  <si>
    <t>Pabón Román, Keila Melissa</t>
  </si>
  <si>
    <t>Diseño de electrocatalizadores basados en metales no preciosos y materiales carbonosos dopados con heteroátomos a partir de biomasa</t>
  </si>
  <si>
    <t>09/01/2025</t>
  </si>
  <si>
    <t>García Rodríguez, Mario</t>
  </si>
  <si>
    <t>High-Performance and Environmentally Friendly Electrocatalysts: Perovskite, Metal Hexacyanoferrate, and Carbon Composites for Zn-Batteries and Beyond</t>
  </si>
  <si>
    <t>11/11/2024</t>
  </si>
  <si>
    <t>Farrando Pérez, Judit</t>
  </si>
  <si>
    <t>Design and modification of nanoporous adsorbents for enhanced hydrogen storage systems</t>
  </si>
  <si>
    <t>14/05/2025</t>
  </si>
  <si>
    <t>Alemany Molina, Gabriel</t>
  </si>
  <si>
    <t>Electrocatalizadores basados en materiales carbonosos y metales de transición para su aplicación en la producción y uso del hidrógeno</t>
  </si>
  <si>
    <t>08/11/2024</t>
  </si>
  <si>
    <t>Duran Uribe, Edgar Stiven</t>
  </si>
  <si>
    <t>Development of new nanoporous carbons and their use as catalysts and catalyst supports</t>
  </si>
  <si>
    <t>11/04/2025</t>
  </si>
  <si>
    <t>Belda Marco, Sergio</t>
  </si>
  <si>
    <t>Development and optimization of TiO2-based photocatalysts modified with non-noble metals for the photoreforming of cellulose to generate H2 and added-value compounds in solution</t>
  </si>
  <si>
    <t>13/06/2025</t>
  </si>
  <si>
    <t>dos Santos Moraes, Carlos Weldo</t>
  </si>
  <si>
    <t>Utilización de MOFs en aplicaciones catalíticas relacionadas con el hidrógeno</t>
  </si>
  <si>
    <t>22/07/2025</t>
  </si>
  <si>
    <t>ZZ</t>
  </si>
  <si>
    <t>SIN ASIGNAR</t>
  </si>
  <si>
    <t>Paez Amieva, Yuliet</t>
  </si>
  <si>
    <t>Nuevos poliuretanos autorreparables intrínsecamente a temperatura ambiente : El papel de los segmentos blandos de policarbonato</t>
  </si>
  <si>
    <t>02/04/2025</t>
  </si>
  <si>
    <t>2020</t>
  </si>
  <si>
    <t>2021</t>
  </si>
  <si>
    <t>2022</t>
  </si>
  <si>
    <t>2023</t>
  </si>
  <si>
    <t>2024</t>
  </si>
  <si>
    <t>2025</t>
  </si>
  <si>
    <t>Narciso Romero, Francisco Javier</t>
  </si>
  <si>
    <t>Illan Gómez, Maria Jose</t>
  </si>
  <si>
    <t>Pastor Blas, María Mercedes</t>
  </si>
  <si>
    <t>Bueno López, Agustín</t>
  </si>
  <si>
    <t>García Martínez, Javier</t>
  </si>
  <si>
    <t>Silvestre Albero, Joaquín</t>
  </si>
  <si>
    <t>Molina Jordá, José Miguel</t>
  </si>
  <si>
    <t>Sepúlveda Escribano, Antonio</t>
  </si>
  <si>
    <t>Cazorla Amorós, Diego</t>
  </si>
  <si>
    <t>Román Martínez, María Carmen</t>
  </si>
  <si>
    <t>Sánchez Adsuar, María Salvadora</t>
  </si>
  <si>
    <t>Martínez Escandell, Manuel</t>
  </si>
  <si>
    <t>García García, Avelina Antonia</t>
  </si>
  <si>
    <t>Alcañiz Monge, Juan Antonio</t>
  </si>
  <si>
    <t>Lillo Ródenas, María Ángeles</t>
  </si>
  <si>
    <t>Linares Pérez, Noemi</t>
  </si>
  <si>
    <t>Serrano Torregrosa, Elena</t>
  </si>
  <si>
    <t>Lozano Castello, Dolores</t>
  </si>
  <si>
    <t>Berenguer Murcia, Ángel</t>
  </si>
  <si>
    <t>Salinas Torres, David</t>
  </si>
  <si>
    <t>ASESORIA A LA EMPRESA PHADHESIVOS DE MEXICO.  ENERO-JUNIO 2025</t>
  </si>
  <si>
    <t xml:space="preserve">Ultima Factura acordada según contrato  "Estudio de los factores responsables del comportamiento mecánico/viscoelático de los tapones de corcho natural y de aglomerado" </t>
  </si>
  <si>
    <t>Segunda factura contrato "ESTUDIO DE LOS FACTORES RESPONSABLES DEL COMPORTAMIENTO MECÁNICO/VISCOELÁSTICO DE LOS TAPONES DE CORCHO NATURAL Y DE AGLOMERADO". GRAPERTE. PAG-020100-2023-271</t>
  </si>
  <si>
    <t>ESTUDIO DE LOS FACTORES REPONSABLES DEL COMPORTAMIENTO DE LOS TAPONES DE CORCHO NATURAL Y DE AGLOMERADO. Ultima factura según contrato. GRAPERTE</t>
  </si>
  <si>
    <t>Contrato de Consultoría en Adhesión PROQUINAL3-24AD. Tercera Factura según adenda al contrato. Enero 2025</t>
  </si>
  <si>
    <t xml:space="preserve">Factura Abril 2025 proyecto P24-008 ROOM-TEX </t>
  </si>
  <si>
    <t xml:space="preserve">Factura JUNIO 2025. PROYECTO P24-008 ROOM-TEX N. PEDIDO PC 25-1882 </t>
  </si>
  <si>
    <t>Adhesivos reversibles para la unión y el desensamblado de productos de consumo complejos. Segunda factura según contrato. Proyecto HEATEX. Nº de Pedido: PC.25-0724</t>
  </si>
  <si>
    <t>"Adhesivos reversibles para la unión y el desensamblado de Productos de consumo complejos" Proyecto HEATEX. Nº de Pedido: PC.25-0724 Ultima factura según contrato, junio 2025</t>
  </si>
  <si>
    <t>31.40.6C.01.61</t>
  </si>
  <si>
    <t>Horas de asesoría a la empresa periodo enero-marzo 2025</t>
  </si>
  <si>
    <t>HORAS ASESORIA A LA EMPRESA DE ABRIL-JUNIO 2025</t>
  </si>
  <si>
    <t>Horas asesoría. Julio-Septiembre 2025</t>
  </si>
  <si>
    <t>Characterization of all these samples by x-ray diffraction, microscopy, gas adsorption and any other technique required to fully characterize the samples produced.</t>
  </si>
  <si>
    <t>Development Agreement Nº SATC 2024- 057. Dr. Lujaen R. Filfil. Study the relationship between mesoporosity introduced and conversation of the acidity, crystallinity, and microporosity of the zeolites  Submission final report of this first phase of the project by UA</t>
  </si>
  <si>
    <t>31.40.6C.01.65</t>
  </si>
  <si>
    <t>Caracterización char porosos. N. PEDIDO : AR10084547. POSICION: 00001</t>
  </si>
  <si>
    <t>31.40.6C.01.67</t>
  </si>
  <si>
    <t>Factura acordada a la firma del contrato: Desarrollo y Evaluación de Catalizadores Sólidos de Interés para Moeve Chemicals</t>
  </si>
  <si>
    <t>Factura acordada en el contrato: Desarrollo y Evaluación de Catalizadores Sólidos de Interés para Moeve Chemicals. Segunda factura acordada en el contrato:  Desarrollo y Evaluación de catalizadores Sólidos de Interés para Moeve Chemicals. PEDIDO NUMERO: 6000 15178</t>
  </si>
  <si>
    <t>31.40.6C.01.68</t>
  </si>
  <si>
    <t>SINTESIS Y CARACTERIZACIÓN DE ACTIVIDAD. NUMERO PEDIDO: AR10091289</t>
  </si>
  <si>
    <t>31.40.6C.01.69</t>
  </si>
  <si>
    <t>ASESORAMIENTO FORMULACION RESINAS TERMOESTABLES SOSTENIBLES. PROYECTO P25-014 GREEN COMP 2025 . Centro Coste: PMCOMP . NUMERO DE PEDIDO: PC.25-2887</t>
  </si>
  <si>
    <t>31.40.6C.01.70</t>
  </si>
  <si>
    <t>ASESORAMIENTO FORMULACION Y CARACTERIZACION DE DISPERSIONES ACUOSAS. PROYECTO: P25-011  V-LEATHER 2025 NUMERO DE PEDIDO: PC.25-2947</t>
  </si>
  <si>
    <t>ASESORAMIENTO FORMULACION Y CARACTERIZACION DE DISPERSIONES ACUOSAS. PROYECTO: P25-011  V-LEATHER 2025. NUMERO DE PEDIDO: PC.25-2947. Centro Coste: PMGREEN</t>
  </si>
  <si>
    <t>31.40.6C.01.72</t>
  </si>
  <si>
    <t xml:space="preserve">Auditoría in situ durante 1 día. Evaluación: 54939_LABAQUA-AL. fecha: 18/09/2025 Evaluación: 54939_LABAQUA-AL. fecha: 18/09/2025 </t>
  </si>
  <si>
    <t>DEVOLUCIÓN DE INGRESOS_MODELO 047_ REFERENTE AL JI 20220000000004826_AYUDAS FINANCIACIÓN DEL PROGRAMA INVESTIGO (INVEST/2022/253/267/319/419/431/450/70)</t>
  </si>
  <si>
    <t>31.40.6M.00.12</t>
  </si>
  <si>
    <t>"Formación sobre adhesión y uniones adhesivas".  Lugar: sede de Barcelona.  Duración : 7 horas lectivas. Impartido: 13 /03/2025. ID Grupo 175365 . Acción Formativa 05 . Grupo 01 Máximo número de alumnos : 6</t>
  </si>
  <si>
    <t xml:space="preserve">CIPROM/2021/001/006/017/021/022/027/057/060/062/068/070/074 </t>
  </si>
  <si>
    <t>INGRESO PERCIBIDO POR LA UNIVERSIDAD DE ALICANTE EN CONCEPTO DE REINTEGRO DE EJERCICIO CERRADO DEL JG 2024/000000031559_JGA:2025/A00000000005</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</si>
  <si>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</si>
  <si>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 xml:space="preserve">Ayudas CIDEXG/2023/2, CIDEXG/2023/2, CIDEXG/2023/13, CIDEXG/2023/13, CIDEXG/2023/7, CIDEXG/2023/7 </t>
  </si>
  <si>
    <t>CIPROM/2023/2/3/6/11/35</t>
  </si>
  <si>
    <t>31.40.6P.00.50</t>
  </si>
  <si>
    <t>CIAPE/2024/13 - anualidad 2025</t>
  </si>
  <si>
    <t>31.40.6P.00.51</t>
  </si>
  <si>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</si>
  <si>
    <t>Total ingresos investigación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</si>
</sst>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19"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sz val="11"/>
      <color theme="1"/>
      <name val="Calibri"/>
      <family val="2"/>
      <scheme val="minor"/>
    </font>
    <font>
      <b/>
      <sz val="10"/>
      <color theme="0"/>
      <name val="Arial"/>
      <family val="2"/>
    </font>
    <font>
      <b/>
      <sz val="8"/>
      <color theme="1"/>
      <name val="Arial"/>
      <family val="2"/>
    </font>
    <font>
      <b/>
      <sz val="11"/>
      <color theme="0"/>
      <name val="Calibri"/>
      <family val="2"/>
      <scheme val="minor"/>
    </font>
    <font>
      <b/>
      <sz val="11"/>
      <color theme="1"/>
      <name val="Calibri"/>
      <family val="2"/>
      <scheme val="minor"/>
    </font>
    <font>
      <b/>
      <sz val="10"/>
      <color theme="0"/>
      <name val="Arial"/>
    </font>
    <font>
      <sz val="10"/>
      <color theme="1"/>
      <name val="Arial"/>
    </font>
    <font>
      <b/>
      <sz val="10"/>
      <color theme="1"/>
      <name val="Arial"/>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71">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8" fillId="3" borderId="1" xfId="3" applyFont="1" applyFill="1" applyBorder="1" applyAlignment="1">
      <alignment horizontal="center" wrapText="1"/>
    </xf>
    <xf numFmtId="0" fontId="2" fillId="4" borderId="1" xfId="1" applyFill="1" applyBorder="1"/>
    <xf numFmtId="0" fontId="2" fillId="4" borderId="1" xfId="1" applyFill="1" applyBorder="1" applyAlignment="1">
      <alignment horizontal="right"/>
    </xf>
    <xf numFmtId="0" fontId="2" fillId="4" borderId="2" xfId="1" applyFill="1" applyBorder="1"/>
    <xf numFmtId="166" fontId="2" fillId="4" borderId="2" xfId="1" applyNumberFormat="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4" borderId="3" xfId="1" applyFill="1" applyBorder="1"/>
    <xf numFmtId="0" fontId="2" fillId="0" borderId="1" xfId="1" applyBorder="1"/>
    <xf numFmtId="0" fontId="10" fillId="6" borderId="1" xfId="0" applyFont="1" applyFill="1" applyBorder="1" applyAlignment="1">
      <alignment horizontal="left" vertical="center"/>
    </xf>
    <xf numFmtId="0" fontId="10" fillId="6" borderId="4" xfId="0" applyFont="1" applyFill="1" applyBorder="1" applyAlignment="1">
      <alignment horizontal="left" vertical="center"/>
    </xf>
    <xf numFmtId="0" fontId="10" fillId="6" borderId="5" xfId="0" applyFont="1" applyFill="1" applyBorder="1" applyAlignment="1">
      <alignment horizontal="left" vertical="center"/>
    </xf>
    <xf numFmtId="0" fontId="10" fillId="6" borderId="6" xfId="0" applyFont="1" applyFill="1" applyBorder="1" applyAlignment="1">
      <alignment horizontal="left" vertical="center"/>
    </xf>
    <xf numFmtId="2" fontId="2" fillId="4" borderId="1" xfId="1" applyNumberFormat="1" applyFill="1" applyBorder="1"/>
    <xf numFmtId="0" fontId="2" fillId="0" borderId="1" xfId="0" applyFont="1" applyBorder="1"/>
    <xf numFmtId="43" fontId="6" fillId="8" borderId="7" xfId="6" applyNumberFormat="1" applyFont="1" applyFill="1" applyBorder="1"/>
    <xf numFmtId="43" fontId="6" fillId="0" borderId="7" xfId="6" applyNumberFormat="1" applyFont="1" applyBorder="1"/>
    <xf numFmtId="0" fontId="9" fillId="8" borderId="7" xfId="0" applyFont="1" applyFill="1" applyBorder="1"/>
    <xf numFmtId="0" fontId="9" fillId="0" borderId="7" xfId="0" applyFont="1" applyBorder="1"/>
    <xf numFmtId="43" fontId="0" fillId="0" borderId="0" xfId="0" applyNumberFormat="1"/>
    <xf numFmtId="0" fontId="0" fillId="9" borderId="0" xfId="0" applyFill="1"/>
    <xf numFmtId="0" fontId="0" fillId="9" borderId="0" xfId="0" applyFill="1" applyAlignment="1">
      <alignment horizontal="left"/>
    </xf>
    <xf numFmtId="165" fontId="4" fillId="3" borderId="1" xfId="1" applyNumberFormat="1" applyFont="1" applyFill="1" applyBorder="1" applyAlignment="1">
      <alignment horizontal="center"/>
    </xf>
    <xf numFmtId="0" fontId="1" fillId="0" borderId="1" xfId="0" applyFont="1" applyBorder="1"/>
    <xf numFmtId="0" fontId="1" fillId="0" borderId="1" xfId="0" applyFont="1" applyBorder="1" applyAlignment="1">
      <alignment horizontal="center"/>
    </xf>
    <xf numFmtId="0" fontId="1" fillId="0" borderId="0" xfId="5" applyFont="1"/>
    <xf numFmtId="0" fontId="2" fillId="0" borderId="1" xfId="0" applyFont="1" applyBorder="1" applyAlignment="1">
      <alignment horizontal="left"/>
    </xf>
    <xf numFmtId="0" fontId="13" fillId="9" borderId="0" xfId="0" applyFont="1" applyFill="1"/>
    <xf numFmtId="43" fontId="6" fillId="8" borderId="9" xfId="6" applyNumberFormat="1" applyFont="1" applyFill="1" applyBorder="1"/>
    <xf numFmtId="0" fontId="0" fillId="0" borderId="9" xfId="0" applyBorder="1"/>
    <xf numFmtId="0" fontId="9" fillId="8" borderId="9" xfId="0" applyFont="1" applyFill="1" applyBorder="1"/>
    <xf numFmtId="0" fontId="9" fillId="10" borderId="9" xfId="0" applyFont="1" applyFill="1" applyBorder="1"/>
    <xf numFmtId="43" fontId="6" fillId="10" borderId="9" xfId="0" applyNumberFormat="1" applyFont="1" applyFill="1" applyBorder="1"/>
    <xf numFmtId="0" fontId="0" fillId="11" borderId="0" xfId="0" applyFill="1"/>
    <xf numFmtId="0" fontId="12" fillId="7" borderId="8" xfId="0" applyFont="1" applyFill="1" applyBorder="1"/>
    <xf numFmtId="0" fontId="0" fillId="8" borderId="7" xfId="0" applyFill="1" applyBorder="1"/>
    <xf numFmtId="43" fontId="0" fillId="8" borderId="7" xfId="6" applyNumberFormat="1" applyFont="1" applyFill="1" applyBorder="1"/>
    <xf numFmtId="0" fontId="0" fillId="0" borderId="7" xfId="0" applyBorder="1"/>
    <xf numFmtId="43" fontId="0" fillId="0" borderId="7" xfId="6" applyNumberFormat="1" applyFont="1" applyBorder="1"/>
    <xf numFmtId="0" fontId="14" fillId="7" borderId="8" xfId="0" applyFont="1" applyFill="1" applyBorder="1"/>
    <xf numFmtId="43" fontId="14" fillId="7" borderId="8" xfId="6" applyNumberFormat="1" applyFont="1" applyFill="1" applyBorder="1"/>
    <xf numFmtId="43" fontId="0" fillId="0" borderId="9" xfId="6" applyNumberFormat="1" applyFont="1" applyBorder="1"/>
    <xf numFmtId="43" fontId="11" fillId="0" borderId="9" xfId="0" applyNumberFormat="1" applyFont="1" applyBorder="1"/>
    <xf numFmtId="0" fontId="15" fillId="0" borderId="1" xfId="0" applyFont="1" applyBorder="1"/>
    <xf numFmtId="43" fontId="15" fillId="0" borderId="1" xfId="0" applyNumberFormat="1" applyFont="1" applyBorder="1"/>
    <xf numFmtId="0" fontId="16" fillId="12" borderId="10" xfId="0" applyFont="1" applyFill="1" applyBorder="1"/>
    <xf numFmtId="0" fontId="16" fillId="12" borderId="11" xfId="0" applyFont="1" applyFill="1" applyBorder="1"/>
    <xf numFmtId="0" fontId="17" fillId="13" borderId="10" xfId="0" applyFont="1" applyFill="1" applyBorder="1"/>
    <xf numFmtId="0" fontId="17" fillId="13" borderId="11" xfId="0" applyFont="1" applyFill="1" applyBorder="1"/>
    <xf numFmtId="164" fontId="17" fillId="13" borderId="11" xfId="6" applyFont="1" applyFill="1" applyBorder="1"/>
    <xf numFmtId="0" fontId="17" fillId="0" borderId="10" xfId="0" applyFont="1" applyBorder="1"/>
    <xf numFmtId="0" fontId="17" fillId="0" borderId="11" xfId="0" applyFont="1" applyBorder="1"/>
    <xf numFmtId="164" fontId="17" fillId="0" borderId="11" xfId="6" applyFont="1" applyBorder="1"/>
    <xf numFmtId="0" fontId="18" fillId="0" borderId="12" xfId="0" applyFont="1" applyBorder="1"/>
    <xf numFmtId="0" fontId="18" fillId="0" borderId="13" xfId="0" applyFont="1" applyBorder="1"/>
    <xf numFmtId="164" fontId="18" fillId="0" borderId="13" xfId="6" applyFont="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20">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border diagonalUp="0" diagonalDown="0" outline="0">
        <left/>
        <right/>
        <top/>
        <bottom/>
      </border>
    </dxf>
    <dxf>
      <border diagonalUp="0" diagonalDown="0">
        <left/>
        <right/>
        <top style="thin">
          <color theme="9" tint="0.39997558519241921"/>
        </top>
        <bottom style="thin">
          <color theme="9" tint="0.39997558519241921"/>
        </bottom>
        <vertical/>
        <horizontal/>
      </border>
    </dxf>
    <dxf>
      <border diagonalUp="0" diagonalDown="0" outline="0">
        <left/>
        <right/>
        <top/>
        <bottom/>
      </border>
    </dxf>
    <dxf>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0"/>
        <color auto="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auto="1"/>
        <name val="Arial"/>
        <family val="2"/>
        <scheme val="none"/>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F27FE8-F060-4C5A-88EC-DDCA72762906}" name="Tabla2" displayName="Tabla2" ref="A1:C57" totalsRowCount="1" headerRowDxfId="19" totalsRowDxfId="16" headerRowBorderDxfId="18" tableBorderDxfId="17" totalsRowBorderDxfId="15">
  <autoFilter ref="A1:C56" xr:uid="{0AF27FE8-F060-4C5A-88EC-DDCA72762906}"/>
  <tableColumns count="3">
    <tableColumn id="1" xr3:uid="{A883B948-877F-4596-BC4C-06E4BE107C5F}" name="Cód. org. aplic." totalsRowLabel="Total" dataDxfId="14" totalsRowDxfId="13"/>
    <tableColumn id="2" xr3:uid="{773CEA47-AFDD-424E-AF75-B1C20D9D0B8D}" name="Descripción justificante" dataDxfId="12" totalsRowDxfId="11"/>
    <tableColumn id="3" xr3:uid="{C80CDAB2-7E1E-419C-8190-A5539EB61A80}" name="Imp.cob.aplic." totalsRowFunction="sum" dataDxfId="10" totalsRowDxfId="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AC47CB-74E0-4EF5-BA65-95CA39442AB7}" name="Tabla3" displayName="Tabla3" ref="A1:C54" totalsRowCount="1" headerRowBorderDxfId="8" tableBorderDxfId="7" totalsRowBorderDxfId="6">
  <autoFilter ref="A1:C53" xr:uid="{38AC47CB-74E0-4EF5-BA65-95CA39442AB7}"/>
  <tableColumns count="3">
    <tableColumn id="1" xr3:uid="{A20961A0-6622-488E-8097-950CA2B44F01}" name="Org. aplic." totalsRowLabel="Total" dataDxfId="5" totalsRowDxfId="4"/>
    <tableColumn id="2" xr3:uid="{E4E9CF0E-CA85-41F3-BDAF-966C0FDAB4EA}" name="Descripción justificante" dataDxfId="3" totalsRowDxfId="2"/>
    <tableColumn id="3" xr3:uid="{929C9D2E-236A-4A89-BEC1-DE3EA4C8F2DA}"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0"/>
  <sheetViews>
    <sheetView showGridLines="0" tabSelected="1" zoomScale="120" zoomScaleNormal="120" workbookViewId="0">
      <pane xSplit="1" ySplit="1" topLeftCell="C46" activePane="bottomRight" state="frozen"/>
      <selection pane="topRight" activeCell="B1" sqref="B1"/>
      <selection pane="bottomLeft" activeCell="A2" sqref="A2"/>
      <selection pane="bottomRight" activeCell="T62" sqref="T62"/>
    </sheetView>
  </sheetViews>
  <sheetFormatPr baseColWidth="10" defaultColWidth="10.28515625" defaultRowHeight="11.25" x14ac:dyDescent="0.2"/>
  <cols>
    <col min="1" max="1" width="5" style="6" customWidth="1"/>
    <col min="2" max="4" width="29.7109375" style="6" customWidth="1"/>
    <col min="5" max="5" width="40.7109375" style="6" customWidth="1"/>
    <col min="6" max="6" width="9.140625" style="6" customWidth="1"/>
    <col min="7" max="7" width="9.7109375" style="6" customWidth="1"/>
    <col min="8" max="8" width="14.42578125" style="6" customWidth="1"/>
    <col min="9" max="9" width="5.85546875" style="6" customWidth="1"/>
    <col min="10" max="10" width="25.7109375" style="6" customWidth="1"/>
    <col min="11" max="12" width="5.140625" style="6" customWidth="1"/>
    <col min="13" max="13" width="4.42578125" style="6" customWidth="1"/>
    <col min="14" max="14" width="4.85546875" style="6" customWidth="1"/>
    <col min="15" max="15" width="4.85546875" style="7" customWidth="1"/>
    <col min="16" max="16" width="4.85546875" style="6" customWidth="1"/>
    <col min="17" max="17" width="3.5703125" style="7" customWidth="1"/>
    <col min="18" max="18" width="3.5703125" style="6" customWidth="1"/>
    <col min="19" max="21" width="5.140625" style="6" customWidth="1"/>
    <col min="22" max="16384" width="10.28515625" style="6"/>
  </cols>
  <sheetData>
    <row r="1" spans="1:21" ht="45"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17" t="s">
        <v>64</v>
      </c>
      <c r="B2" s="17" t="s">
        <v>69</v>
      </c>
      <c r="C2" s="17" t="s">
        <v>66</v>
      </c>
      <c r="D2" s="17" t="s">
        <v>81</v>
      </c>
      <c r="E2" s="17" t="s">
        <v>82</v>
      </c>
      <c r="F2" s="17" t="s">
        <v>61</v>
      </c>
      <c r="G2" s="17" t="s">
        <v>70</v>
      </c>
      <c r="H2" s="17" t="s">
        <v>22</v>
      </c>
      <c r="I2" s="17" t="s">
        <v>67</v>
      </c>
      <c r="J2" s="17" t="s">
        <v>65</v>
      </c>
      <c r="K2" s="18">
        <v>0.5</v>
      </c>
      <c r="L2" s="17" t="s">
        <v>29</v>
      </c>
      <c r="M2" s="17">
        <v>2019</v>
      </c>
      <c r="N2" s="17" t="s">
        <v>28</v>
      </c>
      <c r="O2" s="19" t="s">
        <v>23</v>
      </c>
      <c r="P2" s="17" t="s">
        <v>24</v>
      </c>
      <c r="Q2" s="19" t="s">
        <v>24</v>
      </c>
      <c r="R2" s="20">
        <v>50</v>
      </c>
      <c r="S2" s="21">
        <v>0.25</v>
      </c>
      <c r="T2" s="21">
        <v>0.25</v>
      </c>
      <c r="U2" s="21">
        <v>0</v>
      </c>
    </row>
    <row r="3" spans="1:21" x14ac:dyDescent="0.2">
      <c r="A3" s="17" t="s">
        <v>64</v>
      </c>
      <c r="B3" s="17" t="s">
        <v>69</v>
      </c>
      <c r="C3" s="17" t="s">
        <v>66</v>
      </c>
      <c r="D3" s="17" t="s">
        <v>83</v>
      </c>
      <c r="E3" s="17" t="s">
        <v>84</v>
      </c>
      <c r="F3" s="17" t="s">
        <v>85</v>
      </c>
      <c r="G3" s="17" t="s">
        <v>68</v>
      </c>
      <c r="H3" s="17" t="s">
        <v>25</v>
      </c>
      <c r="I3" s="17" t="s">
        <v>67</v>
      </c>
      <c r="J3" s="17" t="s">
        <v>65</v>
      </c>
      <c r="K3" s="18">
        <v>1</v>
      </c>
      <c r="L3" s="17" t="s">
        <v>29</v>
      </c>
      <c r="M3" s="17">
        <v>2019</v>
      </c>
      <c r="N3" s="17" t="s">
        <v>24</v>
      </c>
      <c r="O3" s="19" t="s">
        <v>24</v>
      </c>
      <c r="P3" s="17" t="s">
        <v>24</v>
      </c>
      <c r="Q3" s="19" t="s">
        <v>24</v>
      </c>
      <c r="R3" s="20">
        <v>100</v>
      </c>
      <c r="S3" s="21">
        <v>1</v>
      </c>
      <c r="T3" s="21">
        <v>0</v>
      </c>
      <c r="U3" s="21">
        <v>0</v>
      </c>
    </row>
    <row r="4" spans="1:21" x14ac:dyDescent="0.2">
      <c r="A4" s="17" t="s">
        <v>64</v>
      </c>
      <c r="B4" s="17" t="s">
        <v>69</v>
      </c>
      <c r="C4" s="17" t="s">
        <v>66</v>
      </c>
      <c r="D4" s="17" t="s">
        <v>86</v>
      </c>
      <c r="E4" s="17" t="s">
        <v>87</v>
      </c>
      <c r="F4" s="17" t="s">
        <v>88</v>
      </c>
      <c r="G4" s="17" t="s">
        <v>89</v>
      </c>
      <c r="H4" s="17" t="s">
        <v>22</v>
      </c>
      <c r="I4" s="17" t="s">
        <v>67</v>
      </c>
      <c r="J4" s="17" t="s">
        <v>65</v>
      </c>
      <c r="K4" s="18">
        <v>0.5</v>
      </c>
      <c r="L4" s="17" t="s">
        <v>29</v>
      </c>
      <c r="M4" s="17">
        <v>2019</v>
      </c>
      <c r="N4" s="17" t="s">
        <v>28</v>
      </c>
      <c r="O4" s="19" t="s">
        <v>23</v>
      </c>
      <c r="P4" s="17" t="s">
        <v>24</v>
      </c>
      <c r="Q4" s="19" t="s">
        <v>24</v>
      </c>
      <c r="R4" s="20">
        <v>50</v>
      </c>
      <c r="S4" s="21">
        <v>0.25</v>
      </c>
      <c r="T4" s="21">
        <v>0.25</v>
      </c>
      <c r="U4" s="21">
        <v>0</v>
      </c>
    </row>
    <row r="5" spans="1:21" x14ac:dyDescent="0.2">
      <c r="A5" s="17" t="s">
        <v>64</v>
      </c>
      <c r="B5" s="17" t="s">
        <v>69</v>
      </c>
      <c r="C5" s="17" t="s">
        <v>66</v>
      </c>
      <c r="D5" s="17" t="s">
        <v>86</v>
      </c>
      <c r="E5" s="17" t="s">
        <v>87</v>
      </c>
      <c r="F5" s="17" t="s">
        <v>88</v>
      </c>
      <c r="G5" s="17" t="s">
        <v>70</v>
      </c>
      <c r="H5" s="17" t="s">
        <v>22</v>
      </c>
      <c r="I5" s="17" t="s">
        <v>67</v>
      </c>
      <c r="J5" s="17" t="s">
        <v>65</v>
      </c>
      <c r="K5" s="18">
        <v>0.5</v>
      </c>
      <c r="L5" s="17" t="s">
        <v>29</v>
      </c>
      <c r="M5" s="17">
        <v>2019</v>
      </c>
      <c r="N5" s="17" t="s">
        <v>28</v>
      </c>
      <c r="O5" s="19" t="s">
        <v>23</v>
      </c>
      <c r="P5" s="17" t="s">
        <v>24</v>
      </c>
      <c r="Q5" s="19" t="s">
        <v>24</v>
      </c>
      <c r="R5" s="20">
        <v>50</v>
      </c>
      <c r="S5" s="21">
        <v>0.25</v>
      </c>
      <c r="T5" s="21">
        <v>0.25</v>
      </c>
      <c r="U5" s="21">
        <v>0</v>
      </c>
    </row>
    <row r="6" spans="1:21" x14ac:dyDescent="0.2">
      <c r="A6" s="17" t="s">
        <v>64</v>
      </c>
      <c r="B6" s="17" t="s">
        <v>69</v>
      </c>
      <c r="C6" s="17" t="s">
        <v>66</v>
      </c>
      <c r="D6" s="17" t="s">
        <v>90</v>
      </c>
      <c r="E6" s="17" t="s">
        <v>91</v>
      </c>
      <c r="F6" s="17" t="s">
        <v>92</v>
      </c>
      <c r="G6" s="17" t="s">
        <v>70</v>
      </c>
      <c r="H6" s="17" t="s">
        <v>22</v>
      </c>
      <c r="I6" s="17" t="s">
        <v>67</v>
      </c>
      <c r="J6" s="17" t="s">
        <v>65</v>
      </c>
      <c r="K6" s="18">
        <v>0.5</v>
      </c>
      <c r="L6" s="17" t="s">
        <v>29</v>
      </c>
      <c r="M6" s="17">
        <v>2019</v>
      </c>
      <c r="N6" s="17" t="s">
        <v>28</v>
      </c>
      <c r="O6" s="19" t="s">
        <v>23</v>
      </c>
      <c r="P6" s="17" t="s">
        <v>24</v>
      </c>
      <c r="Q6" s="19" t="s">
        <v>24</v>
      </c>
      <c r="R6" s="20">
        <v>50</v>
      </c>
      <c r="S6" s="21">
        <v>0.25</v>
      </c>
      <c r="T6" s="21">
        <v>0.25</v>
      </c>
      <c r="U6" s="21">
        <v>0</v>
      </c>
    </row>
    <row r="7" spans="1:21" x14ac:dyDescent="0.2">
      <c r="A7" s="17" t="s">
        <v>64</v>
      </c>
      <c r="B7" s="17" t="s">
        <v>69</v>
      </c>
      <c r="C7" s="17" t="s">
        <v>66</v>
      </c>
      <c r="D7" s="17" t="s">
        <v>93</v>
      </c>
      <c r="E7" s="17" t="s">
        <v>94</v>
      </c>
      <c r="F7" s="17" t="s">
        <v>95</v>
      </c>
      <c r="G7" s="17" t="s">
        <v>76</v>
      </c>
      <c r="H7" s="17" t="s">
        <v>22</v>
      </c>
      <c r="I7" s="17" t="s">
        <v>67</v>
      </c>
      <c r="J7" s="17" t="s">
        <v>65</v>
      </c>
      <c r="K7" s="18">
        <v>0.5</v>
      </c>
      <c r="L7" s="17" t="s">
        <v>29</v>
      </c>
      <c r="M7" s="17">
        <v>2019</v>
      </c>
      <c r="N7" s="17" t="s">
        <v>28</v>
      </c>
      <c r="O7" s="19" t="s">
        <v>26</v>
      </c>
      <c r="P7" s="17" t="s">
        <v>24</v>
      </c>
      <c r="Q7" s="19" t="s">
        <v>24</v>
      </c>
      <c r="R7" s="20">
        <v>80</v>
      </c>
      <c r="S7" s="21">
        <v>0.4</v>
      </c>
      <c r="T7" s="21">
        <v>0.1</v>
      </c>
      <c r="U7" s="21">
        <v>0</v>
      </c>
    </row>
    <row r="8" spans="1:21" x14ac:dyDescent="0.2">
      <c r="A8" s="17" t="s">
        <v>78</v>
      </c>
      <c r="B8" s="17" t="s">
        <v>79</v>
      </c>
      <c r="C8" s="17" t="s">
        <v>66</v>
      </c>
      <c r="D8" s="17" t="s">
        <v>96</v>
      </c>
      <c r="E8" s="17" t="s">
        <v>97</v>
      </c>
      <c r="F8" s="17" t="s">
        <v>98</v>
      </c>
      <c r="G8" s="17" t="s">
        <v>76</v>
      </c>
      <c r="H8" s="17" t="s">
        <v>22</v>
      </c>
      <c r="I8" s="17" t="s">
        <v>67</v>
      </c>
      <c r="J8" s="17" t="s">
        <v>65</v>
      </c>
      <c r="K8" s="18">
        <v>0.5</v>
      </c>
      <c r="L8" s="17" t="s">
        <v>29</v>
      </c>
      <c r="M8" s="17">
        <v>2019</v>
      </c>
      <c r="N8" s="17" t="s">
        <v>28</v>
      </c>
      <c r="O8" s="19" t="s">
        <v>26</v>
      </c>
      <c r="P8" s="17" t="s">
        <v>24</v>
      </c>
      <c r="Q8" s="19" t="s">
        <v>24</v>
      </c>
      <c r="R8" s="20">
        <v>80</v>
      </c>
      <c r="S8" s="21">
        <v>0.4</v>
      </c>
      <c r="T8" s="21">
        <v>0.1</v>
      </c>
      <c r="U8" s="21">
        <v>0</v>
      </c>
    </row>
    <row r="9" spans="1:21" x14ac:dyDescent="0.2">
      <c r="A9" s="17" t="s">
        <v>78</v>
      </c>
      <c r="B9" s="17" t="s">
        <v>79</v>
      </c>
      <c r="C9" s="17" t="s">
        <v>66</v>
      </c>
      <c r="D9" s="17" t="s">
        <v>96</v>
      </c>
      <c r="E9" s="17" t="s">
        <v>97</v>
      </c>
      <c r="F9" s="17" t="s">
        <v>98</v>
      </c>
      <c r="G9" s="17" t="s">
        <v>99</v>
      </c>
      <c r="H9" s="17" t="s">
        <v>22</v>
      </c>
      <c r="I9" s="17" t="s">
        <v>67</v>
      </c>
      <c r="J9" s="17" t="s">
        <v>65</v>
      </c>
      <c r="K9" s="18">
        <v>0.5</v>
      </c>
      <c r="L9" s="17" t="s">
        <v>29</v>
      </c>
      <c r="M9" s="17">
        <v>2019</v>
      </c>
      <c r="N9" s="17" t="s">
        <v>28</v>
      </c>
      <c r="O9" s="19" t="s">
        <v>26</v>
      </c>
      <c r="P9" s="17" t="s">
        <v>24</v>
      </c>
      <c r="Q9" s="19" t="s">
        <v>24</v>
      </c>
      <c r="R9" s="20">
        <v>80</v>
      </c>
      <c r="S9" s="21">
        <v>0.4</v>
      </c>
      <c r="T9" s="21">
        <v>0.1</v>
      </c>
      <c r="U9" s="21">
        <v>0</v>
      </c>
    </row>
    <row r="10" spans="1:21" x14ac:dyDescent="0.2">
      <c r="A10" s="15" t="s">
        <v>64</v>
      </c>
      <c r="B10" s="15" t="s">
        <v>69</v>
      </c>
      <c r="C10" s="15" t="s">
        <v>66</v>
      </c>
      <c r="D10" s="15" t="s">
        <v>100</v>
      </c>
      <c r="E10" s="15" t="s">
        <v>101</v>
      </c>
      <c r="F10" s="15" t="s">
        <v>102</v>
      </c>
      <c r="G10" s="15" t="s">
        <v>76</v>
      </c>
      <c r="H10" s="15" t="s">
        <v>25</v>
      </c>
      <c r="I10" s="15" t="s">
        <v>67</v>
      </c>
      <c r="J10" s="15" t="s">
        <v>65</v>
      </c>
      <c r="K10" s="23">
        <v>1</v>
      </c>
      <c r="L10" s="23" t="s">
        <v>29</v>
      </c>
      <c r="M10" s="22">
        <v>2019</v>
      </c>
      <c r="N10" s="15" t="s">
        <v>28</v>
      </c>
      <c r="O10" s="16">
        <v>20</v>
      </c>
      <c r="P10" s="15" t="s">
        <v>24</v>
      </c>
      <c r="Q10" s="16">
        <v>0</v>
      </c>
      <c r="R10" s="15">
        <v>80</v>
      </c>
      <c r="S10" s="15">
        <v>0.8</v>
      </c>
      <c r="T10" s="15">
        <v>0.2</v>
      </c>
      <c r="U10" s="15">
        <v>0</v>
      </c>
    </row>
    <row r="11" spans="1:21" ht="12" thickBot="1" x14ac:dyDescent="0.25">
      <c r="A11" s="15" t="s">
        <v>64</v>
      </c>
      <c r="B11" s="15" t="s">
        <v>69</v>
      </c>
      <c r="C11" s="15" t="s">
        <v>66</v>
      </c>
      <c r="D11" s="15" t="s">
        <v>103</v>
      </c>
      <c r="E11" s="15" t="s">
        <v>104</v>
      </c>
      <c r="F11" s="15" t="s">
        <v>105</v>
      </c>
      <c r="G11" s="15" t="s">
        <v>76</v>
      </c>
      <c r="H11" s="15" t="s">
        <v>25</v>
      </c>
      <c r="I11" s="15" t="s">
        <v>67</v>
      </c>
      <c r="J11" s="15" t="s">
        <v>65</v>
      </c>
      <c r="K11" s="23">
        <v>1</v>
      </c>
      <c r="L11" s="23" t="s">
        <v>29</v>
      </c>
      <c r="M11" s="22">
        <v>2019</v>
      </c>
      <c r="N11" s="15" t="s">
        <v>28</v>
      </c>
      <c r="O11" s="16">
        <v>20</v>
      </c>
      <c r="P11" s="15" t="s">
        <v>24</v>
      </c>
      <c r="Q11" s="16">
        <v>0</v>
      </c>
      <c r="R11" s="15">
        <v>80</v>
      </c>
      <c r="S11" s="15">
        <v>0.8</v>
      </c>
      <c r="T11" s="15">
        <v>0.2</v>
      </c>
      <c r="U11" s="15">
        <v>0</v>
      </c>
    </row>
    <row r="12" spans="1:21" ht="12" thickBot="1" x14ac:dyDescent="0.25">
      <c r="A12" s="24" t="s">
        <v>64</v>
      </c>
      <c r="B12" s="24" t="s">
        <v>69</v>
      </c>
      <c r="C12" s="24" t="s">
        <v>66</v>
      </c>
      <c r="D12" s="24" t="s">
        <v>106</v>
      </c>
      <c r="E12" s="24" t="s">
        <v>107</v>
      </c>
      <c r="F12" s="24" t="s">
        <v>108</v>
      </c>
      <c r="G12" s="25" t="s">
        <v>70</v>
      </c>
      <c r="H12" s="26" t="s">
        <v>22</v>
      </c>
      <c r="I12" s="26" t="s">
        <v>67</v>
      </c>
      <c r="J12" s="27" t="s">
        <v>65</v>
      </c>
      <c r="K12" s="23">
        <v>0.5</v>
      </c>
      <c r="L12" s="23" t="s">
        <v>29</v>
      </c>
      <c r="M12" s="15">
        <v>2020</v>
      </c>
      <c r="N12" s="15" t="s">
        <v>28</v>
      </c>
      <c r="O12" s="16">
        <v>50</v>
      </c>
      <c r="P12" s="15" t="s">
        <v>24</v>
      </c>
      <c r="Q12" s="16">
        <v>0</v>
      </c>
      <c r="R12" s="15">
        <v>50</v>
      </c>
      <c r="S12" s="15">
        <v>0.25</v>
      </c>
      <c r="T12" s="15">
        <v>0.25</v>
      </c>
      <c r="U12" s="15">
        <v>0</v>
      </c>
    </row>
    <row r="13" spans="1:21" ht="12" thickBot="1" x14ac:dyDescent="0.25">
      <c r="A13" s="24" t="s">
        <v>64</v>
      </c>
      <c r="B13" s="24" t="s">
        <v>69</v>
      </c>
      <c r="C13" s="24" t="s">
        <v>66</v>
      </c>
      <c r="D13" s="24" t="s">
        <v>109</v>
      </c>
      <c r="E13" s="24" t="s">
        <v>110</v>
      </c>
      <c r="F13" s="24" t="s">
        <v>111</v>
      </c>
      <c r="G13" s="25" t="s">
        <v>70</v>
      </c>
      <c r="H13" s="26" t="s">
        <v>22</v>
      </c>
      <c r="I13" s="26" t="s">
        <v>67</v>
      </c>
      <c r="J13" s="27" t="s">
        <v>65</v>
      </c>
      <c r="K13" s="23">
        <v>0.5</v>
      </c>
      <c r="L13" s="23" t="s">
        <v>29</v>
      </c>
      <c r="M13" s="15">
        <v>2020</v>
      </c>
      <c r="N13" s="15" t="s">
        <v>28</v>
      </c>
      <c r="O13" s="16">
        <v>50</v>
      </c>
      <c r="P13" s="15" t="s">
        <v>24</v>
      </c>
      <c r="Q13" s="16">
        <v>0</v>
      </c>
      <c r="R13" s="15">
        <v>50</v>
      </c>
      <c r="S13" s="28">
        <v>0.25</v>
      </c>
      <c r="T13" s="15">
        <v>0.25</v>
      </c>
      <c r="U13" s="15">
        <v>0</v>
      </c>
    </row>
    <row r="14" spans="1:21" ht="12" thickBot="1" x14ac:dyDescent="0.25">
      <c r="A14" s="24" t="s">
        <v>64</v>
      </c>
      <c r="B14" s="24" t="s">
        <v>69</v>
      </c>
      <c r="C14" s="24" t="s">
        <v>66</v>
      </c>
      <c r="D14" s="24" t="s">
        <v>112</v>
      </c>
      <c r="E14" s="24" t="s">
        <v>113</v>
      </c>
      <c r="F14" s="24" t="s">
        <v>114</v>
      </c>
      <c r="G14" s="25" t="s">
        <v>75</v>
      </c>
      <c r="H14" s="26" t="s">
        <v>25</v>
      </c>
      <c r="I14" s="26" t="s">
        <v>67</v>
      </c>
      <c r="J14" s="27" t="s">
        <v>65</v>
      </c>
      <c r="K14" s="23">
        <v>1</v>
      </c>
      <c r="L14" s="23" t="s">
        <v>29</v>
      </c>
      <c r="M14" s="15">
        <v>2020</v>
      </c>
      <c r="N14" s="15" t="s">
        <v>28</v>
      </c>
      <c r="O14" s="16">
        <v>40</v>
      </c>
      <c r="P14" s="15" t="s">
        <v>24</v>
      </c>
      <c r="Q14" s="16">
        <v>0</v>
      </c>
      <c r="R14" s="15">
        <v>60</v>
      </c>
      <c r="S14" s="15">
        <v>0.6</v>
      </c>
      <c r="T14" s="15">
        <v>0.4</v>
      </c>
      <c r="U14" s="15">
        <v>0</v>
      </c>
    </row>
    <row r="15" spans="1:21" ht="12" thickBot="1" x14ac:dyDescent="0.25">
      <c r="A15" s="24" t="s">
        <v>64</v>
      </c>
      <c r="B15" s="24" t="s">
        <v>69</v>
      </c>
      <c r="C15" s="24" t="s">
        <v>66</v>
      </c>
      <c r="D15" s="24" t="s">
        <v>115</v>
      </c>
      <c r="E15" s="24" t="s">
        <v>116</v>
      </c>
      <c r="F15" s="24" t="s">
        <v>114</v>
      </c>
      <c r="G15" s="25" t="s">
        <v>70</v>
      </c>
      <c r="H15" s="26" t="s">
        <v>22</v>
      </c>
      <c r="I15" s="26" t="s">
        <v>67</v>
      </c>
      <c r="J15" s="27" t="s">
        <v>65</v>
      </c>
      <c r="K15" s="23">
        <v>0.5</v>
      </c>
      <c r="L15" s="23" t="s">
        <v>29</v>
      </c>
      <c r="M15" s="15">
        <v>2020</v>
      </c>
      <c r="N15" s="15" t="s">
        <v>28</v>
      </c>
      <c r="O15" s="16">
        <v>50</v>
      </c>
      <c r="P15" s="15" t="s">
        <v>24</v>
      </c>
      <c r="Q15" s="16">
        <v>0</v>
      </c>
      <c r="R15" s="15">
        <v>50</v>
      </c>
      <c r="S15" s="28">
        <v>0.25</v>
      </c>
      <c r="T15" s="15">
        <v>0.25</v>
      </c>
      <c r="U15" s="15">
        <v>0</v>
      </c>
    </row>
    <row r="16" spans="1:21" ht="12" thickBot="1" x14ac:dyDescent="0.25">
      <c r="A16" s="24" t="s">
        <v>64</v>
      </c>
      <c r="B16" s="24" t="s">
        <v>69</v>
      </c>
      <c r="C16" s="24" t="s">
        <v>66</v>
      </c>
      <c r="D16" s="24" t="s">
        <v>127</v>
      </c>
      <c r="E16" s="24" t="s">
        <v>128</v>
      </c>
      <c r="F16" s="24" t="s">
        <v>129</v>
      </c>
      <c r="G16" s="25" t="s">
        <v>76</v>
      </c>
      <c r="H16" s="26" t="s">
        <v>22</v>
      </c>
      <c r="I16" s="26" t="s">
        <v>67</v>
      </c>
      <c r="J16" s="27" t="s">
        <v>65</v>
      </c>
      <c r="K16" s="23">
        <v>0.5</v>
      </c>
      <c r="L16" s="23" t="s">
        <v>29</v>
      </c>
      <c r="M16" s="15">
        <v>2020</v>
      </c>
      <c r="N16" s="15" t="s">
        <v>28</v>
      </c>
      <c r="O16" s="16">
        <v>20</v>
      </c>
      <c r="P16" s="15" t="s">
        <v>24</v>
      </c>
      <c r="Q16" s="16">
        <v>0</v>
      </c>
      <c r="R16" s="15">
        <v>80</v>
      </c>
      <c r="S16" s="15">
        <v>0.4</v>
      </c>
      <c r="T16" s="15">
        <v>0.1</v>
      </c>
      <c r="U16" s="15">
        <v>0</v>
      </c>
    </row>
    <row r="17" spans="1:21" ht="12" thickBot="1" x14ac:dyDescent="0.25">
      <c r="A17" s="24" t="s">
        <v>64</v>
      </c>
      <c r="B17" s="24" t="s">
        <v>69</v>
      </c>
      <c r="C17" s="24" t="s">
        <v>66</v>
      </c>
      <c r="D17" s="24" t="s">
        <v>117</v>
      </c>
      <c r="E17" s="24" t="s">
        <v>118</v>
      </c>
      <c r="F17" s="24" t="s">
        <v>119</v>
      </c>
      <c r="G17" s="25" t="s">
        <v>80</v>
      </c>
      <c r="H17" s="26" t="s">
        <v>22</v>
      </c>
      <c r="I17" s="26" t="s">
        <v>67</v>
      </c>
      <c r="J17" s="27" t="s">
        <v>65</v>
      </c>
      <c r="K17" s="23">
        <v>0.5</v>
      </c>
      <c r="L17" s="23" t="s">
        <v>29</v>
      </c>
      <c r="M17" s="15">
        <v>2020</v>
      </c>
      <c r="N17" s="15" t="s">
        <v>28</v>
      </c>
      <c r="O17" s="16">
        <v>50</v>
      </c>
      <c r="P17" s="15" t="s">
        <v>24</v>
      </c>
      <c r="Q17" s="16">
        <v>0</v>
      </c>
      <c r="R17" s="15">
        <v>50</v>
      </c>
      <c r="S17" s="15">
        <v>0.25</v>
      </c>
      <c r="T17" s="15">
        <v>0.25</v>
      </c>
      <c r="U17" s="15">
        <v>0</v>
      </c>
    </row>
    <row r="18" spans="1:21" ht="12" thickBot="1" x14ac:dyDescent="0.25">
      <c r="A18" s="24" t="s">
        <v>64</v>
      </c>
      <c r="B18" s="24" t="s">
        <v>69</v>
      </c>
      <c r="C18" s="24" t="s">
        <v>66</v>
      </c>
      <c r="D18" s="24" t="s">
        <v>120</v>
      </c>
      <c r="E18" s="24" t="s">
        <v>121</v>
      </c>
      <c r="F18" s="24" t="s">
        <v>122</v>
      </c>
      <c r="G18" s="25" t="s">
        <v>80</v>
      </c>
      <c r="H18" s="26" t="s">
        <v>22</v>
      </c>
      <c r="I18" s="26" t="s">
        <v>67</v>
      </c>
      <c r="J18" s="27" t="s">
        <v>65</v>
      </c>
      <c r="K18" s="23">
        <v>0.5</v>
      </c>
      <c r="L18" s="23" t="s">
        <v>29</v>
      </c>
      <c r="M18" s="15">
        <v>2020</v>
      </c>
      <c r="N18" s="15" t="s">
        <v>28</v>
      </c>
      <c r="O18" s="16">
        <v>50</v>
      </c>
      <c r="P18" s="15" t="s">
        <v>24</v>
      </c>
      <c r="Q18" s="16">
        <v>0</v>
      </c>
      <c r="R18" s="15">
        <v>50</v>
      </c>
      <c r="S18" s="15">
        <v>0.25</v>
      </c>
      <c r="T18" s="15">
        <v>0.25</v>
      </c>
      <c r="U18" s="15">
        <v>0</v>
      </c>
    </row>
    <row r="19" spans="1:21" ht="12" thickBot="1" x14ac:dyDescent="0.25">
      <c r="A19" s="24" t="s">
        <v>64</v>
      </c>
      <c r="B19" s="24" t="s">
        <v>69</v>
      </c>
      <c r="C19" s="24" t="s">
        <v>66</v>
      </c>
      <c r="D19" s="24" t="s">
        <v>120</v>
      </c>
      <c r="E19" s="24" t="s">
        <v>121</v>
      </c>
      <c r="F19" s="24" t="s">
        <v>122</v>
      </c>
      <c r="G19" s="25" t="s">
        <v>73</v>
      </c>
      <c r="H19" s="26" t="s">
        <v>22</v>
      </c>
      <c r="I19" s="26" t="s">
        <v>67</v>
      </c>
      <c r="J19" s="27" t="s">
        <v>65</v>
      </c>
      <c r="K19" s="23">
        <v>0.5</v>
      </c>
      <c r="L19" s="23" t="s">
        <v>29</v>
      </c>
      <c r="M19" s="15">
        <v>2020</v>
      </c>
      <c r="N19" s="15" t="s">
        <v>28</v>
      </c>
      <c r="O19" s="16">
        <v>50</v>
      </c>
      <c r="P19" s="15" t="s">
        <v>24</v>
      </c>
      <c r="Q19" s="16">
        <v>0</v>
      </c>
      <c r="R19" s="15">
        <v>50</v>
      </c>
      <c r="S19" s="15">
        <v>0.25</v>
      </c>
      <c r="T19" s="15">
        <v>0.25</v>
      </c>
      <c r="U19" s="15">
        <v>0</v>
      </c>
    </row>
    <row r="20" spans="1:21" x14ac:dyDescent="0.2">
      <c r="A20" s="15" t="s">
        <v>64</v>
      </c>
      <c r="B20" s="15" t="s">
        <v>69</v>
      </c>
      <c r="C20" s="15" t="s">
        <v>66</v>
      </c>
      <c r="D20" s="15" t="s">
        <v>130</v>
      </c>
      <c r="E20" s="15" t="s">
        <v>131</v>
      </c>
      <c r="F20" s="15" t="s">
        <v>132</v>
      </c>
      <c r="G20" s="15" t="s">
        <v>68</v>
      </c>
      <c r="H20" s="15" t="s">
        <v>25</v>
      </c>
      <c r="I20" s="15" t="s">
        <v>67</v>
      </c>
      <c r="J20" s="15" t="s">
        <v>65</v>
      </c>
      <c r="K20" s="23">
        <v>1</v>
      </c>
      <c r="L20" s="23" t="s">
        <v>29</v>
      </c>
      <c r="M20" s="15">
        <v>2021</v>
      </c>
      <c r="N20" s="15" t="s">
        <v>24</v>
      </c>
      <c r="O20" s="16" t="s">
        <v>24</v>
      </c>
      <c r="P20" s="15" t="s">
        <v>24</v>
      </c>
      <c r="Q20" s="16" t="s">
        <v>24</v>
      </c>
      <c r="R20" s="15">
        <v>100</v>
      </c>
      <c r="S20" s="15">
        <v>1</v>
      </c>
      <c r="T20" s="15">
        <v>0</v>
      </c>
      <c r="U20" s="15">
        <v>0</v>
      </c>
    </row>
    <row r="21" spans="1:21" x14ac:dyDescent="0.2">
      <c r="A21" s="15" t="s">
        <v>64</v>
      </c>
      <c r="B21" s="15" t="s">
        <v>69</v>
      </c>
      <c r="C21" s="15" t="s">
        <v>66</v>
      </c>
      <c r="D21" s="15" t="s">
        <v>133</v>
      </c>
      <c r="E21" s="15" t="s">
        <v>134</v>
      </c>
      <c r="F21" s="15" t="s">
        <v>135</v>
      </c>
      <c r="G21" s="15" t="s">
        <v>136</v>
      </c>
      <c r="H21" s="15" t="s">
        <v>25</v>
      </c>
      <c r="I21" s="15" t="s">
        <v>67</v>
      </c>
      <c r="J21" s="15" t="s">
        <v>65</v>
      </c>
      <c r="K21" s="23">
        <v>1</v>
      </c>
      <c r="L21" s="23" t="s">
        <v>29</v>
      </c>
      <c r="M21" s="15">
        <v>2021</v>
      </c>
      <c r="N21" s="15" t="s">
        <v>28</v>
      </c>
      <c r="O21" s="16">
        <v>20</v>
      </c>
      <c r="P21" s="15" t="s">
        <v>24</v>
      </c>
      <c r="Q21" s="16">
        <v>0</v>
      </c>
      <c r="R21" s="15">
        <v>80</v>
      </c>
      <c r="S21" s="15">
        <v>0.8</v>
      </c>
      <c r="T21" s="15">
        <v>0.2</v>
      </c>
      <c r="U21" s="15">
        <v>0</v>
      </c>
    </row>
    <row r="22" spans="1:21" x14ac:dyDescent="0.2">
      <c r="A22" s="15" t="s">
        <v>64</v>
      </c>
      <c r="B22" s="15" t="s">
        <v>69</v>
      </c>
      <c r="C22" s="15" t="s">
        <v>66</v>
      </c>
      <c r="D22" s="15" t="s">
        <v>137</v>
      </c>
      <c r="E22" s="15" t="s">
        <v>138</v>
      </c>
      <c r="F22" s="15" t="s">
        <v>139</v>
      </c>
      <c r="G22" s="15" t="s">
        <v>136</v>
      </c>
      <c r="H22" s="15" t="s">
        <v>25</v>
      </c>
      <c r="I22" s="15" t="s">
        <v>67</v>
      </c>
      <c r="J22" s="15" t="s">
        <v>65</v>
      </c>
      <c r="K22" s="23">
        <v>1</v>
      </c>
      <c r="L22" s="23" t="s">
        <v>29</v>
      </c>
      <c r="M22" s="15">
        <v>2021</v>
      </c>
      <c r="N22" s="15" t="s">
        <v>28</v>
      </c>
      <c r="O22" s="16">
        <v>20</v>
      </c>
      <c r="P22" s="15" t="s">
        <v>24</v>
      </c>
      <c r="Q22" s="16">
        <v>0</v>
      </c>
      <c r="R22" s="15">
        <v>80</v>
      </c>
      <c r="S22" s="15">
        <v>0.8</v>
      </c>
      <c r="T22" s="15">
        <v>0.2</v>
      </c>
      <c r="U22" s="15">
        <v>0</v>
      </c>
    </row>
    <row r="23" spans="1:21" x14ac:dyDescent="0.2">
      <c r="A23" s="15" t="s">
        <v>64</v>
      </c>
      <c r="B23" s="15" t="s">
        <v>69</v>
      </c>
      <c r="C23" s="15" t="s">
        <v>66</v>
      </c>
      <c r="D23" s="15" t="s">
        <v>140</v>
      </c>
      <c r="E23" s="15" t="s">
        <v>141</v>
      </c>
      <c r="F23" s="15" t="s">
        <v>142</v>
      </c>
      <c r="G23" s="15" t="s">
        <v>70</v>
      </c>
      <c r="H23" s="15" t="s">
        <v>22</v>
      </c>
      <c r="I23" s="15" t="s">
        <v>67</v>
      </c>
      <c r="J23" s="15" t="s">
        <v>65</v>
      </c>
      <c r="K23" s="23">
        <v>0.5</v>
      </c>
      <c r="L23" s="23" t="s">
        <v>29</v>
      </c>
      <c r="M23" s="15">
        <v>2021</v>
      </c>
      <c r="N23" s="15" t="s">
        <v>28</v>
      </c>
      <c r="O23" s="16">
        <v>50</v>
      </c>
      <c r="P23" s="15" t="s">
        <v>24</v>
      </c>
      <c r="Q23" s="16">
        <v>0</v>
      </c>
      <c r="R23" s="15">
        <v>50</v>
      </c>
      <c r="S23" s="15">
        <v>0.25</v>
      </c>
      <c r="T23" s="15">
        <v>0.25</v>
      </c>
      <c r="U23" s="15">
        <v>0</v>
      </c>
    </row>
    <row r="24" spans="1:21" x14ac:dyDescent="0.2">
      <c r="A24" s="15" t="s">
        <v>64</v>
      </c>
      <c r="B24" s="15" t="s">
        <v>69</v>
      </c>
      <c r="C24" s="15" t="s">
        <v>66</v>
      </c>
      <c r="D24" s="15" t="s">
        <v>157</v>
      </c>
      <c r="E24" s="15" t="s">
        <v>158</v>
      </c>
      <c r="F24" s="15" t="s">
        <v>159</v>
      </c>
      <c r="G24" s="15" t="s">
        <v>76</v>
      </c>
      <c r="H24" s="15" t="s">
        <v>22</v>
      </c>
      <c r="I24" s="15" t="s">
        <v>67</v>
      </c>
      <c r="J24" s="15" t="s">
        <v>65</v>
      </c>
      <c r="K24" s="29">
        <v>0.5</v>
      </c>
      <c r="L24" s="29" t="s">
        <v>29</v>
      </c>
      <c r="M24" s="15">
        <v>2021</v>
      </c>
      <c r="N24" s="29" t="s">
        <v>28</v>
      </c>
      <c r="O24" s="29">
        <v>20</v>
      </c>
      <c r="P24" s="29" t="s">
        <v>24</v>
      </c>
      <c r="Q24" s="29">
        <v>0</v>
      </c>
      <c r="R24" s="29">
        <v>80</v>
      </c>
      <c r="S24" s="29">
        <v>0.4</v>
      </c>
      <c r="T24" s="29">
        <v>0.1</v>
      </c>
      <c r="U24" s="29">
        <v>0</v>
      </c>
    </row>
    <row r="25" spans="1:21" x14ac:dyDescent="0.2">
      <c r="A25" s="15" t="s">
        <v>64</v>
      </c>
      <c r="B25" s="15" t="s">
        <v>69</v>
      </c>
      <c r="C25" s="15" t="s">
        <v>66</v>
      </c>
      <c r="D25" s="15" t="s">
        <v>157</v>
      </c>
      <c r="E25" s="15" t="s">
        <v>158</v>
      </c>
      <c r="F25" s="15" t="s">
        <v>159</v>
      </c>
      <c r="G25" s="15" t="s">
        <v>99</v>
      </c>
      <c r="H25" s="15" t="s">
        <v>22</v>
      </c>
      <c r="I25" s="15" t="s">
        <v>67</v>
      </c>
      <c r="J25" s="15" t="s">
        <v>65</v>
      </c>
      <c r="K25" s="29">
        <v>0.5</v>
      </c>
      <c r="L25" s="29" t="s">
        <v>29</v>
      </c>
      <c r="M25" s="15">
        <v>2021</v>
      </c>
      <c r="N25" s="29" t="s">
        <v>28</v>
      </c>
      <c r="O25" s="29">
        <v>20</v>
      </c>
      <c r="P25" s="29" t="s">
        <v>24</v>
      </c>
      <c r="Q25" s="29">
        <v>0</v>
      </c>
      <c r="R25" s="29">
        <v>80</v>
      </c>
      <c r="S25" s="29">
        <v>0.4</v>
      </c>
      <c r="T25" s="29">
        <v>0.1</v>
      </c>
      <c r="U25" s="29">
        <v>0</v>
      </c>
    </row>
    <row r="26" spans="1:21" x14ac:dyDescent="0.2">
      <c r="A26" s="15" t="s">
        <v>64</v>
      </c>
      <c r="B26" s="15" t="s">
        <v>160</v>
      </c>
      <c r="C26" s="15" t="s">
        <v>66</v>
      </c>
      <c r="D26" s="15" t="s">
        <v>161</v>
      </c>
      <c r="E26" s="15" t="s">
        <v>162</v>
      </c>
      <c r="F26" s="15" t="s">
        <v>163</v>
      </c>
      <c r="G26" s="15" t="s">
        <v>71</v>
      </c>
      <c r="H26" s="15" t="s">
        <v>22</v>
      </c>
      <c r="I26" s="15" t="s">
        <v>67</v>
      </c>
      <c r="J26" s="15" t="s">
        <v>65</v>
      </c>
      <c r="K26" s="29">
        <v>0.5</v>
      </c>
      <c r="L26" s="29" t="s">
        <v>29</v>
      </c>
      <c r="M26" s="15">
        <v>2021</v>
      </c>
      <c r="N26" s="29" t="s">
        <v>28</v>
      </c>
      <c r="O26" s="29">
        <v>20</v>
      </c>
      <c r="P26" s="29" t="s">
        <v>24</v>
      </c>
      <c r="Q26" s="29">
        <v>0</v>
      </c>
      <c r="R26" s="29">
        <v>80</v>
      </c>
      <c r="S26" s="29">
        <v>0.4</v>
      </c>
      <c r="T26" s="29">
        <v>0.1</v>
      </c>
      <c r="U26" s="29">
        <v>0</v>
      </c>
    </row>
    <row r="27" spans="1:21" x14ac:dyDescent="0.2">
      <c r="A27" s="15" t="s">
        <v>64</v>
      </c>
      <c r="B27" s="15" t="s">
        <v>160</v>
      </c>
      <c r="C27" s="15" t="s">
        <v>66</v>
      </c>
      <c r="D27" s="15" t="s">
        <v>164</v>
      </c>
      <c r="E27" s="15" t="s">
        <v>165</v>
      </c>
      <c r="F27" s="15" t="s">
        <v>166</v>
      </c>
      <c r="G27" s="15" t="s">
        <v>74</v>
      </c>
      <c r="H27" s="15" t="s">
        <v>25</v>
      </c>
      <c r="I27" s="15" t="s">
        <v>67</v>
      </c>
      <c r="J27" s="15" t="s">
        <v>65</v>
      </c>
      <c r="K27" s="29">
        <v>1</v>
      </c>
      <c r="L27" s="29" t="s">
        <v>29</v>
      </c>
      <c r="M27" s="15">
        <v>2021</v>
      </c>
      <c r="N27" s="29" t="s">
        <v>28</v>
      </c>
      <c r="O27" s="29">
        <v>40</v>
      </c>
      <c r="P27" s="29" t="s">
        <v>24</v>
      </c>
      <c r="Q27" s="29">
        <v>0</v>
      </c>
      <c r="R27" s="29">
        <v>60</v>
      </c>
      <c r="S27" s="29">
        <v>0.6</v>
      </c>
      <c r="T27" s="29">
        <v>0.4</v>
      </c>
      <c r="U27" s="29">
        <v>0</v>
      </c>
    </row>
    <row r="28" spans="1:21" x14ac:dyDescent="0.2">
      <c r="A28" s="15" t="s">
        <v>64</v>
      </c>
      <c r="B28" s="15" t="s">
        <v>160</v>
      </c>
      <c r="C28" s="15" t="s">
        <v>66</v>
      </c>
      <c r="D28" s="15" t="s">
        <v>167</v>
      </c>
      <c r="E28" s="15" t="s">
        <v>168</v>
      </c>
      <c r="F28" s="15" t="s">
        <v>169</v>
      </c>
      <c r="G28" s="15" t="s">
        <v>80</v>
      </c>
      <c r="H28" s="15" t="s">
        <v>22</v>
      </c>
      <c r="I28" s="15" t="s">
        <v>67</v>
      </c>
      <c r="J28" s="15" t="s">
        <v>65</v>
      </c>
      <c r="K28" s="29">
        <v>0.5</v>
      </c>
      <c r="L28" s="29" t="s">
        <v>29</v>
      </c>
      <c r="M28" s="15">
        <v>2021</v>
      </c>
      <c r="N28" s="29" t="s">
        <v>28</v>
      </c>
      <c r="O28" s="29">
        <v>50</v>
      </c>
      <c r="P28" s="29" t="s">
        <v>24</v>
      </c>
      <c r="Q28" s="29">
        <v>0</v>
      </c>
      <c r="R28" s="29">
        <v>50</v>
      </c>
      <c r="S28" s="29">
        <v>0.25</v>
      </c>
      <c r="T28" s="29">
        <v>0.25</v>
      </c>
      <c r="U28" s="29">
        <v>0</v>
      </c>
    </row>
    <row r="29" spans="1:21" x14ac:dyDescent="0.2">
      <c r="A29" s="15" t="s">
        <v>64</v>
      </c>
      <c r="B29" s="15" t="s">
        <v>160</v>
      </c>
      <c r="C29" s="15" t="s">
        <v>66</v>
      </c>
      <c r="D29" s="15" t="s">
        <v>167</v>
      </c>
      <c r="E29" s="15" t="s">
        <v>168</v>
      </c>
      <c r="F29" s="15" t="s">
        <v>169</v>
      </c>
      <c r="G29" s="15" t="s">
        <v>73</v>
      </c>
      <c r="H29" s="15" t="s">
        <v>22</v>
      </c>
      <c r="I29" s="15" t="s">
        <v>67</v>
      </c>
      <c r="J29" s="15" t="s">
        <v>65</v>
      </c>
      <c r="K29" s="29">
        <v>0.5</v>
      </c>
      <c r="L29" s="29" t="s">
        <v>29</v>
      </c>
      <c r="M29" s="15">
        <v>2021</v>
      </c>
      <c r="N29" s="29" t="s">
        <v>28</v>
      </c>
      <c r="O29" s="29">
        <v>50</v>
      </c>
      <c r="P29" s="29" t="s">
        <v>24</v>
      </c>
      <c r="Q29" s="29">
        <v>0</v>
      </c>
      <c r="R29" s="29">
        <v>50</v>
      </c>
      <c r="S29" s="29">
        <v>0.25</v>
      </c>
      <c r="T29" s="29">
        <v>0.25</v>
      </c>
      <c r="U29" s="29">
        <v>0</v>
      </c>
    </row>
    <row r="30" spans="1:21" x14ac:dyDescent="0.2">
      <c r="A30" s="15" t="s">
        <v>64</v>
      </c>
      <c r="B30" s="15" t="s">
        <v>160</v>
      </c>
      <c r="C30" s="15" t="s">
        <v>66</v>
      </c>
      <c r="D30" s="15" t="s">
        <v>170</v>
      </c>
      <c r="E30" s="15" t="s">
        <v>171</v>
      </c>
      <c r="F30" s="15" t="s">
        <v>172</v>
      </c>
      <c r="G30" s="15" t="s">
        <v>173</v>
      </c>
      <c r="H30" s="15" t="s">
        <v>22</v>
      </c>
      <c r="I30" s="15" t="s">
        <v>67</v>
      </c>
      <c r="J30" s="15" t="s">
        <v>65</v>
      </c>
      <c r="K30" s="29">
        <v>0.5</v>
      </c>
      <c r="L30" s="29" t="s">
        <v>29</v>
      </c>
      <c r="M30" s="15">
        <v>2022</v>
      </c>
      <c r="N30" s="29" t="s">
        <v>28</v>
      </c>
      <c r="O30" s="29">
        <v>20</v>
      </c>
      <c r="P30" s="29" t="s">
        <v>24</v>
      </c>
      <c r="Q30" s="29">
        <v>0</v>
      </c>
      <c r="R30" s="29">
        <v>80</v>
      </c>
      <c r="S30" s="29">
        <v>0.4</v>
      </c>
      <c r="T30" s="29">
        <v>0.1</v>
      </c>
      <c r="U30" s="29">
        <v>0</v>
      </c>
    </row>
    <row r="31" spans="1:21" x14ac:dyDescent="0.2">
      <c r="A31" s="15" t="s">
        <v>64</v>
      </c>
      <c r="B31" s="15" t="s">
        <v>160</v>
      </c>
      <c r="C31" s="15" t="s">
        <v>66</v>
      </c>
      <c r="D31" s="15" t="s">
        <v>170</v>
      </c>
      <c r="E31" s="15" t="s">
        <v>171</v>
      </c>
      <c r="F31" s="15" t="s">
        <v>172</v>
      </c>
      <c r="G31" s="15" t="s">
        <v>174</v>
      </c>
      <c r="H31" s="15" t="s">
        <v>22</v>
      </c>
      <c r="I31" s="15" t="s">
        <v>67</v>
      </c>
      <c r="J31" s="15" t="s">
        <v>65</v>
      </c>
      <c r="K31" s="29">
        <v>0.5</v>
      </c>
      <c r="L31" s="29" t="s">
        <v>29</v>
      </c>
      <c r="M31" s="15">
        <v>2022</v>
      </c>
      <c r="N31" s="29" t="s">
        <v>28</v>
      </c>
      <c r="O31" s="29">
        <v>20</v>
      </c>
      <c r="P31" s="29" t="s">
        <v>24</v>
      </c>
      <c r="Q31" s="29">
        <v>0</v>
      </c>
      <c r="R31" s="29">
        <v>80</v>
      </c>
      <c r="S31" s="29">
        <v>0.4</v>
      </c>
      <c r="T31" s="29">
        <v>0.1</v>
      </c>
      <c r="U31" s="29">
        <v>0</v>
      </c>
    </row>
    <row r="32" spans="1:21" x14ac:dyDescent="0.2">
      <c r="A32" s="15" t="s">
        <v>64</v>
      </c>
      <c r="B32" s="15" t="s">
        <v>160</v>
      </c>
      <c r="C32" s="15" t="s">
        <v>66</v>
      </c>
      <c r="D32" s="15" t="s">
        <v>175</v>
      </c>
      <c r="E32" s="15" t="s">
        <v>176</v>
      </c>
      <c r="F32" s="15" t="s">
        <v>177</v>
      </c>
      <c r="G32" s="15" t="s">
        <v>80</v>
      </c>
      <c r="H32" s="15" t="s">
        <v>22</v>
      </c>
      <c r="I32" s="15" t="s">
        <v>67</v>
      </c>
      <c r="J32" s="15" t="s">
        <v>65</v>
      </c>
      <c r="K32" s="29">
        <v>0.33</v>
      </c>
      <c r="L32" s="29" t="s">
        <v>29</v>
      </c>
      <c r="M32" s="15">
        <v>2022</v>
      </c>
      <c r="N32" s="29" t="s">
        <v>28</v>
      </c>
      <c r="O32" s="29">
        <v>50</v>
      </c>
      <c r="P32" s="29" t="s">
        <v>24</v>
      </c>
      <c r="Q32" s="29">
        <v>0</v>
      </c>
      <c r="R32" s="29">
        <v>50</v>
      </c>
      <c r="S32" s="29">
        <v>0.16500000000000001</v>
      </c>
      <c r="T32" s="29">
        <v>0.16500000000000001</v>
      </c>
      <c r="U32" s="29">
        <v>0</v>
      </c>
    </row>
    <row r="33" spans="1:21" x14ac:dyDescent="0.2">
      <c r="A33" s="15" t="s">
        <v>64</v>
      </c>
      <c r="B33" s="15" t="s">
        <v>160</v>
      </c>
      <c r="C33" s="15" t="s">
        <v>66</v>
      </c>
      <c r="D33" s="15" t="s">
        <v>175</v>
      </c>
      <c r="E33" s="15" t="s">
        <v>176</v>
      </c>
      <c r="F33" s="15" t="s">
        <v>177</v>
      </c>
      <c r="G33" s="15" t="s">
        <v>73</v>
      </c>
      <c r="H33" s="15" t="s">
        <v>22</v>
      </c>
      <c r="I33" s="15" t="s">
        <v>67</v>
      </c>
      <c r="J33" s="15" t="s">
        <v>65</v>
      </c>
      <c r="K33" s="29">
        <v>0.33</v>
      </c>
      <c r="L33" s="29" t="s">
        <v>29</v>
      </c>
      <c r="M33" s="15">
        <v>2022</v>
      </c>
      <c r="N33" s="29" t="s">
        <v>28</v>
      </c>
      <c r="O33" s="29">
        <v>50</v>
      </c>
      <c r="P33" s="29" t="s">
        <v>24</v>
      </c>
      <c r="Q33" s="29">
        <v>0</v>
      </c>
      <c r="R33" s="29">
        <v>50</v>
      </c>
      <c r="S33" s="29">
        <v>0.16500000000000001</v>
      </c>
      <c r="T33" s="29">
        <v>0.16500000000000001</v>
      </c>
      <c r="U33" s="29">
        <v>0</v>
      </c>
    </row>
    <row r="34" spans="1:21" x14ac:dyDescent="0.2">
      <c r="A34" s="15" t="s">
        <v>64</v>
      </c>
      <c r="B34" s="15" t="s">
        <v>160</v>
      </c>
      <c r="C34" s="15" t="s">
        <v>66</v>
      </c>
      <c r="D34" s="15" t="s">
        <v>178</v>
      </c>
      <c r="E34" s="15" t="s">
        <v>179</v>
      </c>
      <c r="F34" s="15" t="s">
        <v>180</v>
      </c>
      <c r="G34" s="15" t="s">
        <v>77</v>
      </c>
      <c r="H34" s="15" t="s">
        <v>22</v>
      </c>
      <c r="I34" s="15" t="s">
        <v>67</v>
      </c>
      <c r="J34" s="15" t="s">
        <v>65</v>
      </c>
      <c r="K34" s="29">
        <v>0.5</v>
      </c>
      <c r="L34" s="29" t="s">
        <v>29</v>
      </c>
      <c r="M34" s="15">
        <v>2022</v>
      </c>
      <c r="N34" s="29" t="s">
        <v>28</v>
      </c>
      <c r="O34" s="29">
        <v>50</v>
      </c>
      <c r="P34" s="29" t="s">
        <v>24</v>
      </c>
      <c r="Q34" s="29">
        <v>0</v>
      </c>
      <c r="R34" s="29">
        <v>50</v>
      </c>
      <c r="S34" s="29">
        <v>0.25</v>
      </c>
      <c r="T34" s="29">
        <v>0.25</v>
      </c>
      <c r="U34" s="29">
        <v>0</v>
      </c>
    </row>
    <row r="35" spans="1:21" x14ac:dyDescent="0.2">
      <c r="A35" s="15" t="s">
        <v>64</v>
      </c>
      <c r="B35" s="15" t="s">
        <v>160</v>
      </c>
      <c r="C35" s="15" t="s">
        <v>66</v>
      </c>
      <c r="D35" s="15" t="s">
        <v>178</v>
      </c>
      <c r="E35" s="15" t="s">
        <v>179</v>
      </c>
      <c r="F35" s="15" t="s">
        <v>180</v>
      </c>
      <c r="G35" s="15" t="s">
        <v>72</v>
      </c>
      <c r="H35" s="15" t="s">
        <v>22</v>
      </c>
      <c r="I35" s="15" t="s">
        <v>67</v>
      </c>
      <c r="J35" s="15" t="s">
        <v>65</v>
      </c>
      <c r="K35" s="29">
        <v>0.5</v>
      </c>
      <c r="L35" s="29" t="s">
        <v>29</v>
      </c>
      <c r="M35" s="15">
        <v>2022</v>
      </c>
      <c r="N35" s="29" t="s">
        <v>28</v>
      </c>
      <c r="O35" s="29">
        <v>50</v>
      </c>
      <c r="P35" s="29" t="s">
        <v>24</v>
      </c>
      <c r="Q35" s="29">
        <v>0</v>
      </c>
      <c r="R35" s="29">
        <v>50</v>
      </c>
      <c r="S35" s="29">
        <v>0.25</v>
      </c>
      <c r="T35" s="29">
        <v>0.25</v>
      </c>
      <c r="U35" s="29">
        <v>0</v>
      </c>
    </row>
    <row r="36" spans="1:21" x14ac:dyDescent="0.2">
      <c r="A36" s="15" t="s">
        <v>64</v>
      </c>
      <c r="B36" s="15" t="s">
        <v>160</v>
      </c>
      <c r="C36" s="15" t="s">
        <v>66</v>
      </c>
      <c r="D36" s="15" t="s">
        <v>181</v>
      </c>
      <c r="E36" s="15" t="s">
        <v>182</v>
      </c>
      <c r="F36" s="15" t="s">
        <v>183</v>
      </c>
      <c r="G36" s="15" t="s">
        <v>70</v>
      </c>
      <c r="H36" s="15" t="s">
        <v>22</v>
      </c>
      <c r="I36" s="15" t="s">
        <v>67</v>
      </c>
      <c r="J36" s="15" t="s">
        <v>65</v>
      </c>
      <c r="K36" s="29">
        <v>0.5</v>
      </c>
      <c r="L36" s="29" t="s">
        <v>29</v>
      </c>
      <c r="M36" s="15">
        <v>2022</v>
      </c>
      <c r="N36" s="29" t="s">
        <v>28</v>
      </c>
      <c r="O36" s="29">
        <v>50</v>
      </c>
      <c r="P36" s="29" t="s">
        <v>24</v>
      </c>
      <c r="Q36" s="29">
        <v>0</v>
      </c>
      <c r="R36" s="29">
        <v>50</v>
      </c>
      <c r="S36" s="29">
        <v>0.25</v>
      </c>
      <c r="T36" s="29">
        <v>0.25</v>
      </c>
      <c r="U36" s="29">
        <v>0</v>
      </c>
    </row>
    <row r="37" spans="1:21" x14ac:dyDescent="0.2">
      <c r="A37" s="15" t="s">
        <v>64</v>
      </c>
      <c r="B37" s="15" t="s">
        <v>160</v>
      </c>
      <c r="C37" s="15" t="s">
        <v>66</v>
      </c>
      <c r="D37" s="15" t="s">
        <v>186</v>
      </c>
      <c r="E37" s="15" t="s">
        <v>187</v>
      </c>
      <c r="F37" s="15" t="s">
        <v>188</v>
      </c>
      <c r="G37" s="15" t="s">
        <v>189</v>
      </c>
      <c r="H37" s="15" t="s">
        <v>22</v>
      </c>
      <c r="I37" s="15" t="s">
        <v>67</v>
      </c>
      <c r="J37" s="15" t="s">
        <v>65</v>
      </c>
      <c r="K37" s="29">
        <v>0.5</v>
      </c>
      <c r="L37" s="29" t="s">
        <v>29</v>
      </c>
      <c r="M37" s="15">
        <v>2022</v>
      </c>
      <c r="N37" s="29" t="s">
        <v>28</v>
      </c>
      <c r="O37" s="29">
        <v>20</v>
      </c>
      <c r="P37" s="29" t="s">
        <v>24</v>
      </c>
      <c r="Q37" s="29">
        <v>0</v>
      </c>
      <c r="R37" s="29">
        <v>80</v>
      </c>
      <c r="S37" s="29">
        <v>0.4</v>
      </c>
      <c r="T37" s="29">
        <v>0.1</v>
      </c>
      <c r="U37" s="29">
        <v>0</v>
      </c>
    </row>
    <row r="38" spans="1:21" x14ac:dyDescent="0.2">
      <c r="A38" s="15" t="s">
        <v>64</v>
      </c>
      <c r="B38" s="15" t="s">
        <v>160</v>
      </c>
      <c r="C38" s="15" t="s">
        <v>66</v>
      </c>
      <c r="D38" s="15" t="s">
        <v>186</v>
      </c>
      <c r="E38" s="15" t="s">
        <v>187</v>
      </c>
      <c r="F38" s="15" t="s">
        <v>188</v>
      </c>
      <c r="G38" s="15" t="s">
        <v>71</v>
      </c>
      <c r="H38" s="15" t="s">
        <v>22</v>
      </c>
      <c r="I38" s="15" t="s">
        <v>67</v>
      </c>
      <c r="J38" s="15" t="s">
        <v>65</v>
      </c>
      <c r="K38" s="29">
        <v>0.5</v>
      </c>
      <c r="L38" s="29" t="s">
        <v>29</v>
      </c>
      <c r="M38" s="15">
        <v>2022</v>
      </c>
      <c r="N38" s="29" t="s">
        <v>28</v>
      </c>
      <c r="O38" s="29">
        <v>20</v>
      </c>
      <c r="P38" s="29" t="s">
        <v>24</v>
      </c>
      <c r="Q38" s="29">
        <v>0</v>
      </c>
      <c r="R38" s="29">
        <v>80</v>
      </c>
      <c r="S38" s="29">
        <v>0.4</v>
      </c>
      <c r="T38" s="29">
        <v>0.1</v>
      </c>
      <c r="U38" s="29">
        <v>0</v>
      </c>
    </row>
    <row r="39" spans="1:21" x14ac:dyDescent="0.2">
      <c r="A39" s="15" t="s">
        <v>269</v>
      </c>
      <c r="B39" s="15" t="s">
        <v>270</v>
      </c>
      <c r="C39" s="15" t="s">
        <v>271</v>
      </c>
      <c r="D39" s="15" t="s">
        <v>272</v>
      </c>
      <c r="E39" s="15" t="s">
        <v>273</v>
      </c>
      <c r="F39" s="15" t="s">
        <v>274</v>
      </c>
      <c r="G39" s="15" t="s">
        <v>56</v>
      </c>
      <c r="H39" s="15" t="s">
        <v>275</v>
      </c>
      <c r="I39" s="15" t="s">
        <v>29</v>
      </c>
      <c r="J39" s="15" t="s">
        <v>276</v>
      </c>
      <c r="K39" s="15">
        <v>0.5</v>
      </c>
      <c r="L39" s="15" t="s">
        <v>29</v>
      </c>
      <c r="M39" s="15">
        <v>2023</v>
      </c>
      <c r="N39" s="15" t="s">
        <v>28</v>
      </c>
      <c r="O39" s="15" t="s">
        <v>26</v>
      </c>
      <c r="P39" s="15" t="s">
        <v>24</v>
      </c>
      <c r="Q39" s="15" t="s">
        <v>24</v>
      </c>
      <c r="R39" s="15">
        <v>80</v>
      </c>
      <c r="S39" s="15">
        <v>0.4</v>
      </c>
      <c r="T39" s="15">
        <v>0.1</v>
      </c>
      <c r="U39" s="15">
        <v>0</v>
      </c>
    </row>
    <row r="40" spans="1:21" x14ac:dyDescent="0.2">
      <c r="A40" s="15" t="s">
        <v>269</v>
      </c>
      <c r="B40" s="15" t="s">
        <v>270</v>
      </c>
      <c r="C40" s="15" t="s">
        <v>271</v>
      </c>
      <c r="D40" s="15" t="s">
        <v>272</v>
      </c>
      <c r="E40" s="15" t="s">
        <v>273</v>
      </c>
      <c r="F40" s="15" t="s">
        <v>274</v>
      </c>
      <c r="G40" s="15" t="s">
        <v>58</v>
      </c>
      <c r="H40" s="15" t="s">
        <v>275</v>
      </c>
      <c r="I40" s="15" t="s">
        <v>29</v>
      </c>
      <c r="J40" s="15" t="s">
        <v>276</v>
      </c>
      <c r="K40" s="15">
        <v>0.5</v>
      </c>
      <c r="L40" s="15" t="s">
        <v>29</v>
      </c>
      <c r="M40" s="15">
        <v>2023</v>
      </c>
      <c r="N40" s="15" t="s">
        <v>28</v>
      </c>
      <c r="O40" s="15" t="s">
        <v>26</v>
      </c>
      <c r="P40" s="15" t="s">
        <v>24</v>
      </c>
      <c r="Q40" s="15" t="s">
        <v>24</v>
      </c>
      <c r="R40" s="15">
        <v>80</v>
      </c>
      <c r="S40" s="15">
        <v>0.4</v>
      </c>
      <c r="T40" s="15">
        <v>0.1</v>
      </c>
      <c r="U40" s="15">
        <v>0</v>
      </c>
    </row>
    <row r="41" spans="1:21" x14ac:dyDescent="0.2">
      <c r="A41" s="15" t="s">
        <v>277</v>
      </c>
      <c r="B41" s="15" t="s">
        <v>278</v>
      </c>
      <c r="C41" s="15" t="s">
        <v>279</v>
      </c>
      <c r="D41" s="15" t="s">
        <v>280</v>
      </c>
      <c r="E41" s="15" t="s">
        <v>281</v>
      </c>
      <c r="F41" s="15" t="s">
        <v>282</v>
      </c>
      <c r="G41" s="15" t="s">
        <v>185</v>
      </c>
      <c r="H41" s="15" t="s">
        <v>275</v>
      </c>
      <c r="I41" s="15" t="s">
        <v>29</v>
      </c>
      <c r="J41" s="15" t="s">
        <v>276</v>
      </c>
      <c r="K41" s="15">
        <v>0.5</v>
      </c>
      <c r="L41" s="15" t="s">
        <v>29</v>
      </c>
      <c r="M41" s="15">
        <v>2023</v>
      </c>
      <c r="N41" s="15" t="s">
        <v>24</v>
      </c>
      <c r="O41" s="15" t="s">
        <v>24</v>
      </c>
      <c r="P41" s="15" t="s">
        <v>24</v>
      </c>
      <c r="Q41" s="15" t="s">
        <v>24</v>
      </c>
      <c r="R41" s="15">
        <v>100</v>
      </c>
      <c r="S41" s="15">
        <v>0.5</v>
      </c>
      <c r="T41" s="15">
        <v>0</v>
      </c>
      <c r="U41" s="15">
        <v>0</v>
      </c>
    </row>
    <row r="42" spans="1:21" x14ac:dyDescent="0.2">
      <c r="A42" s="15" t="s">
        <v>277</v>
      </c>
      <c r="B42" s="15" t="s">
        <v>278</v>
      </c>
      <c r="C42" s="15" t="s">
        <v>279</v>
      </c>
      <c r="D42" s="15" t="s">
        <v>280</v>
      </c>
      <c r="E42" s="15" t="s">
        <v>281</v>
      </c>
      <c r="F42" s="15" t="s">
        <v>282</v>
      </c>
      <c r="G42" s="15" t="s">
        <v>48</v>
      </c>
      <c r="H42" s="15" t="s">
        <v>275</v>
      </c>
      <c r="I42" s="15" t="s">
        <v>29</v>
      </c>
      <c r="J42" s="15" t="s">
        <v>276</v>
      </c>
      <c r="K42" s="15">
        <v>0.5</v>
      </c>
      <c r="L42" s="15" t="s">
        <v>29</v>
      </c>
      <c r="M42" s="15">
        <v>2023</v>
      </c>
      <c r="N42" s="15" t="s">
        <v>24</v>
      </c>
      <c r="O42" s="15" t="s">
        <v>24</v>
      </c>
      <c r="P42" s="15" t="s">
        <v>24</v>
      </c>
      <c r="Q42" s="15" t="s">
        <v>24</v>
      </c>
      <c r="R42" s="15">
        <v>100</v>
      </c>
      <c r="S42" s="15">
        <v>0.5</v>
      </c>
      <c r="T42" s="15">
        <v>0</v>
      </c>
      <c r="U42" s="15">
        <v>0</v>
      </c>
    </row>
    <row r="43" spans="1:21" x14ac:dyDescent="0.2">
      <c r="A43" s="15" t="s">
        <v>277</v>
      </c>
      <c r="B43" s="15" t="s">
        <v>278</v>
      </c>
      <c r="C43" s="15" t="s">
        <v>279</v>
      </c>
      <c r="D43" s="15" t="s">
        <v>283</v>
      </c>
      <c r="E43" s="15" t="s">
        <v>284</v>
      </c>
      <c r="F43" s="15" t="s">
        <v>285</v>
      </c>
      <c r="G43" s="15" t="s">
        <v>46</v>
      </c>
      <c r="H43" s="15" t="s">
        <v>275</v>
      </c>
      <c r="I43" s="15" t="s">
        <v>29</v>
      </c>
      <c r="J43" s="15" t="s">
        <v>276</v>
      </c>
      <c r="K43" s="15">
        <v>0.5</v>
      </c>
      <c r="L43" s="15" t="s">
        <v>29</v>
      </c>
      <c r="M43" s="15">
        <v>2023</v>
      </c>
      <c r="N43" s="15" t="s">
        <v>28</v>
      </c>
      <c r="O43" s="15" t="s">
        <v>23</v>
      </c>
      <c r="P43" s="15" t="s">
        <v>24</v>
      </c>
      <c r="Q43" s="15" t="s">
        <v>24</v>
      </c>
      <c r="R43" s="15">
        <v>50</v>
      </c>
      <c r="S43" s="15">
        <v>0.25</v>
      </c>
      <c r="T43" s="15">
        <v>0.25</v>
      </c>
      <c r="U43" s="15">
        <v>0</v>
      </c>
    </row>
    <row r="44" spans="1:21" x14ac:dyDescent="0.2">
      <c r="A44" s="15" t="s">
        <v>277</v>
      </c>
      <c r="B44" s="15" t="s">
        <v>278</v>
      </c>
      <c r="C44" s="15" t="s">
        <v>279</v>
      </c>
      <c r="D44" s="15" t="s">
        <v>286</v>
      </c>
      <c r="E44" s="15" t="s">
        <v>287</v>
      </c>
      <c r="F44" s="15" t="s">
        <v>288</v>
      </c>
      <c r="G44" s="15" t="s">
        <v>54</v>
      </c>
      <c r="H44" s="15" t="s">
        <v>289</v>
      </c>
      <c r="I44" s="15" t="s">
        <v>29</v>
      </c>
      <c r="J44" s="15" t="s">
        <v>276</v>
      </c>
      <c r="K44" s="15">
        <v>1</v>
      </c>
      <c r="L44" s="15" t="s">
        <v>29</v>
      </c>
      <c r="M44" s="15">
        <v>2023</v>
      </c>
      <c r="N44" s="15" t="s">
        <v>28</v>
      </c>
      <c r="O44" s="15" t="s">
        <v>26</v>
      </c>
      <c r="P44" s="15" t="s">
        <v>24</v>
      </c>
      <c r="Q44" s="15" t="s">
        <v>24</v>
      </c>
      <c r="R44" s="15">
        <v>80</v>
      </c>
      <c r="S44" s="15">
        <v>0.8</v>
      </c>
      <c r="T44" s="15">
        <v>0.2</v>
      </c>
      <c r="U44" s="15">
        <v>0</v>
      </c>
    </row>
    <row r="45" spans="1:21" x14ac:dyDescent="0.2">
      <c r="A45" s="15" t="s">
        <v>277</v>
      </c>
      <c r="B45" s="15" t="s">
        <v>278</v>
      </c>
      <c r="C45" s="15" t="s">
        <v>279</v>
      </c>
      <c r="D45" s="15" t="s">
        <v>290</v>
      </c>
      <c r="E45" s="15" t="s">
        <v>291</v>
      </c>
      <c r="F45" s="15" t="s">
        <v>292</v>
      </c>
      <c r="G45" s="15" t="s">
        <v>49</v>
      </c>
      <c r="H45" s="15" t="s">
        <v>289</v>
      </c>
      <c r="I45" s="15" t="s">
        <v>29</v>
      </c>
      <c r="J45" s="15" t="s">
        <v>276</v>
      </c>
      <c r="K45" s="15">
        <v>1</v>
      </c>
      <c r="L45" s="15" t="s">
        <v>29</v>
      </c>
      <c r="M45" s="15">
        <v>2023</v>
      </c>
      <c r="N45" s="15" t="s">
        <v>28</v>
      </c>
      <c r="O45" s="15" t="s">
        <v>27</v>
      </c>
      <c r="P45" s="15" t="s">
        <v>24</v>
      </c>
      <c r="Q45" s="15" t="s">
        <v>24</v>
      </c>
      <c r="R45" s="15">
        <v>60</v>
      </c>
      <c r="S45" s="15">
        <v>0.6</v>
      </c>
      <c r="T45" s="15">
        <v>0.4</v>
      </c>
      <c r="U45" s="15">
        <v>0</v>
      </c>
    </row>
    <row r="46" spans="1:21" x14ac:dyDescent="0.2">
      <c r="A46" s="15" t="s">
        <v>277</v>
      </c>
      <c r="B46" s="15" t="s">
        <v>278</v>
      </c>
      <c r="C46" s="15" t="s">
        <v>279</v>
      </c>
      <c r="D46" s="15" t="s">
        <v>293</v>
      </c>
      <c r="E46" s="15" t="s">
        <v>294</v>
      </c>
      <c r="F46" s="15" t="s">
        <v>295</v>
      </c>
      <c r="G46" s="15" t="s">
        <v>47</v>
      </c>
      <c r="H46" s="15" t="s">
        <v>275</v>
      </c>
      <c r="I46" s="15" t="s">
        <v>29</v>
      </c>
      <c r="J46" s="15" t="s">
        <v>276</v>
      </c>
      <c r="K46" s="15">
        <v>0.5</v>
      </c>
      <c r="L46" s="15" t="s">
        <v>29</v>
      </c>
      <c r="M46" s="15">
        <v>2023</v>
      </c>
      <c r="N46" s="15" t="s">
        <v>28</v>
      </c>
      <c r="O46" s="15" t="s">
        <v>27</v>
      </c>
      <c r="P46" s="15" t="s">
        <v>24</v>
      </c>
      <c r="Q46" s="15" t="s">
        <v>24</v>
      </c>
      <c r="R46" s="15">
        <v>60</v>
      </c>
      <c r="S46" s="15">
        <v>0.3</v>
      </c>
      <c r="T46" s="15">
        <v>0.2</v>
      </c>
      <c r="U46" s="15">
        <v>0</v>
      </c>
    </row>
    <row r="47" spans="1:21" x14ac:dyDescent="0.2">
      <c r="A47" s="15" t="s">
        <v>277</v>
      </c>
      <c r="B47" s="15" t="s">
        <v>369</v>
      </c>
      <c r="C47" s="15" t="s">
        <v>279</v>
      </c>
      <c r="D47" s="15" t="s">
        <v>370</v>
      </c>
      <c r="E47" s="15" t="s">
        <v>371</v>
      </c>
      <c r="F47" s="15" t="s">
        <v>372</v>
      </c>
      <c r="G47" s="15" t="s">
        <v>373</v>
      </c>
      <c r="H47" s="15" t="s">
        <v>275</v>
      </c>
      <c r="I47" s="15" t="s">
        <v>29</v>
      </c>
      <c r="J47" s="15" t="s">
        <v>374</v>
      </c>
      <c r="K47" s="15">
        <v>0.5</v>
      </c>
      <c r="L47" s="15" t="s">
        <v>29</v>
      </c>
      <c r="M47" s="15">
        <v>2024</v>
      </c>
      <c r="N47" s="15" t="s">
        <v>28</v>
      </c>
      <c r="O47" s="15" t="s">
        <v>26</v>
      </c>
      <c r="P47" s="15" t="s">
        <v>24</v>
      </c>
      <c r="Q47" s="15" t="s">
        <v>24</v>
      </c>
      <c r="R47" s="15">
        <v>80</v>
      </c>
      <c r="S47" s="15">
        <v>0.4</v>
      </c>
      <c r="T47" s="15">
        <v>0.1</v>
      </c>
      <c r="U47" s="15">
        <v>0</v>
      </c>
    </row>
    <row r="48" spans="1:21" x14ac:dyDescent="0.2">
      <c r="A48" s="15" t="s">
        <v>277</v>
      </c>
      <c r="B48" s="15" t="s">
        <v>369</v>
      </c>
      <c r="C48" s="15" t="s">
        <v>279</v>
      </c>
      <c r="D48" s="15" t="s">
        <v>370</v>
      </c>
      <c r="E48" s="15" t="s">
        <v>371</v>
      </c>
      <c r="F48" s="15" t="s">
        <v>372</v>
      </c>
      <c r="G48" s="15" t="s">
        <v>55</v>
      </c>
      <c r="H48" s="15" t="s">
        <v>275</v>
      </c>
      <c r="I48" s="15" t="s">
        <v>29</v>
      </c>
      <c r="J48" s="15" t="s">
        <v>374</v>
      </c>
      <c r="K48" s="15">
        <v>0.5</v>
      </c>
      <c r="L48" s="15" t="s">
        <v>29</v>
      </c>
      <c r="M48" s="15">
        <v>2024</v>
      </c>
      <c r="N48" s="15" t="s">
        <v>28</v>
      </c>
      <c r="O48" s="15" t="s">
        <v>26</v>
      </c>
      <c r="P48" s="15" t="s">
        <v>24</v>
      </c>
      <c r="Q48" s="15" t="s">
        <v>24</v>
      </c>
      <c r="R48" s="15">
        <v>80</v>
      </c>
      <c r="S48" s="15">
        <v>0.4</v>
      </c>
      <c r="T48" s="15">
        <v>0.1</v>
      </c>
      <c r="U48" s="15">
        <v>0</v>
      </c>
    </row>
    <row r="49" spans="1:21" x14ac:dyDescent="0.2">
      <c r="A49" s="15" t="s">
        <v>277</v>
      </c>
      <c r="B49" s="15" t="s">
        <v>369</v>
      </c>
      <c r="C49" s="15" t="s">
        <v>279</v>
      </c>
      <c r="D49" s="15" t="s">
        <v>375</v>
      </c>
      <c r="E49" s="15" t="s">
        <v>376</v>
      </c>
      <c r="F49" s="15" t="s">
        <v>377</v>
      </c>
      <c r="G49" s="15" t="s">
        <v>46</v>
      </c>
      <c r="H49" s="15" t="s">
        <v>275</v>
      </c>
      <c r="I49" s="15" t="s">
        <v>29</v>
      </c>
      <c r="J49" s="15" t="s">
        <v>374</v>
      </c>
      <c r="K49" s="15">
        <v>0.5</v>
      </c>
      <c r="L49" s="15" t="s">
        <v>29</v>
      </c>
      <c r="M49" s="15">
        <v>2024</v>
      </c>
      <c r="N49" s="15" t="s">
        <v>28</v>
      </c>
      <c r="O49" s="15" t="s">
        <v>23</v>
      </c>
      <c r="P49" s="15" t="s">
        <v>24</v>
      </c>
      <c r="Q49" s="15" t="s">
        <v>24</v>
      </c>
      <c r="R49" s="15">
        <v>50</v>
      </c>
      <c r="S49" s="15">
        <v>0.25</v>
      </c>
      <c r="T49" s="15">
        <v>0.25</v>
      </c>
      <c r="U49" s="15">
        <v>0</v>
      </c>
    </row>
    <row r="50" spans="1:21" x14ac:dyDescent="0.2">
      <c r="A50" s="15" t="s">
        <v>277</v>
      </c>
      <c r="B50" s="15" t="s">
        <v>369</v>
      </c>
      <c r="C50" s="15" t="s">
        <v>279</v>
      </c>
      <c r="D50" s="15" t="s">
        <v>378</v>
      </c>
      <c r="E50" s="15" t="s">
        <v>379</v>
      </c>
      <c r="F50" s="15" t="s">
        <v>380</v>
      </c>
      <c r="G50" s="15" t="s">
        <v>46</v>
      </c>
      <c r="H50" s="15" t="s">
        <v>275</v>
      </c>
      <c r="I50" s="15" t="s">
        <v>29</v>
      </c>
      <c r="J50" s="15" t="s">
        <v>374</v>
      </c>
      <c r="K50" s="15">
        <v>0.5</v>
      </c>
      <c r="L50" s="15" t="s">
        <v>29</v>
      </c>
      <c r="M50" s="15">
        <v>2024</v>
      </c>
      <c r="N50" s="15" t="s">
        <v>28</v>
      </c>
      <c r="O50" s="15" t="s">
        <v>23</v>
      </c>
      <c r="P50" s="15" t="s">
        <v>24</v>
      </c>
      <c r="Q50" s="15" t="s">
        <v>24</v>
      </c>
      <c r="R50" s="15">
        <v>50</v>
      </c>
      <c r="S50" s="15">
        <v>0.25</v>
      </c>
      <c r="T50" s="15">
        <v>0.25</v>
      </c>
      <c r="U50" s="15">
        <v>0</v>
      </c>
    </row>
    <row r="51" spans="1:21" x14ac:dyDescent="0.2">
      <c r="A51" s="15" t="s">
        <v>277</v>
      </c>
      <c r="B51" s="15" t="s">
        <v>369</v>
      </c>
      <c r="C51" s="15" t="s">
        <v>279</v>
      </c>
      <c r="D51" s="15" t="s">
        <v>381</v>
      </c>
      <c r="E51" s="15" t="s">
        <v>382</v>
      </c>
      <c r="F51" s="15" t="s">
        <v>383</v>
      </c>
      <c r="G51" s="15" t="s">
        <v>59</v>
      </c>
      <c r="H51" s="15" t="s">
        <v>289</v>
      </c>
      <c r="I51" s="15" t="s">
        <v>29</v>
      </c>
      <c r="J51" s="15" t="s">
        <v>374</v>
      </c>
      <c r="K51" s="15">
        <v>1</v>
      </c>
      <c r="L51" s="15" t="s">
        <v>29</v>
      </c>
      <c r="M51" s="15">
        <v>2024</v>
      </c>
      <c r="N51" s="15" t="s">
        <v>28</v>
      </c>
      <c r="O51" s="15" t="s">
        <v>26</v>
      </c>
      <c r="P51" s="15" t="s">
        <v>24</v>
      </c>
      <c r="Q51" s="15" t="s">
        <v>24</v>
      </c>
      <c r="R51" s="15">
        <v>80</v>
      </c>
      <c r="S51" s="15">
        <v>0.8</v>
      </c>
      <c r="T51" s="15">
        <v>0.2</v>
      </c>
      <c r="U51" s="15">
        <v>0</v>
      </c>
    </row>
    <row r="52" spans="1:21" x14ac:dyDescent="0.2">
      <c r="A52" s="15" t="s">
        <v>277</v>
      </c>
      <c r="B52" s="15" t="s">
        <v>369</v>
      </c>
      <c r="C52" s="15" t="s">
        <v>279</v>
      </c>
      <c r="D52" s="15" t="s">
        <v>384</v>
      </c>
      <c r="E52" s="15" t="s">
        <v>385</v>
      </c>
      <c r="F52" s="15" t="s">
        <v>386</v>
      </c>
      <c r="G52" s="15" t="s">
        <v>46</v>
      </c>
      <c r="H52" s="15" t="s">
        <v>275</v>
      </c>
      <c r="I52" s="15" t="s">
        <v>29</v>
      </c>
      <c r="J52" s="15" t="s">
        <v>374</v>
      </c>
      <c r="K52" s="15">
        <v>0.5</v>
      </c>
      <c r="L52" s="15" t="s">
        <v>29</v>
      </c>
      <c r="M52" s="15">
        <v>2024</v>
      </c>
      <c r="N52" s="15" t="s">
        <v>28</v>
      </c>
      <c r="O52" s="15" t="s">
        <v>23</v>
      </c>
      <c r="P52" s="15" t="s">
        <v>24</v>
      </c>
      <c r="Q52" s="15" t="s">
        <v>24</v>
      </c>
      <c r="R52" s="15">
        <v>50</v>
      </c>
      <c r="S52" s="15">
        <v>0.25</v>
      </c>
      <c r="T52" s="15">
        <v>0.25</v>
      </c>
      <c r="U52" s="15">
        <v>0</v>
      </c>
    </row>
    <row r="53" spans="1:21" x14ac:dyDescent="0.2">
      <c r="A53" s="15" t="s">
        <v>277</v>
      </c>
      <c r="B53" s="15" t="s">
        <v>369</v>
      </c>
      <c r="C53" s="15" t="s">
        <v>279</v>
      </c>
      <c r="D53" s="15" t="s">
        <v>387</v>
      </c>
      <c r="E53" s="15" t="s">
        <v>388</v>
      </c>
      <c r="F53" s="15" t="s">
        <v>389</v>
      </c>
      <c r="G53" s="15" t="s">
        <v>373</v>
      </c>
      <c r="H53" s="15" t="s">
        <v>275</v>
      </c>
      <c r="I53" s="15" t="s">
        <v>29</v>
      </c>
      <c r="J53" s="15" t="s">
        <v>374</v>
      </c>
      <c r="K53" s="15">
        <v>0.5</v>
      </c>
      <c r="L53" s="15" t="s">
        <v>29</v>
      </c>
      <c r="M53" s="15">
        <v>2024</v>
      </c>
      <c r="N53" s="15" t="s">
        <v>28</v>
      </c>
      <c r="O53" s="15" t="s">
        <v>26</v>
      </c>
      <c r="P53" s="15" t="s">
        <v>24</v>
      </c>
      <c r="Q53" s="15" t="s">
        <v>24</v>
      </c>
      <c r="R53" s="15">
        <v>80</v>
      </c>
      <c r="S53" s="15">
        <v>0.4</v>
      </c>
      <c r="T53" s="15">
        <v>0.1</v>
      </c>
      <c r="U53" s="15">
        <v>0</v>
      </c>
    </row>
    <row r="54" spans="1:21" x14ac:dyDescent="0.2">
      <c r="A54" s="15" t="s">
        <v>277</v>
      </c>
      <c r="B54" s="15" t="s">
        <v>369</v>
      </c>
      <c r="C54" s="15" t="s">
        <v>279</v>
      </c>
      <c r="D54" s="15" t="s">
        <v>387</v>
      </c>
      <c r="E54" s="15" t="s">
        <v>388</v>
      </c>
      <c r="F54" s="15" t="s">
        <v>389</v>
      </c>
      <c r="G54" s="15" t="s">
        <v>58</v>
      </c>
      <c r="H54" s="15" t="s">
        <v>275</v>
      </c>
      <c r="I54" s="15" t="s">
        <v>29</v>
      </c>
      <c r="J54" s="15" t="s">
        <v>374</v>
      </c>
      <c r="K54" s="15">
        <v>0.5</v>
      </c>
      <c r="L54" s="15" t="s">
        <v>29</v>
      </c>
      <c r="M54" s="15">
        <v>2024</v>
      </c>
      <c r="N54" s="15" t="s">
        <v>28</v>
      </c>
      <c r="O54" s="15" t="s">
        <v>26</v>
      </c>
      <c r="P54" s="15" t="s">
        <v>24</v>
      </c>
      <c r="Q54" s="15" t="s">
        <v>24</v>
      </c>
      <c r="R54" s="15">
        <v>80</v>
      </c>
      <c r="S54" s="15">
        <v>0.4</v>
      </c>
      <c r="T54" s="15">
        <v>0.1</v>
      </c>
      <c r="U54" s="15">
        <v>0</v>
      </c>
    </row>
    <row r="55" spans="1:21" x14ac:dyDescent="0.2">
      <c r="A55" s="15" t="s">
        <v>277</v>
      </c>
      <c r="B55" s="15" t="s">
        <v>369</v>
      </c>
      <c r="C55" s="15" t="s">
        <v>279</v>
      </c>
      <c r="D55" s="15" t="s">
        <v>390</v>
      </c>
      <c r="E55" s="15" t="s">
        <v>391</v>
      </c>
      <c r="F55" s="15" t="s">
        <v>392</v>
      </c>
      <c r="G55" s="15" t="s">
        <v>50</v>
      </c>
      <c r="H55" s="15" t="s">
        <v>275</v>
      </c>
      <c r="I55" s="15" t="s">
        <v>29</v>
      </c>
      <c r="J55" s="15" t="s">
        <v>374</v>
      </c>
      <c r="K55" s="15">
        <v>0.5</v>
      </c>
      <c r="L55" s="15" t="s">
        <v>29</v>
      </c>
      <c r="M55" s="15">
        <v>2024</v>
      </c>
      <c r="N55" s="15" t="s">
        <v>28</v>
      </c>
      <c r="O55" s="15" t="s">
        <v>23</v>
      </c>
      <c r="P55" s="15" t="s">
        <v>24</v>
      </c>
      <c r="Q55" s="15" t="s">
        <v>24</v>
      </c>
      <c r="R55" s="15">
        <v>50</v>
      </c>
      <c r="S55" s="15">
        <v>0.25</v>
      </c>
      <c r="T55" s="15">
        <v>0.25</v>
      </c>
      <c r="U55" s="15">
        <v>0</v>
      </c>
    </row>
    <row r="56" spans="1:21" x14ac:dyDescent="0.2">
      <c r="A56" s="15" t="s">
        <v>277</v>
      </c>
      <c r="B56" s="15" t="s">
        <v>369</v>
      </c>
      <c r="C56" s="15" t="s">
        <v>279</v>
      </c>
      <c r="D56" s="15" t="s">
        <v>390</v>
      </c>
      <c r="E56" s="15" t="s">
        <v>391</v>
      </c>
      <c r="F56" s="15" t="s">
        <v>392</v>
      </c>
      <c r="G56" s="15" t="s">
        <v>57</v>
      </c>
      <c r="H56" s="15" t="s">
        <v>275</v>
      </c>
      <c r="I56" s="15" t="s">
        <v>29</v>
      </c>
      <c r="J56" s="15" t="s">
        <v>374</v>
      </c>
      <c r="K56" s="15">
        <v>0.5</v>
      </c>
      <c r="L56" s="15" t="s">
        <v>29</v>
      </c>
      <c r="M56" s="15">
        <v>2024</v>
      </c>
      <c r="N56" s="15" t="s">
        <v>28</v>
      </c>
      <c r="O56" s="15" t="s">
        <v>23</v>
      </c>
      <c r="P56" s="15" t="s">
        <v>24</v>
      </c>
      <c r="Q56" s="15" t="s">
        <v>24</v>
      </c>
      <c r="R56" s="15">
        <v>50</v>
      </c>
      <c r="S56" s="15">
        <v>0.25</v>
      </c>
      <c r="T56" s="15">
        <v>0.25</v>
      </c>
      <c r="U56" s="15">
        <v>0</v>
      </c>
    </row>
    <row r="57" spans="1:21" x14ac:dyDescent="0.2">
      <c r="A57" s="15" t="s">
        <v>277</v>
      </c>
      <c r="B57" s="15" t="s">
        <v>369</v>
      </c>
      <c r="C57" s="15" t="s">
        <v>279</v>
      </c>
      <c r="D57" s="15" t="s">
        <v>393</v>
      </c>
      <c r="E57" s="15" t="s">
        <v>394</v>
      </c>
      <c r="F57" s="15" t="s">
        <v>395</v>
      </c>
      <c r="G57" s="15" t="s">
        <v>45</v>
      </c>
      <c r="H57" s="15" t="s">
        <v>275</v>
      </c>
      <c r="I57" s="15" t="s">
        <v>29</v>
      </c>
      <c r="J57" s="15" t="s">
        <v>374</v>
      </c>
      <c r="K57" s="15">
        <v>0.5</v>
      </c>
      <c r="L57" s="15" t="s">
        <v>29</v>
      </c>
      <c r="M57" s="15">
        <v>2024</v>
      </c>
      <c r="N57" s="15" t="s">
        <v>28</v>
      </c>
      <c r="O57" s="15" t="s">
        <v>23</v>
      </c>
      <c r="P57" s="15" t="s">
        <v>24</v>
      </c>
      <c r="Q57" s="15" t="s">
        <v>24</v>
      </c>
      <c r="R57" s="15">
        <v>50</v>
      </c>
      <c r="S57" s="15">
        <v>0.25</v>
      </c>
      <c r="T57" s="15">
        <v>0.25</v>
      </c>
      <c r="U57" s="15">
        <v>0</v>
      </c>
    </row>
    <row r="58" spans="1:21" x14ac:dyDescent="0.2">
      <c r="A58" s="15" t="s">
        <v>277</v>
      </c>
      <c r="B58" s="15" t="s">
        <v>369</v>
      </c>
      <c r="C58" s="15" t="s">
        <v>279</v>
      </c>
      <c r="D58" s="15" t="s">
        <v>393</v>
      </c>
      <c r="E58" s="15" t="s">
        <v>394</v>
      </c>
      <c r="F58" s="15" t="s">
        <v>395</v>
      </c>
      <c r="G58" s="15" t="s">
        <v>51</v>
      </c>
      <c r="H58" s="15" t="s">
        <v>275</v>
      </c>
      <c r="I58" s="15" t="s">
        <v>29</v>
      </c>
      <c r="J58" s="15" t="s">
        <v>374</v>
      </c>
      <c r="K58" s="15">
        <v>0.5</v>
      </c>
      <c r="L58" s="15" t="s">
        <v>29</v>
      </c>
      <c r="M58" s="15">
        <v>2024</v>
      </c>
      <c r="N58" s="15" t="s">
        <v>28</v>
      </c>
      <c r="O58" s="15" t="s">
        <v>23</v>
      </c>
      <c r="P58" s="15" t="s">
        <v>24</v>
      </c>
      <c r="Q58" s="15" t="s">
        <v>24</v>
      </c>
      <c r="R58" s="15">
        <v>50</v>
      </c>
      <c r="S58" s="15">
        <v>0.25</v>
      </c>
      <c r="T58" s="15">
        <v>0.25</v>
      </c>
      <c r="U58" s="15">
        <v>0</v>
      </c>
    </row>
    <row r="59" spans="1:21" x14ac:dyDescent="0.2">
      <c r="A59" s="15" t="s">
        <v>396</v>
      </c>
      <c r="B59" s="15" t="s">
        <v>397</v>
      </c>
      <c r="C59" s="15" t="s">
        <v>279</v>
      </c>
      <c r="D59" s="15" t="s">
        <v>398</v>
      </c>
      <c r="E59" s="15" t="s">
        <v>399</v>
      </c>
      <c r="F59" s="15" t="s">
        <v>400</v>
      </c>
      <c r="G59" s="15" t="s">
        <v>52</v>
      </c>
      <c r="H59" s="15" t="s">
        <v>289</v>
      </c>
      <c r="I59" s="15" t="s">
        <v>29</v>
      </c>
      <c r="J59" s="15" t="s">
        <v>374</v>
      </c>
      <c r="K59" s="15">
        <v>1</v>
      </c>
      <c r="L59" s="15" t="s">
        <v>29</v>
      </c>
      <c r="M59" s="15">
        <v>2024</v>
      </c>
      <c r="N59" s="15" t="s">
        <v>24</v>
      </c>
      <c r="O59" s="15" t="s">
        <v>24</v>
      </c>
      <c r="P59" s="15" t="s">
        <v>24</v>
      </c>
      <c r="Q59" s="15" t="s">
        <v>24</v>
      </c>
      <c r="R59" s="15">
        <v>100</v>
      </c>
      <c r="S59" s="15">
        <v>1</v>
      </c>
      <c r="T59" s="15">
        <v>0</v>
      </c>
      <c r="U59" s="15">
        <v>0</v>
      </c>
    </row>
    <row r="60" spans="1:21" x14ac:dyDescent="0.2">
      <c r="A60" s="2"/>
      <c r="B60" s="2"/>
      <c r="C60" s="2"/>
      <c r="D60" s="2"/>
      <c r="E60" s="2"/>
      <c r="F60" s="2"/>
      <c r="G60" s="2"/>
      <c r="H60" s="2"/>
      <c r="I60" s="2"/>
      <c r="J60" s="2"/>
      <c r="K60" s="2"/>
      <c r="L60" s="2"/>
      <c r="M60" s="2"/>
      <c r="N60" s="2"/>
      <c r="O60" s="2"/>
      <c r="P60" s="2"/>
      <c r="Q60" s="2"/>
      <c r="R60" s="2"/>
      <c r="S60" s="37">
        <f>SUM(S2:S59)</f>
        <v>24.03</v>
      </c>
      <c r="T60" s="2"/>
      <c r="U60" s="2"/>
    </row>
  </sheetData>
  <autoFilter ref="A1:U1" xr:uid="{00000000-0009-0000-0000-000000000000}">
    <sortState xmlns:xlrd2="http://schemas.microsoft.com/office/spreadsheetml/2017/richdata2" ref="A2:S1850">
      <sortCondition ref="K2:K1850"/>
      <sortCondition ref="D2:D1850"/>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2"/>
  <sheetViews>
    <sheetView zoomScaleNormal="100" workbookViewId="0">
      <selection activeCell="P31" sqref="P31"/>
    </sheetView>
  </sheetViews>
  <sheetFormatPr baseColWidth="10" defaultColWidth="11.42578125" defaultRowHeight="12.75" x14ac:dyDescent="0.2"/>
  <cols>
    <col min="1" max="1" width="10.5703125" style="10" bestFit="1" customWidth="1"/>
    <col min="2" max="2" width="40.140625" style="10" bestFit="1" customWidth="1"/>
    <col min="3" max="3" width="14.5703125" style="10" bestFit="1" customWidth="1"/>
    <col min="4" max="9" width="3.28515625" style="10" bestFit="1" customWidth="1"/>
    <col min="10" max="10" width="13.140625" style="10" bestFit="1" customWidth="1"/>
    <col min="11" max="11" width="5.28515625" style="10" bestFit="1" customWidth="1"/>
    <col min="12" max="13" width="5.7109375" style="10" bestFit="1" customWidth="1"/>
    <col min="14" max="14" width="5.7109375" style="11" bestFit="1" customWidth="1"/>
    <col min="15" max="15" width="5.7109375" style="10" bestFit="1" customWidth="1"/>
    <col min="16" max="16" width="5.7109375" style="11" bestFit="1" customWidth="1"/>
    <col min="17" max="19" width="5.7109375" style="10" bestFit="1" customWidth="1"/>
    <col min="20" max="16384" width="11.42578125" style="10"/>
  </cols>
  <sheetData>
    <row r="1" spans="1:19" ht="30" x14ac:dyDescent="0.2">
      <c r="A1" s="12" t="s">
        <v>30</v>
      </c>
      <c r="B1" s="12" t="s">
        <v>31</v>
      </c>
      <c r="C1" s="12" t="s">
        <v>32</v>
      </c>
      <c r="D1" s="13" t="s">
        <v>401</v>
      </c>
      <c r="E1" s="13" t="s">
        <v>402</v>
      </c>
      <c r="F1" s="13" t="s">
        <v>403</v>
      </c>
      <c r="G1" s="13" t="s">
        <v>404</v>
      </c>
      <c r="H1" s="13" t="s">
        <v>405</v>
      </c>
      <c r="I1" s="13" t="s">
        <v>406</v>
      </c>
      <c r="J1" s="12" t="s">
        <v>33</v>
      </c>
      <c r="K1" s="14" t="s">
        <v>62</v>
      </c>
      <c r="L1" s="8" t="s">
        <v>34</v>
      </c>
      <c r="M1" s="8" t="s">
        <v>35</v>
      </c>
      <c r="N1" s="8" t="s">
        <v>36</v>
      </c>
      <c r="O1" s="8" t="s">
        <v>37</v>
      </c>
      <c r="P1" s="9" t="s">
        <v>38</v>
      </c>
      <c r="Q1" s="9" t="s">
        <v>39</v>
      </c>
      <c r="R1" s="9" t="s">
        <v>40</v>
      </c>
      <c r="S1" s="9" t="s">
        <v>41</v>
      </c>
    </row>
    <row r="2" spans="1:19" s="40" customFormat="1" ht="11.25" x14ac:dyDescent="0.2">
      <c r="A2" s="38" t="s">
        <v>55</v>
      </c>
      <c r="B2" s="38" t="s">
        <v>407</v>
      </c>
      <c r="C2" s="38" t="s">
        <v>42</v>
      </c>
      <c r="D2" s="38"/>
      <c r="E2" s="38"/>
      <c r="F2" s="38"/>
      <c r="G2" s="38"/>
      <c r="H2" s="38"/>
      <c r="I2" s="38">
        <v>1</v>
      </c>
      <c r="J2" s="38">
        <v>1</v>
      </c>
      <c r="K2" s="38" t="s">
        <v>29</v>
      </c>
      <c r="L2" s="39" t="s">
        <v>28</v>
      </c>
      <c r="M2" s="39" t="s">
        <v>26</v>
      </c>
      <c r="N2" s="39" t="s">
        <v>24</v>
      </c>
      <c r="O2" s="39" t="s">
        <v>24</v>
      </c>
      <c r="P2" s="39">
        <v>80</v>
      </c>
      <c r="Q2" s="39">
        <v>0.2</v>
      </c>
      <c r="R2" s="39">
        <v>0</v>
      </c>
      <c r="S2" s="39">
        <v>0.8</v>
      </c>
    </row>
    <row r="3" spans="1:19" s="40" customFormat="1" ht="11.25" x14ac:dyDescent="0.2">
      <c r="A3" s="38" t="s">
        <v>49</v>
      </c>
      <c r="B3" s="38" t="s">
        <v>408</v>
      </c>
      <c r="C3" s="38" t="s">
        <v>42</v>
      </c>
      <c r="D3" s="38">
        <v>1</v>
      </c>
      <c r="E3" s="38"/>
      <c r="F3" s="38"/>
      <c r="G3" s="38"/>
      <c r="H3" s="38"/>
      <c r="I3" s="38"/>
      <c r="J3" s="38">
        <v>1</v>
      </c>
      <c r="K3" s="38" t="s">
        <v>29</v>
      </c>
      <c r="L3" s="39" t="s">
        <v>28</v>
      </c>
      <c r="M3" s="39" t="s">
        <v>27</v>
      </c>
      <c r="N3" s="39" t="s">
        <v>24</v>
      </c>
      <c r="O3" s="39" t="s">
        <v>24</v>
      </c>
      <c r="P3" s="39">
        <v>60</v>
      </c>
      <c r="Q3" s="39">
        <v>0.4</v>
      </c>
      <c r="R3" s="39">
        <v>0</v>
      </c>
      <c r="S3" s="39">
        <v>0.6</v>
      </c>
    </row>
    <row r="4" spans="1:19" s="40" customFormat="1" ht="11.25" x14ac:dyDescent="0.2">
      <c r="A4" s="38" t="s">
        <v>56</v>
      </c>
      <c r="B4" s="38" t="s">
        <v>409</v>
      </c>
      <c r="C4" s="38" t="s">
        <v>42</v>
      </c>
      <c r="D4" s="38"/>
      <c r="E4" s="38"/>
      <c r="F4" s="38"/>
      <c r="G4" s="38"/>
      <c r="H4" s="38"/>
      <c r="I4" s="38">
        <v>1</v>
      </c>
      <c r="J4" s="38">
        <v>1</v>
      </c>
      <c r="K4" s="38" t="s">
        <v>29</v>
      </c>
      <c r="L4" s="39" t="s">
        <v>28</v>
      </c>
      <c r="M4" s="39" t="s">
        <v>26</v>
      </c>
      <c r="N4" s="39" t="s">
        <v>24</v>
      </c>
      <c r="O4" s="39" t="s">
        <v>24</v>
      </c>
      <c r="P4" s="39">
        <v>80</v>
      </c>
      <c r="Q4" s="39">
        <v>0.2</v>
      </c>
      <c r="R4" s="39">
        <v>0</v>
      </c>
      <c r="S4" s="39">
        <v>0.8</v>
      </c>
    </row>
    <row r="5" spans="1:19" s="40" customFormat="1" ht="11.25" x14ac:dyDescent="0.2">
      <c r="A5" s="38" t="s">
        <v>45</v>
      </c>
      <c r="B5" s="38" t="s">
        <v>410</v>
      </c>
      <c r="C5" s="38" t="s">
        <v>42</v>
      </c>
      <c r="D5" s="38"/>
      <c r="E5" s="38"/>
      <c r="F5" s="38">
        <v>1</v>
      </c>
      <c r="G5" s="38"/>
      <c r="H5" s="38"/>
      <c r="I5" s="38"/>
      <c r="J5" s="38">
        <v>1</v>
      </c>
      <c r="K5" s="38" t="s">
        <v>29</v>
      </c>
      <c r="L5" s="39" t="s">
        <v>28</v>
      </c>
      <c r="M5" s="39" t="s">
        <v>23</v>
      </c>
      <c r="N5" s="39" t="s">
        <v>24</v>
      </c>
      <c r="O5" s="39" t="s">
        <v>24</v>
      </c>
      <c r="P5" s="39">
        <v>50</v>
      </c>
      <c r="Q5" s="39">
        <v>0.5</v>
      </c>
      <c r="R5" s="39">
        <v>0</v>
      </c>
      <c r="S5" s="39">
        <v>0.5</v>
      </c>
    </row>
    <row r="6" spans="1:19" s="40" customFormat="1" ht="11.25" x14ac:dyDescent="0.2">
      <c r="A6" s="29" t="s">
        <v>48</v>
      </c>
      <c r="B6" s="29" t="s">
        <v>411</v>
      </c>
      <c r="C6" s="41" t="s">
        <v>42</v>
      </c>
      <c r="D6" s="29"/>
      <c r="E6" s="29"/>
      <c r="F6" s="29">
        <v>1</v>
      </c>
      <c r="G6" s="29"/>
      <c r="H6" s="29"/>
      <c r="I6" s="29"/>
      <c r="J6" s="38">
        <v>1</v>
      </c>
      <c r="K6" s="38" t="s">
        <v>29</v>
      </c>
      <c r="L6" s="39">
        <v>0</v>
      </c>
      <c r="M6" s="39">
        <v>0</v>
      </c>
      <c r="N6" s="39" t="s">
        <v>24</v>
      </c>
      <c r="O6" s="39" t="s">
        <v>24</v>
      </c>
      <c r="P6" s="39">
        <v>100</v>
      </c>
      <c r="Q6" s="39">
        <v>0</v>
      </c>
      <c r="R6" s="39">
        <v>0</v>
      </c>
      <c r="S6" s="39">
        <v>1</v>
      </c>
    </row>
    <row r="7" spans="1:19" s="40" customFormat="1" ht="11.25" x14ac:dyDescent="0.2">
      <c r="A7" s="38" t="s">
        <v>59</v>
      </c>
      <c r="B7" s="38" t="s">
        <v>412</v>
      </c>
      <c r="C7" s="38" t="s">
        <v>42</v>
      </c>
      <c r="D7" s="38"/>
      <c r="E7" s="38"/>
      <c r="F7" s="38"/>
      <c r="G7" s="38">
        <v>1</v>
      </c>
      <c r="H7" s="38"/>
      <c r="I7" s="38"/>
      <c r="J7" s="38">
        <v>1</v>
      </c>
      <c r="K7" s="38" t="s">
        <v>29</v>
      </c>
      <c r="L7" s="39" t="s">
        <v>28</v>
      </c>
      <c r="M7" s="39" t="s">
        <v>26</v>
      </c>
      <c r="N7" s="39" t="s">
        <v>24</v>
      </c>
      <c r="O7" s="39" t="s">
        <v>24</v>
      </c>
      <c r="P7" s="39">
        <v>80</v>
      </c>
      <c r="Q7" s="39">
        <v>0.2</v>
      </c>
      <c r="R7" s="39">
        <v>0</v>
      </c>
      <c r="S7" s="39">
        <v>0.8</v>
      </c>
    </row>
    <row r="8" spans="1:19" s="40" customFormat="1" ht="11.25" x14ac:dyDescent="0.2">
      <c r="A8" s="38" t="s">
        <v>54</v>
      </c>
      <c r="B8" s="38" t="s">
        <v>413</v>
      </c>
      <c r="C8" s="38" t="s">
        <v>42</v>
      </c>
      <c r="D8" s="38">
        <v>3</v>
      </c>
      <c r="E8" s="38"/>
      <c r="F8" s="38"/>
      <c r="G8" s="38"/>
      <c r="H8" s="38">
        <v>1</v>
      </c>
      <c r="I8" s="38"/>
      <c r="J8" s="38">
        <v>4</v>
      </c>
      <c r="K8" s="38" t="s">
        <v>29</v>
      </c>
      <c r="L8" s="39" t="s">
        <v>28</v>
      </c>
      <c r="M8" s="39" t="s">
        <v>26</v>
      </c>
      <c r="N8" s="39" t="s">
        <v>24</v>
      </c>
      <c r="O8" s="39" t="s">
        <v>24</v>
      </c>
      <c r="P8" s="39">
        <v>80</v>
      </c>
      <c r="Q8" s="39">
        <v>0.8</v>
      </c>
      <c r="R8" s="39">
        <v>0</v>
      </c>
      <c r="S8" s="39">
        <v>3.2</v>
      </c>
    </row>
    <row r="9" spans="1:19" s="40" customFormat="1" ht="11.25" x14ac:dyDescent="0.2">
      <c r="A9" s="38" t="s">
        <v>58</v>
      </c>
      <c r="B9" s="38" t="s">
        <v>414</v>
      </c>
      <c r="C9" s="38" t="s">
        <v>42</v>
      </c>
      <c r="D9" s="38"/>
      <c r="E9" s="38"/>
      <c r="F9" s="38"/>
      <c r="G9" s="38">
        <v>1</v>
      </c>
      <c r="H9" s="38"/>
      <c r="I9" s="38"/>
      <c r="J9" s="38">
        <v>1</v>
      </c>
      <c r="K9" s="38" t="s">
        <v>29</v>
      </c>
      <c r="L9" s="39" t="s">
        <v>28</v>
      </c>
      <c r="M9" s="39" t="s">
        <v>26</v>
      </c>
      <c r="N9" s="39" t="s">
        <v>24</v>
      </c>
      <c r="O9" s="39" t="s">
        <v>24</v>
      </c>
      <c r="P9" s="39">
        <v>80</v>
      </c>
      <c r="Q9" s="39">
        <v>0.2</v>
      </c>
      <c r="R9" s="39">
        <v>0</v>
      </c>
      <c r="S9" s="39">
        <v>0.8</v>
      </c>
    </row>
    <row r="10" spans="1:19" s="40" customFormat="1" ht="11.25" x14ac:dyDescent="0.2">
      <c r="A10" s="38" t="s">
        <v>46</v>
      </c>
      <c r="B10" s="38" t="s">
        <v>415</v>
      </c>
      <c r="C10" s="38" t="s">
        <v>42</v>
      </c>
      <c r="D10" s="38"/>
      <c r="E10" s="38"/>
      <c r="F10" s="38"/>
      <c r="G10" s="38"/>
      <c r="H10" s="38"/>
      <c r="I10" s="38">
        <v>1</v>
      </c>
      <c r="J10" s="38">
        <v>1</v>
      </c>
      <c r="K10" s="38" t="s">
        <v>29</v>
      </c>
      <c r="L10" s="39" t="s">
        <v>28</v>
      </c>
      <c r="M10" s="39" t="s">
        <v>23</v>
      </c>
      <c r="N10" s="39" t="s">
        <v>24</v>
      </c>
      <c r="O10" s="39" t="s">
        <v>24</v>
      </c>
      <c r="P10" s="39">
        <v>50</v>
      </c>
      <c r="Q10" s="39">
        <v>0.5</v>
      </c>
      <c r="R10" s="39">
        <v>0</v>
      </c>
      <c r="S10" s="39">
        <v>0.5</v>
      </c>
    </row>
    <row r="11" spans="1:19" s="40" customFormat="1" ht="11.25" x14ac:dyDescent="0.2">
      <c r="A11" s="38" t="s">
        <v>57</v>
      </c>
      <c r="B11" s="38" t="s">
        <v>416</v>
      </c>
      <c r="C11" s="38" t="s">
        <v>42</v>
      </c>
      <c r="D11" s="38"/>
      <c r="E11" s="38">
        <v>1</v>
      </c>
      <c r="F11" s="38"/>
      <c r="G11" s="38"/>
      <c r="H11" s="38"/>
      <c r="I11" s="38"/>
      <c r="J11" s="38">
        <v>1</v>
      </c>
      <c r="K11" s="38" t="s">
        <v>29</v>
      </c>
      <c r="L11" s="39" t="s">
        <v>28</v>
      </c>
      <c r="M11" s="39" t="s">
        <v>23</v>
      </c>
      <c r="N11" s="39" t="s">
        <v>24</v>
      </c>
      <c r="O11" s="39" t="s">
        <v>24</v>
      </c>
      <c r="P11" s="39">
        <v>50</v>
      </c>
      <c r="Q11" s="39">
        <v>0.5</v>
      </c>
      <c r="R11" s="39">
        <v>0</v>
      </c>
      <c r="S11" s="39">
        <v>0.5</v>
      </c>
    </row>
    <row r="12" spans="1:19" s="40" customFormat="1" ht="11.25" x14ac:dyDescent="0.2">
      <c r="A12" s="38" t="s">
        <v>184</v>
      </c>
      <c r="B12" s="38" t="s">
        <v>417</v>
      </c>
      <c r="C12" s="38" t="s">
        <v>42</v>
      </c>
      <c r="D12" s="38"/>
      <c r="E12" s="38"/>
      <c r="F12" s="38">
        <v>1</v>
      </c>
      <c r="G12" s="38"/>
      <c r="H12" s="38"/>
      <c r="I12" s="38"/>
      <c r="J12" s="38">
        <v>1</v>
      </c>
      <c r="K12" s="38" t="s">
        <v>29</v>
      </c>
      <c r="L12" s="39" t="s">
        <v>28</v>
      </c>
      <c r="M12" s="39" t="s">
        <v>27</v>
      </c>
      <c r="N12" s="39" t="s">
        <v>24</v>
      </c>
      <c r="O12" s="39" t="s">
        <v>24</v>
      </c>
      <c r="P12" s="39">
        <v>60</v>
      </c>
      <c r="Q12" s="39">
        <v>0.4</v>
      </c>
      <c r="R12" s="39">
        <v>0</v>
      </c>
      <c r="S12" s="39">
        <v>0.6</v>
      </c>
    </row>
    <row r="13" spans="1:19" s="40" customFormat="1" ht="11.25" x14ac:dyDescent="0.2">
      <c r="A13" s="38" t="s">
        <v>53</v>
      </c>
      <c r="B13" s="38" t="s">
        <v>418</v>
      </c>
      <c r="C13" s="38" t="s">
        <v>42</v>
      </c>
      <c r="D13" s="38"/>
      <c r="E13" s="38"/>
      <c r="F13" s="38"/>
      <c r="G13" s="38"/>
      <c r="H13" s="38">
        <v>1</v>
      </c>
      <c r="I13" s="38"/>
      <c r="J13" s="38">
        <v>1</v>
      </c>
      <c r="K13" s="38" t="s">
        <v>29</v>
      </c>
      <c r="L13" s="39" t="s">
        <v>28</v>
      </c>
      <c r="M13" s="39" t="s">
        <v>26</v>
      </c>
      <c r="N13" s="39" t="s">
        <v>24</v>
      </c>
      <c r="O13" s="39" t="s">
        <v>24</v>
      </c>
      <c r="P13" s="39">
        <v>80</v>
      </c>
      <c r="Q13" s="39">
        <v>0.2</v>
      </c>
      <c r="R13" s="39">
        <v>0</v>
      </c>
      <c r="S13" s="39">
        <v>0.8</v>
      </c>
    </row>
    <row r="14" spans="1:19" s="40" customFormat="1" ht="11.25" x14ac:dyDescent="0.2">
      <c r="A14" s="29" t="s">
        <v>47</v>
      </c>
      <c r="B14" s="29" t="s">
        <v>419</v>
      </c>
      <c r="C14" s="41" t="s">
        <v>42</v>
      </c>
      <c r="D14" s="29"/>
      <c r="E14" s="29"/>
      <c r="F14" s="29"/>
      <c r="G14" s="29"/>
      <c r="H14" s="29">
        <v>1</v>
      </c>
      <c r="I14" s="29"/>
      <c r="J14" s="38">
        <v>1</v>
      </c>
      <c r="K14" s="38" t="s">
        <v>29</v>
      </c>
      <c r="L14" s="39" t="s">
        <v>28</v>
      </c>
      <c r="M14" s="39" t="s">
        <v>27</v>
      </c>
      <c r="N14" s="39" t="s">
        <v>24</v>
      </c>
      <c r="O14" s="39" t="s">
        <v>24</v>
      </c>
      <c r="P14" s="39">
        <v>60</v>
      </c>
      <c r="Q14" s="39">
        <v>0.4</v>
      </c>
      <c r="R14" s="39">
        <v>0</v>
      </c>
      <c r="S14" s="39">
        <v>0.6</v>
      </c>
    </row>
    <row r="15" spans="1:19" s="40" customFormat="1" ht="11.25" x14ac:dyDescent="0.2">
      <c r="A15" s="38" t="s">
        <v>43</v>
      </c>
      <c r="B15" s="38" t="s">
        <v>420</v>
      </c>
      <c r="C15" s="38" t="s">
        <v>42</v>
      </c>
      <c r="D15" s="38"/>
      <c r="E15" s="38"/>
      <c r="F15" s="38"/>
      <c r="G15" s="38">
        <v>1</v>
      </c>
      <c r="H15" s="38"/>
      <c r="I15" s="38"/>
      <c r="J15" s="38">
        <v>1</v>
      </c>
      <c r="K15" s="38" t="s">
        <v>29</v>
      </c>
      <c r="L15" s="39" t="s">
        <v>28</v>
      </c>
      <c r="M15" s="39" t="s">
        <v>296</v>
      </c>
      <c r="N15" s="39" t="s">
        <v>24</v>
      </c>
      <c r="O15" s="39" t="s">
        <v>24</v>
      </c>
      <c r="P15" s="39">
        <v>70</v>
      </c>
      <c r="Q15" s="39">
        <v>0.3</v>
      </c>
      <c r="R15" s="39">
        <v>0</v>
      </c>
      <c r="S15" s="39">
        <v>0.7</v>
      </c>
    </row>
    <row r="16" spans="1:19" s="40" customFormat="1" ht="11.25" x14ac:dyDescent="0.2">
      <c r="A16" s="38" t="s">
        <v>50</v>
      </c>
      <c r="B16" s="38" t="s">
        <v>421</v>
      </c>
      <c r="C16" s="38" t="s">
        <v>42</v>
      </c>
      <c r="D16" s="38"/>
      <c r="E16" s="38"/>
      <c r="F16" s="38"/>
      <c r="G16" s="38">
        <v>1</v>
      </c>
      <c r="H16" s="38"/>
      <c r="I16" s="38"/>
      <c r="J16" s="38">
        <v>1</v>
      </c>
      <c r="K16" s="38" t="s">
        <v>29</v>
      </c>
      <c r="L16" s="39" t="s">
        <v>28</v>
      </c>
      <c r="M16" s="39" t="s">
        <v>23</v>
      </c>
      <c r="N16" s="39" t="s">
        <v>24</v>
      </c>
      <c r="O16" s="39" t="s">
        <v>24</v>
      </c>
      <c r="P16" s="39">
        <v>50</v>
      </c>
      <c r="Q16" s="39">
        <v>0.5</v>
      </c>
      <c r="R16" s="39">
        <v>0</v>
      </c>
      <c r="S16" s="39">
        <v>0.5</v>
      </c>
    </row>
    <row r="17" spans="1:19" s="40" customFormat="1" ht="11.25" x14ac:dyDescent="0.2">
      <c r="A17" s="38" t="s">
        <v>185</v>
      </c>
      <c r="B17" s="38" t="s">
        <v>422</v>
      </c>
      <c r="C17" s="38" t="s">
        <v>42</v>
      </c>
      <c r="D17" s="38"/>
      <c r="E17" s="38"/>
      <c r="F17" s="38">
        <v>2</v>
      </c>
      <c r="G17" s="38"/>
      <c r="H17" s="38"/>
      <c r="I17" s="38">
        <v>1</v>
      </c>
      <c r="J17" s="38">
        <v>3</v>
      </c>
      <c r="K17" s="38" t="s">
        <v>29</v>
      </c>
      <c r="L17" s="39">
        <v>0</v>
      </c>
      <c r="M17" s="39">
        <v>0</v>
      </c>
      <c r="N17" s="39" t="s">
        <v>24</v>
      </c>
      <c r="O17" s="39" t="s">
        <v>24</v>
      </c>
      <c r="P17" s="39">
        <v>100</v>
      </c>
      <c r="Q17" s="39">
        <v>0</v>
      </c>
      <c r="R17" s="39">
        <v>0</v>
      </c>
      <c r="S17" s="39">
        <v>3</v>
      </c>
    </row>
    <row r="18" spans="1:19" s="40" customFormat="1" ht="11.25" x14ac:dyDescent="0.2">
      <c r="A18" s="38" t="s">
        <v>143</v>
      </c>
      <c r="B18" s="38" t="s">
        <v>423</v>
      </c>
      <c r="C18" s="38" t="s">
        <v>42</v>
      </c>
      <c r="D18" s="38"/>
      <c r="E18" s="38"/>
      <c r="F18" s="38">
        <v>3</v>
      </c>
      <c r="G18" s="38"/>
      <c r="H18" s="38"/>
      <c r="I18" s="38"/>
      <c r="J18" s="38">
        <v>3</v>
      </c>
      <c r="K18" s="38" t="s">
        <v>29</v>
      </c>
      <c r="L18" s="39">
        <v>0</v>
      </c>
      <c r="M18" s="39">
        <v>0</v>
      </c>
      <c r="N18" s="39" t="s">
        <v>24</v>
      </c>
      <c r="O18" s="39" t="s">
        <v>24</v>
      </c>
      <c r="P18" s="39">
        <v>100</v>
      </c>
      <c r="Q18" s="39">
        <v>0</v>
      </c>
      <c r="R18" s="39">
        <v>0</v>
      </c>
      <c r="S18" s="39">
        <v>3</v>
      </c>
    </row>
    <row r="19" spans="1:19" s="40" customFormat="1" ht="11.25" x14ac:dyDescent="0.2">
      <c r="A19" s="38" t="s">
        <v>51</v>
      </c>
      <c r="B19" s="38" t="s">
        <v>424</v>
      </c>
      <c r="C19" s="38" t="s">
        <v>42</v>
      </c>
      <c r="D19" s="38"/>
      <c r="E19" s="38"/>
      <c r="F19" s="38">
        <v>1</v>
      </c>
      <c r="G19" s="38"/>
      <c r="H19" s="38"/>
      <c r="I19" s="38"/>
      <c r="J19" s="38">
        <v>1</v>
      </c>
      <c r="K19" s="38" t="s">
        <v>29</v>
      </c>
      <c r="L19" s="39" t="s">
        <v>28</v>
      </c>
      <c r="M19" s="39" t="s">
        <v>23</v>
      </c>
      <c r="N19" s="39" t="s">
        <v>24</v>
      </c>
      <c r="O19" s="39" t="s">
        <v>24</v>
      </c>
      <c r="P19" s="39">
        <v>50</v>
      </c>
      <c r="Q19" s="39">
        <v>0.5</v>
      </c>
      <c r="R19" s="39">
        <v>0</v>
      </c>
      <c r="S19" s="39">
        <v>0.5</v>
      </c>
    </row>
    <row r="20" spans="1:19" s="40" customFormat="1" ht="11.25" x14ac:dyDescent="0.2">
      <c r="A20" s="38" t="s">
        <v>44</v>
      </c>
      <c r="B20" s="38" t="s">
        <v>425</v>
      </c>
      <c r="C20" s="38" t="s">
        <v>42</v>
      </c>
      <c r="D20" s="38"/>
      <c r="E20" s="38"/>
      <c r="F20" s="38"/>
      <c r="G20" s="38"/>
      <c r="H20" s="38"/>
      <c r="I20" s="38">
        <v>1</v>
      </c>
      <c r="J20" s="38">
        <v>1</v>
      </c>
      <c r="K20" s="38" t="s">
        <v>29</v>
      </c>
      <c r="L20" s="39" t="s">
        <v>28</v>
      </c>
      <c r="M20" s="39" t="s">
        <v>23</v>
      </c>
      <c r="N20" s="39" t="s">
        <v>24</v>
      </c>
      <c r="O20" s="39" t="s">
        <v>24</v>
      </c>
      <c r="P20" s="39">
        <v>50</v>
      </c>
      <c r="Q20" s="39">
        <v>0.5</v>
      </c>
      <c r="R20" s="39">
        <v>0</v>
      </c>
      <c r="S20" s="39">
        <v>0.5</v>
      </c>
    </row>
    <row r="21" spans="1:19" s="40" customFormat="1" ht="11.25" x14ac:dyDescent="0.2">
      <c r="A21" s="38" t="s">
        <v>298</v>
      </c>
      <c r="B21" s="38" t="s">
        <v>426</v>
      </c>
      <c r="C21" s="38" t="s">
        <v>297</v>
      </c>
      <c r="D21" s="38">
        <v>1</v>
      </c>
      <c r="E21" s="38">
        <v>1</v>
      </c>
      <c r="F21" s="38"/>
      <c r="G21" s="38"/>
      <c r="H21" s="38"/>
      <c r="I21" s="38"/>
      <c r="J21" s="38">
        <v>2</v>
      </c>
      <c r="K21" s="38" t="s">
        <v>29</v>
      </c>
      <c r="L21" s="39" t="s">
        <v>28</v>
      </c>
      <c r="M21" s="39" t="s">
        <v>23</v>
      </c>
      <c r="N21" s="39">
        <v>0</v>
      </c>
      <c r="O21" s="39">
        <v>0</v>
      </c>
      <c r="P21" s="39">
        <v>50</v>
      </c>
      <c r="Q21" s="39">
        <v>1</v>
      </c>
      <c r="R21" s="39">
        <v>0</v>
      </c>
      <c r="S21" s="39">
        <v>1</v>
      </c>
    </row>
    <row r="22" spans="1:19" ht="15" x14ac:dyDescent="0.25">
      <c r="A22" s="35"/>
      <c r="B22" s="35"/>
      <c r="C22" s="36"/>
      <c r="D22" s="35"/>
      <c r="E22" s="35"/>
      <c r="F22" s="35"/>
      <c r="G22" s="35"/>
      <c r="H22" s="35"/>
      <c r="I22" s="35"/>
      <c r="J22" s="35"/>
      <c r="K22" s="35"/>
      <c r="L22" s="35"/>
      <c r="M22" s="35"/>
      <c r="N22" s="35"/>
      <c r="O22" s="35"/>
      <c r="P22" s="35"/>
      <c r="Q22" s="35"/>
      <c r="R22" s="35"/>
      <c r="S22" s="42">
        <f>SUM(S2:S21)</f>
        <v>20.7</v>
      </c>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07A0B-3743-4F92-BE14-B4CECFE34354}">
  <dimension ref="A1:C58"/>
  <sheetViews>
    <sheetView topLeftCell="A47" workbookViewId="0">
      <selection activeCell="A57" sqref="A57:XFD57"/>
    </sheetView>
  </sheetViews>
  <sheetFormatPr baseColWidth="10" defaultRowHeight="15" x14ac:dyDescent="0.25"/>
  <cols>
    <col min="1" max="1" width="16.42578125" customWidth="1"/>
    <col min="2" max="2" width="91.140625" customWidth="1"/>
    <col min="3" max="3" width="15.42578125" customWidth="1"/>
  </cols>
  <sheetData>
    <row r="1" spans="1:3" x14ac:dyDescent="0.25">
      <c r="A1" s="49" t="s">
        <v>123</v>
      </c>
      <c r="B1" s="49" t="s">
        <v>124</v>
      </c>
      <c r="C1" s="49" t="s">
        <v>144</v>
      </c>
    </row>
    <row r="2" spans="1:3" x14ac:dyDescent="0.25">
      <c r="A2" s="32" t="s">
        <v>146</v>
      </c>
      <c r="B2" s="32" t="s">
        <v>194</v>
      </c>
      <c r="C2" s="30">
        <v>5746.29</v>
      </c>
    </row>
    <row r="3" spans="1:3" x14ac:dyDescent="0.25">
      <c r="A3" s="33" t="s">
        <v>60</v>
      </c>
      <c r="B3" s="33" t="s">
        <v>195</v>
      </c>
      <c r="C3" s="31">
        <v>8800</v>
      </c>
    </row>
    <row r="4" spans="1:3" x14ac:dyDescent="0.25">
      <c r="A4" s="32" t="s">
        <v>60</v>
      </c>
      <c r="B4" s="32" t="s">
        <v>196</v>
      </c>
      <c r="C4" s="30">
        <v>10266.959999999999</v>
      </c>
    </row>
    <row r="5" spans="1:3" x14ac:dyDescent="0.25">
      <c r="A5" s="33" t="s">
        <v>125</v>
      </c>
      <c r="B5" s="33" t="s">
        <v>197</v>
      </c>
      <c r="C5" s="31">
        <v>14696</v>
      </c>
    </row>
    <row r="6" spans="1:3" x14ac:dyDescent="0.25">
      <c r="A6" s="32" t="s">
        <v>126</v>
      </c>
      <c r="B6" s="32" t="s">
        <v>198</v>
      </c>
      <c r="C6" s="30">
        <v>345</v>
      </c>
    </row>
    <row r="7" spans="1:3" x14ac:dyDescent="0.25">
      <c r="A7" s="33" t="s">
        <v>126</v>
      </c>
      <c r="B7" s="33" t="s">
        <v>199</v>
      </c>
      <c r="C7" s="31">
        <v>862.4</v>
      </c>
    </row>
    <row r="8" spans="1:3" x14ac:dyDescent="0.25">
      <c r="A8" s="32" t="s">
        <v>126</v>
      </c>
      <c r="B8" s="32" t="s">
        <v>200</v>
      </c>
      <c r="C8" s="30">
        <v>1375.91</v>
      </c>
    </row>
    <row r="9" spans="1:3" x14ac:dyDescent="0.25">
      <c r="A9" s="33" t="s">
        <v>126</v>
      </c>
      <c r="B9" s="33" t="s">
        <v>201</v>
      </c>
      <c r="C9" s="31">
        <v>11272.8</v>
      </c>
    </row>
    <row r="10" spans="1:3" x14ac:dyDescent="0.25">
      <c r="A10" s="32" t="s">
        <v>147</v>
      </c>
      <c r="B10" s="32" t="s">
        <v>202</v>
      </c>
      <c r="C10" s="30">
        <v>19734.88</v>
      </c>
    </row>
    <row r="11" spans="1:3" x14ac:dyDescent="0.25">
      <c r="A11" s="33" t="s">
        <v>147</v>
      </c>
      <c r="B11" s="33" t="s">
        <v>203</v>
      </c>
      <c r="C11" s="31">
        <v>19194.560000000001</v>
      </c>
    </row>
    <row r="12" spans="1:3" x14ac:dyDescent="0.25">
      <c r="A12" s="32" t="s">
        <v>148</v>
      </c>
      <c r="B12" s="32" t="s">
        <v>204</v>
      </c>
      <c r="C12" s="30">
        <v>7920</v>
      </c>
    </row>
    <row r="13" spans="1:3" x14ac:dyDescent="0.25">
      <c r="A13" s="33" t="s">
        <v>148</v>
      </c>
      <c r="B13" s="33" t="s">
        <v>205</v>
      </c>
      <c r="C13" s="31">
        <v>7920</v>
      </c>
    </row>
    <row r="14" spans="1:3" x14ac:dyDescent="0.25">
      <c r="A14" s="32" t="s">
        <v>149</v>
      </c>
      <c r="B14" s="32" t="s">
        <v>206</v>
      </c>
      <c r="C14" s="30">
        <v>7920</v>
      </c>
    </row>
    <row r="15" spans="1:3" x14ac:dyDescent="0.25">
      <c r="A15" s="33" t="s">
        <v>149</v>
      </c>
      <c r="B15" s="33" t="s">
        <v>207</v>
      </c>
      <c r="C15" s="31">
        <v>7920</v>
      </c>
    </row>
    <row r="16" spans="1:3" x14ac:dyDescent="0.25">
      <c r="A16" s="32" t="s">
        <v>149</v>
      </c>
      <c r="B16" s="32" t="s">
        <v>208</v>
      </c>
      <c r="C16" s="30">
        <v>7920</v>
      </c>
    </row>
    <row r="17" spans="1:3" x14ac:dyDescent="0.25">
      <c r="A17" s="33" t="s">
        <v>149</v>
      </c>
      <c r="B17" s="33" t="s">
        <v>209</v>
      </c>
      <c r="C17" s="31">
        <v>10560</v>
      </c>
    </row>
    <row r="18" spans="1:3" x14ac:dyDescent="0.25">
      <c r="A18" s="32" t="s">
        <v>150</v>
      </c>
      <c r="B18" s="32" t="s">
        <v>210</v>
      </c>
      <c r="C18" s="30">
        <v>488.4</v>
      </c>
    </row>
    <row r="19" spans="1:3" x14ac:dyDescent="0.25">
      <c r="A19" s="33" t="s">
        <v>150</v>
      </c>
      <c r="B19" s="33" t="s">
        <v>211</v>
      </c>
      <c r="C19" s="31">
        <v>382.8</v>
      </c>
    </row>
    <row r="20" spans="1:3" x14ac:dyDescent="0.25">
      <c r="A20" s="32" t="s">
        <v>150</v>
      </c>
      <c r="B20" s="32" t="s">
        <v>212</v>
      </c>
      <c r="C20" s="30">
        <v>1320</v>
      </c>
    </row>
    <row r="21" spans="1:3" x14ac:dyDescent="0.25">
      <c r="A21" s="33" t="s">
        <v>150</v>
      </c>
      <c r="B21" s="33" t="s">
        <v>213</v>
      </c>
      <c r="C21" s="31">
        <v>299.2</v>
      </c>
    </row>
    <row r="22" spans="1:3" x14ac:dyDescent="0.25">
      <c r="A22" s="32" t="s">
        <v>151</v>
      </c>
      <c r="B22" s="32" t="s">
        <v>214</v>
      </c>
      <c r="C22" s="30">
        <v>1584</v>
      </c>
    </row>
    <row r="23" spans="1:3" x14ac:dyDescent="0.25">
      <c r="A23" s="33" t="s">
        <v>215</v>
      </c>
      <c r="B23" s="33" t="s">
        <v>216</v>
      </c>
      <c r="C23" s="31">
        <v>528</v>
      </c>
    </row>
    <row r="24" spans="1:3" x14ac:dyDescent="0.25">
      <c r="A24" s="32" t="s">
        <v>217</v>
      </c>
      <c r="B24" s="32" t="s">
        <v>218</v>
      </c>
      <c r="C24" s="30">
        <v>880</v>
      </c>
    </row>
    <row r="25" spans="1:3" x14ac:dyDescent="0.25">
      <c r="A25" s="33" t="s">
        <v>219</v>
      </c>
      <c r="B25" s="33" t="s">
        <v>220</v>
      </c>
      <c r="C25" s="31">
        <v>12056</v>
      </c>
    </row>
    <row r="26" spans="1:3" x14ac:dyDescent="0.25">
      <c r="A26" s="32" t="s">
        <v>219</v>
      </c>
      <c r="B26" s="32" t="s">
        <v>221</v>
      </c>
      <c r="C26" s="30">
        <v>12056</v>
      </c>
    </row>
    <row r="27" spans="1:3" x14ac:dyDescent="0.25">
      <c r="A27" s="33" t="s">
        <v>219</v>
      </c>
      <c r="B27" s="33" t="s">
        <v>222</v>
      </c>
      <c r="C27" s="31">
        <v>12034</v>
      </c>
    </row>
    <row r="28" spans="1:3" x14ac:dyDescent="0.25">
      <c r="A28" s="32" t="s">
        <v>223</v>
      </c>
      <c r="B28" s="32" t="s">
        <v>224</v>
      </c>
      <c r="C28" s="30">
        <v>440</v>
      </c>
    </row>
    <row r="29" spans="1:3" x14ac:dyDescent="0.25">
      <c r="A29" s="33" t="s">
        <v>223</v>
      </c>
      <c r="B29" s="33" t="s">
        <v>225</v>
      </c>
      <c r="C29" s="31">
        <v>440</v>
      </c>
    </row>
    <row r="30" spans="1:3" x14ac:dyDescent="0.25">
      <c r="A30" s="32" t="s">
        <v>223</v>
      </c>
      <c r="B30" s="32" t="s">
        <v>226</v>
      </c>
      <c r="C30" s="30">
        <v>352</v>
      </c>
    </row>
    <row r="31" spans="1:3" x14ac:dyDescent="0.25">
      <c r="A31" s="33" t="s">
        <v>227</v>
      </c>
      <c r="B31" s="33" t="s">
        <v>228</v>
      </c>
      <c r="C31" s="31">
        <v>528</v>
      </c>
    </row>
    <row r="32" spans="1:3" x14ac:dyDescent="0.25">
      <c r="A32" s="32" t="s">
        <v>229</v>
      </c>
      <c r="B32" s="32" t="s">
        <v>230</v>
      </c>
      <c r="C32" s="30">
        <v>1775.49</v>
      </c>
    </row>
    <row r="33" spans="1:3" x14ac:dyDescent="0.25">
      <c r="A33" s="33" t="s">
        <v>231</v>
      </c>
      <c r="B33" s="33" t="s">
        <v>232</v>
      </c>
      <c r="C33" s="31">
        <v>176</v>
      </c>
    </row>
    <row r="34" spans="1:3" x14ac:dyDescent="0.25">
      <c r="A34" s="32" t="s">
        <v>233</v>
      </c>
      <c r="B34" s="32" t="s">
        <v>234</v>
      </c>
      <c r="C34" s="30">
        <v>264</v>
      </c>
    </row>
    <row r="35" spans="1:3" x14ac:dyDescent="0.25">
      <c r="A35" s="33" t="s">
        <v>235</v>
      </c>
      <c r="B35" s="33" t="s">
        <v>236</v>
      </c>
      <c r="C35" s="31">
        <v>1760</v>
      </c>
    </row>
    <row r="36" spans="1:3" x14ac:dyDescent="0.25">
      <c r="A36" s="32" t="s">
        <v>237</v>
      </c>
      <c r="B36" s="32" t="s">
        <v>238</v>
      </c>
      <c r="C36" s="30">
        <v>28800</v>
      </c>
    </row>
    <row r="37" spans="1:3" x14ac:dyDescent="0.25">
      <c r="A37" s="33" t="s">
        <v>237</v>
      </c>
      <c r="B37" s="33" t="s">
        <v>239</v>
      </c>
      <c r="C37" s="31">
        <v>27295</v>
      </c>
    </row>
    <row r="38" spans="1:3" x14ac:dyDescent="0.25">
      <c r="A38" s="32" t="s">
        <v>240</v>
      </c>
      <c r="B38" s="32" t="s">
        <v>241</v>
      </c>
      <c r="C38" s="30">
        <v>3080</v>
      </c>
    </row>
    <row r="39" spans="1:3" x14ac:dyDescent="0.25">
      <c r="A39" s="33" t="s">
        <v>242</v>
      </c>
      <c r="B39" s="33" t="s">
        <v>243</v>
      </c>
      <c r="C39" s="31">
        <v>1936</v>
      </c>
    </row>
    <row r="40" spans="1:3" x14ac:dyDescent="0.25">
      <c r="A40" s="32" t="s">
        <v>242</v>
      </c>
      <c r="B40" s="32" t="s">
        <v>244</v>
      </c>
      <c r="C40" s="30">
        <v>1936</v>
      </c>
    </row>
    <row r="41" spans="1:3" x14ac:dyDescent="0.25">
      <c r="A41" s="33" t="s">
        <v>245</v>
      </c>
      <c r="B41" s="33" t="s">
        <v>246</v>
      </c>
      <c r="C41" s="31">
        <v>12500</v>
      </c>
    </row>
    <row r="42" spans="1:3" x14ac:dyDescent="0.25">
      <c r="A42" s="32" t="s">
        <v>247</v>
      </c>
      <c r="B42" s="32" t="s">
        <v>248</v>
      </c>
      <c r="C42" s="30">
        <v>1584</v>
      </c>
    </row>
    <row r="43" spans="1:3" x14ac:dyDescent="0.25">
      <c r="A43" s="33" t="s">
        <v>249</v>
      </c>
      <c r="B43" s="33" t="s">
        <v>250</v>
      </c>
      <c r="C43" s="31">
        <v>880</v>
      </c>
    </row>
    <row r="44" spans="1:3" x14ac:dyDescent="0.25">
      <c r="A44" s="32" t="s">
        <v>251</v>
      </c>
      <c r="B44" s="32" t="s">
        <v>252</v>
      </c>
      <c r="C44" s="30">
        <v>880</v>
      </c>
    </row>
    <row r="45" spans="1:3" x14ac:dyDescent="0.25">
      <c r="A45" s="33" t="s">
        <v>253</v>
      </c>
      <c r="B45" s="33" t="s">
        <v>254</v>
      </c>
      <c r="C45" s="31">
        <v>1408</v>
      </c>
    </row>
    <row r="46" spans="1:3" x14ac:dyDescent="0.25">
      <c r="A46" s="32" t="s">
        <v>63</v>
      </c>
      <c r="B46" s="32" t="s">
        <v>255</v>
      </c>
      <c r="C46" s="30">
        <v>22400</v>
      </c>
    </row>
    <row r="47" spans="1:3" x14ac:dyDescent="0.25">
      <c r="A47" s="33" t="s">
        <v>145</v>
      </c>
      <c r="B47" s="33" t="s">
        <v>256</v>
      </c>
      <c r="C47" s="31">
        <v>29276.98</v>
      </c>
    </row>
    <row r="48" spans="1:3" x14ac:dyDescent="0.25">
      <c r="A48" s="32" t="s">
        <v>145</v>
      </c>
      <c r="B48" s="32" t="s">
        <v>257</v>
      </c>
      <c r="C48" s="30">
        <v>-227.92</v>
      </c>
    </row>
    <row r="49" spans="1:3" x14ac:dyDescent="0.25">
      <c r="A49" s="33" t="s">
        <v>152</v>
      </c>
      <c r="B49" s="33" t="s">
        <v>258</v>
      </c>
      <c r="C49" s="31">
        <v>142500</v>
      </c>
    </row>
    <row r="50" spans="1:3" x14ac:dyDescent="0.25">
      <c r="A50" s="32" t="s">
        <v>153</v>
      </c>
      <c r="B50" s="32" t="s">
        <v>258</v>
      </c>
      <c r="C50" s="30">
        <v>142019.66</v>
      </c>
    </row>
    <row r="51" spans="1:3" x14ac:dyDescent="0.25">
      <c r="A51" s="33" t="s">
        <v>259</v>
      </c>
      <c r="B51" s="33" t="s">
        <v>260</v>
      </c>
      <c r="C51" s="31">
        <v>-35991.33</v>
      </c>
    </row>
    <row r="52" spans="1:3" x14ac:dyDescent="0.25">
      <c r="A52" s="32" t="s">
        <v>155</v>
      </c>
      <c r="B52" s="32" t="s">
        <v>261</v>
      </c>
      <c r="C52" s="30">
        <v>76685</v>
      </c>
    </row>
    <row r="53" spans="1:3" x14ac:dyDescent="0.25">
      <c r="A53" s="33" t="s">
        <v>156</v>
      </c>
      <c r="B53" s="33" t="s">
        <v>262</v>
      </c>
      <c r="C53" s="31">
        <v>7500</v>
      </c>
    </row>
    <row r="54" spans="1:3" x14ac:dyDescent="0.25">
      <c r="A54" s="32" t="s">
        <v>263</v>
      </c>
      <c r="B54" s="32" t="s">
        <v>264</v>
      </c>
      <c r="C54" s="30">
        <v>119700</v>
      </c>
    </row>
    <row r="55" spans="1:3" x14ac:dyDescent="0.25">
      <c r="A55" s="33" t="s">
        <v>265</v>
      </c>
      <c r="B55" s="33" t="s">
        <v>266</v>
      </c>
      <c r="C55" s="31">
        <v>9000</v>
      </c>
    </row>
    <row r="56" spans="1:3" x14ac:dyDescent="0.25">
      <c r="A56" s="45" t="s">
        <v>267</v>
      </c>
      <c r="B56" s="45" t="s">
        <v>268</v>
      </c>
      <c r="C56" s="43">
        <v>151096</v>
      </c>
    </row>
    <row r="57" spans="1:3" s="48" customFormat="1" x14ac:dyDescent="0.25">
      <c r="A57" s="46" t="s">
        <v>0</v>
      </c>
      <c r="B57" s="46"/>
      <c r="C57" s="47">
        <f>SUBTOTAL(109,Tabla2[Imp.cob.aplic.])</f>
        <v>934076.08</v>
      </c>
    </row>
    <row r="58" spans="1:3" x14ac:dyDescent="0.25">
      <c r="C58" s="3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7798-93CD-42D1-B2E3-D1DE49BF3A06}">
  <dimension ref="A1:C54"/>
  <sheetViews>
    <sheetView topLeftCell="A44" workbookViewId="0">
      <selection activeCell="B57" sqref="B57:C57"/>
    </sheetView>
  </sheetViews>
  <sheetFormatPr baseColWidth="10" defaultRowHeight="15" x14ac:dyDescent="0.25"/>
  <cols>
    <col min="2" max="2" width="45.7109375" customWidth="1"/>
    <col min="3" max="3" width="13.28515625" customWidth="1"/>
  </cols>
  <sheetData>
    <row r="1" spans="1:3" x14ac:dyDescent="0.25">
      <c r="A1" s="54" t="s">
        <v>299</v>
      </c>
      <c r="B1" s="54" t="s">
        <v>124</v>
      </c>
      <c r="C1" s="55" t="s">
        <v>300</v>
      </c>
    </row>
    <row r="2" spans="1:3" x14ac:dyDescent="0.25">
      <c r="A2" s="50" t="s">
        <v>146</v>
      </c>
      <c r="B2" s="50" t="s">
        <v>301</v>
      </c>
      <c r="C2" s="51">
        <v>7482.03</v>
      </c>
    </row>
    <row r="3" spans="1:3" x14ac:dyDescent="0.25">
      <c r="A3" s="52" t="s">
        <v>125</v>
      </c>
      <c r="B3" s="52" t="s">
        <v>302</v>
      </c>
      <c r="C3" s="53">
        <v>14696</v>
      </c>
    </row>
    <row r="4" spans="1:3" x14ac:dyDescent="0.25">
      <c r="A4" s="50" t="s">
        <v>150</v>
      </c>
      <c r="B4" s="50" t="s">
        <v>303</v>
      </c>
      <c r="C4" s="51">
        <v>488.4</v>
      </c>
    </row>
    <row r="5" spans="1:3" x14ac:dyDescent="0.25">
      <c r="A5" s="52" t="s">
        <v>150</v>
      </c>
      <c r="B5" s="52" t="s">
        <v>304</v>
      </c>
      <c r="C5" s="53">
        <v>382.8</v>
      </c>
    </row>
    <row r="6" spans="1:3" x14ac:dyDescent="0.25">
      <c r="A6" s="50" t="s">
        <v>150</v>
      </c>
      <c r="B6" s="50" t="s">
        <v>305</v>
      </c>
      <c r="C6" s="51">
        <v>580.79999999999995</v>
      </c>
    </row>
    <row r="7" spans="1:3" x14ac:dyDescent="0.25">
      <c r="A7" s="52" t="s">
        <v>150</v>
      </c>
      <c r="B7" s="52" t="s">
        <v>306</v>
      </c>
      <c r="C7" s="53">
        <v>330</v>
      </c>
    </row>
    <row r="8" spans="1:3" x14ac:dyDescent="0.25">
      <c r="A8" s="50" t="s">
        <v>237</v>
      </c>
      <c r="B8" s="50" t="s">
        <v>307</v>
      </c>
      <c r="C8" s="51">
        <v>22285</v>
      </c>
    </row>
    <row r="9" spans="1:3" x14ac:dyDescent="0.25">
      <c r="A9" s="52" t="s">
        <v>308</v>
      </c>
      <c r="B9" s="52" t="s">
        <v>309</v>
      </c>
      <c r="C9" s="53">
        <v>831.6</v>
      </c>
    </row>
    <row r="10" spans="1:3" x14ac:dyDescent="0.25">
      <c r="A10" s="50" t="s">
        <v>310</v>
      </c>
      <c r="B10" s="50" t="s">
        <v>311</v>
      </c>
      <c r="C10" s="51">
        <v>5280</v>
      </c>
    </row>
    <row r="11" spans="1:3" x14ac:dyDescent="0.25">
      <c r="A11" s="52" t="s">
        <v>310</v>
      </c>
      <c r="B11" s="52" t="s">
        <v>312</v>
      </c>
      <c r="C11" s="53">
        <v>3520</v>
      </c>
    </row>
    <row r="12" spans="1:3" x14ac:dyDescent="0.25">
      <c r="A12" s="50" t="s">
        <v>310</v>
      </c>
      <c r="B12" s="50" t="s">
        <v>313</v>
      </c>
      <c r="C12" s="51">
        <v>5412</v>
      </c>
    </row>
    <row r="13" spans="1:3" x14ac:dyDescent="0.25">
      <c r="A13" s="52" t="s">
        <v>314</v>
      </c>
      <c r="B13" s="52" t="s">
        <v>315</v>
      </c>
      <c r="C13" s="53">
        <v>5359.2</v>
      </c>
    </row>
    <row r="14" spans="1:3" x14ac:dyDescent="0.25">
      <c r="A14" s="50" t="s">
        <v>314</v>
      </c>
      <c r="B14" s="50" t="s">
        <v>316</v>
      </c>
      <c r="C14" s="51">
        <v>5359.2</v>
      </c>
    </row>
    <row r="15" spans="1:3" x14ac:dyDescent="0.25">
      <c r="A15" s="52" t="s">
        <v>314</v>
      </c>
      <c r="B15" s="52" t="s">
        <v>317</v>
      </c>
      <c r="C15" s="53">
        <v>5359.2</v>
      </c>
    </row>
    <row r="16" spans="1:3" x14ac:dyDescent="0.25">
      <c r="A16" s="50" t="s">
        <v>318</v>
      </c>
      <c r="B16" s="50" t="s">
        <v>319</v>
      </c>
      <c r="C16" s="51">
        <v>3168</v>
      </c>
    </row>
    <row r="17" spans="1:3" x14ac:dyDescent="0.25">
      <c r="A17" s="52" t="s">
        <v>320</v>
      </c>
      <c r="B17" s="52" t="s">
        <v>321</v>
      </c>
      <c r="C17" s="53">
        <v>2640</v>
      </c>
    </row>
    <row r="18" spans="1:3" x14ac:dyDescent="0.25">
      <c r="A18" s="50" t="s">
        <v>320</v>
      </c>
      <c r="B18" s="50" t="s">
        <v>322</v>
      </c>
      <c r="C18" s="51">
        <v>2640</v>
      </c>
    </row>
    <row r="19" spans="1:3" x14ac:dyDescent="0.25">
      <c r="A19" s="52" t="s">
        <v>320</v>
      </c>
      <c r="B19" s="52" t="s">
        <v>323</v>
      </c>
      <c r="C19" s="53">
        <v>2640</v>
      </c>
    </row>
    <row r="20" spans="1:3" x14ac:dyDescent="0.25">
      <c r="A20" s="50" t="s">
        <v>320</v>
      </c>
      <c r="B20" s="50" t="s">
        <v>324</v>
      </c>
      <c r="C20" s="51">
        <v>2640</v>
      </c>
    </row>
    <row r="21" spans="1:3" x14ac:dyDescent="0.25">
      <c r="A21" s="52" t="s">
        <v>320</v>
      </c>
      <c r="B21" s="52" t="s">
        <v>325</v>
      </c>
      <c r="C21" s="53">
        <v>2640</v>
      </c>
    </row>
    <row r="22" spans="1:3" x14ac:dyDescent="0.25">
      <c r="A22" s="50" t="s">
        <v>326</v>
      </c>
      <c r="B22" s="50" t="s">
        <v>327</v>
      </c>
      <c r="C22" s="51">
        <v>1408</v>
      </c>
    </row>
    <row r="23" spans="1:3" x14ac:dyDescent="0.25">
      <c r="A23" s="52" t="s">
        <v>328</v>
      </c>
      <c r="B23" s="52" t="s">
        <v>329</v>
      </c>
      <c r="C23" s="53">
        <v>880</v>
      </c>
    </row>
    <row r="24" spans="1:3" x14ac:dyDescent="0.25">
      <c r="A24" s="50" t="s">
        <v>328</v>
      </c>
      <c r="B24" s="50" t="s">
        <v>330</v>
      </c>
      <c r="C24" s="51">
        <v>880</v>
      </c>
    </row>
    <row r="25" spans="1:3" x14ac:dyDescent="0.25">
      <c r="A25" s="52" t="s">
        <v>328</v>
      </c>
      <c r="B25" s="52" t="s">
        <v>331</v>
      </c>
      <c r="C25" s="53">
        <v>1056</v>
      </c>
    </row>
    <row r="26" spans="1:3" x14ac:dyDescent="0.25">
      <c r="A26" s="50" t="s">
        <v>328</v>
      </c>
      <c r="B26" s="50" t="s">
        <v>332</v>
      </c>
      <c r="C26" s="51">
        <v>880</v>
      </c>
    </row>
    <row r="27" spans="1:3" x14ac:dyDescent="0.25">
      <c r="A27" s="52" t="s">
        <v>328</v>
      </c>
      <c r="B27" s="52" t="s">
        <v>333</v>
      </c>
      <c r="C27" s="53">
        <v>880</v>
      </c>
    </row>
    <row r="28" spans="1:3" x14ac:dyDescent="0.25">
      <c r="A28" s="50" t="s">
        <v>334</v>
      </c>
      <c r="B28" s="50" t="s">
        <v>335</v>
      </c>
      <c r="C28" s="51">
        <v>2640</v>
      </c>
    </row>
    <row r="29" spans="1:3" x14ac:dyDescent="0.25">
      <c r="A29" s="52" t="s">
        <v>336</v>
      </c>
      <c r="B29" s="52" t="s">
        <v>337</v>
      </c>
      <c r="C29" s="53">
        <v>616</v>
      </c>
    </row>
    <row r="30" spans="1:3" x14ac:dyDescent="0.25">
      <c r="A30" s="50" t="s">
        <v>336</v>
      </c>
      <c r="B30" s="50" t="s">
        <v>338</v>
      </c>
      <c r="C30" s="51">
        <v>616</v>
      </c>
    </row>
    <row r="31" spans="1:3" x14ac:dyDescent="0.25">
      <c r="A31" s="52" t="s">
        <v>339</v>
      </c>
      <c r="B31" s="52" t="s">
        <v>340</v>
      </c>
      <c r="C31" s="53">
        <v>1200</v>
      </c>
    </row>
    <row r="32" spans="1:3" x14ac:dyDescent="0.25">
      <c r="A32" s="50" t="s">
        <v>341</v>
      </c>
      <c r="B32" s="50" t="s">
        <v>342</v>
      </c>
      <c r="C32" s="51">
        <v>2200</v>
      </c>
    </row>
    <row r="33" spans="1:3" x14ac:dyDescent="0.25">
      <c r="A33" s="52" t="s">
        <v>341</v>
      </c>
      <c r="B33" s="52" t="s">
        <v>343</v>
      </c>
      <c r="C33" s="53">
        <v>2200</v>
      </c>
    </row>
    <row r="34" spans="1:3" x14ac:dyDescent="0.25">
      <c r="A34" s="50" t="s">
        <v>341</v>
      </c>
      <c r="B34" s="50" t="s">
        <v>344</v>
      </c>
      <c r="C34" s="51">
        <v>2640</v>
      </c>
    </row>
    <row r="35" spans="1:3" x14ac:dyDescent="0.25">
      <c r="A35" s="52" t="s">
        <v>345</v>
      </c>
      <c r="B35" s="52" t="s">
        <v>346</v>
      </c>
      <c r="C35" s="53">
        <v>3256</v>
      </c>
    </row>
    <row r="36" spans="1:3" x14ac:dyDescent="0.25">
      <c r="A36" s="50" t="s">
        <v>347</v>
      </c>
      <c r="B36" s="50" t="s">
        <v>348</v>
      </c>
      <c r="C36" s="51">
        <v>1075.8</v>
      </c>
    </row>
    <row r="37" spans="1:3" x14ac:dyDescent="0.25">
      <c r="A37" s="52" t="s">
        <v>349</v>
      </c>
      <c r="B37" s="52" t="s">
        <v>350</v>
      </c>
      <c r="C37" s="53">
        <v>17820</v>
      </c>
    </row>
    <row r="38" spans="1:3" x14ac:dyDescent="0.25">
      <c r="A38" s="50" t="s">
        <v>349</v>
      </c>
      <c r="B38" s="50" t="s">
        <v>351</v>
      </c>
      <c r="C38" s="51">
        <v>53460</v>
      </c>
    </row>
    <row r="39" spans="1:3" x14ac:dyDescent="0.25">
      <c r="A39" s="52" t="s">
        <v>352</v>
      </c>
      <c r="B39" s="52" t="s">
        <v>353</v>
      </c>
      <c r="C39" s="53">
        <v>440</v>
      </c>
    </row>
    <row r="40" spans="1:3" x14ac:dyDescent="0.25">
      <c r="A40" s="50" t="s">
        <v>191</v>
      </c>
      <c r="B40" s="50" t="s">
        <v>354</v>
      </c>
      <c r="C40" s="51">
        <v>1000</v>
      </c>
    </row>
    <row r="41" spans="1:3" x14ac:dyDescent="0.25">
      <c r="A41" s="52" t="s">
        <v>355</v>
      </c>
      <c r="B41" s="52" t="s">
        <v>356</v>
      </c>
      <c r="C41" s="53">
        <v>2965.6</v>
      </c>
    </row>
    <row r="42" spans="1:3" x14ac:dyDescent="0.25">
      <c r="A42" s="50" t="s">
        <v>357</v>
      </c>
      <c r="B42" s="50" t="s">
        <v>358</v>
      </c>
      <c r="C42" s="51">
        <v>1320</v>
      </c>
    </row>
    <row r="43" spans="1:3" x14ac:dyDescent="0.25">
      <c r="A43" s="52" t="s">
        <v>152</v>
      </c>
      <c r="B43" s="52" t="s">
        <v>359</v>
      </c>
      <c r="C43" s="53">
        <v>142500</v>
      </c>
    </row>
    <row r="44" spans="1:3" x14ac:dyDescent="0.25">
      <c r="A44" s="50" t="s">
        <v>153</v>
      </c>
      <c r="B44" s="50" t="s">
        <v>359</v>
      </c>
      <c r="C44" s="51">
        <v>142019.66</v>
      </c>
    </row>
    <row r="45" spans="1:3" x14ac:dyDescent="0.25">
      <c r="A45" s="52" t="s">
        <v>154</v>
      </c>
      <c r="B45" s="52" t="s">
        <v>360</v>
      </c>
      <c r="C45" s="53">
        <v>5200</v>
      </c>
    </row>
    <row r="46" spans="1:3" x14ac:dyDescent="0.25">
      <c r="A46" s="50" t="s">
        <v>192</v>
      </c>
      <c r="B46" s="50" t="s">
        <v>361</v>
      </c>
      <c r="C46" s="51">
        <v>35789.99</v>
      </c>
    </row>
    <row r="47" spans="1:3" x14ac:dyDescent="0.25">
      <c r="A47" s="52" t="s">
        <v>192</v>
      </c>
      <c r="B47" s="52" t="s">
        <v>362</v>
      </c>
      <c r="C47" s="53">
        <v>35789.99</v>
      </c>
    </row>
    <row r="48" spans="1:3" x14ac:dyDescent="0.25">
      <c r="A48" s="50" t="s">
        <v>193</v>
      </c>
      <c r="B48" s="50" t="s">
        <v>361</v>
      </c>
      <c r="C48" s="51">
        <v>44982</v>
      </c>
    </row>
    <row r="49" spans="1:3" x14ac:dyDescent="0.25">
      <c r="A49" s="52" t="s">
        <v>193</v>
      </c>
      <c r="B49" s="52" t="s">
        <v>362</v>
      </c>
      <c r="C49" s="53">
        <v>44982</v>
      </c>
    </row>
    <row r="50" spans="1:3" x14ac:dyDescent="0.25">
      <c r="A50" s="50" t="s">
        <v>265</v>
      </c>
      <c r="B50" s="50" t="s">
        <v>363</v>
      </c>
      <c r="C50" s="51">
        <v>-5196</v>
      </c>
    </row>
    <row r="51" spans="1:3" x14ac:dyDescent="0.25">
      <c r="A51" s="52" t="s">
        <v>267</v>
      </c>
      <c r="B51" s="52" t="s">
        <v>364</v>
      </c>
      <c r="C51" s="53">
        <v>11696</v>
      </c>
    </row>
    <row r="52" spans="1:3" x14ac:dyDescent="0.25">
      <c r="A52" s="50" t="s">
        <v>365</v>
      </c>
      <c r="B52" s="50" t="s">
        <v>366</v>
      </c>
      <c r="C52" s="51">
        <v>79000</v>
      </c>
    </row>
    <row r="53" spans="1:3" x14ac:dyDescent="0.25">
      <c r="A53" s="44" t="s">
        <v>367</v>
      </c>
      <c r="B53" s="44" t="s">
        <v>368</v>
      </c>
      <c r="C53" s="56">
        <v>39492.89</v>
      </c>
    </row>
    <row r="54" spans="1:3" x14ac:dyDescent="0.25">
      <c r="A54" s="44" t="s">
        <v>0</v>
      </c>
      <c r="B54" s="44"/>
      <c r="C54" s="57">
        <f>SUBTOTAL(109,Tabla3[Imp. aplic.])</f>
        <v>769424.16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F6A8-93C2-4C13-B0B7-8C167DA300AA}">
  <dimension ref="A1:C39"/>
  <sheetViews>
    <sheetView topLeftCell="A22" workbookViewId="0">
      <selection activeCell="C40" sqref="C40"/>
    </sheetView>
  </sheetViews>
  <sheetFormatPr baseColWidth="10" defaultRowHeight="15" x14ac:dyDescent="0.25"/>
  <cols>
    <col min="1" max="1" width="17.85546875" customWidth="1"/>
    <col min="2" max="2" width="51.140625" customWidth="1"/>
    <col min="3" max="3" width="17.7109375" customWidth="1"/>
  </cols>
  <sheetData>
    <row r="1" spans="1:3" x14ac:dyDescent="0.25">
      <c r="A1" s="60" t="s">
        <v>299</v>
      </c>
      <c r="B1" s="61" t="s">
        <v>124</v>
      </c>
      <c r="C1" s="61" t="s">
        <v>300</v>
      </c>
    </row>
    <row r="2" spans="1:3" x14ac:dyDescent="0.25">
      <c r="A2" s="62" t="s">
        <v>150</v>
      </c>
      <c r="B2" s="63" t="s">
        <v>427</v>
      </c>
      <c r="C2" s="64">
        <v>620.4</v>
      </c>
    </row>
    <row r="3" spans="1:3" x14ac:dyDescent="0.25">
      <c r="A3" s="65" t="s">
        <v>314</v>
      </c>
      <c r="B3" s="66" t="s">
        <v>428</v>
      </c>
      <c r="C3" s="67">
        <v>5359.2</v>
      </c>
    </row>
    <row r="4" spans="1:3" x14ac:dyDescent="0.25">
      <c r="A4" s="62" t="s">
        <v>318</v>
      </c>
      <c r="B4" s="63" t="s">
        <v>429</v>
      </c>
      <c r="C4" s="64">
        <v>3168</v>
      </c>
    </row>
    <row r="5" spans="1:3" x14ac:dyDescent="0.25">
      <c r="A5" s="65" t="s">
        <v>320</v>
      </c>
      <c r="B5" s="66" t="s">
        <v>430</v>
      </c>
      <c r="C5" s="67">
        <v>3907.2</v>
      </c>
    </row>
    <row r="6" spans="1:3" x14ac:dyDescent="0.25">
      <c r="A6" s="62" t="s">
        <v>328</v>
      </c>
      <c r="B6" s="63" t="s">
        <v>431</v>
      </c>
      <c r="C6" s="64">
        <v>1056</v>
      </c>
    </row>
    <row r="7" spans="1:3" x14ac:dyDescent="0.25">
      <c r="A7" s="65" t="s">
        <v>341</v>
      </c>
      <c r="B7" s="66" t="s">
        <v>432</v>
      </c>
      <c r="C7" s="67">
        <v>1478.4</v>
      </c>
    </row>
    <row r="8" spans="1:3" x14ac:dyDescent="0.25">
      <c r="A8" s="62" t="s">
        <v>341</v>
      </c>
      <c r="B8" s="63" t="s">
        <v>433</v>
      </c>
      <c r="C8" s="64">
        <v>1478.4</v>
      </c>
    </row>
    <row r="9" spans="1:3" x14ac:dyDescent="0.25">
      <c r="A9" s="65" t="s">
        <v>345</v>
      </c>
      <c r="B9" s="66" t="s">
        <v>434</v>
      </c>
      <c r="C9" s="67">
        <v>3520</v>
      </c>
    </row>
    <row r="10" spans="1:3" x14ac:dyDescent="0.25">
      <c r="A10" s="62" t="s">
        <v>345</v>
      </c>
      <c r="B10" s="63" t="s">
        <v>435</v>
      </c>
      <c r="C10" s="64">
        <v>3520</v>
      </c>
    </row>
    <row r="11" spans="1:3" x14ac:dyDescent="0.25">
      <c r="A11" s="65" t="s">
        <v>436</v>
      </c>
      <c r="B11" s="66" t="s">
        <v>437</v>
      </c>
      <c r="C11" s="67">
        <v>3665.2</v>
      </c>
    </row>
    <row r="12" spans="1:3" x14ac:dyDescent="0.25">
      <c r="A12" s="62" t="s">
        <v>436</v>
      </c>
      <c r="B12" s="63" t="s">
        <v>438</v>
      </c>
      <c r="C12" s="64">
        <v>3572.8</v>
      </c>
    </row>
    <row r="13" spans="1:3" x14ac:dyDescent="0.25">
      <c r="A13" s="65" t="s">
        <v>436</v>
      </c>
      <c r="B13" s="66" t="s">
        <v>439</v>
      </c>
      <c r="C13" s="67">
        <v>2587.1999999999998</v>
      </c>
    </row>
    <row r="14" spans="1:3" x14ac:dyDescent="0.25">
      <c r="A14" s="62" t="s">
        <v>349</v>
      </c>
      <c r="B14" s="63" t="s">
        <v>440</v>
      </c>
      <c r="C14" s="64">
        <v>23760</v>
      </c>
    </row>
    <row r="15" spans="1:3" x14ac:dyDescent="0.25">
      <c r="A15" s="65" t="s">
        <v>349</v>
      </c>
      <c r="B15" s="66" t="s">
        <v>441</v>
      </c>
      <c r="C15" s="67">
        <v>23760</v>
      </c>
    </row>
    <row r="16" spans="1:3" x14ac:dyDescent="0.25">
      <c r="A16" s="62" t="s">
        <v>442</v>
      </c>
      <c r="B16" s="63" t="s">
        <v>443</v>
      </c>
      <c r="C16" s="64">
        <v>6160</v>
      </c>
    </row>
    <row r="17" spans="1:3" x14ac:dyDescent="0.25">
      <c r="A17" s="65" t="s">
        <v>444</v>
      </c>
      <c r="B17" s="66" t="s">
        <v>445</v>
      </c>
      <c r="C17" s="67">
        <v>45600.19</v>
      </c>
    </row>
    <row r="18" spans="1:3" x14ac:dyDescent="0.25">
      <c r="A18" s="62" t="s">
        <v>444</v>
      </c>
      <c r="B18" s="63" t="s">
        <v>446</v>
      </c>
      <c r="C18" s="64">
        <v>5700.02</v>
      </c>
    </row>
    <row r="19" spans="1:3" x14ac:dyDescent="0.25">
      <c r="A19" s="65" t="s">
        <v>447</v>
      </c>
      <c r="B19" s="66" t="s">
        <v>448</v>
      </c>
      <c r="C19" s="67">
        <v>1760</v>
      </c>
    </row>
    <row r="20" spans="1:3" x14ac:dyDescent="0.25">
      <c r="A20" s="62" t="s">
        <v>449</v>
      </c>
      <c r="B20" s="63" t="s">
        <v>450</v>
      </c>
      <c r="C20" s="64">
        <v>616</v>
      </c>
    </row>
    <row r="21" spans="1:3" x14ac:dyDescent="0.25">
      <c r="A21" s="65" t="s">
        <v>451</v>
      </c>
      <c r="B21" s="66" t="s">
        <v>452</v>
      </c>
      <c r="C21" s="67">
        <v>616</v>
      </c>
    </row>
    <row r="22" spans="1:3" x14ac:dyDescent="0.25">
      <c r="A22" s="62" t="s">
        <v>451</v>
      </c>
      <c r="B22" s="63" t="s">
        <v>453</v>
      </c>
      <c r="C22" s="64">
        <v>616</v>
      </c>
    </row>
    <row r="23" spans="1:3" x14ac:dyDescent="0.25">
      <c r="A23" s="65" t="s">
        <v>454</v>
      </c>
      <c r="B23" s="66" t="s">
        <v>455</v>
      </c>
      <c r="C23" s="67">
        <v>457.6</v>
      </c>
    </row>
    <row r="24" spans="1:3" x14ac:dyDescent="0.25">
      <c r="A24" s="62" t="s">
        <v>190</v>
      </c>
      <c r="B24" s="63" t="s">
        <v>456</v>
      </c>
      <c r="C24" s="64">
        <v>-2667.18</v>
      </c>
    </row>
    <row r="25" spans="1:3" x14ac:dyDescent="0.25">
      <c r="A25" s="65" t="s">
        <v>457</v>
      </c>
      <c r="B25" s="66" t="s">
        <v>458</v>
      </c>
      <c r="C25" s="67">
        <v>880</v>
      </c>
    </row>
    <row r="26" spans="1:3" x14ac:dyDescent="0.25">
      <c r="A26" s="62" t="s">
        <v>152</v>
      </c>
      <c r="B26" s="63" t="s">
        <v>459</v>
      </c>
      <c r="C26" s="64">
        <v>142500</v>
      </c>
    </row>
    <row r="27" spans="1:3" x14ac:dyDescent="0.25">
      <c r="A27" s="65" t="s">
        <v>153</v>
      </c>
      <c r="B27" s="66" t="s">
        <v>459</v>
      </c>
      <c r="C27" s="67">
        <v>142019.66</v>
      </c>
    </row>
    <row r="28" spans="1:3" x14ac:dyDescent="0.25">
      <c r="A28" s="62" t="s">
        <v>193</v>
      </c>
      <c r="B28" s="63" t="s">
        <v>460</v>
      </c>
      <c r="C28" s="64">
        <v>557.85</v>
      </c>
    </row>
    <row r="29" spans="1:3" x14ac:dyDescent="0.25">
      <c r="A29" s="65" t="s">
        <v>267</v>
      </c>
      <c r="B29" s="66" t="s">
        <v>461</v>
      </c>
      <c r="C29" s="67">
        <v>7208</v>
      </c>
    </row>
    <row r="30" spans="1:3" x14ac:dyDescent="0.25">
      <c r="A30" s="62" t="s">
        <v>365</v>
      </c>
      <c r="B30" s="63" t="s">
        <v>462</v>
      </c>
      <c r="C30" s="64">
        <v>79000</v>
      </c>
    </row>
    <row r="31" spans="1:3" x14ac:dyDescent="0.25">
      <c r="A31" s="65" t="s">
        <v>367</v>
      </c>
      <c r="B31" s="66" t="s">
        <v>463</v>
      </c>
      <c r="C31" s="67">
        <v>103535.82</v>
      </c>
    </row>
    <row r="32" spans="1:3" x14ac:dyDescent="0.25">
      <c r="A32" s="62" t="s">
        <v>464</v>
      </c>
      <c r="B32" s="63" t="s">
        <v>465</v>
      </c>
      <c r="C32" s="64">
        <v>9000</v>
      </c>
    </row>
    <row r="33" spans="1:3" ht="15.75" thickBot="1" x14ac:dyDescent="0.3">
      <c r="A33" s="65" t="s">
        <v>466</v>
      </c>
      <c r="B33" s="66" t="s">
        <v>467</v>
      </c>
      <c r="C33" s="67">
        <v>70100</v>
      </c>
    </row>
    <row r="34" spans="1:3" ht="15.75" thickTop="1" x14ac:dyDescent="0.25">
      <c r="A34" s="68" t="s">
        <v>0</v>
      </c>
      <c r="B34" s="69"/>
      <c r="C34" s="70">
        <v>695112.76</v>
      </c>
    </row>
    <row r="39" spans="1:3" x14ac:dyDescent="0.25">
      <c r="B39" s="58" t="s">
        <v>468</v>
      </c>
      <c r="C39" s="59">
        <f>C34+Tabla2[[#Totals],[Imp.cob.aplic.]]+Tabla3[[#Totals],[Imp. aplic.]]</f>
        <v>2398613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Tesis</vt:lpstr>
      <vt:lpstr>Sexenios</vt:lpstr>
      <vt:lpstr>Ingresos investigación 2023</vt:lpstr>
      <vt:lpstr>Ingresos investigación 2024</vt:lpstr>
      <vt:lpstr>Ingresos investigación 2025</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mayte.pujalte</cp:lastModifiedBy>
  <dcterms:created xsi:type="dcterms:W3CDTF">2019-07-03T07:15:54Z</dcterms:created>
  <dcterms:modified xsi:type="dcterms:W3CDTF">2026-05-28T09:23:46Z</dcterms:modified>
</cp:coreProperties>
</file>