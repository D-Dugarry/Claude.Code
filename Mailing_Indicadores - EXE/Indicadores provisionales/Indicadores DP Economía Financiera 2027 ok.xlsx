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https://nexe.ua.es/remote.php/dav/files/mayte.pujalte@ua.es/_Unidad_Presupuestos/2_PRESUPUESTACIÓN/Presupuesto 2027/Datos/D-I/Indicadores provisionales/"/>
    </mc:Choice>
  </mc:AlternateContent>
  <xr:revisionPtr revIDLastSave="0" documentId="13_ncr:1_{6D896124-A3ED-485E-94FB-39B45F17C515}" xr6:coauthVersionLast="47" xr6:coauthVersionMax="47" xr10:uidLastSave="{00000000-0000-0000-0000-000000000000}"/>
  <bookViews>
    <workbookView xWindow="-108" yWindow="-108" windowWidth="23256" windowHeight="13896" tabRatio="758" firstSheet="3" activeTab="7" xr2:uid="{00000000-000D-0000-FFFF-FFFF00000000}"/>
  </bookViews>
  <sheets>
    <sheet name="Tesis" sheetId="23" r:id="rId1"/>
    <sheet name="Sexenios" sheetId="8" r:id="rId2"/>
    <sheet name="Ingresos investigación 2023" sheetId="19" r:id="rId3"/>
    <sheet name="Ingresos investigación 2024" sheetId="21" r:id="rId4"/>
    <sheet name="Ingresos investigación 2025" sheetId="24" r:id="rId5"/>
    <sheet name="Ingresos formación 2023" sheetId="20" r:id="rId6"/>
    <sheet name="Ingresos formación 2024" sheetId="22" r:id="rId7"/>
    <sheet name="Ingresos formación 2025" sheetId="25" r:id="rId8"/>
  </sheets>
  <definedNames>
    <definedName name="_xlnm._FilterDatabase" localSheetId="1" hidden="1">Sexenios!#REF!</definedName>
    <definedName name="_xlnm.Print_Titles" localSheetId="1">Sexenios!$1:$1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4" i="25" l="1"/>
  <c r="C16" i="24"/>
  <c r="S4" i="23"/>
  <c r="C25" i="22" l="1"/>
  <c r="C22" i="20"/>
  <c r="C10" i="21"/>
  <c r="C11" i="19"/>
  <c r="S13"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21511974M</author>
  </authors>
  <commentList>
    <comment ref="A1" authorId="0" shapeId="0" xr:uid="{51271354-5714-4593-AB55-29F34A5E2E94}">
      <text>
        <r>
          <rPr>
            <b/>
            <sz val="9"/>
            <color indexed="81"/>
            <rFont val="Tahoma"/>
            <family val="2"/>
          </rPr>
          <t>Este código se refiere al órgano proponente</t>
        </r>
      </text>
    </comment>
    <comment ref="I1" authorId="0" shapeId="0" xr:uid="{D12D7EE4-6481-428E-A489-AB5F7FAB2E3E}">
      <text>
        <r>
          <rPr>
            <b/>
            <sz val="9"/>
            <color indexed="81"/>
            <rFont val="Tahoma"/>
            <family val="2"/>
          </rPr>
          <t>Este código se refiere al departamento al que pertenece el director o codirector de tesis y es, por tanto, el que cogemos para asignar las tesis a los departamentos</t>
        </r>
        <r>
          <rPr>
            <sz val="9"/>
            <color indexed="81"/>
            <rFont val="Tahoma"/>
            <family val="2"/>
          </rPr>
          <t xml:space="preserve">
</t>
        </r>
      </text>
    </comment>
    <comment ref="L1" authorId="0" shapeId="0" xr:uid="{3E11C5B6-7AB9-4449-B4A3-6291E3CA6C8E}">
      <text>
        <r>
          <rPr>
            <sz val="9"/>
            <color indexed="81"/>
            <rFont val="Tahoma"/>
            <family val="2"/>
          </rPr>
          <t xml:space="preserve">Este código se refiere al departamento al que pertenece el director o codirector de tesis y es, por tanto, el que cogemos para asignar las tesis a los departamentos
</t>
        </r>
      </text>
    </comment>
  </commentList>
</comments>
</file>

<file path=xl/sharedStrings.xml><?xml version="1.0" encoding="utf-8"?>
<sst xmlns="http://schemas.openxmlformats.org/spreadsheetml/2006/main" count="322" uniqueCount="178">
  <si>
    <t>Total</t>
  </si>
  <si>
    <t>32.90.2T.00.04</t>
  </si>
  <si>
    <t/>
  </si>
  <si>
    <t>NIF</t>
  </si>
  <si>
    <t>NOMBRE_COMPLETO</t>
  </si>
  <si>
    <t>TIPO_SEXENIO</t>
  </si>
  <si>
    <t>Total general</t>
  </si>
  <si>
    <t>INS
1</t>
  </si>
  <si>
    <t>DED
INS 1</t>
  </si>
  <si>
    <t>INS
2</t>
  </si>
  <si>
    <t>DED
INS 2</t>
  </si>
  <si>
    <t>DED
DEP</t>
  </si>
  <si>
    <t>SEX
INS 1</t>
  </si>
  <si>
    <t>SEX
INS 2</t>
  </si>
  <si>
    <t>SEX
DEP</t>
  </si>
  <si>
    <t>FUNCIONARIO</t>
  </si>
  <si>
    <t>22140278H</t>
  </si>
  <si>
    <t>B182</t>
  </si>
  <si>
    <t>48352104D</t>
  </si>
  <si>
    <t>21509908D</t>
  </si>
  <si>
    <t>21986632N</t>
  </si>
  <si>
    <t>21501280Y</t>
  </si>
  <si>
    <t>21513664Q</t>
  </si>
  <si>
    <t>16576888Y</t>
  </si>
  <si>
    <t>52768616S</t>
  </si>
  <si>
    <t>32.90.6P.00.03</t>
  </si>
  <si>
    <t>32.90.2T.00.06</t>
  </si>
  <si>
    <t>32.90.2T.00.07</t>
  </si>
  <si>
    <t>21512997Q</t>
  </si>
  <si>
    <t>10.05</t>
  </si>
  <si>
    <t>COD DEP</t>
  </si>
  <si>
    <t>Cód. org. aplic.</t>
  </si>
  <si>
    <t>Descripción justificante</t>
  </si>
  <si>
    <t>Imp.cob.aplic.</t>
  </si>
  <si>
    <t>32.90.6C.00.13</t>
  </si>
  <si>
    <t>32.90.2T.00.09</t>
  </si>
  <si>
    <t>Vivos</t>
  </si>
  <si>
    <t>Informe pericial de la situación financiera de Idog ADN S.L. y valoración preliminar de la misma</t>
  </si>
  <si>
    <t>32.90.6C.00.16</t>
  </si>
  <si>
    <t>ELABORACIÓN DE INFORME DE VALORACIÓN DE PROYECTO BIOTECNOLOGÍA Y SU EFECTO EN LA DILUCIÓN DEL VALOR DE UNAS ACCIONES PRODUCIDA TRAS VARIAS AMPLIACIONES DE CAPITAL</t>
  </si>
  <si>
    <t>32.90.6C.00.17</t>
  </si>
  <si>
    <t>ELABORACIÓN DE UN ESTUDIO ECONÓMICO-FINANCIERO  SOBRE LA EFICACIA Y CONVENIENCIA DE LA ESTRATEGIA DE COBERTURA BASADA EN LA OPERACIÓN DE VENTA DE SWAPS DE ELECTRICIDAD SWCBQ421 POR PARTE DE LA EMPRESA COGENERACIÓN ELS TINTS S.L</t>
  </si>
  <si>
    <t>32.90.6C.00.19</t>
  </si>
  <si>
    <t>CONTRATO DE INVESTIGACIÓN REFERENCIA BLUEBOOST1-23I-DESARROLLO DE APLICACIÓN PARA LA ESTIMACIÓN DE BETAS DE EMPRESAS NO COTIZADAS- SEGUNDO PAGO 40%</t>
  </si>
  <si>
    <t>CONTRATO DE INVESTIGACIÓN  REFERENCIA BLUEBOOST1-23I -  DESARROLLO DE APLICACIÓN PARA LA ESTIMACIÓN DE BETAS DE EMPRESAS NO COTIZADAS - PRIMER PAGO 20%</t>
  </si>
  <si>
    <t>CONTRATO DE INVESTIGACIÓN REFERENCIA BLUEBOOST1-23I-DESARROLLO DE APLICACIÓN PARA LA ESTIMACIÓN DE BETAS DE EMPRESAS NO COTIZADAS- PAGO FINAL 40%</t>
  </si>
  <si>
    <t>DEVOLUCIÓN DE INGRESOS_MODELO 069_ Expediente o Referencia: 173-P56442-202212210097808</t>
  </si>
  <si>
    <t>DEVOLUCIÓN DE INGRESOS_CARTA DE PAGO_ Referencia:PGC2018-095072-B-I00</t>
  </si>
  <si>
    <t>32.90.6Q.00.01</t>
  </si>
  <si>
    <t>INGRESO DEBIDO A CONVENIO DE COLABORACIÓN ENTRE LA UA Y EL AYUNTAMIENTO DE MUTXAMEL PARA LA CREACIÓN DE LA CÁTEDRA INSTITUCIONAL "ARCADI BLASCO" DE LA UA.</t>
  </si>
  <si>
    <t>José Ángel Sánchez Rubio. EXPERTO/A EN BOLSA Y MERCADOS ONLINE</t>
  </si>
  <si>
    <t>José Manuel Manrique González. EXPERTO/A EN BOLSA Y MERCADOS ONLINE</t>
  </si>
  <si>
    <t>Daniel Sánchez Rubio. EXPERTO/A EN BOLSA Y MERCADOS ONLINE</t>
  </si>
  <si>
    <t>Alberto Juan Beltrán Núñez. EXPERTO/A EN BOLSA Y MERCADOS ONLINE</t>
  </si>
  <si>
    <t>Javier Sempere Esclapez. EXPERTO/A EN BOLSA Y MERCADOS ONLINE</t>
  </si>
  <si>
    <t>José Vicente Gascó Izquierdo.  EXPERTO/A EN BOLSA Y MERCADOS ONLINE</t>
  </si>
  <si>
    <t>Jean Carlos Harraka Suárez. EXPERTO/A EN BOLSA Y MERCADOS ONLINE</t>
  </si>
  <si>
    <t xml:space="preserve">Plan_9386 Curso_2023-24 Emitido_2023-24 - EXPERTO/A EN BOLSA Y MERCADOS ONLINE </t>
  </si>
  <si>
    <t xml:space="preserve">AD_Plan_9386 Curso_2023-24 Emitido_2023-24 - EXPERTO/A EN BOLSA Y MERCADOS ONLINE </t>
  </si>
  <si>
    <t xml:space="preserve">Plan_9174 Curso_2022-23 Emitido_2022y2023 ___ EXPERTO/A EN BOLSA Y MERCADOS ONLINE </t>
  </si>
  <si>
    <t>DEVOLUCIÓN DE TASAS NÓMINA_REMESA Nº 2023DTR015443/ RDT INVERSA: 124/2023EXPADM0031</t>
  </si>
  <si>
    <t>Gemma María Ivars Ortiz EXPERTO/A EN CONTABILIDAD SUPERIOR Y GESTIÓN ADMINISTRATIVA</t>
  </si>
  <si>
    <t>Elena Pérez Ramón. EXPERTO/A EN CONTABILIDAD SUPERIOR Y GESTIÓN ADMINISTRATIVA</t>
  </si>
  <si>
    <t>Plan 9261_Curso 2022-23 Emitido_2022y2023 ___EXPERTO EN CONTABILIDAD SUPERIOR Y GESTIÓN ADMINISTRATIVA.</t>
  </si>
  <si>
    <t>Nuria Valero Bazán . EXPERTO/A EN CONTABILIDAD SUPERIOR Y GESTIÓN ADMINISTRATIVA</t>
  </si>
  <si>
    <t>Noelia Segura Álvarez. EXPERTO/A EN CONTABILIDAD SUPERIOR Y GESTIÓN ADMINISTRATIVA</t>
  </si>
  <si>
    <t xml:space="preserve">Plan_GG13 Curso_2022-23 Emitido_2022-23 - GESTIÓN CONTABLE INFORMATIZADA (ONLINE) </t>
  </si>
  <si>
    <t xml:space="preserve">LIQ-TitProp_GI42-1 Curso_2023-24 AñoCont_2023 - GESTIÓN CONTABLE INFORMATIZADA (ONLINE) </t>
  </si>
  <si>
    <t xml:space="preserve">AD_Plan_GG13 Curso_2022-23 Emitido_2022-23 - GESTIÓN CONTABLE INFORMATIZADA (ONLINE) </t>
  </si>
  <si>
    <t>23059931Q</t>
  </si>
  <si>
    <t>20</t>
  </si>
  <si>
    <t>Org. aplic.</t>
  </si>
  <si>
    <t>Imp. aplic.</t>
  </si>
  <si>
    <t>32.90.6C.00.18</t>
  </si>
  <si>
    <t>ELABORACIÓN INFORME PERICIAL PARA LA VALORACIÓN DE DAÑO EMERGENTE Y LUCRO CESANTE SOBRE EL PATRIMONIO DE LA EMPRESA POR POSIBLE INCUMPLIMIENTO CONTRACTUAL Y RECLAMACIÓN DE DAÑOS Y PERJUICIOS- VIVEREINNOVACION1-23TPA</t>
  </si>
  <si>
    <t>32.90.6C.00.20</t>
  </si>
  <si>
    <t>Análisis técnico de la información y asesoramiento en la toma de decisiones. Primer pago del 25% según condiciones de pago del contrato</t>
  </si>
  <si>
    <t>Análisis técnico de la información y asesoramiento en la toma de decisiones. Segundo pago del 25% según condiciones del contrato</t>
  </si>
  <si>
    <t>Análisis técnico de la información y asesoramiento en la toma de decisiones. Tercer pago del 25% según condiciones de pago del contrato</t>
  </si>
  <si>
    <t>32.90.6C.00.21</t>
  </si>
  <si>
    <t>Elaboración de informe mercantil SURINVER EL GRUPO S.COOP.</t>
  </si>
  <si>
    <t>ELABORACIÓN INFORME PERICIAL J.E.C.H.</t>
  </si>
  <si>
    <t>32.90.6C.00.22</t>
  </si>
  <si>
    <t>AMPLIACIÓN DE INFORME PERICIAL SOBRE LUCRO CESANTE EN PLEITO CON COMPAÑÍA DE SEGUROS. ANÁLISIS ECONÓMICO SECTORIAL EN PERIODO COVID. REF. CONTRATO- GONZALVEZASESORES1-24A INVESTIGADORES: FRANCISCO POVEDA FUENTES Y RAÚL ÍÑIGUEZ SÁNCHEZ</t>
  </si>
  <si>
    <t>DEVOLUCIÓN DE INGRESOS REFERENTE AL CONVENIO DE COLABORACIÓN ENTRE LA UA Y EL AYUNTAMIENTO DE MUTXAMEL PARA LA CREACIÓN DE LA CÁTEDRA INSTITUCIONAL "ARCADI BLASCO". SE PROCEDE A LA DEVOLUCIÓN DEL IMPORTE COBRADO DEBIDO A QUE NO SE HAN PODIDO REALIZAR LAS ACTIVIDADES PREVISTAS RELACIONADAS CON LA CÁTEDRA DURANTE EL AÑO 2023.</t>
  </si>
  <si>
    <t>32.90.2T.00.03</t>
  </si>
  <si>
    <t xml:space="preserve">Anulación por error en derechos de cobro pendientes. Liquidación  PLAN 9173 curso ''EXPERTO EN ASESOR FINANCIERO EUROPEO'' ORDEN 5354. </t>
  </si>
  <si>
    <t>Anulación por error en derechos de cobro pendiente. Liquidación  PLAN 9174 curso ''EXPERTO EN BOLSA Y MERCADOS ON LINE'' ORDEN 5357</t>
  </si>
  <si>
    <t xml:space="preserve">LIQ-TitProp_9174-N Curso_2020-21_AñoCont_2024 TipoRec_Emitido - EXPERTO/A EN BOLSA Y MERCADOS ONLINE </t>
  </si>
  <si>
    <t>Javier Sempere Esclápez. EXPERTO/A EN BOLSA Y MERCADOS ONLINE</t>
  </si>
  <si>
    <t xml:space="preserve">LIQ-TitProp_9386-2 Curso_2023-24 AñoCont_2023 - (443) EXPERTO/A EN BOLSA Y MERCADOS ONLINE </t>
  </si>
  <si>
    <t>JEAN CARLOS HARRAKA SUAREZ. EXPERTO/A EN BOLSA Y MERCADOS ONLINE</t>
  </si>
  <si>
    <t>JAVIER SEMPERE ESCLAPEZ. EXPERTO/A EN BOLSA Y MERCADOS ONLINE</t>
  </si>
  <si>
    <t xml:space="preserve">LIQ-TitProp_9386-3 Curso_2023-24 AñoCont_2023 - (443) EXPERTO/A EN BOLSA Y MERCADOS ONLINE </t>
  </si>
  <si>
    <t xml:space="preserve">LIQ-TitProp_9386-4 Curso_2023-24 AñoCont_2023 - EXPERTO/A EN BOLSA Y MERCADOS ONLINE </t>
  </si>
  <si>
    <t xml:space="preserve">LIQ-TitProp_9386-1 Curso_2024-25 AñoCont_2024 - EXPERTO/A EN BOLSA Y MERCADOS ONLINE </t>
  </si>
  <si>
    <t xml:space="preserve">Liq.PPub_311,00__ADRmsa_2024__EFP Enseñanzas Formación Permanente - Master, Especialista y Experto.  LIQ-TitProp_9386- Curso_2024-25 AñoCont_2024 - EXPERTO/A EN BOLSA Y MERCADOS ONLINE </t>
  </si>
  <si>
    <t xml:space="preserve">AD_Liq.PPub_311,00__ADRmsa_2024__EFP Enseñanzas Formación Permanente - Master, Especialista y Experto.  LIQ-TitProp_9386- Curso_2024-25 AñoCont_2024 - EXPERTO/A EN BOLSA Y MERCADOS ONLINE </t>
  </si>
  <si>
    <t xml:space="preserve">LIQ-EP_Plan_9386-N Curso_2024-25_AñoCont_2024 TipoRec_Emitido - EXPERTO/A EN BOLSA Y MERCADOS ONLINE _ (Cierre-24) </t>
  </si>
  <si>
    <t xml:space="preserve">LIQ-TitProp_GI42-2 Curso_2023-24 AñoCont_2023 - GESTIÓN CONTABLE INFORMATIZADA (ONLINE) </t>
  </si>
  <si>
    <t xml:space="preserve">LIQ-TitProp_GI42-3 Curso_2023-24 AñoCont_2024 - GESTIÓN CONTABLE INFORMATIZADA (ONLINE) </t>
  </si>
  <si>
    <t>DEVOLUCIÓN TASAS NÓMINAS REMESA Nº 2024DTR259145/ RDT INVERSA 2024EXPADM1324</t>
  </si>
  <si>
    <t xml:space="preserve">LIQ-TitProp_GI42-4 Curso_2023-24 AñoCont_2024 - GESTIÓN CONTABLE INFORMATIZADA (ONLINE) </t>
  </si>
  <si>
    <t>DEVOLUCIÓN DE PRECIOS PÚBLICOS POR INGRESOS DE MATRÍCULAS TANTO DE ESTUDIOS OFICIALES COMO DE ENSEÑANZAS PROPIAS. REMESA Nº 2024DTR302665_ RDT INVERSA 2024EXPADM1536</t>
  </si>
  <si>
    <t xml:space="preserve">LIQ-EP_Plan_GI42-1 Curso_2024-25_AñoCont_2024 TipoRec_Emitido - GESTIÓN CONTABLE INFORMATIZADA (ONLINE) _ (Cierre-24) </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</si>
  <si>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</si>
  <si>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</si>
  <si>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</si>
  <si>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</si>
  <si>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</si>
  <si>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</si>
  <si>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</si>
  <si>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</si>
  <si>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</si>
  <si>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</si>
  <si>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</si>
  <si>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</si>
  <si>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</si>
  <si>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</si>
  <si>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</si>
  <si>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</si>
  <si>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</si>
  <si>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</si>
  <si>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</si>
  <si>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</si>
  <si>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</si>
  <si>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U036</t>
  </si>
  <si>
    <t>Administración Facultad de Ciencias Económicas</t>
  </si>
  <si>
    <t>DOCTORADO EN EMPRESA, ECONOMÍA Y SOCIEDAD</t>
  </si>
  <si>
    <t>MUÑOZ MARIBONA, ERIK</t>
  </si>
  <si>
    <t>Procedimiento para la planificación económica y financiera en las cooperativas de producción y servicios constructivos en Cuba</t>
  </si>
  <si>
    <t>23/07/2025</t>
  </si>
  <si>
    <t>Codirector de tesis</t>
  </si>
  <si>
    <t>Economía Financiera y Contabilidad</t>
  </si>
  <si>
    <t>2020</t>
  </si>
  <si>
    <t>2021</t>
  </si>
  <si>
    <t>2022</t>
  </si>
  <si>
    <t>2023</t>
  </si>
  <si>
    <t>2024</t>
  </si>
  <si>
    <t>2025</t>
  </si>
  <si>
    <t>Rubia Serrano, Antonio</t>
  </si>
  <si>
    <t>Nieto Domenech, Belén Adoración</t>
  </si>
  <si>
    <t>Íñiguez Sánchez, Raúl</t>
  </si>
  <si>
    <t>Pastor Llorca, María Jesús</t>
  </si>
  <si>
    <t>Poveda Fuentes, Francisco</t>
  </si>
  <si>
    <t>Marhuenda Fructuoso, Joaquín Juan</t>
  </si>
  <si>
    <t>22139157R</t>
  </si>
  <si>
    <t>Callado Muñoz, Francisco José</t>
  </si>
  <si>
    <t>Abad Díaz, David</t>
  </si>
  <si>
    <t>Mol Gómez-Vázquez, Ana</t>
  </si>
  <si>
    <t>Espinosa Blasco, Mónica</t>
  </si>
  <si>
    <t>Sanabria García, Sonia</t>
  </si>
  <si>
    <t>Análisis técnico de la información y asesoramiento en la toma de decisiones. Último pago a la entrega del informe final según condiciones del contrato</t>
  </si>
  <si>
    <t>Elaboración de informe pericial mercantil MOVILSA S.A.</t>
  </si>
  <si>
    <t>Elaboración de informe pericial sobre la valoración de daños presentada por el perito de parte F.J.B en la demanda judicial interpuesta por la sociedad O.B.E.S.L a la mercantil C.G.F.S.L.</t>
  </si>
  <si>
    <t>32.90.6C.00.23</t>
  </si>
  <si>
    <t>Asesoramiento técnico en "Memoria económica de la suficiencia de recursos para el cumplimiento de las competencias municipales"</t>
  </si>
  <si>
    <t xml:space="preserve">ASESORAMIENTO TÉCNICO EN EL TRABAJO: MEMORIA ECONÓMICA DE LA SUFICIENCIA DE RECURSOS PARA EL CUMPLIMIENTO DE LAS COMPETENCIAS MUNICIPALES" - 2º Y ÚLTIMO PAGO  </t>
  </si>
  <si>
    <t>32.90.6C.00.24</t>
  </si>
  <si>
    <t>SEMINARIO TÉCNICO DE COOPERATIVAS AGRO-ALIMENTARIAS DE ESPAÑA: "EL SEGURO AGRARIO COMO SISTEMA DE PROTECCIÓN Y LA PRIMA DEL SEGURO". DÍA 17 DE JUNIO DE 2025</t>
  </si>
  <si>
    <t>32.90.6C.00.25</t>
  </si>
  <si>
    <t>Technical assistance for the advanced statistical analysis based on econometric models capable of dynamically estimating the treshold disensitivities of different antibiotics used during the covid epidemic  CIG B74881BD16 - CUP E53C25000260005</t>
  </si>
  <si>
    <t>32.90.6C.00.26</t>
  </si>
  <si>
    <t>ANÁLISIS Y ESTIMACIÓN DE LA TASA DE DESCUENTO A APLICAR POR LA EMPRESA</t>
  </si>
  <si>
    <t>32.90.6C.00.27</t>
  </si>
  <si>
    <t>ANÁLISIS DE PLAN DE NEGOCIO EN LA FASE DE EXPANSIÓN Y ESTIMACIÓN DE LA TASA DE DESCUENTO A APLICAR POR LA EMPRESA</t>
  </si>
  <si>
    <t>32.90.6C.00.28</t>
  </si>
  <si>
    <t>INGRESO PERCIBIDO POR LA UNIVERSIDAD DE ALICANTE EN VIRTUD DE CONVENIO DE COLABORACIÓN CON EL AYUNTAMIENTO DE MUTXAMEL. PARA LA CREACIÓN DE LA CÁTEDRA INSTITUCIONAL ¿ARCADI BLASCO¿ DE LA UNIVERSIDAD DE ALICANTE. ANUALIDAD 2024.</t>
  </si>
  <si>
    <t>Total ingresos investigación 2023-25</t>
  </si>
  <si>
    <t xml:space="preserve">LIQ-TitProp_9386-N Curso_2024-25 AñoCont_2025 - EXPERTO/A EN BOLSA Y MERCADOS ONLINE (viene del ji-24-6804 AD-24-6807) </t>
  </si>
  <si>
    <t xml:space="preserve">LIQ-TitProp_9386-3 Curso_2024-25 AñoCont_2025 - EXPERTO/A EN BOLSA Y MERCADOS ONLINE (PARTE 443 JI-24) </t>
  </si>
  <si>
    <t xml:space="preserve">LIQ-TitProp_9386-3 Curso_2024-25 AñoCont_2025 - EXPERTO/A EN BOLSA Y MERCADOS ONLINE </t>
  </si>
  <si>
    <t xml:space="preserve">LIQ-TitProp_GI42-2 Curso_2024-25 AñoCont_2025 - GESTIÓN CONTABLE INFORMATIZADA (ONLINE) </t>
  </si>
  <si>
    <t xml:space="preserve">LIQ-TitProp_GI42-3 Curso_2024-25 AñoCont_2025 - GESTIÓN CONTABLE INFORMATIZADA (ONLINE) </t>
  </si>
  <si>
    <t>IGOR USABIAGA GARCÍA - CURSO GESTIÓN CONTABLE INFORMATIZADA ONLINE (GI42)</t>
  </si>
  <si>
    <t>LIQ-TitProp_9386- Curso_2024-25 AñoCont_2025 - ESPECIALISTA EN DESALINIZACIÓN Y REUTILIZACIÓN DEL AGUA (CIERRE-25 EMITIDO-25 COBRADO-25) NO-RDT</t>
  </si>
  <si>
    <t xml:space="preserve">LIQ-TitProp_GI42-N Curso_2025-26 AñoCont_2025 - GESTIÓN CONTABLE INFORMATIZADA (ONLINE) _ (Cierre-25) EMITIDO-25 COBRADO-25 </t>
  </si>
  <si>
    <t>Total ingresos formación 2023-25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</si>
</sst>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 _€_-;\-* #,##0.00\ _€_-;_-* &quot;-&quot;??\ _€_-;_-@_-"/>
  </numFmts>
  <fonts count="20" x14ac:knownFonts="1">
    <font>
      <sz val="11"/>
      <color theme="1"/>
      <name val="Calibri"/>
      <family val="2"/>
      <scheme val="minor"/>
    </font>
    <font>
      <sz val="8"/>
      <color theme="1"/>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11"/>
      <color theme="1"/>
      <name val="Calibri"/>
      <family val="2"/>
      <scheme val="minor"/>
    </font>
    <font>
      <b/>
      <sz val="10"/>
      <color theme="1"/>
      <name val="Arial"/>
      <family val="2"/>
    </font>
    <font>
      <b/>
      <sz val="10"/>
      <color theme="0"/>
      <name val="Arial"/>
      <family val="2"/>
    </font>
    <font>
      <sz val="10"/>
      <color theme="1"/>
      <name val="Arial"/>
      <family val="2"/>
    </font>
    <font>
      <b/>
      <sz val="11"/>
      <color theme="0"/>
      <name val="Calibri"/>
      <family val="2"/>
      <scheme val="minor"/>
    </font>
    <font>
      <b/>
      <sz val="11"/>
      <color theme="1"/>
      <name val="Calibri"/>
      <family val="2"/>
      <scheme val="minor"/>
    </font>
    <font>
      <sz val="8"/>
      <name val="Arial"/>
      <family val="2"/>
    </font>
    <font>
      <b/>
      <sz val="8"/>
      <name val="Arial"/>
      <family val="2"/>
    </font>
    <font>
      <b/>
      <sz val="9"/>
      <color indexed="81"/>
      <name val="Tahoma"/>
      <family val="2"/>
    </font>
    <font>
      <sz val="9"/>
      <color indexed="81"/>
      <name val="Tahoma"/>
      <family val="2"/>
    </font>
    <font>
      <b/>
      <sz val="10"/>
      <color theme="0"/>
      <name val="Arial"/>
    </font>
    <font>
      <sz val="10"/>
      <color theme="1"/>
      <name val="Arial"/>
    </font>
    <font>
      <b/>
      <sz val="10"/>
      <color theme="1"/>
      <name val="Arial"/>
    </font>
  </fonts>
  <fills count="14">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theme="9" tint="0.39997558519241921"/>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0" tint="-0.34998626667073579"/>
        <bgColor indexed="64"/>
      </patternFill>
    </fill>
    <fill>
      <patternFill patternType="solid">
        <fgColor theme="0"/>
        <bgColor theme="9" tint="0.79998168889431442"/>
      </patternFill>
    </fill>
    <fill>
      <patternFill patternType="solid">
        <fgColor theme="0"/>
        <bgColor indexed="64"/>
      </patternFill>
    </fill>
    <fill>
      <patternFill patternType="solid">
        <fgColor indexed="9"/>
        <bgColor indexed="64"/>
      </patternFill>
    </fill>
    <fill>
      <patternFill patternType="solid">
        <fgColor theme="2" tint="-0.24994659260841701"/>
        <bgColor indexed="64"/>
      </patternFill>
    </fill>
    <fill>
      <patternFill patternType="solid">
        <fgColor theme="4"/>
        <bgColor theme="4"/>
      </patternFill>
    </fill>
    <fill>
      <patternFill patternType="solid">
        <fgColor theme="4" tint="0.79998168889431442"/>
        <bgColor theme="4" tint="0.79998168889431442"/>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s>
  <cellStyleXfs count="7">
    <xf numFmtId="0" fontId="0" fillId="0" borderId="0"/>
    <xf numFmtId="0" fontId="2" fillId="0" borderId="0"/>
    <xf numFmtId="0" fontId="3" fillId="0" borderId="0"/>
    <xf numFmtId="0" fontId="1" fillId="0" borderId="0"/>
    <xf numFmtId="164" fontId="7" fillId="0" borderId="0" applyFont="0" applyFill="0" applyBorder="0" applyAlignment="0" applyProtection="0"/>
    <xf numFmtId="0" fontId="13" fillId="0" borderId="0"/>
    <xf numFmtId="0" fontId="2" fillId="0" borderId="0"/>
  </cellStyleXfs>
  <cellXfs count="61">
    <xf numFmtId="0" fontId="0" fillId="0" borderId="0" xfId="0"/>
    <xf numFmtId="0" fontId="5" fillId="4" borderId="1" xfId="1" applyFont="1" applyFill="1" applyBorder="1" applyAlignment="1">
      <alignment horizontal="center" textRotation="90" wrapText="1"/>
    </xf>
    <xf numFmtId="0" fontId="5" fillId="3" borderId="1" xfId="1" applyFont="1" applyFill="1" applyBorder="1" applyAlignment="1">
      <alignment horizontal="center" textRotation="90" wrapText="1"/>
    </xf>
    <xf numFmtId="0" fontId="2" fillId="0" borderId="0" xfId="3" applyFont="1"/>
    <xf numFmtId="0" fontId="6" fillId="0" borderId="0" xfId="3" applyFont="1"/>
    <xf numFmtId="0" fontId="6" fillId="0" borderId="0" xfId="3" applyFont="1" applyAlignment="1">
      <alignment horizontal="right"/>
    </xf>
    <xf numFmtId="0" fontId="4" fillId="2" borderId="1" xfId="0" applyFont="1" applyFill="1" applyBorder="1"/>
    <xf numFmtId="0" fontId="4" fillId="2" borderId="1" xfId="0" applyFont="1" applyFill="1" applyBorder="1" applyAlignment="1">
      <alignment textRotation="90"/>
    </xf>
    <xf numFmtId="0" fontId="5" fillId="3" borderId="1" xfId="1" applyFont="1" applyFill="1" applyBorder="1" applyAlignment="1">
      <alignment horizontal="center" wrapText="1"/>
    </xf>
    <xf numFmtId="43" fontId="0" fillId="6" borderId="2" xfId="4" applyNumberFormat="1" applyFont="1" applyFill="1" applyBorder="1"/>
    <xf numFmtId="43" fontId="0" fillId="0" borderId="2" xfId="4" applyNumberFormat="1" applyFont="1" applyBorder="1"/>
    <xf numFmtId="0" fontId="10" fillId="6" borderId="2" xfId="0" applyFont="1" applyFill="1" applyBorder="1"/>
    <xf numFmtId="0" fontId="10" fillId="0" borderId="2" xfId="0" applyFont="1" applyBorder="1"/>
    <xf numFmtId="43" fontId="0" fillId="0" borderId="0" xfId="0" applyNumberFormat="1"/>
    <xf numFmtId="0" fontId="8" fillId="7" borderId="0" xfId="3" applyFont="1" applyFill="1"/>
    <xf numFmtId="0" fontId="8" fillId="7" borderId="0" xfId="3" applyFont="1" applyFill="1" applyAlignment="1">
      <alignment horizontal="right"/>
    </xf>
    <xf numFmtId="0" fontId="6" fillId="0" borderId="1" xfId="3" applyFont="1" applyBorder="1"/>
    <xf numFmtId="0" fontId="6" fillId="0" borderId="1" xfId="3" applyFont="1" applyBorder="1" applyAlignment="1">
      <alignment horizontal="right"/>
    </xf>
    <xf numFmtId="43" fontId="0" fillId="6" borderId="4" xfId="4" applyNumberFormat="1" applyFont="1" applyFill="1" applyBorder="1"/>
    <xf numFmtId="0" fontId="9" fillId="5" borderId="3" xfId="0" applyFont="1" applyFill="1" applyBorder="1"/>
    <xf numFmtId="0" fontId="10" fillId="6" borderId="4" xfId="0" applyFont="1" applyFill="1" applyBorder="1"/>
    <xf numFmtId="0" fontId="6" fillId="8" borderId="4" xfId="0" applyFont="1" applyFill="1" applyBorder="1"/>
    <xf numFmtId="43" fontId="7" fillId="8" borderId="4" xfId="0" applyNumberFormat="1" applyFont="1" applyFill="1" applyBorder="1"/>
    <xf numFmtId="0" fontId="0" fillId="9" borderId="0" xfId="0" applyFill="1"/>
    <xf numFmtId="0" fontId="0" fillId="6" borderId="2" xfId="0" applyNumberFormat="1" applyFont="1" applyFill="1" applyBorder="1"/>
    <xf numFmtId="0" fontId="0" fillId="0" borderId="2" xfId="0" applyNumberFormat="1" applyFont="1" applyBorder="1"/>
    <xf numFmtId="0" fontId="11" fillId="5" borderId="3" xfId="0" applyFont="1" applyFill="1" applyBorder="1"/>
    <xf numFmtId="43" fontId="11" fillId="5" borderId="3" xfId="4" applyNumberFormat="1" applyFont="1" applyFill="1" applyBorder="1"/>
    <xf numFmtId="0" fontId="0" fillId="0" borderId="4" xfId="0" applyNumberFormat="1" applyFont="1" applyBorder="1"/>
    <xf numFmtId="43" fontId="0" fillId="0" borderId="4" xfId="4" applyNumberFormat="1" applyFont="1" applyBorder="1"/>
    <xf numFmtId="0" fontId="0" fillId="0" borderId="0" xfId="0" applyFont="1" applyBorder="1"/>
    <xf numFmtId="43" fontId="7" fillId="0" borderId="0" xfId="0" applyNumberFormat="1" applyFont="1" applyBorder="1"/>
    <xf numFmtId="0" fontId="0" fillId="0" borderId="4" xfId="0" applyFont="1" applyBorder="1"/>
    <xf numFmtId="43" fontId="7" fillId="0" borderId="4" xfId="0" applyNumberFormat="1" applyFont="1" applyBorder="1"/>
    <xf numFmtId="0" fontId="6" fillId="0" borderId="4" xfId="0" applyFont="1" applyBorder="1"/>
    <xf numFmtId="0" fontId="10" fillId="0" borderId="4" xfId="0" applyFont="1" applyBorder="1"/>
    <xf numFmtId="0" fontId="0" fillId="6" borderId="4" xfId="0" applyNumberFormat="1" applyFont="1" applyFill="1" applyBorder="1"/>
    <xf numFmtId="0" fontId="0" fillId="8" borderId="4" xfId="0" applyFont="1" applyFill="1" applyBorder="1"/>
    <xf numFmtId="0" fontId="14" fillId="3" borderId="1" xfId="5" applyFont="1" applyFill="1" applyBorder="1" applyAlignment="1">
      <alignment horizontal="center"/>
    </xf>
    <xf numFmtId="0" fontId="14" fillId="3" borderId="1" xfId="6" applyFont="1" applyFill="1" applyBorder="1" applyAlignment="1">
      <alignment horizontal="center"/>
    </xf>
    <xf numFmtId="0" fontId="14" fillId="3" borderId="1" xfId="1" applyFont="1" applyFill="1" applyBorder="1" applyAlignment="1">
      <alignment horizontal="center" wrapText="1"/>
    </xf>
    <xf numFmtId="0" fontId="14" fillId="3" borderId="1" xfId="1" applyFont="1" applyFill="1" applyBorder="1" applyAlignment="1">
      <alignment horizontal="right" wrapText="1"/>
    </xf>
    <xf numFmtId="0" fontId="13" fillId="10" borderId="1" xfId="5" applyFill="1" applyBorder="1"/>
    <xf numFmtId="0" fontId="13" fillId="10" borderId="1" xfId="5" applyFill="1" applyBorder="1" applyAlignment="1">
      <alignment horizontal="right"/>
    </xf>
    <xf numFmtId="0" fontId="0" fillId="11" borderId="0" xfId="0" applyFill="1"/>
    <xf numFmtId="0" fontId="12" fillId="11" borderId="0" xfId="0" applyFont="1" applyFill="1"/>
    <xf numFmtId="0" fontId="17" fillId="12" borderId="5" xfId="0" applyFont="1" applyFill="1" applyBorder="1"/>
    <xf numFmtId="0" fontId="17" fillId="12" borderId="6" xfId="0" applyFont="1" applyFill="1" applyBorder="1"/>
    <xf numFmtId="0" fontId="18" fillId="13" borderId="5" xfId="0" applyFont="1" applyFill="1" applyBorder="1"/>
    <xf numFmtId="0" fontId="18" fillId="13" borderId="6" xfId="0" applyFont="1" applyFill="1" applyBorder="1"/>
    <xf numFmtId="164" fontId="18" fillId="13" borderId="6" xfId="4" applyFont="1" applyFill="1" applyBorder="1"/>
    <xf numFmtId="0" fontId="18" fillId="0" borderId="5" xfId="0" applyFont="1" applyBorder="1"/>
    <xf numFmtId="0" fontId="18" fillId="0" borderId="6" xfId="0" applyFont="1" applyBorder="1"/>
    <xf numFmtId="164" fontId="18" fillId="0" borderId="6" xfId="4" applyFont="1" applyBorder="1"/>
    <xf numFmtId="0" fontId="19" fillId="0" borderId="7" xfId="0" applyFont="1" applyBorder="1"/>
    <xf numFmtId="0" fontId="19" fillId="0" borderId="8" xfId="0" applyFont="1" applyBorder="1"/>
    <xf numFmtId="164" fontId="19" fillId="0" borderId="8" xfId="4" applyFont="1" applyBorder="1"/>
    <xf numFmtId="0" fontId="12" fillId="0" borderId="1" xfId="0" applyFont="1" applyBorder="1"/>
    <xf numFmtId="164" fontId="12" fillId="0" borderId="1" xfId="4" applyFont="1" applyBorder="1"/>
    <xf numFmtId="164" fontId="17" fillId="12" borderId="6" xfId="4" applyFont="1" applyFill="1" applyBorder="1"/>
    <xf numFmtId="164" fontId="19" fillId="0" borderId="8" xfId="0" applyNumberFormat="1" applyFont="1" applyBorder="1"/>
  </cellXfs>
  <cellStyles count="7">
    <cellStyle name="Millares" xfId="4" builtinId="3"/>
    <cellStyle name="Normal" xfId="0" builtinId="0"/>
    <cellStyle name="Normal 2" xfId="2" xr:uid="{00000000-0005-0000-0000-000001000000}"/>
    <cellStyle name="Normal 3" xfId="3" xr:uid="{00000000-0005-0000-0000-000002000000}"/>
    <cellStyle name="Normal_Becas 14_9_2005" xfId="6" xr:uid="{86212BF0-A00B-4AC0-95A9-51DD6FC10A1B}"/>
    <cellStyle name="Normal_Ind.2010" xfId="5" xr:uid="{EBC0AF8A-1F99-4969-A636-B65D61C3F45C}"/>
    <cellStyle name="Normal_PDI por Centro" xfId="1" xr:uid="{00000000-0005-0000-0000-000005000000}"/>
  </cellStyles>
  <dxfs count="41">
    <dxf>
      <font>
        <b val="0"/>
        <i val="0"/>
        <strike val="0"/>
        <condense val="0"/>
        <extend val="0"/>
        <outline val="0"/>
        <shadow val="0"/>
        <u val="none"/>
        <vertAlign val="baseline"/>
        <sz val="11"/>
        <color theme="1"/>
        <name val="Calibri"/>
        <family val="2"/>
        <scheme val="minor"/>
      </font>
      <fill>
        <patternFill patternType="solid">
          <fgColor theme="9" tint="0.79998168889431442"/>
          <bgColor theme="0"/>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0"/>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0"/>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fill>
        <patternFill>
          <bgColor theme="0"/>
        </patternFill>
      </fill>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35" formatCode="_-* #,##0.00_-;\-* #,##0.00_-;_-* &quot;-&quot;??_-;_-@_-"/>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bottom/>
      </border>
    </dxf>
    <dxf>
      <font>
        <b val="0"/>
        <i val="0"/>
        <strike val="0"/>
        <condense val="0"/>
        <extend val="0"/>
        <outline val="0"/>
        <shadow val="0"/>
        <u val="none"/>
        <vertAlign val="baseline"/>
        <sz val="10"/>
        <color theme="1"/>
        <name val="Arial"/>
        <family val="2"/>
        <scheme val="none"/>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bottom/>
      </border>
    </dxf>
    <dxf>
      <font>
        <b val="0"/>
        <i val="0"/>
        <strike val="0"/>
        <condense val="0"/>
        <extend val="0"/>
        <outline val="0"/>
        <shadow val="0"/>
        <u val="none"/>
        <vertAlign val="baseline"/>
        <sz val="10"/>
        <color theme="1"/>
        <name val="Arial"/>
        <family val="2"/>
        <scheme val="none"/>
      </font>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35" formatCode="_-* #,##0.00_-;\-* #,##0.00_-;_-* &quot;-&quot;??_-;_-@_-"/>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0"/>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0"/>
        </patternFill>
      </fill>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0"/>
        </patternFill>
      </fill>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fill>
        <patternFill>
          <bgColor theme="0"/>
        </patternFill>
      </fill>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FBDCA0-DE03-4D29-9541-81DDD9A50E43}" name="Tabla2" displayName="Tabla2" ref="A1:C11" totalsRowCount="1" headerRowDxfId="40" totalsRowDxfId="37" headerRowBorderDxfId="39" tableBorderDxfId="38" totalsRowBorderDxfId="36">
  <autoFilter ref="A1:C10" xr:uid="{38A85063-8ECF-45FA-A6D5-A110C78A5CCD}"/>
  <tableColumns count="3">
    <tableColumn id="1" xr3:uid="{51410CF1-FBE3-48A4-B5A7-0B7AC1039137}" name="Cód. org. aplic." totalsRowLabel="Total" dataDxfId="35" totalsRowDxfId="34"/>
    <tableColumn id="2" xr3:uid="{68F238F2-FEC4-4785-B25D-10654A6F8E37}" name="Descripción justificante" dataDxfId="33" totalsRowDxfId="32"/>
    <tableColumn id="3" xr3:uid="{AC7A8C16-D86B-4163-A7D2-11A6418250E5}" name="Imp.cob.aplic." totalsRowFunction="sum" dataDxfId="31" totalsRowDxfId="30"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66A5AF-4BDC-4EE8-8985-8382A8AA6CEB}" name="Tabla3" displayName="Tabla3" ref="A1:C10" totalsRowCount="1" headerRowBorderDxfId="29" tableBorderDxfId="28" totalsRowBorderDxfId="27">
  <autoFilter ref="A1:C9" xr:uid="{9AD08822-953A-42A4-B52B-32153241C8F8}"/>
  <tableColumns count="3">
    <tableColumn id="1" xr3:uid="{AD1B2ABF-A9FC-4AC4-9596-F91A11908DC3}" name="Org. aplic." totalsRowLabel="Total" dataDxfId="26" totalsRowDxfId="25"/>
    <tableColumn id="2" xr3:uid="{623AC5FA-DE0F-4E58-8B09-C4C8F6A04C62}" name="Descripción justificante" dataDxfId="24" totalsRowDxfId="23"/>
    <tableColumn id="3" xr3:uid="{1D6BCF0A-2C99-4E3C-BCC6-D13E26172E47}" name="Imp. aplic." totalsRowFunction="sum" dataDxfId="22" totalsRowDxfId="21" dataCellStyle="Millares" totalsRowCellStyle="Millar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21BAA8F-68D9-427C-A2F8-70A5B286B10C}" name="Tabla5" displayName="Tabla5" ref="A1:C22" totalsRowCount="1" headerRowDxfId="20" headerRowBorderDxfId="19" tableBorderDxfId="18" totalsRowBorderDxfId="17">
  <autoFilter ref="A1:C21" xr:uid="{5A02AD19-5589-49F1-B19E-27DB4F7E4103}"/>
  <tableColumns count="3">
    <tableColumn id="1" xr3:uid="{28FE31C0-921D-463A-A2F7-45CBB044481B}" name="Cód. org. aplic." totalsRowLabel="Total" dataDxfId="16" totalsRowDxfId="15"/>
    <tableColumn id="2" xr3:uid="{63E5693B-B852-45FA-81F7-BAC4B6F240C8}" name="Descripción justificante" dataDxfId="14" totalsRowDxfId="13"/>
    <tableColumn id="3" xr3:uid="{2752FCBA-054E-49AA-A8A6-0E01D652FC9D}" name="Imp.cob.aplic." totalsRowFunction="sum" dataDxfId="12" totalsRowDxfId="11" dataCellStyle="Millares" totalsRowCellStyle="Millar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A3E0C9B-2484-4C15-B108-F63C80750A28}" name="Tabla6" displayName="Tabla6" ref="A1:C25" totalsRowCount="1" headerRowDxfId="10" totalsRowDxfId="7" headerRowBorderDxfId="9" tableBorderDxfId="8" totalsRowBorderDxfId="6">
  <autoFilter ref="A1:C24" xr:uid="{B411B019-9D9D-40D2-99C4-34CB28A2385C}"/>
  <tableColumns count="3">
    <tableColumn id="1" xr3:uid="{A62811E6-0CF4-4300-B947-5E29002B47EA}" name="Org. aplic." totalsRowLabel="Total" dataDxfId="5" totalsRowDxfId="4"/>
    <tableColumn id="2" xr3:uid="{846C3440-A1D9-46C8-9CAF-67E9D9109C76}" name="Descripción justificante" dataDxfId="3" totalsRowDxfId="2"/>
    <tableColumn id="3" xr3:uid="{4304CFAA-7D67-4256-BA16-E5C5141EE2F6}" name="Imp. aplic." totalsRowFunction="sum" dataDxfId="1"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32257-1676-4BDD-B9C0-C9FD7B3C229C}">
  <dimension ref="A1:U4"/>
  <sheetViews>
    <sheetView workbookViewId="0">
      <selection activeCell="Q11" sqref="Q11"/>
    </sheetView>
  </sheetViews>
  <sheetFormatPr baseColWidth="10" defaultRowHeight="14.4" x14ac:dyDescent="0.3"/>
  <sheetData>
    <row r="1" spans="1:21" x14ac:dyDescent="0.3">
      <c r="A1" s="38" t="s">
        <v>105</v>
      </c>
      <c r="B1" s="38" t="s">
        <v>106</v>
      </c>
      <c r="C1" s="38" t="s">
        <v>107</v>
      </c>
      <c r="D1" s="38" t="s">
        <v>108</v>
      </c>
      <c r="E1" s="38" t="s">
        <v>109</v>
      </c>
      <c r="F1" s="38" t="s">
        <v>110</v>
      </c>
      <c r="G1" s="38" t="s">
        <v>111</v>
      </c>
      <c r="H1" s="38" t="s">
        <v>112</v>
      </c>
      <c r="I1" s="38" t="s">
        <v>113</v>
      </c>
      <c r="J1" s="38" t="s">
        <v>114</v>
      </c>
      <c r="K1" s="38" t="s">
        <v>115</v>
      </c>
      <c r="L1" s="38" t="s">
        <v>116</v>
      </c>
      <c r="M1" s="39" t="s">
        <v>117</v>
      </c>
      <c r="N1" s="40" t="s">
        <v>118</v>
      </c>
      <c r="O1" s="41" t="s">
        <v>119</v>
      </c>
      <c r="P1" s="40" t="s">
        <v>120</v>
      </c>
      <c r="Q1" s="41" t="s">
        <v>121</v>
      </c>
      <c r="R1" s="40" t="s">
        <v>122</v>
      </c>
      <c r="S1" s="40" t="s">
        <v>123</v>
      </c>
      <c r="T1" s="40" t="s">
        <v>124</v>
      </c>
      <c r="U1" s="40" t="s">
        <v>125</v>
      </c>
    </row>
    <row r="2" spans="1:21" x14ac:dyDescent="0.3">
      <c r="A2" s="42" t="s">
        <v>126</v>
      </c>
      <c r="B2" s="42" t="s">
        <v>127</v>
      </c>
      <c r="C2" s="42" t="s">
        <v>128</v>
      </c>
      <c r="D2" s="42" t="s">
        <v>129</v>
      </c>
      <c r="E2" s="42" t="s">
        <v>130</v>
      </c>
      <c r="F2" s="42" t="s">
        <v>131</v>
      </c>
      <c r="G2" s="42" t="s">
        <v>24</v>
      </c>
      <c r="H2" s="42" t="s">
        <v>132</v>
      </c>
      <c r="I2" s="42" t="s">
        <v>17</v>
      </c>
      <c r="J2" s="42" t="s">
        <v>133</v>
      </c>
      <c r="K2" s="42">
        <v>0.5</v>
      </c>
      <c r="L2" s="42" t="s">
        <v>17</v>
      </c>
      <c r="M2" s="42">
        <v>2024</v>
      </c>
      <c r="N2" s="42" t="s">
        <v>29</v>
      </c>
      <c r="O2" s="43" t="s">
        <v>70</v>
      </c>
      <c r="P2" s="42" t="s">
        <v>2</v>
      </c>
      <c r="Q2" s="43" t="s">
        <v>2</v>
      </c>
      <c r="R2" s="42">
        <v>80</v>
      </c>
      <c r="S2" s="42">
        <v>0.4</v>
      </c>
      <c r="T2" s="42">
        <v>0.1</v>
      </c>
      <c r="U2" s="42">
        <v>0</v>
      </c>
    </row>
    <row r="3" spans="1:21" x14ac:dyDescent="0.3">
      <c r="A3" s="42" t="s">
        <v>126</v>
      </c>
      <c r="B3" s="42" t="s">
        <v>127</v>
      </c>
      <c r="C3" s="42" t="s">
        <v>128</v>
      </c>
      <c r="D3" s="42" t="s">
        <v>129</v>
      </c>
      <c r="E3" s="42" t="s">
        <v>130</v>
      </c>
      <c r="F3" s="42" t="s">
        <v>131</v>
      </c>
      <c r="G3" s="42" t="s">
        <v>19</v>
      </c>
      <c r="H3" s="42" t="s">
        <v>132</v>
      </c>
      <c r="I3" s="42" t="s">
        <v>17</v>
      </c>
      <c r="J3" s="42" t="s">
        <v>133</v>
      </c>
      <c r="K3" s="42">
        <v>0.5</v>
      </c>
      <c r="L3" s="42" t="s">
        <v>17</v>
      </c>
      <c r="M3" s="42">
        <v>2024</v>
      </c>
      <c r="N3" s="42" t="s">
        <v>2</v>
      </c>
      <c r="O3" s="43" t="s">
        <v>2</v>
      </c>
      <c r="P3" s="42" t="s">
        <v>2</v>
      </c>
      <c r="Q3" s="43" t="s">
        <v>2</v>
      </c>
      <c r="R3" s="42">
        <v>100</v>
      </c>
      <c r="S3" s="42">
        <v>0.5</v>
      </c>
      <c r="T3" s="42">
        <v>0</v>
      </c>
      <c r="U3" s="42">
        <v>0</v>
      </c>
    </row>
    <row r="4" spans="1:21" x14ac:dyDescent="0.3">
      <c r="A4" s="44"/>
      <c r="B4" s="44"/>
      <c r="C4" s="44"/>
      <c r="D4" s="44"/>
      <c r="E4" s="44"/>
      <c r="F4" s="44"/>
      <c r="G4" s="44"/>
      <c r="H4" s="44"/>
      <c r="I4" s="44"/>
      <c r="J4" s="44"/>
      <c r="K4" s="44"/>
      <c r="L4" s="44"/>
      <c r="M4" s="44"/>
      <c r="N4" s="44"/>
      <c r="O4" s="44"/>
      <c r="P4" s="44"/>
      <c r="Q4" s="44"/>
      <c r="R4" s="44"/>
      <c r="S4" s="45">
        <f>SUM(S2:S3)</f>
        <v>0.9</v>
      </c>
      <c r="T4" s="44"/>
      <c r="U4" s="44"/>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16"/>
  <sheetViews>
    <sheetView zoomScaleNormal="100" workbookViewId="0">
      <selection activeCell="V11" sqref="V11"/>
    </sheetView>
  </sheetViews>
  <sheetFormatPr baseColWidth="10" defaultColWidth="11.44140625" defaultRowHeight="13.2" x14ac:dyDescent="0.25"/>
  <cols>
    <col min="1" max="1" width="10.44140625" style="4" bestFit="1" customWidth="1"/>
    <col min="2" max="2" width="40" style="4" bestFit="1" customWidth="1"/>
    <col min="3" max="3" width="17" style="4" bestFit="1" customWidth="1"/>
    <col min="4" max="9" width="3.33203125" style="4" bestFit="1" customWidth="1"/>
    <col min="10" max="10" width="13.109375" style="4" bestFit="1" customWidth="1"/>
    <col min="11" max="11" width="5.33203125" style="4" bestFit="1" customWidth="1"/>
    <col min="12" max="13" width="5.6640625" style="4" bestFit="1" customWidth="1"/>
    <col min="14" max="14" width="5.6640625" style="5" bestFit="1" customWidth="1"/>
    <col min="15" max="15" width="5.6640625" style="4" bestFit="1" customWidth="1"/>
    <col min="16" max="16" width="5.6640625" style="5" bestFit="1" customWidth="1"/>
    <col min="17" max="19" width="5.6640625" style="4" bestFit="1" customWidth="1"/>
    <col min="20" max="16384" width="11.44140625" style="4"/>
  </cols>
  <sheetData>
    <row r="1" spans="1:20" s="3" customFormat="1" ht="60" customHeight="1" x14ac:dyDescent="0.25">
      <c r="A1" s="6" t="s">
        <v>3</v>
      </c>
      <c r="B1" s="6" t="s">
        <v>4</v>
      </c>
      <c r="C1" s="6" t="s">
        <v>5</v>
      </c>
      <c r="D1" s="7" t="s">
        <v>134</v>
      </c>
      <c r="E1" s="7" t="s">
        <v>135</v>
      </c>
      <c r="F1" s="7" t="s">
        <v>136</v>
      </c>
      <c r="G1" s="7" t="s">
        <v>137</v>
      </c>
      <c r="H1" s="7" t="s">
        <v>138</v>
      </c>
      <c r="I1" s="7" t="s">
        <v>139</v>
      </c>
      <c r="J1" s="6" t="s">
        <v>6</v>
      </c>
      <c r="K1" s="8" t="s">
        <v>30</v>
      </c>
      <c r="L1" s="1" t="s">
        <v>7</v>
      </c>
      <c r="M1" s="1" t="s">
        <v>8</v>
      </c>
      <c r="N1" s="1" t="s">
        <v>9</v>
      </c>
      <c r="O1" s="1" t="s">
        <v>10</v>
      </c>
      <c r="P1" s="2" t="s">
        <v>11</v>
      </c>
      <c r="Q1" s="2" t="s">
        <v>12</v>
      </c>
      <c r="R1" s="2" t="s">
        <v>13</v>
      </c>
      <c r="S1" s="2" t="s">
        <v>14</v>
      </c>
    </row>
    <row r="2" spans="1:20" x14ac:dyDescent="0.25">
      <c r="A2" s="16" t="s">
        <v>23</v>
      </c>
      <c r="B2" s="16" t="s">
        <v>140</v>
      </c>
      <c r="C2" s="16" t="s">
        <v>15</v>
      </c>
      <c r="D2" s="16"/>
      <c r="E2" s="16"/>
      <c r="F2" s="16"/>
      <c r="G2" s="16"/>
      <c r="H2" s="16"/>
      <c r="I2" s="16">
        <v>1</v>
      </c>
      <c r="J2" s="16">
        <v>1</v>
      </c>
      <c r="K2" s="16" t="s">
        <v>17</v>
      </c>
      <c r="L2" s="16">
        <v>0</v>
      </c>
      <c r="M2" s="16">
        <v>0</v>
      </c>
      <c r="N2" s="17" t="s">
        <v>2</v>
      </c>
      <c r="O2" s="16" t="s">
        <v>2</v>
      </c>
      <c r="P2" s="17">
        <v>100</v>
      </c>
      <c r="Q2" s="16">
        <v>0</v>
      </c>
      <c r="R2" s="16">
        <v>0</v>
      </c>
      <c r="S2" s="16">
        <v>1</v>
      </c>
    </row>
    <row r="3" spans="1:20" x14ac:dyDescent="0.25">
      <c r="A3" s="16" t="s">
        <v>21</v>
      </c>
      <c r="B3" s="16" t="s">
        <v>141</v>
      </c>
      <c r="C3" s="16" t="s">
        <v>15</v>
      </c>
      <c r="D3" s="16"/>
      <c r="E3" s="16"/>
      <c r="F3" s="16"/>
      <c r="G3" s="16"/>
      <c r="H3" s="16">
        <v>1</v>
      </c>
      <c r="I3" s="16"/>
      <c r="J3" s="16">
        <v>1</v>
      </c>
      <c r="K3" s="16" t="s">
        <v>17</v>
      </c>
      <c r="L3" s="16">
        <v>0</v>
      </c>
      <c r="M3" s="16">
        <v>0</v>
      </c>
      <c r="N3" s="17" t="s">
        <v>2</v>
      </c>
      <c r="O3" s="16" t="s">
        <v>2</v>
      </c>
      <c r="P3" s="17">
        <v>100</v>
      </c>
      <c r="Q3" s="16">
        <v>0</v>
      </c>
      <c r="R3" s="16">
        <v>0</v>
      </c>
      <c r="S3" s="16">
        <v>1</v>
      </c>
    </row>
    <row r="4" spans="1:20" x14ac:dyDescent="0.25">
      <c r="A4" s="16" t="s">
        <v>19</v>
      </c>
      <c r="B4" s="16" t="s">
        <v>142</v>
      </c>
      <c r="C4" s="16" t="s">
        <v>15</v>
      </c>
      <c r="D4" s="16"/>
      <c r="E4" s="16"/>
      <c r="F4" s="16"/>
      <c r="G4" s="16"/>
      <c r="H4" s="16">
        <v>1</v>
      </c>
      <c r="I4" s="16"/>
      <c r="J4" s="16">
        <v>1</v>
      </c>
      <c r="K4" s="16" t="s">
        <v>17</v>
      </c>
      <c r="L4" s="16">
        <v>0</v>
      </c>
      <c r="M4" s="16">
        <v>0</v>
      </c>
      <c r="N4" s="17" t="s">
        <v>2</v>
      </c>
      <c r="O4" s="16" t="s">
        <v>2</v>
      </c>
      <c r="P4" s="17">
        <v>100</v>
      </c>
      <c r="Q4" s="16">
        <v>0</v>
      </c>
      <c r="R4" s="16">
        <v>0</v>
      </c>
      <c r="S4" s="16">
        <v>1</v>
      </c>
    </row>
    <row r="5" spans="1:20" x14ac:dyDescent="0.25">
      <c r="A5" s="16" t="s">
        <v>28</v>
      </c>
      <c r="B5" s="16" t="s">
        <v>143</v>
      </c>
      <c r="C5" s="16" t="s">
        <v>36</v>
      </c>
      <c r="D5" s="16"/>
      <c r="E5" s="16"/>
      <c r="F5" s="16"/>
      <c r="G5" s="16"/>
      <c r="H5" s="16"/>
      <c r="I5" s="16">
        <v>1</v>
      </c>
      <c r="J5" s="16">
        <v>1</v>
      </c>
      <c r="K5" s="16" t="s">
        <v>17</v>
      </c>
      <c r="L5" s="16">
        <v>0</v>
      </c>
      <c r="M5" s="16">
        <v>0</v>
      </c>
      <c r="N5" s="17" t="s">
        <v>2</v>
      </c>
      <c r="O5" s="16" t="s">
        <v>2</v>
      </c>
      <c r="P5" s="17">
        <v>100</v>
      </c>
      <c r="Q5" s="16">
        <v>0</v>
      </c>
      <c r="R5" s="16">
        <v>0</v>
      </c>
      <c r="S5" s="16">
        <v>1</v>
      </c>
    </row>
    <row r="6" spans="1:20" x14ac:dyDescent="0.25">
      <c r="A6" s="16" t="s">
        <v>22</v>
      </c>
      <c r="B6" s="16" t="s">
        <v>144</v>
      </c>
      <c r="C6" s="16" t="s">
        <v>15</v>
      </c>
      <c r="D6" s="16"/>
      <c r="E6" s="16"/>
      <c r="F6" s="16"/>
      <c r="G6" s="16"/>
      <c r="H6" s="16">
        <v>1</v>
      </c>
      <c r="I6" s="16"/>
      <c r="J6" s="16">
        <v>1</v>
      </c>
      <c r="K6" s="16" t="s">
        <v>17</v>
      </c>
      <c r="L6" s="16">
        <v>0</v>
      </c>
      <c r="M6" s="16">
        <v>0</v>
      </c>
      <c r="N6" s="17" t="s">
        <v>2</v>
      </c>
      <c r="O6" s="16" t="s">
        <v>2</v>
      </c>
      <c r="P6" s="17">
        <v>100</v>
      </c>
      <c r="Q6" s="16">
        <v>0</v>
      </c>
      <c r="R6" s="16">
        <v>0</v>
      </c>
      <c r="S6" s="16">
        <v>1</v>
      </c>
    </row>
    <row r="7" spans="1:20" x14ac:dyDescent="0.25">
      <c r="A7" s="16" t="s">
        <v>20</v>
      </c>
      <c r="B7" s="16" t="s">
        <v>145</v>
      </c>
      <c r="C7" s="16" t="s">
        <v>36</v>
      </c>
      <c r="D7" s="16"/>
      <c r="E7" s="16"/>
      <c r="F7" s="16"/>
      <c r="G7" s="16"/>
      <c r="H7" s="16"/>
      <c r="I7" s="16">
        <v>1</v>
      </c>
      <c r="J7" s="16">
        <v>1</v>
      </c>
      <c r="K7" s="16" t="s">
        <v>17</v>
      </c>
      <c r="L7" s="16">
        <v>0</v>
      </c>
      <c r="M7" s="16">
        <v>0</v>
      </c>
      <c r="N7" s="17" t="s">
        <v>2</v>
      </c>
      <c r="O7" s="16" t="s">
        <v>2</v>
      </c>
      <c r="P7" s="17">
        <v>100</v>
      </c>
      <c r="Q7" s="16">
        <v>0</v>
      </c>
      <c r="R7" s="16">
        <v>0</v>
      </c>
      <c r="S7" s="16">
        <v>1</v>
      </c>
    </row>
    <row r="8" spans="1:20" x14ac:dyDescent="0.25">
      <c r="A8" s="16" t="s">
        <v>146</v>
      </c>
      <c r="B8" s="16" t="s">
        <v>147</v>
      </c>
      <c r="C8" s="16" t="s">
        <v>15</v>
      </c>
      <c r="D8" s="16"/>
      <c r="E8" s="16"/>
      <c r="F8" s="16"/>
      <c r="G8" s="16"/>
      <c r="H8" s="16">
        <v>2</v>
      </c>
      <c r="I8" s="16"/>
      <c r="J8" s="16">
        <v>2</v>
      </c>
      <c r="K8" s="16" t="s">
        <v>17</v>
      </c>
      <c r="L8" s="16">
        <v>0</v>
      </c>
      <c r="M8" s="16">
        <v>0</v>
      </c>
      <c r="N8" s="17" t="s">
        <v>2</v>
      </c>
      <c r="O8" s="16" t="s">
        <v>2</v>
      </c>
      <c r="P8" s="17">
        <v>100</v>
      </c>
      <c r="Q8" s="16">
        <v>0</v>
      </c>
      <c r="R8" s="16">
        <v>0</v>
      </c>
      <c r="S8" s="16">
        <v>2</v>
      </c>
    </row>
    <row r="9" spans="1:20" x14ac:dyDescent="0.25">
      <c r="A9" s="16" t="s">
        <v>16</v>
      </c>
      <c r="B9" s="16" t="s">
        <v>148</v>
      </c>
      <c r="C9" s="16" t="s">
        <v>15</v>
      </c>
      <c r="D9" s="16"/>
      <c r="E9" s="16"/>
      <c r="F9" s="16">
        <v>1</v>
      </c>
      <c r="G9" s="16"/>
      <c r="H9" s="16"/>
      <c r="I9" s="16"/>
      <c r="J9" s="16">
        <v>1</v>
      </c>
      <c r="K9" s="16" t="s">
        <v>17</v>
      </c>
      <c r="L9" s="16">
        <v>0</v>
      </c>
      <c r="M9" s="16">
        <v>0</v>
      </c>
      <c r="N9" s="17" t="s">
        <v>2</v>
      </c>
      <c r="O9" s="16" t="s">
        <v>2</v>
      </c>
      <c r="P9" s="17">
        <v>100</v>
      </c>
      <c r="Q9" s="16">
        <v>0</v>
      </c>
      <c r="R9" s="16">
        <v>0</v>
      </c>
      <c r="S9" s="16">
        <v>1</v>
      </c>
    </row>
    <row r="10" spans="1:20" x14ac:dyDescent="0.25">
      <c r="A10" s="16" t="s">
        <v>69</v>
      </c>
      <c r="B10" s="16" t="s">
        <v>149</v>
      </c>
      <c r="C10" s="16" t="s">
        <v>15</v>
      </c>
      <c r="D10" s="16"/>
      <c r="E10" s="16"/>
      <c r="F10" s="16"/>
      <c r="G10" s="16"/>
      <c r="H10" s="16">
        <v>1</v>
      </c>
      <c r="I10" s="16"/>
      <c r="J10" s="16">
        <v>1</v>
      </c>
      <c r="K10" s="16" t="s">
        <v>17</v>
      </c>
      <c r="L10" s="16">
        <v>0</v>
      </c>
      <c r="M10" s="16">
        <v>0</v>
      </c>
      <c r="N10" s="17" t="s">
        <v>2</v>
      </c>
      <c r="O10" s="16" t="s">
        <v>2</v>
      </c>
      <c r="P10" s="17">
        <v>100</v>
      </c>
      <c r="Q10" s="16">
        <v>0</v>
      </c>
      <c r="R10" s="16">
        <v>0</v>
      </c>
      <c r="S10" s="16">
        <v>1</v>
      </c>
    </row>
    <row r="11" spans="1:20" x14ac:dyDescent="0.25">
      <c r="A11" s="16" t="s">
        <v>18</v>
      </c>
      <c r="B11" s="16" t="s">
        <v>150</v>
      </c>
      <c r="C11" s="16" t="s">
        <v>36</v>
      </c>
      <c r="D11" s="16"/>
      <c r="E11" s="16"/>
      <c r="F11" s="16"/>
      <c r="G11" s="16"/>
      <c r="H11" s="16"/>
      <c r="I11" s="16">
        <v>1</v>
      </c>
      <c r="J11" s="16">
        <v>1</v>
      </c>
      <c r="K11" s="16" t="s">
        <v>17</v>
      </c>
      <c r="L11" s="16">
        <v>0</v>
      </c>
      <c r="M11" s="16">
        <v>0</v>
      </c>
      <c r="N11" s="17" t="s">
        <v>2</v>
      </c>
      <c r="O11" s="16" t="s">
        <v>2</v>
      </c>
      <c r="P11" s="17">
        <v>100</v>
      </c>
      <c r="Q11" s="16">
        <v>0</v>
      </c>
      <c r="R11" s="16">
        <v>0</v>
      </c>
      <c r="S11" s="16">
        <v>1</v>
      </c>
    </row>
    <row r="12" spans="1:20" x14ac:dyDescent="0.25">
      <c r="A12" s="16" t="s">
        <v>24</v>
      </c>
      <c r="B12" s="16" t="s">
        <v>151</v>
      </c>
      <c r="C12" s="16" t="s">
        <v>15</v>
      </c>
      <c r="D12" s="16"/>
      <c r="E12" s="16"/>
      <c r="F12" s="16"/>
      <c r="G12" s="16"/>
      <c r="H12" s="16"/>
      <c r="I12" s="16">
        <v>1</v>
      </c>
      <c r="J12" s="16">
        <v>1</v>
      </c>
      <c r="K12" s="16" t="s">
        <v>17</v>
      </c>
      <c r="L12" s="16" t="s">
        <v>29</v>
      </c>
      <c r="M12" s="16" t="s">
        <v>70</v>
      </c>
      <c r="N12" s="17" t="s">
        <v>2</v>
      </c>
      <c r="O12" s="16" t="s">
        <v>2</v>
      </c>
      <c r="P12" s="17">
        <v>80</v>
      </c>
      <c r="Q12" s="16">
        <v>0.2</v>
      </c>
      <c r="R12" s="16">
        <v>0</v>
      </c>
      <c r="S12" s="16">
        <v>0.8</v>
      </c>
    </row>
    <row r="13" spans="1:20" x14ac:dyDescent="0.25">
      <c r="A13" s="14"/>
      <c r="B13" s="14"/>
      <c r="C13" s="14"/>
      <c r="D13" s="14"/>
      <c r="E13" s="14"/>
      <c r="F13" s="14"/>
      <c r="G13" s="14"/>
      <c r="H13" s="14"/>
      <c r="I13" s="14"/>
      <c r="J13" s="14"/>
      <c r="K13" s="14"/>
      <c r="L13" s="14"/>
      <c r="M13" s="14"/>
      <c r="N13" s="15"/>
      <c r="O13" s="14"/>
      <c r="P13" s="15"/>
      <c r="Q13" s="14"/>
      <c r="R13" s="14"/>
      <c r="S13" s="14">
        <f>SUM(S2:S12)</f>
        <v>11.8</v>
      </c>
    </row>
    <row r="16" spans="1:20" s="3" customFormat="1" ht="60" customHeight="1" x14ac:dyDescent="0.25">
      <c r="A16" s="4"/>
      <c r="B16" s="4"/>
      <c r="C16" s="4"/>
      <c r="D16" s="4"/>
      <c r="E16" s="4"/>
      <c r="F16" s="4"/>
      <c r="G16" s="4"/>
      <c r="H16" s="4"/>
      <c r="I16" s="4"/>
      <c r="J16" s="4"/>
      <c r="K16" s="4"/>
      <c r="L16" s="4"/>
      <c r="M16" s="4"/>
      <c r="N16" s="5"/>
      <c r="O16" s="4"/>
      <c r="P16" s="5"/>
      <c r="Q16" s="4"/>
      <c r="R16" s="4"/>
      <c r="S16" s="4"/>
      <c r="T16" s="4"/>
    </row>
  </sheetData>
  <pageMargins left="0.39370078740157483" right="0.39370078740157483" top="0.39370078740157483" bottom="0.39370078740157483" header="0.31496062992125984" footer="0.31496062992125984"/>
  <pageSetup paperSize="9"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84FD4-0792-40E9-AEDB-68D6175491F4}">
  <dimension ref="A1:C12"/>
  <sheetViews>
    <sheetView workbookViewId="0">
      <selection activeCell="G22" sqref="G22"/>
    </sheetView>
  </sheetViews>
  <sheetFormatPr baseColWidth="10" defaultRowHeight="14.4" x14ac:dyDescent="0.3"/>
  <cols>
    <col min="1" max="1" width="17" customWidth="1"/>
    <col min="2" max="2" width="86.109375" customWidth="1"/>
    <col min="3" max="3" width="16" customWidth="1"/>
  </cols>
  <sheetData>
    <row r="1" spans="1:3" x14ac:dyDescent="0.3">
      <c r="A1" s="19" t="s">
        <v>31</v>
      </c>
      <c r="B1" s="19" t="s">
        <v>32</v>
      </c>
      <c r="C1" s="19" t="s">
        <v>33</v>
      </c>
    </row>
    <row r="2" spans="1:3" x14ac:dyDescent="0.3">
      <c r="A2" s="11" t="s">
        <v>34</v>
      </c>
      <c r="B2" s="11" t="s">
        <v>37</v>
      </c>
      <c r="C2" s="9">
        <v>1760</v>
      </c>
    </row>
    <row r="3" spans="1:3" x14ac:dyDescent="0.3">
      <c r="A3" s="12" t="s">
        <v>38</v>
      </c>
      <c r="B3" s="12" t="s">
        <v>39</v>
      </c>
      <c r="C3" s="10">
        <v>4400</v>
      </c>
    </row>
    <row r="4" spans="1:3" x14ac:dyDescent="0.3">
      <c r="A4" s="11" t="s">
        <v>40</v>
      </c>
      <c r="B4" s="11" t="s">
        <v>41</v>
      </c>
      <c r="C4" s="9">
        <v>7040</v>
      </c>
    </row>
    <row r="5" spans="1:3" x14ac:dyDescent="0.3">
      <c r="A5" s="12" t="s">
        <v>42</v>
      </c>
      <c r="B5" s="12" t="s">
        <v>43</v>
      </c>
      <c r="C5" s="10">
        <v>6670.75</v>
      </c>
    </row>
    <row r="6" spans="1:3" x14ac:dyDescent="0.3">
      <c r="A6" s="11" t="s">
        <v>42</v>
      </c>
      <c r="B6" s="11" t="s">
        <v>44</v>
      </c>
      <c r="C6" s="9">
        <v>3335.38</v>
      </c>
    </row>
    <row r="7" spans="1:3" x14ac:dyDescent="0.3">
      <c r="A7" s="12" t="s">
        <v>42</v>
      </c>
      <c r="B7" s="12" t="s">
        <v>45</v>
      </c>
      <c r="C7" s="10">
        <v>6670.75</v>
      </c>
    </row>
    <row r="8" spans="1:3" x14ac:dyDescent="0.3">
      <c r="A8" s="11" t="s">
        <v>25</v>
      </c>
      <c r="B8" s="11" t="s">
        <v>46</v>
      </c>
      <c r="C8" s="9">
        <v>-15841.09</v>
      </c>
    </row>
    <row r="9" spans="1:3" x14ac:dyDescent="0.3">
      <c r="A9" s="12" t="s">
        <v>25</v>
      </c>
      <c r="B9" s="12" t="s">
        <v>47</v>
      </c>
      <c r="C9" s="10">
        <v>-15841.09</v>
      </c>
    </row>
    <row r="10" spans="1:3" x14ac:dyDescent="0.3">
      <c r="A10" s="20" t="s">
        <v>48</v>
      </c>
      <c r="B10" s="20" t="s">
        <v>49</v>
      </c>
      <c r="C10" s="18">
        <v>15000</v>
      </c>
    </row>
    <row r="11" spans="1:3" s="23" customFormat="1" x14ac:dyDescent="0.3">
      <c r="A11" s="21" t="s">
        <v>0</v>
      </c>
      <c r="B11" s="21"/>
      <c r="C11" s="22">
        <f>SUBTOTAL(109,Tabla2[Imp.cob.aplic.])</f>
        <v>13194.7</v>
      </c>
    </row>
    <row r="12" spans="1:3" x14ac:dyDescent="0.3">
      <c r="C12" s="1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D1F37-EA8E-4A4B-8BC1-C1ED75230B80}">
  <dimension ref="A1:C12"/>
  <sheetViews>
    <sheetView workbookViewId="0">
      <selection activeCell="B14" sqref="B14:C14"/>
    </sheetView>
  </sheetViews>
  <sheetFormatPr baseColWidth="10" defaultRowHeight="14.4" x14ac:dyDescent="0.3"/>
  <cols>
    <col min="1" max="1" width="18.33203125" customWidth="1"/>
    <col min="2" max="2" width="57.6640625" customWidth="1"/>
    <col min="3" max="3" width="13.109375" customWidth="1"/>
  </cols>
  <sheetData>
    <row r="1" spans="1:3" x14ac:dyDescent="0.3">
      <c r="A1" s="26" t="s">
        <v>71</v>
      </c>
      <c r="B1" s="26" t="s">
        <v>32</v>
      </c>
      <c r="C1" s="27" t="s">
        <v>72</v>
      </c>
    </row>
    <row r="2" spans="1:3" x14ac:dyDescent="0.3">
      <c r="A2" s="24" t="s">
        <v>73</v>
      </c>
      <c r="B2" s="24" t="s">
        <v>74</v>
      </c>
      <c r="C2" s="9">
        <v>6160</v>
      </c>
    </row>
    <row r="3" spans="1:3" x14ac:dyDescent="0.3">
      <c r="A3" s="25" t="s">
        <v>75</v>
      </c>
      <c r="B3" s="25" t="s">
        <v>76</v>
      </c>
      <c r="C3" s="10">
        <v>8800</v>
      </c>
    </row>
    <row r="4" spans="1:3" x14ac:dyDescent="0.3">
      <c r="A4" s="24" t="s">
        <v>75</v>
      </c>
      <c r="B4" s="24" t="s">
        <v>77</v>
      </c>
      <c r="C4" s="9">
        <v>8800</v>
      </c>
    </row>
    <row r="5" spans="1:3" x14ac:dyDescent="0.3">
      <c r="A5" s="25" t="s">
        <v>75</v>
      </c>
      <c r="B5" s="25" t="s">
        <v>78</v>
      </c>
      <c r="C5" s="10">
        <v>8800</v>
      </c>
    </row>
    <row r="6" spans="1:3" x14ac:dyDescent="0.3">
      <c r="A6" s="24" t="s">
        <v>79</v>
      </c>
      <c r="B6" s="24" t="s">
        <v>80</v>
      </c>
      <c r="C6" s="9">
        <v>2640</v>
      </c>
    </row>
    <row r="7" spans="1:3" x14ac:dyDescent="0.3">
      <c r="A7" s="25" t="s">
        <v>79</v>
      </c>
      <c r="B7" s="25" t="s">
        <v>81</v>
      </c>
      <c r="C7" s="10">
        <v>3520</v>
      </c>
    </row>
    <row r="8" spans="1:3" x14ac:dyDescent="0.3">
      <c r="A8" s="24" t="s">
        <v>82</v>
      </c>
      <c r="B8" s="24" t="s">
        <v>83</v>
      </c>
      <c r="C8" s="9">
        <v>1056</v>
      </c>
    </row>
    <row r="9" spans="1:3" x14ac:dyDescent="0.3">
      <c r="A9" s="28" t="s">
        <v>48</v>
      </c>
      <c r="B9" s="28" t="s">
        <v>84</v>
      </c>
      <c r="C9" s="29">
        <v>-15000</v>
      </c>
    </row>
    <row r="10" spans="1:3" x14ac:dyDescent="0.3">
      <c r="A10" s="32" t="s">
        <v>0</v>
      </c>
      <c r="B10" s="32"/>
      <c r="C10" s="33">
        <f>SUBTOTAL(109,Tabla3[Imp. aplic.])</f>
        <v>24776</v>
      </c>
    </row>
    <row r="11" spans="1:3" x14ac:dyDescent="0.3">
      <c r="A11" s="30"/>
      <c r="B11" s="30"/>
      <c r="C11" s="31"/>
    </row>
    <row r="12" spans="1:3" x14ac:dyDescent="0.3">
      <c r="A12" s="30"/>
      <c r="B12" s="30"/>
      <c r="C12" s="31"/>
    </row>
  </sheetData>
  <pageMargins left="0.7" right="0.7" top="0.75" bottom="0.75" header="0.3" footer="0.3"/>
  <pageSetup paperSize="9" orientation="portrait" horizontalDpi="0"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85735-AA5E-43CC-AAF3-F6C49C3555CD}">
  <dimension ref="A1:C16"/>
  <sheetViews>
    <sheetView workbookViewId="0">
      <selection activeCell="C24" sqref="C24"/>
    </sheetView>
  </sheetViews>
  <sheetFormatPr baseColWidth="10" defaultRowHeight="14.4" x14ac:dyDescent="0.3"/>
  <cols>
    <col min="1" max="1" width="17.44140625" customWidth="1"/>
    <col min="2" max="2" width="58.109375" customWidth="1"/>
    <col min="3" max="3" width="16.88671875" customWidth="1"/>
  </cols>
  <sheetData>
    <row r="1" spans="1:3" x14ac:dyDescent="0.3">
      <c r="A1" s="46" t="s">
        <v>71</v>
      </c>
      <c r="B1" s="47" t="s">
        <v>32</v>
      </c>
      <c r="C1" s="47" t="s">
        <v>72</v>
      </c>
    </row>
    <row r="2" spans="1:3" x14ac:dyDescent="0.3">
      <c r="A2" s="48" t="s">
        <v>75</v>
      </c>
      <c r="B2" s="49" t="s">
        <v>152</v>
      </c>
      <c r="C2" s="50">
        <v>8800</v>
      </c>
    </row>
    <row r="3" spans="1:3" x14ac:dyDescent="0.3">
      <c r="A3" s="51" t="s">
        <v>79</v>
      </c>
      <c r="B3" s="52" t="s">
        <v>153</v>
      </c>
      <c r="C3" s="53">
        <v>11000</v>
      </c>
    </row>
    <row r="4" spans="1:3" x14ac:dyDescent="0.3">
      <c r="A4" s="48" t="s">
        <v>79</v>
      </c>
      <c r="B4" s="49" t="s">
        <v>154</v>
      </c>
      <c r="C4" s="50">
        <v>3960</v>
      </c>
    </row>
    <row r="5" spans="1:3" x14ac:dyDescent="0.3">
      <c r="A5" s="51" t="s">
        <v>155</v>
      </c>
      <c r="B5" s="52" t="s">
        <v>156</v>
      </c>
      <c r="C5" s="53">
        <v>818.4</v>
      </c>
    </row>
    <row r="6" spans="1:3" x14ac:dyDescent="0.3">
      <c r="A6" s="48" t="s">
        <v>155</v>
      </c>
      <c r="B6" s="49" t="s">
        <v>157</v>
      </c>
      <c r="C6" s="50">
        <v>1909.6</v>
      </c>
    </row>
    <row r="7" spans="1:3" x14ac:dyDescent="0.3">
      <c r="A7" s="51" t="s">
        <v>158</v>
      </c>
      <c r="B7" s="52" t="s">
        <v>159</v>
      </c>
      <c r="C7" s="53">
        <v>523.64</v>
      </c>
    </row>
    <row r="8" spans="1:3" x14ac:dyDescent="0.3">
      <c r="A8" s="48" t="s">
        <v>160</v>
      </c>
      <c r="B8" s="49" t="s">
        <v>161</v>
      </c>
      <c r="C8" s="50">
        <v>12100</v>
      </c>
    </row>
    <row r="9" spans="1:3" x14ac:dyDescent="0.3">
      <c r="A9" s="51" t="s">
        <v>162</v>
      </c>
      <c r="B9" s="52" t="s">
        <v>163</v>
      </c>
      <c r="C9" s="53">
        <v>1000</v>
      </c>
    </row>
    <row r="10" spans="1:3" x14ac:dyDescent="0.3">
      <c r="A10" s="48" t="s">
        <v>164</v>
      </c>
      <c r="B10" s="49" t="s">
        <v>165</v>
      </c>
      <c r="C10" s="50">
        <v>2000</v>
      </c>
    </row>
    <row r="11" spans="1:3" x14ac:dyDescent="0.3">
      <c r="A11" s="51" t="s">
        <v>166</v>
      </c>
      <c r="B11" s="52" t="s">
        <v>163</v>
      </c>
      <c r="C11" s="53">
        <v>1000</v>
      </c>
    </row>
    <row r="12" spans="1:3" ht="15" thickBot="1" x14ac:dyDescent="0.35">
      <c r="A12" s="48" t="s">
        <v>48</v>
      </c>
      <c r="B12" s="49" t="s">
        <v>167</v>
      </c>
      <c r="C12" s="50">
        <v>6662.59</v>
      </c>
    </row>
    <row r="13" spans="1:3" ht="15" thickTop="1" x14ac:dyDescent="0.3">
      <c r="A13" s="54" t="s">
        <v>0</v>
      </c>
      <c r="B13" s="55"/>
      <c r="C13" s="56">
        <v>49774.229999999996</v>
      </c>
    </row>
    <row r="16" spans="1:3" x14ac:dyDescent="0.3">
      <c r="B16" s="57" t="s">
        <v>168</v>
      </c>
      <c r="C16" s="58">
        <f>Tabla3[[#Totals],[Imp. aplic.]]+Tabla2[[#Totals],[Imp.cob.aplic.]]+C13</f>
        <v>87744.93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76CD8-4EDF-4AD4-B00C-1EB71916A9D7}">
  <dimension ref="A1:C23"/>
  <sheetViews>
    <sheetView workbookViewId="0">
      <selection activeCell="F22" sqref="F22"/>
    </sheetView>
  </sheetViews>
  <sheetFormatPr baseColWidth="10" defaultRowHeight="14.4" x14ac:dyDescent="0.3"/>
  <cols>
    <col min="1" max="1" width="17" customWidth="1"/>
    <col min="2" max="2" width="109.109375" customWidth="1"/>
    <col min="3" max="3" width="16" customWidth="1"/>
  </cols>
  <sheetData>
    <row r="1" spans="1:3" x14ac:dyDescent="0.3">
      <c r="A1" s="19" t="s">
        <v>31</v>
      </c>
      <c r="B1" s="19" t="s">
        <v>32</v>
      </c>
      <c r="C1" s="19" t="s">
        <v>33</v>
      </c>
    </row>
    <row r="2" spans="1:3" x14ac:dyDescent="0.3">
      <c r="A2" s="11" t="s">
        <v>26</v>
      </c>
      <c r="B2" s="11" t="s">
        <v>50</v>
      </c>
      <c r="C2" s="9">
        <v>2031.97</v>
      </c>
    </row>
    <row r="3" spans="1:3" x14ac:dyDescent="0.3">
      <c r="A3" s="12" t="s">
        <v>26</v>
      </c>
      <c r="B3" s="12" t="s">
        <v>51</v>
      </c>
      <c r="C3" s="10">
        <v>598.5</v>
      </c>
    </row>
    <row r="4" spans="1:3" x14ac:dyDescent="0.3">
      <c r="A4" s="11" t="s">
        <v>26</v>
      </c>
      <c r="B4" s="11" t="s">
        <v>52</v>
      </c>
      <c r="C4" s="9">
        <v>2031.97</v>
      </c>
    </row>
    <row r="5" spans="1:3" x14ac:dyDescent="0.3">
      <c r="A5" s="12" t="s">
        <v>26</v>
      </c>
      <c r="B5" s="12" t="s">
        <v>53</v>
      </c>
      <c r="C5" s="10">
        <v>2031.97</v>
      </c>
    </row>
    <row r="6" spans="1:3" x14ac:dyDescent="0.3">
      <c r="A6" s="11" t="s">
        <v>26</v>
      </c>
      <c r="B6" s="11" t="s">
        <v>54</v>
      </c>
      <c r="C6" s="9">
        <v>632.15</v>
      </c>
    </row>
    <row r="7" spans="1:3" x14ac:dyDescent="0.3">
      <c r="A7" s="12" t="s">
        <v>26</v>
      </c>
      <c r="B7" s="12" t="s">
        <v>55</v>
      </c>
      <c r="C7" s="10">
        <v>2031.97</v>
      </c>
    </row>
    <row r="8" spans="1:3" x14ac:dyDescent="0.3">
      <c r="A8" s="11" t="s">
        <v>26</v>
      </c>
      <c r="B8" s="11" t="s">
        <v>56</v>
      </c>
      <c r="C8" s="9">
        <v>632.15</v>
      </c>
    </row>
    <row r="9" spans="1:3" x14ac:dyDescent="0.3">
      <c r="A9" s="12" t="s">
        <v>26</v>
      </c>
      <c r="B9" s="12" t="s">
        <v>51</v>
      </c>
      <c r="C9" s="10">
        <v>635.47</v>
      </c>
    </row>
    <row r="10" spans="1:3" x14ac:dyDescent="0.3">
      <c r="A10" s="11" t="s">
        <v>26</v>
      </c>
      <c r="B10" s="11" t="s">
        <v>57</v>
      </c>
      <c r="C10" s="9">
        <v>40639.69</v>
      </c>
    </row>
    <row r="11" spans="1:3" x14ac:dyDescent="0.3">
      <c r="A11" s="12" t="s">
        <v>26</v>
      </c>
      <c r="B11" s="12" t="s">
        <v>58</v>
      </c>
      <c r="C11" s="10">
        <v>-11471.46</v>
      </c>
    </row>
    <row r="12" spans="1:3" x14ac:dyDescent="0.3">
      <c r="A12" s="11" t="s">
        <v>26</v>
      </c>
      <c r="B12" s="11" t="s">
        <v>59</v>
      </c>
      <c r="C12" s="9">
        <v>12982.92</v>
      </c>
    </row>
    <row r="13" spans="1:3" x14ac:dyDescent="0.3">
      <c r="A13" s="12" t="s">
        <v>26</v>
      </c>
      <c r="B13" s="12" t="s">
        <v>60</v>
      </c>
      <c r="C13" s="10">
        <v>-508.72</v>
      </c>
    </row>
    <row r="14" spans="1:3" x14ac:dyDescent="0.3">
      <c r="A14" s="11" t="s">
        <v>27</v>
      </c>
      <c r="B14" s="11" t="s">
        <v>61</v>
      </c>
      <c r="C14" s="9">
        <v>437.5</v>
      </c>
    </row>
    <row r="15" spans="1:3" x14ac:dyDescent="0.3">
      <c r="A15" s="12" t="s">
        <v>27</v>
      </c>
      <c r="B15" s="12" t="s">
        <v>62</v>
      </c>
      <c r="C15" s="10">
        <v>1312.5</v>
      </c>
    </row>
    <row r="16" spans="1:3" x14ac:dyDescent="0.3">
      <c r="A16" s="11" t="s">
        <v>27</v>
      </c>
      <c r="B16" s="11" t="s">
        <v>63</v>
      </c>
      <c r="C16" s="9">
        <v>2603.13</v>
      </c>
    </row>
    <row r="17" spans="1:3" x14ac:dyDescent="0.3">
      <c r="A17" s="12" t="s">
        <v>27</v>
      </c>
      <c r="B17" s="12" t="s">
        <v>64</v>
      </c>
      <c r="C17" s="10">
        <v>437.5</v>
      </c>
    </row>
    <row r="18" spans="1:3" x14ac:dyDescent="0.3">
      <c r="A18" s="11" t="s">
        <v>27</v>
      </c>
      <c r="B18" s="11" t="s">
        <v>65</v>
      </c>
      <c r="C18" s="9">
        <v>1783.84</v>
      </c>
    </row>
    <row r="19" spans="1:3" x14ac:dyDescent="0.3">
      <c r="A19" s="12" t="s">
        <v>35</v>
      </c>
      <c r="B19" s="12" t="s">
        <v>66</v>
      </c>
      <c r="C19" s="10">
        <v>8073</v>
      </c>
    </row>
    <row r="20" spans="1:3" x14ac:dyDescent="0.3">
      <c r="A20" s="11" t="s">
        <v>35</v>
      </c>
      <c r="B20" s="11" t="s">
        <v>67</v>
      </c>
      <c r="C20" s="9">
        <v>3627</v>
      </c>
    </row>
    <row r="21" spans="1:3" x14ac:dyDescent="0.3">
      <c r="A21" s="35" t="s">
        <v>35</v>
      </c>
      <c r="B21" s="35" t="s">
        <v>68</v>
      </c>
      <c r="C21" s="29">
        <v>-117</v>
      </c>
    </row>
    <row r="22" spans="1:3" x14ac:dyDescent="0.3">
      <c r="A22" s="34" t="s">
        <v>0</v>
      </c>
      <c r="B22" s="34"/>
      <c r="C22" s="33">
        <f>SUBTOTAL(109,Tabla5[Imp.cob.aplic.])</f>
        <v>70426.049999999988</v>
      </c>
    </row>
    <row r="23" spans="1:3" x14ac:dyDescent="0.3">
      <c r="C23" s="13"/>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D7C0F-2B35-45BE-8249-B36A2DCFAC09}">
  <dimension ref="A1:C25"/>
  <sheetViews>
    <sheetView topLeftCell="A7" workbookViewId="0">
      <selection activeCell="G25" sqref="G25"/>
    </sheetView>
  </sheetViews>
  <sheetFormatPr baseColWidth="10" defaultRowHeight="14.4" x14ac:dyDescent="0.3"/>
  <cols>
    <col min="1" max="1" width="12" customWidth="1"/>
    <col min="2" max="2" width="71.88671875" customWidth="1"/>
    <col min="3" max="3" width="18.88671875" customWidth="1"/>
  </cols>
  <sheetData>
    <row r="1" spans="1:3" x14ac:dyDescent="0.3">
      <c r="A1" s="26" t="s">
        <v>71</v>
      </c>
      <c r="B1" s="26" t="s">
        <v>32</v>
      </c>
      <c r="C1" s="26" t="s">
        <v>72</v>
      </c>
    </row>
    <row r="2" spans="1:3" x14ac:dyDescent="0.3">
      <c r="A2" s="24" t="s">
        <v>85</v>
      </c>
      <c r="B2" s="24" t="s">
        <v>86</v>
      </c>
      <c r="C2" s="9">
        <v>-256.29000000000002</v>
      </c>
    </row>
    <row r="3" spans="1:3" x14ac:dyDescent="0.3">
      <c r="A3" s="25" t="s">
        <v>1</v>
      </c>
      <c r="B3" s="25" t="s">
        <v>87</v>
      </c>
      <c r="C3" s="10">
        <v>-0.01</v>
      </c>
    </row>
    <row r="4" spans="1:3" x14ac:dyDescent="0.3">
      <c r="A4" s="24" t="s">
        <v>1</v>
      </c>
      <c r="B4" s="24" t="s">
        <v>88</v>
      </c>
      <c r="C4" s="9">
        <v>4.2</v>
      </c>
    </row>
    <row r="5" spans="1:3" x14ac:dyDescent="0.3">
      <c r="A5" s="25" t="s">
        <v>26</v>
      </c>
      <c r="B5" s="25" t="s">
        <v>89</v>
      </c>
      <c r="C5" s="10">
        <v>559.92999999999995</v>
      </c>
    </row>
    <row r="6" spans="1:3" x14ac:dyDescent="0.3">
      <c r="A6" s="24" t="s">
        <v>26</v>
      </c>
      <c r="B6" s="24" t="s">
        <v>51</v>
      </c>
      <c r="C6" s="9">
        <v>399</v>
      </c>
    </row>
    <row r="7" spans="1:3" x14ac:dyDescent="0.3">
      <c r="A7" s="25" t="s">
        <v>26</v>
      </c>
      <c r="B7" s="25" t="s">
        <v>51</v>
      </c>
      <c r="C7" s="10">
        <v>399</v>
      </c>
    </row>
    <row r="8" spans="1:3" x14ac:dyDescent="0.3">
      <c r="A8" s="24" t="s">
        <v>26</v>
      </c>
      <c r="B8" s="24" t="s">
        <v>54</v>
      </c>
      <c r="C8" s="9">
        <v>419.95</v>
      </c>
    </row>
    <row r="9" spans="1:3" x14ac:dyDescent="0.3">
      <c r="A9" s="25" t="s">
        <v>26</v>
      </c>
      <c r="B9" s="25" t="s">
        <v>56</v>
      </c>
      <c r="C9" s="10">
        <v>979.88</v>
      </c>
    </row>
    <row r="10" spans="1:3" x14ac:dyDescent="0.3">
      <c r="A10" s="24" t="s">
        <v>26</v>
      </c>
      <c r="B10" s="24" t="s">
        <v>90</v>
      </c>
      <c r="C10" s="9">
        <v>5549.35</v>
      </c>
    </row>
    <row r="11" spans="1:3" x14ac:dyDescent="0.3">
      <c r="A11" s="25" t="s">
        <v>26</v>
      </c>
      <c r="B11" s="25" t="s">
        <v>91</v>
      </c>
      <c r="C11" s="10">
        <v>419.94</v>
      </c>
    </row>
    <row r="12" spans="1:3" x14ac:dyDescent="0.3">
      <c r="A12" s="24" t="s">
        <v>26</v>
      </c>
      <c r="B12" s="24" t="s">
        <v>92</v>
      </c>
      <c r="C12" s="9">
        <v>419.94</v>
      </c>
    </row>
    <row r="13" spans="1:3" x14ac:dyDescent="0.3">
      <c r="A13" s="25" t="s">
        <v>26</v>
      </c>
      <c r="B13" s="25" t="s">
        <v>93</v>
      </c>
      <c r="C13" s="10">
        <v>5566.13</v>
      </c>
    </row>
    <row r="14" spans="1:3" x14ac:dyDescent="0.3">
      <c r="A14" s="24" t="s">
        <v>26</v>
      </c>
      <c r="B14" s="24" t="s">
        <v>94</v>
      </c>
      <c r="C14" s="9">
        <v>355.97</v>
      </c>
    </row>
    <row r="15" spans="1:3" x14ac:dyDescent="0.3">
      <c r="A15" s="25" t="s">
        <v>26</v>
      </c>
      <c r="B15" s="25" t="s">
        <v>95</v>
      </c>
      <c r="C15" s="10">
        <v>15227.83</v>
      </c>
    </row>
    <row r="16" spans="1:3" x14ac:dyDescent="0.3">
      <c r="A16" s="24" t="s">
        <v>26</v>
      </c>
      <c r="B16" s="24" t="s">
        <v>96</v>
      </c>
      <c r="C16" s="9">
        <v>6816.92</v>
      </c>
    </row>
    <row r="17" spans="1:3" x14ac:dyDescent="0.3">
      <c r="A17" s="25" t="s">
        <v>26</v>
      </c>
      <c r="B17" s="25" t="s">
        <v>97</v>
      </c>
      <c r="C17" s="10">
        <v>-6816.92</v>
      </c>
    </row>
    <row r="18" spans="1:3" x14ac:dyDescent="0.3">
      <c r="A18" s="24" t="s">
        <v>26</v>
      </c>
      <c r="B18" s="24" t="s">
        <v>98</v>
      </c>
      <c r="C18" s="9">
        <v>795.57</v>
      </c>
    </row>
    <row r="19" spans="1:3" x14ac:dyDescent="0.3">
      <c r="A19" s="25" t="s">
        <v>35</v>
      </c>
      <c r="B19" s="25" t="s">
        <v>99</v>
      </c>
      <c r="C19" s="10">
        <v>468</v>
      </c>
    </row>
    <row r="20" spans="1:3" x14ac:dyDescent="0.3">
      <c r="A20" s="24" t="s">
        <v>35</v>
      </c>
      <c r="B20" s="24" t="s">
        <v>100</v>
      </c>
      <c r="C20" s="9">
        <v>3510</v>
      </c>
    </row>
    <row r="21" spans="1:3" x14ac:dyDescent="0.3">
      <c r="A21" s="25" t="s">
        <v>35</v>
      </c>
      <c r="B21" s="25" t="s">
        <v>101</v>
      </c>
      <c r="C21" s="10">
        <v>-117</v>
      </c>
    </row>
    <row r="22" spans="1:3" x14ac:dyDescent="0.3">
      <c r="A22" s="24" t="s">
        <v>35</v>
      </c>
      <c r="B22" s="24" t="s">
        <v>102</v>
      </c>
      <c r="C22" s="9">
        <v>2808</v>
      </c>
    </row>
    <row r="23" spans="1:3" x14ac:dyDescent="0.3">
      <c r="A23" s="25" t="s">
        <v>35</v>
      </c>
      <c r="B23" s="25" t="s">
        <v>103</v>
      </c>
      <c r="C23" s="10">
        <v>-117</v>
      </c>
    </row>
    <row r="24" spans="1:3" x14ac:dyDescent="0.3">
      <c r="A24" s="36" t="s">
        <v>35</v>
      </c>
      <c r="B24" s="36" t="s">
        <v>104</v>
      </c>
      <c r="C24" s="18">
        <v>2925</v>
      </c>
    </row>
    <row r="25" spans="1:3" s="23" customFormat="1" x14ac:dyDescent="0.3">
      <c r="A25" s="37" t="s">
        <v>0</v>
      </c>
      <c r="B25" s="37"/>
      <c r="C25" s="22">
        <f>SUBTOTAL(109,Tabla6[Imp. aplic.])</f>
        <v>40317.39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B7C82-3B50-4B69-BA1B-156DE2206767}">
  <dimension ref="A1:C14"/>
  <sheetViews>
    <sheetView tabSelected="1" workbookViewId="0">
      <selection activeCell="G22" sqref="G22"/>
    </sheetView>
  </sheetViews>
  <sheetFormatPr baseColWidth="10" defaultRowHeight="14.4" x14ac:dyDescent="0.3"/>
  <cols>
    <col min="1" max="1" width="15.6640625" customWidth="1"/>
    <col min="2" max="2" width="62.21875" customWidth="1"/>
    <col min="3" max="3" width="17.6640625" customWidth="1"/>
  </cols>
  <sheetData>
    <row r="1" spans="1:3" x14ac:dyDescent="0.3">
      <c r="A1" s="46" t="s">
        <v>71</v>
      </c>
      <c r="B1" s="47" t="s">
        <v>32</v>
      </c>
      <c r="C1" s="59" t="s">
        <v>72</v>
      </c>
    </row>
    <row r="2" spans="1:3" x14ac:dyDescent="0.3">
      <c r="A2" s="48" t="s">
        <v>26</v>
      </c>
      <c r="B2" s="49" t="s">
        <v>169</v>
      </c>
      <c r="C2" s="50">
        <v>2730.16</v>
      </c>
    </row>
    <row r="3" spans="1:3" x14ac:dyDescent="0.3">
      <c r="A3" s="51" t="s">
        <v>26</v>
      </c>
      <c r="B3" s="52" t="s">
        <v>170</v>
      </c>
      <c r="C3" s="53">
        <v>3394.9</v>
      </c>
    </row>
    <row r="4" spans="1:3" x14ac:dyDescent="0.3">
      <c r="A4" s="48" t="s">
        <v>26</v>
      </c>
      <c r="B4" s="49" t="s">
        <v>171</v>
      </c>
      <c r="C4" s="50">
        <v>335.95</v>
      </c>
    </row>
    <row r="5" spans="1:3" x14ac:dyDescent="0.3">
      <c r="A5" s="51" t="s">
        <v>35</v>
      </c>
      <c r="B5" s="52" t="s">
        <v>172</v>
      </c>
      <c r="C5" s="53">
        <v>2925</v>
      </c>
    </row>
    <row r="6" spans="1:3" x14ac:dyDescent="0.3">
      <c r="A6" s="48" t="s">
        <v>35</v>
      </c>
      <c r="B6" s="49" t="s">
        <v>173</v>
      </c>
      <c r="C6" s="50">
        <v>2457</v>
      </c>
    </row>
    <row r="7" spans="1:3" x14ac:dyDescent="0.3">
      <c r="A7" s="51" t="s">
        <v>35</v>
      </c>
      <c r="B7" s="52" t="s">
        <v>174</v>
      </c>
      <c r="C7" s="53">
        <v>130</v>
      </c>
    </row>
    <row r="8" spans="1:3" x14ac:dyDescent="0.3">
      <c r="A8" s="48" t="s">
        <v>26</v>
      </c>
      <c r="B8" s="49" t="s">
        <v>175</v>
      </c>
      <c r="C8" s="50">
        <v>339.15</v>
      </c>
    </row>
    <row r="9" spans="1:3" ht="15" thickBot="1" x14ac:dyDescent="0.35">
      <c r="A9" s="51" t="s">
        <v>35</v>
      </c>
      <c r="B9" s="52" t="s">
        <v>176</v>
      </c>
      <c r="C9" s="53">
        <v>5265</v>
      </c>
    </row>
    <row r="10" spans="1:3" ht="15" thickTop="1" x14ac:dyDescent="0.3">
      <c r="A10" s="54" t="s">
        <v>0</v>
      </c>
      <c r="B10" s="55"/>
      <c r="C10" s="60">
        <v>17577.159999999996</v>
      </c>
    </row>
    <row r="14" spans="1:3" x14ac:dyDescent="0.3">
      <c r="B14" s="57" t="s">
        <v>177</v>
      </c>
      <c r="C14" s="58">
        <f>Tabla6[[#Totals],[Imp. aplic.]]+Tabla5[[#Totals],[Imp.cob.aplic.]]+C10</f>
        <v>128320.59999999998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vt:i4>
      </vt:variant>
    </vt:vector>
  </HeadingPairs>
  <TitlesOfParts>
    <vt:vector size="9" baseType="lpstr">
      <vt:lpstr>Tesis</vt:lpstr>
      <vt:lpstr>Sexenios</vt:lpstr>
      <vt:lpstr>Ingresos investigación 2023</vt:lpstr>
      <vt:lpstr>Ingresos investigación 2024</vt:lpstr>
      <vt:lpstr>Ingresos investigación 2025</vt:lpstr>
      <vt:lpstr>Ingresos formación 2023</vt:lpstr>
      <vt:lpstr>Ingresos formación 2024</vt:lpstr>
      <vt:lpstr>Ingresos formación 2025</vt:lpstr>
      <vt:lpstr>Sexenios!Títulos_a_imprimir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MARIA TERESA PUJALTE DEVIS</cp:lastModifiedBy>
  <dcterms:created xsi:type="dcterms:W3CDTF">2019-07-03T07:15:54Z</dcterms:created>
  <dcterms:modified xsi:type="dcterms:W3CDTF">2026-05-26T10:39:50Z</dcterms:modified>
</cp:coreProperties>
</file>