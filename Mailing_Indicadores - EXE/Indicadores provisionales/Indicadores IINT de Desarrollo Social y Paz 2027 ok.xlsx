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9170EAA2-17EC-4942-8DD9-2EB8085AB529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esis" sheetId="2" r:id="rId1"/>
    <sheet name="Sexenios" sheetId="3" r:id="rId2"/>
    <sheet name="Ingresos investigación 2023" sheetId="9" r:id="rId3"/>
    <sheet name="Ingresos investigación 2024" sheetId="10" r:id="rId4"/>
    <sheet name="Ingresos investigación 2025" sheetId="11" r:id="rId5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1" l="1"/>
  <c r="R24" i="3"/>
  <c r="C5" i="10"/>
  <c r="C8" i="9"/>
  <c r="T19" i="2"/>
</calcChain>
</file>

<file path=xl/sharedStrings.xml><?xml version="1.0" encoding="utf-8"?>
<sst xmlns="http://schemas.openxmlformats.org/spreadsheetml/2006/main" count="486" uniqueCount="236">
  <si>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</si>
  <si>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</si>
  <si>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</si>
  <si>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</si>
  <si>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</si>
  <si>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</si>
  <si>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</si>
  <si>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</si>
  <si>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</si>
  <si>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</si>
  <si>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</si>
  <si>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</si>
  <si>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</si>
  <si>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</si>
  <si>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</si>
  <si>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</si>
  <si>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</si>
  <si>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</si>
  <si>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</si>
  <si>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</si>
  <si>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</si>
  <si>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</si>
  <si>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</si>
  <si>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</si>
  <si>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</si>
  <si>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U025 </t>
  </si>
  <si>
    <t>ADM. FACULTAD DE DERECHO </t>
  </si>
  <si>
    <t>DOCTORADO EN DERECHO </t>
  </si>
  <si>
    <t>20</t>
  </si>
  <si>
    <t>B138</t>
  </si>
  <si>
    <t>10</t>
  </si>
  <si>
    <t>10.06</t>
  </si>
  <si>
    <t>U036 </t>
  </si>
  <si>
    <t>ADM. FACULTAD DE CIENCIAS ECONÓMICAS </t>
  </si>
  <si>
    <t>DOCTORADO EN EMPRESA, ECONOMÍA Y SOCIEDAD </t>
  </si>
  <si>
    <t>U023 </t>
  </si>
  <si>
    <t>ADM. FACULTAD DE FILOSOFIA Y LETRAS </t>
  </si>
  <si>
    <t>DOCTORADO EN FILOSOFÍA Y LETRAS </t>
  </si>
  <si>
    <t>B176 </t>
  </si>
  <si>
    <t>SOCIOLOGÍA II </t>
  </si>
  <si>
    <t>B176</t>
  </si>
  <si>
    <t>10.22</t>
  </si>
  <si>
    <t>10.23</t>
  </si>
  <si>
    <t>B116 </t>
  </si>
  <si>
    <t>FILOLOGÍA INGLESA </t>
  </si>
  <si>
    <t>B116</t>
  </si>
  <si>
    <t>B159 </t>
  </si>
  <si>
    <t>TRABAJO SOCIAL Y SERVICIOS SOCIALES </t>
  </si>
  <si>
    <t>B159</t>
  </si>
  <si>
    <t>21474040K </t>
  </si>
  <si>
    <t>21506571F </t>
  </si>
  <si>
    <t>05413313X </t>
  </si>
  <si>
    <t>48345463S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</si>
  <si>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</si>
  <si>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</si>
  <si>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</si>
  <si>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</si>
  <si>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</si>
  <si>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</si>
  <si>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</si>
  <si>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</si>
  <si>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</si>
  <si>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</si>
  <si>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</si>
  <si>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</si>
  <si>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</si>
  <si>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52779604D</t>
  </si>
  <si>
    <t>21463437K</t>
  </si>
  <si>
    <t>B119</t>
  </si>
  <si>
    <t>21661002Q</t>
  </si>
  <si>
    <t>22140300V</t>
  </si>
  <si>
    <t>74182605S</t>
  </si>
  <si>
    <t>21453643W</t>
  </si>
  <si>
    <t>21515828H</t>
  </si>
  <si>
    <t>73908310H</t>
  </si>
  <si>
    <t>21506571F</t>
  </si>
  <si>
    <t>21985548D</t>
  </si>
  <si>
    <t>48345463S</t>
  </si>
  <si>
    <t>21516771H</t>
  </si>
  <si>
    <t>Alaminos Fernández, Antonio Francisco </t>
  </si>
  <si>
    <t>La realidad aumentada. Música y comunicación en la sociedad de consumo </t>
  </si>
  <si>
    <t>20/12/2019 </t>
  </si>
  <si>
    <t>COD DEP</t>
  </si>
  <si>
    <t>52778850Z</t>
  </si>
  <si>
    <t>NO FUNCIONARIO</t>
  </si>
  <si>
    <t>Segura Martínez, Vicente </t>
  </si>
  <si>
    <t>Cultura industrial, ludismo y proyección literaria </t>
  </si>
  <si>
    <t>23/10/2020 </t>
  </si>
  <si>
    <t>Samaniego Dumas, Diego Oswaldo </t>
  </si>
  <si>
    <t>Análisis del discurso de Rafael Correa en relación al movimiento indígena ecuatoriano: Elucidación del racismo y la discriminación </t>
  </si>
  <si>
    <t>20/11/2020 </t>
  </si>
  <si>
    <t>Perea Crespo, Ignacia </t>
  </si>
  <si>
    <t>Sobre la inclusividad de las sociedades europeas: la distancia del otro nacional a través de la opinión pública </t>
  </si>
  <si>
    <t>22/12/2020 </t>
  </si>
  <si>
    <t>B119 </t>
  </si>
  <si>
    <t>FUNDAMENTOS DEL ANÁLISIS ECONÓMICO </t>
  </si>
  <si>
    <t>DOCTORADO EN ECONOMÍA </t>
  </si>
  <si>
    <t>Burbano Valencia, Enrique Javier </t>
  </si>
  <si>
    <t>Ensayos de crimen, conflicto y asuntos electorales: análisis económico para Colombia </t>
  </si>
  <si>
    <t>18/02/2021 </t>
  </si>
  <si>
    <t>73908310H </t>
  </si>
  <si>
    <t>Mieres Brevis, Michelle Stephanie </t>
  </si>
  <si>
    <t>LA DESIGUALDAD DEL INGRESO Y EL CRECIMIENTO ECONÓMICO EN CHILE: UNA MIRADA DESDE SUS REGIONES </t>
  </si>
  <si>
    <t>17/09/2021 </t>
  </si>
  <si>
    <t>74182605S </t>
  </si>
  <si>
    <t>Cód. org. aplic.</t>
  </si>
  <si>
    <t>Descripción justificante</t>
  </si>
  <si>
    <t>U058 </t>
  </si>
  <si>
    <t>ADM. I.U. DE INVESTIGACIONES TURÍSTICAS </t>
  </si>
  <si>
    <t>DOCTORADO EN TURISMO </t>
  </si>
  <si>
    <t>Rubio Escuderos, Lucía </t>
  </si>
  <si>
    <t>EL MOSAICO DEL TURISMO ACCESIBLE: DIAGNÓSTICO DE IMPULSOS Y FRENOS A LA ACCESIBILIDAD EN LOS DESTINOS TURÍSTICOS DESDE LA PERSPECTIVA DE LAS PARTES INTERESADAS </t>
  </si>
  <si>
    <t>20/12/2021 </t>
  </si>
  <si>
    <t>28995929J</t>
  </si>
  <si>
    <t>53240328C</t>
  </si>
  <si>
    <t>B115</t>
  </si>
  <si>
    <t>10.15</t>
  </si>
  <si>
    <t>Imp.cob.aplic.</t>
  </si>
  <si>
    <t>41.40.6P.00.08</t>
  </si>
  <si>
    <t>41.40.6Q.00.01</t>
  </si>
  <si>
    <t>Ciofalo Lagos, Kira </t>
  </si>
  <si>
    <t>Giovanni Tarello y la Escuela Genovesa. Un estudio de filosofía analítica del derecho </t>
  </si>
  <si>
    <t>17/12/2020 </t>
  </si>
  <si>
    <t>21362427G </t>
  </si>
  <si>
    <t>B152 </t>
  </si>
  <si>
    <t>FILOSOFÍA DEL DCHO .Y DCHO INTERNACIONAL PRIVADO </t>
  </si>
  <si>
    <t>B152</t>
  </si>
  <si>
    <t>Della Bona, Carla </t>
  </si>
  <si>
    <t>A Transnacionalização do Direito como forma de miscigenação dos Sistemas Jurídicos: uma recomposição dos fundamentos do Direito </t>
  </si>
  <si>
    <t>13/07/2021 </t>
  </si>
  <si>
    <t>21461869V </t>
  </si>
  <si>
    <t>Alaminos Fernández, Paloma </t>
  </si>
  <si>
    <t>LAS BASES SOCIALES Y ARGUMENTALES DE LOS MOVIMIENTOS AUTORITARIOS EN LA UNIÓN EUROPEA. EL CASO DEL POPULISMO PUNITIVO </t>
  </si>
  <si>
    <t>16/06/2023 </t>
  </si>
  <si>
    <t>22140300V </t>
  </si>
  <si>
    <t>23779586R </t>
  </si>
  <si>
    <t>Ramírez García, José Emiliano </t>
  </si>
  <si>
    <t>De puertas adentro: un análisis sobre las visitas domiciliarias en España desde el Trabajo Social en los contextos de Servicios Sociales, Sanidad y Educación. Constructo y propuesta metodológica. </t>
  </si>
  <si>
    <t>27/06/2023 </t>
  </si>
  <si>
    <t>21661002Q </t>
  </si>
  <si>
    <t>Sanchís Ramón, María José </t>
  </si>
  <si>
    <t>La atención a los proyectos de vida y a las necesidades de las mujeres gitanas en las políticas de inclusión. </t>
  </si>
  <si>
    <t>02/06/2023 </t>
  </si>
  <si>
    <t>52779604D </t>
  </si>
  <si>
    <t>21461869V</t>
  </si>
  <si>
    <t>41.40.6M.00.02</t>
  </si>
  <si>
    <t>DEVOLUCIÓN PARCIAL DEL INGRESO 20180000000002628 DEBIDO A NO EJECUCIÓN DEL MISMO.</t>
  </si>
  <si>
    <t>S</t>
  </si>
  <si>
    <t xml:space="preserve">CIAICO/2021/019/074/124/158/167/173/221/279/305/328/335/339/345/348 </t>
  </si>
  <si>
    <t>DEVOLUCIÓN DE INGRESOS_MODELO 047_CIACO 2021 EN 2022_Nº de liquidación:46/2023/RAS/10205/1 047/_Número de justificante:047/1/002362793_Nº de referencia:047/1/002362793</t>
  </si>
  <si>
    <t>41.40.6P.00.09</t>
  </si>
  <si>
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</si>
  <si>
    <t>41.40.6P.00.10</t>
  </si>
  <si>
    <t>S8866 CONVENI ENTRE LA GENERALITAT I LESUNIVERSITATS PER AL FINANÇAMENT DE LA CÀTEDRA DE DIÀLEG SOCIAL. EXERCICI 2023</t>
  </si>
  <si>
    <t>07223951L</t>
  </si>
  <si>
    <t>50</t>
  </si>
  <si>
    <t>90</t>
  </si>
  <si>
    <t>70</t>
  </si>
  <si>
    <t>100</t>
  </si>
  <si>
    <t>48533253X</t>
  </si>
  <si>
    <t>B120</t>
  </si>
  <si>
    <t>10.21</t>
  </si>
  <si>
    <t>40</t>
  </si>
  <si>
    <t>U025</t>
  </si>
  <si>
    <t>ADM. FACULTAD DE DERECHO</t>
  </si>
  <si>
    <t>DOCTORADO EN DERECHO</t>
  </si>
  <si>
    <t>MOLINA GONZALEZ, YOHAN</t>
  </si>
  <si>
    <t>La ontología de las Razones prácticas y el seguimiento racional de las reglas</t>
  </si>
  <si>
    <t>26/09/2024</t>
  </si>
  <si>
    <t>Codirector de tesis</t>
  </si>
  <si>
    <t>FILOSOFIA DEL DERECHO Y DERECHO INTERN.</t>
  </si>
  <si>
    <t>U036</t>
  </si>
  <si>
    <t>ADM. FACULTAD DE CIENCIAS ECONÓMICAS</t>
  </si>
  <si>
    <t>DOCTORADO EN EMPRESA, ECONOMÍA Y SOCIEDAD</t>
  </si>
  <si>
    <t>Chuquitarco Morales, Edwin Alejandro</t>
  </si>
  <si>
    <t>Determinantes socioambientales de la salud y minorías: racismo estructural en las políticas públicas y la investigación social de la salud</t>
  </si>
  <si>
    <t>20/09/2024</t>
  </si>
  <si>
    <t>Director de tesis</t>
  </si>
  <si>
    <t>SOCIOLOGIA II</t>
  </si>
  <si>
    <t>Org. aplic.</t>
  </si>
  <si>
    <t>Imp. aplic.</t>
  </si>
  <si>
    <t xml:space="preserve">CIAICO/2021/019/074/124/158/167/173/279/305/328/335/345/348/339 </t>
  </si>
  <si>
    <t>PID2022-138111NB-I00-141543OB-I00-137350NB-I00-138491OB-C32-137364OB-I00-138329NB-I00-142830NB-I00-138453OB-I00-138696OB-C22-138853NB-I00-142712NB-I00</t>
  </si>
  <si>
    <t>48530679N</t>
  </si>
  <si>
    <t>B122</t>
  </si>
  <si>
    <t>Administración Facultad de Ciencias Económicas</t>
  </si>
  <si>
    <t>Frau Marhuenda, Carlos</t>
  </si>
  <si>
    <t>Estrategias metodológicas de desarrollo local basadas en la innovación social en entornos rurales en proceso
de despoblamiento. Un estudio de caso</t>
  </si>
  <si>
    <t>08/09/2025</t>
  </si>
  <si>
    <t>Sociología II</t>
  </si>
  <si>
    <t>U073</t>
  </si>
  <si>
    <t>Instituto Universitario Investigación de Estudios de Género (10.23)</t>
  </si>
  <si>
    <t>DOCTORADO EN ESTUDIOS INTERDISCIPLINARES DE GÉNERO</t>
  </si>
  <si>
    <t>Cerdán Torregrosa, Ariadna del Pilar</t>
  </si>
  <si>
    <t>Masculinidades, orientaciones sexuales y violencia de género: análisis de discursos y estrategias para la igualdad</t>
  </si>
  <si>
    <t>07/11/2024</t>
  </si>
  <si>
    <t>2020</t>
  </si>
  <si>
    <t>2021</t>
  </si>
  <si>
    <t>2022</t>
  </si>
  <si>
    <t>2023</t>
  </si>
  <si>
    <t>2024</t>
  </si>
  <si>
    <t>2025</t>
  </si>
  <si>
    <t>De Lucas Murillo De La Cueva, Fernando</t>
  </si>
  <si>
    <t>14074582P</t>
  </si>
  <si>
    <t>Osorio Rauld, Nelson Alejandro</t>
  </si>
  <si>
    <t>10.25</t>
  </si>
  <si>
    <t>30</t>
  </si>
  <si>
    <t>Martí Sempere, Mónica</t>
  </si>
  <si>
    <t>Rodenas Calatayud, Mari Angeles</t>
  </si>
  <si>
    <t>Alcalde Pérez, José</t>
  </si>
  <si>
    <t>Santacreu Fernández, Óscar Antonio</t>
  </si>
  <si>
    <t>Mateo Pérez, Miguel Ángel</t>
  </si>
  <si>
    <t>Domenech López, Yolanda</t>
  </si>
  <si>
    <t>21674595Q</t>
  </si>
  <si>
    <t>Pérez Belda, María Carmen</t>
  </si>
  <si>
    <t>60</t>
  </si>
  <si>
    <t>Subiza Martínez, María Begoña</t>
  </si>
  <si>
    <t>Francés García, Francisco José</t>
  </si>
  <si>
    <t>Catala Oltra, Luis</t>
  </si>
  <si>
    <t>Ferrández Ferrer, Alicia</t>
  </si>
  <si>
    <t>Martínez Gras, Rodolfo</t>
  </si>
  <si>
    <t>La Parra Casado, Daniel</t>
  </si>
  <si>
    <t>Rodríguez Lifante, Alberto</t>
  </si>
  <si>
    <t>Peris Ferrando, Josep Enric</t>
  </si>
  <si>
    <t>Guilló Fuentes, María Dolores</t>
  </si>
  <si>
    <t>Vivos</t>
  </si>
  <si>
    <t>Espinar Ruiz, Eva</t>
  </si>
  <si>
    <t>33480107L</t>
  </si>
  <si>
    <t>Campillo Alhama, Concepción</t>
  </si>
  <si>
    <t>B175</t>
  </si>
  <si>
    <t>Caporale Bizzini, Silvia Julia</t>
  </si>
  <si>
    <t>Ortiz Pérez, Samuel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</si>
  <si>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</si>
  <si>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>41.40.6P.00.12</t>
  </si>
  <si>
    <t>PCI2025-163159. PIC2025-163255 RESOLUCIÓN CONCESIÓN DIRECTA AYUDAS 2025 EN EL MARCO DE "PROYECTOS DE COLABORACIÓN INTERNACIONAL" -  PROGRAMA ESTATAL DE TRANSFERENCIA Y COLABORACIÓN 2024-2027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</si>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</sst>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69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1" fontId="2" fillId="4" borderId="1" xfId="1" applyNumberFormat="1" applyFill="1" applyBorder="1"/>
    <xf numFmtId="165" fontId="2" fillId="4" borderId="1" xfId="1" applyNumberFormat="1" applyFill="1" applyBorder="1"/>
    <xf numFmtId="166" fontId="2" fillId="4" borderId="1" xfId="1" applyNumberFormat="1" applyFill="1" applyBorder="1"/>
    <xf numFmtId="0" fontId="2" fillId="0" borderId="1" xfId="1" applyBorder="1"/>
    <xf numFmtId="0" fontId="11" fillId="6" borderId="1" xfId="0" applyFont="1" applyFill="1" applyBorder="1" applyAlignment="1">
      <alignment horizontal="left" vertical="center"/>
    </xf>
    <xf numFmtId="165" fontId="2" fillId="7" borderId="1" xfId="1" applyNumberFormat="1" applyFill="1" applyBorder="1"/>
    <xf numFmtId="0" fontId="2" fillId="7" borderId="1" xfId="1" applyFill="1" applyBorder="1"/>
    <xf numFmtId="0" fontId="2" fillId="2" borderId="0" xfId="1" applyFill="1"/>
    <xf numFmtId="0" fontId="2" fillId="2" borderId="0" xfId="1" applyFill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14" fillId="9" borderId="2" xfId="0" applyFont="1" applyFill="1" applyBorder="1"/>
    <xf numFmtId="43" fontId="0" fillId="9" borderId="2" xfId="6" applyNumberFormat="1" applyFont="1" applyFill="1" applyBorder="1"/>
    <xf numFmtId="0" fontId="14" fillId="0" borderId="2" xfId="0" applyFont="1" applyBorder="1"/>
    <xf numFmtId="43" fontId="0" fillId="0" borderId="2" xfId="6" applyNumberFormat="1" applyFont="1" applyBorder="1"/>
    <xf numFmtId="0" fontId="2" fillId="0" borderId="1" xfId="1" applyBorder="1" applyAlignment="1">
      <alignment horizontal="right"/>
    </xf>
    <xf numFmtId="165" fontId="2" fillId="0" borderId="1" xfId="1" applyNumberFormat="1" applyBorder="1"/>
    <xf numFmtId="0" fontId="1" fillId="0" borderId="1" xfId="0" applyFont="1" applyBorder="1"/>
    <xf numFmtId="165" fontId="3" fillId="2" borderId="0" xfId="1" applyNumberFormat="1" applyFont="1" applyFill="1"/>
    <xf numFmtId="43" fontId="0" fillId="0" borderId="0" xfId="0" applyNumberFormat="1"/>
    <xf numFmtId="0" fontId="8" fillId="3" borderId="1" xfId="3" applyFont="1" applyFill="1" applyBorder="1" applyAlignment="1">
      <alignment horizontal="center" wrapText="1"/>
    </xf>
    <xf numFmtId="0" fontId="0" fillId="10" borderId="0" xfId="0" applyFill="1"/>
    <xf numFmtId="0" fontId="0" fillId="10" borderId="0" xfId="0" applyFill="1" applyAlignment="1">
      <alignment horizontal="left"/>
    </xf>
    <xf numFmtId="0" fontId="16" fillId="10" borderId="0" xfId="0" applyFont="1" applyFill="1"/>
    <xf numFmtId="0" fontId="13" fillId="8" borderId="3" xfId="0" applyFont="1" applyFill="1" applyBorder="1"/>
    <xf numFmtId="43" fontId="0" fillId="9" borderId="4" xfId="6" applyNumberFormat="1" applyFont="1" applyFill="1" applyBorder="1"/>
    <xf numFmtId="0" fontId="0" fillId="0" borderId="4" xfId="0" applyBorder="1"/>
    <xf numFmtId="43" fontId="0" fillId="0" borderId="4" xfId="0" applyNumberFormat="1" applyBorder="1"/>
    <xf numFmtId="0" fontId="14" fillId="0" borderId="4" xfId="0" applyFont="1" applyBorder="1"/>
    <xf numFmtId="43" fontId="0" fillId="0" borderId="4" xfId="6" applyNumberFormat="1" applyFont="1" applyBorder="1"/>
    <xf numFmtId="0" fontId="9" fillId="0" borderId="4" xfId="0" applyFont="1" applyBorder="1"/>
    <xf numFmtId="43" fontId="12" fillId="0" borderId="4" xfId="0" applyNumberFormat="1" applyFont="1" applyBorder="1"/>
    <xf numFmtId="0" fontId="0" fillId="9" borderId="2" xfId="0" applyNumberFormat="1" applyFont="1" applyFill="1" applyBorder="1"/>
    <xf numFmtId="0" fontId="0" fillId="0" borderId="2" xfId="0" applyNumberFormat="1" applyFont="1" applyBorder="1"/>
    <xf numFmtId="0" fontId="10" fillId="8" borderId="3" xfId="0" applyFont="1" applyFill="1" applyBorder="1"/>
    <xf numFmtId="43" fontId="10" fillId="8" borderId="3" xfId="6" applyNumberFormat="1" applyFont="1" applyFill="1" applyBorder="1"/>
    <xf numFmtId="0" fontId="0" fillId="9" borderId="4" xfId="0" applyNumberFormat="1" applyFont="1" applyFill="1" applyBorder="1"/>
    <xf numFmtId="0" fontId="16" fillId="0" borderId="1" xfId="0" applyFont="1" applyBorder="1"/>
    <xf numFmtId="164" fontId="16" fillId="0" borderId="1" xfId="6" applyFont="1" applyBorder="1"/>
    <xf numFmtId="0" fontId="17" fillId="11" borderId="1" xfId="0" applyFont="1" applyFill="1" applyBorder="1"/>
    <xf numFmtId="0" fontId="17" fillId="11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center"/>
    </xf>
    <xf numFmtId="0" fontId="13" fillId="12" borderId="5" xfId="0" applyFont="1" applyFill="1" applyBorder="1"/>
    <xf numFmtId="0" fontId="13" fillId="12" borderId="6" xfId="0" applyFont="1" applyFill="1" applyBorder="1"/>
    <xf numFmtId="0" fontId="9" fillId="13" borderId="5" xfId="0" applyFont="1" applyFill="1" applyBorder="1"/>
    <xf numFmtId="0" fontId="9" fillId="13" borderId="6" xfId="0" applyFont="1" applyFill="1" applyBorder="1"/>
    <xf numFmtId="164" fontId="9" fillId="13" borderId="6" xfId="6" applyFont="1" applyFill="1" applyBorder="1"/>
    <xf numFmtId="0" fontId="9" fillId="0" borderId="5" xfId="0" applyFont="1" applyBorder="1"/>
    <xf numFmtId="0" fontId="9" fillId="0" borderId="6" xfId="0" applyFont="1" applyBorder="1"/>
    <xf numFmtId="164" fontId="9" fillId="0" borderId="6" xfId="6" applyFont="1" applyBorder="1"/>
    <xf numFmtId="0" fontId="15" fillId="0" borderId="7" xfId="0" applyFont="1" applyBorder="1"/>
    <xf numFmtId="0" fontId="15" fillId="0" borderId="8" xfId="0" applyFont="1" applyBorder="1"/>
    <xf numFmtId="164" fontId="15" fillId="0" borderId="8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13"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C9CB65-BD5F-4543-9DF5-C7CC41BBB996}" name="Tabla2" displayName="Tabla2" ref="A1:C8" totalsRowCount="1" headerRowDxfId="12" headerRowBorderDxfId="11" tableBorderDxfId="10" totalsRowBorderDxfId="9">
  <autoFilter ref="A1:C7" xr:uid="{CC0653C9-4560-454A-A122-96DEE49F4BDF}"/>
  <tableColumns count="3">
    <tableColumn id="1" xr3:uid="{1D6A0C29-DC7B-4C75-86F2-84B2251BFE9B}" name="Cód. org. aplic." totalsRowLabel="Total" dataDxfId="8" totalsRowDxfId="7"/>
    <tableColumn id="2" xr3:uid="{4F19DC5B-B8ED-4AEE-841E-5413F334B3DB}" name="Descripción justificante" dataDxfId="6" totalsRowDxfId="5"/>
    <tableColumn id="3" xr3:uid="{CE05D34F-B434-427F-8BB1-D92374EF77C1}" name="Imp.cob.aplic." totalsRowFunction="sum" dataDxfId="4" totalsRowDxfId="3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0DCDC4-FA30-4D77-97AC-CEFD1F261EFB}" name="Tabla3" displayName="Tabla3" ref="A1:C5" totalsRowCount="1" headerRowBorderDxfId="2" tableBorderDxfId="1" totalsRowBorderDxfId="0">
  <autoFilter ref="A1:C4" xr:uid="{166184E2-A783-46C8-9C66-86B648A6C490}"/>
  <tableColumns count="3">
    <tableColumn id="1" xr3:uid="{213A6B80-F997-4727-AF63-C1FA0240FF31}" name="Org. aplic." totalsRowLabel="Total"/>
    <tableColumn id="2" xr3:uid="{01EEFD1F-F3AC-43D7-AFED-F03B94FEC8C6}" name="Descripción justificante"/>
    <tableColumn id="3" xr3:uid="{53897A4A-43DA-4C8E-9476-494838248985}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9"/>
  <sheetViews>
    <sheetView showGridLines="0" topLeftCell="C1" zoomScale="120" zoomScaleNormal="120" workbookViewId="0">
      <selection activeCell="V22" sqref="V22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7.5546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0" width="9" style="6" bestFit="1" customWidth="1"/>
    <col min="21" max="21" width="5.109375" style="6" customWidth="1"/>
    <col min="22" max="16384" width="10.33203125" style="6"/>
  </cols>
  <sheetData>
    <row r="1" spans="1:22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2" x14ac:dyDescent="0.2">
      <c r="A2" s="13" t="s">
        <v>32</v>
      </c>
      <c r="B2" s="13" t="s">
        <v>33</v>
      </c>
      <c r="C2" s="13" t="s">
        <v>34</v>
      </c>
      <c r="D2" s="13" t="s">
        <v>79</v>
      </c>
      <c r="E2" s="13" t="s">
        <v>80</v>
      </c>
      <c r="F2" s="13" t="s">
        <v>81</v>
      </c>
      <c r="G2" s="13" t="s">
        <v>50</v>
      </c>
      <c r="H2" s="13" t="s">
        <v>24</v>
      </c>
      <c r="I2" s="13" t="s">
        <v>38</v>
      </c>
      <c r="J2" s="13" t="s">
        <v>39</v>
      </c>
      <c r="K2" s="16">
        <v>1</v>
      </c>
      <c r="L2" s="13" t="s">
        <v>40</v>
      </c>
      <c r="M2" s="13">
        <v>2019</v>
      </c>
      <c r="N2" s="13" t="s">
        <v>41</v>
      </c>
      <c r="O2" s="14" t="s">
        <v>30</v>
      </c>
      <c r="P2" s="13" t="s">
        <v>23</v>
      </c>
      <c r="Q2" s="14" t="s">
        <v>23</v>
      </c>
      <c r="R2" s="15">
        <v>90</v>
      </c>
      <c r="S2" s="16">
        <v>0.9</v>
      </c>
      <c r="T2" s="20">
        <v>0.1</v>
      </c>
      <c r="U2" s="16">
        <v>0</v>
      </c>
    </row>
    <row r="3" spans="1:22" x14ac:dyDescent="0.2">
      <c r="A3" s="13" t="s">
        <v>35</v>
      </c>
      <c r="B3" s="13" t="s">
        <v>36</v>
      </c>
      <c r="C3" s="13" t="s">
        <v>37</v>
      </c>
      <c r="D3" s="13" t="s">
        <v>85</v>
      </c>
      <c r="E3" s="13" t="s">
        <v>86</v>
      </c>
      <c r="F3" s="13" t="s">
        <v>87</v>
      </c>
      <c r="G3" s="13" t="s">
        <v>52</v>
      </c>
      <c r="H3" s="13" t="s">
        <v>22</v>
      </c>
      <c r="I3" s="13" t="s">
        <v>43</v>
      </c>
      <c r="J3" s="13" t="s">
        <v>44</v>
      </c>
      <c r="K3" s="17">
        <v>0.5</v>
      </c>
      <c r="L3" s="13" t="s">
        <v>45</v>
      </c>
      <c r="M3" s="13">
        <v>2019</v>
      </c>
      <c r="N3" s="13" t="s">
        <v>41</v>
      </c>
      <c r="O3" s="14">
        <v>10</v>
      </c>
      <c r="P3" s="13" t="s">
        <v>42</v>
      </c>
      <c r="Q3" s="14">
        <v>20</v>
      </c>
      <c r="R3" s="15">
        <v>70</v>
      </c>
      <c r="S3" s="16">
        <v>0.35</v>
      </c>
      <c r="T3" s="20">
        <v>0.05</v>
      </c>
      <c r="U3" s="16">
        <v>0.1</v>
      </c>
    </row>
    <row r="4" spans="1:22" x14ac:dyDescent="0.2">
      <c r="A4" s="13" t="s">
        <v>25</v>
      </c>
      <c r="B4" s="13" t="s">
        <v>26</v>
      </c>
      <c r="C4" s="13" t="s">
        <v>27</v>
      </c>
      <c r="D4" s="13" t="s">
        <v>120</v>
      </c>
      <c r="E4" s="13" t="s">
        <v>121</v>
      </c>
      <c r="F4" s="13" t="s">
        <v>122</v>
      </c>
      <c r="G4" s="13" t="s">
        <v>123</v>
      </c>
      <c r="H4" s="13" t="s">
        <v>22</v>
      </c>
      <c r="I4" s="13" t="s">
        <v>124</v>
      </c>
      <c r="J4" s="13" t="s">
        <v>125</v>
      </c>
      <c r="K4" s="17">
        <v>0.5</v>
      </c>
      <c r="L4" s="13" t="s">
        <v>126</v>
      </c>
      <c r="M4" s="13">
        <v>2019</v>
      </c>
      <c r="N4" s="13" t="s">
        <v>41</v>
      </c>
      <c r="O4" s="14">
        <v>70</v>
      </c>
      <c r="P4" s="13" t="s">
        <v>23</v>
      </c>
      <c r="Q4" s="14">
        <v>0</v>
      </c>
      <c r="R4" s="15">
        <v>30</v>
      </c>
      <c r="S4" s="16">
        <v>0.15</v>
      </c>
      <c r="T4" s="20">
        <v>0.35</v>
      </c>
      <c r="U4" s="16">
        <v>0</v>
      </c>
    </row>
    <row r="5" spans="1:22" x14ac:dyDescent="0.2">
      <c r="A5" s="13" t="s">
        <v>32</v>
      </c>
      <c r="B5" s="13" t="s">
        <v>33</v>
      </c>
      <c r="C5" s="13" t="s">
        <v>34</v>
      </c>
      <c r="D5" s="13" t="s">
        <v>88</v>
      </c>
      <c r="E5" s="13" t="s">
        <v>89</v>
      </c>
      <c r="F5" s="13" t="s">
        <v>90</v>
      </c>
      <c r="G5" s="13" t="s">
        <v>49</v>
      </c>
      <c r="H5" s="13" t="s">
        <v>24</v>
      </c>
      <c r="I5" s="13" t="s">
        <v>38</v>
      </c>
      <c r="J5" s="13" t="s">
        <v>39</v>
      </c>
      <c r="K5" s="18">
        <v>1</v>
      </c>
      <c r="L5" s="18" t="s">
        <v>40</v>
      </c>
      <c r="M5" s="13">
        <v>2019</v>
      </c>
      <c r="N5" s="13" t="s">
        <v>41</v>
      </c>
      <c r="O5" s="14">
        <v>80</v>
      </c>
      <c r="P5" s="13" t="s">
        <v>23</v>
      </c>
      <c r="Q5" s="14">
        <v>0</v>
      </c>
      <c r="R5" s="13">
        <v>20</v>
      </c>
      <c r="S5" s="13">
        <v>0.2</v>
      </c>
      <c r="T5" s="21">
        <v>0.8</v>
      </c>
      <c r="U5" s="13">
        <v>0</v>
      </c>
    </row>
    <row r="6" spans="1:22" x14ac:dyDescent="0.2">
      <c r="A6" s="13" t="s">
        <v>32</v>
      </c>
      <c r="B6" s="13" t="s">
        <v>33</v>
      </c>
      <c r="C6" s="13" t="s">
        <v>34</v>
      </c>
      <c r="D6" s="13" t="s">
        <v>91</v>
      </c>
      <c r="E6" s="13" t="s">
        <v>92</v>
      </c>
      <c r="F6" s="13" t="s">
        <v>93</v>
      </c>
      <c r="G6" s="13" t="s">
        <v>49</v>
      </c>
      <c r="H6" s="13" t="s">
        <v>22</v>
      </c>
      <c r="I6" s="13" t="s">
        <v>38</v>
      </c>
      <c r="J6" s="13" t="s">
        <v>39</v>
      </c>
      <c r="K6" s="18">
        <v>0.5</v>
      </c>
      <c r="L6" s="18" t="s">
        <v>40</v>
      </c>
      <c r="M6" s="13">
        <v>2019</v>
      </c>
      <c r="N6" s="13" t="s">
        <v>41</v>
      </c>
      <c r="O6" s="14">
        <v>80</v>
      </c>
      <c r="P6" s="13" t="s">
        <v>23</v>
      </c>
      <c r="Q6" s="14">
        <v>0</v>
      </c>
      <c r="R6" s="13">
        <v>20</v>
      </c>
      <c r="S6" s="13">
        <v>0.1</v>
      </c>
      <c r="T6" s="21">
        <v>0.4</v>
      </c>
      <c r="U6" s="13">
        <v>0</v>
      </c>
    </row>
    <row r="7" spans="1:22" x14ac:dyDescent="0.2">
      <c r="A7" s="13" t="s">
        <v>94</v>
      </c>
      <c r="B7" s="13" t="s">
        <v>95</v>
      </c>
      <c r="C7" s="13" t="s">
        <v>96</v>
      </c>
      <c r="D7" s="13" t="s">
        <v>97</v>
      </c>
      <c r="E7" s="13" t="s">
        <v>98</v>
      </c>
      <c r="F7" s="13" t="s">
        <v>99</v>
      </c>
      <c r="G7" s="13" t="s">
        <v>100</v>
      </c>
      <c r="H7" s="13" t="s">
        <v>22</v>
      </c>
      <c r="I7" s="13" t="s">
        <v>94</v>
      </c>
      <c r="J7" s="13" t="s">
        <v>95</v>
      </c>
      <c r="K7" s="18">
        <v>0.5</v>
      </c>
      <c r="L7" s="18" t="s">
        <v>68</v>
      </c>
      <c r="M7" s="13">
        <v>2020</v>
      </c>
      <c r="N7" s="13" t="s">
        <v>41</v>
      </c>
      <c r="O7" s="14">
        <v>100</v>
      </c>
      <c r="P7" s="13" t="s">
        <v>23</v>
      </c>
      <c r="Q7" s="14">
        <v>0</v>
      </c>
      <c r="R7" s="13">
        <v>0</v>
      </c>
      <c r="S7" s="13">
        <v>0</v>
      </c>
      <c r="T7" s="21">
        <v>0.5</v>
      </c>
      <c r="U7" s="13">
        <v>0</v>
      </c>
    </row>
    <row r="8" spans="1:22" x14ac:dyDescent="0.2">
      <c r="A8" s="19" t="s">
        <v>94</v>
      </c>
      <c r="B8" s="19" t="s">
        <v>95</v>
      </c>
      <c r="C8" s="19" t="s">
        <v>96</v>
      </c>
      <c r="D8" s="19" t="s">
        <v>101</v>
      </c>
      <c r="E8" s="19" t="s">
        <v>102</v>
      </c>
      <c r="F8" s="19" t="s">
        <v>103</v>
      </c>
      <c r="G8" s="19" t="s">
        <v>104</v>
      </c>
      <c r="H8" s="19" t="s">
        <v>24</v>
      </c>
      <c r="I8" s="19" t="s">
        <v>94</v>
      </c>
      <c r="J8" s="19" t="s">
        <v>95</v>
      </c>
      <c r="K8" s="18">
        <v>1</v>
      </c>
      <c r="L8" s="18" t="s">
        <v>68</v>
      </c>
      <c r="M8" s="13">
        <v>2020</v>
      </c>
      <c r="N8" s="13" t="s">
        <v>41</v>
      </c>
      <c r="O8" s="14">
        <v>50</v>
      </c>
      <c r="P8" s="13" t="s">
        <v>23</v>
      </c>
      <c r="Q8" s="14">
        <v>0</v>
      </c>
      <c r="R8" s="13">
        <v>50</v>
      </c>
      <c r="S8" s="13">
        <v>0.5</v>
      </c>
      <c r="T8" s="21">
        <v>0.5</v>
      </c>
      <c r="U8" s="13">
        <v>0</v>
      </c>
    </row>
    <row r="9" spans="1:22" x14ac:dyDescent="0.2">
      <c r="A9" s="19" t="s">
        <v>25</v>
      </c>
      <c r="B9" s="19" t="s">
        <v>26</v>
      </c>
      <c r="C9" s="19" t="s">
        <v>27</v>
      </c>
      <c r="D9" s="19" t="s">
        <v>127</v>
      </c>
      <c r="E9" s="19" t="s">
        <v>128</v>
      </c>
      <c r="F9" s="19" t="s">
        <v>129</v>
      </c>
      <c r="G9" s="19" t="s">
        <v>130</v>
      </c>
      <c r="H9" s="19" t="s">
        <v>22</v>
      </c>
      <c r="I9" s="19" t="s">
        <v>124</v>
      </c>
      <c r="J9" s="19" t="s">
        <v>125</v>
      </c>
      <c r="K9" s="18">
        <v>0.5</v>
      </c>
      <c r="L9" s="18" t="s">
        <v>126</v>
      </c>
      <c r="M9" s="13">
        <v>2020</v>
      </c>
      <c r="N9" s="13" t="s">
        <v>41</v>
      </c>
      <c r="O9" s="14">
        <v>70</v>
      </c>
      <c r="P9" s="13" t="s">
        <v>23</v>
      </c>
      <c r="Q9" s="14">
        <v>0</v>
      </c>
      <c r="R9" s="13">
        <v>30</v>
      </c>
      <c r="S9" s="13">
        <v>0.15</v>
      </c>
      <c r="T9" s="21">
        <v>0.35</v>
      </c>
      <c r="U9" s="13">
        <v>0</v>
      </c>
    </row>
    <row r="10" spans="1:22" x14ac:dyDescent="0.2">
      <c r="A10" s="13" t="s">
        <v>107</v>
      </c>
      <c r="B10" s="13" t="s">
        <v>108</v>
      </c>
      <c r="C10" s="13" t="s">
        <v>109</v>
      </c>
      <c r="D10" s="13" t="s">
        <v>110</v>
      </c>
      <c r="E10" s="13" t="s">
        <v>111</v>
      </c>
      <c r="F10" s="13" t="s">
        <v>112</v>
      </c>
      <c r="G10" s="13" t="s">
        <v>51</v>
      </c>
      <c r="H10" s="13" t="s">
        <v>22</v>
      </c>
      <c r="I10" s="13" t="s">
        <v>38</v>
      </c>
      <c r="J10" s="13" t="s">
        <v>39</v>
      </c>
      <c r="K10" s="18">
        <v>0.5</v>
      </c>
      <c r="L10" s="18" t="s">
        <v>40</v>
      </c>
      <c r="M10" s="13">
        <v>2021</v>
      </c>
      <c r="N10" s="13" t="s">
        <v>41</v>
      </c>
      <c r="O10" s="14">
        <v>10</v>
      </c>
      <c r="P10" s="13" t="s">
        <v>23</v>
      </c>
      <c r="Q10" s="14">
        <v>0</v>
      </c>
      <c r="R10" s="13">
        <v>90</v>
      </c>
      <c r="S10" s="13">
        <v>0.45</v>
      </c>
      <c r="T10" s="21">
        <v>0.05</v>
      </c>
      <c r="U10" s="13">
        <v>0</v>
      </c>
    </row>
    <row r="11" spans="1:22" x14ac:dyDescent="0.2">
      <c r="A11" s="13" t="s">
        <v>32</v>
      </c>
      <c r="B11" s="13" t="s">
        <v>33</v>
      </c>
      <c r="C11" s="13" t="s">
        <v>34</v>
      </c>
      <c r="D11" s="13" t="s">
        <v>131</v>
      </c>
      <c r="E11" s="13" t="s">
        <v>132</v>
      </c>
      <c r="F11" s="13" t="s">
        <v>133</v>
      </c>
      <c r="G11" s="13" t="s">
        <v>134</v>
      </c>
      <c r="H11" s="13" t="s">
        <v>22</v>
      </c>
      <c r="I11" s="13" t="s">
        <v>38</v>
      </c>
      <c r="J11" s="13" t="s">
        <v>39</v>
      </c>
      <c r="K11" s="17">
        <v>0.5</v>
      </c>
      <c r="L11" s="13" t="s">
        <v>40</v>
      </c>
      <c r="M11" s="13">
        <v>2022</v>
      </c>
      <c r="N11" s="13" t="s">
        <v>41</v>
      </c>
      <c r="O11" s="14">
        <v>10</v>
      </c>
      <c r="P11" s="13" t="s">
        <v>23</v>
      </c>
      <c r="Q11" s="14">
        <v>0</v>
      </c>
      <c r="R11" s="15">
        <v>90</v>
      </c>
      <c r="S11" s="16">
        <v>0.45</v>
      </c>
      <c r="T11" s="16">
        <v>0.05</v>
      </c>
      <c r="U11" s="20">
        <v>0</v>
      </c>
    </row>
    <row r="12" spans="1:22" x14ac:dyDescent="0.2">
      <c r="A12" s="13" t="s">
        <v>32</v>
      </c>
      <c r="B12" s="13" t="s">
        <v>33</v>
      </c>
      <c r="C12" s="13" t="s">
        <v>34</v>
      </c>
      <c r="D12" s="13" t="s">
        <v>131</v>
      </c>
      <c r="E12" s="13" t="s">
        <v>132</v>
      </c>
      <c r="F12" s="18" t="s">
        <v>133</v>
      </c>
      <c r="G12" s="18" t="s">
        <v>135</v>
      </c>
      <c r="H12" s="18" t="s">
        <v>22</v>
      </c>
      <c r="I12" s="18" t="s">
        <v>38</v>
      </c>
      <c r="J12" s="18" t="s">
        <v>39</v>
      </c>
      <c r="K12" s="18">
        <v>0.5</v>
      </c>
      <c r="L12" s="18" t="s">
        <v>40</v>
      </c>
      <c r="M12" s="18">
        <v>2022</v>
      </c>
      <c r="N12" s="18" t="s">
        <v>41</v>
      </c>
      <c r="O12" s="30">
        <v>10</v>
      </c>
      <c r="P12" s="18" t="s">
        <v>31</v>
      </c>
      <c r="Q12" s="30">
        <v>10</v>
      </c>
      <c r="R12" s="18">
        <v>80</v>
      </c>
      <c r="S12" s="18">
        <v>0.4</v>
      </c>
      <c r="T12" s="31">
        <v>0.05</v>
      </c>
      <c r="U12" s="18">
        <v>0.05</v>
      </c>
    </row>
    <row r="13" spans="1:22" x14ac:dyDescent="0.2">
      <c r="A13" s="13" t="s">
        <v>32</v>
      </c>
      <c r="B13" s="13" t="s">
        <v>33</v>
      </c>
      <c r="C13" s="13" t="s">
        <v>34</v>
      </c>
      <c r="D13" s="13" t="s">
        <v>136</v>
      </c>
      <c r="E13" s="13" t="s">
        <v>137</v>
      </c>
      <c r="F13" s="13" t="s">
        <v>138</v>
      </c>
      <c r="G13" s="13" t="s">
        <v>139</v>
      </c>
      <c r="H13" s="13" t="s">
        <v>24</v>
      </c>
      <c r="I13" s="13" t="s">
        <v>46</v>
      </c>
      <c r="J13" s="13" t="s">
        <v>47</v>
      </c>
      <c r="K13" s="13">
        <v>1</v>
      </c>
      <c r="L13" s="13" t="s">
        <v>48</v>
      </c>
      <c r="M13" s="13">
        <v>2022</v>
      </c>
      <c r="N13" s="13" t="s">
        <v>41</v>
      </c>
      <c r="O13" s="14">
        <v>50</v>
      </c>
      <c r="P13" s="13" t="s">
        <v>23</v>
      </c>
      <c r="Q13" s="14">
        <v>0</v>
      </c>
      <c r="R13" s="13">
        <v>50</v>
      </c>
      <c r="S13" s="13">
        <v>0.5</v>
      </c>
      <c r="T13" s="32">
        <v>0.5</v>
      </c>
      <c r="U13" s="32">
        <v>0</v>
      </c>
    </row>
    <row r="14" spans="1:22" x14ac:dyDescent="0.2">
      <c r="A14" s="13" t="s">
        <v>32</v>
      </c>
      <c r="B14" s="13" t="s">
        <v>33</v>
      </c>
      <c r="C14" s="13" t="s">
        <v>34</v>
      </c>
      <c r="D14" s="13" t="s">
        <v>140</v>
      </c>
      <c r="E14" s="13" t="s">
        <v>141</v>
      </c>
      <c r="F14" s="13" t="s">
        <v>142</v>
      </c>
      <c r="G14" s="13" t="s">
        <v>143</v>
      </c>
      <c r="H14" s="13" t="s">
        <v>24</v>
      </c>
      <c r="I14" s="13" t="s">
        <v>38</v>
      </c>
      <c r="J14" s="13" t="s">
        <v>39</v>
      </c>
      <c r="K14" s="13">
        <v>1</v>
      </c>
      <c r="L14" s="13" t="s">
        <v>40</v>
      </c>
      <c r="M14" s="13">
        <v>2022</v>
      </c>
      <c r="N14" s="13" t="s">
        <v>31</v>
      </c>
      <c r="O14" s="14">
        <v>10</v>
      </c>
      <c r="P14" s="13" t="s">
        <v>41</v>
      </c>
      <c r="Q14" s="14">
        <v>80</v>
      </c>
      <c r="R14" s="13">
        <v>10</v>
      </c>
      <c r="S14" s="13">
        <v>0.1</v>
      </c>
      <c r="T14" s="13">
        <v>0.1</v>
      </c>
      <c r="U14" s="13">
        <v>0.8</v>
      </c>
    </row>
    <row r="15" spans="1:22" x14ac:dyDescent="0.2">
      <c r="A15" s="13" t="s">
        <v>163</v>
      </c>
      <c r="B15" s="13" t="s">
        <v>164</v>
      </c>
      <c r="C15" s="13" t="s">
        <v>165</v>
      </c>
      <c r="D15" s="13" t="s">
        <v>166</v>
      </c>
      <c r="E15" s="13" t="s">
        <v>167</v>
      </c>
      <c r="F15" s="13" t="s">
        <v>168</v>
      </c>
      <c r="G15" s="13" t="s">
        <v>144</v>
      </c>
      <c r="H15" s="13" t="s">
        <v>169</v>
      </c>
      <c r="I15" s="13" t="s">
        <v>126</v>
      </c>
      <c r="J15" s="13" t="s">
        <v>170</v>
      </c>
      <c r="K15" s="13">
        <v>0.5</v>
      </c>
      <c r="L15" s="13" t="s">
        <v>126</v>
      </c>
      <c r="M15" s="13">
        <v>2023</v>
      </c>
      <c r="N15" s="13" t="s">
        <v>41</v>
      </c>
      <c r="O15" s="14" t="s">
        <v>157</v>
      </c>
      <c r="P15" s="13" t="s">
        <v>23</v>
      </c>
      <c r="Q15" s="14" t="s">
        <v>23</v>
      </c>
      <c r="R15" s="13">
        <v>30</v>
      </c>
      <c r="S15" s="13">
        <v>0.15</v>
      </c>
      <c r="T15" s="13">
        <v>0.35</v>
      </c>
      <c r="U15" s="13">
        <v>0</v>
      </c>
      <c r="V15" s="6" t="s">
        <v>147</v>
      </c>
    </row>
    <row r="16" spans="1:22" x14ac:dyDescent="0.2">
      <c r="A16" s="13" t="s">
        <v>171</v>
      </c>
      <c r="B16" s="13" t="s">
        <v>172</v>
      </c>
      <c r="C16" s="13" t="s">
        <v>173</v>
      </c>
      <c r="D16" s="13" t="s">
        <v>174</v>
      </c>
      <c r="E16" s="13" t="s">
        <v>175</v>
      </c>
      <c r="F16" s="13" t="s">
        <v>176</v>
      </c>
      <c r="G16" s="13" t="s">
        <v>66</v>
      </c>
      <c r="H16" s="13" t="s">
        <v>177</v>
      </c>
      <c r="I16" s="13" t="s">
        <v>40</v>
      </c>
      <c r="J16" s="13" t="s">
        <v>178</v>
      </c>
      <c r="K16" s="13">
        <v>1</v>
      </c>
      <c r="L16" s="13" t="s">
        <v>40</v>
      </c>
      <c r="M16" s="13">
        <v>2023</v>
      </c>
      <c r="N16" s="13" t="s">
        <v>41</v>
      </c>
      <c r="O16" s="14" t="s">
        <v>156</v>
      </c>
      <c r="P16" s="13" t="s">
        <v>23</v>
      </c>
      <c r="Q16" s="14" t="s">
        <v>23</v>
      </c>
      <c r="R16" s="13">
        <v>10</v>
      </c>
      <c r="S16" s="13">
        <v>0.1</v>
      </c>
      <c r="T16" s="13">
        <v>0.9</v>
      </c>
      <c r="U16" s="13">
        <v>0</v>
      </c>
      <c r="V16" s="6" t="s">
        <v>147</v>
      </c>
    </row>
    <row r="17" spans="1:21" x14ac:dyDescent="0.2">
      <c r="A17" s="13" t="s">
        <v>171</v>
      </c>
      <c r="B17" s="13" t="s">
        <v>185</v>
      </c>
      <c r="C17" s="13" t="s">
        <v>173</v>
      </c>
      <c r="D17" s="13" t="s">
        <v>186</v>
      </c>
      <c r="E17" s="13" t="s">
        <v>187</v>
      </c>
      <c r="F17" s="13" t="s">
        <v>188</v>
      </c>
      <c r="G17" s="13" t="s">
        <v>70</v>
      </c>
      <c r="H17" s="13" t="s">
        <v>177</v>
      </c>
      <c r="I17" s="13" t="s">
        <v>40</v>
      </c>
      <c r="J17" s="13" t="s">
        <v>189</v>
      </c>
      <c r="K17" s="13">
        <v>1</v>
      </c>
      <c r="L17" s="13" t="s">
        <v>40</v>
      </c>
      <c r="M17" s="13">
        <v>2024</v>
      </c>
      <c r="N17" s="13" t="s">
        <v>41</v>
      </c>
      <c r="O17" s="14" t="s">
        <v>30</v>
      </c>
      <c r="P17" s="13" t="s">
        <v>23</v>
      </c>
      <c r="Q17" s="14" t="s">
        <v>23</v>
      </c>
      <c r="R17" s="13">
        <v>90</v>
      </c>
      <c r="S17" s="13">
        <v>0.9</v>
      </c>
      <c r="T17" s="13">
        <v>0.1</v>
      </c>
      <c r="U17" s="13">
        <v>0</v>
      </c>
    </row>
    <row r="18" spans="1:21" x14ac:dyDescent="0.2">
      <c r="A18" s="13" t="s">
        <v>190</v>
      </c>
      <c r="B18" s="13" t="s">
        <v>191</v>
      </c>
      <c r="C18" s="13" t="s">
        <v>192</v>
      </c>
      <c r="D18" s="13" t="s">
        <v>193</v>
      </c>
      <c r="E18" s="13" t="s">
        <v>194</v>
      </c>
      <c r="F18" s="13" t="s">
        <v>195</v>
      </c>
      <c r="G18" s="13" t="s">
        <v>66</v>
      </c>
      <c r="H18" s="13" t="s">
        <v>169</v>
      </c>
      <c r="I18" s="13" t="s">
        <v>40</v>
      </c>
      <c r="J18" s="13" t="s">
        <v>189</v>
      </c>
      <c r="K18" s="13">
        <v>0.5</v>
      </c>
      <c r="L18" s="13" t="s">
        <v>40</v>
      </c>
      <c r="M18" s="13">
        <v>2024</v>
      </c>
      <c r="N18" s="13" t="s">
        <v>41</v>
      </c>
      <c r="O18" s="14" t="s">
        <v>156</v>
      </c>
      <c r="P18" s="13" t="s">
        <v>23</v>
      </c>
      <c r="Q18" s="14" t="s">
        <v>23</v>
      </c>
      <c r="R18" s="13">
        <v>10</v>
      </c>
      <c r="S18" s="13">
        <v>0.05</v>
      </c>
      <c r="T18" s="13">
        <v>0.45</v>
      </c>
      <c r="U18" s="13">
        <v>0</v>
      </c>
    </row>
    <row r="19" spans="1:21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22"/>
      <c r="Q19" s="23"/>
      <c r="R19" s="22"/>
      <c r="S19" s="22"/>
      <c r="T19" s="33">
        <f>SUM(T2:T13,U14:U14,T15:T18)</f>
        <v>6.3</v>
      </c>
      <c r="U19" s="22"/>
    </row>
  </sheetData>
  <autoFilter ref="A1:U1" xr:uid="{00000000-0009-0000-0000-000000000000}"/>
  <printOptions horizontalCentered="1"/>
  <pageMargins left="0.19685039370078741" right="0.19685039370078741" top="0.39370078740157483" bottom="0.39370078740157483" header="0.78740157480314965" footer="0"/>
  <pageSetup paperSize="9" scale="90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4"/>
  <sheetViews>
    <sheetView zoomScaleNormal="100" workbookViewId="0">
      <selection activeCell="T19" sqref="T19"/>
    </sheetView>
  </sheetViews>
  <sheetFormatPr baseColWidth="10" defaultColWidth="11.44140625" defaultRowHeight="13.2" x14ac:dyDescent="0.25"/>
  <cols>
    <col min="1" max="1" width="10.88671875" style="11" bestFit="1" customWidth="1"/>
    <col min="2" max="2" width="46" style="11" bestFit="1" customWidth="1"/>
    <col min="3" max="3" width="14.5546875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5.099999999999994" customHeight="1" x14ac:dyDescent="0.25">
      <c r="A1" s="24" t="s">
        <v>53</v>
      </c>
      <c r="B1" s="24" t="s">
        <v>54</v>
      </c>
      <c r="C1" s="24" t="s">
        <v>55</v>
      </c>
      <c r="D1" s="25" t="s">
        <v>196</v>
      </c>
      <c r="E1" s="25" t="s">
        <v>197</v>
      </c>
      <c r="F1" s="25" t="s">
        <v>198</v>
      </c>
      <c r="G1" s="25" t="s">
        <v>199</v>
      </c>
      <c r="H1" s="25" t="s">
        <v>200</v>
      </c>
      <c r="I1" s="25" t="s">
        <v>201</v>
      </c>
      <c r="J1" s="24" t="s">
        <v>56</v>
      </c>
      <c r="K1" s="35" t="s">
        <v>82</v>
      </c>
      <c r="L1" s="8" t="s">
        <v>57</v>
      </c>
      <c r="M1" s="8" t="s">
        <v>58</v>
      </c>
      <c r="N1" s="8" t="s">
        <v>59</v>
      </c>
      <c r="O1" s="8" t="s">
        <v>60</v>
      </c>
      <c r="P1" s="9" t="s">
        <v>61</v>
      </c>
      <c r="Q1" s="9" t="s">
        <v>62</v>
      </c>
      <c r="R1" s="9" t="s">
        <v>63</v>
      </c>
      <c r="S1" s="9" t="s">
        <v>64</v>
      </c>
      <c r="T1" s="11"/>
    </row>
    <row r="2" spans="1:20" ht="14.4" x14ac:dyDescent="0.3">
      <c r="A2" s="54" t="s">
        <v>154</v>
      </c>
      <c r="B2" s="54" t="s">
        <v>202</v>
      </c>
      <c r="C2" s="54" t="s">
        <v>65</v>
      </c>
      <c r="D2" s="54">
        <v>1</v>
      </c>
      <c r="E2" s="54"/>
      <c r="F2" s="54"/>
      <c r="G2" s="54"/>
      <c r="H2" s="54"/>
      <c r="I2" s="54"/>
      <c r="J2" s="54">
        <v>1</v>
      </c>
      <c r="K2" s="54" t="s">
        <v>48</v>
      </c>
      <c r="L2" s="55" t="s">
        <v>41</v>
      </c>
      <c r="M2" s="55" t="s">
        <v>155</v>
      </c>
      <c r="N2" s="55" t="s">
        <v>23</v>
      </c>
      <c r="O2" s="55" t="s">
        <v>23</v>
      </c>
      <c r="P2" s="55">
        <v>50</v>
      </c>
      <c r="Q2" s="55">
        <v>0.5</v>
      </c>
      <c r="R2" s="55">
        <v>0</v>
      </c>
      <c r="S2" s="55">
        <v>0.5</v>
      </c>
    </row>
    <row r="3" spans="1:20" ht="14.4" x14ac:dyDescent="0.3">
      <c r="A3" s="54" t="s">
        <v>203</v>
      </c>
      <c r="B3" s="54" t="s">
        <v>204</v>
      </c>
      <c r="C3" s="54" t="s">
        <v>84</v>
      </c>
      <c r="D3" s="54"/>
      <c r="E3" s="54"/>
      <c r="F3" s="54"/>
      <c r="G3" s="54"/>
      <c r="H3" s="54"/>
      <c r="I3" s="54">
        <v>1</v>
      </c>
      <c r="J3" s="54">
        <v>1</v>
      </c>
      <c r="K3" s="54" t="s">
        <v>40</v>
      </c>
      <c r="L3" s="55" t="s">
        <v>41</v>
      </c>
      <c r="M3" s="55" t="s">
        <v>155</v>
      </c>
      <c r="N3" s="55" t="s">
        <v>205</v>
      </c>
      <c r="O3" s="55" t="s">
        <v>206</v>
      </c>
      <c r="P3" s="55">
        <v>20</v>
      </c>
      <c r="Q3" s="55">
        <v>0.5</v>
      </c>
      <c r="R3" s="55">
        <v>0.3</v>
      </c>
      <c r="S3" s="55">
        <v>0.2</v>
      </c>
    </row>
    <row r="4" spans="1:20" ht="14.4" x14ac:dyDescent="0.3">
      <c r="A4" s="54" t="s">
        <v>72</v>
      </c>
      <c r="B4" s="54" t="s">
        <v>207</v>
      </c>
      <c r="C4" s="54" t="s">
        <v>65</v>
      </c>
      <c r="D4" s="54"/>
      <c r="E4" s="54"/>
      <c r="F4" s="54"/>
      <c r="G4" s="54"/>
      <c r="H4" s="54">
        <v>1</v>
      </c>
      <c r="I4" s="54"/>
      <c r="J4" s="54">
        <v>1</v>
      </c>
      <c r="K4" s="54" t="s">
        <v>29</v>
      </c>
      <c r="L4" s="55" t="s">
        <v>41</v>
      </c>
      <c r="M4" s="55" t="s">
        <v>156</v>
      </c>
      <c r="N4" s="55" t="s">
        <v>23</v>
      </c>
      <c r="O4" s="55" t="s">
        <v>23</v>
      </c>
      <c r="P4" s="55">
        <v>10</v>
      </c>
      <c r="Q4" s="55">
        <v>0.9</v>
      </c>
      <c r="R4" s="55">
        <v>0</v>
      </c>
      <c r="S4" s="55">
        <v>0.1</v>
      </c>
    </row>
    <row r="5" spans="1:20" ht="14.4" x14ac:dyDescent="0.3">
      <c r="A5" s="54" t="s">
        <v>144</v>
      </c>
      <c r="B5" s="54" t="s">
        <v>208</v>
      </c>
      <c r="C5" s="54" t="s">
        <v>65</v>
      </c>
      <c r="D5" s="54"/>
      <c r="E5" s="54">
        <v>1</v>
      </c>
      <c r="F5" s="54"/>
      <c r="G5" s="54"/>
      <c r="H5" s="54"/>
      <c r="I5" s="54"/>
      <c r="J5" s="54">
        <v>1</v>
      </c>
      <c r="K5" s="54" t="s">
        <v>126</v>
      </c>
      <c r="L5" s="55" t="s">
        <v>41</v>
      </c>
      <c r="M5" s="55" t="s">
        <v>157</v>
      </c>
      <c r="N5" s="55" t="s">
        <v>23</v>
      </c>
      <c r="O5" s="55" t="s">
        <v>23</v>
      </c>
      <c r="P5" s="55">
        <v>30</v>
      </c>
      <c r="Q5" s="55">
        <v>0.7</v>
      </c>
      <c r="R5" s="55">
        <v>0</v>
      </c>
      <c r="S5" s="55">
        <v>0.3</v>
      </c>
    </row>
    <row r="6" spans="1:20" ht="14.4" x14ac:dyDescent="0.3">
      <c r="A6" s="54" t="s">
        <v>67</v>
      </c>
      <c r="B6" s="54" t="s">
        <v>209</v>
      </c>
      <c r="C6" s="54" t="s">
        <v>65</v>
      </c>
      <c r="D6" s="54"/>
      <c r="E6" s="54"/>
      <c r="F6" s="54"/>
      <c r="G6" s="54"/>
      <c r="H6" s="54"/>
      <c r="I6" s="54">
        <v>1</v>
      </c>
      <c r="J6" s="54">
        <v>1</v>
      </c>
      <c r="K6" s="54" t="s">
        <v>68</v>
      </c>
      <c r="L6" s="55" t="s">
        <v>41</v>
      </c>
      <c r="M6" s="55" t="s">
        <v>158</v>
      </c>
      <c r="N6" s="55" t="s">
        <v>23</v>
      </c>
      <c r="O6" s="55" t="s">
        <v>23</v>
      </c>
      <c r="P6" s="55">
        <v>0</v>
      </c>
      <c r="Q6" s="55">
        <v>1</v>
      </c>
      <c r="R6" s="55">
        <v>0</v>
      </c>
      <c r="S6" s="55">
        <v>0</v>
      </c>
    </row>
    <row r="7" spans="1:20" ht="14.4" x14ac:dyDescent="0.3">
      <c r="A7" s="54" t="s">
        <v>75</v>
      </c>
      <c r="B7" s="54" t="s">
        <v>210</v>
      </c>
      <c r="C7" s="54" t="s">
        <v>65</v>
      </c>
      <c r="D7" s="54"/>
      <c r="E7" s="54"/>
      <c r="F7" s="54"/>
      <c r="G7" s="54"/>
      <c r="H7" s="54">
        <v>1</v>
      </c>
      <c r="I7" s="54"/>
      <c r="J7" s="54">
        <v>1</v>
      </c>
      <c r="K7" s="54" t="s">
        <v>40</v>
      </c>
      <c r="L7" s="55" t="s">
        <v>41</v>
      </c>
      <c r="M7" s="55" t="s">
        <v>30</v>
      </c>
      <c r="N7" s="55" t="s">
        <v>23</v>
      </c>
      <c r="O7" s="55" t="s">
        <v>23</v>
      </c>
      <c r="P7" s="55">
        <v>90</v>
      </c>
      <c r="Q7" s="55">
        <v>0.1</v>
      </c>
      <c r="R7" s="55">
        <v>0</v>
      </c>
      <c r="S7" s="55">
        <v>0.9</v>
      </c>
    </row>
    <row r="8" spans="1:20" ht="14.4" x14ac:dyDescent="0.3">
      <c r="A8" s="54" t="s">
        <v>73</v>
      </c>
      <c r="B8" s="54" t="s">
        <v>211</v>
      </c>
      <c r="C8" s="54" t="s">
        <v>65</v>
      </c>
      <c r="D8" s="54"/>
      <c r="E8" s="54">
        <v>1</v>
      </c>
      <c r="F8" s="54"/>
      <c r="G8" s="54"/>
      <c r="H8" s="54"/>
      <c r="I8" s="54"/>
      <c r="J8" s="54">
        <v>1</v>
      </c>
      <c r="K8" s="54" t="s">
        <v>48</v>
      </c>
      <c r="L8" s="55" t="s">
        <v>41</v>
      </c>
      <c r="M8" s="55" t="s">
        <v>156</v>
      </c>
      <c r="N8" s="55" t="s">
        <v>23</v>
      </c>
      <c r="O8" s="55" t="s">
        <v>23</v>
      </c>
      <c r="P8" s="55">
        <v>10</v>
      </c>
      <c r="Q8" s="55">
        <v>0.9</v>
      </c>
      <c r="R8" s="55">
        <v>0</v>
      </c>
      <c r="S8" s="55">
        <v>0.1</v>
      </c>
    </row>
    <row r="9" spans="1:20" ht="14.4" x14ac:dyDescent="0.3">
      <c r="A9" s="54" t="s">
        <v>69</v>
      </c>
      <c r="B9" s="54" t="s">
        <v>212</v>
      </c>
      <c r="C9" s="54" t="s">
        <v>65</v>
      </c>
      <c r="D9" s="54"/>
      <c r="E9" s="54"/>
      <c r="F9" s="54"/>
      <c r="G9" s="54">
        <v>1</v>
      </c>
      <c r="H9" s="54"/>
      <c r="I9" s="54"/>
      <c r="J9" s="54">
        <v>1</v>
      </c>
      <c r="K9" s="54" t="s">
        <v>48</v>
      </c>
      <c r="L9" s="55" t="s">
        <v>41</v>
      </c>
      <c r="M9" s="55" t="s">
        <v>155</v>
      </c>
      <c r="N9" s="55" t="s">
        <v>23</v>
      </c>
      <c r="O9" s="55" t="s">
        <v>23</v>
      </c>
      <c r="P9" s="55">
        <v>50</v>
      </c>
      <c r="Q9" s="55">
        <v>0.5</v>
      </c>
      <c r="R9" s="55">
        <v>0</v>
      </c>
      <c r="S9" s="55">
        <v>0.5</v>
      </c>
    </row>
    <row r="10" spans="1:20" ht="14.4" x14ac:dyDescent="0.3">
      <c r="A10" s="54" t="s">
        <v>213</v>
      </c>
      <c r="B10" s="54" t="s">
        <v>214</v>
      </c>
      <c r="C10" s="54" t="s">
        <v>84</v>
      </c>
      <c r="D10" s="54"/>
      <c r="E10" s="54"/>
      <c r="F10" s="54"/>
      <c r="G10" s="54"/>
      <c r="H10" s="54"/>
      <c r="I10" s="54">
        <v>1</v>
      </c>
      <c r="J10" s="54">
        <v>1</v>
      </c>
      <c r="K10" s="54" t="s">
        <v>48</v>
      </c>
      <c r="L10" s="55" t="s">
        <v>41</v>
      </c>
      <c r="M10" s="55" t="s">
        <v>215</v>
      </c>
      <c r="N10" s="55" t="s">
        <v>23</v>
      </c>
      <c r="O10" s="55" t="s">
        <v>23</v>
      </c>
      <c r="P10" s="55">
        <v>40</v>
      </c>
      <c r="Q10" s="55">
        <v>0.6</v>
      </c>
      <c r="R10" s="55">
        <v>0</v>
      </c>
      <c r="S10" s="55">
        <v>0.4</v>
      </c>
    </row>
    <row r="11" spans="1:20" ht="14.4" x14ac:dyDescent="0.3">
      <c r="A11" s="54" t="s">
        <v>76</v>
      </c>
      <c r="B11" s="54" t="s">
        <v>216</v>
      </c>
      <c r="C11" s="56" t="s">
        <v>65</v>
      </c>
      <c r="D11" s="54"/>
      <c r="E11" s="54"/>
      <c r="F11" s="54"/>
      <c r="G11" s="54">
        <v>1</v>
      </c>
      <c r="H11" s="54"/>
      <c r="I11" s="54"/>
      <c r="J11" s="54">
        <v>1</v>
      </c>
      <c r="K11" s="54" t="s">
        <v>68</v>
      </c>
      <c r="L11" s="55" t="s">
        <v>41</v>
      </c>
      <c r="M11" s="55" t="s">
        <v>158</v>
      </c>
      <c r="N11" s="55" t="s">
        <v>23</v>
      </c>
      <c r="O11" s="55" t="s">
        <v>23</v>
      </c>
      <c r="P11" s="55">
        <v>0</v>
      </c>
      <c r="Q11" s="55">
        <v>1</v>
      </c>
      <c r="R11" s="55">
        <v>0</v>
      </c>
      <c r="S11" s="55">
        <v>0</v>
      </c>
    </row>
    <row r="12" spans="1:20" ht="14.4" x14ac:dyDescent="0.3">
      <c r="A12" s="54" t="s">
        <v>70</v>
      </c>
      <c r="B12" s="54" t="s">
        <v>217</v>
      </c>
      <c r="C12" s="54" t="s">
        <v>65</v>
      </c>
      <c r="D12" s="54"/>
      <c r="E12" s="54"/>
      <c r="F12" s="54"/>
      <c r="G12" s="54">
        <v>1</v>
      </c>
      <c r="H12" s="54"/>
      <c r="I12" s="54"/>
      <c r="J12" s="54">
        <v>1</v>
      </c>
      <c r="K12" s="54" t="s">
        <v>40</v>
      </c>
      <c r="L12" s="55" t="s">
        <v>41</v>
      </c>
      <c r="M12" s="55" t="s">
        <v>30</v>
      </c>
      <c r="N12" s="55" t="s">
        <v>23</v>
      </c>
      <c r="O12" s="55" t="s">
        <v>23</v>
      </c>
      <c r="P12" s="55">
        <v>90</v>
      </c>
      <c r="Q12" s="55">
        <v>0.1</v>
      </c>
      <c r="R12" s="55">
        <v>0</v>
      </c>
      <c r="S12" s="55">
        <v>0.9</v>
      </c>
    </row>
    <row r="13" spans="1:20" ht="14.4" x14ac:dyDescent="0.3">
      <c r="A13" s="54" t="s">
        <v>113</v>
      </c>
      <c r="B13" s="54" t="s">
        <v>218</v>
      </c>
      <c r="C13" s="54" t="s">
        <v>65</v>
      </c>
      <c r="D13" s="54"/>
      <c r="E13" s="54"/>
      <c r="F13" s="54"/>
      <c r="G13" s="54">
        <v>2</v>
      </c>
      <c r="H13" s="54"/>
      <c r="I13" s="54"/>
      <c r="J13" s="54">
        <v>2</v>
      </c>
      <c r="K13" s="54" t="s">
        <v>40</v>
      </c>
      <c r="L13" s="55" t="s">
        <v>41</v>
      </c>
      <c r="M13" s="55" t="s">
        <v>30</v>
      </c>
      <c r="N13" s="55" t="s">
        <v>23</v>
      </c>
      <c r="O13" s="55" t="s">
        <v>23</v>
      </c>
      <c r="P13" s="55">
        <v>90</v>
      </c>
      <c r="Q13" s="55">
        <v>0.2</v>
      </c>
      <c r="R13" s="55">
        <v>0</v>
      </c>
      <c r="S13" s="55">
        <v>1.8</v>
      </c>
    </row>
    <row r="14" spans="1:20" ht="14.4" x14ac:dyDescent="0.3">
      <c r="A14" s="54" t="s">
        <v>183</v>
      </c>
      <c r="B14" s="54" t="s">
        <v>219</v>
      </c>
      <c r="C14" s="54" t="s">
        <v>84</v>
      </c>
      <c r="D14" s="54"/>
      <c r="E14" s="54"/>
      <c r="F14" s="54"/>
      <c r="G14" s="54">
        <v>1</v>
      </c>
      <c r="H14" s="54"/>
      <c r="I14" s="54"/>
      <c r="J14" s="54">
        <v>1</v>
      </c>
      <c r="K14" s="54" t="s">
        <v>184</v>
      </c>
      <c r="L14" s="55" t="s">
        <v>41</v>
      </c>
      <c r="M14" s="55" t="s">
        <v>206</v>
      </c>
      <c r="N14" s="55" t="s">
        <v>23</v>
      </c>
      <c r="O14" s="55" t="s">
        <v>23</v>
      </c>
      <c r="P14" s="55">
        <v>70</v>
      </c>
      <c r="Q14" s="55">
        <v>0.3</v>
      </c>
      <c r="R14" s="55">
        <v>0</v>
      </c>
      <c r="S14" s="55">
        <v>0.7</v>
      </c>
    </row>
    <row r="15" spans="1:20" ht="14.4" x14ac:dyDescent="0.3">
      <c r="A15" s="54" t="s">
        <v>83</v>
      </c>
      <c r="B15" s="54" t="s">
        <v>220</v>
      </c>
      <c r="C15" s="54" t="s">
        <v>84</v>
      </c>
      <c r="D15" s="54"/>
      <c r="E15" s="54"/>
      <c r="F15" s="54"/>
      <c r="G15" s="54"/>
      <c r="H15" s="54"/>
      <c r="I15" s="54">
        <v>1</v>
      </c>
      <c r="J15" s="54">
        <v>1</v>
      </c>
      <c r="K15" s="54" t="s">
        <v>40</v>
      </c>
      <c r="L15" s="55" t="s">
        <v>41</v>
      </c>
      <c r="M15" s="55" t="s">
        <v>30</v>
      </c>
      <c r="N15" s="55" t="s">
        <v>23</v>
      </c>
      <c r="O15" s="55" t="s">
        <v>23</v>
      </c>
      <c r="P15" s="55">
        <v>90</v>
      </c>
      <c r="Q15" s="55">
        <v>0.1</v>
      </c>
      <c r="R15" s="55">
        <v>0</v>
      </c>
      <c r="S15" s="55">
        <v>0.9</v>
      </c>
    </row>
    <row r="16" spans="1:20" ht="14.4" x14ac:dyDescent="0.3">
      <c r="A16" s="54" t="s">
        <v>66</v>
      </c>
      <c r="B16" s="54" t="s">
        <v>221</v>
      </c>
      <c r="C16" s="54" t="s">
        <v>65</v>
      </c>
      <c r="D16" s="54"/>
      <c r="E16" s="54"/>
      <c r="F16" s="54"/>
      <c r="G16" s="54">
        <v>1</v>
      </c>
      <c r="H16" s="54"/>
      <c r="I16" s="54"/>
      <c r="J16" s="54">
        <v>1</v>
      </c>
      <c r="K16" s="54" t="s">
        <v>40</v>
      </c>
      <c r="L16" s="55" t="s">
        <v>41</v>
      </c>
      <c r="M16" s="55" t="s">
        <v>156</v>
      </c>
      <c r="N16" s="55" t="s">
        <v>23</v>
      </c>
      <c r="O16" s="55" t="s">
        <v>23</v>
      </c>
      <c r="P16" s="55">
        <v>10</v>
      </c>
      <c r="Q16" s="55">
        <v>0.9</v>
      </c>
      <c r="R16" s="55">
        <v>0</v>
      </c>
      <c r="S16" s="55">
        <v>0.1</v>
      </c>
    </row>
    <row r="17" spans="1:19" ht="14.4" x14ac:dyDescent="0.3">
      <c r="A17" s="54" t="s">
        <v>114</v>
      </c>
      <c r="B17" s="54" t="s">
        <v>222</v>
      </c>
      <c r="C17" s="54" t="s">
        <v>65</v>
      </c>
      <c r="D17" s="54"/>
      <c r="E17" s="54"/>
      <c r="F17" s="54"/>
      <c r="G17" s="54"/>
      <c r="H17" s="54"/>
      <c r="I17" s="54">
        <v>2</v>
      </c>
      <c r="J17" s="54">
        <v>2</v>
      </c>
      <c r="K17" s="54" t="s">
        <v>115</v>
      </c>
      <c r="L17" s="55" t="s">
        <v>41</v>
      </c>
      <c r="M17" s="55" t="s">
        <v>162</v>
      </c>
      <c r="N17" s="55" t="s">
        <v>116</v>
      </c>
      <c r="O17" s="55" t="s">
        <v>28</v>
      </c>
      <c r="P17" s="55">
        <v>40</v>
      </c>
      <c r="Q17" s="55">
        <v>0.8</v>
      </c>
      <c r="R17" s="55">
        <v>0.4</v>
      </c>
      <c r="S17" s="55">
        <v>0.8</v>
      </c>
    </row>
    <row r="18" spans="1:19" ht="14.4" x14ac:dyDescent="0.3">
      <c r="A18" s="54" t="s">
        <v>74</v>
      </c>
      <c r="B18" s="54" t="s">
        <v>223</v>
      </c>
      <c r="C18" s="54" t="s">
        <v>65</v>
      </c>
      <c r="D18" s="54"/>
      <c r="E18" s="54"/>
      <c r="F18" s="54">
        <v>1</v>
      </c>
      <c r="G18" s="54"/>
      <c r="H18" s="54"/>
      <c r="I18" s="54"/>
      <c r="J18" s="54">
        <v>1</v>
      </c>
      <c r="K18" s="54" t="s">
        <v>68</v>
      </c>
      <c r="L18" s="55" t="s">
        <v>41</v>
      </c>
      <c r="M18" s="55" t="s">
        <v>158</v>
      </c>
      <c r="N18" s="55" t="s">
        <v>23</v>
      </c>
      <c r="O18" s="55" t="s">
        <v>23</v>
      </c>
      <c r="P18" s="55">
        <v>0</v>
      </c>
      <c r="Q18" s="55">
        <v>1</v>
      </c>
      <c r="R18" s="55">
        <v>0</v>
      </c>
      <c r="S18" s="55">
        <v>0</v>
      </c>
    </row>
    <row r="19" spans="1:19" ht="14.4" x14ac:dyDescent="0.3">
      <c r="A19" s="54" t="s">
        <v>71</v>
      </c>
      <c r="B19" s="54" t="s">
        <v>224</v>
      </c>
      <c r="C19" s="54" t="s">
        <v>225</v>
      </c>
      <c r="D19" s="54"/>
      <c r="E19" s="54"/>
      <c r="F19" s="54"/>
      <c r="G19" s="54"/>
      <c r="H19" s="54"/>
      <c r="I19" s="54">
        <v>1</v>
      </c>
      <c r="J19" s="54">
        <v>1</v>
      </c>
      <c r="K19" s="54" t="s">
        <v>68</v>
      </c>
      <c r="L19" s="55" t="s">
        <v>41</v>
      </c>
      <c r="M19" s="55" t="s">
        <v>155</v>
      </c>
      <c r="N19" s="55" t="s">
        <v>23</v>
      </c>
      <c r="O19" s="55" t="s">
        <v>23</v>
      </c>
      <c r="P19" s="55">
        <v>50</v>
      </c>
      <c r="Q19" s="55">
        <v>0.5</v>
      </c>
      <c r="R19" s="55">
        <v>0</v>
      </c>
      <c r="S19" s="55">
        <v>0.5</v>
      </c>
    </row>
    <row r="20" spans="1:19" ht="14.4" x14ac:dyDescent="0.3">
      <c r="A20" s="54" t="s">
        <v>78</v>
      </c>
      <c r="B20" s="54" t="s">
        <v>226</v>
      </c>
      <c r="C20" s="56" t="s">
        <v>65</v>
      </c>
      <c r="D20" s="54"/>
      <c r="E20" s="54"/>
      <c r="F20" s="54"/>
      <c r="G20" s="54"/>
      <c r="H20" s="54">
        <v>1</v>
      </c>
      <c r="I20" s="54"/>
      <c r="J20" s="54">
        <v>1</v>
      </c>
      <c r="K20" s="54" t="s">
        <v>40</v>
      </c>
      <c r="L20" s="55" t="s">
        <v>42</v>
      </c>
      <c r="M20" s="55" t="s">
        <v>28</v>
      </c>
      <c r="N20" s="55" t="s">
        <v>41</v>
      </c>
      <c r="O20" s="55" t="s">
        <v>28</v>
      </c>
      <c r="P20" s="55">
        <v>60</v>
      </c>
      <c r="Q20" s="55">
        <v>0.2</v>
      </c>
      <c r="R20" s="55">
        <v>0.2</v>
      </c>
      <c r="S20" s="55">
        <v>0.6</v>
      </c>
    </row>
    <row r="21" spans="1:19" ht="14.4" x14ac:dyDescent="0.3">
      <c r="A21" s="54" t="s">
        <v>227</v>
      </c>
      <c r="B21" s="54" t="s">
        <v>228</v>
      </c>
      <c r="C21" s="56" t="s">
        <v>65</v>
      </c>
      <c r="D21" s="54">
        <v>1</v>
      </c>
      <c r="E21" s="54"/>
      <c r="F21" s="54"/>
      <c r="G21" s="54"/>
      <c r="H21" s="54"/>
      <c r="I21" s="54"/>
      <c r="J21" s="54">
        <v>1</v>
      </c>
      <c r="K21" s="54" t="s">
        <v>229</v>
      </c>
      <c r="L21" s="55" t="s">
        <v>205</v>
      </c>
      <c r="M21" s="55" t="s">
        <v>30</v>
      </c>
      <c r="N21" s="55" t="s">
        <v>41</v>
      </c>
      <c r="O21" s="55" t="s">
        <v>28</v>
      </c>
      <c r="P21" s="55">
        <v>70</v>
      </c>
      <c r="Q21" s="55">
        <v>0.1</v>
      </c>
      <c r="R21" s="55">
        <v>0.2</v>
      </c>
      <c r="S21" s="55">
        <v>0.7</v>
      </c>
    </row>
    <row r="22" spans="1:19" ht="14.4" x14ac:dyDescent="0.3">
      <c r="A22" s="54" t="s">
        <v>77</v>
      </c>
      <c r="B22" s="54" t="s">
        <v>230</v>
      </c>
      <c r="C22" s="56" t="s">
        <v>225</v>
      </c>
      <c r="D22" s="54"/>
      <c r="E22" s="54"/>
      <c r="F22" s="54"/>
      <c r="G22" s="54"/>
      <c r="H22" s="54"/>
      <c r="I22" s="54">
        <v>1</v>
      </c>
      <c r="J22" s="54">
        <v>1</v>
      </c>
      <c r="K22" s="54" t="s">
        <v>45</v>
      </c>
      <c r="L22" s="57" t="s">
        <v>42</v>
      </c>
      <c r="M22" s="57" t="s">
        <v>28</v>
      </c>
      <c r="N22" s="55" t="s">
        <v>41</v>
      </c>
      <c r="O22" s="55" t="s">
        <v>30</v>
      </c>
      <c r="P22" s="57">
        <v>70</v>
      </c>
      <c r="Q22" s="55">
        <v>0.2</v>
      </c>
      <c r="R22" s="57">
        <v>0.1</v>
      </c>
      <c r="S22" s="57">
        <v>0.7</v>
      </c>
    </row>
    <row r="23" spans="1:19" ht="14.4" x14ac:dyDescent="0.3">
      <c r="A23" s="54" t="s">
        <v>159</v>
      </c>
      <c r="B23" s="54" t="s">
        <v>231</v>
      </c>
      <c r="C23" s="56" t="s">
        <v>84</v>
      </c>
      <c r="D23" s="54"/>
      <c r="E23" s="54"/>
      <c r="F23" s="54"/>
      <c r="G23" s="54"/>
      <c r="H23" s="54">
        <v>1</v>
      </c>
      <c r="I23" s="54">
        <v>1</v>
      </c>
      <c r="J23" s="54">
        <v>2</v>
      </c>
      <c r="K23" s="54" t="s">
        <v>160</v>
      </c>
      <c r="L23" s="55" t="s">
        <v>161</v>
      </c>
      <c r="M23" s="55" t="s">
        <v>30</v>
      </c>
      <c r="N23" s="55" t="s">
        <v>41</v>
      </c>
      <c r="O23" s="55" t="s">
        <v>30</v>
      </c>
      <c r="P23" s="55">
        <v>80</v>
      </c>
      <c r="Q23" s="55">
        <v>0.2</v>
      </c>
      <c r="R23" s="55">
        <v>0.2</v>
      </c>
      <c r="S23" s="55">
        <v>1.6</v>
      </c>
    </row>
    <row r="24" spans="1:19" ht="14.4" x14ac:dyDescent="0.3">
      <c r="A24" s="36"/>
      <c r="B24" s="36"/>
      <c r="C24" s="37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8">
        <f>SUM(R20:R23,Q2:Q19)</f>
        <v>11.3</v>
      </c>
      <c r="S24" s="36"/>
    </row>
  </sheetData>
  <pageMargins left="0.39370078740157483" right="0.39370078740157483" top="0.39370078740157483" bottom="0.39370078740157483" header="0.31496062992125984" footer="0.31496062992125984"/>
  <pageSetup paperSize="9" scale="91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7B12-F1F9-4E91-9758-160C8E37B8AA}">
  <dimension ref="A1:C9"/>
  <sheetViews>
    <sheetView workbookViewId="0">
      <selection activeCell="C9" sqref="C9"/>
    </sheetView>
  </sheetViews>
  <sheetFormatPr baseColWidth="10" defaultRowHeight="14.4" x14ac:dyDescent="0.3"/>
  <cols>
    <col min="1" max="1" width="17" customWidth="1"/>
    <col min="2" max="2" width="103.33203125" customWidth="1"/>
    <col min="3" max="3" width="16" customWidth="1"/>
  </cols>
  <sheetData>
    <row r="1" spans="1:3" x14ac:dyDescent="0.3">
      <c r="A1" s="39" t="s">
        <v>105</v>
      </c>
      <c r="B1" s="39" t="s">
        <v>106</v>
      </c>
      <c r="C1" s="39" t="s">
        <v>117</v>
      </c>
    </row>
    <row r="2" spans="1:3" x14ac:dyDescent="0.3">
      <c r="A2" s="26" t="s">
        <v>145</v>
      </c>
      <c r="B2" s="26" t="s">
        <v>146</v>
      </c>
      <c r="C2" s="27">
        <v>-1680.13</v>
      </c>
    </row>
    <row r="3" spans="1:3" x14ac:dyDescent="0.3">
      <c r="A3" s="28" t="s">
        <v>118</v>
      </c>
      <c r="B3" s="28" t="s">
        <v>148</v>
      </c>
      <c r="C3" s="29">
        <v>30000</v>
      </c>
    </row>
    <row r="4" spans="1:3" x14ac:dyDescent="0.3">
      <c r="A4" s="26" t="s">
        <v>118</v>
      </c>
      <c r="B4" s="26" t="s">
        <v>149</v>
      </c>
      <c r="C4" s="27">
        <v>-17002.66</v>
      </c>
    </row>
    <row r="5" spans="1:3" x14ac:dyDescent="0.3">
      <c r="A5" s="28" t="s">
        <v>150</v>
      </c>
      <c r="B5" s="28" t="s">
        <v>151</v>
      </c>
      <c r="C5" s="29">
        <v>5671.2</v>
      </c>
    </row>
    <row r="6" spans="1:3" x14ac:dyDescent="0.3">
      <c r="A6" s="26" t="s">
        <v>152</v>
      </c>
      <c r="B6" s="26" t="s">
        <v>151</v>
      </c>
      <c r="C6" s="27">
        <v>9873.6</v>
      </c>
    </row>
    <row r="7" spans="1:3" x14ac:dyDescent="0.3">
      <c r="A7" s="43" t="s">
        <v>119</v>
      </c>
      <c r="B7" s="43" t="s">
        <v>153</v>
      </c>
      <c r="C7" s="44">
        <v>16260.38</v>
      </c>
    </row>
    <row r="8" spans="1:3" x14ac:dyDescent="0.3">
      <c r="A8" s="45" t="s">
        <v>0</v>
      </c>
      <c r="B8" s="45"/>
      <c r="C8" s="46">
        <f>SUBTOTAL(109,Tabla2[Imp.cob.aplic.])</f>
        <v>43122.39</v>
      </c>
    </row>
    <row r="9" spans="1:3" x14ac:dyDescent="0.3">
      <c r="C9" s="3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5D6C-1F99-485B-8E74-067F4981567C}">
  <dimension ref="A1:C5"/>
  <sheetViews>
    <sheetView workbookViewId="0">
      <selection activeCell="B8" sqref="B8:C8"/>
    </sheetView>
  </sheetViews>
  <sheetFormatPr baseColWidth="10" defaultRowHeight="14.4" x14ac:dyDescent="0.3"/>
  <cols>
    <col min="1" max="1" width="12" customWidth="1"/>
    <col min="2" max="2" width="57" customWidth="1"/>
    <col min="3" max="3" width="13.109375" customWidth="1"/>
  </cols>
  <sheetData>
    <row r="1" spans="1:3" x14ac:dyDescent="0.3">
      <c r="A1" s="49" t="s">
        <v>179</v>
      </c>
      <c r="B1" s="49" t="s">
        <v>106</v>
      </c>
      <c r="C1" s="50" t="s">
        <v>180</v>
      </c>
    </row>
    <row r="2" spans="1:3" x14ac:dyDescent="0.3">
      <c r="A2" s="47" t="s">
        <v>118</v>
      </c>
      <c r="B2" s="47" t="s">
        <v>181</v>
      </c>
      <c r="C2" s="27">
        <v>30000</v>
      </c>
    </row>
    <row r="3" spans="1:3" x14ac:dyDescent="0.3">
      <c r="A3" s="48" t="s">
        <v>150</v>
      </c>
      <c r="B3" s="48" t="s">
        <v>182</v>
      </c>
      <c r="C3" s="29">
        <v>7089</v>
      </c>
    </row>
    <row r="4" spans="1:3" x14ac:dyDescent="0.3">
      <c r="A4" s="51" t="s">
        <v>152</v>
      </c>
      <c r="B4" s="51" t="s">
        <v>182</v>
      </c>
      <c r="C4" s="40">
        <v>12342</v>
      </c>
    </row>
    <row r="5" spans="1:3" x14ac:dyDescent="0.3">
      <c r="A5" s="41" t="s">
        <v>0</v>
      </c>
      <c r="B5" s="41"/>
      <c r="C5" s="42">
        <f>SUBTOTAL(109,Tabla3[Imp. aplic.])</f>
        <v>49431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D4DE-D084-4369-9048-1EFA6C681B97}">
  <dimension ref="A1:C9"/>
  <sheetViews>
    <sheetView tabSelected="1" workbookViewId="0">
      <selection activeCell="C10" sqref="C10"/>
    </sheetView>
  </sheetViews>
  <sheetFormatPr baseColWidth="10" defaultRowHeight="14.4" x14ac:dyDescent="0.3"/>
  <cols>
    <col min="1" max="1" width="21.5546875" customWidth="1"/>
    <col min="2" max="2" width="51.5546875" customWidth="1"/>
    <col min="3" max="3" width="21.21875" customWidth="1"/>
  </cols>
  <sheetData>
    <row r="1" spans="1:3" x14ac:dyDescent="0.3">
      <c r="A1" s="58" t="s">
        <v>179</v>
      </c>
      <c r="B1" s="59" t="s">
        <v>106</v>
      </c>
      <c r="C1" s="59" t="s">
        <v>180</v>
      </c>
    </row>
    <row r="2" spans="1:3" x14ac:dyDescent="0.3">
      <c r="A2" s="60" t="s">
        <v>150</v>
      </c>
      <c r="B2" s="61" t="s">
        <v>232</v>
      </c>
      <c r="C2" s="62">
        <v>4892.8</v>
      </c>
    </row>
    <row r="3" spans="1:3" x14ac:dyDescent="0.3">
      <c r="A3" s="63" t="s">
        <v>152</v>
      </c>
      <c r="B3" s="64" t="s">
        <v>232</v>
      </c>
      <c r="C3" s="65">
        <v>8518.4</v>
      </c>
    </row>
    <row r="4" spans="1:3" ht="15" thickBot="1" x14ac:dyDescent="0.35">
      <c r="A4" s="60" t="s">
        <v>233</v>
      </c>
      <c r="B4" s="61" t="s">
        <v>234</v>
      </c>
      <c r="C4" s="62">
        <v>65000</v>
      </c>
    </row>
    <row r="5" spans="1:3" ht="15" thickTop="1" x14ac:dyDescent="0.3">
      <c r="A5" s="66" t="s">
        <v>0</v>
      </c>
      <c r="B5" s="67"/>
      <c r="C5" s="68">
        <v>78411.199999999997</v>
      </c>
    </row>
    <row r="9" spans="1:3" x14ac:dyDescent="0.3">
      <c r="B9" s="52" t="s">
        <v>235</v>
      </c>
      <c r="C9" s="53">
        <f>C5+Tabla2[[#Totals],[Imp.cob.aplic.]]+Tabla3[[#Totals],[Imp. aplic.]]</f>
        <v>170964.59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cp:lastPrinted>2019-07-03T07:26:29Z</cp:lastPrinted>
  <dcterms:created xsi:type="dcterms:W3CDTF">2019-07-03T07:15:54Z</dcterms:created>
  <dcterms:modified xsi:type="dcterms:W3CDTF">2026-05-22T11:49:32Z</dcterms:modified>
</cp:coreProperties>
</file>