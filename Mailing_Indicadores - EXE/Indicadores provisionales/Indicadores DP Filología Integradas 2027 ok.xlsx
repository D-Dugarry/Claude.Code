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https://nexe.ua.es/remote.php/dav/files/mayte.pujalte@ua.es/_Unidad_Presupuestos/2_PRESUPUESTACIÓN/Presupuesto 2027/Datos/D-I/Indicadores provisionales/"/>
    </mc:Choice>
  </mc:AlternateContent>
  <xr:revisionPtr revIDLastSave="0" documentId="13_ncr:1_{945F314F-1BA0-400C-A823-2F2625A85BB1}" xr6:coauthVersionLast="47" xr6:coauthVersionMax="47" xr10:uidLastSave="{00000000-0000-0000-0000-000000000000}"/>
  <bookViews>
    <workbookView xWindow="-108" yWindow="-108" windowWidth="23256" windowHeight="13896" firstSheet="4" activeTab="7" xr2:uid="{00000000-000D-0000-FFFF-FFFF00000000}"/>
  </bookViews>
  <sheets>
    <sheet name="Tesis" sheetId="2" r:id="rId1"/>
    <sheet name="Sexenios" sheetId="3" r:id="rId2"/>
    <sheet name="Ingresos investigación 2023" sheetId="10" r:id="rId3"/>
    <sheet name="Ingresos investigación 2024" sheetId="11" r:id="rId4"/>
    <sheet name="Ingresos investigación 2025" sheetId="15" r:id="rId5"/>
    <sheet name="Ingresos de formación 2023" sheetId="13" r:id="rId6"/>
    <sheet name="Ingresos de formación 2024" sheetId="14" r:id="rId7"/>
    <sheet name="Ingresos formación 2025" sheetId="16" r:id="rId8"/>
  </sheets>
  <definedNames>
    <definedName name="_xlnm._FilterDatabase" localSheetId="1" hidden="1">Sexenios!#REF!</definedName>
    <definedName name="_xlnm._FilterDatabase" localSheetId="0" hidden="1">Tesis!$A$1:$U$1</definedName>
    <definedName name="_xlnm.Print_Titles" localSheetId="1">Sexenios!$1:$1</definedName>
    <definedName name="_xlnm.Print_Titles" localSheetId="0">Tesis!$D:$D,Tesis!$1:$1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6" i="16" l="1"/>
  <c r="C11" i="15"/>
  <c r="C18" i="14"/>
  <c r="C8" i="11" l="1"/>
  <c r="C7" i="10"/>
  <c r="S25" i="2"/>
  <c r="S21" i="3" l="1"/>
</calcChain>
</file>

<file path=xl/sharedStrings.xml><?xml version="1.0" encoding="utf-8"?>
<sst xmlns="http://schemas.openxmlformats.org/spreadsheetml/2006/main" count="656" uniqueCount="289">
  <si>
    <t>Total</t>
  </si>
  <si>
    <t>C.D.</t>
  </si>
  <si>
    <t>Departamento</t>
  </si>
  <si>
    <t>Plan</t>
  </si>
  <si>
    <t>Alumno</t>
  </si>
  <si>
    <t>Tesis</t>
  </si>
  <si>
    <t>Fecha</t>
  </si>
  <si>
    <t>Tutor</t>
  </si>
  <si>
    <t>Rol</t>
  </si>
  <si>
    <t>C.DEP.</t>
  </si>
  <si>
    <t>Departamento Tutor</t>
  </si>
  <si>
    <t>ASIGNACIÓN</t>
  </si>
  <si>
    <t>DEP.ASIG.</t>
  </si>
  <si>
    <t>EJERCICIO</t>
  </si>
  <si>
    <t>INS 1</t>
  </si>
  <si>
    <t>DED INS 1</t>
  </si>
  <si>
    <t>INS 2</t>
  </si>
  <si>
    <t>DED INS 2</t>
  </si>
  <si>
    <t>DED DEP</t>
  </si>
  <si>
    <t>TDOC DEP</t>
  </si>
  <si>
    <t>TDOC INST 1</t>
  </si>
  <si>
    <t>TDOC INST 2</t>
  </si>
  <si>
    <t>Codirector de tesis </t>
  </si>
  <si>
    <t/>
  </si>
  <si>
    <t>Director de tesis </t>
  </si>
  <si>
    <t>20</t>
  </si>
  <si>
    <t>B114 </t>
  </si>
  <si>
    <t>FILOLOGIAS INTEGRADAS </t>
  </si>
  <si>
    <t>B114</t>
  </si>
  <si>
    <t>10.15</t>
  </si>
  <si>
    <t>U023 </t>
  </si>
  <si>
    <t>ADM. FACULTAD DE FILOSOFIA Y LETRAS </t>
  </si>
  <si>
    <t>DOCTORADO EN TRANSFERENCIAS INTERCULTURALES E HISTÓRICAS EN LA EUROPA MEDIE </t>
  </si>
  <si>
    <t>21445654V </t>
  </si>
  <si>
    <t>10.23</t>
  </si>
  <si>
    <t>DOCTORADO EN FILOSOFÍA Y LETRAS </t>
  </si>
  <si>
    <t>21474507M </t>
  </si>
  <si>
    <t>NIF</t>
  </si>
  <si>
    <t>NOMBRE_COMPLETO</t>
  </si>
  <si>
    <t>TIPO_SEXENIO</t>
  </si>
  <si>
    <t>Total general</t>
  </si>
  <si>
    <t>INS
1</t>
  </si>
  <si>
    <t>DED
INS 1</t>
  </si>
  <si>
    <t>INS
2</t>
  </si>
  <si>
    <t>DED
INS 2</t>
  </si>
  <si>
    <t>DED
DEP</t>
  </si>
  <si>
    <t>SEX
INS 1</t>
  </si>
  <si>
    <t>SEX
INS 2</t>
  </si>
  <si>
    <t>SEX
DEP</t>
  </si>
  <si>
    <t>FUNCIONARIO</t>
  </si>
  <si>
    <t>NO FUNCIONARIO</t>
  </si>
  <si>
    <t>21471389S</t>
  </si>
  <si>
    <t>22126243J</t>
  </si>
  <si>
    <t>22128337Z</t>
  </si>
  <si>
    <t>21437862E</t>
  </si>
  <si>
    <t>21672419W</t>
  </si>
  <si>
    <t>21445654V</t>
  </si>
  <si>
    <t>X1299790Z</t>
  </si>
  <si>
    <t>21474507M</t>
  </si>
  <si>
    <t>52781763Y</t>
  </si>
  <si>
    <t>73547310A</t>
  </si>
  <si>
    <t>29013572S</t>
  </si>
  <si>
    <t>33484860B</t>
  </si>
  <si>
    <t>21436895K</t>
  </si>
  <si>
    <t>21417486R</t>
  </si>
  <si>
    <t>Bennas , Abdelkrim </t>
  </si>
  <si>
    <t>Al-In¿la l-`ilmiyya" de Ibn Luy¿n, resumen de "al-Ris¿la l-sustariyya", epístola de al-Sustar¿ en defensa de las prácticas de los sufíes. Estudio, edición crítica árabe y traducción española </t>
  </si>
  <si>
    <t>21/09/2020 </t>
  </si>
  <si>
    <t>48335892N</t>
  </si>
  <si>
    <t>COD DEP</t>
  </si>
  <si>
    <t>Izquierdo Morales, Alexis Alfonso </t>
  </si>
  <si>
    <t>SCÈNE D¿ÉNONCIATION DANS LA RELATION ÉPISTOLAIRE ENTRE MÈRE MARIE DE LA CROIX ODIOT DE LA PAILLONNE, FONDATRICE ET PREMIÈRE ABBESSE DE SAINTEANNE DE BONLIEU ET MÈRE CÉCILE BRUYÈRE, FONDATRICE ET PREMIÈRE ABBESSE </t>
  </si>
  <si>
    <t>05/02/2021 </t>
  </si>
  <si>
    <t>29013572S </t>
  </si>
  <si>
    <t>Garro Sánchez, Inmaculada Teresa </t>
  </si>
  <si>
    <t>ESPACIOS Y GÉNERO. TRADICIÓN Y MODERNIDAD EN MARRUECOS </t>
  </si>
  <si>
    <t>19/07/2021 </t>
  </si>
  <si>
    <t>Beltrá Navarro, Luis </t>
  </si>
  <si>
    <t>El francés en Luisiana: reflejos de diferentes identidades lingüísticas a través de la literatura del siglo xix: el caso de L'Habitation Saint-Ybars ou Maîtres et Esclaves en Louisiane (1881) de Alfred Mercier. Propuesta traductológica. </t>
  </si>
  <si>
    <t>21/07/2022 </t>
  </si>
  <si>
    <t>Lalinde González, Luis Miguel </t>
  </si>
  <si>
    <t>Japón y China ante las islas Senkaku/Diaoyu (1945-2020): análisis geopolítico e histórico-cultural de un conflicto marítimo en Asia-Pacífico </t>
  </si>
  <si>
    <t>17/12/2021 </t>
  </si>
  <si>
    <t>21672419W </t>
  </si>
  <si>
    <t>Hadef , Sarra Ikram </t>
  </si>
  <si>
    <t>El dialecto árabe hablado en Tremecén: Historiografía, sociolingüística y geografía lingüística </t>
  </si>
  <si>
    <t>19/07/2022 </t>
  </si>
  <si>
    <t>Ramos Rodríguez, Alejandro </t>
  </si>
  <si>
    <t>Simbología,Magía Y Religiosidad en la Cultura Material del Sarq al-Andalus (ss.X-XV). Análisis dede la Antropología y la Islamologí </t>
  </si>
  <si>
    <t>25/02/2022 </t>
  </si>
  <si>
    <t>21501071G</t>
  </si>
  <si>
    <t>48675459F</t>
  </si>
  <si>
    <t>X7026779A</t>
  </si>
  <si>
    <t>Cód. org. aplic.</t>
  </si>
  <si>
    <t>Descripción justificante</t>
  </si>
  <si>
    <t>Imp.cob.aplic.</t>
  </si>
  <si>
    <t>30.60.6P.00.09</t>
  </si>
  <si>
    <t>30.60.6P.00.10</t>
  </si>
  <si>
    <t>Robin , Mathilde </t>
  </si>
  <si>
    <t>Des opéras de Jules Massenet et ses librettistes à leurs palimpsestes littéraires français: étude comparatiste et esthétique de la femme au sein de la transmodalisation. </t>
  </si>
  <si>
    <t>16/09/2022 </t>
  </si>
  <si>
    <t>21471389S </t>
  </si>
  <si>
    <t>B172 </t>
  </si>
  <si>
    <t>TRADUCCIÓN E INTERPRETACIÓN </t>
  </si>
  <si>
    <t>DOCTORADO EN TRADUCTOLOGÍA, TRADUCCIÓN PROFESIONAL Y AUDIOVISUAL </t>
  </si>
  <si>
    <t>Chbab El Fakhi, Habiba </t>
  </si>
  <si>
    <t>Los neologismos médicos traducidos del inglés al árabe. </t>
  </si>
  <si>
    <t>19/12/2022 </t>
  </si>
  <si>
    <t>Hedari , Walid </t>
  </si>
  <si>
    <t>Protest songs during the lebanese civil war. </t>
  </si>
  <si>
    <t>11/11/2022 </t>
  </si>
  <si>
    <t>Viúdez García, Nuria </t>
  </si>
  <si>
    <t>Los Aben Çaydbona, una élite familiar en la oligarquía urbana granadina (1490¿1632) </t>
  </si>
  <si>
    <t>21/12/2022 </t>
  </si>
  <si>
    <t>U073 </t>
  </si>
  <si>
    <t>I.U. INVESTIGACIÓN DE ESTUDIOS DE GÉNERO (10.23) </t>
  </si>
  <si>
    <t>DOCTORADO EN ESTUDIOS INTERDISCIPLINARES DE GÉNERO </t>
  </si>
  <si>
    <t>Soria Berrocosa, María Soledad </t>
  </si>
  <si>
    <t>Rachilde. De la petite ouvrière des Lettres à la femme-critique littéraire au 'Mercure de France' </t>
  </si>
  <si>
    <t>14/09/2023 </t>
  </si>
  <si>
    <t>21417486R </t>
  </si>
  <si>
    <t>48392661V</t>
  </si>
  <si>
    <t xml:space="preserve">DEVOLUCIÓN DE INGRESOS_MODELO 047_Nº de liquidación:46/2023/RAS/10276/1_ Número de justificante:047/1/002376790_Nº de referencia:047/1/002376790 </t>
  </si>
  <si>
    <t>DEVOLUCIÓN DE INGRESOS_MODELO 047_CIACO 2021 EN 2022_Nº de liquidación:46/2023/RAS/10205/1 047/_Número de justificante:047/1/002362793_Nº de referencia:047/1/002362793</t>
  </si>
  <si>
    <t xml:space="preserve">CIAICO/2021/019/074/124/158/167/173/221/279/305/328/335/339/345/348 </t>
  </si>
  <si>
    <t>30.60.6P.00.11</t>
  </si>
  <si>
    <t xml:space="preserve">AYUDAS CIAORG/2022/45, CIAORG/2022/15, CIAORG/2022/44, CIAORG/2022/140, CIAORG/2022/89, CIAORG/2022/10, CIAORG/2022/115, CIAORG/2022/27, CIAORG/2022/117, CIAORG/2022/128, CIAORG/2022/83, CIAORG/2022/74, CIAORG/2022/125 </t>
  </si>
  <si>
    <t>30.60.6P.00.12</t>
  </si>
  <si>
    <t>ayudas CIGE/2022/4-6-8-10-15-16-21-30-36-45-46-51-52- 54-55-105-170-179</t>
  </si>
  <si>
    <t>Codirector de tesis</t>
  </si>
  <si>
    <t>10.06</t>
  </si>
  <si>
    <t>U023</t>
  </si>
  <si>
    <t>ADM. FACULTAD DE FILOSOFIA Y LETRAS</t>
  </si>
  <si>
    <t>DOCTORADO EN FILOSOFÍA Y LETRAS</t>
  </si>
  <si>
    <t>Ben Hassine Laachibi, Cherifa</t>
  </si>
  <si>
    <t>S¿d¿ Ab¿-l-Ga¿th al-Qashsh¿sh: un santo para los moriscos</t>
  </si>
  <si>
    <t>12/12/2023</t>
  </si>
  <si>
    <t>Director de tesis</t>
  </si>
  <si>
    <t>FILOLOGIAS INTEGRADAS</t>
  </si>
  <si>
    <t>Follana Ramón, Águeda Cirila</t>
  </si>
  <si>
    <t>Une étude socio-historique, linguistique et phonétique des primo-arrivants en classe de Fle. Une réalité de la Comunidad valenciana : le cas particulier du lycée ¿Nit de l¿Albà -Elche (Espagne)</t>
  </si>
  <si>
    <t>09/07/2024</t>
  </si>
  <si>
    <t>Escurís García, María José</t>
  </si>
  <si>
    <t>Estudio sobre la "Lección de la Lengua y la Poesía alemana" de Daniel Georg Morhof.</t>
  </si>
  <si>
    <t>22/03/2024</t>
  </si>
  <si>
    <t>Klawitter , Oliver</t>
  </si>
  <si>
    <t>Educating about cultural sensitivity and media literacy:A compendium of cultural interaction and image studies on disinformation in the context of artificial intelligence</t>
  </si>
  <si>
    <t>05/12/2023</t>
  </si>
  <si>
    <t>50</t>
  </si>
  <si>
    <t>Hejab Yahya Hazmi , Abdulmonim</t>
  </si>
  <si>
    <t>Los moriscos en la literatura contemporánea española y árabe. Los libros plúmbeos de Granada en las novelas de Abdelwahed Braham y Juan Guerrero Zamora</t>
  </si>
  <si>
    <t>18/03/2024</t>
  </si>
  <si>
    <t>10</t>
  </si>
  <si>
    <t>10.25</t>
  </si>
  <si>
    <t>30</t>
  </si>
  <si>
    <t>Ortuño Centenero, Daniel</t>
  </si>
  <si>
    <t>El verbo besar en el contexto de las relaciones interpersonales en castellano, francés y catalán: Estudio morfosemántico, contrastivo y diacrónico</t>
  </si>
  <si>
    <t>21/09/2024</t>
  </si>
  <si>
    <t>Org. aplic.</t>
  </si>
  <si>
    <t>Imp. aplic.</t>
  </si>
  <si>
    <t>30.60.6D.00.01</t>
  </si>
  <si>
    <t>INGRESO PERCIBIDO POR LA UNIVERSIDAD DE ALICANTE EN CONCEPTO DE CONVENIO DE COLABORACIÓN ENTRE EL CONSULADO GENERAL DE LA REPÚBLICA DE FILIPINAS EN BARCELONA (ESPAÑA) Y LA UNIVERSIDAD DE ALICANTE.</t>
  </si>
  <si>
    <t xml:space="preserve">CIAICO/2021/019/074/124/158/167/173/279/305/328/335/345/348/339 </t>
  </si>
  <si>
    <t xml:space="preserve">DEVOLUCIÓN DE INGRESOS_MODELO 047_ Nº LIQUIDACIÓN:46/2024/RAS/10317/1 Nº DE JUSTIFICANTE: 047/1/002550144_Nº DE REFERENCIA:  047/1/002550144 </t>
  </si>
  <si>
    <t>ayudas CIGE/2022/4, CIGE/2022/6, CIGE/2022/8, CIGE/2022/15, CIGE/2022/16, CIGE/2022/21, CIGE/2022/30, CIGE/2022/45, CIGE/2022/46, CIGE/2022/51, CIGE/2022/52, CIGE/2022/54, CIGE/2022/55, CIGE/2022/105, CIGE/2022/170, CIGE/2022/179</t>
  </si>
  <si>
    <t>DEVOLUCIÓN DE INGRESOS_ MODELO 047_ Nº DE LIQUIDACIÓN: 46/2024/RAS/10325/1 Nº DE JUSTIFICANTE: 047/1/002551836_Nº DE REFERENCIA: 047/1/002551836</t>
  </si>
  <si>
    <t>30.60.6P.00.14</t>
  </si>
  <si>
    <t>CIAICO/2023/134/178/179/203/250/255/266/268</t>
  </si>
  <si>
    <t>No hay ingresos de formación en 2023</t>
  </si>
  <si>
    <t>10.91.2T.00.38</t>
  </si>
  <si>
    <t>CÓD: GL57. Microcredencial: INICIACIÓN A LA LENGUA TURCA</t>
  </si>
  <si>
    <t>10.91.2T.00.39</t>
  </si>
  <si>
    <t xml:space="preserve">CÓD: GL34. Microcredencial: INICIACIÓN A LA LENGUA Y CULTURA MARROQUÍ </t>
  </si>
  <si>
    <t>10.91.2T.00.40</t>
  </si>
  <si>
    <t>CÓD: GL37. Microcredencial: NOVELÍSTICA ÁRABE CONTEMPORÁNEA</t>
  </si>
  <si>
    <t>10.91.2T.00.52</t>
  </si>
  <si>
    <t>CÓD: GL31. Microcredencial: Cómic y Novela Gráfica en el Mundo Árabe</t>
  </si>
  <si>
    <t>10.91.2T.00.53</t>
  </si>
  <si>
    <t>CÓD: GL29. Microcredencial: Caligrafía Árabe: Escritura y Arte</t>
  </si>
  <si>
    <t>10.91.2T.00.62</t>
  </si>
  <si>
    <t>CÓD: GL57. MICROCREDENCIAL: INICIACIÓN A LA LENGUA TURCA</t>
  </si>
  <si>
    <t>10.91.2T.00.63</t>
  </si>
  <si>
    <t>CÓD: GL34.Microcredencial: Iniciación a la Lengua y Cultura Marroquí</t>
  </si>
  <si>
    <t>10.91.2T.00.64</t>
  </si>
  <si>
    <t xml:space="preserve">CÓD:GL37. Microcredencial. NOVELÍSTICA ÁRABE CONTEMPORÁNEA: TALLER DE LECTURA </t>
  </si>
  <si>
    <t>10.91.2T.00.76</t>
  </si>
  <si>
    <t>CÓD. GL29. Microcredencial: Caligrafía Árabe: Escritura y Arte</t>
  </si>
  <si>
    <t>10.91.2T.00.77</t>
  </si>
  <si>
    <t>10.91.2T.00.83</t>
  </si>
  <si>
    <t>CÓD: GL30. Microcredencial.  CINE ÁRABE_Plan_GL30-1 Curso_2024-25_AñoCont_2024</t>
  </si>
  <si>
    <t>10.91.2T.00.97</t>
  </si>
  <si>
    <t xml:space="preserve">CÓD: GL35. Microcredencial. INICIACIÓN A LA LENGUA Y CULTURA TAMAZIGHT_Plan_GL35-N Curso_2024-25_AñoCont_2024  </t>
  </si>
  <si>
    <t>10.91.2T.00.99</t>
  </si>
  <si>
    <t xml:space="preserve">CÓD: GL28. Microcredencial. ARTIVISMO COMO REIVINDICACIÓN DE LA LUCHA FEMINISTA_Plan_GL28-1 Curso_2024-25_AñoCont_2024  </t>
  </si>
  <si>
    <t>10.91.2T.01.10</t>
  </si>
  <si>
    <t xml:space="preserve">CÓD: GL32. Microcredencial.  DE LISBOA A SAMARCANDA: ARTE Y ARQUITECTURA _Plan_GL32-N Curso_2024-25_AñoCont_2024  </t>
  </si>
  <si>
    <t>10.91.2T.01.12</t>
  </si>
  <si>
    <t xml:space="preserve">CÓD: GL33. Microcredencial.  INICIACIÓN A LA LENGUA Y CULTURA ARGELINA_Plan_GL33-N Curso_2024-25_AñoCont_2024  </t>
  </si>
  <si>
    <t>10.91.2T.01.14</t>
  </si>
  <si>
    <t xml:space="preserve">CÓD: GL36. Microcredencial. MÚSICA ÁRABE_Plan_GL36-N Curso_2024-25_AñoCont_2024  </t>
  </si>
  <si>
    <t>Administración Facultad de Filosofía y Letras</t>
  </si>
  <si>
    <t>Sánchez García, Patricia Carina</t>
  </si>
  <si>
    <t>Formas de aprender árabe en España entre los siglos XV y XVII</t>
  </si>
  <si>
    <t>21/05/2025</t>
  </si>
  <si>
    <t>Filologías Integradas</t>
  </si>
  <si>
    <t>Zalalo , Mohamed Aly Abdelrazeq</t>
  </si>
  <si>
    <t>LA EXPULSIÓN DE LOS MORISCOS EN LAS FUENTES ÁRABES</t>
  </si>
  <si>
    <t>22/07/2025</t>
  </si>
  <si>
    <t>Mouffokes , Mohammed Bouhezam</t>
  </si>
  <si>
    <t>Pour une analyse du rapport algéro-français avant et après l¿indépendance à travers L'Étranger de Camus et Meursault, contre-enquête de Daoud : des circonstances sociohistoriques aux résonances littéraires</t>
  </si>
  <si>
    <t>15/04/2025</t>
  </si>
  <si>
    <t>Rollo , Andrea</t>
  </si>
  <si>
    <t>MORO-MORO: THE MISSING PIECE IN THEFILIPINO MARTIAL ARTS HISTORY</t>
  </si>
  <si>
    <t>11/03/2025</t>
  </si>
  <si>
    <t>2020</t>
  </si>
  <si>
    <t>2021</t>
  </si>
  <si>
    <t>2022</t>
  </si>
  <si>
    <t>2023</t>
  </si>
  <si>
    <t>2024</t>
  </si>
  <si>
    <t>2025</t>
  </si>
  <si>
    <t>Sirvent Ramos, María Ángeles</t>
  </si>
  <si>
    <t>Cutillas Ferrer, José Francisco</t>
  </si>
  <si>
    <t>Franco Sánchez, Francisco</t>
  </si>
  <si>
    <t>Arráez Llobregat, José Luis</t>
  </si>
  <si>
    <t>Lapiedra Gutiérrez, Eva</t>
  </si>
  <si>
    <t>Vivos</t>
  </si>
  <si>
    <t>López Simó, Mireia</t>
  </si>
  <si>
    <t>Donoso Jiménez, Isaac</t>
  </si>
  <si>
    <t>Bernabé Pons, Luis Fernando</t>
  </si>
  <si>
    <t>Corbi Saez, Maria Isabel</t>
  </si>
  <si>
    <t>Peñalver Vicea, María Isabel</t>
  </si>
  <si>
    <t>Peral Crespo, Amelia</t>
  </si>
  <si>
    <t>45604506Z</t>
  </si>
  <si>
    <t>Parra Simón, María del Carmen</t>
  </si>
  <si>
    <t>El Erian El Bassal, Hany</t>
  </si>
  <si>
    <t>Bueno Alonso, Josefina</t>
  </si>
  <si>
    <t>Benaicha Ziani, M Naima</t>
  </si>
  <si>
    <t>Llorca Tonda, Maria De Los Angeles</t>
  </si>
  <si>
    <t>Martí Marco, María Rosario</t>
  </si>
  <si>
    <t>Grumpel, Claudia Gisela</t>
  </si>
  <si>
    <t>Marti, Alexandra</t>
  </si>
  <si>
    <t>DEVOLUCIÓN DE INGRESOS_MODELO 047_ REFERENCIA: CIACO/2021/1339</t>
  </si>
  <si>
    <t>DEVOLUCIÓN DE INGRESOS_MODELO 047_  REFERENCIA: CIACO/2021/158/279/339/124/348/074/345/173</t>
  </si>
  <si>
    <t>DEVOLUCIÓN DE INGRESOS_MODELO 047_CIGE 2022</t>
  </si>
  <si>
    <t xml:space="preserve">Minoración parcial CIAICO/2023/178/179/203/250/255/266. </t>
  </si>
  <si>
    <t>30.60.6X.00.01</t>
  </si>
  <si>
    <t>SZBA Translation Grant - (Spanish Translation of Majaneen Bayt Lahm by Osama Alaysa)</t>
  </si>
  <si>
    <t>Total ingresos investigación 2023-25</t>
  </si>
  <si>
    <t>10.91.2T.00.61</t>
  </si>
  <si>
    <t>CÓD: GL30. Microcredencial: Cine Árabe</t>
  </si>
  <si>
    <t xml:space="preserve">CÓD: GL30. Microcredencial: CINE ÁRABE Curso_2024-25 AñoCont_2025 </t>
  </si>
  <si>
    <t>10.91.2T.00.96</t>
  </si>
  <si>
    <t>CÓD: GL35. Microcredencial: Iniciación a la Lengua y Cultura Tamazight</t>
  </si>
  <si>
    <t xml:space="preserve">CÓD: GL35. Microcredencial.   INICIACIÓN A LA LENGUA Y CULTURA TAMAZIGHT_GL35-1 Curso_2024-25 AñoCont_2025 </t>
  </si>
  <si>
    <t xml:space="preserve">CÓD: GL35. Microcredencial. INICIACIÓN A LA LENGUA Y CULTURA TAMAZIGHT_Plan_GL35-N Curso_2024-25_AñoCont_2024 </t>
  </si>
  <si>
    <t xml:space="preserve">LIQ-TitProp_GL35-N Curso_2025-26 AñoCont_2025 - INICIACIÓN A LA LENGUA Y CULTURA TAMAZIGHT _ (Cierre-25)_EMITIDO 25 COBRADO 25 </t>
  </si>
  <si>
    <t>10.91.2T.00.98</t>
  </si>
  <si>
    <t>CÓD: GL28. Microcredencial: Artivismo como Reivindicación de la Lucha Feminista.</t>
  </si>
  <si>
    <t>CÓD: GL28. Microcredencial. ARTIVISMO COMO REIVINDICACIÓN DE LA LUCHA FEMINISTA _GL28-1 Curso_2024-25 AñoCont_2025</t>
  </si>
  <si>
    <t>10.91.2T.01.08</t>
  </si>
  <si>
    <t xml:space="preserve">LIQ-TitProp_GM11-N Curso_2024-25 AñoCont_2025 - ESTUDIOS FILIPINOS Y DEL SUDESTE ASIÁTICO </t>
  </si>
  <si>
    <t>LIQ-TitProp_GK98-N Curso_2024-25 AñoCont_2025 - COMUNICACIÓN EFECTIVA PARA LA GESTIÓN DE EQUIPOS DE TRABAJO (JI-24-6875 QUE NO TIENE ORGÁNICA. HACEMOS EL AJUSTE  EN ESTE JI)</t>
  </si>
  <si>
    <t xml:space="preserve">LIQ-TitProp_GK98-N Curso_2024-25 AñoCont_2025 - COMUNICACIÓN EFECTIVA PARA LA GESTIÓN DE EQUIPOS DE TRABAJO (PARTE 25/25) </t>
  </si>
  <si>
    <t>10.91.2T.01.09</t>
  </si>
  <si>
    <t>CÓD: GL32. MICROCREDENCIAL. DE LISBOA A SAMARCANDA: ARTE Y ARQUITECTURA (NEXT)</t>
  </si>
  <si>
    <t>CÓD: GL32. Microcredencial. DE LISBOA A SAMARCANDA: ARTE Y ARQUITECTURA</t>
  </si>
  <si>
    <t xml:space="preserve">CÓD: GL32. MICROCREDENCIAL. LIQ-TitProp_GL32-N Curso_2024-25 AñoCont_2025 - DE LISBOA A SAMARCANDA: ARTE Y ARQUITECTURA </t>
  </si>
  <si>
    <t>10.91.2T.01.11</t>
  </si>
  <si>
    <t>CÓD: GL33. Microcredencial. Iniciación a la Lengua y Cultura Argelina (next)</t>
  </si>
  <si>
    <t>LIQ-TitProp_GL33-N Curso_2025-26 AñoCont_2025 - INICIACIÓN A LA LENGUA Y CULTURA ARGELINA _ (Cierre-25)_EMITIDO 25 COBRADO 25</t>
  </si>
  <si>
    <t>10.91.2T.01.13</t>
  </si>
  <si>
    <t xml:space="preserve">CÓD: GL36. Microcredencial. Música Árabe </t>
  </si>
  <si>
    <t xml:space="preserve">CÓD: GL36. MICROCREDENCIAL. MÚSICA ÁRABE </t>
  </si>
  <si>
    <t>10.91.2T.01.23</t>
  </si>
  <si>
    <t xml:space="preserve">LIQ-TitProp_GM22-N Curso_2024-25 AñoCont_2025 - INICIACIÓN A LA LENGUA TURCA (NIVEL II) </t>
  </si>
  <si>
    <t xml:space="preserve">LIQ-TitProp_GN60-N Curso_2025-26 AñoCont_2025 - INICIACIÓN A LA LENGUA TURCA (NIVEL III) </t>
  </si>
  <si>
    <t>10.91.2T.01.80</t>
  </si>
  <si>
    <t>LIQ-TitProp_9457-N Curso_2024-25_AñoCont_2024 TipoRec_Emitido - EXPERTO/A EN EXPRESIONES ARTÍSTICAS, CULTURALES Y LINGÜÍSTICAS DEL MUNDO ÁR JI-24-6843 (PARTE DEL 24 QUE NO TENÍA ORGÁNICA)</t>
  </si>
  <si>
    <t xml:space="preserve">LIQ-TitProp_9457-1 Curso_2025-26 AñoCont_2025 - EXPERTO/A EN EXPRESIONES ARTÍSTICAS, CULTURALES Y LINGÜÍSTICAS DEL MUNDO ÁR </t>
  </si>
  <si>
    <t xml:space="preserve">LIQ-TitProp_GL31-N Curso_2025-26 AñoCont_2025 - CÓMIC Y NOVELA GRÁFICA EN EL MUNDO ÁRABE </t>
  </si>
  <si>
    <t xml:space="preserve">LIQ-TitProp_GL29-N Curso_2025-26 AñoCont_2025 - CALIGRAFÍA ÁRABE: ESCRITURA Y ARTE </t>
  </si>
  <si>
    <t xml:space="preserve">LIQ-TitProp_9457-2 Curso_2025-26 AñoCont_2025 - EXPERTO/A EN EXPRESIONES ARTÍSTICAS, CULTURALES Y LINGÜÍSTICAS DEL MUNDO ÁR (CIERRE 25 EMITIDO 25 COBRADO 25) </t>
  </si>
  <si>
    <t xml:space="preserve">LIQ-TitProp_9457-N Curso_2025-26 AñoCont_2025 - EXPERTO/A EN EXPRESIONES ARTÍSTICAS, CULTURALES Y LINGÜÍSTICAS DEL MUNDO ÁR _ (CIERRE 25 APLAZADO) </t>
  </si>
  <si>
    <t>LIQ-TitProp_GN76-N Curso_2025-26 AñoCont_2025 - FORMACIÓN EN CAPTACIÓN DE PROYECTOS INTERNACIONALES ERASMUS+ K2 CBHE. MÓD I _ (Cierre-25)_EMITIDO 25</t>
  </si>
  <si>
    <t>10.91.2T.01.88</t>
  </si>
  <si>
    <t xml:space="preserve">LIQ-TitProp_GL34-N Curso_2025-26 AñoCont_2025 - INICIACIÓN A LA LENGUA Y CULTURA MARROQUÍ </t>
  </si>
  <si>
    <t>10.91.2T.01.89</t>
  </si>
  <si>
    <t xml:space="preserve">LIQ-TitProp_GL37-N Curso_2025-26 AñoCont_2025 - NOVELÍSTICA ÁRABE CONTEMPORÁNEA: TALLER DE LECTURA </t>
  </si>
  <si>
    <t>Total ingresos formación 2023-25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</si>
</sst>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 _€_-;\-* #,##0.00\ _€_-;_-* &quot;-&quot;??\ _€_-;_-@_-"/>
    <numFmt numFmtId="165" formatCode="0.0"/>
    <numFmt numFmtId="166" formatCode="#,##0.0"/>
  </numFmts>
  <fonts count="20" x14ac:knownFonts="1">
    <font>
      <sz val="11"/>
      <color theme="1"/>
      <name val="Calibri"/>
      <family val="2"/>
      <scheme val="minor"/>
    </font>
    <font>
      <sz val="8"/>
      <color theme="1"/>
      <name val="Arial"/>
      <family val="2"/>
    </font>
    <font>
      <sz val="8"/>
      <name val="Arial"/>
      <family val="2"/>
    </font>
    <font>
      <b/>
      <sz val="8"/>
      <name val="Arial"/>
      <family val="2"/>
    </font>
    <font>
      <b/>
      <sz val="8"/>
      <color indexed="8"/>
      <name val="Arial"/>
      <family val="2"/>
    </font>
    <font>
      <sz val="10"/>
      <color indexed="8"/>
      <name val="Arial"/>
      <family val="2"/>
    </font>
    <font>
      <sz val="10"/>
      <name val="Arial"/>
      <family val="2"/>
    </font>
    <font>
      <b/>
      <sz val="10"/>
      <color indexed="8"/>
      <name val="Arial"/>
      <family val="2"/>
    </font>
    <font>
      <b/>
      <sz val="10"/>
      <name val="Arial"/>
      <family val="2"/>
    </font>
    <font>
      <sz val="10"/>
      <color theme="1"/>
      <name val="Arial"/>
      <family val="2"/>
    </font>
    <font>
      <sz val="8"/>
      <color rgb="FF000000"/>
      <name val="Arial"/>
      <family val="2"/>
    </font>
    <font>
      <b/>
      <sz val="10"/>
      <color theme="1"/>
      <name val="Arial"/>
      <family val="2"/>
    </font>
    <font>
      <sz val="11"/>
      <color theme="1"/>
      <name val="Calibri"/>
      <family val="2"/>
      <scheme val="minor"/>
    </font>
    <font>
      <b/>
      <sz val="10"/>
      <color theme="0"/>
      <name val="Arial"/>
      <family val="2"/>
    </font>
    <font>
      <sz val="10"/>
      <color theme="1"/>
      <name val="Arial"/>
      <family val="2"/>
    </font>
    <font>
      <b/>
      <sz val="11"/>
      <color theme="1"/>
      <name val="Calibri"/>
      <family val="2"/>
      <scheme val="minor"/>
    </font>
    <font>
      <b/>
      <sz val="11"/>
      <color theme="0"/>
      <name val="Calibri"/>
      <family val="2"/>
      <scheme val="minor"/>
    </font>
    <font>
      <b/>
      <sz val="10"/>
      <color theme="0"/>
      <name val="Arial"/>
      <family val="2"/>
    </font>
    <font>
      <sz val="10"/>
      <color theme="1"/>
      <name val="Arial"/>
      <family val="2"/>
    </font>
    <font>
      <b/>
      <sz val="10"/>
      <color theme="1"/>
      <name val="Arial"/>
      <family val="2"/>
    </font>
  </fonts>
  <fills count="14">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1"/>
        <bgColor indexed="64"/>
      </patternFill>
    </fill>
    <fill>
      <patternFill patternType="solid">
        <fgColor rgb="FFFFFFFF"/>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0" tint="-0.34998626667073579"/>
        <bgColor indexed="64"/>
      </patternFill>
    </fill>
    <fill>
      <patternFill patternType="solid">
        <fgColor theme="0"/>
        <bgColor theme="9" tint="0.79998168889431442"/>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medium">
        <color rgb="FF878787"/>
      </left>
      <right/>
      <top style="medium">
        <color rgb="FF878787"/>
      </top>
      <bottom style="medium">
        <color rgb="FF878787"/>
      </bottom>
      <diagonal/>
    </border>
    <border>
      <left/>
      <right/>
      <top style="thin">
        <color theme="9" tint="0.39997558519241921"/>
      </top>
      <bottom style="thin">
        <color theme="9" tint="0.39997558519241921"/>
      </bottom>
      <diagonal/>
    </border>
    <border>
      <left/>
      <right/>
      <top/>
      <bottom style="thin">
        <color theme="9" tint="0.39997558519241921"/>
      </bottom>
      <diagonal/>
    </border>
    <border>
      <left/>
      <right/>
      <top style="thin">
        <color theme="9"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double">
        <color theme="4"/>
      </top>
      <bottom style="thin">
        <color theme="4" tint="0.39997558519241921"/>
      </bottom>
      <diagonal/>
    </border>
    <border>
      <left/>
      <right/>
      <top style="double">
        <color theme="4"/>
      </top>
      <bottom style="thin">
        <color theme="4" tint="0.39997558519241921"/>
      </bottom>
      <diagonal/>
    </border>
  </borders>
  <cellStyleXfs count="7">
    <xf numFmtId="0" fontId="0" fillId="0" borderId="0"/>
    <xf numFmtId="0" fontId="2" fillId="0" borderId="0"/>
    <xf numFmtId="0" fontId="5" fillId="0" borderId="0"/>
    <xf numFmtId="0" fontId="5" fillId="0" borderId="0"/>
    <xf numFmtId="0" fontId="6" fillId="0" borderId="0"/>
    <xf numFmtId="0" fontId="1" fillId="0" borderId="0"/>
    <xf numFmtId="164" fontId="12" fillId="0" borderId="0" applyFont="0" applyFill="0" applyBorder="0" applyAlignment="0" applyProtection="0"/>
  </cellStyleXfs>
  <cellXfs count="82">
    <xf numFmtId="0" fontId="0" fillId="0" borderId="0" xfId="0"/>
    <xf numFmtId="0" fontId="3" fillId="3" borderId="1" xfId="1" applyFont="1" applyFill="1" applyBorder="1" applyAlignment="1">
      <alignment horizontal="center"/>
    </xf>
    <xf numFmtId="0" fontId="4" fillId="3" borderId="1" xfId="1" applyFont="1" applyFill="1" applyBorder="1" applyAlignment="1">
      <alignment horizontal="center"/>
    </xf>
    <xf numFmtId="0" fontId="4" fillId="3" borderId="1" xfId="2" applyFont="1" applyFill="1" applyBorder="1" applyAlignment="1">
      <alignment horizontal="center"/>
    </xf>
    <xf numFmtId="0" fontId="4" fillId="3" borderId="1" xfId="3" applyFont="1" applyFill="1" applyBorder="1" applyAlignment="1">
      <alignment horizontal="center" wrapText="1"/>
    </xf>
    <xf numFmtId="0" fontId="4" fillId="3" borderId="1" xfId="3" applyFont="1" applyFill="1" applyBorder="1" applyAlignment="1">
      <alignment horizontal="right" wrapText="1"/>
    </xf>
    <xf numFmtId="0" fontId="2" fillId="4" borderId="0" xfId="1" applyFill="1"/>
    <xf numFmtId="0" fontId="2" fillId="2" borderId="0" xfId="1" applyFill="1"/>
    <xf numFmtId="0" fontId="2" fillId="4" borderId="0" xfId="1" applyFill="1" applyAlignment="1">
      <alignment horizontal="right"/>
    </xf>
    <xf numFmtId="0" fontId="8" fillId="5" borderId="1" xfId="3" applyFont="1" applyFill="1" applyBorder="1" applyAlignment="1">
      <alignment horizontal="center" textRotation="90" wrapText="1"/>
    </xf>
    <xf numFmtId="0" fontId="8" fillId="3" borderId="1" xfId="3" applyFont="1" applyFill="1" applyBorder="1" applyAlignment="1">
      <alignment horizontal="center" textRotation="90" wrapText="1"/>
    </xf>
    <xf numFmtId="0" fontId="5" fillId="0" borderId="0" xfId="5" applyFont="1"/>
    <xf numFmtId="0" fontId="9" fillId="0" borderId="0" xfId="5" applyFont="1"/>
    <xf numFmtId="0" fontId="9" fillId="0" borderId="0" xfId="5" applyFont="1" applyAlignment="1">
      <alignment horizontal="right"/>
    </xf>
    <xf numFmtId="0" fontId="7" fillId="2" borderId="1" xfId="0" applyFont="1" applyFill="1" applyBorder="1"/>
    <xf numFmtId="0" fontId="7" fillId="2" borderId="1" xfId="0" applyFont="1" applyFill="1" applyBorder="1" applyAlignment="1">
      <alignment textRotation="90"/>
    </xf>
    <xf numFmtId="0" fontId="2" fillId="4" borderId="1" xfId="1" applyFill="1" applyBorder="1"/>
    <xf numFmtId="0" fontId="2" fillId="4" borderId="1" xfId="1" applyFill="1" applyBorder="1" applyAlignment="1">
      <alignment horizontal="right"/>
    </xf>
    <xf numFmtId="0" fontId="2" fillId="4" borderId="2" xfId="1" applyFill="1" applyBorder="1"/>
    <xf numFmtId="166" fontId="2" fillId="4" borderId="2" xfId="1" applyNumberFormat="1" applyFill="1" applyBorder="1"/>
    <xf numFmtId="0" fontId="2" fillId="4" borderId="2" xfId="1" applyFill="1" applyBorder="1" applyAlignment="1">
      <alignment horizontal="right"/>
    </xf>
    <xf numFmtId="1" fontId="2" fillId="4" borderId="2" xfId="1" applyNumberFormat="1" applyFill="1" applyBorder="1"/>
    <xf numFmtId="165" fontId="2" fillId="4" borderId="2" xfId="1" applyNumberFormat="1" applyFill="1" applyBorder="1"/>
    <xf numFmtId="0" fontId="10" fillId="6" borderId="1" xfId="0" applyFont="1" applyFill="1" applyBorder="1" applyAlignment="1">
      <alignment horizontal="left" vertical="center"/>
    </xf>
    <xf numFmtId="0" fontId="10" fillId="6" borderId="3" xfId="0" applyFont="1" applyFill="1" applyBorder="1" applyAlignment="1">
      <alignment horizontal="left" vertical="center"/>
    </xf>
    <xf numFmtId="0" fontId="10" fillId="6" borderId="4" xfId="0" applyFont="1" applyFill="1" applyBorder="1" applyAlignment="1">
      <alignment horizontal="left" vertical="center"/>
    </xf>
    <xf numFmtId="0" fontId="10" fillId="6" borderId="5" xfId="0" applyFont="1" applyFill="1" applyBorder="1" applyAlignment="1">
      <alignment horizontal="left" vertical="center"/>
    </xf>
    <xf numFmtId="0" fontId="2" fillId="0" borderId="1" xfId="1" applyBorder="1"/>
    <xf numFmtId="0" fontId="8" fillId="3" borderId="1" xfId="3" applyFont="1" applyFill="1" applyBorder="1" applyAlignment="1">
      <alignment horizontal="center" wrapText="1"/>
    </xf>
    <xf numFmtId="43" fontId="0" fillId="8" borderId="6" xfId="6" applyNumberFormat="1" applyFont="1" applyFill="1" applyBorder="1"/>
    <xf numFmtId="43" fontId="0" fillId="0" borderId="6" xfId="6" applyNumberFormat="1" applyFont="1" applyBorder="1"/>
    <xf numFmtId="0" fontId="2" fillId="0" borderId="1" xfId="0" applyFont="1" applyBorder="1"/>
    <xf numFmtId="0" fontId="14" fillId="8" borderId="6" xfId="0" applyFont="1" applyFill="1" applyBorder="1"/>
    <xf numFmtId="0" fontId="14" fillId="0" borderId="6" xfId="0" applyFont="1" applyBorder="1"/>
    <xf numFmtId="43" fontId="0" fillId="0" borderId="0" xfId="0" applyNumberFormat="1"/>
    <xf numFmtId="0" fontId="9" fillId="9" borderId="0" xfId="5" applyFont="1" applyFill="1"/>
    <xf numFmtId="0" fontId="9" fillId="9" borderId="0" xfId="5" applyFont="1" applyFill="1" applyAlignment="1">
      <alignment horizontal="right"/>
    </xf>
    <xf numFmtId="0" fontId="11" fillId="9" borderId="0" xfId="5" applyFont="1" applyFill="1"/>
    <xf numFmtId="0" fontId="9" fillId="0" borderId="1" xfId="5" applyFont="1" applyBorder="1"/>
    <xf numFmtId="0" fontId="9" fillId="0" borderId="1" xfId="5" applyFont="1" applyBorder="1" applyAlignment="1">
      <alignment horizontal="right"/>
    </xf>
    <xf numFmtId="165" fontId="3" fillId="2" borderId="0" xfId="1" applyNumberFormat="1" applyFont="1" applyFill="1"/>
    <xf numFmtId="43" fontId="0" fillId="0" borderId="8" xfId="6" applyNumberFormat="1" applyFont="1" applyBorder="1"/>
    <xf numFmtId="0" fontId="13" fillId="7" borderId="7" xfId="0" applyFont="1" applyFill="1" applyBorder="1"/>
    <xf numFmtId="0" fontId="14" fillId="8" borderId="8" xfId="0" applyFont="1" applyFill="1" applyBorder="1"/>
    <xf numFmtId="43" fontId="0" fillId="8" borderId="8" xfId="6" applyNumberFormat="1" applyFont="1" applyFill="1" applyBorder="1"/>
    <xf numFmtId="0" fontId="9" fillId="10" borderId="8" xfId="0" applyFont="1" applyFill="1" applyBorder="1"/>
    <xf numFmtId="43" fontId="12" fillId="10" borderId="8" xfId="0" applyNumberFormat="1" applyFont="1" applyFill="1" applyBorder="1"/>
    <xf numFmtId="0" fontId="0" fillId="11" borderId="0" xfId="0" applyFill="1"/>
    <xf numFmtId="0" fontId="0" fillId="8" borderId="6" xfId="0" applyNumberFormat="1" applyFont="1" applyFill="1" applyBorder="1"/>
    <xf numFmtId="0" fontId="0" fillId="0" borderId="6" xfId="0" applyNumberFormat="1" applyFont="1" applyBorder="1"/>
    <xf numFmtId="0" fontId="16" fillId="7" borderId="7" xfId="0" applyFont="1" applyFill="1" applyBorder="1"/>
    <xf numFmtId="43" fontId="16" fillId="7" borderId="7" xfId="6" applyNumberFormat="1" applyFont="1" applyFill="1" applyBorder="1"/>
    <xf numFmtId="0" fontId="0" fillId="0" borderId="8" xfId="0" applyNumberFormat="1" applyFont="1" applyBorder="1"/>
    <xf numFmtId="0" fontId="0" fillId="0" borderId="8" xfId="0" applyFont="1" applyBorder="1"/>
    <xf numFmtId="43" fontId="12" fillId="0" borderId="8" xfId="0" applyNumberFormat="1" applyFont="1" applyBorder="1"/>
    <xf numFmtId="0" fontId="15" fillId="0" borderId="1" xfId="0" applyFont="1" applyBorder="1"/>
    <xf numFmtId="164" fontId="15" fillId="0" borderId="1" xfId="6" applyFont="1" applyBorder="1"/>
    <xf numFmtId="43" fontId="0" fillId="0" borderId="8" xfId="0" applyNumberFormat="1" applyFont="1" applyBorder="1"/>
    <xf numFmtId="164" fontId="15" fillId="0" borderId="0" xfId="6" applyFont="1" applyBorder="1"/>
    <xf numFmtId="0" fontId="17" fillId="12" borderId="9" xfId="0" applyFont="1" applyFill="1" applyBorder="1"/>
    <xf numFmtId="0" fontId="17" fillId="12" borderId="10" xfId="0" applyFont="1" applyFill="1" applyBorder="1"/>
    <xf numFmtId="0" fontId="18" fillId="13" borderId="9" xfId="0" applyFont="1" applyFill="1" applyBorder="1"/>
    <xf numFmtId="0" fontId="18" fillId="13" borderId="10" xfId="0" applyFont="1" applyFill="1" applyBorder="1"/>
    <xf numFmtId="164" fontId="18" fillId="13" borderId="10" xfId="6" applyFont="1" applyFill="1" applyBorder="1"/>
    <xf numFmtId="0" fontId="18" fillId="0" borderId="9" xfId="0" applyFont="1" applyBorder="1"/>
    <xf numFmtId="0" fontId="18" fillId="0" borderId="10" xfId="0" applyFont="1" applyBorder="1"/>
    <xf numFmtId="164" fontId="18" fillId="0" borderId="10" xfId="6" applyFont="1" applyBorder="1"/>
    <xf numFmtId="0" fontId="19" fillId="0" borderId="11" xfId="0" applyFont="1" applyBorder="1"/>
    <xf numFmtId="0" fontId="19" fillId="0" borderId="12" xfId="0" applyFont="1" applyBorder="1"/>
    <xf numFmtId="164" fontId="19" fillId="0" borderId="12" xfId="6" applyFont="1" applyBorder="1"/>
    <xf numFmtId="0" fontId="13" fillId="12" borderId="9" xfId="0" applyFont="1" applyFill="1" applyBorder="1"/>
    <xf numFmtId="0" fontId="13" fillId="12" borderId="10" xfId="0" applyFont="1" applyFill="1" applyBorder="1"/>
    <xf numFmtId="164" fontId="13" fillId="12" borderId="10" xfId="6" applyFont="1" applyFill="1" applyBorder="1"/>
    <xf numFmtId="0" fontId="9" fillId="13" borderId="9" xfId="0" applyFont="1" applyFill="1" applyBorder="1"/>
    <xf numFmtId="0" fontId="9" fillId="13" borderId="10" xfId="0" applyFont="1" applyFill="1" applyBorder="1"/>
    <xf numFmtId="164" fontId="9" fillId="13" borderId="10" xfId="6" applyFont="1" applyFill="1" applyBorder="1"/>
    <xf numFmtId="0" fontId="9" fillId="0" borderId="9" xfId="0" applyFont="1" applyBorder="1"/>
    <xf numFmtId="0" fontId="9" fillId="0" borderId="10" xfId="0" applyFont="1" applyBorder="1"/>
    <xf numFmtId="164" fontId="9" fillId="0" borderId="10" xfId="6" applyFont="1" applyBorder="1"/>
    <xf numFmtId="0" fontId="11" fillId="0" borderId="11" xfId="0" applyFont="1" applyBorder="1"/>
    <xf numFmtId="0" fontId="11" fillId="0" borderId="12" xfId="0" applyFont="1" applyBorder="1"/>
    <xf numFmtId="164" fontId="11" fillId="0" borderId="12" xfId="0" applyNumberFormat="1" applyFont="1" applyBorder="1"/>
  </cellXfs>
  <cellStyles count="7">
    <cellStyle name="Millares" xfId="6" builtinId="3"/>
    <cellStyle name="Normal" xfId="0" builtinId="0"/>
    <cellStyle name="Normal 2" xfId="4" xr:uid="{00000000-0005-0000-0000-000001000000}"/>
    <cellStyle name="Normal 3" xfId="5" xr:uid="{00000000-0005-0000-0000-000002000000}"/>
    <cellStyle name="Normal_Becas 14_9_2005" xfId="2" xr:uid="{00000000-0005-0000-0000-000003000000}"/>
    <cellStyle name="Normal_Ind.2010" xfId="1" xr:uid="{00000000-0005-0000-0000-000004000000}"/>
    <cellStyle name="Normal_PDI por Centro" xfId="3" xr:uid="{00000000-0005-0000-0000-000006000000}"/>
  </cellStyles>
  <dxfs count="29">
    <dxf>
      <font>
        <b val="0"/>
        <i val="0"/>
        <strike val="0"/>
        <condense val="0"/>
        <extend val="0"/>
        <outline val="0"/>
        <shadow val="0"/>
        <u val="none"/>
        <vertAlign val="baseline"/>
        <sz val="11"/>
        <color theme="1"/>
        <name val="Calibri"/>
        <family val="2"/>
        <scheme val="minor"/>
      </font>
      <numFmt numFmtId="35" formatCode="_-* #,##0.00_-;\-* #,##0.00_-;_-* &quot;-&quot;??_-;_-@_-"/>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35" formatCode="_-* #,##0.00_-;\-* #,##0.00_-;_-* &quot;-&quot;??_-;_-@_-"/>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val="0"/>
        <i val="0"/>
        <strike val="0"/>
        <condense val="0"/>
        <extend val="0"/>
        <outline val="0"/>
        <shadow val="0"/>
        <u val="none"/>
        <vertAlign val="baseline"/>
        <sz val="11"/>
        <color theme="1"/>
        <name val="Calibri"/>
        <family val="2"/>
        <scheme val="minor"/>
      </font>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35" formatCode="_-* #,##0.00_-;\-* #,##0.00_-;_-* &quot;-&quot;??_-;_-@_-"/>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0"/>
        </patternFill>
      </fill>
    </dxf>
    <dxf>
      <font>
        <b val="0"/>
        <i val="0"/>
        <strike val="0"/>
        <condense val="0"/>
        <extend val="0"/>
        <outline val="0"/>
        <shadow val="0"/>
        <u val="none"/>
        <vertAlign val="baseline"/>
        <sz val="11"/>
        <color theme="1"/>
        <name val="Calibri"/>
        <family val="2"/>
        <scheme val="minor"/>
      </font>
      <numFmt numFmtId="35" formatCode="_-* #,##0.00_-;\-* #,##0.00_-;_-* &quot;-&quot;??_-;_-@_-"/>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Arial"/>
        <family val="2"/>
        <scheme val="none"/>
      </font>
      <fill>
        <patternFill patternType="solid">
          <fgColor theme="9" tint="0.79998168889431442"/>
          <bgColor theme="0"/>
        </patternFill>
      </fill>
    </dxf>
    <dxf>
      <font>
        <b val="0"/>
        <i val="0"/>
        <strike val="0"/>
        <condense val="0"/>
        <extend val="0"/>
        <outline val="0"/>
        <shadow val="0"/>
        <u val="none"/>
        <vertAlign val="baseline"/>
        <sz val="10"/>
        <color theme="1"/>
        <name val="Arial"/>
        <family val="2"/>
        <scheme val="none"/>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Arial"/>
        <family val="2"/>
        <scheme val="none"/>
      </font>
      <fill>
        <patternFill patternType="solid">
          <fgColor theme="9" tint="0.79998168889431442"/>
          <bgColor theme="0"/>
        </patternFill>
      </fill>
    </dxf>
    <dxf>
      <font>
        <b val="0"/>
        <i val="0"/>
        <strike val="0"/>
        <condense val="0"/>
        <extend val="0"/>
        <outline val="0"/>
        <shadow val="0"/>
        <u val="none"/>
        <vertAlign val="baseline"/>
        <sz val="10"/>
        <color theme="1"/>
        <name val="Arial"/>
        <family val="2"/>
        <scheme val="none"/>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border outline="0">
        <top style="thin">
          <color theme="9" tint="0.39997558519241921"/>
        </top>
      </border>
    </dxf>
    <dxf>
      <fill>
        <patternFill>
          <bgColor theme="0"/>
        </patternFill>
      </fill>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i val="0"/>
        <strike val="0"/>
        <condense val="0"/>
        <extend val="0"/>
        <outline val="0"/>
        <shadow val="0"/>
        <u val="none"/>
        <vertAlign val="baseline"/>
        <sz val="10"/>
        <color theme="0"/>
        <name val="Arial"/>
        <family val="2"/>
        <scheme val="none"/>
      </font>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58DF0D-DC78-436C-A668-ED39E561AE17}" name="Tabla2" displayName="Tabla2" ref="A1:C7" totalsRowCount="1" headerRowDxfId="28" totalsRowDxfId="25" headerRowBorderDxfId="27" tableBorderDxfId="26" totalsRowBorderDxfId="24">
  <autoFilter ref="A1:C6" xr:uid="{39140FA9-52F1-4AD0-89EE-1BACC7F5F10A}"/>
  <tableColumns count="3">
    <tableColumn id="1" xr3:uid="{A069E638-F7CF-47D0-9B93-57EE9EE79777}" name="Cód. org. aplic." totalsRowLabel="Total" dataDxfId="23" totalsRowDxfId="22"/>
    <tableColumn id="2" xr3:uid="{24932030-E400-4C03-AE21-525D4F62445E}" name="Descripción justificante" dataDxfId="21" totalsRowDxfId="20"/>
    <tableColumn id="3" xr3:uid="{83D79E60-AEF3-4F33-8068-FFCDC09EBA53}" name="Imp.cob.aplic." totalsRowFunction="sum" dataDxfId="19" totalsRowDxfId="18" dataCellStyle="Millares" totalsRowCellStyle="Millar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99F31BD-D588-4F08-9A92-DB833576D9DA}" name="Tabla3" displayName="Tabla3" ref="A1:C8" totalsRowCount="1" headerRowBorderDxfId="17" tableBorderDxfId="16" totalsRowBorderDxfId="15">
  <autoFilter ref="A1:C7" xr:uid="{A3C3C0A7-CC9E-4CFF-ABCE-A39AC244EBC0}"/>
  <tableColumns count="3">
    <tableColumn id="1" xr3:uid="{B54054B0-9EC5-48EF-8ED7-0A815B1E8975}" name="Org. aplic." totalsRowLabel="Total" dataDxfId="14" totalsRowDxfId="13"/>
    <tableColumn id="2" xr3:uid="{5B15FD26-DD45-45E9-9829-29E1844775BA}" name="Descripción justificante" dataDxfId="12" totalsRowDxfId="11"/>
    <tableColumn id="3" xr3:uid="{2D9335D0-E81D-4D00-AC82-66CCB1A09236}" name="Imp. aplic." totalsRowFunction="sum" dataDxfId="10" totalsRowDxfId="9" dataCellStyle="Millares" totalsRowCellStyle="Millar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C9E8D3A-9BD4-404D-8F2F-392AE5977672}" name="Tabla35" displayName="Tabla35" ref="A1:C18" totalsRowCount="1" headerRowBorderDxfId="8" tableBorderDxfId="7" totalsRowBorderDxfId="6">
  <autoFilter ref="A1:C17" xr:uid="{D215ABA5-1A3A-40B6-A65D-0029C44157B4}"/>
  <tableColumns count="3">
    <tableColumn id="1" xr3:uid="{924A7EC7-A0DE-44E3-AF3A-322005A16293}" name="Org. aplic." totalsRowLabel="Total" dataDxfId="5" totalsRowDxfId="4"/>
    <tableColumn id="2" xr3:uid="{2E4CF7A5-E970-4CBA-8354-47EE4CBB9C0B}" name="Descripción justificante" dataDxfId="3" totalsRowDxfId="2"/>
    <tableColumn id="3" xr3:uid="{6E7ECD93-FEF1-499E-805C-39F0EC9FE705}" name="Imp. aplic." totalsRowFunction="sum" dataDxfId="1" totalsRowDxfId="0" dataCellStyle="Millares"/>
  </tableColumns>
  <tableStyleInfo name="TableStyleLight2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25"/>
  <sheetViews>
    <sheetView showGridLines="0" zoomScale="120" zoomScaleNormal="120" workbookViewId="0">
      <pane xSplit="1" ySplit="1" topLeftCell="C2" activePane="bottomRight" state="frozen"/>
      <selection pane="topRight" activeCell="B1" sqref="B1"/>
      <selection pane="bottomLeft" activeCell="A2" sqref="A2"/>
      <selection pane="bottomRight" activeCell="E34" sqref="E34"/>
    </sheetView>
  </sheetViews>
  <sheetFormatPr baseColWidth="10" defaultColWidth="10.33203125" defaultRowHeight="10.199999999999999" x14ac:dyDescent="0.2"/>
  <cols>
    <col min="1" max="1" width="5" style="6" customWidth="1"/>
    <col min="2" max="4" width="29.6640625" style="6" customWidth="1"/>
    <col min="5" max="5" width="40.6640625" style="6" customWidth="1"/>
    <col min="6" max="6" width="9.109375" style="6" customWidth="1"/>
    <col min="7" max="7" width="9.6640625" style="6" customWidth="1"/>
    <col min="8" max="8" width="14.44140625" style="6" customWidth="1"/>
    <col min="9" max="9" width="5.88671875" style="6" customWidth="1"/>
    <col min="10" max="10" width="25.6640625" style="6" customWidth="1"/>
    <col min="11" max="12" width="5.109375" style="6" customWidth="1"/>
    <col min="13" max="13" width="4.44140625" style="6" customWidth="1"/>
    <col min="14" max="14" width="4.88671875" style="6" customWidth="1"/>
    <col min="15" max="15" width="4.88671875" style="8" customWidth="1"/>
    <col min="16" max="16" width="4.88671875" style="6" customWidth="1"/>
    <col min="17" max="17" width="3.5546875" style="8" customWidth="1"/>
    <col min="18" max="18" width="3.5546875" style="6" customWidth="1"/>
    <col min="19" max="21" width="5.109375" style="6" customWidth="1"/>
    <col min="22" max="16384" width="10.33203125" style="6"/>
  </cols>
  <sheetData>
    <row r="1" spans="1:21" ht="40.799999999999997" x14ac:dyDescent="0.2">
      <c r="A1" s="1" t="s">
        <v>1</v>
      </c>
      <c r="B1" s="2" t="s">
        <v>2</v>
      </c>
      <c r="C1" s="2" t="s">
        <v>3</v>
      </c>
      <c r="D1" s="2" t="s">
        <v>4</v>
      </c>
      <c r="E1" s="2" t="s">
        <v>5</v>
      </c>
      <c r="F1" s="2" t="s">
        <v>6</v>
      </c>
      <c r="G1" s="2" t="s">
        <v>7</v>
      </c>
      <c r="H1" s="2" t="s">
        <v>8</v>
      </c>
      <c r="I1" s="1" t="s">
        <v>9</v>
      </c>
      <c r="J1" s="2" t="s">
        <v>10</v>
      </c>
      <c r="K1" s="1" t="s">
        <v>11</v>
      </c>
      <c r="L1" s="2" t="s">
        <v>12</v>
      </c>
      <c r="M1" s="3" t="s">
        <v>13</v>
      </c>
      <c r="N1" s="4" t="s">
        <v>14</v>
      </c>
      <c r="O1" s="5" t="s">
        <v>15</v>
      </c>
      <c r="P1" s="4" t="s">
        <v>16</v>
      </c>
      <c r="Q1" s="5" t="s">
        <v>17</v>
      </c>
      <c r="R1" s="4" t="s">
        <v>18</v>
      </c>
      <c r="S1" s="4" t="s">
        <v>19</v>
      </c>
      <c r="T1" s="4" t="s">
        <v>20</v>
      </c>
      <c r="U1" s="4" t="s">
        <v>21</v>
      </c>
    </row>
    <row r="2" spans="1:21" ht="10.8" thickBot="1" x14ac:dyDescent="0.25">
      <c r="A2" s="18" t="s">
        <v>30</v>
      </c>
      <c r="B2" s="18" t="s">
        <v>31</v>
      </c>
      <c r="C2" s="18" t="s">
        <v>32</v>
      </c>
      <c r="D2" s="18" t="s">
        <v>65</v>
      </c>
      <c r="E2" s="18" t="s">
        <v>66</v>
      </c>
      <c r="F2" s="18" t="s">
        <v>67</v>
      </c>
      <c r="G2" s="18" t="s">
        <v>33</v>
      </c>
      <c r="H2" s="18" t="s">
        <v>24</v>
      </c>
      <c r="I2" s="18" t="s">
        <v>26</v>
      </c>
      <c r="J2" s="18" t="s">
        <v>27</v>
      </c>
      <c r="K2" s="19">
        <v>1</v>
      </c>
      <c r="L2" s="18" t="s">
        <v>28</v>
      </c>
      <c r="M2" s="18">
        <v>2019</v>
      </c>
      <c r="N2" s="18" t="s">
        <v>23</v>
      </c>
      <c r="O2" s="20" t="s">
        <v>23</v>
      </c>
      <c r="P2" s="18" t="s">
        <v>23</v>
      </c>
      <c r="Q2" s="20" t="s">
        <v>23</v>
      </c>
      <c r="R2" s="21">
        <v>100</v>
      </c>
      <c r="S2" s="22">
        <v>1</v>
      </c>
      <c r="T2" s="22">
        <v>0</v>
      </c>
      <c r="U2" s="22">
        <v>0</v>
      </c>
    </row>
    <row r="3" spans="1:21" ht="10.8" thickBot="1" x14ac:dyDescent="0.25">
      <c r="A3" s="23" t="s">
        <v>30</v>
      </c>
      <c r="B3" s="23" t="s">
        <v>31</v>
      </c>
      <c r="C3" s="23" t="s">
        <v>35</v>
      </c>
      <c r="D3" s="23" t="s">
        <v>70</v>
      </c>
      <c r="E3" s="23" t="s">
        <v>71</v>
      </c>
      <c r="F3" s="23" t="s">
        <v>72</v>
      </c>
      <c r="G3" s="24" t="s">
        <v>73</v>
      </c>
      <c r="H3" s="25" t="s">
        <v>24</v>
      </c>
      <c r="I3" s="25" t="s">
        <v>26</v>
      </c>
      <c r="J3" s="26" t="s">
        <v>27</v>
      </c>
      <c r="K3" s="27">
        <v>1</v>
      </c>
      <c r="L3" s="27" t="s">
        <v>28</v>
      </c>
      <c r="M3" s="16">
        <v>2020</v>
      </c>
      <c r="N3" s="16" t="s">
        <v>34</v>
      </c>
      <c r="O3" s="17">
        <v>50</v>
      </c>
      <c r="P3" s="16" t="s">
        <v>23</v>
      </c>
      <c r="Q3" s="17">
        <v>0</v>
      </c>
      <c r="R3" s="16">
        <v>50</v>
      </c>
      <c r="S3" s="16">
        <v>0.5</v>
      </c>
      <c r="T3" s="16">
        <v>0.5</v>
      </c>
      <c r="U3" s="16">
        <v>0</v>
      </c>
    </row>
    <row r="4" spans="1:21" ht="10.8" thickBot="1" x14ac:dyDescent="0.25">
      <c r="A4" s="23" t="s">
        <v>30</v>
      </c>
      <c r="B4" s="23" t="s">
        <v>31</v>
      </c>
      <c r="C4" s="23" t="s">
        <v>35</v>
      </c>
      <c r="D4" s="23" t="s">
        <v>74</v>
      </c>
      <c r="E4" s="23" t="s">
        <v>75</v>
      </c>
      <c r="F4" s="23" t="s">
        <v>76</v>
      </c>
      <c r="G4" s="24" t="s">
        <v>36</v>
      </c>
      <c r="H4" s="25" t="s">
        <v>24</v>
      </c>
      <c r="I4" s="25" t="s">
        <v>26</v>
      </c>
      <c r="J4" s="26" t="s">
        <v>27</v>
      </c>
      <c r="K4" s="27">
        <v>1</v>
      </c>
      <c r="L4" s="27" t="s">
        <v>28</v>
      </c>
      <c r="M4" s="16">
        <v>2020</v>
      </c>
      <c r="N4" s="16" t="s">
        <v>34</v>
      </c>
      <c r="O4" s="17">
        <v>20</v>
      </c>
      <c r="P4" s="16" t="s">
        <v>23</v>
      </c>
      <c r="Q4" s="17">
        <v>0</v>
      </c>
      <c r="R4" s="16">
        <v>80</v>
      </c>
      <c r="S4" s="16">
        <v>0.8</v>
      </c>
      <c r="T4" s="16">
        <v>0.2</v>
      </c>
      <c r="U4" s="16">
        <v>0</v>
      </c>
    </row>
    <row r="5" spans="1:21" x14ac:dyDescent="0.2">
      <c r="A5" s="16" t="s">
        <v>30</v>
      </c>
      <c r="B5" s="16" t="s">
        <v>31</v>
      </c>
      <c r="C5" s="16" t="s">
        <v>35</v>
      </c>
      <c r="D5" s="16" t="s">
        <v>77</v>
      </c>
      <c r="E5" s="16" t="s">
        <v>78</v>
      </c>
      <c r="F5" s="16" t="s">
        <v>79</v>
      </c>
      <c r="G5" s="16" t="s">
        <v>73</v>
      </c>
      <c r="H5" s="16" t="s">
        <v>24</v>
      </c>
      <c r="I5" s="16" t="s">
        <v>26</v>
      </c>
      <c r="J5" s="16" t="s">
        <v>27</v>
      </c>
      <c r="K5" s="27">
        <v>1</v>
      </c>
      <c r="L5" s="27" t="s">
        <v>28</v>
      </c>
      <c r="M5" s="16">
        <v>2021</v>
      </c>
      <c r="N5" s="16" t="s">
        <v>34</v>
      </c>
      <c r="O5" s="17">
        <v>50</v>
      </c>
      <c r="P5" s="16" t="s">
        <v>23</v>
      </c>
      <c r="Q5" s="17">
        <v>0</v>
      </c>
      <c r="R5" s="16">
        <v>50</v>
      </c>
      <c r="S5" s="16">
        <v>0.5</v>
      </c>
      <c r="T5" s="16">
        <v>0.5</v>
      </c>
      <c r="U5" s="16">
        <v>0</v>
      </c>
    </row>
    <row r="6" spans="1:21" x14ac:dyDescent="0.2">
      <c r="A6" s="16" t="s">
        <v>30</v>
      </c>
      <c r="B6" s="16" t="s">
        <v>31</v>
      </c>
      <c r="C6" s="16" t="s">
        <v>35</v>
      </c>
      <c r="D6" s="16" t="s">
        <v>80</v>
      </c>
      <c r="E6" s="16" t="s">
        <v>81</v>
      </c>
      <c r="F6" s="16" t="s">
        <v>82</v>
      </c>
      <c r="G6" s="16" t="s">
        <v>83</v>
      </c>
      <c r="H6" s="16" t="s">
        <v>22</v>
      </c>
      <c r="I6" s="16" t="s">
        <v>26</v>
      </c>
      <c r="J6" s="16" t="s">
        <v>27</v>
      </c>
      <c r="K6" s="27">
        <v>0.5</v>
      </c>
      <c r="L6" s="27" t="s">
        <v>28</v>
      </c>
      <c r="M6" s="16">
        <v>2021</v>
      </c>
      <c r="N6" s="16" t="s">
        <v>23</v>
      </c>
      <c r="O6" s="17" t="s">
        <v>23</v>
      </c>
      <c r="P6" s="16" t="s">
        <v>23</v>
      </c>
      <c r="Q6" s="17" t="s">
        <v>23</v>
      </c>
      <c r="R6" s="16">
        <v>100</v>
      </c>
      <c r="S6" s="16">
        <v>0.5</v>
      </c>
      <c r="T6" s="16">
        <v>0</v>
      </c>
      <c r="U6" s="16">
        <v>0</v>
      </c>
    </row>
    <row r="7" spans="1:21" x14ac:dyDescent="0.2">
      <c r="A7" s="16" t="s">
        <v>30</v>
      </c>
      <c r="B7" s="16" t="s">
        <v>31</v>
      </c>
      <c r="C7" s="16" t="s">
        <v>32</v>
      </c>
      <c r="D7" s="16" t="s">
        <v>84</v>
      </c>
      <c r="E7" s="16" t="s">
        <v>85</v>
      </c>
      <c r="F7" s="16" t="s">
        <v>86</v>
      </c>
      <c r="G7" s="16" t="s">
        <v>83</v>
      </c>
      <c r="H7" s="16" t="s">
        <v>22</v>
      </c>
      <c r="I7" s="16" t="s">
        <v>26</v>
      </c>
      <c r="J7" s="16" t="s">
        <v>27</v>
      </c>
      <c r="K7" s="27">
        <v>0.5</v>
      </c>
      <c r="L7" s="27" t="s">
        <v>28</v>
      </c>
      <c r="M7" s="16">
        <v>2021</v>
      </c>
      <c r="N7" s="16" t="s">
        <v>23</v>
      </c>
      <c r="O7" s="17" t="s">
        <v>23</v>
      </c>
      <c r="P7" s="16" t="s">
        <v>23</v>
      </c>
      <c r="Q7" s="17" t="s">
        <v>23</v>
      </c>
      <c r="R7" s="16">
        <v>100</v>
      </c>
      <c r="S7" s="16">
        <v>0.5</v>
      </c>
      <c r="T7" s="16">
        <v>0</v>
      </c>
      <c r="U7" s="16">
        <v>0</v>
      </c>
    </row>
    <row r="8" spans="1:21" x14ac:dyDescent="0.2">
      <c r="A8" s="16" t="s">
        <v>30</v>
      </c>
      <c r="B8" s="16" t="s">
        <v>31</v>
      </c>
      <c r="C8" s="16" t="s">
        <v>32</v>
      </c>
      <c r="D8" s="16" t="s">
        <v>84</v>
      </c>
      <c r="E8" s="16" t="s">
        <v>85</v>
      </c>
      <c r="F8" s="16" t="s">
        <v>86</v>
      </c>
      <c r="G8" s="16" t="s">
        <v>33</v>
      </c>
      <c r="H8" s="16" t="s">
        <v>22</v>
      </c>
      <c r="I8" s="16" t="s">
        <v>26</v>
      </c>
      <c r="J8" s="16" t="s">
        <v>27</v>
      </c>
      <c r="K8" s="27">
        <v>0.5</v>
      </c>
      <c r="L8" s="27" t="s">
        <v>28</v>
      </c>
      <c r="M8" s="16">
        <v>2021</v>
      </c>
      <c r="N8" s="16" t="s">
        <v>23</v>
      </c>
      <c r="O8" s="17" t="s">
        <v>23</v>
      </c>
      <c r="P8" s="16" t="s">
        <v>23</v>
      </c>
      <c r="Q8" s="17" t="s">
        <v>23</v>
      </c>
      <c r="R8" s="16">
        <v>100</v>
      </c>
      <c r="S8" s="16">
        <v>0.5</v>
      </c>
      <c r="T8" s="16">
        <v>0</v>
      </c>
      <c r="U8" s="16">
        <v>0</v>
      </c>
    </row>
    <row r="9" spans="1:21" x14ac:dyDescent="0.2">
      <c r="A9" s="16" t="s">
        <v>30</v>
      </c>
      <c r="B9" s="16" t="s">
        <v>31</v>
      </c>
      <c r="C9" s="16" t="s">
        <v>32</v>
      </c>
      <c r="D9" s="16" t="s">
        <v>87</v>
      </c>
      <c r="E9" s="16" t="s">
        <v>88</v>
      </c>
      <c r="F9" s="16" t="s">
        <v>89</v>
      </c>
      <c r="G9" s="16" t="s">
        <v>33</v>
      </c>
      <c r="H9" s="16" t="s">
        <v>24</v>
      </c>
      <c r="I9" s="16" t="s">
        <v>26</v>
      </c>
      <c r="J9" s="16" t="s">
        <v>27</v>
      </c>
      <c r="K9" s="27">
        <v>1</v>
      </c>
      <c r="L9" s="27" t="s">
        <v>28</v>
      </c>
      <c r="M9" s="16">
        <v>2021</v>
      </c>
      <c r="N9" s="16" t="s">
        <v>23</v>
      </c>
      <c r="O9" s="17" t="s">
        <v>23</v>
      </c>
      <c r="P9" s="16" t="s">
        <v>23</v>
      </c>
      <c r="Q9" s="17" t="s">
        <v>23</v>
      </c>
      <c r="R9" s="16">
        <v>100</v>
      </c>
      <c r="S9" s="16">
        <v>1</v>
      </c>
      <c r="T9" s="16">
        <v>0</v>
      </c>
      <c r="U9" s="16">
        <v>0</v>
      </c>
    </row>
    <row r="10" spans="1:21" x14ac:dyDescent="0.2">
      <c r="A10" s="16" t="s">
        <v>30</v>
      </c>
      <c r="B10" s="16" t="s">
        <v>31</v>
      </c>
      <c r="C10" s="16" t="s">
        <v>35</v>
      </c>
      <c r="D10" s="16" t="s">
        <v>98</v>
      </c>
      <c r="E10" s="16" t="s">
        <v>99</v>
      </c>
      <c r="F10" s="16" t="s">
        <v>100</v>
      </c>
      <c r="G10" s="16" t="s">
        <v>101</v>
      </c>
      <c r="H10" s="16" t="s">
        <v>24</v>
      </c>
      <c r="I10" s="16" t="s">
        <v>26</v>
      </c>
      <c r="J10" s="16" t="s">
        <v>27</v>
      </c>
      <c r="K10" s="31">
        <v>1</v>
      </c>
      <c r="L10" s="31" t="s">
        <v>28</v>
      </c>
      <c r="M10" s="16">
        <v>2021</v>
      </c>
      <c r="N10" s="31" t="s">
        <v>34</v>
      </c>
      <c r="O10" s="31">
        <v>20</v>
      </c>
      <c r="P10" s="31" t="s">
        <v>23</v>
      </c>
      <c r="Q10" s="31">
        <v>0</v>
      </c>
      <c r="R10" s="31">
        <v>80</v>
      </c>
      <c r="S10" s="31">
        <v>0.8</v>
      </c>
      <c r="T10" s="31">
        <v>0.2</v>
      </c>
      <c r="U10" s="31">
        <v>0</v>
      </c>
    </row>
    <row r="11" spans="1:21" x14ac:dyDescent="0.2">
      <c r="A11" s="16" t="s">
        <v>102</v>
      </c>
      <c r="B11" s="16" t="s">
        <v>103</v>
      </c>
      <c r="C11" s="16" t="s">
        <v>104</v>
      </c>
      <c r="D11" s="16" t="s">
        <v>105</v>
      </c>
      <c r="E11" s="16" t="s">
        <v>106</v>
      </c>
      <c r="F11" s="16" t="s">
        <v>107</v>
      </c>
      <c r="G11" s="16" t="s">
        <v>36</v>
      </c>
      <c r="H11" s="16" t="s">
        <v>22</v>
      </c>
      <c r="I11" s="16" t="s">
        <v>26</v>
      </c>
      <c r="J11" s="16" t="s">
        <v>27</v>
      </c>
      <c r="K11" s="31">
        <v>0.5</v>
      </c>
      <c r="L11" s="31" t="s">
        <v>28</v>
      </c>
      <c r="M11" s="16">
        <v>2022</v>
      </c>
      <c r="N11" s="31" t="s">
        <v>34</v>
      </c>
      <c r="O11" s="31">
        <v>20</v>
      </c>
      <c r="P11" s="31" t="s">
        <v>23</v>
      </c>
      <c r="Q11" s="31">
        <v>0</v>
      </c>
      <c r="R11" s="31">
        <v>80</v>
      </c>
      <c r="S11" s="31">
        <v>0.4</v>
      </c>
      <c r="T11" s="31">
        <v>0.1</v>
      </c>
      <c r="U11" s="31">
        <v>0</v>
      </c>
    </row>
    <row r="12" spans="1:21" x14ac:dyDescent="0.2">
      <c r="A12" s="16" t="s">
        <v>30</v>
      </c>
      <c r="B12" s="16" t="s">
        <v>31</v>
      </c>
      <c r="C12" s="16" t="s">
        <v>35</v>
      </c>
      <c r="D12" s="16" t="s">
        <v>108</v>
      </c>
      <c r="E12" s="16" t="s">
        <v>109</v>
      </c>
      <c r="F12" s="16" t="s">
        <v>110</v>
      </c>
      <c r="G12" s="16" t="s">
        <v>83</v>
      </c>
      <c r="H12" s="16" t="s">
        <v>22</v>
      </c>
      <c r="I12" s="16" t="s">
        <v>26</v>
      </c>
      <c r="J12" s="16" t="s">
        <v>27</v>
      </c>
      <c r="K12" s="31">
        <v>0.5</v>
      </c>
      <c r="L12" s="31" t="s">
        <v>28</v>
      </c>
      <c r="M12" s="16">
        <v>2022</v>
      </c>
      <c r="N12" s="31" t="s">
        <v>23</v>
      </c>
      <c r="O12" s="31" t="s">
        <v>23</v>
      </c>
      <c r="P12" s="31" t="s">
        <v>23</v>
      </c>
      <c r="Q12" s="31" t="s">
        <v>23</v>
      </c>
      <c r="R12" s="31">
        <v>100</v>
      </c>
      <c r="S12" s="31">
        <v>0.5</v>
      </c>
      <c r="T12" s="31">
        <v>0</v>
      </c>
      <c r="U12" s="31">
        <v>0</v>
      </c>
    </row>
    <row r="13" spans="1:21" x14ac:dyDescent="0.2">
      <c r="A13" s="16" t="s">
        <v>30</v>
      </c>
      <c r="B13" s="16" t="s">
        <v>31</v>
      </c>
      <c r="C13" s="16" t="s">
        <v>32</v>
      </c>
      <c r="D13" s="16" t="s">
        <v>111</v>
      </c>
      <c r="E13" s="16" t="s">
        <v>112</v>
      </c>
      <c r="F13" s="16" t="s">
        <v>113</v>
      </c>
      <c r="G13" s="16" t="s">
        <v>33</v>
      </c>
      <c r="H13" s="16" t="s">
        <v>24</v>
      </c>
      <c r="I13" s="16" t="s">
        <v>26</v>
      </c>
      <c r="J13" s="16" t="s">
        <v>27</v>
      </c>
      <c r="K13" s="31">
        <v>1</v>
      </c>
      <c r="L13" s="31" t="s">
        <v>28</v>
      </c>
      <c r="M13" s="16">
        <v>2022</v>
      </c>
      <c r="N13" s="31" t="s">
        <v>23</v>
      </c>
      <c r="O13" s="31" t="s">
        <v>23</v>
      </c>
      <c r="P13" s="31" t="s">
        <v>23</v>
      </c>
      <c r="Q13" s="31" t="s">
        <v>23</v>
      </c>
      <c r="R13" s="31">
        <v>100</v>
      </c>
      <c r="S13" s="31">
        <v>1</v>
      </c>
      <c r="T13" s="31">
        <v>0</v>
      </c>
      <c r="U13" s="31">
        <v>0</v>
      </c>
    </row>
    <row r="14" spans="1:21" x14ac:dyDescent="0.2">
      <c r="A14" s="16" t="s">
        <v>114</v>
      </c>
      <c r="B14" s="16" t="s">
        <v>115</v>
      </c>
      <c r="C14" s="16" t="s">
        <v>116</v>
      </c>
      <c r="D14" s="16" t="s">
        <v>117</v>
      </c>
      <c r="E14" s="16" t="s">
        <v>118</v>
      </c>
      <c r="F14" s="16" t="s">
        <v>119</v>
      </c>
      <c r="G14" s="16" t="s">
        <v>120</v>
      </c>
      <c r="H14" s="16" t="s">
        <v>24</v>
      </c>
      <c r="I14" s="16" t="s">
        <v>26</v>
      </c>
      <c r="J14" s="16" t="s">
        <v>27</v>
      </c>
      <c r="K14" s="31">
        <v>1</v>
      </c>
      <c r="L14" s="31" t="s">
        <v>28</v>
      </c>
      <c r="M14" s="16">
        <v>2022</v>
      </c>
      <c r="N14" s="31" t="s">
        <v>29</v>
      </c>
      <c r="O14" s="31">
        <v>10</v>
      </c>
      <c r="P14" s="31" t="s">
        <v>34</v>
      </c>
      <c r="Q14" s="31">
        <v>20</v>
      </c>
      <c r="R14" s="31">
        <v>70</v>
      </c>
      <c r="S14" s="31">
        <v>0.7</v>
      </c>
      <c r="T14" s="31">
        <v>0.1</v>
      </c>
      <c r="U14" s="31">
        <v>0.2</v>
      </c>
    </row>
    <row r="15" spans="1:21" x14ac:dyDescent="0.2">
      <c r="A15" s="31" t="s">
        <v>131</v>
      </c>
      <c r="B15" s="31" t="s">
        <v>132</v>
      </c>
      <c r="C15" s="31" t="s">
        <v>133</v>
      </c>
      <c r="D15" s="31" t="s">
        <v>134</v>
      </c>
      <c r="E15" s="31" t="s">
        <v>135</v>
      </c>
      <c r="F15" s="31" t="s">
        <v>136</v>
      </c>
      <c r="G15" s="31" t="s">
        <v>52</v>
      </c>
      <c r="H15" s="31" t="s">
        <v>137</v>
      </c>
      <c r="I15" s="31" t="s">
        <v>28</v>
      </c>
      <c r="J15" s="31" t="s">
        <v>138</v>
      </c>
      <c r="K15" s="31">
        <v>1</v>
      </c>
      <c r="L15" s="31" t="s">
        <v>28</v>
      </c>
      <c r="M15" s="31">
        <v>2023</v>
      </c>
      <c r="N15" s="31" t="s">
        <v>23</v>
      </c>
      <c r="O15" s="31" t="s">
        <v>23</v>
      </c>
      <c r="P15" s="31" t="s">
        <v>23</v>
      </c>
      <c r="Q15" s="31" t="s">
        <v>23</v>
      </c>
      <c r="R15" s="31">
        <v>100</v>
      </c>
      <c r="S15" s="31">
        <v>1</v>
      </c>
      <c r="T15" s="31">
        <v>0</v>
      </c>
      <c r="U15" s="31">
        <v>0</v>
      </c>
    </row>
    <row r="16" spans="1:21" x14ac:dyDescent="0.2">
      <c r="A16" s="31" t="s">
        <v>131</v>
      </c>
      <c r="B16" s="31" t="s">
        <v>132</v>
      </c>
      <c r="C16" s="31" t="s">
        <v>133</v>
      </c>
      <c r="D16" s="31" t="s">
        <v>139</v>
      </c>
      <c r="E16" s="31" t="s">
        <v>140</v>
      </c>
      <c r="F16" s="31" t="s">
        <v>141</v>
      </c>
      <c r="G16" s="31" t="s">
        <v>51</v>
      </c>
      <c r="H16" s="31" t="s">
        <v>129</v>
      </c>
      <c r="I16" s="31" t="s">
        <v>28</v>
      </c>
      <c r="J16" s="31" t="s">
        <v>138</v>
      </c>
      <c r="K16" s="31">
        <v>0.5</v>
      </c>
      <c r="L16" s="31" t="s">
        <v>28</v>
      </c>
      <c r="M16" s="31">
        <v>2023</v>
      </c>
      <c r="N16" s="31" t="s">
        <v>34</v>
      </c>
      <c r="O16" s="31" t="s">
        <v>25</v>
      </c>
      <c r="P16" s="31" t="s">
        <v>23</v>
      </c>
      <c r="Q16" s="31" t="s">
        <v>23</v>
      </c>
      <c r="R16" s="31">
        <v>80</v>
      </c>
      <c r="S16" s="31">
        <v>0.4</v>
      </c>
      <c r="T16" s="31">
        <v>0.1</v>
      </c>
      <c r="U16" s="31">
        <v>0</v>
      </c>
    </row>
    <row r="17" spans="1:21" x14ac:dyDescent="0.2">
      <c r="A17" s="31" t="s">
        <v>131</v>
      </c>
      <c r="B17" s="31" t="s">
        <v>132</v>
      </c>
      <c r="C17" s="31" t="s">
        <v>133</v>
      </c>
      <c r="D17" s="31" t="s">
        <v>142</v>
      </c>
      <c r="E17" s="31" t="s">
        <v>143</v>
      </c>
      <c r="F17" s="31" t="s">
        <v>144</v>
      </c>
      <c r="G17" s="31" t="s">
        <v>60</v>
      </c>
      <c r="H17" s="31" t="s">
        <v>137</v>
      </c>
      <c r="I17" s="31" t="s">
        <v>28</v>
      </c>
      <c r="J17" s="31" t="s">
        <v>138</v>
      </c>
      <c r="K17" s="31">
        <v>1</v>
      </c>
      <c r="L17" s="31" t="s">
        <v>28</v>
      </c>
      <c r="M17" s="31">
        <v>2023</v>
      </c>
      <c r="N17" s="31" t="s">
        <v>23</v>
      </c>
      <c r="O17" s="31" t="s">
        <v>23</v>
      </c>
      <c r="P17" s="31" t="s">
        <v>23</v>
      </c>
      <c r="Q17" s="31" t="s">
        <v>23</v>
      </c>
      <c r="R17" s="31">
        <v>100</v>
      </c>
      <c r="S17" s="31">
        <v>1</v>
      </c>
      <c r="T17" s="31">
        <v>0</v>
      </c>
      <c r="U17" s="31">
        <v>0</v>
      </c>
    </row>
    <row r="18" spans="1:21" x14ac:dyDescent="0.2">
      <c r="A18" s="31" t="s">
        <v>131</v>
      </c>
      <c r="B18" s="31" t="s">
        <v>132</v>
      </c>
      <c r="C18" s="31" t="s">
        <v>133</v>
      </c>
      <c r="D18" s="31" t="s">
        <v>145</v>
      </c>
      <c r="E18" s="31" t="s">
        <v>146</v>
      </c>
      <c r="F18" s="31" t="s">
        <v>147</v>
      </c>
      <c r="G18" s="31" t="s">
        <v>57</v>
      </c>
      <c r="H18" s="31" t="s">
        <v>137</v>
      </c>
      <c r="I18" s="31" t="s">
        <v>28</v>
      </c>
      <c r="J18" s="31" t="s">
        <v>138</v>
      </c>
      <c r="K18" s="31">
        <v>1</v>
      </c>
      <c r="L18" s="31" t="s">
        <v>28</v>
      </c>
      <c r="M18" s="31">
        <v>2023</v>
      </c>
      <c r="N18" s="31" t="s">
        <v>130</v>
      </c>
      <c r="O18" s="31" t="s">
        <v>148</v>
      </c>
      <c r="P18" s="31" t="s">
        <v>23</v>
      </c>
      <c r="Q18" s="31" t="s">
        <v>23</v>
      </c>
      <c r="R18" s="31">
        <v>50</v>
      </c>
      <c r="S18" s="31">
        <v>0.5</v>
      </c>
      <c r="T18" s="31">
        <v>0.5</v>
      </c>
      <c r="U18" s="31">
        <v>0</v>
      </c>
    </row>
    <row r="19" spans="1:21" x14ac:dyDescent="0.2">
      <c r="A19" s="31" t="s">
        <v>131</v>
      </c>
      <c r="B19" s="31" t="s">
        <v>132</v>
      </c>
      <c r="C19" s="31" t="s">
        <v>133</v>
      </c>
      <c r="D19" s="31" t="s">
        <v>149</v>
      </c>
      <c r="E19" s="31" t="s">
        <v>150</v>
      </c>
      <c r="F19" s="31" t="s">
        <v>151</v>
      </c>
      <c r="G19" s="31" t="s">
        <v>52</v>
      </c>
      <c r="H19" s="31" t="s">
        <v>137</v>
      </c>
      <c r="I19" s="31" t="s">
        <v>28</v>
      </c>
      <c r="J19" s="31" t="s">
        <v>138</v>
      </c>
      <c r="K19" s="31">
        <v>1</v>
      </c>
      <c r="L19" s="31" t="s">
        <v>28</v>
      </c>
      <c r="M19" s="31">
        <v>2023</v>
      </c>
      <c r="N19" s="31" t="s">
        <v>23</v>
      </c>
      <c r="O19" s="31" t="s">
        <v>23</v>
      </c>
      <c r="P19" s="31" t="s">
        <v>23</v>
      </c>
      <c r="Q19" s="31" t="s">
        <v>23</v>
      </c>
      <c r="R19" s="31">
        <v>100</v>
      </c>
      <c r="S19" s="31">
        <v>1</v>
      </c>
      <c r="T19" s="31">
        <v>0</v>
      </c>
      <c r="U19" s="31">
        <v>0</v>
      </c>
    </row>
    <row r="20" spans="1:21" x14ac:dyDescent="0.2">
      <c r="A20" s="31" t="s">
        <v>131</v>
      </c>
      <c r="B20" s="31" t="s">
        <v>132</v>
      </c>
      <c r="C20" s="31" t="s">
        <v>133</v>
      </c>
      <c r="D20" s="31" t="s">
        <v>155</v>
      </c>
      <c r="E20" s="31" t="s">
        <v>156</v>
      </c>
      <c r="F20" s="31" t="s">
        <v>157</v>
      </c>
      <c r="G20" s="31" t="s">
        <v>63</v>
      </c>
      <c r="H20" s="31" t="s">
        <v>129</v>
      </c>
      <c r="I20" s="31" t="s">
        <v>28</v>
      </c>
      <c r="J20" s="31" t="s">
        <v>138</v>
      </c>
      <c r="K20" s="31">
        <v>0.5</v>
      </c>
      <c r="L20" s="31" t="s">
        <v>28</v>
      </c>
      <c r="M20" s="31">
        <v>2023</v>
      </c>
      <c r="N20" s="31" t="s">
        <v>29</v>
      </c>
      <c r="O20" s="31" t="s">
        <v>25</v>
      </c>
      <c r="P20" s="31" t="s">
        <v>23</v>
      </c>
      <c r="Q20" s="31" t="s">
        <v>23</v>
      </c>
      <c r="R20" s="31">
        <v>80</v>
      </c>
      <c r="S20" s="31">
        <v>0.4</v>
      </c>
      <c r="T20" s="31">
        <v>0.1</v>
      </c>
      <c r="U20" s="31">
        <v>0</v>
      </c>
    </row>
    <row r="21" spans="1:21" x14ac:dyDescent="0.2">
      <c r="A21" s="31" t="s">
        <v>131</v>
      </c>
      <c r="B21" s="31" t="s">
        <v>200</v>
      </c>
      <c r="C21" s="31" t="s">
        <v>133</v>
      </c>
      <c r="D21" s="31" t="s">
        <v>201</v>
      </c>
      <c r="E21" s="31" t="s">
        <v>202</v>
      </c>
      <c r="F21" s="31" t="s">
        <v>203</v>
      </c>
      <c r="G21" s="31" t="s">
        <v>58</v>
      </c>
      <c r="H21" s="31" t="s">
        <v>129</v>
      </c>
      <c r="I21" s="31" t="s">
        <v>28</v>
      </c>
      <c r="J21" s="31" t="s">
        <v>204</v>
      </c>
      <c r="K21" s="31">
        <v>0.5</v>
      </c>
      <c r="L21" s="31" t="s">
        <v>28</v>
      </c>
      <c r="M21" s="31">
        <v>2024</v>
      </c>
      <c r="N21" s="31" t="s">
        <v>34</v>
      </c>
      <c r="O21" s="31" t="s">
        <v>25</v>
      </c>
      <c r="P21" s="31" t="s">
        <v>23</v>
      </c>
      <c r="Q21" s="31" t="s">
        <v>23</v>
      </c>
      <c r="R21" s="31">
        <v>80</v>
      </c>
      <c r="S21" s="31">
        <v>0.4</v>
      </c>
      <c r="T21" s="31">
        <v>0.1</v>
      </c>
      <c r="U21" s="31">
        <v>0</v>
      </c>
    </row>
    <row r="22" spans="1:21" x14ac:dyDescent="0.2">
      <c r="A22" s="31" t="s">
        <v>131</v>
      </c>
      <c r="B22" s="31" t="s">
        <v>200</v>
      </c>
      <c r="C22" s="31" t="s">
        <v>133</v>
      </c>
      <c r="D22" s="31" t="s">
        <v>205</v>
      </c>
      <c r="E22" s="31" t="s">
        <v>206</v>
      </c>
      <c r="F22" s="31" t="s">
        <v>207</v>
      </c>
      <c r="G22" s="31" t="s">
        <v>52</v>
      </c>
      <c r="H22" s="31" t="s">
        <v>137</v>
      </c>
      <c r="I22" s="31" t="s">
        <v>28</v>
      </c>
      <c r="J22" s="31" t="s">
        <v>204</v>
      </c>
      <c r="K22" s="31">
        <v>1</v>
      </c>
      <c r="L22" s="31" t="s">
        <v>28</v>
      </c>
      <c r="M22" s="31">
        <v>2024</v>
      </c>
      <c r="N22" s="31" t="s">
        <v>23</v>
      </c>
      <c r="O22" s="31" t="s">
        <v>23</v>
      </c>
      <c r="P22" s="31" t="s">
        <v>23</v>
      </c>
      <c r="Q22" s="31" t="s">
        <v>23</v>
      </c>
      <c r="R22" s="31">
        <v>100</v>
      </c>
      <c r="S22" s="31">
        <v>1</v>
      </c>
      <c r="T22" s="31">
        <v>0</v>
      </c>
      <c r="U22" s="31">
        <v>0</v>
      </c>
    </row>
    <row r="23" spans="1:21" x14ac:dyDescent="0.2">
      <c r="A23" s="31" t="s">
        <v>131</v>
      </c>
      <c r="B23" s="31" t="s">
        <v>200</v>
      </c>
      <c r="C23" s="31" t="s">
        <v>133</v>
      </c>
      <c r="D23" s="31" t="s">
        <v>208</v>
      </c>
      <c r="E23" s="31" t="s">
        <v>209</v>
      </c>
      <c r="F23" s="31" t="s">
        <v>210</v>
      </c>
      <c r="G23" s="31" t="s">
        <v>51</v>
      </c>
      <c r="H23" s="31" t="s">
        <v>137</v>
      </c>
      <c r="I23" s="31" t="s">
        <v>28</v>
      </c>
      <c r="J23" s="31" t="s">
        <v>204</v>
      </c>
      <c r="K23" s="31">
        <v>1</v>
      </c>
      <c r="L23" s="31" t="s">
        <v>28</v>
      </c>
      <c r="M23" s="31">
        <v>2024</v>
      </c>
      <c r="N23" s="31" t="s">
        <v>34</v>
      </c>
      <c r="O23" s="31" t="s">
        <v>25</v>
      </c>
      <c r="P23" s="31" t="s">
        <v>23</v>
      </c>
      <c r="Q23" s="31" t="s">
        <v>23</v>
      </c>
      <c r="R23" s="31">
        <v>80</v>
      </c>
      <c r="S23" s="31">
        <v>0.8</v>
      </c>
      <c r="T23" s="31">
        <v>0.2</v>
      </c>
      <c r="U23" s="31">
        <v>0</v>
      </c>
    </row>
    <row r="24" spans="1:21" x14ac:dyDescent="0.2">
      <c r="A24" s="31" t="s">
        <v>131</v>
      </c>
      <c r="B24" s="31" t="s">
        <v>200</v>
      </c>
      <c r="C24" s="31" t="s">
        <v>133</v>
      </c>
      <c r="D24" s="31" t="s">
        <v>211</v>
      </c>
      <c r="E24" s="31" t="s">
        <v>212</v>
      </c>
      <c r="F24" s="31" t="s">
        <v>213</v>
      </c>
      <c r="G24" s="31" t="s">
        <v>55</v>
      </c>
      <c r="H24" s="31" t="s">
        <v>137</v>
      </c>
      <c r="I24" s="31" t="s">
        <v>28</v>
      </c>
      <c r="J24" s="31" t="s">
        <v>204</v>
      </c>
      <c r="K24" s="31">
        <v>1</v>
      </c>
      <c r="L24" s="31" t="s">
        <v>28</v>
      </c>
      <c r="M24" s="31">
        <v>2024</v>
      </c>
      <c r="N24" s="31" t="s">
        <v>23</v>
      </c>
      <c r="O24" s="31" t="s">
        <v>23</v>
      </c>
      <c r="P24" s="31" t="s">
        <v>23</v>
      </c>
      <c r="Q24" s="31" t="s">
        <v>23</v>
      </c>
      <c r="R24" s="31">
        <v>100</v>
      </c>
      <c r="S24" s="31">
        <v>1</v>
      </c>
      <c r="T24" s="31">
        <v>0</v>
      </c>
      <c r="U24" s="31">
        <v>0</v>
      </c>
    </row>
    <row r="25" spans="1:21" x14ac:dyDescent="0.2">
      <c r="A25" s="7"/>
      <c r="B25" s="7"/>
      <c r="C25" s="7"/>
      <c r="D25" s="7"/>
      <c r="E25" s="7"/>
      <c r="F25" s="7"/>
      <c r="G25" s="7"/>
      <c r="H25" s="7"/>
      <c r="I25" s="7"/>
      <c r="J25" s="7"/>
      <c r="K25" s="7"/>
      <c r="L25" s="7"/>
      <c r="M25" s="7"/>
      <c r="N25" s="7"/>
      <c r="O25" s="7"/>
      <c r="P25" s="7"/>
      <c r="Q25" s="7"/>
      <c r="R25" s="7"/>
      <c r="S25" s="40">
        <f>SUM(S2:S24)</f>
        <v>16.200000000000003</v>
      </c>
      <c r="T25" s="7"/>
      <c r="U25" s="7"/>
    </row>
  </sheetData>
  <autoFilter ref="A1:U1" xr:uid="{00000000-0009-0000-0000-000000000000}">
    <sortState xmlns:xlrd2="http://schemas.microsoft.com/office/spreadsheetml/2017/richdata2" ref="A2:T1894">
      <sortCondition ref="K2:K1894"/>
      <sortCondition ref="L2:L1894"/>
      <sortCondition ref="D2:D1894"/>
    </sortState>
  </autoFilter>
  <printOptions horizontalCentered="1"/>
  <pageMargins left="0.19685039370078741" right="0.19685039370078741" top="0.39370078740157483" bottom="0.39370078740157483" header="0.78740157480314965" footer="0"/>
  <pageSetup paperSize="9" scale="93" fitToWidth="2" fitToHeight="5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24"/>
  <sheetViews>
    <sheetView zoomScaleNormal="100" workbookViewId="0">
      <selection activeCell="U9" sqref="U9"/>
    </sheetView>
  </sheetViews>
  <sheetFormatPr baseColWidth="10" defaultColWidth="11.44140625" defaultRowHeight="13.2" x14ac:dyDescent="0.25"/>
  <cols>
    <col min="1" max="1" width="10.88671875" style="12" bestFit="1" customWidth="1"/>
    <col min="2" max="2" width="40.33203125" style="12" bestFit="1" customWidth="1"/>
    <col min="3" max="3" width="17" style="12" bestFit="1" customWidth="1"/>
    <col min="4" max="9" width="3.33203125" style="12" bestFit="1" customWidth="1"/>
    <col min="10" max="10" width="13.109375" style="12" bestFit="1" customWidth="1"/>
    <col min="11" max="11" width="5.33203125" style="12" bestFit="1" customWidth="1"/>
    <col min="12" max="13" width="5.6640625" style="12" bestFit="1" customWidth="1"/>
    <col min="14" max="14" width="5.6640625" style="13" bestFit="1" customWidth="1"/>
    <col min="15" max="15" width="5.6640625" style="12" bestFit="1" customWidth="1"/>
    <col min="16" max="16" width="5.6640625" style="13" bestFit="1" customWidth="1"/>
    <col min="17" max="19" width="5.6640625" style="12" bestFit="1" customWidth="1"/>
    <col min="20" max="16384" width="11.44140625" style="12"/>
  </cols>
  <sheetData>
    <row r="1" spans="1:19" s="11" customFormat="1" ht="60" customHeight="1" x14ac:dyDescent="0.25">
      <c r="A1" s="14" t="s">
        <v>37</v>
      </c>
      <c r="B1" s="14" t="s">
        <v>38</v>
      </c>
      <c r="C1" s="14" t="s">
        <v>39</v>
      </c>
      <c r="D1" s="15" t="s">
        <v>214</v>
      </c>
      <c r="E1" s="15" t="s">
        <v>215</v>
      </c>
      <c r="F1" s="15" t="s">
        <v>216</v>
      </c>
      <c r="G1" s="15" t="s">
        <v>217</v>
      </c>
      <c r="H1" s="15" t="s">
        <v>218</v>
      </c>
      <c r="I1" s="15" t="s">
        <v>219</v>
      </c>
      <c r="J1" s="14" t="s">
        <v>40</v>
      </c>
      <c r="K1" s="28" t="s">
        <v>69</v>
      </c>
      <c r="L1" s="9" t="s">
        <v>41</v>
      </c>
      <c r="M1" s="9" t="s">
        <v>42</v>
      </c>
      <c r="N1" s="9" t="s">
        <v>43</v>
      </c>
      <c r="O1" s="9" t="s">
        <v>44</v>
      </c>
      <c r="P1" s="10" t="s">
        <v>45</v>
      </c>
      <c r="Q1" s="10" t="s">
        <v>46</v>
      </c>
      <c r="R1" s="10" t="s">
        <v>47</v>
      </c>
      <c r="S1" s="10" t="s">
        <v>48</v>
      </c>
    </row>
    <row r="2" spans="1:19" x14ac:dyDescent="0.25">
      <c r="A2" s="38" t="s">
        <v>64</v>
      </c>
      <c r="B2" s="38" t="s">
        <v>220</v>
      </c>
      <c r="C2" s="38" t="s">
        <v>49</v>
      </c>
      <c r="D2" s="38"/>
      <c r="E2" s="38"/>
      <c r="F2" s="38"/>
      <c r="G2" s="38"/>
      <c r="H2" s="38"/>
      <c r="I2" s="38">
        <v>1</v>
      </c>
      <c r="J2" s="38">
        <v>1</v>
      </c>
      <c r="K2" s="38" t="s">
        <v>28</v>
      </c>
      <c r="L2" s="38" t="s">
        <v>34</v>
      </c>
      <c r="M2" s="38" t="s">
        <v>25</v>
      </c>
      <c r="N2" s="39" t="s">
        <v>29</v>
      </c>
      <c r="O2" s="38" t="s">
        <v>152</v>
      </c>
      <c r="P2" s="39">
        <v>70</v>
      </c>
      <c r="Q2" s="38">
        <v>0.2</v>
      </c>
      <c r="R2" s="38">
        <v>0.1</v>
      </c>
      <c r="S2" s="38">
        <v>0.7</v>
      </c>
    </row>
    <row r="3" spans="1:19" x14ac:dyDescent="0.25">
      <c r="A3" s="38" t="s">
        <v>54</v>
      </c>
      <c r="B3" s="38" t="s">
        <v>221</v>
      </c>
      <c r="C3" s="38" t="s">
        <v>49</v>
      </c>
      <c r="D3" s="38"/>
      <c r="E3" s="38"/>
      <c r="F3" s="38"/>
      <c r="G3" s="38"/>
      <c r="H3" s="38"/>
      <c r="I3" s="38">
        <v>1</v>
      </c>
      <c r="J3" s="38">
        <v>1</v>
      </c>
      <c r="K3" s="38" t="s">
        <v>28</v>
      </c>
      <c r="L3" s="38">
        <v>0</v>
      </c>
      <c r="M3" s="38">
        <v>0</v>
      </c>
      <c r="N3" s="39" t="s">
        <v>23</v>
      </c>
      <c r="O3" s="38" t="s">
        <v>23</v>
      </c>
      <c r="P3" s="39">
        <v>100</v>
      </c>
      <c r="Q3" s="38">
        <v>0</v>
      </c>
      <c r="R3" s="38">
        <v>0</v>
      </c>
      <c r="S3" s="38">
        <v>1</v>
      </c>
    </row>
    <row r="4" spans="1:19" x14ac:dyDescent="0.25">
      <c r="A4" s="38" t="s">
        <v>56</v>
      </c>
      <c r="B4" s="38" t="s">
        <v>222</v>
      </c>
      <c r="C4" s="38" t="s">
        <v>49</v>
      </c>
      <c r="D4" s="38"/>
      <c r="E4" s="38"/>
      <c r="F4" s="38"/>
      <c r="G4" s="38"/>
      <c r="H4" s="38"/>
      <c r="I4" s="38">
        <v>1</v>
      </c>
      <c r="J4" s="38">
        <v>1</v>
      </c>
      <c r="K4" s="38" t="s">
        <v>28</v>
      </c>
      <c r="L4" s="38">
        <v>0</v>
      </c>
      <c r="M4" s="38">
        <v>0</v>
      </c>
      <c r="N4" s="39" t="s">
        <v>23</v>
      </c>
      <c r="O4" s="38" t="s">
        <v>23</v>
      </c>
      <c r="P4" s="39">
        <v>100</v>
      </c>
      <c r="Q4" s="38">
        <v>0</v>
      </c>
      <c r="R4" s="38">
        <v>0</v>
      </c>
      <c r="S4" s="38">
        <v>1</v>
      </c>
    </row>
    <row r="5" spans="1:19" x14ac:dyDescent="0.25">
      <c r="A5" s="38" t="s">
        <v>51</v>
      </c>
      <c r="B5" s="38" t="s">
        <v>223</v>
      </c>
      <c r="C5" s="38" t="s">
        <v>49</v>
      </c>
      <c r="D5" s="38"/>
      <c r="E5" s="38"/>
      <c r="F5" s="38"/>
      <c r="G5" s="38">
        <v>1</v>
      </c>
      <c r="H5" s="38"/>
      <c r="I5" s="38"/>
      <c r="J5" s="38">
        <v>1</v>
      </c>
      <c r="K5" s="38" t="s">
        <v>28</v>
      </c>
      <c r="L5" s="38" t="s">
        <v>34</v>
      </c>
      <c r="M5" s="38" t="s">
        <v>25</v>
      </c>
      <c r="N5" s="39" t="s">
        <v>23</v>
      </c>
      <c r="O5" s="38" t="s">
        <v>23</v>
      </c>
      <c r="P5" s="39">
        <v>80</v>
      </c>
      <c r="Q5" s="38">
        <v>0.2</v>
      </c>
      <c r="R5" s="38">
        <v>0</v>
      </c>
      <c r="S5" s="38">
        <v>0.8</v>
      </c>
    </row>
    <row r="6" spans="1:19" x14ac:dyDescent="0.25">
      <c r="A6" s="38" t="s">
        <v>58</v>
      </c>
      <c r="B6" s="38" t="s">
        <v>224</v>
      </c>
      <c r="C6" s="38" t="s">
        <v>225</v>
      </c>
      <c r="D6" s="38"/>
      <c r="E6" s="38"/>
      <c r="F6" s="38"/>
      <c r="G6" s="38"/>
      <c r="H6" s="38"/>
      <c r="I6" s="38">
        <v>1</v>
      </c>
      <c r="J6" s="38">
        <v>1</v>
      </c>
      <c r="K6" s="38" t="s">
        <v>28</v>
      </c>
      <c r="L6" s="38" t="s">
        <v>34</v>
      </c>
      <c r="M6" s="38" t="s">
        <v>25</v>
      </c>
      <c r="N6" s="39" t="s">
        <v>23</v>
      </c>
      <c r="O6" s="38" t="s">
        <v>23</v>
      </c>
      <c r="P6" s="39">
        <v>80</v>
      </c>
      <c r="Q6" s="38">
        <v>0.2</v>
      </c>
      <c r="R6" s="38">
        <v>0</v>
      </c>
      <c r="S6" s="38">
        <v>0.8</v>
      </c>
    </row>
    <row r="7" spans="1:19" x14ac:dyDescent="0.25">
      <c r="A7" s="38" t="s">
        <v>90</v>
      </c>
      <c r="B7" s="38" t="s">
        <v>226</v>
      </c>
      <c r="C7" s="38" t="s">
        <v>50</v>
      </c>
      <c r="D7" s="38"/>
      <c r="E7" s="38"/>
      <c r="F7" s="38">
        <v>1</v>
      </c>
      <c r="G7" s="38"/>
      <c r="H7" s="38"/>
      <c r="I7" s="38"/>
      <c r="J7" s="38">
        <v>1</v>
      </c>
      <c r="K7" s="38" t="s">
        <v>28</v>
      </c>
      <c r="L7" s="38" t="s">
        <v>153</v>
      </c>
      <c r="M7" s="38" t="s">
        <v>154</v>
      </c>
      <c r="N7" s="39" t="s">
        <v>23</v>
      </c>
      <c r="O7" s="38" t="s">
        <v>23</v>
      </c>
      <c r="P7" s="39">
        <v>70</v>
      </c>
      <c r="Q7" s="38">
        <v>0.3</v>
      </c>
      <c r="R7" s="38">
        <v>0</v>
      </c>
      <c r="S7" s="38">
        <v>0.7</v>
      </c>
    </row>
    <row r="8" spans="1:19" x14ac:dyDescent="0.25">
      <c r="A8" s="38" t="s">
        <v>55</v>
      </c>
      <c r="B8" s="38" t="s">
        <v>227</v>
      </c>
      <c r="C8" s="38" t="s">
        <v>49</v>
      </c>
      <c r="D8" s="38"/>
      <c r="E8" s="38"/>
      <c r="F8" s="38"/>
      <c r="G8" s="38"/>
      <c r="H8" s="38"/>
      <c r="I8" s="38">
        <v>1</v>
      </c>
      <c r="J8" s="38">
        <v>1</v>
      </c>
      <c r="K8" s="38" t="s">
        <v>28</v>
      </c>
      <c r="L8" s="38">
        <v>0</v>
      </c>
      <c r="M8" s="38">
        <v>0</v>
      </c>
      <c r="N8" s="39" t="s">
        <v>23</v>
      </c>
      <c r="O8" s="38" t="s">
        <v>23</v>
      </c>
      <c r="P8" s="39">
        <v>100</v>
      </c>
      <c r="Q8" s="38">
        <v>0</v>
      </c>
      <c r="R8" s="38">
        <v>0</v>
      </c>
      <c r="S8" s="38">
        <v>1</v>
      </c>
    </row>
    <row r="9" spans="1:19" x14ac:dyDescent="0.25">
      <c r="A9" s="38" t="s">
        <v>52</v>
      </c>
      <c r="B9" s="38" t="s">
        <v>228</v>
      </c>
      <c r="C9" s="38" t="s">
        <v>49</v>
      </c>
      <c r="D9" s="38"/>
      <c r="E9" s="38"/>
      <c r="F9" s="38"/>
      <c r="G9" s="38"/>
      <c r="H9" s="38">
        <v>1</v>
      </c>
      <c r="I9" s="38"/>
      <c r="J9" s="38">
        <v>1</v>
      </c>
      <c r="K9" s="38" t="s">
        <v>28</v>
      </c>
      <c r="L9" s="38">
        <v>0</v>
      </c>
      <c r="M9" s="38">
        <v>0</v>
      </c>
      <c r="N9" s="39" t="s">
        <v>23</v>
      </c>
      <c r="O9" s="38" t="s">
        <v>23</v>
      </c>
      <c r="P9" s="39">
        <v>100</v>
      </c>
      <c r="Q9" s="38">
        <v>0</v>
      </c>
      <c r="R9" s="38">
        <v>0</v>
      </c>
      <c r="S9" s="38">
        <v>1</v>
      </c>
    </row>
    <row r="10" spans="1:19" x14ac:dyDescent="0.25">
      <c r="A10" s="38" t="s">
        <v>53</v>
      </c>
      <c r="B10" s="38" t="s">
        <v>229</v>
      </c>
      <c r="C10" s="38" t="s">
        <v>49</v>
      </c>
      <c r="D10" s="38"/>
      <c r="E10" s="38"/>
      <c r="F10" s="38"/>
      <c r="G10" s="38"/>
      <c r="H10" s="38"/>
      <c r="I10" s="38">
        <v>1</v>
      </c>
      <c r="J10" s="38">
        <v>1</v>
      </c>
      <c r="K10" s="38" t="s">
        <v>28</v>
      </c>
      <c r="L10" s="38" t="s">
        <v>34</v>
      </c>
      <c r="M10" s="38" t="s">
        <v>25</v>
      </c>
      <c r="N10" s="39" t="s">
        <v>29</v>
      </c>
      <c r="O10" s="38" t="s">
        <v>152</v>
      </c>
      <c r="P10" s="39">
        <v>70</v>
      </c>
      <c r="Q10" s="38">
        <v>0.2</v>
      </c>
      <c r="R10" s="38">
        <v>0.1</v>
      </c>
      <c r="S10" s="38">
        <v>0.7</v>
      </c>
    </row>
    <row r="11" spans="1:19" x14ac:dyDescent="0.25">
      <c r="A11" s="38" t="s">
        <v>61</v>
      </c>
      <c r="B11" s="38" t="s">
        <v>230</v>
      </c>
      <c r="C11" s="38" t="s">
        <v>49</v>
      </c>
      <c r="D11" s="38">
        <v>1</v>
      </c>
      <c r="E11" s="38"/>
      <c r="F11" s="38"/>
      <c r="G11" s="38"/>
      <c r="H11" s="38"/>
      <c r="I11" s="38"/>
      <c r="J11" s="38">
        <v>1</v>
      </c>
      <c r="K11" s="38" t="s">
        <v>28</v>
      </c>
      <c r="L11" s="38" t="s">
        <v>34</v>
      </c>
      <c r="M11" s="38" t="s">
        <v>148</v>
      </c>
      <c r="N11" s="39" t="s">
        <v>23</v>
      </c>
      <c r="O11" s="38" t="s">
        <v>23</v>
      </c>
      <c r="P11" s="39">
        <v>50</v>
      </c>
      <c r="Q11" s="38">
        <v>0.5</v>
      </c>
      <c r="R11" s="38">
        <v>0</v>
      </c>
      <c r="S11" s="38">
        <v>0.5</v>
      </c>
    </row>
    <row r="12" spans="1:19" x14ac:dyDescent="0.25">
      <c r="A12" s="38" t="s">
        <v>62</v>
      </c>
      <c r="B12" s="38" t="s">
        <v>231</v>
      </c>
      <c r="C12" s="38" t="s">
        <v>50</v>
      </c>
      <c r="D12" s="38">
        <v>1</v>
      </c>
      <c r="E12" s="38"/>
      <c r="F12" s="38"/>
      <c r="G12" s="38"/>
      <c r="H12" s="38"/>
      <c r="I12" s="38"/>
      <c r="J12" s="38">
        <v>1</v>
      </c>
      <c r="K12" s="38" t="s">
        <v>28</v>
      </c>
      <c r="L12" s="38" t="s">
        <v>34</v>
      </c>
      <c r="M12" s="38" t="s">
        <v>25</v>
      </c>
      <c r="N12" s="39" t="s">
        <v>23</v>
      </c>
      <c r="O12" s="38" t="s">
        <v>23</v>
      </c>
      <c r="P12" s="39">
        <v>80</v>
      </c>
      <c r="Q12" s="38">
        <v>0.2</v>
      </c>
      <c r="R12" s="38">
        <v>0</v>
      </c>
      <c r="S12" s="38">
        <v>0.8</v>
      </c>
    </row>
    <row r="13" spans="1:19" x14ac:dyDescent="0.25">
      <c r="A13" s="38" t="s">
        <v>232</v>
      </c>
      <c r="B13" s="38" t="s">
        <v>233</v>
      </c>
      <c r="C13" s="38" t="s">
        <v>50</v>
      </c>
      <c r="D13" s="38"/>
      <c r="E13" s="38"/>
      <c r="F13" s="38"/>
      <c r="G13" s="38"/>
      <c r="H13" s="38"/>
      <c r="I13" s="38">
        <v>1</v>
      </c>
      <c r="J13" s="38">
        <v>1</v>
      </c>
      <c r="K13" s="38" t="s">
        <v>28</v>
      </c>
      <c r="L13" s="38">
        <v>0</v>
      </c>
      <c r="M13" s="38">
        <v>0</v>
      </c>
      <c r="N13" s="39" t="s">
        <v>23</v>
      </c>
      <c r="O13" s="38" t="s">
        <v>23</v>
      </c>
      <c r="P13" s="39">
        <v>100</v>
      </c>
      <c r="Q13" s="38">
        <v>0</v>
      </c>
      <c r="R13" s="38">
        <v>0</v>
      </c>
      <c r="S13" s="38">
        <v>1</v>
      </c>
    </row>
    <row r="14" spans="1:19" x14ac:dyDescent="0.25">
      <c r="A14" s="38" t="s">
        <v>68</v>
      </c>
      <c r="B14" s="38" t="s">
        <v>234</v>
      </c>
      <c r="C14" s="38" t="s">
        <v>49</v>
      </c>
      <c r="D14" s="38"/>
      <c r="E14" s="38">
        <v>1</v>
      </c>
      <c r="F14" s="38">
        <v>1</v>
      </c>
      <c r="G14" s="38"/>
      <c r="H14" s="38"/>
      <c r="I14" s="38"/>
      <c r="J14" s="38">
        <v>2</v>
      </c>
      <c r="K14" s="38" t="s">
        <v>28</v>
      </c>
      <c r="L14" s="38">
        <v>0</v>
      </c>
      <c r="M14" s="38">
        <v>0</v>
      </c>
      <c r="N14" s="39" t="s">
        <v>23</v>
      </c>
      <c r="O14" s="38" t="s">
        <v>23</v>
      </c>
      <c r="P14" s="39">
        <v>100</v>
      </c>
      <c r="Q14" s="38">
        <v>0</v>
      </c>
      <c r="R14" s="38">
        <v>0</v>
      </c>
      <c r="S14" s="38">
        <v>2</v>
      </c>
    </row>
    <row r="15" spans="1:19" x14ac:dyDescent="0.25">
      <c r="A15" s="38" t="s">
        <v>121</v>
      </c>
      <c r="B15" s="38" t="s">
        <v>235</v>
      </c>
      <c r="C15" s="38" t="s">
        <v>225</v>
      </c>
      <c r="D15" s="38"/>
      <c r="E15" s="38"/>
      <c r="F15" s="38"/>
      <c r="G15" s="38"/>
      <c r="H15" s="38"/>
      <c r="I15" s="38">
        <v>1</v>
      </c>
      <c r="J15" s="38">
        <v>1</v>
      </c>
      <c r="K15" s="38" t="s">
        <v>28</v>
      </c>
      <c r="L15" s="38">
        <v>0</v>
      </c>
      <c r="M15" s="38">
        <v>0</v>
      </c>
      <c r="N15" s="39" t="s">
        <v>23</v>
      </c>
      <c r="O15" s="38" t="s">
        <v>23</v>
      </c>
      <c r="P15" s="39">
        <v>100</v>
      </c>
      <c r="Q15" s="38">
        <v>0</v>
      </c>
      <c r="R15" s="38">
        <v>0</v>
      </c>
      <c r="S15" s="38">
        <v>1</v>
      </c>
    </row>
    <row r="16" spans="1:19" x14ac:dyDescent="0.25">
      <c r="A16" s="38" t="s">
        <v>91</v>
      </c>
      <c r="B16" s="38" t="s">
        <v>236</v>
      </c>
      <c r="C16" s="38" t="s">
        <v>49</v>
      </c>
      <c r="D16" s="38"/>
      <c r="E16" s="38"/>
      <c r="F16" s="38"/>
      <c r="G16" s="38"/>
      <c r="H16" s="38">
        <v>1</v>
      </c>
      <c r="I16" s="38"/>
      <c r="J16" s="38">
        <v>1</v>
      </c>
      <c r="K16" s="38" t="s">
        <v>28</v>
      </c>
      <c r="L16" s="38" t="s">
        <v>34</v>
      </c>
      <c r="M16" s="38" t="s">
        <v>25</v>
      </c>
      <c r="N16" s="39" t="s">
        <v>23</v>
      </c>
      <c r="O16" s="38" t="s">
        <v>23</v>
      </c>
      <c r="P16" s="39">
        <v>80</v>
      </c>
      <c r="Q16" s="38">
        <v>0.2</v>
      </c>
      <c r="R16" s="38">
        <v>0</v>
      </c>
      <c r="S16" s="38">
        <v>0.8</v>
      </c>
    </row>
    <row r="17" spans="1:20" x14ac:dyDescent="0.25">
      <c r="A17" s="38" t="s">
        <v>59</v>
      </c>
      <c r="B17" s="38" t="s">
        <v>237</v>
      </c>
      <c r="C17" s="38" t="s">
        <v>49</v>
      </c>
      <c r="D17" s="38"/>
      <c r="E17" s="38">
        <v>1</v>
      </c>
      <c r="F17" s="38"/>
      <c r="G17" s="38"/>
      <c r="H17" s="38"/>
      <c r="I17" s="38"/>
      <c r="J17" s="38">
        <v>1</v>
      </c>
      <c r="K17" s="38" t="s">
        <v>28</v>
      </c>
      <c r="L17" s="38" t="s">
        <v>34</v>
      </c>
      <c r="M17" s="38" t="s">
        <v>154</v>
      </c>
      <c r="N17" s="39" t="s">
        <v>23</v>
      </c>
      <c r="O17" s="38" t="s">
        <v>23</v>
      </c>
      <c r="P17" s="39">
        <v>70</v>
      </c>
      <c r="Q17" s="38">
        <v>0.3</v>
      </c>
      <c r="R17" s="38">
        <v>0</v>
      </c>
      <c r="S17" s="38">
        <v>0.7</v>
      </c>
    </row>
    <row r="18" spans="1:20" x14ac:dyDescent="0.25">
      <c r="A18" s="38" t="s">
        <v>60</v>
      </c>
      <c r="B18" s="38" t="s">
        <v>238</v>
      </c>
      <c r="C18" s="38" t="s">
        <v>49</v>
      </c>
      <c r="D18" s="38">
        <v>1</v>
      </c>
      <c r="E18" s="38"/>
      <c r="F18" s="38"/>
      <c r="G18" s="38"/>
      <c r="H18" s="38"/>
      <c r="I18" s="38"/>
      <c r="J18" s="38">
        <v>1</v>
      </c>
      <c r="K18" s="38" t="s">
        <v>28</v>
      </c>
      <c r="L18" s="38">
        <v>0</v>
      </c>
      <c r="M18" s="38">
        <v>0</v>
      </c>
      <c r="N18" s="39" t="s">
        <v>23</v>
      </c>
      <c r="O18" s="38" t="s">
        <v>23</v>
      </c>
      <c r="P18" s="39">
        <v>100</v>
      </c>
      <c r="Q18" s="38">
        <v>0</v>
      </c>
      <c r="R18" s="38">
        <v>0</v>
      </c>
      <c r="S18" s="38">
        <v>1</v>
      </c>
    </row>
    <row r="19" spans="1:20" x14ac:dyDescent="0.25">
      <c r="A19" s="38" t="s">
        <v>57</v>
      </c>
      <c r="B19" s="38" t="s">
        <v>239</v>
      </c>
      <c r="C19" s="38" t="s">
        <v>49</v>
      </c>
      <c r="D19" s="38">
        <v>1</v>
      </c>
      <c r="E19" s="38"/>
      <c r="F19" s="38"/>
      <c r="G19" s="38"/>
      <c r="H19" s="38"/>
      <c r="I19" s="38"/>
      <c r="J19" s="38">
        <v>1</v>
      </c>
      <c r="K19" s="38" t="s">
        <v>28</v>
      </c>
      <c r="L19" s="38" t="s">
        <v>130</v>
      </c>
      <c r="M19" s="38" t="s">
        <v>148</v>
      </c>
      <c r="N19" s="39" t="s">
        <v>23</v>
      </c>
      <c r="O19" s="38" t="s">
        <v>23</v>
      </c>
      <c r="P19" s="39">
        <v>50</v>
      </c>
      <c r="Q19" s="38">
        <v>0.5</v>
      </c>
      <c r="R19" s="38">
        <v>0</v>
      </c>
      <c r="S19" s="38">
        <v>0.5</v>
      </c>
    </row>
    <row r="20" spans="1:20" x14ac:dyDescent="0.25">
      <c r="A20" s="38" t="s">
        <v>92</v>
      </c>
      <c r="B20" s="38" t="s">
        <v>240</v>
      </c>
      <c r="C20" s="38" t="s">
        <v>50</v>
      </c>
      <c r="D20" s="38"/>
      <c r="E20" s="38"/>
      <c r="F20" s="38"/>
      <c r="G20" s="38">
        <v>1</v>
      </c>
      <c r="H20" s="38"/>
      <c r="I20" s="38"/>
      <c r="J20" s="38">
        <v>1</v>
      </c>
      <c r="K20" s="38" t="s">
        <v>28</v>
      </c>
      <c r="L20" s="38">
        <v>0</v>
      </c>
      <c r="M20" s="38">
        <v>0</v>
      </c>
      <c r="N20" s="39" t="s">
        <v>23</v>
      </c>
      <c r="O20" s="38" t="s">
        <v>23</v>
      </c>
      <c r="P20" s="39">
        <v>100</v>
      </c>
      <c r="Q20" s="38">
        <v>0</v>
      </c>
      <c r="R20" s="38">
        <v>0</v>
      </c>
      <c r="S20" s="38">
        <v>1</v>
      </c>
    </row>
    <row r="21" spans="1:20" x14ac:dyDescent="0.25">
      <c r="A21" s="35"/>
      <c r="B21" s="35"/>
      <c r="C21" s="35"/>
      <c r="D21" s="35"/>
      <c r="E21" s="35"/>
      <c r="F21" s="35"/>
      <c r="G21" s="35"/>
      <c r="H21" s="35"/>
      <c r="I21" s="35"/>
      <c r="J21" s="35"/>
      <c r="K21" s="35"/>
      <c r="L21" s="35"/>
      <c r="M21" s="35"/>
      <c r="N21" s="36"/>
      <c r="O21" s="35"/>
      <c r="P21" s="36"/>
      <c r="Q21" s="35"/>
      <c r="R21" s="35"/>
      <c r="S21" s="37">
        <f>SUM(S2:S20)</f>
        <v>17</v>
      </c>
    </row>
    <row r="24" spans="1:20" s="11" customFormat="1" ht="60" customHeight="1" x14ac:dyDescent="0.25">
      <c r="A24" s="12"/>
      <c r="B24" s="12"/>
      <c r="C24" s="12"/>
      <c r="D24" s="12"/>
      <c r="E24" s="12"/>
      <c r="F24" s="12"/>
      <c r="G24" s="12"/>
      <c r="H24" s="12"/>
      <c r="I24" s="12"/>
      <c r="J24" s="12"/>
      <c r="K24" s="12"/>
      <c r="L24" s="12"/>
      <c r="M24" s="12"/>
      <c r="N24" s="13"/>
      <c r="O24" s="12"/>
      <c r="P24" s="13"/>
      <c r="Q24" s="12"/>
      <c r="R24" s="12"/>
      <c r="S24" s="12"/>
      <c r="T24" s="12"/>
    </row>
  </sheetData>
  <pageMargins left="0.39370078740157483" right="0.39370078740157483" top="0.39370078740157483" bottom="0.39370078740157483" header="0.31496062992125984" footer="0.31496062992125984"/>
  <pageSetup paperSize="9" scale="1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6C28C-4255-490C-AF9C-1C6C154644F8}">
  <dimension ref="A1:C8"/>
  <sheetViews>
    <sheetView workbookViewId="0">
      <selection activeCell="B16" sqref="B16"/>
    </sheetView>
  </sheetViews>
  <sheetFormatPr baseColWidth="10" defaultRowHeight="14.4" x14ac:dyDescent="0.3"/>
  <cols>
    <col min="1" max="1" width="17" customWidth="1"/>
    <col min="2" max="2" width="74" customWidth="1"/>
    <col min="3" max="3" width="16" customWidth="1"/>
  </cols>
  <sheetData>
    <row r="1" spans="1:3" x14ac:dyDescent="0.3">
      <c r="A1" s="42" t="s">
        <v>93</v>
      </c>
      <c r="B1" s="42" t="s">
        <v>94</v>
      </c>
      <c r="C1" s="42" t="s">
        <v>95</v>
      </c>
    </row>
    <row r="2" spans="1:3" x14ac:dyDescent="0.3">
      <c r="A2" s="32" t="s">
        <v>96</v>
      </c>
      <c r="B2" s="32" t="s">
        <v>122</v>
      </c>
      <c r="C2" s="29">
        <v>-1481.76</v>
      </c>
    </row>
    <row r="3" spans="1:3" x14ac:dyDescent="0.3">
      <c r="A3" s="33" t="s">
        <v>97</v>
      </c>
      <c r="B3" s="33" t="s">
        <v>123</v>
      </c>
      <c r="C3" s="30">
        <v>-2585.33</v>
      </c>
    </row>
    <row r="4" spans="1:3" x14ac:dyDescent="0.3">
      <c r="A4" s="32" t="s">
        <v>97</v>
      </c>
      <c r="B4" s="32" t="s">
        <v>124</v>
      </c>
      <c r="C4" s="29">
        <v>13210</v>
      </c>
    </row>
    <row r="5" spans="1:3" x14ac:dyDescent="0.3">
      <c r="A5" s="33" t="s">
        <v>125</v>
      </c>
      <c r="B5" s="33" t="s">
        <v>126</v>
      </c>
      <c r="C5" s="30">
        <v>7600</v>
      </c>
    </row>
    <row r="6" spans="1:3" x14ac:dyDescent="0.3">
      <c r="A6" s="43" t="s">
        <v>127</v>
      </c>
      <c r="B6" s="43" t="s">
        <v>128</v>
      </c>
      <c r="C6" s="44">
        <v>4000</v>
      </c>
    </row>
    <row r="7" spans="1:3" s="47" customFormat="1" x14ac:dyDescent="0.3">
      <c r="A7" s="45" t="s">
        <v>0</v>
      </c>
      <c r="B7" s="45"/>
      <c r="C7" s="46">
        <f>SUBTOTAL(109,Tabla2[Imp.cob.aplic.])</f>
        <v>20742.91</v>
      </c>
    </row>
    <row r="8" spans="1:3" x14ac:dyDescent="0.3">
      <c r="C8" s="34"/>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C95DB-2049-4105-BB04-B8C7BAD39FC7}">
  <dimension ref="A1:C8"/>
  <sheetViews>
    <sheetView workbookViewId="0">
      <selection activeCell="B11" sqref="B11:C11"/>
    </sheetView>
  </sheetViews>
  <sheetFormatPr baseColWidth="10" defaultRowHeight="14.4" x14ac:dyDescent="0.3"/>
  <cols>
    <col min="1" max="1" width="12" customWidth="1"/>
    <col min="2" max="2" width="73.109375" customWidth="1"/>
    <col min="3" max="3" width="13.109375" customWidth="1"/>
  </cols>
  <sheetData>
    <row r="1" spans="1:3" x14ac:dyDescent="0.3">
      <c r="A1" s="50" t="s">
        <v>158</v>
      </c>
      <c r="B1" s="50" t="s">
        <v>94</v>
      </c>
      <c r="C1" s="51" t="s">
        <v>159</v>
      </c>
    </row>
    <row r="2" spans="1:3" x14ac:dyDescent="0.3">
      <c r="A2" s="48" t="s">
        <v>160</v>
      </c>
      <c r="B2" s="48" t="s">
        <v>161</v>
      </c>
      <c r="C2" s="29">
        <v>16439.66</v>
      </c>
    </row>
    <row r="3" spans="1:3" x14ac:dyDescent="0.3">
      <c r="A3" s="49" t="s">
        <v>97</v>
      </c>
      <c r="B3" s="49" t="s">
        <v>162</v>
      </c>
      <c r="C3" s="30">
        <v>11000</v>
      </c>
    </row>
    <row r="4" spans="1:3" x14ac:dyDescent="0.3">
      <c r="A4" s="48" t="s">
        <v>125</v>
      </c>
      <c r="B4" s="48" t="s">
        <v>163</v>
      </c>
      <c r="C4" s="29">
        <v>-1088.51</v>
      </c>
    </row>
    <row r="5" spans="1:3" x14ac:dyDescent="0.3">
      <c r="A5" s="49" t="s">
        <v>127</v>
      </c>
      <c r="B5" s="49" t="s">
        <v>164</v>
      </c>
      <c r="C5" s="30">
        <v>4500</v>
      </c>
    </row>
    <row r="6" spans="1:3" x14ac:dyDescent="0.3">
      <c r="A6" s="48" t="s">
        <v>127</v>
      </c>
      <c r="B6" s="48" t="s">
        <v>165</v>
      </c>
      <c r="C6" s="29">
        <v>-2669.53</v>
      </c>
    </row>
    <row r="7" spans="1:3" x14ac:dyDescent="0.3">
      <c r="A7" s="52" t="s">
        <v>166</v>
      </c>
      <c r="B7" s="52" t="s">
        <v>167</v>
      </c>
      <c r="C7" s="41">
        <v>9733</v>
      </c>
    </row>
    <row r="8" spans="1:3" x14ac:dyDescent="0.3">
      <c r="A8" s="53" t="s">
        <v>0</v>
      </c>
      <c r="B8" s="53"/>
      <c r="C8" s="54">
        <f>SUBTOTAL(109,Tabla3[Imp. aplic.])</f>
        <v>37914.620000000003</v>
      </c>
    </row>
  </sheetData>
  <pageMargins left="0.7" right="0.7" top="0.75" bottom="0.75" header="0.3" footer="0.3"/>
  <pageSetup paperSize="9" orientation="portrait" horizontalDpi="0" verticalDpi="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7960-A860-412B-A631-2F0159FD02BE}">
  <dimension ref="A1:C11"/>
  <sheetViews>
    <sheetView workbookViewId="0">
      <selection activeCell="C18" sqref="C18"/>
    </sheetView>
  </sheetViews>
  <sheetFormatPr baseColWidth="10" defaultRowHeight="14.4" x14ac:dyDescent="0.3"/>
  <cols>
    <col min="1" max="1" width="16.5546875" customWidth="1"/>
    <col min="2" max="2" width="55.77734375" customWidth="1"/>
    <col min="3" max="3" width="17.6640625" customWidth="1"/>
  </cols>
  <sheetData>
    <row r="1" spans="1:3" x14ac:dyDescent="0.3">
      <c r="A1" s="59" t="s">
        <v>158</v>
      </c>
      <c r="B1" s="60" t="s">
        <v>94</v>
      </c>
      <c r="C1" s="60" t="s">
        <v>159</v>
      </c>
    </row>
    <row r="2" spans="1:3" x14ac:dyDescent="0.3">
      <c r="A2" s="61" t="s">
        <v>97</v>
      </c>
      <c r="B2" s="62" t="s">
        <v>241</v>
      </c>
      <c r="C2" s="63">
        <v>-34.07</v>
      </c>
    </row>
    <row r="3" spans="1:3" x14ac:dyDescent="0.3">
      <c r="A3" s="64" t="s">
        <v>97</v>
      </c>
      <c r="B3" s="65" t="s">
        <v>242</v>
      </c>
      <c r="C3" s="66">
        <v>-591.14</v>
      </c>
    </row>
    <row r="4" spans="1:3" x14ac:dyDescent="0.3">
      <c r="A4" s="61" t="s">
        <v>127</v>
      </c>
      <c r="B4" s="62" t="s">
        <v>243</v>
      </c>
      <c r="C4" s="63">
        <v>-159.69</v>
      </c>
    </row>
    <row r="5" spans="1:3" x14ac:dyDescent="0.3">
      <c r="A5" s="64" t="s">
        <v>166</v>
      </c>
      <c r="B5" s="65" t="s">
        <v>167</v>
      </c>
      <c r="C5" s="66">
        <v>27600</v>
      </c>
    </row>
    <row r="6" spans="1:3" x14ac:dyDescent="0.3">
      <c r="A6" s="61" t="s">
        <v>166</v>
      </c>
      <c r="B6" s="62" t="s">
        <v>244</v>
      </c>
      <c r="C6" s="63">
        <v>-1099.0999999999999</v>
      </c>
    </row>
    <row r="7" spans="1:3" ht="15" thickBot="1" x14ac:dyDescent="0.35">
      <c r="A7" s="64" t="s">
        <v>245</v>
      </c>
      <c r="B7" s="65" t="s">
        <v>246</v>
      </c>
      <c r="C7" s="66">
        <v>13800</v>
      </c>
    </row>
    <row r="8" spans="1:3" ht="15" thickTop="1" x14ac:dyDescent="0.3">
      <c r="A8" s="67" t="s">
        <v>0</v>
      </c>
      <c r="B8" s="68"/>
      <c r="C8" s="69">
        <v>39516</v>
      </c>
    </row>
    <row r="11" spans="1:3" x14ac:dyDescent="0.3">
      <c r="B11" s="55" t="s">
        <v>247</v>
      </c>
      <c r="C11" s="56">
        <f>C8+Tabla2[[#Totals],[Imp.cob.aplic.]]+Tabla3[[#Totals],[Imp. aplic.]]</f>
        <v>98173.53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F20DA-F693-4CDC-A908-A89B8C0381B6}">
  <dimension ref="A1"/>
  <sheetViews>
    <sheetView workbookViewId="0">
      <selection activeCell="A2" sqref="A2"/>
    </sheetView>
  </sheetViews>
  <sheetFormatPr baseColWidth="10" defaultRowHeight="14.4" x14ac:dyDescent="0.3"/>
  <sheetData>
    <row r="1" spans="1:1" x14ac:dyDescent="0.3">
      <c r="A1" t="s">
        <v>168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48613-833C-4D3A-B3C8-3BA7E7CA6705}">
  <dimension ref="A1:C19"/>
  <sheetViews>
    <sheetView workbookViewId="0">
      <selection activeCell="B22" sqref="B22:C22"/>
    </sheetView>
  </sheetViews>
  <sheetFormatPr baseColWidth="10" defaultRowHeight="14.4" x14ac:dyDescent="0.3"/>
  <cols>
    <col min="1" max="1" width="19.44140625" customWidth="1"/>
    <col min="2" max="2" width="73.109375" customWidth="1"/>
    <col min="3" max="3" width="13.109375" customWidth="1"/>
  </cols>
  <sheetData>
    <row r="1" spans="1:3" x14ac:dyDescent="0.3">
      <c r="A1" s="50" t="s">
        <v>158</v>
      </c>
      <c r="B1" s="50" t="s">
        <v>94</v>
      </c>
      <c r="C1" s="51" t="s">
        <v>159</v>
      </c>
    </row>
    <row r="2" spans="1:3" x14ac:dyDescent="0.3">
      <c r="A2" s="48" t="s">
        <v>169</v>
      </c>
      <c r="B2" s="48" t="s">
        <v>170</v>
      </c>
      <c r="C2" s="29">
        <v>630.70000000000005</v>
      </c>
    </row>
    <row r="3" spans="1:3" x14ac:dyDescent="0.3">
      <c r="A3" s="49" t="s">
        <v>171</v>
      </c>
      <c r="B3" s="49" t="s">
        <v>172</v>
      </c>
      <c r="C3" s="30">
        <v>873.97</v>
      </c>
    </row>
    <row r="4" spans="1:3" x14ac:dyDescent="0.3">
      <c r="A4" s="48" t="s">
        <v>173</v>
      </c>
      <c r="B4" s="48" t="s">
        <v>174</v>
      </c>
      <c r="C4" s="29">
        <v>261.29000000000002</v>
      </c>
    </row>
    <row r="5" spans="1:3" x14ac:dyDescent="0.3">
      <c r="A5" s="49" t="s">
        <v>175</v>
      </c>
      <c r="B5" s="49" t="s">
        <v>176</v>
      </c>
      <c r="C5" s="30">
        <v>684.76</v>
      </c>
    </row>
    <row r="6" spans="1:3" x14ac:dyDescent="0.3">
      <c r="A6" s="48" t="s">
        <v>177</v>
      </c>
      <c r="B6" s="48" t="s">
        <v>178</v>
      </c>
      <c r="C6" s="29">
        <v>324.36</v>
      </c>
    </row>
    <row r="7" spans="1:3" x14ac:dyDescent="0.3">
      <c r="A7" s="49" t="s">
        <v>179</v>
      </c>
      <c r="B7" s="49" t="s">
        <v>180</v>
      </c>
      <c r="C7" s="30">
        <v>270.3</v>
      </c>
    </row>
    <row r="8" spans="1:3" x14ac:dyDescent="0.3">
      <c r="A8" s="49" t="s">
        <v>181</v>
      </c>
      <c r="B8" s="49" t="s">
        <v>182</v>
      </c>
      <c r="C8" s="30">
        <v>297.33</v>
      </c>
    </row>
    <row r="9" spans="1:3" x14ac:dyDescent="0.3">
      <c r="A9" s="49" t="s">
        <v>183</v>
      </c>
      <c r="B9" s="49" t="s">
        <v>184</v>
      </c>
      <c r="C9" s="30">
        <v>54.06</v>
      </c>
    </row>
    <row r="10" spans="1:3" x14ac:dyDescent="0.3">
      <c r="A10" s="49" t="s">
        <v>185</v>
      </c>
      <c r="B10" s="49" t="s">
        <v>186</v>
      </c>
      <c r="C10" s="30">
        <v>171.19</v>
      </c>
    </row>
    <row r="11" spans="1:3" x14ac:dyDescent="0.3">
      <c r="A11" s="49" t="s">
        <v>187</v>
      </c>
      <c r="B11" s="49" t="s">
        <v>176</v>
      </c>
      <c r="C11" s="30">
        <v>216.24</v>
      </c>
    </row>
    <row r="12" spans="1:3" x14ac:dyDescent="0.3">
      <c r="A12" s="49" t="s">
        <v>188</v>
      </c>
      <c r="B12" s="49" t="s">
        <v>189</v>
      </c>
      <c r="C12" s="30">
        <v>94.6</v>
      </c>
    </row>
    <row r="13" spans="1:3" x14ac:dyDescent="0.3">
      <c r="A13" s="49" t="s">
        <v>190</v>
      </c>
      <c r="B13" s="49" t="s">
        <v>191</v>
      </c>
      <c r="C13" s="30">
        <v>162.18</v>
      </c>
    </row>
    <row r="14" spans="1:3" x14ac:dyDescent="0.3">
      <c r="A14" s="49" t="s">
        <v>192</v>
      </c>
      <c r="B14" s="49" t="s">
        <v>193</v>
      </c>
      <c r="C14" s="30">
        <v>81.09</v>
      </c>
    </row>
    <row r="15" spans="1:3" x14ac:dyDescent="0.3">
      <c r="A15" s="49" t="s">
        <v>194</v>
      </c>
      <c r="B15" s="49" t="s">
        <v>195</v>
      </c>
      <c r="C15" s="30">
        <v>252.28</v>
      </c>
    </row>
    <row r="16" spans="1:3" x14ac:dyDescent="0.3">
      <c r="A16" s="49" t="s">
        <v>196</v>
      </c>
      <c r="B16" s="49" t="s">
        <v>197</v>
      </c>
      <c r="C16" s="30">
        <v>54.06</v>
      </c>
    </row>
    <row r="17" spans="1:3" x14ac:dyDescent="0.3">
      <c r="A17" s="49" t="s">
        <v>198</v>
      </c>
      <c r="B17" s="49" t="s">
        <v>199</v>
      </c>
      <c r="C17" s="30">
        <v>108.12</v>
      </c>
    </row>
    <row r="18" spans="1:3" x14ac:dyDescent="0.3">
      <c r="A18" s="53" t="s">
        <v>0</v>
      </c>
      <c r="B18" s="53"/>
      <c r="C18" s="57">
        <f>SUBTOTAL(109,Tabla35[Imp. aplic.])</f>
        <v>4536.5300000000007</v>
      </c>
    </row>
    <row r="19" spans="1:3" x14ac:dyDescent="0.3">
      <c r="C19" s="58"/>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FED86-9BA4-4699-9F8C-D0CA42D6BEF5}">
  <dimension ref="A1:C36"/>
  <sheetViews>
    <sheetView tabSelected="1" topLeftCell="A19" workbookViewId="0">
      <selection activeCell="C37" sqref="C37"/>
    </sheetView>
  </sheetViews>
  <sheetFormatPr baseColWidth="10" defaultRowHeight="14.4" x14ac:dyDescent="0.3"/>
  <cols>
    <col min="1" max="1" width="16" customWidth="1"/>
    <col min="2" max="2" width="60.109375" customWidth="1"/>
    <col min="3" max="3" width="21.44140625" customWidth="1"/>
  </cols>
  <sheetData>
    <row r="1" spans="1:3" x14ac:dyDescent="0.3">
      <c r="A1" s="70" t="s">
        <v>158</v>
      </c>
      <c r="B1" s="71" t="s">
        <v>94</v>
      </c>
      <c r="C1" s="72" t="s">
        <v>159</v>
      </c>
    </row>
    <row r="2" spans="1:3" x14ac:dyDescent="0.3">
      <c r="A2" s="73" t="s">
        <v>248</v>
      </c>
      <c r="B2" s="74" t="s">
        <v>249</v>
      </c>
      <c r="C2" s="75">
        <v>387.43</v>
      </c>
    </row>
    <row r="3" spans="1:3" x14ac:dyDescent="0.3">
      <c r="A3" s="76" t="s">
        <v>188</v>
      </c>
      <c r="B3" s="77" t="s">
        <v>250</v>
      </c>
      <c r="C3" s="78">
        <v>13.51</v>
      </c>
    </row>
    <row r="4" spans="1:3" x14ac:dyDescent="0.3">
      <c r="A4" s="73" t="s">
        <v>251</v>
      </c>
      <c r="B4" s="74" t="s">
        <v>252</v>
      </c>
      <c r="C4" s="75">
        <v>1153.28</v>
      </c>
    </row>
    <row r="5" spans="1:3" x14ac:dyDescent="0.3">
      <c r="A5" s="76" t="s">
        <v>190</v>
      </c>
      <c r="B5" s="77" t="s">
        <v>253</v>
      </c>
      <c r="C5" s="78">
        <v>135.15</v>
      </c>
    </row>
    <row r="6" spans="1:3" x14ac:dyDescent="0.3">
      <c r="A6" s="73" t="s">
        <v>190</v>
      </c>
      <c r="B6" s="74" t="s">
        <v>254</v>
      </c>
      <c r="C6" s="75">
        <v>81.09</v>
      </c>
    </row>
    <row r="7" spans="1:3" x14ac:dyDescent="0.3">
      <c r="A7" s="76" t="s">
        <v>190</v>
      </c>
      <c r="B7" s="77" t="s">
        <v>255</v>
      </c>
      <c r="C7" s="78">
        <v>90.1</v>
      </c>
    </row>
    <row r="8" spans="1:3" x14ac:dyDescent="0.3">
      <c r="A8" s="73" t="s">
        <v>256</v>
      </c>
      <c r="B8" s="74" t="s">
        <v>257</v>
      </c>
      <c r="C8" s="75">
        <v>369.41</v>
      </c>
    </row>
    <row r="9" spans="1:3" x14ac:dyDescent="0.3">
      <c r="A9" s="76" t="s">
        <v>192</v>
      </c>
      <c r="B9" s="77" t="s">
        <v>258</v>
      </c>
      <c r="C9" s="78">
        <v>117.13</v>
      </c>
    </row>
    <row r="10" spans="1:3" x14ac:dyDescent="0.3">
      <c r="A10" s="73" t="s">
        <v>259</v>
      </c>
      <c r="B10" s="74" t="s">
        <v>260</v>
      </c>
      <c r="C10" s="75">
        <v>2125</v>
      </c>
    </row>
    <row r="11" spans="1:3" x14ac:dyDescent="0.3">
      <c r="A11" s="76" t="s">
        <v>259</v>
      </c>
      <c r="B11" s="77" t="s">
        <v>261</v>
      </c>
      <c r="C11" s="78">
        <v>428.4</v>
      </c>
    </row>
    <row r="12" spans="1:3" x14ac:dyDescent="0.3">
      <c r="A12" s="73" t="s">
        <v>259</v>
      </c>
      <c r="B12" s="74" t="s">
        <v>262</v>
      </c>
      <c r="C12" s="75">
        <v>428.4</v>
      </c>
    </row>
    <row r="13" spans="1:3" x14ac:dyDescent="0.3">
      <c r="A13" s="76" t="s">
        <v>263</v>
      </c>
      <c r="B13" s="77" t="s">
        <v>264</v>
      </c>
      <c r="C13" s="78">
        <v>711.79</v>
      </c>
    </row>
    <row r="14" spans="1:3" x14ac:dyDescent="0.3">
      <c r="A14" s="73" t="s">
        <v>194</v>
      </c>
      <c r="B14" s="74" t="s">
        <v>265</v>
      </c>
      <c r="C14" s="75">
        <v>27.03</v>
      </c>
    </row>
    <row r="15" spans="1:3" x14ac:dyDescent="0.3">
      <c r="A15" s="76" t="s">
        <v>194</v>
      </c>
      <c r="B15" s="77" t="s">
        <v>266</v>
      </c>
      <c r="C15" s="78">
        <v>117.13</v>
      </c>
    </row>
    <row r="16" spans="1:3" x14ac:dyDescent="0.3">
      <c r="A16" s="73" t="s">
        <v>267</v>
      </c>
      <c r="B16" s="74" t="s">
        <v>268</v>
      </c>
      <c r="C16" s="75">
        <v>333.37</v>
      </c>
    </row>
    <row r="17" spans="1:3" x14ac:dyDescent="0.3">
      <c r="A17" s="76" t="s">
        <v>196</v>
      </c>
      <c r="B17" s="77" t="s">
        <v>269</v>
      </c>
      <c r="C17" s="78">
        <v>90.1</v>
      </c>
    </row>
    <row r="18" spans="1:3" x14ac:dyDescent="0.3">
      <c r="A18" s="73" t="s">
        <v>270</v>
      </c>
      <c r="B18" s="74" t="s">
        <v>271</v>
      </c>
      <c r="C18" s="75">
        <v>585.65</v>
      </c>
    </row>
    <row r="19" spans="1:3" x14ac:dyDescent="0.3">
      <c r="A19" s="76" t="s">
        <v>198</v>
      </c>
      <c r="B19" s="77" t="s">
        <v>272</v>
      </c>
      <c r="C19" s="78">
        <v>27.03</v>
      </c>
    </row>
    <row r="20" spans="1:3" x14ac:dyDescent="0.3">
      <c r="A20" s="73" t="s">
        <v>273</v>
      </c>
      <c r="B20" s="74" t="s">
        <v>274</v>
      </c>
      <c r="C20" s="75">
        <v>612</v>
      </c>
    </row>
    <row r="21" spans="1:3" x14ac:dyDescent="0.3">
      <c r="A21" s="76" t="s">
        <v>273</v>
      </c>
      <c r="B21" s="77" t="s">
        <v>275</v>
      </c>
      <c r="C21" s="78">
        <v>1083.75</v>
      </c>
    </row>
    <row r="22" spans="1:3" x14ac:dyDescent="0.3">
      <c r="A22" s="73" t="s">
        <v>276</v>
      </c>
      <c r="B22" s="74" t="s">
        <v>277</v>
      </c>
      <c r="C22" s="75">
        <v>636</v>
      </c>
    </row>
    <row r="23" spans="1:3" x14ac:dyDescent="0.3">
      <c r="A23" s="76" t="s">
        <v>276</v>
      </c>
      <c r="B23" s="77" t="s">
        <v>278</v>
      </c>
      <c r="C23" s="78">
        <v>616.17999999999995</v>
      </c>
    </row>
    <row r="24" spans="1:3" x14ac:dyDescent="0.3">
      <c r="A24" s="73" t="s">
        <v>276</v>
      </c>
      <c r="B24" s="74" t="s">
        <v>279</v>
      </c>
      <c r="C24" s="75">
        <v>190.8</v>
      </c>
    </row>
    <row r="25" spans="1:3" x14ac:dyDescent="0.3">
      <c r="A25" s="76" t="s">
        <v>276</v>
      </c>
      <c r="B25" s="77" t="s">
        <v>280</v>
      </c>
      <c r="C25" s="78">
        <v>45.05</v>
      </c>
    </row>
    <row r="26" spans="1:3" x14ac:dyDescent="0.3">
      <c r="A26" s="73" t="s">
        <v>276</v>
      </c>
      <c r="B26" s="74" t="s">
        <v>281</v>
      </c>
      <c r="C26" s="75">
        <v>85.49</v>
      </c>
    </row>
    <row r="27" spans="1:3" x14ac:dyDescent="0.3">
      <c r="A27" s="76" t="s">
        <v>276</v>
      </c>
      <c r="B27" s="77" t="s">
        <v>282</v>
      </c>
      <c r="C27" s="78">
        <v>443.82</v>
      </c>
    </row>
    <row r="28" spans="1:3" x14ac:dyDescent="0.3">
      <c r="A28" s="73" t="s">
        <v>276</v>
      </c>
      <c r="B28" s="74" t="s">
        <v>282</v>
      </c>
      <c r="C28" s="75">
        <v>-443.82</v>
      </c>
    </row>
    <row r="29" spans="1:3" x14ac:dyDescent="0.3">
      <c r="A29" s="76" t="s">
        <v>276</v>
      </c>
      <c r="B29" s="77" t="s">
        <v>283</v>
      </c>
      <c r="C29" s="78">
        <v>845.75</v>
      </c>
    </row>
    <row r="30" spans="1:3" x14ac:dyDescent="0.3">
      <c r="A30" s="73" t="s">
        <v>284</v>
      </c>
      <c r="B30" s="74" t="s">
        <v>285</v>
      </c>
      <c r="C30" s="75">
        <v>180.2</v>
      </c>
    </row>
    <row r="31" spans="1:3" ht="15" thickBot="1" x14ac:dyDescent="0.35">
      <c r="A31" s="76" t="s">
        <v>286</v>
      </c>
      <c r="B31" s="77" t="s">
        <v>287</v>
      </c>
      <c r="C31" s="78">
        <v>135.15</v>
      </c>
    </row>
    <row r="32" spans="1:3" ht="15" thickTop="1" x14ac:dyDescent="0.3">
      <c r="A32" s="79" t="s">
        <v>0</v>
      </c>
      <c r="B32" s="80"/>
      <c r="C32" s="81">
        <v>11651.369999999999</v>
      </c>
    </row>
    <row r="36" spans="2:3" x14ac:dyDescent="0.3">
      <c r="B36" s="55" t="s">
        <v>288</v>
      </c>
      <c r="C36" s="56">
        <f>Tabla35[[#Totals],[Imp. aplic.]]+C32</f>
        <v>16187.9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2</vt:i4>
      </vt:variant>
    </vt:vector>
  </HeadingPairs>
  <TitlesOfParts>
    <vt:vector size="10" baseType="lpstr">
      <vt:lpstr>Tesis</vt:lpstr>
      <vt:lpstr>Sexenios</vt:lpstr>
      <vt:lpstr>Ingresos investigación 2023</vt:lpstr>
      <vt:lpstr>Ingresos investigación 2024</vt:lpstr>
      <vt:lpstr>Ingresos investigación 2025</vt:lpstr>
      <vt:lpstr>Ingresos de formación 2023</vt:lpstr>
      <vt:lpstr>Ingresos de formación 2024</vt:lpstr>
      <vt:lpstr>Ingresos formación 2025</vt:lpstr>
      <vt:lpstr>Sexenios!Títulos_a_imprimir</vt:lpstr>
      <vt:lpstr>Tesis!Títulos_a_imprimir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21387280V</dc:creator>
  <cp:lastModifiedBy>MARIA TERESA PUJALTE DEVIS</cp:lastModifiedBy>
  <dcterms:created xsi:type="dcterms:W3CDTF">2019-07-03T07:15:54Z</dcterms:created>
  <dcterms:modified xsi:type="dcterms:W3CDTF">2026-05-26T11:33:42Z</dcterms:modified>
</cp:coreProperties>
</file>