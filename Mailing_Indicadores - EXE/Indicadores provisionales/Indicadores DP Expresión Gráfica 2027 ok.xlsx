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https://nexe.ua.es/remote.php/dav/files/mayte.pujalte@ua.es/_Unidad_Presupuestos/2_PRESUPUESTACIÓN/Presupuesto 2027/Datos/D-I/Indicadores provisionales/"/>
    </mc:Choice>
  </mc:AlternateContent>
  <xr:revisionPtr revIDLastSave="0" documentId="13_ncr:1_{6297DA14-74D5-4B2F-A6FB-1928D81493F2}" xr6:coauthVersionLast="47" xr6:coauthVersionMax="47" xr10:uidLastSave="{00000000-0000-0000-0000-000000000000}"/>
  <bookViews>
    <workbookView xWindow="-108" yWindow="-108" windowWidth="23256" windowHeight="13896" tabRatio="807" firstSheet="3" activeTab="7" xr2:uid="{00000000-000D-0000-FFFF-FFFF00000000}"/>
  </bookViews>
  <sheets>
    <sheet name="Tesis" sheetId="10" r:id="rId1"/>
    <sheet name="Sexenios" sheetId="11" r:id="rId2"/>
    <sheet name="Ingresos investigación 2023" sheetId="22" r:id="rId3"/>
    <sheet name="Ingresos investigación 2024" sheetId="24" r:id="rId4"/>
    <sheet name="Ingresos investigación 2025" sheetId="26" r:id="rId5"/>
    <sheet name="Ingresos formación 2023" sheetId="23" r:id="rId6"/>
    <sheet name="Ingresos formación 2024" sheetId="25" r:id="rId7"/>
    <sheet name="Ingresos formación 2025" sheetId="27" r:id="rId8"/>
  </sheets>
  <definedNames>
    <definedName name="_xlnm._FilterDatabase" localSheetId="1" hidden="1">Sexenios!#REF!</definedName>
    <definedName name="_xlnm._FilterDatabase" localSheetId="0" hidden="1">Tesis!$A$1:$U$8</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6" i="27" l="1"/>
  <c r="C31" i="26"/>
  <c r="C5" i="25"/>
  <c r="C43" i="24"/>
  <c r="C44" i="22"/>
  <c r="S26" i="11" l="1"/>
  <c r="S11" i="10"/>
</calcChain>
</file>

<file path=xl/sharedStrings.xml><?xml version="1.0" encoding="utf-8"?>
<sst xmlns="http://schemas.openxmlformats.org/spreadsheetml/2006/main" count="571" uniqueCount="327">
  <si>
    <t>Total</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</si>
  <si>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</si>
  <si>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</si>
  <si>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</si>
  <si>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</si>
  <si>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</si>
  <si>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</si>
  <si>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</si>
  <si>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</si>
  <si>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</si>
  <si>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</si>
  <si>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</si>
  <si>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</si>
  <si>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</si>
  <si>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</si>
  <si>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</si>
  <si>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</si>
  <si>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</si>
  <si>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</si>
  <si>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</si>
  <si>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</si>
  <si>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</si>
  <si>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</si>
  <si>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
  </si>
  <si>
    <t>10</t>
  </si>
  <si>
    <t>10.05</t>
  </si>
  <si>
    <t>U020 </t>
  </si>
  <si>
    <t>ADM. I.U. DEL AGUA Y DE LAS CIENCIAS AMBIENTALES </t>
  </si>
  <si>
    <t>DOCTORADO EN AGUA Y DESARROLLO SOSTENIBLE </t>
  </si>
  <si>
    <t>10.15</t>
  </si>
  <si>
    <t>10.23</t>
  </si>
  <si>
    <t>B185 </t>
  </si>
  <si>
    <t>INGENIERÍA CIVIL </t>
  </si>
  <si>
    <t>DOCTORADO EN INGENIERÍA DE MATERIALES, ESTRUCTURAS Y TERRENO: CONSTR. SOST. </t>
  </si>
  <si>
    <t>B187</t>
  </si>
  <si>
    <t>51389222T </t>
  </si>
  <si>
    <t>21459581Y </t>
  </si>
  <si>
    <t>48316901L </t>
  </si>
  <si>
    <t>B187 </t>
  </si>
  <si>
    <t>EXPRESION GRAFICA, COMPOSICIÓN Y PROYECTOS </t>
  </si>
  <si>
    <t>NIF</t>
  </si>
  <si>
    <t>NOMBRE_COMPLETO</t>
  </si>
  <si>
    <t>TIPO_SEXENIO</t>
  </si>
  <si>
    <t>Total general</t>
  </si>
  <si>
    <t>INS
1</t>
  </si>
  <si>
    <t>DED
INS 1</t>
  </si>
  <si>
    <t>INS
2</t>
  </si>
  <si>
    <t>DED
INS 2</t>
  </si>
  <si>
    <t>DED
DEP</t>
  </si>
  <si>
    <t>SEX
INS 1</t>
  </si>
  <si>
    <t>SEX
INS 2</t>
  </si>
  <si>
    <t>SEX
DEP</t>
  </si>
  <si>
    <t>FUNCIONARIO</t>
  </si>
  <si>
    <t>43038413P</t>
  </si>
  <si>
    <t>21626358X</t>
  </si>
  <si>
    <t>13300077M</t>
  </si>
  <si>
    <t>09306886M</t>
  </si>
  <si>
    <t>21432168D</t>
  </si>
  <si>
    <t>21486126D</t>
  </si>
  <si>
    <t>48316901L</t>
  </si>
  <si>
    <t>21969160C</t>
  </si>
  <si>
    <t>27459509Q</t>
  </si>
  <si>
    <t>NO FUNCIONARIO</t>
  </si>
  <si>
    <t>COD DEP</t>
  </si>
  <si>
    <t>34819244G</t>
  </si>
  <si>
    <t>48347387F</t>
  </si>
  <si>
    <t>34.50.2T.00.06</t>
  </si>
  <si>
    <t>34.50.2T.00.07</t>
  </si>
  <si>
    <t>Cerezuela Motos, Antonio </t>
  </si>
  <si>
    <t>Correlatos entre sostenibilidad, estándares de vida y arquitectura </t>
  </si>
  <si>
    <t>20/09/2021 </t>
  </si>
  <si>
    <t>Dazzini Langdon, Mónica Mabel </t>
  </si>
  <si>
    <t>PAISAJES IN-HABITADOS: LA MEMORIA DEL RÍO </t>
  </si>
  <si>
    <t>21/06/2021 </t>
  </si>
  <si>
    <t>Cód. org. aplic.</t>
  </si>
  <si>
    <t>Descripción justificante</t>
  </si>
  <si>
    <t>Gisbert Alemany, Ester </t>
  </si>
  <si>
    <t>To do a landscape variations on the Costa Blanca </t>
  </si>
  <si>
    <t>18/07/2022 </t>
  </si>
  <si>
    <t>Aldeguer Esquerdo, Alejandro </t>
  </si>
  <si>
    <t>Tratamientos combinados mediante carbón activado y ozono para reducir la presencia de atrazina, simazina, carbamazepina y diclofenaco en medio acuoso. </t>
  </si>
  <si>
    <t>27/05/2022 </t>
  </si>
  <si>
    <t>21496767R</t>
  </si>
  <si>
    <t>22962676M</t>
  </si>
  <si>
    <t>37333473B</t>
  </si>
  <si>
    <t>44765297Y</t>
  </si>
  <si>
    <t>Imp.cob.aplic.</t>
  </si>
  <si>
    <t>34.50.6C.01.27</t>
  </si>
  <si>
    <t>34.50.6X.00.02</t>
  </si>
  <si>
    <t>Díaz García, Asunción </t>
  </si>
  <si>
    <t>L CONCURSO DE ARQUITECTURA COMO IMAGINARIO SISTÉMICO: Un fragmento de la cultura arquitectónica española (1950-200X) </t>
  </si>
  <si>
    <t>18/11/2022 </t>
  </si>
  <si>
    <t>34819244G </t>
  </si>
  <si>
    <t>21486126D </t>
  </si>
  <si>
    <t>Frances Tortosa, Veronica Irene </t>
  </si>
  <si>
    <t>Trenza porteña. Práctica, archivo y figuración de habitares insurrectos a través de pócimas y ecologías arquitectónicas recientes de Valparaíso y Sudamérica. </t>
  </si>
  <si>
    <t>05/09/2023 </t>
  </si>
  <si>
    <t>10.24</t>
  </si>
  <si>
    <t>21475818M</t>
  </si>
  <si>
    <t>52653755Q</t>
  </si>
  <si>
    <t>EVALUACIÓN DEL PROYECTO 928.628 - DE LA EMPRESA FUNDACIÓN AZTI-AZTI FUNDAZIOA, TITULADO "BONIFICACIONES A LA S.S. POR PERSONAL INVESTIGADOR2022",</t>
  </si>
  <si>
    <t>EVALUACIÓN DEL PROYECTO 928.544 - DE LA EMPRESA IGNASI CLOTET SL, TITULADO "BONIFICACIONES A LA S.S. POR PERSONAL INVESTIGADOR2022"</t>
  </si>
  <si>
    <t>Experto 4D/Comité 939.391, 943.390, 939.726, 939.992, 943.381, 943.442, 943.006, 943.005, 939.746, 943.210, 943.296, 943.166, 943.277, 943.117, 943.061, 939.809, 939.755, 939.129, 938.618, 938.601, 939.847, 943.170, 938.620, 938.602, 939.754, 939.259, 939.097, 939.973, 939.755, 938.548, 938.676, 939.749, 939.301, 939.775, 939.322, 939.733, 939.259, 934.692, 939.129, 938.593</t>
  </si>
  <si>
    <t>EVALUACIÓN DE 57 PROYECTOS COMO EXPERTA 4D PREFERENTE</t>
  </si>
  <si>
    <t>REALIZACIÓN POR PARTE DE LA EXPERTA INVESTIGADORA DE LA EVALUACIÓN DEL PROYECTO 928.799  TITULADO "BONIFICACIONES A LA S.S. POR PERSONAL INVESTIGADOR-2022/2023"</t>
  </si>
  <si>
    <t xml:space="preserve">EVALUACIÓN DE LA EXPERTA 4D/COMITÉ DE 32 PROYECTOS 4D PREFERENTE: 943.277, 945.334, 944.568, 944.568, 943.390, 944.438, 944.257, 943.442, 943.170, 939.973, 939.962, 943.961, 944.097, 939.746, 938.689, 943.381, 934.881, 943.117, 943.006, 943.005, 943.061, 939.775, 939.733, 939.748, 939.322, 943.042, 943.166, 943.210, 939.801, 939.989, 939.809, 943.041 </t>
  </si>
  <si>
    <t>Evaluación del proyecto 928.747 - de la empresa ASOCIACIÓN CENTRO TECNOLÓGICO CEIT, titulado "Bonificaciones a la S.S. por personal investigador-2022"</t>
  </si>
  <si>
    <t xml:space="preserve">REALIZACIÓN POR PARTE DE LA EXPERTA INVESTIGADORA DE LA EVALUACIÓN DEL PROYECTO 928.753 TITULADO "BONIFICACIONES A LA S.S. POR PERSONAL INVESTIGADOR-2022"   </t>
  </si>
  <si>
    <t>EVALUACIÓN DE 27 PROYECTOS COMO EXPERTA 4D PREFERENTE: 924.473, 935.975, 937.073, 938.503, 938.507, 938.505, 938.593, 937.313, 936.624, 937.626, 937.648, 938.469, 937.653, 937.312, 935.259, 938.398, 938.396, 937.945, 938.164, 938.111, 937.898, 938.403, 938.402, 938.505, 938.503, 938.368, 937.694</t>
  </si>
  <si>
    <t>REALIZACIÓN POR PARTE DE LA EXPERTA INVESTIGADORA DE LA EVALUACIÓN DEL PROYECTO 928.676 - DE LA EMPRESA ACONDICIONAMIENTO TARRASENSE (LEITAT), TITULADO "BONIFICACIONES A LA S.S. POR PERSONAL INVESTIGADOR2022"</t>
  </si>
  <si>
    <t>Realización por parte de la experta investigadora de la evaluación del proyecto 928.115</t>
  </si>
  <si>
    <t>34.50.6C.01.38</t>
  </si>
  <si>
    <t>REDACCIÓN DE PROYECTO TÉCNICO, DIRECCIÓN Y COORDINACIÓN DE SEGURIDAD EN FASE DE EJECUCIÓN DE LAS OBRA DENOMINADA "REPARACIÓN DE LOS CAMINOS DE LOS BUENOS Y DE LO BENFERREJO"</t>
  </si>
  <si>
    <t>34.50.6C.01.41</t>
  </si>
  <si>
    <t>Finalización 2ª fase Proyecto básico de ejecución y dirección de las obras de ordenación de la Plaza San Juan de la Cruz (Referencia de contrato 2202200019764)</t>
  </si>
  <si>
    <t>Finalización primera fase proyecto básico de ejecución y dirección de obras de ordenación de la Plaza San Juan de la Cruz</t>
  </si>
  <si>
    <t>Finalización 2ª fase Proyecto básico de ejecución y dirección de las obras de ordenación de la Plaza San Juan de la Cruz. Número de expediente 604888Y</t>
  </si>
  <si>
    <t>34.50.6C.01.43</t>
  </si>
  <si>
    <t>DESARROLLO Y PRODUCCIÓN POR FABRICACIÓN ADITIVA (O IMPRESIÓN 3D) DE UN BIOMODELO DE CONDROSARCOMA FABRICADO EN RESINA FLEXIBLE Y RÍGIDA</t>
  </si>
  <si>
    <t>34.50.6C.01.44</t>
  </si>
  <si>
    <t>Redacción de los tres proyectos básico y de ejecución conforme Plan+Cerca 2022</t>
  </si>
  <si>
    <t>34.50.6C.01.46</t>
  </si>
  <si>
    <t>EVALUACIÓN TÉCNICA DEL PROYECTO "NUEVO SISTEMA DE DESIONIZACIÓN AVANZADA PARA EL TRATAMIENTO DE AGUAS RESIDUALES (PRJN-451415-RESIN21JUM) DE DNV GL"</t>
  </si>
  <si>
    <t>34.50.6C.01.47</t>
  </si>
  <si>
    <t>Remodelación del simulador arterial con tramos intercambiables</t>
  </si>
  <si>
    <t>34.50.6C.01.48</t>
  </si>
  <si>
    <t>REDACCIÓN DEL PROYECTO BÁSICO Y DE EJECUCIÓN DE LA OBRA DENOMINADA: MEJORA DE LOS VESTUARIOS DEL CAMPO DE FÚTBOL</t>
  </si>
  <si>
    <t>34.50.6C.01.49</t>
  </si>
  <si>
    <t>Reparación de soportes para una bandeja endoscopia mediante fabricación aditiva</t>
  </si>
  <si>
    <t>34.50.6C.01.50</t>
  </si>
  <si>
    <t>ALUMINIUM EXTRUSION DIES DESIGN. "ANALYSIS AND DESIGNS RELATED TO FEBRUARY TO SEPTEMBER 2023"</t>
  </si>
  <si>
    <t>34.50.6C.01.52</t>
  </si>
  <si>
    <t>REALIZACIÓN DEL INFORME DE TASACIÓN DE LAS PARCELAS DENOMINADAS 1, 2 Y 3 QUE FORMAN PARTE DEL EXPEDIENTE DE EXPROPIACIÓN MUNICIPAL - Nº AUTORIZACIÓN ENCARGO 7837</t>
  </si>
  <si>
    <t>34.50.6C.01.53</t>
  </si>
  <si>
    <t>Consultancy in the design of aluminium extrusion dies and the simulation by finite elements method of simulation process from February 2022 to December 2022</t>
  </si>
  <si>
    <t>34.50.6C.01.54</t>
  </si>
  <si>
    <t xml:space="preserve">REDACCIÓN DEL PROYECTO BÁSICO Y DE EJECUCIÓN DE LA OBRA DENOMINADA: REMODELACIÓN FUNCIONAL Y MEJORA DE ACCESIBILIDAD DEL EDIFICIO DE SERVICIOS Y SU ENTORNO  </t>
  </si>
  <si>
    <t>34.50.6C.01.55</t>
  </si>
  <si>
    <t>Consultancy in the design of aluminuim extrusion dies</t>
  </si>
  <si>
    <t>34.50.6C.01.56</t>
  </si>
  <si>
    <t>DIRECCIÓN FACULTATIVA Y COORDINACIÓN DE SEGURIDAD Y SALUD DURANTE LA FASE DE EJECUCIÓN DE LA OBRA DENOMINADA: REPARACIÓN INTEGRAL DE RED DE AGUA POTABLE EN VARIOS TRAMOS DE LA URBANIZACIÓN BENFIS PARK-FASE2(CALLES 2 Y 7)  </t>
  </si>
  <si>
    <t>34.50.6C.01.57</t>
  </si>
  <si>
    <t xml:space="preserve">FABRICACIÓN DE ANEURISMAS PARA FORMACIÓN MÉDICA </t>
  </si>
  <si>
    <t>34.50.6C.01.58</t>
  </si>
  <si>
    <t>Fabricación de un arco aórtico de tipo 1 rígido, liso y desmontable (referencia PO11027599)</t>
  </si>
  <si>
    <t>34.50.6C.01.62</t>
  </si>
  <si>
    <t>FIN DE LAS 2 PRIMERAS FASES -PROYECTO BÁSICO Y PROYECTO DE EJECUCIÓN- DE LA OBRA DENOMINADA "VALORIZACIÓN DEL AZUD MONUMENTAL DE BENFERRI Y SU ENTORNO"</t>
  </si>
  <si>
    <t>34.50.6C.01.63</t>
  </si>
  <si>
    <t>EVALUACIÓN TÉCNICA DEL PROYECTO "NUEVAS TECNOLOGÍAS VERDES PARA LA DESALINIZACIÓN DE AGUA DE MAR (PRJN-537234)</t>
  </si>
  <si>
    <t>34.50.6C.01.64</t>
  </si>
  <si>
    <t xml:space="preserve">ASESORAMIENTO, DESARROLLO, PROTOTIPADO Y FRESADO DE MODELO TERRITORIAL COMPLEJO (IMPRESIÓN 3D, MECANIZADO, CORTE LÁSER Y CNC), DEL PROYECTO PILBARA INTERREGNUM PARA LA SECCIÓN DE PARTICIPANTES INTERNACIONALES DE LA BIENNALE ARCHITETTURA 2023  </t>
  </si>
  <si>
    <t>34.50.6C.01.65</t>
  </si>
  <si>
    <t xml:space="preserve">PRODUCCIÓN, MECANIZADO Y PROTOTIPADO DE ESCENOGRAFÍA PARA FESTIVAL DE MÚSICA Y ARTE EN BALBOA, LEÓN  </t>
  </si>
  <si>
    <t>34.50.6C.01.66</t>
  </si>
  <si>
    <t>Trabajos relativos a la elaboración de la EXPOSICIÓN VIRTUAL 'MIGUEL LÓPEZ GONZÁLEZ, PIONERO DE LA MODERNIDAD'. TEXTOS RESUMEN Y EXPANDIDO, ASÍ COMO APORTACIÓN DE MATERIALES GRÁFICOS como nuevo contenido de la web, en el marco del "CONVENIO DE COLABORACIÓN ENTRE LA DIRECCIÓN GENERAL DE AGENDA URBANA Y ARQUITECTURA DEL MINISTERIO DE TRANSPORTES, MOVILIDAD Y AGENDA URBANA Y LA FUNDACIÓN DOCOMOMO IBÉRICO PARA LA DIFUSIÓN, LA DOCUMENTACIÓN, LA PROMOCIÓN DEL CONOCIMIENTO Y EL FOMENTO DE LA INVESTIGACIÓN DE LA ARQUITECTURA DEL MOVIMIENTO MODERNO"</t>
  </si>
  <si>
    <t>34.50.6C.01.67</t>
  </si>
  <si>
    <t>Fabricación de 2 aneurismas junto a 2 soportes para taller de formación médica</t>
  </si>
  <si>
    <t>34.50.6C.01.70</t>
  </si>
  <si>
    <t>DISEÑO Y ASISTENCIA EN LA EJECUCIÓN DE UNA INTERVENCIÓN BIOCLIMÁTICA</t>
  </si>
  <si>
    <t>34.50.6C.01.71</t>
  </si>
  <si>
    <t>REDACCIÓN PROYECTO MODIFICADO "REHABILITACIÓN DE LA IGLESIA SAN JERÓNIMO Y SALÓN"</t>
  </si>
  <si>
    <t>34.50.6C.01.74</t>
  </si>
  <si>
    <t xml:space="preserve">CERRAMIENTO Y ADECUACION DE LA SALA CARTOGRAFICA EN EL CENTRO CULTURAL LAS CIGARRERAS PARA LA CREACION DE ESPACIO COWORKING, SALA REUNIONES Y OFFICE PARA AGENTES CULTURALES Y RESIDENTES DE CREACION ARTISTICA </t>
  </si>
  <si>
    <t>34.50.6C.01.75</t>
  </si>
  <si>
    <t>INVENTARIADO, SELECCIÓN Y DOCUMENTACIÓN DE LOS JARDINES Y LOS ESPACIOS URBANOS EXTERIORES E INCORPORACIÓN DE NUEVAS ARQUITECTURAS AL REGISTRO DE OBRAS EN EL ÁMBITO DE LA COMUNITAT VALENCIANA (1ª fase)</t>
  </si>
  <si>
    <t>CUARTO COBRO DEL PROYECTO EINSTUDIO</t>
  </si>
  <si>
    <t xml:space="preserve">TERCER COBRO DEL PROYECTO EINSTUDIO </t>
  </si>
  <si>
    <t>sin ingresos formación 2023</t>
  </si>
  <si>
    <t>B185</t>
  </si>
  <si>
    <t>INGENIERÍA CIVIL</t>
  </si>
  <si>
    <t>DOCTORADO EN INGENIERÍA DE MATERIALES, ESTRUCTURAS Y TERRENO: CONSTR. SOST.</t>
  </si>
  <si>
    <t>Espinosa Pérez, Enrique</t>
  </si>
  <si>
    <t>APRENDER, HACER Y HACKEAR JUNTAS. Prácticas colaborativas menores desde la arqutiectura en una cultura libre española 1996-2021.</t>
  </si>
  <si>
    <t>12/07/2024</t>
  </si>
  <si>
    <t>51389222T</t>
  </si>
  <si>
    <t>Director de tesis</t>
  </si>
  <si>
    <t>EXPRESION GRAFICA, COMPOSICIÓN Y PROYECTOS</t>
  </si>
  <si>
    <t>Moreno Ortolano, Juan</t>
  </si>
  <si>
    <t>La modernidad diluida. Juan Antonio Molina Serrano. Arquitecturas: 1970-2010</t>
  </si>
  <si>
    <t>10/07/2024</t>
  </si>
  <si>
    <t>50</t>
  </si>
  <si>
    <t>21416469L</t>
  </si>
  <si>
    <t>Vivos</t>
  </si>
  <si>
    <t>Org. aplic.</t>
  </si>
  <si>
    <t>Imp. aplic.</t>
  </si>
  <si>
    <t xml:space="preserve">EVALUACIÓN POR PARTE DE LA EXPERTA 4D/COMITÉ DE LOS PROYECTOS ADJUNTOS EN EL "ANEXO CONTRATO 4D PREFERENTE" 946.108 945.773 946.212 946.205 946.136 945.723 946.072 945.167 946.126 946.124 946.123 945.796 945.329 946.176 946.212 944.147 944.215 946.024 945.666 945.662 944.738 945.883 943.579 946.006 943.542 943.541 945.973 945.833 945.832 945.831 943.032 938.548 944.247 945.796 945.334 945.174 945.173 935.977 945.306 935.983 944.671 944.671 935.977 944.438 939.749 944.097 944.392 944.247 935.983 </t>
  </si>
  <si>
    <t>EVALUACIÓN DE LA EXPERTA 4D/COMITÉ DE 32 PROYECTOS 4D PREFERENTE</t>
  </si>
  <si>
    <t>REALIZACIÓN POR PARTE DE LA EXPERTA TÉCNICA DE LA EVALUACIÓN DEL PROYECTO 928.849</t>
  </si>
  <si>
    <t>REALIZACIÓN POR PARTE DE LA EXPERTA TÉCNICA DE LA EVALUACIÓN DEL PROYECTO 928.850 </t>
  </si>
  <si>
    <t>EVALUACIÓN POR PARTE DE LA EXPERTA TÉCNICA DEL PROYECTO 929.017 TITULADO "BONIFICACIONES A LA S.S. POR PERSONAL INVESTIGADOR-2023"</t>
  </si>
  <si>
    <t>EVALUACIÓN POR PARTE DE LA EXPERTA TÉCNICA DEL PROYECTO 929.236  </t>
  </si>
  <si>
    <t xml:space="preserve">EVALUACIÓN POR PARTE DE LA EXPERTA TÉCNICA DEL PROYECTO 929.394 </t>
  </si>
  <si>
    <t>EVALUACIÓN POR PARTE DE LA EXPERTA TÉCNICA DEL PROYECTO 929.380. "Bonificaciones a la S.S. por personal investigador-2023"</t>
  </si>
  <si>
    <t>EVALUACIÓN POR PARTE DE LA EXPERTA TÉCNICA DEL PROYECTO 929.203  "Bonificaciones a la S.S. por personal investigador-2023"</t>
  </si>
  <si>
    <t>EVALUACIÓN POR PARTE DE LA EXPERTA TÉCNICA DEL PROYECTO 929.397  "Bonificaciones a la S.S. por personal investigador-2023/2024"</t>
  </si>
  <si>
    <t>REALIZACIÓN POR PARTE DE LA EXPERTA 4D/COMITÉ DE LA EVALUACIÓN DE LOS PROYECTOS ADJUNTOS EN EL "ANEXO CONTRATO 4D PREFERENTE"</t>
  </si>
  <si>
    <t>REALIZACIÓN POR PARTE DE LA EXPERTA4D/COMITÉ DE LA EVALUACIÓN DE LOS PROYECTOS ADJUNTOS EN EL "ANEXO CONTRATO 4D PREFERENTE"</t>
  </si>
  <si>
    <t>34.50.6C.01.42</t>
  </si>
  <si>
    <t>INVESTIGACIÓ PER AL DESENVOLUPAMENT DE LA AGENDA URBANA DEL MUNICIPI DE SANT JOAN D'ALACANT  </t>
  </si>
  <si>
    <t>34.50.6C.01.45</t>
  </si>
  <si>
    <t>ASISTENCIA TÉCNICA, DIRECCIÓN FACULTATIVA Y COORDINACIÓN DE SEGURIDAD Y SALUD. "DINAMIZACIÓN Y REGENERACIÓN DEL COMERCIO DE BIGASTRO. FASE I: REMODELACIÓN PARQUE HUERTO DEL CURA E INMEDIACIONES DE BIGASTRO"</t>
  </si>
  <si>
    <t>Analysis and Designs related to October 2023 to April 2024</t>
  </si>
  <si>
    <t>34.50.6C.01.60</t>
  </si>
  <si>
    <t>EVALUACIÓN TÉCNICA POR PARTE DE LA EXPERTA DEL PROYECTO DE I+D+I TITULADO "OBURGODRAG-IDI-6000879-2023-136"  (Nº pedido proveeedor 4D: 9600284063)</t>
  </si>
  <si>
    <t>34.50.6C.01.61</t>
  </si>
  <si>
    <t>DISEÑO Y DIRECCIÓN DE LA EJECUCIÓN DE LA LÁMPARA DE LA MEMORIA, UNA INSTALACIÓN QUE CONTENGA TODOS LOS NOMBRES Y APELLIDOS DE LOS ESTUDIANTES Y PROFESORES QUE HAN PASADO POR LA FACULTAD CIENCIAS DEL TRABAJO DE LA UNIVERSIDAD DE MURCIA</t>
  </si>
  <si>
    <t>34.50.6C.01.68</t>
  </si>
  <si>
    <t>PONENCIA Y PARTICIPACIÓN EN MESA REDONDA EN EL PRIMER SIMPOSIUM DE ARQUITECTURA "RICARDO BOFILL" ENMARCADO EN EL "AÑO BOFILL 2023" QUE ORGANIZA EL AYUNTAMIENTO DE CALPE</t>
  </si>
  <si>
    <t>34.50.6C.01.69</t>
  </si>
  <si>
    <t>CONTRATO DE SERVICIOS PARA LA DIRECCIÓN FACULTATIVA Y COORDINACIÓN DE SEGURIDAD Y SALUD DE LA OBRA DENOMINADA "MEJORA DE LOS VESTUARIOS DEL CAMPO DE FÚTBOL"</t>
  </si>
  <si>
    <t>34.50.6C.01.72</t>
  </si>
  <si>
    <t>MANUFACTURING OF A "MODFLOW" SIMULATOR AND 3 WILLIS POLYGON (pedido PE_23_04_NRX)</t>
  </si>
  <si>
    <t xml:space="preserve">MANUFACTURING OF A "MODFLOW" SIMULATOR AND 3 WILLIS POLYGON </t>
  </si>
  <si>
    <t>INVENTARIADO, SELECCIÓN Y DOCUMENTACIÓN DE LOS JARDINES Y LOS ESPACIOS URBANOS EXTERIORES E INCORPORACIÓN DE NUEVAS ARQUITECTURAS AL REGISTRO DE OBRAS EN EL ÁMBITO DE LA COMUNITAT VALENCIANA (2ª fase)</t>
  </si>
  <si>
    <t>34.50.6C.01.76</t>
  </si>
  <si>
    <t>ELABORACIÓN DE BIOGRAFÍAS DE ARQUITECTOS DEL MOVIMIENTO MODERNO (M. LÓPEZ GONZÁLEZ, J.A. GARCÍA SOLERA, J. GUARDIOLA GAYA Y R. BOFILL LEVI) PARA INCORPORAR A LA WEB DOCOMOMO-IBÉRICO.</t>
  </si>
  <si>
    <t>34.50.6C.01.78</t>
  </si>
  <si>
    <t>EVALUACION DEL PROYECTO DE INVESTIGACION DE NUEVAS MEMBRANAS DE OSMOSIS PARA EL TRATAMIENTO DE AGUA POTABLE PRJN-605338</t>
  </si>
  <si>
    <t>34.50.6C.01.79</t>
  </si>
  <si>
    <t>DISEÑO DE PROTOTIPO CASA ECOLÓGICA MAGNOLIA 6</t>
  </si>
  <si>
    <t>34.50.6C.01.80</t>
  </si>
  <si>
    <t>AYTOBENFERRI1-24TPA REDACCIÓN DE PROYECTO TÉCNICO MODIFICADO "AMPLIACIÓN GIMNASIO Y PISCINA MUNICIPAL"</t>
  </si>
  <si>
    <t>34.50.6C.01.81</t>
  </si>
  <si>
    <t>EXP. 854268J (AYTOCARAVACA1-24T) PROYECTO PARA LA RECUPERACIÓN PAISAJÍSTICA Y FUNCIONAL DE HUERTOS EN INTERIOR DE MANZANA PARA MOVILIDAD SOSTENIBLE Y AMPLIACIÓN DEL ÁREA DE PEATONALIZACIÓN DEL CENTRO HISTÓRICO</t>
  </si>
  <si>
    <t>34.50.6C.01.82</t>
  </si>
  <si>
    <t>REDACCION PROYECTO MODIFICADO MEJORA DE LOS VESTUARIOS DEL CAMPO DE FUTBOL</t>
  </si>
  <si>
    <t>34.50.6C.01.83</t>
  </si>
  <si>
    <t>REDACCIÓN PROYECTO MODIFICADO: "TRATAMIENTO PEATONALIZADO DEL ITINERARIO SUELO URBANO AL CAMPO DE FÚTBOL"</t>
  </si>
  <si>
    <t>34.50.6C.01.84</t>
  </si>
  <si>
    <t>DIRECCIÓN FACULTATIVA Y COORDINACIÓN DE SEGURIDAD Y SALUD DE LA OBRA DENOMINADA "REPARACIÓN DE RED DE AGUA POTABLE EN LA CALLE 3 (URB. BENFIS PARK) DE BENFERRI"</t>
  </si>
  <si>
    <t>34.50.6C.01.85</t>
  </si>
  <si>
    <t>INVESTIGACIÓN Y DESARROLLO, DISEÑO, MECANIZADO Y MONTAJE DE DISPOSITIVO EXPOSITIVO EN FORMA DE ESPACIO DOMÉSTICO, PARA SOPORTE Y EXPOSICIÓN DE MATERIAL ARTÍSTICO REALIZADO POR PERSONAS CON DISCAPACIDAD INTELECTUAL, EN EL CENTRO CULTURAL LAS CIGARRERAS. DISPOSITIVO DESMONTABLE Y ALMACENABLE POR MÓDULOS, PARA REUTILIZACIÓN Y DIFERENTES USOS EN CENTRO CULTURAL</t>
  </si>
  <si>
    <t>34.50.6C.01.86</t>
  </si>
  <si>
    <t>Analysis and designs related to April-July 2024</t>
  </si>
  <si>
    <t>34.50.6C.01.88</t>
  </si>
  <si>
    <t>EVALUACIÓN TÉCNICA DEL PROYECTO: NUEVAS TECNOLOGÍAS VERDES PARA LA DESALINIZACIÓN DE AGUA DE MAR PRJN-734697</t>
  </si>
  <si>
    <t>34.50.6C.01.89</t>
  </si>
  <si>
    <t>FABRICACIÓN DE CINCO SIMULADORES DE LA ARTERIA MENÍNGEA MEDIA</t>
  </si>
  <si>
    <t>34.50.6C.01.90</t>
  </si>
  <si>
    <t>COLABORACIÓN EN EL DISEÑO DE PROYECTOS DE VIVIENDA COLECTIVA EN VIENA Y VIVIENDA UNIFAMILIAR EN DENIA</t>
  </si>
  <si>
    <t>34.50.6C.01.92</t>
  </si>
  <si>
    <t>REDACCIÓN PROYECTO MODIFICADO DE LA OBRA DENOMINADA: "PLAN + CERCA: TRATAMIENTO DEL ENTORNO DE LA ERMITA DEL PARQUE EL VERTIENTE"</t>
  </si>
  <si>
    <t>34.50.6C.01.93</t>
  </si>
  <si>
    <t xml:space="preserve">CONSULTANCY IN THE DESIGN AND SIMULATION BY FINITE ELEMENTS METHOD OF ALUMINIUM EXTRUSION DIES TO INCREASE THE PRODUCTIVITY </t>
  </si>
  <si>
    <t>34.50.6C.01.94</t>
  </si>
  <si>
    <t>ASESORAMIENTO GRÁFICO Y DESARROLLO PLANIMÉTRICO DE LA ACTUALIZACIÓN DEL PROYECTO DE REPARCELACIÓN "COLADA CANTALAR" PARA EL EXCMO. AYUNTAMIENTO DE MUTXAMEL</t>
  </si>
  <si>
    <t>34.50.6M.00.11</t>
  </si>
  <si>
    <t>MECENAZGO DE LAS ACTIVIDADES DE ORGANIZACIÓN Y REALIZACIÓN DEL TALLER INTERNATIONAL WORKSHOP FACING CLIMATE CHANGE</t>
  </si>
  <si>
    <t>34.50.6P.00.19</t>
  </si>
  <si>
    <t>ayudas CIGE/2023/52, CIGE/2023/94, CIGE/2023/129, CIGE/2023/146, CIGE/2023/165, CIGE/2023/175, CIGE/2023/181, CIGE/2023/184, CIGE/2023/188, CIGE/2023/196, CIGE/2023/197, CIGE/2023/216, CIGE/2023/225, CIGE/2023/227 (LINEA SUBVENCIÓN S0296)</t>
  </si>
  <si>
    <t>34.50.6P.00.20</t>
  </si>
  <si>
    <t xml:space="preserve">Ayudas 15-1ACT-24 </t>
  </si>
  <si>
    <t>Servicio FabLab 01 (2024)</t>
  </si>
  <si>
    <t>Servicio FabLab 02 (2024)</t>
  </si>
  <si>
    <t xml:space="preserve">AD_Plan GE26 curso 2021-22, CURSO DE VALENCIANO. NIVEL C2 NO PRESENCIAL </t>
  </si>
  <si>
    <t>06262734H</t>
  </si>
  <si>
    <t>Marcos Alba, Carlos Luis</t>
  </si>
  <si>
    <t>Gutiérrez Mozo, María Elia</t>
  </si>
  <si>
    <t>Payá Benedito, Alfredo</t>
  </si>
  <si>
    <t>Martínez Medina, Andrés</t>
  </si>
  <si>
    <t>García Doménech, Sergio</t>
  </si>
  <si>
    <t>Oliver Ramírez, José Luis</t>
  </si>
  <si>
    <t>Esclapés Jover, Francisco Javier</t>
  </si>
  <si>
    <t>Domingo Gresa, Jorge</t>
  </si>
  <si>
    <t>Irles Parreño, Ricardo</t>
  </si>
  <si>
    <t>Allepuz Pedreño, Ángel</t>
  </si>
  <si>
    <t>Mesa Del Castillo Clavel, Miguel</t>
  </si>
  <si>
    <t>Parra Martínez, José</t>
  </si>
  <si>
    <t>Castro Domínguez, Juan Carlos</t>
  </si>
  <si>
    <t>Carrasco Hortal, José</t>
  </si>
  <si>
    <t>Juan Gutiérrez, Pablo Jeremías</t>
  </si>
  <si>
    <t>Sentana Gadea, Irene</t>
  </si>
  <si>
    <t>Capdevila Castellanos, Iván</t>
  </si>
  <si>
    <t>48532020L</t>
  </si>
  <si>
    <t>Gisbert Alemany, Ester</t>
  </si>
  <si>
    <t>48537849Y</t>
  </si>
  <si>
    <t>Mendo Pérez, María Ayara</t>
  </si>
  <si>
    <t>Nieto Fernández, Enrique José</t>
  </si>
  <si>
    <t>51948220Y</t>
  </si>
  <si>
    <t>Gilsanz Díaz, Ana Covadonga</t>
  </si>
  <si>
    <t>Barberá Pastor, Carlos</t>
  </si>
  <si>
    <t>74229651A</t>
  </si>
  <si>
    <t>López Ujaque, José Manuel</t>
  </si>
  <si>
    <t>2020</t>
  </si>
  <si>
    <t>2021</t>
  </si>
  <si>
    <t>2022</t>
  </si>
  <si>
    <t>2023</t>
  </si>
  <si>
    <t>2024</t>
  </si>
  <si>
    <t>2025</t>
  </si>
  <si>
    <t>Evaluación por parte de la experta 4D/Comité de 42 proyectos I+D+I</t>
  </si>
  <si>
    <t>Experto Comité/4D 953.131, 947.538, 947.562, 947.538, 948.320, 949.586, 947.559, 952.941, 952.937, 952.142, 952.939, 952.613, 949.987, 947.559, 953.431, 953.172, 952.489, 952.415, 948.322, 952.947, 952.611, 952.612</t>
  </si>
  <si>
    <t>Evaluación del proyecto 929.802 - de la empresa FUNDACION GAIKER, titulado "Bonificaciones a la S.S. por personal Investigador-2024", actuando como Experto Técnico</t>
  </si>
  <si>
    <t>Evaluación del proyecto 929.525 - de la empresa FUNDACIÓN TEKNIKER, titulado "Bonificaciones a la S.S. por personal Investigador-2024", actuando como Experto Técnico.</t>
  </si>
  <si>
    <t xml:space="preserve">Evaluación del proyecto 929.553 - de la empresa TECOI CORTE, S.L., titulado "Bonificaciones a la S.S. por personal  nvestigador-2024", actuando como Experto Técnico </t>
  </si>
  <si>
    <t>Evaluación del proyecto 929.625 - de la empresa FUNDACIÓN AZTI - AZTI FUNDAZIOA. "Bonificaciones a la S.S. por personal investigador-2024"</t>
  </si>
  <si>
    <t>Evaluación del proyecto 929.888 - de la empresa ASOCIACIÓN CENTRO TECNOLÓGICO CEIT, titulado "Bonificaciones a la S.S. por personal investigador-2024", actuando como Experto Técnico</t>
  </si>
  <si>
    <t xml:space="preserve">Experta 4D/Comité: 953.702 , 956.176 , 957.085 , 953.983 , 953.882 , 956.832 , 956.872 , 953.521 , 956.511 , 956.875 , 953.824 , 956.590 ,956.589 , 956.744 , 956.050 , 929.496 , 953.936 , 953.239 , 956.323, 956.304 , 956.303 , 956.441 , 956.289 , 953.521 , 947.861 , 953.824 , 953.738 , 947.861 , 947.558 </t>
  </si>
  <si>
    <t xml:space="preserve">Experto Comité/4D: 957.394 , 957.393 , 960.111 , 954.263 , 957.403 , 960.035 , 957.739 , 957.191 , 957.024 , 957.058 , 956.639 , 956.323 , 956.878 , 957.717 , 957.716 , 957.501 , 953.936 , 957.061 , 956.823 , 957.445 , 956.510 , 956.872 , 956.441 , 956.298 , 956.297 , 957.085 , 956.523 , 957.403 , 956.832 , 956.228 , 956.875 , 957.148 , 956.744 , 956.289 , 957.086 , 957.394 , 957.393 , 956.816 , 956.823 , 957.211 , 956.726 , 953.738 </t>
  </si>
  <si>
    <t>Analysis and Designs related to May 2024 to December 2024</t>
  </si>
  <si>
    <t>34.50.6C.01.59</t>
  </si>
  <si>
    <t>AYTOBENFERRI4-23TPA. DIRECCIÓN FACULTATIVA Y COORDINACIÓN DE SEGURIDAD Y SALUD DURANTE LA FASE DE EJECUCIÓN DE LAS OBRAS INCLUIDAS EN EL PLAN DENOMINADO: PLAN + CERCA 2022</t>
  </si>
  <si>
    <t>Analysis and Designs related to June 2024 - Jan 2025</t>
  </si>
  <si>
    <t>34.50.6C.01.91</t>
  </si>
  <si>
    <t>"REHABILITACIÓN ENERGÉTICA Y FUNCIONAL DEL EDIFICIO ADMINISTRATIVO INSTITUCIONAL DEL AYUNTAMIENTO DE BENFERRI" , FINANCIADO POR EL PLAN DE RECUPERACIÓN, TRANSFORMACIÓN Y RESILENCIA</t>
  </si>
  <si>
    <t>34.50.6C.01.95</t>
  </si>
  <si>
    <t>ASESORAMIENTO GRÁFICO Y DESARROLLO PLANIMÉTRICO DEL PROYECTO DE REPARCELACIÓN DE LA UNIDAD DE EJECUCIÓN UA-18 DEL PLAN GENERAL DEL EXCMO. AYUNTAMIENTO DE SAN VICENTE DEL RASPEIG</t>
  </si>
  <si>
    <t>34.50.6C.01.96</t>
  </si>
  <si>
    <t>COMISARIADO DE LA EXPOSICIÓN "MIGUEL LÓPEZ GONZÁLEZ, 1907-1976: MÁS ALLÁ DE LOS ARCHIVOS"</t>
  </si>
  <si>
    <t>34.50.6C.01.97</t>
  </si>
  <si>
    <t>ASESORAMIENTO E INVESTIGACIÓN SOBRE PERCEPCIÓN URBANA Y DEL PATRIMONIO ARQUITECTÓNICO EN LA REDACCIÓN DEL CATÁLOGO DE PROTECCIONES DEL EXCMO. AYUNTAMIENTO DE MUTXAMEL</t>
  </si>
  <si>
    <t>34.50.6C.01.98</t>
  </si>
  <si>
    <t>ESTUDIO DE TIPOLOGÍAS ARQUITECTÓNICAS Y DE USOS ACTUALES COMPATIBLES CON EL PLANEAMIENTO DE BENIMANTELL Y CON EL DESEO DE INTEGRACIÓN EN EL PAISAJE</t>
  </si>
  <si>
    <t>34.50.6C.01.99</t>
  </si>
  <si>
    <t>PRJN-934386_PREVER2024: NUEVAS TECNOLOGÍAS VERDES PARA LA DESALINIZACIÓN DE AGUA DE MAR (DNV_313) de DNV</t>
  </si>
  <si>
    <t>34.50.6C.02.00</t>
  </si>
  <si>
    <t>4D inicial y final del proyecto 0725/28/82 - CONAGRICAN S.L. - CONABIOCAN. Pedido: 4300050049   </t>
  </si>
  <si>
    <t>Nº pedido: 4300053846 EVALUACIÓN POR PARTE DE LA EXPERTA TÉCNICA DEL EXPEDIENTE 0725/28/141 "DESARROLLO DE UNA NUEVA LINEA DE FABRICACIÓN PARA PRODUCTOS CON GLITTER"  </t>
  </si>
  <si>
    <t>Nº pedido: 4300054157 EVALUACIÓN POR PARTE DE LA EXPERTA TÉCNICA DEL EXPEDIENTE 0925/28/107 "DISEÑO DE UN NUEVO PROCESO PARA EL DESARROLLO DEL NOVEDOSO MODELO DE BATERIAS DE SODIO Y AZUFRE"  </t>
  </si>
  <si>
    <t xml:space="preserve">CIGE/2023/52/94/129/146/165/175/181/184/188/196/197/216/225/227. EN CIGE/2023/196 HAY UNA REASIGNACIÓN DEL IMPORTE (EN JI-2024-3632 SE PRODUCE UNA MINORACIÓN DE 9879,02 Y SE ASIGNA A ESTE AÑO) </t>
  </si>
  <si>
    <t>Minoración Ayudas CIGE/2023/52, CIGE/2023/94, CIGE/2023/129, CIGE/2023/146, CIGE/2023/165, CIGE/2023/175, CIGE/2023/181, CIGE/2023/184, CIGE/2023/188, CIGE/2023/197, CIGE/2023/216,  CIGE/2023/227 (LINEA SUBVENCIÓN S0296)</t>
  </si>
  <si>
    <t>34.50.6P.00.21</t>
  </si>
  <si>
    <t>INGRESO MICIU (AR FEDER). PID2024-157422OA-I00. PID2024-161522OA-I00. PID2024-157087OA-I00. PID2024-162784OB-I00. PID2024-160976NB-I00. PID2024-156526OB-I00. PID2024-158829NB-C41. PID2024-162730NB-I00. PID2024-160791OB-I00. PID2024-158157OB-C31. PID2024-160373OB-C22. PID2024-162431OB-I00. PID2024-159329NB-C22. PID2024-157026OB-I00. PID2024-159638OB-I00. PID2024-155511NB-I00. PID2024-157839NB-I00. PID2024-161912OB-I00. PID2024-155779OB-C33. PID2024-157037OB-I00. PID2024-156263OB-C22. PID2024-161188OB-C22. PID2024-161711OB-I00. PID2024-159363NB-I00. PID2024-155338NB-I00. PID2024-158514NB-I00. PID2024-160604NB-I00</t>
  </si>
  <si>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</si>
  <si>
    <t>PROYECTO: EUROPEAN INTERACTIVE INDUSTRIAL DESIGN STUDIO. PROGRAMA: ERASMUS+ - KA220-HED. REF PROYECTO: 2021-1-TR01-KA220-HED-000030439</t>
  </si>
  <si>
    <t>Total ingresos investigación 2023-25</t>
  </si>
  <si>
    <t>sin ingresos formación 2025</t>
  </si>
  <si>
    <t>Total ingresos de formación 2023-25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</si>
</sst>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 _€_-;\-* #,##0.00\ _€_-;_-* &quot;-&quot;??\ _€_-;_-@_-"/>
    <numFmt numFmtId="165" formatCode="0.0"/>
  </numFmts>
  <fonts count="19" x14ac:knownFonts="1">
    <font>
      <sz val="11"/>
      <color theme="1"/>
      <name val="Calibri"/>
      <family val="2"/>
      <scheme val="minor"/>
    </font>
    <font>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sz val="8"/>
      <color rgb="FF000000"/>
      <name val="Arial"/>
      <family val="2"/>
    </font>
    <font>
      <b/>
      <sz val="11"/>
      <color theme="0"/>
      <name val="Calibri"/>
      <family val="2"/>
      <scheme val="minor"/>
    </font>
    <font>
      <b/>
      <sz val="11"/>
      <color theme="1"/>
      <name val="Calibri"/>
      <family val="2"/>
      <scheme val="minor"/>
    </font>
    <font>
      <b/>
      <sz val="10"/>
      <color theme="1"/>
      <name val="Arial"/>
      <family val="2"/>
    </font>
    <font>
      <sz val="11"/>
      <color theme="1"/>
      <name val="Calibri"/>
      <family val="2"/>
      <scheme val="minor"/>
    </font>
    <font>
      <b/>
      <sz val="10"/>
      <color theme="0"/>
      <name val="Arial"/>
      <family val="2"/>
    </font>
    <font>
      <b/>
      <sz val="10"/>
      <color theme="0"/>
      <name val="Arial"/>
      <family val="2"/>
    </font>
    <font>
      <sz val="10"/>
      <color theme="1"/>
      <name val="Arial"/>
      <family val="2"/>
    </font>
    <font>
      <sz val="8"/>
      <name val="Verdana"/>
      <family val="2"/>
    </font>
  </fonts>
  <fills count="14">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0" tint="-0.34998626667073579"/>
        <bgColor indexed="64"/>
      </patternFill>
    </fill>
    <fill>
      <patternFill patternType="solid">
        <fgColor theme="0"/>
        <bgColor theme="9" tint="0.79998168889431442"/>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s>
  <borders count="12">
    <border>
      <left/>
      <right/>
      <top/>
      <bottom/>
      <diagonal/>
    </border>
    <border>
      <left style="thin">
        <color indexed="64"/>
      </left>
      <right style="thin">
        <color indexed="64"/>
      </right>
      <top style="thin">
        <color indexed="64"/>
      </top>
      <bottom style="thin">
        <color indexed="64"/>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s>
  <cellStyleXfs count="7">
    <xf numFmtId="0" fontId="0" fillId="0" borderId="0"/>
    <xf numFmtId="0" fontId="2" fillId="0" borderId="0"/>
    <xf numFmtId="0" fontId="5" fillId="0" borderId="0"/>
    <xf numFmtId="0" fontId="5" fillId="0" borderId="0"/>
    <xf numFmtId="0" fontId="6" fillId="0" borderId="0"/>
    <xf numFmtId="0" fontId="1" fillId="0" borderId="0"/>
    <xf numFmtId="164" fontId="14" fillId="0" borderId="0" applyFont="0" applyFill="0" applyBorder="0" applyAlignment="0" applyProtection="0"/>
  </cellStyleXfs>
  <cellXfs count="68">
    <xf numFmtId="0" fontId="0" fillId="0" borderId="0" xfId="0"/>
    <xf numFmtId="0" fontId="3" fillId="3" borderId="1" xfId="1" applyFont="1" applyFill="1" applyBorder="1" applyAlignment="1">
      <alignment horizontal="center"/>
    </xf>
    <xf numFmtId="0" fontId="4" fillId="3" borderId="1" xfId="1" applyFont="1" applyFill="1" applyBorder="1" applyAlignment="1">
      <alignment horizontal="center"/>
    </xf>
    <xf numFmtId="0" fontId="4" fillId="3" borderId="1" xfId="2" applyFont="1" applyFill="1" applyBorder="1" applyAlignment="1">
      <alignment horizontal="center"/>
    </xf>
    <xf numFmtId="0" fontId="4" fillId="3" borderId="1" xfId="3" applyFont="1" applyFill="1" applyBorder="1" applyAlignment="1">
      <alignment horizontal="center" wrapText="1"/>
    </xf>
    <xf numFmtId="0" fontId="4" fillId="3" borderId="1" xfId="3" applyFont="1" applyFill="1" applyBorder="1" applyAlignment="1">
      <alignment horizontal="right" wrapText="1"/>
    </xf>
    <xf numFmtId="0" fontId="2" fillId="4" borderId="0" xfId="1" applyFill="1"/>
    <xf numFmtId="0" fontId="2" fillId="2" borderId="0" xfId="1" applyFill="1"/>
    <xf numFmtId="0" fontId="2" fillId="2" borderId="0" xfId="1" applyFill="1" applyAlignment="1">
      <alignment horizontal="right"/>
    </xf>
    <xf numFmtId="165" fontId="3" fillId="2" borderId="1" xfId="1" applyNumberFormat="1" applyFont="1" applyFill="1" applyBorder="1"/>
    <xf numFmtId="0" fontId="2" fillId="4" borderId="0" xfId="1" applyFill="1" applyAlignment="1">
      <alignment horizontal="right"/>
    </xf>
    <xf numFmtId="0" fontId="8" fillId="5" borderId="1" xfId="3" applyFont="1" applyFill="1" applyBorder="1" applyAlignment="1">
      <alignment horizontal="center" textRotation="90" wrapText="1"/>
    </xf>
    <xf numFmtId="0" fontId="8" fillId="3" borderId="1" xfId="3" applyFont="1" applyFill="1" applyBorder="1" applyAlignment="1">
      <alignment horizontal="center" textRotation="90" wrapText="1"/>
    </xf>
    <xf numFmtId="0" fontId="5" fillId="0" borderId="0" xfId="5" applyFont="1"/>
    <xf numFmtId="0" fontId="9" fillId="0" borderId="0" xfId="5" applyFont="1"/>
    <xf numFmtId="0" fontId="9" fillId="0" borderId="0" xfId="5" applyFont="1" applyAlignment="1">
      <alignment horizontal="right"/>
    </xf>
    <xf numFmtId="0" fontId="7" fillId="2" borderId="1" xfId="0" applyFont="1" applyFill="1" applyBorder="1"/>
    <xf numFmtId="0" fontId="7" fillId="2" borderId="1" xfId="0" applyFont="1" applyFill="1" applyBorder="1" applyAlignment="1">
      <alignment textRotation="90"/>
    </xf>
    <xf numFmtId="0" fontId="8" fillId="3" borderId="1" xfId="3" applyFont="1" applyFill="1" applyBorder="1" applyAlignment="1">
      <alignment horizontal="center" wrapText="1"/>
    </xf>
    <xf numFmtId="0" fontId="0" fillId="0" borderId="1" xfId="0" applyBorder="1" applyAlignment="1">
      <alignment horizontal="center"/>
    </xf>
    <xf numFmtId="0" fontId="2" fillId="4" borderId="1" xfId="1" applyFill="1" applyBorder="1"/>
    <xf numFmtId="0" fontId="2" fillId="4" borderId="1" xfId="1" applyFill="1" applyBorder="1" applyAlignment="1">
      <alignment horizontal="right"/>
    </xf>
    <xf numFmtId="0" fontId="10" fillId="6" borderId="1" xfId="0" applyFont="1" applyFill="1" applyBorder="1" applyAlignment="1">
      <alignment horizontal="left" vertical="center"/>
    </xf>
    <xf numFmtId="0" fontId="10" fillId="6" borderId="2" xfId="0" applyFont="1" applyFill="1" applyBorder="1" applyAlignment="1">
      <alignment horizontal="left" vertical="center"/>
    </xf>
    <xf numFmtId="0" fontId="10" fillId="6" borderId="3" xfId="0" applyFont="1" applyFill="1" applyBorder="1" applyAlignment="1">
      <alignment horizontal="left" vertical="center"/>
    </xf>
    <xf numFmtId="0" fontId="10" fillId="6" borderId="4" xfId="0" applyFont="1" applyFill="1" applyBorder="1" applyAlignment="1">
      <alignment horizontal="left" vertical="center"/>
    </xf>
    <xf numFmtId="0" fontId="2" fillId="0" borderId="1" xfId="1" applyBorder="1"/>
    <xf numFmtId="43" fontId="0" fillId="8" borderId="5" xfId="6" applyNumberFormat="1" applyFont="1" applyFill="1" applyBorder="1"/>
    <xf numFmtId="43" fontId="0" fillId="0" borderId="5" xfId="6" applyNumberFormat="1" applyFont="1" applyBorder="1"/>
    <xf numFmtId="0" fontId="2" fillId="0" borderId="1" xfId="0" applyFont="1" applyBorder="1"/>
    <xf numFmtId="0" fontId="17" fillId="8" borderId="5" xfId="0" applyFont="1" applyFill="1" applyBorder="1"/>
    <xf numFmtId="0" fontId="17" fillId="0" borderId="5" xfId="0" applyFont="1" applyBorder="1"/>
    <xf numFmtId="43" fontId="0" fillId="0" borderId="0" xfId="0" applyNumberFormat="1"/>
    <xf numFmtId="0" fontId="18" fillId="0" borderId="0" xfId="0" applyFont="1"/>
    <xf numFmtId="0" fontId="9" fillId="9" borderId="0" xfId="5" applyFont="1" applyFill="1"/>
    <xf numFmtId="0" fontId="9" fillId="9" borderId="0" xfId="5" applyFont="1" applyFill="1" applyAlignment="1">
      <alignment horizontal="right"/>
    </xf>
    <xf numFmtId="0" fontId="13" fillId="9" borderId="0" xfId="5" applyFont="1" applyFill="1"/>
    <xf numFmtId="0" fontId="2" fillId="4" borderId="1" xfId="1" applyFont="1" applyFill="1" applyBorder="1"/>
    <xf numFmtId="0" fontId="2" fillId="0" borderId="1" xfId="1" applyFont="1" applyBorder="1"/>
    <xf numFmtId="43" fontId="0" fillId="0" borderId="7" xfId="6" applyNumberFormat="1" applyFont="1" applyBorder="1"/>
    <xf numFmtId="0" fontId="0" fillId="0" borderId="7" xfId="0" applyBorder="1"/>
    <xf numFmtId="0" fontId="9" fillId="0" borderId="7" xfId="0" applyFont="1" applyBorder="1"/>
    <xf numFmtId="43" fontId="14" fillId="0" borderId="7" xfId="0" applyNumberFormat="1" applyFont="1" applyBorder="1"/>
    <xf numFmtId="0" fontId="16" fillId="7" borderId="6" xfId="0" applyFont="1" applyFill="1" applyBorder="1"/>
    <xf numFmtId="0" fontId="17" fillId="0" borderId="7" xfId="0" applyFont="1" applyBorder="1"/>
    <xf numFmtId="0" fontId="0" fillId="8" borderId="5" xfId="0" applyNumberFormat="1" applyFont="1" applyFill="1" applyBorder="1"/>
    <xf numFmtId="0" fontId="0" fillId="0" borderId="5" xfId="0" applyNumberFormat="1" applyFont="1" applyBorder="1"/>
    <xf numFmtId="0" fontId="11" fillId="7" borderId="6" xfId="0" applyFont="1" applyFill="1" applyBorder="1"/>
    <xf numFmtId="43" fontId="11" fillId="7" borderId="6" xfId="6" applyNumberFormat="1" applyFont="1" applyFill="1" applyBorder="1"/>
    <xf numFmtId="0" fontId="0" fillId="8" borderId="7" xfId="0" applyNumberFormat="1" applyFont="1" applyFill="1" applyBorder="1"/>
    <xf numFmtId="43" fontId="0" fillId="8" borderId="7" xfId="6" applyNumberFormat="1" applyFont="1" applyFill="1" applyBorder="1"/>
    <xf numFmtId="0" fontId="0" fillId="10" borderId="7" xfId="0" applyFont="1" applyFill="1" applyBorder="1"/>
    <xf numFmtId="43" fontId="14" fillId="10" borderId="7" xfId="0" applyNumberFormat="1" applyFont="1" applyFill="1" applyBorder="1"/>
    <xf numFmtId="0" fontId="0" fillId="11" borderId="0" xfId="0" applyFill="1"/>
    <xf numFmtId="164" fontId="0" fillId="0" borderId="7" xfId="6" applyFont="1" applyBorder="1"/>
    <xf numFmtId="0" fontId="12" fillId="0" borderId="1" xfId="0" applyFont="1" applyBorder="1"/>
    <xf numFmtId="164" fontId="12" fillId="0" borderId="1" xfId="6" applyFont="1" applyBorder="1"/>
    <xf numFmtId="0" fontId="15" fillId="12" borderId="8" xfId="0" applyFont="1" applyFill="1" applyBorder="1"/>
    <xf numFmtId="0" fontId="15" fillId="12" borderId="9" xfId="0" applyFont="1" applyFill="1" applyBorder="1"/>
    <xf numFmtId="0" fontId="9" fillId="13" borderId="8" xfId="0" applyFont="1" applyFill="1" applyBorder="1"/>
    <xf numFmtId="0" fontId="9" fillId="13" borderId="9" xfId="0" applyFont="1" applyFill="1" applyBorder="1"/>
    <xf numFmtId="164" fontId="9" fillId="13" borderId="9" xfId="6" applyFont="1" applyFill="1" applyBorder="1"/>
    <xf numFmtId="0" fontId="9" fillId="0" borderId="8" xfId="0" applyFont="1" applyBorder="1"/>
    <xf numFmtId="0" fontId="9" fillId="0" borderId="9" xfId="0" applyFont="1" applyBorder="1"/>
    <xf numFmtId="164" fontId="9" fillId="0" borderId="9" xfId="6" applyFont="1" applyBorder="1"/>
    <xf numFmtId="0" fontId="13" fillId="0" borderId="10" xfId="0" applyFont="1" applyBorder="1"/>
    <xf numFmtId="0" fontId="13" fillId="0" borderId="11" xfId="0" applyFont="1" applyBorder="1"/>
    <xf numFmtId="164" fontId="13" fillId="0" borderId="11" xfId="6" applyFont="1" applyBorder="1"/>
  </cellXfs>
  <cellStyles count="7">
    <cellStyle name="Millares" xfId="6" builtinId="3"/>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24">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fill>
        <patternFill patternType="solid">
          <fgColor theme="9" tint="0.79998168889431442"/>
          <bgColor theme="0"/>
        </patternFill>
      </fill>
    </dxf>
    <dxf>
      <font>
        <b val="0"/>
        <i val="0"/>
        <strike val="0"/>
        <condense val="0"/>
        <extend val="0"/>
        <outline val="0"/>
        <shadow val="0"/>
        <u val="none"/>
        <vertAlign val="baseline"/>
        <sz val="11"/>
        <color theme="1"/>
        <name val="Calibri"/>
        <family val="2"/>
        <scheme val="minor"/>
      </font>
      <numFmt numFmtId="35" formatCode="_-* #,##0.00_-;\-* #,##0.00_-;_-* &quot;-&quot;??_-;_-@_-"/>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0"/>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0"/>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fill>
        <patternFill>
          <bgColor theme="0"/>
        </patternFill>
      </fill>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35" formatCode="_-* #,##0.00_-;\-* #,##0.00_-;_-* &quot;-&quot;??_-;_-@_-"/>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border diagonalUp="0" diagonalDown="0" outline="0">
        <left/>
        <right/>
        <top/>
        <bottom/>
      </border>
    </dxf>
    <dxf>
      <font>
        <b val="0"/>
        <i val="0"/>
        <strike val="0"/>
        <condense val="0"/>
        <extend val="0"/>
        <outline val="0"/>
        <shadow val="0"/>
        <u val="none"/>
        <vertAlign val="baseline"/>
        <sz val="10"/>
        <color theme="1"/>
        <name val="Arial"/>
        <family val="2"/>
        <scheme val="none"/>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border diagonalUp="0" diagonalDown="0" outline="0">
        <left/>
        <right/>
        <top/>
        <bottom/>
      </border>
    </dxf>
    <dxf>
      <font>
        <b val="0"/>
        <i val="0"/>
        <strike val="0"/>
        <condense val="0"/>
        <extend val="0"/>
        <outline val="0"/>
        <shadow val="0"/>
        <u val="none"/>
        <vertAlign val="baseline"/>
        <sz val="10"/>
        <color theme="1"/>
        <name val="Arial"/>
        <family val="2"/>
        <scheme val="none"/>
      </font>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ADF570-BEF9-4C13-9A99-6B86D03B5B4E}" name="Tabla2" displayName="Tabla2" ref="A1:C44" totalsRowCount="1" headerRowDxfId="23" headerRowBorderDxfId="22" tableBorderDxfId="21" totalsRowBorderDxfId="20">
  <autoFilter ref="A1:C43" xr:uid="{5AB47B48-082B-4BD8-9E57-C672A06E1F4E}"/>
  <tableColumns count="3">
    <tableColumn id="1" xr3:uid="{FD7CE786-D792-4E38-8F44-34B03CAFA4D6}" name="Cód. org. aplic." totalsRowLabel="Total" dataDxfId="19" totalsRowDxfId="18"/>
    <tableColumn id="2" xr3:uid="{3F35F708-ED16-4A88-A8E9-0CDF90AE7AAD}" name="Descripción justificante" dataDxfId="17" totalsRowDxfId="16"/>
    <tableColumn id="3" xr3:uid="{FE57DCA4-84A3-4876-ADDD-2A217F1358BC}" name="Imp.cob.aplic." totalsRowFunction="sum" dataDxfId="15" totalsRowDxfId="14" dataCellStyle="Millares" totalsRowCellStyle="Millares"/>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1D3FBF2-499C-4A52-B64C-52340C1AEE1D}" name="Tabla3" displayName="Tabla3" ref="A1:C43" totalsRowCount="1" totalsRowDxfId="11" headerRowBorderDxfId="13" tableBorderDxfId="12" totalsRowBorderDxfId="10">
  <autoFilter ref="A1:C42" xr:uid="{762A6656-5F99-4DE9-9B9B-C4919645E4E0}"/>
  <tableColumns count="3">
    <tableColumn id="1" xr3:uid="{6BB9054B-527B-4137-BA4F-6172C325ADB4}" name="Org. aplic." totalsRowLabel="Total" dataDxfId="9" totalsRowDxfId="8"/>
    <tableColumn id="2" xr3:uid="{C6EA6BD1-7693-4C65-9098-C9C0915B86E2}" name="Descripción justificante" dataDxfId="7" totalsRowDxfId="6"/>
    <tableColumn id="3" xr3:uid="{6CB76A46-8A24-4935-929A-C18961B4AAAA}" name="Imp. aplic." totalsRowFunction="sum" dataDxfId="5" totalsRowDxfId="4" dataCellStyle="Millares" totalsRowCellStyle="Millar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D1F6C6D-095D-4A5E-82AA-D3251A7211A7}" name="Tabla5" displayName="Tabla5" ref="A1:C5" totalsRowCount="1" headerRowDxfId="3" headerRowBorderDxfId="2" tableBorderDxfId="1" totalsRowBorderDxfId="0">
  <autoFilter ref="A1:C4" xr:uid="{3519CDB7-CDC7-4D23-B234-048FA5CF985D}"/>
  <tableColumns count="3">
    <tableColumn id="1" xr3:uid="{2F2362A5-EFE6-43C3-8DCC-13B35AFF45A1}" name="Org. aplic." totalsRowLabel="Total"/>
    <tableColumn id="2" xr3:uid="{0C62E853-9134-4CBF-8F66-EFE751FA393C}" name="Descripción justificante"/>
    <tableColumn id="3" xr3:uid="{ECED832C-8A04-42B3-8105-90C6D12EF7E7}" name="Imp. aplic." totalsRowFunction="sum"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11"/>
  <sheetViews>
    <sheetView showGridLines="0" zoomScale="120" zoomScaleNormal="120" workbookViewId="0">
      <pane xSplit="1" ySplit="1" topLeftCell="B2" activePane="bottomRight" state="frozen"/>
      <selection pane="topRight" activeCell="B1" sqref="B1"/>
      <selection pane="bottomLeft" activeCell="A2" sqref="A2"/>
      <selection pane="bottomRight" activeCell="E25" sqref="E25"/>
    </sheetView>
  </sheetViews>
  <sheetFormatPr baseColWidth="10" defaultColWidth="10.33203125" defaultRowHeight="10.199999999999999" x14ac:dyDescent="0.2"/>
  <cols>
    <col min="1" max="1" width="5" style="6" customWidth="1"/>
    <col min="2" max="4" width="29.6640625" style="6" customWidth="1"/>
    <col min="5" max="5" width="40.6640625" style="6" customWidth="1"/>
    <col min="6" max="6" width="9.109375" style="6" customWidth="1"/>
    <col min="7" max="7" width="9.6640625" style="6" customWidth="1"/>
    <col min="8" max="8" width="14.44140625" style="6" customWidth="1"/>
    <col min="9" max="9" width="5.88671875" style="6" customWidth="1"/>
    <col min="10" max="10" width="40.33203125" style="6" customWidth="1"/>
    <col min="11" max="12" width="5.109375" style="6" customWidth="1"/>
    <col min="13" max="13" width="4.44140625" style="6" customWidth="1"/>
    <col min="14" max="14" width="4.88671875" style="6" customWidth="1"/>
    <col min="15" max="15" width="4.88671875" style="10" customWidth="1"/>
    <col min="16" max="16" width="4.88671875" style="6" customWidth="1"/>
    <col min="17" max="17" width="3.5546875" style="10" customWidth="1"/>
    <col min="18" max="18" width="4.6640625" style="6" customWidth="1"/>
    <col min="19" max="21" width="5.109375" style="6" customWidth="1"/>
    <col min="22" max="16384" width="10.33203125" style="6"/>
  </cols>
  <sheetData>
    <row r="1" spans="1:25" ht="41.4" thickBot="1" x14ac:dyDescent="0.25">
      <c r="A1" s="1" t="s">
        <v>1</v>
      </c>
      <c r="B1" s="2" t="s">
        <v>2</v>
      </c>
      <c r="C1" s="2" t="s">
        <v>3</v>
      </c>
      <c r="D1" s="2" t="s">
        <v>4</v>
      </c>
      <c r="E1" s="2" t="s">
        <v>5</v>
      </c>
      <c r="F1" s="2" t="s">
        <v>6</v>
      </c>
      <c r="G1" s="2" t="s">
        <v>7</v>
      </c>
      <c r="H1" s="2" t="s">
        <v>8</v>
      </c>
      <c r="I1" s="1" t="s">
        <v>9</v>
      </c>
      <c r="J1" s="2" t="s">
        <v>10</v>
      </c>
      <c r="K1" s="1" t="s">
        <v>11</v>
      </c>
      <c r="L1" s="2" t="s">
        <v>12</v>
      </c>
      <c r="M1" s="3" t="s">
        <v>13</v>
      </c>
      <c r="N1" s="4" t="s">
        <v>14</v>
      </c>
      <c r="O1" s="5" t="s">
        <v>15</v>
      </c>
      <c r="P1" s="4" t="s">
        <v>16</v>
      </c>
      <c r="Q1" s="5" t="s">
        <v>17</v>
      </c>
      <c r="R1" s="4" t="s">
        <v>18</v>
      </c>
      <c r="S1" s="4" t="s">
        <v>19</v>
      </c>
      <c r="T1" s="4" t="s">
        <v>20</v>
      </c>
      <c r="U1" s="4" t="s">
        <v>21</v>
      </c>
    </row>
    <row r="2" spans="1:25" ht="10.8" thickBot="1" x14ac:dyDescent="0.25">
      <c r="A2" s="22" t="s">
        <v>31</v>
      </c>
      <c r="B2" s="22" t="s">
        <v>32</v>
      </c>
      <c r="C2" s="22" t="s">
        <v>33</v>
      </c>
      <c r="D2" s="22" t="s">
        <v>68</v>
      </c>
      <c r="E2" s="22" t="s">
        <v>69</v>
      </c>
      <c r="F2" s="22" t="s">
        <v>70</v>
      </c>
      <c r="G2" s="23" t="s">
        <v>35</v>
      </c>
      <c r="H2" s="24" t="s">
        <v>22</v>
      </c>
      <c r="I2" s="24" t="s">
        <v>38</v>
      </c>
      <c r="J2" s="25" t="s">
        <v>39</v>
      </c>
      <c r="K2" s="26">
        <v>0.5</v>
      </c>
      <c r="L2" s="26" t="s">
        <v>34</v>
      </c>
      <c r="M2" s="20">
        <v>2020</v>
      </c>
      <c r="N2" s="20" t="s">
        <v>23</v>
      </c>
      <c r="O2" s="21" t="s">
        <v>23</v>
      </c>
      <c r="P2" s="20" t="s">
        <v>23</v>
      </c>
      <c r="Q2" s="21" t="s">
        <v>23</v>
      </c>
      <c r="R2" s="20">
        <v>100</v>
      </c>
      <c r="S2" s="20">
        <v>0.5</v>
      </c>
      <c r="T2" s="20">
        <v>0</v>
      </c>
      <c r="U2" s="20">
        <v>0</v>
      </c>
    </row>
    <row r="3" spans="1:25" ht="10.8" thickBot="1" x14ac:dyDescent="0.25">
      <c r="A3" s="22" t="s">
        <v>31</v>
      </c>
      <c r="B3" s="22" t="s">
        <v>32</v>
      </c>
      <c r="C3" s="22" t="s">
        <v>33</v>
      </c>
      <c r="D3" s="22" t="s">
        <v>71</v>
      </c>
      <c r="E3" s="22" t="s">
        <v>72</v>
      </c>
      <c r="F3" s="22" t="s">
        <v>73</v>
      </c>
      <c r="G3" s="23" t="s">
        <v>36</v>
      </c>
      <c r="H3" s="24" t="s">
        <v>22</v>
      </c>
      <c r="I3" s="24" t="s">
        <v>38</v>
      </c>
      <c r="J3" s="25" t="s">
        <v>39</v>
      </c>
      <c r="K3" s="26">
        <v>0.5</v>
      </c>
      <c r="L3" s="26" t="s">
        <v>34</v>
      </c>
      <c r="M3" s="20">
        <v>2020</v>
      </c>
      <c r="N3" s="20" t="s">
        <v>23</v>
      </c>
      <c r="O3" s="21" t="s">
        <v>23</v>
      </c>
      <c r="P3" s="20" t="s">
        <v>23</v>
      </c>
      <c r="Q3" s="21" t="s">
        <v>23</v>
      </c>
      <c r="R3" s="20">
        <v>100</v>
      </c>
      <c r="S3" s="20">
        <v>0.5</v>
      </c>
      <c r="T3" s="20">
        <v>0</v>
      </c>
      <c r="U3" s="20">
        <v>0</v>
      </c>
    </row>
    <row r="4" spans="1:25" x14ac:dyDescent="0.2">
      <c r="A4" s="20" t="s">
        <v>31</v>
      </c>
      <c r="B4" s="20" t="s">
        <v>32</v>
      </c>
      <c r="C4" s="20" t="s">
        <v>33</v>
      </c>
      <c r="D4" s="20" t="s">
        <v>76</v>
      </c>
      <c r="E4" s="20" t="s">
        <v>77</v>
      </c>
      <c r="F4" s="20" t="s">
        <v>78</v>
      </c>
      <c r="G4" s="20" t="s">
        <v>35</v>
      </c>
      <c r="H4" s="20" t="s">
        <v>22</v>
      </c>
      <c r="I4" s="20" t="s">
        <v>38</v>
      </c>
      <c r="J4" s="20" t="s">
        <v>39</v>
      </c>
      <c r="K4" s="26">
        <v>0.5</v>
      </c>
      <c r="L4" s="26" t="s">
        <v>34</v>
      </c>
      <c r="M4" s="20">
        <v>2021</v>
      </c>
      <c r="N4" s="20" t="s">
        <v>23</v>
      </c>
      <c r="O4" s="21" t="s">
        <v>23</v>
      </c>
      <c r="P4" s="20" t="s">
        <v>23</v>
      </c>
      <c r="Q4" s="21" t="s">
        <v>23</v>
      </c>
      <c r="R4" s="20">
        <v>100</v>
      </c>
      <c r="S4" s="20">
        <v>0.5</v>
      </c>
      <c r="T4" s="20">
        <v>0</v>
      </c>
      <c r="U4" s="20">
        <v>0</v>
      </c>
    </row>
    <row r="5" spans="1:25" x14ac:dyDescent="0.2">
      <c r="A5" s="20" t="s">
        <v>26</v>
      </c>
      <c r="B5" s="20" t="s">
        <v>27</v>
      </c>
      <c r="C5" s="20" t="s">
        <v>28</v>
      </c>
      <c r="D5" s="20" t="s">
        <v>79</v>
      </c>
      <c r="E5" s="20" t="s">
        <v>80</v>
      </c>
      <c r="F5" s="20" t="s">
        <v>81</v>
      </c>
      <c r="G5" s="20" t="s">
        <v>37</v>
      </c>
      <c r="H5" s="20" t="s">
        <v>22</v>
      </c>
      <c r="I5" s="20" t="s">
        <v>38</v>
      </c>
      <c r="J5" s="20" t="s">
        <v>39</v>
      </c>
      <c r="K5" s="26">
        <v>0.5</v>
      </c>
      <c r="L5" s="26" t="s">
        <v>34</v>
      </c>
      <c r="M5" s="20">
        <v>2021</v>
      </c>
      <c r="N5" s="20" t="s">
        <v>25</v>
      </c>
      <c r="O5" s="21">
        <v>50</v>
      </c>
      <c r="P5" s="20" t="s">
        <v>23</v>
      </c>
      <c r="Q5" s="21">
        <v>0</v>
      </c>
      <c r="R5" s="20">
        <v>50</v>
      </c>
      <c r="S5" s="20">
        <v>0.25</v>
      </c>
      <c r="T5" s="20">
        <v>0.25</v>
      </c>
      <c r="U5" s="20">
        <v>0</v>
      </c>
    </row>
    <row r="6" spans="1:25" x14ac:dyDescent="0.2">
      <c r="A6" s="20" t="s">
        <v>31</v>
      </c>
      <c r="B6" s="20" t="s">
        <v>32</v>
      </c>
      <c r="C6" s="20" t="s">
        <v>33</v>
      </c>
      <c r="D6" s="20" t="s">
        <v>89</v>
      </c>
      <c r="E6" s="20" t="s">
        <v>90</v>
      </c>
      <c r="F6" s="20" t="s">
        <v>91</v>
      </c>
      <c r="G6" s="20" t="s">
        <v>92</v>
      </c>
      <c r="H6" s="20" t="s">
        <v>22</v>
      </c>
      <c r="I6" s="20" t="s">
        <v>38</v>
      </c>
      <c r="J6" s="20" t="s">
        <v>39</v>
      </c>
      <c r="K6" s="29">
        <v>0.5</v>
      </c>
      <c r="L6" s="29" t="s">
        <v>34</v>
      </c>
      <c r="M6" s="20">
        <v>2022</v>
      </c>
      <c r="N6" s="29" t="s">
        <v>30</v>
      </c>
      <c r="O6" s="29">
        <v>50</v>
      </c>
      <c r="P6" s="29" t="s">
        <v>23</v>
      </c>
      <c r="Q6" s="29">
        <v>0</v>
      </c>
      <c r="R6" s="29">
        <v>50</v>
      </c>
      <c r="S6" s="29">
        <v>0.25</v>
      </c>
      <c r="T6" s="29">
        <v>0.25</v>
      </c>
      <c r="U6" s="29">
        <v>0</v>
      </c>
    </row>
    <row r="7" spans="1:25" x14ac:dyDescent="0.2">
      <c r="A7" s="20" t="s">
        <v>31</v>
      </c>
      <c r="B7" s="20" t="s">
        <v>32</v>
      </c>
      <c r="C7" s="20" t="s">
        <v>33</v>
      </c>
      <c r="D7" s="20" t="s">
        <v>89</v>
      </c>
      <c r="E7" s="20" t="s">
        <v>90</v>
      </c>
      <c r="F7" s="20" t="s">
        <v>91</v>
      </c>
      <c r="G7" s="20" t="s">
        <v>93</v>
      </c>
      <c r="H7" s="20" t="s">
        <v>22</v>
      </c>
      <c r="I7" s="20" t="s">
        <v>38</v>
      </c>
      <c r="J7" s="20" t="s">
        <v>39</v>
      </c>
      <c r="K7" s="29">
        <v>0.5</v>
      </c>
      <c r="L7" s="29" t="s">
        <v>34</v>
      </c>
      <c r="M7" s="20">
        <v>2022</v>
      </c>
      <c r="N7" s="29" t="s">
        <v>23</v>
      </c>
      <c r="O7" s="29" t="s">
        <v>23</v>
      </c>
      <c r="P7" s="29" t="s">
        <v>23</v>
      </c>
      <c r="Q7" s="29" t="s">
        <v>23</v>
      </c>
      <c r="R7" s="29">
        <v>100</v>
      </c>
      <c r="S7" s="29">
        <v>0.5</v>
      </c>
      <c r="T7" s="29">
        <v>0</v>
      </c>
      <c r="U7" s="29">
        <v>0</v>
      </c>
    </row>
    <row r="8" spans="1:25" x14ac:dyDescent="0.2">
      <c r="A8" s="20" t="s">
        <v>31</v>
      </c>
      <c r="B8" s="20" t="s">
        <v>32</v>
      </c>
      <c r="C8" s="20" t="s">
        <v>33</v>
      </c>
      <c r="D8" s="20" t="s">
        <v>94</v>
      </c>
      <c r="E8" s="20" t="s">
        <v>95</v>
      </c>
      <c r="F8" s="20" t="s">
        <v>96</v>
      </c>
      <c r="G8" s="20" t="s">
        <v>35</v>
      </c>
      <c r="H8" s="20" t="s">
        <v>22</v>
      </c>
      <c r="I8" s="20" t="s">
        <v>38</v>
      </c>
      <c r="J8" s="20" t="s">
        <v>39</v>
      </c>
      <c r="K8" s="29">
        <v>0.5</v>
      </c>
      <c r="L8" s="29" t="s">
        <v>34</v>
      </c>
      <c r="M8" s="20">
        <v>2022</v>
      </c>
      <c r="N8" s="29" t="s">
        <v>23</v>
      </c>
      <c r="O8" s="29" t="s">
        <v>23</v>
      </c>
      <c r="P8" s="29" t="s">
        <v>23</v>
      </c>
      <c r="Q8" s="29" t="s">
        <v>23</v>
      </c>
      <c r="R8" s="29">
        <v>100</v>
      </c>
      <c r="S8" s="29">
        <v>0.5</v>
      </c>
      <c r="T8" s="29">
        <v>0</v>
      </c>
      <c r="U8" s="29">
        <v>0</v>
      </c>
    </row>
    <row r="9" spans="1:25" customFormat="1" ht="10.199999999999999" customHeight="1" x14ac:dyDescent="0.3">
      <c r="A9" s="37" t="s">
        <v>168</v>
      </c>
      <c r="B9" s="37" t="s">
        <v>169</v>
      </c>
      <c r="C9" s="37" t="s">
        <v>170</v>
      </c>
      <c r="D9" s="37" t="s">
        <v>171</v>
      </c>
      <c r="E9" s="37" t="s">
        <v>172</v>
      </c>
      <c r="F9" s="37" t="s">
        <v>173</v>
      </c>
      <c r="G9" s="37" t="s">
        <v>174</v>
      </c>
      <c r="H9" s="37" t="s">
        <v>175</v>
      </c>
      <c r="I9" s="38" t="s">
        <v>34</v>
      </c>
      <c r="J9" s="37" t="s">
        <v>176</v>
      </c>
      <c r="K9" s="29">
        <v>1</v>
      </c>
      <c r="L9" s="29" t="s">
        <v>34</v>
      </c>
      <c r="M9" s="29">
        <v>2023</v>
      </c>
      <c r="N9" s="29" t="s">
        <v>23</v>
      </c>
      <c r="O9" s="29" t="s">
        <v>23</v>
      </c>
      <c r="P9" s="29" t="s">
        <v>23</v>
      </c>
      <c r="Q9" s="29" t="s">
        <v>23</v>
      </c>
      <c r="R9" s="29">
        <v>100</v>
      </c>
      <c r="S9" s="29">
        <v>1</v>
      </c>
      <c r="T9" s="29">
        <v>0</v>
      </c>
      <c r="U9" s="29">
        <v>0</v>
      </c>
      <c r="V9" s="33"/>
      <c r="Y9" s="6"/>
    </row>
    <row r="10" spans="1:25" customFormat="1" ht="10.199999999999999" customHeight="1" x14ac:dyDescent="0.3">
      <c r="A10" s="37" t="s">
        <v>168</v>
      </c>
      <c r="B10" s="37" t="s">
        <v>169</v>
      </c>
      <c r="C10" s="37" t="s">
        <v>170</v>
      </c>
      <c r="D10" s="37" t="s">
        <v>177</v>
      </c>
      <c r="E10" s="37" t="s">
        <v>178</v>
      </c>
      <c r="F10" s="37" t="s">
        <v>179</v>
      </c>
      <c r="G10" s="37" t="s">
        <v>57</v>
      </c>
      <c r="H10" s="37" t="s">
        <v>175</v>
      </c>
      <c r="I10" s="38" t="s">
        <v>34</v>
      </c>
      <c r="J10" s="37" t="s">
        <v>176</v>
      </c>
      <c r="K10" s="29">
        <v>1</v>
      </c>
      <c r="L10" s="29" t="s">
        <v>34</v>
      </c>
      <c r="M10" s="29">
        <v>2023</v>
      </c>
      <c r="N10" s="29" t="s">
        <v>97</v>
      </c>
      <c r="O10" s="29" t="s">
        <v>180</v>
      </c>
      <c r="P10" s="29" t="s">
        <v>23</v>
      </c>
      <c r="Q10" s="29" t="s">
        <v>23</v>
      </c>
      <c r="R10" s="29">
        <v>50</v>
      </c>
      <c r="S10" s="29">
        <v>0.5</v>
      </c>
      <c r="T10" s="29">
        <v>0.5</v>
      </c>
      <c r="U10" s="29">
        <v>0</v>
      </c>
      <c r="V10" s="33"/>
      <c r="Y10" s="6"/>
    </row>
    <row r="11" spans="1:25" x14ac:dyDescent="0.2">
      <c r="A11" s="7"/>
      <c r="B11" s="7"/>
      <c r="C11" s="7"/>
      <c r="D11" s="7"/>
      <c r="E11" s="7"/>
      <c r="F11" s="7"/>
      <c r="G11" s="7"/>
      <c r="H11" s="7"/>
      <c r="I11" s="7"/>
      <c r="J11" s="7"/>
      <c r="K11" s="7"/>
      <c r="L11" s="7"/>
      <c r="M11" s="7"/>
      <c r="N11" s="7"/>
      <c r="O11" s="8"/>
      <c r="P11" s="7"/>
      <c r="Q11" s="8"/>
      <c r="R11" s="7"/>
      <c r="S11" s="9">
        <f>SUM(S2:S10)</f>
        <v>4.5</v>
      </c>
      <c r="T11" s="7"/>
      <c r="U11" s="7"/>
    </row>
  </sheetData>
  <autoFilter ref="A1:U8" xr:uid="{00000000-0009-0000-0000-000000000000}">
    <sortState xmlns:xlrd2="http://schemas.microsoft.com/office/spreadsheetml/2017/richdata2" ref="A2:U1894">
      <sortCondition ref="L2:L1894"/>
      <sortCondition ref="M2:M1894"/>
      <sortCondition ref="D2:D1894"/>
    </sortState>
  </autoFilter>
  <printOptions horizontalCentered="1"/>
  <pageMargins left="0.19685039370078741" right="0.19685039370078741" top="0.39370078740157483" bottom="0.39370078740157483" header="0.78740157480314965" footer="0"/>
  <pageSetup paperSize="9" scale="93" fitToWidth="2" fitToHeight="5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28"/>
  <sheetViews>
    <sheetView zoomScaleNormal="100" workbookViewId="0">
      <selection activeCell="V26" sqref="V26"/>
    </sheetView>
  </sheetViews>
  <sheetFormatPr baseColWidth="10" defaultColWidth="11.44140625" defaultRowHeight="13.2" x14ac:dyDescent="0.25"/>
  <cols>
    <col min="1" max="1" width="10.5546875" style="14" bestFit="1" customWidth="1"/>
    <col min="2" max="2" width="37" style="14" bestFit="1" customWidth="1"/>
    <col min="3" max="3" width="14.5546875" style="14" bestFit="1" customWidth="1"/>
    <col min="4" max="9" width="3.33203125" style="14" bestFit="1" customWidth="1"/>
    <col min="10" max="10" width="13.109375" style="14" bestFit="1" customWidth="1"/>
    <col min="11" max="11" width="5.33203125" style="14" bestFit="1" customWidth="1"/>
    <col min="12" max="13" width="5.6640625" style="14" bestFit="1" customWidth="1"/>
    <col min="14" max="14" width="5.6640625" style="15" bestFit="1" customWidth="1"/>
    <col min="15" max="15" width="5.6640625" style="14" bestFit="1" customWidth="1"/>
    <col min="16" max="16" width="5.6640625" style="15" bestFit="1" customWidth="1"/>
    <col min="17" max="19" width="5.6640625" style="14" bestFit="1" customWidth="1"/>
    <col min="20" max="16384" width="11.44140625" style="14"/>
  </cols>
  <sheetData>
    <row r="1" spans="1:19" s="13" customFormat="1" ht="60" customHeight="1" x14ac:dyDescent="0.25">
      <c r="A1" s="16" t="s">
        <v>40</v>
      </c>
      <c r="B1" s="16" t="s">
        <v>41</v>
      </c>
      <c r="C1" s="16" t="s">
        <v>42</v>
      </c>
      <c r="D1" s="17" t="s">
        <v>283</v>
      </c>
      <c r="E1" s="17" t="s">
        <v>284</v>
      </c>
      <c r="F1" s="17" t="s">
        <v>285</v>
      </c>
      <c r="G1" s="17" t="s">
        <v>286</v>
      </c>
      <c r="H1" s="17" t="s">
        <v>287</v>
      </c>
      <c r="I1" s="17" t="s">
        <v>288</v>
      </c>
      <c r="J1" s="16" t="s">
        <v>43</v>
      </c>
      <c r="K1" s="18" t="s">
        <v>63</v>
      </c>
      <c r="L1" s="11" t="s">
        <v>44</v>
      </c>
      <c r="M1" s="11" t="s">
        <v>45</v>
      </c>
      <c r="N1" s="11" t="s">
        <v>46</v>
      </c>
      <c r="O1" s="11" t="s">
        <v>47</v>
      </c>
      <c r="P1" s="12" t="s">
        <v>48</v>
      </c>
      <c r="Q1" s="12" t="s">
        <v>49</v>
      </c>
      <c r="R1" s="12" t="s">
        <v>50</v>
      </c>
      <c r="S1" s="12" t="s">
        <v>51</v>
      </c>
    </row>
    <row r="2" spans="1:19" ht="14.4" x14ac:dyDescent="0.3">
      <c r="A2" s="19" t="s">
        <v>255</v>
      </c>
      <c r="B2" s="19" t="s">
        <v>171</v>
      </c>
      <c r="C2" s="19" t="s">
        <v>62</v>
      </c>
      <c r="D2" s="19"/>
      <c r="E2" s="19"/>
      <c r="F2" s="19"/>
      <c r="G2" s="19"/>
      <c r="H2" s="19"/>
      <c r="I2" s="19">
        <v>1</v>
      </c>
      <c r="J2" s="19">
        <v>1</v>
      </c>
      <c r="K2" s="19" t="s">
        <v>34</v>
      </c>
      <c r="L2" s="19">
        <v>0</v>
      </c>
      <c r="M2" s="19">
        <v>0</v>
      </c>
      <c r="N2" s="19" t="s">
        <v>23</v>
      </c>
      <c r="O2" s="19" t="s">
        <v>23</v>
      </c>
      <c r="P2" s="19">
        <v>100</v>
      </c>
      <c r="Q2" s="19">
        <v>0</v>
      </c>
      <c r="R2" s="19">
        <v>0</v>
      </c>
      <c r="S2" s="19">
        <v>1</v>
      </c>
    </row>
    <row r="3" spans="1:19" ht="14.4" x14ac:dyDescent="0.3">
      <c r="A3" s="19" t="s">
        <v>56</v>
      </c>
      <c r="B3" s="19" t="s">
        <v>256</v>
      </c>
      <c r="C3" s="19" t="s">
        <v>52</v>
      </c>
      <c r="D3" s="19"/>
      <c r="E3" s="19"/>
      <c r="F3" s="19"/>
      <c r="G3" s="19"/>
      <c r="H3" s="19">
        <v>1</v>
      </c>
      <c r="I3" s="19"/>
      <c r="J3" s="19">
        <v>1</v>
      </c>
      <c r="K3" s="19" t="s">
        <v>34</v>
      </c>
      <c r="L3" s="19" t="s">
        <v>29</v>
      </c>
      <c r="M3" s="19" t="s">
        <v>24</v>
      </c>
      <c r="N3" s="19" t="s">
        <v>23</v>
      </c>
      <c r="O3" s="19" t="s">
        <v>23</v>
      </c>
      <c r="P3" s="19">
        <v>90</v>
      </c>
      <c r="Q3" s="19">
        <v>0.1</v>
      </c>
      <c r="R3" s="19">
        <v>0</v>
      </c>
      <c r="S3" s="19">
        <v>0.9</v>
      </c>
    </row>
    <row r="4" spans="1:19" ht="14.4" x14ac:dyDescent="0.3">
      <c r="A4" s="19" t="s">
        <v>55</v>
      </c>
      <c r="B4" s="19" t="s">
        <v>257</v>
      </c>
      <c r="C4" s="19" t="s">
        <v>52</v>
      </c>
      <c r="D4" s="19"/>
      <c r="E4" s="19"/>
      <c r="F4" s="19"/>
      <c r="G4" s="19"/>
      <c r="H4" s="19">
        <v>1</v>
      </c>
      <c r="I4" s="19"/>
      <c r="J4" s="19">
        <v>1</v>
      </c>
      <c r="K4" s="19" t="s">
        <v>34</v>
      </c>
      <c r="L4" s="19" t="s">
        <v>30</v>
      </c>
      <c r="M4" s="19" t="s">
        <v>180</v>
      </c>
      <c r="N4" s="19" t="s">
        <v>23</v>
      </c>
      <c r="O4" s="19" t="s">
        <v>23</v>
      </c>
      <c r="P4" s="19">
        <v>50</v>
      </c>
      <c r="Q4" s="19">
        <v>0.5</v>
      </c>
      <c r="R4" s="19">
        <v>0</v>
      </c>
      <c r="S4" s="19">
        <v>0.5</v>
      </c>
    </row>
    <row r="5" spans="1:19" ht="14.4" x14ac:dyDescent="0.3">
      <c r="A5" s="19" t="s">
        <v>181</v>
      </c>
      <c r="B5" s="19" t="s">
        <v>258</v>
      </c>
      <c r="C5" s="19" t="s">
        <v>52</v>
      </c>
      <c r="D5" s="19"/>
      <c r="E5" s="19"/>
      <c r="F5" s="19"/>
      <c r="G5" s="19"/>
      <c r="H5" s="19">
        <v>1</v>
      </c>
      <c r="I5" s="19">
        <v>1</v>
      </c>
      <c r="J5" s="19">
        <v>2</v>
      </c>
      <c r="K5" s="19" t="s">
        <v>34</v>
      </c>
      <c r="L5" s="19">
        <v>0</v>
      </c>
      <c r="M5" s="19">
        <v>0</v>
      </c>
      <c r="N5" s="19" t="s">
        <v>23</v>
      </c>
      <c r="O5" s="19" t="s">
        <v>23</v>
      </c>
      <c r="P5" s="19">
        <v>100</v>
      </c>
      <c r="Q5" s="19">
        <v>0</v>
      </c>
      <c r="R5" s="19">
        <v>0</v>
      </c>
      <c r="S5" s="19">
        <v>2</v>
      </c>
    </row>
    <row r="6" spans="1:19" ht="14.4" x14ac:dyDescent="0.3">
      <c r="A6" s="19" t="s">
        <v>57</v>
      </c>
      <c r="B6" s="19" t="s">
        <v>259</v>
      </c>
      <c r="C6" s="19" t="s">
        <v>52</v>
      </c>
      <c r="D6" s="19"/>
      <c r="E6" s="19"/>
      <c r="F6" s="19"/>
      <c r="G6" s="19"/>
      <c r="H6" s="19">
        <v>1</v>
      </c>
      <c r="I6" s="19"/>
      <c r="J6" s="19">
        <v>1</v>
      </c>
      <c r="K6" s="19" t="s">
        <v>34</v>
      </c>
      <c r="L6" s="19" t="s">
        <v>97</v>
      </c>
      <c r="M6" s="19" t="s">
        <v>180</v>
      </c>
      <c r="N6" s="19" t="s">
        <v>23</v>
      </c>
      <c r="O6" s="19" t="s">
        <v>23</v>
      </c>
      <c r="P6" s="19">
        <v>50</v>
      </c>
      <c r="Q6" s="19">
        <v>0.5</v>
      </c>
      <c r="R6" s="19">
        <v>0</v>
      </c>
      <c r="S6" s="19">
        <v>0.5</v>
      </c>
    </row>
    <row r="7" spans="1:19" ht="14.4" x14ac:dyDescent="0.3">
      <c r="A7" s="19" t="s">
        <v>98</v>
      </c>
      <c r="B7" s="19" t="s">
        <v>260</v>
      </c>
      <c r="C7" s="19" t="s">
        <v>52</v>
      </c>
      <c r="D7" s="19"/>
      <c r="E7" s="19"/>
      <c r="F7" s="19"/>
      <c r="G7" s="19"/>
      <c r="H7" s="19"/>
      <c r="I7" s="19">
        <v>2</v>
      </c>
      <c r="J7" s="19">
        <v>2</v>
      </c>
      <c r="K7" s="19" t="s">
        <v>34</v>
      </c>
      <c r="L7" s="19">
        <v>0</v>
      </c>
      <c r="M7" s="19">
        <v>0</v>
      </c>
      <c r="N7" s="19" t="s">
        <v>23</v>
      </c>
      <c r="O7" s="19" t="s">
        <v>23</v>
      </c>
      <c r="P7" s="19">
        <v>100</v>
      </c>
      <c r="Q7" s="19">
        <v>0</v>
      </c>
      <c r="R7" s="19">
        <v>0</v>
      </c>
      <c r="S7" s="19">
        <v>2</v>
      </c>
    </row>
    <row r="8" spans="1:19" ht="14.4" x14ac:dyDescent="0.3">
      <c r="A8" s="19" t="s">
        <v>58</v>
      </c>
      <c r="B8" s="19" t="s">
        <v>261</v>
      </c>
      <c r="C8" s="19" t="s">
        <v>182</v>
      </c>
      <c r="D8" s="19"/>
      <c r="E8" s="19"/>
      <c r="F8" s="19"/>
      <c r="G8" s="19"/>
      <c r="H8" s="19"/>
      <c r="I8" s="19">
        <v>1</v>
      </c>
      <c r="J8" s="19">
        <v>1</v>
      </c>
      <c r="K8" s="19" t="s">
        <v>34</v>
      </c>
      <c r="L8" s="19">
        <v>0</v>
      </c>
      <c r="M8" s="19">
        <v>0</v>
      </c>
      <c r="N8" s="19" t="s">
        <v>23</v>
      </c>
      <c r="O8" s="19" t="s">
        <v>23</v>
      </c>
      <c r="P8" s="19">
        <v>100</v>
      </c>
      <c r="Q8" s="19">
        <v>0</v>
      </c>
      <c r="R8" s="19">
        <v>0</v>
      </c>
      <c r="S8" s="19">
        <v>1</v>
      </c>
    </row>
    <row r="9" spans="1:19" ht="14.4" x14ac:dyDescent="0.3">
      <c r="A9" s="19" t="s">
        <v>82</v>
      </c>
      <c r="B9" s="19" t="s">
        <v>262</v>
      </c>
      <c r="C9" s="19" t="s">
        <v>62</v>
      </c>
      <c r="D9" s="19"/>
      <c r="E9" s="19"/>
      <c r="F9" s="19">
        <v>1</v>
      </c>
      <c r="G9" s="19"/>
      <c r="H9" s="19"/>
      <c r="I9" s="19"/>
      <c r="J9" s="19">
        <v>1</v>
      </c>
      <c r="K9" s="19" t="s">
        <v>34</v>
      </c>
      <c r="L9" s="19">
        <v>0</v>
      </c>
      <c r="M9" s="19">
        <v>0</v>
      </c>
      <c r="N9" s="19" t="s">
        <v>23</v>
      </c>
      <c r="O9" s="19" t="s">
        <v>23</v>
      </c>
      <c r="P9" s="19">
        <v>100</v>
      </c>
      <c r="Q9" s="19">
        <v>0</v>
      </c>
      <c r="R9" s="19">
        <v>0</v>
      </c>
      <c r="S9" s="19">
        <v>1</v>
      </c>
    </row>
    <row r="10" spans="1:19" ht="14.4" x14ac:dyDescent="0.3">
      <c r="A10" s="19" t="s">
        <v>54</v>
      </c>
      <c r="B10" s="19" t="s">
        <v>263</v>
      </c>
      <c r="C10" s="19" t="s">
        <v>182</v>
      </c>
      <c r="D10" s="19"/>
      <c r="E10" s="19"/>
      <c r="F10" s="19"/>
      <c r="G10" s="19"/>
      <c r="H10" s="19"/>
      <c r="I10" s="19">
        <v>1</v>
      </c>
      <c r="J10" s="19">
        <v>1</v>
      </c>
      <c r="K10" s="19" t="s">
        <v>34</v>
      </c>
      <c r="L10" s="19">
        <v>0</v>
      </c>
      <c r="M10" s="19">
        <v>0</v>
      </c>
      <c r="N10" s="19" t="s">
        <v>23</v>
      </c>
      <c r="O10" s="19" t="s">
        <v>23</v>
      </c>
      <c r="P10" s="19">
        <v>100</v>
      </c>
      <c r="Q10" s="19">
        <v>0</v>
      </c>
      <c r="R10" s="19">
        <v>0</v>
      </c>
      <c r="S10" s="19">
        <v>1</v>
      </c>
    </row>
    <row r="11" spans="1:19" ht="14.4" x14ac:dyDescent="0.3">
      <c r="A11" s="19" t="s">
        <v>60</v>
      </c>
      <c r="B11" s="19" t="s">
        <v>264</v>
      </c>
      <c r="C11" s="19" t="s">
        <v>52</v>
      </c>
      <c r="D11" s="19">
        <v>1</v>
      </c>
      <c r="E11" s="19"/>
      <c r="F11" s="19"/>
      <c r="G11" s="19"/>
      <c r="H11" s="19"/>
      <c r="I11" s="19"/>
      <c r="J11" s="19">
        <v>1</v>
      </c>
      <c r="K11" s="19" t="s">
        <v>34</v>
      </c>
      <c r="L11" s="19">
        <v>0</v>
      </c>
      <c r="M11" s="19">
        <v>0</v>
      </c>
      <c r="N11" s="19" t="s">
        <v>23</v>
      </c>
      <c r="O11" s="19" t="s">
        <v>23</v>
      </c>
      <c r="P11" s="19">
        <v>100</v>
      </c>
      <c r="Q11" s="19">
        <v>0</v>
      </c>
      <c r="R11" s="19">
        <v>0</v>
      </c>
      <c r="S11" s="19">
        <v>1</v>
      </c>
    </row>
    <row r="12" spans="1:19" ht="14.4" x14ac:dyDescent="0.3">
      <c r="A12" s="19" t="s">
        <v>83</v>
      </c>
      <c r="B12" s="19" t="s">
        <v>265</v>
      </c>
      <c r="C12" s="19" t="s">
        <v>62</v>
      </c>
      <c r="D12" s="19"/>
      <c r="E12" s="19"/>
      <c r="F12" s="19"/>
      <c r="G12" s="19"/>
      <c r="H12" s="19"/>
      <c r="I12" s="19">
        <v>2</v>
      </c>
      <c r="J12" s="19">
        <v>2</v>
      </c>
      <c r="K12" s="19" t="s">
        <v>34</v>
      </c>
      <c r="L12" s="19">
        <v>0</v>
      </c>
      <c r="M12" s="19">
        <v>0</v>
      </c>
      <c r="N12" s="19" t="s">
        <v>23</v>
      </c>
      <c r="O12" s="19" t="s">
        <v>23</v>
      </c>
      <c r="P12" s="19">
        <v>100</v>
      </c>
      <c r="Q12" s="19">
        <v>0</v>
      </c>
      <c r="R12" s="19">
        <v>0</v>
      </c>
      <c r="S12" s="19">
        <v>2</v>
      </c>
    </row>
    <row r="13" spans="1:19" ht="14.4" x14ac:dyDescent="0.3">
      <c r="A13" s="19" t="s">
        <v>61</v>
      </c>
      <c r="B13" s="19" t="s">
        <v>266</v>
      </c>
      <c r="C13" s="19" t="s">
        <v>52</v>
      </c>
      <c r="D13" s="19"/>
      <c r="E13" s="19"/>
      <c r="F13" s="19"/>
      <c r="G13" s="19"/>
      <c r="H13" s="19"/>
      <c r="I13" s="19">
        <v>1</v>
      </c>
      <c r="J13" s="19">
        <v>1</v>
      </c>
      <c r="K13" s="19" t="s">
        <v>34</v>
      </c>
      <c r="L13" s="19">
        <v>0</v>
      </c>
      <c r="M13" s="19">
        <v>0</v>
      </c>
      <c r="N13" s="19" t="s">
        <v>23</v>
      </c>
      <c r="O13" s="19" t="s">
        <v>23</v>
      </c>
      <c r="P13" s="19">
        <v>100</v>
      </c>
      <c r="Q13" s="19">
        <v>0</v>
      </c>
      <c r="R13" s="19">
        <v>0</v>
      </c>
      <c r="S13" s="19">
        <v>1</v>
      </c>
    </row>
    <row r="14" spans="1:19" ht="14.4" x14ac:dyDescent="0.3">
      <c r="A14" s="19" t="s">
        <v>64</v>
      </c>
      <c r="B14" s="19" t="s">
        <v>267</v>
      </c>
      <c r="C14" s="19" t="s">
        <v>52</v>
      </c>
      <c r="D14" s="19"/>
      <c r="E14" s="19"/>
      <c r="F14" s="19"/>
      <c r="G14" s="19">
        <v>1</v>
      </c>
      <c r="H14" s="19"/>
      <c r="I14" s="19"/>
      <c r="J14" s="19">
        <v>1</v>
      </c>
      <c r="K14" s="19" t="s">
        <v>34</v>
      </c>
      <c r="L14" s="19" t="s">
        <v>30</v>
      </c>
      <c r="M14" s="19" t="s">
        <v>180</v>
      </c>
      <c r="N14" s="19" t="s">
        <v>23</v>
      </c>
      <c r="O14" s="19" t="s">
        <v>23</v>
      </c>
      <c r="P14" s="19">
        <v>50</v>
      </c>
      <c r="Q14" s="19">
        <v>0.5</v>
      </c>
      <c r="R14" s="19">
        <v>0</v>
      </c>
      <c r="S14" s="19">
        <v>0.5</v>
      </c>
    </row>
    <row r="15" spans="1:19" ht="14.4" x14ac:dyDescent="0.3">
      <c r="A15" s="19" t="s">
        <v>84</v>
      </c>
      <c r="B15" s="19" t="s">
        <v>268</v>
      </c>
      <c r="C15" s="19" t="s">
        <v>62</v>
      </c>
      <c r="D15" s="19"/>
      <c r="E15" s="19"/>
      <c r="F15" s="19">
        <v>1</v>
      </c>
      <c r="G15" s="19"/>
      <c r="H15" s="19"/>
      <c r="I15" s="19"/>
      <c r="J15" s="19">
        <v>1</v>
      </c>
      <c r="K15" s="19" t="s">
        <v>34</v>
      </c>
      <c r="L15" s="19">
        <v>0</v>
      </c>
      <c r="M15" s="19">
        <v>0</v>
      </c>
      <c r="N15" s="19" t="s">
        <v>23</v>
      </c>
      <c r="O15" s="19" t="s">
        <v>23</v>
      </c>
      <c r="P15" s="19">
        <v>100</v>
      </c>
      <c r="Q15" s="19">
        <v>0</v>
      </c>
      <c r="R15" s="19">
        <v>0</v>
      </c>
      <c r="S15" s="19">
        <v>1</v>
      </c>
    </row>
    <row r="16" spans="1:19" ht="14.4" x14ac:dyDescent="0.3">
      <c r="A16" s="19" t="s">
        <v>53</v>
      </c>
      <c r="B16" s="19" t="s">
        <v>269</v>
      </c>
      <c r="C16" s="19" t="s">
        <v>52</v>
      </c>
      <c r="D16" s="19">
        <v>1</v>
      </c>
      <c r="E16" s="19"/>
      <c r="F16" s="19"/>
      <c r="G16" s="19"/>
      <c r="H16" s="19"/>
      <c r="I16" s="19"/>
      <c r="J16" s="19">
        <v>1</v>
      </c>
      <c r="K16" s="19" t="s">
        <v>34</v>
      </c>
      <c r="L16" s="19">
        <v>0</v>
      </c>
      <c r="M16" s="19">
        <v>0</v>
      </c>
      <c r="N16" s="19" t="s">
        <v>23</v>
      </c>
      <c r="O16" s="19" t="s">
        <v>23</v>
      </c>
      <c r="P16" s="19">
        <v>100</v>
      </c>
      <c r="Q16" s="19">
        <v>0</v>
      </c>
      <c r="R16" s="19">
        <v>0</v>
      </c>
      <c r="S16" s="19">
        <v>1</v>
      </c>
    </row>
    <row r="17" spans="1:20" ht="14.4" x14ac:dyDescent="0.3">
      <c r="A17" s="19" t="s">
        <v>85</v>
      </c>
      <c r="B17" s="19" t="s">
        <v>270</v>
      </c>
      <c r="C17" s="19" t="s">
        <v>62</v>
      </c>
      <c r="D17" s="19"/>
      <c r="E17" s="19"/>
      <c r="F17" s="19">
        <v>1</v>
      </c>
      <c r="G17" s="19"/>
      <c r="H17" s="19"/>
      <c r="I17" s="19"/>
      <c r="J17" s="19">
        <v>1</v>
      </c>
      <c r="K17" s="19" t="s">
        <v>34</v>
      </c>
      <c r="L17" s="19">
        <v>0</v>
      </c>
      <c r="M17" s="19">
        <v>0</v>
      </c>
      <c r="N17" s="19" t="s">
        <v>23</v>
      </c>
      <c r="O17" s="19" t="s">
        <v>23</v>
      </c>
      <c r="P17" s="19">
        <v>100</v>
      </c>
      <c r="Q17" s="19">
        <v>0</v>
      </c>
      <c r="R17" s="19">
        <v>0</v>
      </c>
      <c r="S17" s="19">
        <v>1</v>
      </c>
    </row>
    <row r="18" spans="1:20" ht="14.4" x14ac:dyDescent="0.3">
      <c r="A18" s="19" t="s">
        <v>59</v>
      </c>
      <c r="B18" s="19" t="s">
        <v>271</v>
      </c>
      <c r="C18" s="19" t="s">
        <v>182</v>
      </c>
      <c r="D18" s="19"/>
      <c r="E18" s="19"/>
      <c r="F18" s="19"/>
      <c r="G18" s="19"/>
      <c r="H18" s="19"/>
      <c r="I18" s="19">
        <v>1</v>
      </c>
      <c r="J18" s="19">
        <v>1</v>
      </c>
      <c r="K18" s="19" t="s">
        <v>34</v>
      </c>
      <c r="L18" s="19" t="s">
        <v>25</v>
      </c>
      <c r="M18" s="19" t="s">
        <v>180</v>
      </c>
      <c r="N18" s="19" t="s">
        <v>23</v>
      </c>
      <c r="O18" s="19" t="s">
        <v>23</v>
      </c>
      <c r="P18" s="19">
        <v>50</v>
      </c>
      <c r="Q18" s="19">
        <v>0.5</v>
      </c>
      <c r="R18" s="19">
        <v>0</v>
      </c>
      <c r="S18" s="19">
        <v>0.5</v>
      </c>
    </row>
    <row r="19" spans="1:20" ht="14.4" x14ac:dyDescent="0.3">
      <c r="A19" s="19" t="s">
        <v>65</v>
      </c>
      <c r="B19" s="19" t="s">
        <v>272</v>
      </c>
      <c r="C19" s="19" t="s">
        <v>52</v>
      </c>
      <c r="D19" s="19"/>
      <c r="E19" s="19"/>
      <c r="F19" s="19"/>
      <c r="G19" s="19">
        <v>1</v>
      </c>
      <c r="H19" s="19"/>
      <c r="I19" s="19"/>
      <c r="J19" s="19">
        <v>1</v>
      </c>
      <c r="K19" s="19" t="s">
        <v>34</v>
      </c>
      <c r="L19" s="19">
        <v>0</v>
      </c>
      <c r="M19" s="19">
        <v>0</v>
      </c>
      <c r="N19" s="19" t="s">
        <v>23</v>
      </c>
      <c r="O19" s="19" t="s">
        <v>23</v>
      </c>
      <c r="P19" s="19">
        <v>100</v>
      </c>
      <c r="Q19" s="19">
        <v>0</v>
      </c>
      <c r="R19" s="19">
        <v>0</v>
      </c>
      <c r="S19" s="19">
        <v>1</v>
      </c>
    </row>
    <row r="20" spans="1:20" ht="14.4" x14ac:dyDescent="0.3">
      <c r="A20" s="19" t="s">
        <v>273</v>
      </c>
      <c r="B20" s="19" t="s">
        <v>274</v>
      </c>
      <c r="C20" s="19" t="s">
        <v>62</v>
      </c>
      <c r="D20" s="19"/>
      <c r="E20" s="19"/>
      <c r="F20" s="19"/>
      <c r="G20" s="19"/>
      <c r="H20" s="19"/>
      <c r="I20" s="19">
        <v>1</v>
      </c>
      <c r="J20" s="19">
        <v>1</v>
      </c>
      <c r="K20" s="19" t="s">
        <v>34</v>
      </c>
      <c r="L20" s="19">
        <v>0</v>
      </c>
      <c r="M20" s="19">
        <v>0</v>
      </c>
      <c r="N20" s="19" t="s">
        <v>23</v>
      </c>
      <c r="O20" s="19" t="s">
        <v>23</v>
      </c>
      <c r="P20" s="19">
        <v>100</v>
      </c>
      <c r="Q20" s="19">
        <v>0</v>
      </c>
      <c r="R20" s="19">
        <v>0</v>
      </c>
      <c r="S20" s="19">
        <v>1</v>
      </c>
    </row>
    <row r="21" spans="1:20" ht="14.4" x14ac:dyDescent="0.3">
      <c r="A21" s="19" t="s">
        <v>275</v>
      </c>
      <c r="B21" s="19" t="s">
        <v>276</v>
      </c>
      <c r="C21" s="19" t="s">
        <v>62</v>
      </c>
      <c r="D21" s="19"/>
      <c r="E21" s="19"/>
      <c r="F21" s="19"/>
      <c r="G21" s="19"/>
      <c r="H21" s="19"/>
      <c r="I21" s="19">
        <v>1</v>
      </c>
      <c r="J21" s="19">
        <v>1</v>
      </c>
      <c r="K21" s="19" t="s">
        <v>34</v>
      </c>
      <c r="L21" s="19">
        <v>0</v>
      </c>
      <c r="M21" s="19">
        <v>0</v>
      </c>
      <c r="N21" s="19" t="s">
        <v>23</v>
      </c>
      <c r="O21" s="19" t="s">
        <v>23</v>
      </c>
      <c r="P21" s="19">
        <v>100</v>
      </c>
      <c r="Q21" s="19">
        <v>0</v>
      </c>
      <c r="R21" s="19">
        <v>0</v>
      </c>
      <c r="S21" s="19">
        <v>1</v>
      </c>
    </row>
    <row r="22" spans="1:20" ht="14.4" x14ac:dyDescent="0.3">
      <c r="A22" s="19" t="s">
        <v>174</v>
      </c>
      <c r="B22" s="19" t="s">
        <v>277</v>
      </c>
      <c r="C22" s="19" t="s">
        <v>52</v>
      </c>
      <c r="D22" s="19"/>
      <c r="E22" s="19"/>
      <c r="F22" s="19"/>
      <c r="G22" s="19"/>
      <c r="H22" s="19"/>
      <c r="I22" s="19">
        <v>1</v>
      </c>
      <c r="J22" s="19">
        <v>1</v>
      </c>
      <c r="K22" s="19" t="s">
        <v>34</v>
      </c>
      <c r="L22" s="19">
        <v>0</v>
      </c>
      <c r="M22" s="19">
        <v>0</v>
      </c>
      <c r="N22" s="19" t="s">
        <v>23</v>
      </c>
      <c r="O22" s="19" t="s">
        <v>23</v>
      </c>
      <c r="P22" s="19">
        <v>100</v>
      </c>
      <c r="Q22" s="19">
        <v>0</v>
      </c>
      <c r="R22" s="19">
        <v>0</v>
      </c>
      <c r="S22" s="19">
        <v>1</v>
      </c>
    </row>
    <row r="23" spans="1:20" ht="14.4" x14ac:dyDescent="0.3">
      <c r="A23" s="19" t="s">
        <v>278</v>
      </c>
      <c r="B23" s="19" t="s">
        <v>279</v>
      </c>
      <c r="C23" s="19" t="s">
        <v>52</v>
      </c>
      <c r="D23" s="19"/>
      <c r="E23" s="19"/>
      <c r="F23" s="19"/>
      <c r="G23" s="19"/>
      <c r="H23" s="19"/>
      <c r="I23" s="19">
        <v>1</v>
      </c>
      <c r="J23" s="19">
        <v>1</v>
      </c>
      <c r="K23" s="19" t="s">
        <v>34</v>
      </c>
      <c r="L23" s="19" t="s">
        <v>30</v>
      </c>
      <c r="M23" s="19" t="s">
        <v>180</v>
      </c>
      <c r="N23" s="19" t="s">
        <v>23</v>
      </c>
      <c r="O23" s="19" t="s">
        <v>23</v>
      </c>
      <c r="P23" s="19">
        <v>50</v>
      </c>
      <c r="Q23" s="19">
        <v>0.5</v>
      </c>
      <c r="R23" s="19">
        <v>0</v>
      </c>
      <c r="S23" s="19">
        <v>0.5</v>
      </c>
    </row>
    <row r="24" spans="1:20" ht="14.4" x14ac:dyDescent="0.3">
      <c r="A24" s="19" t="s">
        <v>99</v>
      </c>
      <c r="B24" s="19" t="s">
        <v>280</v>
      </c>
      <c r="C24" s="19" t="s">
        <v>62</v>
      </c>
      <c r="D24" s="19"/>
      <c r="E24" s="19"/>
      <c r="F24" s="19"/>
      <c r="G24" s="19">
        <v>1</v>
      </c>
      <c r="H24" s="19"/>
      <c r="I24" s="19"/>
      <c r="J24" s="19">
        <v>1</v>
      </c>
      <c r="K24" s="19" t="s">
        <v>34</v>
      </c>
      <c r="L24" s="19">
        <v>0</v>
      </c>
      <c r="M24" s="19">
        <v>0</v>
      </c>
      <c r="N24" s="19" t="s">
        <v>23</v>
      </c>
      <c r="O24" s="19" t="s">
        <v>23</v>
      </c>
      <c r="P24" s="19">
        <v>100</v>
      </c>
      <c r="Q24" s="19">
        <v>0</v>
      </c>
      <c r="R24" s="19">
        <v>0</v>
      </c>
      <c r="S24" s="19">
        <v>1</v>
      </c>
    </row>
    <row r="25" spans="1:20" ht="14.4" x14ac:dyDescent="0.3">
      <c r="A25" s="19" t="s">
        <v>281</v>
      </c>
      <c r="B25" s="19" t="s">
        <v>282</v>
      </c>
      <c r="C25" s="19" t="s">
        <v>62</v>
      </c>
      <c r="D25" s="19"/>
      <c r="E25" s="19"/>
      <c r="F25" s="19"/>
      <c r="G25" s="19"/>
      <c r="H25" s="19"/>
      <c r="I25" s="19">
        <v>1</v>
      </c>
      <c r="J25" s="19">
        <v>1</v>
      </c>
      <c r="K25" s="19" t="s">
        <v>34</v>
      </c>
      <c r="L25" s="19">
        <v>0</v>
      </c>
      <c r="M25" s="19">
        <v>0</v>
      </c>
      <c r="N25" s="19" t="s">
        <v>23</v>
      </c>
      <c r="O25" s="19" t="s">
        <v>23</v>
      </c>
      <c r="P25" s="19">
        <v>100</v>
      </c>
      <c r="Q25" s="19">
        <v>0</v>
      </c>
      <c r="R25" s="19">
        <v>0</v>
      </c>
      <c r="S25" s="19">
        <v>1</v>
      </c>
    </row>
    <row r="26" spans="1:20" x14ac:dyDescent="0.25">
      <c r="A26" s="34"/>
      <c r="B26" s="34"/>
      <c r="C26" s="34"/>
      <c r="D26" s="34"/>
      <c r="E26" s="34"/>
      <c r="F26" s="34"/>
      <c r="G26" s="34"/>
      <c r="H26" s="34"/>
      <c r="I26" s="34"/>
      <c r="J26" s="34"/>
      <c r="K26" s="34"/>
      <c r="L26" s="34"/>
      <c r="M26" s="34"/>
      <c r="N26" s="35"/>
      <c r="O26" s="34"/>
      <c r="P26" s="35"/>
      <c r="Q26" s="34"/>
      <c r="R26" s="34"/>
      <c r="S26" s="36">
        <f>SUM(S2:S25)</f>
        <v>24.4</v>
      </c>
    </row>
    <row r="28" spans="1:20" s="13" customFormat="1" ht="60" customHeight="1" x14ac:dyDescent="0.25">
      <c r="A28" s="14"/>
      <c r="B28" s="14"/>
      <c r="C28" s="14"/>
      <c r="D28" s="14"/>
      <c r="E28" s="14"/>
      <c r="F28" s="14"/>
      <c r="G28" s="14"/>
      <c r="H28" s="14"/>
      <c r="I28" s="14"/>
      <c r="J28" s="14"/>
      <c r="K28" s="14"/>
      <c r="L28" s="14"/>
      <c r="M28" s="14"/>
      <c r="N28" s="15"/>
      <c r="O28" s="14"/>
      <c r="P28" s="15"/>
      <c r="Q28" s="14"/>
      <c r="R28" s="14"/>
      <c r="S28" s="14"/>
      <c r="T28" s="14"/>
    </row>
  </sheetData>
  <pageMargins left="0.39370078740157483" right="0.39370078740157483" top="0.39370078740157483" bottom="0.39370078740157483" header="0.31496062992125984" footer="0.31496062992125984"/>
  <pageSetup paperSize="9" scale="1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7C501-109F-4708-AD33-3441233795A9}">
  <dimension ref="A1:C45"/>
  <sheetViews>
    <sheetView topLeftCell="A31" workbookViewId="0">
      <selection activeCell="J21" sqref="J21"/>
    </sheetView>
  </sheetViews>
  <sheetFormatPr baseColWidth="10" defaultRowHeight="14.4" x14ac:dyDescent="0.3"/>
  <cols>
    <col min="1" max="1" width="17" customWidth="1"/>
    <col min="2" max="2" width="63.5546875" customWidth="1"/>
    <col min="3" max="3" width="16" customWidth="1"/>
  </cols>
  <sheetData>
    <row r="1" spans="1:3" x14ac:dyDescent="0.3">
      <c r="A1" s="43" t="s">
        <v>74</v>
      </c>
      <c r="B1" s="43" t="s">
        <v>75</v>
      </c>
      <c r="C1" s="43" t="s">
        <v>86</v>
      </c>
    </row>
    <row r="2" spans="1:3" x14ac:dyDescent="0.3">
      <c r="A2" s="30" t="s">
        <v>87</v>
      </c>
      <c r="B2" s="30" t="s">
        <v>100</v>
      </c>
      <c r="C2" s="27">
        <v>264</v>
      </c>
    </row>
    <row r="3" spans="1:3" x14ac:dyDescent="0.3">
      <c r="A3" s="31" t="s">
        <v>87</v>
      </c>
      <c r="B3" s="31" t="s">
        <v>101</v>
      </c>
      <c r="C3" s="28">
        <v>176</v>
      </c>
    </row>
    <row r="4" spans="1:3" x14ac:dyDescent="0.3">
      <c r="A4" s="30" t="s">
        <v>87</v>
      </c>
      <c r="B4" s="30" t="s">
        <v>102</v>
      </c>
      <c r="C4" s="27">
        <v>2763.2</v>
      </c>
    </row>
    <row r="5" spans="1:3" x14ac:dyDescent="0.3">
      <c r="A5" s="31" t="s">
        <v>87</v>
      </c>
      <c r="B5" s="31" t="s">
        <v>103</v>
      </c>
      <c r="C5" s="28">
        <v>3801.6</v>
      </c>
    </row>
    <row r="6" spans="1:3" x14ac:dyDescent="0.3">
      <c r="A6" s="30" t="s">
        <v>87</v>
      </c>
      <c r="B6" s="30" t="s">
        <v>104</v>
      </c>
      <c r="C6" s="27">
        <v>264</v>
      </c>
    </row>
    <row r="7" spans="1:3" x14ac:dyDescent="0.3">
      <c r="A7" s="31" t="s">
        <v>87</v>
      </c>
      <c r="B7" s="31" t="s">
        <v>105</v>
      </c>
      <c r="C7" s="28">
        <v>2200</v>
      </c>
    </row>
    <row r="8" spans="1:3" x14ac:dyDescent="0.3">
      <c r="A8" s="30" t="s">
        <v>87</v>
      </c>
      <c r="B8" s="30" t="s">
        <v>106</v>
      </c>
      <c r="C8" s="27">
        <v>176</v>
      </c>
    </row>
    <row r="9" spans="1:3" x14ac:dyDescent="0.3">
      <c r="A9" s="31" t="s">
        <v>87</v>
      </c>
      <c r="B9" s="31" t="s">
        <v>107</v>
      </c>
      <c r="C9" s="28">
        <v>730.4</v>
      </c>
    </row>
    <row r="10" spans="1:3" x14ac:dyDescent="0.3">
      <c r="A10" s="30" t="s">
        <v>87</v>
      </c>
      <c r="B10" s="30" t="s">
        <v>108</v>
      </c>
      <c r="C10" s="27">
        <v>1918.4</v>
      </c>
    </row>
    <row r="11" spans="1:3" x14ac:dyDescent="0.3">
      <c r="A11" s="31" t="s">
        <v>87</v>
      </c>
      <c r="B11" s="31" t="s">
        <v>109</v>
      </c>
      <c r="C11" s="28">
        <v>484</v>
      </c>
    </row>
    <row r="12" spans="1:3" x14ac:dyDescent="0.3">
      <c r="A12" s="30" t="s">
        <v>87</v>
      </c>
      <c r="B12" s="30" t="s">
        <v>110</v>
      </c>
      <c r="C12" s="27">
        <v>704</v>
      </c>
    </row>
    <row r="13" spans="1:3" x14ac:dyDescent="0.3">
      <c r="A13" s="31" t="s">
        <v>111</v>
      </c>
      <c r="B13" s="31" t="s">
        <v>112</v>
      </c>
      <c r="C13" s="28">
        <v>2868.8</v>
      </c>
    </row>
    <row r="14" spans="1:3" x14ac:dyDescent="0.3">
      <c r="A14" s="30" t="s">
        <v>113</v>
      </c>
      <c r="B14" s="30" t="s">
        <v>114</v>
      </c>
      <c r="C14" s="27">
        <v>6380</v>
      </c>
    </row>
    <row r="15" spans="1:3" x14ac:dyDescent="0.3">
      <c r="A15" s="31" t="s">
        <v>113</v>
      </c>
      <c r="B15" s="31" t="s">
        <v>114</v>
      </c>
      <c r="C15" s="28">
        <v>-6380</v>
      </c>
    </row>
    <row r="16" spans="1:3" x14ac:dyDescent="0.3">
      <c r="A16" s="30" t="s">
        <v>113</v>
      </c>
      <c r="B16" s="30" t="s">
        <v>115</v>
      </c>
      <c r="C16" s="27">
        <v>6380</v>
      </c>
    </row>
    <row r="17" spans="1:3" x14ac:dyDescent="0.3">
      <c r="A17" s="31" t="s">
        <v>113</v>
      </c>
      <c r="B17" s="31" t="s">
        <v>116</v>
      </c>
      <c r="C17" s="28">
        <v>6380</v>
      </c>
    </row>
    <row r="18" spans="1:3" x14ac:dyDescent="0.3">
      <c r="A18" s="30" t="s">
        <v>117</v>
      </c>
      <c r="B18" s="30" t="s">
        <v>118</v>
      </c>
      <c r="C18" s="27">
        <v>593.21</v>
      </c>
    </row>
    <row r="19" spans="1:3" x14ac:dyDescent="0.3">
      <c r="A19" s="31" t="s">
        <v>119</v>
      </c>
      <c r="B19" s="31" t="s">
        <v>120</v>
      </c>
      <c r="C19" s="28">
        <v>5334.67</v>
      </c>
    </row>
    <row r="20" spans="1:3" x14ac:dyDescent="0.3">
      <c r="A20" s="31" t="s">
        <v>121</v>
      </c>
      <c r="B20" s="31" t="s">
        <v>122</v>
      </c>
      <c r="C20" s="28">
        <v>660</v>
      </c>
    </row>
    <row r="21" spans="1:3" x14ac:dyDescent="0.3">
      <c r="A21" s="30" t="s">
        <v>123</v>
      </c>
      <c r="B21" s="30" t="s">
        <v>124</v>
      </c>
      <c r="C21" s="27">
        <v>670.99</v>
      </c>
    </row>
    <row r="22" spans="1:3" x14ac:dyDescent="0.3">
      <c r="A22" s="31" t="s">
        <v>125</v>
      </c>
      <c r="B22" s="31" t="s">
        <v>126</v>
      </c>
      <c r="C22" s="28">
        <v>1663.37</v>
      </c>
    </row>
    <row r="23" spans="1:3" x14ac:dyDescent="0.3">
      <c r="A23" s="30" t="s">
        <v>127</v>
      </c>
      <c r="B23" s="30" t="s">
        <v>128</v>
      </c>
      <c r="C23" s="27">
        <v>78.69</v>
      </c>
    </row>
    <row r="24" spans="1:3" x14ac:dyDescent="0.3">
      <c r="A24" s="31" t="s">
        <v>129</v>
      </c>
      <c r="B24" s="31" t="s">
        <v>130</v>
      </c>
      <c r="C24" s="28">
        <v>2253.6799999999998</v>
      </c>
    </row>
    <row r="25" spans="1:3" x14ac:dyDescent="0.3">
      <c r="A25" s="30" t="s">
        <v>131</v>
      </c>
      <c r="B25" s="30" t="s">
        <v>132</v>
      </c>
      <c r="C25" s="27">
        <v>1408</v>
      </c>
    </row>
    <row r="26" spans="1:3" x14ac:dyDescent="0.3">
      <c r="A26" s="31" t="s">
        <v>133</v>
      </c>
      <c r="B26" s="31" t="s">
        <v>134</v>
      </c>
      <c r="C26" s="28">
        <v>1540</v>
      </c>
    </row>
    <row r="27" spans="1:3" x14ac:dyDescent="0.3">
      <c r="A27" s="31" t="s">
        <v>135</v>
      </c>
      <c r="B27" s="31" t="s">
        <v>136</v>
      </c>
      <c r="C27" s="28">
        <v>5742.8</v>
      </c>
    </row>
    <row r="28" spans="1:3" x14ac:dyDescent="0.3">
      <c r="A28" s="30" t="s">
        <v>137</v>
      </c>
      <c r="B28" s="30" t="s">
        <v>138</v>
      </c>
      <c r="C28" s="27">
        <v>299.2</v>
      </c>
    </row>
    <row r="29" spans="1:3" x14ac:dyDescent="0.3">
      <c r="A29" s="31" t="s">
        <v>139</v>
      </c>
      <c r="B29" s="31" t="s">
        <v>140</v>
      </c>
      <c r="C29" s="28">
        <v>1320</v>
      </c>
    </row>
    <row r="30" spans="1:3" x14ac:dyDescent="0.3">
      <c r="A30" s="30" t="s">
        <v>141</v>
      </c>
      <c r="B30" s="30" t="s">
        <v>142</v>
      </c>
      <c r="C30" s="27">
        <v>680.46</v>
      </c>
    </row>
    <row r="31" spans="1:3" x14ac:dyDescent="0.3">
      <c r="A31" s="31" t="s">
        <v>143</v>
      </c>
      <c r="B31" s="31" t="s">
        <v>144</v>
      </c>
      <c r="C31" s="28">
        <v>337.16</v>
      </c>
    </row>
    <row r="32" spans="1:3" x14ac:dyDescent="0.3">
      <c r="A32" s="30" t="s">
        <v>145</v>
      </c>
      <c r="B32" s="30" t="s">
        <v>146</v>
      </c>
      <c r="C32" s="27">
        <v>5919.65</v>
      </c>
    </row>
    <row r="33" spans="1:3" x14ac:dyDescent="0.3">
      <c r="A33" s="31" t="s">
        <v>147</v>
      </c>
      <c r="B33" s="31" t="s">
        <v>148</v>
      </c>
      <c r="C33" s="28">
        <v>748</v>
      </c>
    </row>
    <row r="34" spans="1:3" x14ac:dyDescent="0.3">
      <c r="A34" s="30" t="s">
        <v>149</v>
      </c>
      <c r="B34" s="30" t="s">
        <v>150</v>
      </c>
      <c r="C34" s="27">
        <v>2009.92</v>
      </c>
    </row>
    <row r="35" spans="1:3" x14ac:dyDescent="0.3">
      <c r="A35" s="31" t="s">
        <v>151</v>
      </c>
      <c r="B35" s="31" t="s">
        <v>152</v>
      </c>
      <c r="C35" s="28">
        <v>566.21</v>
      </c>
    </row>
    <row r="36" spans="1:3" x14ac:dyDescent="0.3">
      <c r="A36" s="30" t="s">
        <v>153</v>
      </c>
      <c r="B36" s="30" t="s">
        <v>154</v>
      </c>
      <c r="C36" s="27">
        <v>181.82</v>
      </c>
    </row>
    <row r="37" spans="1:3" x14ac:dyDescent="0.3">
      <c r="A37" s="31" t="s">
        <v>155</v>
      </c>
      <c r="B37" s="31" t="s">
        <v>156</v>
      </c>
      <c r="C37" s="28">
        <v>703.08</v>
      </c>
    </row>
    <row r="38" spans="1:3" x14ac:dyDescent="0.3">
      <c r="A38" s="30" t="s">
        <v>157</v>
      </c>
      <c r="B38" s="30" t="s">
        <v>158</v>
      </c>
      <c r="C38" s="27">
        <v>792</v>
      </c>
    </row>
    <row r="39" spans="1:3" x14ac:dyDescent="0.3">
      <c r="A39" s="31" t="s">
        <v>159</v>
      </c>
      <c r="B39" s="31" t="s">
        <v>160</v>
      </c>
      <c r="C39" s="28">
        <v>972.4</v>
      </c>
    </row>
    <row r="40" spans="1:3" x14ac:dyDescent="0.3">
      <c r="A40" s="30" t="s">
        <v>161</v>
      </c>
      <c r="B40" s="30" t="s">
        <v>162</v>
      </c>
      <c r="C40" s="27">
        <v>4893.74</v>
      </c>
    </row>
    <row r="41" spans="1:3" x14ac:dyDescent="0.3">
      <c r="A41" s="31" t="s">
        <v>163</v>
      </c>
      <c r="B41" s="31" t="s">
        <v>164</v>
      </c>
      <c r="C41" s="28">
        <v>1090.9100000000001</v>
      </c>
    </row>
    <row r="42" spans="1:3" x14ac:dyDescent="0.3">
      <c r="A42" s="30" t="s">
        <v>88</v>
      </c>
      <c r="B42" s="30" t="s">
        <v>165</v>
      </c>
      <c r="C42" s="27">
        <v>11052</v>
      </c>
    </row>
    <row r="43" spans="1:3" x14ac:dyDescent="0.3">
      <c r="A43" s="44" t="s">
        <v>88</v>
      </c>
      <c r="B43" s="44" t="s">
        <v>166</v>
      </c>
      <c r="C43" s="39">
        <v>12370</v>
      </c>
    </row>
    <row r="44" spans="1:3" x14ac:dyDescent="0.3">
      <c r="A44" s="41" t="s">
        <v>0</v>
      </c>
      <c r="B44" s="41"/>
      <c r="C44" s="42">
        <f>SUBTOTAL(109,Tabla2[Imp.cob.aplic.])</f>
        <v>92992.360000000015</v>
      </c>
    </row>
    <row r="45" spans="1:3" x14ac:dyDescent="0.3">
      <c r="C45" s="3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80802-1E01-4FF4-A796-E647F2367CE1}">
  <dimension ref="A1:C43"/>
  <sheetViews>
    <sheetView topLeftCell="A22" workbookViewId="0">
      <selection activeCell="I52" sqref="I52"/>
    </sheetView>
  </sheetViews>
  <sheetFormatPr baseColWidth="10" defaultRowHeight="14.4" x14ac:dyDescent="0.3"/>
  <cols>
    <col min="1" max="1" width="12" customWidth="1"/>
    <col min="2" max="2" width="64.109375" customWidth="1"/>
    <col min="3" max="3" width="13.109375" customWidth="1"/>
  </cols>
  <sheetData>
    <row r="1" spans="1:3" x14ac:dyDescent="0.3">
      <c r="A1" s="47" t="s">
        <v>183</v>
      </c>
      <c r="B1" s="47" t="s">
        <v>75</v>
      </c>
      <c r="C1" s="48" t="s">
        <v>184</v>
      </c>
    </row>
    <row r="2" spans="1:3" x14ac:dyDescent="0.3">
      <c r="A2" s="45" t="s">
        <v>87</v>
      </c>
      <c r="B2" s="45" t="s">
        <v>185</v>
      </c>
      <c r="C2" s="27">
        <v>3150.4</v>
      </c>
    </row>
    <row r="3" spans="1:3" x14ac:dyDescent="0.3">
      <c r="A3" s="46" t="s">
        <v>87</v>
      </c>
      <c r="B3" s="46" t="s">
        <v>186</v>
      </c>
      <c r="C3" s="28">
        <v>2059.1999999999998</v>
      </c>
    </row>
    <row r="4" spans="1:3" x14ac:dyDescent="0.3">
      <c r="A4" s="45" t="s">
        <v>87</v>
      </c>
      <c r="B4" s="45" t="s">
        <v>187</v>
      </c>
      <c r="C4" s="27">
        <v>264</v>
      </c>
    </row>
    <row r="5" spans="1:3" x14ac:dyDescent="0.3">
      <c r="A5" s="46" t="s">
        <v>87</v>
      </c>
      <c r="B5" s="46" t="s">
        <v>188</v>
      </c>
      <c r="C5" s="28">
        <v>264</v>
      </c>
    </row>
    <row r="6" spans="1:3" x14ac:dyDescent="0.3">
      <c r="A6" s="45" t="s">
        <v>87</v>
      </c>
      <c r="B6" s="45" t="s">
        <v>189</v>
      </c>
      <c r="C6" s="27">
        <v>440</v>
      </c>
    </row>
    <row r="7" spans="1:3" x14ac:dyDescent="0.3">
      <c r="A7" s="46" t="s">
        <v>87</v>
      </c>
      <c r="B7" s="46" t="s">
        <v>190</v>
      </c>
      <c r="C7" s="28">
        <v>572</v>
      </c>
    </row>
    <row r="8" spans="1:3" x14ac:dyDescent="0.3">
      <c r="A8" s="45" t="s">
        <v>87</v>
      </c>
      <c r="B8" s="45" t="s">
        <v>191</v>
      </c>
      <c r="C8" s="27">
        <v>176</v>
      </c>
    </row>
    <row r="9" spans="1:3" x14ac:dyDescent="0.3">
      <c r="A9" s="46" t="s">
        <v>87</v>
      </c>
      <c r="B9" s="46" t="s">
        <v>192</v>
      </c>
      <c r="C9" s="28">
        <v>264</v>
      </c>
    </row>
    <row r="10" spans="1:3" x14ac:dyDescent="0.3">
      <c r="A10" s="45" t="s">
        <v>87</v>
      </c>
      <c r="B10" s="45" t="s">
        <v>193</v>
      </c>
      <c r="C10" s="27">
        <v>264</v>
      </c>
    </row>
    <row r="11" spans="1:3" x14ac:dyDescent="0.3">
      <c r="A11" s="46" t="s">
        <v>87</v>
      </c>
      <c r="B11" s="46" t="s">
        <v>194</v>
      </c>
      <c r="C11" s="28">
        <v>176</v>
      </c>
    </row>
    <row r="12" spans="1:3" x14ac:dyDescent="0.3">
      <c r="A12" s="45" t="s">
        <v>87</v>
      </c>
      <c r="B12" s="45" t="s">
        <v>195</v>
      </c>
      <c r="C12" s="27">
        <v>1777.6</v>
      </c>
    </row>
    <row r="13" spans="1:3" x14ac:dyDescent="0.3">
      <c r="A13" s="46" t="s">
        <v>87</v>
      </c>
      <c r="B13" s="46" t="s">
        <v>196</v>
      </c>
      <c r="C13" s="28">
        <v>2763.2</v>
      </c>
    </row>
    <row r="14" spans="1:3" x14ac:dyDescent="0.3">
      <c r="A14" s="45" t="s">
        <v>197</v>
      </c>
      <c r="B14" s="45" t="s">
        <v>198</v>
      </c>
      <c r="C14" s="27">
        <v>880</v>
      </c>
    </row>
    <row r="15" spans="1:3" x14ac:dyDescent="0.3">
      <c r="A15" s="46" t="s">
        <v>199</v>
      </c>
      <c r="B15" s="46" t="s">
        <v>200</v>
      </c>
      <c r="C15" s="28">
        <v>1320</v>
      </c>
    </row>
    <row r="16" spans="1:3" x14ac:dyDescent="0.3">
      <c r="A16" s="45" t="s">
        <v>129</v>
      </c>
      <c r="B16" s="45" t="s">
        <v>201</v>
      </c>
      <c r="C16" s="27">
        <v>4884</v>
      </c>
    </row>
    <row r="17" spans="1:3" x14ac:dyDescent="0.3">
      <c r="A17" s="46" t="s">
        <v>202</v>
      </c>
      <c r="B17" s="46" t="s">
        <v>203</v>
      </c>
      <c r="C17" s="28">
        <v>140.80000000000001</v>
      </c>
    </row>
    <row r="18" spans="1:3" x14ac:dyDescent="0.3">
      <c r="A18" s="45" t="s">
        <v>204</v>
      </c>
      <c r="B18" s="45" t="s">
        <v>205</v>
      </c>
      <c r="C18" s="27">
        <v>440</v>
      </c>
    </row>
    <row r="19" spans="1:3" x14ac:dyDescent="0.3">
      <c r="A19" s="46" t="s">
        <v>206</v>
      </c>
      <c r="B19" s="46" t="s">
        <v>207</v>
      </c>
      <c r="C19" s="28">
        <v>436.36</v>
      </c>
    </row>
    <row r="20" spans="1:3" x14ac:dyDescent="0.3">
      <c r="A20" s="45" t="s">
        <v>208</v>
      </c>
      <c r="B20" s="45" t="s">
        <v>209</v>
      </c>
      <c r="C20" s="27">
        <v>1012</v>
      </c>
    </row>
    <row r="21" spans="1:3" x14ac:dyDescent="0.3">
      <c r="A21" s="46" t="s">
        <v>210</v>
      </c>
      <c r="B21" s="46" t="s">
        <v>211</v>
      </c>
      <c r="C21" s="28">
        <v>1932.88</v>
      </c>
    </row>
    <row r="22" spans="1:3" x14ac:dyDescent="0.3">
      <c r="A22" s="45" t="s">
        <v>210</v>
      </c>
      <c r="B22" s="45" t="s">
        <v>212</v>
      </c>
      <c r="C22" s="27">
        <v>1932.87</v>
      </c>
    </row>
    <row r="23" spans="1:3" x14ac:dyDescent="0.3">
      <c r="A23" s="46" t="s">
        <v>163</v>
      </c>
      <c r="B23" s="46" t="s">
        <v>213</v>
      </c>
      <c r="C23" s="28">
        <v>1090.9100000000001</v>
      </c>
    </row>
    <row r="24" spans="1:3" x14ac:dyDescent="0.3">
      <c r="A24" s="45" t="s">
        <v>214</v>
      </c>
      <c r="B24" s="45" t="s">
        <v>215</v>
      </c>
      <c r="C24" s="27">
        <v>281.60000000000002</v>
      </c>
    </row>
    <row r="25" spans="1:3" x14ac:dyDescent="0.3">
      <c r="A25" s="46" t="s">
        <v>216</v>
      </c>
      <c r="B25" s="46" t="s">
        <v>217</v>
      </c>
      <c r="C25" s="28">
        <v>660</v>
      </c>
    </row>
    <row r="26" spans="1:3" x14ac:dyDescent="0.3">
      <c r="A26" s="45" t="s">
        <v>218</v>
      </c>
      <c r="B26" s="45" t="s">
        <v>219</v>
      </c>
      <c r="C26" s="27">
        <v>2464</v>
      </c>
    </row>
    <row r="27" spans="1:3" x14ac:dyDescent="0.3">
      <c r="A27" s="46" t="s">
        <v>220</v>
      </c>
      <c r="B27" s="46" t="s">
        <v>221</v>
      </c>
      <c r="C27" s="28">
        <v>1771.14</v>
      </c>
    </row>
    <row r="28" spans="1:3" x14ac:dyDescent="0.3">
      <c r="A28" s="45" t="s">
        <v>222</v>
      </c>
      <c r="B28" s="45" t="s">
        <v>223</v>
      </c>
      <c r="C28" s="27">
        <v>12927.2</v>
      </c>
    </row>
    <row r="29" spans="1:3" x14ac:dyDescent="0.3">
      <c r="A29" s="46" t="s">
        <v>224</v>
      </c>
      <c r="B29" s="46" t="s">
        <v>225</v>
      </c>
      <c r="C29" s="28">
        <v>924</v>
      </c>
    </row>
    <row r="30" spans="1:3" x14ac:dyDescent="0.3">
      <c r="A30" s="45" t="s">
        <v>226</v>
      </c>
      <c r="B30" s="45" t="s">
        <v>227</v>
      </c>
      <c r="C30" s="27">
        <v>950.4</v>
      </c>
    </row>
    <row r="31" spans="1:3" x14ac:dyDescent="0.3">
      <c r="A31" s="46" t="s">
        <v>228</v>
      </c>
      <c r="B31" s="46" t="s">
        <v>229</v>
      </c>
      <c r="C31" s="28">
        <v>1320</v>
      </c>
    </row>
    <row r="32" spans="1:3" x14ac:dyDescent="0.3">
      <c r="A32" s="45" t="s">
        <v>230</v>
      </c>
      <c r="B32" s="45" t="s">
        <v>231</v>
      </c>
      <c r="C32" s="27">
        <v>902.7</v>
      </c>
    </row>
    <row r="33" spans="1:3" x14ac:dyDescent="0.3">
      <c r="A33" s="46" t="s">
        <v>232</v>
      </c>
      <c r="B33" s="46" t="s">
        <v>233</v>
      </c>
      <c r="C33" s="28">
        <v>1320</v>
      </c>
    </row>
    <row r="34" spans="1:3" x14ac:dyDescent="0.3">
      <c r="A34" s="45" t="s">
        <v>234</v>
      </c>
      <c r="B34" s="45" t="s">
        <v>235</v>
      </c>
      <c r="C34" s="27">
        <v>440</v>
      </c>
    </row>
    <row r="35" spans="1:3" x14ac:dyDescent="0.3">
      <c r="A35" s="46" t="s">
        <v>236</v>
      </c>
      <c r="B35" s="46" t="s">
        <v>237</v>
      </c>
      <c r="C35" s="28">
        <v>1366.2</v>
      </c>
    </row>
    <row r="36" spans="1:3" x14ac:dyDescent="0.3">
      <c r="A36" s="45" t="s">
        <v>238</v>
      </c>
      <c r="B36" s="45" t="s">
        <v>239</v>
      </c>
      <c r="C36" s="27">
        <v>3740</v>
      </c>
    </row>
    <row r="37" spans="1:3" x14ac:dyDescent="0.3">
      <c r="A37" s="46" t="s">
        <v>240</v>
      </c>
      <c r="B37" s="46" t="s">
        <v>241</v>
      </c>
      <c r="C37" s="28">
        <v>572</v>
      </c>
    </row>
    <row r="38" spans="1:3" x14ac:dyDescent="0.3">
      <c r="A38" s="45" t="s">
        <v>242</v>
      </c>
      <c r="B38" s="45" t="s">
        <v>243</v>
      </c>
      <c r="C38" s="27">
        <v>770</v>
      </c>
    </row>
    <row r="39" spans="1:3" x14ac:dyDescent="0.3">
      <c r="A39" s="46" t="s">
        <v>244</v>
      </c>
      <c r="B39" s="46" t="s">
        <v>245</v>
      </c>
      <c r="C39" s="28">
        <v>765.16</v>
      </c>
    </row>
    <row r="40" spans="1:3" x14ac:dyDescent="0.3">
      <c r="A40" s="45" t="s">
        <v>246</v>
      </c>
      <c r="B40" s="45" t="s">
        <v>247</v>
      </c>
      <c r="C40" s="27">
        <v>880</v>
      </c>
    </row>
    <row r="41" spans="1:3" x14ac:dyDescent="0.3">
      <c r="A41" s="46" t="s">
        <v>248</v>
      </c>
      <c r="B41" s="46" t="s">
        <v>249</v>
      </c>
      <c r="C41" s="28">
        <v>9915</v>
      </c>
    </row>
    <row r="42" spans="1:3" x14ac:dyDescent="0.3">
      <c r="A42" s="49" t="s">
        <v>250</v>
      </c>
      <c r="B42" s="49" t="s">
        <v>251</v>
      </c>
      <c r="C42" s="50">
        <v>16550</v>
      </c>
    </row>
    <row r="43" spans="1:3" s="53" customFormat="1" x14ac:dyDescent="0.3">
      <c r="A43" s="51" t="s">
        <v>0</v>
      </c>
      <c r="B43" s="51"/>
      <c r="C43" s="52">
        <f>SUBTOTAL(109,Tabla3[Imp. aplic.])</f>
        <v>84759.62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B8AAE-6FFE-4419-9A85-5595F9B7FC74}">
  <dimension ref="A1:C31"/>
  <sheetViews>
    <sheetView workbookViewId="0">
      <selection activeCell="L22" sqref="L22"/>
    </sheetView>
  </sheetViews>
  <sheetFormatPr baseColWidth="10" defaultRowHeight="14.4" x14ac:dyDescent="0.3"/>
  <cols>
    <col min="1" max="1" width="20.5546875" customWidth="1"/>
    <col min="2" max="2" width="62.33203125" customWidth="1"/>
    <col min="3" max="3" width="22.33203125" customWidth="1"/>
  </cols>
  <sheetData>
    <row r="1" spans="1:3" x14ac:dyDescent="0.3">
      <c r="A1" s="57" t="s">
        <v>183</v>
      </c>
      <c r="B1" s="58" t="s">
        <v>75</v>
      </c>
      <c r="C1" s="58" t="s">
        <v>184</v>
      </c>
    </row>
    <row r="2" spans="1:3" x14ac:dyDescent="0.3">
      <c r="A2" s="59" t="s">
        <v>87</v>
      </c>
      <c r="B2" s="60" t="s">
        <v>289</v>
      </c>
      <c r="C2" s="61">
        <v>3467.2</v>
      </c>
    </row>
    <row r="3" spans="1:3" x14ac:dyDescent="0.3">
      <c r="A3" s="62" t="s">
        <v>87</v>
      </c>
      <c r="B3" s="63" t="s">
        <v>290</v>
      </c>
      <c r="C3" s="64">
        <v>1751.2</v>
      </c>
    </row>
    <row r="4" spans="1:3" x14ac:dyDescent="0.3">
      <c r="A4" s="59" t="s">
        <v>87</v>
      </c>
      <c r="B4" s="60" t="s">
        <v>291</v>
      </c>
      <c r="C4" s="61">
        <v>589.6</v>
      </c>
    </row>
    <row r="5" spans="1:3" x14ac:dyDescent="0.3">
      <c r="A5" s="62" t="s">
        <v>87</v>
      </c>
      <c r="B5" s="63" t="s">
        <v>292</v>
      </c>
      <c r="C5" s="64">
        <v>264</v>
      </c>
    </row>
    <row r="6" spans="1:3" x14ac:dyDescent="0.3">
      <c r="A6" s="59" t="s">
        <v>87</v>
      </c>
      <c r="B6" s="60" t="s">
        <v>293</v>
      </c>
      <c r="C6" s="61">
        <v>264</v>
      </c>
    </row>
    <row r="7" spans="1:3" x14ac:dyDescent="0.3">
      <c r="A7" s="62" t="s">
        <v>87</v>
      </c>
      <c r="B7" s="63" t="s">
        <v>294</v>
      </c>
      <c r="C7" s="64">
        <v>484</v>
      </c>
    </row>
    <row r="8" spans="1:3" x14ac:dyDescent="0.3">
      <c r="A8" s="59" t="s">
        <v>87</v>
      </c>
      <c r="B8" s="60" t="s">
        <v>295</v>
      </c>
      <c r="C8" s="61">
        <v>281.60000000000002</v>
      </c>
    </row>
    <row r="9" spans="1:3" x14ac:dyDescent="0.3">
      <c r="A9" s="62" t="s">
        <v>87</v>
      </c>
      <c r="B9" s="63" t="s">
        <v>296</v>
      </c>
      <c r="C9" s="64">
        <v>2428.8000000000002</v>
      </c>
    </row>
    <row r="10" spans="1:3" x14ac:dyDescent="0.3">
      <c r="A10" s="59" t="s">
        <v>87</v>
      </c>
      <c r="B10" s="60" t="s">
        <v>297</v>
      </c>
      <c r="C10" s="61">
        <v>3370.4</v>
      </c>
    </row>
    <row r="11" spans="1:3" x14ac:dyDescent="0.3">
      <c r="A11" s="62" t="s">
        <v>129</v>
      </c>
      <c r="B11" s="63" t="s">
        <v>298</v>
      </c>
      <c r="C11" s="64">
        <v>2945.36</v>
      </c>
    </row>
    <row r="12" spans="1:3" x14ac:dyDescent="0.3">
      <c r="A12" s="59" t="s">
        <v>299</v>
      </c>
      <c r="B12" s="60" t="s">
        <v>300</v>
      </c>
      <c r="C12" s="61">
        <v>3872</v>
      </c>
    </row>
    <row r="13" spans="1:3" x14ac:dyDescent="0.3">
      <c r="A13" s="62" t="s">
        <v>232</v>
      </c>
      <c r="B13" s="63" t="s">
        <v>301</v>
      </c>
      <c r="C13" s="64">
        <v>664.4</v>
      </c>
    </row>
    <row r="14" spans="1:3" x14ac:dyDescent="0.3">
      <c r="A14" s="59" t="s">
        <v>302</v>
      </c>
      <c r="B14" s="60" t="s">
        <v>303</v>
      </c>
      <c r="C14" s="61">
        <v>5896</v>
      </c>
    </row>
    <row r="15" spans="1:3" x14ac:dyDescent="0.3">
      <c r="A15" s="62" t="s">
        <v>304</v>
      </c>
      <c r="B15" s="63" t="s">
        <v>305</v>
      </c>
      <c r="C15" s="64">
        <v>4642</v>
      </c>
    </row>
    <row r="16" spans="1:3" x14ac:dyDescent="0.3">
      <c r="A16" s="59" t="s">
        <v>306</v>
      </c>
      <c r="B16" s="60" t="s">
        <v>307</v>
      </c>
      <c r="C16" s="61">
        <v>1408</v>
      </c>
    </row>
    <row r="17" spans="1:3" x14ac:dyDescent="0.3">
      <c r="A17" s="62" t="s">
        <v>308</v>
      </c>
      <c r="B17" s="63" t="s">
        <v>309</v>
      </c>
      <c r="C17" s="64">
        <v>2478.96</v>
      </c>
    </row>
    <row r="18" spans="1:3" x14ac:dyDescent="0.3">
      <c r="A18" s="59" t="s">
        <v>310</v>
      </c>
      <c r="B18" s="60" t="s">
        <v>311</v>
      </c>
      <c r="C18" s="61">
        <v>4342.8</v>
      </c>
    </row>
    <row r="19" spans="1:3" x14ac:dyDescent="0.3">
      <c r="A19" s="62" t="s">
        <v>312</v>
      </c>
      <c r="B19" s="63" t="s">
        <v>313</v>
      </c>
      <c r="C19" s="64">
        <v>440</v>
      </c>
    </row>
    <row r="20" spans="1:3" x14ac:dyDescent="0.3">
      <c r="A20" s="59" t="s">
        <v>314</v>
      </c>
      <c r="B20" s="60" t="s">
        <v>315</v>
      </c>
      <c r="C20" s="61">
        <v>176</v>
      </c>
    </row>
    <row r="21" spans="1:3" x14ac:dyDescent="0.3">
      <c r="A21" s="62" t="s">
        <v>314</v>
      </c>
      <c r="B21" s="63" t="s">
        <v>316</v>
      </c>
      <c r="C21" s="64">
        <v>176</v>
      </c>
    </row>
    <row r="22" spans="1:3" x14ac:dyDescent="0.3">
      <c r="A22" s="59" t="s">
        <v>314</v>
      </c>
      <c r="B22" s="60" t="s">
        <v>317</v>
      </c>
      <c r="C22" s="61">
        <v>176</v>
      </c>
    </row>
    <row r="23" spans="1:3" x14ac:dyDescent="0.3">
      <c r="A23" s="62" t="s">
        <v>248</v>
      </c>
      <c r="B23" s="63" t="s">
        <v>318</v>
      </c>
      <c r="C23" s="64">
        <v>8890</v>
      </c>
    </row>
    <row r="24" spans="1:3" x14ac:dyDescent="0.3">
      <c r="A24" s="59" t="s">
        <v>248</v>
      </c>
      <c r="B24" s="60" t="s">
        <v>319</v>
      </c>
      <c r="C24" s="61">
        <v>-1715</v>
      </c>
    </row>
    <row r="25" spans="1:3" x14ac:dyDescent="0.3">
      <c r="A25" s="62" t="s">
        <v>320</v>
      </c>
      <c r="B25" s="63" t="s">
        <v>321</v>
      </c>
      <c r="C25" s="64">
        <v>41400</v>
      </c>
    </row>
    <row r="26" spans="1:3" x14ac:dyDescent="0.3">
      <c r="A26" s="59" t="s">
        <v>320</v>
      </c>
      <c r="B26" s="60" t="s">
        <v>322</v>
      </c>
      <c r="C26" s="61">
        <v>23460</v>
      </c>
    </row>
    <row r="27" spans="1:3" ht="15" thickBot="1" x14ac:dyDescent="0.35">
      <c r="A27" s="62" t="s">
        <v>88</v>
      </c>
      <c r="B27" s="63" t="s">
        <v>323</v>
      </c>
      <c r="C27" s="64">
        <v>9755</v>
      </c>
    </row>
    <row r="28" spans="1:3" ht="15" thickTop="1" x14ac:dyDescent="0.3">
      <c r="A28" s="65" t="s">
        <v>0</v>
      </c>
      <c r="B28" s="66"/>
      <c r="C28" s="67">
        <v>121908.32</v>
      </c>
    </row>
    <row r="31" spans="1:3" x14ac:dyDescent="0.3">
      <c r="B31" s="55" t="s">
        <v>324</v>
      </c>
      <c r="C31" s="56">
        <f>C28+Tabla2[[#Totals],[Imp.cob.aplic.]]+Tabla3[[#Totals],[Imp. aplic.]]</f>
        <v>299660.30000000005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F9E-45D2-46CD-AA6D-404F8DAF4033}">
  <dimension ref="B1"/>
  <sheetViews>
    <sheetView workbookViewId="0">
      <selection activeCell="B1" sqref="B1"/>
    </sheetView>
  </sheetViews>
  <sheetFormatPr baseColWidth="10" defaultRowHeight="14.4" x14ac:dyDescent="0.3"/>
  <sheetData>
    <row r="1" spans="2:2" x14ac:dyDescent="0.3">
      <c r="B1" t="s">
        <v>167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72D01-2441-4BC4-9079-5F0C172967A7}">
  <dimension ref="A1:C5"/>
  <sheetViews>
    <sheetView workbookViewId="0">
      <selection activeCell="B8" sqref="B8:C8"/>
    </sheetView>
  </sheetViews>
  <sheetFormatPr baseColWidth="10" defaultRowHeight="14.4" x14ac:dyDescent="0.3"/>
  <cols>
    <col min="1" max="1" width="12" customWidth="1"/>
    <col min="2" max="2" width="47.33203125" customWidth="1"/>
    <col min="3" max="3" width="12.33203125" customWidth="1"/>
  </cols>
  <sheetData>
    <row r="1" spans="1:3" x14ac:dyDescent="0.3">
      <c r="A1" s="47" t="s">
        <v>183</v>
      </c>
      <c r="B1" s="47" t="s">
        <v>75</v>
      </c>
      <c r="C1" s="47" t="s">
        <v>184</v>
      </c>
    </row>
    <row r="2" spans="1:3" x14ac:dyDescent="0.3">
      <c r="A2" s="45" t="s">
        <v>66</v>
      </c>
      <c r="B2" s="45" t="s">
        <v>252</v>
      </c>
      <c r="C2" s="27">
        <v>195.21</v>
      </c>
    </row>
    <row r="3" spans="1:3" x14ac:dyDescent="0.3">
      <c r="A3" s="46" t="s">
        <v>66</v>
      </c>
      <c r="B3" s="46" t="s">
        <v>253</v>
      </c>
      <c r="C3" s="28">
        <v>285.11</v>
      </c>
    </row>
    <row r="4" spans="1:3" x14ac:dyDescent="0.3">
      <c r="A4" s="49" t="s">
        <v>67</v>
      </c>
      <c r="B4" s="49" t="s">
        <v>254</v>
      </c>
      <c r="C4" s="50">
        <v>-216</v>
      </c>
    </row>
    <row r="5" spans="1:3" x14ac:dyDescent="0.3">
      <c r="A5" s="40" t="s">
        <v>0</v>
      </c>
      <c r="B5" s="40"/>
      <c r="C5" s="54">
        <f>SUBTOTAL(109,Tabla5[Imp. aplic.])</f>
        <v>264.32000000000005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D8344-8DF3-44F4-84CC-20193511DF51}">
  <dimension ref="B2:D6"/>
  <sheetViews>
    <sheetView tabSelected="1" workbookViewId="0">
      <selection activeCell="D7" sqref="D7"/>
    </sheetView>
  </sheetViews>
  <sheetFormatPr baseColWidth="10" defaultRowHeight="14.4" x14ac:dyDescent="0.3"/>
  <cols>
    <col min="3" max="3" width="39" customWidth="1"/>
  </cols>
  <sheetData>
    <row r="2" spans="2:4" x14ac:dyDescent="0.3">
      <c r="B2" t="s">
        <v>325</v>
      </c>
    </row>
    <row r="6" spans="2:4" x14ac:dyDescent="0.3">
      <c r="C6" s="55" t="s">
        <v>326</v>
      </c>
      <c r="D6" s="56">
        <f>Tabla5[[#Totals],[Imp. aplic.]]</f>
        <v>264.32000000000005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vt:i4>
      </vt:variant>
    </vt:vector>
  </HeadingPairs>
  <TitlesOfParts>
    <vt:vector size="10" baseType="lpstr">
      <vt:lpstr>Tesis</vt:lpstr>
      <vt:lpstr>Sexenios</vt:lpstr>
      <vt:lpstr>Ingresos investigación 2023</vt:lpstr>
      <vt:lpstr>Ingresos investigación 2024</vt:lpstr>
      <vt:lpstr>Ingresos investigación 2025</vt:lpstr>
      <vt:lpstr>Ingresos formación 2023</vt:lpstr>
      <vt:lpstr>Ingresos formación 2024</vt:lpstr>
      <vt:lpstr>Ingresos formación 2025</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MARIA TERESA PUJALTE DEVIS</cp:lastModifiedBy>
  <dcterms:created xsi:type="dcterms:W3CDTF">2019-07-03T07:15:54Z</dcterms:created>
  <dcterms:modified xsi:type="dcterms:W3CDTF">2026-05-26T11:09:50Z</dcterms:modified>
</cp:coreProperties>
</file>