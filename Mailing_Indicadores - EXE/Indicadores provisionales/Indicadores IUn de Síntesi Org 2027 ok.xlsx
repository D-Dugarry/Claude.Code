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968442F3-6037-459A-95BA-69A8A5C08956}" xr6:coauthVersionLast="47" xr6:coauthVersionMax="47" xr10:uidLastSave="{00000000-0000-0000-0000-000000000000}"/>
  <bookViews>
    <workbookView xWindow="-120" yWindow="-120" windowWidth="29040" windowHeight="15720" xr2:uid="{00000000-000D-0000-FFFF-FFFF00000000}"/>
  </bookViews>
  <sheets>
    <sheet name="Tesis" sheetId="2" r:id="rId1"/>
    <sheet name="Sexenios" sheetId="3" r:id="rId2"/>
    <sheet name="Ingresos investigación 2023" sheetId="9" r:id="rId3"/>
    <sheet name="Ingresos investigación 2024" sheetId="10" r:id="rId4"/>
    <sheet name="Ingresos investigación 2025" sheetId="11" r:id="rId5"/>
  </sheets>
  <definedNames>
    <definedName name="_xlnm._FilterDatabase" localSheetId="1" hidden="1">Sexenios!#REF!</definedName>
    <definedName name="_xlnm._FilterDatabase" localSheetId="0" hidden="1">Tesis!$A$1:$U$39</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5" i="11" l="1"/>
  <c r="T40" i="2"/>
  <c r="C20" i="10"/>
  <c r="C22" i="9"/>
  <c r="Q17" i="3"/>
</calcChain>
</file>

<file path=xl/sharedStrings.xml><?xml version="1.0" encoding="utf-8"?>
<sst xmlns="http://schemas.openxmlformats.org/spreadsheetml/2006/main" count="813" uniqueCount="260">
  <si>
    <t>Total</t>
  </si>
  <si>
    <t>41.00.6C.00.15</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</si>
  <si>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</si>
  <si>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</si>
  <si>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</si>
  <si>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</si>
  <si>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</si>
  <si>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</si>
  <si>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</si>
  <si>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</si>
  <si>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</si>
  <si>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</si>
  <si>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</si>
  <si>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</si>
  <si>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</si>
  <si>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</si>
  <si>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</si>
  <si>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</si>
  <si>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</si>
  <si>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</si>
  <si>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</si>
  <si>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</si>
  <si>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</si>
  <si>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</si>
  <si>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</si>
  <si>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U042 </t>
  </si>
  <si>
    <t>ADM. I.U. DE SÍNTESIS ORGÁNICA </t>
  </si>
  <si>
    <t>DOCTORADO EN SÍNTESIS ORGÁNICA </t>
  </si>
  <si>
    <t>52776404Y </t>
  </si>
  <si>
    <t>10.11</t>
  </si>
  <si>
    <t>Director de tesis </t>
  </si>
  <si>
    <t>76793623G </t>
  </si>
  <si>
    <t>50</t>
  </si>
  <si>
    <t>60</t>
  </si>
  <si>
    <t>90</t>
  </si>
  <si>
    <t>80</t>
  </si>
  <si>
    <t>74215613H </t>
  </si>
  <si>
    <t>B141 </t>
  </si>
  <si>
    <t>QUÍMICA ORGÁNICA </t>
  </si>
  <si>
    <t>B141</t>
  </si>
  <si>
    <t>21418250Y </t>
  </si>
  <si>
    <t>45905770R </t>
  </si>
  <si>
    <t>71697007G </t>
  </si>
  <si>
    <t>21457195N </t>
  </si>
  <si>
    <t>21462906L </t>
  </si>
  <si>
    <t>52774740K </t>
  </si>
  <si>
    <t>21488564D </t>
  </si>
  <si>
    <t>21482875R </t>
  </si>
  <si>
    <t>65</t>
  </si>
  <si>
    <t>NIF</t>
  </si>
  <si>
    <t>NOMBRE_COMPLETO</t>
  </si>
  <si>
    <t>TIPO_SEXENIO</t>
  </si>
  <si>
    <t>Total general</t>
  </si>
  <si>
    <t>INS
1</t>
  </si>
  <si>
    <t>DED
INS 1</t>
  </si>
  <si>
    <t>INS
2</t>
  </si>
  <si>
    <t>DED
INS 2</t>
  </si>
  <si>
    <t>DED
DEP</t>
  </si>
  <si>
    <t>SEX
INS 1</t>
  </si>
  <si>
    <t>SEX
INS 2</t>
  </si>
  <si>
    <t>SEX
DEP</t>
  </si>
  <si>
    <t>FUNCIONARIO</t>
  </si>
  <si>
    <t>74215613H</t>
  </si>
  <si>
    <t>21484328M</t>
  </si>
  <si>
    <t>21418250Y</t>
  </si>
  <si>
    <t>71697007G</t>
  </si>
  <si>
    <t>45905770R</t>
  </si>
  <si>
    <t>21471279C</t>
  </si>
  <si>
    <t>21482875R</t>
  </si>
  <si>
    <t>21488564D</t>
  </si>
  <si>
    <t>52774740K</t>
  </si>
  <si>
    <t>21457195N</t>
  </si>
  <si>
    <t>21462906L</t>
  </si>
  <si>
    <t>Molina Molina, Cynthia </t>
  </si>
  <si>
    <t>Síntesis de 2-oxindoles 3,3-disustituidos por alquilación desacilativa </t>
  </si>
  <si>
    <t>30/07/2020 </t>
  </si>
  <si>
    <t>16492794T </t>
  </si>
  <si>
    <t>Albert Soriano, María </t>
  </si>
  <si>
    <t>TOWARDS SUSTAINABILITY IN ORGANIC TRANSFORMATIONS CATALYSED BY 1,3-BIS(CARBOXYMETHYL)IMIDAZOLE-BASED SYSTEMS </t>
  </si>
  <si>
    <t>28/09/2020 </t>
  </si>
  <si>
    <t>Felipe Blanco, Diego </t>
  </si>
  <si>
    <t>Salicylic Acid-Catalyzed Radical Arylations from In-situ Formed Arenediazonium Salts </t>
  </si>
  <si>
    <t>22/07/2020 </t>
  </si>
  <si>
    <t>Ferrandiz Saperas, Marcos </t>
  </si>
  <si>
    <t>Azomethine Ylides for the Synthesis of Antibiotics, Enantioselective Prolinates and a Graphene-supported Catalyst </t>
  </si>
  <si>
    <t>15/06/2020 </t>
  </si>
  <si>
    <t>COD DEP</t>
  </si>
  <si>
    <t>Martín García, María Iris </t>
  </si>
  <si>
    <t>NEW ADVENTURES IN SUPPORTED COPPER NANOPARTICLES </t>
  </si>
  <si>
    <t>30/11/2020 </t>
  </si>
  <si>
    <t>U022 </t>
  </si>
  <si>
    <t>ADM. FACULTAD DE CIENCIAS </t>
  </si>
  <si>
    <t>DOCTORADO EN CIENCIAS EXPERIMENTALES Y BIOSANITARIAS </t>
  </si>
  <si>
    <t>Lledó García, David </t>
  </si>
  <si>
    <t>APPLICATIONS OF IONIC LIQUIDS IN CATALYSIS AND METAL EXTRACTION </t>
  </si>
  <si>
    <t>19/02/2021 </t>
  </si>
  <si>
    <t>Chabour , Ihssene </t>
  </si>
  <si>
    <t>1,3-Dipolar cycloadditions using catalysts with double chirality and novel multicomponent [4+2] processes. </t>
  </si>
  <si>
    <t>08/02/2021 </t>
  </si>
  <si>
    <t>Saavedra Guillem, Beatriz </t>
  </si>
  <si>
    <t>New strategies for C-C, C-O and C-S bond formation in Deep Eutectic Solvents </t>
  </si>
  <si>
    <t>18/06/2021 </t>
  </si>
  <si>
    <t>Moreno Cabrerizo, Cristina </t>
  </si>
  <si>
    <t>Useful strategies for the synthesis of 3,3' - disubstitued 2-oxindoles and homoallyl alcohols </t>
  </si>
  <si>
    <t>18/03/2021 </t>
  </si>
  <si>
    <t>Sirvent Verdú, Ana </t>
  </si>
  <si>
    <t>Synthesis of nitrogen containing heterocycles and polyfunctionalized compounds from N-tert-butanesulfinyl alkyl, alkenyl and homopropargyl amine derivatives </t>
  </si>
  <si>
    <t>24/09/2021 </t>
  </si>
  <si>
    <t>41.00.6C.00.27</t>
  </si>
  <si>
    <t>Cód. org. aplic.</t>
  </si>
  <si>
    <t>Descripción justificante</t>
  </si>
  <si>
    <t>41.00.6C.00.25</t>
  </si>
  <si>
    <t>Llopis Costa, Natalia </t>
  </si>
  <si>
    <t>HFIP as a metal-free alternative for cyclization and oxidation reactions </t>
  </si>
  <si>
    <t>12/04/2022 </t>
  </si>
  <si>
    <t>García Mingüens, Eduardo </t>
  </si>
  <si>
    <t>SYNTHESIS AND APPLICATIONS OF POLYFUNCTIONALIZED PROLINATES </t>
  </si>
  <si>
    <t>18/03/2022 </t>
  </si>
  <si>
    <t>Baciu , Bianca Catalina </t>
  </si>
  <si>
    <t>Design and synthesis of biterminated dithiahelicenes of increasing size for molecular electronics and chiroptical applications </t>
  </si>
  <si>
    <t>15/07/2022 </t>
  </si>
  <si>
    <t>05921559W</t>
  </si>
  <si>
    <t>NO FUNCIONARIO</t>
  </si>
  <si>
    <t>48620517N</t>
  </si>
  <si>
    <t>52776404Y</t>
  </si>
  <si>
    <t>Imp.cob.aplic.</t>
  </si>
  <si>
    <t>41.00.6H.00.03</t>
  </si>
  <si>
    <t>41.00.6P.00.16</t>
  </si>
  <si>
    <t>41.00.6P.00.13</t>
  </si>
  <si>
    <t>41.00.6P.00.14</t>
  </si>
  <si>
    <t>41.00.6C.00.33</t>
  </si>
  <si>
    <t>41.00.6C.00.34</t>
  </si>
  <si>
    <t>41.00.6P.00.18</t>
  </si>
  <si>
    <t>I.U. DE SÍNTESIS ORGÁNICA (10.11) </t>
  </si>
  <si>
    <t>Hernández Ibáñez, Sandra </t>
  </si>
  <si>
    <t>Stereoselective Synthesis of Monocyclic and Bicyclic Nitrogen Heterocycles from N-tert-Butanesulfinyl Imines </t>
  </si>
  <si>
    <t>03/05/2023 </t>
  </si>
  <si>
    <t>Belabbes , Asmaa </t>
  </si>
  <si>
    <t>Design of Cyclisations for the Synthesis of Complex Heterocyclic Skeletons </t>
  </si>
  <si>
    <t>28/04/2023 </t>
  </si>
  <si>
    <t>Martos González, Mario </t>
  </si>
  <si>
    <t>Sustainable catalytic systems based on imidazole derivatives </t>
  </si>
  <si>
    <t>24/03/2023 </t>
  </si>
  <si>
    <t>Torregrosa Chinillach, Alejandro </t>
  </si>
  <si>
    <t>Organocatalytic systems in enantioselective conjugate addition reactions and photooxidations under visible light </t>
  </si>
  <si>
    <t>26/05/2023 </t>
  </si>
  <si>
    <t>González Gallardo, Nerea </t>
  </si>
  <si>
    <t>Fifth Period Metals in Deep Eutectic Solvents: Catalytic Activity in Organic Synthesis and Beyond </t>
  </si>
  <si>
    <t>14/09/2023 </t>
  </si>
  <si>
    <t>Ensayos: NF45 (NEOPUR 3535.1) - NF46 - NF47 MUESTRAS: 23B-A7B2, 23B-A8B2 y 23B-A9A EXPERIMENTOS REALIZADOS Y ANÁLISIS: 3 x poder calorífico superior (con preparación de muestras e informe)</t>
  </si>
  <si>
    <t>S</t>
  </si>
  <si>
    <t>Asesoramiento científico-técnico para el escalado industrial de LP181A1</t>
  </si>
  <si>
    <t>ASESORAMIENTO CIENTÍFICO-TÉCNICO PARA LA VALIDACIÓN DE PROCESOS DE EXTRACCIÓN DE PRINCIPIOS ACTIVOS DE PLANTAS MEDICINALES</t>
  </si>
  <si>
    <t>Asesoramiento científico-técnico para la mejora y validación de sistemas informáticos en un entorno Gmp</t>
  </si>
  <si>
    <t>Synthesis of 2 kg of (1R,2R,3S,5S)-3- (3,4-Dichlorophenyl)-8-methyl-8-azabicyclo[3.2.1]octane-2-methanol (99% purity by HPLC) -50% (PERSONNEL COST)</t>
  </si>
  <si>
    <t>A) Validation of step 8 and 9 (synthesis of tesofensine citrate). 2 batches starting from 50 g of TSOH ((1R, 2R,3S,5S)-3-(3,4-Dichlorophenyl)-8-methyl-8-azabicyclo [3.2.1] octane-2-methanol. b) Synthesis of 2 g of 3-(3,4.dichlorophenyl)-2-(ethoxumethyl)-8-methyl-8-azabicyclo [3.2.1] octane citrate (racemic) c) Development of an HPLC method for the determination of the chiral purity of tesofensine citrate and key precursors after the enantiomeric resolution.</t>
  </si>
  <si>
    <t>CARACTERIZACIÓN DEL MATERIAL PLÁSTICO HH-PCR</t>
  </si>
  <si>
    <t>CARACTERIZACIÓN DEL MATERIAL PLÁSTICO HH-PCR.</t>
  </si>
  <si>
    <t>Optimización de condiciones de funcionalización y de reacciones de Diels-Alder y retro-Diels-Alder.  (Número de pedido: NP061767)</t>
  </si>
  <si>
    <t>Estudio y optimización del proceso de síntesis del PU empleando como extendedor DHMF y de las  reacciones de Diels-Alder y retro-Diels-Alder.  (Número de pedido: NP061768).</t>
  </si>
  <si>
    <t>41.00.6C.00.35</t>
  </si>
  <si>
    <t>Tareas de extracción, análisis, identificación y cuantificación de sustancias orgánicas en plásticos. El material para ser tratado y analizado será proporcionado por la empresa.</t>
  </si>
  <si>
    <t>APOTIP/2021/003/018/019/020/027/029/046</t>
  </si>
  <si>
    <t>DEVOLUCIÓN DE INGRESOS_MODELO 047_Nº de liquidación:46/2023/RAS/10301/1_ Número de justificante:047/1/002382614_Nº de referencia:047/1/002382614</t>
  </si>
  <si>
    <t xml:space="preserve">CIDEGENT/2020/058 </t>
  </si>
  <si>
    <t>SEJIGENT 2021 ANUALIDAD 2023 SUBVENCIONA LA EXCELENCIA CIENTÍFICA DE JUNIORS   INVESTIG. RESOL. CONCESIÓN DGCI 14-9-21</t>
  </si>
  <si>
    <t xml:space="preserve">AICO/2021/013/062/093/130/132/163/165 </t>
  </si>
  <si>
    <t>DEVOLUCIÓN DE INGRESOS_MODELO 047_Nº de liquidación: 46/2023/RAS/10200/1_Número de justificante: 047/1/002359944_Nº de referencia:047/1/002359944</t>
  </si>
  <si>
    <t xml:space="preserve">PID2021-122320NA-I00/123699NB-I00/124741NB-I00/124860NB-I00/125387NB-I00/126485OB-I00/127332NB-I00/127566NB-I00/127967NB-I00 </t>
  </si>
  <si>
    <t>41.00.6P.00.19</t>
  </si>
  <si>
    <t xml:space="preserve">AYUDAS CNS2022-136093 /136107 /135161 </t>
  </si>
  <si>
    <t>41.00.6P.00.20</t>
  </si>
  <si>
    <t>ayudas CIAICO/2022/017, CIAICO/2022/019, CIAICO/2022/038, CIAICO/2022/046, CIAICO/2022/047, CIAICO/2022/049, CIAICO/2022/077, CIAICO/2022/078, CIAICO/2022/079, CIAICO/2022/112, CIAICO/2022/132 , CIAICO/2022/167, CIAICO/2022/177</t>
  </si>
  <si>
    <t>U042</t>
  </si>
  <si>
    <t>I.U. DE SÍNTESIS ORGÁNICA (10.11)</t>
  </si>
  <si>
    <t>DOCTORADO EN SÍNTESIS ORGÁNICA</t>
  </si>
  <si>
    <t>Rodríguez Flórez, Lesly Viviana</t>
  </si>
  <si>
    <t>Imino esters as useful precursors for the synthesis of glutamate derivatives and
functionalization of carbon materials.</t>
  </si>
  <si>
    <t>27/05/2024</t>
  </si>
  <si>
    <t>Codirector de tesis</t>
  </si>
  <si>
    <t>QUÍMICA ORGÁNICA</t>
  </si>
  <si>
    <t>Ortuño Navarro, Juan Francisco</t>
  </si>
  <si>
    <t>Fatty Acids, Phenolic Compounds and Thiazole Derivatives as Precursors of Molecules with Potential Biological Activity</t>
  </si>
  <si>
    <t>20/11/2023</t>
  </si>
  <si>
    <t>Burlingham , Sarah Jayne</t>
  </si>
  <si>
    <t>Deep Eutectic Solvents and Visible-Light Photocatalysis: Pathways to Greener Chemistry</t>
  </si>
  <si>
    <t>10/06/2024</t>
  </si>
  <si>
    <t>Org. aplic.</t>
  </si>
  <si>
    <t>Imp. aplic.</t>
  </si>
  <si>
    <t>"Asesoramiento científico-técnico para el desarrollo y validación de nuevas formas farmacéuticas para productos medicinales derivados del cannabis"</t>
  </si>
  <si>
    <t>ASESORAMIENTO Y ASISTENCIA CIENTÍFICO TÉCNICA EN LA PREPARACIÓN Y CARACTERIZACIÓN DE SUBSTANCIAS ORGÁNICAS DE ALTO VALOR AÑADIDO. Ref. proyecto: MEDALCHEMY1-24TD Ivestigador responsable Francisco Foubelo García.</t>
  </si>
  <si>
    <t>Caracterización de muestras de EVA y EVA reciclado mediante RMN y ATR-IR, incluyendo pruebas de solubilidad. (Número de pedido: NP064165). Proyecto DEX-LINKING II.</t>
  </si>
  <si>
    <t>Durante tres meses, se llevará a cabo la síntesis y caracterización de diversos reticulantes y extendedores para su uso en la preparación sostenible de poliuretanos reciclables. (Número de pedido NP064153)</t>
  </si>
  <si>
    <t>Caracterización de muestras de EVA y EVA reciclado mediante RMN de 13C en estado sólido y RAMAN. (Número de pedido: NP064454). Proyecto DEX-LINKING II.</t>
  </si>
  <si>
    <t>Durante tres meses, se llevará a cabo la síntesis y caracterización de diversos reticulantes y extendedores para su uso en la preparación sostenible de poliuretanos reciclables. (Número de pedido NP064153) Ref. proyecto INESCOP4-22T</t>
  </si>
  <si>
    <t xml:space="preserve">Durante tres meses, se llevará a cabo la síntesis y caracterización de diversos reticulantes y extendedores para su uso en la preparación sostenible de poliuretanos reciclables. (Número de pedido NP064153). Referencia proyecto CIRCADH II - IMDEEA/2024/43 </t>
  </si>
  <si>
    <t>Caracterización de muestras de EVA y EVA reciclado mediante RMN de 13C en estado sólido, FTIR, XPS y RAMAN. (Número de pedido: NP065647). Proyecto REVALOOP-IMDEEA/2024/41. Ref. proyecto UA: INESCOP4-22T</t>
  </si>
  <si>
    <t>Durante un mes, se llevará a cabo el estudio del escalado de la síntesis de un reticulante reticulante derivado de furano para su uso en la preparación sostenible de poliuretanos reciclables. (Número de pedido NP064153). Referencia proyecto CIRCADH II - IMDEEA/2024/43</t>
  </si>
  <si>
    <t>41.00.6C.00.36</t>
  </si>
  <si>
    <t>NUEVA TECNOLOGÍA INTELIGENTE PARA LA CUANTIFICACIÓN REAL DEL CONTENIDO RECICLADO EN MUESTRAS PLÁSTICAS DE DIFERENTE ORIGEN Y COMPOSICIÓN</t>
  </si>
  <si>
    <t xml:space="preserve">NUEVA TECNOLOGÍA INTELIGENTE PARA LA CUANTIFICACIÓN REAL DEL CONTENIDO RECICLADO EN MUESTRAS PLÁSTICAS DE DIFERENTE ORIGEN Y COMPOSICIÓN. </t>
  </si>
  <si>
    <t xml:space="preserve">ayudas CIDEGENT/2021/052, CIDEGENT/2021/052 </t>
  </si>
  <si>
    <t xml:space="preserve">ayudas SEJIGENT/2021/001, SEJIGENT/2021/005 </t>
  </si>
  <si>
    <t>DEVOLUCIÓN DE INGRESO_MODELO 047_SUBVENCIÓN AICO  ANUALIDAD_2023</t>
  </si>
  <si>
    <t>PID2021-126485OB-I00-126858NB-I00-126990NB-I00-127332NB-I00-127426OB-C22-127566NB-I00-127967NB-I00-127999NB-I00-128381NB-I00-128761OB-C21-128766OB-I00-128805NA-I00-128876OB-I00</t>
  </si>
  <si>
    <t xml:space="preserve">AYUDAS CIAICO/2022/017, CIAICO/2022/019, CIAICO/2022/038, CIAICO/2022/046, CIAICO/2022/047, CIAICO/2022/049, CIAICO/2022/077, CIAICO/2022/078, CIAICO/2022/079, CIAICO/2022/112, CIAICO/2022/132 CIAICO/2022/167 CIAICO/2022/177 </t>
  </si>
  <si>
    <t>DEVOLUCIÓN DE INGRESOS_MODELO 047_ REFERENCIA: CIACO 2022 EN 2023.</t>
  </si>
  <si>
    <t>Procopio , Debora</t>
  </si>
  <si>
    <t>Deep Eutectic Solvents as Sustainable Media for Pharmaceutical Purposes</t>
  </si>
  <si>
    <t>16/09/2024</t>
  </si>
  <si>
    <t>QUIMICA ORGANICA</t>
  </si>
  <si>
    <t>16/09/2025</t>
  </si>
  <si>
    <t>-</t>
  </si>
  <si>
    <t>I.U. de Síntesis Orgánica (10.11)</t>
  </si>
  <si>
    <t>Blanco López, Ester</t>
  </si>
  <si>
    <t>[3+2] Cycloadditions, Mannich and Morita-Baylis-Hillman reactions involving N-tert-
butanesulfinyl imines</t>
  </si>
  <si>
    <t>19/06/2025</t>
  </si>
  <si>
    <t>Química Orgánica</t>
  </si>
  <si>
    <t>Hidalgo León, Raquel</t>
  </si>
  <si>
    <t>Asymmetric Organocatalysed synthesis of spirocycles with increased complexity by remote bisvinylogous [4+2] cycloadditions</t>
  </si>
  <si>
    <t>06/06/2025</t>
  </si>
  <si>
    <t>Laze , Loris</t>
  </si>
  <si>
    <t>Approaching the Minisci reaction through photo- or electro-induced cross-dehydrogenative coupling</t>
  </si>
  <si>
    <t>30/05/2025</t>
  </si>
  <si>
    <t>2020</t>
  </si>
  <si>
    <t>2021</t>
  </si>
  <si>
    <t>2022</t>
  </si>
  <si>
    <t>2023</t>
  </si>
  <si>
    <t>2024</t>
  </si>
  <si>
    <t>2025</t>
  </si>
  <si>
    <t>Retamosa Hernández, María de Gracia</t>
  </si>
  <si>
    <t>Chinchilla Cruz, Rafael José</t>
  </si>
  <si>
    <t>21425525J</t>
  </si>
  <si>
    <t>Gómez Lucas, Mª Cecilia</t>
  </si>
  <si>
    <t>Vivos</t>
  </si>
  <si>
    <t>Ramón Dangla, Diego José</t>
  </si>
  <si>
    <t>Sansano Gil, José Miguel</t>
  </si>
  <si>
    <t>Guijarro Espí, David</t>
  </si>
  <si>
    <t>Guijarro Pastor, Albert</t>
  </si>
  <si>
    <t>Alonso Velasco, Diego Antonio</t>
  </si>
  <si>
    <t>Guillena Townley, Gabriela</t>
  </si>
  <si>
    <t>González Gómez, José Carlos</t>
  </si>
  <si>
    <t>Bosque Martínez, Irene</t>
  </si>
  <si>
    <t>Pastor Beviá, Isidro</t>
  </si>
  <si>
    <t>Baeza Carratalá, Alejandro</t>
  </si>
  <si>
    <t>Foubelo García, Francisco</t>
  </si>
  <si>
    <t>Alonso Valdés, Francisco</t>
  </si>
  <si>
    <t>Asesoramiento científico-técnico para el desarrollo y validación de nuevas formas farmacéuticas para productos medicinales derivados del cannabis. Ref. proyecto: MEDALCHEMY1-24TD. Investigador responsable Francisco Foubelo García.</t>
  </si>
  <si>
    <t>Asesoramiento científico-técnico para la mejora y validación de sistemas informáticos en un entorno GMP. Ref. proyecto: MEDALCHEMY1-24TD. Investigador responsable Francisco Foubelo García.</t>
  </si>
  <si>
    <t>41.00.6C.00.37</t>
  </si>
  <si>
    <t>INVESTIGACIÓN EN LA SÍNTESIS Y CARACTERIZACIÓN POLICARBONATOS DERIVADOS DE LIGNINA PARA SU USO EN LA PREPARACIÓN DE POLIURETANOS SOSTENIBLES. Ref. proyecto: INESCOP1-25IPA. Ref. proyecto: SUSTAINPU IMDEEA/2025/72. Referencia interna INESCOP: SG: NP067563</t>
  </si>
  <si>
    <t xml:space="preserve">ayudas PID2021-122320NA-I00, PID2021-123699NB-I00, PID2021-124741NB-I00, PID2021-124860NB-I00,PID2021-125387NB-I00, PID2021-126485OB-I00, PID2021-127332NB-I00, PID2021-127566NB-I00, PID2021-127967NB-I00, </t>
  </si>
  <si>
    <t>Ayudas CIAICO/2022/017, CIAICO/2022/019, CIAICO/2022/038, CIAICO/2022/046, CIAICO/2022/047, CIAICO/2022/049, CIAICO/2022/077, CIAICO/2022/078,CIAICO/2022/079, CIAICO/2022/112, CIAICO/2022/132, CIAICO/2022/167, ,CIAICO/2022/177</t>
  </si>
  <si>
    <t xml:space="preserve">Minoración AYUDAS CIAICO/2022/017, CIAICO/2022/019,  CIAICO/2022/046, CIAICO/2022/047,  CIAICO/2022/077, CIAICO/2022/078, CIAICO/2022/079, CIAICO/2022/112, CIAICO/2022/132 CIAICO/2022/167 CIAICO/2022/177 </t>
  </si>
  <si>
    <t>41.00.6P.00.22</t>
  </si>
  <si>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</si>
  <si>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</si>
  <si>
    <t>41.00.6P.00.24</t>
  </si>
  <si>
    <t>Ayudas CIESGT/2025/08 - CIESGT/2025/09</t>
  </si>
  <si>
    <t>Total ingresos investigación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</si>
</sst>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
  </numFmts>
  <fonts count="18"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sz val="11"/>
      <color theme="1"/>
      <name val="Calibri"/>
      <family val="2"/>
      <scheme val="minor"/>
    </font>
    <font>
      <b/>
      <sz val="10"/>
      <color theme="0"/>
      <name val="Arial"/>
      <family val="2"/>
    </font>
    <font>
      <b/>
      <sz val="10"/>
      <color theme="0"/>
      <name val="Arial"/>
      <family val="2"/>
    </font>
    <font>
      <sz val="10"/>
      <color theme="1"/>
      <name val="Arial"/>
      <family val="2"/>
    </font>
    <font>
      <b/>
      <sz val="11"/>
      <color theme="1"/>
      <name val="Calibri"/>
      <family val="2"/>
      <scheme val="minor"/>
    </font>
    <font>
      <sz val="8"/>
      <name val="Calibri"/>
      <family val="2"/>
      <scheme val="minor"/>
    </font>
    <font>
      <b/>
      <sz val="10"/>
      <color theme="1"/>
      <name val="Arial"/>
      <family val="2"/>
    </font>
  </fonts>
  <fills count="13">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bgColor theme="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diagonal/>
    </border>
    <border>
      <left/>
      <right style="medium">
        <color rgb="FF878787"/>
      </right>
      <top style="medium">
        <color rgb="FF878787"/>
      </top>
      <bottom/>
      <diagonal/>
    </border>
    <border>
      <left style="medium">
        <color rgb="FF878787"/>
      </left>
      <right style="medium">
        <color rgb="FF878787"/>
      </right>
      <top style="medium">
        <color rgb="FF878787"/>
      </top>
      <bottom/>
      <diagonal/>
    </border>
    <border>
      <left style="medium">
        <color rgb="FF878787"/>
      </left>
      <right/>
      <top style="medium">
        <color rgb="FF878787"/>
      </top>
      <bottom/>
      <diagonal/>
    </border>
    <border>
      <left/>
      <right/>
      <top/>
      <bottom style="thin">
        <color theme="9" tint="0.39997558519241921"/>
      </bottom>
      <diagonal/>
    </border>
    <border>
      <left/>
      <right/>
      <top style="thin">
        <color theme="9" tint="0.39997558519241921"/>
      </top>
      <bottom/>
      <diagonal/>
    </border>
    <border>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1" fillId="0" borderId="0" applyFont="0" applyFill="0" applyBorder="0" applyAlignment="0" applyProtection="0"/>
  </cellStyleXfs>
  <cellXfs count="83">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textRotation="90" wrapText="1"/>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2" fillId="4" borderId="1" xfId="1" applyFill="1" applyBorder="1"/>
    <xf numFmtId="0" fontId="2" fillId="4" borderId="1" xfId="1" applyFill="1" applyBorder="1" applyAlignment="1">
      <alignment horizontal="right"/>
    </xf>
    <xf numFmtId="1" fontId="2" fillId="4" borderId="1" xfId="1" applyNumberFormat="1" applyFill="1" applyBorder="1"/>
    <xf numFmtId="165" fontId="2" fillId="4" borderId="1" xfId="1" applyNumberFormat="1" applyFill="1" applyBorder="1"/>
    <xf numFmtId="0" fontId="2" fillId="4" borderId="2" xfId="1" applyFill="1" applyBorder="1"/>
    <xf numFmtId="0" fontId="2" fillId="4" borderId="2" xfId="1" applyFill="1" applyBorder="1" applyAlignment="1">
      <alignment horizontal="right"/>
    </xf>
    <xf numFmtId="1" fontId="2" fillId="4" borderId="2" xfId="1" applyNumberFormat="1" applyFill="1" applyBorder="1"/>
    <xf numFmtId="165" fontId="2" fillId="4" borderId="2" xfId="1" applyNumberFormat="1" applyFill="1" applyBorder="1"/>
    <xf numFmtId="0" fontId="2" fillId="0" borderId="1" xfId="1" applyBorder="1"/>
    <xf numFmtId="0" fontId="10" fillId="6" borderId="1" xfId="0" applyFont="1" applyFill="1" applyBorder="1" applyAlignment="1">
      <alignment horizontal="left" vertical="center"/>
    </xf>
    <xf numFmtId="0" fontId="10" fillId="6" borderId="3" xfId="0" applyFont="1" applyFill="1" applyBorder="1" applyAlignment="1">
      <alignment horizontal="left" vertical="center"/>
    </xf>
    <xf numFmtId="0" fontId="10" fillId="6" borderId="4" xfId="0" applyFont="1" applyFill="1" applyBorder="1" applyAlignment="1">
      <alignment horizontal="left" vertical="center"/>
    </xf>
    <xf numFmtId="0" fontId="10" fillId="6" borderId="5" xfId="0" applyFont="1" applyFill="1" applyBorder="1" applyAlignment="1">
      <alignment horizontal="left" vertical="center"/>
    </xf>
    <xf numFmtId="166" fontId="2" fillId="4" borderId="1" xfId="1" applyNumberFormat="1" applyFill="1" applyBorder="1"/>
    <xf numFmtId="166" fontId="2" fillId="4" borderId="2" xfId="1" applyNumberFormat="1" applyFill="1" applyBorder="1"/>
    <xf numFmtId="0" fontId="10" fillId="6" borderId="7" xfId="0" applyFont="1" applyFill="1" applyBorder="1" applyAlignment="1">
      <alignment horizontal="left" vertical="center"/>
    </xf>
    <xf numFmtId="0" fontId="10" fillId="6" borderId="8" xfId="0" applyFont="1" applyFill="1" applyBorder="1" applyAlignment="1">
      <alignment horizontal="left" vertical="center"/>
    </xf>
    <xf numFmtId="0" fontId="10" fillId="6" borderId="9" xfId="0" applyFont="1" applyFill="1" applyBorder="1" applyAlignment="1">
      <alignment horizontal="left" vertical="center"/>
    </xf>
    <xf numFmtId="0" fontId="10" fillId="6" borderId="10" xfId="0" applyFont="1" applyFill="1" applyBorder="1" applyAlignment="1">
      <alignment horizontal="left" vertical="center"/>
    </xf>
    <xf numFmtId="0" fontId="2" fillId="0" borderId="7" xfId="1" applyBorder="1"/>
    <xf numFmtId="0" fontId="2" fillId="4" borderId="7" xfId="1" applyFill="1" applyBorder="1"/>
    <xf numFmtId="0" fontId="2" fillId="4" borderId="7" xfId="1" applyFill="1" applyBorder="1" applyAlignment="1">
      <alignment horizontal="right"/>
    </xf>
    <xf numFmtId="0" fontId="6" fillId="0" borderId="1" xfId="0" applyFont="1" applyBorder="1"/>
    <xf numFmtId="0" fontId="6" fillId="0" borderId="1" xfId="0" applyFont="1" applyBorder="1" applyAlignment="1">
      <alignment horizontal="left"/>
    </xf>
    <xf numFmtId="0" fontId="6" fillId="0" borderId="1" xfId="0" applyFont="1" applyBorder="1" applyAlignment="1">
      <alignment horizontal="center"/>
    </xf>
    <xf numFmtId="0" fontId="14" fillId="8" borderId="6" xfId="0" applyFont="1" applyFill="1" applyBorder="1"/>
    <xf numFmtId="43" fontId="0" fillId="8" borderId="6" xfId="6" applyNumberFormat="1" applyFont="1" applyFill="1" applyBorder="1"/>
    <xf numFmtId="0" fontId="14" fillId="0" borderId="6" xfId="0" applyFont="1" applyBorder="1"/>
    <xf numFmtId="43" fontId="0" fillId="0" borderId="6" xfId="6" applyNumberFormat="1" applyFont="1" applyBorder="1"/>
    <xf numFmtId="0" fontId="0" fillId="9" borderId="0" xfId="0" applyFill="1"/>
    <xf numFmtId="0" fontId="0" fillId="9" borderId="0" xfId="0" applyFill="1" applyAlignment="1">
      <alignment horizontal="left"/>
    </xf>
    <xf numFmtId="164" fontId="0" fillId="0" borderId="0" xfId="0" applyNumberFormat="1"/>
    <xf numFmtId="0" fontId="13" fillId="7" borderId="11" xfId="0" applyFont="1" applyFill="1" applyBorder="1"/>
    <xf numFmtId="0" fontId="14" fillId="0" borderId="12" xfId="0" applyFont="1" applyBorder="1"/>
    <xf numFmtId="43" fontId="0" fillId="0" borderId="12" xfId="6" applyNumberFormat="1" applyFont="1" applyBorder="1"/>
    <xf numFmtId="0" fontId="9" fillId="0" borderId="12" xfId="0" applyFont="1" applyBorder="1"/>
    <xf numFmtId="43" fontId="11" fillId="0" borderId="12" xfId="0" applyNumberFormat="1" applyFont="1" applyBorder="1"/>
    <xf numFmtId="0" fontId="14" fillId="8" borderId="6" xfId="0" applyFont="1" applyFill="1" applyBorder="1" applyAlignment="1">
      <alignment wrapText="1"/>
    </xf>
    <xf numFmtId="0" fontId="14" fillId="0" borderId="6" xfId="0" applyFont="1" applyBorder="1" applyAlignment="1">
      <alignment wrapText="1"/>
    </xf>
    <xf numFmtId="0" fontId="14" fillId="0" borderId="12" xfId="0" applyFont="1" applyBorder="1" applyAlignment="1">
      <alignment wrapText="1"/>
    </xf>
    <xf numFmtId="164" fontId="0" fillId="0" borderId="0" xfId="6" applyFont="1"/>
    <xf numFmtId="0" fontId="0" fillId="0" borderId="0" xfId="0" applyAlignment="1">
      <alignment wrapText="1"/>
    </xf>
    <xf numFmtId="0" fontId="15" fillId="0" borderId="1" xfId="0" applyFont="1" applyBorder="1"/>
    <xf numFmtId="164" fontId="15" fillId="0" borderId="1" xfId="6" applyFont="1" applyBorder="1"/>
    <xf numFmtId="0" fontId="2" fillId="4" borderId="13" xfId="1" applyFill="1" applyBorder="1"/>
    <xf numFmtId="165" fontId="3" fillId="4" borderId="0" xfId="1" applyNumberFormat="1" applyFont="1" applyFill="1"/>
    <xf numFmtId="0" fontId="2" fillId="10" borderId="1" xfId="1" applyFill="1" applyBorder="1"/>
    <xf numFmtId="165" fontId="2" fillId="10" borderId="2" xfId="1" applyNumberFormat="1" applyFill="1" applyBorder="1"/>
    <xf numFmtId="0" fontId="2" fillId="10" borderId="7" xfId="1" applyFill="1" applyBorder="1"/>
    <xf numFmtId="165" fontId="2" fillId="10" borderId="1" xfId="1" applyNumberFormat="1" applyFill="1" applyBorder="1"/>
    <xf numFmtId="0" fontId="0" fillId="10" borderId="1" xfId="0" applyFill="1" applyBorder="1" applyAlignment="1">
      <alignment horizontal="center"/>
    </xf>
    <xf numFmtId="0" fontId="6" fillId="10" borderId="1" xfId="0" applyFont="1" applyFill="1" applyBorder="1" applyAlignment="1">
      <alignment horizontal="center"/>
    </xf>
    <xf numFmtId="0" fontId="12" fillId="12" borderId="14" xfId="0" applyFont="1" applyFill="1" applyBorder="1"/>
    <xf numFmtId="0" fontId="12" fillId="12" borderId="15" xfId="0" applyFont="1" applyFill="1" applyBorder="1"/>
    <xf numFmtId="0" fontId="9" fillId="11" borderId="14" xfId="0" applyFont="1" applyFill="1" applyBorder="1"/>
    <xf numFmtId="0" fontId="9" fillId="11" borderId="15" xfId="0" applyFont="1" applyFill="1" applyBorder="1"/>
    <xf numFmtId="164" fontId="9" fillId="11" borderId="15" xfId="6" applyFont="1" applyFill="1" applyBorder="1"/>
    <xf numFmtId="0" fontId="9" fillId="0" borderId="14" xfId="0" applyFont="1" applyBorder="1"/>
    <xf numFmtId="0" fontId="9" fillId="0" borderId="15" xfId="0" applyFont="1" applyBorder="1"/>
    <xf numFmtId="164" fontId="9" fillId="0" borderId="15" xfId="6" applyFont="1" applyBorder="1"/>
    <xf numFmtId="0" fontId="17" fillId="0" borderId="16" xfId="0" applyFont="1" applyBorder="1"/>
    <xf numFmtId="0" fontId="17" fillId="0" borderId="17" xfId="0" applyFont="1" applyBorder="1"/>
    <xf numFmtId="164" fontId="17" fillId="0" borderId="17" xfId="6" applyFont="1" applyBorder="1"/>
    <xf numFmtId="165" fontId="15" fillId="9" borderId="0" xfId="0" applyNumberFormat="1" applyFont="1" applyFill="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6000000}"/>
  </cellStyles>
  <dxfs count="11">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FF1363-F487-4FF8-BFBA-DE9004A6D863}" name="Tabla2" displayName="Tabla2" ref="A1:C22" totalsRowCount="1" headerRowDxfId="10" headerRowBorderDxfId="9" tableBorderDxfId="8" totalsRowBorderDxfId="7">
  <autoFilter ref="A1:C21" xr:uid="{35FF1363-F487-4FF8-BFBA-DE9004A6D863}"/>
  <tableColumns count="3">
    <tableColumn id="1" xr3:uid="{6A021E7F-E266-40C0-B66C-F395FD509A3C}" name="Cód. org. aplic." totalsRowLabel="Total" dataDxfId="6" totalsRowDxfId="5"/>
    <tableColumn id="2" xr3:uid="{4E96ACBE-2D68-460D-8082-36257D3FDFB3}" name="Descripción justificante" dataDxfId="4" totalsRowDxfId="3"/>
    <tableColumn id="3" xr3:uid="{36E853FA-707C-4DA5-A90E-B0FFE8BD9DBF}" name="Imp.cob.aplic." totalsRowFunction="sum" dataDxfId="2" totalsRowDxfId="1"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69BF94-0D0C-41A7-99E8-159D74D5FAB6}" name="Tabla3" displayName="Tabla3" ref="A1:C20" totalsRowCount="1">
  <autoFilter ref="A1:C19" xr:uid="{5669BF94-0D0C-41A7-99E8-159D74D5FAB6}"/>
  <tableColumns count="3">
    <tableColumn id="1" xr3:uid="{0CD8AE5B-7BC2-4CA8-A119-FBD3E291B946}" name="Org. aplic." totalsRowLabel="Total"/>
    <tableColumn id="2" xr3:uid="{DC80D838-9DD3-4656-AB18-C90A0654EBDB}" name="Descripción justificante" dataDxfId="0"/>
    <tableColumn id="3" xr3:uid="{691BCA2B-9A84-44C1-86B5-23BBB2C4B45D}" name="Imp. aplic." totalsRowFunction="sum" dataCellStyle="Millares" totalsRowCellStyle="Millares"/>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40"/>
  <sheetViews>
    <sheetView showGridLines="0" tabSelected="1" topLeftCell="C10" zoomScale="120" zoomScaleNormal="120" workbookViewId="0">
      <selection activeCell="L16" sqref="L16"/>
    </sheetView>
  </sheetViews>
  <sheetFormatPr baseColWidth="10" defaultColWidth="10.28515625" defaultRowHeight="11.25" x14ac:dyDescent="0.2"/>
  <cols>
    <col min="1" max="1" width="5" style="6" customWidth="1"/>
    <col min="2" max="4" width="29.7109375" style="6" customWidth="1"/>
    <col min="5" max="5" width="40.7109375" style="6" customWidth="1"/>
    <col min="6" max="6" width="9.140625" style="6" customWidth="1"/>
    <col min="7" max="7" width="9.7109375" style="6" customWidth="1"/>
    <col min="8" max="8" width="14.42578125" style="6" customWidth="1"/>
    <col min="9" max="9" width="5.85546875" style="6" customWidth="1"/>
    <col min="10" max="10" width="25.7109375" style="6" customWidth="1"/>
    <col min="11" max="12" width="5.140625" style="6" customWidth="1"/>
    <col min="13" max="13" width="5.28515625" style="7" customWidth="1"/>
    <col min="14" max="14" width="4.85546875" style="6" customWidth="1"/>
    <col min="15" max="15" width="5.28515625" style="7" customWidth="1"/>
    <col min="16" max="16" width="4.85546875" style="6" customWidth="1"/>
    <col min="17" max="17" width="3.5703125" style="7" customWidth="1"/>
    <col min="18" max="18" width="3.5703125" style="6" customWidth="1"/>
    <col min="19" max="21" width="5.140625" style="6" customWidth="1"/>
    <col min="22" max="16384" width="10.28515625" style="6"/>
  </cols>
  <sheetData>
    <row r="1" spans="1:21" ht="45" x14ac:dyDescent="0.2">
      <c r="A1" s="1" t="s">
        <v>2</v>
      </c>
      <c r="B1" s="2" t="s">
        <v>3</v>
      </c>
      <c r="C1" s="2" t="s">
        <v>4</v>
      </c>
      <c r="D1" s="2" t="s">
        <v>5</v>
      </c>
      <c r="E1" s="2" t="s">
        <v>6</v>
      </c>
      <c r="F1" s="2" t="s">
        <v>7</v>
      </c>
      <c r="G1" s="2" t="s">
        <v>8</v>
      </c>
      <c r="H1" s="2" t="s">
        <v>9</v>
      </c>
      <c r="I1" s="1" t="s">
        <v>10</v>
      </c>
      <c r="J1" s="2" t="s">
        <v>11</v>
      </c>
      <c r="K1" s="1" t="s">
        <v>12</v>
      </c>
      <c r="L1" s="2" t="s">
        <v>13</v>
      </c>
      <c r="M1" s="3" t="s">
        <v>14</v>
      </c>
      <c r="N1" s="4" t="s">
        <v>15</v>
      </c>
      <c r="O1" s="5" t="s">
        <v>16</v>
      </c>
      <c r="P1" s="4" t="s">
        <v>17</v>
      </c>
      <c r="Q1" s="5" t="s">
        <v>18</v>
      </c>
      <c r="R1" s="4" t="s">
        <v>19</v>
      </c>
      <c r="S1" s="4" t="s">
        <v>20</v>
      </c>
      <c r="T1" s="4" t="s">
        <v>21</v>
      </c>
      <c r="U1" s="4" t="s">
        <v>22</v>
      </c>
    </row>
    <row r="2" spans="1:21" ht="12" thickBot="1" x14ac:dyDescent="0.25">
      <c r="A2" s="23" t="s">
        <v>25</v>
      </c>
      <c r="B2" s="23" t="s">
        <v>26</v>
      </c>
      <c r="C2" s="23" t="s">
        <v>27</v>
      </c>
      <c r="D2" s="23" t="s">
        <v>73</v>
      </c>
      <c r="E2" s="23" t="s">
        <v>74</v>
      </c>
      <c r="F2" s="23" t="s">
        <v>75</v>
      </c>
      <c r="G2" s="23" t="s">
        <v>76</v>
      </c>
      <c r="H2" s="23" t="s">
        <v>23</v>
      </c>
      <c r="I2" s="23" t="s">
        <v>25</v>
      </c>
      <c r="J2" s="23" t="s">
        <v>26</v>
      </c>
      <c r="K2" s="33">
        <v>0.5</v>
      </c>
      <c r="L2" s="23" t="s">
        <v>29</v>
      </c>
      <c r="M2" s="23">
        <v>2019</v>
      </c>
      <c r="N2" s="23" t="s">
        <v>24</v>
      </c>
      <c r="O2" s="24" t="s">
        <v>24</v>
      </c>
      <c r="P2" s="23" t="s">
        <v>24</v>
      </c>
      <c r="Q2" s="24" t="s">
        <v>24</v>
      </c>
      <c r="R2" s="25">
        <v>100</v>
      </c>
      <c r="S2" s="66">
        <v>0.5</v>
      </c>
      <c r="T2" s="66">
        <v>0</v>
      </c>
      <c r="U2" s="26">
        <v>0</v>
      </c>
    </row>
    <row r="3" spans="1:21" ht="12" thickBot="1" x14ac:dyDescent="0.25">
      <c r="A3" s="28" t="s">
        <v>25</v>
      </c>
      <c r="B3" s="28" t="s">
        <v>26</v>
      </c>
      <c r="C3" s="28" t="s">
        <v>27</v>
      </c>
      <c r="D3" s="28" t="s">
        <v>96</v>
      </c>
      <c r="E3" s="28" t="s">
        <v>97</v>
      </c>
      <c r="F3" s="28" t="s">
        <v>98</v>
      </c>
      <c r="G3" s="29" t="s">
        <v>76</v>
      </c>
      <c r="H3" s="30" t="s">
        <v>23</v>
      </c>
      <c r="I3" s="30" t="s">
        <v>25</v>
      </c>
      <c r="J3" s="31" t="s">
        <v>26</v>
      </c>
      <c r="K3" s="27">
        <v>0.5</v>
      </c>
      <c r="L3" s="27" t="s">
        <v>29</v>
      </c>
      <c r="M3" s="19">
        <v>2020</v>
      </c>
      <c r="N3" s="19" t="s">
        <v>24</v>
      </c>
      <c r="O3" s="20" t="s">
        <v>24</v>
      </c>
      <c r="P3" s="19" t="s">
        <v>24</v>
      </c>
      <c r="Q3" s="20" t="s">
        <v>24</v>
      </c>
      <c r="R3" s="19">
        <v>100</v>
      </c>
      <c r="S3" s="65">
        <v>0.5</v>
      </c>
      <c r="T3" s="65">
        <v>0</v>
      </c>
      <c r="U3" s="19">
        <v>0</v>
      </c>
    </row>
    <row r="4" spans="1:21" ht="12" thickBot="1" x14ac:dyDescent="0.25">
      <c r="A4" s="28" t="s">
        <v>25</v>
      </c>
      <c r="B4" s="28" t="s">
        <v>26</v>
      </c>
      <c r="C4" s="28" t="s">
        <v>27</v>
      </c>
      <c r="D4" s="28" t="s">
        <v>102</v>
      </c>
      <c r="E4" s="28" t="s">
        <v>103</v>
      </c>
      <c r="F4" s="28" t="s">
        <v>104</v>
      </c>
      <c r="G4" s="29" t="s">
        <v>76</v>
      </c>
      <c r="H4" s="30" t="s">
        <v>23</v>
      </c>
      <c r="I4" s="30" t="s">
        <v>25</v>
      </c>
      <c r="J4" s="31" t="s">
        <v>26</v>
      </c>
      <c r="K4" s="27">
        <v>0.5</v>
      </c>
      <c r="L4" s="27" t="s">
        <v>29</v>
      </c>
      <c r="M4" s="19">
        <v>2020</v>
      </c>
      <c r="N4" s="19" t="s">
        <v>24</v>
      </c>
      <c r="O4" s="20" t="s">
        <v>24</v>
      </c>
      <c r="P4" s="19" t="s">
        <v>24</v>
      </c>
      <c r="Q4" s="20" t="s">
        <v>24</v>
      </c>
      <c r="R4" s="19">
        <v>100</v>
      </c>
      <c r="S4" s="65">
        <v>0.5</v>
      </c>
      <c r="T4" s="65">
        <v>0</v>
      </c>
      <c r="U4" s="19">
        <v>0</v>
      </c>
    </row>
    <row r="5" spans="1:21" x14ac:dyDescent="0.2">
      <c r="A5" s="34" t="s">
        <v>25</v>
      </c>
      <c r="B5" s="34" t="s">
        <v>26</v>
      </c>
      <c r="C5" s="34" t="s">
        <v>27</v>
      </c>
      <c r="D5" s="34" t="s">
        <v>105</v>
      </c>
      <c r="E5" s="34" t="s">
        <v>106</v>
      </c>
      <c r="F5" s="34" t="s">
        <v>107</v>
      </c>
      <c r="G5" s="35" t="s">
        <v>31</v>
      </c>
      <c r="H5" s="36" t="s">
        <v>23</v>
      </c>
      <c r="I5" s="36" t="s">
        <v>25</v>
      </c>
      <c r="J5" s="37" t="s">
        <v>26</v>
      </c>
      <c r="K5" s="38">
        <v>0.5</v>
      </c>
      <c r="L5" s="38" t="s">
        <v>29</v>
      </c>
      <c r="M5" s="39">
        <v>2020</v>
      </c>
      <c r="N5" s="39" t="s">
        <v>24</v>
      </c>
      <c r="O5" s="40" t="s">
        <v>24</v>
      </c>
      <c r="P5" s="39" t="s">
        <v>24</v>
      </c>
      <c r="Q5" s="40" t="s">
        <v>24</v>
      </c>
      <c r="R5" s="39">
        <v>100</v>
      </c>
      <c r="S5" s="67">
        <v>0.5</v>
      </c>
      <c r="T5" s="67">
        <v>0</v>
      </c>
      <c r="U5" s="39">
        <v>0</v>
      </c>
    </row>
    <row r="6" spans="1:21" x14ac:dyDescent="0.2">
      <c r="A6" s="19" t="s">
        <v>25</v>
      </c>
      <c r="B6" s="19" t="s">
        <v>26</v>
      </c>
      <c r="C6" s="19" t="s">
        <v>27</v>
      </c>
      <c r="D6" s="19" t="s">
        <v>73</v>
      </c>
      <c r="E6" s="19" t="s">
        <v>74</v>
      </c>
      <c r="F6" s="19" t="s">
        <v>75</v>
      </c>
      <c r="G6" s="19" t="s">
        <v>44</v>
      </c>
      <c r="H6" s="19" t="s">
        <v>23</v>
      </c>
      <c r="I6" s="19" t="s">
        <v>37</v>
      </c>
      <c r="J6" s="19" t="s">
        <v>38</v>
      </c>
      <c r="K6" s="32">
        <v>0.5</v>
      </c>
      <c r="L6" s="19" t="s">
        <v>39</v>
      </c>
      <c r="M6" s="19">
        <v>2019</v>
      </c>
      <c r="N6" s="19" t="s">
        <v>29</v>
      </c>
      <c r="O6" s="20" t="s">
        <v>35</v>
      </c>
      <c r="P6" s="19" t="s">
        <v>24</v>
      </c>
      <c r="Q6" s="20" t="s">
        <v>24</v>
      </c>
      <c r="R6" s="21">
        <v>20</v>
      </c>
      <c r="S6" s="68">
        <v>0.1</v>
      </c>
      <c r="T6" s="68">
        <v>0.4</v>
      </c>
      <c r="U6" s="22">
        <v>0</v>
      </c>
    </row>
    <row r="7" spans="1:21" x14ac:dyDescent="0.2">
      <c r="A7" s="19" t="s">
        <v>25</v>
      </c>
      <c r="B7" s="19" t="s">
        <v>26</v>
      </c>
      <c r="C7" s="19" t="s">
        <v>27</v>
      </c>
      <c r="D7" s="19" t="s">
        <v>77</v>
      </c>
      <c r="E7" s="19" t="s">
        <v>78</v>
      </c>
      <c r="F7" s="19" t="s">
        <v>79</v>
      </c>
      <c r="G7" s="19" t="s">
        <v>45</v>
      </c>
      <c r="H7" s="19" t="s">
        <v>30</v>
      </c>
      <c r="I7" s="19" t="s">
        <v>37</v>
      </c>
      <c r="J7" s="19" t="s">
        <v>38</v>
      </c>
      <c r="K7" s="32">
        <v>1</v>
      </c>
      <c r="L7" s="19" t="s">
        <v>39</v>
      </c>
      <c r="M7" s="19">
        <v>2019</v>
      </c>
      <c r="N7" s="19" t="s">
        <v>29</v>
      </c>
      <c r="O7" s="20" t="s">
        <v>32</v>
      </c>
      <c r="P7" s="19" t="s">
        <v>24</v>
      </c>
      <c r="Q7" s="20" t="s">
        <v>24</v>
      </c>
      <c r="R7" s="21">
        <v>50</v>
      </c>
      <c r="S7" s="68">
        <v>0.5</v>
      </c>
      <c r="T7" s="68">
        <v>0.5</v>
      </c>
      <c r="U7" s="22">
        <v>0</v>
      </c>
    </row>
    <row r="8" spans="1:21" x14ac:dyDescent="0.2">
      <c r="A8" s="19" t="s">
        <v>25</v>
      </c>
      <c r="B8" s="19" t="s">
        <v>26</v>
      </c>
      <c r="C8" s="19" t="s">
        <v>27</v>
      </c>
      <c r="D8" s="19" t="s">
        <v>83</v>
      </c>
      <c r="E8" s="19" t="s">
        <v>84</v>
      </c>
      <c r="F8" s="19" t="s">
        <v>85</v>
      </c>
      <c r="G8" s="19" t="s">
        <v>44</v>
      </c>
      <c r="H8" s="19" t="s">
        <v>30</v>
      </c>
      <c r="I8" s="19" t="s">
        <v>37</v>
      </c>
      <c r="J8" s="19" t="s">
        <v>38</v>
      </c>
      <c r="K8" s="32">
        <v>1</v>
      </c>
      <c r="L8" s="19" t="s">
        <v>39</v>
      </c>
      <c r="M8" s="19">
        <v>2019</v>
      </c>
      <c r="N8" s="19" t="s">
        <v>29</v>
      </c>
      <c r="O8" s="20" t="s">
        <v>35</v>
      </c>
      <c r="P8" s="19" t="s">
        <v>24</v>
      </c>
      <c r="Q8" s="20" t="s">
        <v>24</v>
      </c>
      <c r="R8" s="21">
        <v>20</v>
      </c>
      <c r="S8" s="68">
        <v>0.2</v>
      </c>
      <c r="T8" s="68">
        <v>0.8</v>
      </c>
      <c r="U8" s="22">
        <v>0</v>
      </c>
    </row>
    <row r="9" spans="1:21" x14ac:dyDescent="0.2">
      <c r="A9" s="19" t="s">
        <v>25</v>
      </c>
      <c r="B9" s="19" t="s">
        <v>26</v>
      </c>
      <c r="C9" s="19" t="s">
        <v>27</v>
      </c>
      <c r="D9" s="19" t="s">
        <v>80</v>
      </c>
      <c r="E9" s="19" t="s">
        <v>81</v>
      </c>
      <c r="F9" s="19" t="s">
        <v>82</v>
      </c>
      <c r="G9" s="19" t="s">
        <v>41</v>
      </c>
      <c r="H9" s="19" t="s">
        <v>30</v>
      </c>
      <c r="I9" s="19" t="s">
        <v>37</v>
      </c>
      <c r="J9" s="19" t="s">
        <v>38</v>
      </c>
      <c r="K9" s="32">
        <v>1</v>
      </c>
      <c r="L9" s="19" t="s">
        <v>39</v>
      </c>
      <c r="M9" s="19">
        <v>2019</v>
      </c>
      <c r="N9" s="19" t="s">
        <v>29</v>
      </c>
      <c r="O9" s="20" t="s">
        <v>35</v>
      </c>
      <c r="P9" s="19" t="s">
        <v>24</v>
      </c>
      <c r="Q9" s="20" t="s">
        <v>24</v>
      </c>
      <c r="R9" s="21">
        <v>20</v>
      </c>
      <c r="S9" s="68">
        <v>0.2</v>
      </c>
      <c r="T9" s="68">
        <v>0.8</v>
      </c>
      <c r="U9" s="22">
        <v>0</v>
      </c>
    </row>
    <row r="10" spans="1:21" x14ac:dyDescent="0.2">
      <c r="A10" s="19" t="s">
        <v>25</v>
      </c>
      <c r="B10" s="19" t="s">
        <v>26</v>
      </c>
      <c r="C10" s="19" t="s">
        <v>27</v>
      </c>
      <c r="D10" s="19" t="s">
        <v>87</v>
      </c>
      <c r="E10" s="19" t="s">
        <v>88</v>
      </c>
      <c r="F10" s="19" t="s">
        <v>89</v>
      </c>
      <c r="G10" s="19" t="s">
        <v>36</v>
      </c>
      <c r="H10" s="19" t="s">
        <v>30</v>
      </c>
      <c r="I10" s="19" t="s">
        <v>37</v>
      </c>
      <c r="J10" s="19" t="s">
        <v>38</v>
      </c>
      <c r="K10" s="32">
        <v>1</v>
      </c>
      <c r="L10" s="19" t="s">
        <v>39</v>
      </c>
      <c r="M10" s="19">
        <v>2019</v>
      </c>
      <c r="N10" s="19" t="s">
        <v>29</v>
      </c>
      <c r="O10" s="20">
        <v>90</v>
      </c>
      <c r="P10" s="19" t="s">
        <v>24</v>
      </c>
      <c r="Q10" s="20">
        <v>0</v>
      </c>
      <c r="R10" s="21">
        <v>10</v>
      </c>
      <c r="S10" s="68">
        <v>0.1</v>
      </c>
      <c r="T10" s="68">
        <v>0.9</v>
      </c>
      <c r="U10" s="22">
        <v>0</v>
      </c>
    </row>
    <row r="11" spans="1:21" x14ac:dyDescent="0.2">
      <c r="A11" s="19" t="s">
        <v>90</v>
      </c>
      <c r="B11" s="19" t="s">
        <v>91</v>
      </c>
      <c r="C11" s="19" t="s">
        <v>92</v>
      </c>
      <c r="D11" s="19" t="s">
        <v>93</v>
      </c>
      <c r="E11" s="19" t="s">
        <v>94</v>
      </c>
      <c r="F11" s="19" t="s">
        <v>95</v>
      </c>
      <c r="G11" s="19" t="s">
        <v>44</v>
      </c>
      <c r="H11" s="19" t="s">
        <v>23</v>
      </c>
      <c r="I11" s="19" t="s">
        <v>37</v>
      </c>
      <c r="J11" s="19" t="s">
        <v>38</v>
      </c>
      <c r="K11" s="32">
        <v>0.5</v>
      </c>
      <c r="L11" s="19" t="s">
        <v>39</v>
      </c>
      <c r="M11" s="19">
        <v>2020</v>
      </c>
      <c r="N11" s="19" t="s">
        <v>29</v>
      </c>
      <c r="O11" s="20">
        <v>80</v>
      </c>
      <c r="P11" s="19" t="s">
        <v>24</v>
      </c>
      <c r="Q11" s="20">
        <v>0</v>
      </c>
      <c r="R11" s="21">
        <v>20</v>
      </c>
      <c r="S11" s="68">
        <v>0.1</v>
      </c>
      <c r="T11" s="68">
        <v>0.4</v>
      </c>
      <c r="U11" s="22">
        <v>0</v>
      </c>
    </row>
    <row r="12" spans="1:21" x14ac:dyDescent="0.2">
      <c r="A12" s="19" t="s">
        <v>25</v>
      </c>
      <c r="B12" s="19" t="s">
        <v>26</v>
      </c>
      <c r="C12" s="19" t="s">
        <v>27</v>
      </c>
      <c r="D12" s="19" t="s">
        <v>96</v>
      </c>
      <c r="E12" s="19" t="s">
        <v>97</v>
      </c>
      <c r="F12" s="19" t="s">
        <v>98</v>
      </c>
      <c r="G12" s="19" t="s">
        <v>44</v>
      </c>
      <c r="H12" s="19" t="s">
        <v>23</v>
      </c>
      <c r="I12" s="19" t="s">
        <v>37</v>
      </c>
      <c r="J12" s="19" t="s">
        <v>38</v>
      </c>
      <c r="K12" s="27">
        <v>0.5</v>
      </c>
      <c r="L12" s="27" t="s">
        <v>39</v>
      </c>
      <c r="M12" s="19">
        <v>2020</v>
      </c>
      <c r="N12" s="19" t="s">
        <v>29</v>
      </c>
      <c r="O12" s="20">
        <v>80</v>
      </c>
      <c r="P12" s="19" t="s">
        <v>24</v>
      </c>
      <c r="Q12" s="20">
        <v>0</v>
      </c>
      <c r="R12" s="19">
        <v>20</v>
      </c>
      <c r="S12" s="65">
        <v>0.1</v>
      </c>
      <c r="T12" s="65">
        <v>0.4</v>
      </c>
      <c r="U12" s="19">
        <v>0</v>
      </c>
    </row>
    <row r="13" spans="1:21" x14ac:dyDescent="0.2">
      <c r="A13" s="28" t="s">
        <v>25</v>
      </c>
      <c r="B13" s="28" t="s">
        <v>26</v>
      </c>
      <c r="C13" s="28" t="s">
        <v>27</v>
      </c>
      <c r="D13" s="28" t="s">
        <v>99</v>
      </c>
      <c r="E13" s="28" t="s">
        <v>100</v>
      </c>
      <c r="F13" s="28" t="s">
        <v>101</v>
      </c>
      <c r="G13" s="28" t="s">
        <v>43</v>
      </c>
      <c r="H13" s="28" t="s">
        <v>30</v>
      </c>
      <c r="I13" s="28" t="s">
        <v>37</v>
      </c>
      <c r="J13" s="28" t="s">
        <v>38</v>
      </c>
      <c r="K13" s="27">
        <v>1</v>
      </c>
      <c r="L13" s="27" t="s">
        <v>39</v>
      </c>
      <c r="M13" s="19">
        <v>2020</v>
      </c>
      <c r="N13" s="19" t="s">
        <v>29</v>
      </c>
      <c r="O13" s="20">
        <v>60</v>
      </c>
      <c r="P13" s="19" t="s">
        <v>24</v>
      </c>
      <c r="Q13" s="20">
        <v>0</v>
      </c>
      <c r="R13" s="19">
        <v>40</v>
      </c>
      <c r="S13" s="65">
        <v>0.4</v>
      </c>
      <c r="T13" s="65">
        <v>0.6</v>
      </c>
      <c r="U13" s="19">
        <v>0</v>
      </c>
    </row>
    <row r="14" spans="1:21" x14ac:dyDescent="0.2">
      <c r="A14" s="28" t="s">
        <v>25</v>
      </c>
      <c r="B14" s="28" t="s">
        <v>26</v>
      </c>
      <c r="C14" s="28" t="s">
        <v>27</v>
      </c>
      <c r="D14" s="28" t="s">
        <v>102</v>
      </c>
      <c r="E14" s="28" t="s">
        <v>103</v>
      </c>
      <c r="F14" s="28" t="s">
        <v>104</v>
      </c>
      <c r="G14" s="28" t="s">
        <v>44</v>
      </c>
      <c r="H14" s="28" t="s">
        <v>23</v>
      </c>
      <c r="I14" s="28" t="s">
        <v>37</v>
      </c>
      <c r="J14" s="28" t="s">
        <v>38</v>
      </c>
      <c r="K14" s="27">
        <v>0.5</v>
      </c>
      <c r="L14" s="27" t="s">
        <v>39</v>
      </c>
      <c r="M14" s="19">
        <v>2020</v>
      </c>
      <c r="N14" s="19" t="s">
        <v>29</v>
      </c>
      <c r="O14" s="20">
        <v>80</v>
      </c>
      <c r="P14" s="19" t="s">
        <v>24</v>
      </c>
      <c r="Q14" s="20">
        <v>0</v>
      </c>
      <c r="R14" s="19">
        <v>20</v>
      </c>
      <c r="S14" s="65">
        <v>0.1</v>
      </c>
      <c r="T14" s="65">
        <v>0.4</v>
      </c>
      <c r="U14" s="19">
        <v>0</v>
      </c>
    </row>
    <row r="15" spans="1:21" x14ac:dyDescent="0.2">
      <c r="A15" s="28" t="s">
        <v>25</v>
      </c>
      <c r="B15" s="28" t="s">
        <v>26</v>
      </c>
      <c r="C15" s="28" t="s">
        <v>27</v>
      </c>
      <c r="D15" s="28" t="s">
        <v>105</v>
      </c>
      <c r="E15" s="28" t="s">
        <v>106</v>
      </c>
      <c r="F15" s="28" t="s">
        <v>107</v>
      </c>
      <c r="G15" s="28" t="s">
        <v>42</v>
      </c>
      <c r="H15" s="28" t="s">
        <v>23</v>
      </c>
      <c r="I15" s="28" t="s">
        <v>37</v>
      </c>
      <c r="J15" s="28" t="s">
        <v>38</v>
      </c>
      <c r="K15" s="27">
        <v>0.5</v>
      </c>
      <c r="L15" s="27" t="s">
        <v>39</v>
      </c>
      <c r="M15" s="19">
        <v>2020</v>
      </c>
      <c r="N15" s="19" t="s">
        <v>29</v>
      </c>
      <c r="O15" s="20">
        <v>80</v>
      </c>
      <c r="P15" s="19" t="s">
        <v>24</v>
      </c>
      <c r="Q15" s="20">
        <v>0</v>
      </c>
      <c r="R15" s="19">
        <v>20</v>
      </c>
      <c r="S15" s="65">
        <v>0.1</v>
      </c>
      <c r="T15" s="65">
        <v>0.4</v>
      </c>
      <c r="U15" s="19">
        <v>0</v>
      </c>
    </row>
    <row r="16" spans="1:21" x14ac:dyDescent="0.2">
      <c r="A16" s="28" t="s">
        <v>25</v>
      </c>
      <c r="B16" s="28" t="s">
        <v>26</v>
      </c>
      <c r="C16" s="28" t="s">
        <v>27</v>
      </c>
      <c r="D16" s="28" t="s">
        <v>112</v>
      </c>
      <c r="E16" s="28" t="s">
        <v>113</v>
      </c>
      <c r="F16" s="28" t="s">
        <v>114</v>
      </c>
      <c r="G16" s="28" t="s">
        <v>28</v>
      </c>
      <c r="H16" s="28" t="s">
        <v>30</v>
      </c>
      <c r="I16" s="28" t="s">
        <v>37</v>
      </c>
      <c r="J16" s="28" t="s">
        <v>38</v>
      </c>
      <c r="K16" s="27">
        <v>1</v>
      </c>
      <c r="L16" s="27" t="s">
        <v>39</v>
      </c>
      <c r="M16" s="19">
        <v>2021</v>
      </c>
      <c r="N16" s="19" t="s">
        <v>29</v>
      </c>
      <c r="O16" s="20">
        <v>50</v>
      </c>
      <c r="P16" s="19" t="s">
        <v>24</v>
      </c>
      <c r="Q16" s="20">
        <v>0</v>
      </c>
      <c r="R16" s="19">
        <v>50</v>
      </c>
      <c r="S16" s="65">
        <v>0.5</v>
      </c>
      <c r="T16" s="65">
        <v>0.5</v>
      </c>
      <c r="U16" s="19">
        <v>0</v>
      </c>
    </row>
    <row r="17" spans="1:22" x14ac:dyDescent="0.2">
      <c r="A17" s="28" t="s">
        <v>25</v>
      </c>
      <c r="B17" s="28" t="s">
        <v>26</v>
      </c>
      <c r="C17" s="28" t="s">
        <v>27</v>
      </c>
      <c r="D17" s="28" t="s">
        <v>115</v>
      </c>
      <c r="E17" s="28" t="s">
        <v>116</v>
      </c>
      <c r="F17" s="28" t="s">
        <v>117</v>
      </c>
      <c r="G17" s="28" t="s">
        <v>44</v>
      </c>
      <c r="H17" s="28" t="s">
        <v>30</v>
      </c>
      <c r="I17" s="28" t="s">
        <v>37</v>
      </c>
      <c r="J17" s="28" t="s">
        <v>38</v>
      </c>
      <c r="K17" s="27">
        <v>1</v>
      </c>
      <c r="L17" s="27" t="s">
        <v>39</v>
      </c>
      <c r="M17" s="19">
        <v>2021</v>
      </c>
      <c r="N17" s="19" t="s">
        <v>29</v>
      </c>
      <c r="O17" s="20">
        <v>80</v>
      </c>
      <c r="P17" s="19" t="s">
        <v>24</v>
      </c>
      <c r="Q17" s="20">
        <v>0</v>
      </c>
      <c r="R17" s="19">
        <v>20</v>
      </c>
      <c r="S17" s="65">
        <v>0.2</v>
      </c>
      <c r="T17" s="65">
        <v>0.8</v>
      </c>
      <c r="U17" s="19">
        <v>0</v>
      </c>
    </row>
    <row r="18" spans="1:22" x14ac:dyDescent="0.2">
      <c r="A18" s="19" t="s">
        <v>25</v>
      </c>
      <c r="B18" s="19" t="s">
        <v>26</v>
      </c>
      <c r="C18" s="19" t="s">
        <v>27</v>
      </c>
      <c r="D18" s="19" t="s">
        <v>118</v>
      </c>
      <c r="E18" s="19" t="s">
        <v>119</v>
      </c>
      <c r="F18" s="19" t="s">
        <v>120</v>
      </c>
      <c r="G18" s="19" t="s">
        <v>47</v>
      </c>
      <c r="H18" s="19" t="s">
        <v>30</v>
      </c>
      <c r="I18" s="19" t="s">
        <v>37</v>
      </c>
      <c r="J18" s="19" t="s">
        <v>38</v>
      </c>
      <c r="K18" s="27">
        <v>1</v>
      </c>
      <c r="L18" s="27" t="s">
        <v>39</v>
      </c>
      <c r="M18" s="19">
        <v>2021</v>
      </c>
      <c r="N18" s="19" t="s">
        <v>29</v>
      </c>
      <c r="O18" s="20">
        <v>90</v>
      </c>
      <c r="P18" s="19" t="s">
        <v>24</v>
      </c>
      <c r="Q18" s="20">
        <v>0</v>
      </c>
      <c r="R18" s="19">
        <v>10</v>
      </c>
      <c r="S18" s="65">
        <v>0.1</v>
      </c>
      <c r="T18" s="65">
        <v>0.9</v>
      </c>
      <c r="U18" s="19">
        <v>0</v>
      </c>
    </row>
    <row r="19" spans="1:22" x14ac:dyDescent="0.2">
      <c r="A19" s="19" t="s">
        <v>25</v>
      </c>
      <c r="B19" s="19" t="s">
        <v>133</v>
      </c>
      <c r="C19" s="19" t="s">
        <v>27</v>
      </c>
      <c r="D19" s="19" t="s">
        <v>134</v>
      </c>
      <c r="E19" s="19" t="s">
        <v>135</v>
      </c>
      <c r="F19" s="19" t="s">
        <v>136</v>
      </c>
      <c r="G19" s="19" t="s">
        <v>42</v>
      </c>
      <c r="H19" s="19" t="s">
        <v>30</v>
      </c>
      <c r="I19" s="19" t="s">
        <v>37</v>
      </c>
      <c r="J19" s="19" t="s">
        <v>38</v>
      </c>
      <c r="K19" s="27">
        <v>1</v>
      </c>
      <c r="L19" s="27" t="s">
        <v>39</v>
      </c>
      <c r="M19" s="19">
        <v>2022</v>
      </c>
      <c r="N19" s="19" t="s">
        <v>29</v>
      </c>
      <c r="O19" s="20">
        <v>80</v>
      </c>
      <c r="P19" s="19" t="s">
        <v>24</v>
      </c>
      <c r="Q19" s="20">
        <v>0</v>
      </c>
      <c r="R19" s="19">
        <v>20</v>
      </c>
      <c r="S19" s="65">
        <v>0.2</v>
      </c>
      <c r="T19" s="65">
        <v>0.8</v>
      </c>
      <c r="U19" s="19">
        <v>0</v>
      </c>
    </row>
    <row r="20" spans="1:22" x14ac:dyDescent="0.2">
      <c r="A20" s="19" t="s">
        <v>25</v>
      </c>
      <c r="B20" s="19" t="s">
        <v>133</v>
      </c>
      <c r="C20" s="19" t="s">
        <v>27</v>
      </c>
      <c r="D20" s="19" t="s">
        <v>137</v>
      </c>
      <c r="E20" s="19" t="s">
        <v>138</v>
      </c>
      <c r="F20" s="19" t="s">
        <v>139</v>
      </c>
      <c r="G20" s="19" t="s">
        <v>44</v>
      </c>
      <c r="H20" s="19" t="s">
        <v>23</v>
      </c>
      <c r="I20" s="19" t="s">
        <v>37</v>
      </c>
      <c r="J20" s="19" t="s">
        <v>38</v>
      </c>
      <c r="K20" s="27">
        <v>0.5</v>
      </c>
      <c r="L20" s="27" t="s">
        <v>39</v>
      </c>
      <c r="M20" s="19">
        <v>2022</v>
      </c>
      <c r="N20" s="19" t="s">
        <v>29</v>
      </c>
      <c r="O20" s="20">
        <v>80</v>
      </c>
      <c r="P20" s="19" t="s">
        <v>24</v>
      </c>
      <c r="Q20" s="20">
        <v>0</v>
      </c>
      <c r="R20" s="19">
        <v>20</v>
      </c>
      <c r="S20" s="65">
        <v>0.1</v>
      </c>
      <c r="T20" s="65">
        <v>0.4</v>
      </c>
      <c r="U20" s="19">
        <v>0</v>
      </c>
    </row>
    <row r="21" spans="1:22" x14ac:dyDescent="0.2">
      <c r="A21" s="19" t="s">
        <v>25</v>
      </c>
      <c r="B21" s="19" t="s">
        <v>133</v>
      </c>
      <c r="C21" s="19" t="s">
        <v>27</v>
      </c>
      <c r="D21" s="19" t="s">
        <v>137</v>
      </c>
      <c r="E21" s="19" t="s">
        <v>138</v>
      </c>
      <c r="F21" s="19" t="s">
        <v>139</v>
      </c>
      <c r="G21" s="19" t="s">
        <v>42</v>
      </c>
      <c r="H21" s="19" t="s">
        <v>23</v>
      </c>
      <c r="I21" s="19" t="s">
        <v>37</v>
      </c>
      <c r="J21" s="19" t="s">
        <v>38</v>
      </c>
      <c r="K21" s="19">
        <v>0.5</v>
      </c>
      <c r="L21" s="19" t="s">
        <v>39</v>
      </c>
      <c r="M21" s="20">
        <v>2022</v>
      </c>
      <c r="N21" s="19" t="s">
        <v>29</v>
      </c>
      <c r="O21" s="20">
        <v>80</v>
      </c>
      <c r="P21" s="19" t="s">
        <v>24</v>
      </c>
      <c r="Q21" s="20">
        <v>0</v>
      </c>
      <c r="R21" s="19">
        <v>20</v>
      </c>
      <c r="S21" s="68">
        <v>0.1</v>
      </c>
      <c r="T21" s="68">
        <v>0.4</v>
      </c>
      <c r="U21" s="19">
        <v>0</v>
      </c>
    </row>
    <row r="22" spans="1:22" x14ac:dyDescent="0.2">
      <c r="A22" s="19" t="s">
        <v>25</v>
      </c>
      <c r="B22" s="19" t="s">
        <v>133</v>
      </c>
      <c r="C22" s="19" t="s">
        <v>27</v>
      </c>
      <c r="D22" s="19" t="s">
        <v>140</v>
      </c>
      <c r="E22" s="19" t="s">
        <v>141</v>
      </c>
      <c r="F22" s="19" t="s">
        <v>142</v>
      </c>
      <c r="G22" s="19" t="s">
        <v>45</v>
      </c>
      <c r="H22" s="19" t="s">
        <v>30</v>
      </c>
      <c r="I22" s="19" t="s">
        <v>37</v>
      </c>
      <c r="J22" s="19" t="s">
        <v>38</v>
      </c>
      <c r="K22" s="19">
        <v>1</v>
      </c>
      <c r="L22" s="19" t="s">
        <v>39</v>
      </c>
      <c r="M22" s="20">
        <v>2022</v>
      </c>
      <c r="N22" s="19" t="s">
        <v>29</v>
      </c>
      <c r="O22" s="20">
        <v>80</v>
      </c>
      <c r="P22" s="19" t="s">
        <v>24</v>
      </c>
      <c r="Q22" s="20">
        <v>0</v>
      </c>
      <c r="R22" s="19">
        <v>20</v>
      </c>
      <c r="S22" s="65">
        <v>0.2</v>
      </c>
      <c r="T22" s="65">
        <v>0.8</v>
      </c>
      <c r="U22" s="19">
        <v>0</v>
      </c>
    </row>
    <row r="23" spans="1:22" x14ac:dyDescent="0.2">
      <c r="A23" s="19" t="s">
        <v>25</v>
      </c>
      <c r="B23" s="19" t="s">
        <v>133</v>
      </c>
      <c r="C23" s="19" t="s">
        <v>27</v>
      </c>
      <c r="D23" s="19" t="s">
        <v>143</v>
      </c>
      <c r="E23" s="19" t="s">
        <v>144</v>
      </c>
      <c r="F23" s="19" t="s">
        <v>145</v>
      </c>
      <c r="G23" s="19" t="s">
        <v>40</v>
      </c>
      <c r="H23" s="19" t="s">
        <v>30</v>
      </c>
      <c r="I23" s="19" t="s">
        <v>37</v>
      </c>
      <c r="J23" s="19" t="s">
        <v>38</v>
      </c>
      <c r="K23" s="19">
        <v>1</v>
      </c>
      <c r="L23" s="19" t="s">
        <v>39</v>
      </c>
      <c r="M23" s="20">
        <v>2022</v>
      </c>
      <c r="N23" s="19" t="s">
        <v>29</v>
      </c>
      <c r="O23" s="20">
        <v>50</v>
      </c>
      <c r="P23" s="19" t="s">
        <v>24</v>
      </c>
      <c r="Q23" s="20">
        <v>0</v>
      </c>
      <c r="R23" s="19">
        <v>50</v>
      </c>
      <c r="S23" s="65">
        <v>0.5</v>
      </c>
      <c r="T23" s="65">
        <v>0.5</v>
      </c>
      <c r="U23" s="19">
        <v>0</v>
      </c>
    </row>
    <row r="24" spans="1:22" x14ac:dyDescent="0.2">
      <c r="A24" s="19" t="s">
        <v>25</v>
      </c>
      <c r="B24" s="19" t="s">
        <v>133</v>
      </c>
      <c r="C24" s="19" t="s">
        <v>27</v>
      </c>
      <c r="D24" s="19" t="s">
        <v>146</v>
      </c>
      <c r="E24" s="19" t="s">
        <v>147</v>
      </c>
      <c r="F24" s="19" t="s">
        <v>148</v>
      </c>
      <c r="G24" s="19" t="s">
        <v>43</v>
      </c>
      <c r="H24" s="19" t="s">
        <v>23</v>
      </c>
      <c r="I24" s="19" t="s">
        <v>37</v>
      </c>
      <c r="J24" s="19" t="s">
        <v>38</v>
      </c>
      <c r="K24" s="19">
        <v>0.5</v>
      </c>
      <c r="L24" s="19" t="s">
        <v>39</v>
      </c>
      <c r="M24" s="20">
        <v>2022</v>
      </c>
      <c r="N24" s="19" t="s">
        <v>29</v>
      </c>
      <c r="O24" s="20">
        <v>60</v>
      </c>
      <c r="P24" s="19" t="s">
        <v>24</v>
      </c>
      <c r="Q24" s="20">
        <v>0</v>
      </c>
      <c r="R24" s="19">
        <v>40</v>
      </c>
      <c r="S24" s="65">
        <v>0.2</v>
      </c>
      <c r="T24" s="65">
        <v>0.3</v>
      </c>
      <c r="U24" s="19">
        <v>0</v>
      </c>
    </row>
    <row r="25" spans="1:22" x14ac:dyDescent="0.2">
      <c r="A25" s="19" t="s">
        <v>25</v>
      </c>
      <c r="B25" s="19" t="s">
        <v>133</v>
      </c>
      <c r="C25" s="19" t="s">
        <v>27</v>
      </c>
      <c r="D25" s="19" t="s">
        <v>146</v>
      </c>
      <c r="E25" s="19" t="s">
        <v>147</v>
      </c>
      <c r="F25" s="19" t="s">
        <v>148</v>
      </c>
      <c r="G25" s="19" t="s">
        <v>46</v>
      </c>
      <c r="H25" s="19" t="s">
        <v>23</v>
      </c>
      <c r="I25" s="19" t="s">
        <v>37</v>
      </c>
      <c r="J25" s="19" t="s">
        <v>38</v>
      </c>
      <c r="K25" s="19">
        <v>0.5</v>
      </c>
      <c r="L25" s="19" t="s">
        <v>39</v>
      </c>
      <c r="M25" s="20">
        <v>2022</v>
      </c>
      <c r="N25" s="19" t="s">
        <v>29</v>
      </c>
      <c r="O25" s="20">
        <v>80</v>
      </c>
      <c r="P25" s="19" t="s">
        <v>24</v>
      </c>
      <c r="Q25" s="20">
        <v>0</v>
      </c>
      <c r="R25" s="19">
        <v>20</v>
      </c>
      <c r="S25" s="65">
        <v>0.1</v>
      </c>
      <c r="T25" s="65">
        <v>0.4</v>
      </c>
      <c r="U25" s="19">
        <v>0</v>
      </c>
    </row>
    <row r="26" spans="1:22" x14ac:dyDescent="0.2">
      <c r="A26" s="19" t="s">
        <v>173</v>
      </c>
      <c r="B26" s="19" t="s">
        <v>174</v>
      </c>
      <c r="C26" s="63" t="s">
        <v>175</v>
      </c>
      <c r="D26" s="19" t="s">
        <v>176</v>
      </c>
      <c r="E26" s="19" t="s">
        <v>177</v>
      </c>
      <c r="F26" s="19" t="s">
        <v>178</v>
      </c>
      <c r="G26" s="19" t="s">
        <v>121</v>
      </c>
      <c r="H26" s="19" t="s">
        <v>179</v>
      </c>
      <c r="I26" s="19" t="s">
        <v>39</v>
      </c>
      <c r="J26" s="19" t="s">
        <v>180</v>
      </c>
      <c r="K26" s="19">
        <v>0.5</v>
      </c>
      <c r="L26" s="19" t="s">
        <v>39</v>
      </c>
      <c r="M26" s="19">
        <v>2023</v>
      </c>
      <c r="N26" s="19" t="s">
        <v>29</v>
      </c>
      <c r="O26" s="19" t="s">
        <v>34</v>
      </c>
      <c r="P26" s="19" t="s">
        <v>24</v>
      </c>
      <c r="Q26" s="19" t="s">
        <v>24</v>
      </c>
      <c r="R26" s="19">
        <v>10</v>
      </c>
      <c r="S26" s="65">
        <v>0.05</v>
      </c>
      <c r="T26" s="65">
        <v>0.45</v>
      </c>
      <c r="U26" s="19">
        <v>0</v>
      </c>
      <c r="V26" s="6" t="s">
        <v>150</v>
      </c>
    </row>
    <row r="27" spans="1:22" x14ac:dyDescent="0.2">
      <c r="A27" s="19" t="s">
        <v>173</v>
      </c>
      <c r="B27" s="19" t="s">
        <v>174</v>
      </c>
      <c r="C27" s="63" t="s">
        <v>175</v>
      </c>
      <c r="D27" s="19" t="s">
        <v>176</v>
      </c>
      <c r="E27" s="19" t="s">
        <v>177</v>
      </c>
      <c r="F27" s="19" t="s">
        <v>178</v>
      </c>
      <c r="G27" s="19" t="s">
        <v>72</v>
      </c>
      <c r="H27" s="19" t="s">
        <v>179</v>
      </c>
      <c r="I27" s="19" t="s">
        <v>39</v>
      </c>
      <c r="J27" s="19" t="s">
        <v>180</v>
      </c>
      <c r="K27" s="19">
        <v>0.5</v>
      </c>
      <c r="L27" s="19" t="s">
        <v>39</v>
      </c>
      <c r="M27" s="19">
        <v>2023</v>
      </c>
      <c r="N27" s="19" t="s">
        <v>29</v>
      </c>
      <c r="O27" s="19" t="s">
        <v>35</v>
      </c>
      <c r="P27" s="19" t="s">
        <v>24</v>
      </c>
      <c r="Q27" s="19" t="s">
        <v>24</v>
      </c>
      <c r="R27" s="19">
        <v>20</v>
      </c>
      <c r="S27" s="65">
        <v>0.1</v>
      </c>
      <c r="T27" s="65">
        <v>0.4</v>
      </c>
      <c r="U27" s="19">
        <v>0</v>
      </c>
      <c r="V27" s="6" t="s">
        <v>150</v>
      </c>
    </row>
    <row r="28" spans="1:22" x14ac:dyDescent="0.2">
      <c r="A28" s="19" t="s">
        <v>173</v>
      </c>
      <c r="B28" s="19" t="s">
        <v>174</v>
      </c>
      <c r="C28" s="63" t="s">
        <v>175</v>
      </c>
      <c r="D28" s="19" t="s">
        <v>181</v>
      </c>
      <c r="E28" s="19" t="s">
        <v>182</v>
      </c>
      <c r="F28" s="19" t="s">
        <v>183</v>
      </c>
      <c r="G28" s="19" t="s">
        <v>72</v>
      </c>
      <c r="H28" s="19" t="s">
        <v>179</v>
      </c>
      <c r="I28" s="19" t="s">
        <v>39</v>
      </c>
      <c r="J28" s="19" t="s">
        <v>180</v>
      </c>
      <c r="K28" s="19">
        <v>0.5</v>
      </c>
      <c r="L28" s="19" t="s">
        <v>39</v>
      </c>
      <c r="M28" s="19">
        <v>2023</v>
      </c>
      <c r="N28" s="19" t="s">
        <v>29</v>
      </c>
      <c r="O28" s="19" t="s">
        <v>35</v>
      </c>
      <c r="P28" s="19" t="s">
        <v>24</v>
      </c>
      <c r="Q28" s="19" t="s">
        <v>24</v>
      </c>
      <c r="R28" s="19">
        <v>20</v>
      </c>
      <c r="S28" s="65">
        <v>0.1</v>
      </c>
      <c r="T28" s="65">
        <v>0.4</v>
      </c>
      <c r="U28" s="19">
        <v>0</v>
      </c>
      <c r="V28" s="6" t="s">
        <v>150</v>
      </c>
    </row>
    <row r="29" spans="1:22" x14ac:dyDescent="0.2">
      <c r="A29" s="19" t="s">
        <v>173</v>
      </c>
      <c r="B29" s="19" t="s">
        <v>174</v>
      </c>
      <c r="C29" s="63" t="s">
        <v>175</v>
      </c>
      <c r="D29" s="19" t="s">
        <v>181</v>
      </c>
      <c r="E29" s="19" t="s">
        <v>182</v>
      </c>
      <c r="F29" s="19" t="s">
        <v>183</v>
      </c>
      <c r="G29" s="19" t="s">
        <v>65</v>
      </c>
      <c r="H29" s="19" t="s">
        <v>179</v>
      </c>
      <c r="I29" s="19" t="s">
        <v>39</v>
      </c>
      <c r="J29" s="19" t="s">
        <v>180</v>
      </c>
      <c r="K29" s="19">
        <v>0.5</v>
      </c>
      <c r="L29" s="19" t="s">
        <v>39</v>
      </c>
      <c r="M29" s="19">
        <v>2023</v>
      </c>
      <c r="N29" s="19" t="s">
        <v>29</v>
      </c>
      <c r="O29" s="19" t="s">
        <v>35</v>
      </c>
      <c r="P29" s="19" t="s">
        <v>24</v>
      </c>
      <c r="Q29" s="19" t="s">
        <v>24</v>
      </c>
      <c r="R29" s="19">
        <v>20</v>
      </c>
      <c r="S29" s="65">
        <v>0.1</v>
      </c>
      <c r="T29" s="65">
        <v>0.4</v>
      </c>
      <c r="U29" s="19">
        <v>0</v>
      </c>
      <c r="V29" s="6" t="s">
        <v>150</v>
      </c>
    </row>
    <row r="30" spans="1:22" x14ac:dyDescent="0.2">
      <c r="A30" s="19" t="s">
        <v>173</v>
      </c>
      <c r="B30" s="19" t="s">
        <v>174</v>
      </c>
      <c r="C30" s="63" t="s">
        <v>175</v>
      </c>
      <c r="D30" s="19" t="s">
        <v>184</v>
      </c>
      <c r="E30" s="19" t="s">
        <v>185</v>
      </c>
      <c r="F30" s="19" t="s">
        <v>186</v>
      </c>
      <c r="G30" s="19" t="s">
        <v>63</v>
      </c>
      <c r="H30" s="19" t="s">
        <v>179</v>
      </c>
      <c r="I30" s="19" t="s">
        <v>39</v>
      </c>
      <c r="J30" s="19" t="s">
        <v>180</v>
      </c>
      <c r="K30" s="19">
        <v>0.5</v>
      </c>
      <c r="L30" s="19" t="s">
        <v>39</v>
      </c>
      <c r="M30" s="19">
        <v>2023</v>
      </c>
      <c r="N30" s="19" t="s">
        <v>29</v>
      </c>
      <c r="O30" s="19" t="s">
        <v>48</v>
      </c>
      <c r="P30" s="19" t="s">
        <v>24</v>
      </c>
      <c r="Q30" s="19" t="s">
        <v>24</v>
      </c>
      <c r="R30" s="19">
        <v>35</v>
      </c>
      <c r="S30" s="65">
        <v>0.17499999999999999</v>
      </c>
      <c r="T30" s="65">
        <v>0.32500000000000001</v>
      </c>
      <c r="U30" s="19">
        <v>0</v>
      </c>
      <c r="V30" s="6" t="s">
        <v>150</v>
      </c>
    </row>
    <row r="31" spans="1:22" x14ac:dyDescent="0.2">
      <c r="A31" s="19" t="s">
        <v>173</v>
      </c>
      <c r="B31" s="19" t="s">
        <v>174</v>
      </c>
      <c r="C31" s="63" t="s">
        <v>175</v>
      </c>
      <c r="D31" s="19" t="s">
        <v>184</v>
      </c>
      <c r="E31" s="19" t="s">
        <v>185</v>
      </c>
      <c r="F31" s="19" t="s">
        <v>186</v>
      </c>
      <c r="G31" s="19" t="s">
        <v>64</v>
      </c>
      <c r="H31" s="19" t="s">
        <v>179</v>
      </c>
      <c r="I31" s="19" t="s">
        <v>39</v>
      </c>
      <c r="J31" s="19" t="s">
        <v>180</v>
      </c>
      <c r="K31" s="19">
        <v>0.5</v>
      </c>
      <c r="L31" s="19" t="s">
        <v>39</v>
      </c>
      <c r="M31" s="19">
        <v>2023</v>
      </c>
      <c r="N31" s="19" t="s">
        <v>29</v>
      </c>
      <c r="O31" s="19" t="s">
        <v>32</v>
      </c>
      <c r="P31" s="19" t="s">
        <v>24</v>
      </c>
      <c r="Q31" s="19" t="s">
        <v>24</v>
      </c>
      <c r="R31" s="19">
        <v>50</v>
      </c>
      <c r="S31" s="65">
        <v>0.25</v>
      </c>
      <c r="T31" s="65">
        <v>0.25</v>
      </c>
      <c r="U31" s="19">
        <v>0</v>
      </c>
      <c r="V31" s="6" t="s">
        <v>150</v>
      </c>
    </row>
    <row r="32" spans="1:22" x14ac:dyDescent="0.2">
      <c r="A32" s="19" t="s">
        <v>173</v>
      </c>
      <c r="B32" s="19" t="s">
        <v>174</v>
      </c>
      <c r="C32" s="19" t="s">
        <v>175</v>
      </c>
      <c r="D32" s="19" t="s">
        <v>207</v>
      </c>
      <c r="E32" s="19" t="s">
        <v>208</v>
      </c>
      <c r="F32" s="19" t="s">
        <v>209</v>
      </c>
      <c r="G32" s="19" t="s">
        <v>71</v>
      </c>
      <c r="H32" s="19" t="s">
        <v>179</v>
      </c>
      <c r="I32" s="19" t="s">
        <v>39</v>
      </c>
      <c r="J32" s="19" t="s">
        <v>210</v>
      </c>
      <c r="K32" s="19">
        <v>0.5</v>
      </c>
      <c r="L32" s="19" t="s">
        <v>39</v>
      </c>
      <c r="M32" s="19">
        <v>2023</v>
      </c>
      <c r="N32" s="19" t="s">
        <v>29</v>
      </c>
      <c r="O32" s="19" t="s">
        <v>33</v>
      </c>
      <c r="P32" s="19" t="s">
        <v>24</v>
      </c>
      <c r="Q32" s="19" t="s">
        <v>24</v>
      </c>
      <c r="R32" s="19">
        <v>40</v>
      </c>
      <c r="S32" s="65">
        <v>0.2</v>
      </c>
      <c r="T32" s="65">
        <v>0.3</v>
      </c>
      <c r="U32" s="19">
        <v>0</v>
      </c>
      <c r="V32" s="6" t="s">
        <v>150</v>
      </c>
    </row>
    <row r="33" spans="1:22" x14ac:dyDescent="0.2">
      <c r="A33" s="19" t="s">
        <v>173</v>
      </c>
      <c r="B33" s="19" t="s">
        <v>174</v>
      </c>
      <c r="C33" s="19" t="s">
        <v>175</v>
      </c>
      <c r="D33" s="19" t="s">
        <v>207</v>
      </c>
      <c r="E33" s="19" t="s">
        <v>208</v>
      </c>
      <c r="F33" s="19" t="s">
        <v>211</v>
      </c>
      <c r="G33" s="19" t="s">
        <v>212</v>
      </c>
      <c r="H33" s="19" t="s">
        <v>179</v>
      </c>
      <c r="I33" s="19" t="s">
        <v>173</v>
      </c>
      <c r="J33" s="19" t="s">
        <v>174</v>
      </c>
      <c r="K33" s="19">
        <v>0.5</v>
      </c>
      <c r="L33" s="19" t="s">
        <v>29</v>
      </c>
      <c r="M33" s="19">
        <v>2023</v>
      </c>
      <c r="N33" s="19"/>
      <c r="O33" s="19"/>
      <c r="P33" s="19" t="s">
        <v>24</v>
      </c>
      <c r="Q33" s="19" t="s">
        <v>24</v>
      </c>
      <c r="R33" s="19">
        <v>100</v>
      </c>
      <c r="S33" s="65">
        <v>0.5</v>
      </c>
      <c r="T33" s="65">
        <v>0</v>
      </c>
      <c r="U33" s="19">
        <v>0</v>
      </c>
      <c r="V33" s="6" t="s">
        <v>150</v>
      </c>
    </row>
    <row r="34" spans="1:22" x14ac:dyDescent="0.2">
      <c r="A34" s="19" t="s">
        <v>173</v>
      </c>
      <c r="B34" s="19" t="s">
        <v>213</v>
      </c>
      <c r="C34" s="19" t="s">
        <v>175</v>
      </c>
      <c r="D34" s="19" t="s">
        <v>214</v>
      </c>
      <c r="E34" s="19" t="s">
        <v>215</v>
      </c>
      <c r="F34" s="19" t="s">
        <v>216</v>
      </c>
      <c r="G34" s="19" t="s">
        <v>121</v>
      </c>
      <c r="H34" s="19" t="s">
        <v>179</v>
      </c>
      <c r="I34" s="19" t="s">
        <v>39</v>
      </c>
      <c r="J34" s="19" t="s">
        <v>217</v>
      </c>
      <c r="K34" s="19">
        <v>0.5</v>
      </c>
      <c r="L34" s="19" t="s">
        <v>39</v>
      </c>
      <c r="M34" s="19">
        <v>2024</v>
      </c>
      <c r="N34" s="19" t="s">
        <v>29</v>
      </c>
      <c r="O34" s="19" t="s">
        <v>34</v>
      </c>
      <c r="P34" s="19" t="s">
        <v>24</v>
      </c>
      <c r="Q34" s="19" t="s">
        <v>24</v>
      </c>
      <c r="R34" s="19">
        <v>10</v>
      </c>
      <c r="S34" s="65">
        <v>0.05</v>
      </c>
      <c r="T34" s="65">
        <v>0.45</v>
      </c>
      <c r="U34" s="19">
        <v>0</v>
      </c>
    </row>
    <row r="35" spans="1:22" x14ac:dyDescent="0.2">
      <c r="A35" s="19" t="s">
        <v>173</v>
      </c>
      <c r="B35" s="19" t="s">
        <v>213</v>
      </c>
      <c r="C35" s="19" t="s">
        <v>175</v>
      </c>
      <c r="D35" s="19" t="s">
        <v>214</v>
      </c>
      <c r="E35" s="19" t="s">
        <v>215</v>
      </c>
      <c r="F35" s="19" t="s">
        <v>216</v>
      </c>
      <c r="G35" s="19" t="s">
        <v>72</v>
      </c>
      <c r="H35" s="19" t="s">
        <v>179</v>
      </c>
      <c r="I35" s="19" t="s">
        <v>39</v>
      </c>
      <c r="J35" s="19" t="s">
        <v>217</v>
      </c>
      <c r="K35" s="19">
        <v>0.5</v>
      </c>
      <c r="L35" s="19" t="s">
        <v>39</v>
      </c>
      <c r="M35" s="19">
        <v>2024</v>
      </c>
      <c r="N35" s="19" t="s">
        <v>29</v>
      </c>
      <c r="O35" s="19" t="s">
        <v>35</v>
      </c>
      <c r="P35" s="19" t="s">
        <v>24</v>
      </c>
      <c r="Q35" s="19" t="s">
        <v>24</v>
      </c>
      <c r="R35" s="19">
        <v>20</v>
      </c>
      <c r="S35" s="65">
        <v>0.1</v>
      </c>
      <c r="T35" s="65">
        <v>0.4</v>
      </c>
      <c r="U35" s="19">
        <v>0</v>
      </c>
    </row>
    <row r="36" spans="1:22" x14ac:dyDescent="0.2">
      <c r="A36" s="19" t="s">
        <v>173</v>
      </c>
      <c r="B36" s="19" t="s">
        <v>213</v>
      </c>
      <c r="C36" s="19" t="s">
        <v>175</v>
      </c>
      <c r="D36" s="19" t="s">
        <v>218</v>
      </c>
      <c r="E36" s="19" t="s">
        <v>219</v>
      </c>
      <c r="F36" s="19" t="s">
        <v>220</v>
      </c>
      <c r="G36" s="19" t="s">
        <v>121</v>
      </c>
      <c r="H36" s="19" t="s">
        <v>179</v>
      </c>
      <c r="I36" s="19" t="s">
        <v>39</v>
      </c>
      <c r="J36" s="19" t="s">
        <v>217</v>
      </c>
      <c r="K36" s="19">
        <v>0.5</v>
      </c>
      <c r="L36" s="19" t="s">
        <v>39</v>
      </c>
      <c r="M36" s="19">
        <v>2024</v>
      </c>
      <c r="N36" s="19" t="s">
        <v>29</v>
      </c>
      <c r="O36" s="19" t="s">
        <v>34</v>
      </c>
      <c r="P36" s="19" t="s">
        <v>24</v>
      </c>
      <c r="Q36" s="19" t="s">
        <v>24</v>
      </c>
      <c r="R36" s="19">
        <v>10</v>
      </c>
      <c r="S36" s="65">
        <v>0.05</v>
      </c>
      <c r="T36" s="65">
        <v>0.45</v>
      </c>
      <c r="U36" s="19">
        <v>0</v>
      </c>
    </row>
    <row r="37" spans="1:22" x14ac:dyDescent="0.2">
      <c r="A37" s="19" t="s">
        <v>173</v>
      </c>
      <c r="B37" s="19" t="s">
        <v>213</v>
      </c>
      <c r="C37" s="19" t="s">
        <v>175</v>
      </c>
      <c r="D37" s="19" t="s">
        <v>218</v>
      </c>
      <c r="E37" s="19" t="s">
        <v>219</v>
      </c>
      <c r="F37" s="19" t="s">
        <v>220</v>
      </c>
      <c r="G37" s="19" t="s">
        <v>72</v>
      </c>
      <c r="H37" s="19" t="s">
        <v>179</v>
      </c>
      <c r="I37" s="19" t="s">
        <v>39</v>
      </c>
      <c r="J37" s="19" t="s">
        <v>217</v>
      </c>
      <c r="K37" s="19">
        <v>0.5</v>
      </c>
      <c r="L37" s="19" t="s">
        <v>39</v>
      </c>
      <c r="M37" s="19">
        <v>2024</v>
      </c>
      <c r="N37" s="19" t="s">
        <v>29</v>
      </c>
      <c r="O37" s="19" t="s">
        <v>35</v>
      </c>
      <c r="P37" s="19" t="s">
        <v>24</v>
      </c>
      <c r="Q37" s="19" t="s">
        <v>24</v>
      </c>
      <c r="R37" s="19">
        <v>20</v>
      </c>
      <c r="S37" s="65">
        <v>0.1</v>
      </c>
      <c r="T37" s="65">
        <v>0.4</v>
      </c>
      <c r="U37" s="19">
        <v>0</v>
      </c>
    </row>
    <row r="38" spans="1:22" x14ac:dyDescent="0.2">
      <c r="A38" s="19" t="s">
        <v>173</v>
      </c>
      <c r="B38" s="19" t="s">
        <v>213</v>
      </c>
      <c r="C38" s="19" t="s">
        <v>175</v>
      </c>
      <c r="D38" s="19" t="s">
        <v>221</v>
      </c>
      <c r="E38" s="19" t="s">
        <v>222</v>
      </c>
      <c r="F38" s="19" t="s">
        <v>223</v>
      </c>
      <c r="G38" s="19" t="s">
        <v>66</v>
      </c>
      <c r="H38" s="19" t="s">
        <v>179</v>
      </c>
      <c r="I38" s="19" t="s">
        <v>39</v>
      </c>
      <c r="J38" s="19" t="s">
        <v>217</v>
      </c>
      <c r="K38" s="19">
        <v>0.5</v>
      </c>
      <c r="L38" s="19" t="s">
        <v>39</v>
      </c>
      <c r="M38" s="19">
        <v>2024</v>
      </c>
      <c r="N38" s="19" t="s">
        <v>29</v>
      </c>
      <c r="O38" s="19" t="s">
        <v>35</v>
      </c>
      <c r="P38" s="19" t="s">
        <v>24</v>
      </c>
      <c r="Q38" s="19" t="s">
        <v>24</v>
      </c>
      <c r="R38" s="19">
        <v>20</v>
      </c>
      <c r="S38" s="65">
        <v>0.1</v>
      </c>
      <c r="T38" s="65">
        <v>0.4</v>
      </c>
      <c r="U38" s="19">
        <v>0</v>
      </c>
    </row>
    <row r="39" spans="1:22" x14ac:dyDescent="0.2">
      <c r="A39" s="19" t="s">
        <v>173</v>
      </c>
      <c r="B39" s="19" t="s">
        <v>213</v>
      </c>
      <c r="C39" s="19" t="s">
        <v>175</v>
      </c>
      <c r="D39" s="19" t="s">
        <v>221</v>
      </c>
      <c r="E39" s="19" t="s">
        <v>222</v>
      </c>
      <c r="F39" s="19" t="s">
        <v>223</v>
      </c>
      <c r="G39" s="19" t="s">
        <v>123</v>
      </c>
      <c r="H39" s="19" t="s">
        <v>179</v>
      </c>
      <c r="I39" s="19" t="s">
        <v>39</v>
      </c>
      <c r="J39" s="19" t="s">
        <v>217</v>
      </c>
      <c r="K39" s="19">
        <v>0.5</v>
      </c>
      <c r="L39" s="19" t="s">
        <v>39</v>
      </c>
      <c r="M39" s="19">
        <v>2024</v>
      </c>
      <c r="N39" s="19" t="s">
        <v>29</v>
      </c>
      <c r="O39" s="19" t="s">
        <v>34</v>
      </c>
      <c r="P39" s="19" t="s">
        <v>24</v>
      </c>
      <c r="Q39" s="19" t="s">
        <v>24</v>
      </c>
      <c r="R39" s="19">
        <v>10</v>
      </c>
      <c r="S39" s="65">
        <v>0.05</v>
      </c>
      <c r="T39" s="65">
        <v>0.45</v>
      </c>
      <c r="U39" s="19">
        <v>0</v>
      </c>
    </row>
    <row r="40" spans="1:22" x14ac:dyDescent="0.2">
      <c r="T40" s="64">
        <f>SUM(S2:S5,T6:T32,S33,T34:T39)</f>
        <v>18.974999999999998</v>
      </c>
    </row>
  </sheetData>
  <autoFilter ref="A1:U39" xr:uid="{00000000-0009-0000-0000-000000000000}">
    <sortState xmlns:xlrd2="http://schemas.microsoft.com/office/spreadsheetml/2017/richdata2" ref="A2:S889">
      <sortCondition ref="L2:L889"/>
      <sortCondition ref="N2:N889"/>
    </sortState>
  </autoFilter>
  <phoneticPr fontId="16" type="noConversion"/>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17"/>
  <sheetViews>
    <sheetView zoomScaleNormal="100" workbookViewId="0">
      <selection activeCell="Q17" sqref="Q17"/>
    </sheetView>
  </sheetViews>
  <sheetFormatPr baseColWidth="10" defaultColWidth="11.42578125" defaultRowHeight="12.75" x14ac:dyDescent="0.2"/>
  <cols>
    <col min="1" max="1" width="10.5703125" style="11" bestFit="1" customWidth="1"/>
    <col min="2" max="2" width="34.42578125" style="11" bestFit="1" customWidth="1"/>
    <col min="3" max="3" width="14.5703125" style="11" bestFit="1" customWidth="1"/>
    <col min="4" max="9" width="3.28515625" style="11" bestFit="1" customWidth="1"/>
    <col min="10" max="10" width="13.140625" style="11" bestFit="1" customWidth="1"/>
    <col min="11" max="11" width="5.28515625" style="11" bestFit="1" customWidth="1"/>
    <col min="12" max="12" width="5.7109375" style="11" bestFit="1" customWidth="1"/>
    <col min="13" max="14" width="5.7109375" style="12" bestFit="1" customWidth="1"/>
    <col min="15" max="15" width="5.7109375" style="11" bestFit="1" customWidth="1"/>
    <col min="16" max="16" width="5.7109375" style="12" bestFit="1" customWidth="1"/>
    <col min="17" max="19" width="5.7109375" style="11" bestFit="1" customWidth="1"/>
    <col min="20" max="16384" width="11.42578125" style="11"/>
  </cols>
  <sheetData>
    <row r="1" spans="1:20" s="10" customFormat="1" ht="65.099999999999994" customHeight="1" x14ac:dyDescent="0.2">
      <c r="A1" s="13" t="s">
        <v>49</v>
      </c>
      <c r="B1" s="13" t="s">
        <v>50</v>
      </c>
      <c r="C1" s="13" t="s">
        <v>51</v>
      </c>
      <c r="D1" s="14" t="s">
        <v>224</v>
      </c>
      <c r="E1" s="14" t="s">
        <v>225</v>
      </c>
      <c r="F1" s="14" t="s">
        <v>226</v>
      </c>
      <c r="G1" s="14" t="s">
        <v>227</v>
      </c>
      <c r="H1" s="14" t="s">
        <v>228</v>
      </c>
      <c r="I1" s="14" t="s">
        <v>229</v>
      </c>
      <c r="J1" s="13" t="s">
        <v>52</v>
      </c>
      <c r="K1" s="15" t="s">
        <v>86</v>
      </c>
      <c r="L1" s="8" t="s">
        <v>53</v>
      </c>
      <c r="M1" s="8" t="s">
        <v>54</v>
      </c>
      <c r="N1" s="8" t="s">
        <v>55</v>
      </c>
      <c r="O1" s="8" t="s">
        <v>56</v>
      </c>
      <c r="P1" s="9" t="s">
        <v>57</v>
      </c>
      <c r="Q1" s="9" t="s">
        <v>58</v>
      </c>
      <c r="R1" s="9" t="s">
        <v>59</v>
      </c>
      <c r="S1" s="9" t="s">
        <v>60</v>
      </c>
      <c r="T1" s="11"/>
    </row>
    <row r="2" spans="1:20" ht="15" x14ac:dyDescent="0.25">
      <c r="A2" s="16" t="s">
        <v>121</v>
      </c>
      <c r="B2" s="16" t="s">
        <v>230</v>
      </c>
      <c r="C2" s="16" t="s">
        <v>61</v>
      </c>
      <c r="D2" s="16"/>
      <c r="E2" s="16"/>
      <c r="F2" s="16"/>
      <c r="G2" s="16"/>
      <c r="H2" s="16"/>
      <c r="I2" s="16">
        <v>3</v>
      </c>
      <c r="J2" s="16">
        <v>3</v>
      </c>
      <c r="K2" s="16" t="s">
        <v>39</v>
      </c>
      <c r="L2" s="17" t="s">
        <v>29</v>
      </c>
      <c r="M2" s="17" t="s">
        <v>34</v>
      </c>
      <c r="N2" s="17" t="s">
        <v>24</v>
      </c>
      <c r="O2" s="17" t="s">
        <v>24</v>
      </c>
      <c r="P2" s="17">
        <v>10</v>
      </c>
      <c r="Q2" s="69">
        <v>2.7</v>
      </c>
      <c r="R2" s="17">
        <v>0</v>
      </c>
      <c r="S2" s="17">
        <v>0.3</v>
      </c>
    </row>
    <row r="3" spans="1:20" ht="15" x14ac:dyDescent="0.25">
      <c r="A3" s="16" t="s">
        <v>64</v>
      </c>
      <c r="B3" s="16" t="s">
        <v>231</v>
      </c>
      <c r="C3" s="16" t="s">
        <v>61</v>
      </c>
      <c r="D3" s="16"/>
      <c r="E3" s="16"/>
      <c r="F3" s="16"/>
      <c r="G3" s="16">
        <v>1</v>
      </c>
      <c r="H3" s="16"/>
      <c r="I3" s="16"/>
      <c r="J3" s="16">
        <v>1</v>
      </c>
      <c r="K3" s="16" t="s">
        <v>39</v>
      </c>
      <c r="L3" s="17" t="s">
        <v>29</v>
      </c>
      <c r="M3" s="17" t="s">
        <v>32</v>
      </c>
      <c r="N3" s="17" t="s">
        <v>24</v>
      </c>
      <c r="O3" s="17" t="s">
        <v>24</v>
      </c>
      <c r="P3" s="17">
        <v>50</v>
      </c>
      <c r="Q3" s="69">
        <v>0.5</v>
      </c>
      <c r="R3" s="17">
        <v>0</v>
      </c>
      <c r="S3" s="17">
        <v>0.5</v>
      </c>
    </row>
    <row r="4" spans="1:20" ht="15" x14ac:dyDescent="0.25">
      <c r="A4" s="16" t="s">
        <v>232</v>
      </c>
      <c r="B4" s="16" t="s">
        <v>233</v>
      </c>
      <c r="C4" s="16" t="s">
        <v>234</v>
      </c>
      <c r="D4" s="16"/>
      <c r="E4" s="16"/>
      <c r="F4" s="16"/>
      <c r="G4" s="16"/>
      <c r="H4" s="16"/>
      <c r="I4" s="16">
        <v>1</v>
      </c>
      <c r="J4" s="16">
        <v>1</v>
      </c>
      <c r="K4" s="16" t="s">
        <v>39</v>
      </c>
      <c r="L4" s="17" t="s">
        <v>29</v>
      </c>
      <c r="M4" s="17" t="s">
        <v>33</v>
      </c>
      <c r="N4" s="17" t="s">
        <v>24</v>
      </c>
      <c r="O4" s="17" t="s">
        <v>24</v>
      </c>
      <c r="P4" s="17">
        <v>40</v>
      </c>
      <c r="Q4" s="69">
        <v>0.6</v>
      </c>
      <c r="R4" s="17">
        <v>0</v>
      </c>
      <c r="S4" s="17">
        <v>0.4</v>
      </c>
    </row>
    <row r="5" spans="1:20" ht="15" x14ac:dyDescent="0.25">
      <c r="A5" s="16" t="s">
        <v>71</v>
      </c>
      <c r="B5" s="16" t="s">
        <v>235</v>
      </c>
      <c r="C5" s="18" t="s">
        <v>61</v>
      </c>
      <c r="D5" s="16">
        <v>1</v>
      </c>
      <c r="E5" s="16"/>
      <c r="F5" s="16"/>
      <c r="G5" s="16"/>
      <c r="H5" s="16"/>
      <c r="I5" s="16"/>
      <c r="J5" s="16">
        <v>1</v>
      </c>
      <c r="K5" s="16" t="s">
        <v>39</v>
      </c>
      <c r="L5" s="17" t="s">
        <v>29</v>
      </c>
      <c r="M5" s="17" t="s">
        <v>33</v>
      </c>
      <c r="N5" s="17" t="s">
        <v>24</v>
      </c>
      <c r="O5" s="17" t="s">
        <v>24</v>
      </c>
      <c r="P5" s="17">
        <v>40</v>
      </c>
      <c r="Q5" s="69">
        <v>0.6</v>
      </c>
      <c r="R5" s="17">
        <v>0</v>
      </c>
      <c r="S5" s="17">
        <v>0.4</v>
      </c>
    </row>
    <row r="6" spans="1:20" ht="15" x14ac:dyDescent="0.25">
      <c r="A6" s="16" t="s">
        <v>72</v>
      </c>
      <c r="B6" s="16" t="s">
        <v>236</v>
      </c>
      <c r="C6" s="16" t="s">
        <v>61</v>
      </c>
      <c r="D6" s="16"/>
      <c r="E6" s="16">
        <v>1</v>
      </c>
      <c r="F6" s="16"/>
      <c r="G6" s="16"/>
      <c r="H6" s="16"/>
      <c r="I6" s="16"/>
      <c r="J6" s="16">
        <v>1</v>
      </c>
      <c r="K6" s="16" t="s">
        <v>39</v>
      </c>
      <c r="L6" s="17" t="s">
        <v>29</v>
      </c>
      <c r="M6" s="17" t="s">
        <v>35</v>
      </c>
      <c r="N6" s="17" t="s">
        <v>24</v>
      </c>
      <c r="O6" s="17" t="s">
        <v>24</v>
      </c>
      <c r="P6" s="17">
        <v>20</v>
      </c>
      <c r="Q6" s="69">
        <v>0.8</v>
      </c>
      <c r="R6" s="17">
        <v>0</v>
      </c>
      <c r="S6" s="17">
        <v>0.2</v>
      </c>
    </row>
    <row r="7" spans="1:20" ht="15" x14ac:dyDescent="0.25">
      <c r="A7" s="16" t="s">
        <v>67</v>
      </c>
      <c r="B7" s="16" t="s">
        <v>237</v>
      </c>
      <c r="C7" s="16" t="s">
        <v>61</v>
      </c>
      <c r="D7" s="16"/>
      <c r="E7" s="16"/>
      <c r="F7" s="16"/>
      <c r="G7" s="16">
        <v>1</v>
      </c>
      <c r="H7" s="16"/>
      <c r="I7" s="16"/>
      <c r="J7" s="16">
        <v>1</v>
      </c>
      <c r="K7" s="16" t="s">
        <v>39</v>
      </c>
      <c r="L7" s="17" t="s">
        <v>29</v>
      </c>
      <c r="M7" s="17" t="s">
        <v>35</v>
      </c>
      <c r="N7" s="17" t="s">
        <v>24</v>
      </c>
      <c r="O7" s="17" t="s">
        <v>24</v>
      </c>
      <c r="P7" s="17">
        <v>20</v>
      </c>
      <c r="Q7" s="69">
        <v>0.8</v>
      </c>
      <c r="R7" s="17">
        <v>0</v>
      </c>
      <c r="S7" s="17">
        <v>0.2</v>
      </c>
    </row>
    <row r="8" spans="1:20" ht="15" x14ac:dyDescent="0.25">
      <c r="A8" s="16" t="s">
        <v>68</v>
      </c>
      <c r="B8" s="16" t="s">
        <v>238</v>
      </c>
      <c r="C8" s="16" t="s">
        <v>61</v>
      </c>
      <c r="D8" s="16"/>
      <c r="E8" s="16"/>
      <c r="F8" s="16">
        <v>1</v>
      </c>
      <c r="G8" s="16"/>
      <c r="H8" s="16"/>
      <c r="I8" s="16"/>
      <c r="J8" s="16">
        <v>1</v>
      </c>
      <c r="K8" s="16" t="s">
        <v>39</v>
      </c>
      <c r="L8" s="17" t="s">
        <v>29</v>
      </c>
      <c r="M8" s="17" t="s">
        <v>34</v>
      </c>
      <c r="N8" s="17" t="s">
        <v>24</v>
      </c>
      <c r="O8" s="17" t="s">
        <v>24</v>
      </c>
      <c r="P8" s="17">
        <v>10</v>
      </c>
      <c r="Q8" s="69">
        <v>0.9</v>
      </c>
      <c r="R8" s="17">
        <v>0</v>
      </c>
      <c r="S8" s="17">
        <v>0.1</v>
      </c>
    </row>
    <row r="9" spans="1:20" ht="15" x14ac:dyDescent="0.25">
      <c r="A9" s="16" t="s">
        <v>63</v>
      </c>
      <c r="B9" s="16" t="s">
        <v>239</v>
      </c>
      <c r="C9" s="16" t="s">
        <v>61</v>
      </c>
      <c r="D9" s="16"/>
      <c r="E9" s="16"/>
      <c r="F9" s="16"/>
      <c r="G9" s="16">
        <v>1</v>
      </c>
      <c r="H9" s="16"/>
      <c r="I9" s="16"/>
      <c r="J9" s="16">
        <v>1</v>
      </c>
      <c r="K9" s="16" t="s">
        <v>39</v>
      </c>
      <c r="L9" s="17" t="s">
        <v>29</v>
      </c>
      <c r="M9" s="17" t="s">
        <v>48</v>
      </c>
      <c r="N9" s="17" t="s">
        <v>24</v>
      </c>
      <c r="O9" s="17" t="s">
        <v>24</v>
      </c>
      <c r="P9" s="17">
        <v>35</v>
      </c>
      <c r="Q9" s="69">
        <v>0.65</v>
      </c>
      <c r="R9" s="17">
        <v>0</v>
      </c>
      <c r="S9" s="17">
        <v>0.35</v>
      </c>
    </row>
    <row r="10" spans="1:20" ht="15" x14ac:dyDescent="0.25">
      <c r="A10" s="16" t="s">
        <v>69</v>
      </c>
      <c r="B10" s="16" t="s">
        <v>240</v>
      </c>
      <c r="C10" s="16" t="s">
        <v>61</v>
      </c>
      <c r="D10" s="16">
        <v>1</v>
      </c>
      <c r="E10" s="16"/>
      <c r="F10" s="16"/>
      <c r="G10" s="16"/>
      <c r="H10" s="16"/>
      <c r="I10" s="16"/>
      <c r="J10" s="16">
        <v>1</v>
      </c>
      <c r="K10" s="16" t="s">
        <v>39</v>
      </c>
      <c r="L10" s="17" t="s">
        <v>29</v>
      </c>
      <c r="M10" s="17" t="s">
        <v>35</v>
      </c>
      <c r="N10" s="17" t="s">
        <v>24</v>
      </c>
      <c r="O10" s="17" t="s">
        <v>24</v>
      </c>
      <c r="P10" s="17">
        <v>20</v>
      </c>
      <c r="Q10" s="69">
        <v>0.8</v>
      </c>
      <c r="R10" s="17">
        <v>0</v>
      </c>
      <c r="S10" s="17">
        <v>0.2</v>
      </c>
    </row>
    <row r="11" spans="1:20" ht="15" x14ac:dyDescent="0.25">
      <c r="A11" s="16" t="s">
        <v>66</v>
      </c>
      <c r="B11" s="16" t="s">
        <v>241</v>
      </c>
      <c r="C11" s="16" t="s">
        <v>61</v>
      </c>
      <c r="D11" s="16"/>
      <c r="E11" s="16"/>
      <c r="F11" s="16"/>
      <c r="G11" s="16"/>
      <c r="H11" s="16">
        <v>1</v>
      </c>
      <c r="I11" s="16"/>
      <c r="J11" s="16">
        <v>1</v>
      </c>
      <c r="K11" s="16" t="s">
        <v>39</v>
      </c>
      <c r="L11" s="17" t="s">
        <v>29</v>
      </c>
      <c r="M11" s="17" t="s">
        <v>35</v>
      </c>
      <c r="N11" s="17" t="s">
        <v>24</v>
      </c>
      <c r="O11" s="17" t="s">
        <v>24</v>
      </c>
      <c r="P11" s="17">
        <v>20</v>
      </c>
      <c r="Q11" s="69">
        <v>0.8</v>
      </c>
      <c r="R11" s="17">
        <v>0</v>
      </c>
      <c r="S11" s="17">
        <v>0.2</v>
      </c>
    </row>
    <row r="12" spans="1:20" ht="15" x14ac:dyDescent="0.25">
      <c r="A12" s="16" t="s">
        <v>123</v>
      </c>
      <c r="B12" s="16" t="s">
        <v>242</v>
      </c>
      <c r="C12" s="16" t="s">
        <v>122</v>
      </c>
      <c r="D12" s="16"/>
      <c r="E12" s="16"/>
      <c r="F12" s="16"/>
      <c r="G12" s="16">
        <v>1</v>
      </c>
      <c r="H12" s="16">
        <v>1</v>
      </c>
      <c r="I12" s="16"/>
      <c r="J12" s="16">
        <v>2</v>
      </c>
      <c r="K12" s="16" t="s">
        <v>39</v>
      </c>
      <c r="L12" s="17" t="s">
        <v>29</v>
      </c>
      <c r="M12" s="17" t="s">
        <v>34</v>
      </c>
      <c r="N12" s="17" t="s">
        <v>24</v>
      </c>
      <c r="O12" s="17" t="s">
        <v>24</v>
      </c>
      <c r="P12" s="17">
        <v>10</v>
      </c>
      <c r="Q12" s="69">
        <v>1.8</v>
      </c>
      <c r="R12" s="17">
        <v>0</v>
      </c>
      <c r="S12" s="17">
        <v>0.2</v>
      </c>
    </row>
    <row r="13" spans="1:20" ht="15" x14ac:dyDescent="0.25">
      <c r="A13" s="16" t="s">
        <v>70</v>
      </c>
      <c r="B13" s="16" t="s">
        <v>243</v>
      </c>
      <c r="C13" s="16" t="s">
        <v>61</v>
      </c>
      <c r="D13" s="16"/>
      <c r="E13" s="16">
        <v>1</v>
      </c>
      <c r="F13" s="16"/>
      <c r="G13" s="16"/>
      <c r="H13" s="16"/>
      <c r="I13" s="16"/>
      <c r="J13" s="16">
        <v>1</v>
      </c>
      <c r="K13" s="16" t="s">
        <v>39</v>
      </c>
      <c r="L13" s="17" t="s">
        <v>29</v>
      </c>
      <c r="M13" s="17" t="s">
        <v>35</v>
      </c>
      <c r="N13" s="17" t="s">
        <v>24</v>
      </c>
      <c r="O13" s="17" t="s">
        <v>24</v>
      </c>
      <c r="P13" s="17">
        <v>20</v>
      </c>
      <c r="Q13" s="69">
        <v>0.8</v>
      </c>
      <c r="R13" s="17">
        <v>0</v>
      </c>
      <c r="S13" s="17">
        <v>0.2</v>
      </c>
    </row>
    <row r="14" spans="1:20" ht="15" x14ac:dyDescent="0.25">
      <c r="A14" s="16" t="s">
        <v>124</v>
      </c>
      <c r="B14" s="16" t="s">
        <v>244</v>
      </c>
      <c r="C14" s="18" t="s">
        <v>61</v>
      </c>
      <c r="D14" s="16"/>
      <c r="E14" s="16"/>
      <c r="F14" s="16">
        <v>3</v>
      </c>
      <c r="G14" s="16"/>
      <c r="H14" s="16"/>
      <c r="I14" s="16"/>
      <c r="J14" s="16">
        <v>3</v>
      </c>
      <c r="K14" s="16" t="s">
        <v>39</v>
      </c>
      <c r="L14" s="17" t="s">
        <v>29</v>
      </c>
      <c r="M14" s="17" t="s">
        <v>32</v>
      </c>
      <c r="N14" s="17" t="s">
        <v>24</v>
      </c>
      <c r="O14" s="17" t="s">
        <v>24</v>
      </c>
      <c r="P14" s="17">
        <v>50</v>
      </c>
      <c r="Q14" s="69">
        <v>1.5</v>
      </c>
      <c r="R14" s="17">
        <v>0</v>
      </c>
      <c r="S14" s="17">
        <v>1.5</v>
      </c>
    </row>
    <row r="15" spans="1:20" ht="15" x14ac:dyDescent="0.25">
      <c r="A15" s="16" t="s">
        <v>65</v>
      </c>
      <c r="B15" s="16" t="s">
        <v>245</v>
      </c>
      <c r="C15" s="18" t="s">
        <v>61</v>
      </c>
      <c r="D15" s="16"/>
      <c r="E15" s="16"/>
      <c r="F15" s="16">
        <v>1</v>
      </c>
      <c r="G15" s="16"/>
      <c r="H15" s="16"/>
      <c r="I15" s="16"/>
      <c r="J15" s="16">
        <v>1</v>
      </c>
      <c r="K15" s="16" t="s">
        <v>39</v>
      </c>
      <c r="L15" s="17" t="s">
        <v>29</v>
      </c>
      <c r="M15" s="17" t="s">
        <v>35</v>
      </c>
      <c r="N15" s="17" t="s">
        <v>24</v>
      </c>
      <c r="O15" s="17" t="s">
        <v>24</v>
      </c>
      <c r="P15" s="17">
        <v>20</v>
      </c>
      <c r="Q15" s="69">
        <v>0.8</v>
      </c>
      <c r="R15" s="17">
        <v>0</v>
      </c>
      <c r="S15" s="17">
        <v>0.2</v>
      </c>
    </row>
    <row r="16" spans="1:20" ht="15" x14ac:dyDescent="0.25">
      <c r="A16" s="41" t="s">
        <v>62</v>
      </c>
      <c r="B16" s="41" t="s">
        <v>246</v>
      </c>
      <c r="C16" s="42" t="s">
        <v>61</v>
      </c>
      <c r="D16" s="41"/>
      <c r="E16" s="41"/>
      <c r="F16" s="41"/>
      <c r="G16" s="41">
        <v>1</v>
      </c>
      <c r="H16" s="41"/>
      <c r="I16" s="41"/>
      <c r="J16" s="41">
        <v>1</v>
      </c>
      <c r="K16" s="16" t="s">
        <v>39</v>
      </c>
      <c r="L16" s="43" t="s">
        <v>29</v>
      </c>
      <c r="M16" s="43" t="s">
        <v>34</v>
      </c>
      <c r="N16" s="43" t="s">
        <v>24</v>
      </c>
      <c r="O16" s="43" t="s">
        <v>24</v>
      </c>
      <c r="P16" s="43">
        <v>10</v>
      </c>
      <c r="Q16" s="70">
        <v>0.9</v>
      </c>
      <c r="R16" s="43">
        <v>0</v>
      </c>
      <c r="S16" s="43">
        <v>0.1</v>
      </c>
    </row>
    <row r="17" spans="1:19" ht="15" x14ac:dyDescent="0.25">
      <c r="A17" s="48"/>
      <c r="B17" s="48"/>
      <c r="C17" s="49"/>
      <c r="D17" s="48"/>
      <c r="E17" s="48"/>
      <c r="F17" s="48"/>
      <c r="G17" s="48"/>
      <c r="H17" s="48"/>
      <c r="I17" s="48"/>
      <c r="J17" s="48"/>
      <c r="K17" s="48"/>
      <c r="L17" s="48"/>
      <c r="M17" s="48"/>
      <c r="N17" s="48"/>
      <c r="O17" s="48"/>
      <c r="P17" s="48"/>
      <c r="Q17" s="82">
        <f>SUM(Q2:Q16)</f>
        <v>14.950000000000005</v>
      </c>
      <c r="R17" s="48"/>
      <c r="S17" s="48"/>
    </row>
  </sheetData>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FB4C8-F6DF-4E94-B533-E17B9C163145}">
  <dimension ref="A1:C22"/>
  <sheetViews>
    <sheetView topLeftCell="A16" workbookViewId="0">
      <selection activeCell="E24" sqref="E24"/>
    </sheetView>
  </sheetViews>
  <sheetFormatPr baseColWidth="10" defaultRowHeight="15" x14ac:dyDescent="0.25"/>
  <cols>
    <col min="1" max="1" width="16.28515625" customWidth="1"/>
    <col min="2" max="2" width="79.42578125" customWidth="1"/>
    <col min="3" max="3" width="14.85546875" customWidth="1"/>
  </cols>
  <sheetData>
    <row r="1" spans="1:3" x14ac:dyDescent="0.25">
      <c r="A1" s="51" t="s">
        <v>109</v>
      </c>
      <c r="B1" s="51" t="s">
        <v>110</v>
      </c>
      <c r="C1" s="51" t="s">
        <v>125</v>
      </c>
    </row>
    <row r="2" spans="1:3" ht="39" x14ac:dyDescent="0.25">
      <c r="A2" s="44" t="s">
        <v>1</v>
      </c>
      <c r="B2" s="56" t="s">
        <v>149</v>
      </c>
      <c r="C2" s="45">
        <v>712.8</v>
      </c>
    </row>
    <row r="3" spans="1:3" x14ac:dyDescent="0.25">
      <c r="A3" s="46" t="s">
        <v>111</v>
      </c>
      <c r="B3" s="57" t="s">
        <v>151</v>
      </c>
      <c r="C3" s="47">
        <v>3168</v>
      </c>
    </row>
    <row r="4" spans="1:3" ht="26.25" x14ac:dyDescent="0.25">
      <c r="A4" s="44" t="s">
        <v>111</v>
      </c>
      <c r="B4" s="56" t="s">
        <v>152</v>
      </c>
      <c r="C4" s="45">
        <v>3168</v>
      </c>
    </row>
    <row r="5" spans="1:3" ht="26.25" x14ac:dyDescent="0.25">
      <c r="A5" s="46" t="s">
        <v>111</v>
      </c>
      <c r="B5" s="57" t="s">
        <v>153</v>
      </c>
      <c r="C5" s="47">
        <v>3168</v>
      </c>
    </row>
    <row r="6" spans="1:3" ht="26.25" x14ac:dyDescent="0.25">
      <c r="A6" s="44" t="s">
        <v>108</v>
      </c>
      <c r="B6" s="56" t="s">
        <v>154</v>
      </c>
      <c r="C6" s="45">
        <v>48840</v>
      </c>
    </row>
    <row r="7" spans="1:3" ht="77.25" x14ac:dyDescent="0.25">
      <c r="A7" s="46" t="s">
        <v>108</v>
      </c>
      <c r="B7" s="57" t="s">
        <v>155</v>
      </c>
      <c r="C7" s="47">
        <v>11131.44</v>
      </c>
    </row>
    <row r="8" spans="1:3" x14ac:dyDescent="0.25">
      <c r="A8" s="44" t="s">
        <v>130</v>
      </c>
      <c r="B8" s="56" t="s">
        <v>156</v>
      </c>
      <c r="C8" s="45">
        <v>1238.1199999999999</v>
      </c>
    </row>
    <row r="9" spans="1:3" x14ac:dyDescent="0.25">
      <c r="A9" s="46" t="s">
        <v>130</v>
      </c>
      <c r="B9" s="57" t="s">
        <v>157</v>
      </c>
      <c r="C9" s="47">
        <v>683.7</v>
      </c>
    </row>
    <row r="10" spans="1:3" ht="26.25" x14ac:dyDescent="0.25">
      <c r="A10" s="44" t="s">
        <v>131</v>
      </c>
      <c r="B10" s="56" t="s">
        <v>158</v>
      </c>
      <c r="C10" s="45">
        <v>3109.92</v>
      </c>
    </row>
    <row r="11" spans="1:3" ht="26.25" x14ac:dyDescent="0.25">
      <c r="A11" s="46" t="s">
        <v>131</v>
      </c>
      <c r="B11" s="57" t="s">
        <v>159</v>
      </c>
      <c r="C11" s="47">
        <v>9447.68</v>
      </c>
    </row>
    <row r="12" spans="1:3" ht="26.25" x14ac:dyDescent="0.25">
      <c r="A12" s="44" t="s">
        <v>160</v>
      </c>
      <c r="B12" s="56" t="s">
        <v>161</v>
      </c>
      <c r="C12" s="45">
        <v>176</v>
      </c>
    </row>
    <row r="13" spans="1:3" x14ac:dyDescent="0.25">
      <c r="A13" s="46" t="s">
        <v>126</v>
      </c>
      <c r="B13" s="57" t="s">
        <v>162</v>
      </c>
      <c r="C13" s="47">
        <v>9000</v>
      </c>
    </row>
    <row r="14" spans="1:3" ht="26.25" x14ac:dyDescent="0.25">
      <c r="A14" s="44" t="s">
        <v>128</v>
      </c>
      <c r="B14" s="56" t="s">
        <v>163</v>
      </c>
      <c r="C14" s="45">
        <v>-1999.38</v>
      </c>
    </row>
    <row r="15" spans="1:3" x14ac:dyDescent="0.25">
      <c r="A15" s="46" t="s">
        <v>128</v>
      </c>
      <c r="B15" s="57" t="s">
        <v>164</v>
      </c>
      <c r="C15" s="47">
        <v>45227.8</v>
      </c>
    </row>
    <row r="16" spans="1:3" ht="26.25" x14ac:dyDescent="0.25">
      <c r="A16" s="44" t="s">
        <v>129</v>
      </c>
      <c r="B16" s="56" t="s">
        <v>165</v>
      </c>
      <c r="C16" s="45">
        <v>72530.78</v>
      </c>
    </row>
    <row r="17" spans="1:3" x14ac:dyDescent="0.25">
      <c r="A17" s="46" t="s">
        <v>127</v>
      </c>
      <c r="B17" s="57" t="s">
        <v>166</v>
      </c>
      <c r="C17" s="47">
        <v>30000</v>
      </c>
    </row>
    <row r="18" spans="1:3" ht="39" x14ac:dyDescent="0.25">
      <c r="A18" s="44" t="s">
        <v>127</v>
      </c>
      <c r="B18" s="56" t="s">
        <v>167</v>
      </c>
      <c r="C18" s="45">
        <v>-856.58</v>
      </c>
    </row>
    <row r="19" spans="1:3" ht="26.25" x14ac:dyDescent="0.25">
      <c r="A19" s="46" t="s">
        <v>132</v>
      </c>
      <c r="B19" s="57" t="s">
        <v>168</v>
      </c>
      <c r="C19" s="47">
        <v>28390</v>
      </c>
    </row>
    <row r="20" spans="1:3" x14ac:dyDescent="0.25">
      <c r="A20" s="44" t="s">
        <v>169</v>
      </c>
      <c r="B20" s="56" t="s">
        <v>170</v>
      </c>
      <c r="C20" s="45">
        <v>164600</v>
      </c>
    </row>
    <row r="21" spans="1:3" ht="39" x14ac:dyDescent="0.25">
      <c r="A21" s="52" t="s">
        <v>171</v>
      </c>
      <c r="B21" s="58" t="s">
        <v>172</v>
      </c>
      <c r="C21" s="53">
        <v>30000</v>
      </c>
    </row>
    <row r="22" spans="1:3" x14ac:dyDescent="0.25">
      <c r="A22" s="54" t="s">
        <v>0</v>
      </c>
      <c r="B22" s="54"/>
      <c r="C22" s="55">
        <f>SUBTOTAL(109,Tabla2[Imp.cob.aplic.])</f>
        <v>461736.28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C2478-7EC0-4120-9931-A0CFF90C8166}">
  <dimension ref="A1:C20"/>
  <sheetViews>
    <sheetView topLeftCell="A13" workbookViewId="0">
      <selection activeCell="B22" sqref="B22:C22"/>
    </sheetView>
  </sheetViews>
  <sheetFormatPr baseColWidth="10" defaultRowHeight="15" x14ac:dyDescent="0.25"/>
  <cols>
    <col min="1" max="1" width="13.28515625" bestFit="1" customWidth="1"/>
    <col min="2" max="2" width="66.85546875" customWidth="1"/>
    <col min="3" max="3" width="13.28515625" style="59" bestFit="1" customWidth="1"/>
  </cols>
  <sheetData>
    <row r="1" spans="1:3" x14ac:dyDescent="0.25">
      <c r="A1" t="s">
        <v>187</v>
      </c>
      <c r="B1" t="s">
        <v>110</v>
      </c>
      <c r="C1" s="59" t="s">
        <v>188</v>
      </c>
    </row>
    <row r="2" spans="1:3" ht="45" x14ac:dyDescent="0.25">
      <c r="A2" t="s">
        <v>111</v>
      </c>
      <c r="B2" s="60" t="s">
        <v>189</v>
      </c>
      <c r="C2" s="59">
        <v>3168</v>
      </c>
    </row>
    <row r="3" spans="1:3" ht="60" x14ac:dyDescent="0.25">
      <c r="A3" t="s">
        <v>111</v>
      </c>
      <c r="B3" s="60" t="s">
        <v>190</v>
      </c>
      <c r="C3" s="59">
        <v>3168</v>
      </c>
    </row>
    <row r="4" spans="1:3" ht="45" x14ac:dyDescent="0.25">
      <c r="A4" t="s">
        <v>131</v>
      </c>
      <c r="B4" s="60" t="s">
        <v>191</v>
      </c>
      <c r="C4" s="59">
        <v>528</v>
      </c>
    </row>
    <row r="5" spans="1:3" ht="45" x14ac:dyDescent="0.25">
      <c r="A5" t="s">
        <v>131</v>
      </c>
      <c r="B5" s="60" t="s">
        <v>192</v>
      </c>
      <c r="C5" s="59">
        <v>9240</v>
      </c>
    </row>
    <row r="6" spans="1:3" ht="45" x14ac:dyDescent="0.25">
      <c r="A6" t="s">
        <v>131</v>
      </c>
      <c r="B6" s="60" t="s">
        <v>193</v>
      </c>
      <c r="C6" s="59">
        <v>3080</v>
      </c>
    </row>
    <row r="7" spans="1:3" ht="60" x14ac:dyDescent="0.25">
      <c r="A7" t="s">
        <v>131</v>
      </c>
      <c r="B7" s="60" t="s">
        <v>194</v>
      </c>
      <c r="C7" s="59">
        <v>9240</v>
      </c>
    </row>
    <row r="8" spans="1:3" ht="60" x14ac:dyDescent="0.25">
      <c r="A8" t="s">
        <v>131</v>
      </c>
      <c r="B8" s="60" t="s">
        <v>195</v>
      </c>
      <c r="C8" s="59">
        <v>9240</v>
      </c>
    </row>
    <row r="9" spans="1:3" ht="60" x14ac:dyDescent="0.25">
      <c r="A9" t="s">
        <v>131</v>
      </c>
      <c r="B9" s="60" t="s">
        <v>196</v>
      </c>
      <c r="C9" s="59">
        <v>2640</v>
      </c>
    </row>
    <row r="10" spans="1:3" ht="60" x14ac:dyDescent="0.25">
      <c r="A10" t="s">
        <v>131</v>
      </c>
      <c r="B10" s="60" t="s">
        <v>197</v>
      </c>
      <c r="C10" s="59">
        <v>3080</v>
      </c>
    </row>
    <row r="11" spans="1:3" ht="45" x14ac:dyDescent="0.25">
      <c r="A11" t="s">
        <v>198</v>
      </c>
      <c r="B11" s="60" t="s">
        <v>199</v>
      </c>
      <c r="C11" s="59">
        <v>6600</v>
      </c>
    </row>
    <row r="12" spans="1:3" ht="45" x14ac:dyDescent="0.25">
      <c r="A12" t="s">
        <v>198</v>
      </c>
      <c r="B12" s="60" t="s">
        <v>199</v>
      </c>
      <c r="C12" s="59">
        <v>-6600</v>
      </c>
    </row>
    <row r="13" spans="1:3" ht="45" x14ac:dyDescent="0.25">
      <c r="A13" t="s">
        <v>198</v>
      </c>
      <c r="B13" s="60" t="s">
        <v>200</v>
      </c>
      <c r="C13" s="59">
        <v>12760</v>
      </c>
    </row>
    <row r="14" spans="1:3" x14ac:dyDescent="0.25">
      <c r="A14" t="s">
        <v>128</v>
      </c>
      <c r="B14" s="60" t="s">
        <v>201</v>
      </c>
      <c r="C14" s="59">
        <v>46350.3</v>
      </c>
    </row>
    <row r="15" spans="1:3" x14ac:dyDescent="0.25">
      <c r="A15" t="s">
        <v>129</v>
      </c>
      <c r="B15" s="60" t="s">
        <v>202</v>
      </c>
      <c r="C15" s="59">
        <v>71997.3</v>
      </c>
    </row>
    <row r="16" spans="1:3" ht="30" x14ac:dyDescent="0.25">
      <c r="A16" t="s">
        <v>127</v>
      </c>
      <c r="B16" s="60" t="s">
        <v>203</v>
      </c>
      <c r="C16" s="59">
        <v>-562.33000000000004</v>
      </c>
    </row>
    <row r="17" spans="1:3" ht="45" x14ac:dyDescent="0.25">
      <c r="A17" t="s">
        <v>132</v>
      </c>
      <c r="B17" s="60" t="s">
        <v>204</v>
      </c>
      <c r="C17" s="59">
        <v>10200</v>
      </c>
    </row>
    <row r="18" spans="1:3" ht="60" x14ac:dyDescent="0.25">
      <c r="A18" t="s">
        <v>171</v>
      </c>
      <c r="B18" s="60" t="s">
        <v>205</v>
      </c>
      <c r="C18" s="59">
        <v>30000</v>
      </c>
    </row>
    <row r="19" spans="1:3" ht="30" x14ac:dyDescent="0.25">
      <c r="A19" t="s">
        <v>171</v>
      </c>
      <c r="B19" s="60" t="s">
        <v>206</v>
      </c>
      <c r="C19" s="59">
        <v>-891.6</v>
      </c>
    </row>
    <row r="20" spans="1:3" x14ac:dyDescent="0.25">
      <c r="A20" t="s">
        <v>0</v>
      </c>
      <c r="C20" s="50">
        <f>SUBTOTAL(109,Tabla3[Imp. aplic.])</f>
        <v>213237.67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8A7EF-C852-4742-B4CE-BE67B54DAB68}">
  <dimension ref="A1:C15"/>
  <sheetViews>
    <sheetView workbookViewId="0">
      <selection activeCell="C16" sqref="C16"/>
    </sheetView>
  </sheetViews>
  <sheetFormatPr baseColWidth="10" defaultRowHeight="15" x14ac:dyDescent="0.25"/>
  <cols>
    <col min="1" max="1" width="15.5703125" customWidth="1"/>
    <col min="2" max="2" width="50.85546875" customWidth="1"/>
    <col min="3" max="3" width="18.28515625" customWidth="1"/>
  </cols>
  <sheetData>
    <row r="1" spans="1:3" x14ac:dyDescent="0.25">
      <c r="A1" s="71" t="s">
        <v>187</v>
      </c>
      <c r="B1" s="72" t="s">
        <v>110</v>
      </c>
      <c r="C1" s="72" t="s">
        <v>188</v>
      </c>
    </row>
    <row r="2" spans="1:3" x14ac:dyDescent="0.25">
      <c r="A2" s="73" t="s">
        <v>111</v>
      </c>
      <c r="B2" s="74" t="s">
        <v>247</v>
      </c>
      <c r="C2" s="75">
        <v>3168</v>
      </c>
    </row>
    <row r="3" spans="1:3" x14ac:dyDescent="0.25">
      <c r="A3" s="76" t="s">
        <v>111</v>
      </c>
      <c r="B3" s="77" t="s">
        <v>248</v>
      </c>
      <c r="C3" s="78">
        <v>3696</v>
      </c>
    </row>
    <row r="4" spans="1:3" x14ac:dyDescent="0.25">
      <c r="A4" s="73" t="s">
        <v>249</v>
      </c>
      <c r="B4" s="74" t="s">
        <v>250</v>
      </c>
      <c r="C4" s="75">
        <v>7920</v>
      </c>
    </row>
    <row r="5" spans="1:3" x14ac:dyDescent="0.25">
      <c r="A5" s="76" t="s">
        <v>128</v>
      </c>
      <c r="B5" s="77" t="s">
        <v>164</v>
      </c>
      <c r="C5" s="78">
        <v>46976.9</v>
      </c>
    </row>
    <row r="6" spans="1:3" x14ac:dyDescent="0.25">
      <c r="A6" s="73" t="s">
        <v>132</v>
      </c>
      <c r="B6" s="74" t="s">
        <v>251</v>
      </c>
      <c r="C6" s="75">
        <v>68000</v>
      </c>
    </row>
    <row r="7" spans="1:3" x14ac:dyDescent="0.25">
      <c r="A7" s="76" t="s">
        <v>171</v>
      </c>
      <c r="B7" s="77" t="s">
        <v>252</v>
      </c>
      <c r="C7" s="78">
        <v>30000</v>
      </c>
    </row>
    <row r="8" spans="1:3" x14ac:dyDescent="0.25">
      <c r="A8" s="73" t="s">
        <v>171</v>
      </c>
      <c r="B8" s="74" t="s">
        <v>253</v>
      </c>
      <c r="C8" s="75">
        <v>-960.97</v>
      </c>
    </row>
    <row r="9" spans="1:3" x14ac:dyDescent="0.25">
      <c r="A9" s="76" t="s">
        <v>254</v>
      </c>
      <c r="B9" s="77" t="s">
        <v>255</v>
      </c>
      <c r="C9" s="78">
        <v>60000</v>
      </c>
    </row>
    <row r="10" spans="1:3" x14ac:dyDescent="0.25">
      <c r="A10" s="73" t="s">
        <v>254</v>
      </c>
      <c r="B10" s="74" t="s">
        <v>256</v>
      </c>
      <c r="C10" s="75">
        <v>34000</v>
      </c>
    </row>
    <row r="11" spans="1:3" ht="15.75" thickBot="1" x14ac:dyDescent="0.3">
      <c r="A11" s="76" t="s">
        <v>257</v>
      </c>
      <c r="B11" s="77" t="s">
        <v>258</v>
      </c>
      <c r="C11" s="78">
        <v>12328.77</v>
      </c>
    </row>
    <row r="12" spans="1:3" ht="15.75" thickTop="1" x14ac:dyDescent="0.25">
      <c r="A12" s="79" t="s">
        <v>0</v>
      </c>
      <c r="B12" s="80"/>
      <c r="C12" s="81">
        <v>265128.7</v>
      </c>
    </row>
    <row r="15" spans="1:3" x14ac:dyDescent="0.25">
      <c r="B15" s="61" t="s">
        <v>259</v>
      </c>
      <c r="C15" s="62">
        <f>+Tabla3[[#Totals],[Imp. aplic.]]+Tabla2[[#Totals],[Imp.cob.aplic.]]+C12</f>
        <v>940102.65000000014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Tesis</vt:lpstr>
      <vt:lpstr>Sexenios</vt:lpstr>
      <vt:lpstr>Ingresos investigación 2023</vt:lpstr>
      <vt:lpstr>Ingresos investigación 2024</vt:lpstr>
      <vt:lpstr>Ingresos investigación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cp:lastPrinted>2019-07-03T07:26:29Z</cp:lastPrinted>
  <dcterms:created xsi:type="dcterms:W3CDTF">2019-07-03T07:15:54Z</dcterms:created>
  <dcterms:modified xsi:type="dcterms:W3CDTF">2026-05-28T10:59:43Z</dcterms:modified>
</cp:coreProperties>
</file>