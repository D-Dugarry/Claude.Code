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2088C4C8-9A6A-4AE5-B51A-501A04530C44}" xr6:coauthVersionLast="47" xr6:coauthVersionMax="47" xr10:uidLastSave="{00000000-0000-0000-0000-000000000000}"/>
  <bookViews>
    <workbookView xWindow="-108" yWindow="-108" windowWidth="23256" windowHeight="13896" tabRatio="835" activeTab="4" xr2:uid="{00000000-000D-0000-FFFF-FFFF00000000}"/>
  </bookViews>
  <sheets>
    <sheet name="Tesis" sheetId="12" r:id="rId1"/>
    <sheet name="Sexenios" sheetId="13" r:id="rId2"/>
    <sheet name="Ingresos investigación 2023" sheetId="24" r:id="rId3"/>
    <sheet name="Ingresos investigación 2024" sheetId="25" r:id="rId4"/>
    <sheet name="Ingresos investigación 2025" sheetId="26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6" l="1"/>
  <c r="C9" i="24"/>
  <c r="S14" i="12"/>
  <c r="S13" i="13" l="1"/>
</calcChain>
</file>

<file path=xl/sharedStrings.xml><?xml version="1.0" encoding="utf-8"?>
<sst xmlns="http://schemas.openxmlformats.org/spreadsheetml/2006/main" count="316" uniqueCount="158">
  <si>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</si>
  <si>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</si>
  <si>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</si>
  <si>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</si>
  <si>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</si>
  <si>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</si>
  <si>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</si>
  <si>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</si>
  <si>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</si>
  <si>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</si>
  <si>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</si>
  <si>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</si>
  <si>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</si>
  <si>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</si>
  <si>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</si>
  <si>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</si>
  <si>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</si>
  <si>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</si>
  <si>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</si>
  <si>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</si>
  <si>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</si>
  <si>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</si>
  <si>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</si>
  <si>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</si>
  <si>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</si>
  <si>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</si>
  <si>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U036 </t>
  </si>
  <si>
    <t>ADM. FACULTAD DE CIENCIAS ECONÓMICAS </t>
  </si>
  <si>
    <t>DOCTORADO EN EMPRESA, ECONOMÍA Y SOCIEDAD </t>
  </si>
  <si>
    <t>10.23</t>
  </si>
  <si>
    <t>B176 </t>
  </si>
  <si>
    <t>SOCIOLOGÍA II </t>
  </si>
  <si>
    <t>10.22</t>
  </si>
  <si>
    <t>10.06</t>
  </si>
  <si>
    <t>B176</t>
  </si>
  <si>
    <t>05413313X </t>
  </si>
  <si>
    <t>21474040K </t>
  </si>
  <si>
    <t>21506571F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</si>
  <si>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</si>
  <si>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</si>
  <si>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</si>
  <si>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</si>
  <si>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</si>
  <si>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</si>
  <si>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</si>
  <si>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</si>
  <si>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</si>
  <si>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</si>
  <si>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</si>
  <si>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</si>
  <si>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</si>
  <si>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21471226J</t>
  </si>
  <si>
    <t>21516771H</t>
  </si>
  <si>
    <t>22140300V</t>
  </si>
  <si>
    <t>52779604D</t>
  </si>
  <si>
    <t>21506571F</t>
  </si>
  <si>
    <t>05413313X</t>
  </si>
  <si>
    <t>Alaminos Fernández, Antonio Francisco </t>
  </si>
  <si>
    <t>La realidad aumentada. Música y comunicación en la sociedad de consumo </t>
  </si>
  <si>
    <t>20/12/2019 </t>
  </si>
  <si>
    <t>11737095B</t>
  </si>
  <si>
    <t>COD DEP</t>
  </si>
  <si>
    <t>52778850Z</t>
  </si>
  <si>
    <t>NO FUNCIONARIO</t>
  </si>
  <si>
    <t>Samaniego Dumas, Diego Oswaldo </t>
  </si>
  <si>
    <t>Análisis del discurso de Rafael Correa en relación al movimiento indígena ecuatoriano: Elucidación del racismo y la discriminación </t>
  </si>
  <si>
    <t>20/11/2020 </t>
  </si>
  <si>
    <t>Perea Crespo, Ignacia </t>
  </si>
  <si>
    <t>Sobre la inclusividad de las sociedades europeas: la distancia del otro nacional a través de la opinión pública </t>
  </si>
  <si>
    <t>22/12/2020 </t>
  </si>
  <si>
    <t>U073 </t>
  </si>
  <si>
    <t>ADM. I.U. INVESTIGACIÓN DE ESTUDIOS DE GÉNERO </t>
  </si>
  <si>
    <t>DOCTORADO EN ESTUDIOS INTERDISCIPLINARES DE GÉNERO </t>
  </si>
  <si>
    <t>¿Efectos de la transición demográfica en España como prototipo de la Europa del Sur¿ </t>
  </si>
  <si>
    <t>28/09/2021 </t>
  </si>
  <si>
    <t>17201624Q </t>
  </si>
  <si>
    <t>36.10.6M.00.01</t>
  </si>
  <si>
    <t>Cód. org. aplic.</t>
  </si>
  <si>
    <t>Descripción justificante</t>
  </si>
  <si>
    <t>23814586R </t>
  </si>
  <si>
    <t>Martínez Verdú, Remedios </t>
  </si>
  <si>
    <t>U058 </t>
  </si>
  <si>
    <t>ADM. I.U. DE INVESTIGACIONES TURÍSTICAS </t>
  </si>
  <si>
    <t>DOCTORADO EN TURISMO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</si>
  <si>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</si>
  <si>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</si>
  <si>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</si>
  <si>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28995929J</t>
  </si>
  <si>
    <t>Imp.cob.aplic.</t>
  </si>
  <si>
    <t>Sanchís Ramón, María José </t>
  </si>
  <si>
    <t>La atención a los proyectos de vida y a las necesidades de las mujeres gitanas en las políticas de inclusión. </t>
  </si>
  <si>
    <t>02/06/2023 </t>
  </si>
  <si>
    <t>52779604D </t>
  </si>
  <si>
    <t>Alaminos Fernández, Paloma </t>
  </si>
  <si>
    <t>LAS BASES SOCIALES Y ARGUMENTALES DE LOS MOVIMIENTOS AUTORITARIOS EN LA UNIÓN EUROPEA. EL CASO DEL POPULISMO PUNITIVO </t>
  </si>
  <si>
    <t>16/06/2023 </t>
  </si>
  <si>
    <t>22140300V </t>
  </si>
  <si>
    <t>23779586R </t>
  </si>
  <si>
    <t>36.10.6C.00.18</t>
  </si>
  <si>
    <t>CONVENI DE COL·LABORACIÓ ENTRE L'ACADÈMIA VALENCIANA DE LA LLENGUA I LA UNIVERSITAT D'ALACANT PER A L'ELABORACIÓ D'UNA ENQUESTA SOBRE L'ÚS DEL VALENCIÀ EN LA COMARCA DEL BAIX VINALOPÓ.</t>
  </si>
  <si>
    <t>CONVENI DE COL·LABORACIÓ ENTRE L'ACADÈMIA VALENCIANA DE LA LLENGUA I LA UNIVERSITAT D'ALACANT PER A L'ELABORACIÓ D'UNA ENQUESTA SOBRE L'ÚS DEL VALENCIÀ EN LA COMARCA DEL BAIX VINALOPÓ. 2on. pago.</t>
  </si>
  <si>
    <t>36.10.6C.00.20</t>
  </si>
  <si>
    <t>ANÁLISIS DE PROSPECTIVA Y COMPORTAMIENTO ELECTORAL.</t>
  </si>
  <si>
    <t>36.10.6C.00.21</t>
  </si>
  <si>
    <t>ESTUDIO SOBRE LA SOCIEDAD SEPA: ASOCIADOS, ORGANIZACIÓN Y SERVICIOS. 1er. pago.</t>
  </si>
  <si>
    <t>ESTUDIO SOBRE LA SOCIEDAD SEPA: ASOCIADOS, ORGANIZACIÓN Y SERVICIOS. 2º PAGO.</t>
  </si>
  <si>
    <t>UA/2023 CONV.FOMENT ACTIVITATS UNIVERS.PÙBLIQUES CV. EN MAT. PARTICIPAC.CIUTAD.BESTRETA 30%   UNIVERS. ALACANT</t>
  </si>
  <si>
    <t>UA/2023 CONV.FOMENT ACTIVITATS UNIVERS.PÚBLIQUES CV. PARTICIPACIÓ CIUTADANA    UNIV. ALICANTE</t>
  </si>
  <si>
    <t>Vivos</t>
  </si>
  <si>
    <t>20</t>
  </si>
  <si>
    <t>90</t>
  </si>
  <si>
    <t>Chuquitarco Morales, Edwin Alejandro</t>
  </si>
  <si>
    <t>Determinantes socioambientales de la salud y minorías: racismo estructural en las políticas públicas y la investigación social de la salud</t>
  </si>
  <si>
    <t>20/09/2024</t>
  </si>
  <si>
    <t>Director de tesis</t>
  </si>
  <si>
    <t>SOCIOLOGIA II</t>
  </si>
  <si>
    <t>No hay ingresos en el año 2024</t>
  </si>
  <si>
    <t>U036</t>
  </si>
  <si>
    <t>Administración Facultad de Ciencias Económicas</t>
  </si>
  <si>
    <t>DOCTORADO EN EMPRESA, ECONOMÍA Y SOCIEDAD</t>
  </si>
  <si>
    <t>Frau Marhuenda, Carlos</t>
  </si>
  <si>
    <t>Estrategias metodológicas de desarrollo local basadas en la innovación social en entornos rurales en proceso
de despoblamiento. Un estudio de caso</t>
  </si>
  <si>
    <t>08/09/2025</t>
  </si>
  <si>
    <t>Sociología II</t>
  </si>
  <si>
    <t>U073</t>
  </si>
  <si>
    <t>Instituto Universitario Investigación de Estudios de Género (10.23)</t>
  </si>
  <si>
    <t>DOCTORADO EN ESTUDIOS INTERDISCIPLINARES DE GÉNERO</t>
  </si>
  <si>
    <t>Cerdán Torregrosa, Ariadna del Pilar</t>
  </si>
  <si>
    <t>Masculinidades, orientaciones sexuales y violencia de género: análisis de discursos y estrategias para la igualdad</t>
  </si>
  <si>
    <t>07/11/2024</t>
  </si>
  <si>
    <t>Codirector de tesis</t>
  </si>
  <si>
    <t>2020</t>
  </si>
  <si>
    <t>2021</t>
  </si>
  <si>
    <t>2022</t>
  </si>
  <si>
    <t>2023</t>
  </si>
  <si>
    <t>2024</t>
  </si>
  <si>
    <t>2025</t>
  </si>
  <si>
    <t>Ullan De la Rosa, Francisco Javier</t>
  </si>
  <si>
    <t>10.25</t>
  </si>
  <si>
    <t>30</t>
  </si>
  <si>
    <t>González Río, María José</t>
  </si>
  <si>
    <t>14074582P</t>
  </si>
  <si>
    <t>Osorio Rauld, Nelson Alejandro</t>
  </si>
  <si>
    <t>50</t>
  </si>
  <si>
    <t>21431239T</t>
  </si>
  <si>
    <t>Martínez Verdú, Remedios</t>
  </si>
  <si>
    <t>Bas Amorós, José Enrique</t>
  </si>
  <si>
    <t>Santacreu Fernández, Óscar Antonio</t>
  </si>
  <si>
    <t>Espinar Ruiz, Eva</t>
  </si>
  <si>
    <t>Francés García, Francisco José</t>
  </si>
  <si>
    <t>Catala Oltra, Luis</t>
  </si>
  <si>
    <t>Martínez Gras, Rodolfo</t>
  </si>
  <si>
    <t>La Parra Casado, Daniel</t>
  </si>
  <si>
    <t>Org. aplic.</t>
  </si>
  <si>
    <t>Imp. aplic.</t>
  </si>
  <si>
    <t>36.10.6C.00.23</t>
  </si>
  <si>
    <t>Investigación sistematizada sobre la situación actual de la vivienda, sus problemáticas y las dificultades en el acceso a la misma de la población de la Comunidad Valenciana.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</si>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</sst>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56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166" fontId="2" fillId="4" borderId="2" xfId="1" applyNumberFormat="1" applyFill="1" applyBorder="1"/>
    <xf numFmtId="0" fontId="2" fillId="0" borderId="1" xfId="0" applyFont="1" applyBorder="1"/>
    <xf numFmtId="0" fontId="2" fillId="2" borderId="0" xfId="1" applyFill="1"/>
    <xf numFmtId="0" fontId="2" fillId="2" borderId="0" xfId="1" applyFill="1" applyAlignment="1">
      <alignment horizontal="right"/>
    </xf>
    <xf numFmtId="0" fontId="9" fillId="7" borderId="4" xfId="0" applyFont="1" applyFill="1" applyBorder="1"/>
    <xf numFmtId="43" fontId="6" fillId="7" borderId="4" xfId="6" applyNumberFormat="1" applyFont="1" applyFill="1" applyBorder="1"/>
    <xf numFmtId="0" fontId="9" fillId="0" borderId="4" xfId="0" applyFont="1" applyBorder="1"/>
    <xf numFmtId="43" fontId="6" fillId="0" borderId="4" xfId="6" applyNumberFormat="1" applyFon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13" fillId="8" borderId="0" xfId="0" applyFont="1" applyFill="1"/>
    <xf numFmtId="165" fontId="3" fillId="2" borderId="0" xfId="1" applyNumberFormat="1" applyFont="1" applyFill="1"/>
    <xf numFmtId="0" fontId="11" fillId="6" borderId="5" xfId="0" applyFont="1" applyFill="1" applyBorder="1"/>
    <xf numFmtId="0" fontId="9" fillId="7" borderId="6" xfId="0" applyFont="1" applyFill="1" applyBorder="1"/>
    <xf numFmtId="43" fontId="6" fillId="7" borderId="6" xfId="6" applyNumberFormat="1" applyFont="1" applyFill="1" applyBorder="1"/>
    <xf numFmtId="0" fontId="9" fillId="9" borderId="6" xfId="0" applyFont="1" applyFill="1" applyBorder="1"/>
    <xf numFmtId="43" fontId="6" fillId="9" borderId="6" xfId="0" applyNumberFormat="1" applyFont="1" applyFill="1" applyBorder="1"/>
    <xf numFmtId="0" fontId="0" fillId="10" borderId="0" xfId="0" applyFill="1"/>
    <xf numFmtId="0" fontId="13" fillId="0" borderId="1" xfId="0" applyFont="1" applyBorder="1"/>
    <xf numFmtId="164" fontId="13" fillId="0" borderId="1" xfId="6" applyFont="1" applyBorder="1"/>
    <xf numFmtId="0" fontId="11" fillId="11" borderId="7" xfId="0" applyFont="1" applyFill="1" applyBorder="1"/>
    <xf numFmtId="0" fontId="11" fillId="11" borderId="8" xfId="0" applyFont="1" applyFill="1" applyBorder="1"/>
    <xf numFmtId="0" fontId="9" fillId="12" borderId="7" xfId="0" applyFont="1" applyFill="1" applyBorder="1"/>
    <xf numFmtId="0" fontId="9" fillId="12" borderId="8" xfId="0" applyFont="1" applyFill="1" applyBorder="1"/>
    <xf numFmtId="164" fontId="9" fillId="12" borderId="8" xfId="6" applyFont="1" applyFill="1" applyBorder="1"/>
    <xf numFmtId="0" fontId="12" fillId="0" borderId="9" xfId="0" applyFont="1" applyBorder="1"/>
    <xf numFmtId="0" fontId="12" fillId="0" borderId="10" xfId="0" applyFont="1" applyBorder="1"/>
    <xf numFmtId="164" fontId="12" fillId="0" borderId="10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07E8FD-B044-4D72-9722-40DE5843B9A6}" name="Tabla2" displayName="Tabla2" ref="A1:C9" totalsRowCount="1" headerRowDxfId="10" totalsRowDxfId="7" headerRowBorderDxfId="9" tableBorderDxfId="8" totalsRowBorderDxfId="6">
  <autoFilter ref="A1:C8" xr:uid="{FA3754D4-879C-49AE-8575-24D0AB27EBC5}"/>
  <tableColumns count="3">
    <tableColumn id="1" xr3:uid="{E636E740-597B-46A3-BE68-5F443A782506}" name="Cód. org. aplic." totalsRowLabel="Total" dataDxfId="5" totalsRowDxfId="4"/>
    <tableColumn id="2" xr3:uid="{B6BAC6C6-E0D2-4C5B-8FD0-06AC4856F79C}" name="Descripción justificante" dataDxfId="3" totalsRowDxfId="2"/>
    <tableColumn id="3" xr3:uid="{99EA47D2-FE47-4048-A684-00ACDFC63964}" name="Imp.cob.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26</v>
      </c>
      <c r="B2" s="20" t="s">
        <v>27</v>
      </c>
      <c r="C2" s="20" t="s">
        <v>28</v>
      </c>
      <c r="D2" s="20" t="s">
        <v>57</v>
      </c>
      <c r="E2" s="20" t="s">
        <v>58</v>
      </c>
      <c r="F2" s="20" t="s">
        <v>59</v>
      </c>
      <c r="G2" s="20" t="s">
        <v>37</v>
      </c>
      <c r="H2" s="20" t="s">
        <v>24</v>
      </c>
      <c r="I2" s="20" t="s">
        <v>30</v>
      </c>
      <c r="J2" s="20" t="s">
        <v>31</v>
      </c>
      <c r="K2" s="26">
        <v>1</v>
      </c>
      <c r="L2" s="20" t="s">
        <v>34</v>
      </c>
      <c r="M2" s="20">
        <v>2019</v>
      </c>
      <c r="N2" s="20" t="s">
        <v>32</v>
      </c>
      <c r="O2" s="21" t="s">
        <v>25</v>
      </c>
      <c r="P2" s="20" t="s">
        <v>23</v>
      </c>
      <c r="Q2" s="21" t="s">
        <v>23</v>
      </c>
      <c r="R2" s="22">
        <v>90</v>
      </c>
      <c r="S2" s="23">
        <v>0.9</v>
      </c>
      <c r="T2" s="23">
        <v>0.1</v>
      </c>
      <c r="U2" s="23">
        <v>0</v>
      </c>
    </row>
    <row r="3" spans="1:21" x14ac:dyDescent="0.2">
      <c r="A3" s="18" t="s">
        <v>26</v>
      </c>
      <c r="B3" s="18" t="s">
        <v>27</v>
      </c>
      <c r="C3" s="18" t="s">
        <v>28</v>
      </c>
      <c r="D3" s="18" t="s">
        <v>64</v>
      </c>
      <c r="E3" s="18" t="s">
        <v>65</v>
      </c>
      <c r="F3" s="18" t="s">
        <v>66</v>
      </c>
      <c r="G3" s="18" t="s">
        <v>36</v>
      </c>
      <c r="H3" s="18" t="s">
        <v>24</v>
      </c>
      <c r="I3" s="18" t="s">
        <v>30</v>
      </c>
      <c r="J3" s="18" t="s">
        <v>31</v>
      </c>
      <c r="K3" s="24">
        <v>1</v>
      </c>
      <c r="L3" s="24" t="s">
        <v>34</v>
      </c>
      <c r="M3" s="25">
        <v>2019</v>
      </c>
      <c r="N3" s="18" t="s">
        <v>32</v>
      </c>
      <c r="O3" s="19">
        <v>80</v>
      </c>
      <c r="P3" s="18" t="s">
        <v>23</v>
      </c>
      <c r="Q3" s="19">
        <v>0</v>
      </c>
      <c r="R3" s="18">
        <v>20</v>
      </c>
      <c r="S3" s="18">
        <v>0.2</v>
      </c>
      <c r="T3" s="18">
        <v>0.8</v>
      </c>
      <c r="U3" s="18">
        <v>0</v>
      </c>
    </row>
    <row r="4" spans="1:21" x14ac:dyDescent="0.2">
      <c r="A4" s="18" t="s">
        <v>26</v>
      </c>
      <c r="B4" s="18" t="s">
        <v>27</v>
      </c>
      <c r="C4" s="18" t="s">
        <v>28</v>
      </c>
      <c r="D4" s="18" t="s">
        <v>67</v>
      </c>
      <c r="E4" s="18" t="s">
        <v>68</v>
      </c>
      <c r="F4" s="18" t="s">
        <v>69</v>
      </c>
      <c r="G4" s="18" t="s">
        <v>36</v>
      </c>
      <c r="H4" s="18" t="s">
        <v>22</v>
      </c>
      <c r="I4" s="18" t="s">
        <v>30</v>
      </c>
      <c r="J4" s="18" t="s">
        <v>31</v>
      </c>
      <c r="K4" s="24">
        <v>0.5</v>
      </c>
      <c r="L4" s="24" t="s">
        <v>34</v>
      </c>
      <c r="M4" s="25">
        <v>2019</v>
      </c>
      <c r="N4" s="18" t="s">
        <v>32</v>
      </c>
      <c r="O4" s="19">
        <v>80</v>
      </c>
      <c r="P4" s="18" t="s">
        <v>23</v>
      </c>
      <c r="Q4" s="19">
        <v>0</v>
      </c>
      <c r="R4" s="18">
        <v>20</v>
      </c>
      <c r="S4" s="18">
        <v>0.1</v>
      </c>
      <c r="T4" s="18">
        <v>0.4</v>
      </c>
      <c r="U4" s="18">
        <v>0</v>
      </c>
    </row>
    <row r="5" spans="1:21" x14ac:dyDescent="0.2">
      <c r="A5" s="18" t="s">
        <v>26</v>
      </c>
      <c r="B5" s="18" t="s">
        <v>27</v>
      </c>
      <c r="C5" s="18" t="s">
        <v>28</v>
      </c>
      <c r="D5" s="18" t="s">
        <v>67</v>
      </c>
      <c r="E5" s="18" t="s">
        <v>68</v>
      </c>
      <c r="F5" s="18" t="s">
        <v>69</v>
      </c>
      <c r="G5" s="18" t="s">
        <v>79</v>
      </c>
      <c r="H5" s="18" t="s">
        <v>22</v>
      </c>
      <c r="I5" s="18" t="s">
        <v>30</v>
      </c>
      <c r="J5" s="18" t="s">
        <v>31</v>
      </c>
      <c r="K5" s="24">
        <v>0.5</v>
      </c>
      <c r="L5" s="24" t="s">
        <v>34</v>
      </c>
      <c r="M5" s="25">
        <v>2019</v>
      </c>
      <c r="N5" s="18" t="s">
        <v>23</v>
      </c>
      <c r="O5" s="19" t="s">
        <v>23</v>
      </c>
      <c r="P5" s="18" t="s">
        <v>23</v>
      </c>
      <c r="Q5" s="19" t="s">
        <v>23</v>
      </c>
      <c r="R5" s="18">
        <v>100</v>
      </c>
      <c r="S5" s="18">
        <v>0.5</v>
      </c>
      <c r="T5" s="18">
        <v>0</v>
      </c>
      <c r="U5" s="18">
        <v>0</v>
      </c>
    </row>
    <row r="6" spans="1:21" x14ac:dyDescent="0.2">
      <c r="A6" s="18" t="s">
        <v>70</v>
      </c>
      <c r="B6" s="18" t="s">
        <v>71</v>
      </c>
      <c r="C6" s="18" t="s">
        <v>72</v>
      </c>
      <c r="D6" s="18" t="s">
        <v>80</v>
      </c>
      <c r="E6" s="18" t="s">
        <v>73</v>
      </c>
      <c r="F6" s="18" t="s">
        <v>74</v>
      </c>
      <c r="G6" s="18" t="s">
        <v>75</v>
      </c>
      <c r="H6" s="18" t="s">
        <v>22</v>
      </c>
      <c r="I6" s="18" t="s">
        <v>30</v>
      </c>
      <c r="J6" s="18" t="s">
        <v>31</v>
      </c>
      <c r="K6" s="24">
        <v>0.5</v>
      </c>
      <c r="L6" s="24" t="s">
        <v>34</v>
      </c>
      <c r="M6" s="18">
        <v>2020</v>
      </c>
      <c r="N6" s="18" t="s">
        <v>23</v>
      </c>
      <c r="O6" s="19" t="s">
        <v>23</v>
      </c>
      <c r="P6" s="18" t="s">
        <v>23</v>
      </c>
      <c r="Q6" s="19" t="s">
        <v>23</v>
      </c>
      <c r="R6" s="18">
        <v>100</v>
      </c>
      <c r="S6" s="18">
        <v>0.5</v>
      </c>
      <c r="T6" s="18">
        <v>0</v>
      </c>
      <c r="U6" s="18">
        <v>0</v>
      </c>
    </row>
    <row r="7" spans="1:21" x14ac:dyDescent="0.2">
      <c r="A7" s="18" t="s">
        <v>81</v>
      </c>
      <c r="B7" s="18" t="s">
        <v>82</v>
      </c>
      <c r="C7" s="18" t="s">
        <v>83</v>
      </c>
      <c r="D7" s="18" t="s">
        <v>84</v>
      </c>
      <c r="E7" s="18" t="s">
        <v>85</v>
      </c>
      <c r="F7" s="18" t="s">
        <v>86</v>
      </c>
      <c r="G7" s="18" t="s">
        <v>35</v>
      </c>
      <c r="H7" s="18" t="s">
        <v>22</v>
      </c>
      <c r="I7" s="18" t="s">
        <v>30</v>
      </c>
      <c r="J7" s="18" t="s">
        <v>31</v>
      </c>
      <c r="K7" s="24">
        <v>0.5</v>
      </c>
      <c r="L7" s="24" t="s">
        <v>34</v>
      </c>
      <c r="M7" s="18">
        <v>2021</v>
      </c>
      <c r="N7" s="18" t="s">
        <v>32</v>
      </c>
      <c r="O7" s="19">
        <v>10</v>
      </c>
      <c r="P7" s="18" t="s">
        <v>23</v>
      </c>
      <c r="Q7" s="19">
        <v>0</v>
      </c>
      <c r="R7" s="18">
        <v>90</v>
      </c>
      <c r="S7" s="18">
        <v>0.45</v>
      </c>
      <c r="T7" s="18">
        <v>0.05</v>
      </c>
      <c r="U7" s="18">
        <v>0</v>
      </c>
    </row>
    <row r="8" spans="1:21" x14ac:dyDescent="0.2">
      <c r="A8" s="18" t="s">
        <v>26</v>
      </c>
      <c r="B8" s="18" t="s">
        <v>27</v>
      </c>
      <c r="C8" s="18" t="s">
        <v>28</v>
      </c>
      <c r="D8" s="18" t="s">
        <v>89</v>
      </c>
      <c r="E8" s="18" t="s">
        <v>90</v>
      </c>
      <c r="F8" s="18" t="s">
        <v>91</v>
      </c>
      <c r="G8" s="18" t="s">
        <v>92</v>
      </c>
      <c r="H8" s="18" t="s">
        <v>24</v>
      </c>
      <c r="I8" s="18" t="s">
        <v>30</v>
      </c>
      <c r="J8" s="18" t="s">
        <v>31</v>
      </c>
      <c r="K8" s="27">
        <v>1</v>
      </c>
      <c r="L8" s="27" t="s">
        <v>34</v>
      </c>
      <c r="M8" s="18">
        <v>2022</v>
      </c>
      <c r="N8" s="27" t="s">
        <v>33</v>
      </c>
      <c r="O8" s="27">
        <v>10</v>
      </c>
      <c r="P8" s="27" t="s">
        <v>32</v>
      </c>
      <c r="Q8" s="27">
        <v>80</v>
      </c>
      <c r="R8" s="27">
        <v>10</v>
      </c>
      <c r="S8" s="27">
        <v>0.1</v>
      </c>
      <c r="T8" s="27">
        <v>0.1</v>
      </c>
      <c r="U8" s="27">
        <v>0.8</v>
      </c>
    </row>
    <row r="9" spans="1:21" x14ac:dyDescent="0.2">
      <c r="A9" s="18" t="s">
        <v>26</v>
      </c>
      <c r="B9" s="18" t="s">
        <v>27</v>
      </c>
      <c r="C9" s="18" t="s">
        <v>28</v>
      </c>
      <c r="D9" s="18" t="s">
        <v>93</v>
      </c>
      <c r="E9" s="18" t="s">
        <v>94</v>
      </c>
      <c r="F9" s="18" t="s">
        <v>95</v>
      </c>
      <c r="G9" s="18" t="s">
        <v>96</v>
      </c>
      <c r="H9" s="18" t="s">
        <v>22</v>
      </c>
      <c r="I9" s="18" t="s">
        <v>30</v>
      </c>
      <c r="J9" s="18" t="s">
        <v>31</v>
      </c>
      <c r="K9" s="27">
        <v>0.5</v>
      </c>
      <c r="L9" s="27" t="s">
        <v>34</v>
      </c>
      <c r="M9" s="18">
        <v>2022</v>
      </c>
      <c r="N9" s="27" t="s">
        <v>32</v>
      </c>
      <c r="O9" s="27">
        <v>10</v>
      </c>
      <c r="P9" s="27" t="s">
        <v>23</v>
      </c>
      <c r="Q9" s="27">
        <v>0</v>
      </c>
      <c r="R9" s="27">
        <v>90</v>
      </c>
      <c r="S9" s="27">
        <v>0.45</v>
      </c>
      <c r="T9" s="27">
        <v>0.05</v>
      </c>
      <c r="U9" s="27">
        <v>0</v>
      </c>
    </row>
    <row r="10" spans="1:21" x14ac:dyDescent="0.2">
      <c r="A10" s="18" t="s">
        <v>26</v>
      </c>
      <c r="B10" s="18" t="s">
        <v>27</v>
      </c>
      <c r="C10" s="18" t="s">
        <v>28</v>
      </c>
      <c r="D10" s="18" t="s">
        <v>93</v>
      </c>
      <c r="E10" s="18" t="s">
        <v>94</v>
      </c>
      <c r="F10" s="18" t="s">
        <v>95</v>
      </c>
      <c r="G10" s="18" t="s">
        <v>97</v>
      </c>
      <c r="H10" s="18" t="s">
        <v>22</v>
      </c>
      <c r="I10" s="18" t="s">
        <v>30</v>
      </c>
      <c r="J10" s="18" t="s">
        <v>31</v>
      </c>
      <c r="K10" s="27">
        <v>0.5</v>
      </c>
      <c r="L10" s="27" t="s">
        <v>34</v>
      </c>
      <c r="M10" s="18">
        <v>2022</v>
      </c>
      <c r="N10" s="27" t="s">
        <v>32</v>
      </c>
      <c r="O10" s="27">
        <v>10</v>
      </c>
      <c r="P10" s="27" t="s">
        <v>33</v>
      </c>
      <c r="Q10" s="27">
        <v>10</v>
      </c>
      <c r="R10" s="27">
        <v>80</v>
      </c>
      <c r="S10" s="27">
        <v>0.4</v>
      </c>
      <c r="T10" s="27">
        <v>0.05</v>
      </c>
      <c r="U10" s="27">
        <v>0.05</v>
      </c>
    </row>
    <row r="11" spans="1:21" x14ac:dyDescent="0.2">
      <c r="A11" s="18" t="s">
        <v>26</v>
      </c>
      <c r="B11" s="18" t="s">
        <v>27</v>
      </c>
      <c r="C11" s="18" t="s">
        <v>28</v>
      </c>
      <c r="D11" s="18" t="s">
        <v>111</v>
      </c>
      <c r="E11" s="18" t="s">
        <v>112</v>
      </c>
      <c r="F11" s="18" t="s">
        <v>113</v>
      </c>
      <c r="G11" s="18" t="s">
        <v>54</v>
      </c>
      <c r="H11" s="18" t="s">
        <v>114</v>
      </c>
      <c r="I11" s="18" t="s">
        <v>34</v>
      </c>
      <c r="J11" s="18" t="s">
        <v>115</v>
      </c>
      <c r="K11" s="27">
        <v>1</v>
      </c>
      <c r="L11" s="27" t="s">
        <v>34</v>
      </c>
      <c r="M11" s="18">
        <v>2023</v>
      </c>
      <c r="N11" s="27" t="s">
        <v>32</v>
      </c>
      <c r="O11" s="27" t="s">
        <v>110</v>
      </c>
      <c r="P11" s="27" t="s">
        <v>23</v>
      </c>
      <c r="Q11" s="27" t="s">
        <v>23</v>
      </c>
      <c r="R11" s="27">
        <v>10</v>
      </c>
      <c r="S11" s="27">
        <v>0.1</v>
      </c>
      <c r="T11" s="27">
        <v>0.9</v>
      </c>
      <c r="U11" s="27">
        <v>0</v>
      </c>
    </row>
    <row r="12" spans="1:21" x14ac:dyDescent="0.2">
      <c r="A12" s="18" t="s">
        <v>117</v>
      </c>
      <c r="B12" s="18" t="s">
        <v>118</v>
      </c>
      <c r="C12" s="18" t="s">
        <v>119</v>
      </c>
      <c r="D12" s="18" t="s">
        <v>120</v>
      </c>
      <c r="E12" s="18" t="s">
        <v>121</v>
      </c>
      <c r="F12" s="18" t="s">
        <v>122</v>
      </c>
      <c r="G12" s="18" t="s">
        <v>53</v>
      </c>
      <c r="H12" s="18" t="s">
        <v>114</v>
      </c>
      <c r="I12" s="18" t="s">
        <v>34</v>
      </c>
      <c r="J12" s="18" t="s">
        <v>123</v>
      </c>
      <c r="K12" s="27">
        <v>1</v>
      </c>
      <c r="L12" s="27" t="s">
        <v>34</v>
      </c>
      <c r="M12" s="18">
        <v>2024</v>
      </c>
      <c r="N12" s="27" t="s">
        <v>32</v>
      </c>
      <c r="O12" s="27" t="s">
        <v>25</v>
      </c>
      <c r="P12" s="27" t="s">
        <v>23</v>
      </c>
      <c r="Q12" s="27" t="s">
        <v>23</v>
      </c>
      <c r="R12" s="27">
        <v>90</v>
      </c>
      <c r="S12" s="27">
        <v>0.9</v>
      </c>
      <c r="T12" s="27">
        <v>0.1</v>
      </c>
      <c r="U12" s="27">
        <v>0</v>
      </c>
    </row>
    <row r="13" spans="1:21" x14ac:dyDescent="0.2">
      <c r="A13" s="18" t="s">
        <v>124</v>
      </c>
      <c r="B13" s="18" t="s">
        <v>125</v>
      </c>
      <c r="C13" s="18" t="s">
        <v>126</v>
      </c>
      <c r="D13" s="18" t="s">
        <v>127</v>
      </c>
      <c r="E13" s="18" t="s">
        <v>128</v>
      </c>
      <c r="F13" s="18" t="s">
        <v>129</v>
      </c>
      <c r="G13" s="18" t="s">
        <v>54</v>
      </c>
      <c r="H13" s="18" t="s">
        <v>130</v>
      </c>
      <c r="I13" s="18" t="s">
        <v>34</v>
      </c>
      <c r="J13" s="18" t="s">
        <v>123</v>
      </c>
      <c r="K13" s="27">
        <v>0.5</v>
      </c>
      <c r="L13" s="27" t="s">
        <v>34</v>
      </c>
      <c r="M13" s="18">
        <v>2024</v>
      </c>
      <c r="N13" s="27" t="s">
        <v>32</v>
      </c>
      <c r="O13" s="27" t="s">
        <v>110</v>
      </c>
      <c r="P13" s="27" t="s">
        <v>23</v>
      </c>
      <c r="Q13" s="27" t="s">
        <v>23</v>
      </c>
      <c r="R13" s="27">
        <v>10</v>
      </c>
      <c r="S13" s="27">
        <v>0.05</v>
      </c>
      <c r="T13" s="27">
        <v>0.45</v>
      </c>
      <c r="U13" s="27">
        <v>0</v>
      </c>
    </row>
    <row r="14" spans="1:21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28"/>
      <c r="Q14" s="29"/>
      <c r="R14" s="28"/>
      <c r="S14" s="39">
        <f>SUM(S2:S13)</f>
        <v>4.6500000000000004</v>
      </c>
      <c r="T14" s="28"/>
      <c r="U14" s="28"/>
    </row>
  </sheetData>
  <autoFilter ref="A1:U1" xr:uid="{00000000-0009-0000-0000-000000000000}">
    <sortState xmlns:xlrd2="http://schemas.microsoft.com/office/spreadsheetml/2017/richdata2" ref="A2:T1902">
      <sortCondition ref="K3:K1902"/>
      <sortCondition ref="L3:L1902"/>
      <sortCondition ref="D3:D190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"/>
  <sheetViews>
    <sheetView zoomScaleNormal="100" workbookViewId="0">
      <selection activeCell="K19" sqref="K19"/>
    </sheetView>
  </sheetViews>
  <sheetFormatPr baseColWidth="10" defaultColWidth="11.44140625" defaultRowHeight="13.2" x14ac:dyDescent="0.25"/>
  <cols>
    <col min="1" max="1" width="10.33203125" style="11" bestFit="1" customWidth="1"/>
    <col min="2" max="2" width="41.10937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38</v>
      </c>
      <c r="B1" s="13" t="s">
        <v>39</v>
      </c>
      <c r="C1" s="13" t="s">
        <v>40</v>
      </c>
      <c r="D1" s="14" t="s">
        <v>131</v>
      </c>
      <c r="E1" s="14" t="s">
        <v>132</v>
      </c>
      <c r="F1" s="14" t="s">
        <v>133</v>
      </c>
      <c r="G1" s="14" t="s">
        <v>134</v>
      </c>
      <c r="H1" s="14" t="s">
        <v>135</v>
      </c>
      <c r="I1" s="14" t="s">
        <v>136</v>
      </c>
      <c r="J1" s="13" t="s">
        <v>41</v>
      </c>
      <c r="K1" s="15" t="s">
        <v>61</v>
      </c>
      <c r="L1" s="8" t="s">
        <v>42</v>
      </c>
      <c r="M1" s="8" t="s">
        <v>43</v>
      </c>
      <c r="N1" s="8" t="s">
        <v>44</v>
      </c>
      <c r="O1" s="8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11"/>
    </row>
    <row r="2" spans="1:20" ht="14.4" x14ac:dyDescent="0.3">
      <c r="A2" s="16" t="s">
        <v>56</v>
      </c>
      <c r="B2" s="16" t="s">
        <v>137</v>
      </c>
      <c r="C2" s="16" t="s">
        <v>50</v>
      </c>
      <c r="D2" s="16"/>
      <c r="E2" s="16">
        <v>1</v>
      </c>
      <c r="F2" s="16"/>
      <c r="G2" s="16"/>
      <c r="H2" s="16"/>
      <c r="I2" s="16"/>
      <c r="J2" s="16">
        <v>1</v>
      </c>
      <c r="K2" s="16" t="s">
        <v>34</v>
      </c>
      <c r="L2" s="17" t="s">
        <v>138</v>
      </c>
      <c r="M2" s="17" t="s">
        <v>139</v>
      </c>
      <c r="N2" s="17" t="s">
        <v>23</v>
      </c>
      <c r="O2" s="17" t="s">
        <v>23</v>
      </c>
      <c r="P2" s="17">
        <v>70</v>
      </c>
      <c r="Q2" s="17">
        <v>0.3</v>
      </c>
      <c r="R2" s="17">
        <v>0</v>
      </c>
      <c r="S2" s="17">
        <v>0.7</v>
      </c>
    </row>
    <row r="3" spans="1:20" ht="14.4" x14ac:dyDescent="0.3">
      <c r="A3" s="16" t="s">
        <v>60</v>
      </c>
      <c r="B3" s="16" t="s">
        <v>140</v>
      </c>
      <c r="C3" s="16" t="s">
        <v>50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34</v>
      </c>
      <c r="L3" s="17">
        <v>0</v>
      </c>
      <c r="M3" s="17">
        <v>0</v>
      </c>
      <c r="N3" s="17" t="s">
        <v>23</v>
      </c>
      <c r="O3" s="17" t="s">
        <v>23</v>
      </c>
      <c r="P3" s="17">
        <v>100</v>
      </c>
      <c r="Q3" s="17">
        <v>0</v>
      </c>
      <c r="R3" s="17">
        <v>0</v>
      </c>
      <c r="S3" s="17">
        <v>1</v>
      </c>
    </row>
    <row r="4" spans="1:20" ht="14.4" x14ac:dyDescent="0.3">
      <c r="A4" s="16" t="s">
        <v>141</v>
      </c>
      <c r="B4" s="16" t="s">
        <v>142</v>
      </c>
      <c r="C4" s="16" t="s">
        <v>63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34</v>
      </c>
      <c r="L4" s="17" t="s">
        <v>32</v>
      </c>
      <c r="M4" s="17" t="s">
        <v>143</v>
      </c>
      <c r="N4" s="17" t="s">
        <v>138</v>
      </c>
      <c r="O4" s="17" t="s">
        <v>139</v>
      </c>
      <c r="P4" s="17">
        <v>20</v>
      </c>
      <c r="Q4" s="17">
        <v>0.5</v>
      </c>
      <c r="R4" s="17">
        <v>0.3</v>
      </c>
      <c r="S4" s="17">
        <v>0.2</v>
      </c>
    </row>
    <row r="5" spans="1:20" ht="14.4" x14ac:dyDescent="0.3">
      <c r="A5" s="16" t="s">
        <v>144</v>
      </c>
      <c r="B5" s="16" t="s">
        <v>145</v>
      </c>
      <c r="C5" s="16" t="s">
        <v>63</v>
      </c>
      <c r="D5" s="16"/>
      <c r="E5" s="16"/>
      <c r="F5" s="16"/>
      <c r="G5" s="16"/>
      <c r="H5" s="16"/>
      <c r="I5" s="16">
        <v>1</v>
      </c>
      <c r="J5" s="16">
        <v>1</v>
      </c>
      <c r="K5" s="16" t="s">
        <v>34</v>
      </c>
      <c r="L5" s="17">
        <v>0</v>
      </c>
      <c r="M5" s="17">
        <v>0</v>
      </c>
      <c r="N5" s="17" t="s">
        <v>23</v>
      </c>
      <c r="O5" s="17" t="s">
        <v>23</v>
      </c>
      <c r="P5" s="17">
        <v>100</v>
      </c>
      <c r="Q5" s="17">
        <v>0</v>
      </c>
      <c r="R5" s="17">
        <v>0</v>
      </c>
      <c r="S5" s="17">
        <v>1</v>
      </c>
    </row>
    <row r="6" spans="1:20" ht="14.4" x14ac:dyDescent="0.3">
      <c r="A6" s="16" t="s">
        <v>51</v>
      </c>
      <c r="B6" s="16" t="s">
        <v>146</v>
      </c>
      <c r="C6" s="16" t="s">
        <v>108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34</v>
      </c>
      <c r="L6" s="17">
        <v>0</v>
      </c>
      <c r="M6" s="17">
        <v>0</v>
      </c>
      <c r="N6" s="17" t="s">
        <v>23</v>
      </c>
      <c r="O6" s="17" t="s">
        <v>23</v>
      </c>
      <c r="P6" s="17">
        <v>100</v>
      </c>
      <c r="Q6" s="17">
        <v>0</v>
      </c>
      <c r="R6" s="17">
        <v>0</v>
      </c>
      <c r="S6" s="17">
        <v>1</v>
      </c>
    </row>
    <row r="7" spans="1:20" ht="14.4" x14ac:dyDescent="0.3">
      <c r="A7" s="16" t="s">
        <v>55</v>
      </c>
      <c r="B7" s="16" t="s">
        <v>147</v>
      </c>
      <c r="C7" s="35" t="s">
        <v>50</v>
      </c>
      <c r="D7" s="16"/>
      <c r="E7" s="16"/>
      <c r="F7" s="16"/>
      <c r="G7" s="16"/>
      <c r="H7" s="16">
        <v>1</v>
      </c>
      <c r="I7" s="16"/>
      <c r="J7" s="16">
        <v>1</v>
      </c>
      <c r="K7" s="16" t="s">
        <v>34</v>
      </c>
      <c r="L7" s="17" t="s">
        <v>32</v>
      </c>
      <c r="M7" s="17" t="s">
        <v>25</v>
      </c>
      <c r="N7" s="17" t="s">
        <v>23</v>
      </c>
      <c r="O7" s="17" t="s">
        <v>23</v>
      </c>
      <c r="P7" s="17">
        <v>90</v>
      </c>
      <c r="Q7" s="17">
        <v>0.1</v>
      </c>
      <c r="R7" s="17">
        <v>0</v>
      </c>
      <c r="S7" s="17">
        <v>0.9</v>
      </c>
    </row>
    <row r="8" spans="1:20" ht="14.4" x14ac:dyDescent="0.3">
      <c r="A8" s="16" t="s">
        <v>52</v>
      </c>
      <c r="B8" s="16" t="s">
        <v>148</v>
      </c>
      <c r="C8" s="16" t="s">
        <v>50</v>
      </c>
      <c r="D8" s="16"/>
      <c r="E8" s="16"/>
      <c r="F8" s="16"/>
      <c r="G8" s="16"/>
      <c r="H8" s="16">
        <v>1</v>
      </c>
      <c r="I8" s="16"/>
      <c r="J8" s="16">
        <v>1</v>
      </c>
      <c r="K8" s="16" t="s">
        <v>34</v>
      </c>
      <c r="L8" s="17" t="s">
        <v>29</v>
      </c>
      <c r="M8" s="17" t="s">
        <v>109</v>
      </c>
      <c r="N8" s="17" t="s">
        <v>32</v>
      </c>
      <c r="O8" s="17" t="s">
        <v>109</v>
      </c>
      <c r="P8" s="17">
        <v>60</v>
      </c>
      <c r="Q8" s="17">
        <v>0.2</v>
      </c>
      <c r="R8" s="17">
        <v>0.2</v>
      </c>
      <c r="S8" s="17">
        <v>0.6</v>
      </c>
    </row>
    <row r="9" spans="1:20" ht="14.4" x14ac:dyDescent="0.3">
      <c r="A9" s="16" t="s">
        <v>53</v>
      </c>
      <c r="B9" s="16" t="s">
        <v>149</v>
      </c>
      <c r="C9" s="16" t="s">
        <v>50</v>
      </c>
      <c r="D9" s="16"/>
      <c r="E9" s="16"/>
      <c r="F9" s="16"/>
      <c r="G9" s="16">
        <v>1</v>
      </c>
      <c r="H9" s="16"/>
      <c r="I9" s="16"/>
      <c r="J9" s="16">
        <v>1</v>
      </c>
      <c r="K9" s="16" t="s">
        <v>34</v>
      </c>
      <c r="L9" s="17" t="s">
        <v>32</v>
      </c>
      <c r="M9" s="17" t="s">
        <v>25</v>
      </c>
      <c r="N9" s="17" t="s">
        <v>23</v>
      </c>
      <c r="O9" s="17" t="s">
        <v>23</v>
      </c>
      <c r="P9" s="17">
        <v>90</v>
      </c>
      <c r="Q9" s="17">
        <v>0.1</v>
      </c>
      <c r="R9" s="17">
        <v>0</v>
      </c>
      <c r="S9" s="17">
        <v>0.9</v>
      </c>
    </row>
    <row r="10" spans="1:20" ht="14.4" x14ac:dyDescent="0.3">
      <c r="A10" s="16" t="s">
        <v>87</v>
      </c>
      <c r="B10" s="16" t="s">
        <v>150</v>
      </c>
      <c r="C10" s="16" t="s">
        <v>50</v>
      </c>
      <c r="D10" s="16"/>
      <c r="E10" s="16"/>
      <c r="F10" s="16"/>
      <c r="G10" s="16">
        <v>2</v>
      </c>
      <c r="H10" s="16"/>
      <c r="I10" s="16"/>
      <c r="J10" s="16">
        <v>2</v>
      </c>
      <c r="K10" s="16" t="s">
        <v>34</v>
      </c>
      <c r="L10" s="17" t="s">
        <v>32</v>
      </c>
      <c r="M10" s="17" t="s">
        <v>25</v>
      </c>
      <c r="N10" s="17" t="s">
        <v>23</v>
      </c>
      <c r="O10" s="17" t="s">
        <v>23</v>
      </c>
      <c r="P10" s="17">
        <v>90</v>
      </c>
      <c r="Q10" s="17">
        <v>0.2</v>
      </c>
      <c r="R10" s="17">
        <v>0</v>
      </c>
      <c r="S10" s="17">
        <v>1.8</v>
      </c>
    </row>
    <row r="11" spans="1:20" ht="14.4" x14ac:dyDescent="0.3">
      <c r="A11" s="16" t="s">
        <v>62</v>
      </c>
      <c r="B11" s="16" t="s">
        <v>151</v>
      </c>
      <c r="C11" s="16" t="s">
        <v>63</v>
      </c>
      <c r="D11" s="16"/>
      <c r="E11" s="16"/>
      <c r="F11" s="16"/>
      <c r="G11" s="16"/>
      <c r="H11" s="16"/>
      <c r="I11" s="16">
        <v>1</v>
      </c>
      <c r="J11" s="16">
        <v>1</v>
      </c>
      <c r="K11" s="16" t="s">
        <v>34</v>
      </c>
      <c r="L11" s="17" t="s">
        <v>32</v>
      </c>
      <c r="M11" s="17" t="s">
        <v>25</v>
      </c>
      <c r="N11" s="17" t="s">
        <v>23</v>
      </c>
      <c r="O11" s="17" t="s">
        <v>23</v>
      </c>
      <c r="P11" s="17">
        <v>90</v>
      </c>
      <c r="Q11" s="17">
        <v>0.1</v>
      </c>
      <c r="R11" s="17">
        <v>0</v>
      </c>
      <c r="S11" s="17">
        <v>0.9</v>
      </c>
    </row>
    <row r="12" spans="1:20" ht="14.4" x14ac:dyDescent="0.3">
      <c r="A12" s="16" t="s">
        <v>54</v>
      </c>
      <c r="B12" s="16" t="s">
        <v>152</v>
      </c>
      <c r="C12" s="16" t="s">
        <v>50</v>
      </c>
      <c r="D12" s="16"/>
      <c r="E12" s="16"/>
      <c r="F12" s="16"/>
      <c r="G12" s="16">
        <v>1</v>
      </c>
      <c r="H12" s="16"/>
      <c r="I12" s="16"/>
      <c r="J12" s="16">
        <v>1</v>
      </c>
      <c r="K12" s="16" t="s">
        <v>34</v>
      </c>
      <c r="L12" s="17" t="s">
        <v>32</v>
      </c>
      <c r="M12" s="17" t="s">
        <v>110</v>
      </c>
      <c r="N12" s="17" t="s">
        <v>23</v>
      </c>
      <c r="O12" s="17" t="s">
        <v>23</v>
      </c>
      <c r="P12" s="17">
        <v>10</v>
      </c>
      <c r="Q12" s="17">
        <v>0.9</v>
      </c>
      <c r="R12" s="17">
        <v>0</v>
      </c>
      <c r="S12" s="17">
        <v>0.1</v>
      </c>
    </row>
    <row r="13" spans="1:20" ht="14.4" x14ac:dyDescent="0.3">
      <c r="A13" s="36"/>
      <c r="B13" s="36"/>
      <c r="C13" s="37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8">
        <f>SUM(S2:S12)</f>
        <v>9.1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380-075D-4534-8DE2-8549336FED1A}">
  <dimension ref="A1:C10"/>
  <sheetViews>
    <sheetView workbookViewId="0">
      <selection activeCell="B17" sqref="B17"/>
    </sheetView>
  </sheetViews>
  <sheetFormatPr baseColWidth="10" defaultRowHeight="14.4" x14ac:dyDescent="0.3"/>
  <cols>
    <col min="1" max="1" width="17" customWidth="1"/>
    <col min="2" max="2" width="92.44140625" customWidth="1"/>
    <col min="3" max="3" width="16" customWidth="1"/>
  </cols>
  <sheetData>
    <row r="1" spans="1:3" x14ac:dyDescent="0.3">
      <c r="A1" s="40" t="s">
        <v>77</v>
      </c>
      <c r="B1" s="40" t="s">
        <v>78</v>
      </c>
      <c r="C1" s="40" t="s">
        <v>88</v>
      </c>
    </row>
    <row r="2" spans="1:3" x14ac:dyDescent="0.3">
      <c r="A2" s="30" t="s">
        <v>98</v>
      </c>
      <c r="B2" s="30" t="s">
        <v>99</v>
      </c>
      <c r="C2" s="31">
        <v>727.28</v>
      </c>
    </row>
    <row r="3" spans="1:3" x14ac:dyDescent="0.3">
      <c r="A3" s="32" t="s">
        <v>98</v>
      </c>
      <c r="B3" s="32" t="s">
        <v>100</v>
      </c>
      <c r="C3" s="33">
        <v>5272.73</v>
      </c>
    </row>
    <row r="4" spans="1:3" x14ac:dyDescent="0.3">
      <c r="A4" s="30" t="s">
        <v>101</v>
      </c>
      <c r="B4" s="30" t="s">
        <v>102</v>
      </c>
      <c r="C4" s="31">
        <v>968</v>
      </c>
    </row>
    <row r="5" spans="1:3" x14ac:dyDescent="0.3">
      <c r="A5" s="32" t="s">
        <v>103</v>
      </c>
      <c r="B5" s="32" t="s">
        <v>104</v>
      </c>
      <c r="C5" s="33">
        <v>2200</v>
      </c>
    </row>
    <row r="6" spans="1:3" x14ac:dyDescent="0.3">
      <c r="A6" s="30" t="s">
        <v>103</v>
      </c>
      <c r="B6" s="30" t="s">
        <v>105</v>
      </c>
      <c r="C6" s="31">
        <v>2200</v>
      </c>
    </row>
    <row r="7" spans="1:3" x14ac:dyDescent="0.3">
      <c r="A7" s="32" t="s">
        <v>76</v>
      </c>
      <c r="B7" s="32" t="s">
        <v>106</v>
      </c>
      <c r="C7" s="33">
        <v>9000</v>
      </c>
    </row>
    <row r="8" spans="1:3" x14ac:dyDescent="0.3">
      <c r="A8" s="41" t="s">
        <v>76</v>
      </c>
      <c r="B8" s="41" t="s">
        <v>107</v>
      </c>
      <c r="C8" s="42">
        <v>18522.03</v>
      </c>
    </row>
    <row r="9" spans="1:3" s="45" customFormat="1" x14ac:dyDescent="0.3">
      <c r="A9" s="43" t="s">
        <v>0</v>
      </c>
      <c r="B9" s="43"/>
      <c r="C9" s="44">
        <f>SUBTOTAL(109,Tabla2[Imp.cob.aplic.])</f>
        <v>38890.039999999994</v>
      </c>
    </row>
    <row r="10" spans="1:3" x14ac:dyDescent="0.3">
      <c r="C10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746C-3B96-4D78-B9CC-5855776931A0}">
  <dimension ref="B1"/>
  <sheetViews>
    <sheetView workbookViewId="0">
      <selection activeCell="B5" sqref="B5:C5"/>
    </sheetView>
  </sheetViews>
  <sheetFormatPr baseColWidth="10" defaultRowHeight="14.4" x14ac:dyDescent="0.3"/>
  <cols>
    <col min="2" max="2" width="53" customWidth="1"/>
    <col min="3" max="3" width="12" bestFit="1" customWidth="1"/>
  </cols>
  <sheetData>
    <row r="1" spans="2:2" x14ac:dyDescent="0.3">
      <c r="B1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7254-C6A6-49D8-BAA9-6F1E5CA42356}">
  <dimension ref="A1:C6"/>
  <sheetViews>
    <sheetView tabSelected="1" workbookViewId="0">
      <selection activeCell="B15" sqref="B15"/>
    </sheetView>
  </sheetViews>
  <sheetFormatPr baseColWidth="10" defaultRowHeight="14.4" x14ac:dyDescent="0.3"/>
  <cols>
    <col min="1" max="1" width="17.33203125" customWidth="1"/>
    <col min="2" max="2" width="52.77734375" customWidth="1"/>
    <col min="3" max="3" width="11.88671875" bestFit="1" customWidth="1"/>
  </cols>
  <sheetData>
    <row r="1" spans="1:3" x14ac:dyDescent="0.3">
      <c r="A1" s="48" t="s">
        <v>153</v>
      </c>
      <c r="B1" s="49" t="s">
        <v>78</v>
      </c>
      <c r="C1" s="49" t="s">
        <v>154</v>
      </c>
    </row>
    <row r="2" spans="1:3" ht="15" thickBot="1" x14ac:dyDescent="0.35">
      <c r="A2" s="50" t="s">
        <v>155</v>
      </c>
      <c r="B2" s="51" t="s">
        <v>156</v>
      </c>
      <c r="C2" s="52">
        <v>363.63</v>
      </c>
    </row>
    <row r="3" spans="1:3" ht="15" thickTop="1" x14ac:dyDescent="0.3">
      <c r="A3" s="53" t="s">
        <v>0</v>
      </c>
      <c r="B3" s="54"/>
      <c r="C3" s="55">
        <v>363.63</v>
      </c>
    </row>
    <row r="6" spans="1:3" x14ac:dyDescent="0.3">
      <c r="B6" s="46" t="s">
        <v>157</v>
      </c>
      <c r="C6" s="47">
        <f>C3+Tabla2[[#Totals],[Imp.cob.aplic.]]</f>
        <v>39253.669999999991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2026-05-22T11:41:08Z</dcterms:modified>
</cp:coreProperties>
</file>