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nexe.ua.es/remote.php/dav/files/mayte.pujalte@ua.es/_Unidad_Presupuestos/2_PRESUPUESTACIÓN/Presupuesto 2027/Datos/D-I/Indicadores provisionales/"/>
    </mc:Choice>
  </mc:AlternateContent>
  <xr:revisionPtr revIDLastSave="0" documentId="13_ncr:1_{49FFD930-4EEE-483B-82A8-AB081D454212}" xr6:coauthVersionLast="47" xr6:coauthVersionMax="47" xr10:uidLastSave="{00000000-0000-0000-0000-000000000000}"/>
  <bookViews>
    <workbookView xWindow="-108" yWindow="-108" windowWidth="23256" windowHeight="13896" tabRatio="776" activeTab="4" xr2:uid="{00000000-000D-0000-FFFF-FFFF00000000}"/>
  </bookViews>
  <sheets>
    <sheet name="Tesis" sheetId="10" r:id="rId1"/>
    <sheet name="Sexenios" sheetId="11" r:id="rId2"/>
    <sheet name="Ingresos investigación 2023" sheetId="21" r:id="rId3"/>
    <sheet name="Ingresos investigación 2024" sheetId="22" r:id="rId4"/>
    <sheet name="Ingresos investigación 2025" sheetId="23" r:id="rId5"/>
  </sheets>
  <definedNames>
    <definedName name="_xlnm._FilterDatabase" localSheetId="1" hidden="1">Sexenios!#REF!</definedName>
    <definedName name="_xlnm._FilterDatabase" localSheetId="0" hidden="1">Tesis!$A$1:$U$1</definedName>
    <definedName name="_xlnm.Print_Titles" localSheetId="1">Sexenios!#REF!</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23" l="1"/>
  <c r="S77" i="10"/>
  <c r="C58" i="22" l="1"/>
  <c r="C60" i="21"/>
  <c r="S29" i="11" l="1"/>
</calcChain>
</file>

<file path=xl/sharedStrings.xml><?xml version="1.0" encoding="utf-8"?>
<sst xmlns="http://schemas.openxmlformats.org/spreadsheetml/2006/main" count="1645" uniqueCount="506">
  <si>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</si>
  <si>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</si>
  <si>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</si>
  <si>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</si>
  <si>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</si>
  <si>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</si>
  <si>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</si>
  <si>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</si>
  <si>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</si>
  <si>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</si>
  <si>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</si>
  <si>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</si>
  <si>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</si>
  <si>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</si>
  <si>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</si>
  <si>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</si>
  <si>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</si>
  <si>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</si>
  <si>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</si>
  <si>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</si>
  <si>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</si>
  <si>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</si>
  <si>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</si>
  <si>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</si>
  <si>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</si>
  <si>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</si>
  <si>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10.25</t>
  </si>
  <si>
    <t>20</t>
  </si>
  <si>
    <t>10.19</t>
  </si>
  <si>
    <t>U044 </t>
  </si>
  <si>
    <t>ADM. FACULTAD DE CIENCIAS DE LA SALUD </t>
  </si>
  <si>
    <t>DOCTORADO EN CIENCIAS DE LA SALUD </t>
  </si>
  <si>
    <t>B148 </t>
  </si>
  <si>
    <t>TECNOLOGÍA INFORMÁTICA Y COMPUTACIÓN </t>
  </si>
  <si>
    <t>B148</t>
  </si>
  <si>
    <t>21486541X </t>
  </si>
  <si>
    <t>21964202F </t>
  </si>
  <si>
    <t>52764803C </t>
  </si>
  <si>
    <t>22000675W </t>
  </si>
  <si>
    <t>U062 </t>
  </si>
  <si>
    <t>ADM. I.U. DE INVESTIGACIÓN INFORMÁTICA </t>
  </si>
  <si>
    <t>DOCTORADO EN INFORMÁTICA </t>
  </si>
  <si>
    <t>33489374V </t>
  </si>
  <si>
    <t>50170678L </t>
  </si>
  <si>
    <t>21510176R </t>
  </si>
  <si>
    <t>22135677V </t>
  </si>
  <si>
    <t>29011916S </t>
  </si>
  <si>
    <t>74653004H </t>
  </si>
  <si>
    <t>44752524K </t>
  </si>
  <si>
    <t>NIF</t>
  </si>
  <si>
    <t>NOMBRE_COMPLETO</t>
  </si>
  <si>
    <t>TIPO_SEXENIO</t>
  </si>
  <si>
    <t>Total general</t>
  </si>
  <si>
    <t>INS
1</t>
  </si>
  <si>
    <t>DED
INS 1</t>
  </si>
  <si>
    <t>INS
2</t>
  </si>
  <si>
    <t>DED
INS 2</t>
  </si>
  <si>
    <t>DED
DEP</t>
  </si>
  <si>
    <t>SEX
INS 1</t>
  </si>
  <si>
    <t>SEX
INS 2</t>
  </si>
  <si>
    <t>SEX
DEP</t>
  </si>
  <si>
    <t>FUNCIONARIO</t>
  </si>
  <si>
    <t>52764803C</t>
  </si>
  <si>
    <t>48375795X</t>
  </si>
  <si>
    <t>31251007X</t>
  </si>
  <si>
    <t>09371918Q</t>
  </si>
  <si>
    <t>33476663W</t>
  </si>
  <si>
    <t>21964202F</t>
  </si>
  <si>
    <t>21486541X</t>
  </si>
  <si>
    <t>50170678L</t>
  </si>
  <si>
    <t>50735030C</t>
  </si>
  <si>
    <t>21397854B</t>
  </si>
  <si>
    <t>29011916S</t>
  </si>
  <si>
    <t>21474037H</t>
  </si>
  <si>
    <t>33491634T</t>
  </si>
  <si>
    <t>74653004H</t>
  </si>
  <si>
    <t>33489374V</t>
  </si>
  <si>
    <t>44752524K</t>
  </si>
  <si>
    <t>21510176R</t>
  </si>
  <si>
    <t>33485105A</t>
  </si>
  <si>
    <t>21411855M</t>
  </si>
  <si>
    <t>22135677V</t>
  </si>
  <si>
    <t>16/01/2020 </t>
  </si>
  <si>
    <t>ARQUITECTURA PARA ANALÍTICAS DE DATOS ORIENTADA A LA AYUDA DEL PROCESO DE LA TOMA DE DECISIONES </t>
  </si>
  <si>
    <t>Kauffmann Incer, Erick </t>
  </si>
  <si>
    <t>28/10/2019 </t>
  </si>
  <si>
    <t>DEEP LEARNING FOR 3D PERCEPTION: COMPUTER VISION AND TACTILE SENSING </t>
  </si>
  <si>
    <t>García García, Alberto </t>
  </si>
  <si>
    <t>29/07/2020 </t>
  </si>
  <si>
    <t>NUEVAS TECNOLOGÍAS Y CÁNCER DE MAMA. ANÁLISIS MEDIANTE E-HEALTH DE LA ANSIEDAD DURANTE LA FASE DIAGNÓSTICA DE UNA LESIÓN MAMARIA SOSPECHOSA </t>
  </si>
  <si>
    <t>Fernández Frías, Ana María </t>
  </si>
  <si>
    <t>06/07/2020 </t>
  </si>
  <si>
    <t>MODELIZACIÓN DE LA PROPAGACIÓN DE INFORMACIÓN A TRAVÉS DE LAS REDES INFORMÁTICAS </t>
  </si>
  <si>
    <t>Espín León, Aldrin Marcel </t>
  </si>
  <si>
    <t>20/11/2019 </t>
  </si>
  <si>
    <t>SELECCIÓN DE CONJUNTOS DE DATOS A PUBLICAR EN ABIERTO BASADA EN EL MÉTODO DELPHI DIFUSO </t>
  </si>
  <si>
    <t>Enríquez Reyes, Robert </t>
  </si>
  <si>
    <t>21411855M </t>
  </si>
  <si>
    <t>16/07/2020 </t>
  </si>
  <si>
    <t>Cortes Castillo, Antonio </t>
  </si>
  <si>
    <t>MARCO DE REFERENCIA PARA LA PUBLICACIÓN DE DATOS ABIERTOS COMPRENSIBLES BASADO EN ESTÁNDARES DE CALIDAD </t>
  </si>
  <si>
    <t>Cadena Vela, Susana Graciela </t>
  </si>
  <si>
    <t>19/06/2020 </t>
  </si>
  <si>
    <t>PROPUESTA DE UN CONJUNTO DE HERRAMIENTAS DE MINERÍA DE DATOS PARA EVALUAR EL DESEMPEÑO DE LOS ESTUDIANTES Y LOS PROCESOS DE ENSEÑANZA-APRENDIZAJE EN EL ÁMBITO DE LA EDUACIÓN EN LA INGENIERÍA </t>
  </si>
  <si>
    <t>Buenaño Fernández, Diego Patricio </t>
  </si>
  <si>
    <t>48325227L </t>
  </si>
  <si>
    <t>25/06/2020 </t>
  </si>
  <si>
    <t>Arquitectura de visión y aprendizaje para el reconocimiento de actividades de grupos usando descriptores de movimient </t>
  </si>
  <si>
    <t>Borja Borja, Luis Felipe </t>
  </si>
  <si>
    <t>48325227L</t>
  </si>
  <si>
    <t>21653548Z</t>
  </si>
  <si>
    <t>74085674Y</t>
  </si>
  <si>
    <t>Caracterización y cuantificación de la identidad cultural; aplicación a la cultura indígena amazónica</t>
  </si>
  <si>
    <t>Zamora Hernández, Mauricio Andrés </t>
  </si>
  <si>
    <t>Arquitectura para el control visual de ensambles en Industria 4.0 basado en aprendizaje </t>
  </si>
  <si>
    <t>27/10/2020 </t>
  </si>
  <si>
    <t>Serrano Cases, Alejandro </t>
  </si>
  <si>
    <t>Fault tolerance in critical aerospace embedded systems: Multi-threaded mitigation, non-intrusive compiler-guided hardening, and early prediction of proton and neutron induced soft errors </t>
  </si>
  <si>
    <t>30/10/2020 </t>
  </si>
  <si>
    <t>Duque Gomez, Henry </t>
  </si>
  <si>
    <t>ARQUITECTURAS INTELIGENTES PARA GESTIÓN DE SISTEMAS CIBERFÍSICOS EN AMBIENTES IoT </t>
  </si>
  <si>
    <t>Jiménez Álvarez, Luis Gonzalo </t>
  </si>
  <si>
    <t>Diseño y Especificación del ocio digital con fines de aprendizaje ODFA Subproblema: Ocio digital formativo en competencias ODFC para la UCE </t>
  </si>
  <si>
    <t>25/02/2021 </t>
  </si>
  <si>
    <t>Bravo Fuentes, Paloma </t>
  </si>
  <si>
    <t>Propuesta metodológica para la enseñanza de la flauta dulce en educación primaria mediante el soporte de complementos tecnológicos para el aprendizaje autónomo. </t>
  </si>
  <si>
    <t>29/07/2021 </t>
  </si>
  <si>
    <t>09371918Q </t>
  </si>
  <si>
    <t>Morales Morales, Mario Raúl </t>
  </si>
  <si>
    <t>Criptomonedas de ámbito social como herramienta de gobierno electrónico para el desarrollo sostenible </t>
  </si>
  <si>
    <t>01/06/2021 </t>
  </si>
  <si>
    <t>Cortés Blasco, Daniel </t>
  </si>
  <si>
    <t>Modelado y simulación para la predicción de explosiones en espacios confinados </t>
  </si>
  <si>
    <t>03/03/2021 </t>
  </si>
  <si>
    <t>Rosa de Rivera, Verónica Idalia </t>
  </si>
  <si>
    <t>21/07/2021 </t>
  </si>
  <si>
    <t>Aguirre Ayala, Carlos Antonio </t>
  </si>
  <si>
    <t>"Diseño causal de sistema piramidal para aprendizaje colaborativo sobre la ingeniería web". </t>
  </si>
  <si>
    <t>22/07/2021 </t>
  </si>
  <si>
    <t>Cód. org. aplic.</t>
  </si>
  <si>
    <t>Descripción justificante</t>
  </si>
  <si>
    <t>34.70.6C.01.34</t>
  </si>
  <si>
    <t>34.70.6C.01.57</t>
  </si>
  <si>
    <t>34.70.6C.01.67</t>
  </si>
  <si>
    <t>34.70.6P.00.34</t>
  </si>
  <si>
    <t>34.70.6P.00.35</t>
  </si>
  <si>
    <t>Diseño causal de sistema piramidal para aprendizaje colaborativo de los lenguajes de programación </t>
  </si>
  <si>
    <t>Arrebola Moreno, Clara </t>
  </si>
  <si>
    <t>Tecnologías aplicadas al proceso de enseñanza-aprendizaje del repertorio del Canto Lírico </t>
  </si>
  <si>
    <t>19/11/2021 </t>
  </si>
  <si>
    <t>Rico García, Héctor </t>
  </si>
  <si>
    <t>APLICACIÓN DE TÉCNICAS DE COMPUTACIÓN PARALELA PARA ACELERACIÓN DE ALGORITMOS EN INGENIERÍA </t>
  </si>
  <si>
    <t>02/12/2021 </t>
  </si>
  <si>
    <t>33485105A </t>
  </si>
  <si>
    <t>Vives Boix, Víctor </t>
  </si>
  <si>
    <t>¿Modelos neuronales basados en la metaplasticidad para la ayuda al diagnóstico clínico¿ </t>
  </si>
  <si>
    <t>03/12/2021 </t>
  </si>
  <si>
    <t>COD DEP</t>
  </si>
  <si>
    <t>Imp.cob.aplic.</t>
  </si>
  <si>
    <t>34.70.6P.00.36</t>
  </si>
  <si>
    <t>34.70.6C.01.71</t>
  </si>
  <si>
    <t>34.70.6P.00.39</t>
  </si>
  <si>
    <t>34.70.6P.00.42</t>
  </si>
  <si>
    <t>34.70.6P.00.43</t>
  </si>
  <si>
    <t>I.U. DE INVESTIGACIÓN INFORMÁTICA (10.19) </t>
  </si>
  <si>
    <t>Sánchez Torres, Fulgencio </t>
  </si>
  <si>
    <t>Data science como soporte al modelado del conocimiento para el análisis de costes en la empresa 4.0: la entidad turística </t>
  </si>
  <si>
    <t>22/09/2022 </t>
  </si>
  <si>
    <t>Oprea , Sergiu Ovidiu </t>
  </si>
  <si>
    <t>Deep Predictive Learning: Understanding Interaction Dynamics from Synthetic Data </t>
  </si>
  <si>
    <t>26/09/2022 </t>
  </si>
  <si>
    <t>Esteve Brotons, Miguel Jose </t>
  </si>
  <si>
    <t>Analysis and extraction of features in video streaming </t>
  </si>
  <si>
    <t>14/07/2023 </t>
  </si>
  <si>
    <t>Lucas Ibañez, Luis </t>
  </si>
  <si>
    <t>Procesamiento multimodal de datos extraídos de redes sociales mediante técnicas de inteligencia artificial. Aplicaciones al turismo </t>
  </si>
  <si>
    <t>19/01/2023 </t>
  </si>
  <si>
    <t>Martínez González, Pablo </t>
  </si>
  <si>
    <t>Synthetic Data Generation for 6D Object Pose and Grasping Estimation </t>
  </si>
  <si>
    <t>16/03/2023 </t>
  </si>
  <si>
    <t>Castro Vargas, John Alejandro </t>
  </si>
  <si>
    <t>Contributions on 3D Human Computer-Interaction using Deep approaches </t>
  </si>
  <si>
    <t>Varela Guzmán, Erick Giovanni </t>
  </si>
  <si>
    <t>Modelos de gestión impulsados por la tecnología para el desarrollo de sociedades inteligentes </t>
  </si>
  <si>
    <t>08/09/2023 </t>
  </si>
  <si>
    <t>Bedón Chamorro, César Arturo </t>
  </si>
  <si>
    <t>Modelo Causal y Análisis de Factores para la Adopción del Teletrabajo en la Era de la Industria 4.0 y 5.0 </t>
  </si>
  <si>
    <t>17/07/2023 </t>
  </si>
  <si>
    <t>Guerrero Rodríguez, Byron Vicente </t>
  </si>
  <si>
    <t>Predicción de deslizamientos aplicando técnicas de aprendizaje automático </t>
  </si>
  <si>
    <t>09/06/2023 </t>
  </si>
  <si>
    <t>U075 </t>
  </si>
  <si>
    <t>I.U.INVESTIGACIÓN DE ESTUDIOS SOCIALES DE AMÉRICA LATINA (10.25) </t>
  </si>
  <si>
    <t>DOCTORADO EN HUMANIDADES Y ESTUDIOS SOCIALES DE AMÉRICA LATINA </t>
  </si>
  <si>
    <t>García Chamizo, Juan Manuel </t>
  </si>
  <si>
    <t>Cine y turismo en la provincia de Alicante: las oportunidades perdidas para la creación de productos de turismo cinematográfico. </t>
  </si>
  <si>
    <t>24/11/2022 </t>
  </si>
  <si>
    <t>48331496D</t>
  </si>
  <si>
    <t>48511175N</t>
  </si>
  <si>
    <t>Vivos</t>
  </si>
  <si>
    <t>22000675W</t>
  </si>
  <si>
    <t>Proyecto NUEVO SISTEMA AVANZADO DE ANALISIS FINANCIERO DE EMPRESAS CON RIESGO DE ACTIVIDAD BASADO EN IA con código ACIE de Expediente 1492.008.23. Proyecto NUEVOS DESARROLLOS E INNOVACIONES EN LAS TECNOLOGIAS EMPLEADAS EN EDREAMS con código ACIE de Expediente 2686.023.23. Proyecto INNOVACIONES Y DESARROLLOS EN EL SISTEMA DE CONECTIVIDAD DE EDREAMS con código ACIE de Expediente 2686.025.23</t>
  </si>
  <si>
    <t>ASESORAMIENTO CIENTÍFICO-TÉCNICO Y REALIZACIÓN DE EVALUACIONES Y CERTIFICACIONES DE PROYECTOS DE I+D+I</t>
  </si>
  <si>
    <t>Tercer y último pago Convenio INESCOP3-21I DISEÑO E IMPLEMENTACIÓN DE ALGORITMOS DE DISCRETIZACIÓN EFICIENTE DE SUPERFICIES ADAPTADOS A LOS MODELOS GEOMÉTRICOS PROPIOS DE LA INDUSTRIA DEL CALZADO. Numero de pedido: NP061070</t>
  </si>
  <si>
    <t>TERCER PAGO POR LA FIRMA DEL CONTRATO "ASESORÍA Y ASISTENCIA TÉCNICA PARA VALIDAR LA LABOR DE TRANSFERENCIA MEDIANTE MÉTODO DE ANÁLISIS CASUAL"</t>
  </si>
  <si>
    <t>34.70.6C.01.70</t>
  </si>
  <si>
    <t>Evaluación del proyecto de I+D+i MMIPRENNSA (2022)  Ref. pdo. 6063979</t>
  </si>
  <si>
    <t>Trabajos de evaluación científico-técnica Numero de pedido: 62490000131</t>
  </si>
  <si>
    <t>Trabajos de evaluación científico-técnica. Numero de pedido 62490000131</t>
  </si>
  <si>
    <t>EVALUACIÓN DEL PROYECTO DE I+D+i ONESTOCK23 (2022) Ref. Pedido 6062994</t>
  </si>
  <si>
    <t xml:space="preserve">EVALUACIÓN DEL PROYECTO DE I+D+I SOCSAN2020 (2022) Ref. pdo. 6063406  </t>
  </si>
  <si>
    <t>EVALUACION DEL PROYECTO DE I+D+I PEBYSA2021 (2021). Ref.pdo. 6059518</t>
  </si>
  <si>
    <t>EVALUACIÓN DEL PROYECTO DE I+D+I ALGORI2022. Ref. pdo. 6060980</t>
  </si>
  <si>
    <t>EVALUACIÓN DEL PROYECTO DE I+D+I AINFLU2022 (2022). Ref. pdo. 6060983</t>
  </si>
  <si>
    <t>Evaluación del proyecto de I+D+i INNERPPRO1 (2022)  Ref. pdo. 6064859</t>
  </si>
  <si>
    <t>EVALUACIÓN DEL PROYECTO DE I+D+I MCLOGISTIC (2022) Ref. pdo. 6063496</t>
  </si>
  <si>
    <t>Evaluación del proyecto de I+D+i GLOBALDATA (2021) Numero de pedido: 6058537</t>
  </si>
  <si>
    <t>Evaluación del proyecto de I+D+i CREAGEST22 (2022)  Ref. pdo. 6063915</t>
  </si>
  <si>
    <t>34.70.6C.01.76</t>
  </si>
  <si>
    <t>Minoración del INNVA2/2022/6 (es importe aceptado en la justificación)</t>
  </si>
  <si>
    <t xml:space="preserve">INNVA2/2022/6 </t>
  </si>
  <si>
    <t>34.70.6C.01.78</t>
  </si>
  <si>
    <t>Predicción y detección on-line de anomalías en motores trifásicos ensayando distintas aproximaciones y modelos algorítmicos de distintas disciplinas dentro de la inteligencia artificial. Conforme memoria Ayuda INFO expediente 2022.08.CT01.024</t>
  </si>
  <si>
    <t>34.70.6C.01.79</t>
  </si>
  <si>
    <t xml:space="preserve">INFORME TÉCNICO SOBRE LA EXTRACCIÓN DE LOS REGISTROS DE LA ACTIVIDAD DE INSERCIÓN DE DISPOSITIVOS HARDWARE EXTRAÍBLES DE ALMACENAMIENTO EXTERNO EN UNO DE LOS ORDENADORES QUE FORMAN PARTE DEL EQUIPAMIENTO INFORMÁTICO CORPORATIVO DE LA NOTARÍA </t>
  </si>
  <si>
    <t>34.70.6C.01.81</t>
  </si>
  <si>
    <t>Instalación y prueba del software para la trazabilidad digital en el estudio de procesos de manipulación controlada en el espectro e intensidad de la luz</t>
  </si>
  <si>
    <t>Fase 1: Diseño e instalación de la infraestructura de iluminación y adaptación climática necesaria sobre un módulo invernadero. 1er pago (25%)</t>
  </si>
  <si>
    <t>34.70.6C.01.82</t>
  </si>
  <si>
    <t xml:space="preserve">Realización de servicios técnicos. Evaluación del proyecto 935.544 - Indagación y desarrollo de nuevos conceptos de conectividad de dispositivos electromecánicos. </t>
  </si>
  <si>
    <t>34.70.6C.01.83</t>
  </si>
  <si>
    <t>Diseño de una herramienta de servicios digitales culturales</t>
  </si>
  <si>
    <t>34.70.6C.01.84</t>
  </si>
  <si>
    <t>Evaluación del contenido formativo (D2.4.1 Learning resources AAL), relacionado con tecnologías para la vida activa y asistida, de entregables desarrollados dentro del proyecto europeo ALLVIEW (621192-EPP-1-2020-1-ES-EPPKA3-VET-COVE)</t>
  </si>
  <si>
    <t>34.70.6C.01.85</t>
  </si>
  <si>
    <t>3º PAGO - CONCEPCIÓN DE ESTRATEGIAS DE COMPUTACIÓN DISTRIBUIDA PARA EL PROCESAMIENTO DE APLICACIONES DE INTELIGENCIA ARTIFICIAL PARA LA INDUSTRIA. PO 4110041556</t>
  </si>
  <si>
    <t>6º PAGO - CONCEPCIÓN DE ESTRATEGIAS DE COMPUTACIÓN DISTRIBUIDA PARA EL PROCESAMIENTO DE APLICACIONES DE INTELIGENCIA ARTIFICIAL PARA LA INDUSTRIA.</t>
  </si>
  <si>
    <t>4º PAGO - CONCEPCIÓN DE ESTRATEGIAS DE COMPUTACIÓN DISTRIBUIDA PARA EL PROCESAMIENTO DE APLICACIONES DE INTELIGENCIA ARTIFICIAL PARA LA INDUSTRIA. PO 4110041556</t>
  </si>
  <si>
    <t>5º PAGO - CONCEPCIÓN DE ESTRATEGIAS DE COMPUTACIÓN DISTRIBUIDA PARA EL PROCESAMIENTO DE APLICACIONES DE INTELIGENCIA ARTIFICIAL PARA LA INDUSTRIA. PO 4110041556</t>
  </si>
  <si>
    <t>CONCEPCIÓN DE ESTRATEGIAS DE COMPUTACIÓN DISTRIBUIDA PARA EL PROCESAMIENTO DE  APLICACIONES DE INTELIGENCIA ARTIFICIAL PARA LA INDUSTRIA</t>
  </si>
  <si>
    <t>2º PAGO - CONCEPCIÓN DE ESTRATEGIAS DE COMPUTACIÓN DISTRIBUIDA PARA EL PROCESAMIENTO DE APLICACIONES DE INTELIGENCIA ARTIFICIAL PARA LA INDUSTRIA. PO 4110041556</t>
  </si>
  <si>
    <t>34.70.6C.01.86</t>
  </si>
  <si>
    <t xml:space="preserve">CANAL SOPORTE TECNOLÓGICO TIC-INFORME </t>
  </si>
  <si>
    <t>34.70.6C.01.87</t>
  </si>
  <si>
    <t>SIMULADOR DE IMPLANTACIÓN TIC EN ENTORNOS EMPRESARIALES</t>
  </si>
  <si>
    <t>34.70.6C.01.88</t>
  </si>
  <si>
    <t>ASESORAMIENTO CIENTÍFICO-TÉCNICO Y REALIZACIÓN DE EVALUACIONES Y CERTIFICACIONES DE PROYECTO DE I+D+I. Número de pedido 6249000013.</t>
  </si>
  <si>
    <t>ASESORAMIENTO CIENTÍFICO-TÉCNICO Y REALIZACIÓN DE EVALUACIONES Y CERTIFICACIONES DE PROYECTO DE I+D+I. Numero de pedido 62490000131</t>
  </si>
  <si>
    <t>Clausula Octava. Tramite de audiencia / Recurso de alzada Número de pedido 62490000131</t>
  </si>
  <si>
    <t>34.70.6C.01.90</t>
  </si>
  <si>
    <t>ASESORAMIENTO CIENTÍFICO-TÉCNICO EN LA DEFINCIÓN DE INFRAESTRUCTURA Y LABORATORIOS E INTERNACIONALIZACIÓN DEL GRADO EN INGENIERÍA BIOMÉDICA Y GRADO EN INGENIERÍA ROBÓTICA.</t>
  </si>
  <si>
    <t>34.70.6C.01.91</t>
  </si>
  <si>
    <t>Actualización de una aplicación (bajo sistema operativo ANDROID) destinada a personas mayores.</t>
  </si>
  <si>
    <t>34.70.6C.01.92</t>
  </si>
  <si>
    <t>EVALUACIÓN DE UN PROYECTO COMO EXPERTO TÉCNICO CON LA ENTREGA DE UN INFORME</t>
  </si>
  <si>
    <t>34.70.6C.01.94</t>
  </si>
  <si>
    <t>Evaluación de un proyecto como Experto Técnico con la entrega de un informe. Proyecto C-02-2023-026 "Monitorización remota de pacientes basada en multidispositivo IoT sobre plataforma Symmetry" (MORESYM22I- Año 2022) de la empresa IZERTIS, S.A.</t>
  </si>
  <si>
    <t xml:space="preserve">PID2020-118574GB-I00/118816GB-I00/119124RB-I00/119144RB-I00/119320GB-I00/119383GB-I00/119734RB-I00/119878GB-I00/119959GB-I00/120213RB-I00 </t>
  </si>
  <si>
    <t>DEVOLUCIÓN DE INGRESOS_MODELO 047_Nº de liquidación: 46/2023/RAS/10200/1_Número de justificante: 047/1/002359944_Nº de referencia:047/1/002359944</t>
  </si>
  <si>
    <t xml:space="preserve">AICO/2021/184-189-192-196-331 </t>
  </si>
  <si>
    <t>INGRESO DEL PROYECTO FBIOPLEAMAR21-02</t>
  </si>
  <si>
    <t xml:space="preserve">CIAEST/2021/35/41/52 </t>
  </si>
  <si>
    <t>34.70.6P.00.45</t>
  </si>
  <si>
    <t xml:space="preserve">ayuda AYTOIIE-C </t>
  </si>
  <si>
    <t>34.70.6P.00.48</t>
  </si>
  <si>
    <t xml:space="preserve">AYUDAS CIAEST/2022/2, CIAEST/2022/25, CIAEST/2022/49, CIAEST/2022/78 </t>
  </si>
  <si>
    <t>34.70.6P.00.49</t>
  </si>
  <si>
    <t>U062</t>
  </si>
  <si>
    <t>I.U. DE INVESTIGACIÓN INFORMÁTICA (10.19)</t>
  </si>
  <si>
    <t>DOCTORADO EN INFORMÁTICA</t>
  </si>
  <si>
    <t>Elouali , Aya</t>
  </si>
  <si>
    <t>Distributed Architectures for Enhancing Artificial Intelligence of Things Systems A Cloud Collaborative Model</t>
  </si>
  <si>
    <t>23/11/2023</t>
  </si>
  <si>
    <t>Codirector de tesis</t>
  </si>
  <si>
    <t>TECNOLOGÍA INFORMÁTICA Y COMPUTACIÓN</t>
  </si>
  <si>
    <t>Sánchez Ribes, Victor</t>
  </si>
  <si>
    <t>Arquitecturas para la computación de altas prestaciones en la nube. Aplicación a procesos de geometría computacional</t>
  </si>
  <si>
    <t>01/03/2024</t>
  </si>
  <si>
    <t>Calabuig Barbero, Eduardo</t>
  </si>
  <si>
    <t>Investigación industrial en técnicas avanzadas de modelado por computador para la adaptación del diseño de calzado al paradigma de la Industria 4.0</t>
  </si>
  <si>
    <t>11/06/2024</t>
  </si>
  <si>
    <t>Cortés Plana, José Juan</t>
  </si>
  <si>
    <t>Modelo computacional para la creación de un mapa de riesgo que gestione la propagación de la plaga vegetal X. fastidiosa</t>
  </si>
  <si>
    <t>10/01/2024</t>
  </si>
  <si>
    <t>Director de tesis</t>
  </si>
  <si>
    <t>Gómez Hernández, José Francisco</t>
  </si>
  <si>
    <t>Investigación industrial orientada a la adecuación del paradigma de la Industria 4.0 a los procesos de fabricación del calzado</t>
  </si>
  <si>
    <t>05/06/2024</t>
  </si>
  <si>
    <t>Teterja , Dmitrij</t>
  </si>
  <si>
    <t>Mosaic-Based Deep Learning Approach for Bird Species Identification and Behavior Recognition</t>
  </si>
  <si>
    <t>19/07/2024</t>
  </si>
  <si>
    <t>Güemes Esperón, Alejandro Miguel</t>
  </si>
  <si>
    <t>Modelo de generación de suites de pruebas efectivas a partir de requisitos para aplicaciones en entornos distribuidos</t>
  </si>
  <si>
    <t>23/07/2024</t>
  </si>
  <si>
    <t>10</t>
  </si>
  <si>
    <t>78295956T</t>
  </si>
  <si>
    <t>De los 11410,51€, el 66%(7.530,94€) para Tecnología Informática y Computación y 34%(3.879,57€) para Psicología de la Salud (según email de Jorge Azorín 30/10/2024)</t>
  </si>
  <si>
    <t>Org. aplic.</t>
  </si>
  <si>
    <t>Imp. aplic.</t>
  </si>
  <si>
    <t>Evaluación del proyecto de I+D+i BROOKLYKPI (2022) Ref. pdo. 6065117</t>
  </si>
  <si>
    <t>Evaluación del proyecto de I+D+i GLOBALDATA (2022) Ref. pdo. 6067016</t>
  </si>
  <si>
    <t>EVALUACIÓN DEL PROYECTO I+D+I SOFTVENDIN (2022)  Ref. pdo. 6066060</t>
  </si>
  <si>
    <t>EVALUACIÓN DEL PROYECTO DE I+D+I ROUTINGOPS (2022). Ref. pdo. 6066053</t>
  </si>
  <si>
    <t>EVALUACIÓN DEL PROYECTO DE I+D+I VINOSIGEST (2022). Ref. pdo. 6066038</t>
  </si>
  <si>
    <t xml:space="preserve">EVALUACIÓN DEL PROYECTO DE I+D+I 598AIE2023. Ref. pdo. 6066073 </t>
  </si>
  <si>
    <t>EVALUACIÓN DEL PROYECTO DE I+D+I 501AIE2023. Ref. pdo. 6066007</t>
  </si>
  <si>
    <t>EVALUACIÓN DEL PROYECTO DE I+D+I 504AIE2023. Ref. pdo. 6066069</t>
  </si>
  <si>
    <t>EVALUACIÓN DEL PROYECTO DE I+D+I 541AIE2023. Ref. pdo. 6066030</t>
  </si>
  <si>
    <t>EVALUACIÓN DEL PROYECTO DE I+D+I WEBFLEET20 (2022). Ref. pdo. 6066362</t>
  </si>
  <si>
    <t>EVALUACIÓN DEL PROYECTO DE I+D+I DELIVERSYS (2022). Ref. pdo. 6066037</t>
  </si>
  <si>
    <t xml:space="preserve">ayuda INNVA2/2022/6 </t>
  </si>
  <si>
    <t xml:space="preserve">Minoración INNVA2/2022/6 </t>
  </si>
  <si>
    <t xml:space="preserve">Minoración ayuda INNVA2/2022/6 </t>
  </si>
  <si>
    <t>34.70.6C.01.80</t>
  </si>
  <si>
    <t>DESARROLLO DE UNA HERRAMIENTA DE CONTROL Y ANALÍTICA DE DATOS DE AFILIADOS SINDICALES.</t>
  </si>
  <si>
    <t>ASESORAMIENTO CIENTÍFICO-TÉCNICO Y REALIZACIÓN DE EVALUACIONES Y CERTIFICACIONES DE PROYECTO DE I+D+I Numero de pedido: 62490000573</t>
  </si>
  <si>
    <t>Evaluación de los proyectos de Innovación Tecnológica y de I+D número de pedido: 62490000573</t>
  </si>
  <si>
    <t>Evaluación de los proyectos de Innovación Tecnológica y de I+D. Número de pedido: 62490000573</t>
  </si>
  <si>
    <t>Evaluación de los proyectos de Innovación Tecnológica y de I+D+I. Número de pedido: 62490000824</t>
  </si>
  <si>
    <t>Evaluación de los siguientes proyectos de Innovación Tecnológica y de I+D. Número de pedido: 62490000824.</t>
  </si>
  <si>
    <t>Evaluación y certificación actividades de I+D(+i). Número de pedido: 62490000824</t>
  </si>
  <si>
    <t>Evaluación de los siguientes proyectos de Innovación Tecnológica y de I+D+i. Número de pedido: 62490000824.</t>
  </si>
  <si>
    <t>ASESORAMIENTO CIENTÍFICO-TÉCNICO EN LA DEFINICIÓN DE INFRAESTRUCTURA Y LABORATORIOS E INTERNACIONALIZACIÓN DEL GRADO EN INGENIERÍA BIOMÉDICA Y GRADO EN INGENIERÍA ROBÓTICA. Segundo pago.</t>
  </si>
  <si>
    <t>34.70.6C.01.93</t>
  </si>
  <si>
    <t xml:space="preserve">Evaluación de Contenido y Ejecución con exante previo del ejercicio 2022 del proyecto 943.702 </t>
  </si>
  <si>
    <t>34.70.6C.01.96</t>
  </si>
  <si>
    <t>One year Handball Analytics v1.0 software License. From January 1st, 2024 until December 31th, 2024</t>
  </si>
  <si>
    <t>34.70.6C.01.97</t>
  </si>
  <si>
    <t>DESARROLLO DE MODELOS DE COMPUTACIÓN SERVERLESS PARA EL PROCESAMIENTO DE APLICACIONES DE INTELIGENCIA ARTIFICIAL. Primer pago</t>
  </si>
  <si>
    <t>DESARROLLO DE MODELOS DE COMPUTACIÓN SERVERLESS PARA EL PROCESAMIENTO DE APLICACIONES DE INTELIGENCIA ARTIFICIAL. Segundo pago</t>
  </si>
  <si>
    <t>DESARROLLO DE MODELOS DE COMPUTACIÓN SERVERLESS PARA EL PROCESAMIENTO DE APLICACIONES DE INTELIGENCIA ARTIFICIAL. Tercer pago PO: 4110050000</t>
  </si>
  <si>
    <t>DESARROLLO DE MODELOS DE COMPUTACIÓN SERVERLESS PARA EL PROCESAMIENTO DE APLICACIONES DE INTELIGENCIA ARTIFICIAL. Cuarto pago</t>
  </si>
  <si>
    <t>DESARROLLO DE MODELOS DE COMPUTACIÓN SERVERLESS PARA EL PROCESAMIENTO DE APLICACIONES DE INTELIGENCIA ARTIFICIAL. Quinto pago Número de pedido: 4110051772</t>
  </si>
  <si>
    <t>DESARROLLO DE MODELOS DE COMPUTACIÓN SERVERLESS PARA EL PROCESAMIENTO DE APLICACIONES DE INTELIGENCIA ARTIFICIAL. Sexto pago Número de pedido: 4110051772</t>
  </si>
  <si>
    <t>34.70.6C.01.98</t>
  </si>
  <si>
    <t>Patrocinio Categoría ORO del Evento FIRST LEGO League Alicante. PO: 4110051158</t>
  </si>
  <si>
    <t>34.70.6C.01.99</t>
  </si>
  <si>
    <t>Handball Analytics 1.0. Development of the infrastructure and service deployment, the maintenance and the service providing</t>
  </si>
  <si>
    <t>34.70.6C.02.00</t>
  </si>
  <si>
    <t>Asesoramiento técnico desarrollo de los algoritmos de encriptación de datos para alta seguridad y apoyo en las pruebas de validación de los protocolos de seguridad.</t>
  </si>
  <si>
    <t>34.70.6C.02.01</t>
  </si>
  <si>
    <t>ACTUALIZACION DEL CONTENIDO DE UNA APLICACION DISEÑADA EN SISTEMA OPERATIVO ANDROID (MOVIL), DESTINADO A PERSONAS MAYORES</t>
  </si>
  <si>
    <t>34.70.6C.02.02</t>
  </si>
  <si>
    <t>VALIDACIÓN DE UN MODELO DE PATRONAJE MEDIANTE EL USO DEL ALGORITMO METAHEURÍSTICO DENOMINADO "JAYA" número de encargo: NP064265</t>
  </si>
  <si>
    <t>34.70.6C.02.03</t>
  </si>
  <si>
    <t>DESARROLLO DE UN PROTOTIPO DE SOFTWARE DINAMICO QUE PERMITA USAR VALENF INSTRUMENT COMO UNA HERRAMIENTA DE VALORACION Y PRESCRIPCION DE CUIDADOS. Primer Pago</t>
  </si>
  <si>
    <t>DESARROLLO DE UN PROTOTIPO DE SOFTWARE DINAMICO QUE PERMITA USAR VALENF INSTRUMENT COMO UNA HERRAMIENTA DE VALORACION Y PRESCRIPCION DE CUIDADOS. Segundo Pago</t>
  </si>
  <si>
    <t>DESARROLLO DE UN PROTOTIPO DE SOFTWARE DINAMICO QUE PERMITA USAR VALENF INSTRUMENT COMO UNA HERRAMIENTA DE VALORACION Y PRESCRIPCION DE CUIDADOS. Tercer Pago</t>
  </si>
  <si>
    <t>34.70.6C.02.05</t>
  </si>
  <si>
    <t>Estrategias de Seguridad basadas en IA generativa para Arquitecturas Cloud Computing. Primer pago. Ref. LEVANTINASERVICIOS2-23Y-INDC IP responsable: Higinio Mora</t>
  </si>
  <si>
    <t>34.70.6C.02.06</t>
  </si>
  <si>
    <t xml:space="preserve">EVALUACIÓN DE CONTENIDO Y EJECUCIÓN POR PARTE DEL EXPERTO TÉCNICO DEL PROYECTO 952.044 </t>
  </si>
  <si>
    <t>34.70.6C.02.07</t>
  </si>
  <si>
    <t>EVALUACIÓN DE CONTENIDO Y EJECUCIÓN CON EXANTE PREVIO POR PARTE DEL EXPERTO TÉCNICO DEL PROYECTO 949.967</t>
  </si>
  <si>
    <t>34.70.6C.02.08</t>
  </si>
  <si>
    <t>Elaboración de un manual de uso para los usuarios de la aplicación eVALENF</t>
  </si>
  <si>
    <t>DEVOLUCIÓN DE INGRESO_MODELO 047_SUBVENCIÓN AICO  ANUALIDAD_2023</t>
  </si>
  <si>
    <t>PLU.CIAEST 2022. RESOLUCION CONCESION 19/09/2023. CIAEST/2022/2/25/49/78. (LÍNEA S0296)</t>
  </si>
  <si>
    <t>34.70.6P.00.50</t>
  </si>
  <si>
    <t>PROGRAMA AYUDAS ICAR 2023 PROYECTO EWAI</t>
  </si>
  <si>
    <t>34.70.6P.00.51</t>
  </si>
  <si>
    <t>PROGRAMA AYUDAS ICAR 2023 PROYECTO IASISTEM</t>
  </si>
  <si>
    <t>34.70.6P.00.54</t>
  </si>
  <si>
    <t xml:space="preserve">ayudas CIAEST/2023/31, CIAEST/2023/36, CIAEST/2023/12 (LINEA SUBVENCIÓN S0296) </t>
  </si>
  <si>
    <t>34.70.6P.00.55</t>
  </si>
  <si>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</si>
  <si>
    <t>34.70.6P.00.56</t>
  </si>
  <si>
    <t>34.70.6P.00.57</t>
  </si>
  <si>
    <t>34.70.6P.00.58</t>
  </si>
  <si>
    <t>CIAICO/2023/134/178/179/203/250/255/266/268</t>
  </si>
  <si>
    <t>Boters Pitarch, Joan</t>
  </si>
  <si>
    <t>Modelo computacional de expansión en eventos influidos por el viento. El caso de los incendios forestales</t>
  </si>
  <si>
    <t>23/09/2024</t>
  </si>
  <si>
    <t>TECNOLOGIA INFORMATICA Y COMPUTACION</t>
  </si>
  <si>
    <t>Hojas Mazo, Wenny</t>
  </si>
  <si>
    <t>Clasificación inteligente de flujos no estacionarios de correos electrónicos: Un enfoque proactivo basado en metas</t>
  </si>
  <si>
    <t>06/09/2024</t>
  </si>
  <si>
    <t>U044</t>
  </si>
  <si>
    <t>ADM. FACULTAD DE CIENCIAS DE LA SALUD</t>
  </si>
  <si>
    <t>DOCTORADO EN CIENCIAS DE LA SALUD</t>
  </si>
  <si>
    <t>Mujirishvili , Tamar</t>
  </si>
  <si>
    <t>Perceptions of personal safety and privacy in older adults and their caregivers in the context of video-based lifelogging technologies</t>
  </si>
  <si>
    <t>13/09/2024</t>
  </si>
  <si>
    <t>Administración Facultad de Ciencias de la Salud</t>
  </si>
  <si>
    <t>DEL ROSARIO GILABERT, David</t>
  </si>
  <si>
    <t>Efectos de las ondas mecánicas audibles sobre neuronas no auditivas: diseño e
implementación de dispositivos biocompatibles para aplicaciones de sonobiología</t>
  </si>
  <si>
    <t>25/03/2025</t>
  </si>
  <si>
    <t>Tecnología Informática y Computación</t>
  </si>
  <si>
    <t>Instituto Universitario de Investigación Informática (10.19)</t>
  </si>
  <si>
    <t>Brenes Carranza, José Antonio</t>
  </si>
  <si>
    <t>ARQUITECTURA PARA MONITORIZACIÓN, CONTROL Y NOTIFICACIÓN PERSONALIZADA
PARA AGRICULTURA DE PRECISIÓN DIRIGIDA A PEQUEÑOS Y MEDIANOS
AGRICULTORES</t>
  </si>
  <si>
    <t>11/06/2025</t>
  </si>
  <si>
    <t>Crespo Cano, Rubén</t>
  </si>
  <si>
    <t>Estudio, caracterización y optimización mediante metaheurísticas multiobjetivo y modelos de
aprendizaje automático de modelos bioinspirados de visión / Study, characterization, and optimization through
multi-objective metaheuristics and machine learn</t>
  </si>
  <si>
    <t>28/03/2025</t>
  </si>
  <si>
    <t>Villena Martínez, Víctor</t>
  </si>
  <si>
    <t>Computer vision and machine learning methodology for registering and reconstructing three-dimensional models</t>
  </si>
  <si>
    <t>12/12/2024</t>
  </si>
  <si>
    <t>Sáez Pérez, Javier</t>
  </si>
  <si>
    <t>Autonomous Off-Road Vehicles: Enhancing Perception, Remote Control, and Environmental Impact Through Advanced AI Techniques</t>
  </si>
  <si>
    <t>05/11/2024</t>
  </si>
  <si>
    <t>Ortiz Pérez, David</t>
  </si>
  <si>
    <t>Multimodal Deep Learning Techniques for Cognitive Decline Detection and Emotional
Insights</t>
  </si>
  <si>
    <t>12/05/2025</t>
  </si>
  <si>
    <t>García D'Urso, Nahuel Emiliano</t>
  </si>
  <si>
    <t>3D Human Body Shape Analysis Using Deep Learning and Computer Vision Techniques</t>
  </si>
  <si>
    <t>15/01/2025</t>
  </si>
  <si>
    <t>Benavent Lledó, Manuel</t>
  </si>
  <si>
    <t>Action Understanding in RGB Videos Through Deep Learning and Multimodal Cues</t>
  </si>
  <si>
    <t>29/09/2025</t>
  </si>
  <si>
    <t>Gama García, Ángel Manuel</t>
  </si>
  <si>
    <t>End-To-End Service Management in Multi-tenant Beyond 5G Networks</t>
  </si>
  <si>
    <t>14/11/2024</t>
  </si>
  <si>
    <t>Maciá Lillo, Antonio</t>
  </si>
  <si>
    <t>Novel Algorithms and Architectures for High-Performance AI Applications</t>
  </si>
  <si>
    <t>Ortega Candel, Jose Manuel</t>
  </si>
  <si>
    <t>Modelo híbrido para la detección de ataques de denegación de cartera en arquitecturas serverless</t>
  </si>
  <si>
    <t>05/09/2025</t>
  </si>
  <si>
    <t>Mulero Pérez, David</t>
  </si>
  <si>
    <t>Synthetic Generation and Reconstruction of Human-Centred Virtual Environments</t>
  </si>
  <si>
    <t>Alfaro Víquez, David Gerardo</t>
  </si>
  <si>
    <t>Design of Intelligent Architectures for Activity Monitoring in Manufacturing 4.0 Environments</t>
  </si>
  <si>
    <t>16/06/2025</t>
  </si>
  <si>
    <t>2020</t>
  </si>
  <si>
    <t>2021</t>
  </si>
  <si>
    <t>2022</t>
  </si>
  <si>
    <t>2023</t>
  </si>
  <si>
    <t>2024</t>
  </si>
  <si>
    <t>2025</t>
  </si>
  <si>
    <t>Ferrández Pastor, Francisco Javier</t>
  </si>
  <si>
    <t>Grediaga Olivo, Ángel</t>
  </si>
  <si>
    <t xml:space="preserve">Maciá Pérez, Francisco </t>
  </si>
  <si>
    <t>García Rodríguez, José</t>
  </si>
  <si>
    <t>Ruiz Fernández, Daniel</t>
  </si>
  <si>
    <t>Mora Gimeno, Francisco José</t>
  </si>
  <si>
    <t>García Chamizo, Juan Manuel</t>
  </si>
  <si>
    <t>Fuster Guilló, Andrés</t>
  </si>
  <si>
    <t>Soriano Paya, Antonio</t>
  </si>
  <si>
    <t>Jimeno Morenilla, Antonio Manuel</t>
  </si>
  <si>
    <t>Cuenca Asensi, Sergio Antonio</t>
  </si>
  <si>
    <t>33475167R</t>
  </si>
  <si>
    <t>Mora Pascual, Jeronimo Manuel</t>
  </si>
  <si>
    <t>Florez Revuelta, Francisco Asis</t>
  </si>
  <si>
    <t>Sánchez Romero, José Luis</t>
  </si>
  <si>
    <t>Mora Mora, Higinio</t>
  </si>
  <si>
    <t>Marcos Jorquera, Diego</t>
  </si>
  <si>
    <t>Pujol López, Francisco Antonio</t>
  </si>
  <si>
    <t>Saval Calvo, Marcelo</t>
  </si>
  <si>
    <t>Climent Pérez, Pau</t>
  </si>
  <si>
    <t>Berná Martínez, José Vicente</t>
  </si>
  <si>
    <t>De Ramón Fernández, Alberto Antonio</t>
  </si>
  <si>
    <t>Gil Méndez, David</t>
  </si>
  <si>
    <t>Gilart Iglesias, Virgilio</t>
  </si>
  <si>
    <t>Azorín López, Jorge</t>
  </si>
  <si>
    <t>Rico Soliveres, María Luisa</t>
  </si>
  <si>
    <t>Martínez Álvarez, Antonio</t>
  </si>
  <si>
    <t>Lorenzo Fonseca, Iren</t>
  </si>
  <si>
    <t>Evaluación seguimiento Experto Técnico del proyecto 598AIE2023. PEDIDO: 6072939</t>
  </si>
  <si>
    <t>Evaluación seguimiento Experto Técnico del proyecto 504AIE2023. PEDIDO: 6072938</t>
  </si>
  <si>
    <t>Evaluación seguimiento Experto Técnico del proyecto 501AIE2023. PEDIDO: 6072936</t>
  </si>
  <si>
    <t>Evaluación seguimiento Experto Técnico del proyecto SUPPLY2022. PEDIDO: 6072940</t>
  </si>
  <si>
    <t>Nueva solución de localización inteligente para carga de vehículos eléctricos LOCALINT23 - Pedido 6073257</t>
  </si>
  <si>
    <t>Evaluación de los proyectos de Innovación Tecnológica y de I+D+I. Numero de pedido: 62490000824</t>
  </si>
  <si>
    <t>Evaluación de los proyectos de Innovación Tecnológica y de I+D+I. Numero de pedido: 62490000824 Servicio de evaluación de las actividades de I+D(+i) vinculadas a la disciplina con código UNESCO 1203 realizadas por el Personal Investigador asociado a la empresa NFOQUE ADVISORY SERVICES, S.L. con código ACIE de Expediente 1906.007.24 y asociado a la empresa BOSONIT, S.L. con código ACIE de Expediente 4372.002.24</t>
  </si>
  <si>
    <t>Evaluación de los proyectos de Innovación Tecnológica y de I+D+I. Numero de pedido: 62490001170</t>
  </si>
  <si>
    <t>Evaluación de los proyectos de Innovación Tecnológica y de I+D+I. Numero de pedido: 62490001170 Trámite de audiencia de los proyectos: NUEVAS SOLUCIONES PARA LA DIGITALIZACION Y AUTOMATIZACION EN BLOQUES LOGISTICOS con código ACIE de Expediente 325.055.24d y EVOLUCION HACIA UN MODELO DE CLOUD BANKING PARA PRESTACION DE SERVICIOS TRANSACCIONALES con código ACIE de Expediente 901.024.24</t>
  </si>
  <si>
    <t>Evaluación de los proyectos de Innovación Tecnológica y de I+D+I.Numero de pedido: 62490001170</t>
  </si>
  <si>
    <t>34.70.6C.01.95</t>
  </si>
  <si>
    <t>Servicio de configuración de la placa NVIDIA Orin e integración de la herramienta NVMain en el simulador gem5.</t>
  </si>
  <si>
    <t>34.70.6C.02.04</t>
  </si>
  <si>
    <t>DISEÑO Y PRUEBA DE CONCEPTO PARA EL DESARROLLO DE SOPORTE SOFTWARE QUE INCORPORE SERVICIOS BASADOS EN IA GENERATIVA.</t>
  </si>
  <si>
    <t>Estrategias de Seguridad basadas en IA generativa para Arquitecturas Cloud Computing. Segundo pago. Ref. LEVANTINASERVICIOS2-23Y-INDC IP responsable: Higinio Mora</t>
  </si>
  <si>
    <t>Estrategias de Seguridad basadas en IA generativa para Arquitecturas Cloud Computing. Tercer pago. Ref. LEVANTINASERVICIOS2-23Y-INDC IP responsable: Higinio Mora</t>
  </si>
  <si>
    <t>Estrategias de Seguridad basadas en IA generativa para Arquitecturas Cloud Computing. Cuarto pago. Ref. LEVANTINASERVICIOS2-23Y-INDC. IP Responsable: Higinio Mora</t>
  </si>
  <si>
    <t>34.70.6C.02.09</t>
  </si>
  <si>
    <t xml:space="preserve">SIRET: 18007003900631 COLLABORATION IN THE EUROPEAN PROJECT PURECIRCLES "MAXIMISING RESOURCE USE EFFICIENCY WITHIN THE WATER NUTRIENT-ENERGY NEXUS FOR SUSTAINABLE AGRICULTURE IN MARGINAL ENVIRONMENTS" </t>
  </si>
  <si>
    <t>34.70.6C.02.10</t>
  </si>
  <si>
    <t>COLLABORATION IN THE EUROPEAN PROJECT PURECIRCLES "MAXIMISING RESOURCE USE EFFICIENCY WITHIN THE WATER NUTRIENT-ENERGY NEXUS FOR SUSTAINABLE AGRICULTURE IN MARGINAL ENVIRONMENTS"</t>
  </si>
  <si>
    <t>34.70.6C.02.11</t>
  </si>
  <si>
    <t xml:space="preserve">COLLABORATION IN THE EUROPEAN PROJECT PURECIRCLES "MAXIMISING RESOURCE USE EFFICIENCY WITHIN THE WATER NUTRIENT-ENERGY NEXUS FOR SUSTAINABLE AGRICULTURE IN MARGINAL ENVIRONMENTS" </t>
  </si>
  <si>
    <t>34.70.6C.02.12</t>
  </si>
  <si>
    <t>Patrocinio del Evento FIRST LEGO League Alicante 2025. Número de pedido: 4110058587</t>
  </si>
  <si>
    <t>34.70.6C.02.13</t>
  </si>
  <si>
    <t>DESARROLLO DE ARQUITECTURAS SERVERLESS PARA EL PROCESAMIENTO EFICIENTE DE APLICACIONES DE INTELIGENCIA ARTIFICIAL. Primer pago. Número de Pedido: 4110058768</t>
  </si>
  <si>
    <t>DESARROLLO DE ARQUITECTURAS SERVERLESS PARA EL PROCESAMIENTO EFICIENTE DE APLICACIONES DE INTELIGENCIA ARTIFICIAL. Segundo pago. Número de Pedido: 4110058768</t>
  </si>
  <si>
    <t>DESARROLLO DE ARQUITECTURAS SERVERLESS PARA EL PROCESAMIENTO EFICIENTE DE APLICACIONES DE INTELIGENCIA ARTIFICIAL. Tercer pago. Número de pedido: 4110058768</t>
  </si>
  <si>
    <t>DESARROLLO DE ARQUITECTURAS SERVERLESS PARA EL PROCESAMIENTO EFICIENTE DE APLICACIONES DE INTELIGENCIA ARTIFICIAL. Cuarto pago. Número de pedido: 4110058768</t>
  </si>
  <si>
    <t>DESARROLLO DE ARQUITECTURAS SERVERLESS PARA EL PROCESAMIENTO EFICIENTE DE APLICACIONES DE INTELIGENCIA ARTIFICIAL. Quinto pago.  Número de pedido: 4110058768</t>
  </si>
  <si>
    <t>DESARROLLO DE ARQUITECTURAS SERVERLESS PARA EL PROCESAMIENTO EFICIENTE DE APLICACIONES DE INTELIGENCIA ARTIFICIAL. Sexto pago. Número de pedido: 4110063550</t>
  </si>
  <si>
    <t>34.70.6C.02.14</t>
  </si>
  <si>
    <t>EVALUACION DE CONTENIDO Y EJECUCION POR PARTE DEL EXPERTO TECNICO DEL PROYECTO 949.596</t>
  </si>
  <si>
    <t>34.70.6C.02.15</t>
  </si>
  <si>
    <t xml:space="preserve">ACTUALIZACIÓN DE APLICACIÓN ACTUALIZACION DE LA ESTRUCTURA Y CONTENIDO DE UNA APLICACION EN SISTEMA OPERATIVO ANDROID PARA MEJORAR LA USABILIDAD DEL SISTEMA </t>
  </si>
  <si>
    <t>CIAEST/2023/31/36/12</t>
  </si>
  <si>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</si>
  <si>
    <t xml:space="preserve">Minoración parcial CIAICO/2023/178/179/203/250/255/266. </t>
  </si>
  <si>
    <t>34.70.6P.00.63</t>
  </si>
  <si>
    <t>PCI2025-163159. PIC2025-163255 RESOLUCIÓN CONCESIÓN DIRECTA AYUDAS 2025 EN EL MARCO DE "PROYECTOS DE COLABORACIÓN INTERNACIONAL" -  PROGRAMA ESTATAL DE TRANSFERENCIA Y COLABORACIÓN 2024-2027</t>
  </si>
  <si>
    <t>34.70.6P.00.64</t>
  </si>
  <si>
    <t>CIAEST/2024/24 / CIAEST/2024/66</t>
  </si>
  <si>
    <t>34.70.6P.00.65</t>
  </si>
  <si>
    <t>34.70.6X.00.02</t>
  </si>
  <si>
    <t>PROYECTO: MASTER-X-RAPT. PROGRAMA: HORIZONTE EUROPA. REF. PROYECTO: 101093079</t>
  </si>
  <si>
    <t>34.70.6X.00.03</t>
  </si>
  <si>
    <t xml:space="preserve">PROYECTO: MASTER-X-RAPT. PROGRAMA: HORIZONTE EUROPA. REF. PROYECTO: 101093079 </t>
  </si>
  <si>
    <t>Total ingresos investigación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</si>
</sst>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16"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sz val="11"/>
      <color theme="1"/>
      <name val="Calibri"/>
      <family val="2"/>
      <scheme val="minor"/>
    </font>
    <font>
      <b/>
      <sz val="10"/>
      <color theme="0"/>
      <name val="Arial"/>
      <family val="2"/>
    </font>
    <font>
      <b/>
      <sz val="10"/>
      <color theme="1"/>
      <name val="Arial"/>
      <family val="2"/>
    </font>
    <font>
      <b/>
      <sz val="11"/>
      <color theme="1"/>
      <name val="Calibri"/>
      <family val="2"/>
      <scheme val="minor"/>
    </font>
    <font>
      <b/>
      <sz val="11"/>
      <color theme="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FF00"/>
        <bgColor theme="9" tint="0.79998168889431442"/>
      </patternFill>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1" fillId="0" borderId="0" applyFont="0" applyFill="0" applyBorder="0" applyAlignment="0" applyProtection="0"/>
  </cellStyleXfs>
  <cellXfs count="76">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9" fillId="0" borderId="0" xfId="5" applyFont="1"/>
    <xf numFmtId="0" fontId="9" fillId="0" borderId="0" xfId="5" applyFont="1" applyAlignment="1">
      <alignment horizontal="right"/>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2" fillId="4" borderId="1" xfId="1" applyFill="1" applyBorder="1"/>
    <xf numFmtId="0" fontId="2" fillId="4" borderId="1" xfId="1" applyFill="1" applyBorder="1" applyAlignment="1">
      <alignment horizontal="right"/>
    </xf>
    <xf numFmtId="0" fontId="2" fillId="0" borderId="1" xfId="1" applyBorder="1"/>
    <xf numFmtId="0" fontId="2" fillId="4" borderId="2" xfId="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4" borderId="3" xfId="1" applyFill="1" applyBorder="1"/>
    <xf numFmtId="0" fontId="10" fillId="6" borderId="1"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10" fillId="6" borderId="6" xfId="0" applyFont="1" applyFill="1" applyBorder="1" applyAlignment="1">
      <alignment horizontal="left" vertical="center"/>
    </xf>
    <xf numFmtId="166" fontId="2" fillId="4" borderId="2" xfId="1" applyNumberFormat="1" applyFill="1" applyBorder="1"/>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6" fillId="0" borderId="1" xfId="0" applyFont="1" applyBorder="1"/>
    <xf numFmtId="0" fontId="2" fillId="0" borderId="1" xfId="0" applyFont="1" applyBorder="1"/>
    <xf numFmtId="0" fontId="2" fillId="2" borderId="0" xfId="1" applyFill="1"/>
    <xf numFmtId="0" fontId="2" fillId="2" borderId="0" xfId="1" applyFill="1" applyAlignment="1">
      <alignment horizontal="right"/>
    </xf>
    <xf numFmtId="0" fontId="0" fillId="7" borderId="0" xfId="0" applyFill="1" applyAlignment="1">
      <alignment wrapText="1"/>
    </xf>
    <xf numFmtId="43" fontId="6" fillId="9" borderId="7" xfId="6" applyNumberFormat="1" applyFont="1" applyFill="1" applyBorder="1"/>
    <xf numFmtId="43" fontId="6" fillId="0" borderId="7" xfId="6" applyNumberFormat="1" applyFont="1" applyBorder="1"/>
    <xf numFmtId="0" fontId="9" fillId="9" borderId="7" xfId="0" applyFont="1" applyFill="1" applyBorder="1"/>
    <xf numFmtId="0" fontId="9" fillId="0" borderId="7" xfId="0" applyFont="1" applyBorder="1"/>
    <xf numFmtId="43" fontId="0" fillId="0" borderId="0" xfId="0" applyNumberFormat="1"/>
    <xf numFmtId="0" fontId="6" fillId="0" borderId="1" xfId="0" applyFont="1" applyBorder="1" applyAlignment="1">
      <alignment horizontal="center"/>
    </xf>
    <xf numFmtId="0" fontId="0" fillId="11" borderId="0" xfId="0" applyFill="1"/>
    <xf numFmtId="0" fontId="0" fillId="11" borderId="0" xfId="0" applyFill="1" applyAlignment="1">
      <alignment horizontal="left"/>
    </xf>
    <xf numFmtId="165" fontId="3" fillId="2" borderId="0" xfId="1" applyNumberFormat="1" applyFont="1" applyFill="1"/>
    <xf numFmtId="0" fontId="14" fillId="11" borderId="0" xfId="0" applyFont="1" applyFill="1"/>
    <xf numFmtId="43" fontId="6" fillId="10" borderId="7" xfId="6" applyNumberFormat="1" applyFont="1" applyFill="1" applyBorder="1"/>
    <xf numFmtId="0" fontId="12" fillId="8" borderId="8" xfId="0" applyFont="1" applyFill="1" applyBorder="1"/>
    <xf numFmtId="0" fontId="9" fillId="0" borderId="9" xfId="0" applyFont="1" applyBorder="1"/>
    <xf numFmtId="43" fontId="6" fillId="0" borderId="9" xfId="6" applyNumberFormat="1" applyFont="1" applyBorder="1"/>
    <xf numFmtId="43" fontId="6" fillId="0" borderId="9" xfId="0" applyNumberFormat="1" applyFont="1" applyBorder="1"/>
    <xf numFmtId="0" fontId="0" fillId="9" borderId="7" xfId="0" applyNumberFormat="1" applyFont="1" applyFill="1" applyBorder="1"/>
    <xf numFmtId="43" fontId="0" fillId="9" borderId="7" xfId="6" applyNumberFormat="1" applyFont="1" applyFill="1" applyBorder="1"/>
    <xf numFmtId="0" fontId="0" fillId="0" borderId="7" xfId="0" applyNumberFormat="1" applyFont="1" applyBorder="1"/>
    <xf numFmtId="43" fontId="0" fillId="0" borderId="7" xfId="6" applyNumberFormat="1" applyFont="1" applyBorder="1"/>
    <xf numFmtId="0" fontId="15" fillId="8" borderId="8" xfId="0" applyFont="1" applyFill="1" applyBorder="1"/>
    <xf numFmtId="43" fontId="15" fillId="8" borderId="8" xfId="6" applyNumberFormat="1" applyFont="1" applyFill="1" applyBorder="1"/>
    <xf numFmtId="0" fontId="0" fillId="0" borderId="9" xfId="0" applyNumberFormat="1" applyFont="1" applyBorder="1"/>
    <xf numFmtId="43" fontId="0" fillId="0" borderId="9" xfId="6" applyNumberFormat="1" applyFont="1" applyBorder="1"/>
    <xf numFmtId="0" fontId="0" fillId="0" borderId="9" xfId="0" applyFont="1" applyBorder="1"/>
    <xf numFmtId="43" fontId="11" fillId="0" borderId="9" xfId="0" applyNumberFormat="1" applyFont="1" applyBorder="1"/>
    <xf numFmtId="0" fontId="14" fillId="0" borderId="1" xfId="0" applyFont="1" applyBorder="1"/>
    <xf numFmtId="164" fontId="14" fillId="0" borderId="1" xfId="6" applyFont="1" applyBorder="1"/>
    <xf numFmtId="2" fontId="2" fillId="4" borderId="1" xfId="1" applyNumberFormat="1" applyFill="1" applyBorder="1"/>
    <xf numFmtId="2" fontId="2" fillId="0" borderId="1" xfId="0" applyNumberFormat="1" applyFont="1" applyBorder="1"/>
    <xf numFmtId="0" fontId="12" fillId="12" borderId="10" xfId="0" applyFont="1" applyFill="1" applyBorder="1"/>
    <xf numFmtId="0" fontId="12" fillId="12" borderId="11" xfId="0" applyFont="1" applyFill="1" applyBorder="1"/>
    <xf numFmtId="0" fontId="9" fillId="13" borderId="10" xfId="0" applyFont="1" applyFill="1" applyBorder="1"/>
    <xf numFmtId="0" fontId="9" fillId="13" borderId="11" xfId="0" applyFont="1" applyFill="1" applyBorder="1"/>
    <xf numFmtId="164" fontId="9" fillId="13" borderId="11" xfId="6" applyFont="1" applyFill="1" applyBorder="1"/>
    <xf numFmtId="0" fontId="9" fillId="0" borderId="10" xfId="0" applyFont="1" applyBorder="1"/>
    <xf numFmtId="0" fontId="9" fillId="0" borderId="11" xfId="0" applyFont="1" applyBorder="1"/>
    <xf numFmtId="164" fontId="9" fillId="0" borderId="11" xfId="6" applyFont="1" applyBorder="1"/>
    <xf numFmtId="0" fontId="13" fillId="0" borderId="12" xfId="0" applyFont="1" applyBorder="1"/>
    <xf numFmtId="0" fontId="13" fillId="0" borderId="13" xfId="0" applyFont="1" applyBorder="1"/>
    <xf numFmtId="164" fontId="13" fillId="0" borderId="13" xfId="6"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19">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0"/>
        <color auto="1"/>
        <name val="Arial"/>
        <family val="2"/>
        <scheme val="none"/>
      </font>
      <border diagonalUp="0" diagonalDown="0" outline="0">
        <left/>
        <right/>
        <top/>
        <bottom/>
      </border>
    </dxf>
    <dxf>
      <font>
        <b val="0"/>
        <i val="0"/>
        <strike val="0"/>
        <condense val="0"/>
        <extend val="0"/>
        <outline val="0"/>
        <shadow val="0"/>
        <u val="none"/>
        <vertAlign val="baseline"/>
        <sz val="10"/>
        <color auto="1"/>
        <name val="Arial"/>
        <family val="2"/>
        <scheme val="none"/>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0D6469-C19E-43A1-8E54-79E781A120D4}" name="Tabla2" displayName="Tabla2" ref="A1:C60" totalsRowCount="1" headerRowDxfId="18" headerRowBorderDxfId="17" tableBorderDxfId="16" totalsRowBorderDxfId="15">
  <autoFilter ref="A1:C59" xr:uid="{C3EC4792-2392-403B-821A-11E3403AE504}"/>
  <tableColumns count="3">
    <tableColumn id="1" xr3:uid="{C5452945-B404-4CE7-BBAA-45855472A337}" name="Cód. org. aplic." totalsRowLabel="Total" dataDxfId="14" totalsRowDxfId="13"/>
    <tableColumn id="2" xr3:uid="{101A4AF1-4B62-4518-A6EB-111F6DF4B224}" name="Descripción justificante" dataDxfId="12" totalsRowDxfId="11"/>
    <tableColumn id="3" xr3:uid="{072E78EE-7557-48FB-91D4-2CFBB8BF2BFD}" name="Imp.cob.aplic." totalsRowFunction="sum" dataDxfId="10" totalsRowDxfId="9" dataCellStyle="Millares" totalsRowCellStyle="Millares"/>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996CBB-2423-4693-8B53-A1ABD0D502B2}" name="Tabla3" displayName="Tabla3" ref="A1:C58" totalsRowCount="1" headerRowBorderDxfId="8" tableBorderDxfId="7" totalsRowBorderDxfId="6">
  <autoFilter ref="A1:C57" xr:uid="{10D83F1C-EB8B-4009-BA63-54A9018D2776}"/>
  <tableColumns count="3">
    <tableColumn id="1" xr3:uid="{918FACB6-AFE7-4E7C-8C94-94A2864699CD}" name="Org. aplic." totalsRowLabel="Total" dataDxfId="5" totalsRowDxfId="4"/>
    <tableColumn id="2" xr3:uid="{6DF1C404-B282-4D15-8D43-DA8E12B7354B}" name="Descripción justificante" dataDxfId="3" totalsRowDxfId="2"/>
    <tableColumn id="3" xr3:uid="{915B9CE4-D681-4905-B473-41BBD11DDE58}"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7"/>
  <sheetViews>
    <sheetView showGridLines="0" zoomScale="120" zoomScaleNormal="120" workbookViewId="0">
      <pane xSplit="1" ySplit="1" topLeftCell="C43" activePane="bottomRight" state="frozen"/>
      <selection pane="topRight" activeCell="B1" sqref="B1"/>
      <selection pane="bottomLeft" activeCell="A2" sqref="A2"/>
      <selection pane="bottomRight" activeCell="D66" sqref="D66"/>
    </sheetView>
  </sheetViews>
  <sheetFormatPr baseColWidth="10" defaultColWidth="10.33203125" defaultRowHeight="10.199999999999999" x14ac:dyDescent="0.2"/>
  <cols>
    <col min="1" max="1" width="5" style="6" customWidth="1"/>
    <col min="2" max="4" width="29.6640625" style="6" customWidth="1"/>
    <col min="5" max="5" width="40.6640625" style="6" customWidth="1"/>
    <col min="6" max="6" width="9.109375" style="6" customWidth="1"/>
    <col min="7" max="7" width="9.6640625" style="6" customWidth="1"/>
    <col min="8" max="8" width="14.44140625" style="6" customWidth="1"/>
    <col min="9" max="9" width="5.88671875" style="6" customWidth="1"/>
    <col min="10" max="10" width="25.6640625" style="6" customWidth="1"/>
    <col min="11" max="12" width="5.109375" style="6" customWidth="1"/>
    <col min="13" max="13" width="4.44140625" style="6" customWidth="1"/>
    <col min="14" max="14" width="4.88671875" style="6" customWidth="1"/>
    <col min="15" max="15" width="4.88671875" style="7" customWidth="1"/>
    <col min="16" max="16" width="4.88671875" style="6" customWidth="1"/>
    <col min="17" max="17" width="3.5546875" style="7" customWidth="1"/>
    <col min="18" max="18" width="5.44140625" style="6" customWidth="1"/>
    <col min="19" max="21" width="5.109375" style="6" customWidth="1"/>
    <col min="22" max="16384" width="10.33203125" style="6"/>
  </cols>
  <sheetData>
    <row r="1" spans="1:21" ht="40.799999999999997"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1" x14ac:dyDescent="0.2">
      <c r="A2" s="18" t="s">
        <v>29</v>
      </c>
      <c r="B2" s="18" t="s">
        <v>30</v>
      </c>
      <c r="C2" s="18" t="s">
        <v>31</v>
      </c>
      <c r="D2" s="18" t="s">
        <v>90</v>
      </c>
      <c r="E2" s="18" t="s">
        <v>89</v>
      </c>
      <c r="F2" s="18" t="s">
        <v>88</v>
      </c>
      <c r="G2" s="18" t="s">
        <v>44</v>
      </c>
      <c r="H2" s="18" t="s">
        <v>25</v>
      </c>
      <c r="I2" s="18" t="s">
        <v>32</v>
      </c>
      <c r="J2" s="18" t="s">
        <v>33</v>
      </c>
      <c r="K2" s="27">
        <v>1</v>
      </c>
      <c r="L2" s="18" t="s">
        <v>34</v>
      </c>
      <c r="M2" s="18">
        <v>2019</v>
      </c>
      <c r="N2" s="18" t="s">
        <v>28</v>
      </c>
      <c r="O2" s="19" t="s">
        <v>27</v>
      </c>
      <c r="P2" s="18" t="s">
        <v>24</v>
      </c>
      <c r="Q2" s="19" t="s">
        <v>24</v>
      </c>
      <c r="R2" s="20">
        <v>80</v>
      </c>
      <c r="S2" s="21">
        <v>0.8</v>
      </c>
      <c r="T2" s="21">
        <v>0.2</v>
      </c>
      <c r="U2" s="21">
        <v>0</v>
      </c>
    </row>
    <row r="3" spans="1:21" x14ac:dyDescent="0.2">
      <c r="A3" s="18" t="s">
        <v>39</v>
      </c>
      <c r="B3" s="18" t="s">
        <v>40</v>
      </c>
      <c r="C3" s="18" t="s">
        <v>41</v>
      </c>
      <c r="D3" s="18" t="s">
        <v>101</v>
      </c>
      <c r="E3" s="18" t="s">
        <v>100</v>
      </c>
      <c r="F3" s="18" t="s">
        <v>94</v>
      </c>
      <c r="G3" s="18" t="s">
        <v>38</v>
      </c>
      <c r="H3" s="18" t="s">
        <v>22</v>
      </c>
      <c r="I3" s="18" t="s">
        <v>32</v>
      </c>
      <c r="J3" s="18" t="s">
        <v>33</v>
      </c>
      <c r="K3" s="27">
        <v>0.5</v>
      </c>
      <c r="L3" s="18" t="s">
        <v>34</v>
      </c>
      <c r="M3" s="18">
        <v>2019</v>
      </c>
      <c r="N3" s="18" t="s">
        <v>28</v>
      </c>
      <c r="O3" s="19" t="s">
        <v>23</v>
      </c>
      <c r="P3" s="18" t="s">
        <v>24</v>
      </c>
      <c r="Q3" s="19" t="s">
        <v>24</v>
      </c>
      <c r="R3" s="20">
        <v>50</v>
      </c>
      <c r="S3" s="21">
        <v>0.25</v>
      </c>
      <c r="T3" s="21">
        <v>0.25</v>
      </c>
      <c r="U3" s="21">
        <v>0</v>
      </c>
    </row>
    <row r="4" spans="1:21" x14ac:dyDescent="0.2">
      <c r="A4" s="18" t="s">
        <v>39</v>
      </c>
      <c r="B4" s="18" t="s">
        <v>40</v>
      </c>
      <c r="C4" s="18" t="s">
        <v>41</v>
      </c>
      <c r="D4" s="18" t="s">
        <v>99</v>
      </c>
      <c r="E4" s="18" t="s">
        <v>92</v>
      </c>
      <c r="F4" s="18" t="s">
        <v>98</v>
      </c>
      <c r="G4" s="18" t="s">
        <v>97</v>
      </c>
      <c r="H4" s="18" t="s">
        <v>25</v>
      </c>
      <c r="I4" s="18" t="s">
        <v>32</v>
      </c>
      <c r="J4" s="18" t="s">
        <v>33</v>
      </c>
      <c r="K4" s="27">
        <v>1</v>
      </c>
      <c r="L4" s="18" t="s">
        <v>34</v>
      </c>
      <c r="M4" s="18">
        <v>2019</v>
      </c>
      <c r="N4" s="18" t="s">
        <v>28</v>
      </c>
      <c r="O4" s="19" t="s">
        <v>27</v>
      </c>
      <c r="P4" s="18" t="s">
        <v>24</v>
      </c>
      <c r="Q4" s="19" t="s">
        <v>24</v>
      </c>
      <c r="R4" s="20">
        <v>80</v>
      </c>
      <c r="S4" s="21">
        <v>0.8</v>
      </c>
      <c r="T4" s="21">
        <v>0.2</v>
      </c>
      <c r="U4" s="21">
        <v>0</v>
      </c>
    </row>
    <row r="5" spans="1:21" x14ac:dyDescent="0.2">
      <c r="A5" s="18" t="s">
        <v>39</v>
      </c>
      <c r="B5" s="18" t="s">
        <v>40</v>
      </c>
      <c r="C5" s="18" t="s">
        <v>41</v>
      </c>
      <c r="D5" s="18" t="s">
        <v>93</v>
      </c>
      <c r="E5" s="18" t="s">
        <v>112</v>
      </c>
      <c r="F5" s="18" t="s">
        <v>91</v>
      </c>
      <c r="G5" s="18" t="s">
        <v>46</v>
      </c>
      <c r="H5" s="18" t="s">
        <v>22</v>
      </c>
      <c r="I5" s="18" t="s">
        <v>32</v>
      </c>
      <c r="J5" s="18" t="s">
        <v>33</v>
      </c>
      <c r="K5" s="27">
        <v>0.5</v>
      </c>
      <c r="L5" s="18" t="s">
        <v>34</v>
      </c>
      <c r="M5" s="18">
        <v>2019</v>
      </c>
      <c r="N5" s="18" t="s">
        <v>28</v>
      </c>
      <c r="O5" s="19" t="s">
        <v>27</v>
      </c>
      <c r="P5" s="18" t="s">
        <v>24</v>
      </c>
      <c r="Q5" s="19" t="s">
        <v>24</v>
      </c>
      <c r="R5" s="20">
        <v>80</v>
      </c>
      <c r="S5" s="21">
        <v>0.4</v>
      </c>
      <c r="T5" s="21">
        <v>0.1</v>
      </c>
      <c r="U5" s="21">
        <v>0</v>
      </c>
    </row>
    <row r="6" spans="1:21" x14ac:dyDescent="0.2">
      <c r="A6" s="18" t="s">
        <v>39</v>
      </c>
      <c r="B6" s="18" t="s">
        <v>40</v>
      </c>
      <c r="C6" s="18" t="s">
        <v>41</v>
      </c>
      <c r="D6" s="18" t="s">
        <v>96</v>
      </c>
      <c r="E6" s="18" t="s">
        <v>95</v>
      </c>
      <c r="F6" s="18" t="s">
        <v>94</v>
      </c>
      <c r="G6" s="18" t="s">
        <v>38</v>
      </c>
      <c r="H6" s="18" t="s">
        <v>22</v>
      </c>
      <c r="I6" s="18" t="s">
        <v>32</v>
      </c>
      <c r="J6" s="18" t="s">
        <v>33</v>
      </c>
      <c r="K6" s="27">
        <v>0.5</v>
      </c>
      <c r="L6" s="18" t="s">
        <v>34</v>
      </c>
      <c r="M6" s="18">
        <v>2019</v>
      </c>
      <c r="N6" s="18" t="s">
        <v>28</v>
      </c>
      <c r="O6" s="19" t="s">
        <v>23</v>
      </c>
      <c r="P6" s="18" t="s">
        <v>24</v>
      </c>
      <c r="Q6" s="19" t="s">
        <v>24</v>
      </c>
      <c r="R6" s="20">
        <v>50</v>
      </c>
      <c r="S6" s="21">
        <v>0.25</v>
      </c>
      <c r="T6" s="21">
        <v>0.25</v>
      </c>
      <c r="U6" s="21">
        <v>0</v>
      </c>
    </row>
    <row r="7" spans="1:21" x14ac:dyDescent="0.2">
      <c r="A7" s="18" t="s">
        <v>39</v>
      </c>
      <c r="B7" s="18" t="s">
        <v>40</v>
      </c>
      <c r="C7" s="18" t="s">
        <v>41</v>
      </c>
      <c r="D7" s="18" t="s">
        <v>104</v>
      </c>
      <c r="E7" s="18" t="s">
        <v>103</v>
      </c>
      <c r="F7" s="18" t="s">
        <v>102</v>
      </c>
      <c r="G7" s="18" t="s">
        <v>43</v>
      </c>
      <c r="H7" s="18" t="s">
        <v>22</v>
      </c>
      <c r="I7" s="18" t="s">
        <v>32</v>
      </c>
      <c r="J7" s="18" t="s">
        <v>33</v>
      </c>
      <c r="K7" s="27">
        <v>0.5</v>
      </c>
      <c r="L7" s="18" t="s">
        <v>34</v>
      </c>
      <c r="M7" s="18">
        <v>2019</v>
      </c>
      <c r="N7" s="18" t="s">
        <v>28</v>
      </c>
      <c r="O7" s="19" t="s">
        <v>27</v>
      </c>
      <c r="P7" s="18" t="s">
        <v>24</v>
      </c>
      <c r="Q7" s="19" t="s">
        <v>24</v>
      </c>
      <c r="R7" s="20">
        <v>80</v>
      </c>
      <c r="S7" s="21">
        <v>0.4</v>
      </c>
      <c r="T7" s="21">
        <v>0.1</v>
      </c>
      <c r="U7" s="21">
        <v>0</v>
      </c>
    </row>
    <row r="8" spans="1:21" x14ac:dyDescent="0.2">
      <c r="A8" s="18" t="s">
        <v>39</v>
      </c>
      <c r="B8" s="18" t="s">
        <v>40</v>
      </c>
      <c r="C8" s="18" t="s">
        <v>41</v>
      </c>
      <c r="D8" s="18" t="s">
        <v>108</v>
      </c>
      <c r="E8" s="18" t="s">
        <v>107</v>
      </c>
      <c r="F8" s="18" t="s">
        <v>106</v>
      </c>
      <c r="G8" s="18" t="s">
        <v>37</v>
      </c>
      <c r="H8" s="18" t="s">
        <v>22</v>
      </c>
      <c r="I8" s="18" t="s">
        <v>32</v>
      </c>
      <c r="J8" s="18" t="s">
        <v>33</v>
      </c>
      <c r="K8" s="27">
        <v>0.5</v>
      </c>
      <c r="L8" s="18" t="s">
        <v>34</v>
      </c>
      <c r="M8" s="18">
        <v>2019</v>
      </c>
      <c r="N8" s="18" t="s">
        <v>28</v>
      </c>
      <c r="O8" s="19" t="s">
        <v>23</v>
      </c>
      <c r="P8" s="18" t="s">
        <v>24</v>
      </c>
      <c r="Q8" s="19" t="s">
        <v>24</v>
      </c>
      <c r="R8" s="20">
        <v>50</v>
      </c>
      <c r="S8" s="21">
        <v>0.25</v>
      </c>
      <c r="T8" s="21">
        <v>0.25</v>
      </c>
      <c r="U8" s="21">
        <v>0</v>
      </c>
    </row>
    <row r="9" spans="1:21" x14ac:dyDescent="0.2">
      <c r="A9" s="18" t="s">
        <v>39</v>
      </c>
      <c r="B9" s="18" t="s">
        <v>40</v>
      </c>
      <c r="C9" s="18" t="s">
        <v>41</v>
      </c>
      <c r="D9" s="18" t="s">
        <v>108</v>
      </c>
      <c r="E9" s="18" t="s">
        <v>107</v>
      </c>
      <c r="F9" s="18" t="s">
        <v>106</v>
      </c>
      <c r="G9" s="18" t="s">
        <v>105</v>
      </c>
      <c r="H9" s="18" t="s">
        <v>22</v>
      </c>
      <c r="I9" s="18" t="s">
        <v>32</v>
      </c>
      <c r="J9" s="18" t="s">
        <v>33</v>
      </c>
      <c r="K9" s="27">
        <v>0.5</v>
      </c>
      <c r="L9" s="18" t="s">
        <v>34</v>
      </c>
      <c r="M9" s="18">
        <v>2019</v>
      </c>
      <c r="N9" s="18" t="s">
        <v>28</v>
      </c>
      <c r="O9" s="19" t="s">
        <v>27</v>
      </c>
      <c r="P9" s="18" t="s">
        <v>24</v>
      </c>
      <c r="Q9" s="19" t="s">
        <v>24</v>
      </c>
      <c r="R9" s="20">
        <v>80</v>
      </c>
      <c r="S9" s="21">
        <v>0.4</v>
      </c>
      <c r="T9" s="21">
        <v>0.1</v>
      </c>
      <c r="U9" s="21">
        <v>0</v>
      </c>
    </row>
    <row r="10" spans="1:21" x14ac:dyDescent="0.2">
      <c r="A10" s="18" t="s">
        <v>39</v>
      </c>
      <c r="B10" s="18" t="s">
        <v>40</v>
      </c>
      <c r="C10" s="18" t="s">
        <v>41</v>
      </c>
      <c r="D10" s="18" t="s">
        <v>87</v>
      </c>
      <c r="E10" s="18" t="s">
        <v>86</v>
      </c>
      <c r="F10" s="18" t="s">
        <v>85</v>
      </c>
      <c r="G10" s="18" t="s">
        <v>35</v>
      </c>
      <c r="H10" s="18" t="s">
        <v>22</v>
      </c>
      <c r="I10" s="18" t="s">
        <v>32</v>
      </c>
      <c r="J10" s="18" t="s">
        <v>33</v>
      </c>
      <c r="K10" s="27">
        <v>0.5</v>
      </c>
      <c r="L10" s="18" t="s">
        <v>34</v>
      </c>
      <c r="M10" s="18">
        <v>2019</v>
      </c>
      <c r="N10" s="18" t="s">
        <v>28</v>
      </c>
      <c r="O10" s="19" t="s">
        <v>27</v>
      </c>
      <c r="P10" s="18" t="s">
        <v>24</v>
      </c>
      <c r="Q10" s="19" t="s">
        <v>24</v>
      </c>
      <c r="R10" s="20">
        <v>80</v>
      </c>
      <c r="S10" s="21">
        <v>0.4</v>
      </c>
      <c r="T10" s="21">
        <v>0.1</v>
      </c>
      <c r="U10" s="21">
        <v>0</v>
      </c>
    </row>
    <row r="11" spans="1:21" x14ac:dyDescent="0.2">
      <c r="A11" s="18" t="s">
        <v>39</v>
      </c>
      <c r="B11" s="18" t="s">
        <v>40</v>
      </c>
      <c r="C11" s="18" t="s">
        <v>41</v>
      </c>
      <c r="D11" s="18" t="s">
        <v>84</v>
      </c>
      <c r="E11" s="18" t="s">
        <v>83</v>
      </c>
      <c r="F11" s="18" t="s">
        <v>82</v>
      </c>
      <c r="G11" s="18" t="s">
        <v>43</v>
      </c>
      <c r="H11" s="18" t="s">
        <v>22</v>
      </c>
      <c r="I11" s="18" t="s">
        <v>32</v>
      </c>
      <c r="J11" s="18" t="s">
        <v>33</v>
      </c>
      <c r="K11" s="27">
        <v>0.5</v>
      </c>
      <c r="L11" s="18" t="s">
        <v>34</v>
      </c>
      <c r="M11" s="18">
        <v>2019</v>
      </c>
      <c r="N11" s="18" t="s">
        <v>28</v>
      </c>
      <c r="O11" s="19" t="s">
        <v>27</v>
      </c>
      <c r="P11" s="18" t="s">
        <v>24</v>
      </c>
      <c r="Q11" s="19" t="s">
        <v>24</v>
      </c>
      <c r="R11" s="20">
        <v>80</v>
      </c>
      <c r="S11" s="21">
        <v>0.4</v>
      </c>
      <c r="T11" s="21">
        <v>0.1</v>
      </c>
      <c r="U11" s="21">
        <v>0</v>
      </c>
    </row>
    <row r="12" spans="1:21" x14ac:dyDescent="0.2">
      <c r="A12" s="15" t="s">
        <v>39</v>
      </c>
      <c r="B12" s="15" t="s">
        <v>40</v>
      </c>
      <c r="C12" s="15" t="s">
        <v>41</v>
      </c>
      <c r="D12" s="15" t="s">
        <v>113</v>
      </c>
      <c r="E12" s="15" t="s">
        <v>114</v>
      </c>
      <c r="F12" s="15" t="s">
        <v>115</v>
      </c>
      <c r="G12" s="15" t="s">
        <v>35</v>
      </c>
      <c r="H12" s="15" t="s">
        <v>22</v>
      </c>
      <c r="I12" s="15" t="s">
        <v>32</v>
      </c>
      <c r="J12" s="15" t="s">
        <v>33</v>
      </c>
      <c r="K12" s="17">
        <v>0.5</v>
      </c>
      <c r="L12" s="17" t="s">
        <v>34</v>
      </c>
      <c r="M12" s="22">
        <v>2019</v>
      </c>
      <c r="N12" s="15" t="s">
        <v>28</v>
      </c>
      <c r="O12" s="16">
        <v>20</v>
      </c>
      <c r="P12" s="15" t="s">
        <v>24</v>
      </c>
      <c r="Q12" s="16">
        <v>0</v>
      </c>
      <c r="R12" s="15">
        <v>80</v>
      </c>
      <c r="S12" s="15">
        <v>0.4</v>
      </c>
      <c r="T12" s="15">
        <v>0.1</v>
      </c>
      <c r="U12" s="15">
        <v>0</v>
      </c>
    </row>
    <row r="13" spans="1:21" x14ac:dyDescent="0.2">
      <c r="A13" s="15" t="s">
        <v>39</v>
      </c>
      <c r="B13" s="15" t="s">
        <v>40</v>
      </c>
      <c r="C13" s="15" t="s">
        <v>41</v>
      </c>
      <c r="D13" s="15" t="s">
        <v>113</v>
      </c>
      <c r="E13" s="15" t="s">
        <v>114</v>
      </c>
      <c r="F13" s="15" t="s">
        <v>115</v>
      </c>
      <c r="G13" s="15" t="s">
        <v>37</v>
      </c>
      <c r="H13" s="15" t="s">
        <v>22</v>
      </c>
      <c r="I13" s="15" t="s">
        <v>32</v>
      </c>
      <c r="J13" s="15" t="s">
        <v>33</v>
      </c>
      <c r="K13" s="17">
        <v>0.5</v>
      </c>
      <c r="L13" s="17" t="s">
        <v>34</v>
      </c>
      <c r="M13" s="22">
        <v>2019</v>
      </c>
      <c r="N13" s="15" t="s">
        <v>28</v>
      </c>
      <c r="O13" s="16">
        <v>50</v>
      </c>
      <c r="P13" s="15" t="s">
        <v>24</v>
      </c>
      <c r="Q13" s="16">
        <v>0</v>
      </c>
      <c r="R13" s="15">
        <v>50</v>
      </c>
      <c r="S13" s="15">
        <v>0.25</v>
      </c>
      <c r="T13" s="15">
        <v>0.25</v>
      </c>
      <c r="U13" s="15">
        <v>0</v>
      </c>
    </row>
    <row r="14" spans="1:21" x14ac:dyDescent="0.2">
      <c r="A14" s="15" t="s">
        <v>39</v>
      </c>
      <c r="B14" s="15" t="s">
        <v>40</v>
      </c>
      <c r="C14" s="15" t="s">
        <v>41</v>
      </c>
      <c r="D14" s="15" t="s">
        <v>116</v>
      </c>
      <c r="E14" s="15" t="s">
        <v>117</v>
      </c>
      <c r="F14" s="15" t="s">
        <v>118</v>
      </c>
      <c r="G14" s="15" t="s">
        <v>47</v>
      </c>
      <c r="H14" s="15" t="s">
        <v>25</v>
      </c>
      <c r="I14" s="15" t="s">
        <v>32</v>
      </c>
      <c r="J14" s="15" t="s">
        <v>33</v>
      </c>
      <c r="K14" s="17">
        <v>1</v>
      </c>
      <c r="L14" s="17" t="s">
        <v>34</v>
      </c>
      <c r="M14" s="22">
        <v>2019</v>
      </c>
      <c r="N14" s="15" t="s">
        <v>28</v>
      </c>
      <c r="O14" s="16">
        <v>20</v>
      </c>
      <c r="P14" s="15" t="s">
        <v>24</v>
      </c>
      <c r="Q14" s="16">
        <v>0</v>
      </c>
      <c r="R14" s="15">
        <v>80</v>
      </c>
      <c r="S14" s="15">
        <v>0.8</v>
      </c>
      <c r="T14" s="15">
        <v>0.2</v>
      </c>
      <c r="U14" s="15">
        <v>0</v>
      </c>
    </row>
    <row r="15" spans="1:21" x14ac:dyDescent="0.2">
      <c r="A15" s="15" t="s">
        <v>39</v>
      </c>
      <c r="B15" s="15" t="s">
        <v>40</v>
      </c>
      <c r="C15" s="15" t="s">
        <v>41</v>
      </c>
      <c r="D15" s="15" t="s">
        <v>119</v>
      </c>
      <c r="E15" s="15" t="s">
        <v>120</v>
      </c>
      <c r="F15" s="15" t="s">
        <v>115</v>
      </c>
      <c r="G15" s="15" t="s">
        <v>35</v>
      </c>
      <c r="H15" s="15" t="s">
        <v>22</v>
      </c>
      <c r="I15" s="15" t="s">
        <v>32</v>
      </c>
      <c r="J15" s="15" t="s">
        <v>33</v>
      </c>
      <c r="K15" s="17">
        <v>0.5</v>
      </c>
      <c r="L15" s="17" t="s">
        <v>34</v>
      </c>
      <c r="M15" s="22">
        <v>2019</v>
      </c>
      <c r="N15" s="15" t="s">
        <v>28</v>
      </c>
      <c r="O15" s="16">
        <v>20</v>
      </c>
      <c r="P15" s="15" t="s">
        <v>24</v>
      </c>
      <c r="Q15" s="16">
        <v>0</v>
      </c>
      <c r="R15" s="15">
        <v>80</v>
      </c>
      <c r="S15" s="15">
        <v>0.4</v>
      </c>
      <c r="T15" s="15">
        <v>0.1</v>
      </c>
      <c r="U15" s="15">
        <v>0</v>
      </c>
    </row>
    <row r="16" spans="1:21" ht="10.8" thickBot="1" x14ac:dyDescent="0.25">
      <c r="A16" s="15" t="s">
        <v>39</v>
      </c>
      <c r="B16" s="15" t="s">
        <v>40</v>
      </c>
      <c r="C16" s="15" t="s">
        <v>41</v>
      </c>
      <c r="D16" s="15" t="s">
        <v>119</v>
      </c>
      <c r="E16" s="15" t="s">
        <v>120</v>
      </c>
      <c r="F16" s="15" t="s">
        <v>115</v>
      </c>
      <c r="G16" s="15" t="s">
        <v>37</v>
      </c>
      <c r="H16" s="15" t="s">
        <v>22</v>
      </c>
      <c r="I16" s="15" t="s">
        <v>32</v>
      </c>
      <c r="J16" s="15" t="s">
        <v>33</v>
      </c>
      <c r="K16" s="17">
        <v>0.5</v>
      </c>
      <c r="L16" s="17" t="s">
        <v>34</v>
      </c>
      <c r="M16" s="22">
        <v>2019</v>
      </c>
      <c r="N16" s="15" t="s">
        <v>28</v>
      </c>
      <c r="O16" s="16">
        <v>50</v>
      </c>
      <c r="P16" s="15" t="s">
        <v>24</v>
      </c>
      <c r="Q16" s="16">
        <v>0</v>
      </c>
      <c r="R16" s="15">
        <v>50</v>
      </c>
      <c r="S16" s="15">
        <v>0.25</v>
      </c>
      <c r="T16" s="15">
        <v>0.25</v>
      </c>
      <c r="U16" s="15">
        <v>0</v>
      </c>
    </row>
    <row r="17" spans="1:21" ht="10.8" thickBot="1" x14ac:dyDescent="0.25">
      <c r="A17" s="23" t="s">
        <v>39</v>
      </c>
      <c r="B17" s="23" t="s">
        <v>40</v>
      </c>
      <c r="C17" s="23" t="s">
        <v>41</v>
      </c>
      <c r="D17" s="23" t="s">
        <v>121</v>
      </c>
      <c r="E17" s="23" t="s">
        <v>122</v>
      </c>
      <c r="F17" s="23" t="s">
        <v>123</v>
      </c>
      <c r="G17" s="24" t="s">
        <v>36</v>
      </c>
      <c r="H17" s="25" t="s">
        <v>22</v>
      </c>
      <c r="I17" s="25" t="s">
        <v>32</v>
      </c>
      <c r="J17" s="26" t="s">
        <v>33</v>
      </c>
      <c r="K17" s="17">
        <v>0.5</v>
      </c>
      <c r="L17" s="17" t="s">
        <v>34</v>
      </c>
      <c r="M17" s="15">
        <v>2020</v>
      </c>
      <c r="N17" s="15" t="s">
        <v>28</v>
      </c>
      <c r="O17" s="16">
        <v>20</v>
      </c>
      <c r="P17" s="15" t="s">
        <v>26</v>
      </c>
      <c r="Q17" s="16">
        <v>10</v>
      </c>
      <c r="R17" s="15">
        <v>70</v>
      </c>
      <c r="S17" s="15">
        <v>0.35</v>
      </c>
      <c r="T17" s="15">
        <v>0.1</v>
      </c>
      <c r="U17" s="15">
        <v>0.05</v>
      </c>
    </row>
    <row r="18" spans="1:21" ht="10.8" thickBot="1" x14ac:dyDescent="0.25">
      <c r="A18" s="23" t="s">
        <v>39</v>
      </c>
      <c r="B18" s="23" t="s">
        <v>40</v>
      </c>
      <c r="C18" s="23" t="s">
        <v>41</v>
      </c>
      <c r="D18" s="23" t="s">
        <v>124</v>
      </c>
      <c r="E18" s="23" t="s">
        <v>125</v>
      </c>
      <c r="F18" s="23" t="s">
        <v>126</v>
      </c>
      <c r="G18" s="24" t="s">
        <v>127</v>
      </c>
      <c r="H18" s="25" t="s">
        <v>22</v>
      </c>
      <c r="I18" s="25" t="s">
        <v>32</v>
      </c>
      <c r="J18" s="26" t="s">
        <v>33</v>
      </c>
      <c r="K18" s="17">
        <v>0.5</v>
      </c>
      <c r="L18" s="17" t="s">
        <v>34</v>
      </c>
      <c r="M18" s="15">
        <v>2020</v>
      </c>
      <c r="N18" s="15" t="s">
        <v>26</v>
      </c>
      <c r="O18" s="16">
        <v>10</v>
      </c>
      <c r="P18" s="15" t="s">
        <v>28</v>
      </c>
      <c r="Q18" s="16">
        <v>10</v>
      </c>
      <c r="R18" s="15">
        <v>80</v>
      </c>
      <c r="S18" s="15">
        <v>0.4</v>
      </c>
      <c r="T18" s="15">
        <v>0.05</v>
      </c>
      <c r="U18" s="15">
        <v>0.05</v>
      </c>
    </row>
    <row r="19" spans="1:21" ht="10.8" thickBot="1" x14ac:dyDescent="0.25">
      <c r="A19" s="23" t="s">
        <v>39</v>
      </c>
      <c r="B19" s="23" t="s">
        <v>40</v>
      </c>
      <c r="C19" s="23" t="s">
        <v>41</v>
      </c>
      <c r="D19" s="23" t="s">
        <v>128</v>
      </c>
      <c r="E19" s="23" t="s">
        <v>129</v>
      </c>
      <c r="F19" s="23" t="s">
        <v>130</v>
      </c>
      <c r="G19" s="24" t="s">
        <v>42</v>
      </c>
      <c r="H19" s="25" t="s">
        <v>22</v>
      </c>
      <c r="I19" s="25" t="s">
        <v>32</v>
      </c>
      <c r="J19" s="26" t="s">
        <v>33</v>
      </c>
      <c r="K19" s="17">
        <v>0.5</v>
      </c>
      <c r="L19" s="17" t="s">
        <v>34</v>
      </c>
      <c r="M19" s="15">
        <v>2020</v>
      </c>
      <c r="N19" s="15" t="s">
        <v>28</v>
      </c>
      <c r="O19" s="16">
        <v>20</v>
      </c>
      <c r="P19" s="15" t="s">
        <v>24</v>
      </c>
      <c r="Q19" s="16">
        <v>0</v>
      </c>
      <c r="R19" s="15">
        <v>80</v>
      </c>
      <c r="S19" s="15">
        <v>0.4</v>
      </c>
      <c r="T19" s="15">
        <v>0.1</v>
      </c>
      <c r="U19" s="15">
        <v>0</v>
      </c>
    </row>
    <row r="20" spans="1:21" ht="10.8" thickBot="1" x14ac:dyDescent="0.25">
      <c r="A20" s="23" t="s">
        <v>39</v>
      </c>
      <c r="B20" s="23" t="s">
        <v>40</v>
      </c>
      <c r="C20" s="23" t="s">
        <v>41</v>
      </c>
      <c r="D20" s="23" t="s">
        <v>128</v>
      </c>
      <c r="E20" s="23" t="s">
        <v>129</v>
      </c>
      <c r="F20" s="23" t="s">
        <v>130</v>
      </c>
      <c r="G20" s="24" t="s">
        <v>48</v>
      </c>
      <c r="H20" s="25" t="s">
        <v>22</v>
      </c>
      <c r="I20" s="25" t="s">
        <v>32</v>
      </c>
      <c r="J20" s="26" t="s">
        <v>33</v>
      </c>
      <c r="K20" s="17">
        <v>0.5</v>
      </c>
      <c r="L20" s="17" t="s">
        <v>34</v>
      </c>
      <c r="M20" s="15">
        <v>2020</v>
      </c>
      <c r="N20" s="15" t="s">
        <v>28</v>
      </c>
      <c r="O20" s="16">
        <v>20</v>
      </c>
      <c r="P20" s="15" t="s">
        <v>24</v>
      </c>
      <c r="Q20" s="16">
        <v>0</v>
      </c>
      <c r="R20" s="15">
        <v>80</v>
      </c>
      <c r="S20" s="15">
        <v>0.4</v>
      </c>
      <c r="T20" s="15">
        <v>0.1</v>
      </c>
      <c r="U20" s="15">
        <v>0</v>
      </c>
    </row>
    <row r="21" spans="1:21" ht="10.8" thickBot="1" x14ac:dyDescent="0.25">
      <c r="A21" s="23" t="s">
        <v>39</v>
      </c>
      <c r="B21" s="23" t="s">
        <v>40</v>
      </c>
      <c r="C21" s="23" t="s">
        <v>41</v>
      </c>
      <c r="D21" s="23" t="s">
        <v>131</v>
      </c>
      <c r="E21" s="23" t="s">
        <v>132</v>
      </c>
      <c r="F21" s="23" t="s">
        <v>133</v>
      </c>
      <c r="G21" s="24" t="s">
        <v>37</v>
      </c>
      <c r="H21" s="25" t="s">
        <v>22</v>
      </c>
      <c r="I21" s="25" t="s">
        <v>32</v>
      </c>
      <c r="J21" s="26" t="s">
        <v>33</v>
      </c>
      <c r="K21" s="17">
        <v>0.5</v>
      </c>
      <c r="L21" s="17" t="s">
        <v>34</v>
      </c>
      <c r="M21" s="15">
        <v>2020</v>
      </c>
      <c r="N21" s="15" t="s">
        <v>28</v>
      </c>
      <c r="O21" s="16">
        <v>50</v>
      </c>
      <c r="P21" s="15" t="s">
        <v>24</v>
      </c>
      <c r="Q21" s="16">
        <v>0</v>
      </c>
      <c r="R21" s="15">
        <v>50</v>
      </c>
      <c r="S21" s="15">
        <v>0.25</v>
      </c>
      <c r="T21" s="15">
        <v>0.25</v>
      </c>
      <c r="U21" s="15">
        <v>0</v>
      </c>
    </row>
    <row r="22" spans="1:21" ht="10.8" thickBot="1" x14ac:dyDescent="0.25">
      <c r="A22" s="23" t="s">
        <v>39</v>
      </c>
      <c r="B22" s="23" t="s">
        <v>40</v>
      </c>
      <c r="C22" s="23" t="s">
        <v>41</v>
      </c>
      <c r="D22" s="23" t="s">
        <v>131</v>
      </c>
      <c r="E22" s="23" t="s">
        <v>132</v>
      </c>
      <c r="F22" s="23" t="s">
        <v>133</v>
      </c>
      <c r="G22" s="24" t="s">
        <v>43</v>
      </c>
      <c r="H22" s="25" t="s">
        <v>22</v>
      </c>
      <c r="I22" s="25" t="s">
        <v>32</v>
      </c>
      <c r="J22" s="26" t="s">
        <v>33</v>
      </c>
      <c r="K22" s="17">
        <v>0.5</v>
      </c>
      <c r="L22" s="17" t="s">
        <v>34</v>
      </c>
      <c r="M22" s="15">
        <v>2020</v>
      </c>
      <c r="N22" s="15" t="s">
        <v>28</v>
      </c>
      <c r="O22" s="16">
        <v>20</v>
      </c>
      <c r="P22" s="15" t="s">
        <v>24</v>
      </c>
      <c r="Q22" s="16">
        <v>0</v>
      </c>
      <c r="R22" s="15">
        <v>80</v>
      </c>
      <c r="S22" s="15">
        <v>0.4</v>
      </c>
      <c r="T22" s="15">
        <v>0.1</v>
      </c>
      <c r="U22" s="15">
        <v>0</v>
      </c>
    </row>
    <row r="23" spans="1:21" ht="10.8" thickBot="1" x14ac:dyDescent="0.25">
      <c r="A23" s="23" t="s">
        <v>39</v>
      </c>
      <c r="B23" s="23" t="s">
        <v>40</v>
      </c>
      <c r="C23" s="23" t="s">
        <v>41</v>
      </c>
      <c r="D23" s="23" t="s">
        <v>134</v>
      </c>
      <c r="E23" s="23" t="s">
        <v>146</v>
      </c>
      <c r="F23" s="23" t="s">
        <v>135</v>
      </c>
      <c r="G23" s="24" t="s">
        <v>36</v>
      </c>
      <c r="H23" s="25" t="s">
        <v>25</v>
      </c>
      <c r="I23" s="25" t="s">
        <v>32</v>
      </c>
      <c r="J23" s="26" t="s">
        <v>33</v>
      </c>
      <c r="K23" s="17">
        <v>1</v>
      </c>
      <c r="L23" s="17" t="s">
        <v>34</v>
      </c>
      <c r="M23" s="15">
        <v>2020</v>
      </c>
      <c r="N23" s="15" t="s">
        <v>28</v>
      </c>
      <c r="O23" s="16">
        <v>20</v>
      </c>
      <c r="P23" s="15" t="s">
        <v>26</v>
      </c>
      <c r="Q23" s="16">
        <v>10</v>
      </c>
      <c r="R23" s="15">
        <v>70</v>
      </c>
      <c r="S23" s="15">
        <v>0.7</v>
      </c>
      <c r="T23" s="15">
        <v>0.2</v>
      </c>
      <c r="U23" s="15">
        <v>0.1</v>
      </c>
    </row>
    <row r="24" spans="1:21" ht="10.8" thickBot="1" x14ac:dyDescent="0.25">
      <c r="A24" s="23" t="s">
        <v>39</v>
      </c>
      <c r="B24" s="23" t="s">
        <v>40</v>
      </c>
      <c r="C24" s="23" t="s">
        <v>41</v>
      </c>
      <c r="D24" s="23" t="s">
        <v>136</v>
      </c>
      <c r="E24" s="23" t="s">
        <v>137</v>
      </c>
      <c r="F24" s="23" t="s">
        <v>138</v>
      </c>
      <c r="G24" s="24" t="s">
        <v>36</v>
      </c>
      <c r="H24" s="25" t="s">
        <v>25</v>
      </c>
      <c r="I24" s="25" t="s">
        <v>32</v>
      </c>
      <c r="J24" s="26" t="s">
        <v>33</v>
      </c>
      <c r="K24" s="17">
        <v>1</v>
      </c>
      <c r="L24" s="17" t="s">
        <v>34</v>
      </c>
      <c r="M24" s="15">
        <v>2020</v>
      </c>
      <c r="N24" s="15" t="s">
        <v>28</v>
      </c>
      <c r="O24" s="16">
        <v>20</v>
      </c>
      <c r="P24" s="15" t="s">
        <v>26</v>
      </c>
      <c r="Q24" s="16">
        <v>10</v>
      </c>
      <c r="R24" s="15">
        <v>70</v>
      </c>
      <c r="S24" s="15">
        <v>0.7</v>
      </c>
      <c r="T24" s="15">
        <v>0.2</v>
      </c>
      <c r="U24" s="15">
        <v>0.1</v>
      </c>
    </row>
    <row r="25" spans="1:21" x14ac:dyDescent="0.2">
      <c r="A25" s="15" t="s">
        <v>39</v>
      </c>
      <c r="B25" s="15" t="s">
        <v>40</v>
      </c>
      <c r="C25" s="15" t="s">
        <v>41</v>
      </c>
      <c r="D25" s="15" t="s">
        <v>147</v>
      </c>
      <c r="E25" s="15" t="s">
        <v>148</v>
      </c>
      <c r="F25" s="15" t="s">
        <v>149</v>
      </c>
      <c r="G25" s="15" t="s">
        <v>127</v>
      </c>
      <c r="H25" s="15" t="s">
        <v>22</v>
      </c>
      <c r="I25" s="15" t="s">
        <v>32</v>
      </c>
      <c r="J25" s="15" t="s">
        <v>33</v>
      </c>
      <c r="K25" s="17">
        <v>0.5</v>
      </c>
      <c r="L25" s="17" t="s">
        <v>34</v>
      </c>
      <c r="M25" s="15">
        <v>2021</v>
      </c>
      <c r="N25" s="15" t="s">
        <v>26</v>
      </c>
      <c r="O25" s="16">
        <v>10</v>
      </c>
      <c r="P25" s="15" t="s">
        <v>28</v>
      </c>
      <c r="Q25" s="16">
        <v>10</v>
      </c>
      <c r="R25" s="15">
        <v>80</v>
      </c>
      <c r="S25" s="15">
        <v>0.4</v>
      </c>
      <c r="T25" s="15">
        <v>0.05</v>
      </c>
      <c r="U25" s="15">
        <v>0.05</v>
      </c>
    </row>
    <row r="26" spans="1:21" x14ac:dyDescent="0.2">
      <c r="A26" s="15" t="s">
        <v>39</v>
      </c>
      <c r="B26" s="15" t="s">
        <v>40</v>
      </c>
      <c r="C26" s="15" t="s">
        <v>41</v>
      </c>
      <c r="D26" s="15" t="s">
        <v>150</v>
      </c>
      <c r="E26" s="15" t="s">
        <v>151</v>
      </c>
      <c r="F26" s="15" t="s">
        <v>152</v>
      </c>
      <c r="G26" s="15" t="s">
        <v>46</v>
      </c>
      <c r="H26" s="15" t="s">
        <v>22</v>
      </c>
      <c r="I26" s="15" t="s">
        <v>32</v>
      </c>
      <c r="J26" s="15" t="s">
        <v>33</v>
      </c>
      <c r="K26" s="17">
        <v>0.5</v>
      </c>
      <c r="L26" s="17" t="s">
        <v>34</v>
      </c>
      <c r="M26" s="15">
        <v>2021</v>
      </c>
      <c r="N26" s="15" t="s">
        <v>28</v>
      </c>
      <c r="O26" s="16">
        <v>20</v>
      </c>
      <c r="P26" s="15" t="s">
        <v>24</v>
      </c>
      <c r="Q26" s="16">
        <v>0</v>
      </c>
      <c r="R26" s="15">
        <v>80</v>
      </c>
      <c r="S26" s="15">
        <v>0.4</v>
      </c>
      <c r="T26" s="15">
        <v>0.1</v>
      </c>
      <c r="U26" s="15">
        <v>0</v>
      </c>
    </row>
    <row r="27" spans="1:21" x14ac:dyDescent="0.2">
      <c r="A27" s="15" t="s">
        <v>39</v>
      </c>
      <c r="B27" s="15" t="s">
        <v>40</v>
      </c>
      <c r="C27" s="15" t="s">
        <v>41</v>
      </c>
      <c r="D27" s="15" t="s">
        <v>150</v>
      </c>
      <c r="E27" s="15" t="s">
        <v>151</v>
      </c>
      <c r="F27" s="15" t="s">
        <v>152</v>
      </c>
      <c r="G27" s="15" t="s">
        <v>153</v>
      </c>
      <c r="H27" s="15" t="s">
        <v>22</v>
      </c>
      <c r="I27" s="15" t="s">
        <v>32</v>
      </c>
      <c r="J27" s="15" t="s">
        <v>33</v>
      </c>
      <c r="K27" s="17">
        <v>0.5</v>
      </c>
      <c r="L27" s="17" t="s">
        <v>34</v>
      </c>
      <c r="M27" s="15">
        <v>2021</v>
      </c>
      <c r="N27" s="15" t="s">
        <v>28</v>
      </c>
      <c r="O27" s="16">
        <v>20</v>
      </c>
      <c r="P27" s="15" t="s">
        <v>24</v>
      </c>
      <c r="Q27" s="16">
        <v>0</v>
      </c>
      <c r="R27" s="15">
        <v>80</v>
      </c>
      <c r="S27" s="15">
        <v>0.4</v>
      </c>
      <c r="T27" s="15">
        <v>0.1</v>
      </c>
      <c r="U27" s="15">
        <v>0</v>
      </c>
    </row>
    <row r="28" spans="1:21" x14ac:dyDescent="0.2">
      <c r="A28" s="15" t="s">
        <v>39</v>
      </c>
      <c r="B28" s="15" t="s">
        <v>40</v>
      </c>
      <c r="C28" s="15" t="s">
        <v>41</v>
      </c>
      <c r="D28" s="15" t="s">
        <v>154</v>
      </c>
      <c r="E28" s="15" t="s">
        <v>155</v>
      </c>
      <c r="F28" s="15" t="s">
        <v>156</v>
      </c>
      <c r="G28" s="15" t="s">
        <v>44</v>
      </c>
      <c r="H28" s="15" t="s">
        <v>25</v>
      </c>
      <c r="I28" s="15" t="s">
        <v>32</v>
      </c>
      <c r="J28" s="15" t="s">
        <v>33</v>
      </c>
      <c r="K28" s="17">
        <v>1</v>
      </c>
      <c r="L28" s="17" t="s">
        <v>34</v>
      </c>
      <c r="M28" s="15">
        <v>2021</v>
      </c>
      <c r="N28" s="15" t="s">
        <v>28</v>
      </c>
      <c r="O28" s="16">
        <v>20</v>
      </c>
      <c r="P28" s="15" t="s">
        <v>24</v>
      </c>
      <c r="Q28" s="16">
        <v>0</v>
      </c>
      <c r="R28" s="15">
        <v>80</v>
      </c>
      <c r="S28" s="15">
        <v>0.8</v>
      </c>
      <c r="T28" s="15">
        <v>0.2</v>
      </c>
      <c r="U28" s="15">
        <v>0</v>
      </c>
    </row>
    <row r="29" spans="1:21" x14ac:dyDescent="0.2">
      <c r="A29" s="15" t="s">
        <v>39</v>
      </c>
      <c r="B29" s="15" t="s">
        <v>164</v>
      </c>
      <c r="C29" s="15" t="s">
        <v>41</v>
      </c>
      <c r="D29" s="15" t="s">
        <v>165</v>
      </c>
      <c r="E29" s="15" t="s">
        <v>166</v>
      </c>
      <c r="F29" s="15" t="s">
        <v>167</v>
      </c>
      <c r="G29" s="15" t="s">
        <v>36</v>
      </c>
      <c r="H29" s="15" t="s">
        <v>22</v>
      </c>
      <c r="I29" s="15" t="s">
        <v>32</v>
      </c>
      <c r="J29" s="15" t="s">
        <v>33</v>
      </c>
      <c r="K29" s="32">
        <v>0.5</v>
      </c>
      <c r="L29" s="32" t="s">
        <v>34</v>
      </c>
      <c r="M29" s="15">
        <v>2021</v>
      </c>
      <c r="N29" s="32" t="s">
        <v>28</v>
      </c>
      <c r="O29" s="32">
        <v>20</v>
      </c>
      <c r="P29" s="32" t="s">
        <v>26</v>
      </c>
      <c r="Q29" s="32">
        <v>10</v>
      </c>
      <c r="R29" s="32">
        <v>70</v>
      </c>
      <c r="S29" s="32">
        <v>0.35</v>
      </c>
      <c r="T29" s="32">
        <v>0.1</v>
      </c>
      <c r="U29" s="32">
        <v>0.05</v>
      </c>
    </row>
    <row r="30" spans="1:21" x14ac:dyDescent="0.2">
      <c r="A30" s="15" t="s">
        <v>39</v>
      </c>
      <c r="B30" s="15" t="s">
        <v>164</v>
      </c>
      <c r="C30" s="15" t="s">
        <v>41</v>
      </c>
      <c r="D30" s="15" t="s">
        <v>168</v>
      </c>
      <c r="E30" s="15" t="s">
        <v>169</v>
      </c>
      <c r="F30" s="15" t="s">
        <v>170</v>
      </c>
      <c r="G30" s="15" t="s">
        <v>35</v>
      </c>
      <c r="H30" s="15" t="s">
        <v>22</v>
      </c>
      <c r="I30" s="15" t="s">
        <v>32</v>
      </c>
      <c r="J30" s="15" t="s">
        <v>33</v>
      </c>
      <c r="K30" s="32">
        <v>0.5</v>
      </c>
      <c r="L30" s="32" t="s">
        <v>34</v>
      </c>
      <c r="M30" s="15">
        <v>2021</v>
      </c>
      <c r="N30" s="32" t="s">
        <v>28</v>
      </c>
      <c r="O30" s="32">
        <v>20</v>
      </c>
      <c r="P30" s="32" t="s">
        <v>24</v>
      </c>
      <c r="Q30" s="32">
        <v>0</v>
      </c>
      <c r="R30" s="32">
        <v>80</v>
      </c>
      <c r="S30" s="32">
        <v>0.4</v>
      </c>
      <c r="T30" s="32">
        <v>0.1</v>
      </c>
      <c r="U30" s="32">
        <v>0</v>
      </c>
    </row>
    <row r="31" spans="1:21" x14ac:dyDescent="0.2">
      <c r="A31" s="15" t="s">
        <v>39</v>
      </c>
      <c r="B31" s="15" t="s">
        <v>164</v>
      </c>
      <c r="C31" s="15" t="s">
        <v>41</v>
      </c>
      <c r="D31" s="15" t="s">
        <v>171</v>
      </c>
      <c r="E31" s="15" t="s">
        <v>172</v>
      </c>
      <c r="F31" s="15" t="s">
        <v>173</v>
      </c>
      <c r="G31" s="15" t="s">
        <v>35</v>
      </c>
      <c r="H31" s="15" t="s">
        <v>25</v>
      </c>
      <c r="I31" s="15" t="s">
        <v>32</v>
      </c>
      <c r="J31" s="15" t="s">
        <v>33</v>
      </c>
      <c r="K31" s="32">
        <v>1</v>
      </c>
      <c r="L31" s="32" t="s">
        <v>34</v>
      </c>
      <c r="M31" s="15">
        <v>2022</v>
      </c>
      <c r="N31" s="32" t="s">
        <v>28</v>
      </c>
      <c r="O31" s="32">
        <v>20</v>
      </c>
      <c r="P31" s="32" t="s">
        <v>24</v>
      </c>
      <c r="Q31" s="32">
        <v>0</v>
      </c>
      <c r="R31" s="32">
        <v>80</v>
      </c>
      <c r="S31" s="32">
        <v>0.8</v>
      </c>
      <c r="T31" s="32">
        <v>0.2</v>
      </c>
      <c r="U31" s="32">
        <v>0</v>
      </c>
    </row>
    <row r="32" spans="1:21" x14ac:dyDescent="0.2">
      <c r="A32" s="15" t="s">
        <v>39</v>
      </c>
      <c r="B32" s="15" t="s">
        <v>164</v>
      </c>
      <c r="C32" s="15" t="s">
        <v>41</v>
      </c>
      <c r="D32" s="15" t="s">
        <v>174</v>
      </c>
      <c r="E32" s="15" t="s">
        <v>175</v>
      </c>
      <c r="F32" s="15" t="s">
        <v>176</v>
      </c>
      <c r="G32" s="15" t="s">
        <v>35</v>
      </c>
      <c r="H32" s="15" t="s">
        <v>22</v>
      </c>
      <c r="I32" s="15" t="s">
        <v>32</v>
      </c>
      <c r="J32" s="15" t="s">
        <v>33</v>
      </c>
      <c r="K32" s="32">
        <v>0.5</v>
      </c>
      <c r="L32" s="32" t="s">
        <v>34</v>
      </c>
      <c r="M32" s="15">
        <v>2022</v>
      </c>
      <c r="N32" s="32" t="s">
        <v>28</v>
      </c>
      <c r="O32" s="32">
        <v>20</v>
      </c>
      <c r="P32" s="32" t="s">
        <v>24</v>
      </c>
      <c r="Q32" s="32">
        <v>0</v>
      </c>
      <c r="R32" s="32">
        <v>80</v>
      </c>
      <c r="S32" s="32">
        <v>0.4</v>
      </c>
      <c r="T32" s="32">
        <v>0.1</v>
      </c>
      <c r="U32" s="32">
        <v>0</v>
      </c>
    </row>
    <row r="33" spans="1:21" x14ac:dyDescent="0.2">
      <c r="A33" s="15" t="s">
        <v>39</v>
      </c>
      <c r="B33" s="15" t="s">
        <v>164</v>
      </c>
      <c r="C33" s="15" t="s">
        <v>41</v>
      </c>
      <c r="D33" s="15" t="s">
        <v>177</v>
      </c>
      <c r="E33" s="15" t="s">
        <v>178</v>
      </c>
      <c r="F33" s="15" t="s">
        <v>179</v>
      </c>
      <c r="G33" s="15" t="s">
        <v>35</v>
      </c>
      <c r="H33" s="15" t="s">
        <v>22</v>
      </c>
      <c r="I33" s="15" t="s">
        <v>32</v>
      </c>
      <c r="J33" s="15" t="s">
        <v>33</v>
      </c>
      <c r="K33" s="32">
        <v>0.5</v>
      </c>
      <c r="L33" s="32" t="s">
        <v>34</v>
      </c>
      <c r="M33" s="15">
        <v>2022</v>
      </c>
      <c r="N33" s="32" t="s">
        <v>28</v>
      </c>
      <c r="O33" s="32">
        <v>20</v>
      </c>
      <c r="P33" s="32" t="s">
        <v>24</v>
      </c>
      <c r="Q33" s="32">
        <v>0</v>
      </c>
      <c r="R33" s="32">
        <v>80</v>
      </c>
      <c r="S33" s="32">
        <v>0.4</v>
      </c>
      <c r="T33" s="32">
        <v>0.1</v>
      </c>
      <c r="U33" s="32">
        <v>0</v>
      </c>
    </row>
    <row r="34" spans="1:21" x14ac:dyDescent="0.2">
      <c r="A34" s="15" t="s">
        <v>39</v>
      </c>
      <c r="B34" s="15" t="s">
        <v>164</v>
      </c>
      <c r="C34" s="15" t="s">
        <v>41</v>
      </c>
      <c r="D34" s="15" t="s">
        <v>180</v>
      </c>
      <c r="E34" s="15" t="s">
        <v>181</v>
      </c>
      <c r="F34" s="15" t="s">
        <v>179</v>
      </c>
      <c r="G34" s="15" t="s">
        <v>35</v>
      </c>
      <c r="H34" s="15" t="s">
        <v>22</v>
      </c>
      <c r="I34" s="15" t="s">
        <v>32</v>
      </c>
      <c r="J34" s="15" t="s">
        <v>33</v>
      </c>
      <c r="K34" s="32">
        <v>0.5</v>
      </c>
      <c r="L34" s="32" t="s">
        <v>34</v>
      </c>
      <c r="M34" s="15">
        <v>2022</v>
      </c>
      <c r="N34" s="32" t="s">
        <v>28</v>
      </c>
      <c r="O34" s="32">
        <v>20</v>
      </c>
      <c r="P34" s="32" t="s">
        <v>24</v>
      </c>
      <c r="Q34" s="32">
        <v>0</v>
      </c>
      <c r="R34" s="32">
        <v>80</v>
      </c>
      <c r="S34" s="32">
        <v>0.4</v>
      </c>
      <c r="T34" s="32">
        <v>0.1</v>
      </c>
      <c r="U34" s="32">
        <v>0</v>
      </c>
    </row>
    <row r="35" spans="1:21" x14ac:dyDescent="0.2">
      <c r="A35" s="15" t="s">
        <v>39</v>
      </c>
      <c r="B35" s="15" t="s">
        <v>164</v>
      </c>
      <c r="C35" s="15" t="s">
        <v>41</v>
      </c>
      <c r="D35" s="15" t="s">
        <v>182</v>
      </c>
      <c r="E35" s="15" t="s">
        <v>183</v>
      </c>
      <c r="F35" s="15" t="s">
        <v>184</v>
      </c>
      <c r="G35" s="15" t="s">
        <v>42</v>
      </c>
      <c r="H35" s="15" t="s">
        <v>22</v>
      </c>
      <c r="I35" s="15" t="s">
        <v>32</v>
      </c>
      <c r="J35" s="15" t="s">
        <v>33</v>
      </c>
      <c r="K35" s="32">
        <v>0.5</v>
      </c>
      <c r="L35" s="32" t="s">
        <v>34</v>
      </c>
      <c r="M35" s="15">
        <v>2022</v>
      </c>
      <c r="N35" s="32" t="s">
        <v>28</v>
      </c>
      <c r="O35" s="32">
        <v>20</v>
      </c>
      <c r="P35" s="32" t="s">
        <v>24</v>
      </c>
      <c r="Q35" s="32">
        <v>0</v>
      </c>
      <c r="R35" s="32">
        <v>80</v>
      </c>
      <c r="S35" s="32">
        <v>0.4</v>
      </c>
      <c r="T35" s="32">
        <v>0.1</v>
      </c>
      <c r="U35" s="32">
        <v>0</v>
      </c>
    </row>
    <row r="36" spans="1:21" x14ac:dyDescent="0.2">
      <c r="A36" s="15" t="s">
        <v>39</v>
      </c>
      <c r="B36" s="15" t="s">
        <v>164</v>
      </c>
      <c r="C36" s="15" t="s">
        <v>41</v>
      </c>
      <c r="D36" s="15" t="s">
        <v>185</v>
      </c>
      <c r="E36" s="15" t="s">
        <v>186</v>
      </c>
      <c r="F36" s="15" t="s">
        <v>187</v>
      </c>
      <c r="G36" s="15" t="s">
        <v>48</v>
      </c>
      <c r="H36" s="15" t="s">
        <v>25</v>
      </c>
      <c r="I36" s="15" t="s">
        <v>32</v>
      </c>
      <c r="J36" s="15" t="s">
        <v>33</v>
      </c>
      <c r="K36" s="32">
        <v>1</v>
      </c>
      <c r="L36" s="32" t="s">
        <v>34</v>
      </c>
      <c r="M36" s="15">
        <v>2022</v>
      </c>
      <c r="N36" s="32" t="s">
        <v>28</v>
      </c>
      <c r="O36" s="32">
        <v>20</v>
      </c>
      <c r="P36" s="32" t="s">
        <v>24</v>
      </c>
      <c r="Q36" s="32">
        <v>0</v>
      </c>
      <c r="R36" s="32">
        <v>80</v>
      </c>
      <c r="S36" s="32">
        <v>0.8</v>
      </c>
      <c r="T36" s="32">
        <v>0.2</v>
      </c>
      <c r="U36" s="32">
        <v>0</v>
      </c>
    </row>
    <row r="37" spans="1:21" x14ac:dyDescent="0.2">
      <c r="A37" s="15" t="s">
        <v>39</v>
      </c>
      <c r="B37" s="15" t="s">
        <v>164</v>
      </c>
      <c r="C37" s="15" t="s">
        <v>41</v>
      </c>
      <c r="D37" s="15" t="s">
        <v>188</v>
      </c>
      <c r="E37" s="15" t="s">
        <v>189</v>
      </c>
      <c r="F37" s="15" t="s">
        <v>190</v>
      </c>
      <c r="G37" s="15" t="s">
        <v>35</v>
      </c>
      <c r="H37" s="15" t="s">
        <v>22</v>
      </c>
      <c r="I37" s="15" t="s">
        <v>32</v>
      </c>
      <c r="J37" s="15" t="s">
        <v>33</v>
      </c>
      <c r="K37" s="32">
        <v>0.5</v>
      </c>
      <c r="L37" s="32" t="s">
        <v>34</v>
      </c>
      <c r="M37" s="15">
        <v>2022</v>
      </c>
      <c r="N37" s="32" t="s">
        <v>28</v>
      </c>
      <c r="O37" s="32">
        <v>20</v>
      </c>
      <c r="P37" s="32" t="s">
        <v>24</v>
      </c>
      <c r="Q37" s="32">
        <v>0</v>
      </c>
      <c r="R37" s="32">
        <v>80</v>
      </c>
      <c r="S37" s="32">
        <v>0.4</v>
      </c>
      <c r="T37" s="32">
        <v>0.1</v>
      </c>
      <c r="U37" s="32">
        <v>0</v>
      </c>
    </row>
    <row r="38" spans="1:21" x14ac:dyDescent="0.2">
      <c r="A38" s="15" t="s">
        <v>191</v>
      </c>
      <c r="B38" s="15" t="s">
        <v>192</v>
      </c>
      <c r="C38" s="15" t="s">
        <v>193</v>
      </c>
      <c r="D38" s="15" t="s">
        <v>194</v>
      </c>
      <c r="E38" s="15" t="s">
        <v>195</v>
      </c>
      <c r="F38" s="15" t="s">
        <v>196</v>
      </c>
      <c r="G38" s="15" t="s">
        <v>127</v>
      </c>
      <c r="H38" s="15" t="s">
        <v>22</v>
      </c>
      <c r="I38" s="15" t="s">
        <v>32</v>
      </c>
      <c r="J38" s="15" t="s">
        <v>33</v>
      </c>
      <c r="K38" s="32">
        <v>0.5</v>
      </c>
      <c r="L38" s="32" t="s">
        <v>34</v>
      </c>
      <c r="M38" s="15">
        <v>2022</v>
      </c>
      <c r="N38" s="32" t="s">
        <v>26</v>
      </c>
      <c r="O38" s="32">
        <v>10</v>
      </c>
      <c r="P38" s="32" t="s">
        <v>28</v>
      </c>
      <c r="Q38" s="32">
        <v>10</v>
      </c>
      <c r="R38" s="32">
        <v>80</v>
      </c>
      <c r="S38" s="32">
        <v>0.4</v>
      </c>
      <c r="T38" s="32">
        <v>0.05</v>
      </c>
      <c r="U38" s="32">
        <v>0.05</v>
      </c>
    </row>
    <row r="39" spans="1:21" x14ac:dyDescent="0.2">
      <c r="A39" s="15" t="s">
        <v>191</v>
      </c>
      <c r="B39" s="15" t="s">
        <v>192</v>
      </c>
      <c r="C39" s="15" t="s">
        <v>193</v>
      </c>
      <c r="D39" s="15" t="s">
        <v>194</v>
      </c>
      <c r="E39" s="15" t="s">
        <v>195</v>
      </c>
      <c r="F39" s="15" t="s">
        <v>196</v>
      </c>
      <c r="G39" s="15" t="s">
        <v>45</v>
      </c>
      <c r="H39" s="15" t="s">
        <v>22</v>
      </c>
      <c r="I39" s="15" t="s">
        <v>32</v>
      </c>
      <c r="J39" s="15" t="s">
        <v>33</v>
      </c>
      <c r="K39" s="32">
        <v>0.5</v>
      </c>
      <c r="L39" s="32" t="s">
        <v>34</v>
      </c>
      <c r="M39" s="15">
        <v>2022</v>
      </c>
      <c r="N39" s="32" t="s">
        <v>28</v>
      </c>
      <c r="O39" s="32">
        <v>20</v>
      </c>
      <c r="P39" s="32" t="s">
        <v>24</v>
      </c>
      <c r="Q39" s="32">
        <v>0</v>
      </c>
      <c r="R39" s="32">
        <v>80</v>
      </c>
      <c r="S39" s="32">
        <v>0.4</v>
      </c>
      <c r="T39" s="32">
        <v>0.1</v>
      </c>
      <c r="U39" s="32">
        <v>0</v>
      </c>
    </row>
    <row r="40" spans="1:21" x14ac:dyDescent="0.2">
      <c r="A40" s="15" t="s">
        <v>377</v>
      </c>
      <c r="B40" s="15" t="s">
        <v>378</v>
      </c>
      <c r="C40" s="15" t="s">
        <v>379</v>
      </c>
      <c r="D40" s="15" t="s">
        <v>380</v>
      </c>
      <c r="E40" s="15" t="s">
        <v>381</v>
      </c>
      <c r="F40" s="15" t="s">
        <v>382</v>
      </c>
      <c r="G40" s="15" t="s">
        <v>66</v>
      </c>
      <c r="H40" s="15" t="s">
        <v>273</v>
      </c>
      <c r="I40" s="15" t="s">
        <v>34</v>
      </c>
      <c r="J40" s="15" t="s">
        <v>373</v>
      </c>
      <c r="K40" s="32">
        <v>0.33333333333333331</v>
      </c>
      <c r="L40" s="32" t="s">
        <v>34</v>
      </c>
      <c r="M40" s="15">
        <v>2023</v>
      </c>
      <c r="N40" s="32" t="s">
        <v>28</v>
      </c>
      <c r="O40" s="32" t="s">
        <v>27</v>
      </c>
      <c r="P40" s="32" t="s">
        <v>24</v>
      </c>
      <c r="Q40" s="32" t="s">
        <v>24</v>
      </c>
      <c r="R40" s="32">
        <v>80</v>
      </c>
      <c r="S40" s="64">
        <v>0.26666666666666666</v>
      </c>
      <c r="T40" s="64">
        <v>6.6666666666666666E-2</v>
      </c>
      <c r="U40" s="32">
        <v>0</v>
      </c>
    </row>
    <row r="41" spans="1:21" x14ac:dyDescent="0.2">
      <c r="A41" s="15" t="s">
        <v>267</v>
      </c>
      <c r="B41" s="15" t="s">
        <v>268</v>
      </c>
      <c r="C41" s="15" t="s">
        <v>269</v>
      </c>
      <c r="D41" s="15" t="s">
        <v>270</v>
      </c>
      <c r="E41" s="15" t="s">
        <v>271</v>
      </c>
      <c r="F41" s="15" t="s">
        <v>272</v>
      </c>
      <c r="G41" s="15" t="s">
        <v>110</v>
      </c>
      <c r="H41" s="15" t="s">
        <v>273</v>
      </c>
      <c r="I41" s="15" t="s">
        <v>34</v>
      </c>
      <c r="J41" s="15" t="s">
        <v>274</v>
      </c>
      <c r="K41" s="15">
        <v>0.5</v>
      </c>
      <c r="L41" s="15" t="s">
        <v>34</v>
      </c>
      <c r="M41" s="15">
        <v>2023</v>
      </c>
      <c r="N41" s="15" t="s">
        <v>24</v>
      </c>
      <c r="O41" s="15" t="s">
        <v>24</v>
      </c>
      <c r="P41" s="15" t="s">
        <v>24</v>
      </c>
      <c r="Q41" s="15" t="s">
        <v>24</v>
      </c>
      <c r="R41" s="15">
        <v>100</v>
      </c>
      <c r="S41" s="15">
        <v>0.5</v>
      </c>
      <c r="T41" s="15">
        <v>0</v>
      </c>
      <c r="U41" s="15">
        <v>0</v>
      </c>
    </row>
    <row r="42" spans="1:21" x14ac:dyDescent="0.2">
      <c r="A42" s="15" t="s">
        <v>267</v>
      </c>
      <c r="B42" s="15" t="s">
        <v>268</v>
      </c>
      <c r="C42" s="15" t="s">
        <v>269</v>
      </c>
      <c r="D42" s="15" t="s">
        <v>270</v>
      </c>
      <c r="E42" s="15" t="s">
        <v>271</v>
      </c>
      <c r="F42" s="15" t="s">
        <v>272</v>
      </c>
      <c r="G42" s="15" t="s">
        <v>76</v>
      </c>
      <c r="H42" s="15" t="s">
        <v>273</v>
      </c>
      <c r="I42" s="15" t="s">
        <v>34</v>
      </c>
      <c r="J42" s="15" t="s">
        <v>274</v>
      </c>
      <c r="K42" s="15">
        <v>0.5</v>
      </c>
      <c r="L42" s="15" t="s">
        <v>34</v>
      </c>
      <c r="M42" s="15">
        <v>2023</v>
      </c>
      <c r="N42" s="15" t="s">
        <v>28</v>
      </c>
      <c r="O42" s="15" t="s">
        <v>27</v>
      </c>
      <c r="P42" s="15" t="s">
        <v>24</v>
      </c>
      <c r="Q42" s="15" t="s">
        <v>24</v>
      </c>
      <c r="R42" s="15">
        <v>80</v>
      </c>
      <c r="S42" s="15">
        <v>0.4</v>
      </c>
      <c r="T42" s="15">
        <v>0.1</v>
      </c>
      <c r="U42" s="15">
        <v>0</v>
      </c>
    </row>
    <row r="43" spans="1:21" x14ac:dyDescent="0.2">
      <c r="A43" s="15" t="s">
        <v>267</v>
      </c>
      <c r="B43" s="15" t="s">
        <v>268</v>
      </c>
      <c r="C43" s="15" t="s">
        <v>269</v>
      </c>
      <c r="D43" s="15" t="s">
        <v>275</v>
      </c>
      <c r="E43" s="15" t="s">
        <v>276</v>
      </c>
      <c r="F43" s="15" t="s">
        <v>277</v>
      </c>
      <c r="G43" s="15" t="s">
        <v>76</v>
      </c>
      <c r="H43" s="15" t="s">
        <v>273</v>
      </c>
      <c r="I43" s="15" t="s">
        <v>34</v>
      </c>
      <c r="J43" s="15" t="s">
        <v>274</v>
      </c>
      <c r="K43" s="15">
        <v>0.5</v>
      </c>
      <c r="L43" s="15" t="s">
        <v>34</v>
      </c>
      <c r="M43" s="15">
        <v>2023</v>
      </c>
      <c r="N43" s="15" t="s">
        <v>28</v>
      </c>
      <c r="O43" s="15" t="s">
        <v>27</v>
      </c>
      <c r="P43" s="15" t="s">
        <v>24</v>
      </c>
      <c r="Q43" s="15" t="s">
        <v>24</v>
      </c>
      <c r="R43" s="15">
        <v>80</v>
      </c>
      <c r="S43" s="15">
        <v>0.4</v>
      </c>
      <c r="T43" s="15">
        <v>0.1</v>
      </c>
      <c r="U43" s="15">
        <v>0</v>
      </c>
    </row>
    <row r="44" spans="1:21" x14ac:dyDescent="0.2">
      <c r="A44" s="15" t="s">
        <v>267</v>
      </c>
      <c r="B44" s="15" t="s">
        <v>268</v>
      </c>
      <c r="C44" s="15" t="s">
        <v>269</v>
      </c>
      <c r="D44" s="15" t="s">
        <v>275</v>
      </c>
      <c r="E44" s="15" t="s">
        <v>276</v>
      </c>
      <c r="F44" s="15" t="s">
        <v>277</v>
      </c>
      <c r="G44" s="15" t="s">
        <v>72</v>
      </c>
      <c r="H44" s="15" t="s">
        <v>273</v>
      </c>
      <c r="I44" s="15" t="s">
        <v>34</v>
      </c>
      <c r="J44" s="15" t="s">
        <v>274</v>
      </c>
      <c r="K44" s="15">
        <v>0.5</v>
      </c>
      <c r="L44" s="15" t="s">
        <v>34</v>
      </c>
      <c r="M44" s="15">
        <v>2023</v>
      </c>
      <c r="N44" s="15" t="s">
        <v>28</v>
      </c>
      <c r="O44" s="15" t="s">
        <v>27</v>
      </c>
      <c r="P44" s="15" t="s">
        <v>24</v>
      </c>
      <c r="Q44" s="15" t="s">
        <v>24</v>
      </c>
      <c r="R44" s="15">
        <v>80</v>
      </c>
      <c r="S44" s="15">
        <v>0.4</v>
      </c>
      <c r="T44" s="15">
        <v>0.1</v>
      </c>
      <c r="U44" s="15">
        <v>0</v>
      </c>
    </row>
    <row r="45" spans="1:21" x14ac:dyDescent="0.2">
      <c r="A45" s="15" t="s">
        <v>267</v>
      </c>
      <c r="B45" s="15" t="s">
        <v>268</v>
      </c>
      <c r="C45" s="15" t="s">
        <v>269</v>
      </c>
      <c r="D45" s="15" t="s">
        <v>278</v>
      </c>
      <c r="E45" s="15" t="s">
        <v>279</v>
      </c>
      <c r="F45" s="15" t="s">
        <v>280</v>
      </c>
      <c r="G45" s="15" t="s">
        <v>76</v>
      </c>
      <c r="H45" s="15" t="s">
        <v>273</v>
      </c>
      <c r="I45" s="15" t="s">
        <v>34</v>
      </c>
      <c r="J45" s="15" t="s">
        <v>274</v>
      </c>
      <c r="K45" s="15">
        <v>0.5</v>
      </c>
      <c r="L45" s="15" t="s">
        <v>34</v>
      </c>
      <c r="M45" s="15">
        <v>2023</v>
      </c>
      <c r="N45" s="15" t="s">
        <v>28</v>
      </c>
      <c r="O45" s="15" t="s">
        <v>27</v>
      </c>
      <c r="P45" s="15" t="s">
        <v>24</v>
      </c>
      <c r="Q45" s="15" t="s">
        <v>24</v>
      </c>
      <c r="R45" s="15">
        <v>80</v>
      </c>
      <c r="S45" s="15">
        <v>0.4</v>
      </c>
      <c r="T45" s="15">
        <v>0.1</v>
      </c>
      <c r="U45" s="15">
        <v>0</v>
      </c>
    </row>
    <row r="46" spans="1:21" x14ac:dyDescent="0.2">
      <c r="A46" s="15" t="s">
        <v>267</v>
      </c>
      <c r="B46" s="15" t="s">
        <v>268</v>
      </c>
      <c r="C46" s="15" t="s">
        <v>269</v>
      </c>
      <c r="D46" s="15" t="s">
        <v>278</v>
      </c>
      <c r="E46" s="15" t="s">
        <v>279</v>
      </c>
      <c r="F46" s="15" t="s">
        <v>280</v>
      </c>
      <c r="G46" s="15" t="s">
        <v>72</v>
      </c>
      <c r="H46" s="15" t="s">
        <v>273</v>
      </c>
      <c r="I46" s="15" t="s">
        <v>34</v>
      </c>
      <c r="J46" s="15" t="s">
        <v>274</v>
      </c>
      <c r="K46" s="15">
        <v>0.5</v>
      </c>
      <c r="L46" s="15" t="s">
        <v>34</v>
      </c>
      <c r="M46" s="15">
        <v>2023</v>
      </c>
      <c r="N46" s="15" t="s">
        <v>28</v>
      </c>
      <c r="O46" s="15" t="s">
        <v>27</v>
      </c>
      <c r="P46" s="15" t="s">
        <v>24</v>
      </c>
      <c r="Q46" s="15" t="s">
        <v>24</v>
      </c>
      <c r="R46" s="15">
        <v>80</v>
      </c>
      <c r="S46" s="15">
        <v>0.4</v>
      </c>
      <c r="T46" s="15">
        <v>0.1</v>
      </c>
      <c r="U46" s="15">
        <v>0</v>
      </c>
    </row>
    <row r="47" spans="1:21" x14ac:dyDescent="0.2">
      <c r="A47" s="15" t="s">
        <v>267</v>
      </c>
      <c r="B47" s="15" t="s">
        <v>268</v>
      </c>
      <c r="C47" s="15" t="s">
        <v>269</v>
      </c>
      <c r="D47" s="15" t="s">
        <v>281</v>
      </c>
      <c r="E47" s="15" t="s">
        <v>282</v>
      </c>
      <c r="F47" s="15" t="s">
        <v>283</v>
      </c>
      <c r="G47" s="15" t="s">
        <v>80</v>
      </c>
      <c r="H47" s="15" t="s">
        <v>284</v>
      </c>
      <c r="I47" s="15" t="s">
        <v>34</v>
      </c>
      <c r="J47" s="15" t="s">
        <v>274</v>
      </c>
      <c r="K47" s="15">
        <v>1</v>
      </c>
      <c r="L47" s="15" t="s">
        <v>34</v>
      </c>
      <c r="M47" s="15">
        <v>2023</v>
      </c>
      <c r="N47" s="15" t="s">
        <v>24</v>
      </c>
      <c r="O47" s="15" t="s">
        <v>24</v>
      </c>
      <c r="P47" s="15" t="s">
        <v>24</v>
      </c>
      <c r="Q47" s="15" t="s">
        <v>24</v>
      </c>
      <c r="R47" s="15">
        <v>100</v>
      </c>
      <c r="S47" s="15">
        <v>1</v>
      </c>
      <c r="T47" s="15">
        <v>0</v>
      </c>
      <c r="U47" s="15">
        <v>0</v>
      </c>
    </row>
    <row r="48" spans="1:21" x14ac:dyDescent="0.2">
      <c r="A48" s="15" t="s">
        <v>267</v>
      </c>
      <c r="B48" s="15" t="s">
        <v>268</v>
      </c>
      <c r="C48" s="15" t="s">
        <v>269</v>
      </c>
      <c r="D48" s="15" t="s">
        <v>285</v>
      </c>
      <c r="E48" s="15" t="s">
        <v>286</v>
      </c>
      <c r="F48" s="15" t="s">
        <v>287</v>
      </c>
      <c r="G48" s="15" t="s">
        <v>72</v>
      </c>
      <c r="H48" s="15" t="s">
        <v>273</v>
      </c>
      <c r="I48" s="15" t="s">
        <v>34</v>
      </c>
      <c r="J48" s="15" t="s">
        <v>274</v>
      </c>
      <c r="K48" s="15">
        <v>0.5</v>
      </c>
      <c r="L48" s="15" t="s">
        <v>34</v>
      </c>
      <c r="M48" s="15">
        <v>2023</v>
      </c>
      <c r="N48" s="15" t="s">
        <v>28</v>
      </c>
      <c r="O48" s="15" t="s">
        <v>27</v>
      </c>
      <c r="P48" s="15" t="s">
        <v>24</v>
      </c>
      <c r="Q48" s="15" t="s">
        <v>24</v>
      </c>
      <c r="R48" s="15">
        <v>80</v>
      </c>
      <c r="S48" s="15">
        <v>0.4</v>
      </c>
      <c r="T48" s="15">
        <v>0.1</v>
      </c>
      <c r="U48" s="15">
        <v>0</v>
      </c>
    </row>
    <row r="49" spans="1:21" ht="12.75" customHeight="1" x14ac:dyDescent="0.2">
      <c r="A49" s="15" t="s">
        <v>267</v>
      </c>
      <c r="B49" s="15" t="s">
        <v>268</v>
      </c>
      <c r="C49" s="15" t="s">
        <v>269</v>
      </c>
      <c r="D49" s="15" t="s">
        <v>285</v>
      </c>
      <c r="E49" s="15" t="s">
        <v>286</v>
      </c>
      <c r="F49" s="15" t="s">
        <v>287</v>
      </c>
      <c r="G49" s="15" t="s">
        <v>79</v>
      </c>
      <c r="H49" s="15" t="s">
        <v>273</v>
      </c>
      <c r="I49" s="15" t="s">
        <v>34</v>
      </c>
      <c r="J49" s="15" t="s">
        <v>274</v>
      </c>
      <c r="K49" s="15">
        <v>0.5</v>
      </c>
      <c r="L49" s="15" t="s">
        <v>34</v>
      </c>
      <c r="M49" s="15">
        <v>2023</v>
      </c>
      <c r="N49" s="15" t="s">
        <v>28</v>
      </c>
      <c r="O49" s="15" t="s">
        <v>27</v>
      </c>
      <c r="P49" s="15" t="s">
        <v>24</v>
      </c>
      <c r="Q49" s="15" t="s">
        <v>24</v>
      </c>
      <c r="R49" s="15">
        <v>80</v>
      </c>
      <c r="S49" s="15">
        <v>0.4</v>
      </c>
      <c r="T49" s="15">
        <v>0.1</v>
      </c>
      <c r="U49" s="15">
        <v>0</v>
      </c>
    </row>
    <row r="50" spans="1:21" x14ac:dyDescent="0.2">
      <c r="A50" s="15" t="s">
        <v>267</v>
      </c>
      <c r="B50" s="15" t="s">
        <v>268</v>
      </c>
      <c r="C50" s="15" t="s">
        <v>269</v>
      </c>
      <c r="D50" s="15" t="s">
        <v>288</v>
      </c>
      <c r="E50" s="15" t="s">
        <v>289</v>
      </c>
      <c r="F50" s="15" t="s">
        <v>290</v>
      </c>
      <c r="G50" s="15" t="s">
        <v>68</v>
      </c>
      <c r="H50" s="15" t="s">
        <v>273</v>
      </c>
      <c r="I50" s="15" t="s">
        <v>34</v>
      </c>
      <c r="J50" s="15" t="s">
        <v>274</v>
      </c>
      <c r="K50" s="15">
        <v>0.5</v>
      </c>
      <c r="L50" s="15" t="s">
        <v>34</v>
      </c>
      <c r="M50" s="15">
        <v>2023</v>
      </c>
      <c r="N50" s="15" t="s">
        <v>28</v>
      </c>
      <c r="O50" s="15" t="s">
        <v>27</v>
      </c>
      <c r="P50" s="15" t="s">
        <v>24</v>
      </c>
      <c r="Q50" s="15" t="s">
        <v>24</v>
      </c>
      <c r="R50" s="15">
        <v>80</v>
      </c>
      <c r="S50" s="15">
        <v>0.4</v>
      </c>
      <c r="T50" s="15">
        <v>0.1</v>
      </c>
      <c r="U50" s="15">
        <v>0</v>
      </c>
    </row>
    <row r="51" spans="1:21" x14ac:dyDescent="0.2">
      <c r="A51" s="15" t="s">
        <v>267</v>
      </c>
      <c r="B51" s="15" t="s">
        <v>268</v>
      </c>
      <c r="C51" s="15" t="s">
        <v>269</v>
      </c>
      <c r="D51" s="15" t="s">
        <v>288</v>
      </c>
      <c r="E51" s="15" t="s">
        <v>289</v>
      </c>
      <c r="F51" s="15" t="s">
        <v>290</v>
      </c>
      <c r="G51" s="15" t="s">
        <v>62</v>
      </c>
      <c r="H51" s="15" t="s">
        <v>273</v>
      </c>
      <c r="I51" s="15" t="s">
        <v>34</v>
      </c>
      <c r="J51" s="15" t="s">
        <v>274</v>
      </c>
      <c r="K51" s="15">
        <v>0.5</v>
      </c>
      <c r="L51" s="15" t="s">
        <v>34</v>
      </c>
      <c r="M51" s="15">
        <v>2023</v>
      </c>
      <c r="N51" s="15" t="s">
        <v>28</v>
      </c>
      <c r="O51" s="15" t="s">
        <v>23</v>
      </c>
      <c r="P51" s="15" t="s">
        <v>24</v>
      </c>
      <c r="Q51" s="15" t="s">
        <v>24</v>
      </c>
      <c r="R51" s="15">
        <v>50</v>
      </c>
      <c r="S51" s="15">
        <v>0.25</v>
      </c>
      <c r="T51" s="15">
        <v>0.25</v>
      </c>
      <c r="U51" s="15">
        <v>0</v>
      </c>
    </row>
    <row r="52" spans="1:21" x14ac:dyDescent="0.2">
      <c r="A52" s="15" t="s">
        <v>267</v>
      </c>
      <c r="B52" s="15" t="s">
        <v>268</v>
      </c>
      <c r="C52" s="15" t="s">
        <v>269</v>
      </c>
      <c r="D52" s="15" t="s">
        <v>291</v>
      </c>
      <c r="E52" s="15" t="s">
        <v>292</v>
      </c>
      <c r="F52" s="15" t="s">
        <v>293</v>
      </c>
      <c r="G52" s="15" t="s">
        <v>63</v>
      </c>
      <c r="H52" s="15" t="s">
        <v>273</v>
      </c>
      <c r="I52" s="15" t="s">
        <v>34</v>
      </c>
      <c r="J52" s="15" t="s">
        <v>274</v>
      </c>
      <c r="K52" s="15">
        <v>0.33333333333333331</v>
      </c>
      <c r="L52" s="15" t="s">
        <v>34</v>
      </c>
      <c r="M52" s="15">
        <v>2023</v>
      </c>
      <c r="N52" s="15" t="s">
        <v>28</v>
      </c>
      <c r="O52" s="15" t="s">
        <v>27</v>
      </c>
      <c r="P52" s="15" t="s">
        <v>24</v>
      </c>
      <c r="Q52" s="15" t="s">
        <v>24</v>
      </c>
      <c r="R52" s="15">
        <v>80</v>
      </c>
      <c r="S52" s="63">
        <v>0.26666666666666666</v>
      </c>
      <c r="T52" s="63">
        <v>6.6666666666666666E-2</v>
      </c>
      <c r="U52" s="15">
        <v>0</v>
      </c>
    </row>
    <row r="53" spans="1:21" x14ac:dyDescent="0.2">
      <c r="A53" s="15" t="s">
        <v>267</v>
      </c>
      <c r="B53" s="15" t="s">
        <v>268</v>
      </c>
      <c r="C53" s="15" t="s">
        <v>269</v>
      </c>
      <c r="D53" s="15" t="s">
        <v>291</v>
      </c>
      <c r="E53" s="15" t="s">
        <v>292</v>
      </c>
      <c r="F53" s="15" t="s">
        <v>293</v>
      </c>
      <c r="G53" s="15" t="s">
        <v>73</v>
      </c>
      <c r="H53" s="15" t="s">
        <v>273</v>
      </c>
      <c r="I53" s="15" t="s">
        <v>34</v>
      </c>
      <c r="J53" s="15" t="s">
        <v>274</v>
      </c>
      <c r="K53" s="15">
        <v>0.33333333333333331</v>
      </c>
      <c r="L53" s="15" t="s">
        <v>34</v>
      </c>
      <c r="M53" s="15">
        <v>2023</v>
      </c>
      <c r="N53" s="15" t="s">
        <v>28</v>
      </c>
      <c r="O53" s="15" t="s">
        <v>27</v>
      </c>
      <c r="P53" s="15" t="s">
        <v>24</v>
      </c>
      <c r="Q53" s="15" t="s">
        <v>24</v>
      </c>
      <c r="R53" s="15">
        <v>80</v>
      </c>
      <c r="S53" s="63">
        <v>0.26666666666666666</v>
      </c>
      <c r="T53" s="63">
        <v>6.6666666666666666E-2</v>
      </c>
      <c r="U53" s="15">
        <v>0</v>
      </c>
    </row>
    <row r="54" spans="1:21" x14ac:dyDescent="0.2">
      <c r="A54" s="15" t="s">
        <v>267</v>
      </c>
      <c r="B54" s="15" t="s">
        <v>268</v>
      </c>
      <c r="C54" s="15" t="s">
        <v>269</v>
      </c>
      <c r="D54" s="15" t="s">
        <v>370</v>
      </c>
      <c r="E54" s="15" t="s">
        <v>371</v>
      </c>
      <c r="F54" s="15" t="s">
        <v>372</v>
      </c>
      <c r="G54" s="15" t="s">
        <v>76</v>
      </c>
      <c r="H54" s="15" t="s">
        <v>273</v>
      </c>
      <c r="I54" s="15" t="s">
        <v>34</v>
      </c>
      <c r="J54" s="15" t="s">
        <v>373</v>
      </c>
      <c r="K54" s="15">
        <v>0.5</v>
      </c>
      <c r="L54" s="15" t="s">
        <v>34</v>
      </c>
      <c r="M54" s="15">
        <v>2023</v>
      </c>
      <c r="N54" s="15" t="s">
        <v>28</v>
      </c>
      <c r="O54" s="15" t="s">
        <v>27</v>
      </c>
      <c r="P54" s="15" t="s">
        <v>24</v>
      </c>
      <c r="Q54" s="15" t="s">
        <v>24</v>
      </c>
      <c r="R54" s="15">
        <v>80</v>
      </c>
      <c r="S54" s="15">
        <v>0.4</v>
      </c>
      <c r="T54" s="15">
        <v>0.1</v>
      </c>
      <c r="U54" s="15">
        <v>0</v>
      </c>
    </row>
    <row r="55" spans="1:21" x14ac:dyDescent="0.2">
      <c r="A55" s="15" t="s">
        <v>267</v>
      </c>
      <c r="B55" s="15" t="s">
        <v>268</v>
      </c>
      <c r="C55" s="15" t="s">
        <v>269</v>
      </c>
      <c r="D55" s="15" t="s">
        <v>370</v>
      </c>
      <c r="E55" s="15" t="s">
        <v>371</v>
      </c>
      <c r="F55" s="15" t="s">
        <v>372</v>
      </c>
      <c r="G55" s="15" t="s">
        <v>80</v>
      </c>
      <c r="H55" s="15" t="s">
        <v>273</v>
      </c>
      <c r="I55" s="15" t="s">
        <v>34</v>
      </c>
      <c r="J55" s="15" t="s">
        <v>373</v>
      </c>
      <c r="K55" s="15">
        <v>0.5</v>
      </c>
      <c r="L55" s="15" t="s">
        <v>34</v>
      </c>
      <c r="M55" s="15">
        <v>2023</v>
      </c>
      <c r="N55" s="15" t="s">
        <v>24</v>
      </c>
      <c r="O55" s="15" t="s">
        <v>24</v>
      </c>
      <c r="P55" s="15" t="s">
        <v>24</v>
      </c>
      <c r="Q55" s="15" t="s">
        <v>24</v>
      </c>
      <c r="R55" s="15">
        <v>100</v>
      </c>
      <c r="S55" s="15">
        <v>0.5</v>
      </c>
      <c r="T55" s="15">
        <v>0</v>
      </c>
      <c r="U55" s="15">
        <v>0</v>
      </c>
    </row>
    <row r="56" spans="1:21" x14ac:dyDescent="0.2">
      <c r="A56" s="15" t="s">
        <v>267</v>
      </c>
      <c r="B56" s="15" t="s">
        <v>268</v>
      </c>
      <c r="C56" s="15" t="s">
        <v>269</v>
      </c>
      <c r="D56" s="15" t="s">
        <v>374</v>
      </c>
      <c r="E56" s="15" t="s">
        <v>375</v>
      </c>
      <c r="F56" s="15" t="s">
        <v>376</v>
      </c>
      <c r="G56" s="15" t="s">
        <v>63</v>
      </c>
      <c r="H56" s="15" t="s">
        <v>273</v>
      </c>
      <c r="I56" s="15" t="s">
        <v>34</v>
      </c>
      <c r="J56" s="15" t="s">
        <v>373</v>
      </c>
      <c r="K56" s="15">
        <v>0.33333333333333331</v>
      </c>
      <c r="L56" s="15" t="s">
        <v>34</v>
      </c>
      <c r="M56" s="15">
        <v>2023</v>
      </c>
      <c r="N56" s="15" t="s">
        <v>28</v>
      </c>
      <c r="O56" s="15" t="s">
        <v>27</v>
      </c>
      <c r="P56" s="15" t="s">
        <v>24</v>
      </c>
      <c r="Q56" s="15" t="s">
        <v>24</v>
      </c>
      <c r="R56" s="15">
        <v>80</v>
      </c>
      <c r="S56" s="63">
        <v>0.26666666666666666</v>
      </c>
      <c r="T56" s="63">
        <v>6.6666666666666666E-2</v>
      </c>
      <c r="U56" s="15">
        <v>0</v>
      </c>
    </row>
    <row r="57" spans="1:21" x14ac:dyDescent="0.2">
      <c r="A57" s="15" t="s">
        <v>267</v>
      </c>
      <c r="B57" s="15" t="s">
        <v>268</v>
      </c>
      <c r="C57" s="15" t="s">
        <v>269</v>
      </c>
      <c r="D57" s="15" t="s">
        <v>374</v>
      </c>
      <c r="E57" s="15" t="s">
        <v>375</v>
      </c>
      <c r="F57" s="15" t="s">
        <v>376</v>
      </c>
      <c r="G57" s="15" t="s">
        <v>73</v>
      </c>
      <c r="H57" s="15" t="s">
        <v>273</v>
      </c>
      <c r="I57" s="15" t="s">
        <v>34</v>
      </c>
      <c r="J57" s="15" t="s">
        <v>373</v>
      </c>
      <c r="K57" s="15">
        <v>0.33333333333333331</v>
      </c>
      <c r="L57" s="15" t="s">
        <v>34</v>
      </c>
      <c r="M57" s="15">
        <v>2023</v>
      </c>
      <c r="N57" s="15" t="s">
        <v>28</v>
      </c>
      <c r="O57" s="15" t="s">
        <v>27</v>
      </c>
      <c r="P57" s="15" t="s">
        <v>24</v>
      </c>
      <c r="Q57" s="15" t="s">
        <v>24</v>
      </c>
      <c r="R57" s="15">
        <v>80</v>
      </c>
      <c r="S57" s="63">
        <v>0.26666666666666666</v>
      </c>
      <c r="T57" s="63">
        <v>6.6666666666666666E-2</v>
      </c>
      <c r="U57" s="15">
        <v>0</v>
      </c>
    </row>
    <row r="58" spans="1:21" x14ac:dyDescent="0.2">
      <c r="A58" s="15" t="s">
        <v>377</v>
      </c>
      <c r="B58" s="15" t="s">
        <v>383</v>
      </c>
      <c r="C58" s="15" t="s">
        <v>379</v>
      </c>
      <c r="D58" s="15" t="s">
        <v>384</v>
      </c>
      <c r="E58" s="15" t="s">
        <v>385</v>
      </c>
      <c r="F58" s="15" t="s">
        <v>386</v>
      </c>
      <c r="G58" s="15" t="s">
        <v>78</v>
      </c>
      <c r="H58" s="15" t="s">
        <v>273</v>
      </c>
      <c r="I58" s="15" t="s">
        <v>34</v>
      </c>
      <c r="J58" s="15" t="s">
        <v>387</v>
      </c>
      <c r="K58" s="15">
        <v>0.5</v>
      </c>
      <c r="L58" s="15" t="s">
        <v>34</v>
      </c>
      <c r="M58" s="15">
        <v>2024</v>
      </c>
      <c r="N58" s="15" t="s">
        <v>28</v>
      </c>
      <c r="O58" s="15" t="s">
        <v>27</v>
      </c>
      <c r="P58" s="15" t="s">
        <v>24</v>
      </c>
      <c r="Q58" s="15" t="s">
        <v>24</v>
      </c>
      <c r="R58" s="15">
        <v>80</v>
      </c>
      <c r="S58" s="63">
        <v>0.4</v>
      </c>
      <c r="T58" s="63">
        <v>0.1</v>
      </c>
      <c r="U58" s="15">
        <v>0</v>
      </c>
    </row>
    <row r="59" spans="1:21" x14ac:dyDescent="0.2">
      <c r="A59" s="15" t="s">
        <v>267</v>
      </c>
      <c r="B59" s="15" t="s">
        <v>388</v>
      </c>
      <c r="C59" s="15" t="s">
        <v>269</v>
      </c>
      <c r="D59" s="15" t="s">
        <v>389</v>
      </c>
      <c r="E59" s="15" t="s">
        <v>390</v>
      </c>
      <c r="F59" s="15" t="s">
        <v>391</v>
      </c>
      <c r="G59" s="15" t="s">
        <v>65</v>
      </c>
      <c r="H59" s="15" t="s">
        <v>273</v>
      </c>
      <c r="I59" s="15" t="s">
        <v>34</v>
      </c>
      <c r="J59" s="15" t="s">
        <v>387</v>
      </c>
      <c r="K59" s="15">
        <v>0.5</v>
      </c>
      <c r="L59" s="15" t="s">
        <v>34</v>
      </c>
      <c r="M59" s="15">
        <v>2024</v>
      </c>
      <c r="N59" s="15" t="s">
        <v>28</v>
      </c>
      <c r="O59" s="15" t="s">
        <v>294</v>
      </c>
      <c r="P59" s="15" t="s">
        <v>26</v>
      </c>
      <c r="Q59" s="15" t="s">
        <v>294</v>
      </c>
      <c r="R59" s="15">
        <v>80</v>
      </c>
      <c r="S59" s="63">
        <v>0.4</v>
      </c>
      <c r="T59" s="63">
        <v>0.05</v>
      </c>
      <c r="U59" s="15">
        <v>0.05</v>
      </c>
    </row>
    <row r="60" spans="1:21" x14ac:dyDescent="0.2">
      <c r="A60" s="15" t="s">
        <v>267</v>
      </c>
      <c r="B60" s="15" t="s">
        <v>388</v>
      </c>
      <c r="C60" s="15" t="s">
        <v>269</v>
      </c>
      <c r="D60" s="15" t="s">
        <v>392</v>
      </c>
      <c r="E60" s="15" t="s">
        <v>393</v>
      </c>
      <c r="F60" s="15" t="s">
        <v>394</v>
      </c>
      <c r="G60" s="15" t="s">
        <v>75</v>
      </c>
      <c r="H60" s="15" t="s">
        <v>273</v>
      </c>
      <c r="I60" s="15" t="s">
        <v>34</v>
      </c>
      <c r="J60" s="15" t="s">
        <v>387</v>
      </c>
      <c r="K60" s="15">
        <v>0.5</v>
      </c>
      <c r="L60" s="15" t="s">
        <v>34</v>
      </c>
      <c r="M60" s="15">
        <v>2024</v>
      </c>
      <c r="N60" s="15" t="s">
        <v>28</v>
      </c>
      <c r="O60" s="15" t="s">
        <v>27</v>
      </c>
      <c r="P60" s="15" t="s">
        <v>24</v>
      </c>
      <c r="Q60" s="15" t="s">
        <v>24</v>
      </c>
      <c r="R60" s="15">
        <v>80</v>
      </c>
      <c r="S60" s="63">
        <v>0.4</v>
      </c>
      <c r="T60" s="63">
        <v>0.1</v>
      </c>
      <c r="U60" s="15">
        <v>0</v>
      </c>
    </row>
    <row r="61" spans="1:21" x14ac:dyDescent="0.2">
      <c r="A61" s="15" t="s">
        <v>267</v>
      </c>
      <c r="B61" s="15" t="s">
        <v>388</v>
      </c>
      <c r="C61" s="15" t="s">
        <v>269</v>
      </c>
      <c r="D61" s="15" t="s">
        <v>395</v>
      </c>
      <c r="E61" s="15" t="s">
        <v>396</v>
      </c>
      <c r="F61" s="15" t="s">
        <v>397</v>
      </c>
      <c r="G61" s="15" t="s">
        <v>62</v>
      </c>
      <c r="H61" s="15" t="s">
        <v>273</v>
      </c>
      <c r="I61" s="15" t="s">
        <v>34</v>
      </c>
      <c r="J61" s="15" t="s">
        <v>387</v>
      </c>
      <c r="K61" s="15">
        <v>0.5</v>
      </c>
      <c r="L61" s="15" t="s">
        <v>34</v>
      </c>
      <c r="M61" s="15">
        <v>2024</v>
      </c>
      <c r="N61" s="15" t="s">
        <v>28</v>
      </c>
      <c r="O61" s="15" t="s">
        <v>23</v>
      </c>
      <c r="P61" s="15" t="s">
        <v>24</v>
      </c>
      <c r="Q61" s="15" t="s">
        <v>24</v>
      </c>
      <c r="R61" s="15">
        <v>50</v>
      </c>
      <c r="S61" s="63">
        <v>0.25</v>
      </c>
      <c r="T61" s="63">
        <v>0.25</v>
      </c>
      <c r="U61" s="15">
        <v>0</v>
      </c>
    </row>
    <row r="62" spans="1:21" x14ac:dyDescent="0.2">
      <c r="A62" s="15" t="s">
        <v>267</v>
      </c>
      <c r="B62" s="15" t="s">
        <v>388</v>
      </c>
      <c r="C62" s="15" t="s">
        <v>269</v>
      </c>
      <c r="D62" s="15" t="s">
        <v>395</v>
      </c>
      <c r="E62" s="15" t="s">
        <v>396</v>
      </c>
      <c r="F62" s="15" t="s">
        <v>397</v>
      </c>
      <c r="G62" s="15" t="s">
        <v>200</v>
      </c>
      <c r="H62" s="15" t="s">
        <v>273</v>
      </c>
      <c r="I62" s="15" t="s">
        <v>34</v>
      </c>
      <c r="J62" s="15" t="s">
        <v>387</v>
      </c>
      <c r="K62" s="15">
        <v>0.5</v>
      </c>
      <c r="L62" s="15" t="s">
        <v>34</v>
      </c>
      <c r="M62" s="15">
        <v>2024</v>
      </c>
      <c r="N62" s="15" t="s">
        <v>28</v>
      </c>
      <c r="O62" s="15" t="s">
        <v>23</v>
      </c>
      <c r="P62" s="15" t="s">
        <v>24</v>
      </c>
      <c r="Q62" s="15" t="s">
        <v>24</v>
      </c>
      <c r="R62" s="15">
        <v>50</v>
      </c>
      <c r="S62" s="63">
        <v>0.25</v>
      </c>
      <c r="T62" s="63">
        <v>0.25</v>
      </c>
      <c r="U62" s="15">
        <v>0</v>
      </c>
    </row>
    <row r="63" spans="1:21" x14ac:dyDescent="0.2">
      <c r="A63" s="15" t="s">
        <v>267</v>
      </c>
      <c r="B63" s="15" t="s">
        <v>388</v>
      </c>
      <c r="C63" s="15" t="s">
        <v>269</v>
      </c>
      <c r="D63" s="15" t="s">
        <v>398</v>
      </c>
      <c r="E63" s="15" t="s">
        <v>399</v>
      </c>
      <c r="F63" s="15" t="s">
        <v>400</v>
      </c>
      <c r="G63" s="15" t="s">
        <v>68</v>
      </c>
      <c r="H63" s="15" t="s">
        <v>273</v>
      </c>
      <c r="I63" s="15" t="s">
        <v>34</v>
      </c>
      <c r="J63" s="15" t="s">
        <v>387</v>
      </c>
      <c r="K63" s="15">
        <v>0.5</v>
      </c>
      <c r="L63" s="15" t="s">
        <v>34</v>
      </c>
      <c r="M63" s="15">
        <v>2024</v>
      </c>
      <c r="N63" s="15" t="s">
        <v>28</v>
      </c>
      <c r="O63" s="15" t="s">
        <v>27</v>
      </c>
      <c r="P63" s="15" t="s">
        <v>24</v>
      </c>
      <c r="Q63" s="15" t="s">
        <v>24</v>
      </c>
      <c r="R63" s="15">
        <v>80</v>
      </c>
      <c r="S63" s="63">
        <v>0.4</v>
      </c>
      <c r="T63" s="63">
        <v>0.1</v>
      </c>
      <c r="U63" s="15">
        <v>0</v>
      </c>
    </row>
    <row r="64" spans="1:21" x14ac:dyDescent="0.2">
      <c r="A64" s="15" t="s">
        <v>267</v>
      </c>
      <c r="B64" s="15" t="s">
        <v>388</v>
      </c>
      <c r="C64" s="15" t="s">
        <v>269</v>
      </c>
      <c r="D64" s="15" t="s">
        <v>401</v>
      </c>
      <c r="E64" s="15" t="s">
        <v>402</v>
      </c>
      <c r="F64" s="15" t="s">
        <v>403</v>
      </c>
      <c r="G64" s="15" t="s">
        <v>68</v>
      </c>
      <c r="H64" s="15" t="s">
        <v>273</v>
      </c>
      <c r="I64" s="15" t="s">
        <v>34</v>
      </c>
      <c r="J64" s="15" t="s">
        <v>387</v>
      </c>
      <c r="K64" s="15">
        <v>0.5</v>
      </c>
      <c r="L64" s="15" t="s">
        <v>34</v>
      </c>
      <c r="M64" s="15">
        <v>2024</v>
      </c>
      <c r="N64" s="15" t="s">
        <v>28</v>
      </c>
      <c r="O64" s="15" t="s">
        <v>27</v>
      </c>
      <c r="P64" s="15" t="s">
        <v>24</v>
      </c>
      <c r="Q64" s="15" t="s">
        <v>24</v>
      </c>
      <c r="R64" s="15">
        <v>80</v>
      </c>
      <c r="S64" s="63">
        <v>0.4</v>
      </c>
      <c r="T64" s="63">
        <v>0.1</v>
      </c>
      <c r="U64" s="15">
        <v>0</v>
      </c>
    </row>
    <row r="65" spans="1:21" x14ac:dyDescent="0.2">
      <c r="A65" s="15" t="s">
        <v>267</v>
      </c>
      <c r="B65" s="15" t="s">
        <v>388</v>
      </c>
      <c r="C65" s="15" t="s">
        <v>269</v>
      </c>
      <c r="D65" s="15" t="s">
        <v>404</v>
      </c>
      <c r="E65" s="15" t="s">
        <v>405</v>
      </c>
      <c r="F65" s="15" t="s">
        <v>406</v>
      </c>
      <c r="G65" s="15" t="s">
        <v>62</v>
      </c>
      <c r="H65" s="15" t="s">
        <v>273</v>
      </c>
      <c r="I65" s="15" t="s">
        <v>34</v>
      </c>
      <c r="J65" s="15" t="s">
        <v>387</v>
      </c>
      <c r="K65" s="15">
        <v>0.5</v>
      </c>
      <c r="L65" s="15" t="s">
        <v>34</v>
      </c>
      <c r="M65" s="15">
        <v>2024</v>
      </c>
      <c r="N65" s="15" t="s">
        <v>28</v>
      </c>
      <c r="O65" s="15" t="s">
        <v>23</v>
      </c>
      <c r="P65" s="15" t="s">
        <v>24</v>
      </c>
      <c r="Q65" s="15" t="s">
        <v>24</v>
      </c>
      <c r="R65" s="15">
        <v>50</v>
      </c>
      <c r="S65" s="63">
        <v>0.25</v>
      </c>
      <c r="T65" s="63">
        <v>0.25</v>
      </c>
      <c r="U65" s="15">
        <v>0</v>
      </c>
    </row>
    <row r="66" spans="1:21" x14ac:dyDescent="0.2">
      <c r="A66" s="15" t="s">
        <v>267</v>
      </c>
      <c r="B66" s="15" t="s">
        <v>388</v>
      </c>
      <c r="C66" s="15" t="s">
        <v>269</v>
      </c>
      <c r="D66" s="15" t="s">
        <v>404</v>
      </c>
      <c r="E66" s="15" t="s">
        <v>405</v>
      </c>
      <c r="F66" s="15" t="s">
        <v>406</v>
      </c>
      <c r="G66" s="15" t="s">
        <v>200</v>
      </c>
      <c r="H66" s="15" t="s">
        <v>273</v>
      </c>
      <c r="I66" s="15" t="s">
        <v>34</v>
      </c>
      <c r="J66" s="15" t="s">
        <v>387</v>
      </c>
      <c r="K66" s="15">
        <v>0.5</v>
      </c>
      <c r="L66" s="15" t="s">
        <v>34</v>
      </c>
      <c r="M66" s="15">
        <v>2024</v>
      </c>
      <c r="N66" s="15" t="s">
        <v>28</v>
      </c>
      <c r="O66" s="15" t="s">
        <v>23</v>
      </c>
      <c r="P66" s="15" t="s">
        <v>24</v>
      </c>
      <c r="Q66" s="15" t="s">
        <v>24</v>
      </c>
      <c r="R66" s="15">
        <v>50</v>
      </c>
      <c r="S66" s="63">
        <v>0.25</v>
      </c>
      <c r="T66" s="63">
        <v>0.25</v>
      </c>
      <c r="U66" s="15">
        <v>0</v>
      </c>
    </row>
    <row r="67" spans="1:21" x14ac:dyDescent="0.2">
      <c r="A67" s="15" t="s">
        <v>267</v>
      </c>
      <c r="B67" s="15" t="s">
        <v>388</v>
      </c>
      <c r="C67" s="15" t="s">
        <v>269</v>
      </c>
      <c r="D67" s="15" t="s">
        <v>407</v>
      </c>
      <c r="E67" s="15" t="s">
        <v>408</v>
      </c>
      <c r="F67" s="15" t="s">
        <v>409</v>
      </c>
      <c r="G67" s="15" t="s">
        <v>68</v>
      </c>
      <c r="H67" s="15" t="s">
        <v>273</v>
      </c>
      <c r="I67" s="15" t="s">
        <v>34</v>
      </c>
      <c r="J67" s="15" t="s">
        <v>387</v>
      </c>
      <c r="K67" s="15">
        <v>0.5</v>
      </c>
      <c r="L67" s="15" t="s">
        <v>34</v>
      </c>
      <c r="M67" s="15">
        <v>2024</v>
      </c>
      <c r="N67" s="15" t="s">
        <v>28</v>
      </c>
      <c r="O67" s="15" t="s">
        <v>27</v>
      </c>
      <c r="P67" s="15" t="s">
        <v>24</v>
      </c>
      <c r="Q67" s="15" t="s">
        <v>24</v>
      </c>
      <c r="R67" s="15">
        <v>80</v>
      </c>
      <c r="S67" s="63">
        <v>0.4</v>
      </c>
      <c r="T67" s="63">
        <v>0.1</v>
      </c>
      <c r="U67" s="15">
        <v>0</v>
      </c>
    </row>
    <row r="68" spans="1:21" x14ac:dyDescent="0.2">
      <c r="A68" s="15" t="s">
        <v>267</v>
      </c>
      <c r="B68" s="15" t="s">
        <v>388</v>
      </c>
      <c r="C68" s="15" t="s">
        <v>269</v>
      </c>
      <c r="D68" s="15" t="s">
        <v>410</v>
      </c>
      <c r="E68" s="15" t="s">
        <v>411</v>
      </c>
      <c r="F68" s="15" t="s">
        <v>412</v>
      </c>
      <c r="G68" s="15" t="s">
        <v>76</v>
      </c>
      <c r="H68" s="15" t="s">
        <v>273</v>
      </c>
      <c r="I68" s="15" t="s">
        <v>34</v>
      </c>
      <c r="J68" s="15" t="s">
        <v>387</v>
      </c>
      <c r="K68" s="15">
        <v>0.5</v>
      </c>
      <c r="L68" s="15" t="s">
        <v>34</v>
      </c>
      <c r="M68" s="15">
        <v>2024</v>
      </c>
      <c r="N68" s="15" t="s">
        <v>28</v>
      </c>
      <c r="O68" s="15" t="s">
        <v>27</v>
      </c>
      <c r="P68" s="15" t="s">
        <v>24</v>
      </c>
      <c r="Q68" s="15" t="s">
        <v>24</v>
      </c>
      <c r="R68" s="15">
        <v>80</v>
      </c>
      <c r="S68" s="63">
        <v>0.4</v>
      </c>
      <c r="T68" s="63">
        <v>0.1</v>
      </c>
      <c r="U68" s="15">
        <v>0</v>
      </c>
    </row>
    <row r="69" spans="1:21" x14ac:dyDescent="0.2">
      <c r="A69" s="15" t="s">
        <v>267</v>
      </c>
      <c r="B69" s="15" t="s">
        <v>388</v>
      </c>
      <c r="C69" s="15" t="s">
        <v>269</v>
      </c>
      <c r="D69" s="15" t="s">
        <v>413</v>
      </c>
      <c r="E69" s="15" t="s">
        <v>414</v>
      </c>
      <c r="F69" s="15" t="s">
        <v>406</v>
      </c>
      <c r="G69" s="15" t="s">
        <v>76</v>
      </c>
      <c r="H69" s="15" t="s">
        <v>273</v>
      </c>
      <c r="I69" s="15" t="s">
        <v>34</v>
      </c>
      <c r="J69" s="15" t="s">
        <v>387</v>
      </c>
      <c r="K69" s="15">
        <v>0.5</v>
      </c>
      <c r="L69" s="15" t="s">
        <v>34</v>
      </c>
      <c r="M69" s="15">
        <v>2024</v>
      </c>
      <c r="N69" s="15" t="s">
        <v>28</v>
      </c>
      <c r="O69" s="15" t="s">
        <v>27</v>
      </c>
      <c r="P69" s="15" t="s">
        <v>24</v>
      </c>
      <c r="Q69" s="15" t="s">
        <v>24</v>
      </c>
      <c r="R69" s="15">
        <v>80</v>
      </c>
      <c r="S69" s="63">
        <v>0.4</v>
      </c>
      <c r="T69" s="63">
        <v>0.1</v>
      </c>
      <c r="U69" s="15">
        <v>0</v>
      </c>
    </row>
    <row r="70" spans="1:21" x14ac:dyDescent="0.2">
      <c r="A70" s="15" t="s">
        <v>267</v>
      </c>
      <c r="B70" s="15" t="s">
        <v>388</v>
      </c>
      <c r="C70" s="15" t="s">
        <v>269</v>
      </c>
      <c r="D70" s="15" t="s">
        <v>413</v>
      </c>
      <c r="E70" s="15" t="s">
        <v>414</v>
      </c>
      <c r="F70" s="15" t="s">
        <v>406</v>
      </c>
      <c r="G70" s="15" t="s">
        <v>72</v>
      </c>
      <c r="H70" s="15" t="s">
        <v>273</v>
      </c>
      <c r="I70" s="15" t="s">
        <v>34</v>
      </c>
      <c r="J70" s="15" t="s">
        <v>387</v>
      </c>
      <c r="K70" s="15">
        <v>0.5</v>
      </c>
      <c r="L70" s="15" t="s">
        <v>34</v>
      </c>
      <c r="M70" s="15">
        <v>2024</v>
      </c>
      <c r="N70" s="15" t="s">
        <v>28</v>
      </c>
      <c r="O70" s="15" t="s">
        <v>27</v>
      </c>
      <c r="P70" s="15" t="s">
        <v>24</v>
      </c>
      <c r="Q70" s="15" t="s">
        <v>24</v>
      </c>
      <c r="R70" s="15">
        <v>80</v>
      </c>
      <c r="S70" s="63">
        <v>0.4</v>
      </c>
      <c r="T70" s="63">
        <v>0.1</v>
      </c>
      <c r="U70" s="15">
        <v>0</v>
      </c>
    </row>
    <row r="71" spans="1:21" x14ac:dyDescent="0.2">
      <c r="A71" s="15" t="s">
        <v>267</v>
      </c>
      <c r="B71" s="15" t="s">
        <v>388</v>
      </c>
      <c r="C71" s="15" t="s">
        <v>269</v>
      </c>
      <c r="D71" s="15" t="s">
        <v>415</v>
      </c>
      <c r="E71" s="15" t="s">
        <v>416</v>
      </c>
      <c r="F71" s="15" t="s">
        <v>417</v>
      </c>
      <c r="G71" s="15" t="s">
        <v>110</v>
      </c>
      <c r="H71" s="15" t="s">
        <v>273</v>
      </c>
      <c r="I71" s="15" t="s">
        <v>34</v>
      </c>
      <c r="J71" s="15" t="s">
        <v>387</v>
      </c>
      <c r="K71" s="15">
        <v>0.5</v>
      </c>
      <c r="L71" s="15" t="s">
        <v>34</v>
      </c>
      <c r="M71" s="15">
        <v>2024</v>
      </c>
      <c r="N71" s="15" t="s">
        <v>24</v>
      </c>
      <c r="O71" s="15" t="s">
        <v>24</v>
      </c>
      <c r="P71" s="15" t="s">
        <v>24</v>
      </c>
      <c r="Q71" s="15" t="s">
        <v>24</v>
      </c>
      <c r="R71" s="15">
        <v>100</v>
      </c>
      <c r="S71" s="63">
        <v>0.5</v>
      </c>
      <c r="T71" s="63">
        <v>0</v>
      </c>
      <c r="U71" s="15">
        <v>0</v>
      </c>
    </row>
    <row r="72" spans="1:21" x14ac:dyDescent="0.2">
      <c r="A72" s="15" t="s">
        <v>267</v>
      </c>
      <c r="B72" s="15" t="s">
        <v>388</v>
      </c>
      <c r="C72" s="15" t="s">
        <v>269</v>
      </c>
      <c r="D72" s="15" t="s">
        <v>415</v>
      </c>
      <c r="E72" s="15" t="s">
        <v>416</v>
      </c>
      <c r="F72" s="15" t="s">
        <v>417</v>
      </c>
      <c r="G72" s="15" t="s">
        <v>76</v>
      </c>
      <c r="H72" s="15" t="s">
        <v>273</v>
      </c>
      <c r="I72" s="15" t="s">
        <v>34</v>
      </c>
      <c r="J72" s="15" t="s">
        <v>387</v>
      </c>
      <c r="K72" s="15">
        <v>0.5</v>
      </c>
      <c r="L72" s="15" t="s">
        <v>34</v>
      </c>
      <c r="M72" s="15">
        <v>2024</v>
      </c>
      <c r="N72" s="15" t="s">
        <v>28</v>
      </c>
      <c r="O72" s="15" t="s">
        <v>27</v>
      </c>
      <c r="P72" s="15" t="s">
        <v>24</v>
      </c>
      <c r="Q72" s="15" t="s">
        <v>24</v>
      </c>
      <c r="R72" s="15">
        <v>80</v>
      </c>
      <c r="S72" s="63">
        <v>0.4</v>
      </c>
      <c r="T72" s="63">
        <v>0.1</v>
      </c>
      <c r="U72" s="15">
        <v>0</v>
      </c>
    </row>
    <row r="73" spans="1:21" x14ac:dyDescent="0.2">
      <c r="A73" s="15" t="s">
        <v>267</v>
      </c>
      <c r="B73" s="15" t="s">
        <v>388</v>
      </c>
      <c r="C73" s="15" t="s">
        <v>269</v>
      </c>
      <c r="D73" s="15" t="s">
        <v>418</v>
      </c>
      <c r="E73" s="15" t="s">
        <v>419</v>
      </c>
      <c r="F73" s="15" t="s">
        <v>409</v>
      </c>
      <c r="G73" s="15" t="s">
        <v>68</v>
      </c>
      <c r="H73" s="15" t="s">
        <v>273</v>
      </c>
      <c r="I73" s="15" t="s">
        <v>34</v>
      </c>
      <c r="J73" s="15" t="s">
        <v>387</v>
      </c>
      <c r="K73" s="15">
        <v>0.5</v>
      </c>
      <c r="L73" s="15" t="s">
        <v>34</v>
      </c>
      <c r="M73" s="15">
        <v>2024</v>
      </c>
      <c r="N73" s="15" t="s">
        <v>28</v>
      </c>
      <c r="O73" s="15" t="s">
        <v>27</v>
      </c>
      <c r="P73" s="15" t="s">
        <v>24</v>
      </c>
      <c r="Q73" s="15" t="s">
        <v>24</v>
      </c>
      <c r="R73" s="15">
        <v>80</v>
      </c>
      <c r="S73" s="63">
        <v>0.4</v>
      </c>
      <c r="T73" s="63">
        <v>0.1</v>
      </c>
      <c r="U73" s="15">
        <v>0</v>
      </c>
    </row>
    <row r="74" spans="1:21" x14ac:dyDescent="0.2">
      <c r="A74" s="15" t="s">
        <v>267</v>
      </c>
      <c r="B74" s="15" t="s">
        <v>388</v>
      </c>
      <c r="C74" s="15" t="s">
        <v>269</v>
      </c>
      <c r="D74" s="15" t="s">
        <v>418</v>
      </c>
      <c r="E74" s="15" t="s">
        <v>419</v>
      </c>
      <c r="F74" s="15" t="s">
        <v>409</v>
      </c>
      <c r="G74" s="15" t="s">
        <v>62</v>
      </c>
      <c r="H74" s="15" t="s">
        <v>273</v>
      </c>
      <c r="I74" s="15" t="s">
        <v>34</v>
      </c>
      <c r="J74" s="15" t="s">
        <v>387</v>
      </c>
      <c r="K74" s="15">
        <v>0.5</v>
      </c>
      <c r="L74" s="15" t="s">
        <v>34</v>
      </c>
      <c r="M74" s="15">
        <v>2024</v>
      </c>
      <c r="N74" s="15" t="s">
        <v>28</v>
      </c>
      <c r="O74" s="15" t="s">
        <v>23</v>
      </c>
      <c r="P74" s="15" t="s">
        <v>24</v>
      </c>
      <c r="Q74" s="15" t="s">
        <v>24</v>
      </c>
      <c r="R74" s="15">
        <v>50</v>
      </c>
      <c r="S74" s="63">
        <v>0.25</v>
      </c>
      <c r="T74" s="63">
        <v>0.25</v>
      </c>
      <c r="U74" s="15">
        <v>0</v>
      </c>
    </row>
    <row r="75" spans="1:21" x14ac:dyDescent="0.2">
      <c r="A75" s="15" t="s">
        <v>267</v>
      </c>
      <c r="B75" s="15" t="s">
        <v>388</v>
      </c>
      <c r="C75" s="15" t="s">
        <v>269</v>
      </c>
      <c r="D75" s="15" t="s">
        <v>420</v>
      </c>
      <c r="E75" s="15" t="s">
        <v>421</v>
      </c>
      <c r="F75" s="15" t="s">
        <v>422</v>
      </c>
      <c r="G75" s="15" t="s">
        <v>68</v>
      </c>
      <c r="H75" s="15" t="s">
        <v>273</v>
      </c>
      <c r="I75" s="15" t="s">
        <v>34</v>
      </c>
      <c r="J75" s="15" t="s">
        <v>387</v>
      </c>
      <c r="K75" s="15">
        <v>0.5</v>
      </c>
      <c r="L75" s="15" t="s">
        <v>34</v>
      </c>
      <c r="M75" s="15">
        <v>2024</v>
      </c>
      <c r="N75" s="15" t="s">
        <v>28</v>
      </c>
      <c r="O75" s="15" t="s">
        <v>27</v>
      </c>
      <c r="P75" s="15" t="s">
        <v>24</v>
      </c>
      <c r="Q75" s="15" t="s">
        <v>24</v>
      </c>
      <c r="R75" s="15">
        <v>80</v>
      </c>
      <c r="S75" s="63">
        <v>0.4</v>
      </c>
      <c r="T75" s="63">
        <v>0.1</v>
      </c>
      <c r="U75" s="15">
        <v>0</v>
      </c>
    </row>
    <row r="76" spans="1:21" x14ac:dyDescent="0.2">
      <c r="A76" s="15" t="s">
        <v>267</v>
      </c>
      <c r="B76" s="15" t="s">
        <v>388</v>
      </c>
      <c r="C76" s="15" t="s">
        <v>269</v>
      </c>
      <c r="D76" s="15" t="s">
        <v>420</v>
      </c>
      <c r="E76" s="15" t="s">
        <v>421</v>
      </c>
      <c r="F76" s="15" t="s">
        <v>422</v>
      </c>
      <c r="G76" s="15" t="s">
        <v>62</v>
      </c>
      <c r="H76" s="15" t="s">
        <v>273</v>
      </c>
      <c r="I76" s="15" t="s">
        <v>34</v>
      </c>
      <c r="J76" s="15" t="s">
        <v>387</v>
      </c>
      <c r="K76" s="15">
        <v>0.5</v>
      </c>
      <c r="L76" s="15" t="s">
        <v>34</v>
      </c>
      <c r="M76" s="15">
        <v>2024</v>
      </c>
      <c r="N76" s="15" t="s">
        <v>28</v>
      </c>
      <c r="O76" s="15" t="s">
        <v>23</v>
      </c>
      <c r="P76" s="15" t="s">
        <v>24</v>
      </c>
      <c r="Q76" s="15" t="s">
        <v>24</v>
      </c>
      <c r="R76" s="15">
        <v>50</v>
      </c>
      <c r="S76" s="63">
        <v>0.25</v>
      </c>
      <c r="T76" s="63">
        <v>0.25</v>
      </c>
      <c r="U76" s="15">
        <v>0</v>
      </c>
    </row>
    <row r="77" spans="1:21" x14ac:dyDescent="0.2">
      <c r="A77" s="33"/>
      <c r="B77" s="33"/>
      <c r="C77" s="33"/>
      <c r="D77" s="33"/>
      <c r="E77" s="33"/>
      <c r="F77" s="33"/>
      <c r="G77" s="33"/>
      <c r="H77" s="33"/>
      <c r="I77" s="33"/>
      <c r="J77" s="33"/>
      <c r="K77" s="33"/>
      <c r="L77" s="33"/>
      <c r="M77" s="33"/>
      <c r="N77" s="33"/>
      <c r="O77" s="34"/>
      <c r="P77" s="33"/>
      <c r="Q77" s="34"/>
      <c r="R77" s="33"/>
      <c r="S77" s="44">
        <f>SUM(S2:S76)</f>
        <v>31.183333333333298</v>
      </c>
      <c r="T77" s="33"/>
      <c r="U77" s="33"/>
    </row>
  </sheetData>
  <autoFilter ref="A1:U1" xr:uid="{00000000-0009-0000-0000-000000000000}">
    <sortState xmlns:xlrd2="http://schemas.microsoft.com/office/spreadsheetml/2017/richdata2" ref="A2:T1865">
      <sortCondition ref="K2:K1865"/>
      <sortCondition ref="L2:L1865"/>
      <sortCondition ref="D2:D1865"/>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9"/>
  <sheetViews>
    <sheetView zoomScaleNormal="100" workbookViewId="0">
      <selection activeCell="T7" sqref="T7"/>
    </sheetView>
  </sheetViews>
  <sheetFormatPr baseColWidth="10" defaultColWidth="11.44140625" defaultRowHeight="13.2" x14ac:dyDescent="0.25"/>
  <cols>
    <col min="1" max="1" width="10.88671875" style="10" bestFit="1" customWidth="1"/>
    <col min="2" max="2" width="39.88671875" style="10" bestFit="1" customWidth="1"/>
    <col min="3" max="3" width="17" style="10" bestFit="1" customWidth="1"/>
    <col min="4" max="9" width="3.33203125" style="10" bestFit="1" customWidth="1"/>
    <col min="10" max="10" width="13.109375" style="10" bestFit="1" customWidth="1"/>
    <col min="11" max="11" width="5.33203125" style="10" bestFit="1" customWidth="1"/>
    <col min="12" max="13" width="5.6640625" style="10" bestFit="1" customWidth="1"/>
    <col min="14" max="14" width="5.6640625" style="11" bestFit="1" customWidth="1"/>
    <col min="15" max="15" width="5.6640625" style="10" bestFit="1" customWidth="1"/>
    <col min="16" max="16" width="5.6640625" style="11" bestFit="1" customWidth="1"/>
    <col min="17" max="19" width="5.6640625" style="10" bestFit="1" customWidth="1"/>
    <col min="20" max="16384" width="11.44140625" style="10"/>
  </cols>
  <sheetData>
    <row r="1" spans="1:19" ht="30" x14ac:dyDescent="0.25">
      <c r="A1" s="28" t="s">
        <v>49</v>
      </c>
      <c r="B1" s="28" t="s">
        <v>50</v>
      </c>
      <c r="C1" s="28" t="s">
        <v>51</v>
      </c>
      <c r="D1" s="29" t="s">
        <v>423</v>
      </c>
      <c r="E1" s="29" t="s">
        <v>424</v>
      </c>
      <c r="F1" s="29" t="s">
        <v>425</v>
      </c>
      <c r="G1" s="29" t="s">
        <v>426</v>
      </c>
      <c r="H1" s="29" t="s">
        <v>427</v>
      </c>
      <c r="I1" s="29" t="s">
        <v>428</v>
      </c>
      <c r="J1" s="28" t="s">
        <v>52</v>
      </c>
      <c r="K1" s="30" t="s">
        <v>157</v>
      </c>
      <c r="L1" s="8" t="s">
        <v>53</v>
      </c>
      <c r="M1" s="8" t="s">
        <v>54</v>
      </c>
      <c r="N1" s="8" t="s">
        <v>55</v>
      </c>
      <c r="O1" s="8" t="s">
        <v>56</v>
      </c>
      <c r="P1" s="9" t="s">
        <v>57</v>
      </c>
      <c r="Q1" s="9" t="s">
        <v>58</v>
      </c>
      <c r="R1" s="9" t="s">
        <v>59</v>
      </c>
      <c r="S1" s="9" t="s">
        <v>60</v>
      </c>
    </row>
    <row r="2" spans="1:19" ht="14.4" x14ac:dyDescent="0.3">
      <c r="A2" s="12" t="s">
        <v>65</v>
      </c>
      <c r="B2" s="12" t="s">
        <v>429</v>
      </c>
      <c r="C2" s="12" t="s">
        <v>61</v>
      </c>
      <c r="D2" s="12"/>
      <c r="E2" s="12"/>
      <c r="F2" s="12"/>
      <c r="G2" s="12">
        <v>1</v>
      </c>
      <c r="H2" s="12"/>
      <c r="I2" s="12"/>
      <c r="J2" s="12">
        <v>1</v>
      </c>
      <c r="K2" s="12" t="s">
        <v>34</v>
      </c>
      <c r="L2" s="13" t="s">
        <v>28</v>
      </c>
      <c r="M2" s="13" t="s">
        <v>294</v>
      </c>
      <c r="N2" s="13" t="s">
        <v>26</v>
      </c>
      <c r="O2" s="13" t="s">
        <v>294</v>
      </c>
      <c r="P2" s="13">
        <v>80</v>
      </c>
      <c r="Q2" s="13">
        <v>0.1</v>
      </c>
      <c r="R2" s="13">
        <v>0.1</v>
      </c>
      <c r="S2" s="13">
        <v>0.8</v>
      </c>
    </row>
    <row r="3" spans="1:19" ht="14.4" x14ac:dyDescent="0.3">
      <c r="A3" s="12" t="s">
        <v>71</v>
      </c>
      <c r="B3" s="12" t="s">
        <v>430</v>
      </c>
      <c r="C3" s="12" t="s">
        <v>199</v>
      </c>
      <c r="D3" s="12"/>
      <c r="E3" s="12"/>
      <c r="F3" s="12"/>
      <c r="G3" s="12"/>
      <c r="H3" s="12"/>
      <c r="I3" s="12">
        <v>1</v>
      </c>
      <c r="J3" s="12">
        <v>1</v>
      </c>
      <c r="K3" s="12" t="s">
        <v>34</v>
      </c>
      <c r="L3" s="13" t="s">
        <v>28</v>
      </c>
      <c r="M3" s="13" t="s">
        <v>27</v>
      </c>
      <c r="N3" s="13" t="s">
        <v>24</v>
      </c>
      <c r="O3" s="13" t="s">
        <v>24</v>
      </c>
      <c r="P3" s="13">
        <v>80</v>
      </c>
      <c r="Q3" s="13">
        <v>0.2</v>
      </c>
      <c r="R3" s="13">
        <v>0</v>
      </c>
      <c r="S3" s="13">
        <v>0.8</v>
      </c>
    </row>
    <row r="4" spans="1:19" ht="14.4" x14ac:dyDescent="0.3">
      <c r="A4" s="12" t="s">
        <v>73</v>
      </c>
      <c r="B4" s="12" t="s">
        <v>431</v>
      </c>
      <c r="C4" s="12" t="s">
        <v>61</v>
      </c>
      <c r="D4" s="12">
        <v>1</v>
      </c>
      <c r="E4" s="12"/>
      <c r="F4" s="12"/>
      <c r="G4" s="12"/>
      <c r="H4" s="12"/>
      <c r="I4" s="12"/>
      <c r="J4" s="12">
        <v>1</v>
      </c>
      <c r="K4" s="12" t="s">
        <v>34</v>
      </c>
      <c r="L4" s="13" t="s">
        <v>28</v>
      </c>
      <c r="M4" s="13" t="s">
        <v>27</v>
      </c>
      <c r="N4" s="13" t="s">
        <v>24</v>
      </c>
      <c r="O4" s="13" t="s">
        <v>24</v>
      </c>
      <c r="P4" s="13">
        <v>80</v>
      </c>
      <c r="Q4" s="13">
        <v>0.2</v>
      </c>
      <c r="R4" s="13">
        <v>0</v>
      </c>
      <c r="S4" s="13">
        <v>0.8</v>
      </c>
    </row>
    <row r="5" spans="1:19" ht="14.4" x14ac:dyDescent="0.3">
      <c r="A5" s="12" t="s">
        <v>68</v>
      </c>
      <c r="B5" s="12" t="s">
        <v>432</v>
      </c>
      <c r="C5" s="12" t="s">
        <v>61</v>
      </c>
      <c r="D5" s="12"/>
      <c r="E5" s="12"/>
      <c r="F5" s="12"/>
      <c r="G5" s="12"/>
      <c r="H5" s="12"/>
      <c r="I5" s="12">
        <v>1</v>
      </c>
      <c r="J5" s="12">
        <v>1</v>
      </c>
      <c r="K5" s="12" t="s">
        <v>34</v>
      </c>
      <c r="L5" s="13" t="s">
        <v>28</v>
      </c>
      <c r="M5" s="13" t="s">
        <v>27</v>
      </c>
      <c r="N5" s="13" t="s">
        <v>24</v>
      </c>
      <c r="O5" s="13" t="s">
        <v>24</v>
      </c>
      <c r="P5" s="13">
        <v>80</v>
      </c>
      <c r="Q5" s="13">
        <v>0.2</v>
      </c>
      <c r="R5" s="13">
        <v>0</v>
      </c>
      <c r="S5" s="13">
        <v>0.8</v>
      </c>
    </row>
    <row r="6" spans="1:19" ht="14.4" x14ac:dyDescent="0.3">
      <c r="A6" s="12" t="s">
        <v>78</v>
      </c>
      <c r="B6" s="12" t="s">
        <v>433</v>
      </c>
      <c r="C6" s="12" t="s">
        <v>61</v>
      </c>
      <c r="D6" s="12"/>
      <c r="E6" s="12">
        <v>1</v>
      </c>
      <c r="F6" s="12"/>
      <c r="G6" s="12"/>
      <c r="H6" s="12"/>
      <c r="I6" s="12"/>
      <c r="J6" s="12">
        <v>1</v>
      </c>
      <c r="K6" s="12" t="s">
        <v>34</v>
      </c>
      <c r="L6" s="13" t="s">
        <v>28</v>
      </c>
      <c r="M6" s="13" t="s">
        <v>27</v>
      </c>
      <c r="N6" s="13" t="s">
        <v>24</v>
      </c>
      <c r="O6" s="13" t="s">
        <v>24</v>
      </c>
      <c r="P6" s="13">
        <v>80</v>
      </c>
      <c r="Q6" s="13">
        <v>0.2</v>
      </c>
      <c r="R6" s="13">
        <v>0</v>
      </c>
      <c r="S6" s="13">
        <v>0.8</v>
      </c>
    </row>
    <row r="7" spans="1:19" ht="14.4" x14ac:dyDescent="0.3">
      <c r="A7" s="12" t="s">
        <v>110</v>
      </c>
      <c r="B7" s="12" t="s">
        <v>434</v>
      </c>
      <c r="C7" s="12" t="s">
        <v>61</v>
      </c>
      <c r="D7" s="12"/>
      <c r="E7" s="12">
        <v>1</v>
      </c>
      <c r="F7" s="12"/>
      <c r="G7" s="12"/>
      <c r="H7" s="12"/>
      <c r="I7" s="12"/>
      <c r="J7" s="12">
        <v>1</v>
      </c>
      <c r="K7" s="12" t="s">
        <v>34</v>
      </c>
      <c r="L7" s="13">
        <v>0</v>
      </c>
      <c r="M7" s="13">
        <v>0</v>
      </c>
      <c r="N7" s="13" t="s">
        <v>24</v>
      </c>
      <c r="O7" s="13" t="s">
        <v>24</v>
      </c>
      <c r="P7" s="13">
        <v>100</v>
      </c>
      <c r="Q7" s="13">
        <v>0</v>
      </c>
      <c r="R7" s="13">
        <v>0</v>
      </c>
      <c r="S7" s="13">
        <v>1</v>
      </c>
    </row>
    <row r="8" spans="1:19" ht="14.4" x14ac:dyDescent="0.3">
      <c r="A8" s="12" t="s">
        <v>67</v>
      </c>
      <c r="B8" s="12" t="s">
        <v>435</v>
      </c>
      <c r="C8" s="12" t="s">
        <v>199</v>
      </c>
      <c r="D8" s="12"/>
      <c r="E8" s="12"/>
      <c r="F8" s="12"/>
      <c r="G8" s="12"/>
      <c r="H8" s="12"/>
      <c r="I8" s="12">
        <v>1</v>
      </c>
      <c r="J8" s="12">
        <v>1</v>
      </c>
      <c r="K8" s="12" t="s">
        <v>34</v>
      </c>
      <c r="L8" s="13" t="s">
        <v>26</v>
      </c>
      <c r="M8" s="13" t="s">
        <v>294</v>
      </c>
      <c r="N8" s="13" t="s">
        <v>28</v>
      </c>
      <c r="O8" s="13" t="s">
        <v>27</v>
      </c>
      <c r="P8" s="13">
        <v>70</v>
      </c>
      <c r="Q8" s="13">
        <v>0.1</v>
      </c>
      <c r="R8" s="13">
        <v>0.2</v>
      </c>
      <c r="S8" s="13">
        <v>0.7</v>
      </c>
    </row>
    <row r="9" spans="1:19" ht="14.4" x14ac:dyDescent="0.3">
      <c r="A9" s="12" t="s">
        <v>200</v>
      </c>
      <c r="B9" s="12" t="s">
        <v>436</v>
      </c>
      <c r="C9" s="12" t="s">
        <v>61</v>
      </c>
      <c r="D9" s="12"/>
      <c r="E9" s="12"/>
      <c r="F9" s="12">
        <v>1</v>
      </c>
      <c r="G9" s="12"/>
      <c r="H9" s="12"/>
      <c r="I9" s="12"/>
      <c r="J9" s="12">
        <v>1</v>
      </c>
      <c r="K9" s="12" t="s">
        <v>34</v>
      </c>
      <c r="L9" s="13" t="s">
        <v>28</v>
      </c>
      <c r="M9" s="13" t="s">
        <v>23</v>
      </c>
      <c r="N9" s="13" t="s">
        <v>24</v>
      </c>
      <c r="O9" s="13" t="s">
        <v>24</v>
      </c>
      <c r="P9" s="13">
        <v>50</v>
      </c>
      <c r="Q9" s="13">
        <v>0.5</v>
      </c>
      <c r="R9" s="13">
        <v>0</v>
      </c>
      <c r="S9" s="13">
        <v>0.5</v>
      </c>
    </row>
    <row r="10" spans="1:19" ht="14.4" x14ac:dyDescent="0.3">
      <c r="A10" s="12" t="s">
        <v>81</v>
      </c>
      <c r="B10" s="12" t="s">
        <v>437</v>
      </c>
      <c r="C10" s="12" t="s">
        <v>199</v>
      </c>
      <c r="D10" s="12"/>
      <c r="E10" s="12"/>
      <c r="F10" s="12"/>
      <c r="G10" s="12"/>
      <c r="H10" s="12"/>
      <c r="I10" s="12">
        <v>1</v>
      </c>
      <c r="J10" s="12">
        <v>1</v>
      </c>
      <c r="K10" s="12" t="s">
        <v>34</v>
      </c>
      <c r="L10" s="13" t="s">
        <v>28</v>
      </c>
      <c r="M10" s="13" t="s">
        <v>27</v>
      </c>
      <c r="N10" s="13" t="s">
        <v>24</v>
      </c>
      <c r="O10" s="13" t="s">
        <v>24</v>
      </c>
      <c r="P10" s="13">
        <v>80</v>
      </c>
      <c r="Q10" s="13">
        <v>0.2</v>
      </c>
      <c r="R10" s="13">
        <v>0</v>
      </c>
      <c r="S10" s="13">
        <v>0.8</v>
      </c>
    </row>
    <row r="11" spans="1:19" ht="14.4" x14ac:dyDescent="0.3">
      <c r="A11" s="12" t="s">
        <v>72</v>
      </c>
      <c r="B11" s="12" t="s">
        <v>438</v>
      </c>
      <c r="C11" s="12" t="s">
        <v>61</v>
      </c>
      <c r="D11" s="12"/>
      <c r="E11" s="12"/>
      <c r="F11" s="12"/>
      <c r="G11" s="12">
        <v>1</v>
      </c>
      <c r="H11" s="12"/>
      <c r="I11" s="12"/>
      <c r="J11" s="12">
        <v>1</v>
      </c>
      <c r="K11" s="12" t="s">
        <v>34</v>
      </c>
      <c r="L11" s="13" t="s">
        <v>28</v>
      </c>
      <c r="M11" s="13" t="s">
        <v>27</v>
      </c>
      <c r="N11" s="13" t="s">
        <v>24</v>
      </c>
      <c r="O11" s="13" t="s">
        <v>24</v>
      </c>
      <c r="P11" s="13">
        <v>80</v>
      </c>
      <c r="Q11" s="13">
        <v>0.2</v>
      </c>
      <c r="R11" s="13">
        <v>0</v>
      </c>
      <c r="S11" s="13">
        <v>0.8</v>
      </c>
    </row>
    <row r="12" spans="1:19" ht="14.4" x14ac:dyDescent="0.3">
      <c r="A12" s="12" t="s">
        <v>64</v>
      </c>
      <c r="B12" s="12" t="s">
        <v>439</v>
      </c>
      <c r="C12" s="12" t="s">
        <v>61</v>
      </c>
      <c r="D12" s="12"/>
      <c r="E12" s="12"/>
      <c r="F12" s="12"/>
      <c r="G12" s="12"/>
      <c r="H12" s="12">
        <v>1</v>
      </c>
      <c r="I12" s="12"/>
      <c r="J12" s="12">
        <v>1</v>
      </c>
      <c r="K12" s="12" t="s">
        <v>34</v>
      </c>
      <c r="L12" s="13" t="s">
        <v>28</v>
      </c>
      <c r="M12" s="13" t="s">
        <v>27</v>
      </c>
      <c r="N12" s="13" t="s">
        <v>24</v>
      </c>
      <c r="O12" s="13" t="s">
        <v>24</v>
      </c>
      <c r="P12" s="13">
        <v>80</v>
      </c>
      <c r="Q12" s="13">
        <v>0.2</v>
      </c>
      <c r="R12" s="13">
        <v>0</v>
      </c>
      <c r="S12" s="13">
        <v>0.8</v>
      </c>
    </row>
    <row r="13" spans="1:19" ht="14.4" x14ac:dyDescent="0.3">
      <c r="A13" s="12" t="s">
        <v>440</v>
      </c>
      <c r="B13" s="12" t="s">
        <v>441</v>
      </c>
      <c r="C13" s="12" t="s">
        <v>199</v>
      </c>
      <c r="D13" s="12"/>
      <c r="E13" s="12"/>
      <c r="F13" s="12"/>
      <c r="G13" s="12"/>
      <c r="H13" s="12"/>
      <c r="I13" s="12">
        <v>1</v>
      </c>
      <c r="J13" s="12">
        <v>1</v>
      </c>
      <c r="K13" s="12" t="s">
        <v>34</v>
      </c>
      <c r="L13" s="13" t="s">
        <v>26</v>
      </c>
      <c r="M13" s="13" t="s">
        <v>294</v>
      </c>
      <c r="N13" s="13" t="s">
        <v>28</v>
      </c>
      <c r="O13" s="13" t="s">
        <v>27</v>
      </c>
      <c r="P13" s="13">
        <v>70</v>
      </c>
      <c r="Q13" s="13">
        <v>0.1</v>
      </c>
      <c r="R13" s="13">
        <v>0.2</v>
      </c>
      <c r="S13" s="13">
        <v>0.7</v>
      </c>
    </row>
    <row r="14" spans="1:19" ht="14.4" x14ac:dyDescent="0.3">
      <c r="A14" s="12" t="s">
        <v>66</v>
      </c>
      <c r="B14" s="12" t="s">
        <v>442</v>
      </c>
      <c r="C14" s="12" t="s">
        <v>61</v>
      </c>
      <c r="D14" s="12"/>
      <c r="E14" s="12"/>
      <c r="F14" s="12">
        <v>1</v>
      </c>
      <c r="G14" s="12"/>
      <c r="H14" s="12"/>
      <c r="I14" s="12"/>
      <c r="J14" s="12">
        <v>1</v>
      </c>
      <c r="K14" s="12" t="s">
        <v>34</v>
      </c>
      <c r="L14" s="13" t="s">
        <v>28</v>
      </c>
      <c r="M14" s="13" t="s">
        <v>27</v>
      </c>
      <c r="N14" s="13" t="s">
        <v>24</v>
      </c>
      <c r="O14" s="13" t="s">
        <v>24</v>
      </c>
      <c r="P14" s="13">
        <v>80</v>
      </c>
      <c r="Q14" s="13">
        <v>0.2</v>
      </c>
      <c r="R14" s="13">
        <v>0</v>
      </c>
      <c r="S14" s="13">
        <v>0.8</v>
      </c>
    </row>
    <row r="15" spans="1:19" ht="14.4" x14ac:dyDescent="0.3">
      <c r="A15" s="12" t="s">
        <v>79</v>
      </c>
      <c r="B15" s="12" t="s">
        <v>443</v>
      </c>
      <c r="C15" s="12" t="s">
        <v>61</v>
      </c>
      <c r="D15" s="12"/>
      <c r="E15" s="12">
        <v>1</v>
      </c>
      <c r="F15" s="12"/>
      <c r="G15" s="12"/>
      <c r="H15" s="12"/>
      <c r="I15" s="12"/>
      <c r="J15" s="12">
        <v>1</v>
      </c>
      <c r="K15" s="12" t="s">
        <v>34</v>
      </c>
      <c r="L15" s="13" t="s">
        <v>28</v>
      </c>
      <c r="M15" s="13" t="s">
        <v>27</v>
      </c>
      <c r="N15" s="13" t="s">
        <v>24</v>
      </c>
      <c r="O15" s="13" t="s">
        <v>24</v>
      </c>
      <c r="P15" s="13">
        <v>80</v>
      </c>
      <c r="Q15" s="13">
        <v>0.2</v>
      </c>
      <c r="R15" s="13">
        <v>0</v>
      </c>
      <c r="S15" s="13">
        <v>0.8</v>
      </c>
    </row>
    <row r="16" spans="1:19" ht="14.4" x14ac:dyDescent="0.3">
      <c r="A16" s="12" t="s">
        <v>76</v>
      </c>
      <c r="B16" s="12" t="s">
        <v>444</v>
      </c>
      <c r="C16" s="12" t="s">
        <v>61</v>
      </c>
      <c r="D16" s="12"/>
      <c r="E16" s="12"/>
      <c r="F16" s="12"/>
      <c r="G16" s="12"/>
      <c r="H16" s="12"/>
      <c r="I16" s="12">
        <v>1</v>
      </c>
      <c r="J16" s="12">
        <v>1</v>
      </c>
      <c r="K16" s="12" t="s">
        <v>34</v>
      </c>
      <c r="L16" s="13" t="s">
        <v>28</v>
      </c>
      <c r="M16" s="13" t="s">
        <v>27</v>
      </c>
      <c r="N16" s="13" t="s">
        <v>24</v>
      </c>
      <c r="O16" s="13" t="s">
        <v>24</v>
      </c>
      <c r="P16" s="13">
        <v>80</v>
      </c>
      <c r="Q16" s="13">
        <v>0.2</v>
      </c>
      <c r="R16" s="13">
        <v>0</v>
      </c>
      <c r="S16" s="13">
        <v>0.8</v>
      </c>
    </row>
    <row r="17" spans="1:19" ht="14.4" x14ac:dyDescent="0.3">
      <c r="A17" s="12" t="s">
        <v>74</v>
      </c>
      <c r="B17" s="12" t="s">
        <v>445</v>
      </c>
      <c r="C17" s="12" t="s">
        <v>61</v>
      </c>
      <c r="D17" s="12"/>
      <c r="E17" s="12"/>
      <c r="F17" s="12"/>
      <c r="G17" s="12"/>
      <c r="H17" s="12"/>
      <c r="I17" s="12">
        <v>2</v>
      </c>
      <c r="J17" s="12">
        <v>2</v>
      </c>
      <c r="K17" s="12" t="s">
        <v>34</v>
      </c>
      <c r="L17" s="13" t="s">
        <v>28</v>
      </c>
      <c r="M17" s="13" t="s">
        <v>27</v>
      </c>
      <c r="N17" s="13" t="s">
        <v>24</v>
      </c>
      <c r="O17" s="13" t="s">
        <v>24</v>
      </c>
      <c r="P17" s="13">
        <v>80</v>
      </c>
      <c r="Q17" s="13">
        <v>0.4</v>
      </c>
      <c r="R17" s="13">
        <v>0</v>
      </c>
      <c r="S17" s="13">
        <v>1.6</v>
      </c>
    </row>
    <row r="18" spans="1:19" ht="14.4" x14ac:dyDescent="0.3">
      <c r="A18" s="12" t="s">
        <v>77</v>
      </c>
      <c r="B18" s="12" t="s">
        <v>446</v>
      </c>
      <c r="C18" s="12" t="s">
        <v>61</v>
      </c>
      <c r="D18" s="12"/>
      <c r="E18" s="12"/>
      <c r="F18" s="12"/>
      <c r="G18" s="12">
        <v>1</v>
      </c>
      <c r="H18" s="12"/>
      <c r="I18" s="12"/>
      <c r="J18" s="12">
        <v>1</v>
      </c>
      <c r="K18" s="12" t="s">
        <v>34</v>
      </c>
      <c r="L18" s="13" t="s">
        <v>28</v>
      </c>
      <c r="M18" s="13" t="s">
        <v>27</v>
      </c>
      <c r="N18" s="13" t="s">
        <v>24</v>
      </c>
      <c r="O18" s="13" t="s">
        <v>24</v>
      </c>
      <c r="P18" s="13">
        <v>80</v>
      </c>
      <c r="Q18" s="13">
        <v>0.2</v>
      </c>
      <c r="R18" s="13">
        <v>0</v>
      </c>
      <c r="S18" s="13">
        <v>0.8</v>
      </c>
    </row>
    <row r="19" spans="1:19" ht="14.4" x14ac:dyDescent="0.3">
      <c r="A19" s="12" t="s">
        <v>109</v>
      </c>
      <c r="B19" s="12" t="s">
        <v>447</v>
      </c>
      <c r="C19" s="12" t="s">
        <v>61</v>
      </c>
      <c r="D19" s="12"/>
      <c r="E19" s="12">
        <v>1</v>
      </c>
      <c r="F19" s="12"/>
      <c r="G19" s="12"/>
      <c r="H19" s="12"/>
      <c r="I19" s="12">
        <v>1</v>
      </c>
      <c r="J19" s="12">
        <v>2</v>
      </c>
      <c r="K19" s="12" t="s">
        <v>34</v>
      </c>
      <c r="L19" s="13" t="s">
        <v>28</v>
      </c>
      <c r="M19" s="13" t="s">
        <v>27</v>
      </c>
      <c r="N19" s="13" t="s">
        <v>24</v>
      </c>
      <c r="O19" s="13" t="s">
        <v>24</v>
      </c>
      <c r="P19" s="13">
        <v>80</v>
      </c>
      <c r="Q19" s="13">
        <v>0.4</v>
      </c>
      <c r="R19" s="13">
        <v>0</v>
      </c>
      <c r="S19" s="13">
        <v>1.6</v>
      </c>
    </row>
    <row r="20" spans="1:19" ht="14.4" x14ac:dyDescent="0.3">
      <c r="A20" s="31" t="s">
        <v>197</v>
      </c>
      <c r="B20" s="31" t="s">
        <v>448</v>
      </c>
      <c r="C20" s="31" t="s">
        <v>61</v>
      </c>
      <c r="D20" s="31"/>
      <c r="E20" s="31"/>
      <c r="F20" s="31"/>
      <c r="G20" s="31"/>
      <c r="H20" s="31"/>
      <c r="I20" s="31">
        <v>1</v>
      </c>
      <c r="J20" s="31">
        <v>1</v>
      </c>
      <c r="K20" s="12" t="s">
        <v>34</v>
      </c>
      <c r="L20" s="13" t="s">
        <v>28</v>
      </c>
      <c r="M20" s="13" t="s">
        <v>27</v>
      </c>
      <c r="N20" s="13" t="s">
        <v>24</v>
      </c>
      <c r="O20" s="13" t="s">
        <v>24</v>
      </c>
      <c r="P20" s="13">
        <v>80</v>
      </c>
      <c r="Q20" s="13">
        <v>0.2</v>
      </c>
      <c r="R20" s="13">
        <v>0</v>
      </c>
      <c r="S20" s="13">
        <v>0.8</v>
      </c>
    </row>
    <row r="21" spans="1:19" ht="14.4" x14ac:dyDescent="0.3">
      <c r="A21" s="12" t="s">
        <v>63</v>
      </c>
      <c r="B21" s="12" t="s">
        <v>449</v>
      </c>
      <c r="C21" s="12" t="s">
        <v>61</v>
      </c>
      <c r="D21" s="12"/>
      <c r="E21" s="12"/>
      <c r="F21" s="12"/>
      <c r="G21" s="12"/>
      <c r="H21" s="12">
        <v>2</v>
      </c>
      <c r="I21" s="12"/>
      <c r="J21" s="12">
        <v>2</v>
      </c>
      <c r="K21" s="12" t="s">
        <v>34</v>
      </c>
      <c r="L21" s="13" t="s">
        <v>28</v>
      </c>
      <c r="M21" s="13" t="s">
        <v>27</v>
      </c>
      <c r="N21" s="13" t="s">
        <v>24</v>
      </c>
      <c r="O21" s="13" t="s">
        <v>24</v>
      </c>
      <c r="P21" s="13">
        <v>80</v>
      </c>
      <c r="Q21" s="13">
        <v>0.4</v>
      </c>
      <c r="R21" s="13">
        <v>0</v>
      </c>
      <c r="S21" s="13">
        <v>1.6</v>
      </c>
    </row>
    <row r="22" spans="1:19" ht="14.4" x14ac:dyDescent="0.3">
      <c r="A22" s="12" t="s">
        <v>198</v>
      </c>
      <c r="B22" s="12" t="s">
        <v>450</v>
      </c>
      <c r="C22" s="12" t="s">
        <v>61</v>
      </c>
      <c r="D22" s="12"/>
      <c r="E22" s="12"/>
      <c r="F22" s="12"/>
      <c r="G22" s="12"/>
      <c r="H22" s="12">
        <v>1</v>
      </c>
      <c r="I22" s="12"/>
      <c r="J22" s="12">
        <v>1</v>
      </c>
      <c r="K22" s="12" t="s">
        <v>34</v>
      </c>
      <c r="L22" s="13">
        <v>0</v>
      </c>
      <c r="M22" s="13">
        <v>0</v>
      </c>
      <c r="N22" s="13" t="s">
        <v>24</v>
      </c>
      <c r="O22" s="13" t="s">
        <v>24</v>
      </c>
      <c r="P22" s="13">
        <v>100</v>
      </c>
      <c r="Q22" s="13">
        <v>0</v>
      </c>
      <c r="R22" s="13">
        <v>0</v>
      </c>
      <c r="S22" s="13">
        <v>1</v>
      </c>
    </row>
    <row r="23" spans="1:19" ht="14.4" x14ac:dyDescent="0.3">
      <c r="A23" s="12" t="s">
        <v>69</v>
      </c>
      <c r="B23" s="12" t="s">
        <v>451</v>
      </c>
      <c r="C23" s="12" t="s">
        <v>61</v>
      </c>
      <c r="D23" s="12"/>
      <c r="E23" s="12"/>
      <c r="F23" s="12">
        <v>1</v>
      </c>
      <c r="G23" s="12"/>
      <c r="H23" s="12"/>
      <c r="I23" s="12"/>
      <c r="J23" s="12">
        <v>1</v>
      </c>
      <c r="K23" s="12" t="s">
        <v>34</v>
      </c>
      <c r="L23" s="13" t="s">
        <v>28</v>
      </c>
      <c r="M23" s="13" t="s">
        <v>27</v>
      </c>
      <c r="N23" s="13" t="s">
        <v>24</v>
      </c>
      <c r="O23" s="13" t="s">
        <v>24</v>
      </c>
      <c r="P23" s="13">
        <v>80</v>
      </c>
      <c r="Q23" s="13">
        <v>0.2</v>
      </c>
      <c r="R23" s="13">
        <v>0</v>
      </c>
      <c r="S23" s="13">
        <v>0.8</v>
      </c>
    </row>
    <row r="24" spans="1:19" ht="14.4" x14ac:dyDescent="0.3">
      <c r="A24" s="12" t="s">
        <v>70</v>
      </c>
      <c r="B24" s="12" t="s">
        <v>452</v>
      </c>
      <c r="C24" s="12" t="s">
        <v>61</v>
      </c>
      <c r="D24" s="12"/>
      <c r="E24" s="12">
        <v>1</v>
      </c>
      <c r="F24" s="12"/>
      <c r="G24" s="12"/>
      <c r="H24" s="12"/>
      <c r="I24" s="12"/>
      <c r="J24" s="12">
        <v>1</v>
      </c>
      <c r="K24" s="12" t="s">
        <v>34</v>
      </c>
      <c r="L24" s="13" t="s">
        <v>28</v>
      </c>
      <c r="M24" s="13" t="s">
        <v>27</v>
      </c>
      <c r="N24" s="13" t="s">
        <v>24</v>
      </c>
      <c r="O24" s="13" t="s">
        <v>24</v>
      </c>
      <c r="P24" s="13">
        <v>80</v>
      </c>
      <c r="Q24" s="13">
        <v>0.2</v>
      </c>
      <c r="R24" s="13">
        <v>0</v>
      </c>
      <c r="S24" s="13">
        <v>0.8</v>
      </c>
    </row>
    <row r="25" spans="1:19" ht="14.4" x14ac:dyDescent="0.3">
      <c r="A25" s="12" t="s">
        <v>62</v>
      </c>
      <c r="B25" s="12" t="s">
        <v>453</v>
      </c>
      <c r="C25" s="14" t="s">
        <v>61</v>
      </c>
      <c r="D25" s="12"/>
      <c r="E25" s="12"/>
      <c r="F25" s="12">
        <v>1</v>
      </c>
      <c r="G25" s="12"/>
      <c r="H25" s="12"/>
      <c r="I25" s="12"/>
      <c r="J25" s="12">
        <v>1</v>
      </c>
      <c r="K25" s="12" t="s">
        <v>34</v>
      </c>
      <c r="L25" s="13" t="s">
        <v>28</v>
      </c>
      <c r="M25" s="13" t="s">
        <v>23</v>
      </c>
      <c r="N25" s="13" t="s">
        <v>24</v>
      </c>
      <c r="O25" s="13" t="s">
        <v>24</v>
      </c>
      <c r="P25" s="13">
        <v>50</v>
      </c>
      <c r="Q25" s="13">
        <v>0.5</v>
      </c>
      <c r="R25" s="13">
        <v>0</v>
      </c>
      <c r="S25" s="13">
        <v>0.5</v>
      </c>
    </row>
    <row r="26" spans="1:19" ht="14.4" x14ac:dyDescent="0.3">
      <c r="A26" s="12" t="s">
        <v>111</v>
      </c>
      <c r="B26" s="12" t="s">
        <v>454</v>
      </c>
      <c r="C26" s="14" t="s">
        <v>61</v>
      </c>
      <c r="D26" s="12"/>
      <c r="E26" s="12">
        <v>1</v>
      </c>
      <c r="F26" s="12"/>
      <c r="G26" s="12"/>
      <c r="H26" s="12"/>
      <c r="I26" s="12"/>
      <c r="J26" s="12">
        <v>1</v>
      </c>
      <c r="K26" s="12" t="s">
        <v>34</v>
      </c>
      <c r="L26" s="41" t="s">
        <v>28</v>
      </c>
      <c r="M26" s="41" t="s">
        <v>27</v>
      </c>
      <c r="N26" s="41" t="s">
        <v>24</v>
      </c>
      <c r="O26" s="41" t="s">
        <v>24</v>
      </c>
      <c r="P26" s="41">
        <v>80</v>
      </c>
      <c r="Q26" s="41">
        <v>0.2</v>
      </c>
      <c r="R26" s="41">
        <v>0</v>
      </c>
      <c r="S26" s="41">
        <v>0.8</v>
      </c>
    </row>
    <row r="27" spans="1:19" ht="14.4" x14ac:dyDescent="0.3">
      <c r="A27" s="12" t="s">
        <v>75</v>
      </c>
      <c r="B27" s="12" t="s">
        <v>455</v>
      </c>
      <c r="C27" s="14" t="s">
        <v>61</v>
      </c>
      <c r="D27" s="12"/>
      <c r="E27" s="12">
        <v>1</v>
      </c>
      <c r="F27" s="12"/>
      <c r="G27" s="12"/>
      <c r="H27" s="12"/>
      <c r="I27" s="12"/>
      <c r="J27" s="12">
        <v>1</v>
      </c>
      <c r="K27" s="12" t="s">
        <v>34</v>
      </c>
      <c r="L27" s="41" t="s">
        <v>28</v>
      </c>
      <c r="M27" s="41" t="s">
        <v>27</v>
      </c>
      <c r="N27" s="41" t="s">
        <v>24</v>
      </c>
      <c r="O27" s="41" t="s">
        <v>24</v>
      </c>
      <c r="P27" s="41">
        <v>80</v>
      </c>
      <c r="Q27" s="41">
        <v>0.2</v>
      </c>
      <c r="R27" s="41">
        <v>0</v>
      </c>
      <c r="S27" s="41">
        <v>0.8</v>
      </c>
    </row>
    <row r="28" spans="1:19" ht="14.4" x14ac:dyDescent="0.3">
      <c r="A28" s="12" t="s">
        <v>295</v>
      </c>
      <c r="B28" s="12" t="s">
        <v>456</v>
      </c>
      <c r="C28" s="14" t="s">
        <v>61</v>
      </c>
      <c r="D28" s="12"/>
      <c r="E28" s="12"/>
      <c r="F28" s="12"/>
      <c r="G28" s="12"/>
      <c r="H28" s="12">
        <v>1</v>
      </c>
      <c r="I28" s="12"/>
      <c r="J28" s="12">
        <v>1</v>
      </c>
      <c r="K28" s="12" t="s">
        <v>34</v>
      </c>
      <c r="L28" s="41" t="s">
        <v>28</v>
      </c>
      <c r="M28" s="41" t="s">
        <v>27</v>
      </c>
      <c r="N28" s="41" t="s">
        <v>24</v>
      </c>
      <c r="O28" s="41" t="s">
        <v>24</v>
      </c>
      <c r="P28" s="41">
        <v>80</v>
      </c>
      <c r="Q28" s="41">
        <v>0.2</v>
      </c>
      <c r="R28" s="41">
        <v>0</v>
      </c>
      <c r="S28" s="41">
        <v>0.8</v>
      </c>
    </row>
    <row r="29" spans="1:19" ht="14.4" x14ac:dyDescent="0.3">
      <c r="A29" s="42"/>
      <c r="B29" s="42"/>
      <c r="C29" s="43"/>
      <c r="D29" s="42"/>
      <c r="E29" s="42"/>
      <c r="F29" s="42"/>
      <c r="G29" s="42"/>
      <c r="H29" s="42"/>
      <c r="I29" s="42"/>
      <c r="J29" s="42"/>
      <c r="K29" s="42"/>
      <c r="L29" s="42"/>
      <c r="M29" s="42"/>
      <c r="N29" s="42"/>
      <c r="O29" s="42"/>
      <c r="P29" s="42"/>
      <c r="Q29" s="42"/>
      <c r="R29" s="42"/>
      <c r="S29" s="45">
        <f>SUM(S2:S28)</f>
        <v>23.600000000000005</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4A5D0-6B1D-4545-86BC-8050DE3DE573}">
  <dimension ref="A1:D61"/>
  <sheetViews>
    <sheetView topLeftCell="A40" workbookViewId="0">
      <selection activeCell="C60" sqref="C60"/>
    </sheetView>
  </sheetViews>
  <sheetFormatPr baseColWidth="10" defaultRowHeight="14.4" x14ac:dyDescent="0.3"/>
  <cols>
    <col min="1" max="1" width="17" customWidth="1"/>
    <col min="2" max="2" width="113.88671875" customWidth="1"/>
    <col min="3" max="3" width="16" customWidth="1"/>
    <col min="4" max="4" width="69" customWidth="1"/>
  </cols>
  <sheetData>
    <row r="1" spans="1:3" x14ac:dyDescent="0.3">
      <c r="A1" s="47" t="s">
        <v>139</v>
      </c>
      <c r="B1" s="47" t="s">
        <v>140</v>
      </c>
      <c r="C1" s="47" t="s">
        <v>158</v>
      </c>
    </row>
    <row r="2" spans="1:3" x14ac:dyDescent="0.3">
      <c r="A2" s="39" t="s">
        <v>141</v>
      </c>
      <c r="B2" s="39" t="s">
        <v>201</v>
      </c>
      <c r="C2" s="37">
        <v>2860</v>
      </c>
    </row>
    <row r="3" spans="1:3" x14ac:dyDescent="0.3">
      <c r="A3" s="38" t="s">
        <v>141</v>
      </c>
      <c r="B3" s="38" t="s">
        <v>202</v>
      </c>
      <c r="C3" s="36">
        <v>23848</v>
      </c>
    </row>
    <row r="4" spans="1:3" x14ac:dyDescent="0.3">
      <c r="A4" s="38" t="s">
        <v>142</v>
      </c>
      <c r="B4" s="38" t="s">
        <v>203</v>
      </c>
      <c r="C4" s="36">
        <v>1760</v>
      </c>
    </row>
    <row r="5" spans="1:3" x14ac:dyDescent="0.3">
      <c r="A5" s="39" t="s">
        <v>143</v>
      </c>
      <c r="B5" s="39" t="s">
        <v>204</v>
      </c>
      <c r="C5" s="37">
        <v>3520</v>
      </c>
    </row>
    <row r="6" spans="1:3" x14ac:dyDescent="0.3">
      <c r="A6" s="39" t="s">
        <v>205</v>
      </c>
      <c r="B6" s="39" t="s">
        <v>206</v>
      </c>
      <c r="C6" s="37">
        <v>378.4</v>
      </c>
    </row>
    <row r="7" spans="1:3" x14ac:dyDescent="0.3">
      <c r="A7" s="38" t="s">
        <v>205</v>
      </c>
      <c r="B7" s="38" t="s">
        <v>207</v>
      </c>
      <c r="C7" s="36">
        <v>7019.5</v>
      </c>
    </row>
    <row r="8" spans="1:3" x14ac:dyDescent="0.3">
      <c r="A8" s="39" t="s">
        <v>205</v>
      </c>
      <c r="B8" s="39" t="s">
        <v>208</v>
      </c>
      <c r="C8" s="37">
        <v>528</v>
      </c>
    </row>
    <row r="9" spans="1:3" x14ac:dyDescent="0.3">
      <c r="A9" s="38" t="s">
        <v>205</v>
      </c>
      <c r="B9" s="38" t="s">
        <v>208</v>
      </c>
      <c r="C9" s="36">
        <v>572</v>
      </c>
    </row>
    <row r="10" spans="1:3" x14ac:dyDescent="0.3">
      <c r="A10" s="39" t="s">
        <v>205</v>
      </c>
      <c r="B10" s="39" t="s">
        <v>208</v>
      </c>
      <c r="C10" s="37">
        <v>1320</v>
      </c>
    </row>
    <row r="11" spans="1:3" x14ac:dyDescent="0.3">
      <c r="A11" s="38" t="s">
        <v>205</v>
      </c>
      <c r="B11" s="38" t="s">
        <v>208</v>
      </c>
      <c r="C11" s="36">
        <v>1056</v>
      </c>
    </row>
    <row r="12" spans="1:3" x14ac:dyDescent="0.3">
      <c r="A12" s="39" t="s">
        <v>205</v>
      </c>
      <c r="B12" s="39" t="s">
        <v>208</v>
      </c>
      <c r="C12" s="37">
        <v>704</v>
      </c>
    </row>
    <row r="13" spans="1:3" x14ac:dyDescent="0.3">
      <c r="A13" s="38" t="s">
        <v>205</v>
      </c>
      <c r="B13" s="38" t="s">
        <v>208</v>
      </c>
      <c r="C13" s="36">
        <v>572</v>
      </c>
    </row>
    <row r="14" spans="1:3" x14ac:dyDescent="0.3">
      <c r="A14" s="39" t="s">
        <v>205</v>
      </c>
      <c r="B14" s="39" t="s">
        <v>208</v>
      </c>
      <c r="C14" s="37">
        <v>528</v>
      </c>
    </row>
    <row r="15" spans="1:3" x14ac:dyDescent="0.3">
      <c r="A15" s="38" t="s">
        <v>205</v>
      </c>
      <c r="B15" s="38" t="s">
        <v>208</v>
      </c>
      <c r="C15" s="36">
        <v>351.21</v>
      </c>
    </row>
    <row r="16" spans="1:3" x14ac:dyDescent="0.3">
      <c r="A16" s="38" t="s">
        <v>160</v>
      </c>
      <c r="B16" s="38" t="s">
        <v>209</v>
      </c>
      <c r="C16" s="36">
        <v>378.4</v>
      </c>
    </row>
    <row r="17" spans="1:3" x14ac:dyDescent="0.3">
      <c r="A17" s="39" t="s">
        <v>160</v>
      </c>
      <c r="B17" s="39" t="s">
        <v>210</v>
      </c>
      <c r="C17" s="37">
        <v>189.2</v>
      </c>
    </row>
    <row r="18" spans="1:3" x14ac:dyDescent="0.3">
      <c r="A18" s="38" t="s">
        <v>160</v>
      </c>
      <c r="B18" s="38" t="s">
        <v>211</v>
      </c>
      <c r="C18" s="36">
        <v>378.4</v>
      </c>
    </row>
    <row r="19" spans="1:3" x14ac:dyDescent="0.3">
      <c r="A19" s="39" t="s">
        <v>160</v>
      </c>
      <c r="B19" s="39" t="s">
        <v>212</v>
      </c>
      <c r="C19" s="37">
        <v>189.2</v>
      </c>
    </row>
    <row r="20" spans="1:3" x14ac:dyDescent="0.3">
      <c r="A20" s="38" t="s">
        <v>160</v>
      </c>
      <c r="B20" s="38" t="s">
        <v>213</v>
      </c>
      <c r="C20" s="36">
        <v>189.2</v>
      </c>
    </row>
    <row r="21" spans="1:3" x14ac:dyDescent="0.3">
      <c r="A21" s="39" t="s">
        <v>160</v>
      </c>
      <c r="B21" s="39" t="s">
        <v>214</v>
      </c>
      <c r="C21" s="37">
        <v>378.4</v>
      </c>
    </row>
    <row r="22" spans="1:3" x14ac:dyDescent="0.3">
      <c r="A22" s="38" t="s">
        <v>160</v>
      </c>
      <c r="B22" s="38" t="s">
        <v>215</v>
      </c>
      <c r="C22" s="36">
        <v>378.4</v>
      </c>
    </row>
    <row r="23" spans="1:3" x14ac:dyDescent="0.3">
      <c r="A23" s="39" t="s">
        <v>160</v>
      </c>
      <c r="B23" s="39" t="s">
        <v>216</v>
      </c>
      <c r="C23" s="37">
        <v>378.4</v>
      </c>
    </row>
    <row r="24" spans="1:3" x14ac:dyDescent="0.3">
      <c r="A24" s="38" t="s">
        <v>160</v>
      </c>
      <c r="B24" s="38" t="s">
        <v>217</v>
      </c>
      <c r="C24" s="36">
        <v>378.4</v>
      </c>
    </row>
    <row r="25" spans="1:3" x14ac:dyDescent="0.3">
      <c r="A25" s="39" t="s">
        <v>218</v>
      </c>
      <c r="B25" s="39" t="s">
        <v>219</v>
      </c>
      <c r="C25" s="37">
        <v>-3735.26</v>
      </c>
    </row>
    <row r="26" spans="1:3" x14ac:dyDescent="0.3">
      <c r="A26" s="38" t="s">
        <v>218</v>
      </c>
      <c r="B26" s="38" t="s">
        <v>220</v>
      </c>
      <c r="C26" s="36">
        <v>87820</v>
      </c>
    </row>
    <row r="27" spans="1:3" x14ac:dyDescent="0.3">
      <c r="A27" s="39" t="s">
        <v>221</v>
      </c>
      <c r="B27" s="39" t="s">
        <v>222</v>
      </c>
      <c r="C27" s="37">
        <v>7040</v>
      </c>
    </row>
    <row r="28" spans="1:3" x14ac:dyDescent="0.3">
      <c r="A28" s="38" t="s">
        <v>223</v>
      </c>
      <c r="B28" s="38" t="s">
        <v>224</v>
      </c>
      <c r="C28" s="36">
        <v>528</v>
      </c>
    </row>
    <row r="29" spans="1:3" x14ac:dyDescent="0.3">
      <c r="A29" s="39" t="s">
        <v>225</v>
      </c>
      <c r="B29" s="39" t="s">
        <v>226</v>
      </c>
      <c r="C29" s="37">
        <v>1980</v>
      </c>
    </row>
    <row r="30" spans="1:3" x14ac:dyDescent="0.3">
      <c r="A30" s="38" t="s">
        <v>225</v>
      </c>
      <c r="B30" s="38" t="s">
        <v>227</v>
      </c>
      <c r="C30" s="36">
        <v>1980</v>
      </c>
    </row>
    <row r="31" spans="1:3" x14ac:dyDescent="0.3">
      <c r="A31" s="39" t="s">
        <v>228</v>
      </c>
      <c r="B31" s="39" t="s">
        <v>229</v>
      </c>
      <c r="C31" s="37">
        <v>660</v>
      </c>
    </row>
    <row r="32" spans="1:3" x14ac:dyDescent="0.3">
      <c r="A32" s="38" t="s">
        <v>230</v>
      </c>
      <c r="B32" s="38" t="s">
        <v>231</v>
      </c>
      <c r="C32" s="36">
        <v>1584</v>
      </c>
    </row>
    <row r="33" spans="1:3" x14ac:dyDescent="0.3">
      <c r="A33" s="39" t="s">
        <v>232</v>
      </c>
      <c r="B33" s="39" t="s">
        <v>233</v>
      </c>
      <c r="C33" s="37">
        <v>880</v>
      </c>
    </row>
    <row r="34" spans="1:3" x14ac:dyDescent="0.3">
      <c r="A34" s="38" t="s">
        <v>234</v>
      </c>
      <c r="B34" s="38" t="s">
        <v>235</v>
      </c>
      <c r="C34" s="36">
        <v>3616.67</v>
      </c>
    </row>
    <row r="35" spans="1:3" x14ac:dyDescent="0.3">
      <c r="A35" s="39" t="s">
        <v>234</v>
      </c>
      <c r="B35" s="39" t="s">
        <v>236</v>
      </c>
      <c r="C35" s="37">
        <v>3616.67</v>
      </c>
    </row>
    <row r="36" spans="1:3" x14ac:dyDescent="0.3">
      <c r="A36" s="38" t="s">
        <v>234</v>
      </c>
      <c r="B36" s="38" t="s">
        <v>237</v>
      </c>
      <c r="C36" s="36">
        <v>3616.67</v>
      </c>
    </row>
    <row r="37" spans="1:3" x14ac:dyDescent="0.3">
      <c r="A37" s="39" t="s">
        <v>234</v>
      </c>
      <c r="B37" s="39" t="s">
        <v>238</v>
      </c>
      <c r="C37" s="37">
        <v>3616.67</v>
      </c>
    </row>
    <row r="38" spans="1:3" x14ac:dyDescent="0.3">
      <c r="A38" s="38" t="s">
        <v>234</v>
      </c>
      <c r="B38" s="38" t="s">
        <v>239</v>
      </c>
      <c r="C38" s="36">
        <v>3616.67</v>
      </c>
    </row>
    <row r="39" spans="1:3" x14ac:dyDescent="0.3">
      <c r="A39" s="39" t="s">
        <v>234</v>
      </c>
      <c r="B39" s="39" t="s">
        <v>240</v>
      </c>
      <c r="C39" s="37">
        <v>3616.67</v>
      </c>
    </row>
    <row r="40" spans="1:3" x14ac:dyDescent="0.3">
      <c r="A40" s="38" t="s">
        <v>241</v>
      </c>
      <c r="B40" s="38" t="s">
        <v>242</v>
      </c>
      <c r="C40" s="36">
        <v>6160</v>
      </c>
    </row>
    <row r="41" spans="1:3" x14ac:dyDescent="0.3">
      <c r="A41" s="39" t="s">
        <v>243</v>
      </c>
      <c r="B41" s="39" t="s">
        <v>244</v>
      </c>
      <c r="C41" s="37">
        <v>4400</v>
      </c>
    </row>
    <row r="42" spans="1:3" x14ac:dyDescent="0.3">
      <c r="A42" s="38" t="s">
        <v>245</v>
      </c>
      <c r="B42" s="38" t="s">
        <v>246</v>
      </c>
      <c r="C42" s="36">
        <v>3388</v>
      </c>
    </row>
    <row r="43" spans="1:3" x14ac:dyDescent="0.3">
      <c r="A43" s="39" t="s">
        <v>245</v>
      </c>
      <c r="B43" s="39" t="s">
        <v>247</v>
      </c>
      <c r="C43" s="37">
        <v>2660.33</v>
      </c>
    </row>
    <row r="44" spans="1:3" x14ac:dyDescent="0.3">
      <c r="A44" s="38" t="s">
        <v>245</v>
      </c>
      <c r="B44" s="38" t="s">
        <v>247</v>
      </c>
      <c r="C44" s="36">
        <v>4488</v>
      </c>
    </row>
    <row r="45" spans="1:3" x14ac:dyDescent="0.3">
      <c r="A45" s="39" t="s">
        <v>245</v>
      </c>
      <c r="B45" s="39" t="s">
        <v>248</v>
      </c>
      <c r="C45" s="37">
        <v>264</v>
      </c>
    </row>
    <row r="46" spans="1:3" x14ac:dyDescent="0.3">
      <c r="A46" s="38" t="s">
        <v>249</v>
      </c>
      <c r="B46" s="38" t="s">
        <v>250</v>
      </c>
      <c r="C46" s="36">
        <v>10000.01</v>
      </c>
    </row>
    <row r="47" spans="1:3" x14ac:dyDescent="0.3">
      <c r="A47" s="39" t="s">
        <v>251</v>
      </c>
      <c r="B47" s="39" t="s">
        <v>252</v>
      </c>
      <c r="C47" s="37">
        <v>1760</v>
      </c>
    </row>
    <row r="48" spans="1:3" x14ac:dyDescent="0.3">
      <c r="A48" s="38" t="s">
        <v>253</v>
      </c>
      <c r="B48" s="38" t="s">
        <v>254</v>
      </c>
      <c r="C48" s="36">
        <v>616</v>
      </c>
    </row>
    <row r="49" spans="1:4" x14ac:dyDescent="0.3">
      <c r="A49" s="39" t="s">
        <v>255</v>
      </c>
      <c r="B49" s="39" t="s">
        <v>256</v>
      </c>
      <c r="C49" s="37">
        <v>704</v>
      </c>
    </row>
    <row r="50" spans="1:4" ht="45.75" customHeight="1" x14ac:dyDescent="0.3">
      <c r="A50" s="38" t="s">
        <v>144</v>
      </c>
      <c r="B50" s="38" t="s">
        <v>257</v>
      </c>
      <c r="C50" s="46">
        <v>7530.94</v>
      </c>
      <c r="D50" s="35" t="s">
        <v>296</v>
      </c>
    </row>
    <row r="51" spans="1:4" x14ac:dyDescent="0.3">
      <c r="A51" s="39" t="s">
        <v>145</v>
      </c>
      <c r="B51" s="39" t="s">
        <v>257</v>
      </c>
      <c r="C51" s="37">
        <v>34083.980000000003</v>
      </c>
    </row>
    <row r="52" spans="1:4" x14ac:dyDescent="0.3">
      <c r="A52" s="38" t="s">
        <v>159</v>
      </c>
      <c r="B52" s="38" t="s">
        <v>258</v>
      </c>
      <c r="C52" s="36">
        <v>-8421.94</v>
      </c>
    </row>
    <row r="53" spans="1:4" x14ac:dyDescent="0.3">
      <c r="A53" s="39" t="s">
        <v>159</v>
      </c>
      <c r="B53" s="39" t="s">
        <v>259</v>
      </c>
      <c r="C53" s="37">
        <v>29500</v>
      </c>
    </row>
    <row r="54" spans="1:4" x14ac:dyDescent="0.3">
      <c r="A54" s="38" t="s">
        <v>161</v>
      </c>
      <c r="B54" s="38" t="s">
        <v>260</v>
      </c>
      <c r="C54" s="36">
        <v>37821.339999999997</v>
      </c>
    </row>
    <row r="55" spans="1:4" x14ac:dyDescent="0.3">
      <c r="A55" s="39" t="s">
        <v>162</v>
      </c>
      <c r="B55" s="39" t="s">
        <v>261</v>
      </c>
      <c r="C55" s="37">
        <v>18000</v>
      </c>
    </row>
    <row r="56" spans="1:4" x14ac:dyDescent="0.3">
      <c r="A56" s="38" t="s">
        <v>163</v>
      </c>
      <c r="B56" s="38" t="s">
        <v>261</v>
      </c>
      <c r="C56" s="36">
        <v>18000</v>
      </c>
    </row>
    <row r="57" spans="1:4" x14ac:dyDescent="0.3">
      <c r="A57" s="39" t="s">
        <v>262</v>
      </c>
      <c r="B57" s="39" t="s">
        <v>263</v>
      </c>
      <c r="C57" s="37">
        <v>4000</v>
      </c>
    </row>
    <row r="58" spans="1:4" x14ac:dyDescent="0.3">
      <c r="A58" s="38" t="s">
        <v>264</v>
      </c>
      <c r="B58" s="38" t="s">
        <v>265</v>
      </c>
      <c r="C58" s="36">
        <v>18000</v>
      </c>
    </row>
    <row r="59" spans="1:4" x14ac:dyDescent="0.3">
      <c r="A59" s="48" t="s">
        <v>266</v>
      </c>
      <c r="B59" s="48" t="s">
        <v>265</v>
      </c>
      <c r="C59" s="49">
        <v>18000</v>
      </c>
    </row>
    <row r="60" spans="1:4" x14ac:dyDescent="0.3">
      <c r="A60" s="48" t="s">
        <v>0</v>
      </c>
      <c r="B60" s="48"/>
      <c r="C60" s="50">
        <f>SUBTOTAL(109,Tabla2[Imp.cob.aplic.])</f>
        <v>379246.53</v>
      </c>
    </row>
    <row r="61" spans="1:4" x14ac:dyDescent="0.3">
      <c r="C61" s="4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903E-DF33-42CE-869A-3BB7353DBD95}">
  <dimension ref="A1:C58"/>
  <sheetViews>
    <sheetView topLeftCell="A46" workbookViewId="0">
      <selection activeCell="B61" sqref="B61:C61"/>
    </sheetView>
  </sheetViews>
  <sheetFormatPr baseColWidth="10" defaultRowHeight="14.4" x14ac:dyDescent="0.3"/>
  <cols>
    <col min="1" max="1" width="18.5546875" customWidth="1"/>
    <col min="2" max="2" width="62.44140625" customWidth="1"/>
    <col min="3" max="3" width="15.109375" customWidth="1"/>
  </cols>
  <sheetData>
    <row r="1" spans="1:3" x14ac:dyDescent="0.3">
      <c r="A1" s="55" t="s">
        <v>297</v>
      </c>
      <c r="B1" s="55" t="s">
        <v>140</v>
      </c>
      <c r="C1" s="56" t="s">
        <v>298</v>
      </c>
    </row>
    <row r="2" spans="1:3" x14ac:dyDescent="0.3">
      <c r="A2" s="51" t="s">
        <v>160</v>
      </c>
      <c r="B2" s="51" t="s">
        <v>299</v>
      </c>
      <c r="C2" s="52">
        <v>378.4</v>
      </c>
    </row>
    <row r="3" spans="1:3" x14ac:dyDescent="0.3">
      <c r="A3" s="53" t="s">
        <v>160</v>
      </c>
      <c r="B3" s="53" t="s">
        <v>300</v>
      </c>
      <c r="C3" s="54">
        <v>189.2</v>
      </c>
    </row>
    <row r="4" spans="1:3" x14ac:dyDescent="0.3">
      <c r="A4" s="51" t="s">
        <v>160</v>
      </c>
      <c r="B4" s="51" t="s">
        <v>301</v>
      </c>
      <c r="C4" s="52">
        <v>378.4</v>
      </c>
    </row>
    <row r="5" spans="1:3" x14ac:dyDescent="0.3">
      <c r="A5" s="53" t="s">
        <v>160</v>
      </c>
      <c r="B5" s="53" t="s">
        <v>302</v>
      </c>
      <c r="C5" s="54">
        <v>189.2</v>
      </c>
    </row>
    <row r="6" spans="1:3" x14ac:dyDescent="0.3">
      <c r="A6" s="51" t="s">
        <v>160</v>
      </c>
      <c r="B6" s="51" t="s">
        <v>303</v>
      </c>
      <c r="C6" s="52">
        <v>378.4</v>
      </c>
    </row>
    <row r="7" spans="1:3" x14ac:dyDescent="0.3">
      <c r="A7" s="53" t="s">
        <v>160</v>
      </c>
      <c r="B7" s="53" t="s">
        <v>304</v>
      </c>
      <c r="C7" s="54">
        <v>378.4</v>
      </c>
    </row>
    <row r="8" spans="1:3" x14ac:dyDescent="0.3">
      <c r="A8" s="51" t="s">
        <v>160</v>
      </c>
      <c r="B8" s="51" t="s">
        <v>305</v>
      </c>
      <c r="C8" s="52">
        <v>378.4</v>
      </c>
    </row>
    <row r="9" spans="1:3" x14ac:dyDescent="0.3">
      <c r="A9" s="53" t="s">
        <v>160</v>
      </c>
      <c r="B9" s="53" t="s">
        <v>306</v>
      </c>
      <c r="C9" s="54">
        <v>378.4</v>
      </c>
    </row>
    <row r="10" spans="1:3" x14ac:dyDescent="0.3">
      <c r="A10" s="51" t="s">
        <v>160</v>
      </c>
      <c r="B10" s="51" t="s">
        <v>307</v>
      </c>
      <c r="C10" s="52">
        <v>378.4</v>
      </c>
    </row>
    <row r="11" spans="1:3" x14ac:dyDescent="0.3">
      <c r="A11" s="53" t="s">
        <v>160</v>
      </c>
      <c r="B11" s="53" t="s">
        <v>308</v>
      </c>
      <c r="C11" s="54">
        <v>189.2</v>
      </c>
    </row>
    <row r="12" spans="1:3" x14ac:dyDescent="0.3">
      <c r="A12" s="51" t="s">
        <v>160</v>
      </c>
      <c r="B12" s="51" t="s">
        <v>309</v>
      </c>
      <c r="C12" s="52">
        <v>189.2</v>
      </c>
    </row>
    <row r="13" spans="1:3" x14ac:dyDescent="0.3">
      <c r="A13" s="53" t="s">
        <v>218</v>
      </c>
      <c r="B13" s="53" t="s">
        <v>310</v>
      </c>
      <c r="C13" s="54">
        <v>164860</v>
      </c>
    </row>
    <row r="14" spans="1:3" x14ac:dyDescent="0.3">
      <c r="A14" s="51" t="s">
        <v>218</v>
      </c>
      <c r="B14" s="51" t="s">
        <v>311</v>
      </c>
      <c r="C14" s="52">
        <v>-8066.52</v>
      </c>
    </row>
    <row r="15" spans="1:3" x14ac:dyDescent="0.3">
      <c r="A15" s="53" t="s">
        <v>218</v>
      </c>
      <c r="B15" s="53" t="s">
        <v>312</v>
      </c>
      <c r="C15" s="54">
        <v>-27378.18</v>
      </c>
    </row>
    <row r="16" spans="1:3" x14ac:dyDescent="0.3">
      <c r="A16" s="51" t="s">
        <v>313</v>
      </c>
      <c r="B16" s="51" t="s">
        <v>314</v>
      </c>
      <c r="C16" s="52">
        <v>2024</v>
      </c>
    </row>
    <row r="17" spans="1:3" x14ac:dyDescent="0.3">
      <c r="A17" s="53" t="s">
        <v>245</v>
      </c>
      <c r="B17" s="53" t="s">
        <v>315</v>
      </c>
      <c r="C17" s="54">
        <v>17512</v>
      </c>
    </row>
    <row r="18" spans="1:3" x14ac:dyDescent="0.3">
      <c r="A18" s="51" t="s">
        <v>245</v>
      </c>
      <c r="B18" s="51" t="s">
        <v>316</v>
      </c>
      <c r="C18" s="52">
        <v>941.34</v>
      </c>
    </row>
    <row r="19" spans="1:3" x14ac:dyDescent="0.3">
      <c r="A19" s="53" t="s">
        <v>245</v>
      </c>
      <c r="B19" s="53" t="s">
        <v>317</v>
      </c>
      <c r="C19" s="54">
        <v>1320</v>
      </c>
    </row>
    <row r="20" spans="1:3" x14ac:dyDescent="0.3">
      <c r="A20" s="51" t="s">
        <v>245</v>
      </c>
      <c r="B20" s="51" t="s">
        <v>318</v>
      </c>
      <c r="C20" s="52">
        <v>2134</v>
      </c>
    </row>
    <row r="21" spans="1:3" x14ac:dyDescent="0.3">
      <c r="A21" s="53" t="s">
        <v>245</v>
      </c>
      <c r="B21" s="53" t="s">
        <v>318</v>
      </c>
      <c r="C21" s="54">
        <v>2997.85</v>
      </c>
    </row>
    <row r="22" spans="1:3" x14ac:dyDescent="0.3">
      <c r="A22" s="51" t="s">
        <v>245</v>
      </c>
      <c r="B22" s="51" t="s">
        <v>319</v>
      </c>
      <c r="C22" s="52">
        <v>176</v>
      </c>
    </row>
    <row r="23" spans="1:3" x14ac:dyDescent="0.3">
      <c r="A23" s="53" t="s">
        <v>245</v>
      </c>
      <c r="B23" s="53" t="s">
        <v>320</v>
      </c>
      <c r="C23" s="54">
        <v>13064.88</v>
      </c>
    </row>
    <row r="24" spans="1:3" x14ac:dyDescent="0.3">
      <c r="A24" s="51" t="s">
        <v>245</v>
      </c>
      <c r="B24" s="51" t="s">
        <v>321</v>
      </c>
      <c r="C24" s="52">
        <v>5519.89</v>
      </c>
    </row>
    <row r="25" spans="1:3" x14ac:dyDescent="0.3">
      <c r="A25" s="53" t="s">
        <v>245</v>
      </c>
      <c r="B25" s="53" t="s">
        <v>318</v>
      </c>
      <c r="C25" s="54">
        <v>88</v>
      </c>
    </row>
    <row r="26" spans="1:3" x14ac:dyDescent="0.3">
      <c r="A26" s="51" t="s">
        <v>245</v>
      </c>
      <c r="B26" s="51" t="s">
        <v>318</v>
      </c>
      <c r="C26" s="52">
        <v>5940</v>
      </c>
    </row>
    <row r="27" spans="1:3" x14ac:dyDescent="0.3">
      <c r="A27" s="53" t="s">
        <v>249</v>
      </c>
      <c r="B27" s="53" t="s">
        <v>322</v>
      </c>
      <c r="C27" s="54">
        <v>10000.01</v>
      </c>
    </row>
    <row r="28" spans="1:3" x14ac:dyDescent="0.3">
      <c r="A28" s="51" t="s">
        <v>323</v>
      </c>
      <c r="B28" s="51" t="s">
        <v>324</v>
      </c>
      <c r="C28" s="52">
        <v>378.4</v>
      </c>
    </row>
    <row r="29" spans="1:3" x14ac:dyDescent="0.3">
      <c r="A29" s="53" t="s">
        <v>325</v>
      </c>
      <c r="B29" s="53" t="s">
        <v>326</v>
      </c>
      <c r="C29" s="54">
        <v>1200</v>
      </c>
    </row>
    <row r="30" spans="1:3" x14ac:dyDescent="0.3">
      <c r="A30" s="51" t="s">
        <v>327</v>
      </c>
      <c r="B30" s="51" t="s">
        <v>328</v>
      </c>
      <c r="C30" s="52">
        <v>3766.68</v>
      </c>
    </row>
    <row r="31" spans="1:3" x14ac:dyDescent="0.3">
      <c r="A31" s="53" t="s">
        <v>327</v>
      </c>
      <c r="B31" s="53" t="s">
        <v>329</v>
      </c>
      <c r="C31" s="54">
        <v>3766.66</v>
      </c>
    </row>
    <row r="32" spans="1:3" x14ac:dyDescent="0.3">
      <c r="A32" s="51" t="s">
        <v>327</v>
      </c>
      <c r="B32" s="51" t="s">
        <v>330</v>
      </c>
      <c r="C32" s="52">
        <v>3766.66</v>
      </c>
    </row>
    <row r="33" spans="1:3" x14ac:dyDescent="0.3">
      <c r="A33" s="53" t="s">
        <v>327</v>
      </c>
      <c r="B33" s="53" t="s">
        <v>331</v>
      </c>
      <c r="C33" s="54">
        <v>3766.66</v>
      </c>
    </row>
    <row r="34" spans="1:3" x14ac:dyDescent="0.3">
      <c r="A34" s="51" t="s">
        <v>327</v>
      </c>
      <c r="B34" s="51" t="s">
        <v>332</v>
      </c>
      <c r="C34" s="52">
        <v>3766.66</v>
      </c>
    </row>
    <row r="35" spans="1:3" x14ac:dyDescent="0.3">
      <c r="A35" s="53" t="s">
        <v>327</v>
      </c>
      <c r="B35" s="53" t="s">
        <v>333</v>
      </c>
      <c r="C35" s="54">
        <v>3766.66</v>
      </c>
    </row>
    <row r="36" spans="1:3" x14ac:dyDescent="0.3">
      <c r="A36" s="51" t="s">
        <v>334</v>
      </c>
      <c r="B36" s="51" t="s">
        <v>335</v>
      </c>
      <c r="C36" s="52">
        <v>1320</v>
      </c>
    </row>
    <row r="37" spans="1:3" x14ac:dyDescent="0.3">
      <c r="A37" s="53" t="s">
        <v>336</v>
      </c>
      <c r="B37" s="53" t="s">
        <v>337</v>
      </c>
      <c r="C37" s="54">
        <v>6600</v>
      </c>
    </row>
    <row r="38" spans="1:3" x14ac:dyDescent="0.3">
      <c r="A38" s="51" t="s">
        <v>338</v>
      </c>
      <c r="B38" s="51" t="s">
        <v>339</v>
      </c>
      <c r="C38" s="52">
        <v>17512</v>
      </c>
    </row>
    <row r="39" spans="1:3" x14ac:dyDescent="0.3">
      <c r="A39" s="53" t="s">
        <v>340</v>
      </c>
      <c r="B39" s="53" t="s">
        <v>341</v>
      </c>
      <c r="C39" s="54">
        <v>1760</v>
      </c>
    </row>
    <row r="40" spans="1:3" x14ac:dyDescent="0.3">
      <c r="A40" s="51" t="s">
        <v>342</v>
      </c>
      <c r="B40" s="51" t="s">
        <v>343</v>
      </c>
      <c r="C40" s="52">
        <v>5280</v>
      </c>
    </row>
    <row r="41" spans="1:3" x14ac:dyDescent="0.3">
      <c r="A41" s="53" t="s">
        <v>344</v>
      </c>
      <c r="B41" s="53" t="s">
        <v>345</v>
      </c>
      <c r="C41" s="54">
        <v>3520</v>
      </c>
    </row>
    <row r="42" spans="1:3" x14ac:dyDescent="0.3">
      <c r="A42" s="51" t="s">
        <v>344</v>
      </c>
      <c r="B42" s="51" t="s">
        <v>346</v>
      </c>
      <c r="C42" s="52">
        <v>3520</v>
      </c>
    </row>
    <row r="43" spans="1:3" x14ac:dyDescent="0.3">
      <c r="A43" s="53" t="s">
        <v>344</v>
      </c>
      <c r="B43" s="53" t="s">
        <v>347</v>
      </c>
      <c r="C43" s="54">
        <v>2960</v>
      </c>
    </row>
    <row r="44" spans="1:3" x14ac:dyDescent="0.3">
      <c r="A44" s="51" t="s">
        <v>348</v>
      </c>
      <c r="B44" s="51" t="s">
        <v>349</v>
      </c>
      <c r="C44" s="52">
        <v>6044.69</v>
      </c>
    </row>
    <row r="45" spans="1:3" x14ac:dyDescent="0.3">
      <c r="A45" s="53" t="s">
        <v>350</v>
      </c>
      <c r="B45" s="53" t="s">
        <v>351</v>
      </c>
      <c r="C45" s="54">
        <v>660</v>
      </c>
    </row>
    <row r="46" spans="1:3" x14ac:dyDescent="0.3">
      <c r="A46" s="51" t="s">
        <v>352</v>
      </c>
      <c r="B46" s="51" t="s">
        <v>353</v>
      </c>
      <c r="C46" s="52">
        <v>440</v>
      </c>
    </row>
    <row r="47" spans="1:3" x14ac:dyDescent="0.3">
      <c r="A47" s="53" t="s">
        <v>354</v>
      </c>
      <c r="B47" s="53" t="s">
        <v>355</v>
      </c>
      <c r="C47" s="54">
        <v>1144</v>
      </c>
    </row>
    <row r="48" spans="1:3" x14ac:dyDescent="0.3">
      <c r="A48" s="51" t="s">
        <v>159</v>
      </c>
      <c r="B48" s="51" t="s">
        <v>356</v>
      </c>
      <c r="C48" s="52">
        <v>-5233.26</v>
      </c>
    </row>
    <row r="49" spans="1:3" x14ac:dyDescent="0.3">
      <c r="A49" s="53" t="s">
        <v>264</v>
      </c>
      <c r="B49" s="53" t="s">
        <v>357</v>
      </c>
      <c r="C49" s="54">
        <v>18000</v>
      </c>
    </row>
    <row r="50" spans="1:3" x14ac:dyDescent="0.3">
      <c r="A50" s="51" t="s">
        <v>266</v>
      </c>
      <c r="B50" s="51" t="s">
        <v>357</v>
      </c>
      <c r="C50" s="52">
        <v>18000</v>
      </c>
    </row>
    <row r="51" spans="1:3" x14ac:dyDescent="0.3">
      <c r="A51" s="53" t="s">
        <v>358</v>
      </c>
      <c r="B51" s="53" t="s">
        <v>359</v>
      </c>
      <c r="C51" s="54">
        <v>10927.43</v>
      </c>
    </row>
    <row r="52" spans="1:3" x14ac:dyDescent="0.3">
      <c r="A52" s="51" t="s">
        <v>360</v>
      </c>
      <c r="B52" s="51" t="s">
        <v>361</v>
      </c>
      <c r="C52" s="52">
        <v>17803.8</v>
      </c>
    </row>
    <row r="53" spans="1:3" x14ac:dyDescent="0.3">
      <c r="A53" s="53" t="s">
        <v>362</v>
      </c>
      <c r="B53" s="53" t="s">
        <v>363</v>
      </c>
      <c r="C53" s="54">
        <v>18000</v>
      </c>
    </row>
    <row r="54" spans="1:3" x14ac:dyDescent="0.3">
      <c r="A54" s="51" t="s">
        <v>364</v>
      </c>
      <c r="B54" s="51" t="s">
        <v>365</v>
      </c>
      <c r="C54" s="52">
        <v>100283.4</v>
      </c>
    </row>
    <row r="55" spans="1:3" x14ac:dyDescent="0.3">
      <c r="A55" s="53" t="s">
        <v>366</v>
      </c>
      <c r="B55" s="53" t="s">
        <v>365</v>
      </c>
      <c r="C55" s="54">
        <v>67841</v>
      </c>
    </row>
    <row r="56" spans="1:3" x14ac:dyDescent="0.3">
      <c r="A56" s="51" t="s">
        <v>367</v>
      </c>
      <c r="B56" s="51" t="s">
        <v>365</v>
      </c>
      <c r="C56" s="52">
        <v>98312.6</v>
      </c>
    </row>
    <row r="57" spans="1:3" x14ac:dyDescent="0.3">
      <c r="A57" s="57" t="s">
        <v>368</v>
      </c>
      <c r="B57" s="57" t="s">
        <v>369</v>
      </c>
      <c r="C57" s="58">
        <v>9405</v>
      </c>
    </row>
    <row r="58" spans="1:3" x14ac:dyDescent="0.3">
      <c r="A58" s="59" t="s">
        <v>0</v>
      </c>
      <c r="B58" s="59"/>
      <c r="C58" s="60">
        <f>SUBTOTAL(109,Tabla3[Imp. aplic.])</f>
        <v>622817.91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E0D62-E3D0-4CF9-823D-A2C4C979317C}">
  <dimension ref="A1:C46"/>
  <sheetViews>
    <sheetView tabSelected="1" topLeftCell="A22" workbookViewId="0">
      <selection activeCell="C47" sqref="C47"/>
    </sheetView>
  </sheetViews>
  <sheetFormatPr baseColWidth="10" defaultRowHeight="14.4" x14ac:dyDescent="0.3"/>
  <cols>
    <col min="1" max="1" width="19.88671875" customWidth="1"/>
    <col min="2" max="2" width="68.5546875" customWidth="1"/>
    <col min="3" max="3" width="20.33203125" customWidth="1"/>
  </cols>
  <sheetData>
    <row r="1" spans="1:3" x14ac:dyDescent="0.3">
      <c r="A1" s="65" t="s">
        <v>297</v>
      </c>
      <c r="B1" s="66" t="s">
        <v>140</v>
      </c>
      <c r="C1" s="66" t="s">
        <v>298</v>
      </c>
    </row>
    <row r="2" spans="1:3" x14ac:dyDescent="0.3">
      <c r="A2" s="67" t="s">
        <v>160</v>
      </c>
      <c r="B2" s="68" t="s">
        <v>457</v>
      </c>
      <c r="C2" s="69">
        <v>189.2</v>
      </c>
    </row>
    <row r="3" spans="1:3" x14ac:dyDescent="0.3">
      <c r="A3" s="70" t="s">
        <v>160</v>
      </c>
      <c r="B3" s="71" t="s">
        <v>458</v>
      </c>
      <c r="C3" s="72">
        <v>189.2</v>
      </c>
    </row>
    <row r="4" spans="1:3" x14ac:dyDescent="0.3">
      <c r="A4" s="67" t="s">
        <v>160</v>
      </c>
      <c r="B4" s="68" t="s">
        <v>459</v>
      </c>
      <c r="C4" s="69">
        <v>189.2</v>
      </c>
    </row>
    <row r="5" spans="1:3" x14ac:dyDescent="0.3">
      <c r="A5" s="70" t="s">
        <v>160</v>
      </c>
      <c r="B5" s="71" t="s">
        <v>460</v>
      </c>
      <c r="C5" s="72">
        <v>378.4</v>
      </c>
    </row>
    <row r="6" spans="1:3" x14ac:dyDescent="0.3">
      <c r="A6" s="67" t="s">
        <v>160</v>
      </c>
      <c r="B6" s="68" t="s">
        <v>461</v>
      </c>
      <c r="C6" s="69">
        <v>660</v>
      </c>
    </row>
    <row r="7" spans="1:3" x14ac:dyDescent="0.3">
      <c r="A7" s="70" t="s">
        <v>245</v>
      </c>
      <c r="B7" s="71" t="s">
        <v>462</v>
      </c>
      <c r="C7" s="72">
        <v>21340</v>
      </c>
    </row>
    <row r="8" spans="1:3" x14ac:dyDescent="0.3">
      <c r="A8" s="67" t="s">
        <v>245</v>
      </c>
      <c r="B8" s="68" t="s">
        <v>463</v>
      </c>
      <c r="C8" s="69">
        <v>689.04</v>
      </c>
    </row>
    <row r="9" spans="1:3" x14ac:dyDescent="0.3">
      <c r="A9" s="70" t="s">
        <v>245</v>
      </c>
      <c r="B9" s="71" t="s">
        <v>464</v>
      </c>
      <c r="C9" s="72">
        <v>5126</v>
      </c>
    </row>
    <row r="10" spans="1:3" x14ac:dyDescent="0.3">
      <c r="A10" s="67" t="s">
        <v>245</v>
      </c>
      <c r="B10" s="68" t="s">
        <v>464</v>
      </c>
      <c r="C10" s="69">
        <v>16068.58</v>
      </c>
    </row>
    <row r="11" spans="1:3" x14ac:dyDescent="0.3">
      <c r="A11" s="70" t="s">
        <v>245</v>
      </c>
      <c r="B11" s="71" t="s">
        <v>465</v>
      </c>
      <c r="C11" s="72">
        <v>176</v>
      </c>
    </row>
    <row r="12" spans="1:3" x14ac:dyDescent="0.3">
      <c r="A12" s="67" t="s">
        <v>245</v>
      </c>
      <c r="B12" s="68" t="s">
        <v>464</v>
      </c>
      <c r="C12" s="69">
        <v>5599.18</v>
      </c>
    </row>
    <row r="13" spans="1:3" x14ac:dyDescent="0.3">
      <c r="A13" s="70" t="s">
        <v>245</v>
      </c>
      <c r="B13" s="71" t="s">
        <v>466</v>
      </c>
      <c r="C13" s="72">
        <v>9240</v>
      </c>
    </row>
    <row r="14" spans="1:3" x14ac:dyDescent="0.3">
      <c r="A14" s="67" t="s">
        <v>467</v>
      </c>
      <c r="B14" s="68" t="s">
        <v>468</v>
      </c>
      <c r="C14" s="69">
        <v>10560</v>
      </c>
    </row>
    <row r="15" spans="1:3" x14ac:dyDescent="0.3">
      <c r="A15" s="70" t="s">
        <v>469</v>
      </c>
      <c r="B15" s="71" t="s">
        <v>470</v>
      </c>
      <c r="C15" s="72">
        <v>10120</v>
      </c>
    </row>
    <row r="16" spans="1:3" x14ac:dyDescent="0.3">
      <c r="A16" s="67" t="s">
        <v>348</v>
      </c>
      <c r="B16" s="68" t="s">
        <v>471</v>
      </c>
      <c r="C16" s="69">
        <v>3022.35</v>
      </c>
    </row>
    <row r="17" spans="1:3" x14ac:dyDescent="0.3">
      <c r="A17" s="70" t="s">
        <v>348</v>
      </c>
      <c r="B17" s="71" t="s">
        <v>472</v>
      </c>
      <c r="C17" s="72">
        <v>3022.35</v>
      </c>
    </row>
    <row r="18" spans="1:3" x14ac:dyDescent="0.3">
      <c r="A18" s="67" t="s">
        <v>348</v>
      </c>
      <c r="B18" s="68" t="s">
        <v>473</v>
      </c>
      <c r="C18" s="69">
        <v>7409.43</v>
      </c>
    </row>
    <row r="19" spans="1:3" x14ac:dyDescent="0.3">
      <c r="A19" s="70" t="s">
        <v>474</v>
      </c>
      <c r="B19" s="71" t="s">
        <v>475</v>
      </c>
      <c r="C19" s="72">
        <v>3520</v>
      </c>
    </row>
    <row r="20" spans="1:3" x14ac:dyDescent="0.3">
      <c r="A20" s="67" t="s">
        <v>476</v>
      </c>
      <c r="B20" s="68" t="s">
        <v>477</v>
      </c>
      <c r="C20" s="69">
        <v>3520</v>
      </c>
    </row>
    <row r="21" spans="1:3" x14ac:dyDescent="0.3">
      <c r="A21" s="70" t="s">
        <v>478</v>
      </c>
      <c r="B21" s="71" t="s">
        <v>479</v>
      </c>
      <c r="C21" s="72">
        <v>3520</v>
      </c>
    </row>
    <row r="22" spans="1:3" x14ac:dyDescent="0.3">
      <c r="A22" s="67" t="s">
        <v>480</v>
      </c>
      <c r="B22" s="68" t="s">
        <v>481</v>
      </c>
      <c r="C22" s="69">
        <v>1320</v>
      </c>
    </row>
    <row r="23" spans="1:3" x14ac:dyDescent="0.3">
      <c r="A23" s="70" t="s">
        <v>482</v>
      </c>
      <c r="B23" s="71" t="s">
        <v>483</v>
      </c>
      <c r="C23" s="72">
        <v>4686.66</v>
      </c>
    </row>
    <row r="24" spans="1:3" x14ac:dyDescent="0.3">
      <c r="A24" s="67" t="s">
        <v>482</v>
      </c>
      <c r="B24" s="68" t="s">
        <v>484</v>
      </c>
      <c r="C24" s="69">
        <v>4686.67</v>
      </c>
    </row>
    <row r="25" spans="1:3" x14ac:dyDescent="0.3">
      <c r="A25" s="70" t="s">
        <v>482</v>
      </c>
      <c r="B25" s="71" t="s">
        <v>485</v>
      </c>
      <c r="C25" s="72">
        <v>4686.67</v>
      </c>
    </row>
    <row r="26" spans="1:3" x14ac:dyDescent="0.3">
      <c r="A26" s="67" t="s">
        <v>482</v>
      </c>
      <c r="B26" s="68" t="s">
        <v>486</v>
      </c>
      <c r="C26" s="69">
        <v>3630.67</v>
      </c>
    </row>
    <row r="27" spans="1:3" x14ac:dyDescent="0.3">
      <c r="A27" s="70" t="s">
        <v>482</v>
      </c>
      <c r="B27" s="71" t="s">
        <v>487</v>
      </c>
      <c r="C27" s="72">
        <v>3630.67</v>
      </c>
    </row>
    <row r="28" spans="1:3" x14ac:dyDescent="0.3">
      <c r="A28" s="67" t="s">
        <v>482</v>
      </c>
      <c r="B28" s="68" t="s">
        <v>488</v>
      </c>
      <c r="C28" s="69">
        <v>3630.67</v>
      </c>
    </row>
    <row r="29" spans="1:3" x14ac:dyDescent="0.3">
      <c r="A29" s="70" t="s">
        <v>489</v>
      </c>
      <c r="B29" s="71" t="s">
        <v>490</v>
      </c>
      <c r="C29" s="72">
        <v>378.4</v>
      </c>
    </row>
    <row r="30" spans="1:3" x14ac:dyDescent="0.3">
      <c r="A30" s="67" t="s">
        <v>491</v>
      </c>
      <c r="B30" s="68" t="s">
        <v>492</v>
      </c>
      <c r="C30" s="69">
        <v>1760</v>
      </c>
    </row>
    <row r="31" spans="1:3" x14ac:dyDescent="0.3">
      <c r="A31" s="70" t="s">
        <v>362</v>
      </c>
      <c r="B31" s="71" t="s">
        <v>493</v>
      </c>
      <c r="C31" s="72">
        <v>18000</v>
      </c>
    </row>
    <row r="32" spans="1:3" x14ac:dyDescent="0.3">
      <c r="A32" s="67" t="s">
        <v>364</v>
      </c>
      <c r="B32" s="68" t="s">
        <v>494</v>
      </c>
      <c r="C32" s="69">
        <v>17463.599999999999</v>
      </c>
    </row>
    <row r="33" spans="1:3" x14ac:dyDescent="0.3">
      <c r="A33" s="70" t="s">
        <v>366</v>
      </c>
      <c r="B33" s="71" t="s">
        <v>494</v>
      </c>
      <c r="C33" s="72">
        <v>11814</v>
      </c>
    </row>
    <row r="34" spans="1:3" x14ac:dyDescent="0.3">
      <c r="A34" s="67" t="s">
        <v>367</v>
      </c>
      <c r="B34" s="68" t="s">
        <v>494</v>
      </c>
      <c r="C34" s="69">
        <v>17120.400000000001</v>
      </c>
    </row>
    <row r="35" spans="1:3" x14ac:dyDescent="0.3">
      <c r="A35" s="70" t="s">
        <v>368</v>
      </c>
      <c r="B35" s="71" t="s">
        <v>369</v>
      </c>
      <c r="C35" s="72">
        <v>30000</v>
      </c>
    </row>
    <row r="36" spans="1:3" x14ac:dyDescent="0.3">
      <c r="A36" s="67" t="s">
        <v>368</v>
      </c>
      <c r="B36" s="68" t="s">
        <v>495</v>
      </c>
      <c r="C36" s="69">
        <v>-3603.11</v>
      </c>
    </row>
    <row r="37" spans="1:3" x14ac:dyDescent="0.3">
      <c r="A37" s="70" t="s">
        <v>496</v>
      </c>
      <c r="B37" s="71" t="s">
        <v>497</v>
      </c>
      <c r="C37" s="72">
        <v>125000</v>
      </c>
    </row>
    <row r="38" spans="1:3" x14ac:dyDescent="0.3">
      <c r="A38" s="67" t="s">
        <v>498</v>
      </c>
      <c r="B38" s="68" t="s">
        <v>499</v>
      </c>
      <c r="C38" s="69">
        <v>18000</v>
      </c>
    </row>
    <row r="39" spans="1:3" x14ac:dyDescent="0.3">
      <c r="A39" s="70" t="s">
        <v>500</v>
      </c>
      <c r="B39" s="71" t="s">
        <v>499</v>
      </c>
      <c r="C39" s="72">
        <v>18000</v>
      </c>
    </row>
    <row r="40" spans="1:3" x14ac:dyDescent="0.3">
      <c r="A40" s="67" t="s">
        <v>501</v>
      </c>
      <c r="B40" s="68" t="s">
        <v>502</v>
      </c>
      <c r="C40" s="69">
        <v>5313</v>
      </c>
    </row>
    <row r="41" spans="1:3" x14ac:dyDescent="0.3">
      <c r="A41" s="70" t="s">
        <v>501</v>
      </c>
      <c r="B41" s="71" t="s">
        <v>502</v>
      </c>
      <c r="C41" s="72">
        <v>5313</v>
      </c>
    </row>
    <row r="42" spans="1:3" ht="15" thickBot="1" x14ac:dyDescent="0.35">
      <c r="A42" s="67" t="s">
        <v>503</v>
      </c>
      <c r="B42" s="68" t="s">
        <v>504</v>
      </c>
      <c r="C42" s="69">
        <v>5547.17</v>
      </c>
    </row>
    <row r="43" spans="1:3" ht="15" thickTop="1" x14ac:dyDescent="0.3">
      <c r="A43" s="73" t="s">
        <v>0</v>
      </c>
      <c r="B43" s="74"/>
      <c r="C43" s="75">
        <v>400917.4</v>
      </c>
    </row>
    <row r="46" spans="1:3" x14ac:dyDescent="0.3">
      <c r="B46" s="61" t="s">
        <v>505</v>
      </c>
      <c r="C46" s="62">
        <f>C43+Tabla2[[#Totals],[Imp.cob.aplic.]]+Tabla3[[#Totals],[Imp. aplic.]]</f>
        <v>1402981.84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Tesis</vt:lpstr>
      <vt:lpstr>Sexenios</vt:lpstr>
      <vt:lpstr>Ingresos investigación 2023</vt:lpstr>
      <vt:lpstr>Ingresos investigación 2024</vt:lpstr>
      <vt:lpstr>Ingresos investigación 2025</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MARIA TERESA PUJALTE DEVIS</cp:lastModifiedBy>
  <cp:lastPrinted>2022-10-17T07:50:16Z</cp:lastPrinted>
  <dcterms:created xsi:type="dcterms:W3CDTF">2019-07-03T07:15:54Z</dcterms:created>
  <dcterms:modified xsi:type="dcterms:W3CDTF">2026-05-22T11:43:09Z</dcterms:modified>
</cp:coreProperties>
</file>