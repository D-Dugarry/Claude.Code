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Institutos\"/>
    </mc:Choice>
  </mc:AlternateContent>
  <xr:revisionPtr revIDLastSave="0" documentId="13_ncr:1_{49EA8105-FCB2-408C-8F3B-7949359D4C76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5" r:id="rId1"/>
    <sheet name="Sexenios" sheetId="6" r:id="rId2"/>
    <sheet name="Ingresos investigación 2019" sheetId="9" r:id="rId3"/>
    <sheet name="ingresos investigación 2020" sheetId="11" r:id="rId4"/>
    <sheet name="ingresos investigación 2021" sheetId="13" r:id="rId5"/>
    <sheet name="Ingresos formación 2019" sheetId="10" r:id="rId6"/>
    <sheet name="ingresos formacion 2020" sheetId="12" r:id="rId7"/>
    <sheet name="ingresos formación 2021" sheetId="14" r:id="rId8"/>
  </sheets>
  <definedNames>
    <definedName name="_xlnm._FilterDatabase" localSheetId="1" hidden="1">Sexenios!$A$1:$S$38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1" i="6" l="1"/>
  <c r="T101" i="5" l="1"/>
  <c r="B62" i="10" l="1"/>
  <c r="D35" i="14" s="1"/>
  <c r="B34" i="9"/>
  <c r="D50" i="13" s="1"/>
</calcChain>
</file>

<file path=xl/sharedStrings.xml><?xml version="1.0" encoding="utf-8"?>
<sst xmlns="http://schemas.openxmlformats.org/spreadsheetml/2006/main" count="2401" uniqueCount="708">
  <si>
    <t>Orgánica
Descripción justificante</t>
  </si>
  <si>
    <t>Importe</t>
  </si>
  <si>
    <t>Total</t>
  </si>
  <si>
    <t>41.60.6C.00.24</t>
  </si>
  <si>
    <t>41.60.6C.00.26</t>
  </si>
  <si>
    <t>41.60.6C.00.30</t>
  </si>
  <si>
    <t>41.60.6C.00.31</t>
  </si>
  <si>
    <t>41.60.6P.00.06</t>
  </si>
  <si>
    <t>41.60.6X.00.01</t>
  </si>
  <si>
    <t>41.60.6X.00.02</t>
  </si>
  <si>
    <t>41.60.2T.00.01</t>
  </si>
  <si>
    <t>41.60.2T.00.02</t>
  </si>
  <si>
    <t>41.60.2T.00.03</t>
  </si>
  <si>
    <t>41.60.2T.00.05</t>
  </si>
  <si>
    <t>41.60.2T.00.06</t>
  </si>
  <si>
    <t>41.60.2T.00.08</t>
  </si>
  <si>
    <t>41.60.2T.00.09</t>
  </si>
  <si>
    <t>41.60.2T.00.12</t>
  </si>
  <si>
    <t>41.60.2T.00.16</t>
  </si>
  <si>
    <t>41.60.6N.00.01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</si>
  <si>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</si>
  <si>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</si>
  <si>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</si>
  <si>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</si>
  <si>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</si>
  <si>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</si>
  <si>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</si>
  <si>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</si>
  <si>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</si>
  <si>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</si>
  <si>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</si>
  <si>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</si>
  <si>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</si>
  <si>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</si>
  <si>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</si>
  <si>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</si>
  <si>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</si>
  <si>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</si>
  <si>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</si>
  <si>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</si>
  <si>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</si>
  <si>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U020 </t>
  </si>
  <si>
    <t>ADM. I.U. DEL AGUA Y DE LAS CIENCIAS AMBIENTALES </t>
  </si>
  <si>
    <t>- </t>
  </si>
  <si>
    <t>Codirector de tesis </t>
  </si>
  <si>
    <t>10.05</t>
  </si>
  <si>
    <t/>
  </si>
  <si>
    <t>DOCTORADO EN AGUA Y DESARROLLO SOSTENIBLE </t>
  </si>
  <si>
    <t>Director de tesis </t>
  </si>
  <si>
    <t>U058 </t>
  </si>
  <si>
    <t>ADM. I.U. DE INVESTIGACIONES TURÍSTICAS </t>
  </si>
  <si>
    <t>DOCTORADO EN TURISMO </t>
  </si>
  <si>
    <t>10.17</t>
  </si>
  <si>
    <t>DOCTORADO EN DIRECCIÓN Y PLANIFICACIÓN DEL TURISMO </t>
  </si>
  <si>
    <t>Almarcha Martínez, Francisco </t>
  </si>
  <si>
    <t>OBSERVANDO AL LOBO. UN ESTUDIO ANTROPOLÓGICO SOBRE EL LOBO Y EL TURISMO DE LA SIERRA DE CULEBRA </t>
  </si>
  <si>
    <t>14/07/2017 </t>
  </si>
  <si>
    <t>Cabral Ghizoni de Sousa, Tarcita </t>
  </si>
  <si>
    <t>MODELO E COMPETITIVIDADE DE DESTINO TURÍSTICO INTELIGENTE </t>
  </si>
  <si>
    <t>10/04/2018 </t>
  </si>
  <si>
    <t>De Freitas Silva, Marília Natacha </t>
  </si>
  <si>
    <t>"TURISMO E DESENVOLVIMENTO: UMA PROPOSTA PARA MEDIÇAO E AVALIAÇAO DE VULNERABILIDADE SOCIAL NOS TERRITÓRIOS TURÍSTICOS" </t>
  </si>
  <si>
    <t>23/09/2019 </t>
  </si>
  <si>
    <t>10.21</t>
  </si>
  <si>
    <t>B112 </t>
  </si>
  <si>
    <t>DIDACTICA GENERAL Y DIDÁCTICAS ESPECÍFICAS </t>
  </si>
  <si>
    <t>DOCTORADO EN INVESTIGACIÓN EDUCATIVA </t>
  </si>
  <si>
    <t>50</t>
  </si>
  <si>
    <t>U025 </t>
  </si>
  <si>
    <t>ADM. FACULTAD DE DERECHO </t>
  </si>
  <si>
    <t>DOCTORADO EN DERECHO </t>
  </si>
  <si>
    <t>15/07/2019 </t>
  </si>
  <si>
    <t>20</t>
  </si>
  <si>
    <t>B138 </t>
  </si>
  <si>
    <t>ANALISIS ECONOMICO APLICADO </t>
  </si>
  <si>
    <t>B138</t>
  </si>
  <si>
    <t>Fernández Aracil, Patricia </t>
  </si>
  <si>
    <t>ANÁLISIS DE LA CIUDAD DISPERSA: REPERCUSIÓN ECONÓMICA, SOCIAL Y MEDIOAMBIENTAL </t>
  </si>
  <si>
    <t>13/09/2018 </t>
  </si>
  <si>
    <t>10</t>
  </si>
  <si>
    <t>B185 </t>
  </si>
  <si>
    <t>INGENIERÍA CIVIL </t>
  </si>
  <si>
    <t>B185</t>
  </si>
  <si>
    <t>80</t>
  </si>
  <si>
    <t>10.06</t>
  </si>
  <si>
    <t>25</t>
  </si>
  <si>
    <t>15</t>
  </si>
  <si>
    <t>40</t>
  </si>
  <si>
    <t>21439172K </t>
  </si>
  <si>
    <t>B179 </t>
  </si>
  <si>
    <t>SOCIOLOGÍA I </t>
  </si>
  <si>
    <t>B179</t>
  </si>
  <si>
    <t>U036 </t>
  </si>
  <si>
    <t>ADM. FACULTAD DE CIENCIAS ECONÓMICAS </t>
  </si>
  <si>
    <t>DOCTORADO EN EMPRESA, ECONOMÍA Y SOCIEDAD </t>
  </si>
  <si>
    <t>Frezzatti Santiago, Ana Lúcia </t>
  </si>
  <si>
    <t>LICENCIA SOCIAL PARA OPERAR. RELACIÓN DE LA EMPRESA CON LA COMUNIDAD SOCIAL. CRITERIOS DE INFLUENCIA PARA LA CONCESIÓN DE LA LSO. UN ESTUDIO DE CASO DE LA MINERÍA BRASILEÑA" </t>
  </si>
  <si>
    <t>05/12/2016 </t>
  </si>
  <si>
    <t>Rios Pérez, Manuel </t>
  </si>
  <si>
    <t>"GASTOS DE PERSONAL, COSTES LABORALES Y FINANCIACIÓN DEL SECTOR DE TRANSPORTE URBANO DE VIAJEROS EN AUTOBÚS EN ESPAÑA EN EL PERIODO 2000-2015" </t>
  </si>
  <si>
    <t>18/01/2018 </t>
  </si>
  <si>
    <t>79108766J </t>
  </si>
  <si>
    <t>30</t>
  </si>
  <si>
    <t>B122 </t>
  </si>
  <si>
    <t>HUMANIDADES CONTEMPORANEAS </t>
  </si>
  <si>
    <t>B122</t>
  </si>
  <si>
    <t>U023 </t>
  </si>
  <si>
    <t>ADM. FACULTAD DE FILOSOFIA Y LETRAS </t>
  </si>
  <si>
    <t>DOCTORADO EN FILOSOFÍA Y LETRAS </t>
  </si>
  <si>
    <t>74176634R </t>
  </si>
  <si>
    <t>B173 </t>
  </si>
  <si>
    <t>ANÁLISIS GEOGRÁFICO REGIONAL Y GEOGRAFÍA FÍSICA </t>
  </si>
  <si>
    <t>B173</t>
  </si>
  <si>
    <t>25126276H </t>
  </si>
  <si>
    <t>70</t>
  </si>
  <si>
    <t>B175</t>
  </si>
  <si>
    <t>15/12/2016 </t>
  </si>
  <si>
    <t>17/07/2017 </t>
  </si>
  <si>
    <t>22/09/2017 </t>
  </si>
  <si>
    <t>10/05/2019 </t>
  </si>
  <si>
    <t>05/07/2019 </t>
  </si>
  <si>
    <t>B110 </t>
  </si>
  <si>
    <t>ORGANIZACIÓN DE EMPRESAS </t>
  </si>
  <si>
    <t>21360018X </t>
  </si>
  <si>
    <t>B110</t>
  </si>
  <si>
    <t>33481428Y </t>
  </si>
  <si>
    <t>74218489L </t>
  </si>
  <si>
    <t>21470393P </t>
  </si>
  <si>
    <t>Portela Maquieira, Silvia </t>
  </si>
  <si>
    <t>EL LIDERAZGO TRANSFORMADOR EN LA GESTIÓN DE LA CALIDAD. UN ESTUDIO BASADO EN EL MODELO EFQM </t>
  </si>
  <si>
    <t>21645764G </t>
  </si>
  <si>
    <t>Melo Hernández, Myriam Eugenia </t>
  </si>
  <si>
    <t>LA INTEGRACIÓN DE LAS TIC COMO VÍA PARA OPTIMIZAR EL PROCESO ENSEÑANZA-APRENDIZAJE EN LA EDUCACIÓN SUPERIOR EN COLOMBIA </t>
  </si>
  <si>
    <t>05/07/2018 </t>
  </si>
  <si>
    <t>53210892R </t>
  </si>
  <si>
    <t>González Illescas, Mayiya Lisbeth </t>
  </si>
  <si>
    <t>LA DIRECCIÓN DEL CONOCIMIENTO Y EL APRENDIZAJE ORGANIZACIONAL EN LAS EMPRESAS PRODUCTORAS DE CAMARÓN DE LA PROVÍNCIA DE EL ORO, ECUADOR </t>
  </si>
  <si>
    <t>Mendoza Arteaga, Geovanny Xavier </t>
  </si>
  <si>
    <t>PROPUESTA DE PROGRAMA INTEGRAL DE ACOMPAÑAMIENTO A EMPRENDEDORES, COMO ALTERNATIVA PARA EL DESARROLLO DE COMPETENCIAS PROACTIVAS Y LA DISMINUCIÓN DEL DESEMPLEO EN ECUADOR </t>
  </si>
  <si>
    <t>Medina Serrano, Ruben </t>
  </si>
  <si>
    <t>STRATEGIC SOURCING MANAGEMENT - A MULTIPLE CRITERIA DECISION SUPPORT METHODOLOGY WITH TOPSIS </t>
  </si>
  <si>
    <t>Sigüenza Poveda, Maria Carmen </t>
  </si>
  <si>
    <t>ESTEREOTIPOS Y ROLES DE GÉNERO EN EL ALUMNADO DE LOS CICLOS FORMATIVOS DE TURISMO ANTE SU INCORPORACIÓN AL MERCADO LABORAL </t>
  </si>
  <si>
    <t>22/07/2019 </t>
  </si>
  <si>
    <t>48457726S </t>
  </si>
  <si>
    <t>B177 </t>
  </si>
  <si>
    <t>PSICOLOGÍA EVOLUTIVA Y DIDÁCTICA </t>
  </si>
  <si>
    <t>Gomis Gomis, María José </t>
  </si>
  <si>
    <t>EFECTOS DE UN PROGRAMA DE ACTIVIDAD FÍSICA BASADO EN LOS AVANCES TECNOLÓGICOS: LOS ENTORNOS VIRTUALES MOTRICES COMO PROMOTORES DE SALUD </t>
  </si>
  <si>
    <t>30/07/2019 </t>
  </si>
  <si>
    <t>21478406V </t>
  </si>
  <si>
    <t>B112</t>
  </si>
  <si>
    <t>51326460M </t>
  </si>
  <si>
    <t>21414923Z </t>
  </si>
  <si>
    <t>García Sempere, Ana </t>
  </si>
  <si>
    <t>LA TRANSICIÓN URBANA HACIA LA SOBERANÍA ALIMENTARIA: UN MARCO TEÓRICO-CONCEPTUAL Y METODOLÓGICO PARA SU ANÁLISIS. ESTUDIO DE CASO EN SAN CRISTÓBAL DE LAS CASAS, CHIAPAS (MÉXICO) </t>
  </si>
  <si>
    <t>25/06/2018 </t>
  </si>
  <si>
    <t>B154 </t>
  </si>
  <si>
    <t>DERECHO MERCANTIL Y DERECHO PROCESAL </t>
  </si>
  <si>
    <t>12759974B </t>
  </si>
  <si>
    <t>B154</t>
  </si>
  <si>
    <t>22126890Q </t>
  </si>
  <si>
    <t>García Arango, Gustavo Adolfo </t>
  </si>
  <si>
    <t>LA REGULACIÓN JURÍDICA DEL EMPRENDIMIENTO EN LATINOAMÉRICA Y ESPAÑA </t>
  </si>
  <si>
    <t>Sargsyan , Gevorg </t>
  </si>
  <si>
    <t>EFFECT OF STATUTORY AND REGULATORY PROTECTION IN INVESTMENT DECISION </t>
  </si>
  <si>
    <t>29/06/2018 </t>
  </si>
  <si>
    <t>RAMOS CALVO, MARíA DOLORES </t>
  </si>
  <si>
    <t>RÉGIMEN JURÍDICO DE LA MEDIACIÓN CONCURSAL EN EL DERECHO ESPAÑOL </t>
  </si>
  <si>
    <t>21362608R </t>
  </si>
  <si>
    <t>44766559A </t>
  </si>
  <si>
    <t>05658630D </t>
  </si>
  <si>
    <t>Celdran Bernabeu, Marco Antonio </t>
  </si>
  <si>
    <t>NUEVOS ESCENARIOS PARA LA PLANIFICACIÓN Y GESTIÓN DE LOS DESTINOS TURÍSTICOS. EL ENFOQUE DESTINOS TURÍSTICOS INTELIGENTES </t>
  </si>
  <si>
    <t>07/09/2018 </t>
  </si>
  <si>
    <t>TIRADO BALLESTEROS, JUAN GABRIEL </t>
  </si>
  <si>
    <t>TURISMO Y DESARROLLO RURAL: ANÁLISIS DE LAS POLÍTICAS CON ENFOQUE LEADER </t>
  </si>
  <si>
    <t>74218439S </t>
  </si>
  <si>
    <t>Arahuetes Hidalgo, Ana </t>
  </si>
  <si>
    <t>LOS RECURSOS NO CONVENCIONALES EN EL METABOLISMO HÍDRICO DEL LITORAL DE LA PROVINCIA DE ALICANTE </t>
  </si>
  <si>
    <t>30/11/2017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</si>
  <si>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</si>
  <si>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</si>
  <si>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</si>
  <si>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</si>
  <si>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</si>
  <si>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</si>
  <si>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</si>
  <si>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</si>
  <si>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</si>
  <si>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</si>
  <si>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</si>
  <si>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</si>
  <si>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</si>
  <si>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</si>
  <si>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21439172K</t>
  </si>
  <si>
    <t>ALEDO TUR, ANTONIO JOSE</t>
  </si>
  <si>
    <t>25126276H</t>
  </si>
  <si>
    <t>IVARS BAIDAL, JOSEP ANTONI</t>
  </si>
  <si>
    <t>21468028N</t>
  </si>
  <si>
    <t>LILLO BAÑULS, ADELAIDA</t>
  </si>
  <si>
    <t>21487688F</t>
  </si>
  <si>
    <t>74176634R</t>
  </si>
  <si>
    <t>VERA REBOLLO, JOSE FERNANDO</t>
  </si>
  <si>
    <t>48457726S</t>
  </si>
  <si>
    <t>ANDREU GUERRERO, MARIA ROSARIO</t>
  </si>
  <si>
    <t>48350398M</t>
  </si>
  <si>
    <t>ASENSI MERAS, ALTEA</t>
  </si>
  <si>
    <t>12759974B</t>
  </si>
  <si>
    <t>FERNANDEZ PEREZ, NURIA</t>
  </si>
  <si>
    <t>22126890Q</t>
  </si>
  <si>
    <t>GALLEGO SANCHEZ, ESPERANZA</t>
  </si>
  <si>
    <t>52764800V</t>
  </si>
  <si>
    <t>GARCIA ANDREU, HUGO</t>
  </si>
  <si>
    <t>74087122M</t>
  </si>
  <si>
    <t>GARCIA LILLO, FRANCISCO</t>
  </si>
  <si>
    <t>21645764G</t>
  </si>
  <si>
    <t>GASCO GASCO, JOSE LUIS</t>
  </si>
  <si>
    <t>21470393P</t>
  </si>
  <si>
    <t>GONZALEZ RAMIREZ, MARIA REYES</t>
  </si>
  <si>
    <t>05658630D</t>
  </si>
  <si>
    <t>HUETE NIEVES, RAQUEL</t>
  </si>
  <si>
    <t>25146159Y</t>
  </si>
  <si>
    <t>IÑIGUEZ ORTEGA, MARIA PILAR</t>
  </si>
  <si>
    <t>53210892R</t>
  </si>
  <si>
    <t>LLOPIS TAVERNER, JUAN</t>
  </si>
  <si>
    <t>72128548L</t>
  </si>
  <si>
    <t>MANTECON TERAN, ALEJANDRO</t>
  </si>
  <si>
    <t>74218489L</t>
  </si>
  <si>
    <t>MARCO LAJARA, BARTOLOME</t>
  </si>
  <si>
    <t>44766559A</t>
  </si>
  <si>
    <t>ORTIZ NOGUERA, GUADALUPE</t>
  </si>
  <si>
    <t>51326460M</t>
  </si>
  <si>
    <t>PASTOR ALFONSO, MARIA JOSEFA</t>
  </si>
  <si>
    <t>48350547Q</t>
  </si>
  <si>
    <t>PEREIRA MOLINER, JORGE</t>
  </si>
  <si>
    <t>21478406V</t>
  </si>
  <si>
    <t>PEREZ TURPIN, JOSE ANTONIO</t>
  </si>
  <si>
    <t>21503087L</t>
  </si>
  <si>
    <t>RICO CANOVAS, ELISA TRINIDAD</t>
  </si>
  <si>
    <t>33481428Y</t>
  </si>
  <si>
    <t>TARI GUILLO, JUAN JOSE</t>
  </si>
  <si>
    <t>29015181Z</t>
  </si>
  <si>
    <t>UBEDA GARCIA, MARIA MERCEDES</t>
  </si>
  <si>
    <t>79108766J</t>
  </si>
  <si>
    <t>ORTUÑO PADILLA, ARMANDO</t>
  </si>
  <si>
    <t>33475454N</t>
  </si>
  <si>
    <t>CASADO DIAZ, JOSE MANUEL</t>
  </si>
  <si>
    <t>21423152D</t>
  </si>
  <si>
    <t>FERNANDEZ POYATOS, MARIA DOLORES</t>
  </si>
  <si>
    <t>21478044T</t>
  </si>
  <si>
    <t>FUENTES PASCUAL, RAMON</t>
  </si>
  <si>
    <t>21485448K</t>
  </si>
  <si>
    <t>BAÑOS CASTIÑEIRA, CARLOS JAVIER</t>
  </si>
  <si>
    <t>74218439S</t>
  </si>
  <si>
    <t>HERNANDEZ HERNANDEZ, MARIA</t>
  </si>
  <si>
    <t>21466152E</t>
  </si>
  <si>
    <t>RAMON MORTE, ALFREDO</t>
  </si>
  <si>
    <t>21485335T</t>
  </si>
  <si>
    <t>TORRES ALFOSEA, FRANCISCO JOSE</t>
  </si>
  <si>
    <t>41.60.6C.00.22</t>
  </si>
  <si>
    <t>COBRO FRA. 710/2017-I.</t>
  </si>
  <si>
    <t>Finalización del Diseño de una estrategia retributiva para la mejora de la calidad de los servicios municipales del Ayuntamiento de Castalla</t>
  </si>
  <si>
    <t>Fomento de la investigación e innovación turística y transferencia de conocimientos al sector turístico de la C.V. (nominativa)</t>
  </si>
  <si>
    <t>REINTEGRO CUOTA PATRONAL CORRESPONDIENTE AL MES DE NOVIEMBRE 2019.</t>
  </si>
  <si>
    <t>REINTEGRO CUOTA PATRONAL CORRESPONDIENTE AL MES DE OCTUBRE DE 2019.</t>
  </si>
  <si>
    <t>SUB.: . Q0332001G. EL INSTITUTO UNIVERSITARIO DE INVESTIGACIONES TURÍSTICAS INFORMA QUE CORRESPONDE AL CONVENIO DE COLABORACIÓN (DE FECHA 30.05.2018) ENTRE LA AGENCIA VALENCIANA DEL TURISMO Y LA UNIVERSIDAD DE ALICANTE PARA EL FOMENTO DE LA INVESTIGACIÓN, LA FORMACIÓN Y LA INNOVACIÓN EN EL SECTOR TURÍSTICO DURANTE EL AÑO 2018.</t>
  </si>
  <si>
    <t>41.60.6C.00.32</t>
  </si>
  <si>
    <t>Análisis de las estrategias y políticas de RRHH en el tejido empresarial de la Comunidad Valenciana con especial referencia al personal encargado del diseño y aplicación de estas estrategias.</t>
  </si>
  <si>
    <t>41.60.6C.00.33</t>
  </si>
  <si>
    <t>Estudio de Estrategias y Tácticas Turísticas de la Ciudad de Alicante.</t>
  </si>
  <si>
    <t>41.60.6C.00.34</t>
  </si>
  <si>
    <t>Asesoramiento especializado en estrategias, metodologías  docentes y tecnologías de la información y la comunicación y su aplicabilidad para formación de los RRHH en  sector turístico. Elaboración de informe razonado.</t>
  </si>
  <si>
    <t>41.60.6C.00.35</t>
  </si>
  <si>
    <t>Asesoramiento para materias relacionadas con la Dirección y Gestión de RRHH en el ámbito de la Prevención de Riesgos Laborales y su difusión.</t>
  </si>
  <si>
    <t>41.60.6C.00.36</t>
  </si>
  <si>
    <t>Asesoramiento especializado en estrategias, metodologías  docentes y tecnologías de la información y la comunicación y su aplicabilidad para formación de personal de dirección del sector turístico. Elaboración de informe razonado.</t>
  </si>
  <si>
    <t>41.60.6C.00.38</t>
  </si>
  <si>
    <t>Asesoramiento en materias relacionadas con la actualización del organigrama y la RPT del Ayuntamiento de Ayora.</t>
  </si>
  <si>
    <t>41.60.6C.00.39</t>
  </si>
  <si>
    <t>Diseño e implantación de un sistema de información para la actualización y explotación del inventario municipal de bienes</t>
  </si>
  <si>
    <t>Finalización del diseño y implantación de un sistema de información para la actualización y explotación del inventario municipal de bienes.</t>
  </si>
  <si>
    <t>41.60.6M.00.02</t>
  </si>
  <si>
    <t>DOC: 1-B. SUBVENCIÓN UNIVERSIDAD DE ALICANTE PARA LA REALIZACIÓN DE LA ACTIVIDAD DOEACTUA. REF.ORDENANTE: SCPU6J25693061812CC5115056451. REF.BENEFICIARIO: 319169059611998.</t>
  </si>
  <si>
    <t>(20100325AVT) Acuerdo de colaboracion entre la UA y el Ayuntamiento de Benidorm para el funcionamiento de la Catedra Pedro Zaragoza Orts</t>
  </si>
  <si>
    <t>FLIB 18/03/19. PROYECTOS I+D+I RETOS 2017. ANUAL 2019. UNIV2 PROYECTOS I+D RETOS (PIA13) N EXPEDIENTE: PIA132017-1 - 2 ANUALIDAD REFERENCI. REF. ORDENANTE: 27402219310014371.</t>
  </si>
  <si>
    <t>FIFTH PAYMENT FOR PROJECT ROMIGSC. REF. BENEFICIARIO: SCTABAN 190613-02-000001.CT. LA OFICINA DE GESTIÓN DE PROYECTOS INTERNACIONALES INFORMA QUE SE TRATA DEL 5º PAGO DEL PROYECTO ROMIGSC. INSTITUTO DE INVESTIGACIONES TURÍSTICAS.</t>
  </si>
  <si>
    <t>Liquidación  PLAN G875 curso ''TURSIMO DE CRUCEROS'' ORDEN 5359</t>
  </si>
  <si>
    <t>Liquidación  PLAN 9294 curso ''EXPERTO EN DIRECCIÓN DE EMPRESAS DE HOSTELERÍA'' ORDEN 5351</t>
  </si>
  <si>
    <t>Liquidación  PLAN 9296 curso ''EXPERTO EN DIRECCIÓN DE EMPRESAS DE HOSTELERÍA'' ORDEN 5352</t>
  </si>
  <si>
    <t>Przybyslawska, Agnieszka Ewa. EXPERTO EN HOUSEKEEPING - GESTIÓN DE PISOS Y LIMPIEZA EN ALOJAMIENTOS.</t>
  </si>
  <si>
    <t>LIQUIDACIÓN PLAN 9227 EXPERTO EN GUÍA TURÍSTICO</t>
  </si>
  <si>
    <t>Liquidación  PLAN 9227 curso ''EXPERTO EN GUÍA TURÍSTICO'' ORDEN 5396</t>
  </si>
  <si>
    <t>Liquidación  PLAN 9228 curso ''ESPECIALISTA EN INTERPRETACIÓN DEL PATRIMONIO Y GUÍA TURÍSTICO'' ORDEN 5345</t>
  </si>
  <si>
    <t>Reintegro de cuota patronal del mes de julio 2019</t>
  </si>
  <si>
    <t>Liquidación 2 PLAN 9242 curso ''MÁSTER EN DIRECCIÓN Y GESTIÓN DE RECURSOS HUMANOS'' ORDEN 5336</t>
  </si>
  <si>
    <t>Liquidación PLAN 9242 Master en Dirección y Gestión de Recursos Humanos</t>
  </si>
  <si>
    <t>Liquidación  PLAN 9243 curso ''EXPERTO EN DIRECCIÓN Y GESTIÓN DE RECURSOS HUMANOS'' ORDEN 5338</t>
  </si>
  <si>
    <t>Liquidación  PLAN 9244 curso ''EXPERTO EN TÉCNICAS AVANZADAS DE GESTIÓN DE PERSONAS EN ORGANIZACIONES'' ORDEN 5337</t>
  </si>
  <si>
    <t xml:space="preserve">Arvid Adi  de Moor Seurynck. Experto en dirección de hoteles y alojamiento. </t>
  </si>
  <si>
    <t>Jaime Miguel Barceló  Calabuig. MÁSTER DIRECCIÓN DE HOTELES</t>
  </si>
  <si>
    <t>Liquidación 1 PLAN 9310 curso ''EXPERTO EN DIRECCIÓN DE HOTELES Y ALOJAMIENTO'' ORDEN 5348</t>
  </si>
  <si>
    <t>Liquidación 1 PLAN 9312 curso ''MÁSTER EN DIRECCIÓN DE HOTELES'' ORDEN 5347</t>
  </si>
  <si>
    <t>Liquidación  PLAN 9310 curso ''EXPERTO EN DIRECCIÓN DE HOTELES Y ALOJAMIENTO'' ORDEN 5412</t>
  </si>
  <si>
    <t>Liquidación  PLAN 9311 curso ''EXPERTO EN DIRECCIÓN COMERCIAL DE HOTELES'' ORDEN 5349</t>
  </si>
  <si>
    <t>Liquidación  PLAN 9311 curso ''EXPERTO EN DIRECCIÓN COMERCIAL DE HOTELES'' ORDEN 5402</t>
  </si>
  <si>
    <t>María Milagros Andújar Ivars. Experto en dirección comercial de hoteles.</t>
  </si>
  <si>
    <t>Liquidación PLAN 9251 Master en Dirección y Gestión de Empresas</t>
  </si>
  <si>
    <t>Liquidación  PLAN 9251 curso ''MÁSTER EN DIRECCIÓN Y GESTIÓN DE EMPRESAS'' ORDEN 5341</t>
  </si>
  <si>
    <t>Liquidación  PLAN 9251 curso ''MÁSTER EN DIRECCIÓN Y GESTIÓN DE EMPRESAS'' ORDEN 5408</t>
  </si>
  <si>
    <t>Liquidación  PLAN 9252 curso ''EXPERTO EN DIRECCIÓN Y GESTIÓN DE EMPRESAS'' ORDEN 5339</t>
  </si>
  <si>
    <t>Liquidación  PLAN 9252 curso ''EXPERTO EN DIRECCIÓN Y GESTIÓN DE EMPRESAS'' ORDEN 5436</t>
  </si>
  <si>
    <t>Liquidación  PLAN 9253 curso ''EXPERTO EN TÉCNICAS AVANZADAS DE DIRECCIÓN Y GESTIÓN DE EMPRESAS'' ORDEN 5340</t>
  </si>
  <si>
    <t>Liquidación  PLAN G811 curso ''GESTIÓN DE RESTAURANTES'' ORDEN 5438</t>
  </si>
  <si>
    <t>1ª LIQUIDACIÓN CURSO GA51  LAS ACTIVIDADES NAÚTICAS Y EL OCIO MARÍTIMO</t>
  </si>
  <si>
    <t>Liquidación 2 PLAN GA51 curso ''LAS ACTIVIDADES NAÚTICAS Y EL OCIO MARÍTIMO'' ORDEN 5384</t>
  </si>
  <si>
    <t>41.60.2T.00.13</t>
  </si>
  <si>
    <t>Jessica López Marín EXPERTO EN HOUSEKEEPING - GESTIÓN DE PISOS Y LIMPIEZA EN ALOJAMIENTOS</t>
  </si>
  <si>
    <t>Liquidación  PLAN 9288 curso ''EXPERTO EN HOUSEKEEPING-GESTIÓN DE PISOS Y LIMPIEZA EN ALOJAMIENTOS'' ORDEN 5484</t>
  </si>
  <si>
    <t>Maria Peñalver. EXPERTO EN HOUSEKEEPING - GESTIÓN DE PISOS Y LIMPIEZA EN ALOJAMIENTOS.</t>
  </si>
  <si>
    <t xml:space="preserve">Raquel Ramirez Santos. EXPERTO EN HOUSEKEEPING - GESTIÓN DE PISOS Y LIMPIEZA EN ALOJAMIENTOS. </t>
  </si>
  <si>
    <t>Liquidación PLAN GC61 "Emprendo en Turismo"</t>
  </si>
  <si>
    <t>41.60.2T.00.17</t>
  </si>
  <si>
    <t>Liquidación PLAN GE14 "Dirección y Gestión de Empresas Turísticas de Intermediación"</t>
  </si>
  <si>
    <t>41.60.2T.00.18</t>
  </si>
  <si>
    <t>Liquidación PLAN 9251 "Máster en dirección y gestión de empresas"</t>
  </si>
  <si>
    <t>Liquidación Plan 9252 "Experto en dirección y gestión de empresas"</t>
  </si>
  <si>
    <t>Liquidación PLAN 9253 "Experto en técnicas avanzadas de dirección y gestión de empresas"</t>
  </si>
  <si>
    <t>41.60.2T.00.19</t>
  </si>
  <si>
    <t xml:space="preserve">2ª Liquidación PLAN 9242 "Máster en Dirección y Gestión de RR.HH" </t>
  </si>
  <si>
    <t>Liquidación PLAN 9243 "Experto en dirección y gestión de RR.HH"</t>
  </si>
  <si>
    <t>Liquidación PLAN 9244 "Experto en técnicas avanzadas de gestión de personas en organizaciones"</t>
  </si>
  <si>
    <t>41.60.2T.00.20</t>
  </si>
  <si>
    <t>Liquidación PLAN 9227 "Experto en Guía Turístico"</t>
  </si>
  <si>
    <t>Liquidación PLAN 9228 "Especialista en interpretación del patrimonio y guía turístico"</t>
  </si>
  <si>
    <t>Liquidación PLAN 9229 "Máster en guía turístico e interpretación del patrimonio"</t>
  </si>
  <si>
    <t>FARFAN PACHECO, GALO ADOLFO </t>
  </si>
  <si>
    <t>Valoración de empresas y riesgo país en Ecuador </t>
  </si>
  <si>
    <t>30/09/2020 </t>
  </si>
  <si>
    <t>González Herreros, Ester </t>
  </si>
  <si>
    <t>La influencia de las agencias de desarrollo local en la atención y formación a emprendedores. El caso de la província de Alicante </t>
  </si>
  <si>
    <t>24/01/2020 </t>
  </si>
  <si>
    <t>Ruiz Fernandez, Lorena </t>
  </si>
  <si>
    <t>Análisis de las capacidades dinámicas y su efecto sobre el rendimiento empresarial: Un estudio aplicado al sector hotelero en España </t>
  </si>
  <si>
    <t>27/07/2020 </t>
  </si>
  <si>
    <t>Seva Larrosa, Pedro </t>
  </si>
  <si>
    <t>DISTRITOS INDUSTRIALES Y COMPETITIVIDAD EMPRESARIAL: UN ANÁLISIS APLICADO A LOS DISTRITOS INDUSTRIALES ALIMENTARIOS (DIA) EN ESPAÑA </t>
  </si>
  <si>
    <t>20/11/2019 </t>
  </si>
  <si>
    <t>DOCTORADO EN ECONOMÍA </t>
  </si>
  <si>
    <t>Femenia Serra, Francisco </t>
  </si>
  <si>
    <t>SMART TOURISM DESTINATIONS: A DEMAND-BASED APPROACH FOR IMPROVING LOCAL TOURISM MANAGENENT </t>
  </si>
  <si>
    <t>03/12/2019 </t>
  </si>
  <si>
    <t>Navarro Ruiz, Sandra </t>
  </si>
  <si>
    <t>"COMPORTAMIENTO INTRADESTINO DE LOS VISITANTES E IMPLICACIONES PARA LA GESTIÓN TURÍSTICA LOCAL. ESTUDIO DE LOS VISITANTES DE CRUCERO EN VALENCIA" </t>
  </si>
  <si>
    <t>10/12/2019 </t>
  </si>
  <si>
    <t>Villar Navascués, Rubén Alejandro </t>
  </si>
  <si>
    <t>SISTEMAS DE SUMINISTRO Y TENDENCIAS DE CONSUMO DE AGUA URBANO-TURÍSTICO EN LOS MUNICIPIOS LITORALES DE ALICANTE (2000-2017) </t>
  </si>
  <si>
    <t>29/11/2019 </t>
  </si>
  <si>
    <t>12381640G</t>
  </si>
  <si>
    <t>ESPESO MOLINERO, MARIA DEL PILAR</t>
  </si>
  <si>
    <t>RAMON RODRIGUEZ, ANA BELEN</t>
  </si>
  <si>
    <t>COD DEP</t>
  </si>
  <si>
    <t>16809134K</t>
  </si>
  <si>
    <t>DE JUANA ESPINOSA, SUSANA AMALIA</t>
  </si>
  <si>
    <t>21508717Z</t>
  </si>
  <si>
    <t>SELLERS RUBIO, RICARDO</t>
  </si>
  <si>
    <t>B181</t>
  </si>
  <si>
    <t>29020457T</t>
  </si>
  <si>
    <t>QUER RAMON, DIEGO FRANCISCO</t>
  </si>
  <si>
    <t>45561686C</t>
  </si>
  <si>
    <t>ZARAGOZA SAEZ, PATROCINIO DEL CARMEN</t>
  </si>
  <si>
    <t>47083217D</t>
  </si>
  <si>
    <t>MORENO IZQUIERDO, LUIS</t>
  </si>
  <si>
    <t>21436398F</t>
  </si>
  <si>
    <t>SUCH CLIMENT, MARIA PAZ</t>
  </si>
  <si>
    <t>35</t>
  </si>
  <si>
    <t>vivos</t>
  </si>
  <si>
    <t>Quizhpe Salinas, Luis Alcivar </t>
  </si>
  <si>
    <t>"Estrategias competitivas para el desarrollo de las PYMES, en el corredor turístico ferroviario del Ecuador, con enfoque sistémico." </t>
  </si>
  <si>
    <t>30/07/2020 </t>
  </si>
  <si>
    <t>ZZ </t>
  </si>
  <si>
    <t>SIN ASIGNAR </t>
  </si>
  <si>
    <t>Navarro Berbegal, Francisco Javier </t>
  </si>
  <si>
    <t>CULTURA DE CALIDAD: PARADIGMA DE DESARROLLO PARA LA EXCELENCIA. EVIDENCIA DEL CASO EN EMPRESAS DE LA PROVINCIA DE ALICANTE </t>
  </si>
  <si>
    <t>19/11/2020 </t>
  </si>
  <si>
    <t>21494583W </t>
  </si>
  <si>
    <t>Sarmiento Moscoso, Luis Santiago </t>
  </si>
  <si>
    <t>Tres estudios sobre la descomposición de las diferencias salariales regionales en Ecuador a lo largo de la distribución salarial </t>
  </si>
  <si>
    <t>06/09/2021 </t>
  </si>
  <si>
    <t>33475454N </t>
  </si>
  <si>
    <t>García Botella, María Estela </t>
  </si>
  <si>
    <t>Variables de información geográfica en los estudios de inundabilidad de pequeñas cuencas alteradas en el sureste de la Península Ibérica </t>
  </si>
  <si>
    <t>27/07/2021 </t>
  </si>
  <si>
    <t>21466152E </t>
  </si>
  <si>
    <t>García-Cremades Mira, Alejandro </t>
  </si>
  <si>
    <t>Mecanismos de solución del bloqueo societario </t>
  </si>
  <si>
    <t>14/07/2021 </t>
  </si>
  <si>
    <t>25146159Y </t>
  </si>
  <si>
    <t>Rabasa Martínez, Ignacio </t>
  </si>
  <si>
    <t>EL SECRETO EMPRESARIAL EN LA INDUSTRIA DEL FITOMEJORAMIENTO </t>
  </si>
  <si>
    <t>29/01/2021 </t>
  </si>
  <si>
    <t>MODELO DE ESTRATEGIAS PARA GESTIONAR EL CONOCIMENTO INSTITUCIONAL(Caso de Universidades Públicas Categoría A de Ecuador) </t>
  </si>
  <si>
    <t>30/09/2021 </t>
  </si>
  <si>
    <t>29015181Z </t>
  </si>
  <si>
    <t>Sánchez García, Eduardo </t>
  </si>
  <si>
    <t>Aglomeración industrial, capital social y capacidad de absorción como impulsores del desempeño innovador y empresarial: Una aplicación al sector de suministro de energía eléctrica, gas, vapor y aire acondicionado en España </t>
  </si>
  <si>
    <t>22/07/2021 </t>
  </si>
  <si>
    <t>74087122M </t>
  </si>
  <si>
    <t>Pedro De Blas, Jennifer </t>
  </si>
  <si>
    <t>La competitividad internacional en el fútbol: Un análisis comparativo entre España y China </t>
  </si>
  <si>
    <t>28/07/2021 </t>
  </si>
  <si>
    <t>29020457T </t>
  </si>
  <si>
    <t>Brotons Martínez, Matilde </t>
  </si>
  <si>
    <t>La gestión del conocimiento para la innovación en hoteles: la influencia de las prácticas de Recursos Humanos </t>
  </si>
  <si>
    <t>25/03/2021 </t>
  </si>
  <si>
    <t>González Domínguez, Irais </t>
  </si>
  <si>
    <t>Empoderamiento de actoras y actores locales en la gestión del Turismo Rural en el Estado de México </t>
  </si>
  <si>
    <t>01/02/2021 </t>
  </si>
  <si>
    <t>Climent Gil, Emilio </t>
  </si>
  <si>
    <t>Abordando la complejidad. Vulnerabilidad y riesgo en la gestión de impactos sociales de las intervenciones sobre el medio </t>
  </si>
  <si>
    <t>24/11/2020 </t>
  </si>
  <si>
    <t>Aznar Crespo, Pablo </t>
  </si>
  <si>
    <t>Procesos generativos de vulnerabilidad social ante riesgos ambientales: retos y oportunidades para una nueva gobernanza </t>
  </si>
  <si>
    <t>10/09/2021 </t>
  </si>
  <si>
    <t>Lalangui Ramírez, Jessica Ivonne </t>
  </si>
  <si>
    <t>CONTRIBUCIÓN A LAS POTENCIALIDADES DE LOS DESTINOS TURÍSTICOS DE LA PROVINCIA DE EL ORO - ECUADOR </t>
  </si>
  <si>
    <t>22/03/2021 </t>
  </si>
  <si>
    <t>Rodríguez Pallas, Ángel </t>
  </si>
  <si>
    <t>Agencias de viaje, convivencia del negocio online-offline. El impacto de las TIC, los cambios en los hábitos de consumo y la importancia del marketing relacional </t>
  </si>
  <si>
    <t>26/02/2021 </t>
  </si>
  <si>
    <t>REINTEGRO CUOTA PATRONAL CORRESPONDIENTE A DICIEMBRE DE 2020.</t>
  </si>
  <si>
    <t>REINTEGRO CUOTA PATRONAL CORRESPONDIENTE A JUNIO DE 2020.</t>
  </si>
  <si>
    <t>REINTEGRO CUOTA PATRONAL CORRESPONDIENTE A SEPTIEMBRE DE 2020.</t>
  </si>
  <si>
    <t>Convenio entre la Agencia Turisme de la Comunitat Valenciana y la UA para el fomento de la investigación, innovación y la transferencia de conocimiento al sector turístico de la CV. para el 2019</t>
  </si>
  <si>
    <t>REINTEGRO CUOTA PATRONAL CORRESPONDIENTE AL MES DE ENERO DE 2020.</t>
  </si>
  <si>
    <t>41.60.6C.00.40</t>
  </si>
  <si>
    <t>Asesoramiento para materias relacionadas con la dirección y gestión de recursos humanos en el ámbito de la prevención de riesgos laborales y su difusión.</t>
  </si>
  <si>
    <t>41.60.6C.00.41</t>
  </si>
  <si>
    <t>Asesoramiento especializado en estrategias y metodologías docentes y tecnologías de la información y la comunicación y su aplicación para formación de personal de dirección de sector turístico. Elaboración de informe razonado.</t>
  </si>
  <si>
    <t>41.60.6C.00.42</t>
  </si>
  <si>
    <t>Análisis de las estrategias y políticas de recursos humanos en el tejido empresarial de la Comunidad Valenciana con especial referencia al personal encargado del diseño y aplicación de estas estrategias.</t>
  </si>
  <si>
    <t>41.60.6C.00.43</t>
  </si>
  <si>
    <t>Asesoramiento especializado en estrategias, metodologías docentes y tecnologías de la información y la comunicación y su aplicabilidad para formación de los recursos humanos del sector turístico. Elaboración de informe razonado.</t>
  </si>
  <si>
    <t>41.60.6C.00.44</t>
  </si>
  <si>
    <t>Análisis de estrategias y políticas de recursos humanos en el tejido empresarial de la Comunidad Valenciana con especial referencia al personal encargado del diseño y aplicación de estas estrategias.</t>
  </si>
  <si>
    <t>41.60.6C.00.45</t>
  </si>
  <si>
    <t>Asesoramiento especializado en estrategias de planificación y reorganización de plantilla para Globalia. Elaboración de informe técnico razonado.</t>
  </si>
  <si>
    <t>41.60.6C.00.46</t>
  </si>
  <si>
    <t>1ª fase: Estudios y trabajos técnicos para la adecuación de los servicios municipales.</t>
  </si>
  <si>
    <t>41.60.6C.00.47</t>
  </si>
  <si>
    <t>1ª fase del:"Diseño de una estrategia de organización municipal y diseño de una política retributiva para la mejora de la calidad de los servicios del Ayuntamiento de los Montesinos"</t>
  </si>
  <si>
    <t>41.60.6C.00.48</t>
  </si>
  <si>
    <t>2ª fase: "Diagnostico de la situación sociolaboral y de las políticas de RRHH actuales. Reuniones con el personal del Ayuntamiento. Elaboración propuesta organigrama funcional.</t>
  </si>
  <si>
    <t>Diagnóstico de la situación sociolaboral y de las políticas de RRHH actuales. Reuniones con personal del  Ayuntamiento. Elaboración propuesta organigrama funcional.</t>
  </si>
  <si>
    <t>41.60.6C.00.49</t>
  </si>
  <si>
    <t>1ª Fase de: Diseño de una estrategia de organización municipal para la mejora de la calidad de los servicios municipales del Ayuntamiento de Rojales.</t>
  </si>
  <si>
    <t>2ªfase: "Diseño de una estrategia de organización municipal para la mejora de la calidad de los servicios municipales del Ayuntamiento de Rojales"</t>
  </si>
  <si>
    <t>3ª fase: "Diseño de una estrategia de organización municipal para la mejora de la calidad de los servicios municipales del Ayuntamiento de Rojales"</t>
  </si>
  <si>
    <t>41.60.6C.00.50</t>
  </si>
  <si>
    <t>Servicio actualización Inventario Municipal Bienes.</t>
  </si>
  <si>
    <t>41.60.6C.00.51</t>
  </si>
  <si>
    <t>Acceso alumnos de la Universidad de Alcalá curso Pildoras Formativas del Club de las Buenas Decisiones en la Plataforma Moodle</t>
  </si>
  <si>
    <t>41.60.6C.00.53</t>
  </si>
  <si>
    <t>Análisis demográfico y representación  espacial de la población extranjera de la provincia de Alicante.</t>
  </si>
  <si>
    <t>41.60.6C.00.54</t>
  </si>
  <si>
    <t>ESTUDIO DE COSTES DEL SECTOR HOTELERO PARA EL PROGRAMA DE TURISMO SOCIAL (IMSERSO)</t>
  </si>
  <si>
    <t>41.60.6C.00.56</t>
  </si>
  <si>
    <t>Alcoi Tourist Lab: IOT y Asesoramiento Turístico. EXPEDIENTE INNACC/2020/46 DE LA AGENCIA VALENCIANA DE INNOVACIÓN</t>
  </si>
  <si>
    <t>41.60.6M.00.03</t>
  </si>
  <si>
    <t>DOC: 1-B. SUBVENCIÓN A LA UNIVERSIDAD DE ALICANTE PARA LA REALIZACIÓN DEL PROYECTO DOEACTUA: CONVIRT.  EL INSTITUTO UNIV. DE INVESTIGACIONES TURÍSTICAS CONFIRMA QUE SE TRATA DE UNA SUBVENCIÓN DE LA DIPUTACIÓN PROVINCIAL DE ALICANTE PARA LA ACTIVIDAD: "PROYECTO DOEACTUA: CONVIERTE EN REALIDAD TU NEGOCIO, 6ª EDICIÓN". REFERENCIA: DIPUTACION3-19X.</t>
  </si>
  <si>
    <t>41.60.6M.00.04</t>
  </si>
  <si>
    <t xml:space="preserve">Acceso de 75 alumnos centros formación Turisme Comunitat Valenciana a Webinars organizados por el Club de las Buenas Decisiones de la UA: 1. CDTE-FC-133/20 El Producto Hotelero: La Diferenciación como Estrategia de Éxito. Día: 27/10/2020. 4 horas, 360€. 2. CDTE-FC-134/20 Promoción y Distribución Hotelera: Si Nadie te Ve no Existes. Día: 03/11/2020. 4 horas, 360€. 3. CDTE-FC-135/20 Revenue para Hoteles. Día: 10/11/2020. 4 horas, 360€. 4. CDT-FC-136/20 Revenue (Aviation &amp;Rent a Car). Día: 17/11/2020. 4 horas, 360€. 5. CDT-FC-137/20 Revenue (F&amp;B &amp; SPA). Día: 24/11/2020. 4 horas, 360€. 6. CDT-FC-138/20 Revenue (Apartaments &amp; Hostels). Día: 01/12/2020. 4 horas, 360€. </t>
  </si>
  <si>
    <t xml:space="preserve">FLIB.18/02/2020.PROYECTOS RETOS INVESTIGACIÓN 2017. ANUAL 2020 PROYECTOS I+D RETOS (PIA 13)N EXPEDIENTE: PIA132017-1-3 ANUALIDAD REFERENCIA: CSO2017-82592-R </t>
  </si>
  <si>
    <t>41.60.6Q.00.01</t>
  </si>
  <si>
    <t>ACUERDO DE COLABORACIÓN ENTRE LA UA Y EL AYUNTAMIENTO DE BENIDORM, LA AGENCIA VALENCIANA DE TURISMO Y LA ASOCIACIÓN "HOSBEC" PARA EL FUNCIONAMIENTO DE LA CÁTEDRA DE ESTUDIOS TURÍSTICOS "PEDRO ZARAGOZA ORTS".</t>
  </si>
  <si>
    <t>REINTEGRO CUOTA PATRONAL CORRESPONDIENTE A JULIO 2020.</t>
  </si>
  <si>
    <t>ÚLTIMO PAGO DEL PROYECTO ROMIGSC (INVESTIGADORA PRINCIPAL SUSANA DE JUANA).</t>
  </si>
  <si>
    <t>PRIMER PAGO DEL PROYECTO SMARTDEST, COORDINADO POR EL PROFESOR JOSEP ANTONI IVARS.</t>
  </si>
  <si>
    <t>Liquidación PLAN G875 "Turismo de cruceros"</t>
  </si>
  <si>
    <t>Plan G875- 2020-TURISMO DE CRUCEROS</t>
  </si>
  <si>
    <t>Liquidación PLAN GA51 "Las actividades náuticas y el ocio marítimo"</t>
  </si>
  <si>
    <t>Plan GE14 -2020-DIRECCIÓ I GESTIÓ D'EMPRESES TURÍSTIQUES D'INTERMEDIACIÓ</t>
  </si>
  <si>
    <t>Liquidación PLAN 9252 "Experto en dirección y gestión de empresas"</t>
  </si>
  <si>
    <t xml:space="preserve">Plan 9251 Curso 2020-21 Master el Dirección y Gestión de Empresas JI-2020-5027 </t>
  </si>
  <si>
    <t>Plan 9252 Curso 2020-21 Experto/a en Dirección y Gestión de Empresas JI-2020-5030</t>
  </si>
  <si>
    <t xml:space="preserve">Plan 9253 Curso 2020-21 Experto en Técnicas Avanzadas en Dirección y Gestión de Empresas JI-2020-5031 </t>
  </si>
  <si>
    <t>Liquidación PLAN 9242 "Máster en dirección y gestión de recursos humanos"</t>
  </si>
  <si>
    <t>Liquidación Plan 9242 Curso 2019/2020 "Master en Dirección y Gestión de Recursos Humanos"</t>
  </si>
  <si>
    <t>Plan 9242 Curso 2019-20 Master en Dirección y Gestión de Recursos Humanos ji-2020-5020</t>
  </si>
  <si>
    <t xml:space="preserve">Plan 9242 Curso 2020-21 Master en Dirección y Gestión de Recursos Humanos ji-2020-5014 </t>
  </si>
  <si>
    <t xml:space="preserve">Plan 9243 Curso 2020-21Experto/a en Dirección y Gestión de Recursos Humanos ji-2020-5022 </t>
  </si>
  <si>
    <t xml:space="preserve">Plan 9244 Curso 2020-21 Experto/a en Técnicas Avanzadas de Gestión de Personas en Organizaciones JI-2020-5026   </t>
  </si>
  <si>
    <t>Plan 9227 2019/20 Experto en guía turístico</t>
  </si>
  <si>
    <t>41.60.2T.00.21</t>
  </si>
  <si>
    <t>Liquidación PLAN 9294 "Experto en dirección de empresas de hostelería"</t>
  </si>
  <si>
    <t>Liquidación PLAN 9296 "Máster en dirección de restaurantes y F&amp;B hotelero"</t>
  </si>
  <si>
    <t>Plan 9294 Curso 2019-20 Experto/a en Dirección de Empresas de Hosteleria</t>
  </si>
  <si>
    <t>Plan 9296 Curso 2019/20 Master en Dirección de restaurantes y F&amp;B hotelero</t>
  </si>
  <si>
    <t>41.60.2T.00.22</t>
  </si>
  <si>
    <t>Liquidación PLAN GE69 "Dirección y gestión de destinos turísticos inteligentes"</t>
  </si>
  <si>
    <t>41.60.2T.00.24</t>
  </si>
  <si>
    <t>Plan 9311 Curso 2020-21 Experto/a en Dirección Comercial de Hoteles</t>
  </si>
  <si>
    <t> Numero
de tesis</t>
  </si>
  <si>
    <t>22529387J </t>
  </si>
  <si>
    <t>B120 </t>
  </si>
  <si>
    <t>GEOGRAFIA HUMANA </t>
  </si>
  <si>
    <t>DOCTORADO EN DESARROLLO LOCAL E INNOVACIÓN TERRITORIAL </t>
  </si>
  <si>
    <t>Sadeikaite , Giedre </t>
  </si>
  <si>
    <t>SUPPORTING SUSTAINABLE TOURISM DEVELOPMENT THROUGH IMPROVED MEASUREMENT: A CASE STUDY OF EUROPEAN TOURISM DESTINATIONS </t>
  </si>
  <si>
    <t>27/09/2017 </t>
  </si>
  <si>
    <t>74218386P </t>
  </si>
  <si>
    <t>B120</t>
  </si>
  <si>
    <t>10.25</t>
  </si>
  <si>
    <t>Ciro Calderón, Nini Johana </t>
  </si>
  <si>
    <t>ESTRATEGIA PARA EL EMPODERAMIENTO DIFERENCIAL DESDE LA IDENTIDAD CULTURAL Y EL DESARROLLO LOCAL. ESTUDIO DE CASO DE LAS MUJERES INDÍGENAS NASA DEL MUNICIPIO SANTIAGO DE CALI, (COLOMBIA) </t>
  </si>
  <si>
    <t>20/09/2017 </t>
  </si>
  <si>
    <t>Aguirregoitia Martínez, Ainhoa </t>
  </si>
  <si>
    <t>LA GASTRONOMÍA EN ESPAÑA: COMUNICACIÓN, MODERNIDAD E HISTORIA (1876-1936) </t>
  </si>
  <si>
    <t>20/06/2017 </t>
  </si>
  <si>
    <t>21423152D </t>
  </si>
  <si>
    <t>B175 </t>
  </si>
  <si>
    <t>COMUNICACIÓN Y PSICOLOGÍA SOCIAL </t>
  </si>
  <si>
    <t>Fernandes Augusto, Eryka Eugênia </t>
  </si>
  <si>
    <t>"EL IMPACTO DE LA COLABORACIÓN Y COOPERACIÓN EN LA IMPLEMENTACIÓN DE LOS MODELOS DE LI DE RAEE: LOS CASOS BRASILEÑO Y EUROPEOS / O IMPACTO DA COLABORAÇAO E COOPERAÇAO NA IMPLEMETAÇAO DOS MODELOS DE LOGÍSTICA REVERSA DE REEE: OS CASOS BRASILEIRO E EU </t>
  </si>
  <si>
    <t>23/11/2018 </t>
  </si>
  <si>
    <t>Unidad</t>
  </si>
  <si>
    <t>Cód. org. aplic.</t>
  </si>
  <si>
    <t>Descripción justificante</t>
  </si>
  <si>
    <t>41.60</t>
  </si>
  <si>
    <t>Plan G875 - TURISMO DE CRUCEROS - GRUPO 2</t>
  </si>
  <si>
    <t xml:space="preserve">Plan GC61 curso 2021-22, EMPRENDO EN TURISMO - 41.60.2T.00.16 </t>
  </si>
  <si>
    <t>Plan 9252 Curso 2020-21 Experto/a en Dirección y Gestión de Empresas. COMPLEMENTARIO AL JI2020/5030</t>
  </si>
  <si>
    <t xml:space="preserve">REINTEGRO CUOTA PATRONAL CORRESPONDIENTE A DICIEMBRE DE 2021. </t>
  </si>
  <si>
    <t>REINTEGRO CUOTA PATRONAL CORRESPONDIENTE A OCTUBRE DE 2021.</t>
  </si>
  <si>
    <t>Plan 9253 Curso 2020-21 EXPERTO EN TÉNICAS AVANZADAS DE DIRECCIÓN Y GESTIÓN DE EMPRESAS. COMPLEMENTARIO AL JI2020/5031.</t>
  </si>
  <si>
    <t>Plan 9252_Curso 2021-22_EXPERTO/A EN DIRECCIÓN Y GESTIÓN DE EMPRESAS</t>
  </si>
  <si>
    <t>Plan 9251_Curso 2021-22_MASTER EN DIRECCIÓN Y GESTIÓN DE EMPRESAS</t>
  </si>
  <si>
    <t xml:space="preserve">Plan 9253 curso 2021-22, EXPERTO/A EN TÉCNICAS AVANZADAS DE DIRECCIÓN Y GESTIÓN DE EMPRESAS  </t>
  </si>
  <si>
    <t>Plan 9251 Curso 2020-21 MÁSTER EN DIRECCIÓN Y GESTIÓN DE EMPRESAS. COMPLEMENTARIO AL JI 2020/5027</t>
  </si>
  <si>
    <t>Plan 9244_Curso 2021-22_EXPERTO EN TECNICAS AVANZADAS DE GESTION DE PERSONAS EN ORG</t>
  </si>
  <si>
    <t>Plan 9243_Curso 2021-22_EXPERTO EN DIRECCIÓN Y GESTIÓN DE RECURSOS HUMANOS</t>
  </si>
  <si>
    <t>Plan 9242_Curso 2021-22_MÁSTER EN DIRECCIÓN I GESTIÓN DE RECURSOS HUMANOS</t>
  </si>
  <si>
    <t>Plan 9242 Curso 2020-21 Master en Dirección y Gestión de Recursos Humanos. COMPLEMENTARIO AL JI 2020/5014</t>
  </si>
  <si>
    <t xml:space="preserve">Plan 9229 curso 2021-22, MÁSTER EN GUÍA TURÍSTICO E INTERPRETACIÓN DEL PATRIMONIO - 41.60.2T.00.20 </t>
  </si>
  <si>
    <t>Miguel Ángel Berenguer Soler. EXPERTO/A EN DIRECCIÓN COMERCIAL Y VENTAS</t>
  </si>
  <si>
    <t>Plan 9311 Curso 2020-21 Experto/a en Direccio¿n Comercial de Hoteles. COMPLEMENTARIO AL JI2020/5041.</t>
  </si>
  <si>
    <t xml:space="preserve">Plan 9311 curso 2021-22, EXPERTO/A EN DIRECCIÓN COMERCIAL DE HOTELES </t>
  </si>
  <si>
    <t>41.60.2T.00.25</t>
  </si>
  <si>
    <t xml:space="preserve">Plan GE14 curso 2021-22, DIRECCIÓN Y GESTIÓN DE EMPRESAS TURÍSTICAS DE INTERMEDIACIÓN - 41.60.2T.00.25 </t>
  </si>
  <si>
    <t>41.60.2T.00.26</t>
  </si>
  <si>
    <t>María del Pilar Jiménez Rodríguez. EXPERTO/A EN HOUSEKEEPING - GESTIÓN DE PISOS Y LIMPIEZA EN ALOJAMIENTOS</t>
  </si>
  <si>
    <t>Bozena Mazur Jachemska. EXPERTO/A EN HOUSEKEEPING - GESTIÓN DE PISOS Y LIMPIEZA EN ALOJAMIENTOS</t>
  </si>
  <si>
    <t xml:space="preserve">Plan 9288 curso 2021-22, EXPERTO/A EN HOUSEKEEPING - GESTIÓN DE PISOS Y LIMPIEZA EN ALOJAMIENTOS -  </t>
  </si>
  <si>
    <t>INGRESO EN BASE A CONVENIO FIRMADO ENTRE TURISME COMUNITAT VALENCIANA Y UA, "CURS EXPERT UNIVERSITARI PER A PERSONAL DE PISSOS EN HOTELS" SEGÚN INFORMAN INSTITUTO DE TURISMO.</t>
  </si>
  <si>
    <t xml:space="preserve">(EASME/H2020/2018/008) </t>
  </si>
  <si>
    <t>REINTEGRO CUOTA PATRONAL CORRESPONDIENTE A AGOSTO DE 2021.</t>
  </si>
  <si>
    <t>2ªfase: Estudios y trabajos técnicos para la adecuación de los servicios municipales.</t>
  </si>
  <si>
    <t>3ª fase: "Diseño de una estrategia de organización municipal y de una política retributiva para la mejora de la calidad de los servicios del Ayuntamiento de  los Montesinos"</t>
  </si>
  <si>
    <t>2ª fase: "Diseño de una estrategia de organización municipal y de una política retributiva para la mejora de la calidad de los servicios del Ayuntamiento de los Montesinos"</t>
  </si>
  <si>
    <t>3ª fase:"Estudio de la situación actual de la plantilla de personal y realización de una estrategia de organización de los recursos humanos"</t>
  </si>
  <si>
    <t>41.60.6C.00.52</t>
  </si>
  <si>
    <t>2ª y 3ªfase: "Servicio de Elaboración del Organigrama Municipal"</t>
  </si>
  <si>
    <t>1ªfase: "Servicio de elaboración del organigrama Municipal"</t>
  </si>
  <si>
    <t>41.60.6C.00.55</t>
  </si>
  <si>
    <t>2ª Fase: Elaboración de la relación de puestos de trabajo del Ayuntamiento de Pilar de la Horadada</t>
  </si>
  <si>
    <t>1ªFase "Elaboración de la relación de puestos de trabajo del Ayuntamiento de Pilar de la Horadada"</t>
  </si>
  <si>
    <t>41.60.6C.00.58</t>
  </si>
  <si>
    <t>1ªFase: Diseño de una estrategia retributiva para la mejora de la calidad de los servicios municipales del Ayuntamiento de Rojales.  Expediente 2476. Nº operación 220210005224</t>
  </si>
  <si>
    <t>2ª Fase: Diseño de una estrategia retributiva para la mejora de la calidad de los servicios municipales del Ayto de Rojales (ref AYTOROJALES1-21T)</t>
  </si>
  <si>
    <t>41.60.6C.00.59</t>
  </si>
  <si>
    <t>Diseño de estrategias de gestión del talento en organizaciones con la metodoligia del Club de las Buenas Decisiones.</t>
  </si>
  <si>
    <t>41.60.6C.00.60</t>
  </si>
  <si>
    <t xml:space="preserve">Asistencia a los Juzgados de Murcia para testificar como perito sobre el puesto de Jefe de Negociado de Deportes, sus funciones, encuadramiento dentro del organigrama y retribuciones. Juzgado Contencioso/Administrativo Nº2 de Murcia. Proc.Abreviado 308/2019. Expediente SEGEX:288950W </t>
  </si>
  <si>
    <t>41.60.6C.00.61</t>
  </si>
  <si>
    <t>41.60.6C.00.62</t>
  </si>
  <si>
    <t>41.60.6C.00.63</t>
  </si>
  <si>
    <t>41.60.6C.00.64</t>
  </si>
  <si>
    <t>Diseño de estrategias de gestión del talento en organizaciones con la metodología del Club de las Buenas Decisiones.</t>
  </si>
  <si>
    <t>41.60.6C.00.65</t>
  </si>
  <si>
    <t>1ª Fase: Diseño del plan de organización del Ayuntamiento de Callosa del Segura</t>
  </si>
  <si>
    <t>2ª Fase: Diseño del Plan de Organización del Ayuntamiento de Callosa de Segura (ref. AYTOCALLOSASEGURA1-21T)</t>
  </si>
  <si>
    <t>41.60.6C.00.66</t>
  </si>
  <si>
    <t>Revisión y actualización del Plan Estratégico de Turismo de Guardamar y autodiagnóstico de Destino Turístico Inteligente</t>
  </si>
  <si>
    <t>41.60.6C.00.67</t>
  </si>
  <si>
    <t>Convenio Universidad De Alicante Curso 2019-2020. Centro de gasto: Instituto Universitario de Investigaciones Turísticas.</t>
  </si>
  <si>
    <t>41.60.6C.00.68</t>
  </si>
  <si>
    <t>Proyecto de elaboración de Plan Estratégico en la Federación de Voleibol de la Comunidad Valenciana. Tareas 1 y 2</t>
  </si>
  <si>
    <t>41.60.6C.00.69</t>
  </si>
  <si>
    <t xml:space="preserve">Diseño de estrategias de gestión de la empresa familiar con la metodología del Club de las Buenas Decisiones. Organización de seminarios sobre: - Sucesión en la empresa familiar SUAVINEX - Protocolo familiar en SEUR - Liderazgo Femenino en Facultad de Económicas </t>
  </si>
  <si>
    <t>41.60.6C.00.70</t>
  </si>
  <si>
    <t xml:space="preserve">Organización de la jornada formativa: "Sport Tourism Focus Calp 2021" en la Sede Universitaria la Casanova. RC nº 220210001905 </t>
  </si>
  <si>
    <t>41.60.6C.00.71</t>
  </si>
  <si>
    <t>Dirección técnica "Congreso Internacional Alicante Destino de Trabajo y Nómadas Digitales"</t>
  </si>
  <si>
    <t>41.60.6C.00.72</t>
  </si>
  <si>
    <t>Diseño de estrategias de Turismo, Salud y Bienestar en la Costa Blanca con la metodología del Club de las Buenas Decisiones</t>
  </si>
  <si>
    <t>41.60.6C.00.73</t>
  </si>
  <si>
    <t>Asesoramiento especializado en estrategias de planificación y reorganización de plantillas para GLOBALIA. Elaboración de informe razonado.</t>
  </si>
  <si>
    <t>41.60.6C.00.74</t>
  </si>
  <si>
    <t>Viabilidad estrategias de crecimiento y organización</t>
  </si>
  <si>
    <t>41.60.6C.00.75</t>
  </si>
  <si>
    <t>Asesoramiento e informes técnicos sobre convenio y acuerdo de condiciones de trabajo de los empleados municipales (AYTOORIHUELA2-21T) 3ª FASE de los servicios con cargo a la aplic. 2021-004-9224-22706 del Presupuesto Municipal, nº operac. 2021.2.0009119.000. CONCEJALÍA RECURSOS HUMANOS</t>
  </si>
  <si>
    <t>Asesoramiento e informes técnicos sobre el convenio y acuerdo de condiciones de trabajo de los empleados municipales (AYTOORIHUELA2-21T). 2ª Fase de los servicios con cargo a la aplicación 2021-004-9224-22706 del Presupuesto Municipal, operación 2021.2.0009119.000) CONCEJALÍA DE RECURSOS HUMANOS</t>
  </si>
  <si>
    <t>Asesoramiento e informes técnicos sobre el convenio y acuerdo de condiciones de trabajo de los empleados municipales (AYTOORIHUELA2-21T).(1ª FASE DE LOS SERVICIOS  con cargo a la aplicación 2021-004-9224-22706 del Presupuesto Municipal, nº operación 2021.2.0009119.000) CONCEJALÍA DE RECURSOS HUMANOS</t>
  </si>
  <si>
    <t>41.60.6C.00.76</t>
  </si>
  <si>
    <t>Trabajos necesarios para redacción del proyecto de investig. sobre los lugares más relevantes de la Memoria Democrática de la CV en territorio de Alicante y preparación y redacción de Guía Metodológica sobre régimen de protecc. urbanística y patrimonial de la República y lugares de la Memoria  (FVMP1-21TPA)</t>
  </si>
  <si>
    <t>41.60.6C.00.77</t>
  </si>
  <si>
    <t>Asesoramiento externo y revisión de documentos sobre el Plan de Marketing de la Marca Territorio Post Covid-19 de la Vega Baja</t>
  </si>
  <si>
    <t>41.60.6C.00.78</t>
  </si>
  <si>
    <t>18 accesos de alumnos de la U. de Alcalá de Henares al curso de Píldoras Formativas del Club de las Buenas Decisiones en Plataforma Moodle (ref. UNIALCALA1-21TPA) Servido en Facultad CC Económicas, Empresariales y Turismo. Decanato. Plaza de la Victoria,2 28802-Alcalá de Henares (Madrid). Centro de Coste CC3030 EE000</t>
  </si>
  <si>
    <t>REINTEGRO CUOTA PATRONAL CORRESPONDIENTE A JULIO DE 2021.</t>
  </si>
  <si>
    <t>REINTEGRO CUOTA PATRONAL CORRESPONDIENTE A MARZO DE 2021.</t>
  </si>
  <si>
    <t>SUBVENCION NOMINATIVA UNIVERSIDAD DE ALICANTE. CATEDRA PEDRO ZARAGOZA ORTS. ANUALIDAD 2020</t>
  </si>
  <si>
    <t>Convenio de colaboración con la Universidad de Alicante para el desarrollo de programas y actividades por la Cátedra de estudios turísticos Pedro Zaragoza, ejercicio 2021</t>
  </si>
  <si>
    <t>PROYECTO SMARTDEST (INSTITUTO INVESTIGACIONES TURÍSTICAS)</t>
  </si>
  <si>
    <t>41.60.6X.00.03</t>
  </si>
  <si>
    <t>PRIMER PAGO PROYECTO MUST, COORDINA LA PROFESORA SUSANA DE JUANA, SEGÚN INFORMAN DESE LA OGPI</t>
  </si>
  <si>
    <t>41.60.6X.00.04</t>
  </si>
  <si>
    <t>PRIMER INGRESO DEL PROYECTO PRUDMET (COORDINA PROF SUSANA DE JUANA) LA RETENCIÓN SE APLICARA AL CIERRE DEL PROYECTO, SEGÚN INFORMA LA OGPI</t>
  </si>
  <si>
    <t>S</t>
  </si>
  <si>
    <t>Sosa Sosa, María Elena </t>
  </si>
  <si>
    <t>Patrimonialización de los recursos locales alimentarios a través de la oferta culinaria en el Centro Histórico de Quito </t>
  </si>
  <si>
    <t>15/07/2022 </t>
  </si>
  <si>
    <t>Ibragimov , Khusen </t>
  </si>
  <si>
    <t>THE DETERMINANTS OF TOURISM DEMAND IN CENTRAL ASIA </t>
  </si>
  <si>
    <t>14/06/2022 </t>
  </si>
  <si>
    <t>29022524C </t>
  </si>
  <si>
    <t>Rucci , Ana Clara </t>
  </si>
  <si>
    <t>ACCESSIBLE TOURISM AND COMPETITIVENESS: ASSESSING DIFFERENT DIMENSIONS OF ACCESSIBILITY IN DESTINATIONS </t>
  </si>
  <si>
    <t>09/12/2021 </t>
  </si>
  <si>
    <t>López Mayorga, Rosa Magdalena </t>
  </si>
  <si>
    <t>Elvira Aranda, Carlos </t>
  </si>
  <si>
    <t>ANÁLISIS DEL COMPORTAMIENTO OFENSIVO EN FÚTBOL: LAS SITUACIONES DE JUEGO REDUCIDO COMO VARIABLES EXPLICATIVAS DEL ÉXITO </t>
  </si>
  <si>
    <t>21/12/2021 </t>
  </si>
  <si>
    <t>B119 </t>
  </si>
  <si>
    <t>FUNDAMENTOS DEL ANÁLISIS ECONÓMICO </t>
  </si>
  <si>
    <t>Simón Albert, Raquel </t>
  </si>
  <si>
    <t>Three empirical essays on daily residence-work mobility and labor market areas </t>
  </si>
  <si>
    <t>24/05/2022 </t>
  </si>
  <si>
    <t>García Martínez, Andrea </t>
  </si>
  <si>
    <t>El debilitamiento de la función de garantía del capital social como mecanismo de protección de los acreedores </t>
  </si>
  <si>
    <t>10/12/2021 </t>
  </si>
  <si>
    <t>Poveda Pareja, Esther </t>
  </si>
  <si>
    <t>LOCALIZACIO¿N, RESPONSABILIDAD SOCIAL CORPORATIVA Y CREACIO¿N DE VALOR EN LOS HOTELES DE LA COSTA ESPAN¿OLA: INFLUENCIA DEL CAPITAL SOCIAL, LA AMBIDESTREZA INTERORGANIZATIVA, LA INNOVACIO¿N Y LA RESILIENCIA </t>
  </si>
  <si>
    <t>27/06/2022 </t>
  </si>
  <si>
    <t>Martínez Falcó, Javier </t>
  </si>
  <si>
    <t>EL CAPITAL INTELECTUAL SOSTENIBLE COMO ELEMENTO VERTEBRADOR DE LA PERFORMANCE ECONÓMICA, SOCIAL Y MEDIOAMBIENTAL: UN ANÁLISIS APLICADO A LA INDUSTRIA VINÍCOLA ESPAÑOLA </t>
  </si>
  <si>
    <t>19/07/2022 </t>
  </si>
  <si>
    <t>45561686C </t>
  </si>
  <si>
    <t>Fernández Vidal, Jorge </t>
  </si>
  <si>
    <t>PARASKEVAS , THEODOROS </t>
  </si>
  <si>
    <t>The impact of suspending labor status on organizational culture of uniformed personnel outside the central government administration in Greece. The case study of Municipal Polic </t>
  </si>
  <si>
    <t>22/07/2022 </t>
  </si>
  <si>
    <t>Baliouskas , Petros </t>
  </si>
  <si>
    <t>TOURNAROUND STRATEGY DURING A DEPRESSED ECONOMY-CORRELATION WITH SUCCESSFUL TACTICS. A TOTAL TURNAROUND RESEARCH FOR THE GREEK COMPANIES (INDUSTRIAL AND TRADING SECTOR </t>
  </si>
  <si>
    <t>Yang , Yang </t>
  </si>
  <si>
    <t>LA INTENCIÓN DE INTERNACIONALIZACIÓN DE LAS PYMES ESPAÑOLAS HACIA CHINA EN LA ERA DE LA NUEVA RUTA DE LA SEDA- UN ESTUDIO DESDE EL ENFOQUE DE LAS REDES SOCIALES </t>
  </si>
  <si>
    <t>Rivas Tello, Augusta Carolina </t>
  </si>
  <si>
    <t>Gestión de calidad turística en los parques nacionales del Ecuador </t>
  </si>
  <si>
    <t>29/03/2022 </t>
  </si>
  <si>
    <t>48350547Q </t>
  </si>
  <si>
    <t>Chontasi Morales, Fernando David </t>
  </si>
  <si>
    <t>Los efectos del turismo de base local sobre la resiliencia-socioecológica. Comunidad de Yunguilla. Quito-Ec. </t>
  </si>
  <si>
    <t>07/09/2022 </t>
  </si>
  <si>
    <t>12381640G </t>
  </si>
  <si>
    <t>Rubio Escuderos, Lucía </t>
  </si>
  <si>
    <t>EL MOSAICO DEL TURISMO ACCESIBLE: DIAGNÓSTICO DE IMPULSOS Y FRENOS A LA ACCESIBILIDAD EN LOS DESTINOS TURÍSTICOS DESDE LA PERSPECTIVA DE LAS PARTES INTERESADAS </t>
  </si>
  <si>
    <t>20/12/2021 </t>
  </si>
  <si>
    <t>52764800V </t>
  </si>
  <si>
    <t>47083217D </t>
  </si>
  <si>
    <t>Su , Zhenyu </t>
  </si>
  <si>
    <t>REAL ESTATE INVESTMENTS: PRINCIPLES AND EVIDENCE -- THE CASES OF SPAIN AND CHINA </t>
  </si>
  <si>
    <t>Torres García de las Bayonas, Sonia María </t>
  </si>
  <si>
    <t>El crédito en los procesos de crecimiento y desarrollo económico. La experiencia española en las situaciones de crisis financieras. El papel de las instituciones y de los reguladores del sistema financiero. ¿Ha tenido efectos la desaparición de las c </t>
  </si>
  <si>
    <t>14/07/2022 </t>
  </si>
  <si>
    <t>Pastor Pomares, Francisco </t>
  </si>
  <si>
    <t>Acuerdos comerciales regionales (Estudio de caso sobre sus impactos y efectos bajo un modelo gravitacional) </t>
  </si>
  <si>
    <t>18/07/2022 </t>
  </si>
  <si>
    <t>Pisano Motta Gemignani, Viviane </t>
  </si>
  <si>
    <t>MAPAS CAUSAIS COLABORATIVOS COMO FERRAMENTA DA AVALIAÇÃO DE IMPACTO SOCIAL EM TERRITÓRIOS DE MINERAÇÃO: contribuições para a gestão dos impactos sociais </t>
  </si>
  <si>
    <t>06/09/2022 </t>
  </si>
  <si>
    <t>Punset Bannel, Carolina Clara </t>
  </si>
  <si>
    <t>LA TRANSICIÓN ENERGÉTICA HACIA UN MODELO DESCARBONIZADO DESDE LA PERSPECTIVA DE LOS LOBBIES EN LA UNIÓN EUROPEA </t>
  </si>
  <si>
    <t>08/04/2022 </t>
  </si>
  <si>
    <t>21487688F </t>
  </si>
  <si>
    <t>Díaz Soto, Carlos Manuel </t>
  </si>
  <si>
    <t>Análisis y estrategias de mejoramiento del turismo de salud y bienestar en Bucaramanga y su zona metropolitana </t>
  </si>
  <si>
    <t>10/06/2022 </t>
  </si>
  <si>
    <t>18445118S</t>
  </si>
  <si>
    <t>NOLASCO CIRUGEDA, ALMUDENA</t>
  </si>
  <si>
    <t>B184</t>
  </si>
  <si>
    <t>20045325C</t>
  </si>
  <si>
    <t>HIDALGO MARI, TATIANA</t>
  </si>
  <si>
    <t>33495335K</t>
  </si>
  <si>
    <t>PERTUSA ORTEGA, EVA MARIA</t>
  </si>
  <si>
    <t>48300176S</t>
  </si>
  <si>
    <t>LOPEZ GAMERO, MARIA DOLORES</t>
  </si>
  <si>
    <t>73994724K</t>
  </si>
  <si>
    <t>CELDRAN BERNABEU, MARCO ANTONIO</t>
  </si>
  <si>
    <t>74087347T</t>
  </si>
  <si>
    <t>MOLINA AZORIN, JOSE FRANCISCO</t>
  </si>
  <si>
    <t>X5461382D</t>
  </si>
  <si>
    <t>DRIHA, OANA MADALINA</t>
  </si>
  <si>
    <t>22529387J</t>
  </si>
  <si>
    <t>TALTAVULL DE LA PAZ, PALOMA</t>
  </si>
  <si>
    <t>45567523S</t>
  </si>
  <si>
    <t>TORREGROSA MARTI, MARIA TERESA</t>
  </si>
  <si>
    <t>Total ingresos investigación 2019-2020-2021</t>
  </si>
  <si>
    <t>Total ingresos formación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</si>
</sst>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9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Fill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2" fillId="6" borderId="1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11" fillId="0" borderId="7" xfId="0" applyFont="1" applyBorder="1" applyAlignment="1">
      <alignment horizontal="left"/>
    </xf>
    <xf numFmtId="0" fontId="11" fillId="0" borderId="7" xfId="0" applyFont="1" applyBorder="1"/>
    <xf numFmtId="0" fontId="0" fillId="0" borderId="0" xfId="0" applyAlignment="1">
      <alignment horizontal="left" indent="1"/>
    </xf>
    <xf numFmtId="0" fontId="11" fillId="7" borderId="8" xfId="0" applyFont="1" applyFill="1" applyBorder="1" applyAlignment="1">
      <alignment horizontal="left"/>
    </xf>
    <xf numFmtId="0" fontId="11" fillId="7" borderId="8" xfId="0" applyFont="1" applyFill="1" applyBorder="1"/>
    <xf numFmtId="0" fontId="5" fillId="3" borderId="1" xfId="1" applyFont="1" applyFill="1" applyBorder="1" applyAlignment="1">
      <alignment horizontal="center" vertical="top" wrapText="1"/>
    </xf>
    <xf numFmtId="0" fontId="5" fillId="3" borderId="1" xfId="2" applyFont="1" applyFill="1" applyBorder="1" applyAlignment="1">
      <alignment horizontal="center"/>
    </xf>
    <xf numFmtId="0" fontId="13" fillId="8" borderId="9" xfId="0" applyNumberFormat="1" applyFont="1" applyFill="1" applyBorder="1"/>
    <xf numFmtId="0" fontId="13" fillId="8" borderId="10" xfId="0" applyNumberFormat="1" applyFont="1" applyFill="1" applyBorder="1"/>
    <xf numFmtId="0" fontId="13" fillId="8" borderId="11" xfId="0" applyNumberFormat="1" applyFont="1" applyFill="1" applyBorder="1"/>
    <xf numFmtId="0" fontId="0" fillId="7" borderId="9" xfId="0" applyNumberFormat="1" applyFont="1" applyFill="1" applyBorder="1"/>
    <xf numFmtId="0" fontId="0" fillId="7" borderId="10" xfId="0" applyFont="1" applyFill="1" applyBorder="1"/>
    <xf numFmtId="4" fontId="0" fillId="7" borderId="11" xfId="0" applyNumberFormat="1" applyFont="1" applyFill="1" applyBorder="1"/>
    <xf numFmtId="0" fontId="0" fillId="0" borderId="9" xfId="0" applyNumberFormat="1" applyFont="1" applyBorder="1"/>
    <xf numFmtId="0" fontId="0" fillId="0" borderId="10" xfId="0" applyFont="1" applyBorder="1"/>
    <xf numFmtId="4" fontId="0" fillId="0" borderId="11" xfId="0" applyNumberFormat="1" applyFont="1" applyBorder="1"/>
    <xf numFmtId="0" fontId="14" fillId="0" borderId="12" xfId="0" applyFont="1" applyBorder="1"/>
    <xf numFmtId="0" fontId="14" fillId="0" borderId="13" xfId="0" applyFont="1" applyBorder="1"/>
    <xf numFmtId="4" fontId="14" fillId="0" borderId="14" xfId="0" applyNumberFormat="1" applyFont="1" applyBorder="1"/>
    <xf numFmtId="0" fontId="13" fillId="8" borderId="15" xfId="0" applyNumberFormat="1" applyFont="1" applyFill="1" applyBorder="1"/>
    <xf numFmtId="0" fontId="13" fillId="8" borderId="16" xfId="0" applyNumberFormat="1" applyFont="1" applyFill="1" applyBorder="1"/>
    <xf numFmtId="0" fontId="13" fillId="8" borderId="17" xfId="0" applyFont="1" applyFill="1" applyBorder="1" applyAlignment="1">
      <alignment horizontal="right"/>
    </xf>
    <xf numFmtId="0" fontId="0" fillId="9" borderId="18" xfId="0" applyNumberFormat="1" applyFont="1" applyFill="1" applyBorder="1"/>
    <xf numFmtId="0" fontId="0" fillId="9" borderId="19" xfId="0" applyFont="1" applyFill="1" applyBorder="1"/>
    <xf numFmtId="4" fontId="0" fillId="9" borderId="20" xfId="0" applyNumberFormat="1" applyFont="1" applyFill="1" applyBorder="1"/>
    <xf numFmtId="0" fontId="0" fillId="7" borderId="18" xfId="0" applyNumberFormat="1" applyFont="1" applyFill="1" applyBorder="1"/>
    <xf numFmtId="0" fontId="0" fillId="7" borderId="19" xfId="0" applyFont="1" applyFill="1" applyBorder="1"/>
    <xf numFmtId="4" fontId="0" fillId="7" borderId="20" xfId="0" applyNumberFormat="1" applyFont="1" applyFill="1" applyBorder="1"/>
    <xf numFmtId="0" fontId="13" fillId="8" borderId="21" xfId="0" applyFont="1" applyFill="1" applyBorder="1"/>
    <xf numFmtId="0" fontId="13" fillId="8" borderId="22" xfId="0" applyFont="1" applyFill="1" applyBorder="1"/>
    <xf numFmtId="4" fontId="13" fillId="8" borderId="23" xfId="0" applyNumberFormat="1" applyFont="1" applyFill="1" applyBorder="1"/>
    <xf numFmtId="0" fontId="3" fillId="4" borderId="1" xfId="1" applyFill="1" applyBorder="1"/>
    <xf numFmtId="164" fontId="3" fillId="4" borderId="1" xfId="1" applyNumberFormat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0" fontId="3" fillId="4" borderId="0" xfId="1" applyFill="1"/>
    <xf numFmtId="165" fontId="3" fillId="4" borderId="1" xfId="1" applyNumberFormat="1" applyFill="1" applyBorder="1"/>
    <xf numFmtId="0" fontId="3" fillId="0" borderId="1" xfId="1" applyBorder="1"/>
    <xf numFmtId="164" fontId="3" fillId="10" borderId="1" xfId="1" applyNumberFormat="1" applyFill="1" applyBorder="1"/>
    <xf numFmtId="0" fontId="3" fillId="10" borderId="1" xfId="1" applyFill="1" applyBorder="1"/>
    <xf numFmtId="2" fontId="3" fillId="4" borderId="1" xfId="1" applyNumberFormat="1" applyFill="1" applyBorder="1"/>
    <xf numFmtId="0" fontId="3" fillId="4" borderId="2" xfId="1" applyFill="1" applyBorder="1"/>
    <xf numFmtId="165" fontId="3" fillId="4" borderId="2" xfId="1" applyNumberFormat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3" fillId="4" borderId="3" xfId="1" applyFill="1" applyBorder="1"/>
    <xf numFmtId="164" fontId="3" fillId="10" borderId="2" xfId="1" applyNumberFormat="1" applyFill="1" applyBorder="1"/>
    <xf numFmtId="2" fontId="3" fillId="4" borderId="2" xfId="1" applyNumberFormat="1" applyFill="1" applyBorder="1"/>
    <xf numFmtId="0" fontId="3" fillId="0" borderId="0" xfId="1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right"/>
    </xf>
    <xf numFmtId="4" fontId="0" fillId="11" borderId="1" xfId="0" applyNumberFormat="1" applyFill="1" applyBorder="1"/>
    <xf numFmtId="164" fontId="4" fillId="10" borderId="24" xfId="1" applyNumberFormat="1" applyFont="1" applyFill="1" applyBorder="1" applyAlignment="1">
      <alignment horizontal="center"/>
    </xf>
    <xf numFmtId="0" fontId="4" fillId="10" borderId="24" xfId="1" applyFont="1" applyFill="1" applyBorder="1" applyAlignment="1">
      <alignment horizontal="center"/>
    </xf>
    <xf numFmtId="2" fontId="3" fillId="10" borderId="1" xfId="1" applyNumberFormat="1" applyFill="1" applyBorder="1"/>
    <xf numFmtId="165" fontId="3" fillId="4" borderId="3" xfId="1" applyNumberFormat="1" applyFill="1" applyBorder="1"/>
    <xf numFmtId="0" fontId="3" fillId="4" borderId="3" xfId="1" applyFill="1" applyBorder="1" applyAlignment="1">
      <alignment horizontal="right"/>
    </xf>
    <xf numFmtId="1" fontId="3" fillId="4" borderId="3" xfId="1" applyNumberFormat="1" applyFill="1" applyBorder="1"/>
    <xf numFmtId="2" fontId="3" fillId="4" borderId="3" xfId="1" applyNumberFormat="1" applyFill="1" applyBorder="1"/>
    <xf numFmtId="164" fontId="3" fillId="4" borderId="3" xfId="1" applyNumberFormat="1" applyFill="1" applyBorder="1"/>
    <xf numFmtId="164" fontId="3" fillId="10" borderId="3" xfId="1" applyNumberFormat="1" applyFill="1" applyBorder="1"/>
    <xf numFmtId="0" fontId="3" fillId="0" borderId="25" xfId="1" applyBorder="1"/>
    <xf numFmtId="0" fontId="3" fillId="0" borderId="1" xfId="1" applyBorder="1" applyAlignment="1">
      <alignment horizontal="right"/>
    </xf>
    <xf numFmtId="164" fontId="11" fillId="11" borderId="24" xfId="5" applyNumberFormat="1" applyFont="1" applyFill="1" applyBorder="1" applyAlignment="1">
      <alignment horizontal="center"/>
    </xf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1"/>
  <sheetViews>
    <sheetView showGridLines="0" tabSelected="1" zoomScale="120" zoomScaleNormal="120" workbookViewId="0">
      <selection activeCell="T101" sqref="T101:V101"/>
    </sheetView>
  </sheetViews>
  <sheetFormatPr baseColWidth="10" defaultColWidth="10.33203125" defaultRowHeight="10.199999999999999" x14ac:dyDescent="0.2"/>
  <cols>
    <col min="1" max="1" width="5" style="12" customWidth="1"/>
    <col min="2" max="4" width="29.6640625" style="12" customWidth="1"/>
    <col min="5" max="5" width="40.6640625" style="12" customWidth="1"/>
    <col min="6" max="6" width="9.109375" style="12" customWidth="1"/>
    <col min="7" max="7" width="9.6640625" style="12" customWidth="1"/>
    <col min="8" max="8" width="14.44140625" style="12" customWidth="1"/>
    <col min="9" max="9" width="5.88671875" style="12" customWidth="1"/>
    <col min="10" max="10" width="25.6640625" style="12" customWidth="1"/>
    <col min="11" max="12" width="5.109375" style="12" customWidth="1"/>
    <col min="13" max="13" width="5.33203125" style="13" customWidth="1"/>
    <col min="14" max="14" width="4.88671875" style="12" customWidth="1"/>
    <col min="15" max="15" width="5.33203125" style="13" customWidth="1"/>
    <col min="16" max="16" width="4.88671875" style="12" customWidth="1"/>
    <col min="17" max="17" width="8" style="13" bestFit="1" customWidth="1"/>
    <col min="18" max="18" width="7.44140625" style="12" bestFit="1" customWidth="1"/>
    <col min="19" max="21" width="5.109375" style="12" customWidth="1"/>
    <col min="22" max="16384" width="10.33203125" style="12"/>
  </cols>
  <sheetData>
    <row r="1" spans="1:23" ht="40.799999999999997" x14ac:dyDescent="0.2">
      <c r="A1" s="8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8" t="s">
        <v>28</v>
      </c>
      <c r="J1" s="9" t="s">
        <v>29</v>
      </c>
      <c r="K1" s="35" t="s">
        <v>502</v>
      </c>
      <c r="L1" s="8" t="s">
        <v>30</v>
      </c>
      <c r="M1" s="9" t="s">
        <v>31</v>
      </c>
      <c r="N1" s="36" t="s">
        <v>32</v>
      </c>
      <c r="O1" s="10" t="s">
        <v>33</v>
      </c>
      <c r="P1" s="11" t="s">
        <v>34</v>
      </c>
      <c r="Q1" s="10" t="s">
        <v>35</v>
      </c>
      <c r="R1" s="11" t="s">
        <v>36</v>
      </c>
      <c r="S1" s="10" t="s">
        <v>37</v>
      </c>
      <c r="T1" s="10" t="s">
        <v>38</v>
      </c>
      <c r="U1" s="10" t="s">
        <v>39</v>
      </c>
      <c r="V1" s="10" t="s">
        <v>40</v>
      </c>
    </row>
    <row r="2" spans="1:23" s="65" customFormat="1" x14ac:dyDescent="0.2">
      <c r="A2" s="61" t="s">
        <v>49</v>
      </c>
      <c r="B2" s="61" t="s">
        <v>50</v>
      </c>
      <c r="C2" s="61" t="s">
        <v>53</v>
      </c>
      <c r="D2" s="61" t="s">
        <v>54</v>
      </c>
      <c r="E2" s="61" t="s">
        <v>55</v>
      </c>
      <c r="F2" s="61" t="s">
        <v>56</v>
      </c>
      <c r="G2" s="61" t="s">
        <v>43</v>
      </c>
      <c r="H2" s="61" t="s">
        <v>44</v>
      </c>
      <c r="I2" s="61" t="s">
        <v>49</v>
      </c>
      <c r="J2" s="61" t="s">
        <v>50</v>
      </c>
      <c r="K2" s="61">
        <v>1</v>
      </c>
      <c r="L2" s="62">
        <v>0.5</v>
      </c>
      <c r="M2" s="61" t="s">
        <v>52</v>
      </c>
      <c r="N2" s="61">
        <v>2016</v>
      </c>
      <c r="O2" s="61" t="s">
        <v>46</v>
      </c>
      <c r="P2" s="63" t="s">
        <v>46</v>
      </c>
      <c r="Q2" s="61" t="s">
        <v>46</v>
      </c>
      <c r="R2" s="63" t="s">
        <v>46</v>
      </c>
      <c r="S2" s="64">
        <v>100</v>
      </c>
      <c r="T2" s="68">
        <v>0.5</v>
      </c>
      <c r="U2" s="62">
        <v>0</v>
      </c>
      <c r="V2" s="62">
        <v>0</v>
      </c>
    </row>
    <row r="3" spans="1:23" s="65" customFormat="1" x14ac:dyDescent="0.2">
      <c r="A3" s="61" t="s">
        <v>49</v>
      </c>
      <c r="B3" s="61" t="s">
        <v>50</v>
      </c>
      <c r="C3" s="61" t="s">
        <v>51</v>
      </c>
      <c r="D3" s="61" t="s">
        <v>57</v>
      </c>
      <c r="E3" s="61" t="s">
        <v>58</v>
      </c>
      <c r="F3" s="61" t="s">
        <v>59</v>
      </c>
      <c r="G3" s="61" t="s">
        <v>43</v>
      </c>
      <c r="H3" s="61" t="s">
        <v>44</v>
      </c>
      <c r="I3" s="61" t="s">
        <v>49</v>
      </c>
      <c r="J3" s="61" t="s">
        <v>50</v>
      </c>
      <c r="K3" s="61">
        <v>2</v>
      </c>
      <c r="L3" s="62">
        <v>0.5</v>
      </c>
      <c r="M3" s="61" t="s">
        <v>52</v>
      </c>
      <c r="N3" s="61">
        <v>2017</v>
      </c>
      <c r="O3" s="61" t="s">
        <v>46</v>
      </c>
      <c r="P3" s="63" t="s">
        <v>46</v>
      </c>
      <c r="Q3" s="61" t="s">
        <v>46</v>
      </c>
      <c r="R3" s="63" t="s">
        <v>46</v>
      </c>
      <c r="S3" s="64">
        <v>100</v>
      </c>
      <c r="T3" s="68">
        <v>0.5</v>
      </c>
      <c r="U3" s="62">
        <v>0</v>
      </c>
      <c r="V3" s="62">
        <v>0</v>
      </c>
    </row>
    <row r="4" spans="1:23" s="65" customFormat="1" ht="10.8" thickBot="1" x14ac:dyDescent="0.25">
      <c r="A4" s="61" t="s">
        <v>49</v>
      </c>
      <c r="B4" s="61" t="s">
        <v>50</v>
      </c>
      <c r="C4" s="61" t="s">
        <v>51</v>
      </c>
      <c r="D4" s="61" t="s">
        <v>60</v>
      </c>
      <c r="E4" s="61" t="s">
        <v>61</v>
      </c>
      <c r="F4" s="61" t="s">
        <v>62</v>
      </c>
      <c r="G4" s="61" t="s">
        <v>43</v>
      </c>
      <c r="H4" s="61" t="s">
        <v>44</v>
      </c>
      <c r="I4" s="61" t="s">
        <v>49</v>
      </c>
      <c r="J4" s="61" t="s">
        <v>50</v>
      </c>
      <c r="K4" s="61">
        <v>1</v>
      </c>
      <c r="L4" s="66">
        <v>0.5</v>
      </c>
      <c r="M4" s="61" t="s">
        <v>52</v>
      </c>
      <c r="N4" s="61">
        <v>2018</v>
      </c>
      <c r="O4" s="61" t="s">
        <v>46</v>
      </c>
      <c r="P4" s="63" t="s">
        <v>46</v>
      </c>
      <c r="Q4" s="61" t="s">
        <v>46</v>
      </c>
      <c r="R4" s="63" t="s">
        <v>46</v>
      </c>
      <c r="S4" s="64">
        <v>100</v>
      </c>
      <c r="T4" s="68">
        <v>0.5</v>
      </c>
      <c r="U4" s="62">
        <v>0</v>
      </c>
      <c r="V4" s="62">
        <v>0</v>
      </c>
    </row>
    <row r="5" spans="1:23" s="65" customFormat="1" ht="10.8" thickBot="1" x14ac:dyDescent="0.25">
      <c r="A5" s="26" t="s">
        <v>49</v>
      </c>
      <c r="B5" s="26" t="s">
        <v>50</v>
      </c>
      <c r="C5" s="26" t="s">
        <v>51</v>
      </c>
      <c r="D5" s="26" t="s">
        <v>427</v>
      </c>
      <c r="E5" s="26" t="s">
        <v>428</v>
      </c>
      <c r="F5" s="26" t="s">
        <v>429</v>
      </c>
      <c r="G5" s="27" t="s">
        <v>43</v>
      </c>
      <c r="H5" s="28" t="s">
        <v>44</v>
      </c>
      <c r="I5" s="28" t="s">
        <v>49</v>
      </c>
      <c r="J5" s="29" t="s">
        <v>50</v>
      </c>
      <c r="K5" s="61">
        <v>1</v>
      </c>
      <c r="L5" s="67">
        <v>0.5</v>
      </c>
      <c r="M5" s="67" t="s">
        <v>52</v>
      </c>
      <c r="N5" s="61">
        <v>2020</v>
      </c>
      <c r="O5" s="61" t="s">
        <v>46</v>
      </c>
      <c r="P5" s="63" t="s">
        <v>46</v>
      </c>
      <c r="Q5" s="61" t="s">
        <v>46</v>
      </c>
      <c r="R5" s="63" t="s">
        <v>46</v>
      </c>
      <c r="S5" s="61">
        <v>100</v>
      </c>
      <c r="T5" s="69">
        <v>0.5</v>
      </c>
      <c r="U5" s="61">
        <v>0</v>
      </c>
      <c r="V5" s="61">
        <v>0</v>
      </c>
      <c r="W5" s="65" t="s">
        <v>618</v>
      </c>
    </row>
    <row r="6" spans="1:23" s="65" customFormat="1" ht="10.8" thickBot="1" x14ac:dyDescent="0.25">
      <c r="A6" s="26" t="s">
        <v>49</v>
      </c>
      <c r="B6" s="26" t="s">
        <v>50</v>
      </c>
      <c r="C6" s="26" t="s">
        <v>51</v>
      </c>
      <c r="D6" s="26" t="s">
        <v>415</v>
      </c>
      <c r="E6" s="26" t="s">
        <v>416</v>
      </c>
      <c r="F6" s="26" t="s">
        <v>417</v>
      </c>
      <c r="G6" s="27" t="s">
        <v>43</v>
      </c>
      <c r="H6" s="28" t="s">
        <v>44</v>
      </c>
      <c r="I6" s="28" t="s">
        <v>49</v>
      </c>
      <c r="J6" s="29" t="s">
        <v>50</v>
      </c>
      <c r="K6" s="61">
        <v>1</v>
      </c>
      <c r="L6" s="67">
        <v>0.5</v>
      </c>
      <c r="M6" s="67" t="s">
        <v>52</v>
      </c>
      <c r="N6" s="61">
        <v>2020</v>
      </c>
      <c r="O6" s="61" t="s">
        <v>46</v>
      </c>
      <c r="P6" s="63" t="s">
        <v>46</v>
      </c>
      <c r="Q6" s="61" t="s">
        <v>46</v>
      </c>
      <c r="R6" s="63" t="s">
        <v>46</v>
      </c>
      <c r="S6" s="61">
        <v>100</v>
      </c>
      <c r="T6" s="69">
        <v>0.5</v>
      </c>
      <c r="U6" s="61">
        <v>0</v>
      </c>
      <c r="V6" s="61">
        <v>0</v>
      </c>
      <c r="W6" s="65" t="s">
        <v>618</v>
      </c>
    </row>
    <row r="7" spans="1:23" s="65" customFormat="1" x14ac:dyDescent="0.2">
      <c r="A7" s="61" t="s">
        <v>49</v>
      </c>
      <c r="B7" s="61" t="s">
        <v>50</v>
      </c>
      <c r="C7" s="61" t="s">
        <v>51</v>
      </c>
      <c r="D7" s="61" t="s">
        <v>619</v>
      </c>
      <c r="E7" s="61" t="s">
        <v>620</v>
      </c>
      <c r="F7" s="61" t="s">
        <v>621</v>
      </c>
      <c r="G7" s="61" t="s">
        <v>169</v>
      </c>
      <c r="H7" s="61" t="s">
        <v>44</v>
      </c>
      <c r="I7" s="61" t="s">
        <v>49</v>
      </c>
      <c r="J7" s="61" t="s">
        <v>50</v>
      </c>
      <c r="K7" s="61">
        <v>215</v>
      </c>
      <c r="L7" s="67">
        <v>0.5</v>
      </c>
      <c r="M7" s="67" t="s">
        <v>52</v>
      </c>
      <c r="N7" s="61">
        <v>2021</v>
      </c>
      <c r="O7" s="61" t="s">
        <v>46</v>
      </c>
      <c r="P7" s="63" t="s">
        <v>46</v>
      </c>
      <c r="Q7" s="61" t="s">
        <v>46</v>
      </c>
      <c r="R7" s="63" t="s">
        <v>46</v>
      </c>
      <c r="S7" s="61">
        <v>100</v>
      </c>
      <c r="T7" s="69">
        <v>0.5</v>
      </c>
      <c r="U7" s="61">
        <v>0</v>
      </c>
      <c r="V7" s="61">
        <v>0</v>
      </c>
      <c r="W7" s="65" t="s">
        <v>618</v>
      </c>
    </row>
    <row r="8" spans="1:23" s="65" customFormat="1" x14ac:dyDescent="0.2">
      <c r="A8" s="61" t="s">
        <v>49</v>
      </c>
      <c r="B8" s="61" t="s">
        <v>50</v>
      </c>
      <c r="C8" s="61" t="s">
        <v>51</v>
      </c>
      <c r="D8" s="61" t="s">
        <v>619</v>
      </c>
      <c r="E8" s="61" t="s">
        <v>620</v>
      </c>
      <c r="F8" s="61" t="s">
        <v>621</v>
      </c>
      <c r="G8" s="61" t="s">
        <v>43</v>
      </c>
      <c r="H8" s="61" t="s">
        <v>44</v>
      </c>
      <c r="I8" s="61" t="s">
        <v>49</v>
      </c>
      <c r="J8" s="61" t="s">
        <v>50</v>
      </c>
      <c r="K8" s="61">
        <v>216</v>
      </c>
      <c r="L8" s="67">
        <v>0.5</v>
      </c>
      <c r="M8" s="67" t="s">
        <v>52</v>
      </c>
      <c r="N8" s="61">
        <v>2021</v>
      </c>
      <c r="O8" s="61" t="s">
        <v>46</v>
      </c>
      <c r="P8" s="63" t="s">
        <v>46</v>
      </c>
      <c r="Q8" s="61" t="s">
        <v>46</v>
      </c>
      <c r="R8" s="63" t="s">
        <v>46</v>
      </c>
      <c r="S8" s="61">
        <v>100</v>
      </c>
      <c r="T8" s="69">
        <v>0.5</v>
      </c>
      <c r="U8" s="61">
        <v>0</v>
      </c>
      <c r="V8" s="61">
        <v>0</v>
      </c>
      <c r="W8" s="65" t="s">
        <v>618</v>
      </c>
    </row>
    <row r="9" spans="1:23" s="65" customFormat="1" x14ac:dyDescent="0.2">
      <c r="A9" s="61" t="s">
        <v>49</v>
      </c>
      <c r="B9" s="61" t="s">
        <v>50</v>
      </c>
      <c r="C9" s="61" t="s">
        <v>51</v>
      </c>
      <c r="D9" s="61" t="s">
        <v>622</v>
      </c>
      <c r="E9" s="61" t="s">
        <v>623</v>
      </c>
      <c r="F9" s="61" t="s">
        <v>624</v>
      </c>
      <c r="G9" s="61" t="s">
        <v>625</v>
      </c>
      <c r="H9" s="61" t="s">
        <v>44</v>
      </c>
      <c r="I9" s="61" t="s">
        <v>49</v>
      </c>
      <c r="J9" s="61" t="s">
        <v>50</v>
      </c>
      <c r="K9" s="61">
        <v>221</v>
      </c>
      <c r="L9" s="67">
        <v>0.5</v>
      </c>
      <c r="M9" s="67" t="s">
        <v>52</v>
      </c>
      <c r="N9" s="61">
        <v>2021</v>
      </c>
      <c r="O9" s="61" t="s">
        <v>46</v>
      </c>
      <c r="P9" s="63" t="s">
        <v>46</v>
      </c>
      <c r="Q9" s="61" t="s">
        <v>46</v>
      </c>
      <c r="R9" s="63" t="s">
        <v>46</v>
      </c>
      <c r="S9" s="61">
        <v>100</v>
      </c>
      <c r="T9" s="69">
        <v>0.5</v>
      </c>
      <c r="U9" s="61">
        <v>0</v>
      </c>
      <c r="V9" s="61">
        <v>0</v>
      </c>
      <c r="W9" s="65" t="s">
        <v>618</v>
      </c>
    </row>
    <row r="10" spans="1:23" s="65" customFormat="1" x14ac:dyDescent="0.2">
      <c r="A10" s="61" t="s">
        <v>49</v>
      </c>
      <c r="B10" s="61" t="s">
        <v>50</v>
      </c>
      <c r="C10" s="61" t="s">
        <v>51</v>
      </c>
      <c r="D10" s="61" t="s">
        <v>626</v>
      </c>
      <c r="E10" s="61" t="s">
        <v>627</v>
      </c>
      <c r="F10" s="61" t="s">
        <v>628</v>
      </c>
      <c r="G10" s="61" t="s">
        <v>43</v>
      </c>
      <c r="H10" s="61" t="s">
        <v>44</v>
      </c>
      <c r="I10" s="61" t="s">
        <v>49</v>
      </c>
      <c r="J10" s="61" t="s">
        <v>50</v>
      </c>
      <c r="K10" s="61">
        <v>225</v>
      </c>
      <c r="L10" s="67">
        <v>0.33333333333333331</v>
      </c>
      <c r="M10" s="67" t="s">
        <v>52</v>
      </c>
      <c r="N10" s="61">
        <v>2021</v>
      </c>
      <c r="O10" s="61" t="s">
        <v>46</v>
      </c>
      <c r="P10" s="63" t="s">
        <v>46</v>
      </c>
      <c r="Q10" s="61" t="s">
        <v>46</v>
      </c>
      <c r="R10" s="63" t="s">
        <v>46</v>
      </c>
      <c r="S10" s="61">
        <v>100</v>
      </c>
      <c r="T10" s="68">
        <v>0.33333333333333326</v>
      </c>
      <c r="U10" s="61">
        <v>0</v>
      </c>
      <c r="V10" s="61">
        <v>0</v>
      </c>
      <c r="W10" s="65" t="s">
        <v>618</v>
      </c>
    </row>
    <row r="11" spans="1:23" s="65" customFormat="1" x14ac:dyDescent="0.2">
      <c r="A11" s="61" t="s">
        <v>68</v>
      </c>
      <c r="B11" s="61" t="s">
        <v>69</v>
      </c>
      <c r="C11" s="61" t="s">
        <v>70</v>
      </c>
      <c r="D11" s="61" t="s">
        <v>162</v>
      </c>
      <c r="E11" s="61" t="s">
        <v>163</v>
      </c>
      <c r="F11" s="61" t="s">
        <v>117</v>
      </c>
      <c r="G11" s="61" t="s">
        <v>159</v>
      </c>
      <c r="H11" s="61" t="s">
        <v>44</v>
      </c>
      <c r="I11" s="61" t="s">
        <v>157</v>
      </c>
      <c r="J11" s="61" t="s">
        <v>158</v>
      </c>
      <c r="K11" s="61">
        <v>1</v>
      </c>
      <c r="L11" s="62">
        <v>0.5</v>
      </c>
      <c r="M11" s="61" t="s">
        <v>160</v>
      </c>
      <c r="N11" s="61">
        <v>2016</v>
      </c>
      <c r="O11" s="61" t="s">
        <v>52</v>
      </c>
      <c r="P11" s="63" t="s">
        <v>67</v>
      </c>
      <c r="Q11" s="61" t="s">
        <v>46</v>
      </c>
      <c r="R11" s="63" t="s">
        <v>46</v>
      </c>
      <c r="S11" s="64">
        <v>50</v>
      </c>
      <c r="T11" s="62">
        <v>0.25</v>
      </c>
      <c r="U11" s="68">
        <v>0.25</v>
      </c>
      <c r="V11" s="62">
        <v>0</v>
      </c>
    </row>
    <row r="12" spans="1:23" s="65" customFormat="1" x14ac:dyDescent="0.2">
      <c r="A12" s="61" t="s">
        <v>68</v>
      </c>
      <c r="B12" s="61" t="s">
        <v>69</v>
      </c>
      <c r="C12" s="61" t="s">
        <v>70</v>
      </c>
      <c r="D12" s="61" t="s">
        <v>162</v>
      </c>
      <c r="E12" s="61" t="s">
        <v>163</v>
      </c>
      <c r="F12" s="61" t="s">
        <v>117</v>
      </c>
      <c r="G12" s="61" t="s">
        <v>161</v>
      </c>
      <c r="H12" s="61" t="s">
        <v>44</v>
      </c>
      <c r="I12" s="61" t="s">
        <v>157</v>
      </c>
      <c r="J12" s="61" t="s">
        <v>158</v>
      </c>
      <c r="K12" s="61">
        <v>1</v>
      </c>
      <c r="L12" s="62">
        <v>0.5</v>
      </c>
      <c r="M12" s="61" t="s">
        <v>160</v>
      </c>
      <c r="N12" s="61">
        <v>2016</v>
      </c>
      <c r="O12" s="61" t="s">
        <v>52</v>
      </c>
      <c r="P12" s="63" t="s">
        <v>79</v>
      </c>
      <c r="Q12" s="61" t="s">
        <v>46</v>
      </c>
      <c r="R12" s="63" t="s">
        <v>46</v>
      </c>
      <c r="S12" s="64">
        <v>90</v>
      </c>
      <c r="T12" s="62">
        <v>0.45</v>
      </c>
      <c r="U12" s="68">
        <v>0.05</v>
      </c>
      <c r="V12" s="62">
        <v>0</v>
      </c>
    </row>
    <row r="13" spans="1:23" s="65" customFormat="1" x14ac:dyDescent="0.2">
      <c r="A13" s="61" t="s">
        <v>92</v>
      </c>
      <c r="B13" s="61" t="s">
        <v>93</v>
      </c>
      <c r="C13" s="61" t="s">
        <v>94</v>
      </c>
      <c r="D13" s="61" t="s">
        <v>95</v>
      </c>
      <c r="E13" s="61" t="s">
        <v>96</v>
      </c>
      <c r="F13" s="61" t="s">
        <v>97</v>
      </c>
      <c r="G13" s="61" t="s">
        <v>170</v>
      </c>
      <c r="H13" s="61" t="s">
        <v>44</v>
      </c>
      <c r="I13" s="61" t="s">
        <v>89</v>
      </c>
      <c r="J13" s="61" t="s">
        <v>90</v>
      </c>
      <c r="K13" s="61">
        <v>1</v>
      </c>
      <c r="L13" s="62">
        <v>0.33333333333333331</v>
      </c>
      <c r="M13" s="61" t="s">
        <v>91</v>
      </c>
      <c r="N13" s="61">
        <v>2016</v>
      </c>
      <c r="O13" s="61" t="s">
        <v>52</v>
      </c>
      <c r="P13" s="63" t="s">
        <v>72</v>
      </c>
      <c r="Q13" s="61" t="s">
        <v>46</v>
      </c>
      <c r="R13" s="63" t="s">
        <v>46</v>
      </c>
      <c r="S13" s="64">
        <v>80</v>
      </c>
      <c r="T13" s="62">
        <v>0.26666666666666666</v>
      </c>
      <c r="U13" s="68">
        <v>6.6666666666666666E-2</v>
      </c>
      <c r="V13" s="62">
        <v>0</v>
      </c>
    </row>
    <row r="14" spans="1:23" s="65" customFormat="1" x14ac:dyDescent="0.2">
      <c r="A14" s="61" t="s">
        <v>49</v>
      </c>
      <c r="B14" s="61" t="s">
        <v>50</v>
      </c>
      <c r="C14" s="61" t="s">
        <v>53</v>
      </c>
      <c r="D14" s="61" t="s">
        <v>54</v>
      </c>
      <c r="E14" s="61" t="s">
        <v>55</v>
      </c>
      <c r="F14" s="61" t="s">
        <v>56</v>
      </c>
      <c r="G14" s="61" t="s">
        <v>152</v>
      </c>
      <c r="H14" s="61" t="s">
        <v>44</v>
      </c>
      <c r="I14" s="61" t="s">
        <v>103</v>
      </c>
      <c r="J14" s="61" t="s">
        <v>104</v>
      </c>
      <c r="K14" s="61">
        <v>1</v>
      </c>
      <c r="L14" s="62">
        <v>0.5</v>
      </c>
      <c r="M14" s="61" t="s">
        <v>105</v>
      </c>
      <c r="N14" s="61">
        <v>2016</v>
      </c>
      <c r="O14" s="61" t="s">
        <v>52</v>
      </c>
      <c r="P14" s="63" t="s">
        <v>67</v>
      </c>
      <c r="Q14" s="61" t="s">
        <v>46</v>
      </c>
      <c r="R14" s="63" t="s">
        <v>46</v>
      </c>
      <c r="S14" s="64">
        <v>50</v>
      </c>
      <c r="T14" s="62">
        <v>0.25</v>
      </c>
      <c r="U14" s="68">
        <v>0.25</v>
      </c>
      <c r="V14" s="62">
        <v>0</v>
      </c>
    </row>
    <row r="15" spans="1:23" s="65" customFormat="1" x14ac:dyDescent="0.2">
      <c r="A15" s="61" t="s">
        <v>49</v>
      </c>
      <c r="B15" s="61" t="s">
        <v>50</v>
      </c>
      <c r="C15" s="61" t="s">
        <v>51</v>
      </c>
      <c r="D15" s="61" t="s">
        <v>128</v>
      </c>
      <c r="E15" s="61" t="s">
        <v>129</v>
      </c>
      <c r="F15" s="61" t="s">
        <v>116</v>
      </c>
      <c r="G15" s="61" t="s">
        <v>125</v>
      </c>
      <c r="H15" s="61" t="s">
        <v>44</v>
      </c>
      <c r="I15" s="61" t="s">
        <v>121</v>
      </c>
      <c r="J15" s="61" t="s">
        <v>122</v>
      </c>
      <c r="K15" s="61">
        <v>1</v>
      </c>
      <c r="L15" s="62">
        <v>0.5</v>
      </c>
      <c r="M15" s="61" t="s">
        <v>124</v>
      </c>
      <c r="N15" s="61">
        <v>2016</v>
      </c>
      <c r="O15" s="61" t="s">
        <v>52</v>
      </c>
      <c r="P15" s="63" t="s">
        <v>79</v>
      </c>
      <c r="Q15" s="61" t="s">
        <v>46</v>
      </c>
      <c r="R15" s="63" t="s">
        <v>46</v>
      </c>
      <c r="S15" s="64">
        <v>90</v>
      </c>
      <c r="T15" s="62">
        <v>0.45</v>
      </c>
      <c r="U15" s="68">
        <v>0.05</v>
      </c>
      <c r="V15" s="62">
        <v>0</v>
      </c>
    </row>
    <row r="16" spans="1:23" s="65" customFormat="1" x14ac:dyDescent="0.2">
      <c r="A16" s="61" t="s">
        <v>49</v>
      </c>
      <c r="B16" s="61" t="s">
        <v>50</v>
      </c>
      <c r="C16" s="61" t="s">
        <v>51</v>
      </c>
      <c r="D16" s="61" t="s">
        <v>175</v>
      </c>
      <c r="E16" s="61" t="s">
        <v>176</v>
      </c>
      <c r="F16" s="61" t="s">
        <v>118</v>
      </c>
      <c r="G16" s="61" t="s">
        <v>177</v>
      </c>
      <c r="H16" s="61" t="s">
        <v>48</v>
      </c>
      <c r="I16" s="61" t="s">
        <v>110</v>
      </c>
      <c r="J16" s="61" t="s">
        <v>111</v>
      </c>
      <c r="K16" s="61">
        <v>1</v>
      </c>
      <c r="L16" s="62">
        <v>1</v>
      </c>
      <c r="M16" s="61" t="s">
        <v>112</v>
      </c>
      <c r="N16" s="61">
        <v>2016</v>
      </c>
      <c r="O16" s="61" t="s">
        <v>52</v>
      </c>
      <c r="P16" s="63" t="s">
        <v>79</v>
      </c>
      <c r="Q16" s="61" t="s">
        <v>63</v>
      </c>
      <c r="R16" s="63" t="s">
        <v>87</v>
      </c>
      <c r="S16" s="64">
        <v>50</v>
      </c>
      <c r="T16" s="70">
        <v>0.5</v>
      </c>
      <c r="U16" s="68">
        <v>0.1</v>
      </c>
      <c r="V16" s="62">
        <v>0.4</v>
      </c>
    </row>
    <row r="17" spans="1:22" s="65" customFormat="1" x14ac:dyDescent="0.2">
      <c r="A17" s="61" t="s">
        <v>106</v>
      </c>
      <c r="B17" s="61" t="s">
        <v>107</v>
      </c>
      <c r="C17" s="61" t="s">
        <v>108</v>
      </c>
      <c r="D17" s="61" t="s">
        <v>178</v>
      </c>
      <c r="E17" s="61" t="s">
        <v>179</v>
      </c>
      <c r="F17" s="61" t="s">
        <v>180</v>
      </c>
      <c r="G17" s="61" t="s">
        <v>177</v>
      </c>
      <c r="H17" s="61" t="s">
        <v>44</v>
      </c>
      <c r="I17" s="61" t="s">
        <v>110</v>
      </c>
      <c r="J17" s="61" t="s">
        <v>111</v>
      </c>
      <c r="K17" s="61">
        <v>1</v>
      </c>
      <c r="L17" s="62">
        <v>0.5</v>
      </c>
      <c r="M17" s="61" t="s">
        <v>112</v>
      </c>
      <c r="N17" s="61">
        <v>2017</v>
      </c>
      <c r="O17" s="61" t="s">
        <v>52</v>
      </c>
      <c r="P17" s="63" t="s">
        <v>79</v>
      </c>
      <c r="Q17" s="61" t="s">
        <v>63</v>
      </c>
      <c r="R17" s="63" t="s">
        <v>87</v>
      </c>
      <c r="S17" s="64">
        <v>50</v>
      </c>
      <c r="T17" s="70">
        <v>0.25</v>
      </c>
      <c r="U17" s="68">
        <v>0.05</v>
      </c>
      <c r="V17" s="62">
        <v>0.2</v>
      </c>
    </row>
    <row r="18" spans="1:22" s="65" customFormat="1" x14ac:dyDescent="0.2">
      <c r="A18" s="61" t="s">
        <v>68</v>
      </c>
      <c r="B18" s="61" t="s">
        <v>69</v>
      </c>
      <c r="C18" s="61" t="s">
        <v>70</v>
      </c>
      <c r="D18" s="61" t="s">
        <v>164</v>
      </c>
      <c r="E18" s="61" t="s">
        <v>165</v>
      </c>
      <c r="F18" s="61" t="s">
        <v>166</v>
      </c>
      <c r="G18" s="61" t="s">
        <v>159</v>
      </c>
      <c r="H18" s="61" t="s">
        <v>44</v>
      </c>
      <c r="I18" s="61" t="s">
        <v>157</v>
      </c>
      <c r="J18" s="61" t="s">
        <v>158</v>
      </c>
      <c r="K18" s="61">
        <v>1</v>
      </c>
      <c r="L18" s="62">
        <v>0.5</v>
      </c>
      <c r="M18" s="61" t="s">
        <v>160</v>
      </c>
      <c r="N18" s="61">
        <v>2017</v>
      </c>
      <c r="O18" s="61" t="s">
        <v>52</v>
      </c>
      <c r="P18" s="63" t="s">
        <v>67</v>
      </c>
      <c r="Q18" s="61" t="s">
        <v>46</v>
      </c>
      <c r="R18" s="63" t="s">
        <v>46</v>
      </c>
      <c r="S18" s="64">
        <v>50</v>
      </c>
      <c r="T18" s="62">
        <v>0.25</v>
      </c>
      <c r="U18" s="68">
        <v>0.25</v>
      </c>
      <c r="V18" s="62">
        <v>0</v>
      </c>
    </row>
    <row r="19" spans="1:22" s="65" customFormat="1" x14ac:dyDescent="0.2">
      <c r="A19" s="61" t="s">
        <v>92</v>
      </c>
      <c r="B19" s="61" t="s">
        <v>93</v>
      </c>
      <c r="C19" s="61" t="s">
        <v>94</v>
      </c>
      <c r="D19" s="61" t="s">
        <v>98</v>
      </c>
      <c r="E19" s="61" t="s">
        <v>99</v>
      </c>
      <c r="F19" s="61" t="s">
        <v>100</v>
      </c>
      <c r="G19" s="61" t="s">
        <v>130</v>
      </c>
      <c r="H19" s="61" t="s">
        <v>44</v>
      </c>
      <c r="I19" s="61" t="s">
        <v>121</v>
      </c>
      <c r="J19" s="61" t="s">
        <v>122</v>
      </c>
      <c r="K19" s="61">
        <v>1</v>
      </c>
      <c r="L19" s="62">
        <v>0.5</v>
      </c>
      <c r="M19" s="61" t="s">
        <v>124</v>
      </c>
      <c r="N19" s="61">
        <v>2017</v>
      </c>
      <c r="O19" s="61" t="s">
        <v>52</v>
      </c>
      <c r="P19" s="63" t="s">
        <v>67</v>
      </c>
      <c r="Q19" s="61" t="s">
        <v>46</v>
      </c>
      <c r="R19" s="63" t="s">
        <v>46</v>
      </c>
      <c r="S19" s="64">
        <v>50</v>
      </c>
      <c r="T19" s="62">
        <v>0.25</v>
      </c>
      <c r="U19" s="68">
        <v>0.25</v>
      </c>
      <c r="V19" s="62">
        <v>0</v>
      </c>
    </row>
    <row r="20" spans="1:22" s="65" customFormat="1" x14ac:dyDescent="0.2">
      <c r="A20" s="61" t="s">
        <v>92</v>
      </c>
      <c r="B20" s="61" t="s">
        <v>93</v>
      </c>
      <c r="C20" s="61" t="s">
        <v>94</v>
      </c>
      <c r="D20" s="61" t="s">
        <v>131</v>
      </c>
      <c r="E20" s="61" t="s">
        <v>132</v>
      </c>
      <c r="F20" s="61" t="s">
        <v>133</v>
      </c>
      <c r="G20" s="61" t="s">
        <v>130</v>
      </c>
      <c r="H20" s="61" t="s">
        <v>44</v>
      </c>
      <c r="I20" s="61" t="s">
        <v>121</v>
      </c>
      <c r="J20" s="61" t="s">
        <v>122</v>
      </c>
      <c r="K20" s="61">
        <v>1</v>
      </c>
      <c r="L20" s="62">
        <v>0.5</v>
      </c>
      <c r="M20" s="61" t="s">
        <v>124</v>
      </c>
      <c r="N20" s="61">
        <v>2017</v>
      </c>
      <c r="O20" s="61" t="s">
        <v>52</v>
      </c>
      <c r="P20" s="63" t="s">
        <v>67</v>
      </c>
      <c r="Q20" s="61" t="s">
        <v>46</v>
      </c>
      <c r="R20" s="63" t="s">
        <v>46</v>
      </c>
      <c r="S20" s="64">
        <v>50</v>
      </c>
      <c r="T20" s="62">
        <v>0.25</v>
      </c>
      <c r="U20" s="68">
        <v>0.25</v>
      </c>
      <c r="V20" s="62">
        <v>0</v>
      </c>
    </row>
    <row r="21" spans="1:22" s="65" customFormat="1" x14ac:dyDescent="0.2">
      <c r="A21" s="61" t="s">
        <v>92</v>
      </c>
      <c r="B21" s="61" t="s">
        <v>93</v>
      </c>
      <c r="C21" s="61" t="s">
        <v>94</v>
      </c>
      <c r="D21" s="61" t="s">
        <v>131</v>
      </c>
      <c r="E21" s="61" t="s">
        <v>132</v>
      </c>
      <c r="F21" s="61" t="s">
        <v>133</v>
      </c>
      <c r="G21" s="61" t="s">
        <v>134</v>
      </c>
      <c r="H21" s="61" t="s">
        <v>44</v>
      </c>
      <c r="I21" s="61" t="s">
        <v>121</v>
      </c>
      <c r="J21" s="61" t="s">
        <v>122</v>
      </c>
      <c r="K21" s="61">
        <v>1</v>
      </c>
      <c r="L21" s="62">
        <v>0.5</v>
      </c>
      <c r="M21" s="61" t="s">
        <v>124</v>
      </c>
      <c r="N21" s="61">
        <v>2017</v>
      </c>
      <c r="O21" s="61" t="s">
        <v>52</v>
      </c>
      <c r="P21" s="63" t="s">
        <v>67</v>
      </c>
      <c r="Q21" s="61" t="s">
        <v>46</v>
      </c>
      <c r="R21" s="63" t="s">
        <v>46</v>
      </c>
      <c r="S21" s="64">
        <v>50</v>
      </c>
      <c r="T21" s="62">
        <v>0.25</v>
      </c>
      <c r="U21" s="68">
        <v>0.25</v>
      </c>
      <c r="V21" s="62">
        <v>0</v>
      </c>
    </row>
    <row r="22" spans="1:22" s="65" customFormat="1" x14ac:dyDescent="0.2">
      <c r="A22" s="61" t="s">
        <v>92</v>
      </c>
      <c r="B22" s="61" t="s">
        <v>93</v>
      </c>
      <c r="C22" s="61" t="s">
        <v>94</v>
      </c>
      <c r="D22" s="61" t="s">
        <v>154</v>
      </c>
      <c r="E22" s="61" t="s">
        <v>155</v>
      </c>
      <c r="F22" s="61" t="s">
        <v>156</v>
      </c>
      <c r="G22" s="61" t="s">
        <v>153</v>
      </c>
      <c r="H22" s="61" t="s">
        <v>44</v>
      </c>
      <c r="I22" s="61" t="s">
        <v>73</v>
      </c>
      <c r="J22" s="61" t="s">
        <v>74</v>
      </c>
      <c r="K22" s="61">
        <v>1</v>
      </c>
      <c r="L22" s="62">
        <v>0.5</v>
      </c>
      <c r="M22" s="61" t="s">
        <v>75</v>
      </c>
      <c r="N22" s="61">
        <v>2017</v>
      </c>
      <c r="O22" s="61" t="s">
        <v>52</v>
      </c>
      <c r="P22" s="63" t="s">
        <v>102</v>
      </c>
      <c r="Q22" s="61" t="s">
        <v>46</v>
      </c>
      <c r="R22" s="63" t="s">
        <v>46</v>
      </c>
      <c r="S22" s="64">
        <v>70</v>
      </c>
      <c r="T22" s="62">
        <v>0.35</v>
      </c>
      <c r="U22" s="68">
        <v>0.15</v>
      </c>
      <c r="V22" s="62">
        <v>0</v>
      </c>
    </row>
    <row r="23" spans="1:22" s="65" customFormat="1" x14ac:dyDescent="0.2">
      <c r="A23" s="61" t="s">
        <v>49</v>
      </c>
      <c r="B23" s="61" t="s">
        <v>50</v>
      </c>
      <c r="C23" s="61" t="s">
        <v>51</v>
      </c>
      <c r="D23" s="61" t="s">
        <v>172</v>
      </c>
      <c r="E23" s="61" t="s">
        <v>173</v>
      </c>
      <c r="F23" s="61" t="s">
        <v>174</v>
      </c>
      <c r="G23" s="61" t="s">
        <v>113</v>
      </c>
      <c r="H23" s="61" t="s">
        <v>44</v>
      </c>
      <c r="I23" s="61" t="s">
        <v>110</v>
      </c>
      <c r="J23" s="61" t="s">
        <v>111</v>
      </c>
      <c r="K23" s="61">
        <v>1</v>
      </c>
      <c r="L23" s="62">
        <v>0.5</v>
      </c>
      <c r="M23" s="61" t="s">
        <v>112</v>
      </c>
      <c r="N23" s="61">
        <v>2017</v>
      </c>
      <c r="O23" s="61" t="s">
        <v>52</v>
      </c>
      <c r="P23" s="63" t="s">
        <v>114</v>
      </c>
      <c r="Q23" s="61" t="s">
        <v>84</v>
      </c>
      <c r="R23" s="63" t="s">
        <v>79</v>
      </c>
      <c r="S23" s="64">
        <v>20</v>
      </c>
      <c r="T23" s="70">
        <v>0.1</v>
      </c>
      <c r="U23" s="68">
        <v>0.35</v>
      </c>
      <c r="V23" s="62">
        <v>0.05</v>
      </c>
    </row>
    <row r="24" spans="1:22" s="65" customFormat="1" x14ac:dyDescent="0.2">
      <c r="A24" s="61" t="s">
        <v>49</v>
      </c>
      <c r="B24" s="61" t="s">
        <v>50</v>
      </c>
      <c r="C24" s="61" t="s">
        <v>51</v>
      </c>
      <c r="D24" s="61" t="s">
        <v>172</v>
      </c>
      <c r="E24" s="61" t="s">
        <v>173</v>
      </c>
      <c r="F24" s="61" t="s">
        <v>174</v>
      </c>
      <c r="G24" s="61" t="s">
        <v>109</v>
      </c>
      <c r="H24" s="61" t="s">
        <v>44</v>
      </c>
      <c r="I24" s="61" t="s">
        <v>110</v>
      </c>
      <c r="J24" s="61" t="s">
        <v>111</v>
      </c>
      <c r="K24" s="61">
        <v>1</v>
      </c>
      <c r="L24" s="62">
        <v>0.5</v>
      </c>
      <c r="M24" s="61" t="s">
        <v>112</v>
      </c>
      <c r="N24" s="61">
        <v>2017</v>
      </c>
      <c r="O24" s="61" t="s">
        <v>52</v>
      </c>
      <c r="P24" s="63" t="s">
        <v>83</v>
      </c>
      <c r="Q24" s="61" t="s">
        <v>84</v>
      </c>
      <c r="R24" s="63" t="s">
        <v>79</v>
      </c>
      <c r="S24" s="64">
        <v>10</v>
      </c>
      <c r="T24" s="70">
        <v>0.05</v>
      </c>
      <c r="U24" s="68">
        <v>0.4</v>
      </c>
      <c r="V24" s="62">
        <v>0.05</v>
      </c>
    </row>
    <row r="25" spans="1:22" s="65" customFormat="1" x14ac:dyDescent="0.2">
      <c r="A25" s="61" t="s">
        <v>49</v>
      </c>
      <c r="B25" s="61" t="s">
        <v>50</v>
      </c>
      <c r="C25" s="61" t="s">
        <v>51</v>
      </c>
      <c r="D25" s="61" t="s">
        <v>57</v>
      </c>
      <c r="E25" s="61" t="s">
        <v>58</v>
      </c>
      <c r="F25" s="61" t="s">
        <v>59</v>
      </c>
      <c r="G25" s="61" t="s">
        <v>113</v>
      </c>
      <c r="H25" s="61" t="s">
        <v>44</v>
      </c>
      <c r="I25" s="61" t="s">
        <v>110</v>
      </c>
      <c r="J25" s="61" t="s">
        <v>111</v>
      </c>
      <c r="K25" s="61">
        <v>1</v>
      </c>
      <c r="L25" s="62">
        <v>0.5</v>
      </c>
      <c r="M25" s="61" t="s">
        <v>112</v>
      </c>
      <c r="N25" s="61">
        <v>2017</v>
      </c>
      <c r="O25" s="61" t="s">
        <v>52</v>
      </c>
      <c r="P25" s="63" t="s">
        <v>114</v>
      </c>
      <c r="Q25" s="61" t="s">
        <v>84</v>
      </c>
      <c r="R25" s="63" t="s">
        <v>79</v>
      </c>
      <c r="S25" s="64">
        <v>20</v>
      </c>
      <c r="T25" s="70">
        <v>0.1</v>
      </c>
      <c r="U25" s="68">
        <v>0.35</v>
      </c>
      <c r="V25" s="62">
        <v>0.05</v>
      </c>
    </row>
    <row r="26" spans="1:22" s="65" customFormat="1" x14ac:dyDescent="0.2">
      <c r="A26" s="61" t="s">
        <v>41</v>
      </c>
      <c r="B26" s="61" t="s">
        <v>42</v>
      </c>
      <c r="C26" s="61" t="s">
        <v>47</v>
      </c>
      <c r="D26" s="61" t="s">
        <v>76</v>
      </c>
      <c r="E26" s="61" t="s">
        <v>77</v>
      </c>
      <c r="F26" s="61" t="s">
        <v>78</v>
      </c>
      <c r="G26" s="61" t="s">
        <v>101</v>
      </c>
      <c r="H26" s="61" t="s">
        <v>44</v>
      </c>
      <c r="I26" s="61" t="s">
        <v>80</v>
      </c>
      <c r="J26" s="61" t="s">
        <v>81</v>
      </c>
      <c r="K26" s="61">
        <v>1</v>
      </c>
      <c r="L26" s="66">
        <v>0.5</v>
      </c>
      <c r="M26" s="61" t="s">
        <v>82</v>
      </c>
      <c r="N26" s="61">
        <v>2017</v>
      </c>
      <c r="O26" s="61" t="s">
        <v>52</v>
      </c>
      <c r="P26" s="63" t="s">
        <v>72</v>
      </c>
      <c r="Q26" s="61" t="s">
        <v>45</v>
      </c>
      <c r="R26" s="63" t="s">
        <v>67</v>
      </c>
      <c r="S26" s="64">
        <v>30</v>
      </c>
      <c r="T26" s="62">
        <v>0.15</v>
      </c>
      <c r="U26" s="68">
        <v>0.1</v>
      </c>
      <c r="V26" s="62">
        <v>0.25</v>
      </c>
    </row>
    <row r="27" spans="1:22" s="65" customFormat="1" x14ac:dyDescent="0.2">
      <c r="A27" s="61" t="s">
        <v>145</v>
      </c>
      <c r="B27" s="61" t="s">
        <v>146</v>
      </c>
      <c r="C27" s="61" t="s">
        <v>66</v>
      </c>
      <c r="D27" s="61" t="s">
        <v>147</v>
      </c>
      <c r="E27" s="61" t="s">
        <v>148</v>
      </c>
      <c r="F27" s="61" t="s">
        <v>149</v>
      </c>
      <c r="G27" s="61" t="s">
        <v>150</v>
      </c>
      <c r="H27" s="61" t="s">
        <v>48</v>
      </c>
      <c r="I27" s="61" t="s">
        <v>64</v>
      </c>
      <c r="J27" s="61" t="s">
        <v>65</v>
      </c>
      <c r="K27" s="61">
        <v>1</v>
      </c>
      <c r="L27" s="66">
        <v>1</v>
      </c>
      <c r="M27" s="61" t="s">
        <v>151</v>
      </c>
      <c r="N27" s="61">
        <v>2018</v>
      </c>
      <c r="O27" s="61" t="s">
        <v>52</v>
      </c>
      <c r="P27" s="63" t="s">
        <v>72</v>
      </c>
      <c r="Q27" s="61" t="s">
        <v>46</v>
      </c>
      <c r="R27" s="63" t="s">
        <v>46</v>
      </c>
      <c r="S27" s="64">
        <v>80</v>
      </c>
      <c r="T27" s="62">
        <v>0.8</v>
      </c>
      <c r="U27" s="68">
        <v>0.2</v>
      </c>
      <c r="V27" s="62">
        <v>0</v>
      </c>
    </row>
    <row r="28" spans="1:22" s="65" customFormat="1" x14ac:dyDescent="0.2">
      <c r="A28" s="61" t="s">
        <v>68</v>
      </c>
      <c r="B28" s="61" t="s">
        <v>69</v>
      </c>
      <c r="C28" s="61" t="s">
        <v>70</v>
      </c>
      <c r="D28" s="61" t="s">
        <v>167</v>
      </c>
      <c r="E28" s="61" t="s">
        <v>168</v>
      </c>
      <c r="F28" s="61" t="s">
        <v>71</v>
      </c>
      <c r="G28" s="61" t="s">
        <v>161</v>
      </c>
      <c r="H28" s="61" t="s">
        <v>44</v>
      </c>
      <c r="I28" s="61" t="s">
        <v>157</v>
      </c>
      <c r="J28" s="61" t="s">
        <v>158</v>
      </c>
      <c r="K28" s="61">
        <v>1</v>
      </c>
      <c r="L28" s="66">
        <v>0.5</v>
      </c>
      <c r="M28" s="61" t="s">
        <v>160</v>
      </c>
      <c r="N28" s="61">
        <v>2018</v>
      </c>
      <c r="O28" s="61" t="s">
        <v>52</v>
      </c>
      <c r="P28" s="63" t="s">
        <v>79</v>
      </c>
      <c r="Q28" s="61" t="s">
        <v>46</v>
      </c>
      <c r="R28" s="63" t="s">
        <v>46</v>
      </c>
      <c r="S28" s="64">
        <v>90</v>
      </c>
      <c r="T28" s="62">
        <v>0.45</v>
      </c>
      <c r="U28" s="68">
        <v>0.05</v>
      </c>
      <c r="V28" s="62">
        <v>0</v>
      </c>
    </row>
    <row r="29" spans="1:22" s="65" customFormat="1" x14ac:dyDescent="0.2">
      <c r="A29" s="61" t="s">
        <v>92</v>
      </c>
      <c r="B29" s="61" t="s">
        <v>93</v>
      </c>
      <c r="C29" s="61" t="s">
        <v>94</v>
      </c>
      <c r="D29" s="61" t="s">
        <v>135</v>
      </c>
      <c r="E29" s="61" t="s">
        <v>136</v>
      </c>
      <c r="F29" s="61" t="s">
        <v>119</v>
      </c>
      <c r="G29" s="61" t="s">
        <v>123</v>
      </c>
      <c r="H29" s="61" t="s">
        <v>44</v>
      </c>
      <c r="I29" s="61" t="s">
        <v>121</v>
      </c>
      <c r="J29" s="61" t="s">
        <v>122</v>
      </c>
      <c r="K29" s="61">
        <v>1</v>
      </c>
      <c r="L29" s="66">
        <v>0.5</v>
      </c>
      <c r="M29" s="61" t="s">
        <v>124</v>
      </c>
      <c r="N29" s="61">
        <v>2018</v>
      </c>
      <c r="O29" s="61" t="s">
        <v>52</v>
      </c>
      <c r="P29" s="63" t="s">
        <v>79</v>
      </c>
      <c r="Q29" s="61" t="s">
        <v>46</v>
      </c>
      <c r="R29" s="63" t="s">
        <v>46</v>
      </c>
      <c r="S29" s="64">
        <v>90</v>
      </c>
      <c r="T29" s="62">
        <v>0.45</v>
      </c>
      <c r="U29" s="68">
        <v>0.05</v>
      </c>
      <c r="V29" s="62">
        <v>0</v>
      </c>
    </row>
    <row r="30" spans="1:22" s="65" customFormat="1" x14ac:dyDescent="0.2">
      <c r="A30" s="61" t="s">
        <v>92</v>
      </c>
      <c r="B30" s="61" t="s">
        <v>93</v>
      </c>
      <c r="C30" s="61" t="s">
        <v>94</v>
      </c>
      <c r="D30" s="61" t="s">
        <v>137</v>
      </c>
      <c r="E30" s="61" t="s">
        <v>138</v>
      </c>
      <c r="F30" s="61" t="s">
        <v>120</v>
      </c>
      <c r="G30" s="61" t="s">
        <v>130</v>
      </c>
      <c r="H30" s="61" t="s">
        <v>44</v>
      </c>
      <c r="I30" s="61" t="s">
        <v>121</v>
      </c>
      <c r="J30" s="61" t="s">
        <v>122</v>
      </c>
      <c r="K30" s="61">
        <v>1</v>
      </c>
      <c r="L30" s="66">
        <v>0.5</v>
      </c>
      <c r="M30" s="61" t="s">
        <v>124</v>
      </c>
      <c r="N30" s="61">
        <v>2018</v>
      </c>
      <c r="O30" s="61" t="s">
        <v>52</v>
      </c>
      <c r="P30" s="63" t="s">
        <v>67</v>
      </c>
      <c r="Q30" s="61" t="s">
        <v>46</v>
      </c>
      <c r="R30" s="63" t="s">
        <v>46</v>
      </c>
      <c r="S30" s="64">
        <v>50</v>
      </c>
      <c r="T30" s="62">
        <v>0.25</v>
      </c>
      <c r="U30" s="68">
        <v>0.25</v>
      </c>
      <c r="V30" s="62">
        <v>0</v>
      </c>
    </row>
    <row r="31" spans="1:22" s="65" customFormat="1" x14ac:dyDescent="0.2">
      <c r="A31" s="61" t="s">
        <v>92</v>
      </c>
      <c r="B31" s="61" t="s">
        <v>93</v>
      </c>
      <c r="C31" s="61" t="s">
        <v>94</v>
      </c>
      <c r="D31" s="61" t="s">
        <v>137</v>
      </c>
      <c r="E31" s="61" t="s">
        <v>138</v>
      </c>
      <c r="F31" s="61" t="s">
        <v>120</v>
      </c>
      <c r="G31" s="61" t="s">
        <v>134</v>
      </c>
      <c r="H31" s="61" t="s">
        <v>44</v>
      </c>
      <c r="I31" s="61" t="s">
        <v>121</v>
      </c>
      <c r="J31" s="61" t="s">
        <v>122</v>
      </c>
      <c r="K31" s="61">
        <v>1</v>
      </c>
      <c r="L31" s="66">
        <v>0.5</v>
      </c>
      <c r="M31" s="61" t="s">
        <v>124</v>
      </c>
      <c r="N31" s="61">
        <v>2018</v>
      </c>
      <c r="O31" s="61" t="s">
        <v>52</v>
      </c>
      <c r="P31" s="63" t="s">
        <v>67</v>
      </c>
      <c r="Q31" s="61" t="s">
        <v>46</v>
      </c>
      <c r="R31" s="63" t="s">
        <v>46</v>
      </c>
      <c r="S31" s="64">
        <v>50</v>
      </c>
      <c r="T31" s="62">
        <v>0.25</v>
      </c>
      <c r="U31" s="68">
        <v>0.25</v>
      </c>
      <c r="V31" s="62">
        <v>0</v>
      </c>
    </row>
    <row r="32" spans="1:22" s="65" customFormat="1" x14ac:dyDescent="0.2">
      <c r="A32" s="61" t="s">
        <v>92</v>
      </c>
      <c r="B32" s="61" t="s">
        <v>93</v>
      </c>
      <c r="C32" s="61" t="s">
        <v>94</v>
      </c>
      <c r="D32" s="61" t="s">
        <v>139</v>
      </c>
      <c r="E32" s="61" t="s">
        <v>140</v>
      </c>
      <c r="F32" s="61" t="s">
        <v>62</v>
      </c>
      <c r="G32" s="61" t="s">
        <v>127</v>
      </c>
      <c r="H32" s="61" t="s">
        <v>44</v>
      </c>
      <c r="I32" s="61" t="s">
        <v>121</v>
      </c>
      <c r="J32" s="61" t="s">
        <v>122</v>
      </c>
      <c r="K32" s="61">
        <v>1</v>
      </c>
      <c r="L32" s="66">
        <v>0.5</v>
      </c>
      <c r="M32" s="61" t="s">
        <v>124</v>
      </c>
      <c r="N32" s="61">
        <v>2018</v>
      </c>
      <c r="O32" s="61" t="s">
        <v>52</v>
      </c>
      <c r="P32" s="63" t="s">
        <v>67</v>
      </c>
      <c r="Q32" s="61" t="s">
        <v>46</v>
      </c>
      <c r="R32" s="63" t="s">
        <v>46</v>
      </c>
      <c r="S32" s="64">
        <v>50</v>
      </c>
      <c r="T32" s="62">
        <v>0.25</v>
      </c>
      <c r="U32" s="68">
        <v>0.25</v>
      </c>
      <c r="V32" s="62">
        <v>0</v>
      </c>
    </row>
    <row r="33" spans="1:23" s="65" customFormat="1" x14ac:dyDescent="0.2">
      <c r="A33" s="61" t="s">
        <v>92</v>
      </c>
      <c r="B33" s="61" t="s">
        <v>93</v>
      </c>
      <c r="C33" s="61" t="s">
        <v>94</v>
      </c>
      <c r="D33" s="61" t="s">
        <v>139</v>
      </c>
      <c r="E33" s="61" t="s">
        <v>140</v>
      </c>
      <c r="F33" s="61" t="s">
        <v>62</v>
      </c>
      <c r="G33" s="61" t="s">
        <v>130</v>
      </c>
      <c r="H33" s="61" t="s">
        <v>44</v>
      </c>
      <c r="I33" s="61" t="s">
        <v>121</v>
      </c>
      <c r="J33" s="61" t="s">
        <v>122</v>
      </c>
      <c r="K33" s="61">
        <v>1</v>
      </c>
      <c r="L33" s="66">
        <v>0.5</v>
      </c>
      <c r="M33" s="61" t="s">
        <v>124</v>
      </c>
      <c r="N33" s="61">
        <v>2018</v>
      </c>
      <c r="O33" s="61" t="s">
        <v>52</v>
      </c>
      <c r="P33" s="63" t="s">
        <v>67</v>
      </c>
      <c r="Q33" s="61" t="s">
        <v>46</v>
      </c>
      <c r="R33" s="63" t="s">
        <v>46</v>
      </c>
      <c r="S33" s="64">
        <v>50</v>
      </c>
      <c r="T33" s="62">
        <v>0.25</v>
      </c>
      <c r="U33" s="68">
        <v>0.25</v>
      </c>
      <c r="V33" s="62">
        <v>0</v>
      </c>
    </row>
    <row r="34" spans="1:23" s="65" customFormat="1" x14ac:dyDescent="0.2">
      <c r="A34" s="61" t="s">
        <v>49</v>
      </c>
      <c r="B34" s="61" t="s">
        <v>50</v>
      </c>
      <c r="C34" s="61" t="s">
        <v>51</v>
      </c>
      <c r="D34" s="61" t="s">
        <v>141</v>
      </c>
      <c r="E34" s="61" t="s">
        <v>142</v>
      </c>
      <c r="F34" s="61" t="s">
        <v>143</v>
      </c>
      <c r="G34" s="61" t="s">
        <v>171</v>
      </c>
      <c r="H34" s="61" t="s">
        <v>44</v>
      </c>
      <c r="I34" s="61" t="s">
        <v>89</v>
      </c>
      <c r="J34" s="61" t="s">
        <v>90</v>
      </c>
      <c r="K34" s="61">
        <v>1</v>
      </c>
      <c r="L34" s="66">
        <v>0.5</v>
      </c>
      <c r="M34" s="61" t="s">
        <v>91</v>
      </c>
      <c r="N34" s="61">
        <v>2018</v>
      </c>
      <c r="O34" s="61" t="s">
        <v>52</v>
      </c>
      <c r="P34" s="63" t="s">
        <v>83</v>
      </c>
      <c r="Q34" s="61" t="s">
        <v>46</v>
      </c>
      <c r="R34" s="63" t="s">
        <v>46</v>
      </c>
      <c r="S34" s="64">
        <v>20</v>
      </c>
      <c r="T34" s="62">
        <v>0.1</v>
      </c>
      <c r="U34" s="68">
        <v>0.4</v>
      </c>
      <c r="V34" s="62">
        <v>0</v>
      </c>
    </row>
    <row r="35" spans="1:23" s="65" customFormat="1" x14ac:dyDescent="0.2">
      <c r="A35" s="61" t="s">
        <v>49</v>
      </c>
      <c r="B35" s="61" t="s">
        <v>50</v>
      </c>
      <c r="C35" s="61" t="s">
        <v>51</v>
      </c>
      <c r="D35" s="61" t="s">
        <v>141</v>
      </c>
      <c r="E35" s="61" t="s">
        <v>142</v>
      </c>
      <c r="F35" s="61" t="s">
        <v>143</v>
      </c>
      <c r="G35" s="61" t="s">
        <v>144</v>
      </c>
      <c r="H35" s="61" t="s">
        <v>44</v>
      </c>
      <c r="I35" s="61" t="s">
        <v>121</v>
      </c>
      <c r="J35" s="61" t="s">
        <v>122</v>
      </c>
      <c r="K35" s="61">
        <v>1</v>
      </c>
      <c r="L35" s="66">
        <v>0.5</v>
      </c>
      <c r="M35" s="61" t="s">
        <v>124</v>
      </c>
      <c r="N35" s="61">
        <v>2018</v>
      </c>
      <c r="O35" s="61" t="s">
        <v>52</v>
      </c>
      <c r="P35" s="63" t="s">
        <v>102</v>
      </c>
      <c r="Q35" s="61" t="s">
        <v>46</v>
      </c>
      <c r="R35" s="63" t="s">
        <v>46</v>
      </c>
      <c r="S35" s="64">
        <v>70</v>
      </c>
      <c r="T35" s="62">
        <v>0.35</v>
      </c>
      <c r="U35" s="68">
        <v>0.15</v>
      </c>
      <c r="V35" s="62">
        <v>0</v>
      </c>
    </row>
    <row r="36" spans="1:23" s="65" customFormat="1" x14ac:dyDescent="0.2">
      <c r="A36" s="71" t="s">
        <v>92</v>
      </c>
      <c r="B36" s="71" t="s">
        <v>93</v>
      </c>
      <c r="C36" s="71" t="s">
        <v>94</v>
      </c>
      <c r="D36" s="71" t="s">
        <v>336</v>
      </c>
      <c r="E36" s="71" t="s">
        <v>337</v>
      </c>
      <c r="F36" s="71" t="s">
        <v>338</v>
      </c>
      <c r="G36" s="71" t="s">
        <v>130</v>
      </c>
      <c r="H36" s="71" t="s">
        <v>44</v>
      </c>
      <c r="I36" s="71" t="s">
        <v>121</v>
      </c>
      <c r="J36" s="71" t="s">
        <v>122</v>
      </c>
      <c r="K36" s="71">
        <v>1</v>
      </c>
      <c r="L36" s="72">
        <v>0.5</v>
      </c>
      <c r="M36" s="71" t="s">
        <v>124</v>
      </c>
      <c r="N36" s="71">
        <v>2019</v>
      </c>
      <c r="O36" s="71" t="s">
        <v>52</v>
      </c>
      <c r="P36" s="73" t="s">
        <v>67</v>
      </c>
      <c r="Q36" s="71" t="s">
        <v>46</v>
      </c>
      <c r="R36" s="73" t="s">
        <v>46</v>
      </c>
      <c r="S36" s="74">
        <v>50</v>
      </c>
      <c r="T36" s="75">
        <v>0.25</v>
      </c>
      <c r="U36" s="77">
        <v>0.25</v>
      </c>
      <c r="V36" s="75">
        <v>0</v>
      </c>
      <c r="W36" s="65" t="s">
        <v>618</v>
      </c>
    </row>
    <row r="37" spans="1:23" s="65" customFormat="1" x14ac:dyDescent="0.2">
      <c r="A37" s="71" t="s">
        <v>92</v>
      </c>
      <c r="B37" s="71" t="s">
        <v>93</v>
      </c>
      <c r="C37" s="71" t="s">
        <v>94</v>
      </c>
      <c r="D37" s="71" t="s">
        <v>336</v>
      </c>
      <c r="E37" s="71" t="s">
        <v>337</v>
      </c>
      <c r="F37" s="71" t="s">
        <v>338</v>
      </c>
      <c r="G37" s="71" t="s">
        <v>134</v>
      </c>
      <c r="H37" s="71" t="s">
        <v>44</v>
      </c>
      <c r="I37" s="71" t="s">
        <v>121</v>
      </c>
      <c r="J37" s="71" t="s">
        <v>122</v>
      </c>
      <c r="K37" s="71">
        <v>1</v>
      </c>
      <c r="L37" s="72">
        <v>0.5</v>
      </c>
      <c r="M37" s="71" t="s">
        <v>124</v>
      </c>
      <c r="N37" s="71">
        <v>2019</v>
      </c>
      <c r="O37" s="71" t="s">
        <v>52</v>
      </c>
      <c r="P37" s="73" t="s">
        <v>67</v>
      </c>
      <c r="Q37" s="71" t="s">
        <v>46</v>
      </c>
      <c r="R37" s="73" t="s">
        <v>46</v>
      </c>
      <c r="S37" s="74">
        <v>50</v>
      </c>
      <c r="T37" s="75">
        <v>0.25</v>
      </c>
      <c r="U37" s="77">
        <v>0.25</v>
      </c>
      <c r="V37" s="75">
        <v>0</v>
      </c>
      <c r="W37" s="65" t="s">
        <v>618</v>
      </c>
    </row>
    <row r="38" spans="1:23" s="65" customFormat="1" x14ac:dyDescent="0.2">
      <c r="A38" s="71" t="s">
        <v>92</v>
      </c>
      <c r="B38" s="71" t="s">
        <v>93</v>
      </c>
      <c r="C38" s="71" t="s">
        <v>94</v>
      </c>
      <c r="D38" s="71" t="s">
        <v>339</v>
      </c>
      <c r="E38" s="71" t="s">
        <v>340</v>
      </c>
      <c r="F38" s="71" t="s">
        <v>341</v>
      </c>
      <c r="G38" s="71" t="s">
        <v>127</v>
      </c>
      <c r="H38" s="71" t="s">
        <v>44</v>
      </c>
      <c r="I38" s="71" t="s">
        <v>121</v>
      </c>
      <c r="J38" s="71" t="s">
        <v>122</v>
      </c>
      <c r="K38" s="71">
        <v>1</v>
      </c>
      <c r="L38" s="72">
        <v>0.5</v>
      </c>
      <c r="M38" s="71" t="s">
        <v>124</v>
      </c>
      <c r="N38" s="71">
        <v>2019</v>
      </c>
      <c r="O38" s="71" t="s">
        <v>52</v>
      </c>
      <c r="P38" s="73" t="s">
        <v>67</v>
      </c>
      <c r="Q38" s="71" t="s">
        <v>46</v>
      </c>
      <c r="R38" s="73" t="s">
        <v>46</v>
      </c>
      <c r="S38" s="74">
        <v>50</v>
      </c>
      <c r="T38" s="75">
        <v>0.25</v>
      </c>
      <c r="U38" s="77">
        <v>0.25</v>
      </c>
      <c r="V38" s="75">
        <v>0</v>
      </c>
      <c r="W38" s="65" t="s">
        <v>618</v>
      </c>
    </row>
    <row r="39" spans="1:23" s="65" customFormat="1" x14ac:dyDescent="0.2">
      <c r="A39" s="71" t="s">
        <v>92</v>
      </c>
      <c r="B39" s="71" t="s">
        <v>93</v>
      </c>
      <c r="C39" s="71" t="s">
        <v>94</v>
      </c>
      <c r="D39" s="71" t="s">
        <v>339</v>
      </c>
      <c r="E39" s="71" t="s">
        <v>340</v>
      </c>
      <c r="F39" s="71" t="s">
        <v>341</v>
      </c>
      <c r="G39" s="71" t="s">
        <v>134</v>
      </c>
      <c r="H39" s="71" t="s">
        <v>44</v>
      </c>
      <c r="I39" s="71" t="s">
        <v>121</v>
      </c>
      <c r="J39" s="71" t="s">
        <v>122</v>
      </c>
      <c r="K39" s="71">
        <v>1</v>
      </c>
      <c r="L39" s="72">
        <v>0.5</v>
      </c>
      <c r="M39" s="71" t="s">
        <v>124</v>
      </c>
      <c r="N39" s="71">
        <v>2019</v>
      </c>
      <c r="O39" s="71" t="s">
        <v>52</v>
      </c>
      <c r="P39" s="73" t="s">
        <v>67</v>
      </c>
      <c r="Q39" s="71" t="s">
        <v>46</v>
      </c>
      <c r="R39" s="73" t="s">
        <v>46</v>
      </c>
      <c r="S39" s="74">
        <v>50</v>
      </c>
      <c r="T39" s="75">
        <v>0.25</v>
      </c>
      <c r="U39" s="77">
        <v>0.25</v>
      </c>
      <c r="V39" s="75">
        <v>0</v>
      </c>
      <c r="W39" s="65" t="s">
        <v>618</v>
      </c>
    </row>
    <row r="40" spans="1:23" s="65" customFormat="1" x14ac:dyDescent="0.2">
      <c r="A40" s="71" t="s">
        <v>92</v>
      </c>
      <c r="B40" s="71" t="s">
        <v>93</v>
      </c>
      <c r="C40" s="71" t="s">
        <v>94</v>
      </c>
      <c r="D40" s="71" t="s">
        <v>345</v>
      </c>
      <c r="E40" s="71" t="s">
        <v>346</v>
      </c>
      <c r="F40" s="71" t="s">
        <v>347</v>
      </c>
      <c r="G40" s="71" t="s">
        <v>126</v>
      </c>
      <c r="H40" s="71" t="s">
        <v>44</v>
      </c>
      <c r="I40" s="71" t="s">
        <v>121</v>
      </c>
      <c r="J40" s="71" t="s">
        <v>122</v>
      </c>
      <c r="K40" s="71">
        <v>1</v>
      </c>
      <c r="L40" s="72">
        <v>0.5</v>
      </c>
      <c r="M40" s="71" t="s">
        <v>124</v>
      </c>
      <c r="N40" s="71">
        <v>2019</v>
      </c>
      <c r="O40" s="71" t="s">
        <v>52</v>
      </c>
      <c r="P40" s="73" t="s">
        <v>79</v>
      </c>
      <c r="Q40" s="71" t="s">
        <v>46</v>
      </c>
      <c r="R40" s="73" t="s">
        <v>46</v>
      </c>
      <c r="S40" s="74">
        <v>90</v>
      </c>
      <c r="T40" s="75">
        <v>0.45</v>
      </c>
      <c r="U40" s="77">
        <v>0.05</v>
      </c>
      <c r="V40" s="75">
        <v>0</v>
      </c>
      <c r="W40" s="65" t="s">
        <v>618</v>
      </c>
    </row>
    <row r="41" spans="1:23" s="65" customFormat="1" x14ac:dyDescent="0.2">
      <c r="A41" s="71" t="s">
        <v>92</v>
      </c>
      <c r="B41" s="71" t="s">
        <v>93</v>
      </c>
      <c r="C41" s="71" t="s">
        <v>94</v>
      </c>
      <c r="D41" s="71" t="s">
        <v>342</v>
      </c>
      <c r="E41" s="71" t="s">
        <v>343</v>
      </c>
      <c r="F41" s="71" t="s">
        <v>344</v>
      </c>
      <c r="G41" s="71" t="s">
        <v>126</v>
      </c>
      <c r="H41" s="71" t="s">
        <v>44</v>
      </c>
      <c r="I41" s="71" t="s">
        <v>121</v>
      </c>
      <c r="J41" s="71" t="s">
        <v>122</v>
      </c>
      <c r="K41" s="71">
        <v>1</v>
      </c>
      <c r="L41" s="72">
        <v>0.5</v>
      </c>
      <c r="M41" s="71" t="s">
        <v>124</v>
      </c>
      <c r="N41" s="71">
        <v>2019</v>
      </c>
      <c r="O41" s="71" t="s">
        <v>52</v>
      </c>
      <c r="P41" s="73" t="s">
        <v>79</v>
      </c>
      <c r="Q41" s="71" t="s">
        <v>46</v>
      </c>
      <c r="R41" s="73" t="s">
        <v>46</v>
      </c>
      <c r="S41" s="74">
        <v>90</v>
      </c>
      <c r="T41" s="75">
        <v>0.45</v>
      </c>
      <c r="U41" s="77">
        <v>0.05</v>
      </c>
      <c r="V41" s="75">
        <v>0</v>
      </c>
      <c r="W41" s="65" t="s">
        <v>618</v>
      </c>
    </row>
    <row r="42" spans="1:23" s="65" customFormat="1" x14ac:dyDescent="0.2">
      <c r="A42" s="61" t="s">
        <v>92</v>
      </c>
      <c r="B42" s="61" t="s">
        <v>93</v>
      </c>
      <c r="C42" s="61" t="s">
        <v>94</v>
      </c>
      <c r="D42" s="61" t="s">
        <v>377</v>
      </c>
      <c r="E42" s="61" t="s">
        <v>378</v>
      </c>
      <c r="F42" s="61" t="s">
        <v>379</v>
      </c>
      <c r="G42" s="61" t="s">
        <v>126</v>
      </c>
      <c r="H42" s="61" t="s">
        <v>44</v>
      </c>
      <c r="I42" s="61" t="s">
        <v>121</v>
      </c>
      <c r="J42" s="61" t="s">
        <v>122</v>
      </c>
      <c r="K42" s="61">
        <v>1</v>
      </c>
      <c r="L42" s="67">
        <v>0.5</v>
      </c>
      <c r="M42" s="67" t="s">
        <v>124</v>
      </c>
      <c r="N42" s="76">
        <v>2019</v>
      </c>
      <c r="O42" s="61" t="s">
        <v>52</v>
      </c>
      <c r="P42" s="63" t="s">
        <v>79</v>
      </c>
      <c r="Q42" s="61" t="s">
        <v>46</v>
      </c>
      <c r="R42" s="63" t="s">
        <v>46</v>
      </c>
      <c r="S42" s="61">
        <v>90</v>
      </c>
      <c r="T42" s="61">
        <v>0.45</v>
      </c>
      <c r="U42" s="68">
        <v>0.05</v>
      </c>
      <c r="V42" s="61">
        <v>0</v>
      </c>
      <c r="W42" s="65" t="s">
        <v>618</v>
      </c>
    </row>
    <row r="43" spans="1:23" s="65" customFormat="1" ht="10.8" thickBot="1" x14ac:dyDescent="0.25">
      <c r="A43" s="61" t="s">
        <v>380</v>
      </c>
      <c r="B43" s="61" t="s">
        <v>381</v>
      </c>
      <c r="C43" s="61" t="s">
        <v>94</v>
      </c>
      <c r="D43" s="61" t="s">
        <v>382</v>
      </c>
      <c r="E43" s="61" t="s">
        <v>383</v>
      </c>
      <c r="F43" s="61" t="s">
        <v>384</v>
      </c>
      <c r="G43" s="61" t="s">
        <v>385</v>
      </c>
      <c r="H43" s="61" t="s">
        <v>48</v>
      </c>
      <c r="I43" s="61" t="s">
        <v>121</v>
      </c>
      <c r="J43" s="61" t="s">
        <v>122</v>
      </c>
      <c r="K43" s="61">
        <v>1</v>
      </c>
      <c r="L43" s="67">
        <v>1</v>
      </c>
      <c r="M43" s="67" t="s">
        <v>124</v>
      </c>
      <c r="N43" s="61">
        <v>2019</v>
      </c>
      <c r="O43" s="61" t="s">
        <v>52</v>
      </c>
      <c r="P43" s="63" t="s">
        <v>79</v>
      </c>
      <c r="Q43" s="61" t="s">
        <v>46</v>
      </c>
      <c r="R43" s="63" t="s">
        <v>46</v>
      </c>
      <c r="S43" s="61">
        <v>90</v>
      </c>
      <c r="T43" s="61">
        <v>0.9</v>
      </c>
      <c r="U43" s="69">
        <v>0.1</v>
      </c>
      <c r="V43" s="61">
        <v>0</v>
      </c>
      <c r="W43" s="65" t="s">
        <v>618</v>
      </c>
    </row>
    <row r="44" spans="1:23" s="65" customFormat="1" ht="10.8" thickBot="1" x14ac:dyDescent="0.25">
      <c r="A44" s="26" t="s">
        <v>73</v>
      </c>
      <c r="B44" s="26" t="s">
        <v>74</v>
      </c>
      <c r="C44" s="26" t="s">
        <v>348</v>
      </c>
      <c r="D44" s="26" t="s">
        <v>386</v>
      </c>
      <c r="E44" s="26" t="s">
        <v>387</v>
      </c>
      <c r="F44" s="26" t="s">
        <v>388</v>
      </c>
      <c r="G44" s="27" t="s">
        <v>389</v>
      </c>
      <c r="H44" s="28" t="s">
        <v>44</v>
      </c>
      <c r="I44" s="28" t="s">
        <v>73</v>
      </c>
      <c r="J44" s="29" t="s">
        <v>74</v>
      </c>
      <c r="K44" s="61">
        <v>1</v>
      </c>
      <c r="L44" s="67">
        <v>0.5</v>
      </c>
      <c r="M44" s="67" t="s">
        <v>75</v>
      </c>
      <c r="N44" s="61">
        <v>2020</v>
      </c>
      <c r="O44" s="61" t="s">
        <v>52</v>
      </c>
      <c r="P44" s="63" t="s">
        <v>79</v>
      </c>
      <c r="Q44" s="61" t="s">
        <v>84</v>
      </c>
      <c r="R44" s="63" t="s">
        <v>67</v>
      </c>
      <c r="S44" s="61">
        <v>40</v>
      </c>
      <c r="T44" s="61">
        <v>0.2</v>
      </c>
      <c r="U44" s="68">
        <v>0.05</v>
      </c>
      <c r="V44" s="61">
        <v>0.25</v>
      </c>
      <c r="W44" s="65" t="s">
        <v>618</v>
      </c>
    </row>
    <row r="45" spans="1:23" s="65" customFormat="1" ht="10.8" thickBot="1" x14ac:dyDescent="0.25">
      <c r="A45" s="26" t="s">
        <v>106</v>
      </c>
      <c r="B45" s="26" t="s">
        <v>107</v>
      </c>
      <c r="C45" s="26" t="s">
        <v>108</v>
      </c>
      <c r="D45" s="26" t="s">
        <v>390</v>
      </c>
      <c r="E45" s="26" t="s">
        <v>391</v>
      </c>
      <c r="F45" s="26" t="s">
        <v>392</v>
      </c>
      <c r="G45" s="27" t="s">
        <v>393</v>
      </c>
      <c r="H45" s="28" t="s">
        <v>48</v>
      </c>
      <c r="I45" s="28" t="s">
        <v>110</v>
      </c>
      <c r="J45" s="29" t="s">
        <v>111</v>
      </c>
      <c r="K45" s="61">
        <v>1</v>
      </c>
      <c r="L45" s="67">
        <v>1</v>
      </c>
      <c r="M45" s="67" t="s">
        <v>112</v>
      </c>
      <c r="N45" s="61">
        <v>2020</v>
      </c>
      <c r="O45" s="61" t="s">
        <v>52</v>
      </c>
      <c r="P45" s="63" t="s">
        <v>79</v>
      </c>
      <c r="Q45" s="61" t="s">
        <v>63</v>
      </c>
      <c r="R45" s="63" t="s">
        <v>67</v>
      </c>
      <c r="S45" s="61">
        <v>40</v>
      </c>
      <c r="T45" s="61">
        <v>0.4</v>
      </c>
      <c r="U45" s="69">
        <v>0.1</v>
      </c>
      <c r="V45" s="61">
        <v>0.5</v>
      </c>
      <c r="W45" s="65" t="s">
        <v>618</v>
      </c>
    </row>
    <row r="46" spans="1:23" s="65" customFormat="1" ht="10.8" thickBot="1" x14ac:dyDescent="0.25">
      <c r="A46" s="26" t="s">
        <v>68</v>
      </c>
      <c r="B46" s="26" t="s">
        <v>69</v>
      </c>
      <c r="C46" s="26" t="s">
        <v>70</v>
      </c>
      <c r="D46" s="26" t="s">
        <v>394</v>
      </c>
      <c r="E46" s="26" t="s">
        <v>395</v>
      </c>
      <c r="F46" s="26" t="s">
        <v>396</v>
      </c>
      <c r="G46" s="27" t="s">
        <v>397</v>
      </c>
      <c r="H46" s="28" t="s">
        <v>44</v>
      </c>
      <c r="I46" s="28" t="s">
        <v>157</v>
      </c>
      <c r="J46" s="29" t="s">
        <v>158</v>
      </c>
      <c r="K46" s="61">
        <v>1</v>
      </c>
      <c r="L46" s="67">
        <v>0.5</v>
      </c>
      <c r="M46" s="67" t="s">
        <v>160</v>
      </c>
      <c r="N46" s="61">
        <v>2020</v>
      </c>
      <c r="O46" s="61" t="s">
        <v>52</v>
      </c>
      <c r="P46" s="63" t="s">
        <v>85</v>
      </c>
      <c r="Q46" s="61" t="s">
        <v>46</v>
      </c>
      <c r="R46" s="63" t="s">
        <v>46</v>
      </c>
      <c r="S46" s="61">
        <v>75</v>
      </c>
      <c r="T46" s="61">
        <v>0.375</v>
      </c>
      <c r="U46" s="68">
        <v>0.125</v>
      </c>
      <c r="V46" s="61">
        <v>0</v>
      </c>
      <c r="W46" s="65" t="s">
        <v>618</v>
      </c>
    </row>
    <row r="47" spans="1:23" s="65" customFormat="1" ht="10.8" thickBot="1" x14ac:dyDescent="0.25">
      <c r="A47" s="26" t="s">
        <v>68</v>
      </c>
      <c r="B47" s="26" t="s">
        <v>69</v>
      </c>
      <c r="C47" s="26" t="s">
        <v>70</v>
      </c>
      <c r="D47" s="26" t="s">
        <v>394</v>
      </c>
      <c r="E47" s="26" t="s">
        <v>395</v>
      </c>
      <c r="F47" s="26" t="s">
        <v>396</v>
      </c>
      <c r="G47" s="27" t="s">
        <v>161</v>
      </c>
      <c r="H47" s="28" t="s">
        <v>44</v>
      </c>
      <c r="I47" s="28" t="s">
        <v>157</v>
      </c>
      <c r="J47" s="29" t="s">
        <v>158</v>
      </c>
      <c r="K47" s="61">
        <v>1</v>
      </c>
      <c r="L47" s="67">
        <v>0.5</v>
      </c>
      <c r="M47" s="67" t="s">
        <v>160</v>
      </c>
      <c r="N47" s="61">
        <v>2020</v>
      </c>
      <c r="O47" s="61" t="s">
        <v>52</v>
      </c>
      <c r="P47" s="63" t="s">
        <v>79</v>
      </c>
      <c r="Q47" s="61" t="s">
        <v>46</v>
      </c>
      <c r="R47" s="63" t="s">
        <v>46</v>
      </c>
      <c r="S47" s="61">
        <v>90</v>
      </c>
      <c r="T47" s="61">
        <v>0.45</v>
      </c>
      <c r="U47" s="68">
        <v>0.05</v>
      </c>
      <c r="V47" s="61">
        <v>0</v>
      </c>
      <c r="W47" s="65" t="s">
        <v>618</v>
      </c>
    </row>
    <row r="48" spans="1:23" s="65" customFormat="1" ht="10.8" thickBot="1" x14ac:dyDescent="0.25">
      <c r="A48" s="26" t="s">
        <v>68</v>
      </c>
      <c r="B48" s="26" t="s">
        <v>69</v>
      </c>
      <c r="C48" s="26" t="s">
        <v>70</v>
      </c>
      <c r="D48" s="26" t="s">
        <v>398</v>
      </c>
      <c r="E48" s="26" t="s">
        <v>399</v>
      </c>
      <c r="F48" s="26" t="s">
        <v>400</v>
      </c>
      <c r="G48" s="27" t="s">
        <v>161</v>
      </c>
      <c r="H48" s="28" t="s">
        <v>48</v>
      </c>
      <c r="I48" s="28" t="s">
        <v>157</v>
      </c>
      <c r="J48" s="29" t="s">
        <v>158</v>
      </c>
      <c r="K48" s="61">
        <v>1</v>
      </c>
      <c r="L48" s="67">
        <v>1</v>
      </c>
      <c r="M48" s="67" t="s">
        <v>160</v>
      </c>
      <c r="N48" s="61">
        <v>2020</v>
      </c>
      <c r="O48" s="61" t="s">
        <v>52</v>
      </c>
      <c r="P48" s="63" t="s">
        <v>79</v>
      </c>
      <c r="Q48" s="61" t="s">
        <v>46</v>
      </c>
      <c r="R48" s="63" t="s">
        <v>46</v>
      </c>
      <c r="S48" s="61">
        <v>90</v>
      </c>
      <c r="T48" s="61">
        <v>0.9</v>
      </c>
      <c r="U48" s="69">
        <v>0.1</v>
      </c>
      <c r="V48" s="61">
        <v>0</v>
      </c>
      <c r="W48" s="65" t="s">
        <v>618</v>
      </c>
    </row>
    <row r="49" spans="1:23" s="65" customFormat="1" ht="10.8" thickBot="1" x14ac:dyDescent="0.25">
      <c r="A49" s="26" t="s">
        <v>92</v>
      </c>
      <c r="B49" s="26" t="s">
        <v>93</v>
      </c>
      <c r="C49" s="26" t="s">
        <v>94</v>
      </c>
      <c r="D49" s="26" t="s">
        <v>629</v>
      </c>
      <c r="E49" s="26" t="s">
        <v>401</v>
      </c>
      <c r="F49" s="26" t="s">
        <v>402</v>
      </c>
      <c r="G49" s="27" t="s">
        <v>403</v>
      </c>
      <c r="H49" s="28" t="s">
        <v>44</v>
      </c>
      <c r="I49" s="28" t="s">
        <v>121</v>
      </c>
      <c r="J49" s="29" t="s">
        <v>122</v>
      </c>
      <c r="K49" s="61">
        <v>1</v>
      </c>
      <c r="L49" s="67">
        <v>0.5</v>
      </c>
      <c r="M49" s="67" t="s">
        <v>124</v>
      </c>
      <c r="N49" s="61">
        <v>2020</v>
      </c>
      <c r="O49" s="61" t="s">
        <v>52</v>
      </c>
      <c r="P49" s="63" t="s">
        <v>79</v>
      </c>
      <c r="Q49" s="61" t="s">
        <v>46</v>
      </c>
      <c r="R49" s="63" t="s">
        <v>46</v>
      </c>
      <c r="S49" s="61">
        <v>90</v>
      </c>
      <c r="T49" s="61">
        <v>0.45</v>
      </c>
      <c r="U49" s="68">
        <v>0.05</v>
      </c>
      <c r="V49" s="61">
        <v>0</v>
      </c>
      <c r="W49" s="65" t="s">
        <v>618</v>
      </c>
    </row>
    <row r="50" spans="1:23" s="65" customFormat="1" ht="10.8" thickBot="1" x14ac:dyDescent="0.25">
      <c r="A50" s="26" t="s">
        <v>92</v>
      </c>
      <c r="B50" s="26" t="s">
        <v>93</v>
      </c>
      <c r="C50" s="26" t="s">
        <v>94</v>
      </c>
      <c r="D50" s="26" t="s">
        <v>629</v>
      </c>
      <c r="E50" s="26" t="s">
        <v>401</v>
      </c>
      <c r="F50" s="26" t="s">
        <v>402</v>
      </c>
      <c r="G50" s="27" t="s">
        <v>126</v>
      </c>
      <c r="H50" s="28" t="s">
        <v>44</v>
      </c>
      <c r="I50" s="28" t="s">
        <v>121</v>
      </c>
      <c r="J50" s="29" t="s">
        <v>122</v>
      </c>
      <c r="K50" s="61">
        <v>1</v>
      </c>
      <c r="L50" s="67">
        <v>0.5</v>
      </c>
      <c r="M50" s="67" t="s">
        <v>124</v>
      </c>
      <c r="N50" s="61">
        <v>2020</v>
      </c>
      <c r="O50" s="61" t="s">
        <v>52</v>
      </c>
      <c r="P50" s="63" t="s">
        <v>79</v>
      </c>
      <c r="Q50" s="61" t="s">
        <v>46</v>
      </c>
      <c r="R50" s="63" t="s">
        <v>46</v>
      </c>
      <c r="S50" s="61">
        <v>90</v>
      </c>
      <c r="T50" s="61">
        <v>0.45</v>
      </c>
      <c r="U50" s="68">
        <v>0.05</v>
      </c>
      <c r="V50" s="61">
        <v>0</v>
      </c>
      <c r="W50" s="65" t="s">
        <v>618</v>
      </c>
    </row>
    <row r="51" spans="1:23" s="65" customFormat="1" ht="10.8" thickBot="1" x14ac:dyDescent="0.25">
      <c r="A51" s="26" t="s">
        <v>92</v>
      </c>
      <c r="B51" s="26" t="s">
        <v>93</v>
      </c>
      <c r="C51" s="26" t="s">
        <v>94</v>
      </c>
      <c r="D51" s="26" t="s">
        <v>404</v>
      </c>
      <c r="E51" s="26" t="s">
        <v>405</v>
      </c>
      <c r="F51" s="26" t="s">
        <v>406</v>
      </c>
      <c r="G51" s="27" t="s">
        <v>407</v>
      </c>
      <c r="H51" s="28" t="s">
        <v>44</v>
      </c>
      <c r="I51" s="28" t="s">
        <v>121</v>
      </c>
      <c r="J51" s="29" t="s">
        <v>122</v>
      </c>
      <c r="K51" s="61">
        <v>1</v>
      </c>
      <c r="L51" s="67">
        <v>0.5</v>
      </c>
      <c r="M51" s="67" t="s">
        <v>124</v>
      </c>
      <c r="N51" s="61">
        <v>2020</v>
      </c>
      <c r="O51" s="61" t="s">
        <v>52</v>
      </c>
      <c r="P51" s="63" t="s">
        <v>79</v>
      </c>
      <c r="Q51" s="61" t="s">
        <v>46</v>
      </c>
      <c r="R51" s="63" t="s">
        <v>46</v>
      </c>
      <c r="S51" s="61">
        <v>90</v>
      </c>
      <c r="T51" s="61">
        <v>0.45</v>
      </c>
      <c r="U51" s="68">
        <v>0.05</v>
      </c>
      <c r="V51" s="61">
        <v>0</v>
      </c>
      <c r="W51" s="65" t="s">
        <v>618</v>
      </c>
    </row>
    <row r="52" spans="1:23" s="65" customFormat="1" ht="10.8" thickBot="1" x14ac:dyDescent="0.25">
      <c r="A52" s="26" t="s">
        <v>92</v>
      </c>
      <c r="B52" s="26" t="s">
        <v>93</v>
      </c>
      <c r="C52" s="26" t="s">
        <v>94</v>
      </c>
      <c r="D52" s="26" t="s">
        <v>404</v>
      </c>
      <c r="E52" s="26" t="s">
        <v>405</v>
      </c>
      <c r="F52" s="26" t="s">
        <v>406</v>
      </c>
      <c r="G52" s="27" t="s">
        <v>126</v>
      </c>
      <c r="H52" s="28" t="s">
        <v>44</v>
      </c>
      <c r="I52" s="28" t="s">
        <v>121</v>
      </c>
      <c r="J52" s="29" t="s">
        <v>122</v>
      </c>
      <c r="K52" s="61">
        <v>1</v>
      </c>
      <c r="L52" s="67">
        <v>0.5</v>
      </c>
      <c r="M52" s="67" t="s">
        <v>124</v>
      </c>
      <c r="N52" s="61">
        <v>2020</v>
      </c>
      <c r="O52" s="61" t="s">
        <v>52</v>
      </c>
      <c r="P52" s="63" t="s">
        <v>79</v>
      </c>
      <c r="Q52" s="61" t="s">
        <v>46</v>
      </c>
      <c r="R52" s="63" t="s">
        <v>46</v>
      </c>
      <c r="S52" s="61">
        <v>90</v>
      </c>
      <c r="T52" s="61">
        <v>0.45</v>
      </c>
      <c r="U52" s="68">
        <v>0.05</v>
      </c>
      <c r="V52" s="61">
        <v>0</v>
      </c>
      <c r="W52" s="65" t="s">
        <v>618</v>
      </c>
    </row>
    <row r="53" spans="1:23" s="65" customFormat="1" ht="10.8" thickBot="1" x14ac:dyDescent="0.25">
      <c r="A53" s="26" t="s">
        <v>92</v>
      </c>
      <c r="B53" s="26" t="s">
        <v>93</v>
      </c>
      <c r="C53" s="26" t="s">
        <v>94</v>
      </c>
      <c r="D53" s="26" t="s">
        <v>408</v>
      </c>
      <c r="E53" s="26" t="s">
        <v>409</v>
      </c>
      <c r="F53" s="26" t="s">
        <v>410</v>
      </c>
      <c r="G53" s="27" t="s">
        <v>411</v>
      </c>
      <c r="H53" s="28" t="s">
        <v>48</v>
      </c>
      <c r="I53" s="28" t="s">
        <v>121</v>
      </c>
      <c r="J53" s="29" t="s">
        <v>122</v>
      </c>
      <c r="K53" s="61">
        <v>1</v>
      </c>
      <c r="L53" s="67">
        <v>1</v>
      </c>
      <c r="M53" s="67" t="s">
        <v>124</v>
      </c>
      <c r="N53" s="61">
        <v>2020</v>
      </c>
      <c r="O53" s="61" t="s">
        <v>52</v>
      </c>
      <c r="P53" s="63" t="s">
        <v>79</v>
      </c>
      <c r="Q53" s="61" t="s">
        <v>46</v>
      </c>
      <c r="R53" s="63" t="s">
        <v>46</v>
      </c>
      <c r="S53" s="61">
        <v>90</v>
      </c>
      <c r="T53" s="61">
        <v>0.9</v>
      </c>
      <c r="U53" s="69">
        <v>0.1</v>
      </c>
      <c r="V53" s="61">
        <v>0</v>
      </c>
      <c r="W53" s="65" t="s">
        <v>618</v>
      </c>
    </row>
    <row r="54" spans="1:23" s="65" customFormat="1" ht="10.8" thickBot="1" x14ac:dyDescent="0.25">
      <c r="A54" s="26" t="s">
        <v>49</v>
      </c>
      <c r="B54" s="26" t="s">
        <v>50</v>
      </c>
      <c r="C54" s="26" t="s">
        <v>51</v>
      </c>
      <c r="D54" s="26" t="s">
        <v>412</v>
      </c>
      <c r="E54" s="26" t="s">
        <v>413</v>
      </c>
      <c r="F54" s="26" t="s">
        <v>414</v>
      </c>
      <c r="G54" s="27" t="s">
        <v>171</v>
      </c>
      <c r="H54" s="28" t="s">
        <v>44</v>
      </c>
      <c r="I54" s="28" t="s">
        <v>89</v>
      </c>
      <c r="J54" s="29" t="s">
        <v>90</v>
      </c>
      <c r="K54" s="61">
        <v>1</v>
      </c>
      <c r="L54" s="67">
        <v>0.5</v>
      </c>
      <c r="M54" s="67" t="s">
        <v>91</v>
      </c>
      <c r="N54" s="61">
        <v>2020</v>
      </c>
      <c r="O54" s="61" t="s">
        <v>52</v>
      </c>
      <c r="P54" s="63" t="s">
        <v>67</v>
      </c>
      <c r="Q54" s="61" t="s">
        <v>46</v>
      </c>
      <c r="R54" s="63" t="s">
        <v>46</v>
      </c>
      <c r="S54" s="61">
        <v>50</v>
      </c>
      <c r="T54" s="61">
        <v>0.25</v>
      </c>
      <c r="U54" s="68">
        <v>0.25</v>
      </c>
      <c r="V54" s="61">
        <v>0</v>
      </c>
      <c r="W54" s="65" t="s">
        <v>618</v>
      </c>
    </row>
    <row r="55" spans="1:23" s="65" customFormat="1" ht="10.8" thickBot="1" x14ac:dyDescent="0.25">
      <c r="A55" s="26" t="s">
        <v>49</v>
      </c>
      <c r="B55" s="26" t="s">
        <v>50</v>
      </c>
      <c r="C55" s="26" t="s">
        <v>51</v>
      </c>
      <c r="D55" s="26" t="s">
        <v>412</v>
      </c>
      <c r="E55" s="26" t="s">
        <v>413</v>
      </c>
      <c r="F55" s="26" t="s">
        <v>414</v>
      </c>
      <c r="G55" s="27" t="s">
        <v>385</v>
      </c>
      <c r="H55" s="28" t="s">
        <v>44</v>
      </c>
      <c r="I55" s="28" t="s">
        <v>121</v>
      </c>
      <c r="J55" s="29" t="s">
        <v>122</v>
      </c>
      <c r="K55" s="61">
        <v>1</v>
      </c>
      <c r="L55" s="67">
        <v>0.5</v>
      </c>
      <c r="M55" s="67" t="s">
        <v>124</v>
      </c>
      <c r="N55" s="61">
        <v>2020</v>
      </c>
      <c r="O55" s="61" t="s">
        <v>52</v>
      </c>
      <c r="P55" s="63" t="s">
        <v>79</v>
      </c>
      <c r="Q55" s="61" t="s">
        <v>46</v>
      </c>
      <c r="R55" s="63" t="s">
        <v>46</v>
      </c>
      <c r="S55" s="61">
        <v>90</v>
      </c>
      <c r="T55" s="61">
        <v>0.45</v>
      </c>
      <c r="U55" s="68">
        <v>0.05</v>
      </c>
      <c r="V55" s="61">
        <v>0</v>
      </c>
      <c r="W55" s="65" t="s">
        <v>618</v>
      </c>
    </row>
    <row r="56" spans="1:23" s="65" customFormat="1" ht="10.8" thickBot="1" x14ac:dyDescent="0.25">
      <c r="A56" s="26" t="s">
        <v>49</v>
      </c>
      <c r="B56" s="26" t="s">
        <v>50</v>
      </c>
      <c r="C56" s="26" t="s">
        <v>51</v>
      </c>
      <c r="D56" s="26" t="s">
        <v>415</v>
      </c>
      <c r="E56" s="26" t="s">
        <v>416</v>
      </c>
      <c r="F56" s="26" t="s">
        <v>417</v>
      </c>
      <c r="G56" s="27" t="s">
        <v>152</v>
      </c>
      <c r="H56" s="28" t="s">
        <v>44</v>
      </c>
      <c r="I56" s="28" t="s">
        <v>103</v>
      </c>
      <c r="J56" s="29" t="s">
        <v>104</v>
      </c>
      <c r="K56" s="61">
        <v>1</v>
      </c>
      <c r="L56" s="67">
        <v>0.5</v>
      </c>
      <c r="M56" s="67" t="s">
        <v>105</v>
      </c>
      <c r="N56" s="61">
        <v>2020</v>
      </c>
      <c r="O56" s="61" t="s">
        <v>52</v>
      </c>
      <c r="P56" s="63" t="s">
        <v>67</v>
      </c>
      <c r="Q56" s="61" t="s">
        <v>46</v>
      </c>
      <c r="R56" s="63" t="s">
        <v>46</v>
      </c>
      <c r="S56" s="61">
        <v>50</v>
      </c>
      <c r="T56" s="61">
        <v>0.25</v>
      </c>
      <c r="U56" s="68">
        <v>0.25</v>
      </c>
      <c r="V56" s="61">
        <v>0</v>
      </c>
      <c r="W56" s="65" t="s">
        <v>618</v>
      </c>
    </row>
    <row r="57" spans="1:23" s="65" customFormat="1" x14ac:dyDescent="0.2">
      <c r="A57" s="61" t="s">
        <v>64</v>
      </c>
      <c r="B57" s="61" t="s">
        <v>65</v>
      </c>
      <c r="C57" s="61" t="s">
        <v>66</v>
      </c>
      <c r="D57" s="61" t="s">
        <v>630</v>
      </c>
      <c r="E57" s="61" t="s">
        <v>631</v>
      </c>
      <c r="F57" s="61" t="s">
        <v>632</v>
      </c>
      <c r="G57" s="61" t="s">
        <v>150</v>
      </c>
      <c r="H57" s="61" t="s">
        <v>44</v>
      </c>
      <c r="I57" s="61" t="s">
        <v>64</v>
      </c>
      <c r="J57" s="61" t="s">
        <v>65</v>
      </c>
      <c r="K57" s="61">
        <v>7</v>
      </c>
      <c r="L57" s="67">
        <v>0.5</v>
      </c>
      <c r="M57" s="67" t="s">
        <v>151</v>
      </c>
      <c r="N57" s="61">
        <v>2021</v>
      </c>
      <c r="O57" s="61" t="s">
        <v>52</v>
      </c>
      <c r="P57" s="63" t="s">
        <v>72</v>
      </c>
      <c r="Q57" s="61" t="s">
        <v>46</v>
      </c>
      <c r="R57" s="63" t="s">
        <v>46</v>
      </c>
      <c r="S57" s="61">
        <v>80</v>
      </c>
      <c r="T57" s="61">
        <v>0.4</v>
      </c>
      <c r="U57" s="69">
        <v>0.1</v>
      </c>
      <c r="V57" s="61">
        <v>0</v>
      </c>
      <c r="W57" s="65" t="s">
        <v>618</v>
      </c>
    </row>
    <row r="58" spans="1:23" s="65" customFormat="1" x14ac:dyDescent="0.2">
      <c r="A58" s="61" t="s">
        <v>633</v>
      </c>
      <c r="B58" s="61" t="s">
        <v>634</v>
      </c>
      <c r="C58" s="61" t="s">
        <v>348</v>
      </c>
      <c r="D58" s="61" t="s">
        <v>635</v>
      </c>
      <c r="E58" s="61" t="s">
        <v>636</v>
      </c>
      <c r="F58" s="61" t="s">
        <v>637</v>
      </c>
      <c r="G58" s="61" t="s">
        <v>389</v>
      </c>
      <c r="H58" s="61" t="s">
        <v>44</v>
      </c>
      <c r="I58" s="61" t="s">
        <v>73</v>
      </c>
      <c r="J58" s="61" t="s">
        <v>74</v>
      </c>
      <c r="K58" s="61">
        <v>10</v>
      </c>
      <c r="L58" s="67">
        <v>0.5</v>
      </c>
      <c r="M58" s="67" t="s">
        <v>75</v>
      </c>
      <c r="N58" s="61">
        <v>2021</v>
      </c>
      <c r="O58" s="61" t="s">
        <v>52</v>
      </c>
      <c r="P58" s="63" t="s">
        <v>79</v>
      </c>
      <c r="Q58" s="61" t="s">
        <v>84</v>
      </c>
      <c r="R58" s="63" t="s">
        <v>67</v>
      </c>
      <c r="S58" s="61">
        <v>40</v>
      </c>
      <c r="T58" s="61">
        <v>0.2</v>
      </c>
      <c r="U58" s="68">
        <v>0.05</v>
      </c>
      <c r="V58" s="61">
        <v>0.25</v>
      </c>
      <c r="W58" s="65" t="s">
        <v>618</v>
      </c>
    </row>
    <row r="59" spans="1:23" s="65" customFormat="1" x14ac:dyDescent="0.2">
      <c r="A59" s="61" t="s">
        <v>68</v>
      </c>
      <c r="B59" s="61" t="s">
        <v>69</v>
      </c>
      <c r="C59" s="61" t="s">
        <v>70</v>
      </c>
      <c r="D59" s="61" t="s">
        <v>638</v>
      </c>
      <c r="E59" s="61" t="s">
        <v>639</v>
      </c>
      <c r="F59" s="61" t="s">
        <v>640</v>
      </c>
      <c r="G59" s="61" t="s">
        <v>161</v>
      </c>
      <c r="H59" s="61" t="s">
        <v>48</v>
      </c>
      <c r="I59" s="61" t="s">
        <v>157</v>
      </c>
      <c r="J59" s="61" t="s">
        <v>158</v>
      </c>
      <c r="K59" s="61">
        <v>151</v>
      </c>
      <c r="L59" s="67">
        <v>1</v>
      </c>
      <c r="M59" s="67" t="s">
        <v>160</v>
      </c>
      <c r="N59" s="61">
        <v>2021</v>
      </c>
      <c r="O59" s="61" t="s">
        <v>52</v>
      </c>
      <c r="P59" s="63" t="s">
        <v>79</v>
      </c>
      <c r="Q59" s="61" t="s">
        <v>46</v>
      </c>
      <c r="R59" s="63" t="s">
        <v>46</v>
      </c>
      <c r="S59" s="61">
        <v>90</v>
      </c>
      <c r="T59" s="61">
        <v>0.9</v>
      </c>
      <c r="U59" s="69">
        <v>0.1</v>
      </c>
      <c r="V59" s="61">
        <v>0</v>
      </c>
      <c r="W59" s="65" t="s">
        <v>618</v>
      </c>
    </row>
    <row r="60" spans="1:23" s="65" customFormat="1" x14ac:dyDescent="0.2">
      <c r="A60" s="61" t="s">
        <v>92</v>
      </c>
      <c r="B60" s="61" t="s">
        <v>93</v>
      </c>
      <c r="C60" s="61" t="s">
        <v>94</v>
      </c>
      <c r="D60" s="61" t="s">
        <v>641</v>
      </c>
      <c r="E60" s="61" t="s">
        <v>642</v>
      </c>
      <c r="F60" s="61" t="s">
        <v>643</v>
      </c>
      <c r="G60" s="61" t="s">
        <v>403</v>
      </c>
      <c r="H60" s="61" t="s">
        <v>44</v>
      </c>
      <c r="I60" s="61" t="s">
        <v>121</v>
      </c>
      <c r="J60" s="61" t="s">
        <v>122</v>
      </c>
      <c r="K60" s="61">
        <v>166</v>
      </c>
      <c r="L60" s="67">
        <v>0.5</v>
      </c>
      <c r="M60" s="67" t="s">
        <v>124</v>
      </c>
      <c r="N60" s="61">
        <v>2021</v>
      </c>
      <c r="O60" s="61" t="s">
        <v>52</v>
      </c>
      <c r="P60" s="63" t="s">
        <v>79</v>
      </c>
      <c r="Q60" s="61" t="s">
        <v>46</v>
      </c>
      <c r="R60" s="63" t="s">
        <v>46</v>
      </c>
      <c r="S60" s="61">
        <v>90</v>
      </c>
      <c r="T60" s="61">
        <v>0.45</v>
      </c>
      <c r="U60" s="68">
        <v>0.05</v>
      </c>
      <c r="V60" s="61">
        <v>0</v>
      </c>
      <c r="W60" s="65" t="s">
        <v>618</v>
      </c>
    </row>
    <row r="61" spans="1:23" s="65" customFormat="1" x14ac:dyDescent="0.2">
      <c r="A61" s="61" t="s">
        <v>92</v>
      </c>
      <c r="B61" s="61" t="s">
        <v>93</v>
      </c>
      <c r="C61" s="61" t="s">
        <v>94</v>
      </c>
      <c r="D61" s="61" t="s">
        <v>641</v>
      </c>
      <c r="E61" s="61" t="s">
        <v>642</v>
      </c>
      <c r="F61" s="61" t="s">
        <v>643</v>
      </c>
      <c r="G61" s="61" t="s">
        <v>126</v>
      </c>
      <c r="H61" s="61" t="s">
        <v>44</v>
      </c>
      <c r="I61" s="61" t="s">
        <v>121</v>
      </c>
      <c r="J61" s="61" t="s">
        <v>122</v>
      </c>
      <c r="K61" s="61">
        <v>167</v>
      </c>
      <c r="L61" s="67">
        <v>0.5</v>
      </c>
      <c r="M61" s="67" t="s">
        <v>124</v>
      </c>
      <c r="N61" s="61">
        <v>2021</v>
      </c>
      <c r="O61" s="61" t="s">
        <v>52</v>
      </c>
      <c r="P61" s="63" t="s">
        <v>79</v>
      </c>
      <c r="Q61" s="61" t="s">
        <v>46</v>
      </c>
      <c r="R61" s="63" t="s">
        <v>46</v>
      </c>
      <c r="S61" s="61">
        <v>90</v>
      </c>
      <c r="T61" s="61">
        <v>0.45</v>
      </c>
      <c r="U61" s="68">
        <v>0.05</v>
      </c>
      <c r="V61" s="61">
        <v>0</v>
      </c>
      <c r="W61" s="65" t="s">
        <v>618</v>
      </c>
    </row>
    <row r="62" spans="1:23" s="65" customFormat="1" x14ac:dyDescent="0.2">
      <c r="A62" s="61" t="s">
        <v>92</v>
      </c>
      <c r="B62" s="61" t="s">
        <v>93</v>
      </c>
      <c r="C62" s="61" t="s">
        <v>94</v>
      </c>
      <c r="D62" s="61" t="s">
        <v>644</v>
      </c>
      <c r="E62" s="61" t="s">
        <v>645</v>
      </c>
      <c r="F62" s="61" t="s">
        <v>646</v>
      </c>
      <c r="G62" s="61" t="s">
        <v>647</v>
      </c>
      <c r="H62" s="61" t="s">
        <v>44</v>
      </c>
      <c r="I62" s="61" t="s">
        <v>121</v>
      </c>
      <c r="J62" s="61" t="s">
        <v>122</v>
      </c>
      <c r="K62" s="61">
        <v>168</v>
      </c>
      <c r="L62" s="67">
        <v>0.5</v>
      </c>
      <c r="M62" s="67" t="s">
        <v>124</v>
      </c>
      <c r="N62" s="61">
        <v>2021</v>
      </c>
      <c r="O62" s="61" t="s">
        <v>52</v>
      </c>
      <c r="P62" s="63" t="s">
        <v>79</v>
      </c>
      <c r="Q62" s="61" t="s">
        <v>46</v>
      </c>
      <c r="R62" s="63" t="s">
        <v>46</v>
      </c>
      <c r="S62" s="61">
        <v>90</v>
      </c>
      <c r="T62" s="61">
        <v>0.45</v>
      </c>
      <c r="U62" s="68">
        <v>0.05</v>
      </c>
      <c r="V62" s="61">
        <v>0</v>
      </c>
      <c r="W62" s="65" t="s">
        <v>618</v>
      </c>
    </row>
    <row r="63" spans="1:23" s="65" customFormat="1" x14ac:dyDescent="0.2">
      <c r="A63" s="61" t="s">
        <v>92</v>
      </c>
      <c r="B63" s="61" t="s">
        <v>93</v>
      </c>
      <c r="C63" s="61" t="s">
        <v>94</v>
      </c>
      <c r="D63" s="61" t="s">
        <v>644</v>
      </c>
      <c r="E63" s="61" t="s">
        <v>645</v>
      </c>
      <c r="F63" s="61" t="s">
        <v>646</v>
      </c>
      <c r="G63" s="61" t="s">
        <v>126</v>
      </c>
      <c r="H63" s="61" t="s">
        <v>44</v>
      </c>
      <c r="I63" s="61" t="s">
        <v>121</v>
      </c>
      <c r="J63" s="61" t="s">
        <v>122</v>
      </c>
      <c r="K63" s="61">
        <v>169</v>
      </c>
      <c r="L63" s="67">
        <v>0.5</v>
      </c>
      <c r="M63" s="67" t="s">
        <v>124</v>
      </c>
      <c r="N63" s="61">
        <v>2021</v>
      </c>
      <c r="O63" s="61" t="s">
        <v>52</v>
      </c>
      <c r="P63" s="63" t="s">
        <v>79</v>
      </c>
      <c r="Q63" s="61" t="s">
        <v>46</v>
      </c>
      <c r="R63" s="63" t="s">
        <v>46</v>
      </c>
      <c r="S63" s="61">
        <v>90</v>
      </c>
      <c r="T63" s="61">
        <v>0.45</v>
      </c>
      <c r="U63" s="68">
        <v>0.05</v>
      </c>
      <c r="V63" s="61">
        <v>0</v>
      </c>
      <c r="W63" s="65" t="s">
        <v>618</v>
      </c>
    </row>
    <row r="64" spans="1:23" s="65" customFormat="1" x14ac:dyDescent="0.2">
      <c r="A64" s="61" t="s">
        <v>92</v>
      </c>
      <c r="B64" s="61" t="s">
        <v>93</v>
      </c>
      <c r="C64" s="61" t="s">
        <v>94</v>
      </c>
      <c r="D64" s="61" t="s">
        <v>648</v>
      </c>
      <c r="E64" s="61" t="s">
        <v>645</v>
      </c>
      <c r="F64" s="61" t="s">
        <v>621</v>
      </c>
      <c r="G64" s="61" t="s">
        <v>127</v>
      </c>
      <c r="H64" s="61" t="s">
        <v>44</v>
      </c>
      <c r="I64" s="61" t="s">
        <v>121</v>
      </c>
      <c r="J64" s="61" t="s">
        <v>122</v>
      </c>
      <c r="K64" s="61">
        <v>170</v>
      </c>
      <c r="L64" s="67">
        <v>0.5</v>
      </c>
      <c r="M64" s="67" t="s">
        <v>124</v>
      </c>
      <c r="N64" s="61">
        <v>2021</v>
      </c>
      <c r="O64" s="61" t="s">
        <v>52</v>
      </c>
      <c r="P64" s="63" t="s">
        <v>67</v>
      </c>
      <c r="Q64" s="61" t="s">
        <v>46</v>
      </c>
      <c r="R64" s="63" t="s">
        <v>46</v>
      </c>
      <c r="S64" s="61">
        <v>50</v>
      </c>
      <c r="T64" s="61">
        <v>0.25</v>
      </c>
      <c r="U64" s="68">
        <v>0.25</v>
      </c>
      <c r="V64" s="61">
        <v>0</v>
      </c>
      <c r="W64" s="65" t="s">
        <v>618</v>
      </c>
    </row>
    <row r="65" spans="1:23" s="65" customFormat="1" x14ac:dyDescent="0.2">
      <c r="A65" s="61" t="s">
        <v>92</v>
      </c>
      <c r="B65" s="61" t="s">
        <v>93</v>
      </c>
      <c r="C65" s="61" t="s">
        <v>94</v>
      </c>
      <c r="D65" s="61" t="s">
        <v>648</v>
      </c>
      <c r="E65" s="61" t="s">
        <v>645</v>
      </c>
      <c r="F65" s="61" t="s">
        <v>621</v>
      </c>
      <c r="G65" s="61" t="s">
        <v>130</v>
      </c>
      <c r="H65" s="61" t="s">
        <v>44</v>
      </c>
      <c r="I65" s="61" t="s">
        <v>121</v>
      </c>
      <c r="J65" s="61" t="s">
        <v>122</v>
      </c>
      <c r="K65" s="61">
        <v>171</v>
      </c>
      <c r="L65" s="67">
        <v>0.5</v>
      </c>
      <c r="M65" s="67" t="s">
        <v>124</v>
      </c>
      <c r="N65" s="61">
        <v>2021</v>
      </c>
      <c r="O65" s="61" t="s">
        <v>52</v>
      </c>
      <c r="P65" s="63" t="s">
        <v>67</v>
      </c>
      <c r="Q65" s="61" t="s">
        <v>46</v>
      </c>
      <c r="R65" s="63" t="s">
        <v>46</v>
      </c>
      <c r="S65" s="61">
        <v>50</v>
      </c>
      <c r="T65" s="61">
        <v>0.25</v>
      </c>
      <c r="U65" s="68">
        <v>0.25</v>
      </c>
      <c r="V65" s="61">
        <v>0</v>
      </c>
      <c r="W65" s="65" t="s">
        <v>618</v>
      </c>
    </row>
    <row r="66" spans="1:23" s="65" customFormat="1" x14ac:dyDescent="0.2">
      <c r="A66" s="61" t="s">
        <v>92</v>
      </c>
      <c r="B66" s="61" t="s">
        <v>93</v>
      </c>
      <c r="C66" s="61" t="s">
        <v>94</v>
      </c>
      <c r="D66" s="61" t="s">
        <v>649</v>
      </c>
      <c r="E66" s="61" t="s">
        <v>650</v>
      </c>
      <c r="F66" s="61" t="s">
        <v>651</v>
      </c>
      <c r="G66" s="61" t="s">
        <v>385</v>
      </c>
      <c r="H66" s="61" t="s">
        <v>44</v>
      </c>
      <c r="I66" s="61" t="s">
        <v>121</v>
      </c>
      <c r="J66" s="61" t="s">
        <v>122</v>
      </c>
      <c r="K66" s="61">
        <v>172</v>
      </c>
      <c r="L66" s="67">
        <v>0.5</v>
      </c>
      <c r="M66" s="67" t="s">
        <v>124</v>
      </c>
      <c r="N66" s="61">
        <v>2021</v>
      </c>
      <c r="O66" s="61" t="s">
        <v>52</v>
      </c>
      <c r="P66" s="63" t="s">
        <v>79</v>
      </c>
      <c r="Q66" s="61" t="s">
        <v>46</v>
      </c>
      <c r="R66" s="63" t="s">
        <v>46</v>
      </c>
      <c r="S66" s="61">
        <v>90</v>
      </c>
      <c r="T66" s="61">
        <v>0.45</v>
      </c>
      <c r="U66" s="68">
        <v>0.05</v>
      </c>
      <c r="V66" s="61">
        <v>0</v>
      </c>
      <c r="W66" s="65" t="s">
        <v>618</v>
      </c>
    </row>
    <row r="67" spans="1:23" s="65" customFormat="1" x14ac:dyDescent="0.2">
      <c r="A67" s="61" t="s">
        <v>92</v>
      </c>
      <c r="B67" s="61" t="s">
        <v>93</v>
      </c>
      <c r="C67" s="61" t="s">
        <v>94</v>
      </c>
      <c r="D67" s="61" t="s">
        <v>649</v>
      </c>
      <c r="E67" s="61" t="s">
        <v>650</v>
      </c>
      <c r="F67" s="61" t="s">
        <v>651</v>
      </c>
      <c r="G67" s="61" t="s">
        <v>403</v>
      </c>
      <c r="H67" s="61" t="s">
        <v>44</v>
      </c>
      <c r="I67" s="61" t="s">
        <v>121</v>
      </c>
      <c r="J67" s="61" t="s">
        <v>122</v>
      </c>
      <c r="K67" s="61">
        <v>173</v>
      </c>
      <c r="L67" s="67">
        <v>0.5</v>
      </c>
      <c r="M67" s="67" t="s">
        <v>124</v>
      </c>
      <c r="N67" s="61">
        <v>2021</v>
      </c>
      <c r="O67" s="61" t="s">
        <v>52</v>
      </c>
      <c r="P67" s="63" t="s">
        <v>79</v>
      </c>
      <c r="Q67" s="61" t="s">
        <v>46</v>
      </c>
      <c r="R67" s="63" t="s">
        <v>46</v>
      </c>
      <c r="S67" s="61">
        <v>90</v>
      </c>
      <c r="T67" s="61">
        <v>0.45</v>
      </c>
      <c r="U67" s="68">
        <v>0.05</v>
      </c>
      <c r="V67" s="61">
        <v>0</v>
      </c>
      <c r="W67" s="65" t="s">
        <v>618</v>
      </c>
    </row>
    <row r="68" spans="1:23" s="65" customFormat="1" x14ac:dyDescent="0.2">
      <c r="A68" s="61" t="s">
        <v>92</v>
      </c>
      <c r="B68" s="61" t="s">
        <v>93</v>
      </c>
      <c r="C68" s="61" t="s">
        <v>94</v>
      </c>
      <c r="D68" s="61" t="s">
        <v>652</v>
      </c>
      <c r="E68" s="61" t="s">
        <v>653</v>
      </c>
      <c r="F68" s="61" t="s">
        <v>651</v>
      </c>
      <c r="G68" s="61" t="s">
        <v>130</v>
      </c>
      <c r="H68" s="61" t="s">
        <v>44</v>
      </c>
      <c r="I68" s="61" t="s">
        <v>121</v>
      </c>
      <c r="J68" s="61" t="s">
        <v>122</v>
      </c>
      <c r="K68" s="61">
        <v>174</v>
      </c>
      <c r="L68" s="67">
        <v>0.5</v>
      </c>
      <c r="M68" s="67" t="s">
        <v>124</v>
      </c>
      <c r="N68" s="61">
        <v>2021</v>
      </c>
      <c r="O68" s="61" t="s">
        <v>52</v>
      </c>
      <c r="P68" s="63" t="s">
        <v>67</v>
      </c>
      <c r="Q68" s="61" t="s">
        <v>46</v>
      </c>
      <c r="R68" s="63" t="s">
        <v>46</v>
      </c>
      <c r="S68" s="61">
        <v>50</v>
      </c>
      <c r="T68" s="61">
        <v>0.25</v>
      </c>
      <c r="U68" s="68">
        <v>0.25</v>
      </c>
      <c r="V68" s="61">
        <v>0</v>
      </c>
      <c r="W68" s="65" t="s">
        <v>618</v>
      </c>
    </row>
    <row r="69" spans="1:23" s="65" customFormat="1" x14ac:dyDescent="0.2">
      <c r="A69" s="61" t="s">
        <v>92</v>
      </c>
      <c r="B69" s="61" t="s">
        <v>93</v>
      </c>
      <c r="C69" s="61" t="s">
        <v>94</v>
      </c>
      <c r="D69" s="61" t="s">
        <v>652</v>
      </c>
      <c r="E69" s="61" t="s">
        <v>653</v>
      </c>
      <c r="F69" s="61" t="s">
        <v>651</v>
      </c>
      <c r="G69" s="61" t="s">
        <v>134</v>
      </c>
      <c r="H69" s="61" t="s">
        <v>44</v>
      </c>
      <c r="I69" s="61" t="s">
        <v>121</v>
      </c>
      <c r="J69" s="61" t="s">
        <v>122</v>
      </c>
      <c r="K69" s="61">
        <v>175</v>
      </c>
      <c r="L69" s="67">
        <v>0.5</v>
      </c>
      <c r="M69" s="67" t="s">
        <v>124</v>
      </c>
      <c r="N69" s="61">
        <v>2021</v>
      </c>
      <c r="O69" s="61" t="s">
        <v>52</v>
      </c>
      <c r="P69" s="63" t="s">
        <v>67</v>
      </c>
      <c r="Q69" s="61" t="s">
        <v>46</v>
      </c>
      <c r="R69" s="63" t="s">
        <v>46</v>
      </c>
      <c r="S69" s="61">
        <v>50</v>
      </c>
      <c r="T69" s="61">
        <v>0.25</v>
      </c>
      <c r="U69" s="68">
        <v>0.25</v>
      </c>
      <c r="V69" s="61">
        <v>0</v>
      </c>
      <c r="W69" s="65" t="s">
        <v>618</v>
      </c>
    </row>
    <row r="70" spans="1:23" s="65" customFormat="1" x14ac:dyDescent="0.2">
      <c r="A70" s="61" t="s">
        <v>92</v>
      </c>
      <c r="B70" s="61" t="s">
        <v>93</v>
      </c>
      <c r="C70" s="61" t="s">
        <v>94</v>
      </c>
      <c r="D70" s="61" t="s">
        <v>654</v>
      </c>
      <c r="E70" s="61" t="s">
        <v>655</v>
      </c>
      <c r="F70" s="61" t="s">
        <v>621</v>
      </c>
      <c r="G70" s="61" t="s">
        <v>144</v>
      </c>
      <c r="H70" s="61" t="s">
        <v>44</v>
      </c>
      <c r="I70" s="61" t="s">
        <v>121</v>
      </c>
      <c r="J70" s="61" t="s">
        <v>122</v>
      </c>
      <c r="K70" s="61">
        <v>177</v>
      </c>
      <c r="L70" s="67">
        <v>0.5</v>
      </c>
      <c r="M70" s="67" t="s">
        <v>124</v>
      </c>
      <c r="N70" s="61">
        <v>2021</v>
      </c>
      <c r="O70" s="61" t="s">
        <v>52</v>
      </c>
      <c r="P70" s="63" t="s">
        <v>102</v>
      </c>
      <c r="Q70" s="61" t="s">
        <v>46</v>
      </c>
      <c r="R70" s="63" t="s">
        <v>46</v>
      </c>
      <c r="S70" s="61">
        <v>70</v>
      </c>
      <c r="T70" s="61">
        <v>0.35</v>
      </c>
      <c r="U70" s="68">
        <v>0.15</v>
      </c>
      <c r="V70" s="61">
        <v>0</v>
      </c>
      <c r="W70" s="65" t="s">
        <v>618</v>
      </c>
    </row>
    <row r="71" spans="1:23" s="65" customFormat="1" x14ac:dyDescent="0.2">
      <c r="A71" s="61" t="s">
        <v>49</v>
      </c>
      <c r="B71" s="61" t="s">
        <v>50</v>
      </c>
      <c r="C71" s="61" t="s">
        <v>51</v>
      </c>
      <c r="D71" s="61" t="s">
        <v>656</v>
      </c>
      <c r="E71" s="61" t="s">
        <v>657</v>
      </c>
      <c r="F71" s="61" t="s">
        <v>658</v>
      </c>
      <c r="G71" s="61" t="s">
        <v>659</v>
      </c>
      <c r="H71" s="61" t="s">
        <v>44</v>
      </c>
      <c r="I71" s="61" t="s">
        <v>121</v>
      </c>
      <c r="J71" s="61" t="s">
        <v>122</v>
      </c>
      <c r="K71" s="61">
        <v>213</v>
      </c>
      <c r="L71" s="67">
        <v>0.5</v>
      </c>
      <c r="M71" s="67" t="s">
        <v>124</v>
      </c>
      <c r="N71" s="61">
        <v>2021</v>
      </c>
      <c r="O71" s="61" t="s">
        <v>52</v>
      </c>
      <c r="P71" s="63" t="s">
        <v>86</v>
      </c>
      <c r="Q71" s="61" t="s">
        <v>46</v>
      </c>
      <c r="R71" s="63" t="s">
        <v>46</v>
      </c>
      <c r="S71" s="61">
        <v>85</v>
      </c>
      <c r="T71" s="61">
        <v>0.42499999999999999</v>
      </c>
      <c r="U71" s="68">
        <v>7.4999999999999997E-2</v>
      </c>
      <c r="V71" s="61">
        <v>0</v>
      </c>
      <c r="W71" s="65" t="s">
        <v>618</v>
      </c>
    </row>
    <row r="72" spans="1:23" s="65" customFormat="1" x14ac:dyDescent="0.2">
      <c r="A72" s="61" t="s">
        <v>49</v>
      </c>
      <c r="B72" s="61" t="s">
        <v>50</v>
      </c>
      <c r="C72" s="61" t="s">
        <v>51</v>
      </c>
      <c r="D72" s="61" t="s">
        <v>656</v>
      </c>
      <c r="E72" s="61" t="s">
        <v>657</v>
      </c>
      <c r="F72" s="61" t="s">
        <v>658</v>
      </c>
      <c r="G72" s="61" t="s">
        <v>125</v>
      </c>
      <c r="H72" s="61" t="s">
        <v>44</v>
      </c>
      <c r="I72" s="61" t="s">
        <v>121</v>
      </c>
      <c r="J72" s="61" t="s">
        <v>122</v>
      </c>
      <c r="K72" s="61">
        <v>214</v>
      </c>
      <c r="L72" s="67">
        <v>0.5</v>
      </c>
      <c r="M72" s="67" t="s">
        <v>124</v>
      </c>
      <c r="N72" s="61">
        <v>2021</v>
      </c>
      <c r="O72" s="61" t="s">
        <v>52</v>
      </c>
      <c r="P72" s="63" t="s">
        <v>79</v>
      </c>
      <c r="Q72" s="61" t="s">
        <v>46</v>
      </c>
      <c r="R72" s="63" t="s">
        <v>46</v>
      </c>
      <c r="S72" s="61">
        <v>90</v>
      </c>
      <c r="T72" s="61">
        <v>0.45</v>
      </c>
      <c r="U72" s="68">
        <v>0.05</v>
      </c>
      <c r="V72" s="61">
        <v>0</v>
      </c>
      <c r="W72" s="65" t="s">
        <v>618</v>
      </c>
    </row>
    <row r="73" spans="1:23" s="65" customFormat="1" x14ac:dyDescent="0.2">
      <c r="A73" s="61" t="s">
        <v>49</v>
      </c>
      <c r="B73" s="61" t="s">
        <v>50</v>
      </c>
      <c r="C73" s="61" t="s">
        <v>51</v>
      </c>
      <c r="D73" s="61" t="s">
        <v>660</v>
      </c>
      <c r="E73" s="61" t="s">
        <v>661</v>
      </c>
      <c r="F73" s="61" t="s">
        <v>662</v>
      </c>
      <c r="G73" s="61" t="s">
        <v>663</v>
      </c>
      <c r="H73" s="61" t="s">
        <v>44</v>
      </c>
      <c r="I73" s="61" t="s">
        <v>103</v>
      </c>
      <c r="J73" s="61" t="s">
        <v>104</v>
      </c>
      <c r="K73" s="61">
        <v>217</v>
      </c>
      <c r="L73" s="67">
        <v>0.5</v>
      </c>
      <c r="M73" s="67" t="s">
        <v>105</v>
      </c>
      <c r="N73" s="61">
        <v>2021</v>
      </c>
      <c r="O73" s="61" t="s">
        <v>52</v>
      </c>
      <c r="P73" s="63" t="s">
        <v>67</v>
      </c>
      <c r="Q73" s="61" t="s">
        <v>46</v>
      </c>
      <c r="R73" s="63" t="s">
        <v>46</v>
      </c>
      <c r="S73" s="61">
        <v>50</v>
      </c>
      <c r="T73" s="61">
        <v>0.25</v>
      </c>
      <c r="U73" s="68">
        <v>0.25</v>
      </c>
      <c r="V73" s="61">
        <v>0</v>
      </c>
      <c r="W73" s="65" t="s">
        <v>618</v>
      </c>
    </row>
    <row r="74" spans="1:23" s="65" customFormat="1" x14ac:dyDescent="0.2">
      <c r="A74" s="61" t="s">
        <v>49</v>
      </c>
      <c r="B74" s="61" t="s">
        <v>50</v>
      </c>
      <c r="C74" s="61" t="s">
        <v>51</v>
      </c>
      <c r="D74" s="61" t="s">
        <v>660</v>
      </c>
      <c r="E74" s="61" t="s">
        <v>661</v>
      </c>
      <c r="F74" s="61" t="s">
        <v>662</v>
      </c>
      <c r="G74" s="61" t="s">
        <v>152</v>
      </c>
      <c r="H74" s="61" t="s">
        <v>44</v>
      </c>
      <c r="I74" s="61" t="s">
        <v>103</v>
      </c>
      <c r="J74" s="61" t="s">
        <v>104</v>
      </c>
      <c r="K74" s="61">
        <v>218</v>
      </c>
      <c r="L74" s="67">
        <v>0.5</v>
      </c>
      <c r="M74" s="67" t="s">
        <v>105</v>
      </c>
      <c r="N74" s="61">
        <v>2021</v>
      </c>
      <c r="O74" s="61" t="s">
        <v>52</v>
      </c>
      <c r="P74" s="63" t="s">
        <v>67</v>
      </c>
      <c r="Q74" s="61" t="s">
        <v>46</v>
      </c>
      <c r="R74" s="63" t="s">
        <v>46</v>
      </c>
      <c r="S74" s="61">
        <v>50</v>
      </c>
      <c r="T74" s="61">
        <v>0.25</v>
      </c>
      <c r="U74" s="68">
        <v>0.25</v>
      </c>
      <c r="V74" s="61">
        <v>0</v>
      </c>
      <c r="W74" s="65" t="s">
        <v>618</v>
      </c>
    </row>
    <row r="75" spans="1:23" s="65" customFormat="1" x14ac:dyDescent="0.2">
      <c r="A75" s="61" t="s">
        <v>49</v>
      </c>
      <c r="B75" s="61" t="s">
        <v>50</v>
      </c>
      <c r="C75" s="61" t="s">
        <v>51</v>
      </c>
      <c r="D75" s="61" t="s">
        <v>664</v>
      </c>
      <c r="E75" s="61" t="s">
        <v>665</v>
      </c>
      <c r="F75" s="61" t="s">
        <v>666</v>
      </c>
      <c r="G75" s="61" t="s">
        <v>667</v>
      </c>
      <c r="H75" s="61" t="s">
        <v>44</v>
      </c>
      <c r="I75" s="61" t="s">
        <v>89</v>
      </c>
      <c r="J75" s="61" t="s">
        <v>90</v>
      </c>
      <c r="K75" s="61">
        <v>219</v>
      </c>
      <c r="L75" s="67">
        <v>0.5</v>
      </c>
      <c r="M75" s="67" t="s">
        <v>91</v>
      </c>
      <c r="N75" s="61">
        <v>2021</v>
      </c>
      <c r="O75" s="61" t="s">
        <v>52</v>
      </c>
      <c r="P75" s="63" t="s">
        <v>72</v>
      </c>
      <c r="Q75" s="61" t="s">
        <v>46</v>
      </c>
      <c r="R75" s="63" t="s">
        <v>46</v>
      </c>
      <c r="S75" s="61">
        <v>80</v>
      </c>
      <c r="T75" s="61">
        <v>0.4</v>
      </c>
      <c r="U75" s="69">
        <v>0.1</v>
      </c>
      <c r="V75" s="61">
        <v>0</v>
      </c>
      <c r="W75" s="65" t="s">
        <v>618</v>
      </c>
    </row>
    <row r="76" spans="1:23" s="65" customFormat="1" x14ac:dyDescent="0.2">
      <c r="A76" s="61" t="s">
        <v>49</v>
      </c>
      <c r="B76" s="61" t="s">
        <v>50</v>
      </c>
      <c r="C76" s="61" t="s">
        <v>51</v>
      </c>
      <c r="D76" s="61" t="s">
        <v>626</v>
      </c>
      <c r="E76" s="61" t="s">
        <v>627</v>
      </c>
      <c r="F76" s="61" t="s">
        <v>628</v>
      </c>
      <c r="G76" s="61" t="s">
        <v>668</v>
      </c>
      <c r="H76" s="61" t="s">
        <v>44</v>
      </c>
      <c r="I76" s="61" t="s">
        <v>73</v>
      </c>
      <c r="J76" s="61" t="s">
        <v>74</v>
      </c>
      <c r="K76" s="61">
        <v>223</v>
      </c>
      <c r="L76" s="67">
        <v>0.33333333333333331</v>
      </c>
      <c r="M76" s="67" t="s">
        <v>75</v>
      </c>
      <c r="N76" s="61">
        <v>2021</v>
      </c>
      <c r="O76" s="61" t="s">
        <v>52</v>
      </c>
      <c r="P76" s="63" t="s">
        <v>79</v>
      </c>
      <c r="Q76" s="61" t="s">
        <v>84</v>
      </c>
      <c r="R76" s="63" t="s">
        <v>67</v>
      </c>
      <c r="S76" s="61">
        <v>40</v>
      </c>
      <c r="T76" s="61">
        <v>0.13333333333333333</v>
      </c>
      <c r="U76" s="87">
        <v>3.3333333333333333E-2</v>
      </c>
      <c r="V76" s="62">
        <v>0.16666666666666663</v>
      </c>
      <c r="W76" s="65" t="s">
        <v>618</v>
      </c>
    </row>
    <row r="77" spans="1:23" s="65" customFormat="1" x14ac:dyDescent="0.2">
      <c r="A77" s="61" t="s">
        <v>504</v>
      </c>
      <c r="B77" s="61" t="s">
        <v>505</v>
      </c>
      <c r="C77" s="61" t="s">
        <v>506</v>
      </c>
      <c r="D77" s="61" t="s">
        <v>507</v>
      </c>
      <c r="E77" s="61" t="s">
        <v>508</v>
      </c>
      <c r="F77" s="61" t="s">
        <v>509</v>
      </c>
      <c r="G77" s="61" t="s">
        <v>510</v>
      </c>
      <c r="H77" s="61" t="s">
        <v>44</v>
      </c>
      <c r="I77" s="61" t="s">
        <v>504</v>
      </c>
      <c r="J77" s="61" t="s">
        <v>505</v>
      </c>
      <c r="K77" s="61">
        <v>1</v>
      </c>
      <c r="L77" s="62">
        <v>0.5</v>
      </c>
      <c r="M77" s="61" t="s">
        <v>511</v>
      </c>
      <c r="N77" s="61">
        <v>2016</v>
      </c>
      <c r="O77" s="61" t="s">
        <v>512</v>
      </c>
      <c r="P77" s="63" t="s">
        <v>102</v>
      </c>
      <c r="Q77" s="61" t="s">
        <v>52</v>
      </c>
      <c r="R77" s="63" t="s">
        <v>79</v>
      </c>
      <c r="S77" s="64">
        <v>60</v>
      </c>
      <c r="T77" s="62">
        <v>0.3</v>
      </c>
      <c r="U77" s="62">
        <v>0.15</v>
      </c>
      <c r="V77" s="68">
        <v>0.05</v>
      </c>
    </row>
    <row r="78" spans="1:23" s="65" customFormat="1" x14ac:dyDescent="0.2">
      <c r="A78" s="61" t="s">
        <v>504</v>
      </c>
      <c r="B78" s="61" t="s">
        <v>505</v>
      </c>
      <c r="C78" s="61" t="s">
        <v>506</v>
      </c>
      <c r="D78" s="61" t="s">
        <v>513</v>
      </c>
      <c r="E78" s="61" t="s">
        <v>514</v>
      </c>
      <c r="F78" s="61" t="s">
        <v>515</v>
      </c>
      <c r="G78" s="61" t="s">
        <v>510</v>
      </c>
      <c r="H78" s="61" t="s">
        <v>48</v>
      </c>
      <c r="I78" s="61" t="s">
        <v>504</v>
      </c>
      <c r="J78" s="61" t="s">
        <v>505</v>
      </c>
      <c r="K78" s="61">
        <v>1</v>
      </c>
      <c r="L78" s="62">
        <v>1</v>
      </c>
      <c r="M78" s="61" t="s">
        <v>511</v>
      </c>
      <c r="N78" s="61">
        <v>2016</v>
      </c>
      <c r="O78" s="61" t="s">
        <v>512</v>
      </c>
      <c r="P78" s="63" t="s">
        <v>102</v>
      </c>
      <c r="Q78" s="61" t="s">
        <v>52</v>
      </c>
      <c r="R78" s="63" t="s">
        <v>79</v>
      </c>
      <c r="S78" s="64">
        <v>60</v>
      </c>
      <c r="T78" s="62">
        <v>0.6</v>
      </c>
      <c r="U78" s="62">
        <v>0.3</v>
      </c>
      <c r="V78" s="68">
        <v>0.1</v>
      </c>
    </row>
    <row r="79" spans="1:23" s="65" customFormat="1" x14ac:dyDescent="0.2">
      <c r="A79" s="61" t="s">
        <v>92</v>
      </c>
      <c r="B79" s="61" t="s">
        <v>93</v>
      </c>
      <c r="C79" s="61" t="s">
        <v>94</v>
      </c>
      <c r="D79" s="61" t="s">
        <v>95</v>
      </c>
      <c r="E79" s="61" t="s">
        <v>96</v>
      </c>
      <c r="F79" s="61" t="s">
        <v>97</v>
      </c>
      <c r="G79" s="61" t="s">
        <v>88</v>
      </c>
      <c r="H79" s="61" t="s">
        <v>44</v>
      </c>
      <c r="I79" s="61" t="s">
        <v>89</v>
      </c>
      <c r="J79" s="61" t="s">
        <v>90</v>
      </c>
      <c r="K79" s="61">
        <v>1</v>
      </c>
      <c r="L79" s="62">
        <v>0.33333333333333331</v>
      </c>
      <c r="M79" s="61" t="s">
        <v>91</v>
      </c>
      <c r="N79" s="61">
        <v>2016</v>
      </c>
      <c r="O79" s="61" t="s">
        <v>45</v>
      </c>
      <c r="P79" s="63" t="s">
        <v>67</v>
      </c>
      <c r="Q79" s="61" t="s">
        <v>52</v>
      </c>
      <c r="R79" s="63" t="s">
        <v>72</v>
      </c>
      <c r="S79" s="64">
        <v>30</v>
      </c>
      <c r="T79" s="62">
        <v>0.1</v>
      </c>
      <c r="U79" s="62">
        <v>0.16666666666666663</v>
      </c>
      <c r="V79" s="68">
        <v>6.6666666666666666E-2</v>
      </c>
    </row>
    <row r="80" spans="1:23" s="65" customFormat="1" x14ac:dyDescent="0.2">
      <c r="A80" s="61" t="s">
        <v>49</v>
      </c>
      <c r="B80" s="61" t="s">
        <v>50</v>
      </c>
      <c r="C80" s="61" t="s">
        <v>53</v>
      </c>
      <c r="D80" s="61" t="s">
        <v>516</v>
      </c>
      <c r="E80" s="61" t="s">
        <v>517</v>
      </c>
      <c r="F80" s="61" t="s">
        <v>518</v>
      </c>
      <c r="G80" s="61" t="s">
        <v>519</v>
      </c>
      <c r="H80" s="61" t="s">
        <v>48</v>
      </c>
      <c r="I80" s="61" t="s">
        <v>520</v>
      </c>
      <c r="J80" s="61" t="s">
        <v>521</v>
      </c>
      <c r="K80" s="61">
        <v>1</v>
      </c>
      <c r="L80" s="62">
        <v>1</v>
      </c>
      <c r="M80" s="61" t="s">
        <v>115</v>
      </c>
      <c r="N80" s="61">
        <v>2016</v>
      </c>
      <c r="O80" s="61" t="s">
        <v>84</v>
      </c>
      <c r="P80" s="63" t="s">
        <v>79</v>
      </c>
      <c r="Q80" s="61" t="s">
        <v>52</v>
      </c>
      <c r="R80" s="63" t="s">
        <v>72</v>
      </c>
      <c r="S80" s="64">
        <v>70</v>
      </c>
      <c r="T80" s="62">
        <v>0.7</v>
      </c>
      <c r="U80" s="62">
        <v>0.1</v>
      </c>
      <c r="V80" s="68">
        <v>0.2</v>
      </c>
    </row>
    <row r="81" spans="1:23" s="65" customFormat="1" x14ac:dyDescent="0.2">
      <c r="A81" s="61" t="s">
        <v>92</v>
      </c>
      <c r="B81" s="61" t="s">
        <v>93</v>
      </c>
      <c r="C81" s="61" t="s">
        <v>94</v>
      </c>
      <c r="D81" s="61" t="s">
        <v>98</v>
      </c>
      <c r="E81" s="61" t="s">
        <v>99</v>
      </c>
      <c r="F81" s="61" t="s">
        <v>100</v>
      </c>
      <c r="G81" s="61" t="s">
        <v>101</v>
      </c>
      <c r="H81" s="61" t="s">
        <v>44</v>
      </c>
      <c r="I81" s="61" t="s">
        <v>80</v>
      </c>
      <c r="J81" s="61" t="s">
        <v>81</v>
      </c>
      <c r="K81" s="61">
        <v>1</v>
      </c>
      <c r="L81" s="62">
        <v>0.5</v>
      </c>
      <c r="M81" s="61" t="s">
        <v>82</v>
      </c>
      <c r="N81" s="61">
        <v>2017</v>
      </c>
      <c r="O81" s="61" t="s">
        <v>45</v>
      </c>
      <c r="P81" s="63" t="s">
        <v>67</v>
      </c>
      <c r="Q81" s="61" t="s">
        <v>52</v>
      </c>
      <c r="R81" s="63" t="s">
        <v>72</v>
      </c>
      <c r="S81" s="64">
        <v>30</v>
      </c>
      <c r="T81" s="62">
        <v>0.15</v>
      </c>
      <c r="U81" s="62">
        <v>0.25</v>
      </c>
      <c r="V81" s="68">
        <v>0.1</v>
      </c>
    </row>
    <row r="82" spans="1:23" s="65" customFormat="1" x14ac:dyDescent="0.2">
      <c r="A82" s="61" t="s">
        <v>41</v>
      </c>
      <c r="B82" s="61" t="s">
        <v>42</v>
      </c>
      <c r="C82" s="61" t="s">
        <v>47</v>
      </c>
      <c r="D82" s="61" t="s">
        <v>522</v>
      </c>
      <c r="E82" s="61" t="s">
        <v>523</v>
      </c>
      <c r="F82" s="61" t="s">
        <v>524</v>
      </c>
      <c r="G82" s="61" t="s">
        <v>88</v>
      </c>
      <c r="H82" s="61" t="s">
        <v>44</v>
      </c>
      <c r="I82" s="61" t="s">
        <v>89</v>
      </c>
      <c r="J82" s="61" t="s">
        <v>90</v>
      </c>
      <c r="K82" s="61">
        <v>1</v>
      </c>
      <c r="L82" s="66">
        <v>0.33333333333333331</v>
      </c>
      <c r="M82" s="61" t="s">
        <v>91</v>
      </c>
      <c r="N82" s="61">
        <v>2018</v>
      </c>
      <c r="O82" s="61" t="s">
        <v>45</v>
      </c>
      <c r="P82" s="63" t="s">
        <v>67</v>
      </c>
      <c r="Q82" s="61" t="s">
        <v>52</v>
      </c>
      <c r="R82" s="63" t="s">
        <v>79</v>
      </c>
      <c r="S82" s="64">
        <v>40</v>
      </c>
      <c r="T82" s="62">
        <v>0.13333333333333333</v>
      </c>
      <c r="U82" s="62">
        <v>0.16666666666666663</v>
      </c>
      <c r="V82" s="68">
        <v>3.3333333333333333E-2</v>
      </c>
    </row>
    <row r="83" spans="1:23" s="65" customFormat="1" x14ac:dyDescent="0.2">
      <c r="A83" s="61" t="s">
        <v>49</v>
      </c>
      <c r="B83" s="61" t="s">
        <v>50</v>
      </c>
      <c r="C83" s="61" t="s">
        <v>51</v>
      </c>
      <c r="D83" s="61" t="s">
        <v>60</v>
      </c>
      <c r="E83" s="61" t="s">
        <v>61</v>
      </c>
      <c r="F83" s="61" t="s">
        <v>62</v>
      </c>
      <c r="G83" s="61" t="s">
        <v>88</v>
      </c>
      <c r="H83" s="61" t="s">
        <v>44</v>
      </c>
      <c r="I83" s="61" t="s">
        <v>89</v>
      </c>
      <c r="J83" s="61" t="s">
        <v>90</v>
      </c>
      <c r="K83" s="61">
        <v>1</v>
      </c>
      <c r="L83" s="66">
        <v>0.5</v>
      </c>
      <c r="M83" s="61" t="s">
        <v>91</v>
      </c>
      <c r="N83" s="61">
        <v>2018</v>
      </c>
      <c r="O83" s="61" t="s">
        <v>45</v>
      </c>
      <c r="P83" s="63" t="s">
        <v>67</v>
      </c>
      <c r="Q83" s="61" t="s">
        <v>52</v>
      </c>
      <c r="R83" s="63" t="s">
        <v>79</v>
      </c>
      <c r="S83" s="64">
        <v>40</v>
      </c>
      <c r="T83" s="62">
        <v>0.2</v>
      </c>
      <c r="U83" s="62">
        <v>0.25</v>
      </c>
      <c r="V83" s="68">
        <v>0.05</v>
      </c>
    </row>
    <row r="84" spans="1:23" s="65" customFormat="1" x14ac:dyDescent="0.2">
      <c r="A84" s="71" t="s">
        <v>106</v>
      </c>
      <c r="B84" s="71" t="s">
        <v>107</v>
      </c>
      <c r="C84" s="71" t="s">
        <v>108</v>
      </c>
      <c r="D84" s="71" t="s">
        <v>355</v>
      </c>
      <c r="E84" s="71" t="s">
        <v>356</v>
      </c>
      <c r="F84" s="71" t="s">
        <v>357</v>
      </c>
      <c r="G84" s="71" t="s">
        <v>177</v>
      </c>
      <c r="H84" s="71" t="s">
        <v>44</v>
      </c>
      <c r="I84" s="71" t="s">
        <v>110</v>
      </c>
      <c r="J84" s="71" t="s">
        <v>111</v>
      </c>
      <c r="K84" s="71">
        <v>1</v>
      </c>
      <c r="L84" s="72">
        <v>0.5</v>
      </c>
      <c r="M84" s="71" t="s">
        <v>112</v>
      </c>
      <c r="N84" s="71">
        <v>2019</v>
      </c>
      <c r="O84" s="71" t="s">
        <v>63</v>
      </c>
      <c r="P84" s="73" t="s">
        <v>87</v>
      </c>
      <c r="Q84" s="71" t="s">
        <v>52</v>
      </c>
      <c r="R84" s="73" t="s">
        <v>79</v>
      </c>
      <c r="S84" s="74">
        <v>50</v>
      </c>
      <c r="T84" s="78">
        <v>0.25</v>
      </c>
      <c r="U84" s="75">
        <v>0.2</v>
      </c>
      <c r="V84" s="77">
        <v>0.05</v>
      </c>
      <c r="W84" s="65" t="s">
        <v>618</v>
      </c>
    </row>
    <row r="85" spans="1:23" s="65" customFormat="1" x14ac:dyDescent="0.2">
      <c r="A85" s="71" t="s">
        <v>49</v>
      </c>
      <c r="B85" s="71" t="s">
        <v>50</v>
      </c>
      <c r="C85" s="71" t="s">
        <v>51</v>
      </c>
      <c r="D85" s="71" t="s">
        <v>352</v>
      </c>
      <c r="E85" s="71" t="s">
        <v>353</v>
      </c>
      <c r="F85" s="71" t="s">
        <v>354</v>
      </c>
      <c r="G85" s="71" t="s">
        <v>113</v>
      </c>
      <c r="H85" s="71" t="s">
        <v>44</v>
      </c>
      <c r="I85" s="71" t="s">
        <v>110</v>
      </c>
      <c r="J85" s="71" t="s">
        <v>111</v>
      </c>
      <c r="K85" s="71">
        <v>1</v>
      </c>
      <c r="L85" s="72">
        <v>0.5</v>
      </c>
      <c r="M85" s="71" t="s">
        <v>112</v>
      </c>
      <c r="N85" s="71">
        <v>2019</v>
      </c>
      <c r="O85" s="71" t="s">
        <v>84</v>
      </c>
      <c r="P85" s="73" t="s">
        <v>79</v>
      </c>
      <c r="Q85" s="71" t="s">
        <v>52</v>
      </c>
      <c r="R85" s="73" t="s">
        <v>114</v>
      </c>
      <c r="S85" s="74">
        <v>20</v>
      </c>
      <c r="T85" s="78">
        <v>0.1</v>
      </c>
      <c r="U85" s="75">
        <v>0.05</v>
      </c>
      <c r="V85" s="77">
        <v>0.35</v>
      </c>
      <c r="W85" s="65" t="s">
        <v>618</v>
      </c>
    </row>
    <row r="86" spans="1:23" s="65" customFormat="1" x14ac:dyDescent="0.2">
      <c r="A86" s="76" t="s">
        <v>49</v>
      </c>
      <c r="B86" s="76" t="s">
        <v>50</v>
      </c>
      <c r="C86" s="76" t="s">
        <v>51</v>
      </c>
      <c r="D86" s="76" t="s">
        <v>349</v>
      </c>
      <c r="E86" s="76" t="s">
        <v>350</v>
      </c>
      <c r="F86" s="76" t="s">
        <v>351</v>
      </c>
      <c r="G86" s="76" t="s">
        <v>113</v>
      </c>
      <c r="H86" s="76" t="s">
        <v>48</v>
      </c>
      <c r="I86" s="76" t="s">
        <v>110</v>
      </c>
      <c r="J86" s="76" t="s">
        <v>111</v>
      </c>
      <c r="K86" s="76">
        <v>1</v>
      </c>
      <c r="L86" s="88">
        <v>1</v>
      </c>
      <c r="M86" s="76" t="s">
        <v>112</v>
      </c>
      <c r="N86" s="76">
        <v>2019</v>
      </c>
      <c r="O86" s="76" t="s">
        <v>84</v>
      </c>
      <c r="P86" s="89" t="s">
        <v>79</v>
      </c>
      <c r="Q86" s="76" t="s">
        <v>52</v>
      </c>
      <c r="R86" s="89" t="s">
        <v>114</v>
      </c>
      <c r="S86" s="90">
        <v>20</v>
      </c>
      <c r="T86" s="91">
        <v>0.2</v>
      </c>
      <c r="U86" s="92">
        <v>0.1</v>
      </c>
      <c r="V86" s="93">
        <v>0.7</v>
      </c>
      <c r="W86" s="65" t="s">
        <v>618</v>
      </c>
    </row>
    <row r="87" spans="1:23" s="79" customFormat="1" x14ac:dyDescent="0.2">
      <c r="A87" s="67" t="s">
        <v>73</v>
      </c>
      <c r="B87" s="67" t="s">
        <v>74</v>
      </c>
      <c r="C87" s="67" t="s">
        <v>348</v>
      </c>
      <c r="D87" s="67" t="s">
        <v>669</v>
      </c>
      <c r="E87" s="67" t="s">
        <v>670</v>
      </c>
      <c r="F87" s="67" t="s">
        <v>338</v>
      </c>
      <c r="G87" s="67" t="s">
        <v>503</v>
      </c>
      <c r="H87" s="67" t="s">
        <v>48</v>
      </c>
      <c r="I87" s="67" t="s">
        <v>73</v>
      </c>
      <c r="J87" s="67" t="s">
        <v>74</v>
      </c>
      <c r="K87" s="67">
        <v>1</v>
      </c>
      <c r="L87" s="67">
        <v>1</v>
      </c>
      <c r="M87" s="67" t="s">
        <v>75</v>
      </c>
      <c r="N87" s="94">
        <v>2019</v>
      </c>
      <c r="O87" s="67" t="s">
        <v>512</v>
      </c>
      <c r="P87" s="95" t="s">
        <v>67</v>
      </c>
      <c r="Q87" s="67" t="s">
        <v>52</v>
      </c>
      <c r="R87" s="95" t="s">
        <v>79</v>
      </c>
      <c r="S87" s="67">
        <v>40</v>
      </c>
      <c r="T87" s="67">
        <v>0.4</v>
      </c>
      <c r="U87" s="67">
        <v>0.5</v>
      </c>
      <c r="V87" s="69">
        <v>0.1</v>
      </c>
      <c r="W87" s="79" t="s">
        <v>618</v>
      </c>
    </row>
    <row r="88" spans="1:23" s="65" customFormat="1" x14ac:dyDescent="0.2">
      <c r="A88" s="61" t="s">
        <v>92</v>
      </c>
      <c r="B88" s="61" t="s">
        <v>93</v>
      </c>
      <c r="C88" s="61" t="s">
        <v>94</v>
      </c>
      <c r="D88" s="61" t="s">
        <v>418</v>
      </c>
      <c r="E88" s="61" t="s">
        <v>419</v>
      </c>
      <c r="F88" s="61" t="s">
        <v>420</v>
      </c>
      <c r="G88" s="61" t="s">
        <v>170</v>
      </c>
      <c r="H88" s="61" t="s">
        <v>44</v>
      </c>
      <c r="I88" s="61" t="s">
        <v>89</v>
      </c>
      <c r="J88" s="61" t="s">
        <v>90</v>
      </c>
      <c r="K88" s="61">
        <v>1</v>
      </c>
      <c r="L88" s="67">
        <v>0.5</v>
      </c>
      <c r="M88" s="67" t="s">
        <v>91</v>
      </c>
      <c r="N88" s="76">
        <v>2019</v>
      </c>
      <c r="O88" s="61" t="s">
        <v>45</v>
      </c>
      <c r="P88" s="63" t="s">
        <v>72</v>
      </c>
      <c r="Q88" s="61" t="s">
        <v>52</v>
      </c>
      <c r="R88" s="63" t="s">
        <v>79</v>
      </c>
      <c r="S88" s="61">
        <v>70</v>
      </c>
      <c r="T88" s="61">
        <v>0.35</v>
      </c>
      <c r="U88" s="61">
        <v>0.1</v>
      </c>
      <c r="V88" s="68">
        <v>0.05</v>
      </c>
      <c r="W88" s="65" t="s">
        <v>618</v>
      </c>
    </row>
    <row r="89" spans="1:23" s="65" customFormat="1" ht="10.8" thickBot="1" x14ac:dyDescent="0.25">
      <c r="A89" s="61" t="s">
        <v>92</v>
      </c>
      <c r="B89" s="61" t="s">
        <v>93</v>
      </c>
      <c r="C89" s="61" t="s">
        <v>94</v>
      </c>
      <c r="D89" s="61" t="s">
        <v>418</v>
      </c>
      <c r="E89" s="61" t="s">
        <v>419</v>
      </c>
      <c r="F89" s="61" t="s">
        <v>420</v>
      </c>
      <c r="G89" s="61" t="s">
        <v>88</v>
      </c>
      <c r="H89" s="61" t="s">
        <v>44</v>
      </c>
      <c r="I89" s="61" t="s">
        <v>89</v>
      </c>
      <c r="J89" s="61" t="s">
        <v>90</v>
      </c>
      <c r="K89" s="61">
        <v>1</v>
      </c>
      <c r="L89" s="67">
        <v>0.5</v>
      </c>
      <c r="M89" s="67" t="s">
        <v>91</v>
      </c>
      <c r="N89" s="76">
        <v>2019</v>
      </c>
      <c r="O89" s="61" t="s">
        <v>45</v>
      </c>
      <c r="P89" s="63" t="s">
        <v>67</v>
      </c>
      <c r="Q89" s="61" t="s">
        <v>52</v>
      </c>
      <c r="R89" s="63" t="s">
        <v>79</v>
      </c>
      <c r="S89" s="61">
        <v>40</v>
      </c>
      <c r="T89" s="61">
        <v>0.2</v>
      </c>
      <c r="U89" s="62">
        <v>0.25</v>
      </c>
      <c r="V89" s="68">
        <v>0.05</v>
      </c>
      <c r="W89" s="65" t="s">
        <v>618</v>
      </c>
    </row>
    <row r="90" spans="1:23" s="65" customFormat="1" ht="10.8" thickBot="1" x14ac:dyDescent="0.25">
      <c r="A90" s="26" t="s">
        <v>41</v>
      </c>
      <c r="B90" s="26" t="s">
        <v>42</v>
      </c>
      <c r="C90" s="26" t="s">
        <v>47</v>
      </c>
      <c r="D90" s="26" t="s">
        <v>421</v>
      </c>
      <c r="E90" s="26" t="s">
        <v>422</v>
      </c>
      <c r="F90" s="26" t="s">
        <v>423</v>
      </c>
      <c r="G90" s="27" t="s">
        <v>88</v>
      </c>
      <c r="H90" s="28" t="s">
        <v>44</v>
      </c>
      <c r="I90" s="28" t="s">
        <v>89</v>
      </c>
      <c r="J90" s="29" t="s">
        <v>90</v>
      </c>
      <c r="K90" s="61">
        <v>1</v>
      </c>
      <c r="L90" s="67">
        <v>0.5</v>
      </c>
      <c r="M90" s="67" t="s">
        <v>91</v>
      </c>
      <c r="N90" s="61">
        <v>2020</v>
      </c>
      <c r="O90" s="61" t="s">
        <v>45</v>
      </c>
      <c r="P90" s="63" t="s">
        <v>67</v>
      </c>
      <c r="Q90" s="61" t="s">
        <v>52</v>
      </c>
      <c r="R90" s="63" t="s">
        <v>79</v>
      </c>
      <c r="S90" s="61">
        <v>40</v>
      </c>
      <c r="T90" s="61">
        <v>0.2</v>
      </c>
      <c r="U90" s="62">
        <v>0.25</v>
      </c>
      <c r="V90" s="68">
        <v>0.05</v>
      </c>
      <c r="W90" s="65" t="s">
        <v>618</v>
      </c>
    </row>
    <row r="91" spans="1:23" s="65" customFormat="1" ht="10.8" thickBot="1" x14ac:dyDescent="0.25">
      <c r="A91" s="26" t="s">
        <v>49</v>
      </c>
      <c r="B91" s="26" t="s">
        <v>50</v>
      </c>
      <c r="C91" s="26" t="s">
        <v>51</v>
      </c>
      <c r="D91" s="26" t="s">
        <v>424</v>
      </c>
      <c r="E91" s="26" t="s">
        <v>425</v>
      </c>
      <c r="F91" s="26" t="s">
        <v>426</v>
      </c>
      <c r="G91" s="27" t="s">
        <v>177</v>
      </c>
      <c r="H91" s="28" t="s">
        <v>48</v>
      </c>
      <c r="I91" s="28" t="s">
        <v>110</v>
      </c>
      <c r="J91" s="29" t="s">
        <v>111</v>
      </c>
      <c r="K91" s="61">
        <v>1</v>
      </c>
      <c r="L91" s="67">
        <v>1</v>
      </c>
      <c r="M91" s="67" t="s">
        <v>112</v>
      </c>
      <c r="N91" s="61">
        <v>2020</v>
      </c>
      <c r="O91" s="61" t="s">
        <v>63</v>
      </c>
      <c r="P91" s="63" t="s">
        <v>87</v>
      </c>
      <c r="Q91" s="61" t="s">
        <v>52</v>
      </c>
      <c r="R91" s="63" t="s">
        <v>79</v>
      </c>
      <c r="S91" s="61">
        <v>50</v>
      </c>
      <c r="T91" s="61">
        <v>0.5</v>
      </c>
      <c r="U91" s="61">
        <v>0.4</v>
      </c>
      <c r="V91" s="69">
        <v>0.1</v>
      </c>
      <c r="W91" s="65" t="s">
        <v>618</v>
      </c>
    </row>
    <row r="92" spans="1:23" s="65" customFormat="1" ht="10.8" thickBot="1" x14ac:dyDescent="0.25">
      <c r="A92" s="26" t="s">
        <v>49</v>
      </c>
      <c r="B92" s="26" t="s">
        <v>50</v>
      </c>
      <c r="C92" s="26" t="s">
        <v>51</v>
      </c>
      <c r="D92" s="26" t="s">
        <v>427</v>
      </c>
      <c r="E92" s="26" t="s">
        <v>428</v>
      </c>
      <c r="F92" s="26" t="s">
        <v>429</v>
      </c>
      <c r="G92" s="27" t="s">
        <v>113</v>
      </c>
      <c r="H92" s="28" t="s">
        <v>44</v>
      </c>
      <c r="I92" s="28" t="s">
        <v>110</v>
      </c>
      <c r="J92" s="29" t="s">
        <v>111</v>
      </c>
      <c r="K92" s="61">
        <v>1</v>
      </c>
      <c r="L92" s="67">
        <v>0.5</v>
      </c>
      <c r="M92" s="67" t="s">
        <v>112</v>
      </c>
      <c r="N92" s="61">
        <v>2020</v>
      </c>
      <c r="O92" s="61" t="s">
        <v>84</v>
      </c>
      <c r="P92" s="63" t="s">
        <v>79</v>
      </c>
      <c r="Q92" s="61" t="s">
        <v>52</v>
      </c>
      <c r="R92" s="63" t="s">
        <v>114</v>
      </c>
      <c r="S92" s="61">
        <v>20</v>
      </c>
      <c r="T92" s="61">
        <v>0.1</v>
      </c>
      <c r="U92" s="62">
        <v>0.05</v>
      </c>
      <c r="V92" s="68">
        <v>0.35</v>
      </c>
      <c r="W92" s="65" t="s">
        <v>618</v>
      </c>
    </row>
    <row r="93" spans="1:23" s="65" customFormat="1" x14ac:dyDescent="0.2">
      <c r="A93" s="61" t="s">
        <v>633</v>
      </c>
      <c r="B93" s="61" t="s">
        <v>634</v>
      </c>
      <c r="C93" s="61" t="s">
        <v>348</v>
      </c>
      <c r="D93" s="61" t="s">
        <v>671</v>
      </c>
      <c r="E93" s="61" t="s">
        <v>672</v>
      </c>
      <c r="F93" s="61" t="s">
        <v>673</v>
      </c>
      <c r="G93" s="61" t="s">
        <v>503</v>
      </c>
      <c r="H93" s="61" t="s">
        <v>44</v>
      </c>
      <c r="I93" s="61" t="s">
        <v>73</v>
      </c>
      <c r="J93" s="61" t="s">
        <v>74</v>
      </c>
      <c r="K93" s="61">
        <v>11</v>
      </c>
      <c r="L93" s="67">
        <v>0.5</v>
      </c>
      <c r="M93" s="67" t="s">
        <v>75</v>
      </c>
      <c r="N93" s="61">
        <v>2021</v>
      </c>
      <c r="O93" s="61" t="s">
        <v>512</v>
      </c>
      <c r="P93" s="63" t="s">
        <v>67</v>
      </c>
      <c r="Q93" s="61" t="s">
        <v>52</v>
      </c>
      <c r="R93" s="63" t="s">
        <v>79</v>
      </c>
      <c r="S93" s="61">
        <v>40</v>
      </c>
      <c r="T93" s="61">
        <v>0.2</v>
      </c>
      <c r="U93" s="62">
        <v>0.25</v>
      </c>
      <c r="V93" s="68">
        <v>0.05</v>
      </c>
      <c r="W93" s="65" t="s">
        <v>618</v>
      </c>
    </row>
    <row r="94" spans="1:23" s="65" customFormat="1" x14ac:dyDescent="0.2">
      <c r="A94" s="61" t="s">
        <v>73</v>
      </c>
      <c r="B94" s="61" t="s">
        <v>74</v>
      </c>
      <c r="C94" s="61" t="s">
        <v>348</v>
      </c>
      <c r="D94" s="61" t="s">
        <v>674</v>
      </c>
      <c r="E94" s="61" t="s">
        <v>675</v>
      </c>
      <c r="F94" s="61" t="s">
        <v>676</v>
      </c>
      <c r="G94" s="61" t="s">
        <v>503</v>
      </c>
      <c r="H94" s="61" t="s">
        <v>44</v>
      </c>
      <c r="I94" s="61" t="s">
        <v>73</v>
      </c>
      <c r="J94" s="61" t="s">
        <v>74</v>
      </c>
      <c r="K94" s="61">
        <v>18</v>
      </c>
      <c r="L94" s="67">
        <v>0.5</v>
      </c>
      <c r="M94" s="67" t="s">
        <v>75</v>
      </c>
      <c r="N94" s="61">
        <v>2021</v>
      </c>
      <c r="O94" s="61" t="s">
        <v>512</v>
      </c>
      <c r="P94" s="63" t="s">
        <v>67</v>
      </c>
      <c r="Q94" s="61" t="s">
        <v>52</v>
      </c>
      <c r="R94" s="63" t="s">
        <v>79</v>
      </c>
      <c r="S94" s="61">
        <v>40</v>
      </c>
      <c r="T94" s="61">
        <v>0.2</v>
      </c>
      <c r="U94" s="62">
        <v>0.25</v>
      </c>
      <c r="V94" s="68">
        <v>0.05</v>
      </c>
      <c r="W94" s="65" t="s">
        <v>618</v>
      </c>
    </row>
    <row r="95" spans="1:23" s="65" customFormat="1" x14ac:dyDescent="0.2">
      <c r="A95" s="61" t="s">
        <v>41</v>
      </c>
      <c r="B95" s="61" t="s">
        <v>42</v>
      </c>
      <c r="C95" s="61" t="s">
        <v>47</v>
      </c>
      <c r="D95" s="61" t="s">
        <v>677</v>
      </c>
      <c r="E95" s="61" t="s">
        <v>678</v>
      </c>
      <c r="F95" s="61" t="s">
        <v>679</v>
      </c>
      <c r="G95" s="61" t="s">
        <v>88</v>
      </c>
      <c r="H95" s="61" t="s">
        <v>44</v>
      </c>
      <c r="I95" s="61" t="s">
        <v>89</v>
      </c>
      <c r="J95" s="61" t="s">
        <v>90</v>
      </c>
      <c r="K95" s="61">
        <v>89</v>
      </c>
      <c r="L95" s="67">
        <v>0.5</v>
      </c>
      <c r="M95" s="67" t="s">
        <v>91</v>
      </c>
      <c r="N95" s="61">
        <v>2021</v>
      </c>
      <c r="O95" s="61" t="s">
        <v>45</v>
      </c>
      <c r="P95" s="63" t="s">
        <v>67</v>
      </c>
      <c r="Q95" s="61" t="s">
        <v>52</v>
      </c>
      <c r="R95" s="63" t="s">
        <v>79</v>
      </c>
      <c r="S95" s="61">
        <v>40</v>
      </c>
      <c r="T95" s="61">
        <v>0.2</v>
      </c>
      <c r="U95" s="62">
        <v>0.25</v>
      </c>
      <c r="V95" s="68">
        <v>0.05</v>
      </c>
      <c r="W95" s="65" t="s">
        <v>618</v>
      </c>
    </row>
    <row r="96" spans="1:23" s="65" customFormat="1" x14ac:dyDescent="0.2">
      <c r="A96" s="61" t="s">
        <v>92</v>
      </c>
      <c r="B96" s="61" t="s">
        <v>93</v>
      </c>
      <c r="C96" s="61" t="s">
        <v>94</v>
      </c>
      <c r="D96" s="61" t="s">
        <v>680</v>
      </c>
      <c r="E96" s="61" t="s">
        <v>681</v>
      </c>
      <c r="F96" s="61" t="s">
        <v>682</v>
      </c>
      <c r="G96" s="61" t="s">
        <v>170</v>
      </c>
      <c r="H96" s="61" t="s">
        <v>44</v>
      </c>
      <c r="I96" s="61" t="s">
        <v>89</v>
      </c>
      <c r="J96" s="61" t="s">
        <v>90</v>
      </c>
      <c r="K96" s="61">
        <v>160</v>
      </c>
      <c r="L96" s="67">
        <v>0.5</v>
      </c>
      <c r="M96" s="67" t="s">
        <v>91</v>
      </c>
      <c r="N96" s="61">
        <v>2021</v>
      </c>
      <c r="O96" s="61" t="s">
        <v>45</v>
      </c>
      <c r="P96" s="63" t="s">
        <v>72</v>
      </c>
      <c r="Q96" s="61" t="s">
        <v>52</v>
      </c>
      <c r="R96" s="63" t="s">
        <v>79</v>
      </c>
      <c r="S96" s="61">
        <v>70</v>
      </c>
      <c r="T96" s="61">
        <v>0.35</v>
      </c>
      <c r="U96" s="61">
        <v>0.1</v>
      </c>
      <c r="V96" s="68">
        <v>0.05</v>
      </c>
      <c r="W96" s="65" t="s">
        <v>618</v>
      </c>
    </row>
    <row r="97" spans="1:23" s="65" customFormat="1" x14ac:dyDescent="0.2">
      <c r="A97" s="61" t="s">
        <v>92</v>
      </c>
      <c r="B97" s="61" t="s">
        <v>93</v>
      </c>
      <c r="C97" s="61" t="s">
        <v>94</v>
      </c>
      <c r="D97" s="61" t="s">
        <v>680</v>
      </c>
      <c r="E97" s="61" t="s">
        <v>681</v>
      </c>
      <c r="F97" s="61" t="s">
        <v>682</v>
      </c>
      <c r="G97" s="61" t="s">
        <v>88</v>
      </c>
      <c r="H97" s="61" t="s">
        <v>44</v>
      </c>
      <c r="I97" s="61" t="s">
        <v>89</v>
      </c>
      <c r="J97" s="61" t="s">
        <v>90</v>
      </c>
      <c r="K97" s="61">
        <v>161</v>
      </c>
      <c r="L97" s="67">
        <v>0.5</v>
      </c>
      <c r="M97" s="67" t="s">
        <v>91</v>
      </c>
      <c r="N97" s="61">
        <v>2021</v>
      </c>
      <c r="O97" s="61" t="s">
        <v>45</v>
      </c>
      <c r="P97" s="63" t="s">
        <v>67</v>
      </c>
      <c r="Q97" s="61" t="s">
        <v>52</v>
      </c>
      <c r="R97" s="63" t="s">
        <v>79</v>
      </c>
      <c r="S97" s="61">
        <v>40</v>
      </c>
      <c r="T97" s="61">
        <v>0.2</v>
      </c>
      <c r="U97" s="62">
        <v>0.25</v>
      </c>
      <c r="V97" s="68">
        <v>0.05</v>
      </c>
      <c r="W97" s="65" t="s">
        <v>618</v>
      </c>
    </row>
    <row r="98" spans="1:23" s="65" customFormat="1" x14ac:dyDescent="0.2">
      <c r="A98" s="61" t="s">
        <v>49</v>
      </c>
      <c r="B98" s="61" t="s">
        <v>50</v>
      </c>
      <c r="C98" s="61" t="s">
        <v>51</v>
      </c>
      <c r="D98" s="61" t="s">
        <v>622</v>
      </c>
      <c r="E98" s="61" t="s">
        <v>623</v>
      </c>
      <c r="F98" s="61" t="s">
        <v>624</v>
      </c>
      <c r="G98" s="61" t="s">
        <v>683</v>
      </c>
      <c r="H98" s="61" t="s">
        <v>44</v>
      </c>
      <c r="I98" s="61" t="s">
        <v>73</v>
      </c>
      <c r="J98" s="61" t="s">
        <v>74</v>
      </c>
      <c r="K98" s="61">
        <v>222</v>
      </c>
      <c r="L98" s="67">
        <v>0.5</v>
      </c>
      <c r="M98" s="67" t="s">
        <v>75</v>
      </c>
      <c r="N98" s="61">
        <v>2021</v>
      </c>
      <c r="O98" s="61" t="s">
        <v>84</v>
      </c>
      <c r="P98" s="63" t="s">
        <v>67</v>
      </c>
      <c r="Q98" s="61" t="s">
        <v>52</v>
      </c>
      <c r="R98" s="63" t="s">
        <v>79</v>
      </c>
      <c r="S98" s="61">
        <v>40</v>
      </c>
      <c r="T98" s="61">
        <v>0.2</v>
      </c>
      <c r="U98" s="62">
        <v>0.25</v>
      </c>
      <c r="V98" s="68">
        <v>0.05</v>
      </c>
      <c r="W98" s="65" t="s">
        <v>618</v>
      </c>
    </row>
    <row r="99" spans="1:23" s="65" customFormat="1" x14ac:dyDescent="0.2">
      <c r="A99" s="61" t="s">
        <v>49</v>
      </c>
      <c r="B99" s="61" t="s">
        <v>50</v>
      </c>
      <c r="C99" s="61" t="s">
        <v>51</v>
      </c>
      <c r="D99" s="61" t="s">
        <v>626</v>
      </c>
      <c r="E99" s="61" t="s">
        <v>627</v>
      </c>
      <c r="F99" s="61" t="s">
        <v>628</v>
      </c>
      <c r="G99" s="61" t="s">
        <v>683</v>
      </c>
      <c r="H99" s="61" t="s">
        <v>44</v>
      </c>
      <c r="I99" s="61" t="s">
        <v>73</v>
      </c>
      <c r="J99" s="61" t="s">
        <v>74</v>
      </c>
      <c r="K99" s="61">
        <v>224</v>
      </c>
      <c r="L99" s="67">
        <v>0.33333333333333331</v>
      </c>
      <c r="M99" s="67" t="s">
        <v>75</v>
      </c>
      <c r="N99" s="61">
        <v>2021</v>
      </c>
      <c r="O99" s="61" t="s">
        <v>84</v>
      </c>
      <c r="P99" s="63" t="s">
        <v>67</v>
      </c>
      <c r="Q99" s="61" t="s">
        <v>52</v>
      </c>
      <c r="R99" s="63" t="s">
        <v>79</v>
      </c>
      <c r="S99" s="61">
        <v>40</v>
      </c>
      <c r="T99" s="61">
        <v>0.13333333333333333</v>
      </c>
      <c r="U99" s="62">
        <v>0.16666666666666663</v>
      </c>
      <c r="V99" s="87">
        <v>3.3333333333333333E-2</v>
      </c>
      <c r="W99" s="65" t="s">
        <v>618</v>
      </c>
    </row>
    <row r="100" spans="1:23" s="65" customFormat="1" x14ac:dyDescent="0.2">
      <c r="A100" s="61" t="s">
        <v>49</v>
      </c>
      <c r="B100" s="61" t="s">
        <v>50</v>
      </c>
      <c r="C100" s="61" t="s">
        <v>51</v>
      </c>
      <c r="D100" s="61" t="s">
        <v>684</v>
      </c>
      <c r="E100" s="61" t="s">
        <v>685</v>
      </c>
      <c r="F100" s="61" t="s">
        <v>686</v>
      </c>
      <c r="G100" s="61" t="s">
        <v>177</v>
      </c>
      <c r="H100" s="61" t="s">
        <v>48</v>
      </c>
      <c r="I100" s="61" t="s">
        <v>110</v>
      </c>
      <c r="J100" s="61" t="s">
        <v>111</v>
      </c>
      <c r="K100" s="61">
        <v>226</v>
      </c>
      <c r="L100" s="67">
        <v>1</v>
      </c>
      <c r="M100" s="67" t="s">
        <v>112</v>
      </c>
      <c r="N100" s="61">
        <v>2021</v>
      </c>
      <c r="O100" s="61" t="s">
        <v>63</v>
      </c>
      <c r="P100" s="63" t="s">
        <v>87</v>
      </c>
      <c r="Q100" s="61" t="s">
        <v>52</v>
      </c>
      <c r="R100" s="63" t="s">
        <v>79</v>
      </c>
      <c r="S100" s="61">
        <v>50</v>
      </c>
      <c r="T100" s="61">
        <v>0.5</v>
      </c>
      <c r="U100" s="61">
        <v>0.4</v>
      </c>
      <c r="V100" s="69">
        <v>0.1</v>
      </c>
      <c r="W100" s="65" t="s">
        <v>618</v>
      </c>
    </row>
    <row r="101" spans="1:23" x14ac:dyDescent="0.2">
      <c r="T101" s="85">
        <f>SUM(V77:V100,U11:U76,T2:T10)</f>
        <v>17.166666666666675</v>
      </c>
      <c r="U101" s="86"/>
      <c r="V101" s="86"/>
    </row>
  </sheetData>
  <autoFilter ref="A1:U1" xr:uid="{00000000-0009-0000-0000-000000000000}"/>
  <mergeCells count="1">
    <mergeCell ref="T101:V101"/>
  </mergeCells>
  <printOptions horizontalCentered="1"/>
  <pageMargins left="0.19685039370078741" right="0.19685039370078741" top="0.39370078740157483" bottom="0.39370078740157483" header="0.78740157480314965" footer="0"/>
  <pageSetup paperSize="9" scale="92" fitToWidth="2" fitToHeight="2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1"/>
  <sheetViews>
    <sheetView topLeftCell="A40" zoomScaleNormal="100" workbookViewId="0">
      <selection activeCell="Q51" sqref="Q51:R51"/>
    </sheetView>
  </sheetViews>
  <sheetFormatPr baseColWidth="10" defaultColWidth="11.44140625" defaultRowHeight="13.2" x14ac:dyDescent="0.25"/>
  <cols>
    <col min="1" max="1" width="10.5546875" style="17" bestFit="1" customWidth="1"/>
    <col min="2" max="2" width="39" style="17" bestFit="1" customWidth="1"/>
    <col min="3" max="3" width="17" style="17" bestFit="1" customWidth="1"/>
    <col min="4" max="9" width="3.33203125" style="17" bestFit="1" customWidth="1"/>
    <col min="10" max="10" width="13.109375" style="17" bestFit="1" customWidth="1"/>
    <col min="11" max="11" width="5.33203125" style="17" bestFit="1" customWidth="1"/>
    <col min="12" max="12" width="5.6640625" style="17" bestFit="1" customWidth="1"/>
    <col min="13" max="14" width="5.6640625" style="19" bestFit="1" customWidth="1"/>
    <col min="15" max="15" width="5.6640625" style="17" bestFit="1" customWidth="1"/>
    <col min="16" max="16" width="5.6640625" style="19" bestFit="1" customWidth="1"/>
    <col min="17" max="19" width="5.6640625" style="17" bestFit="1" customWidth="1"/>
    <col min="20" max="16384" width="11.44140625" style="17"/>
  </cols>
  <sheetData>
    <row r="1" spans="1:19" s="16" customFormat="1" ht="65.099999999999994" customHeight="1" x14ac:dyDescent="0.25">
      <c r="A1" s="20" t="s">
        <v>181</v>
      </c>
      <c r="B1" s="20" t="s">
        <v>182</v>
      </c>
      <c r="C1" s="20" t="s">
        <v>183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0" t="s">
        <v>184</v>
      </c>
      <c r="K1" s="22" t="s">
        <v>361</v>
      </c>
      <c r="L1" s="14" t="s">
        <v>185</v>
      </c>
      <c r="M1" s="14" t="s">
        <v>186</v>
      </c>
      <c r="N1" s="14" t="s">
        <v>187</v>
      </c>
      <c r="O1" s="14" t="s">
        <v>188</v>
      </c>
      <c r="P1" s="15" t="s">
        <v>189</v>
      </c>
      <c r="Q1" s="15" t="s">
        <v>190</v>
      </c>
      <c r="R1" s="15" t="s">
        <v>191</v>
      </c>
      <c r="S1" s="15" t="s">
        <v>192</v>
      </c>
    </row>
    <row r="2" spans="1:19" ht="14.4" x14ac:dyDescent="0.3">
      <c r="A2" s="23" t="s">
        <v>220</v>
      </c>
      <c r="B2" s="23" t="s">
        <v>221</v>
      </c>
      <c r="C2" s="23" t="s">
        <v>193</v>
      </c>
      <c r="D2" s="23"/>
      <c r="E2" s="23"/>
      <c r="F2" s="23"/>
      <c r="G2" s="23"/>
      <c r="H2" s="23"/>
      <c r="I2" s="23">
        <v>1</v>
      </c>
      <c r="J2" s="23">
        <v>1</v>
      </c>
      <c r="K2" s="23" t="s">
        <v>91</v>
      </c>
      <c r="L2" s="24" t="s">
        <v>52</v>
      </c>
      <c r="M2" s="24" t="s">
        <v>67</v>
      </c>
      <c r="N2" s="24" t="s">
        <v>46</v>
      </c>
      <c r="O2" s="24" t="s">
        <v>46</v>
      </c>
      <c r="P2" s="24">
        <v>50</v>
      </c>
      <c r="Q2" s="82">
        <v>0.5</v>
      </c>
      <c r="R2" s="24">
        <v>0</v>
      </c>
      <c r="S2" s="24">
        <v>0.5</v>
      </c>
    </row>
    <row r="3" spans="1:19" ht="14.4" x14ac:dyDescent="0.3">
      <c r="A3" s="23" t="s">
        <v>358</v>
      </c>
      <c r="B3" s="23" t="s">
        <v>359</v>
      </c>
      <c r="C3" s="23" t="s">
        <v>194</v>
      </c>
      <c r="D3" s="23"/>
      <c r="E3" s="23"/>
      <c r="F3" s="23"/>
      <c r="G3" s="23"/>
      <c r="H3" s="23"/>
      <c r="I3" s="23">
        <v>1</v>
      </c>
      <c r="J3" s="23">
        <v>1</v>
      </c>
      <c r="K3" s="23" t="s">
        <v>105</v>
      </c>
      <c r="L3" s="24" t="s">
        <v>52</v>
      </c>
      <c r="M3" s="24" t="s">
        <v>67</v>
      </c>
      <c r="N3" s="24" t="s">
        <v>46</v>
      </c>
      <c r="O3" s="24" t="s">
        <v>46</v>
      </c>
      <c r="P3" s="24">
        <v>50</v>
      </c>
      <c r="Q3" s="82">
        <v>0.5</v>
      </c>
      <c r="R3" s="24">
        <v>0</v>
      </c>
      <c r="S3" s="24">
        <v>0.5</v>
      </c>
    </row>
    <row r="4" spans="1:19" ht="14.4" x14ac:dyDescent="0.3">
      <c r="A4" s="23" t="s">
        <v>208</v>
      </c>
      <c r="B4" s="23" t="s">
        <v>209</v>
      </c>
      <c r="C4" s="23" t="s">
        <v>193</v>
      </c>
      <c r="D4" s="23"/>
      <c r="E4" s="23"/>
      <c r="F4" s="23">
        <v>1</v>
      </c>
      <c r="G4" s="23"/>
      <c r="H4" s="23"/>
      <c r="I4" s="23">
        <v>1</v>
      </c>
      <c r="J4" s="23">
        <v>2</v>
      </c>
      <c r="K4" s="23" t="s">
        <v>160</v>
      </c>
      <c r="L4" s="24" t="s">
        <v>52</v>
      </c>
      <c r="M4" s="24" t="s">
        <v>67</v>
      </c>
      <c r="N4" s="24" t="s">
        <v>46</v>
      </c>
      <c r="O4" s="24" t="s">
        <v>46</v>
      </c>
      <c r="P4" s="24">
        <v>50</v>
      </c>
      <c r="Q4" s="82">
        <v>1</v>
      </c>
      <c r="R4" s="24">
        <v>0</v>
      </c>
      <c r="S4" s="24">
        <v>1</v>
      </c>
    </row>
    <row r="5" spans="1:19" ht="14.4" x14ac:dyDescent="0.3">
      <c r="A5" s="23" t="s">
        <v>362</v>
      </c>
      <c r="B5" s="23" t="s">
        <v>363</v>
      </c>
      <c r="C5" s="23" t="s">
        <v>194</v>
      </c>
      <c r="D5" s="23"/>
      <c r="E5" s="23"/>
      <c r="F5" s="23"/>
      <c r="G5" s="23"/>
      <c r="H5" s="23">
        <v>1</v>
      </c>
      <c r="I5" s="23"/>
      <c r="J5" s="23">
        <v>1</v>
      </c>
      <c r="K5" s="23" t="s">
        <v>124</v>
      </c>
      <c r="L5" s="24" t="s">
        <v>52</v>
      </c>
      <c r="M5" s="24" t="s">
        <v>79</v>
      </c>
      <c r="N5" s="24" t="s">
        <v>46</v>
      </c>
      <c r="O5" s="24" t="s">
        <v>46</v>
      </c>
      <c r="P5" s="24">
        <v>90</v>
      </c>
      <c r="Q5" s="82">
        <v>0.1</v>
      </c>
      <c r="R5" s="24">
        <v>0</v>
      </c>
      <c r="S5" s="24">
        <v>0.9</v>
      </c>
    </row>
    <row r="6" spans="1:19" ht="14.4" x14ac:dyDescent="0.3">
      <c r="A6" s="23" t="s">
        <v>687</v>
      </c>
      <c r="B6" s="23" t="s">
        <v>688</v>
      </c>
      <c r="C6" s="23" t="s">
        <v>193</v>
      </c>
      <c r="D6" s="23"/>
      <c r="E6" s="23"/>
      <c r="F6" s="23"/>
      <c r="G6" s="23"/>
      <c r="H6" s="23"/>
      <c r="I6" s="23">
        <v>1</v>
      </c>
      <c r="J6" s="23">
        <v>1</v>
      </c>
      <c r="K6" s="23" t="s">
        <v>689</v>
      </c>
      <c r="L6" s="24" t="s">
        <v>52</v>
      </c>
      <c r="M6" s="24" t="s">
        <v>79</v>
      </c>
      <c r="N6" s="24" t="s">
        <v>46</v>
      </c>
      <c r="O6" s="24" t="s">
        <v>46</v>
      </c>
      <c r="P6" s="24">
        <v>90</v>
      </c>
      <c r="Q6" s="82">
        <v>0.1</v>
      </c>
      <c r="R6" s="24">
        <v>0</v>
      </c>
      <c r="S6" s="24">
        <v>0.9</v>
      </c>
    </row>
    <row r="7" spans="1:19" ht="14.4" x14ac:dyDescent="0.3">
      <c r="A7" s="23" t="s">
        <v>690</v>
      </c>
      <c r="B7" s="23" t="s">
        <v>691</v>
      </c>
      <c r="C7" s="23" t="s">
        <v>193</v>
      </c>
      <c r="D7" s="23"/>
      <c r="E7" s="23"/>
      <c r="F7" s="23"/>
      <c r="G7" s="23"/>
      <c r="H7" s="23"/>
      <c r="I7" s="23">
        <v>1</v>
      </c>
      <c r="J7" s="23">
        <v>1</v>
      </c>
      <c r="K7" s="23" t="s">
        <v>115</v>
      </c>
      <c r="L7" s="24" t="s">
        <v>52</v>
      </c>
      <c r="M7" s="24" t="s">
        <v>72</v>
      </c>
      <c r="N7" s="24" t="s">
        <v>46</v>
      </c>
      <c r="O7" s="24" t="s">
        <v>46</v>
      </c>
      <c r="P7" s="24">
        <v>80</v>
      </c>
      <c r="Q7" s="82">
        <v>0.2</v>
      </c>
      <c r="R7" s="24">
        <v>0</v>
      </c>
      <c r="S7" s="24">
        <v>0.8</v>
      </c>
    </row>
    <row r="8" spans="1:19" ht="14.4" x14ac:dyDescent="0.3">
      <c r="A8" s="23" t="s">
        <v>248</v>
      </c>
      <c r="B8" s="23" t="s">
        <v>249</v>
      </c>
      <c r="C8" s="23" t="s">
        <v>193</v>
      </c>
      <c r="D8" s="23"/>
      <c r="E8" s="23">
        <v>1</v>
      </c>
      <c r="F8" s="23"/>
      <c r="G8" s="23"/>
      <c r="H8" s="23">
        <v>1</v>
      </c>
      <c r="I8" s="23"/>
      <c r="J8" s="23">
        <v>2</v>
      </c>
      <c r="K8" s="23" t="s">
        <v>115</v>
      </c>
      <c r="L8" s="24" t="s">
        <v>52</v>
      </c>
      <c r="M8" s="24" t="s">
        <v>72</v>
      </c>
      <c r="N8" s="24" t="s">
        <v>84</v>
      </c>
      <c r="O8" s="24" t="s">
        <v>79</v>
      </c>
      <c r="P8" s="24">
        <v>70</v>
      </c>
      <c r="Q8" s="82">
        <v>0.4</v>
      </c>
      <c r="R8" s="24">
        <v>0.2</v>
      </c>
      <c r="S8" s="24">
        <v>1.4</v>
      </c>
    </row>
    <row r="9" spans="1:19" ht="14.4" x14ac:dyDescent="0.3">
      <c r="A9" s="23" t="s">
        <v>256</v>
      </c>
      <c r="B9" s="23" t="s">
        <v>257</v>
      </c>
      <c r="C9" s="23" t="s">
        <v>193</v>
      </c>
      <c r="D9" s="23"/>
      <c r="E9" s="23"/>
      <c r="F9" s="23">
        <v>1</v>
      </c>
      <c r="G9" s="23"/>
      <c r="H9" s="23"/>
      <c r="I9" s="23"/>
      <c r="J9" s="23">
        <v>1</v>
      </c>
      <c r="K9" s="23" t="s">
        <v>112</v>
      </c>
      <c r="L9" s="24" t="s">
        <v>52</v>
      </c>
      <c r="M9" s="24" t="s">
        <v>79</v>
      </c>
      <c r="N9" s="24" t="s">
        <v>63</v>
      </c>
      <c r="O9" s="24" t="s">
        <v>67</v>
      </c>
      <c r="P9" s="24">
        <v>40</v>
      </c>
      <c r="Q9" s="82">
        <v>0.1</v>
      </c>
      <c r="R9" s="24">
        <v>0.5</v>
      </c>
      <c r="S9" s="24">
        <v>0.4</v>
      </c>
    </row>
    <row r="10" spans="1:19" ht="14.4" x14ac:dyDescent="0.3">
      <c r="A10" s="23" t="s">
        <v>218</v>
      </c>
      <c r="B10" s="23" t="s">
        <v>219</v>
      </c>
      <c r="C10" s="23" t="s">
        <v>193</v>
      </c>
      <c r="D10" s="23"/>
      <c r="E10" s="23"/>
      <c r="F10" s="23"/>
      <c r="G10" s="23"/>
      <c r="H10" s="23"/>
      <c r="I10" s="23">
        <v>1</v>
      </c>
      <c r="J10" s="23">
        <v>1</v>
      </c>
      <c r="K10" s="23" t="s">
        <v>124</v>
      </c>
      <c r="L10" s="24" t="s">
        <v>52</v>
      </c>
      <c r="M10" s="24" t="s">
        <v>67</v>
      </c>
      <c r="N10" s="24" t="s">
        <v>46</v>
      </c>
      <c r="O10" s="24" t="s">
        <v>46</v>
      </c>
      <c r="P10" s="24">
        <v>50</v>
      </c>
      <c r="Q10" s="82">
        <v>0.5</v>
      </c>
      <c r="R10" s="24">
        <v>0</v>
      </c>
      <c r="S10" s="24">
        <v>0.5</v>
      </c>
    </row>
    <row r="11" spans="1:19" ht="14.4" x14ac:dyDescent="0.3">
      <c r="A11" s="23" t="s">
        <v>250</v>
      </c>
      <c r="B11" s="23" t="s">
        <v>251</v>
      </c>
      <c r="C11" s="23" t="s">
        <v>193</v>
      </c>
      <c r="D11" s="23"/>
      <c r="E11" s="23"/>
      <c r="F11" s="23"/>
      <c r="G11" s="23"/>
      <c r="H11" s="23"/>
      <c r="I11" s="23">
        <v>1</v>
      </c>
      <c r="J11" s="23">
        <v>1</v>
      </c>
      <c r="K11" s="23" t="s">
        <v>75</v>
      </c>
      <c r="L11" s="24" t="s">
        <v>52</v>
      </c>
      <c r="M11" s="24" t="s">
        <v>85</v>
      </c>
      <c r="N11" s="24" t="s">
        <v>84</v>
      </c>
      <c r="O11" s="24" t="s">
        <v>85</v>
      </c>
      <c r="P11" s="24">
        <v>50</v>
      </c>
      <c r="Q11" s="82">
        <v>0.25</v>
      </c>
      <c r="R11" s="24">
        <v>0.25</v>
      </c>
      <c r="S11" s="24">
        <v>0.5</v>
      </c>
    </row>
    <row r="12" spans="1:19" ht="14.4" x14ac:dyDescent="0.3">
      <c r="A12" s="23" t="s">
        <v>236</v>
      </c>
      <c r="B12" s="23" t="s">
        <v>237</v>
      </c>
      <c r="C12" s="23" t="s">
        <v>193</v>
      </c>
      <c r="D12" s="23"/>
      <c r="E12" s="23"/>
      <c r="F12" s="23"/>
      <c r="G12" s="23"/>
      <c r="H12" s="23">
        <v>1</v>
      </c>
      <c r="I12" s="23"/>
      <c r="J12" s="23">
        <v>1</v>
      </c>
      <c r="K12" s="23" t="s">
        <v>151</v>
      </c>
      <c r="L12" s="24" t="s">
        <v>52</v>
      </c>
      <c r="M12" s="24" t="s">
        <v>72</v>
      </c>
      <c r="N12" s="24" t="s">
        <v>46</v>
      </c>
      <c r="O12" s="24" t="s">
        <v>46</v>
      </c>
      <c r="P12" s="24">
        <v>80</v>
      </c>
      <c r="Q12" s="82">
        <v>0.2</v>
      </c>
      <c r="R12" s="24">
        <v>0</v>
      </c>
      <c r="S12" s="24">
        <v>0.8</v>
      </c>
    </row>
    <row r="13" spans="1:19" ht="14.4" x14ac:dyDescent="0.3">
      <c r="A13" s="23" t="s">
        <v>238</v>
      </c>
      <c r="B13" s="23" t="s">
        <v>239</v>
      </c>
      <c r="C13" s="23" t="s">
        <v>194</v>
      </c>
      <c r="D13" s="23"/>
      <c r="E13" s="23">
        <v>1</v>
      </c>
      <c r="F13" s="23"/>
      <c r="G13" s="23"/>
      <c r="H13" s="23"/>
      <c r="I13" s="23"/>
      <c r="J13" s="23">
        <v>1</v>
      </c>
      <c r="K13" s="23" t="s">
        <v>112</v>
      </c>
      <c r="L13" s="24" t="s">
        <v>52</v>
      </c>
      <c r="M13" s="24" t="s">
        <v>67</v>
      </c>
      <c r="N13" s="24" t="s">
        <v>63</v>
      </c>
      <c r="O13" s="24" t="s">
        <v>72</v>
      </c>
      <c r="P13" s="24">
        <v>30</v>
      </c>
      <c r="Q13" s="82">
        <v>0.5</v>
      </c>
      <c r="R13" s="24">
        <v>0.2</v>
      </c>
      <c r="S13" s="24">
        <v>0.3</v>
      </c>
    </row>
    <row r="14" spans="1:19" ht="14.4" x14ac:dyDescent="0.3">
      <c r="A14" s="23" t="s">
        <v>364</v>
      </c>
      <c r="B14" s="23" t="s">
        <v>365</v>
      </c>
      <c r="C14" s="80" t="s">
        <v>193</v>
      </c>
      <c r="D14" s="23"/>
      <c r="E14" s="23"/>
      <c r="F14" s="23"/>
      <c r="G14" s="23">
        <v>1</v>
      </c>
      <c r="H14" s="23"/>
      <c r="I14" s="23"/>
      <c r="J14" s="23">
        <v>1</v>
      </c>
      <c r="K14" s="23" t="s">
        <v>366</v>
      </c>
      <c r="L14" s="24" t="s">
        <v>52</v>
      </c>
      <c r="M14" s="24" t="s">
        <v>79</v>
      </c>
      <c r="N14" s="24" t="s">
        <v>46</v>
      </c>
      <c r="O14" s="24" t="s">
        <v>46</v>
      </c>
      <c r="P14" s="24">
        <v>90</v>
      </c>
      <c r="Q14" s="82">
        <v>0.1</v>
      </c>
      <c r="R14" s="24">
        <v>0</v>
      </c>
      <c r="S14" s="24">
        <v>0.9</v>
      </c>
    </row>
    <row r="15" spans="1:19" ht="14.4" x14ac:dyDescent="0.3">
      <c r="A15" s="23" t="s">
        <v>216</v>
      </c>
      <c r="B15" s="23" t="s">
        <v>217</v>
      </c>
      <c r="C15" s="23" t="s">
        <v>193</v>
      </c>
      <c r="D15" s="23"/>
      <c r="E15" s="23"/>
      <c r="F15" s="23"/>
      <c r="G15" s="23"/>
      <c r="H15" s="23">
        <v>1</v>
      </c>
      <c r="I15" s="23"/>
      <c r="J15" s="23">
        <v>1</v>
      </c>
      <c r="K15" s="23" t="s">
        <v>124</v>
      </c>
      <c r="L15" s="24" t="s">
        <v>52</v>
      </c>
      <c r="M15" s="24" t="s">
        <v>67</v>
      </c>
      <c r="N15" s="24" t="s">
        <v>46</v>
      </c>
      <c r="O15" s="24" t="s">
        <v>46</v>
      </c>
      <c r="P15" s="24">
        <v>50</v>
      </c>
      <c r="Q15" s="82">
        <v>0.5</v>
      </c>
      <c r="R15" s="24">
        <v>0</v>
      </c>
      <c r="S15" s="24">
        <v>0.5</v>
      </c>
    </row>
    <row r="16" spans="1:19" ht="14.4" x14ac:dyDescent="0.3">
      <c r="A16" s="23" t="s">
        <v>210</v>
      </c>
      <c r="B16" s="23" t="s">
        <v>211</v>
      </c>
      <c r="C16" s="23">
        <v>6</v>
      </c>
      <c r="D16" s="23"/>
      <c r="E16" s="23"/>
      <c r="F16" s="23">
        <v>1</v>
      </c>
      <c r="G16" s="23"/>
      <c r="H16" s="23"/>
      <c r="I16" s="23">
        <v>1</v>
      </c>
      <c r="J16" s="23">
        <v>2</v>
      </c>
      <c r="K16" s="23" t="s">
        <v>160</v>
      </c>
      <c r="L16" s="24" t="s">
        <v>52</v>
      </c>
      <c r="M16" s="24" t="s">
        <v>79</v>
      </c>
      <c r="N16" s="24" t="s">
        <v>46</v>
      </c>
      <c r="O16" s="24" t="s">
        <v>46</v>
      </c>
      <c r="P16" s="24">
        <v>90</v>
      </c>
      <c r="Q16" s="82">
        <v>0.2</v>
      </c>
      <c r="R16" s="24">
        <v>0</v>
      </c>
      <c r="S16" s="24">
        <v>1.8</v>
      </c>
    </row>
    <row r="17" spans="1:19" ht="14.4" x14ac:dyDescent="0.3">
      <c r="A17" s="23" t="s">
        <v>222</v>
      </c>
      <c r="B17" s="23" t="s">
        <v>223</v>
      </c>
      <c r="C17" s="23" t="s">
        <v>193</v>
      </c>
      <c r="D17" s="23"/>
      <c r="E17" s="23"/>
      <c r="F17" s="23">
        <v>2</v>
      </c>
      <c r="G17" s="23"/>
      <c r="H17" s="23">
        <v>1</v>
      </c>
      <c r="I17" s="23"/>
      <c r="J17" s="23">
        <v>3</v>
      </c>
      <c r="K17" s="23" t="s">
        <v>160</v>
      </c>
      <c r="L17" s="24" t="s">
        <v>52</v>
      </c>
      <c r="M17" s="24" t="s">
        <v>85</v>
      </c>
      <c r="N17" s="24" t="s">
        <v>46</v>
      </c>
      <c r="O17" s="24" t="s">
        <v>46</v>
      </c>
      <c r="P17" s="24">
        <v>75</v>
      </c>
      <c r="Q17" s="82">
        <v>0.75</v>
      </c>
      <c r="R17" s="24">
        <v>0</v>
      </c>
      <c r="S17" s="24">
        <v>2.25</v>
      </c>
    </row>
    <row r="18" spans="1:19" ht="14.4" x14ac:dyDescent="0.3">
      <c r="A18" s="23" t="s">
        <v>242</v>
      </c>
      <c r="B18" s="23" t="s">
        <v>243</v>
      </c>
      <c r="C18" s="23" t="s">
        <v>193</v>
      </c>
      <c r="D18" s="23"/>
      <c r="E18" s="23"/>
      <c r="F18" s="23"/>
      <c r="G18" s="23">
        <v>1</v>
      </c>
      <c r="H18" s="23"/>
      <c r="I18" s="23"/>
      <c r="J18" s="23">
        <v>1</v>
      </c>
      <c r="K18" s="23" t="s">
        <v>124</v>
      </c>
      <c r="L18" s="24" t="s">
        <v>52</v>
      </c>
      <c r="M18" s="24" t="s">
        <v>79</v>
      </c>
      <c r="N18" s="24" t="s">
        <v>46</v>
      </c>
      <c r="O18" s="24" t="s">
        <v>46</v>
      </c>
      <c r="P18" s="24">
        <v>90</v>
      </c>
      <c r="Q18" s="82">
        <v>0.1</v>
      </c>
      <c r="R18" s="24">
        <v>0</v>
      </c>
      <c r="S18" s="24">
        <v>0.9</v>
      </c>
    </row>
    <row r="19" spans="1:19" ht="14.4" x14ac:dyDescent="0.3">
      <c r="A19" s="23" t="s">
        <v>367</v>
      </c>
      <c r="B19" s="23" t="s">
        <v>368</v>
      </c>
      <c r="C19" s="23" t="s">
        <v>193</v>
      </c>
      <c r="D19" s="23"/>
      <c r="E19" s="23"/>
      <c r="F19" s="23"/>
      <c r="G19" s="23"/>
      <c r="H19" s="23">
        <v>1</v>
      </c>
      <c r="I19" s="23"/>
      <c r="J19" s="23">
        <v>1</v>
      </c>
      <c r="K19" s="23" t="s">
        <v>124</v>
      </c>
      <c r="L19" s="24" t="s">
        <v>52</v>
      </c>
      <c r="M19" s="24" t="s">
        <v>79</v>
      </c>
      <c r="N19" s="24" t="s">
        <v>46</v>
      </c>
      <c r="O19" s="24" t="s">
        <v>46</v>
      </c>
      <c r="P19" s="24">
        <v>90</v>
      </c>
      <c r="Q19" s="82">
        <v>0.1</v>
      </c>
      <c r="R19" s="24">
        <v>0</v>
      </c>
      <c r="S19" s="24">
        <v>0.9</v>
      </c>
    </row>
    <row r="20" spans="1:19" ht="14.4" x14ac:dyDescent="0.3">
      <c r="A20" s="23" t="s">
        <v>246</v>
      </c>
      <c r="B20" s="23" t="s">
        <v>247</v>
      </c>
      <c r="C20" s="23" t="s">
        <v>193</v>
      </c>
      <c r="D20" s="23"/>
      <c r="E20" s="23"/>
      <c r="F20" s="23">
        <v>1</v>
      </c>
      <c r="G20" s="23"/>
      <c r="H20" s="23">
        <v>1</v>
      </c>
      <c r="I20" s="23"/>
      <c r="J20" s="23">
        <v>2</v>
      </c>
      <c r="K20" s="23" t="s">
        <v>75</v>
      </c>
      <c r="L20" s="24" t="s">
        <v>52</v>
      </c>
      <c r="M20" s="24" t="s">
        <v>79</v>
      </c>
      <c r="N20" s="24" t="s">
        <v>84</v>
      </c>
      <c r="O20" s="24" t="s">
        <v>67</v>
      </c>
      <c r="P20" s="24">
        <v>40</v>
      </c>
      <c r="Q20" s="82">
        <v>0.2</v>
      </c>
      <c r="R20" s="24">
        <v>1</v>
      </c>
      <c r="S20" s="24">
        <v>0.8</v>
      </c>
    </row>
    <row r="21" spans="1:19" ht="14.4" x14ac:dyDescent="0.3">
      <c r="A21" s="23" t="s">
        <v>240</v>
      </c>
      <c r="B21" s="23" t="s">
        <v>241</v>
      </c>
      <c r="C21" s="23" t="s">
        <v>193</v>
      </c>
      <c r="D21" s="23">
        <v>1</v>
      </c>
      <c r="E21" s="23"/>
      <c r="F21" s="23">
        <v>1</v>
      </c>
      <c r="G21" s="23"/>
      <c r="H21" s="23"/>
      <c r="I21" s="23"/>
      <c r="J21" s="23">
        <v>2</v>
      </c>
      <c r="K21" s="23" t="s">
        <v>124</v>
      </c>
      <c r="L21" s="24" t="s">
        <v>52</v>
      </c>
      <c r="M21" s="24" t="s">
        <v>79</v>
      </c>
      <c r="N21" s="24" t="s">
        <v>46</v>
      </c>
      <c r="O21" s="24" t="s">
        <v>46</v>
      </c>
      <c r="P21" s="24">
        <v>90</v>
      </c>
      <c r="Q21" s="82">
        <v>0.2</v>
      </c>
      <c r="R21" s="24">
        <v>0</v>
      </c>
      <c r="S21" s="24">
        <v>1.8</v>
      </c>
    </row>
    <row r="22" spans="1:19" ht="14.4" x14ac:dyDescent="0.3">
      <c r="A22" s="23" t="s">
        <v>692</v>
      </c>
      <c r="B22" s="23" t="s">
        <v>693</v>
      </c>
      <c r="C22" s="23" t="s">
        <v>193</v>
      </c>
      <c r="D22" s="23"/>
      <c r="E22" s="23"/>
      <c r="F22" s="23"/>
      <c r="G22" s="23"/>
      <c r="H22" s="23"/>
      <c r="I22" s="23">
        <v>1</v>
      </c>
      <c r="J22" s="23">
        <v>1</v>
      </c>
      <c r="K22" s="23" t="s">
        <v>124</v>
      </c>
      <c r="L22" s="24" t="s">
        <v>52</v>
      </c>
      <c r="M22" s="24" t="s">
        <v>79</v>
      </c>
      <c r="N22" s="24" t="s">
        <v>46</v>
      </c>
      <c r="O22" s="24" t="s">
        <v>46</v>
      </c>
      <c r="P22" s="24">
        <v>90</v>
      </c>
      <c r="Q22" s="82">
        <v>0.1</v>
      </c>
      <c r="R22" s="24">
        <v>0</v>
      </c>
      <c r="S22" s="24">
        <v>0.9</v>
      </c>
    </row>
    <row r="23" spans="1:19" ht="14.4" x14ac:dyDescent="0.3">
      <c r="A23" s="80" t="s">
        <v>369</v>
      </c>
      <c r="B23" s="80" t="s">
        <v>370</v>
      </c>
      <c r="C23" s="81" t="s">
        <v>193</v>
      </c>
      <c r="D23" s="80"/>
      <c r="E23" s="80">
        <v>2</v>
      </c>
      <c r="F23" s="80"/>
      <c r="G23" s="80"/>
      <c r="H23" s="80"/>
      <c r="I23" s="80"/>
      <c r="J23" s="23">
        <v>2</v>
      </c>
      <c r="K23" s="23" t="s">
        <v>124</v>
      </c>
      <c r="L23" s="24" t="s">
        <v>52</v>
      </c>
      <c r="M23" s="24" t="s">
        <v>79</v>
      </c>
      <c r="N23" s="24" t="s">
        <v>46</v>
      </c>
      <c r="O23" s="24" t="s">
        <v>46</v>
      </c>
      <c r="P23" s="24">
        <v>90</v>
      </c>
      <c r="Q23" s="82">
        <v>0.2</v>
      </c>
      <c r="R23" s="24">
        <v>0</v>
      </c>
      <c r="S23" s="24">
        <v>1.8</v>
      </c>
    </row>
    <row r="24" spans="1:19" ht="14.4" x14ac:dyDescent="0.3">
      <c r="A24" s="23" t="s">
        <v>371</v>
      </c>
      <c r="B24" s="23" t="s">
        <v>372</v>
      </c>
      <c r="C24" s="23" t="s">
        <v>193</v>
      </c>
      <c r="D24" s="23"/>
      <c r="E24" s="23"/>
      <c r="F24" s="23"/>
      <c r="G24" s="23"/>
      <c r="H24" s="23">
        <v>1</v>
      </c>
      <c r="I24" s="23"/>
      <c r="J24" s="23">
        <v>1</v>
      </c>
      <c r="K24" s="23" t="s">
        <v>75</v>
      </c>
      <c r="L24" s="24" t="s">
        <v>52</v>
      </c>
      <c r="M24" s="24" t="s">
        <v>79</v>
      </c>
      <c r="N24" s="24" t="s">
        <v>84</v>
      </c>
      <c r="O24" s="24" t="s">
        <v>67</v>
      </c>
      <c r="P24" s="24">
        <v>40</v>
      </c>
      <c r="Q24" s="82">
        <v>0.1</v>
      </c>
      <c r="R24" s="24">
        <v>0.5</v>
      </c>
      <c r="S24" s="24">
        <v>0.4</v>
      </c>
    </row>
    <row r="25" spans="1:19" ht="14.4" x14ac:dyDescent="0.3">
      <c r="A25" s="23" t="s">
        <v>694</v>
      </c>
      <c r="B25" s="23" t="s">
        <v>695</v>
      </c>
      <c r="C25" s="23" t="s">
        <v>193</v>
      </c>
      <c r="D25" s="23"/>
      <c r="E25" s="23"/>
      <c r="F25" s="23"/>
      <c r="G25" s="23"/>
      <c r="H25" s="23"/>
      <c r="I25" s="23">
        <v>1</v>
      </c>
      <c r="J25" s="23">
        <v>1</v>
      </c>
      <c r="K25" s="23" t="s">
        <v>124</v>
      </c>
      <c r="L25" s="24" t="s">
        <v>52</v>
      </c>
      <c r="M25" s="24" t="s">
        <v>79</v>
      </c>
      <c r="N25" s="24" t="s">
        <v>46</v>
      </c>
      <c r="O25" s="24" t="s">
        <v>46</v>
      </c>
      <c r="P25" s="24">
        <v>90</v>
      </c>
      <c r="Q25" s="82">
        <v>0.1</v>
      </c>
      <c r="R25" s="24">
        <v>0</v>
      </c>
      <c r="S25" s="24">
        <v>0.9</v>
      </c>
    </row>
    <row r="26" spans="1:19" ht="14.4" x14ac:dyDescent="0.3">
      <c r="A26" s="23" t="s">
        <v>206</v>
      </c>
      <c r="B26" s="23" t="s">
        <v>207</v>
      </c>
      <c r="C26" s="23" t="s">
        <v>194</v>
      </c>
      <c r="D26" s="23">
        <v>1</v>
      </c>
      <c r="E26" s="23"/>
      <c r="F26" s="23"/>
      <c r="G26" s="23"/>
      <c r="H26" s="23"/>
      <c r="I26" s="23">
        <v>1</v>
      </c>
      <c r="J26" s="23">
        <v>2</v>
      </c>
      <c r="K26" s="23" t="s">
        <v>160</v>
      </c>
      <c r="L26" s="24" t="s">
        <v>52</v>
      </c>
      <c r="M26" s="24" t="s">
        <v>86</v>
      </c>
      <c r="N26" s="24" t="s">
        <v>46</v>
      </c>
      <c r="O26" s="24" t="s">
        <v>46</v>
      </c>
      <c r="P26" s="24">
        <v>85</v>
      </c>
      <c r="Q26" s="82">
        <v>0.3</v>
      </c>
      <c r="R26" s="24">
        <v>0</v>
      </c>
      <c r="S26" s="24">
        <v>1.7</v>
      </c>
    </row>
    <row r="27" spans="1:19" ht="14.4" x14ac:dyDescent="0.3">
      <c r="A27" s="23" t="s">
        <v>234</v>
      </c>
      <c r="B27" s="23" t="s">
        <v>235</v>
      </c>
      <c r="C27" s="23" t="s">
        <v>193</v>
      </c>
      <c r="D27" s="23"/>
      <c r="E27" s="23"/>
      <c r="F27" s="23">
        <v>1</v>
      </c>
      <c r="G27" s="23"/>
      <c r="H27" s="23"/>
      <c r="I27" s="23">
        <v>1</v>
      </c>
      <c r="J27" s="23">
        <v>2</v>
      </c>
      <c r="K27" s="23" t="s">
        <v>124</v>
      </c>
      <c r="L27" s="24" t="s">
        <v>52</v>
      </c>
      <c r="M27" s="24" t="s">
        <v>86</v>
      </c>
      <c r="N27" s="24" t="s">
        <v>46</v>
      </c>
      <c r="O27" s="24" t="s">
        <v>46</v>
      </c>
      <c r="P27" s="24">
        <v>85</v>
      </c>
      <c r="Q27" s="82">
        <v>0.3</v>
      </c>
      <c r="R27" s="24">
        <v>0</v>
      </c>
      <c r="S27" s="24">
        <v>1.7</v>
      </c>
    </row>
    <row r="28" spans="1:19" ht="14.4" x14ac:dyDescent="0.3">
      <c r="A28" s="23" t="s">
        <v>204</v>
      </c>
      <c r="B28" s="23" t="s">
        <v>205</v>
      </c>
      <c r="C28" s="23" t="s">
        <v>193</v>
      </c>
      <c r="D28" s="23"/>
      <c r="E28" s="23"/>
      <c r="F28" s="23"/>
      <c r="G28" s="23"/>
      <c r="H28" s="23">
        <v>2</v>
      </c>
      <c r="I28" s="23"/>
      <c r="J28" s="23">
        <v>2</v>
      </c>
      <c r="K28" s="23" t="s">
        <v>124</v>
      </c>
      <c r="L28" s="24" t="s">
        <v>52</v>
      </c>
      <c r="M28" s="24" t="s">
        <v>102</v>
      </c>
      <c r="N28" s="24" t="s">
        <v>46</v>
      </c>
      <c r="O28" s="24" t="s">
        <v>46</v>
      </c>
      <c r="P28" s="24">
        <v>70</v>
      </c>
      <c r="Q28" s="82">
        <v>0.6</v>
      </c>
      <c r="R28" s="24">
        <v>0</v>
      </c>
      <c r="S28" s="24">
        <v>1.4</v>
      </c>
    </row>
    <row r="29" spans="1:19" ht="14.4" x14ac:dyDescent="0.3">
      <c r="A29" s="80" t="s">
        <v>232</v>
      </c>
      <c r="B29" s="80" t="s">
        <v>233</v>
      </c>
      <c r="C29" s="80" t="s">
        <v>193</v>
      </c>
      <c r="D29" s="80"/>
      <c r="E29" s="80"/>
      <c r="F29" s="80"/>
      <c r="G29" s="80"/>
      <c r="H29" s="80"/>
      <c r="I29" s="80">
        <v>1</v>
      </c>
      <c r="J29" s="80">
        <v>1</v>
      </c>
      <c r="K29" s="23" t="s">
        <v>105</v>
      </c>
      <c r="L29" s="24" t="s">
        <v>52</v>
      </c>
      <c r="M29" s="24" t="s">
        <v>67</v>
      </c>
      <c r="N29" s="24" t="s">
        <v>46</v>
      </c>
      <c r="O29" s="24" t="s">
        <v>46</v>
      </c>
      <c r="P29" s="24">
        <v>50</v>
      </c>
      <c r="Q29" s="82">
        <v>0.5</v>
      </c>
      <c r="R29" s="24">
        <v>0</v>
      </c>
      <c r="S29" s="24">
        <v>0.5</v>
      </c>
    </row>
    <row r="30" spans="1:19" ht="14.4" x14ac:dyDescent="0.3">
      <c r="A30" s="23" t="s">
        <v>212</v>
      </c>
      <c r="B30" s="23" t="s">
        <v>213</v>
      </c>
      <c r="C30" s="23" t="s">
        <v>193</v>
      </c>
      <c r="D30" s="23"/>
      <c r="E30" s="23"/>
      <c r="F30" s="23"/>
      <c r="G30" s="23"/>
      <c r="H30" s="23"/>
      <c r="I30" s="23">
        <v>2</v>
      </c>
      <c r="J30" s="23">
        <v>2</v>
      </c>
      <c r="K30" s="23" t="s">
        <v>91</v>
      </c>
      <c r="L30" s="24" t="s">
        <v>52</v>
      </c>
      <c r="M30" s="24" t="s">
        <v>72</v>
      </c>
      <c r="N30" s="24" t="s">
        <v>46</v>
      </c>
      <c r="O30" s="24" t="s">
        <v>46</v>
      </c>
      <c r="P30" s="24">
        <v>80</v>
      </c>
      <c r="Q30" s="82">
        <v>0.4</v>
      </c>
      <c r="R30" s="24">
        <v>0</v>
      </c>
      <c r="S30" s="24">
        <v>1.6</v>
      </c>
    </row>
    <row r="31" spans="1:19" ht="14.4" x14ac:dyDescent="0.3">
      <c r="A31" s="23" t="s">
        <v>224</v>
      </c>
      <c r="B31" s="23" t="s">
        <v>225</v>
      </c>
      <c r="C31" s="23" t="s">
        <v>193</v>
      </c>
      <c r="D31" s="23"/>
      <c r="E31" s="23"/>
      <c r="F31" s="23">
        <v>2</v>
      </c>
      <c r="G31" s="23"/>
      <c r="H31" s="23"/>
      <c r="I31" s="23"/>
      <c r="J31" s="23">
        <v>2</v>
      </c>
      <c r="K31" s="23" t="s">
        <v>124</v>
      </c>
      <c r="L31" s="24" t="s">
        <v>52</v>
      </c>
      <c r="M31" s="24" t="s">
        <v>67</v>
      </c>
      <c r="N31" s="24" t="s">
        <v>46</v>
      </c>
      <c r="O31" s="24" t="s">
        <v>46</v>
      </c>
      <c r="P31" s="24">
        <v>50</v>
      </c>
      <c r="Q31" s="82">
        <v>1</v>
      </c>
      <c r="R31" s="24">
        <v>0</v>
      </c>
      <c r="S31" s="24">
        <v>1</v>
      </c>
    </row>
    <row r="32" spans="1:19" s="18" customFormat="1" ht="14.4" x14ac:dyDescent="0.3">
      <c r="A32" s="23" t="s">
        <v>226</v>
      </c>
      <c r="B32" s="23" t="s">
        <v>227</v>
      </c>
      <c r="C32" s="25" t="s">
        <v>193</v>
      </c>
      <c r="D32" s="23">
        <v>2</v>
      </c>
      <c r="E32" s="23"/>
      <c r="F32" s="23"/>
      <c r="G32" s="23"/>
      <c r="H32" s="23">
        <v>1</v>
      </c>
      <c r="I32" s="23"/>
      <c r="J32" s="23">
        <v>3</v>
      </c>
      <c r="K32" s="23" t="s">
        <v>91</v>
      </c>
      <c r="L32" s="24" t="s">
        <v>52</v>
      </c>
      <c r="M32" s="24" t="s">
        <v>72</v>
      </c>
      <c r="N32" s="24" t="s">
        <v>46</v>
      </c>
      <c r="O32" s="24" t="s">
        <v>46</v>
      </c>
      <c r="P32" s="24">
        <v>80</v>
      </c>
      <c r="Q32" s="82">
        <v>0.6</v>
      </c>
      <c r="R32" s="24">
        <v>0</v>
      </c>
      <c r="S32" s="24">
        <v>2.4</v>
      </c>
    </row>
    <row r="33" spans="1:19" ht="14.4" x14ac:dyDescent="0.3">
      <c r="A33" s="23" t="s">
        <v>696</v>
      </c>
      <c r="B33" s="23" t="s">
        <v>697</v>
      </c>
      <c r="C33" s="23" t="s">
        <v>194</v>
      </c>
      <c r="D33" s="23"/>
      <c r="E33" s="23"/>
      <c r="F33" s="23">
        <v>1</v>
      </c>
      <c r="G33" s="23"/>
      <c r="H33" s="23"/>
      <c r="I33" s="23"/>
      <c r="J33" s="23">
        <v>1</v>
      </c>
      <c r="K33" s="23" t="s">
        <v>112</v>
      </c>
      <c r="L33" s="24" t="s">
        <v>52</v>
      </c>
      <c r="M33" s="24" t="s">
        <v>67</v>
      </c>
      <c r="N33" s="24" t="s">
        <v>46</v>
      </c>
      <c r="O33" s="24" t="s">
        <v>46</v>
      </c>
      <c r="P33" s="24">
        <v>50</v>
      </c>
      <c r="Q33" s="82">
        <v>0.5</v>
      </c>
      <c r="R33" s="24">
        <v>0</v>
      </c>
      <c r="S33" s="24">
        <v>0.5</v>
      </c>
    </row>
    <row r="34" spans="1:19" ht="14.4" x14ac:dyDescent="0.3">
      <c r="A34" s="23" t="s">
        <v>214</v>
      </c>
      <c r="B34" s="23" t="s">
        <v>215</v>
      </c>
      <c r="C34" s="23" t="s">
        <v>193</v>
      </c>
      <c r="D34" s="23">
        <v>1</v>
      </c>
      <c r="E34" s="23"/>
      <c r="F34" s="23">
        <v>1</v>
      </c>
      <c r="G34" s="23"/>
      <c r="H34" s="23"/>
      <c r="I34" s="23"/>
      <c r="J34" s="23">
        <v>2</v>
      </c>
      <c r="K34" s="23" t="s">
        <v>124</v>
      </c>
      <c r="L34" s="24" t="s">
        <v>52</v>
      </c>
      <c r="M34" s="24" t="s">
        <v>79</v>
      </c>
      <c r="N34" s="24" t="s">
        <v>46</v>
      </c>
      <c r="O34" s="24" t="s">
        <v>46</v>
      </c>
      <c r="P34" s="24">
        <v>90</v>
      </c>
      <c r="Q34" s="82">
        <v>0.2</v>
      </c>
      <c r="R34" s="24">
        <v>0</v>
      </c>
      <c r="S34" s="24">
        <v>1.8</v>
      </c>
    </row>
    <row r="35" spans="1:19" ht="14.4" x14ac:dyDescent="0.3">
      <c r="A35" s="23" t="s">
        <v>698</v>
      </c>
      <c r="B35" s="23" t="s">
        <v>699</v>
      </c>
      <c r="C35" s="23" t="s">
        <v>193</v>
      </c>
      <c r="D35" s="23"/>
      <c r="E35" s="23"/>
      <c r="F35" s="23"/>
      <c r="G35" s="23">
        <v>1</v>
      </c>
      <c r="H35" s="23"/>
      <c r="I35" s="23"/>
      <c r="J35" s="23">
        <v>1</v>
      </c>
      <c r="K35" s="23" t="s">
        <v>124</v>
      </c>
      <c r="L35" s="24" t="s">
        <v>52</v>
      </c>
      <c r="M35" s="24" t="s">
        <v>79</v>
      </c>
      <c r="N35" s="24" t="s">
        <v>46</v>
      </c>
      <c r="O35" s="24" t="s">
        <v>46</v>
      </c>
      <c r="P35" s="24">
        <v>90</v>
      </c>
      <c r="Q35" s="82">
        <v>0.1</v>
      </c>
      <c r="R35" s="24">
        <v>0</v>
      </c>
      <c r="S35" s="24">
        <v>0.9</v>
      </c>
    </row>
    <row r="36" spans="1:19" ht="14.4" x14ac:dyDescent="0.3">
      <c r="A36" s="23" t="s">
        <v>228</v>
      </c>
      <c r="B36" s="23" t="s">
        <v>229</v>
      </c>
      <c r="C36" s="23" t="s">
        <v>193</v>
      </c>
      <c r="D36" s="23"/>
      <c r="E36" s="23"/>
      <c r="F36" s="23">
        <v>1</v>
      </c>
      <c r="G36" s="23"/>
      <c r="H36" s="23">
        <v>1</v>
      </c>
      <c r="I36" s="23"/>
      <c r="J36" s="23">
        <v>2</v>
      </c>
      <c r="K36" s="23" t="s">
        <v>124</v>
      </c>
      <c r="L36" s="24" t="s">
        <v>52</v>
      </c>
      <c r="M36" s="24" t="s">
        <v>79</v>
      </c>
      <c r="N36" s="24" t="s">
        <v>46</v>
      </c>
      <c r="O36" s="24" t="s">
        <v>46</v>
      </c>
      <c r="P36" s="24">
        <v>90</v>
      </c>
      <c r="Q36" s="82">
        <v>0.2</v>
      </c>
      <c r="R36" s="24">
        <v>0</v>
      </c>
      <c r="S36" s="24">
        <v>1.8</v>
      </c>
    </row>
    <row r="37" spans="1:19" ht="14.4" x14ac:dyDescent="0.3">
      <c r="A37" s="23" t="s">
        <v>244</v>
      </c>
      <c r="B37" s="23" t="s">
        <v>245</v>
      </c>
      <c r="C37" s="25" t="s">
        <v>193</v>
      </c>
      <c r="D37" s="23"/>
      <c r="E37" s="23"/>
      <c r="F37" s="23"/>
      <c r="G37" s="23">
        <v>2</v>
      </c>
      <c r="H37" s="23"/>
      <c r="I37" s="23"/>
      <c r="J37" s="23">
        <v>2</v>
      </c>
      <c r="K37" s="23" t="s">
        <v>82</v>
      </c>
      <c r="L37" s="24" t="s">
        <v>52</v>
      </c>
      <c r="M37" s="24" t="s">
        <v>72</v>
      </c>
      <c r="N37" s="24" t="s">
        <v>45</v>
      </c>
      <c r="O37" s="24" t="s">
        <v>67</v>
      </c>
      <c r="P37" s="24">
        <v>30</v>
      </c>
      <c r="Q37" s="82">
        <v>0.4</v>
      </c>
      <c r="R37" s="24">
        <v>1</v>
      </c>
      <c r="S37" s="24">
        <v>0.6</v>
      </c>
    </row>
    <row r="38" spans="1:19" ht="14.4" x14ac:dyDescent="0.3">
      <c r="A38" s="23" t="s">
        <v>700</v>
      </c>
      <c r="B38" s="23" t="s">
        <v>701</v>
      </c>
      <c r="C38" s="25" t="s">
        <v>194</v>
      </c>
      <c r="D38" s="23"/>
      <c r="E38" s="23"/>
      <c r="F38" s="23"/>
      <c r="G38" s="23"/>
      <c r="H38" s="23">
        <v>1</v>
      </c>
      <c r="I38" s="23"/>
      <c r="J38" s="23">
        <v>1</v>
      </c>
      <c r="K38" s="23" t="s">
        <v>75</v>
      </c>
      <c r="L38" s="24" t="s">
        <v>52</v>
      </c>
      <c r="M38" s="24" t="s">
        <v>79</v>
      </c>
      <c r="N38" s="24" t="s">
        <v>84</v>
      </c>
      <c r="O38" s="24" t="s">
        <v>67</v>
      </c>
      <c r="P38" s="24">
        <v>40</v>
      </c>
      <c r="Q38" s="82">
        <v>0.1</v>
      </c>
      <c r="R38" s="24">
        <v>0.5</v>
      </c>
      <c r="S38" s="24">
        <v>0.4</v>
      </c>
    </row>
    <row r="39" spans="1:19" ht="14.4" x14ac:dyDescent="0.3">
      <c r="A39" s="23" t="s">
        <v>373</v>
      </c>
      <c r="B39" s="23" t="s">
        <v>374</v>
      </c>
      <c r="C39" s="23" t="s">
        <v>193</v>
      </c>
      <c r="D39" s="23"/>
      <c r="E39" s="23"/>
      <c r="F39" s="23"/>
      <c r="G39" s="23"/>
      <c r="H39" s="23">
        <v>1</v>
      </c>
      <c r="I39" s="23"/>
      <c r="J39" s="23">
        <v>1</v>
      </c>
      <c r="K39" s="23" t="s">
        <v>112</v>
      </c>
      <c r="L39" s="24" t="s">
        <v>63</v>
      </c>
      <c r="M39" s="24" t="s">
        <v>102</v>
      </c>
      <c r="N39" s="24" t="s">
        <v>52</v>
      </c>
      <c r="O39" s="24" t="s">
        <v>375</v>
      </c>
      <c r="P39" s="24">
        <v>35</v>
      </c>
      <c r="Q39" s="24">
        <v>0.3</v>
      </c>
      <c r="R39" s="82">
        <v>0.35</v>
      </c>
      <c r="S39" s="24">
        <v>0.35</v>
      </c>
    </row>
    <row r="40" spans="1:19" ht="14.4" x14ac:dyDescent="0.3">
      <c r="A40" s="23" t="s">
        <v>195</v>
      </c>
      <c r="B40" s="23" t="s">
        <v>196</v>
      </c>
      <c r="C40" s="23" t="s">
        <v>193</v>
      </c>
      <c r="D40" s="23"/>
      <c r="E40" s="23"/>
      <c r="F40" s="23">
        <v>1</v>
      </c>
      <c r="G40" s="23"/>
      <c r="H40" s="23">
        <v>1</v>
      </c>
      <c r="I40" s="23"/>
      <c r="J40" s="23">
        <v>2</v>
      </c>
      <c r="K40" s="23" t="s">
        <v>91</v>
      </c>
      <c r="L40" s="24" t="s">
        <v>45</v>
      </c>
      <c r="M40" s="24" t="s">
        <v>67</v>
      </c>
      <c r="N40" s="24" t="s">
        <v>52</v>
      </c>
      <c r="O40" s="24" t="s">
        <v>79</v>
      </c>
      <c r="P40" s="24">
        <v>40</v>
      </c>
      <c r="Q40" s="24">
        <v>1</v>
      </c>
      <c r="R40" s="82">
        <v>0.2</v>
      </c>
      <c r="S40" s="24">
        <v>0.8</v>
      </c>
    </row>
    <row r="41" spans="1:19" ht="14.4" x14ac:dyDescent="0.3">
      <c r="A41" s="23" t="s">
        <v>199</v>
      </c>
      <c r="B41" s="23" t="s">
        <v>200</v>
      </c>
      <c r="C41" s="23" t="s">
        <v>193</v>
      </c>
      <c r="D41" s="23"/>
      <c r="E41" s="23"/>
      <c r="F41" s="23">
        <v>1</v>
      </c>
      <c r="G41" s="23"/>
      <c r="H41" s="23"/>
      <c r="I41" s="23">
        <v>1</v>
      </c>
      <c r="J41" s="23">
        <v>2</v>
      </c>
      <c r="K41" s="23" t="s">
        <v>75</v>
      </c>
      <c r="L41" s="24" t="s">
        <v>84</v>
      </c>
      <c r="M41" s="24" t="s">
        <v>67</v>
      </c>
      <c r="N41" s="24" t="s">
        <v>52</v>
      </c>
      <c r="O41" s="24" t="s">
        <v>79</v>
      </c>
      <c r="P41" s="24">
        <v>40</v>
      </c>
      <c r="Q41" s="24">
        <v>1</v>
      </c>
      <c r="R41" s="82">
        <v>0.2</v>
      </c>
      <c r="S41" s="24">
        <v>0.8</v>
      </c>
    </row>
    <row r="42" spans="1:19" ht="14.4" x14ac:dyDescent="0.3">
      <c r="A42" s="23" t="s">
        <v>252</v>
      </c>
      <c r="B42" s="23" t="s">
        <v>253</v>
      </c>
      <c r="C42" s="23" t="s">
        <v>193</v>
      </c>
      <c r="D42" s="23">
        <v>1</v>
      </c>
      <c r="E42" s="23"/>
      <c r="F42" s="23"/>
      <c r="G42" s="23"/>
      <c r="H42" s="23"/>
      <c r="I42" s="23"/>
      <c r="J42" s="23">
        <v>1</v>
      </c>
      <c r="K42" s="23" t="s">
        <v>112</v>
      </c>
      <c r="L42" s="24" t="s">
        <v>63</v>
      </c>
      <c r="M42" s="24" t="s">
        <v>102</v>
      </c>
      <c r="N42" s="24" t="s">
        <v>52</v>
      </c>
      <c r="O42" s="24" t="s">
        <v>72</v>
      </c>
      <c r="P42" s="24">
        <v>50</v>
      </c>
      <c r="Q42" s="24">
        <v>0.3</v>
      </c>
      <c r="R42" s="82">
        <v>0.2</v>
      </c>
      <c r="S42" s="24">
        <v>0.5</v>
      </c>
    </row>
    <row r="43" spans="1:19" ht="14.4" x14ac:dyDescent="0.3">
      <c r="A43" s="23" t="s">
        <v>201</v>
      </c>
      <c r="B43" s="23" t="s">
        <v>360</v>
      </c>
      <c r="C43" s="80" t="s">
        <v>193</v>
      </c>
      <c r="D43" s="23"/>
      <c r="E43" s="23">
        <v>1</v>
      </c>
      <c r="F43" s="23"/>
      <c r="G43" s="23"/>
      <c r="H43" s="23"/>
      <c r="I43" s="23"/>
      <c r="J43" s="23">
        <v>1</v>
      </c>
      <c r="K43" s="23" t="s">
        <v>75</v>
      </c>
      <c r="L43" s="24" t="s">
        <v>84</v>
      </c>
      <c r="M43" s="24" t="s">
        <v>67</v>
      </c>
      <c r="N43" s="24" t="s">
        <v>52</v>
      </c>
      <c r="O43" s="24" t="s">
        <v>79</v>
      </c>
      <c r="P43" s="24">
        <v>40</v>
      </c>
      <c r="Q43" s="24">
        <v>0.5</v>
      </c>
      <c r="R43" s="82">
        <v>0.1</v>
      </c>
      <c r="S43" s="24">
        <v>0.4</v>
      </c>
    </row>
    <row r="44" spans="1:19" ht="14.4" x14ac:dyDescent="0.3">
      <c r="A44" s="23" t="s">
        <v>702</v>
      </c>
      <c r="B44" s="23" t="s">
        <v>703</v>
      </c>
      <c r="C44" s="23" t="s">
        <v>193</v>
      </c>
      <c r="D44" s="23"/>
      <c r="E44" s="23"/>
      <c r="F44" s="23">
        <v>1</v>
      </c>
      <c r="G44" s="23"/>
      <c r="H44" s="23"/>
      <c r="I44" s="23">
        <v>1</v>
      </c>
      <c r="J44" s="23">
        <v>2</v>
      </c>
      <c r="K44" s="23" t="s">
        <v>75</v>
      </c>
      <c r="L44" s="24" t="s">
        <v>512</v>
      </c>
      <c r="M44" s="24" t="s">
        <v>67</v>
      </c>
      <c r="N44" s="24" t="s">
        <v>52</v>
      </c>
      <c r="O44" s="24" t="s">
        <v>79</v>
      </c>
      <c r="P44" s="24">
        <v>40</v>
      </c>
      <c r="Q44" s="24">
        <v>1</v>
      </c>
      <c r="R44" s="82">
        <v>0.2</v>
      </c>
      <c r="S44" s="24">
        <v>0.8</v>
      </c>
    </row>
    <row r="45" spans="1:19" ht="14.4" x14ac:dyDescent="0.3">
      <c r="A45" s="23" t="s">
        <v>197</v>
      </c>
      <c r="B45" s="23" t="s">
        <v>198</v>
      </c>
      <c r="C45" s="23" t="s">
        <v>193</v>
      </c>
      <c r="D45" s="23"/>
      <c r="E45" s="23"/>
      <c r="F45" s="23">
        <v>1</v>
      </c>
      <c r="G45" s="23"/>
      <c r="H45" s="23">
        <v>1</v>
      </c>
      <c r="I45" s="23"/>
      <c r="J45" s="23">
        <v>2</v>
      </c>
      <c r="K45" s="23" t="s">
        <v>112</v>
      </c>
      <c r="L45" s="24" t="s">
        <v>84</v>
      </c>
      <c r="M45" s="24" t="s">
        <v>79</v>
      </c>
      <c r="N45" s="24" t="s">
        <v>52</v>
      </c>
      <c r="O45" s="24" t="s">
        <v>114</v>
      </c>
      <c r="P45" s="24">
        <v>20</v>
      </c>
      <c r="Q45" s="24">
        <v>0.2</v>
      </c>
      <c r="R45" s="82">
        <v>1.4</v>
      </c>
      <c r="S45" s="24">
        <v>0.4</v>
      </c>
    </row>
    <row r="46" spans="1:19" ht="14.4" x14ac:dyDescent="0.3">
      <c r="A46" s="23" t="s">
        <v>230</v>
      </c>
      <c r="B46" s="23" t="s">
        <v>231</v>
      </c>
      <c r="C46" s="23" t="s">
        <v>193</v>
      </c>
      <c r="D46" s="23"/>
      <c r="E46" s="23"/>
      <c r="F46" s="23"/>
      <c r="G46" s="23"/>
      <c r="H46" s="23">
        <v>2</v>
      </c>
      <c r="I46" s="23"/>
      <c r="J46" s="23">
        <v>2</v>
      </c>
      <c r="K46" s="23" t="s">
        <v>91</v>
      </c>
      <c r="L46" s="24" t="s">
        <v>45</v>
      </c>
      <c r="M46" s="24" t="s">
        <v>72</v>
      </c>
      <c r="N46" s="24" t="s">
        <v>52</v>
      </c>
      <c r="O46" s="24" t="s">
        <v>79</v>
      </c>
      <c r="P46" s="24">
        <v>70</v>
      </c>
      <c r="Q46" s="24">
        <v>0.4</v>
      </c>
      <c r="R46" s="82">
        <v>0.2</v>
      </c>
      <c r="S46" s="24">
        <v>1.4</v>
      </c>
    </row>
    <row r="47" spans="1:19" ht="14.4" x14ac:dyDescent="0.3">
      <c r="A47" s="23" t="s">
        <v>704</v>
      </c>
      <c r="B47" s="23" t="s">
        <v>705</v>
      </c>
      <c r="C47" s="23" t="s">
        <v>193</v>
      </c>
      <c r="D47" s="23"/>
      <c r="E47" s="23"/>
      <c r="F47" s="23">
        <v>1</v>
      </c>
      <c r="G47" s="23"/>
      <c r="H47" s="23"/>
      <c r="I47" s="23"/>
      <c r="J47" s="23">
        <v>1</v>
      </c>
      <c r="K47" s="23" t="s">
        <v>75</v>
      </c>
      <c r="L47" s="24" t="s">
        <v>84</v>
      </c>
      <c r="M47" s="24" t="s">
        <v>67</v>
      </c>
      <c r="N47" s="24" t="s">
        <v>52</v>
      </c>
      <c r="O47" s="24" t="s">
        <v>79</v>
      </c>
      <c r="P47" s="24">
        <v>40</v>
      </c>
      <c r="Q47" s="24">
        <v>0.5</v>
      </c>
      <c r="R47" s="82">
        <v>0.1</v>
      </c>
      <c r="S47" s="24">
        <v>0.4</v>
      </c>
    </row>
    <row r="48" spans="1:19" ht="14.4" x14ac:dyDescent="0.3">
      <c r="A48" s="23" t="s">
        <v>202</v>
      </c>
      <c r="B48" s="23" t="s">
        <v>203</v>
      </c>
      <c r="C48" s="23">
        <v>6</v>
      </c>
      <c r="D48" s="23"/>
      <c r="E48" s="23"/>
      <c r="F48" s="23">
        <v>1</v>
      </c>
      <c r="G48" s="23"/>
      <c r="H48" s="23"/>
      <c r="I48" s="23"/>
      <c r="J48" s="23">
        <v>1</v>
      </c>
      <c r="K48" s="23" t="s">
        <v>112</v>
      </c>
      <c r="L48" s="24" t="s">
        <v>84</v>
      </c>
      <c r="M48" s="24" t="s">
        <v>79</v>
      </c>
      <c r="N48" s="24" t="s">
        <v>52</v>
      </c>
      <c r="O48" s="24" t="s">
        <v>83</v>
      </c>
      <c r="P48" s="24">
        <v>10</v>
      </c>
      <c r="Q48" s="24">
        <v>0.1</v>
      </c>
      <c r="R48" s="82">
        <v>0.8</v>
      </c>
      <c r="S48" s="24">
        <v>0.1</v>
      </c>
    </row>
    <row r="49" spans="1:19" ht="14.4" x14ac:dyDescent="0.3">
      <c r="A49" s="23" t="s">
        <v>254</v>
      </c>
      <c r="B49" s="23" t="s">
        <v>255</v>
      </c>
      <c r="C49" s="23" t="s">
        <v>193</v>
      </c>
      <c r="D49" s="23"/>
      <c r="E49" s="23"/>
      <c r="F49" s="23"/>
      <c r="G49" s="23">
        <v>1</v>
      </c>
      <c r="H49" s="23"/>
      <c r="I49" s="23"/>
      <c r="J49" s="23">
        <v>1</v>
      </c>
      <c r="K49" s="23" t="s">
        <v>112</v>
      </c>
      <c r="L49" s="24" t="s">
        <v>63</v>
      </c>
      <c r="M49" s="24" t="s">
        <v>87</v>
      </c>
      <c r="N49" s="24" t="s">
        <v>52</v>
      </c>
      <c r="O49" s="24" t="s">
        <v>79</v>
      </c>
      <c r="P49" s="24">
        <v>50</v>
      </c>
      <c r="Q49" s="24">
        <v>0.4</v>
      </c>
      <c r="R49" s="82">
        <v>0.1</v>
      </c>
      <c r="S49" s="24">
        <v>0.5</v>
      </c>
    </row>
    <row r="50" spans="1:19" ht="14.4" x14ac:dyDescent="0.3">
      <c r="A50" s="23" t="s">
        <v>258</v>
      </c>
      <c r="B50" s="23" t="s">
        <v>259</v>
      </c>
      <c r="C50" s="25" t="s">
        <v>376</v>
      </c>
      <c r="D50" s="23"/>
      <c r="E50" s="23"/>
      <c r="F50" s="23"/>
      <c r="G50" s="23"/>
      <c r="H50" s="23"/>
      <c r="I50" s="23">
        <v>1</v>
      </c>
      <c r="J50" s="23">
        <v>1</v>
      </c>
      <c r="K50" s="23" t="s">
        <v>112</v>
      </c>
      <c r="L50" s="24" t="s">
        <v>63</v>
      </c>
      <c r="M50" s="24" t="s">
        <v>67</v>
      </c>
      <c r="N50" s="24" t="s">
        <v>52</v>
      </c>
      <c r="O50" s="24" t="s">
        <v>72</v>
      </c>
      <c r="P50" s="24">
        <v>30</v>
      </c>
      <c r="Q50" s="24">
        <v>0.5</v>
      </c>
      <c r="R50" s="82">
        <v>0.2</v>
      </c>
      <c r="S50" s="24">
        <v>0.3</v>
      </c>
    </row>
    <row r="51" spans="1:19" x14ac:dyDescent="0.25">
      <c r="Q51" s="96">
        <f>SUM(R39:R50,Q2:Q38)</f>
        <v>16.249999999999993</v>
      </c>
      <c r="R51" s="96"/>
    </row>
  </sheetData>
  <mergeCells count="1">
    <mergeCell ref="Q51:R51"/>
  </mergeCells>
  <pageMargins left="0.39370078740157483" right="0.39370078740157483" top="0.39370078740157483" bottom="0.39370078740157483" header="0.31496062992125984" footer="0.31496062992125984"/>
  <pageSetup paperSize="9" scale="92" fitToHeight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4"/>
  <sheetViews>
    <sheetView zoomScaleNormal="100" workbookViewId="0">
      <selection activeCell="A34" sqref="A34:XFD45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260</v>
      </c>
      <c r="B2" s="5"/>
    </row>
    <row r="3" spans="1:2" x14ac:dyDescent="0.2">
      <c r="A3" s="4" t="s">
        <v>261</v>
      </c>
      <c r="B3" s="5">
        <v>2000</v>
      </c>
    </row>
    <row r="4" spans="1:2" x14ac:dyDescent="0.2">
      <c r="A4" s="4" t="s">
        <v>3</v>
      </c>
      <c r="B4" s="5"/>
    </row>
    <row r="5" spans="1:2" x14ac:dyDescent="0.2">
      <c r="A5" s="4" t="s">
        <v>262</v>
      </c>
      <c r="B5" s="5">
        <v>7500</v>
      </c>
    </row>
    <row r="6" spans="1:2" x14ac:dyDescent="0.2">
      <c r="A6" s="4" t="s">
        <v>6</v>
      </c>
      <c r="B6" s="5"/>
    </row>
    <row r="7" spans="1:2" x14ac:dyDescent="0.2">
      <c r="A7" s="4" t="s">
        <v>263</v>
      </c>
      <c r="B7" s="5">
        <v>33300</v>
      </c>
    </row>
    <row r="8" spans="1:2" x14ac:dyDescent="0.2">
      <c r="A8" s="4" t="s">
        <v>264</v>
      </c>
      <c r="B8" s="5">
        <v>23.24</v>
      </c>
    </row>
    <row r="9" spans="1:2" x14ac:dyDescent="0.2">
      <c r="A9" s="4" t="s">
        <v>265</v>
      </c>
      <c r="B9" s="5">
        <v>5.85</v>
      </c>
    </row>
    <row r="10" spans="1:2" x14ac:dyDescent="0.2">
      <c r="A10" s="4" t="s">
        <v>266</v>
      </c>
      <c r="B10" s="5">
        <v>119000</v>
      </c>
    </row>
    <row r="11" spans="1:2" x14ac:dyDescent="0.2">
      <c r="A11" s="4" t="s">
        <v>267</v>
      </c>
      <c r="B11" s="5"/>
    </row>
    <row r="12" spans="1:2" x14ac:dyDescent="0.2">
      <c r="A12" s="4" t="s">
        <v>268</v>
      </c>
      <c r="B12" s="5">
        <v>2000</v>
      </c>
    </row>
    <row r="13" spans="1:2" x14ac:dyDescent="0.2">
      <c r="A13" s="4" t="s">
        <v>269</v>
      </c>
      <c r="B13" s="5"/>
    </row>
    <row r="14" spans="1:2" x14ac:dyDescent="0.2">
      <c r="A14" s="4" t="s">
        <v>270</v>
      </c>
      <c r="B14" s="5">
        <v>14990</v>
      </c>
    </row>
    <row r="15" spans="1:2" x14ac:dyDescent="0.2">
      <c r="A15" s="4" t="s">
        <v>271</v>
      </c>
      <c r="B15" s="5"/>
    </row>
    <row r="16" spans="1:2" x14ac:dyDescent="0.2">
      <c r="A16" s="4" t="s">
        <v>272</v>
      </c>
      <c r="B16" s="5">
        <v>2000</v>
      </c>
    </row>
    <row r="17" spans="1:2" x14ac:dyDescent="0.2">
      <c r="A17" s="4" t="s">
        <v>273</v>
      </c>
      <c r="B17" s="5"/>
    </row>
    <row r="18" spans="1:2" x14ac:dyDescent="0.2">
      <c r="A18" s="4" t="s">
        <v>274</v>
      </c>
      <c r="B18" s="5">
        <v>2000</v>
      </c>
    </row>
    <row r="19" spans="1:2" x14ac:dyDescent="0.2">
      <c r="A19" s="4" t="s">
        <v>275</v>
      </c>
      <c r="B19" s="5"/>
    </row>
    <row r="20" spans="1:2" x14ac:dyDescent="0.2">
      <c r="A20" s="4" t="s">
        <v>276</v>
      </c>
      <c r="B20" s="5">
        <v>2000</v>
      </c>
    </row>
    <row r="21" spans="1:2" x14ac:dyDescent="0.2">
      <c r="A21" s="4" t="s">
        <v>277</v>
      </c>
      <c r="B21" s="5"/>
    </row>
    <row r="22" spans="1:2" x14ac:dyDescent="0.2">
      <c r="A22" s="4" t="s">
        <v>278</v>
      </c>
      <c r="B22" s="5">
        <v>3000</v>
      </c>
    </row>
    <row r="23" spans="1:2" x14ac:dyDescent="0.2">
      <c r="A23" s="4" t="s">
        <v>279</v>
      </c>
      <c r="B23" s="5"/>
    </row>
    <row r="24" spans="1:2" x14ac:dyDescent="0.2">
      <c r="A24" s="4" t="s">
        <v>280</v>
      </c>
      <c r="B24" s="5">
        <v>3000</v>
      </c>
    </row>
    <row r="25" spans="1:2" x14ac:dyDescent="0.2">
      <c r="A25" s="4" t="s">
        <v>281</v>
      </c>
      <c r="B25" s="5">
        <v>3000</v>
      </c>
    </row>
    <row r="26" spans="1:2" x14ac:dyDescent="0.2">
      <c r="A26" s="4" t="s">
        <v>282</v>
      </c>
      <c r="B26" s="5"/>
    </row>
    <row r="27" spans="1:2" x14ac:dyDescent="0.2">
      <c r="A27" s="4" t="s">
        <v>283</v>
      </c>
      <c r="B27" s="5">
        <v>2996.1</v>
      </c>
    </row>
    <row r="28" spans="1:2" x14ac:dyDescent="0.2">
      <c r="A28" s="4" t="s">
        <v>19</v>
      </c>
      <c r="B28" s="5"/>
    </row>
    <row r="29" spans="1:2" x14ac:dyDescent="0.2">
      <c r="A29" s="4" t="s">
        <v>284</v>
      </c>
      <c r="B29" s="5">
        <v>20000</v>
      </c>
    </row>
    <row r="30" spans="1:2" x14ac:dyDescent="0.2">
      <c r="A30" s="4" t="s">
        <v>7</v>
      </c>
      <c r="B30" s="5"/>
    </row>
    <row r="31" spans="1:2" x14ac:dyDescent="0.2">
      <c r="A31" s="4" t="s">
        <v>285</v>
      </c>
      <c r="B31" s="5">
        <v>8250</v>
      </c>
    </row>
    <row r="32" spans="1:2" x14ac:dyDescent="0.2">
      <c r="A32" s="4" t="s">
        <v>8</v>
      </c>
      <c r="B32" s="5"/>
    </row>
    <row r="33" spans="1:2" x14ac:dyDescent="0.2">
      <c r="A33" s="4" t="s">
        <v>286</v>
      </c>
      <c r="B33" s="5">
        <v>11787</v>
      </c>
    </row>
    <row r="34" spans="1:2" x14ac:dyDescent="0.2">
      <c r="A34" s="6" t="s">
        <v>2</v>
      </c>
      <c r="B34" s="7">
        <f>SUM(B3:B33)</f>
        <v>236852.19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D0C9-3654-4AFB-8101-7441BF31F23E}">
  <dimension ref="A1:B57"/>
  <sheetViews>
    <sheetView topLeftCell="B40" workbookViewId="0">
      <selection sqref="A1:B1"/>
    </sheetView>
  </sheetViews>
  <sheetFormatPr baseColWidth="10" defaultRowHeight="14.4" x14ac:dyDescent="0.3"/>
  <cols>
    <col min="1" max="1" width="255.6640625" bestFit="1" customWidth="1"/>
  </cols>
  <sheetData>
    <row r="1" spans="1:2" ht="21.6" x14ac:dyDescent="0.3">
      <c r="A1" s="2" t="s">
        <v>0</v>
      </c>
      <c r="B1" s="3" t="s">
        <v>1</v>
      </c>
    </row>
    <row r="2" spans="1:2" x14ac:dyDescent="0.3">
      <c r="A2" s="30" t="s">
        <v>4</v>
      </c>
      <c r="B2" s="31"/>
    </row>
    <row r="3" spans="1:2" x14ac:dyDescent="0.3">
      <c r="A3" s="32" t="s">
        <v>430</v>
      </c>
      <c r="B3">
        <v>2.5099999999999998</v>
      </c>
    </row>
    <row r="4" spans="1:2" x14ac:dyDescent="0.3">
      <c r="A4" s="32" t="s">
        <v>431</v>
      </c>
      <c r="B4">
        <v>41.08</v>
      </c>
    </row>
    <row r="5" spans="1:2" x14ac:dyDescent="0.3">
      <c r="A5" s="32" t="s">
        <v>432</v>
      </c>
      <c r="B5">
        <v>59.43</v>
      </c>
    </row>
    <row r="6" spans="1:2" x14ac:dyDescent="0.3">
      <c r="A6" s="30" t="s">
        <v>5</v>
      </c>
      <c r="B6" s="31"/>
    </row>
    <row r="7" spans="1:2" x14ac:dyDescent="0.3">
      <c r="A7" s="32" t="s">
        <v>430</v>
      </c>
      <c r="B7">
        <v>2.38</v>
      </c>
    </row>
    <row r="8" spans="1:2" x14ac:dyDescent="0.3">
      <c r="A8" s="30" t="s">
        <v>6</v>
      </c>
      <c r="B8" s="31"/>
    </row>
    <row r="9" spans="1:2" x14ac:dyDescent="0.3">
      <c r="A9" s="32" t="s">
        <v>433</v>
      </c>
      <c r="B9">
        <v>67558.98</v>
      </c>
    </row>
    <row r="10" spans="1:2" x14ac:dyDescent="0.3">
      <c r="A10" s="32" t="s">
        <v>434</v>
      </c>
      <c r="B10">
        <v>54.34</v>
      </c>
    </row>
    <row r="11" spans="1:2" x14ac:dyDescent="0.3">
      <c r="A11" s="30" t="s">
        <v>435</v>
      </c>
      <c r="B11" s="31"/>
    </row>
    <row r="12" spans="1:2" x14ac:dyDescent="0.3">
      <c r="A12" s="32" t="s">
        <v>436</v>
      </c>
      <c r="B12">
        <v>1760</v>
      </c>
    </row>
    <row r="13" spans="1:2" x14ac:dyDescent="0.3">
      <c r="A13" s="30" t="s">
        <v>437</v>
      </c>
      <c r="B13" s="31"/>
    </row>
    <row r="14" spans="1:2" x14ac:dyDescent="0.3">
      <c r="A14" s="32" t="s">
        <v>438</v>
      </c>
      <c r="B14">
        <v>1760</v>
      </c>
    </row>
    <row r="15" spans="1:2" x14ac:dyDescent="0.3">
      <c r="A15" s="30" t="s">
        <v>439</v>
      </c>
      <c r="B15" s="31"/>
    </row>
    <row r="16" spans="1:2" x14ac:dyDescent="0.3">
      <c r="A16" s="32" t="s">
        <v>440</v>
      </c>
      <c r="B16">
        <v>1760</v>
      </c>
    </row>
    <row r="17" spans="1:2" x14ac:dyDescent="0.3">
      <c r="A17" s="30" t="s">
        <v>441</v>
      </c>
      <c r="B17" s="31"/>
    </row>
    <row r="18" spans="1:2" x14ac:dyDescent="0.3">
      <c r="A18" s="32" t="s">
        <v>442</v>
      </c>
      <c r="B18">
        <v>1760</v>
      </c>
    </row>
    <row r="19" spans="1:2" x14ac:dyDescent="0.3">
      <c r="A19" s="30" t="s">
        <v>443</v>
      </c>
      <c r="B19" s="31"/>
    </row>
    <row r="20" spans="1:2" x14ac:dyDescent="0.3">
      <c r="A20" s="32" t="s">
        <v>444</v>
      </c>
      <c r="B20">
        <v>1760</v>
      </c>
    </row>
    <row r="21" spans="1:2" x14ac:dyDescent="0.3">
      <c r="A21" s="30" t="s">
        <v>445</v>
      </c>
      <c r="B21" s="31"/>
    </row>
    <row r="22" spans="1:2" x14ac:dyDescent="0.3">
      <c r="A22" s="32" t="s">
        <v>446</v>
      </c>
      <c r="B22">
        <v>2200</v>
      </c>
    </row>
    <row r="23" spans="1:2" x14ac:dyDescent="0.3">
      <c r="A23" s="30" t="s">
        <v>447</v>
      </c>
      <c r="B23" s="31"/>
    </row>
    <row r="24" spans="1:2" x14ac:dyDescent="0.3">
      <c r="A24" s="32" t="s">
        <v>448</v>
      </c>
      <c r="B24">
        <v>1980</v>
      </c>
    </row>
    <row r="25" spans="1:2" x14ac:dyDescent="0.3">
      <c r="A25" s="30" t="s">
        <v>449</v>
      </c>
      <c r="B25" s="31"/>
    </row>
    <row r="26" spans="1:2" x14ac:dyDescent="0.3">
      <c r="A26" s="32" t="s">
        <v>450</v>
      </c>
      <c r="B26">
        <v>5720</v>
      </c>
    </row>
    <row r="27" spans="1:2" x14ac:dyDescent="0.3">
      <c r="A27" s="30" t="s">
        <v>451</v>
      </c>
      <c r="B27" s="31"/>
    </row>
    <row r="28" spans="1:2" x14ac:dyDescent="0.3">
      <c r="A28" s="32" t="s">
        <v>452</v>
      </c>
      <c r="B28">
        <v>5720</v>
      </c>
    </row>
    <row r="29" spans="1:2" x14ac:dyDescent="0.3">
      <c r="A29" s="32" t="s">
        <v>453</v>
      </c>
      <c r="B29">
        <v>5720</v>
      </c>
    </row>
    <row r="30" spans="1:2" x14ac:dyDescent="0.3">
      <c r="A30" s="30" t="s">
        <v>454</v>
      </c>
      <c r="B30" s="31"/>
    </row>
    <row r="31" spans="1:2" x14ac:dyDescent="0.3">
      <c r="A31" s="32" t="s">
        <v>455</v>
      </c>
      <c r="B31">
        <v>5720</v>
      </c>
    </row>
    <row r="32" spans="1:2" x14ac:dyDescent="0.3">
      <c r="A32" s="32" t="s">
        <v>456</v>
      </c>
      <c r="B32">
        <v>5720</v>
      </c>
    </row>
    <row r="33" spans="1:2" x14ac:dyDescent="0.3">
      <c r="A33" s="32" t="s">
        <v>457</v>
      </c>
      <c r="B33">
        <v>1760</v>
      </c>
    </row>
    <row r="34" spans="1:2" x14ac:dyDescent="0.3">
      <c r="A34" s="30" t="s">
        <v>458</v>
      </c>
      <c r="B34" s="31"/>
    </row>
    <row r="35" spans="1:2" x14ac:dyDescent="0.3">
      <c r="A35" s="32" t="s">
        <v>459</v>
      </c>
      <c r="B35">
        <v>7040</v>
      </c>
    </row>
    <row r="36" spans="1:2" x14ac:dyDescent="0.3">
      <c r="A36" s="30" t="s">
        <v>460</v>
      </c>
      <c r="B36" s="31"/>
    </row>
    <row r="37" spans="1:2" x14ac:dyDescent="0.3">
      <c r="A37" s="32" t="s">
        <v>461</v>
      </c>
      <c r="B37">
        <v>475.2</v>
      </c>
    </row>
    <row r="38" spans="1:2" x14ac:dyDescent="0.3">
      <c r="A38" s="30" t="s">
        <v>462</v>
      </c>
      <c r="B38" s="31"/>
    </row>
    <row r="39" spans="1:2" x14ac:dyDescent="0.3">
      <c r="A39" s="32" t="s">
        <v>463</v>
      </c>
      <c r="B39">
        <v>6160</v>
      </c>
    </row>
    <row r="40" spans="1:2" x14ac:dyDescent="0.3">
      <c r="A40" s="30" t="s">
        <v>464</v>
      </c>
      <c r="B40" s="31"/>
    </row>
    <row r="41" spans="1:2" x14ac:dyDescent="0.3">
      <c r="A41" s="32" t="s">
        <v>465</v>
      </c>
      <c r="B41">
        <v>17600</v>
      </c>
    </row>
    <row r="42" spans="1:2" x14ac:dyDescent="0.3">
      <c r="A42" s="30" t="s">
        <v>466</v>
      </c>
      <c r="B42" s="31"/>
    </row>
    <row r="43" spans="1:2" x14ac:dyDescent="0.3">
      <c r="A43" s="32" t="s">
        <v>467</v>
      </c>
      <c r="B43">
        <v>13112</v>
      </c>
    </row>
    <row r="44" spans="1:2" x14ac:dyDescent="0.3">
      <c r="A44" s="30" t="s">
        <v>468</v>
      </c>
      <c r="B44" s="31"/>
    </row>
    <row r="45" spans="1:2" x14ac:dyDescent="0.3">
      <c r="A45" s="32" t="s">
        <v>469</v>
      </c>
      <c r="B45">
        <v>2952.22</v>
      </c>
    </row>
    <row r="46" spans="1:2" x14ac:dyDescent="0.3">
      <c r="A46" s="30" t="s">
        <v>470</v>
      </c>
      <c r="B46" s="31"/>
    </row>
    <row r="47" spans="1:2" x14ac:dyDescent="0.3">
      <c r="A47" s="32" t="s">
        <v>471</v>
      </c>
      <c r="B47">
        <v>1900.8</v>
      </c>
    </row>
    <row r="48" spans="1:2" x14ac:dyDescent="0.3">
      <c r="A48" s="30" t="s">
        <v>7</v>
      </c>
      <c r="B48" s="31"/>
    </row>
    <row r="49" spans="1:2" x14ac:dyDescent="0.3">
      <c r="A49" s="32" t="s">
        <v>472</v>
      </c>
      <c r="B49">
        <v>16500</v>
      </c>
    </row>
    <row r="50" spans="1:2" x14ac:dyDescent="0.3">
      <c r="A50" s="30" t="s">
        <v>473</v>
      </c>
      <c r="B50" s="31"/>
    </row>
    <row r="51" spans="1:2" x14ac:dyDescent="0.3">
      <c r="A51" s="32" t="s">
        <v>474</v>
      </c>
      <c r="B51">
        <v>50000</v>
      </c>
    </row>
    <row r="52" spans="1:2" x14ac:dyDescent="0.3">
      <c r="A52" s="32" t="s">
        <v>475</v>
      </c>
      <c r="B52">
        <v>8.85</v>
      </c>
    </row>
    <row r="53" spans="1:2" x14ac:dyDescent="0.3">
      <c r="A53" s="30" t="s">
        <v>8</v>
      </c>
      <c r="B53" s="31"/>
    </row>
    <row r="54" spans="1:2" x14ac:dyDescent="0.3">
      <c r="A54" s="32" t="s">
        <v>476</v>
      </c>
      <c r="B54">
        <v>7661.51</v>
      </c>
    </row>
    <row r="55" spans="1:2" x14ac:dyDescent="0.3">
      <c r="A55" s="30" t="s">
        <v>9</v>
      </c>
      <c r="B55" s="31"/>
    </row>
    <row r="56" spans="1:2" x14ac:dyDescent="0.3">
      <c r="A56" s="32" t="s">
        <v>477</v>
      </c>
      <c r="B56">
        <v>34519.760000000002</v>
      </c>
    </row>
    <row r="57" spans="1:2" x14ac:dyDescent="0.3">
      <c r="A57" s="33" t="s">
        <v>184</v>
      </c>
      <c r="B57" s="34">
        <v>268989.06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6355-4F16-43FD-B516-B3968152BC6E}">
  <dimension ref="A1:D50"/>
  <sheetViews>
    <sheetView topLeftCell="A25" workbookViewId="0">
      <selection activeCell="E49" sqref="E49"/>
    </sheetView>
  </sheetViews>
  <sheetFormatPr baseColWidth="10" defaultRowHeight="14.4" x14ac:dyDescent="0.3"/>
  <cols>
    <col min="2" max="2" width="14" bestFit="1" customWidth="1"/>
    <col min="3" max="3" width="70.5546875" customWidth="1"/>
  </cols>
  <sheetData>
    <row r="1" spans="1:4" ht="15" thickBot="1" x14ac:dyDescent="0.35">
      <c r="A1" s="49" t="s">
        <v>525</v>
      </c>
      <c r="B1" s="50" t="s">
        <v>526</v>
      </c>
      <c r="C1" s="50" t="s">
        <v>527</v>
      </c>
      <c r="D1" s="51" t="s">
        <v>1</v>
      </c>
    </row>
    <row r="2" spans="1:4" ht="15" thickTop="1" x14ac:dyDescent="0.3">
      <c r="A2" s="52" t="s">
        <v>528</v>
      </c>
      <c r="B2" s="53" t="s">
        <v>6</v>
      </c>
      <c r="C2" s="53" t="s">
        <v>532</v>
      </c>
      <c r="D2" s="54">
        <v>0.42</v>
      </c>
    </row>
    <row r="3" spans="1:4" x14ac:dyDescent="0.3">
      <c r="A3" s="55" t="s">
        <v>528</v>
      </c>
      <c r="B3" s="56" t="s">
        <v>6</v>
      </c>
      <c r="C3" s="56" t="s">
        <v>554</v>
      </c>
      <c r="D3" s="57">
        <v>6.06</v>
      </c>
    </row>
    <row r="4" spans="1:4" x14ac:dyDescent="0.3">
      <c r="A4" s="52" t="s">
        <v>528</v>
      </c>
      <c r="B4" s="53" t="s">
        <v>6</v>
      </c>
      <c r="C4" s="53" t="s">
        <v>555</v>
      </c>
      <c r="D4" s="54">
        <v>12.39</v>
      </c>
    </row>
    <row r="5" spans="1:4" x14ac:dyDescent="0.3">
      <c r="A5" s="55" t="s">
        <v>528</v>
      </c>
      <c r="B5" s="56" t="s">
        <v>6</v>
      </c>
      <c r="C5" s="56" t="s">
        <v>533</v>
      </c>
      <c r="D5" s="57">
        <v>22.02</v>
      </c>
    </row>
    <row r="6" spans="1:4" x14ac:dyDescent="0.3">
      <c r="A6" s="52" t="s">
        <v>528</v>
      </c>
      <c r="B6" s="53" t="s">
        <v>447</v>
      </c>
      <c r="C6" s="53" t="s">
        <v>556</v>
      </c>
      <c r="D6" s="54">
        <v>660</v>
      </c>
    </row>
    <row r="7" spans="1:4" x14ac:dyDescent="0.3">
      <c r="A7" s="55" t="s">
        <v>528</v>
      </c>
      <c r="B7" s="56" t="s">
        <v>449</v>
      </c>
      <c r="C7" s="56" t="s">
        <v>557</v>
      </c>
      <c r="D7" s="57">
        <v>1760</v>
      </c>
    </row>
    <row r="8" spans="1:4" x14ac:dyDescent="0.3">
      <c r="A8" s="52" t="s">
        <v>528</v>
      </c>
      <c r="B8" s="53" t="s">
        <v>449</v>
      </c>
      <c r="C8" s="53" t="s">
        <v>558</v>
      </c>
      <c r="D8" s="54">
        <v>5720</v>
      </c>
    </row>
    <row r="9" spans="1:4" x14ac:dyDescent="0.3">
      <c r="A9" s="55" t="s">
        <v>528</v>
      </c>
      <c r="B9" s="56" t="s">
        <v>451</v>
      </c>
      <c r="C9" s="56" t="s">
        <v>559</v>
      </c>
      <c r="D9" s="57">
        <v>1716</v>
      </c>
    </row>
    <row r="10" spans="1:4" x14ac:dyDescent="0.3">
      <c r="A10" s="52" t="s">
        <v>528</v>
      </c>
      <c r="B10" s="53" t="s">
        <v>560</v>
      </c>
      <c r="C10" s="53" t="s">
        <v>561</v>
      </c>
      <c r="D10" s="54">
        <v>6399.99</v>
      </c>
    </row>
    <row r="11" spans="1:4" x14ac:dyDescent="0.3">
      <c r="A11" s="55" t="s">
        <v>528</v>
      </c>
      <c r="B11" s="56" t="s">
        <v>560</v>
      </c>
      <c r="C11" s="56" t="s">
        <v>562</v>
      </c>
      <c r="D11" s="57">
        <v>6400</v>
      </c>
    </row>
    <row r="12" spans="1:4" x14ac:dyDescent="0.3">
      <c r="A12" s="52" t="s">
        <v>528</v>
      </c>
      <c r="B12" s="53" t="s">
        <v>563</v>
      </c>
      <c r="C12" s="53" t="s">
        <v>564</v>
      </c>
      <c r="D12" s="54">
        <v>4048</v>
      </c>
    </row>
    <row r="13" spans="1:4" x14ac:dyDescent="0.3">
      <c r="A13" s="55" t="s">
        <v>528</v>
      </c>
      <c r="B13" s="56" t="s">
        <v>563</v>
      </c>
      <c r="C13" s="56" t="s">
        <v>565</v>
      </c>
      <c r="D13" s="57">
        <v>6160</v>
      </c>
    </row>
    <row r="14" spans="1:4" x14ac:dyDescent="0.3">
      <c r="A14" s="52" t="s">
        <v>528</v>
      </c>
      <c r="B14" s="53" t="s">
        <v>566</v>
      </c>
      <c r="C14" s="53" t="s">
        <v>567</v>
      </c>
      <c r="D14" s="54">
        <v>5720</v>
      </c>
    </row>
    <row r="15" spans="1:4" x14ac:dyDescent="0.3">
      <c r="A15" s="55" t="s">
        <v>528</v>
      </c>
      <c r="B15" s="56" t="s">
        <v>566</v>
      </c>
      <c r="C15" s="56" t="s">
        <v>568</v>
      </c>
      <c r="D15" s="57">
        <v>5720</v>
      </c>
    </row>
    <row r="16" spans="1:4" x14ac:dyDescent="0.3">
      <c r="A16" s="52" t="s">
        <v>528</v>
      </c>
      <c r="B16" s="53" t="s">
        <v>569</v>
      </c>
      <c r="C16" s="53" t="s">
        <v>570</v>
      </c>
      <c r="D16" s="54">
        <v>1760</v>
      </c>
    </row>
    <row r="17" spans="1:4" x14ac:dyDescent="0.3">
      <c r="A17" s="55" t="s">
        <v>528</v>
      </c>
      <c r="B17" s="56" t="s">
        <v>571</v>
      </c>
      <c r="C17" s="56" t="s">
        <v>572</v>
      </c>
      <c r="D17" s="57">
        <v>220</v>
      </c>
    </row>
    <row r="18" spans="1:4" x14ac:dyDescent="0.3">
      <c r="A18" s="52" t="s">
        <v>528</v>
      </c>
      <c r="B18" s="53" t="s">
        <v>573</v>
      </c>
      <c r="C18" s="53" t="s">
        <v>570</v>
      </c>
      <c r="D18" s="54">
        <v>1760</v>
      </c>
    </row>
    <row r="19" spans="1:4" x14ac:dyDescent="0.3">
      <c r="A19" s="55" t="s">
        <v>528</v>
      </c>
      <c r="B19" s="56" t="s">
        <v>574</v>
      </c>
      <c r="C19" s="56" t="s">
        <v>570</v>
      </c>
      <c r="D19" s="57">
        <v>1760</v>
      </c>
    </row>
    <row r="20" spans="1:4" x14ac:dyDescent="0.3">
      <c r="A20" s="52" t="s">
        <v>528</v>
      </c>
      <c r="B20" s="53" t="s">
        <v>575</v>
      </c>
      <c r="C20" s="53" t="s">
        <v>570</v>
      </c>
      <c r="D20" s="54">
        <v>1760</v>
      </c>
    </row>
    <row r="21" spans="1:4" x14ac:dyDescent="0.3">
      <c r="A21" s="55" t="s">
        <v>528</v>
      </c>
      <c r="B21" s="56" t="s">
        <v>576</v>
      </c>
      <c r="C21" s="56" t="s">
        <v>577</v>
      </c>
      <c r="D21" s="57">
        <v>1760</v>
      </c>
    </row>
    <row r="22" spans="1:4" x14ac:dyDescent="0.3">
      <c r="A22" s="52" t="s">
        <v>528</v>
      </c>
      <c r="B22" s="53" t="s">
        <v>578</v>
      </c>
      <c r="C22" s="53" t="s">
        <v>579</v>
      </c>
      <c r="D22" s="54">
        <v>5720</v>
      </c>
    </row>
    <row r="23" spans="1:4" x14ac:dyDescent="0.3">
      <c r="A23" s="55" t="s">
        <v>528</v>
      </c>
      <c r="B23" s="56" t="s">
        <v>578</v>
      </c>
      <c r="C23" s="56" t="s">
        <v>580</v>
      </c>
      <c r="D23" s="57">
        <v>5720</v>
      </c>
    </row>
    <row r="24" spans="1:4" x14ac:dyDescent="0.3">
      <c r="A24" s="52" t="s">
        <v>528</v>
      </c>
      <c r="B24" s="53" t="s">
        <v>581</v>
      </c>
      <c r="C24" s="53" t="s">
        <v>582</v>
      </c>
      <c r="D24" s="54">
        <v>12320</v>
      </c>
    </row>
    <row r="25" spans="1:4" x14ac:dyDescent="0.3">
      <c r="A25" s="55" t="s">
        <v>528</v>
      </c>
      <c r="B25" s="56" t="s">
        <v>583</v>
      </c>
      <c r="C25" s="56" t="s">
        <v>584</v>
      </c>
      <c r="D25" s="57">
        <v>100000</v>
      </c>
    </row>
    <row r="26" spans="1:4" x14ac:dyDescent="0.3">
      <c r="A26" s="52" t="s">
        <v>528</v>
      </c>
      <c r="B26" s="53" t="s">
        <v>585</v>
      </c>
      <c r="C26" s="53" t="s">
        <v>586</v>
      </c>
      <c r="D26" s="54">
        <v>3168</v>
      </c>
    </row>
    <row r="27" spans="1:4" x14ac:dyDescent="0.3">
      <c r="A27" s="55" t="s">
        <v>528</v>
      </c>
      <c r="B27" s="56" t="s">
        <v>587</v>
      </c>
      <c r="C27" s="56" t="s">
        <v>588</v>
      </c>
      <c r="D27" s="57">
        <v>1056</v>
      </c>
    </row>
    <row r="28" spans="1:4" x14ac:dyDescent="0.3">
      <c r="A28" s="52" t="s">
        <v>528</v>
      </c>
      <c r="B28" s="53" t="s">
        <v>589</v>
      </c>
      <c r="C28" s="53" t="s">
        <v>590</v>
      </c>
      <c r="D28" s="54">
        <v>5834.4</v>
      </c>
    </row>
    <row r="29" spans="1:4" x14ac:dyDescent="0.3">
      <c r="A29" s="55" t="s">
        <v>528</v>
      </c>
      <c r="B29" s="56" t="s">
        <v>591</v>
      </c>
      <c r="C29" s="56" t="s">
        <v>592</v>
      </c>
      <c r="D29" s="57">
        <v>360.8</v>
      </c>
    </row>
    <row r="30" spans="1:4" x14ac:dyDescent="0.3">
      <c r="A30" s="52" t="s">
        <v>528</v>
      </c>
      <c r="B30" s="53" t="s">
        <v>593</v>
      </c>
      <c r="C30" s="53" t="s">
        <v>594</v>
      </c>
      <c r="D30" s="54">
        <v>704</v>
      </c>
    </row>
    <row r="31" spans="1:4" x14ac:dyDescent="0.3">
      <c r="A31" s="55" t="s">
        <v>528</v>
      </c>
      <c r="B31" s="56" t="s">
        <v>595</v>
      </c>
      <c r="C31" s="56" t="s">
        <v>596</v>
      </c>
      <c r="D31" s="57">
        <v>2200</v>
      </c>
    </row>
    <row r="32" spans="1:4" x14ac:dyDescent="0.3">
      <c r="A32" s="52" t="s">
        <v>528</v>
      </c>
      <c r="B32" s="53" t="s">
        <v>597</v>
      </c>
      <c r="C32" s="53" t="s">
        <v>598</v>
      </c>
      <c r="D32" s="54">
        <v>880</v>
      </c>
    </row>
    <row r="33" spans="1:4" x14ac:dyDescent="0.3">
      <c r="A33" s="55" t="s">
        <v>528</v>
      </c>
      <c r="B33" s="56" t="s">
        <v>599</v>
      </c>
      <c r="C33" s="56" t="s">
        <v>600</v>
      </c>
      <c r="D33" s="57">
        <v>2849</v>
      </c>
    </row>
    <row r="34" spans="1:4" x14ac:dyDescent="0.3">
      <c r="A34" s="52" t="s">
        <v>528</v>
      </c>
      <c r="B34" s="53" t="s">
        <v>599</v>
      </c>
      <c r="C34" s="53" t="s">
        <v>601</v>
      </c>
      <c r="D34" s="54">
        <v>2849</v>
      </c>
    </row>
    <row r="35" spans="1:4" x14ac:dyDescent="0.3">
      <c r="A35" s="55" t="s">
        <v>528</v>
      </c>
      <c r="B35" s="56" t="s">
        <v>599</v>
      </c>
      <c r="C35" s="56" t="s">
        <v>602</v>
      </c>
      <c r="D35" s="57">
        <v>2849</v>
      </c>
    </row>
    <row r="36" spans="1:4" x14ac:dyDescent="0.3">
      <c r="A36" s="52" t="s">
        <v>528</v>
      </c>
      <c r="B36" s="53" t="s">
        <v>603</v>
      </c>
      <c r="C36" s="53" t="s">
        <v>604</v>
      </c>
      <c r="D36" s="54">
        <v>3636.36</v>
      </c>
    </row>
    <row r="37" spans="1:4" x14ac:dyDescent="0.3">
      <c r="A37" s="55" t="s">
        <v>528</v>
      </c>
      <c r="B37" s="56" t="s">
        <v>605</v>
      </c>
      <c r="C37" s="56" t="s">
        <v>606</v>
      </c>
      <c r="D37" s="57">
        <v>1760</v>
      </c>
    </row>
    <row r="38" spans="1:4" x14ac:dyDescent="0.3">
      <c r="A38" s="52" t="s">
        <v>528</v>
      </c>
      <c r="B38" s="53" t="s">
        <v>607</v>
      </c>
      <c r="C38" s="53" t="s">
        <v>608</v>
      </c>
      <c r="D38" s="54">
        <v>237.6</v>
      </c>
    </row>
    <row r="39" spans="1:4" x14ac:dyDescent="0.3">
      <c r="A39" s="55" t="s">
        <v>528</v>
      </c>
      <c r="B39" s="56" t="s">
        <v>473</v>
      </c>
      <c r="C39" s="56" t="s">
        <v>609</v>
      </c>
      <c r="D39" s="57">
        <v>10.36</v>
      </c>
    </row>
    <row r="40" spans="1:4" x14ac:dyDescent="0.3">
      <c r="A40" s="52" t="s">
        <v>528</v>
      </c>
      <c r="B40" s="53" t="s">
        <v>473</v>
      </c>
      <c r="C40" s="53" t="s">
        <v>555</v>
      </c>
      <c r="D40" s="54">
        <v>13.96</v>
      </c>
    </row>
    <row r="41" spans="1:4" x14ac:dyDescent="0.3">
      <c r="A41" s="55" t="s">
        <v>528</v>
      </c>
      <c r="B41" s="56" t="s">
        <v>473</v>
      </c>
      <c r="C41" s="56" t="s">
        <v>610</v>
      </c>
      <c r="D41" s="57">
        <v>20.43</v>
      </c>
    </row>
    <row r="42" spans="1:4" x14ac:dyDescent="0.3">
      <c r="A42" s="52" t="s">
        <v>528</v>
      </c>
      <c r="B42" s="53" t="s">
        <v>473</v>
      </c>
      <c r="C42" s="53" t="s">
        <v>611</v>
      </c>
      <c r="D42" s="54">
        <v>23659.75</v>
      </c>
    </row>
    <row r="43" spans="1:4" x14ac:dyDescent="0.3">
      <c r="A43" s="55" t="s">
        <v>528</v>
      </c>
      <c r="B43" s="56" t="s">
        <v>473</v>
      </c>
      <c r="C43" s="56" t="s">
        <v>612</v>
      </c>
      <c r="D43" s="57">
        <v>31660.78</v>
      </c>
    </row>
    <row r="44" spans="1:4" x14ac:dyDescent="0.3">
      <c r="A44" s="52" t="s">
        <v>528</v>
      </c>
      <c r="B44" s="53" t="s">
        <v>9</v>
      </c>
      <c r="C44" s="53" t="s">
        <v>613</v>
      </c>
      <c r="D44" s="54">
        <v>17259.88</v>
      </c>
    </row>
    <row r="45" spans="1:4" x14ac:dyDescent="0.3">
      <c r="A45" s="55" t="s">
        <v>528</v>
      </c>
      <c r="B45" s="56" t="s">
        <v>614</v>
      </c>
      <c r="C45" s="56" t="s">
        <v>615</v>
      </c>
      <c r="D45" s="57">
        <v>19133.599999999999</v>
      </c>
    </row>
    <row r="46" spans="1:4" ht="15" thickBot="1" x14ac:dyDescent="0.35">
      <c r="A46" s="52" t="s">
        <v>528</v>
      </c>
      <c r="B46" s="53" t="s">
        <v>616</v>
      </c>
      <c r="C46" s="53" t="s">
        <v>617</v>
      </c>
      <c r="D46" s="54">
        <v>16656</v>
      </c>
    </row>
    <row r="47" spans="1:4" ht="15" thickTop="1" x14ac:dyDescent="0.3">
      <c r="A47" s="58" t="s">
        <v>2</v>
      </c>
      <c r="B47" s="59"/>
      <c r="C47" s="59"/>
      <c r="D47" s="60">
        <v>313923.79999999993</v>
      </c>
    </row>
    <row r="50" spans="3:4" x14ac:dyDescent="0.3">
      <c r="C50" s="83" t="s">
        <v>706</v>
      </c>
      <c r="D50" s="84">
        <f>D47+'ingresos investigación 2020'!B57+'Ingresos investigación 2019'!B34</f>
        <v>819765.04999999981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2"/>
  <sheetViews>
    <sheetView topLeftCell="A31" zoomScaleNormal="100" workbookViewId="0">
      <selection sqref="A1:B1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10</v>
      </c>
      <c r="B2" s="5"/>
    </row>
    <row r="3" spans="1:2" x14ac:dyDescent="0.2">
      <c r="A3" s="4" t="s">
        <v>287</v>
      </c>
      <c r="B3" s="5">
        <v>2294.9900000000002</v>
      </c>
    </row>
    <row r="4" spans="1:2" x14ac:dyDescent="0.2">
      <c r="A4" s="4" t="s">
        <v>11</v>
      </c>
      <c r="B4" s="5"/>
    </row>
    <row r="5" spans="1:2" x14ac:dyDescent="0.2">
      <c r="A5" s="4" t="s">
        <v>288</v>
      </c>
      <c r="B5" s="5">
        <v>25200</v>
      </c>
    </row>
    <row r="6" spans="1:2" x14ac:dyDescent="0.2">
      <c r="A6" s="4" t="s">
        <v>289</v>
      </c>
      <c r="B6" s="5">
        <v>32400</v>
      </c>
    </row>
    <row r="7" spans="1:2" x14ac:dyDescent="0.2">
      <c r="A7" s="4" t="s">
        <v>290</v>
      </c>
      <c r="B7" s="5">
        <v>296.41000000000003</v>
      </c>
    </row>
    <row r="8" spans="1:2" x14ac:dyDescent="0.2">
      <c r="A8" s="4" t="s">
        <v>12</v>
      </c>
      <c r="B8" s="5"/>
    </row>
    <row r="9" spans="1:2" x14ac:dyDescent="0.2">
      <c r="A9" s="4" t="s">
        <v>291</v>
      </c>
      <c r="B9" s="5">
        <v>12166.9</v>
      </c>
    </row>
    <row r="10" spans="1:2" x14ac:dyDescent="0.2">
      <c r="A10" s="4" t="s">
        <v>292</v>
      </c>
      <c r="B10" s="5">
        <v>2233.1</v>
      </c>
    </row>
    <row r="11" spans="1:2" x14ac:dyDescent="0.2">
      <c r="A11" s="4" t="s">
        <v>293</v>
      </c>
      <c r="B11" s="5">
        <v>12000</v>
      </c>
    </row>
    <row r="12" spans="1:2" x14ac:dyDescent="0.2">
      <c r="A12" s="4" t="s">
        <v>294</v>
      </c>
      <c r="B12" s="5">
        <v>13.62</v>
      </c>
    </row>
    <row r="13" spans="1:2" x14ac:dyDescent="0.2">
      <c r="A13" s="4" t="s">
        <v>13</v>
      </c>
      <c r="B13" s="5"/>
    </row>
    <row r="14" spans="1:2" x14ac:dyDescent="0.2">
      <c r="A14" s="4" t="s">
        <v>295</v>
      </c>
      <c r="B14" s="5">
        <v>53052.93</v>
      </c>
    </row>
    <row r="15" spans="1:2" x14ac:dyDescent="0.2">
      <c r="A15" s="4" t="s">
        <v>296</v>
      </c>
      <c r="B15" s="5">
        <v>40259.699999999997</v>
      </c>
    </row>
    <row r="16" spans="1:2" x14ac:dyDescent="0.2">
      <c r="A16" s="4" t="s">
        <v>297</v>
      </c>
      <c r="B16" s="5">
        <v>10250</v>
      </c>
    </row>
    <row r="17" spans="1:2" x14ac:dyDescent="0.2">
      <c r="A17" s="4" t="s">
        <v>298</v>
      </c>
      <c r="B17" s="5">
        <v>4100</v>
      </c>
    </row>
    <row r="18" spans="1:2" x14ac:dyDescent="0.2">
      <c r="A18" s="4" t="s">
        <v>14</v>
      </c>
      <c r="B18" s="5"/>
    </row>
    <row r="19" spans="1:2" x14ac:dyDescent="0.2">
      <c r="A19" s="4" t="s">
        <v>299</v>
      </c>
      <c r="B19" s="5">
        <v>22609.72</v>
      </c>
    </row>
    <row r="20" spans="1:2" x14ac:dyDescent="0.2">
      <c r="A20" s="4" t="s">
        <v>300</v>
      </c>
      <c r="B20" s="5">
        <v>137605.97</v>
      </c>
    </row>
    <row r="21" spans="1:2" x14ac:dyDescent="0.2">
      <c r="A21" s="4" t="s">
        <v>301</v>
      </c>
      <c r="B21" s="5">
        <v>22167.599999999999</v>
      </c>
    </row>
    <row r="22" spans="1:2" x14ac:dyDescent="0.2">
      <c r="A22" s="4" t="s">
        <v>302</v>
      </c>
      <c r="B22" s="5">
        <v>136305.44</v>
      </c>
    </row>
    <row r="23" spans="1:2" x14ac:dyDescent="0.2">
      <c r="A23" s="4" t="s">
        <v>303</v>
      </c>
      <c r="B23" s="5">
        <v>11164.14</v>
      </c>
    </row>
    <row r="24" spans="1:2" x14ac:dyDescent="0.2">
      <c r="A24" s="4" t="s">
        <v>304</v>
      </c>
      <c r="B24" s="5">
        <v>10985.32</v>
      </c>
    </row>
    <row r="25" spans="1:2" x14ac:dyDescent="0.2">
      <c r="A25" s="4" t="s">
        <v>305</v>
      </c>
      <c r="B25" s="5">
        <v>11194.68</v>
      </c>
    </row>
    <row r="26" spans="1:2" x14ac:dyDescent="0.2">
      <c r="A26" s="4" t="s">
        <v>306</v>
      </c>
      <c r="B26" s="5">
        <v>22672.38</v>
      </c>
    </row>
    <row r="27" spans="1:2" x14ac:dyDescent="0.2">
      <c r="A27" s="4" t="s">
        <v>15</v>
      </c>
      <c r="B27" s="5"/>
    </row>
    <row r="28" spans="1:2" x14ac:dyDescent="0.2">
      <c r="A28" s="4" t="s">
        <v>307</v>
      </c>
      <c r="B28" s="5">
        <v>22077.9</v>
      </c>
    </row>
    <row r="29" spans="1:2" x14ac:dyDescent="0.2">
      <c r="A29" s="4" t="s">
        <v>308</v>
      </c>
      <c r="B29" s="5">
        <v>16412.21</v>
      </c>
    </row>
    <row r="30" spans="1:2" x14ac:dyDescent="0.2">
      <c r="A30" s="4" t="s">
        <v>309</v>
      </c>
      <c r="B30" s="5">
        <v>15194.18</v>
      </c>
    </row>
    <row r="31" spans="1:2" x14ac:dyDescent="0.2">
      <c r="A31" s="4" t="s">
        <v>310</v>
      </c>
      <c r="B31" s="5">
        <v>9041.32</v>
      </c>
    </row>
    <row r="32" spans="1:2" x14ac:dyDescent="0.2">
      <c r="A32" s="4" t="s">
        <v>311</v>
      </c>
      <c r="B32" s="5">
        <v>6689.97</v>
      </c>
    </row>
    <row r="33" spans="1:2" x14ac:dyDescent="0.2">
      <c r="A33" s="4" t="s">
        <v>312</v>
      </c>
      <c r="B33" s="5">
        <v>10042.540000000001</v>
      </c>
    </row>
    <row r="34" spans="1:2" x14ac:dyDescent="0.2">
      <c r="A34" s="4" t="s">
        <v>264</v>
      </c>
      <c r="B34" s="5">
        <v>24.51</v>
      </c>
    </row>
    <row r="35" spans="1:2" x14ac:dyDescent="0.2">
      <c r="A35" s="4" t="s">
        <v>265</v>
      </c>
      <c r="B35" s="5">
        <v>6.12</v>
      </c>
    </row>
    <row r="36" spans="1:2" x14ac:dyDescent="0.2">
      <c r="A36" s="4" t="s">
        <v>16</v>
      </c>
      <c r="B36" s="5"/>
    </row>
    <row r="37" spans="1:2" x14ac:dyDescent="0.2">
      <c r="A37" s="4" t="s">
        <v>313</v>
      </c>
      <c r="B37" s="5">
        <v>21001.5</v>
      </c>
    </row>
    <row r="38" spans="1:2" x14ac:dyDescent="0.2">
      <c r="A38" s="4" t="s">
        <v>17</v>
      </c>
      <c r="B38" s="5"/>
    </row>
    <row r="39" spans="1:2" x14ac:dyDescent="0.2">
      <c r="A39" s="4" t="s">
        <v>314</v>
      </c>
      <c r="B39" s="5">
        <v>1680</v>
      </c>
    </row>
    <row r="40" spans="1:2" x14ac:dyDescent="0.2">
      <c r="A40" s="4" t="s">
        <v>315</v>
      </c>
      <c r="B40" s="5">
        <v>1400</v>
      </c>
    </row>
    <row r="41" spans="1:2" x14ac:dyDescent="0.2">
      <c r="A41" s="4" t="s">
        <v>316</v>
      </c>
      <c r="B41" s="5"/>
    </row>
    <row r="42" spans="1:2" x14ac:dyDescent="0.2">
      <c r="A42" s="4" t="s">
        <v>317</v>
      </c>
      <c r="B42" s="5">
        <v>218.21</v>
      </c>
    </row>
    <row r="43" spans="1:2" x14ac:dyDescent="0.2">
      <c r="A43" s="4" t="s">
        <v>318</v>
      </c>
      <c r="B43" s="5">
        <v>5550</v>
      </c>
    </row>
    <row r="44" spans="1:2" x14ac:dyDescent="0.2">
      <c r="A44" s="4" t="s">
        <v>319</v>
      </c>
      <c r="B44" s="5">
        <v>218.21</v>
      </c>
    </row>
    <row r="45" spans="1:2" x14ac:dyDescent="0.2">
      <c r="A45" s="4" t="s">
        <v>320</v>
      </c>
      <c r="B45" s="5">
        <v>218.21</v>
      </c>
    </row>
    <row r="46" spans="1:2" x14ac:dyDescent="0.2">
      <c r="A46" s="4" t="s">
        <v>18</v>
      </c>
      <c r="B46" s="5"/>
    </row>
    <row r="47" spans="1:2" x14ac:dyDescent="0.2">
      <c r="A47" s="4" t="s">
        <v>321</v>
      </c>
      <c r="B47" s="5">
        <v>240</v>
      </c>
    </row>
    <row r="48" spans="1:2" x14ac:dyDescent="0.2">
      <c r="A48" s="4" t="s">
        <v>322</v>
      </c>
      <c r="B48" s="5"/>
    </row>
    <row r="49" spans="1:2" x14ac:dyDescent="0.2">
      <c r="A49" s="4" t="s">
        <v>323</v>
      </c>
      <c r="B49" s="5">
        <v>500</v>
      </c>
    </row>
    <row r="50" spans="1:2" x14ac:dyDescent="0.2">
      <c r="A50" s="4" t="s">
        <v>324</v>
      </c>
      <c r="B50" s="5"/>
    </row>
    <row r="51" spans="1:2" x14ac:dyDescent="0.2">
      <c r="A51" s="4" t="s">
        <v>325</v>
      </c>
      <c r="B51" s="5">
        <v>19393.09</v>
      </c>
    </row>
    <row r="52" spans="1:2" x14ac:dyDescent="0.2">
      <c r="A52" s="4" t="s">
        <v>326</v>
      </c>
      <c r="B52" s="5">
        <v>14696.960000000001</v>
      </c>
    </row>
    <row r="53" spans="1:2" x14ac:dyDescent="0.2">
      <c r="A53" s="4" t="s">
        <v>327</v>
      </c>
      <c r="B53" s="5">
        <v>18231.43</v>
      </c>
    </row>
    <row r="54" spans="1:2" x14ac:dyDescent="0.2">
      <c r="A54" s="4" t="s">
        <v>328</v>
      </c>
      <c r="B54" s="5"/>
    </row>
    <row r="55" spans="1:2" x14ac:dyDescent="0.2">
      <c r="A55" s="4" t="s">
        <v>329</v>
      </c>
      <c r="B55" s="5">
        <v>51848</v>
      </c>
    </row>
    <row r="56" spans="1:2" x14ac:dyDescent="0.2">
      <c r="A56" s="4" t="s">
        <v>330</v>
      </c>
      <c r="B56" s="5">
        <v>12231.79</v>
      </c>
    </row>
    <row r="57" spans="1:2" x14ac:dyDescent="0.2">
      <c r="A57" s="4" t="s">
        <v>331</v>
      </c>
      <c r="B57" s="5">
        <v>12270</v>
      </c>
    </row>
    <row r="58" spans="1:2" x14ac:dyDescent="0.2">
      <c r="A58" s="4" t="s">
        <v>332</v>
      </c>
      <c r="B58" s="5"/>
    </row>
    <row r="59" spans="1:2" x14ac:dyDescent="0.2">
      <c r="A59" s="4" t="s">
        <v>333</v>
      </c>
      <c r="B59" s="5">
        <v>12115.82</v>
      </c>
    </row>
    <row r="60" spans="1:2" x14ac:dyDescent="0.2">
      <c r="A60" s="4" t="s">
        <v>334</v>
      </c>
      <c r="B60" s="5">
        <v>14457.14</v>
      </c>
    </row>
    <row r="61" spans="1:2" x14ac:dyDescent="0.2">
      <c r="A61" s="4" t="s">
        <v>335</v>
      </c>
      <c r="B61" s="5">
        <v>18079.91</v>
      </c>
    </row>
    <row r="62" spans="1:2" x14ac:dyDescent="0.2">
      <c r="A62" s="6" t="s">
        <v>2</v>
      </c>
      <c r="B62" s="7">
        <f>SUM(B3:B61)</f>
        <v>852811.91999999993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F81A-215B-424F-8BAF-C6D6011A2432}">
  <dimension ref="A1:B33"/>
  <sheetViews>
    <sheetView topLeftCell="A10" workbookViewId="0">
      <selection activeCell="A7" sqref="A7"/>
    </sheetView>
  </sheetViews>
  <sheetFormatPr baseColWidth="10" defaultRowHeight="14.4" x14ac:dyDescent="0.3"/>
  <cols>
    <col min="1" max="1" width="102.6640625" bestFit="1" customWidth="1"/>
  </cols>
  <sheetData>
    <row r="1" spans="1:2" ht="21.6" x14ac:dyDescent="0.3">
      <c r="A1" s="2" t="s">
        <v>0</v>
      </c>
      <c r="B1" s="3" t="s">
        <v>1</v>
      </c>
    </row>
    <row r="2" spans="1:2" x14ac:dyDescent="0.3">
      <c r="A2" s="30" t="s">
        <v>10</v>
      </c>
      <c r="B2" s="31"/>
    </row>
    <row r="3" spans="1:2" x14ac:dyDescent="0.3">
      <c r="A3" s="32" t="s">
        <v>478</v>
      </c>
      <c r="B3">
        <v>486</v>
      </c>
    </row>
    <row r="4" spans="1:2" x14ac:dyDescent="0.3">
      <c r="A4" s="32" t="s">
        <v>479</v>
      </c>
      <c r="B4">
        <v>2592</v>
      </c>
    </row>
    <row r="5" spans="1:2" x14ac:dyDescent="0.3">
      <c r="A5" s="30" t="s">
        <v>17</v>
      </c>
      <c r="B5" s="31"/>
    </row>
    <row r="6" spans="1:2" x14ac:dyDescent="0.3">
      <c r="A6" s="32" t="s">
        <v>480</v>
      </c>
      <c r="B6">
        <v>2835</v>
      </c>
    </row>
    <row r="7" spans="1:2" x14ac:dyDescent="0.3">
      <c r="A7" s="30" t="s">
        <v>322</v>
      </c>
      <c r="B7" s="31"/>
    </row>
    <row r="8" spans="1:2" x14ac:dyDescent="0.3">
      <c r="A8" s="32" t="s">
        <v>481</v>
      </c>
      <c r="B8">
        <v>648</v>
      </c>
    </row>
    <row r="9" spans="1:2" x14ac:dyDescent="0.3">
      <c r="A9" s="30" t="s">
        <v>324</v>
      </c>
      <c r="B9" s="31"/>
    </row>
    <row r="10" spans="1:2" x14ac:dyDescent="0.3">
      <c r="A10" s="32" t="s">
        <v>325</v>
      </c>
      <c r="B10">
        <v>17742.150000000001</v>
      </c>
    </row>
    <row r="11" spans="1:2" x14ac:dyDescent="0.3">
      <c r="A11" s="32" t="s">
        <v>482</v>
      </c>
      <c r="B11">
        <v>865.03</v>
      </c>
    </row>
    <row r="12" spans="1:2" x14ac:dyDescent="0.3">
      <c r="A12" s="32" t="s">
        <v>483</v>
      </c>
      <c r="B12">
        <v>26876.149999999998</v>
      </c>
    </row>
    <row r="13" spans="1:2" x14ac:dyDescent="0.3">
      <c r="A13" s="32" t="s">
        <v>484</v>
      </c>
      <c r="B13">
        <v>10451.43</v>
      </c>
    </row>
    <row r="14" spans="1:2" x14ac:dyDescent="0.3">
      <c r="A14" s="32" t="s">
        <v>485</v>
      </c>
      <c r="B14">
        <v>2337.9</v>
      </c>
    </row>
    <row r="15" spans="1:2" x14ac:dyDescent="0.3">
      <c r="A15" s="30" t="s">
        <v>328</v>
      </c>
      <c r="B15" s="31"/>
    </row>
    <row r="16" spans="1:2" x14ac:dyDescent="0.3">
      <c r="A16" s="32" t="s">
        <v>486</v>
      </c>
      <c r="B16">
        <v>43246.61</v>
      </c>
    </row>
    <row r="17" spans="1:2" x14ac:dyDescent="0.3">
      <c r="A17" s="32" t="s">
        <v>487</v>
      </c>
      <c r="B17">
        <v>3316.84</v>
      </c>
    </row>
    <row r="18" spans="1:2" x14ac:dyDescent="0.3">
      <c r="A18" s="32" t="s">
        <v>488</v>
      </c>
      <c r="B18">
        <v>1424.49</v>
      </c>
    </row>
    <row r="19" spans="1:2" x14ac:dyDescent="0.3">
      <c r="A19" s="32" t="s">
        <v>489</v>
      </c>
      <c r="B19">
        <v>49317.700000000004</v>
      </c>
    </row>
    <row r="20" spans="1:2" x14ac:dyDescent="0.3">
      <c r="A20" s="32" t="s">
        <v>490</v>
      </c>
      <c r="B20">
        <v>3496.5</v>
      </c>
    </row>
    <row r="21" spans="1:2" x14ac:dyDescent="0.3">
      <c r="A21" s="32" t="s">
        <v>491</v>
      </c>
      <c r="B21">
        <v>1742.5099999999998</v>
      </c>
    </row>
    <row r="22" spans="1:2" x14ac:dyDescent="0.3">
      <c r="A22" s="30" t="s">
        <v>332</v>
      </c>
      <c r="B22" s="31"/>
    </row>
    <row r="23" spans="1:2" x14ac:dyDescent="0.3">
      <c r="A23" s="32" t="s">
        <v>492</v>
      </c>
      <c r="B23">
        <v>3503.0899999999997</v>
      </c>
    </row>
    <row r="24" spans="1:2" x14ac:dyDescent="0.3">
      <c r="A24" s="30" t="s">
        <v>493</v>
      </c>
      <c r="B24" s="31"/>
    </row>
    <row r="25" spans="1:2" x14ac:dyDescent="0.3">
      <c r="A25" s="32" t="s">
        <v>494</v>
      </c>
      <c r="B25">
        <v>28560</v>
      </c>
    </row>
    <row r="26" spans="1:2" x14ac:dyDescent="0.3">
      <c r="A26" s="32" t="s">
        <v>495</v>
      </c>
      <c r="B26">
        <v>16640.96</v>
      </c>
    </row>
    <row r="27" spans="1:2" x14ac:dyDescent="0.3">
      <c r="A27" s="32" t="s">
        <v>496</v>
      </c>
      <c r="B27">
        <v>8245</v>
      </c>
    </row>
    <row r="28" spans="1:2" x14ac:dyDescent="0.3">
      <c r="A28" s="32" t="s">
        <v>497</v>
      </c>
      <c r="B28">
        <v>24529.260000000002</v>
      </c>
    </row>
    <row r="29" spans="1:2" x14ac:dyDescent="0.3">
      <c r="A29" s="30" t="s">
        <v>498</v>
      </c>
      <c r="B29" s="31"/>
    </row>
    <row r="30" spans="1:2" x14ac:dyDescent="0.3">
      <c r="A30" s="32" t="s">
        <v>499</v>
      </c>
      <c r="B30">
        <v>918</v>
      </c>
    </row>
    <row r="31" spans="1:2" x14ac:dyDescent="0.3">
      <c r="A31" s="30" t="s">
        <v>500</v>
      </c>
      <c r="B31" s="31"/>
    </row>
    <row r="32" spans="1:2" x14ac:dyDescent="0.3">
      <c r="A32" s="32" t="s">
        <v>501</v>
      </c>
      <c r="B32">
        <v>15737.83</v>
      </c>
    </row>
    <row r="33" spans="1:2" x14ac:dyDescent="0.3">
      <c r="A33" s="33" t="s">
        <v>184</v>
      </c>
      <c r="B33" s="34">
        <v>265512.45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913E-D59D-42D2-BB3F-157FF3384F4C}">
  <dimension ref="A1:D35"/>
  <sheetViews>
    <sheetView topLeftCell="A19" workbookViewId="0">
      <selection activeCell="D43" sqref="D43"/>
    </sheetView>
  </sheetViews>
  <sheetFormatPr baseColWidth="10" defaultRowHeight="14.4" x14ac:dyDescent="0.3"/>
  <cols>
    <col min="2" max="2" width="14" bestFit="1" customWidth="1"/>
    <col min="3" max="3" width="76.33203125" customWidth="1"/>
    <col min="4" max="4" width="11.6640625" bestFit="1" customWidth="1"/>
  </cols>
  <sheetData>
    <row r="1" spans="1:4" x14ac:dyDescent="0.3">
      <c r="A1" s="37" t="s">
        <v>525</v>
      </c>
      <c r="B1" s="38" t="s">
        <v>526</v>
      </c>
      <c r="C1" s="38" t="s">
        <v>527</v>
      </c>
      <c r="D1" s="39" t="s">
        <v>1</v>
      </c>
    </row>
    <row r="2" spans="1:4" x14ac:dyDescent="0.3">
      <c r="A2" s="40" t="s">
        <v>528</v>
      </c>
      <c r="B2" s="41" t="s">
        <v>10</v>
      </c>
      <c r="C2" s="41" t="s">
        <v>529</v>
      </c>
      <c r="D2" s="42">
        <v>1863</v>
      </c>
    </row>
    <row r="3" spans="1:4" x14ac:dyDescent="0.3">
      <c r="A3" s="43" t="s">
        <v>528</v>
      </c>
      <c r="B3" s="44" t="s">
        <v>18</v>
      </c>
      <c r="C3" s="44" t="s">
        <v>530</v>
      </c>
      <c r="D3" s="45">
        <v>99</v>
      </c>
    </row>
    <row r="4" spans="1:4" x14ac:dyDescent="0.3">
      <c r="A4" s="40" t="s">
        <v>528</v>
      </c>
      <c r="B4" s="41" t="s">
        <v>324</v>
      </c>
      <c r="C4" s="41" t="s">
        <v>531</v>
      </c>
      <c r="D4" s="42">
        <v>3.49</v>
      </c>
    </row>
    <row r="5" spans="1:4" x14ac:dyDescent="0.3">
      <c r="A5" s="43" t="s">
        <v>528</v>
      </c>
      <c r="B5" s="44" t="s">
        <v>324</v>
      </c>
      <c r="C5" s="44" t="s">
        <v>532</v>
      </c>
      <c r="D5" s="45">
        <v>5.51</v>
      </c>
    </row>
    <row r="6" spans="1:4" x14ac:dyDescent="0.3">
      <c r="A6" s="40" t="s">
        <v>528</v>
      </c>
      <c r="B6" s="41" t="s">
        <v>324</v>
      </c>
      <c r="C6" s="41" t="s">
        <v>533</v>
      </c>
      <c r="D6" s="42">
        <v>15.37</v>
      </c>
    </row>
    <row r="7" spans="1:4" x14ac:dyDescent="0.3">
      <c r="A7" s="43" t="s">
        <v>528</v>
      </c>
      <c r="B7" s="44" t="s">
        <v>324</v>
      </c>
      <c r="C7" s="44" t="s">
        <v>534</v>
      </c>
      <c r="D7" s="45">
        <v>1159.2</v>
      </c>
    </row>
    <row r="8" spans="1:4" x14ac:dyDescent="0.3">
      <c r="A8" s="40" t="s">
        <v>528</v>
      </c>
      <c r="B8" s="41" t="s">
        <v>324</v>
      </c>
      <c r="C8" s="41" t="s">
        <v>531</v>
      </c>
      <c r="D8" s="42">
        <v>2893.7</v>
      </c>
    </row>
    <row r="9" spans="1:4" x14ac:dyDescent="0.3">
      <c r="A9" s="43" t="s">
        <v>528</v>
      </c>
      <c r="B9" s="44" t="s">
        <v>324</v>
      </c>
      <c r="C9" s="44" t="s">
        <v>534</v>
      </c>
      <c r="D9" s="45">
        <v>2925.62</v>
      </c>
    </row>
    <row r="10" spans="1:4" x14ac:dyDescent="0.3">
      <c r="A10" s="40" t="s">
        <v>528</v>
      </c>
      <c r="B10" s="41" t="s">
        <v>324</v>
      </c>
      <c r="C10" s="41" t="s">
        <v>534</v>
      </c>
      <c r="D10" s="42">
        <v>3436.26</v>
      </c>
    </row>
    <row r="11" spans="1:4" x14ac:dyDescent="0.3">
      <c r="A11" s="43" t="s">
        <v>528</v>
      </c>
      <c r="B11" s="44" t="s">
        <v>324</v>
      </c>
      <c r="C11" s="44" t="s">
        <v>535</v>
      </c>
      <c r="D11" s="45">
        <v>5112.32</v>
      </c>
    </row>
    <row r="12" spans="1:4" x14ac:dyDescent="0.3">
      <c r="A12" s="40" t="s">
        <v>528</v>
      </c>
      <c r="B12" s="41" t="s">
        <v>324</v>
      </c>
      <c r="C12" s="41" t="s">
        <v>536</v>
      </c>
      <c r="D12" s="42">
        <v>6168.45</v>
      </c>
    </row>
    <row r="13" spans="1:4" x14ac:dyDescent="0.3">
      <c r="A13" s="43" t="s">
        <v>528</v>
      </c>
      <c r="B13" s="44" t="s">
        <v>324</v>
      </c>
      <c r="C13" s="44" t="s">
        <v>537</v>
      </c>
      <c r="D13" s="45">
        <v>6314.81</v>
      </c>
    </row>
    <row r="14" spans="1:4" x14ac:dyDescent="0.3">
      <c r="A14" s="40" t="s">
        <v>528</v>
      </c>
      <c r="B14" s="41" t="s">
        <v>324</v>
      </c>
      <c r="C14" s="41" t="s">
        <v>538</v>
      </c>
      <c r="D14" s="42">
        <v>18326.93</v>
      </c>
    </row>
    <row r="15" spans="1:4" x14ac:dyDescent="0.3">
      <c r="A15" s="43" t="s">
        <v>528</v>
      </c>
      <c r="B15" s="44" t="s">
        <v>324</v>
      </c>
      <c r="C15" s="44" t="s">
        <v>536</v>
      </c>
      <c r="D15" s="45">
        <v>27772.44</v>
      </c>
    </row>
    <row r="16" spans="1:4" x14ac:dyDescent="0.3">
      <c r="A16" s="40" t="s">
        <v>528</v>
      </c>
      <c r="B16" s="41" t="s">
        <v>328</v>
      </c>
      <c r="C16" s="41" t="s">
        <v>539</v>
      </c>
      <c r="D16" s="42">
        <v>1201.28</v>
      </c>
    </row>
    <row r="17" spans="1:4" x14ac:dyDescent="0.3">
      <c r="A17" s="43" t="s">
        <v>528</v>
      </c>
      <c r="B17" s="44" t="s">
        <v>328</v>
      </c>
      <c r="C17" s="44" t="s">
        <v>539</v>
      </c>
      <c r="D17" s="45">
        <v>1270.48</v>
      </c>
    </row>
    <row r="18" spans="1:4" x14ac:dyDescent="0.3">
      <c r="A18" s="40" t="s">
        <v>528</v>
      </c>
      <c r="B18" s="41" t="s">
        <v>328</v>
      </c>
      <c r="C18" s="41" t="s">
        <v>540</v>
      </c>
      <c r="D18" s="42">
        <v>1276.97</v>
      </c>
    </row>
    <row r="19" spans="1:4" x14ac:dyDescent="0.3">
      <c r="A19" s="43" t="s">
        <v>528</v>
      </c>
      <c r="B19" s="44" t="s">
        <v>328</v>
      </c>
      <c r="C19" s="44" t="s">
        <v>541</v>
      </c>
      <c r="D19" s="45">
        <v>8311.23</v>
      </c>
    </row>
    <row r="20" spans="1:4" x14ac:dyDescent="0.3">
      <c r="A20" s="40" t="s">
        <v>528</v>
      </c>
      <c r="B20" s="41" t="s">
        <v>328</v>
      </c>
      <c r="C20" s="41" t="s">
        <v>542</v>
      </c>
      <c r="D20" s="42">
        <v>30862.52</v>
      </c>
    </row>
    <row r="21" spans="1:4" x14ac:dyDescent="0.3">
      <c r="A21" s="43" t="s">
        <v>528</v>
      </c>
      <c r="B21" s="44" t="s">
        <v>328</v>
      </c>
      <c r="C21" s="44" t="s">
        <v>541</v>
      </c>
      <c r="D21" s="45">
        <v>39680.910000000003</v>
      </c>
    </row>
    <row r="22" spans="1:4" x14ac:dyDescent="0.3">
      <c r="A22" s="40" t="s">
        <v>528</v>
      </c>
      <c r="B22" s="41" t="s">
        <v>332</v>
      </c>
      <c r="C22" s="41" t="s">
        <v>543</v>
      </c>
      <c r="D22" s="42">
        <v>1994.78</v>
      </c>
    </row>
    <row r="23" spans="1:4" x14ac:dyDescent="0.3">
      <c r="A23" s="43" t="s">
        <v>528</v>
      </c>
      <c r="B23" s="44" t="s">
        <v>500</v>
      </c>
      <c r="C23" s="44" t="s">
        <v>544</v>
      </c>
      <c r="D23" s="45">
        <v>1486.16</v>
      </c>
    </row>
    <row r="24" spans="1:4" x14ac:dyDescent="0.3">
      <c r="A24" s="40" t="s">
        <v>528</v>
      </c>
      <c r="B24" s="41" t="s">
        <v>500</v>
      </c>
      <c r="C24" s="41" t="s">
        <v>545</v>
      </c>
      <c r="D24" s="42">
        <v>7868.8</v>
      </c>
    </row>
    <row r="25" spans="1:4" x14ac:dyDescent="0.3">
      <c r="A25" s="43" t="s">
        <v>528</v>
      </c>
      <c r="B25" s="44" t="s">
        <v>500</v>
      </c>
      <c r="C25" s="44" t="s">
        <v>546</v>
      </c>
      <c r="D25" s="45">
        <v>9881.61</v>
      </c>
    </row>
    <row r="26" spans="1:4" x14ac:dyDescent="0.3">
      <c r="A26" s="40" t="s">
        <v>528</v>
      </c>
      <c r="B26" s="41" t="s">
        <v>500</v>
      </c>
      <c r="C26" s="41" t="s">
        <v>546</v>
      </c>
      <c r="D26" s="42">
        <v>12052.07</v>
      </c>
    </row>
    <row r="27" spans="1:4" x14ac:dyDescent="0.3">
      <c r="A27" s="43" t="s">
        <v>528</v>
      </c>
      <c r="B27" s="44" t="s">
        <v>547</v>
      </c>
      <c r="C27" s="44" t="s">
        <v>548</v>
      </c>
      <c r="D27" s="45">
        <v>702</v>
      </c>
    </row>
    <row r="28" spans="1:4" x14ac:dyDescent="0.3">
      <c r="A28" s="40" t="s">
        <v>528</v>
      </c>
      <c r="B28" s="41" t="s">
        <v>549</v>
      </c>
      <c r="C28" s="41" t="s">
        <v>550</v>
      </c>
      <c r="D28" s="42">
        <v>150</v>
      </c>
    </row>
    <row r="29" spans="1:4" x14ac:dyDescent="0.3">
      <c r="A29" s="43" t="s">
        <v>528</v>
      </c>
      <c r="B29" s="44" t="s">
        <v>549</v>
      </c>
      <c r="C29" s="44" t="s">
        <v>551</v>
      </c>
      <c r="D29" s="45">
        <v>222.16</v>
      </c>
    </row>
    <row r="30" spans="1:4" x14ac:dyDescent="0.3">
      <c r="A30" s="40" t="s">
        <v>528</v>
      </c>
      <c r="B30" s="41" t="s">
        <v>549</v>
      </c>
      <c r="C30" s="41" t="s">
        <v>552</v>
      </c>
      <c r="D30" s="42">
        <v>4382.1400000000003</v>
      </c>
    </row>
    <row r="31" spans="1:4" ht="15" thickBot="1" x14ac:dyDescent="0.35">
      <c r="A31" s="43" t="s">
        <v>528</v>
      </c>
      <c r="B31" s="44" t="s">
        <v>549</v>
      </c>
      <c r="C31" s="44" t="s">
        <v>553</v>
      </c>
      <c r="D31" s="45">
        <v>20000</v>
      </c>
    </row>
    <row r="32" spans="1:4" ht="15" thickTop="1" x14ac:dyDescent="0.3">
      <c r="A32" s="46" t="s">
        <v>2</v>
      </c>
      <c r="B32" s="47"/>
      <c r="C32" s="47"/>
      <c r="D32" s="48">
        <v>217439.21</v>
      </c>
    </row>
    <row r="35" spans="3:4" x14ac:dyDescent="0.3">
      <c r="C35" s="83" t="s">
        <v>707</v>
      </c>
      <c r="D35" s="84">
        <f>D32+'ingresos formacion 2020'!B33+'Ingresos formación 2019'!B62</f>
        <v>1335763.58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formacion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cp:lastPrinted>2019-07-03T07:26:29Z</cp:lastPrinted>
  <dcterms:created xsi:type="dcterms:W3CDTF">2019-07-03T07:15:54Z</dcterms:created>
  <dcterms:modified xsi:type="dcterms:W3CDTF">2022-10-18T16:02:27Z</dcterms:modified>
</cp:coreProperties>
</file>