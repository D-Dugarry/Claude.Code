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Mi unidad\Presupuestación\Presupuesto 2023\Departamentos\Institutos\"/>
    </mc:Choice>
  </mc:AlternateContent>
  <xr:revisionPtr revIDLastSave="0" documentId="13_ncr:1_{7D404729-A740-47EE-A04F-B8EC6669C697}" xr6:coauthVersionLast="47" xr6:coauthVersionMax="47" xr10:uidLastSave="{00000000-0000-0000-0000-000000000000}"/>
  <bookViews>
    <workbookView xWindow="22932" yWindow="-108" windowWidth="23256" windowHeight="12456" xr2:uid="{00000000-000D-0000-FFFF-FFFF00000000}"/>
  </bookViews>
  <sheets>
    <sheet name="Tesis" sheetId="2" r:id="rId1"/>
    <sheet name="Sexenios" sheetId="3" r:id="rId2"/>
    <sheet name="Ingresos investigación 2019" sheetId="6" r:id="rId3"/>
    <sheet name="ingresos investigación 2020" sheetId="7" r:id="rId4"/>
    <sheet name="ingresos investigación 2021" sheetId="8" r:id="rId5"/>
  </sheets>
  <externalReferences>
    <externalReference r:id="rId6"/>
  </externalReferences>
  <definedNames>
    <definedName name="_xlnm._FilterDatabase" localSheetId="1" hidden="1">Sexenios!$A$1:$S$19</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0" i="3" l="1"/>
  <c r="Q2" i="2" l="1"/>
  <c r="U2" i="2" s="1"/>
  <c r="P2" i="2"/>
  <c r="O2" i="2"/>
  <c r="N2" i="2"/>
  <c r="L2" i="2"/>
  <c r="K2" i="2"/>
  <c r="T2" i="2" l="1"/>
  <c r="R2" i="2"/>
  <c r="S2" i="2" s="1"/>
  <c r="S34" i="2" s="1"/>
  <c r="B44" i="6" l="1"/>
  <c r="D33" i="8" s="1"/>
</calcChain>
</file>

<file path=xl/sharedStrings.xml><?xml version="1.0" encoding="utf-8"?>
<sst xmlns="http://schemas.openxmlformats.org/spreadsheetml/2006/main" count="859" uniqueCount="352">
  <si>
    <t>Orgánica
Descripción justificante</t>
  </si>
  <si>
    <t>Importe</t>
  </si>
  <si>
    <t>Total</t>
  </si>
  <si>
    <t>42.00.6C.00.01</t>
  </si>
  <si>
    <t>42.00.6P.00.03</t>
  </si>
  <si>
    <t>42.00.6P.00.06</t>
  </si>
  <si>
    <t>42.00.6P.00.07</t>
  </si>
  <si>
    <t>42.00.6P.00.13</t>
  </si>
  <si>
    <t>42.00.6P.00.18</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</si>
  <si>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</si>
  <si>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</si>
  <si>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</si>
  <si>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</si>
  <si>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</si>
  <si>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</si>
  <si>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</si>
  <si>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</si>
  <si>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</si>
  <si>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</si>
  <si>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</si>
  <si>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</si>
  <si>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</si>
  <si>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</si>
  <si>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</si>
  <si>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</si>
  <si>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</si>
  <si>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</si>
  <si>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</si>
  <si>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</si>
  <si>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</si>
  <si>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</si>
  <si>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</si>
  <si>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24/07/2018 </t>
  </si>
  <si>
    <t>20/07/2017 </t>
  </si>
  <si>
    <t>Director de tesis </t>
  </si>
  <si>
    <t>28/09/2018 </t>
  </si>
  <si>
    <t>14/07/2017 </t>
  </si>
  <si>
    <t>05/09/2017 </t>
  </si>
  <si>
    <t>21/09/2018 </t>
  </si>
  <si>
    <t>50</t>
  </si>
  <si>
    <t>B113 </t>
  </si>
  <si>
    <t>ESTUDIOS JURIDICOS DEL ESTADO </t>
  </si>
  <si>
    <t>B113</t>
  </si>
  <si>
    <t>ZZ </t>
  </si>
  <si>
    <t>SIN ASIGNAR </t>
  </si>
  <si>
    <t>B147 </t>
  </si>
  <si>
    <t>CONSTRUCCIONES ARQUITECTONICAS </t>
  </si>
  <si>
    <t>B147</t>
  </si>
  <si>
    <t>10</t>
  </si>
  <si>
    <t>B184 </t>
  </si>
  <si>
    <t>EDIFICACIÓN Y URBANISMO </t>
  </si>
  <si>
    <t>80</t>
  </si>
  <si>
    <t>U023 </t>
  </si>
  <si>
    <t>ADM. FACULTAD DE FILOSOFIA Y LETRAS </t>
  </si>
  <si>
    <t>DOCTORADO EN FILOSOFÍA Y LETRAS </t>
  </si>
  <si>
    <t>26/09/2018 </t>
  </si>
  <si>
    <t>DOCTORADO EN TRANSFERENCIAS INTERCULTURALES E HISTÓRICAS EN LA EUROPA MEDIE </t>
  </si>
  <si>
    <t>18/07/2017 </t>
  </si>
  <si>
    <t>12/07/2017 </t>
  </si>
  <si>
    <t>B160 </t>
  </si>
  <si>
    <t>BIOTECNOLOGIA </t>
  </si>
  <si>
    <t>B160</t>
  </si>
  <si>
    <t>02/12/2016 </t>
  </si>
  <si>
    <t>20/09/2019 </t>
  </si>
  <si>
    <t>B130 </t>
  </si>
  <si>
    <t>PREHISTORIA, ARQUEOLOGÍA, HIST. ANTIGUA, FILOL. GRIEGA Y FILOL. LATINA </t>
  </si>
  <si>
    <t>21384689W </t>
  </si>
  <si>
    <t>10.24</t>
  </si>
  <si>
    <t>07210590K </t>
  </si>
  <si>
    <t>B130</t>
  </si>
  <si>
    <t>25120571V </t>
  </si>
  <si>
    <t>DOC. PATRIMONIO ARQUEOLÓGICO E HISTÓRICO. DE LA PREHISTORIA A NUESTROS DÍAS </t>
  </si>
  <si>
    <t>21431893X </t>
  </si>
  <si>
    <t>21474593E </t>
  </si>
  <si>
    <t>21454765C </t>
  </si>
  <si>
    <t>22131713D </t>
  </si>
  <si>
    <t>25145934B </t>
  </si>
  <si>
    <t>Manzaneda Martín, Cristina </t>
  </si>
  <si>
    <t>LOS ORETANOS: UNA VISIÓN DESDE EL TERRITORIO, LA SOCIEDAD Y LA IDEOLOGÍA </t>
  </si>
  <si>
    <t>Ocharan Ibarra, José Ángel </t>
  </si>
  <si>
    <t>SANTUARIOS RUPESTRES IBÉRICOS DEL SURESTE PENINSULAR </t>
  </si>
  <si>
    <t>10/07/2017 </t>
  </si>
  <si>
    <t>Álvarez Tortosa, Juan Francisco </t>
  </si>
  <si>
    <t>MODELOS DE PRODUCCIÓN EN LA AGRICULTURA COMERCIAL DEL NORESTE DE LA PROVINCIA HISTANIA CITERIOR </t>
  </si>
  <si>
    <t>Lledó Solbes, Berta María </t>
  </si>
  <si>
    <t>LA FRAGATA ERTUGRUL: UN PECIO OTOMANO EN JAPÓN. EXCAVACIÓN, MATERIALES, EXPOSICIÓN Y MEMORIA </t>
  </si>
  <si>
    <t>Amorós Ruiz, Victoria Encarnación </t>
  </si>
  <si>
    <t>CONTEXTOS CERÁMICOS ALTOMEDIEVALES DE EL TOLMO DE MINATEDA. CARACTERIZACIÓN MORFOLÓGICA, CRONOTIPOLÓGICA Y PORCENTUAL DESDE LA PERSPECTIVA ESTRATIGRÁFICA </t>
  </si>
  <si>
    <t>Ortuño Arregui, Manuel </t>
  </si>
  <si>
    <t>EDICIÓN CRÍTICA DE LOS PRIVILEGIOS REALES DEL A.H.N ANTERIORES A LA FUNDACIÓN DE LA ORDEN DE MONTESA EN LA EDAD MEDIA </t>
  </si>
  <si>
    <t>BAYO FUENTES, SONIA </t>
  </si>
  <si>
    <t>CONTESTANIA IBÉRICA EN LOS SIGLOS II-I A.N.E.: POBLACIÓN Y ROMANIZACIÓN </t>
  </si>
  <si>
    <t>Amorós López, Iván </t>
  </si>
  <si>
    <t>IDELOLOGÍA, PODER Y RITUAL EN EL PAISAJE IBÉRICO. PROCESOS SOCIALES Y PRÁCTICAS RITUALES EN EL ÁREA CENTRAL DE LA CONTESTANIA </t>
  </si>
  <si>
    <t>21657385X </t>
  </si>
  <si>
    <t>López Lillo, Jorge Alberto </t>
  </si>
  <si>
    <t>"LA POLÍTICA SALVAJE: UNA ARQUEOLOGÍA DE LA ACCIDENTALIDAD DEL ESTADO" </t>
  </si>
  <si>
    <t>02/03/2018 </t>
  </si>
  <si>
    <t>Ortiz García, Daniel </t>
  </si>
  <si>
    <t>LA ODISEA EN LA LITERATURA JUVENIL EN ESPAÑOL DEL S. XXI. ENFOQUE DESDE LA NARRATOLOGÍA Y DESDE LA DIDÁCTICA DE LA LENGUA Y LA LITERATURA </t>
  </si>
  <si>
    <t>Camacho Rodríguez, Pablo </t>
  </si>
  <si>
    <t>LAS FÍBULAS DE LOS VETONES. SIGLOS V-I A.C. </t>
  </si>
  <si>
    <t>Castaños Montesinos, Álvaro </t>
  </si>
  <si>
    <t>LA HISTORIOGRAFÍA MARXISTA OCCIDENTAL EN LA CRISIS DE LA MODERNIDAD (1968-2018) </t>
  </si>
  <si>
    <t>21/11/2018 </t>
  </si>
  <si>
    <t>Pastor Quiles, María </t>
  </si>
  <si>
    <t>LA CONSTRUCCIÓN CON TIERRA EN LA PREHISTORIA RECIENTE DEL LEVANTE MERIDIONAL DE LA PENÍNSULA IBÉRICA: MATERIALES, TÉCNICAS Y PROCESOS CONSTRUCTIVOS </t>
  </si>
  <si>
    <t>21358643S </t>
  </si>
  <si>
    <t>DOCTORADO EN GESTIÓN DE LA EDIFICACIÓN </t>
  </si>
  <si>
    <t>Lloret Mauri, Ángel Tomás </t>
  </si>
  <si>
    <t>ESTUDIO Y ANÁLISIS DEL IMPACTO Y REPERCUSIÓN AMBIENTAL SOBRE EL PATRIMONIO HISTÓRICO EDIFICADO EN EL CENTRO HISTÓRICO DE VILLAJOYOSA DURANTE LAS FIESTAS PATRONALES </t>
  </si>
  <si>
    <t>48319966W </t>
  </si>
  <si>
    <t>NIF</t>
  </si>
  <si>
    <t>NOMBRE_COMPLETO</t>
  </si>
  <si>
    <t>TIPO_SEXENIO</t>
  </si>
  <si>
    <t>Total general</t>
  </si>
  <si>
    <t>INS
1</t>
  </si>
  <si>
    <t>DED
INS 1</t>
  </si>
  <si>
    <t>INS
2</t>
  </si>
  <si>
    <t>DED
INS 2</t>
  </si>
  <si>
    <t>DED
DEP</t>
  </si>
  <si>
    <t>SEX
INS 1</t>
  </si>
  <si>
    <t>SEX
INS 2</t>
  </si>
  <si>
    <t>SEX
DEP</t>
  </si>
  <si>
    <t>FUNCIONARIO</t>
  </si>
  <si>
    <t>NO FUNCIONARIO</t>
  </si>
  <si>
    <t>21384689W</t>
  </si>
  <si>
    <t>DIEZ SANCHEZ, JUAN JOSE</t>
  </si>
  <si>
    <t>21452732B</t>
  </si>
  <si>
    <t>DOMENECH BELDA, CAROLINA</t>
  </si>
  <si>
    <t>21672478S</t>
  </si>
  <si>
    <t>GARCIA ATIENZAR, GABRIEL</t>
  </si>
  <si>
    <t>21657385X</t>
  </si>
  <si>
    <t>GRAU MIRA, IGNACIO</t>
  </si>
  <si>
    <t>21431893X</t>
  </si>
  <si>
    <t>GUTIERREZ LLORET, SONIA</t>
  </si>
  <si>
    <t>22131713D</t>
  </si>
  <si>
    <t>JOVER MAESTRE, FRANCISCO JAVIER</t>
  </si>
  <si>
    <t>21454765C</t>
  </si>
  <si>
    <t>LOPEZ MARTINEZ, MARIA PAZ</t>
  </si>
  <si>
    <t>07210590K</t>
  </si>
  <si>
    <t>LORRIO ALVARADO, ALBERTO JOSE</t>
  </si>
  <si>
    <t>25145934B</t>
  </si>
  <si>
    <t>MESA SANZ, JUAN FRANCISCO</t>
  </si>
  <si>
    <t>21474593E</t>
  </si>
  <si>
    <t>MOLINA VIDAL, JAIME</t>
  </si>
  <si>
    <t>52860484K</t>
  </si>
  <si>
    <t>PRADOS MARTINEZ, FERNANDO</t>
  </si>
  <si>
    <t>48319966W</t>
  </si>
  <si>
    <t>ROMERO RAMETA, ALEJANDRO</t>
  </si>
  <si>
    <t>25120571V</t>
  </si>
  <si>
    <t>SALA SELLES, FELICIANA</t>
  </si>
  <si>
    <t>33478305B</t>
  </si>
  <si>
    <t>SPAIRANI BERRIO, YOLANDA</t>
  </si>
  <si>
    <t>Colaboración en las actividades del proyecto: "Análisis arqueológico de la arquitectura feniciopúnica de Menorca"</t>
  </si>
  <si>
    <t>42.00.6C.00.16</t>
  </si>
  <si>
    <t>Redacción del Plan de Gestión de Arte Rupestre de la Comunidad Valenciana</t>
  </si>
  <si>
    <t>42.00.6C.00.17</t>
  </si>
  <si>
    <t>Realización de limpiezas, excavación arqueológica, prospección geofísica y estudio de materiales en el yacimiento de El Moncayo (Guardamar del Segura)</t>
  </si>
  <si>
    <t>42.00.6C.00.18</t>
  </si>
  <si>
    <t>RRealización de limpiezas y excavación arqueológica en el yacimiento de El Cabezo Pequeño del Estaño (Guardamar del Segura). Seguimiento de las obras de consolidación, estudio de materiales, difusión y divulgación del yacimiento.</t>
  </si>
  <si>
    <t>42.00.6C.00.19</t>
  </si>
  <si>
    <t>Guía interactiva de realidad aumentada para la visualización 3D de la  Villa Romana del Palmeral (Santa Pola, Alicante), en el marco del proyecto FEDER, Expediente FC-001/17 "Puesta en valor restos arqueológicos Portus Ilicitanus"</t>
  </si>
  <si>
    <t>42.00.6C.00.20</t>
  </si>
  <si>
    <t xml:space="preserve">PROJECTE ARQUEOLÒGIC. FASE III. CARACTERITZACIÓ ESPACIAL I SONDEJOS ARQUEOLÒGICS A ULL DE CANALS (CÓDIGO CONTABLE: AD-7351) </t>
  </si>
  <si>
    <t>42.00.6G.00.02</t>
  </si>
  <si>
    <t>INSCRIPCIÓN DE ALEXANDRE FRANCOIS GEORGES CANTIN EN EL VI CONGRESO INTERNACIONAL EL ARTE DE LAS SOCIEDADES PREHISTÓRICAS</t>
  </si>
  <si>
    <t>INSCRIPCIÓN DE EMILIE MARIE CHRISTIANE LESVIGNES EN EL VI CONGRESO INTERNACIONAL EL ARTE DE LAS SOCIEDADES PREHISTÓRICAS</t>
  </si>
  <si>
    <t>INSCRIPCIÓN DE MARÍA ANTONIA ZALBIDEA MUÑOZ EN EL VI CONGRESO INTERNACIONAL EL ARTE DE LAS SOCIEDADES PREHISTÓRICAS</t>
  </si>
  <si>
    <t>Liquidación VI Congreso de Arte Prehistórico</t>
  </si>
  <si>
    <t>Participacion Africa Pitarch Marti - Congreso El Arte de las Sociedades Prehistóricas (ASP VI)</t>
  </si>
  <si>
    <t>42.00.6M.00.08</t>
  </si>
  <si>
    <t>XRF</t>
  </si>
  <si>
    <t>FLIB 23/04/2019. PROYECTOS RETOS I+D+I 2015. ANUAL 2019 PROYECTOS I+D RETOS (PIA13) N EXPEDIENTE: PIA132015-1 -4 ANUALIDAD REFERENCIA: HAR2. REF. DEL ORDENANTE PARA EL BENEFICIARIO: 27402219310017731.</t>
  </si>
  <si>
    <t>LIBERADOS EL 04/06/2019, ANUALIDAD 2019 PROYECTOS I+D (PIA1) N EXPEDIENTE: PIA12016-1 - 4 ANUALIDAD REFERENCIA: HAR2016-76586-P.  REF. DEL ORDENANTE PARA EL BENEFICIARIO: 27402219310019563.</t>
  </si>
  <si>
    <t>FLIB 15/07/19. PROYECTOS I+D EXCELENCIA 2016. ANUAL 2019. S PROYECTOS I+D (PIA1) N EXPEDIENTE: PIA12016-1 - 4 ANUALIDAD REFERENCIA: HAR201. REF. DEL ORDENANTE PARA EL BENEFICIARIO 27402219310020812.</t>
  </si>
  <si>
    <t>LIBERADOS EL 18/03/19. ANUALIDAD 2019 PROYECTOS I+D (PIA1) N EXPEDIENTE: PIA12017-1 -2 ANUALIDAD REFERENCIA: HAR2017-87495-P.  REF. ORDENANTE: 27402219310015464.</t>
  </si>
  <si>
    <t>42.00.6P.00.15</t>
  </si>
  <si>
    <t>AYUDAS INVESTIGACIÓN DEL PATRIMONIO 2018.  0110530202. EL INSTITUTO UNIVERSITARIO DE INVESTIGACIÓN EN ARQUEOLOGÍA Y PATRIMONIO HISTÓRICO INFORMA CORRESPONDE A LA AYUDA Nº EXPTE.: SBPLY/18/180801/000002 SUBVENCIÓN PARA LA REALIZACIÓN DE PROYECTOS DE INVESTIGACIÓN DEL PATRIMONIO ARQUEOLÓGICO Y PALEONTOLÓGICO DE CASTILLA-LA MANCHA PARA EL AÑO 2018. SOLICITUD DE SUBVENCIÓN DE LA UNIVERSIDAD DE ALICANTE PARA EL DESARROLLO DEL PROYECTO "TOLMO DE MINATEDA. ACTUACIÓN ARQUEOLÓGICA 2018", HELLÍN (ALBACETE).</t>
  </si>
  <si>
    <t>42.00.6P.00.16</t>
  </si>
  <si>
    <t>UNIVERSIDAD DE ALICANTE POBLADO EDAD DEL BRONCE. 0110530204. EL INSTITUTO UNIVERSITARIO DE INVESTIGACIÓN EN ARQUEOLOGÍA Y PATRIMONIO HISTÓRICO INFORMA QUE CORRESPONDE A LA SUBVENCIÓN Nº EXPTE.: SBPLY/18/180801/00015 DE LA JUNTA DE COMUNIDADES DE CASTILLA LA MANCHA, PARA EL DESARROLLO DEL PROYECTO "CARACTERIZACIÓN ARQUEOMÉTRICA, RADOCARBÓNICA, PALEOAMBIENTAL Y LEOECONÓMICA DEL POBLADO DE LA EDAD DE BRONCE", ALMANSA (ALBACETE).</t>
  </si>
  <si>
    <t>42.00.6P.00.19</t>
  </si>
  <si>
    <t>CIDEGENT 2018 ANUALIDAD 2019RESOL 28/12/2018 CONTRATACIÓN INVESTIGA DORES DOCT. EXCELENCIA PROYECTO I+D+I</t>
  </si>
  <si>
    <t>42.00.6P.00.22</t>
  </si>
  <si>
    <t xml:space="preserve">AORG - ORGANITZACIÓ CONGRESSOS </t>
  </si>
  <si>
    <t>42.00.6P.00.23</t>
  </si>
  <si>
    <t>2112-2019-000001 LINIA 2 AJUTS PH 2019 (ANUALITAT 2019) - PROJECTE MODULAR (SON CATLAR VI FASE) (BESTRETA). 220190015211. EL I NSTITUTO U. INVESTIGACIÓN EN ARQUEOLOGÍA Y PATRIMONIO HISTÓRICO INFORMA QUE CORRESPONDE AL 50% ANTICIPO DEL PROYECTO MODULAR INTERVENCIÓN ARQUEOLÓGICA EN SON CATLAR (VI FASE).</t>
  </si>
  <si>
    <t>42.00.6P.00.27</t>
  </si>
  <si>
    <t>RESOLUCIÓN CONCESIÓN PROMETEO 2019</t>
  </si>
  <si>
    <t>42.00.6P.00.28</t>
  </si>
  <si>
    <t xml:space="preserve">SUBVENCIONES GRUPOS INVESTIGACION CONSOLIDABLES AICO/2019 (EDUCACIÓN,INVESTIGACIÓN,CULTURA Y DEPORT)  </t>
  </si>
  <si>
    <t>Castillo Vizcaíno, Laura </t>
  </si>
  <si>
    <t>El espacio ibérico del sur de Albacete entre los siglos VI y II a.C.: Los oppida de La Peña (Peñas de San Pedro) y Saltigi/Chinchilla y sus territorios </t>
  </si>
  <si>
    <t>25/09/2020 </t>
  </si>
  <si>
    <t>U044 </t>
  </si>
  <si>
    <t>ADM. FACULTAD DE CIENCIAS DE LA SALUD </t>
  </si>
  <si>
    <t>DOCTORADO EN CIENCIAS DE LA SALUD </t>
  </si>
  <si>
    <t>Saez Espinosa, Paula </t>
  </si>
  <si>
    <t>"Análisis de biomarcadores en el espermatozoide y su implicación en Biología de la Reproducción" </t>
  </si>
  <si>
    <t>24/07/2020 </t>
  </si>
  <si>
    <t>48569460S</t>
  </si>
  <si>
    <t>MATEO CORREDOR, DANIEL</t>
  </si>
  <si>
    <t>52774862M</t>
  </si>
  <si>
    <t>SARABIA BAUTISTA, JULIA</t>
  </si>
  <si>
    <t>COD DEP</t>
  </si>
  <si>
    <t>Santana Onrubia, Rubén </t>
  </si>
  <si>
    <t>LAS TRANSFORMACIONES DEL MODELO TERRITORIAL EN EL LITORAL CENTRAL DE LA TARRACONENSE EN EL BAJO IMPERIO </t>
  </si>
  <si>
    <t>22/01/2021 </t>
  </si>
  <si>
    <t>48569460S </t>
  </si>
  <si>
    <t>B185 </t>
  </si>
  <si>
    <t>INGENIERÍA CIVIL </t>
  </si>
  <si>
    <t>DOCTORADO EN INGENIERÍA DE MATERIALES, ESTRUCTURAS Y TERRENO: CONSTR. SOST. </t>
  </si>
  <si>
    <t>Huesca Tortosa, José Antonio </t>
  </si>
  <si>
    <t>La iglesia de Biar y su portada protorrenacentista. Análisis histórico, arquitectónico, constructivo y estudio diagnóstico. Aplicación de técnica LIDAR. </t>
  </si>
  <si>
    <t>19/02/2021 </t>
  </si>
  <si>
    <t>33478305B </t>
  </si>
  <si>
    <t>Molina Burguera, Guillermo </t>
  </si>
  <si>
    <t>LA GESTIÓN DEL ENTORNO HISTÓRICO: CASOS DE ESTUDIO EN ESPAÑA, FRANCIA Y REINO UNIDO </t>
  </si>
  <si>
    <t>02/03/2021 </t>
  </si>
  <si>
    <t>Rabuñal Gayo, José Ramón </t>
  </si>
  <si>
    <t>"Análisis de la distribución espacial y estudio morfo-técnico de la industria lítica de los yacimientos mesolíticos de El Arenal de la Virgen y Casa Corona (Villena, Alicante)" </t>
  </si>
  <si>
    <t>21/07/2021 </t>
  </si>
  <si>
    <t>29022960L </t>
  </si>
  <si>
    <t>U074 </t>
  </si>
  <si>
    <t>ADM. I.U. INVESTIGACIÓN DE ARQUEOLOGÍA Y PATRIMONIO HISTÓRICO </t>
  </si>
  <si>
    <t>100</t>
  </si>
  <si>
    <t>Torres Gomariz, Octavio </t>
  </si>
  <si>
    <t>La sociedad postalayótica bajo la órbita púnica: viviendas y grupos domésticos en el archipiélago balear (VI-II a.C.) </t>
  </si>
  <si>
    <t>12/02/2021 </t>
  </si>
  <si>
    <t>52860484K </t>
  </si>
  <si>
    <t>Terzopoulou , Anastasia </t>
  </si>
  <si>
    <t>Los desastres de la guerra troyana sobre las heroínas de Eurípides y Séneca: Estudio comparativo </t>
  </si>
  <si>
    <t>09/06/2021 </t>
  </si>
  <si>
    <t>42.00.6C.00.21</t>
  </si>
  <si>
    <t>Desarrollo de un recurso tecnológico inmersivo para el yacimiento arqueológico de la villa romana de l'Albir "Protección y Puesta en valor de los sectores II y IV de la Villa Romana de l'Albir" dentro de los PO FEDER de la Comunitat Valenciana 2014-2020. Obra: Protección y puesta en valor de los sectores II y IV de la Villa Romana de l'Albir. Actuación cofinanciada por la Unión Europea a través del PO FEDER de la Comunitat Valenciana 2014-2020 S. ref. expte. FC-042-  CM/803/2019</t>
  </si>
  <si>
    <t>42.00.6C.00.22</t>
  </si>
  <si>
    <t>Documentación 3D y recreación virtual del Molí de Mànec para el proyecto "Protección y Puesta en Valor del Molí de Mànec" dentro de los PO FEDER de la Comunitat Valenciana 2014-2020 Obra: Protección y puesta en valor deL Molí de Mànec. Actuación cofinanciada por la Unión Europea a través del PO FEDER de la Comunitat Valenciana 2014-2020. S. ref. expte. FC-041 - CM/802/2019</t>
  </si>
  <si>
    <t>42.00.6C.00.23</t>
  </si>
  <si>
    <t>Participación en proyecto de investigación y puesta en valor del patrimonio arqueológico correspondiente a la ocupación antigua en el término municipal de Banyeres de Mariola (código contable AD-2341)</t>
  </si>
  <si>
    <t>42.00.6C.00.24</t>
  </si>
  <si>
    <t xml:space="preserve">"Análisis y estudio de cerámicas fenicias de UTICA (Túnez, con cargo al proyecto I+D HAR2017-86334-R) Número de contrato menor: CM/SOL-202000316982-TRA. Número de expediente: 2010/20 </t>
  </si>
  <si>
    <t>42.00.6C.00.25</t>
  </si>
  <si>
    <t>Proyecto de restauración, conservación, estudio y difusión del conjunto de Arte Rupestre Prehistórico del Abrigo Mansano, Xaló (Alicante):  Realización de la fotogrametría del Abrigo del Mansano (Xaló), incluyendo la obtención a partir de la misma, de la planta, las secciones, y la ubicación de los paneles con arte rupestre. Elaboración de los calcos digitales de los paneles seleccionados.Elaboración de los calcos digitales de los paneles seleccionados. Redacción memoria científica. Incluyendo la descripción y estudio de los nuevos motivos calcados y documentados.</t>
  </si>
  <si>
    <t>42.00.6C.00.26</t>
  </si>
  <si>
    <t>Virtualización e impresión 3D de las esfinges ibéricas de Agost</t>
  </si>
  <si>
    <t>42.00.6C.00.27</t>
  </si>
  <si>
    <t>"Villa Rosario. Recorrido interactivo inmersivo" Diseño y elaboración de una app que permita la visita guiada interactiva e inmersiva del Museu Valencià del Paper (código contable AD-4563)</t>
  </si>
  <si>
    <t>42.00.6C.00.28</t>
  </si>
  <si>
    <t>Documentación, revisión y diagnóstico de la protección del yacimiento subacuático Bou Ferrer de La Vila Joiosa mediante inmersiones periódicas. Instalación de dos trampas de sedimento perimetrales para la toma de muestras de materia orgánica. Documentación y análisis de los artefactos metálicos del pecio Bou Ferrer depositados en Vilamuseu: 77 clavos de cobre y hierro, 17 artefactos de bronce, 1 artefacto de hierro y 1 imbornal de plomo.</t>
  </si>
  <si>
    <t>42.00.6C.00.29</t>
  </si>
  <si>
    <t>Asesoramiento y redacción de contenidos expositivos del Museu Arqueològic de Gandia</t>
  </si>
  <si>
    <t>42.00.6C.00.30</t>
  </si>
  <si>
    <t xml:space="preserve">CUANTIFICACIÓN, CARACTERIZACIÓN TAFONÓMICA Y ESTUDIO BIOMÉTRICO DE LA COLECCIÓN DE MOLUSCOS DEL YACIMIENTO NEOLÍTICO DE "EL BARRANQUET"(OLIVA, VALENCIA) </t>
  </si>
  <si>
    <t>42.00.6O.00.01</t>
  </si>
  <si>
    <t>CONVENIO YACIMIENTO DE LA ALCUDIA 2020. ENCARGO INTERNO PARA LA REALIZACIÓN DE UN TRABAJO POR PARTE DE PERSONAL PROPIO DE LA UA.</t>
  </si>
  <si>
    <t xml:space="preserve">Pago del Resto de Convenio de Yacimiento de la Alcudia 2019. </t>
  </si>
  <si>
    <t xml:space="preserve">LIBERADOS EL 18/02/2020, ANUALIDAD 2020 PROYECTOS I+D (PIA1) N EXPEDIENTE:PIA 12017-1-3 ANUALIDAD REFERENCIA: HAR2017-87495-P. </t>
  </si>
  <si>
    <t>2112-2019-000001 LINIA 2 AJUTS PH 2019 (ANUALITAT 2019) - PROJECTE MODULAR (SON CATLAR VI FASE) (BESTRETA). 220190015211. 50% RESTANTE DEL PROYECTO MODULAR INTERVENCIÓN ARQUEOLÓGICA EN SON CATLAR (VI FASE).</t>
  </si>
  <si>
    <t>CIDEGENT 2018 SUBV.CONTRAC. INVEST. DOCEXCELENCIA DESARR PROYECT I+D+I EN C.V. RESOL 28/12/2020 DGUIC ANUALIDAD 2020 (INNOVACIÓN,UNIVERSIDADES,CIENCIA SOC.DIG)</t>
  </si>
  <si>
    <t>42.00.6P.00.25</t>
  </si>
  <si>
    <t>SUBVPROYINVESTPATRIM2019 TOLMO DE MINATEDA, según informa I.Universitario en Arqueología y Patrimonio Histórico</t>
  </si>
  <si>
    <t>42.00.6P.00.26</t>
  </si>
  <si>
    <t xml:space="preserve">SUBVPROYINVESTPATRIM2019LOS ALMADENES, SEGUN INFORMA INSTITUTO ARQUEOLOGÍA </t>
  </si>
  <si>
    <t>PROMETEO 2019 EN 2020 (INNOVACIÓN,UNIVERSIDADES,CIENCIA SOC.DIG)</t>
  </si>
  <si>
    <t>SUBVENCIONES GRUPOS INVESTIGACION CONSOLIDABLES AICO/2019.2ª (INNOVACIÓN,UNIVERSIDADES,CIENCIA SOC.DIG)</t>
  </si>
  <si>
    <t>42.00.6P.00.33</t>
  </si>
  <si>
    <t>Programa Logos Fundación BBVA de Ayudas a la Investigación el Área de Estudios Clásicos al I.P Prof. María Paz López Martínez, proyecto "Eroticorum graecorum fragmenta in papyris membranisve reperta"</t>
  </si>
  <si>
    <t>42.00.6P.00.34</t>
  </si>
  <si>
    <t>RESOLUCIÓN CONCESIÓN DE 17/07/2020 SUB.APE/2020. APE/2020/008 (INNOVACIÓN,UNIVERSIDADES,CIENCIA SOC.DIG)</t>
  </si>
  <si>
    <t>42.00.6P.00.35</t>
  </si>
  <si>
    <t>PAGO CONVOVATORIA PROYECTOS 2019 ANUALIDAD 2020 PROYECTOS I+D (PIA1) EXPEDIENTE PIA12019-1-1 ANUALIDAD REFERENCIA: PID2019-107264G</t>
  </si>
  <si>
    <t>42.00.6P.00.36</t>
  </si>
  <si>
    <t>PAGO CONVOVATORIA PROYECTOS 2019 ANUALIDAD 2020 PROYECTOS I+D (PIA1) EXPEDIENTE PIA12019-1-1 ANUALIDAD REFERENCIA: PID2019-108192G</t>
  </si>
  <si>
    <t>42.00.6P.00.37</t>
  </si>
  <si>
    <t>ABONO SUBVENCION PATRIMONIO --LOCAL 2020 POR EL PROYECTO /EL ACCESO ORIENTAL AL POBLADO DELOS ALMADENES, SEGÚN INFORMAN INSTITUTO ARQUEOLOGIA</t>
  </si>
  <si>
    <t>42.00.6P.00.41</t>
  </si>
  <si>
    <t>Dos ingresos, concepto: Ajuts Patrimoni Historic 2020 linia 2 Projecte modular: Son Catlar (VIfase) (anualitat 2020) (bestreta 50.)Linia 2 ajuts PH 2019 (anualitat 2020) - Projecte modular (Son CatlarVI fase).</t>
  </si>
  <si>
    <t>42.00.6X.00.01</t>
  </si>
  <si>
    <t>1970275492 683018 - PALEODEM. REF.ORDENANTE: 1993203436. REF.BENEFICIARIO: 3641601004022. LA OFICINA DE GESTIÓN DE PROYECTOS INTERNACIONALES INFORMA QUE CORRESPONDE PARCIALMENTE A LA UNIVERSIDAD DE ALICANTE EN SU CONDICIÓN DE ACTUAL HOST INSTITUTION DEL PROYECTO ERC PALEODEM. ESTE PROYECTO SE INICIÓ EN EL INSTITUT CATALÁ DE PALEOECOLOGIA HUMANA I EVOLUCIÓ SOCIAL (IPHES) EN OCTUBRE DE 2016. EN JUNIO DE 2019 FUE TRANSFERIDO A LA UNIVERSIDAD DE ALICANTE. SE APLICA A LA UNIVERSIDAD E ALICANTE EL IMPORTE DE 401.605,88 EUROS</t>
  </si>
  <si>
    <t>29022960L</t>
  </si>
  <si>
    <t>FERNANDEZ LOPEZ DE PABLO, JAVIER</t>
  </si>
  <si>
    <t>Unidad</t>
  </si>
  <si>
    <t>Cód. org. aplic.</t>
  </si>
  <si>
    <t>Descripción justificante</t>
  </si>
  <si>
    <t>42.00</t>
  </si>
  <si>
    <t>42.00.6C.00.31</t>
  </si>
  <si>
    <t xml:space="preserve">Pago a finalización del contrato de "Excavación arqueológica en Los Saladares" </t>
  </si>
  <si>
    <t>42.00.6C.00.32</t>
  </si>
  <si>
    <t>Reconstrucción 3D de La Cetaría e interpretación en recorrido interactivo con realidad virtual en el Museo del Mar.</t>
  </si>
  <si>
    <t>42.00.6C.00.33</t>
  </si>
  <si>
    <t xml:space="preserve">Realización de excavación arqueológica, documentación y estudio de materiales en el yacimiento fenicio del Cabezo Pequeño del Estaño (Guardamar, Alicante). Fase II del Plan General de Investigación autorizado por la Generalitat Valenciana. Seguimiento de la consolidación de estructuras. Redacción de informe y difusión de los resultados de la actuación. </t>
  </si>
  <si>
    <t>42.00.6C.00.34</t>
  </si>
  <si>
    <t>Segundo pago trabajos Julio 2021</t>
  </si>
  <si>
    <t>Primer pago a la firma del convenio</t>
  </si>
  <si>
    <t>42.00.6C.00.35</t>
  </si>
  <si>
    <t>NºRC 22021001236 EXP. Nº719/2021: Proyecto de ruta submarina del Portitxol de Xàbia PRIMER PAGO (50% DEL TOTAL) A LOS CUATRO MESES DE LA ADJUDICACION DEL CONTRATO</t>
  </si>
  <si>
    <t xml:space="preserve">NºRC 22021001236 EXP. Nº719/2021: Proyecto de ruta submarina del Portitxol de Xàbia FACTURA FINAL </t>
  </si>
  <si>
    <t>42.00.6C.00.36</t>
  </si>
  <si>
    <t xml:space="preserve">RC (Retención de crédito) : 2021.2.0004529.000 Responsable del contrato: Victor Romero Matarredona (Arquitecto municipal Ayto Ibi) Decreto Nº.: TA02/326/2021 Realización de los siguientes trabajos en el término municipal de Ibi: - Redacción de solicitudes de permisos de actuación arqueológica - Prospección arqueológica superficial de cobertura total - Caracterización planimétrica y cartográfica del área intervenida - Inventario, catalogación y registro gráfico de los materiales arqueológico - Redacción informes y memorias </t>
  </si>
  <si>
    <t>42.00.6C.00.37</t>
  </si>
  <si>
    <t>REALIZACIÓN DEL GUIÓN INTERPRETATIVO Y EL ASESORAMIENTO Y REDACCIÓN DE CONTENIDOS PARA UN PROYECTO DE EXPOSICIÓN DE PATRIMONIO ARQUEOLÓGICO CORRESPONDIENTE A LAS EXCAVACIONES EN EL SITIO IBÉRICO DEL CABEÇÓ DE MARIOLA</t>
  </si>
  <si>
    <t>42.00.6C.00.39</t>
  </si>
  <si>
    <t>PAGO PARA LA REALIZACION  DEL PROYECTO DE PROTECCIÓN Y DIAGNÓSTICO ARQUEOLÓGICO EN EL YACIMIENTO PARQUE DE LAS NACIONES. EXPEDIENTE RC  61-336-2279976</t>
  </si>
  <si>
    <t>42.00.6C.00.40</t>
  </si>
  <si>
    <t>Reconstrucción 3D de los Baños Árabes e integración APP en recorrido interactivo con realidad aumentada. AYTOELCHE1-21T</t>
  </si>
  <si>
    <t>42.00.6C.00.41</t>
  </si>
  <si>
    <t>CMENOR/2021/06N03/671 Excavación arqueológica subacuática y recuperación de monedas en el Cantalar, bahía del Portixol. CONSELLERIAEDUCCION1-21I</t>
  </si>
  <si>
    <t>42.00.6C.00.42</t>
  </si>
  <si>
    <t>Puesta en valor del Castillo de Mira Expediente: 58/2017</t>
  </si>
  <si>
    <t>42.00.6C.00.43</t>
  </si>
  <si>
    <t>REDACCIÓN DE PROYECTO DE DISEÑO E INSTALACIÓN DE SISTEMA DE PROTECCIÓN DEL PECIO BOU FERRER DE LA VILA JOIOSA (ALICANTE) 3360-Arqueología</t>
  </si>
  <si>
    <t>42.00.6C.00.44</t>
  </si>
  <si>
    <t>Proyecto de investigación y puesta en valor del patrimonio arqueológico correspondiente a la ocupación antigua en el término municipal de Banyeres de Mariola</t>
  </si>
  <si>
    <t>CONVENIO DE COLABORACIÓN ENTRE LA UA Y EL AYUNTAMIENTO DE ELCHE PARA LA REALIZACIÓN DE ACTIVIDADES DE INTERÉS GENERAL EN EL YACIMIENTO ARQUEOLÓGICO DE LA ALCUDIA.</t>
  </si>
  <si>
    <t>LIBERADOS EL 14/05/2021 ANUALIDAD 2021 PROYECTOS I+D (PIA1) N EXPEDIENTE: PIA12017-1-4 ANUALIDAD REFERENCIA: HAR2017-87495-P</t>
  </si>
  <si>
    <t>CIDEGENT 2018 ANUALIDAD 2021RESOLUCIÓN DGUIC 25/01/2019</t>
  </si>
  <si>
    <t>PROMETEO 2019 EN 2021 (INNOVACIÓN,UNIVERSIDADES,CIENCIA SOC.DIG)</t>
  </si>
  <si>
    <t xml:space="preserve">RESOLUCIÓN CONCESIÓN DE 17/07/2020 SUB.PARA GRUPOS INVEST. PARA CAPTACIÓN DE PROYECTOS EUROPEOS-APE/2020 EN 2021, APE/2020/008  </t>
  </si>
  <si>
    <t xml:space="preserve">PID2019-107264GB-I00 </t>
  </si>
  <si>
    <t>PID2019-108192GB-I00</t>
  </si>
  <si>
    <t>CONVOCATORIA AJUTS PATRIMONI HISTORIC 2020 . PROJECTE MODULAR A SON CATLAR (ANUALITAT 2021)</t>
  </si>
  <si>
    <t>42.00.6P.00.43</t>
  </si>
  <si>
    <t>SUBVENCION PARA EL DESARROLLO DE --PROYECTOS DE INVESTIGACION SOBRE EL PATRIMONIO ARQUEOLOGICO-LOCAL DEL AÑO 2021</t>
  </si>
  <si>
    <t>42.00.6P.00.44</t>
  </si>
  <si>
    <t>PID2020-115956GB-I00</t>
  </si>
  <si>
    <t>42.00.6P.00.45</t>
  </si>
  <si>
    <t>PID2020-119959GB-I00</t>
  </si>
  <si>
    <t>42.00.6P.00.48</t>
  </si>
  <si>
    <t>Ajuts patrimoni hist.ric 2021 - Linia 2 Intervencions - Projecte Modular Son Catlar IV Fase (Anualitat 2021) (bestreta)</t>
  </si>
  <si>
    <t>CUARTO INGRESO DEL PROYECTO PALEODEM</t>
  </si>
  <si>
    <t>S</t>
  </si>
  <si>
    <t>Alba Luzón, Miriam </t>
  </si>
  <si>
    <t>Las comunidades de montaña de la edad de hierro en la cuenca del Taibilla </t>
  </si>
  <si>
    <t>19/07/2022 </t>
  </si>
  <si>
    <t>Rosell Garrido, Patricia </t>
  </si>
  <si>
    <t>Espacios cotidianos, espacios de trabajo. La mujer íbera de los territorios valencianos a través de las actividades textil y culinaria. </t>
  </si>
  <si>
    <t>14/09/2022 </t>
  </si>
  <si>
    <t>Basso Rial, Ricardo Emanuel </t>
  </si>
  <si>
    <t>La producción textil en el Sudeste y el Levante de la península ibérica durante la prehistoria reciente (3500-550 CAL BC) </t>
  </si>
  <si>
    <t>24/05/2022 </t>
  </si>
  <si>
    <t>Perdiguero Asensi, Pascual </t>
  </si>
  <si>
    <t>Producción y comercio en la esfera de influencia púnica. Relaciones y dinámicas productivas en la contestania ibérica. </t>
  </si>
  <si>
    <t>13/09/2022 </t>
  </si>
  <si>
    <t>Ruiz Molina, Liborio </t>
  </si>
  <si>
    <t>Yakka. Un castillo rural de Sarq al-Andalus durante el periodo almohade. Siglos XII-XIII.Yecla. Murcia </t>
  </si>
  <si>
    <t>11/04/2022 </t>
  </si>
  <si>
    <t>Robles Gómez, María Laura </t>
  </si>
  <si>
    <t>Implicación del glicocálix en la fisiología espermática de mamíferos: estudio comparado. </t>
  </si>
  <si>
    <t>27/05/2022 </t>
  </si>
  <si>
    <t>43727316S</t>
  </si>
  <si>
    <t>GRAELLS FABREGAT, RAIMON</t>
  </si>
  <si>
    <t>Total ingresos investigación 2019-2020-2021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</si>
</sst>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0"/>
      <color theme="1"/>
      <name val="Arial"/>
      <family val="2"/>
    </font>
    <font>
      <sz val="8"/>
      <color rgb="FF000000"/>
      <name val="Arial"/>
      <family val="2"/>
    </font>
    <font>
      <b/>
      <sz val="11"/>
      <color theme="1"/>
      <name val="Calibri"/>
      <family val="2"/>
      <scheme val="minor"/>
    </font>
    <font>
      <b/>
      <sz val="11"/>
      <color theme="0"/>
      <name val="Calibri"/>
      <family val="2"/>
      <scheme val="minor"/>
    </font>
    <font>
      <sz val="11"/>
      <color rgb="FF000000"/>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rgb="FFFCE4D6"/>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ck">
        <color theme="0"/>
      </top>
      <bottom/>
      <diagonal/>
    </border>
    <border>
      <left style="thin">
        <color theme="0"/>
      </left>
      <right style="thin">
        <color theme="0"/>
      </right>
      <top style="thick">
        <color theme="0"/>
      </top>
      <bottom/>
      <diagonal/>
    </border>
    <border>
      <left style="thin">
        <color theme="0"/>
      </left>
      <right/>
      <top style="thick">
        <color theme="0"/>
      </top>
      <bottom/>
      <diagonal/>
    </border>
    <border>
      <left/>
      <right/>
      <top style="thin">
        <color indexed="64"/>
      </top>
      <bottom style="thin">
        <color indexed="64"/>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68">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textRotation="90" wrapText="1"/>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7" fillId="0" borderId="1" xfId="0" applyFont="1" applyBorder="1"/>
    <xf numFmtId="0" fontId="7" fillId="0" borderId="1" xfId="0" applyFont="1" applyBorder="1" applyAlignment="1">
      <alignment horizontal="left"/>
    </xf>
    <xf numFmtId="0" fontId="8" fillId="2" borderId="1" xfId="0" applyFont="1" applyFill="1" applyBorder="1"/>
    <xf numFmtId="0" fontId="8" fillId="2" borderId="1" xfId="0" applyFont="1" applyFill="1" applyBorder="1" applyAlignment="1">
      <alignment textRotation="90"/>
    </xf>
    <xf numFmtId="0" fontId="9"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3" fillId="4" borderId="1" xfId="1" applyFill="1" applyBorder="1"/>
    <xf numFmtId="0" fontId="3" fillId="4" borderId="1" xfId="1" applyFill="1" applyBorder="1" applyAlignment="1">
      <alignment horizontal="right"/>
    </xf>
    <xf numFmtId="1" fontId="3" fillId="4" borderId="1" xfId="1" applyNumberFormat="1" applyFill="1" applyBorder="1"/>
    <xf numFmtId="164" fontId="3" fillId="4" borderId="1" xfId="1" applyNumberFormat="1" applyFill="1" applyBorder="1"/>
    <xf numFmtId="0" fontId="3" fillId="4" borderId="2" xfId="1" applyFill="1" applyBorder="1"/>
    <xf numFmtId="0" fontId="3" fillId="4" borderId="2" xfId="1" applyFill="1" applyBorder="1" applyAlignment="1">
      <alignment horizontal="right"/>
    </xf>
    <xf numFmtId="1" fontId="3" fillId="4" borderId="2" xfId="1" applyNumberFormat="1" applyFill="1" applyBorder="1"/>
    <xf numFmtId="164" fontId="3" fillId="4" borderId="2" xfId="1" applyNumberFormat="1" applyFill="1" applyBorder="1"/>
    <xf numFmtId="0" fontId="3" fillId="0" borderId="1" xfId="1" applyBorder="1"/>
    <xf numFmtId="0" fontId="3" fillId="4" borderId="3" xfId="1" applyFill="1" applyBorder="1"/>
    <xf numFmtId="0" fontId="12" fillId="6" borderId="1" xfId="0" applyFont="1" applyFill="1" applyBorder="1" applyAlignment="1">
      <alignment horizontal="left" vertical="center"/>
    </xf>
    <xf numFmtId="0" fontId="12" fillId="6" borderId="4" xfId="0" applyFont="1" applyFill="1" applyBorder="1" applyAlignment="1">
      <alignment horizontal="left" vertical="center"/>
    </xf>
    <xf numFmtId="0" fontId="12" fillId="6" borderId="5" xfId="0" applyFont="1" applyFill="1" applyBorder="1" applyAlignment="1">
      <alignment horizontal="left" vertical="center"/>
    </xf>
    <xf numFmtId="0" fontId="12" fillId="6" borderId="6" xfId="0" applyFont="1" applyFill="1" applyBorder="1" applyAlignment="1">
      <alignment horizontal="left" vertical="center"/>
    </xf>
    <xf numFmtId="0" fontId="13" fillId="0" borderId="1" xfId="0" applyFont="1" applyBorder="1"/>
    <xf numFmtId="0" fontId="14" fillId="7" borderId="7" xfId="0" applyNumberFormat="1" applyFont="1" applyFill="1" applyBorder="1"/>
    <xf numFmtId="0" fontId="14" fillId="7" borderId="8" xfId="0" applyNumberFormat="1" applyFont="1" applyFill="1" applyBorder="1"/>
    <xf numFmtId="0" fontId="14" fillId="7" borderId="9" xfId="0" applyFont="1" applyFill="1" applyBorder="1" applyAlignment="1">
      <alignment horizontal="right"/>
    </xf>
    <xf numFmtId="0" fontId="0" fillId="8" borderId="10" xfId="0" applyNumberFormat="1" applyFont="1" applyFill="1" applyBorder="1"/>
    <xf numFmtId="0" fontId="0" fillId="8" borderId="11" xfId="0" applyFont="1" applyFill="1" applyBorder="1"/>
    <xf numFmtId="4" fontId="0" fillId="8" borderId="12" xfId="0" applyNumberFormat="1" applyFont="1" applyFill="1" applyBorder="1"/>
    <xf numFmtId="0" fontId="0" fillId="9" borderId="10" xfId="0" applyNumberFormat="1" applyFont="1" applyFill="1" applyBorder="1"/>
    <xf numFmtId="0" fontId="0" fillId="9" borderId="11" xfId="0" applyFont="1" applyFill="1" applyBorder="1"/>
    <xf numFmtId="4" fontId="0" fillId="9" borderId="12" xfId="0" applyNumberFormat="1" applyFont="1" applyFill="1" applyBorder="1"/>
    <xf numFmtId="0" fontId="14" fillId="7" borderId="13" xfId="0" applyFont="1" applyFill="1" applyBorder="1"/>
    <xf numFmtId="0" fontId="14" fillId="7" borderId="14" xfId="0" applyFont="1" applyFill="1" applyBorder="1"/>
    <xf numFmtId="4" fontId="14" fillId="7" borderId="15" xfId="0" applyNumberFormat="1" applyFont="1" applyFill="1" applyBorder="1"/>
    <xf numFmtId="0" fontId="3" fillId="4" borderId="0" xfId="1" applyFill="1"/>
    <xf numFmtId="165" fontId="3" fillId="4" borderId="1" xfId="1" applyNumberFormat="1" applyFill="1" applyBorder="1"/>
    <xf numFmtId="165" fontId="3" fillId="4" borderId="2" xfId="1" applyNumberFormat="1" applyFill="1" applyBorder="1"/>
    <xf numFmtId="0" fontId="3" fillId="10" borderId="1" xfId="1" applyFill="1" applyBorder="1"/>
    <xf numFmtId="164" fontId="3" fillId="10" borderId="1" xfId="1" applyNumberFormat="1" applyFill="1" applyBorder="1"/>
    <xf numFmtId="164" fontId="3" fillId="10" borderId="2" xfId="1" applyNumberFormat="1" applyFill="1" applyBorder="1"/>
    <xf numFmtId="0" fontId="10" fillId="10" borderId="0" xfId="5" applyFont="1" applyFill="1"/>
    <xf numFmtId="0" fontId="10" fillId="10" borderId="0" xfId="5" applyFont="1" applyFill="1" applyAlignment="1">
      <alignment horizontal="right"/>
    </xf>
    <xf numFmtId="164" fontId="11" fillId="10" borderId="1" xfId="5" applyNumberFormat="1" applyFont="1" applyFill="1" applyBorder="1" applyAlignment="1"/>
    <xf numFmtId="0" fontId="11" fillId="10" borderId="1" xfId="5" applyFont="1" applyFill="1" applyBorder="1" applyAlignment="1"/>
    <xf numFmtId="0" fontId="15" fillId="11" borderId="1" xfId="0" applyFont="1" applyFill="1" applyBorder="1" applyAlignment="1">
      <alignment horizontal="right"/>
    </xf>
    <xf numFmtId="4" fontId="0" fillId="10" borderId="1" xfId="0" applyNumberFormat="1" applyFill="1" applyBorder="1"/>
    <xf numFmtId="164" fontId="4" fillId="10" borderId="16" xfId="1" applyNumberFormat="1" applyFont="1" applyFill="1" applyBorder="1" applyAlignment="1">
      <alignment horizontal="center"/>
    </xf>
    <xf numFmtId="0" fontId="4" fillId="10" borderId="16" xfId="1" applyFont="1" applyFill="1" applyBorder="1" applyAlignment="1">
      <alignment horizontal="center"/>
    </xf>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20unidad/Presupuestaci&#243;n/Presupuesto%202023/C&#225;lculos/Asignaciones%20Departamentos%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Índice"/>
      <sheetName val="Dep-Inst"/>
      <sheetName val="Financiación"/>
      <sheetName val="Comparación"/>
      <sheetName val="Simulaciones"/>
      <sheetName val="Cr.20"/>
      <sheetName val="Cr.21"/>
      <sheetName val="Cr. 1ª 20"/>
      <sheetName val="CM1ª 20"/>
      <sheetName val="Asignación Tesis"/>
      <sheetName val="Tesis 2016-2022"/>
      <sheetName val="Ded"/>
      <sheetName val="TD"/>
      <sheetName val="TI1"/>
      <sheetName val="TI2"/>
      <sheetName val="Sexenios"/>
      <sheetName val="SD"/>
      <sheetName val="SI 1"/>
      <sheetName val="SI 2"/>
      <sheetName val="IGI UXXI 2019"/>
      <sheetName val="IGI UXXI 2020"/>
      <sheetName val="IGI UXXI 2021"/>
      <sheetName val="IGD UXXI 2019"/>
      <sheetName val="IGD UXXI 2020"/>
      <sheetName val="IGD UXXI 2021"/>
      <sheetName val="Ingresos 2019"/>
      <sheetName val="Ingresos 2020"/>
      <sheetName val="Ingresos 2021"/>
    </sheetNames>
    <sheetDataSet>
      <sheetData sheetId="0"/>
      <sheetData sheetId="1"/>
      <sheetData sheetId="2"/>
      <sheetData sheetId="3"/>
      <sheetData sheetId="4"/>
      <sheetData sheetId="5"/>
      <sheetData sheetId="6"/>
      <sheetData sheetId="7"/>
      <sheetData sheetId="8"/>
      <sheetData sheetId="9">
        <row r="4">
          <cell r="A4" t="str">
            <v>Abad Ortiz, Rubén </v>
          </cell>
          <cell r="B4">
            <v>1</v>
          </cell>
          <cell r="C4">
            <v>1</v>
          </cell>
        </row>
        <row r="5">
          <cell r="A5" t="str">
            <v>Abib Hecktheuer, Pedro </v>
          </cell>
          <cell r="B5">
            <v>2</v>
          </cell>
          <cell r="C5">
            <v>0.5</v>
          </cell>
        </row>
        <row r="6">
          <cell r="A6" t="str">
            <v>Acosta Hurtado, Tania Aleyda </v>
          </cell>
          <cell r="B6">
            <v>1</v>
          </cell>
          <cell r="C6">
            <v>1</v>
          </cell>
        </row>
        <row r="7">
          <cell r="A7" t="str">
            <v>Acosta Vargas, Nelly Patricia </v>
          </cell>
          <cell r="B7">
            <v>1</v>
          </cell>
          <cell r="C7">
            <v>1</v>
          </cell>
        </row>
        <row r="8">
          <cell r="A8" t="str">
            <v>Aguirre Ayala, Carlos Antonio </v>
          </cell>
          <cell r="B8">
            <v>1</v>
          </cell>
          <cell r="C8">
            <v>1</v>
          </cell>
        </row>
        <row r="9">
          <cell r="A9" t="str">
            <v>Aguirre Pastor, Alfredo </v>
          </cell>
          <cell r="B9">
            <v>2</v>
          </cell>
          <cell r="C9">
            <v>0.5</v>
          </cell>
        </row>
        <row r="10">
          <cell r="A10" t="str">
            <v>Al Koudsi Benyahia, Dhygham </v>
          </cell>
          <cell r="B10">
            <v>1</v>
          </cell>
          <cell r="C10">
            <v>1</v>
          </cell>
        </row>
        <row r="11">
          <cell r="A11" t="str">
            <v>Alaminos Fernández, Antonio Francisco </v>
          </cell>
          <cell r="B11">
            <v>1</v>
          </cell>
          <cell r="C11">
            <v>1</v>
          </cell>
        </row>
        <row r="12">
          <cell r="A12" t="str">
            <v>Alarcó Rosales, Raquel </v>
          </cell>
          <cell r="B12">
            <v>2</v>
          </cell>
          <cell r="C12">
            <v>0.5</v>
          </cell>
        </row>
        <row r="13">
          <cell r="A13" t="str">
            <v>Alas Trujillo, Norman Noel </v>
          </cell>
          <cell r="B13">
            <v>1</v>
          </cell>
          <cell r="C13">
            <v>1</v>
          </cell>
        </row>
        <row r="14">
          <cell r="A14" t="str">
            <v>Alashhab , Samer Refat Hamzeh </v>
          </cell>
          <cell r="B14">
            <v>2</v>
          </cell>
          <cell r="C14">
            <v>0.5</v>
          </cell>
        </row>
        <row r="15">
          <cell r="A15" t="str">
            <v>Alba Luzón, Miriam </v>
          </cell>
          <cell r="B15">
            <v>2</v>
          </cell>
          <cell r="C15">
            <v>0.5</v>
          </cell>
        </row>
        <row r="16">
          <cell r="A16" t="str">
            <v>Albert Soriano, María </v>
          </cell>
          <cell r="B16">
            <v>1</v>
          </cell>
          <cell r="C16">
            <v>1</v>
          </cell>
        </row>
        <row r="17">
          <cell r="A17" t="str">
            <v>Alcázar Ruiz, Rafael </v>
          </cell>
          <cell r="B17">
            <v>1</v>
          </cell>
          <cell r="C17">
            <v>1</v>
          </cell>
        </row>
        <row r="18">
          <cell r="A18" t="str">
            <v>Alcocer Bruno, Cristian Aarón </v>
          </cell>
          <cell r="B18">
            <v>2</v>
          </cell>
          <cell r="C18">
            <v>0.5</v>
          </cell>
        </row>
        <row r="19">
          <cell r="A19" t="str">
            <v>Aldaghma , Saleh </v>
          </cell>
          <cell r="B19">
            <v>1</v>
          </cell>
          <cell r="C19">
            <v>1</v>
          </cell>
        </row>
        <row r="20">
          <cell r="A20" t="str">
            <v>Aldeguer Esquerdo, Alejandro </v>
          </cell>
          <cell r="B20">
            <v>2</v>
          </cell>
          <cell r="C20">
            <v>0.5</v>
          </cell>
        </row>
        <row r="21">
          <cell r="A21" t="str">
            <v>Aldeguer Riquelme, Borja </v>
          </cell>
          <cell r="B21">
            <v>2</v>
          </cell>
          <cell r="C21">
            <v>0.5</v>
          </cell>
        </row>
        <row r="22">
          <cell r="A22" t="str">
            <v>Alfaro Alfaro, Domingo Orlando </v>
          </cell>
          <cell r="B22">
            <v>1</v>
          </cell>
          <cell r="C22">
            <v>1</v>
          </cell>
        </row>
        <row r="23">
          <cell r="A23" t="str">
            <v>Algado Sellés, Natividad </v>
          </cell>
          <cell r="B23">
            <v>2</v>
          </cell>
          <cell r="C23">
            <v>0.5</v>
          </cell>
        </row>
        <row r="24">
          <cell r="A24" t="str">
            <v>Aliaga Aguza, Laura María </v>
          </cell>
          <cell r="B24">
            <v>2</v>
          </cell>
          <cell r="C24">
            <v>0.5</v>
          </cell>
        </row>
        <row r="25">
          <cell r="A25" t="str">
            <v>Alonso Stenberg, Kristian </v>
          </cell>
          <cell r="B25">
            <v>2</v>
          </cell>
          <cell r="C25">
            <v>0.5</v>
          </cell>
        </row>
        <row r="26">
          <cell r="A26" t="str">
            <v>Alustiza Fernandez, Miren </v>
          </cell>
          <cell r="B26">
            <v>2</v>
          </cell>
          <cell r="C26">
            <v>0.5</v>
          </cell>
        </row>
        <row r="27">
          <cell r="A27" t="str">
            <v>Amador Solano, María Gabriela </v>
          </cell>
          <cell r="B27">
            <v>1</v>
          </cell>
          <cell r="C27">
            <v>1</v>
          </cell>
        </row>
        <row r="28">
          <cell r="A28" t="str">
            <v>Antequera Jiménez, Pedro Jesus </v>
          </cell>
          <cell r="B28">
            <v>2</v>
          </cell>
          <cell r="C28">
            <v>0.5</v>
          </cell>
        </row>
        <row r="29">
          <cell r="A29" t="str">
            <v>Antón Álvarez de Cienfuegos, María </v>
          </cell>
          <cell r="B29">
            <v>1</v>
          </cell>
          <cell r="C29">
            <v>1</v>
          </cell>
        </row>
        <row r="30">
          <cell r="A30" t="str">
            <v>Aparicio Flores, María del Pilar </v>
          </cell>
          <cell r="B30">
            <v>1</v>
          </cell>
          <cell r="C30">
            <v>1</v>
          </cell>
        </row>
        <row r="31">
          <cell r="A31" t="str">
            <v>Aparicio Pacheco, Rafael Orlando </v>
          </cell>
          <cell r="B31">
            <v>1</v>
          </cell>
          <cell r="C31">
            <v>1</v>
          </cell>
        </row>
        <row r="32">
          <cell r="A32" t="str">
            <v>Aragonés González, María </v>
          </cell>
          <cell r="B32">
            <v>2</v>
          </cell>
          <cell r="C32">
            <v>0.5</v>
          </cell>
        </row>
        <row r="33">
          <cell r="A33" t="str">
            <v>Aramburo Calle, Maximiliano Alberto </v>
          </cell>
          <cell r="B33">
            <v>2</v>
          </cell>
          <cell r="C33">
            <v>0.5</v>
          </cell>
        </row>
        <row r="34">
          <cell r="A34" t="str">
            <v>Arráez Vera, María Graciela </v>
          </cell>
          <cell r="B34">
            <v>1</v>
          </cell>
          <cell r="C34">
            <v>1</v>
          </cell>
        </row>
        <row r="35">
          <cell r="A35" t="str">
            <v>Arrebola Moreno, Clara </v>
          </cell>
          <cell r="B35">
            <v>2</v>
          </cell>
          <cell r="C35">
            <v>0.5</v>
          </cell>
        </row>
        <row r="36">
          <cell r="A36" t="str">
            <v>Arroba Rimassa, Jorge </v>
          </cell>
          <cell r="B36">
            <v>2</v>
          </cell>
          <cell r="C36">
            <v>0.5</v>
          </cell>
        </row>
        <row r="37">
          <cell r="A37" t="str">
            <v>Arroyo Cobeña, María Verónica </v>
          </cell>
          <cell r="B37">
            <v>1</v>
          </cell>
          <cell r="C37">
            <v>1</v>
          </cell>
        </row>
        <row r="38">
          <cell r="A38" t="str">
            <v>Asensio Morant, Javier </v>
          </cell>
          <cell r="B38">
            <v>2</v>
          </cell>
          <cell r="C38">
            <v>0.5</v>
          </cell>
        </row>
        <row r="39">
          <cell r="A39" t="str">
            <v>Asensio Pascual, Alfredo Elías </v>
          </cell>
          <cell r="B39">
            <v>2</v>
          </cell>
          <cell r="C39">
            <v>0.5</v>
          </cell>
        </row>
        <row r="40">
          <cell r="A40" t="str">
            <v>Ávila Martínez, María Teresa </v>
          </cell>
          <cell r="B40">
            <v>1</v>
          </cell>
          <cell r="C40">
            <v>1</v>
          </cell>
        </row>
        <row r="41">
          <cell r="A41" t="str">
            <v>Ayón Villafuerte, Libia Soledad </v>
          </cell>
          <cell r="B41">
            <v>1</v>
          </cell>
          <cell r="C41">
            <v>1</v>
          </cell>
        </row>
        <row r="42">
          <cell r="A42" t="str">
            <v>Aznar Crespo, Pablo </v>
          </cell>
          <cell r="B42">
            <v>2</v>
          </cell>
          <cell r="C42">
            <v>0.5</v>
          </cell>
        </row>
        <row r="43">
          <cell r="A43" t="str">
            <v>Baciu , Bianca Catalina </v>
          </cell>
          <cell r="B43">
            <v>1</v>
          </cell>
          <cell r="C43">
            <v>1</v>
          </cell>
        </row>
        <row r="44">
          <cell r="A44" t="str">
            <v>Baile Pomares, Paola </v>
          </cell>
          <cell r="B44">
            <v>2</v>
          </cell>
          <cell r="C44">
            <v>0.5</v>
          </cell>
        </row>
        <row r="45">
          <cell r="A45" t="str">
            <v>Baliouskas , Petros </v>
          </cell>
          <cell r="B45">
            <v>2</v>
          </cell>
          <cell r="C45">
            <v>0.5</v>
          </cell>
        </row>
        <row r="46">
          <cell r="A46" t="str">
            <v>Barahona Ibarra, Adriana Eugenia </v>
          </cell>
          <cell r="B46">
            <v>2</v>
          </cell>
          <cell r="C46">
            <v>0.5</v>
          </cell>
        </row>
        <row r="47">
          <cell r="A47" t="str">
            <v>Baró Salvador, Maria Eva </v>
          </cell>
          <cell r="B47">
            <v>1</v>
          </cell>
          <cell r="C47">
            <v>1</v>
          </cell>
        </row>
        <row r="48">
          <cell r="A48" t="str">
            <v>Barrado Navascués, David </v>
          </cell>
          <cell r="B48">
            <v>1</v>
          </cell>
          <cell r="C48">
            <v>1</v>
          </cell>
        </row>
        <row r="49">
          <cell r="A49" t="str">
            <v>Bas Megías, Belén </v>
          </cell>
          <cell r="B49">
            <v>1</v>
          </cell>
          <cell r="C49">
            <v>1</v>
          </cell>
        </row>
        <row r="50">
          <cell r="A50" t="str">
            <v>Basso Rial, Ricardo Emanuel </v>
          </cell>
          <cell r="B50">
            <v>1</v>
          </cell>
          <cell r="C50">
            <v>1</v>
          </cell>
        </row>
        <row r="51">
          <cell r="A51" t="str">
            <v>Bataille , Laurent Guy François </v>
          </cell>
          <cell r="B51">
            <v>1</v>
          </cell>
          <cell r="C51">
            <v>1</v>
          </cell>
        </row>
        <row r="52">
          <cell r="A52" t="str">
            <v>Bataller Soler, David </v>
          </cell>
          <cell r="B52">
            <v>2</v>
          </cell>
          <cell r="C52">
            <v>0.5</v>
          </cell>
        </row>
        <row r="53">
          <cell r="A53" t="str">
            <v>Bauer , Zuria </v>
          </cell>
          <cell r="B53">
            <v>2</v>
          </cell>
          <cell r="C53">
            <v>0.5</v>
          </cell>
        </row>
        <row r="54">
          <cell r="A54" t="str">
            <v>Beltrá Navarro, Luis </v>
          </cell>
          <cell r="B54">
            <v>1</v>
          </cell>
          <cell r="C54">
            <v>1</v>
          </cell>
        </row>
        <row r="55">
          <cell r="A55" t="str">
            <v>Benazizi , Ikram </v>
          </cell>
          <cell r="B55">
            <v>2</v>
          </cell>
          <cell r="C55">
            <v>0.5</v>
          </cell>
        </row>
        <row r="56">
          <cell r="A56" t="str">
            <v>Beneyto Gómez, Elisa </v>
          </cell>
          <cell r="B56">
            <v>1</v>
          </cell>
          <cell r="C56">
            <v>1</v>
          </cell>
        </row>
        <row r="57">
          <cell r="A57" t="str">
            <v>Bennas , Abdelkrim </v>
          </cell>
          <cell r="B57">
            <v>1</v>
          </cell>
          <cell r="C57">
            <v>1</v>
          </cell>
        </row>
        <row r="58">
          <cell r="A58" t="str">
            <v>Bernabeu Lledó, María Luisa </v>
          </cell>
          <cell r="B58">
            <v>2</v>
          </cell>
          <cell r="C58">
            <v>0.5</v>
          </cell>
        </row>
        <row r="59">
          <cell r="A59" t="str">
            <v>Bernabeu Martínez, Melania </v>
          </cell>
          <cell r="B59">
            <v>2</v>
          </cell>
          <cell r="C59">
            <v>0.5</v>
          </cell>
        </row>
        <row r="60">
          <cell r="A60" t="str">
            <v>Bernal Ferriz, Julia María </v>
          </cell>
          <cell r="B60">
            <v>1</v>
          </cell>
          <cell r="C60">
            <v>1</v>
          </cell>
        </row>
        <row r="61">
          <cell r="A61" t="str">
            <v>Bernal Romero del Hombre Bueno, María de los Ángeles </v>
          </cell>
          <cell r="B61">
            <v>2</v>
          </cell>
          <cell r="C61">
            <v>0.5</v>
          </cell>
        </row>
        <row r="62">
          <cell r="A62" t="str">
            <v>Bernardes , Júlio César </v>
          </cell>
          <cell r="B62">
            <v>2</v>
          </cell>
          <cell r="C62">
            <v>0.5</v>
          </cell>
        </row>
        <row r="63">
          <cell r="A63" t="str">
            <v>Bilbao Porta, Carmen </v>
          </cell>
          <cell r="B63">
            <v>1</v>
          </cell>
          <cell r="C63">
            <v>1</v>
          </cell>
        </row>
        <row r="64">
          <cell r="A64" t="str">
            <v>Blanco Fernández, Marta Susana </v>
          </cell>
          <cell r="B64">
            <v>1</v>
          </cell>
          <cell r="C64">
            <v>1</v>
          </cell>
        </row>
        <row r="65">
          <cell r="A65" t="str">
            <v>Blanco Reyes, Lidia </v>
          </cell>
          <cell r="B65">
            <v>2</v>
          </cell>
          <cell r="C65">
            <v>0.5</v>
          </cell>
        </row>
        <row r="66">
          <cell r="A66" t="str">
            <v>Blanes Mora, Ruben </v>
          </cell>
          <cell r="B66">
            <v>1</v>
          </cell>
          <cell r="C66">
            <v>1</v>
          </cell>
        </row>
        <row r="67">
          <cell r="A67" t="str">
            <v>Bolaños Salvador, Carlos Miguel </v>
          </cell>
          <cell r="B67">
            <v>1</v>
          </cell>
          <cell r="C67">
            <v>1</v>
          </cell>
        </row>
        <row r="68">
          <cell r="A68" t="str">
            <v>Bonsignore Fouquet, Dyango </v>
          </cell>
          <cell r="B68">
            <v>2</v>
          </cell>
          <cell r="C68">
            <v>0.5</v>
          </cell>
        </row>
        <row r="69">
          <cell r="A69" t="str">
            <v>Boonekamp , Gwendolijn Margaretha Maria </v>
          </cell>
          <cell r="B69">
            <v>2</v>
          </cell>
          <cell r="C69">
            <v>0.5</v>
          </cell>
        </row>
        <row r="70">
          <cell r="A70" t="str">
            <v>Borja Borja, Luis Felipe </v>
          </cell>
          <cell r="B70">
            <v>2</v>
          </cell>
          <cell r="C70">
            <v>0.5</v>
          </cell>
        </row>
        <row r="71">
          <cell r="A71" t="str">
            <v>Borlea , Cristina </v>
          </cell>
          <cell r="B71">
            <v>1</v>
          </cell>
          <cell r="C71">
            <v>1</v>
          </cell>
        </row>
        <row r="72">
          <cell r="A72" t="str">
            <v>Boronat González, Ana </v>
          </cell>
          <cell r="B72">
            <v>1</v>
          </cell>
          <cell r="C72">
            <v>1</v>
          </cell>
        </row>
        <row r="73">
          <cell r="A73" t="str">
            <v>Bouabdellah , Omar </v>
          </cell>
          <cell r="B73">
            <v>1</v>
          </cell>
          <cell r="C73">
            <v>1</v>
          </cell>
        </row>
        <row r="74">
          <cell r="A74" t="str">
            <v>Bravo Fuentes, Paloma </v>
          </cell>
          <cell r="B74">
            <v>2</v>
          </cell>
          <cell r="C74">
            <v>0.5</v>
          </cell>
        </row>
        <row r="75">
          <cell r="A75" t="str">
            <v>Brenes Maltez, Perla Mayela </v>
          </cell>
          <cell r="B75">
            <v>1</v>
          </cell>
          <cell r="C75">
            <v>1</v>
          </cell>
        </row>
        <row r="76">
          <cell r="A76" t="str">
            <v>Briega Martos, Valentín </v>
          </cell>
          <cell r="B76">
            <v>2</v>
          </cell>
          <cell r="C76">
            <v>0.5</v>
          </cell>
        </row>
        <row r="77">
          <cell r="A77" t="str">
            <v>Brotons Martínez, Matilde </v>
          </cell>
          <cell r="B77">
            <v>2</v>
          </cell>
          <cell r="C77">
            <v>0.5</v>
          </cell>
        </row>
        <row r="78">
          <cell r="A78" t="str">
            <v>Bru Orts, David </v>
          </cell>
          <cell r="B78">
            <v>2</v>
          </cell>
          <cell r="C78">
            <v>0.5</v>
          </cell>
        </row>
        <row r="79">
          <cell r="A79" t="str">
            <v>Buenaño Fernández, Diego Patricio </v>
          </cell>
          <cell r="B79">
            <v>2</v>
          </cell>
          <cell r="C79">
            <v>0.5</v>
          </cell>
        </row>
        <row r="80">
          <cell r="A80" t="str">
            <v>Burbano Valencia, Enrique Javier </v>
          </cell>
          <cell r="B80">
            <v>2</v>
          </cell>
          <cell r="C80">
            <v>0.5</v>
          </cell>
        </row>
        <row r="81">
          <cell r="A81" t="str">
            <v>Cacicedo dos Santos, Thiago </v>
          </cell>
          <cell r="B81">
            <v>1</v>
          </cell>
          <cell r="C81">
            <v>1</v>
          </cell>
        </row>
        <row r="82">
          <cell r="A82" t="str">
            <v>Cadena Vela, Susana Graciela </v>
          </cell>
          <cell r="B82">
            <v>2</v>
          </cell>
          <cell r="C82">
            <v>0.5</v>
          </cell>
        </row>
        <row r="83">
          <cell r="A83" t="str">
            <v>Calabuig Belda, Emilio </v>
          </cell>
          <cell r="B83">
            <v>2</v>
          </cell>
          <cell r="C83">
            <v>0.5</v>
          </cell>
        </row>
        <row r="84">
          <cell r="A84" t="str">
            <v>Caldwell Marín, Eldon Glen </v>
          </cell>
          <cell r="B84">
            <v>2</v>
          </cell>
          <cell r="C84">
            <v>0.5</v>
          </cell>
        </row>
        <row r="85">
          <cell r="A85" t="str">
            <v>Campayo Sánchez, Fernando </v>
          </cell>
          <cell r="B85">
            <v>2</v>
          </cell>
          <cell r="C85">
            <v>0.5</v>
          </cell>
        </row>
        <row r="86">
          <cell r="A86" t="str">
            <v>Campello Gómez, Ignacio </v>
          </cell>
          <cell r="B86">
            <v>2</v>
          </cell>
          <cell r="C86">
            <v>0.5</v>
          </cell>
        </row>
        <row r="87">
          <cell r="A87" t="str">
            <v>Campoy Pomares, Andrés </v>
          </cell>
          <cell r="B87">
            <v>2</v>
          </cell>
          <cell r="C87">
            <v>0.5</v>
          </cell>
        </row>
        <row r="88">
          <cell r="A88" t="str">
            <v>Canales de Ramírez, Lissette Cristalina </v>
          </cell>
          <cell r="B88">
            <v>1</v>
          </cell>
          <cell r="C88">
            <v>1</v>
          </cell>
        </row>
        <row r="89">
          <cell r="A89" t="str">
            <v>Cansi , Francine </v>
          </cell>
          <cell r="B89">
            <v>2</v>
          </cell>
          <cell r="C89">
            <v>0.5</v>
          </cell>
        </row>
        <row r="90">
          <cell r="A90" t="str">
            <v>Canto Cerdan, Mario </v>
          </cell>
          <cell r="B90">
            <v>2</v>
          </cell>
          <cell r="C90">
            <v>0.5</v>
          </cell>
        </row>
        <row r="91">
          <cell r="A91" t="str">
            <v>Cañizares Gómez, María José </v>
          </cell>
          <cell r="B91">
            <v>2</v>
          </cell>
          <cell r="C91">
            <v>0.5</v>
          </cell>
        </row>
        <row r="92">
          <cell r="A92" t="str">
            <v>Cárdenas Arenas, Liliana Andrea </v>
          </cell>
          <cell r="B92">
            <v>2</v>
          </cell>
          <cell r="C92">
            <v>0.5</v>
          </cell>
        </row>
        <row r="93">
          <cell r="A93" t="str">
            <v>Carlin , Marcelo </v>
          </cell>
          <cell r="B93">
            <v>2</v>
          </cell>
          <cell r="C93">
            <v>0.5</v>
          </cell>
        </row>
        <row r="94">
          <cell r="A94" t="str">
            <v>Casado Coy, Nuria </v>
          </cell>
          <cell r="B94">
            <v>2</v>
          </cell>
          <cell r="C94">
            <v>0.5</v>
          </cell>
        </row>
        <row r="95">
          <cell r="A95" t="str">
            <v>Castillo Brais, Brenda </v>
          </cell>
          <cell r="B95">
            <v>2</v>
          </cell>
          <cell r="C95">
            <v>0.5</v>
          </cell>
        </row>
        <row r="96">
          <cell r="A96" t="str">
            <v>Castillo Vizcaíno, Laura </v>
          </cell>
          <cell r="B96">
            <v>2</v>
          </cell>
          <cell r="C96">
            <v>0.5</v>
          </cell>
        </row>
        <row r="97">
          <cell r="A97" t="str">
            <v>Castro Carbonell, Ana Isabel </v>
          </cell>
          <cell r="B97">
            <v>1</v>
          </cell>
          <cell r="C97">
            <v>1</v>
          </cell>
        </row>
        <row r="98">
          <cell r="A98" t="str">
            <v>Cavaliere Giardino, Alessandro </v>
          </cell>
          <cell r="B98">
            <v>1</v>
          </cell>
          <cell r="C98">
            <v>1</v>
          </cell>
        </row>
        <row r="99">
          <cell r="A99" t="str">
            <v>Cazarez Valdiviezo, José Luis </v>
          </cell>
          <cell r="B99">
            <v>1</v>
          </cell>
          <cell r="C99">
            <v>1</v>
          </cell>
        </row>
        <row r="100">
          <cell r="A100" t="str">
            <v>Cerezuela Motos, Antonio </v>
          </cell>
          <cell r="B100">
            <v>2</v>
          </cell>
          <cell r="C100">
            <v>0.5</v>
          </cell>
        </row>
        <row r="101">
          <cell r="A101" t="str">
            <v>Céspedes López, María Francisca </v>
          </cell>
          <cell r="B101">
            <v>2</v>
          </cell>
          <cell r="C101">
            <v>0.5</v>
          </cell>
        </row>
        <row r="102">
          <cell r="A102" t="str">
            <v>Chabour , Ihssene </v>
          </cell>
          <cell r="B102">
            <v>2</v>
          </cell>
          <cell r="C102">
            <v>0.5</v>
          </cell>
        </row>
        <row r="103">
          <cell r="A103" t="str">
            <v>Chaparro Garnica, Cristian Yesid </v>
          </cell>
          <cell r="B103">
            <v>2</v>
          </cell>
          <cell r="C103">
            <v>0.5</v>
          </cell>
        </row>
        <row r="104">
          <cell r="A104" t="str">
            <v>Chaparro Garnica, Jessica Alejandra </v>
          </cell>
          <cell r="B104">
            <v>2</v>
          </cell>
          <cell r="C104">
            <v>0.5</v>
          </cell>
        </row>
        <row r="105">
          <cell r="A105" t="str">
            <v>Chico Sánchez, Pablo </v>
          </cell>
          <cell r="B105">
            <v>2</v>
          </cell>
          <cell r="C105">
            <v>0.5</v>
          </cell>
        </row>
        <row r="106">
          <cell r="A106" t="str">
            <v>Chontasi Morales, Fernando David </v>
          </cell>
          <cell r="B106">
            <v>2</v>
          </cell>
          <cell r="C106">
            <v>0.5</v>
          </cell>
        </row>
        <row r="107">
          <cell r="A107" t="str">
            <v>Ciofalo Lagos, Kira </v>
          </cell>
          <cell r="B107">
            <v>2</v>
          </cell>
          <cell r="C107">
            <v>0.5</v>
          </cell>
        </row>
        <row r="108">
          <cell r="A108" t="str">
            <v>Clement Carbonell, Maria Violeta </v>
          </cell>
          <cell r="B108">
            <v>2</v>
          </cell>
          <cell r="C108">
            <v>0.5</v>
          </cell>
        </row>
        <row r="109">
          <cell r="A109" t="str">
            <v>Clemente Egío, Vicente </v>
          </cell>
          <cell r="B109">
            <v>1</v>
          </cell>
          <cell r="C109">
            <v>1</v>
          </cell>
        </row>
        <row r="110">
          <cell r="A110" t="str">
            <v>Climent Gil, Emilio </v>
          </cell>
          <cell r="B110">
            <v>2</v>
          </cell>
          <cell r="C110">
            <v>0.5</v>
          </cell>
        </row>
        <row r="111">
          <cell r="A111" t="str">
            <v>Coll ép. Medina Aguerrebere , Eva,Aline </v>
          </cell>
          <cell r="B111">
            <v>1</v>
          </cell>
          <cell r="C111">
            <v>1</v>
          </cell>
        </row>
        <row r="112">
          <cell r="A112" t="str">
            <v>Collazos Stüwe, Adriana Milena </v>
          </cell>
          <cell r="B112">
            <v>2</v>
          </cell>
          <cell r="C112">
            <v>0.5</v>
          </cell>
        </row>
        <row r="113">
          <cell r="A113" t="str">
            <v>Comíns Palacios, Patricia María </v>
          </cell>
          <cell r="B113">
            <v>1</v>
          </cell>
          <cell r="C113">
            <v>1</v>
          </cell>
        </row>
        <row r="114">
          <cell r="A114" t="str">
            <v>Contreras de la Llave, Natalia </v>
          </cell>
          <cell r="B114">
            <v>2</v>
          </cell>
          <cell r="C114">
            <v>0.5</v>
          </cell>
        </row>
        <row r="115">
          <cell r="A115" t="str">
            <v>Corachán Swidzinská, Irene </v>
          </cell>
          <cell r="B115">
            <v>1</v>
          </cell>
          <cell r="C115">
            <v>1</v>
          </cell>
        </row>
        <row r="116">
          <cell r="A116" t="str">
            <v>Cordero Cervantes, Felipe Bernardo </v>
          </cell>
          <cell r="B116">
            <v>1</v>
          </cell>
          <cell r="C116">
            <v>1</v>
          </cell>
        </row>
        <row r="117">
          <cell r="A117" t="str">
            <v>Corona Verdú, Rafael </v>
          </cell>
          <cell r="B117">
            <v>1</v>
          </cell>
          <cell r="C117">
            <v>1</v>
          </cell>
        </row>
        <row r="118">
          <cell r="A118" t="str">
            <v>Cortés Blasco, Daniel </v>
          </cell>
          <cell r="B118">
            <v>2</v>
          </cell>
          <cell r="C118">
            <v>0.5</v>
          </cell>
        </row>
        <row r="119">
          <cell r="A119" t="str">
            <v>Cortes Castillo, Antonio </v>
          </cell>
          <cell r="B119">
            <v>1</v>
          </cell>
          <cell r="C119">
            <v>1</v>
          </cell>
        </row>
        <row r="120">
          <cell r="A120" t="str">
            <v>Cosh Pale, Manuel </v>
          </cell>
          <cell r="B120">
            <v>2</v>
          </cell>
          <cell r="C120">
            <v>0.5</v>
          </cell>
        </row>
        <row r="121">
          <cell r="A121" t="str">
            <v>Crespo Amat, Carlos </v>
          </cell>
          <cell r="B121">
            <v>2</v>
          </cell>
          <cell r="C121">
            <v>0.5</v>
          </cell>
        </row>
        <row r="122">
          <cell r="A122" t="str">
            <v>Crespo Rodríguez, Antonio </v>
          </cell>
          <cell r="B122">
            <v>1</v>
          </cell>
          <cell r="C122">
            <v>1</v>
          </cell>
        </row>
        <row r="123">
          <cell r="A123" t="str">
            <v>Criollo Caizaguano, Luis </v>
          </cell>
          <cell r="B123">
            <v>1</v>
          </cell>
          <cell r="C123">
            <v>1</v>
          </cell>
        </row>
        <row r="124">
          <cell r="A124" t="str">
            <v>Cruz , Edmanuel Gaspar </v>
          </cell>
          <cell r="B124">
            <v>2</v>
          </cell>
          <cell r="C124">
            <v>0.5</v>
          </cell>
        </row>
        <row r="125">
          <cell r="A125" t="str">
            <v>Cruz González, Carlos Antonio </v>
          </cell>
          <cell r="B125">
            <v>2</v>
          </cell>
          <cell r="C125">
            <v>0.5</v>
          </cell>
        </row>
        <row r="126">
          <cell r="A126" t="str">
            <v>Cuadrado Collados, Carlos </v>
          </cell>
          <cell r="B126">
            <v>1</v>
          </cell>
          <cell r="C126">
            <v>1</v>
          </cell>
        </row>
        <row r="127">
          <cell r="A127" t="str">
            <v>Cueto Mendoza, Nora Elida </v>
          </cell>
          <cell r="B127">
            <v>2</v>
          </cell>
          <cell r="C127">
            <v>0.5</v>
          </cell>
        </row>
        <row r="128">
          <cell r="A128" t="str">
            <v>Cueva Rodríguez, Ruth Amelia </v>
          </cell>
          <cell r="B128">
            <v>1</v>
          </cell>
          <cell r="C128">
            <v>1</v>
          </cell>
        </row>
        <row r="129">
          <cell r="A129" t="str">
            <v>Cumbal Simba, Franklin </v>
          </cell>
          <cell r="B129">
            <v>1</v>
          </cell>
          <cell r="C129">
            <v>1</v>
          </cell>
        </row>
        <row r="130">
          <cell r="A130" t="str">
            <v>Damos , Petros </v>
          </cell>
          <cell r="B130">
            <v>1</v>
          </cell>
          <cell r="C130">
            <v>1</v>
          </cell>
        </row>
        <row r="131">
          <cell r="A131" t="str">
            <v>Dazzini Langdon, Mónica Mabel </v>
          </cell>
          <cell r="B131">
            <v>2</v>
          </cell>
          <cell r="C131">
            <v>0.5</v>
          </cell>
        </row>
        <row r="132">
          <cell r="A132" t="str">
            <v>De Blas Javaloyas, José Ramón </v>
          </cell>
          <cell r="B132">
            <v>2</v>
          </cell>
          <cell r="C132">
            <v>0.5</v>
          </cell>
        </row>
        <row r="133">
          <cell r="A133" t="str">
            <v>de Juan Pérez, Alba Isabel </v>
          </cell>
          <cell r="B133">
            <v>2</v>
          </cell>
          <cell r="C133">
            <v>0.5</v>
          </cell>
        </row>
        <row r="134">
          <cell r="A134" t="str">
            <v>De Souza Nunes Filho, Paulo </v>
          </cell>
          <cell r="B134">
            <v>1</v>
          </cell>
          <cell r="C134">
            <v>1</v>
          </cell>
        </row>
        <row r="135">
          <cell r="A135" t="str">
            <v>del Moral Delgado, Beatriz </v>
          </cell>
          <cell r="B135">
            <v>2</v>
          </cell>
          <cell r="C135">
            <v>0.5</v>
          </cell>
        </row>
        <row r="136">
          <cell r="A136" t="str">
            <v>Del Pino Bastida, Iván </v>
          </cell>
          <cell r="B136">
            <v>2</v>
          </cell>
          <cell r="C136">
            <v>0.5</v>
          </cell>
        </row>
        <row r="137">
          <cell r="A137" t="str">
            <v>Della Bona, Carla </v>
          </cell>
          <cell r="B137">
            <v>2</v>
          </cell>
          <cell r="C137">
            <v>0.5</v>
          </cell>
        </row>
        <row r="138">
          <cell r="A138" t="str">
            <v>Dexheimer , Marcus Alexsander </v>
          </cell>
          <cell r="B138">
            <v>1</v>
          </cell>
          <cell r="C138">
            <v>1</v>
          </cell>
        </row>
        <row r="139">
          <cell r="A139" t="str">
            <v>Di Paolo , Roberto </v>
          </cell>
          <cell r="B139">
            <v>2</v>
          </cell>
          <cell r="C139">
            <v>0.5</v>
          </cell>
        </row>
        <row r="140">
          <cell r="A140" t="str">
            <v>Díaz Soto, Carlos Manuel </v>
          </cell>
          <cell r="B140">
            <v>1</v>
          </cell>
          <cell r="C140">
            <v>1</v>
          </cell>
        </row>
        <row r="141">
          <cell r="A141" t="str">
            <v>Die Maculet, María del Rosario </v>
          </cell>
          <cell r="B141">
            <v>2</v>
          </cell>
          <cell r="C141">
            <v>0.5</v>
          </cell>
        </row>
        <row r="142">
          <cell r="A142" t="str">
            <v>Diéguez Rebolledo, Mauricio Rubén </v>
          </cell>
          <cell r="B142">
            <v>2</v>
          </cell>
          <cell r="C142">
            <v>0.5</v>
          </cell>
        </row>
        <row r="143">
          <cell r="A143" t="str">
            <v>Djabri , Souhila </v>
          </cell>
          <cell r="B143">
            <v>1</v>
          </cell>
          <cell r="C143">
            <v>1</v>
          </cell>
        </row>
        <row r="144">
          <cell r="A144" t="str">
            <v>Domene López, Daniel </v>
          </cell>
          <cell r="B144">
            <v>2</v>
          </cell>
          <cell r="C144">
            <v>0.5</v>
          </cell>
        </row>
        <row r="145">
          <cell r="A145" t="str">
            <v>Dominguez Villaverde, Mariana </v>
          </cell>
          <cell r="B145">
            <v>2</v>
          </cell>
          <cell r="C145">
            <v>0.5</v>
          </cell>
        </row>
        <row r="146">
          <cell r="A146" t="str">
            <v>Draghia , Ana Maria </v>
          </cell>
          <cell r="B146">
            <v>1</v>
          </cell>
          <cell r="C146">
            <v>1</v>
          </cell>
        </row>
        <row r="147">
          <cell r="A147" t="str">
            <v>Duque Gomez, Henry </v>
          </cell>
          <cell r="B147">
            <v>2</v>
          </cell>
          <cell r="C147">
            <v>0.5</v>
          </cell>
        </row>
        <row r="148">
          <cell r="A148" t="str">
            <v>Durmus ., Fatma Cagla </v>
          </cell>
          <cell r="B148">
            <v>1</v>
          </cell>
          <cell r="C148">
            <v>1</v>
          </cell>
        </row>
        <row r="149">
          <cell r="A149" t="str">
            <v>Elvira Aranda, Carlos </v>
          </cell>
          <cell r="B149">
            <v>2</v>
          </cell>
          <cell r="C149">
            <v>0.5</v>
          </cell>
        </row>
        <row r="150">
          <cell r="A150" t="str">
            <v>Enríquez Reyes, Robert </v>
          </cell>
          <cell r="B150">
            <v>2</v>
          </cell>
          <cell r="C150">
            <v>0.5</v>
          </cell>
        </row>
        <row r="151">
          <cell r="A151" t="str">
            <v>Enzweiler , Romano José </v>
          </cell>
          <cell r="B151">
            <v>2</v>
          </cell>
          <cell r="C151">
            <v>0.5</v>
          </cell>
        </row>
        <row r="152">
          <cell r="A152" t="str">
            <v>Escalona Moncholí, Félix </v>
          </cell>
          <cell r="B152">
            <v>2</v>
          </cell>
          <cell r="C152">
            <v>0.5</v>
          </cell>
        </row>
        <row r="153">
          <cell r="A153" t="str">
            <v>Escandell Poveda, Raquel </v>
          </cell>
          <cell r="B153">
            <v>2</v>
          </cell>
          <cell r="C153">
            <v>0.5</v>
          </cell>
        </row>
        <row r="154">
          <cell r="A154" t="str">
            <v>Escandell Rico, Francisco Miguel </v>
          </cell>
          <cell r="B154">
            <v>2</v>
          </cell>
          <cell r="C154">
            <v>0.5</v>
          </cell>
        </row>
        <row r="155">
          <cell r="A155" t="str">
            <v>Escobar Esteban, María Pilar </v>
          </cell>
          <cell r="B155">
            <v>2</v>
          </cell>
          <cell r="C155">
            <v>0.5</v>
          </cell>
        </row>
        <row r="156">
          <cell r="A156" t="str">
            <v>Escolano Marín, Xènia </v>
          </cell>
          <cell r="B156">
            <v>2</v>
          </cell>
          <cell r="C156">
            <v>0.5</v>
          </cell>
        </row>
        <row r="157">
          <cell r="A157" t="str">
            <v>Espín León, Aldrin Marcel </v>
          </cell>
          <cell r="B157">
            <v>2</v>
          </cell>
          <cell r="C157">
            <v>0.5</v>
          </cell>
        </row>
        <row r="158">
          <cell r="A158" t="str">
            <v>Espinosa Zaragoza, Isabel </v>
          </cell>
          <cell r="B158">
            <v>1</v>
          </cell>
          <cell r="C158">
            <v>1</v>
          </cell>
        </row>
        <row r="159">
          <cell r="A159" t="str">
            <v>Estévez Velarde, Suilan </v>
          </cell>
          <cell r="B159">
            <v>3</v>
          </cell>
          <cell r="C159">
            <v>0.33333333333333331</v>
          </cell>
        </row>
        <row r="160">
          <cell r="A160" t="str">
            <v>Extremera Fernández, Beatriz </v>
          </cell>
          <cell r="B160">
            <v>2</v>
          </cell>
          <cell r="C160">
            <v>0.5</v>
          </cell>
        </row>
        <row r="161">
          <cell r="A161" t="str">
            <v>Fabra Brell, Eugenio </v>
          </cell>
          <cell r="B161">
            <v>1</v>
          </cell>
          <cell r="C161">
            <v>1</v>
          </cell>
        </row>
        <row r="162">
          <cell r="A162" t="str">
            <v>Fang Liu, Fang </v>
          </cell>
          <cell r="B162">
            <v>1</v>
          </cell>
          <cell r="C162">
            <v>1</v>
          </cell>
        </row>
        <row r="163">
          <cell r="A163" t="str">
            <v>Farcas , Catalina Mariana </v>
          </cell>
          <cell r="B163">
            <v>2</v>
          </cell>
          <cell r="C163">
            <v>0.5</v>
          </cell>
        </row>
        <row r="164">
          <cell r="A164" t="str">
            <v>FARFAN PACHECO, GALO ADOLFO </v>
          </cell>
          <cell r="B164">
            <v>2</v>
          </cell>
          <cell r="C164">
            <v>0.5</v>
          </cell>
        </row>
        <row r="165">
          <cell r="A165" t="str">
            <v>Felipe Blanco, Diego </v>
          </cell>
          <cell r="B165">
            <v>1</v>
          </cell>
          <cell r="C165">
            <v>1</v>
          </cell>
        </row>
        <row r="166">
          <cell r="A166" t="str">
            <v>Femenia Serra, Francisco </v>
          </cell>
          <cell r="B166">
            <v>1</v>
          </cell>
          <cell r="C166">
            <v>1</v>
          </cell>
        </row>
        <row r="167">
          <cell r="A167" t="str">
            <v>Fernández Álvaro, Alfonso </v>
          </cell>
          <cell r="B167">
            <v>1</v>
          </cell>
          <cell r="C167">
            <v>1</v>
          </cell>
        </row>
        <row r="168">
          <cell r="A168" t="str">
            <v>Fernández Ávalos, María Inmaculada </v>
          </cell>
          <cell r="B168">
            <v>2</v>
          </cell>
          <cell r="C168">
            <v>0.5</v>
          </cell>
        </row>
        <row r="169">
          <cell r="A169" t="str">
            <v>Fernández Bastidas, Rocío </v>
          </cell>
          <cell r="B169">
            <v>1</v>
          </cell>
          <cell r="C169">
            <v>1</v>
          </cell>
        </row>
        <row r="170">
          <cell r="A170" t="str">
            <v>Fernández Catalá, Javier </v>
          </cell>
          <cell r="B170">
            <v>2</v>
          </cell>
          <cell r="C170">
            <v>0.5</v>
          </cell>
        </row>
        <row r="171">
          <cell r="A171" t="str">
            <v>Fernández Frías, Ana María </v>
          </cell>
          <cell r="B171">
            <v>1</v>
          </cell>
          <cell r="C171">
            <v>1</v>
          </cell>
        </row>
        <row r="172">
          <cell r="A172" t="str">
            <v>Fernández Sogorb, Aitana </v>
          </cell>
          <cell r="B172">
            <v>1</v>
          </cell>
          <cell r="C172">
            <v>1</v>
          </cell>
        </row>
        <row r="173">
          <cell r="A173" t="str">
            <v>Fernández Vidal, Jorge </v>
          </cell>
          <cell r="B173">
            <v>2</v>
          </cell>
          <cell r="C173">
            <v>0.5</v>
          </cell>
        </row>
        <row r="174">
          <cell r="A174" t="str">
            <v>Ferrández Gómez, Borja </v>
          </cell>
          <cell r="B174">
            <v>2</v>
          </cell>
          <cell r="C174">
            <v>0.5</v>
          </cell>
        </row>
        <row r="175">
          <cell r="A175" t="str">
            <v>Ferrandiz Saperas, Marcos </v>
          </cell>
          <cell r="B175">
            <v>1</v>
          </cell>
          <cell r="C175">
            <v>1</v>
          </cell>
        </row>
        <row r="176">
          <cell r="A176" t="str">
            <v>Ferrando Morales, Àngel Lluís </v>
          </cell>
          <cell r="B176">
            <v>2</v>
          </cell>
          <cell r="C176">
            <v>0.5</v>
          </cell>
        </row>
        <row r="177">
          <cell r="A177" t="str">
            <v>Ferrer Avargues, Rosario </v>
          </cell>
          <cell r="B177">
            <v>2</v>
          </cell>
          <cell r="C177">
            <v>0.5</v>
          </cell>
        </row>
        <row r="178">
          <cell r="A178" t="str">
            <v>Ferrer Marsal, Juan </v>
          </cell>
          <cell r="B178">
            <v>1</v>
          </cell>
          <cell r="C178">
            <v>1</v>
          </cell>
        </row>
        <row r="179">
          <cell r="A179" t="str">
            <v>Ferrero Punzano, Sara Milagros </v>
          </cell>
          <cell r="B179">
            <v>1</v>
          </cell>
          <cell r="C179">
            <v>1</v>
          </cell>
        </row>
        <row r="180">
          <cell r="A180" t="str">
            <v>Flores Águila, Melissa Andrea </v>
          </cell>
          <cell r="B180">
            <v>1</v>
          </cell>
          <cell r="C180">
            <v>1</v>
          </cell>
        </row>
        <row r="181">
          <cell r="A181" t="str">
            <v>Flores Lasluisa, Jhony Xavier </v>
          </cell>
          <cell r="B181">
            <v>2</v>
          </cell>
          <cell r="C181">
            <v>0.5</v>
          </cell>
        </row>
        <row r="182">
          <cell r="A182" t="str">
            <v>Franco , Silvio José </v>
          </cell>
          <cell r="B182">
            <v>2</v>
          </cell>
          <cell r="C182">
            <v>0.5</v>
          </cell>
        </row>
        <row r="183">
          <cell r="A183" t="str">
            <v>Freire Andino, Roberto Ovidio </v>
          </cell>
          <cell r="B183">
            <v>1</v>
          </cell>
          <cell r="C183">
            <v>1</v>
          </cell>
        </row>
        <row r="184">
          <cell r="A184" t="str">
            <v>Fuensanta Soriano, Monica </v>
          </cell>
          <cell r="B184">
            <v>1</v>
          </cell>
          <cell r="C184">
            <v>1</v>
          </cell>
        </row>
        <row r="185">
          <cell r="A185" t="str">
            <v>Fuentes Santamaria, Asuncion </v>
          </cell>
          <cell r="B185">
            <v>1</v>
          </cell>
          <cell r="C185">
            <v>1</v>
          </cell>
        </row>
        <row r="186">
          <cell r="A186" t="str">
            <v>Fuster Olivares, Antonio </v>
          </cell>
          <cell r="B186">
            <v>1</v>
          </cell>
          <cell r="C186">
            <v>1</v>
          </cell>
        </row>
        <row r="187">
          <cell r="A187" t="str">
            <v>Gandara Loe, Jesus </v>
          </cell>
          <cell r="B187">
            <v>1</v>
          </cell>
          <cell r="C187">
            <v>1</v>
          </cell>
        </row>
        <row r="188">
          <cell r="A188" t="str">
            <v>García Botella, María Estela </v>
          </cell>
          <cell r="B188">
            <v>1</v>
          </cell>
          <cell r="C188">
            <v>1</v>
          </cell>
        </row>
        <row r="189">
          <cell r="A189" t="str">
            <v>García del Castillo López, Fernando </v>
          </cell>
          <cell r="B189">
            <v>2</v>
          </cell>
          <cell r="C189">
            <v>0.5</v>
          </cell>
        </row>
        <row r="190">
          <cell r="A190" t="str">
            <v>García García, Alberto </v>
          </cell>
          <cell r="B190">
            <v>2</v>
          </cell>
          <cell r="C190">
            <v>0.5</v>
          </cell>
        </row>
        <row r="191">
          <cell r="A191" t="str">
            <v>García Martínez, Andrea </v>
          </cell>
          <cell r="B191">
            <v>1</v>
          </cell>
          <cell r="C191">
            <v>1</v>
          </cell>
        </row>
        <row r="192">
          <cell r="A192" t="str">
            <v>García Martínez, Miriam </v>
          </cell>
          <cell r="B192">
            <v>2</v>
          </cell>
          <cell r="C192">
            <v>0.5</v>
          </cell>
        </row>
        <row r="193">
          <cell r="A193" t="str">
            <v>García Martínez, Noel Alberto </v>
          </cell>
          <cell r="B193">
            <v>1</v>
          </cell>
          <cell r="C193">
            <v>1</v>
          </cell>
        </row>
        <row r="194">
          <cell r="A194" t="str">
            <v>García Martínez, Salvador </v>
          </cell>
          <cell r="B194">
            <v>2</v>
          </cell>
          <cell r="C194">
            <v>0.5</v>
          </cell>
        </row>
        <row r="195">
          <cell r="A195" t="str">
            <v>García Mingüens, Eduardo </v>
          </cell>
          <cell r="B195">
            <v>1</v>
          </cell>
          <cell r="C195">
            <v>1</v>
          </cell>
        </row>
        <row r="196">
          <cell r="A196" t="str">
            <v>García Ortiz, Adrián </v>
          </cell>
          <cell r="B196">
            <v>1</v>
          </cell>
          <cell r="C196">
            <v>1</v>
          </cell>
        </row>
        <row r="197">
          <cell r="A197" t="str">
            <v>García Rodríguez, Encarnacion </v>
          </cell>
          <cell r="B197">
            <v>1</v>
          </cell>
          <cell r="C197">
            <v>1</v>
          </cell>
        </row>
        <row r="198">
          <cell r="A198" t="str">
            <v>García Serrano, Irma </v>
          </cell>
          <cell r="B198">
            <v>1</v>
          </cell>
          <cell r="C198">
            <v>1</v>
          </cell>
        </row>
        <row r="199">
          <cell r="A199" t="str">
            <v>García-Cremades Mira, Alejandro </v>
          </cell>
          <cell r="B199">
            <v>2</v>
          </cell>
          <cell r="C199">
            <v>0.5</v>
          </cell>
        </row>
        <row r="200">
          <cell r="A200" t="str">
            <v>Gariano , Elvira </v>
          </cell>
          <cell r="B200">
            <v>1</v>
          </cell>
          <cell r="C200">
            <v>1</v>
          </cell>
        </row>
        <row r="201">
          <cell r="A201" t="str">
            <v>Garro Sánchez, Inmaculada Teresa </v>
          </cell>
          <cell r="B201">
            <v>1</v>
          </cell>
          <cell r="C201">
            <v>1</v>
          </cell>
        </row>
        <row r="202">
          <cell r="A202" t="str">
            <v>Gavilán Martín, Diego </v>
          </cell>
          <cell r="B202">
            <v>1</v>
          </cell>
          <cell r="C202">
            <v>1</v>
          </cell>
        </row>
        <row r="203">
          <cell r="A203" t="str">
            <v>Gil Casas, Maria Amparo </v>
          </cell>
          <cell r="B203">
            <v>2</v>
          </cell>
          <cell r="C203">
            <v>0.5</v>
          </cell>
        </row>
        <row r="204">
          <cell r="A204" t="str">
            <v>Gil Rivera, Minerva </v>
          </cell>
          <cell r="B204">
            <v>2</v>
          </cell>
          <cell r="C204">
            <v>0.5</v>
          </cell>
        </row>
        <row r="205">
          <cell r="A205" t="str">
            <v>Giner Calabuig, Mar </v>
          </cell>
          <cell r="B205">
            <v>1</v>
          </cell>
          <cell r="C205">
            <v>1</v>
          </cell>
        </row>
        <row r="206">
          <cell r="A206" t="str">
            <v>Gisbert Alemany, Ester </v>
          </cell>
          <cell r="B206">
            <v>2</v>
          </cell>
          <cell r="C206">
            <v>0.5</v>
          </cell>
        </row>
        <row r="207">
          <cell r="A207" t="str">
            <v>Gómez Donoso, Francisco </v>
          </cell>
          <cell r="B207">
            <v>1</v>
          </cell>
          <cell r="C207">
            <v>1</v>
          </cell>
        </row>
        <row r="208">
          <cell r="A208" t="str">
            <v>Gómez Ramos, Julia </v>
          </cell>
          <cell r="B208">
            <v>2</v>
          </cell>
          <cell r="C208">
            <v>0.5</v>
          </cell>
        </row>
        <row r="209">
          <cell r="A209" t="str">
            <v>Gómez Soriano, Miguel Ángel </v>
          </cell>
          <cell r="B209">
            <v>2</v>
          </cell>
          <cell r="C209">
            <v>0.5</v>
          </cell>
        </row>
        <row r="210">
          <cell r="A210" t="str">
            <v>González Andrés, Cristina </v>
          </cell>
          <cell r="B210">
            <v>2</v>
          </cell>
          <cell r="C210">
            <v>0.5</v>
          </cell>
        </row>
        <row r="211">
          <cell r="A211" t="str">
            <v>González Domínguez, Irais </v>
          </cell>
          <cell r="B211">
            <v>2</v>
          </cell>
          <cell r="C211">
            <v>0.5</v>
          </cell>
        </row>
        <row r="212">
          <cell r="A212" t="str">
            <v>González Forte, Juan Manuel </v>
          </cell>
          <cell r="B212">
            <v>1</v>
          </cell>
          <cell r="C212">
            <v>1</v>
          </cell>
        </row>
        <row r="213">
          <cell r="A213" t="str">
            <v>González García, Concepción </v>
          </cell>
          <cell r="B213">
            <v>1</v>
          </cell>
          <cell r="C213">
            <v>1</v>
          </cell>
        </row>
        <row r="214">
          <cell r="A214" t="str">
            <v>González Herreros, Ester </v>
          </cell>
          <cell r="B214">
            <v>2</v>
          </cell>
          <cell r="C214">
            <v>0.5</v>
          </cell>
        </row>
        <row r="215">
          <cell r="A215" t="str">
            <v>González Magaña, Jose L. </v>
          </cell>
          <cell r="B215">
            <v>2</v>
          </cell>
          <cell r="C215">
            <v>0.5</v>
          </cell>
        </row>
        <row r="216">
          <cell r="A216" t="str">
            <v>González Mora, César </v>
          </cell>
          <cell r="B216">
            <v>2</v>
          </cell>
          <cell r="C216">
            <v>0.5</v>
          </cell>
        </row>
        <row r="217">
          <cell r="A217" t="str">
            <v>González Serrano, Rafael </v>
          </cell>
          <cell r="B217">
            <v>2</v>
          </cell>
          <cell r="C217">
            <v>0.5</v>
          </cell>
        </row>
        <row r="218">
          <cell r="A218" t="str">
            <v>Grau Barrera, Beatriz </v>
          </cell>
          <cell r="B218">
            <v>1</v>
          </cell>
          <cell r="C218">
            <v>1</v>
          </cell>
        </row>
        <row r="219">
          <cell r="A219" t="str">
            <v>Grau Valls, Jose </v>
          </cell>
          <cell r="B219">
            <v>1</v>
          </cell>
          <cell r="C219">
            <v>1</v>
          </cell>
        </row>
        <row r="220">
          <cell r="A220" t="str">
            <v>Gutiérrez García, Ana Isabel </v>
          </cell>
          <cell r="B220">
            <v>1</v>
          </cell>
          <cell r="C220">
            <v>1</v>
          </cell>
        </row>
        <row r="221">
          <cell r="A221" t="str">
            <v>Gutiérrez Pérez, Elena </v>
          </cell>
          <cell r="B221">
            <v>2</v>
          </cell>
          <cell r="C221">
            <v>0.5</v>
          </cell>
        </row>
        <row r="222">
          <cell r="A222" t="str">
            <v>Guzmán Raya, Nancy </v>
          </cell>
          <cell r="B222">
            <v>2</v>
          </cell>
          <cell r="C222">
            <v>0.5</v>
          </cell>
        </row>
        <row r="223">
          <cell r="A223" t="str">
            <v>Hadef , Sarra Ikram </v>
          </cell>
          <cell r="B223">
            <v>2</v>
          </cell>
          <cell r="C223">
            <v>0.5</v>
          </cell>
        </row>
        <row r="224">
          <cell r="A224" t="str">
            <v>Hamida Abdelkader, Sidi Mohamed </v>
          </cell>
          <cell r="B224">
            <v>1</v>
          </cell>
          <cell r="C224">
            <v>1</v>
          </cell>
        </row>
        <row r="225">
          <cell r="A225" t="str">
            <v>Hein , Milton Ariel </v>
          </cell>
          <cell r="B225">
            <v>2</v>
          </cell>
          <cell r="C225">
            <v>0.5</v>
          </cell>
        </row>
        <row r="226">
          <cell r="A226" t="str">
            <v>Hernández Corral, Jesús </v>
          </cell>
          <cell r="B226">
            <v>2</v>
          </cell>
          <cell r="C226">
            <v>0.5</v>
          </cell>
        </row>
        <row r="227">
          <cell r="A227" t="str">
            <v>Herrera Flores, Boris Enrique </v>
          </cell>
          <cell r="B227">
            <v>2</v>
          </cell>
          <cell r="C227">
            <v>0.5</v>
          </cell>
        </row>
        <row r="228">
          <cell r="A228" t="str">
            <v>Hochstetter Diez, Jorge Alberto </v>
          </cell>
          <cell r="B228">
            <v>2</v>
          </cell>
          <cell r="C228">
            <v>0.5</v>
          </cell>
        </row>
        <row r="229">
          <cell r="A229" t="str">
            <v>Homs Romero, Èrica </v>
          </cell>
          <cell r="B229">
            <v>2</v>
          </cell>
          <cell r="C229">
            <v>0.5</v>
          </cell>
        </row>
        <row r="230">
          <cell r="A230" t="str">
            <v>Horodytska , Oksana </v>
          </cell>
          <cell r="B230">
            <v>1</v>
          </cell>
          <cell r="C230">
            <v>1</v>
          </cell>
        </row>
        <row r="231">
          <cell r="A231" t="str">
            <v>Hoyos Londoño, María Carmenza </v>
          </cell>
          <cell r="B231">
            <v>1</v>
          </cell>
          <cell r="C231">
            <v>1</v>
          </cell>
        </row>
        <row r="232">
          <cell r="A232" t="str">
            <v>Huergo Farah, Paulo Eduardo </v>
          </cell>
          <cell r="B232">
            <v>2</v>
          </cell>
          <cell r="C232">
            <v>0.5</v>
          </cell>
        </row>
        <row r="233">
          <cell r="A233" t="str">
            <v>Huerta Retamal, Natalia </v>
          </cell>
          <cell r="B233">
            <v>2</v>
          </cell>
          <cell r="C233">
            <v>0.5</v>
          </cell>
        </row>
        <row r="234">
          <cell r="A234" t="str">
            <v>Huertas Roca, Melody </v>
          </cell>
          <cell r="B234">
            <v>1</v>
          </cell>
          <cell r="C234">
            <v>1</v>
          </cell>
        </row>
        <row r="235">
          <cell r="A235" t="str">
            <v>Huesca Tortosa, José Antonio </v>
          </cell>
          <cell r="B235">
            <v>1</v>
          </cell>
          <cell r="C235">
            <v>1</v>
          </cell>
        </row>
        <row r="236">
          <cell r="A236" t="str">
            <v>Hurtado Gaitan, Elias </v>
          </cell>
          <cell r="B236">
            <v>1</v>
          </cell>
          <cell r="C236">
            <v>1</v>
          </cell>
        </row>
        <row r="237">
          <cell r="A237" t="str">
            <v>I Y Huraibat , Khalil </v>
          </cell>
          <cell r="B237">
            <v>2</v>
          </cell>
          <cell r="C237">
            <v>0.5</v>
          </cell>
        </row>
        <row r="238">
          <cell r="A238" t="str">
            <v>Ibáñez Gosálvez, Javier </v>
          </cell>
          <cell r="B238">
            <v>2</v>
          </cell>
          <cell r="C238">
            <v>0.5</v>
          </cell>
        </row>
        <row r="239">
          <cell r="A239" t="str">
            <v>Ibragimov , Khusen </v>
          </cell>
          <cell r="B239">
            <v>2</v>
          </cell>
          <cell r="C239">
            <v>0.5</v>
          </cell>
        </row>
        <row r="240">
          <cell r="A240" t="str">
            <v>Igual Anton, Diego </v>
          </cell>
          <cell r="B240">
            <v>1</v>
          </cell>
          <cell r="C240">
            <v>1</v>
          </cell>
        </row>
        <row r="241">
          <cell r="A241" t="str">
            <v>Igualada Tolosa, Carlos </v>
          </cell>
          <cell r="B241">
            <v>1</v>
          </cell>
          <cell r="C241">
            <v>1</v>
          </cell>
        </row>
        <row r="242">
          <cell r="A242" t="str">
            <v>Infesta Domínguez, Graciela </v>
          </cell>
          <cell r="B242">
            <v>1</v>
          </cell>
          <cell r="C242">
            <v>1</v>
          </cell>
        </row>
        <row r="243">
          <cell r="A243" t="str">
            <v>Izquierdo Morales, Alexis Alfonso </v>
          </cell>
          <cell r="B243">
            <v>1</v>
          </cell>
          <cell r="C243">
            <v>1</v>
          </cell>
        </row>
        <row r="244">
          <cell r="A244" t="str">
            <v>Izquierdo Muñoz, Andres </v>
          </cell>
          <cell r="B244">
            <v>1</v>
          </cell>
          <cell r="C244">
            <v>1</v>
          </cell>
        </row>
        <row r="245">
          <cell r="A245" t="str">
            <v>Jaramillo Alcázar, Ángel Gabriel </v>
          </cell>
          <cell r="B245">
            <v>1</v>
          </cell>
          <cell r="C245">
            <v>1</v>
          </cell>
        </row>
        <row r="246">
          <cell r="A246" t="str">
            <v>Jiménez Álvarez, Luis Gonzalo </v>
          </cell>
          <cell r="B246">
            <v>2</v>
          </cell>
          <cell r="C246">
            <v>0.5</v>
          </cell>
        </row>
        <row r="247">
          <cell r="A247" t="str">
            <v>Jiménez Gutiérrez, Santiago Victor </v>
          </cell>
          <cell r="B247">
            <v>2</v>
          </cell>
          <cell r="C247">
            <v>0.5</v>
          </cell>
        </row>
        <row r="248">
          <cell r="A248" t="str">
            <v>Jódar Abellán, Antonio </v>
          </cell>
          <cell r="B248">
            <v>3</v>
          </cell>
          <cell r="C248">
            <v>0.33333333333333331</v>
          </cell>
        </row>
        <row r="249">
          <cell r="A249" t="str">
            <v>Jover Mendiola, Antonio Damián </v>
          </cell>
          <cell r="B249">
            <v>2</v>
          </cell>
          <cell r="C249">
            <v>0.5</v>
          </cell>
        </row>
        <row r="250">
          <cell r="A250" t="str">
            <v>Kauffmann Incer, Erick </v>
          </cell>
          <cell r="B250">
            <v>2</v>
          </cell>
          <cell r="C250">
            <v>0.5</v>
          </cell>
        </row>
        <row r="251">
          <cell r="A251" t="str">
            <v>Kedir , Chahineze Nawel </v>
          </cell>
          <cell r="B251">
            <v>2</v>
          </cell>
          <cell r="C251">
            <v>0.5</v>
          </cell>
        </row>
        <row r="252">
          <cell r="A252" t="str">
            <v>Kutsyr , Oksana </v>
          </cell>
          <cell r="B252">
            <v>2</v>
          </cell>
          <cell r="C252">
            <v>0.5</v>
          </cell>
        </row>
        <row r="253">
          <cell r="A253" t="str">
            <v>Labella Sanfrutos, Jose Ignacio </v>
          </cell>
          <cell r="B253">
            <v>1</v>
          </cell>
          <cell r="C253">
            <v>1</v>
          </cell>
        </row>
        <row r="254">
          <cell r="A254" t="str">
            <v>Lalangui Ramírez, Jessica Ivonne </v>
          </cell>
          <cell r="B254">
            <v>1</v>
          </cell>
          <cell r="C254">
            <v>1</v>
          </cell>
        </row>
        <row r="255">
          <cell r="A255" t="str">
            <v>Lalinde González, Luis Miguel </v>
          </cell>
          <cell r="B255">
            <v>2</v>
          </cell>
          <cell r="C255">
            <v>0.5</v>
          </cell>
        </row>
        <row r="256">
          <cell r="A256" t="str">
            <v>Landi , Sara </v>
          </cell>
          <cell r="B256">
            <v>2</v>
          </cell>
          <cell r="C256">
            <v>0.5</v>
          </cell>
        </row>
        <row r="257">
          <cell r="A257" t="str">
            <v>Larco Ampudia, Enrique Andrés </v>
          </cell>
          <cell r="B257">
            <v>1</v>
          </cell>
          <cell r="C257">
            <v>1</v>
          </cell>
        </row>
        <row r="258">
          <cell r="A258" t="str">
            <v>Larsen , Elisabeth Karlstad </v>
          </cell>
          <cell r="B258">
            <v>3</v>
          </cell>
          <cell r="C258">
            <v>0.33333333333333331</v>
          </cell>
        </row>
        <row r="259">
          <cell r="A259" t="str">
            <v>Lartey , Abraham </v>
          </cell>
          <cell r="B259">
            <v>2</v>
          </cell>
          <cell r="C259">
            <v>0.5</v>
          </cell>
        </row>
        <row r="260">
          <cell r="A260" t="str">
            <v>Latorre Aizaga, Franklin Lenin </v>
          </cell>
          <cell r="B260">
            <v>2</v>
          </cell>
          <cell r="C260">
            <v>0.5</v>
          </cell>
        </row>
        <row r="261">
          <cell r="A261" t="str">
            <v>Lavalle López, Ana </v>
          </cell>
          <cell r="B261">
            <v>2</v>
          </cell>
          <cell r="C261">
            <v>0.5</v>
          </cell>
        </row>
        <row r="262">
          <cell r="A262" t="str">
            <v>Lázaro Pérez, Miguel Ángel </v>
          </cell>
          <cell r="B262">
            <v>1</v>
          </cell>
          <cell r="C262">
            <v>1</v>
          </cell>
        </row>
        <row r="263">
          <cell r="A263" t="str">
            <v>Lillo , Maria Inés </v>
          </cell>
          <cell r="B263">
            <v>2</v>
          </cell>
          <cell r="C263">
            <v>0.5</v>
          </cell>
        </row>
        <row r="264">
          <cell r="A264" t="str">
            <v>Lillo Polo, Carlos </v>
          </cell>
          <cell r="B264">
            <v>2</v>
          </cell>
          <cell r="C264">
            <v>0.5</v>
          </cell>
        </row>
        <row r="265">
          <cell r="A265" t="str">
            <v>Lima Dos Santos, Daiane </v>
          </cell>
          <cell r="B265">
            <v>1</v>
          </cell>
          <cell r="C265">
            <v>1</v>
          </cell>
        </row>
        <row r="266">
          <cell r="A266" t="str">
            <v>Linares Bernabeu, Esther </v>
          </cell>
          <cell r="B266">
            <v>1</v>
          </cell>
          <cell r="C266">
            <v>1</v>
          </cell>
        </row>
        <row r="267">
          <cell r="A267" t="str">
            <v>Lledó García, David </v>
          </cell>
          <cell r="B267">
            <v>2</v>
          </cell>
          <cell r="C267">
            <v>0.5</v>
          </cell>
        </row>
        <row r="268">
          <cell r="A268" t="str">
            <v>Llopis Costa, Natalia </v>
          </cell>
          <cell r="B268">
            <v>1</v>
          </cell>
          <cell r="C268">
            <v>1</v>
          </cell>
        </row>
        <row r="269">
          <cell r="A269" t="str">
            <v>Llorca Asensi, Elena </v>
          </cell>
          <cell r="B269">
            <v>2</v>
          </cell>
          <cell r="C269">
            <v>0.5</v>
          </cell>
        </row>
        <row r="270">
          <cell r="A270" t="str">
            <v>Llorens Simón, Eva María </v>
          </cell>
          <cell r="B270">
            <v>1</v>
          </cell>
          <cell r="C270">
            <v>1</v>
          </cell>
        </row>
        <row r="271">
          <cell r="A271" t="str">
            <v>Londoño Larrea, Pablo Andrés </v>
          </cell>
          <cell r="B271">
            <v>2</v>
          </cell>
          <cell r="C271">
            <v>0.5</v>
          </cell>
        </row>
        <row r="272">
          <cell r="A272" t="str">
            <v>López Baeza, Jesús </v>
          </cell>
          <cell r="B272">
            <v>1</v>
          </cell>
          <cell r="C272">
            <v>1</v>
          </cell>
        </row>
        <row r="273">
          <cell r="A273" t="str">
            <v>López Cabrera, Samuel </v>
          </cell>
          <cell r="B273">
            <v>1</v>
          </cell>
          <cell r="C273">
            <v>1</v>
          </cell>
        </row>
        <row r="274">
          <cell r="A274" t="str">
            <v>López Davó, Joaquín Antonio </v>
          </cell>
          <cell r="B274">
            <v>2</v>
          </cell>
          <cell r="C274">
            <v>0.5</v>
          </cell>
        </row>
        <row r="275">
          <cell r="A275" t="str">
            <v>López Guevara, Noris Isabel </v>
          </cell>
          <cell r="B275">
            <v>1</v>
          </cell>
          <cell r="C275">
            <v>1</v>
          </cell>
        </row>
        <row r="276">
          <cell r="A276" t="str">
            <v>López López, María de Lourdes </v>
          </cell>
          <cell r="B276">
            <v>1</v>
          </cell>
          <cell r="C276">
            <v>1</v>
          </cell>
        </row>
        <row r="277">
          <cell r="A277" t="str">
            <v>López Martínez, Jhonny David </v>
          </cell>
          <cell r="B277">
            <v>1</v>
          </cell>
          <cell r="C277">
            <v>1</v>
          </cell>
        </row>
        <row r="278">
          <cell r="A278" t="str">
            <v>López Mas, Pedro José </v>
          </cell>
          <cell r="B278">
            <v>2</v>
          </cell>
          <cell r="C278">
            <v>0.5</v>
          </cell>
        </row>
        <row r="279">
          <cell r="A279" t="str">
            <v>López Mayorga, Rosa Magdalena </v>
          </cell>
          <cell r="B279">
            <v>2</v>
          </cell>
          <cell r="C279">
            <v>0.5</v>
          </cell>
        </row>
        <row r="280">
          <cell r="A280" t="str">
            <v>López Medel, María </v>
          </cell>
          <cell r="B280">
            <v>2</v>
          </cell>
          <cell r="C280">
            <v>0.5</v>
          </cell>
        </row>
        <row r="281">
          <cell r="A281" t="str">
            <v>López Medina, Julián </v>
          </cell>
          <cell r="B281">
            <v>2</v>
          </cell>
          <cell r="C281">
            <v>0.5</v>
          </cell>
        </row>
        <row r="282">
          <cell r="A282" t="str">
            <v>Lorca Sánchez, Miguel Angel </v>
          </cell>
          <cell r="B282">
            <v>2</v>
          </cell>
          <cell r="C282">
            <v>0.5</v>
          </cell>
        </row>
        <row r="283">
          <cell r="A283" t="str">
            <v>Luengo Frades, Jorge </v>
          </cell>
          <cell r="B283">
            <v>2</v>
          </cell>
          <cell r="C283">
            <v>0.5</v>
          </cell>
        </row>
        <row r="284">
          <cell r="A284" t="str">
            <v>Luna Romero, Javier </v>
          </cell>
          <cell r="B284">
            <v>2</v>
          </cell>
          <cell r="C284">
            <v>0.5</v>
          </cell>
        </row>
        <row r="285">
          <cell r="A285" t="str">
            <v>Maas dos Anjos, Rafael </v>
          </cell>
          <cell r="B285">
            <v>2</v>
          </cell>
          <cell r="C285">
            <v>0.5</v>
          </cell>
        </row>
        <row r="286">
          <cell r="A286" t="str">
            <v>Machado Ferreira De Melo, Júlio Cesar </v>
          </cell>
          <cell r="B286">
            <v>2</v>
          </cell>
          <cell r="C286">
            <v>0.5</v>
          </cell>
        </row>
        <row r="287">
          <cell r="A287" t="str">
            <v>Maestre Carballa, Lucía </v>
          </cell>
          <cell r="B287">
            <v>1</v>
          </cell>
          <cell r="C287">
            <v>1</v>
          </cell>
        </row>
        <row r="288">
          <cell r="A288" t="str">
            <v>Mahiques Segura, Gerard </v>
          </cell>
          <cell r="B288">
            <v>2</v>
          </cell>
          <cell r="C288">
            <v>0.5</v>
          </cell>
        </row>
        <row r="289">
          <cell r="A289" t="str">
            <v>Maiorano Lauria, Lucila Paola </v>
          </cell>
          <cell r="B289">
            <v>1</v>
          </cell>
          <cell r="C289">
            <v>1</v>
          </cell>
        </row>
        <row r="290">
          <cell r="A290" t="str">
            <v>Mancebo Salas, Noelia </v>
          </cell>
          <cell r="B290">
            <v>2</v>
          </cell>
          <cell r="C290">
            <v>0.5</v>
          </cell>
        </row>
        <row r="291">
          <cell r="A291" t="str">
            <v>Mangas Navarro, Natalia Anaís </v>
          </cell>
          <cell r="B291">
            <v>2</v>
          </cell>
          <cell r="C291">
            <v>0.5</v>
          </cell>
        </row>
        <row r="292">
          <cell r="A292" t="str">
            <v>Marcos , Rudson </v>
          </cell>
          <cell r="B292">
            <v>2</v>
          </cell>
          <cell r="C292">
            <v>0.5</v>
          </cell>
        </row>
        <row r="293">
          <cell r="A293" t="str">
            <v>Mares Aliaga, Francisco </v>
          </cell>
          <cell r="B293">
            <v>1</v>
          </cell>
          <cell r="C293">
            <v>1</v>
          </cell>
        </row>
        <row r="294">
          <cell r="A294" t="str">
            <v>Marrahi Gómez, Victor </v>
          </cell>
          <cell r="B294">
            <v>1</v>
          </cell>
          <cell r="C294">
            <v>1</v>
          </cell>
        </row>
        <row r="295">
          <cell r="A295" t="str">
            <v>Martín Galán, Miriam </v>
          </cell>
          <cell r="B295">
            <v>1</v>
          </cell>
          <cell r="C295">
            <v>1</v>
          </cell>
        </row>
        <row r="296">
          <cell r="A296" t="str">
            <v>Martín García, María Iris </v>
          </cell>
          <cell r="B296">
            <v>1</v>
          </cell>
          <cell r="C296">
            <v>1</v>
          </cell>
        </row>
        <row r="297">
          <cell r="A297" t="str">
            <v>Martín Grandes, María del Rosario </v>
          </cell>
          <cell r="B297">
            <v>2</v>
          </cell>
          <cell r="C297">
            <v>0.5</v>
          </cell>
        </row>
        <row r="298">
          <cell r="A298" t="str">
            <v>Martín Martín, María Aránzazu </v>
          </cell>
          <cell r="B298">
            <v>1</v>
          </cell>
          <cell r="C298">
            <v>1</v>
          </cell>
        </row>
        <row r="299">
          <cell r="A299" t="str">
            <v>Martínez Abad, Antonio </v>
          </cell>
          <cell r="B299">
            <v>1</v>
          </cell>
          <cell r="C299">
            <v>1</v>
          </cell>
        </row>
        <row r="300">
          <cell r="A300" t="str">
            <v>Martínez Cánovas, Gonzalo José </v>
          </cell>
          <cell r="B300">
            <v>1</v>
          </cell>
          <cell r="C300">
            <v>1</v>
          </cell>
        </row>
        <row r="301">
          <cell r="A301" t="str">
            <v>Martínez Chicharro, María </v>
          </cell>
          <cell r="B301">
            <v>1</v>
          </cell>
          <cell r="C301">
            <v>1</v>
          </cell>
        </row>
        <row r="302">
          <cell r="A302" t="str">
            <v>Martínez Copete, Antonio </v>
          </cell>
          <cell r="B302">
            <v>1</v>
          </cell>
          <cell r="C302">
            <v>1</v>
          </cell>
        </row>
        <row r="303">
          <cell r="A303" t="str">
            <v>Martínez del Olmo, Santiago </v>
          </cell>
          <cell r="B303">
            <v>2</v>
          </cell>
          <cell r="C303">
            <v>0.5</v>
          </cell>
        </row>
        <row r="304">
          <cell r="A304" t="str">
            <v>Martínez Falcó, Javier </v>
          </cell>
          <cell r="B304">
            <v>2</v>
          </cell>
          <cell r="C304">
            <v>0.5</v>
          </cell>
        </row>
        <row r="305">
          <cell r="A305" t="str">
            <v>Martínez Fernández, Álvaro </v>
          </cell>
          <cell r="B305">
            <v>2</v>
          </cell>
          <cell r="C305">
            <v>0.5</v>
          </cell>
        </row>
        <row r="306">
          <cell r="A306" t="str">
            <v>Martínez García, Alba </v>
          </cell>
          <cell r="B306">
            <v>2</v>
          </cell>
          <cell r="C306">
            <v>0.5</v>
          </cell>
        </row>
        <row r="307">
          <cell r="A307" t="str">
            <v>Martínez Martínez, Concepción </v>
          </cell>
          <cell r="B307">
            <v>2</v>
          </cell>
          <cell r="C307">
            <v>0.5</v>
          </cell>
        </row>
        <row r="308">
          <cell r="A308" t="str">
            <v>Martínez Mosquera, Silvia Diana </v>
          </cell>
          <cell r="B308">
            <v>1</v>
          </cell>
          <cell r="C308">
            <v>1</v>
          </cell>
        </row>
        <row r="309">
          <cell r="A309" t="str">
            <v>Martínez Ortega, Juan Iván </v>
          </cell>
          <cell r="B309">
            <v>2</v>
          </cell>
          <cell r="C309">
            <v>0.5</v>
          </cell>
        </row>
        <row r="310">
          <cell r="A310" t="str">
            <v>Martínez Rivera, Julio César </v>
          </cell>
          <cell r="B310">
            <v>1</v>
          </cell>
          <cell r="C310">
            <v>1</v>
          </cell>
        </row>
        <row r="311">
          <cell r="A311" t="str">
            <v>Martínez Serrano, Ana María </v>
          </cell>
          <cell r="B311">
            <v>1</v>
          </cell>
          <cell r="C311">
            <v>1</v>
          </cell>
        </row>
        <row r="312">
          <cell r="A312" t="str">
            <v>Martínez Verdú, Remedios </v>
          </cell>
          <cell r="B312">
            <v>2</v>
          </cell>
          <cell r="C312">
            <v>0.5</v>
          </cell>
        </row>
        <row r="313">
          <cell r="A313" t="str">
            <v>Mateo Guillen, Copelia </v>
          </cell>
          <cell r="B313">
            <v>1</v>
          </cell>
          <cell r="C313">
            <v>1</v>
          </cell>
        </row>
        <row r="314">
          <cell r="A314" t="str">
            <v>Mateu Torres, Francisco Jose </v>
          </cell>
          <cell r="B314">
            <v>1</v>
          </cell>
          <cell r="C314">
            <v>1</v>
          </cell>
        </row>
        <row r="315">
          <cell r="A315" t="str">
            <v>Maturano Ruiz, Adrián </v>
          </cell>
          <cell r="B315">
            <v>1</v>
          </cell>
          <cell r="C315">
            <v>1</v>
          </cell>
        </row>
        <row r="316">
          <cell r="A316" t="str">
            <v>Medina Cascales, Iván </v>
          </cell>
          <cell r="B316">
            <v>2</v>
          </cell>
          <cell r="C316">
            <v>0.5</v>
          </cell>
        </row>
        <row r="317">
          <cell r="A317" t="str">
            <v>Mellinas Ciller, Ana Cristina </v>
          </cell>
          <cell r="B317">
            <v>2</v>
          </cell>
          <cell r="C317">
            <v>0.5</v>
          </cell>
        </row>
        <row r="318">
          <cell r="A318" t="str">
            <v>Mendonça Neto, Wilson Paulo </v>
          </cell>
          <cell r="B318">
            <v>2</v>
          </cell>
          <cell r="C318">
            <v>0.5</v>
          </cell>
        </row>
        <row r="319">
          <cell r="A319" t="str">
            <v>Menor Hernández, Andres </v>
          </cell>
          <cell r="B319">
            <v>1</v>
          </cell>
          <cell r="C319">
            <v>1</v>
          </cell>
        </row>
        <row r="320">
          <cell r="A320" t="str">
            <v>Merino González, Camilo </v>
          </cell>
          <cell r="B320">
            <v>2</v>
          </cell>
          <cell r="C320">
            <v>0.5</v>
          </cell>
        </row>
        <row r="321">
          <cell r="A321" t="str">
            <v>Mieres Brevis, Michelle Stephanie </v>
          </cell>
          <cell r="B321">
            <v>1</v>
          </cell>
          <cell r="C321">
            <v>1</v>
          </cell>
        </row>
        <row r="322">
          <cell r="A322" t="str">
            <v>Miralles Cardona, Cristina </v>
          </cell>
          <cell r="B322">
            <v>2</v>
          </cell>
          <cell r="C322">
            <v>0.5</v>
          </cell>
        </row>
        <row r="323">
          <cell r="A323" t="str">
            <v>Miralles Gómez, Carmen </v>
          </cell>
          <cell r="B323">
            <v>1</v>
          </cell>
          <cell r="C323">
            <v>1</v>
          </cell>
        </row>
        <row r="324">
          <cell r="A324" t="str">
            <v>Miró Oca, Marina </v>
          </cell>
          <cell r="B324">
            <v>2</v>
          </cell>
          <cell r="C324">
            <v>0.5</v>
          </cell>
        </row>
        <row r="325">
          <cell r="A325" t="str">
            <v>Misseri , Lucas Emmanuel </v>
          </cell>
          <cell r="B325">
            <v>2</v>
          </cell>
          <cell r="C325">
            <v>0.5</v>
          </cell>
        </row>
        <row r="326">
          <cell r="A326" t="str">
            <v>Moghli , Aymen </v>
          </cell>
          <cell r="B326">
            <v>2</v>
          </cell>
          <cell r="C326">
            <v>0.5</v>
          </cell>
        </row>
        <row r="327">
          <cell r="A327" t="str">
            <v>Molina Burguera, Guillermo </v>
          </cell>
          <cell r="B327">
            <v>2</v>
          </cell>
          <cell r="C327">
            <v>0.5</v>
          </cell>
        </row>
        <row r="328">
          <cell r="A328" t="str">
            <v>Molina Molina, Cynthia </v>
          </cell>
          <cell r="B328">
            <v>2</v>
          </cell>
          <cell r="C328">
            <v>0.5</v>
          </cell>
        </row>
        <row r="329">
          <cell r="A329" t="str">
            <v>Moliner Aznar, Santiago </v>
          </cell>
          <cell r="B329">
            <v>1</v>
          </cell>
          <cell r="C329">
            <v>1</v>
          </cell>
        </row>
        <row r="330">
          <cell r="A330" t="str">
            <v>Molines Alcaraz, María </v>
          </cell>
          <cell r="B330">
            <v>1</v>
          </cell>
          <cell r="C330">
            <v>1</v>
          </cell>
        </row>
        <row r="331">
          <cell r="A331" t="str">
            <v>Monjo Mascaró, Joan Lluís </v>
          </cell>
          <cell r="B331">
            <v>2</v>
          </cell>
          <cell r="C331">
            <v>0.5</v>
          </cell>
        </row>
        <row r="332">
          <cell r="A332" t="str">
            <v>Montoyo Pujol, Yoel Genaro </v>
          </cell>
          <cell r="B332">
            <v>2</v>
          </cell>
          <cell r="C332">
            <v>0.5</v>
          </cell>
        </row>
        <row r="333">
          <cell r="A333" t="str">
            <v>Monzó Jiménez, Luis Antonio </v>
          </cell>
          <cell r="B333">
            <v>2</v>
          </cell>
          <cell r="C333">
            <v>0.5</v>
          </cell>
        </row>
        <row r="334">
          <cell r="A334" t="str">
            <v>MORA CABRERA, KAREN VIVIANA </v>
          </cell>
          <cell r="B334">
            <v>2</v>
          </cell>
          <cell r="C334">
            <v>0.5</v>
          </cell>
        </row>
        <row r="335">
          <cell r="A335" t="str">
            <v>Mora Lizán, Francisco José </v>
          </cell>
          <cell r="B335">
            <v>2</v>
          </cell>
          <cell r="C335">
            <v>0.5</v>
          </cell>
        </row>
        <row r="336">
          <cell r="A336" t="str">
            <v>Morales Hernández, Aitor </v>
          </cell>
          <cell r="B336">
            <v>2</v>
          </cell>
          <cell r="C336">
            <v>0.5</v>
          </cell>
        </row>
        <row r="337">
          <cell r="A337" t="str">
            <v>Morales Morales, Mario Raúl </v>
          </cell>
          <cell r="B337">
            <v>2</v>
          </cell>
          <cell r="C337">
            <v>0.5</v>
          </cell>
        </row>
        <row r="338">
          <cell r="A338" t="str">
            <v>Morelle Hungría, Esteban </v>
          </cell>
          <cell r="B338">
            <v>1</v>
          </cell>
          <cell r="C338">
            <v>1</v>
          </cell>
        </row>
        <row r="339">
          <cell r="A339" t="str">
            <v>Moreno Cabrerizo, Cristina </v>
          </cell>
          <cell r="B339">
            <v>2</v>
          </cell>
          <cell r="C339">
            <v>0.5</v>
          </cell>
        </row>
        <row r="340">
          <cell r="A340" t="str">
            <v>Morillo Revelo, Edgardo Javier </v>
          </cell>
          <cell r="B340">
            <v>1</v>
          </cell>
          <cell r="C340">
            <v>1</v>
          </cell>
        </row>
        <row r="341">
          <cell r="A341" t="str">
            <v>Munizza , Elisa Teresa </v>
          </cell>
          <cell r="B341">
            <v>2</v>
          </cell>
          <cell r="C341">
            <v>0.5</v>
          </cell>
        </row>
        <row r="342">
          <cell r="A342" t="str">
            <v>Muñiz Álvarez, Ana </v>
          </cell>
          <cell r="B342">
            <v>1</v>
          </cell>
          <cell r="C342">
            <v>1</v>
          </cell>
        </row>
        <row r="343">
          <cell r="A343" t="str">
            <v>Muñoz Castillo, Juan Antonio </v>
          </cell>
          <cell r="B343">
            <v>1</v>
          </cell>
          <cell r="C343">
            <v>1</v>
          </cell>
        </row>
        <row r="344">
          <cell r="A344" t="str">
            <v>Muñoz Mármol, Rafael </v>
          </cell>
          <cell r="B344">
            <v>1</v>
          </cell>
          <cell r="C344">
            <v>1</v>
          </cell>
        </row>
        <row r="345">
          <cell r="A345" t="str">
            <v>Muñoz Muñoz, Pamela Tamara </v>
          </cell>
          <cell r="B345">
            <v>2</v>
          </cell>
          <cell r="C345">
            <v>0.5</v>
          </cell>
        </row>
        <row r="346">
          <cell r="A346" t="str">
            <v>Murillo Acevedo, Yesid Sneider </v>
          </cell>
          <cell r="B346">
            <v>2</v>
          </cell>
          <cell r="C346">
            <v>0.5</v>
          </cell>
        </row>
        <row r="347">
          <cell r="A347" t="str">
            <v>Murillo Pacheco, Henry </v>
          </cell>
          <cell r="B347">
            <v>2</v>
          </cell>
          <cell r="C347">
            <v>0.5</v>
          </cell>
        </row>
        <row r="348">
          <cell r="A348" t="str">
            <v>Mussó Mujica, Luis Carlos </v>
          </cell>
          <cell r="B348">
            <v>1</v>
          </cell>
          <cell r="C348">
            <v>1</v>
          </cell>
        </row>
        <row r="349">
          <cell r="A349" t="str">
            <v>Naranjo Zeledón, Luis Carlos </v>
          </cell>
          <cell r="B349">
            <v>2</v>
          </cell>
          <cell r="C349">
            <v>0.5</v>
          </cell>
        </row>
        <row r="350">
          <cell r="A350" t="str">
            <v>Nasri Mohammadshahi, Nadia </v>
          </cell>
          <cell r="B350">
            <v>2</v>
          </cell>
          <cell r="C350">
            <v>0.5</v>
          </cell>
        </row>
        <row r="351">
          <cell r="A351" t="str">
            <v>Nataniel , Anildo Naftal </v>
          </cell>
          <cell r="B351">
            <v>1</v>
          </cell>
          <cell r="C351">
            <v>1</v>
          </cell>
        </row>
        <row r="352">
          <cell r="A352" t="str">
            <v>Navarro Berbegal, Francisco Javier </v>
          </cell>
          <cell r="B352">
            <v>1</v>
          </cell>
          <cell r="C352">
            <v>1</v>
          </cell>
        </row>
        <row r="353">
          <cell r="A353" t="str">
            <v>Navarro Pérez, Miguel Angel </v>
          </cell>
          <cell r="B353">
            <v>2</v>
          </cell>
          <cell r="C353">
            <v>0.5</v>
          </cell>
        </row>
        <row r="354">
          <cell r="A354" t="str">
            <v>Navarro Ruiz, Sandra </v>
          </cell>
          <cell r="B354">
            <v>2</v>
          </cell>
          <cell r="C354">
            <v>0.5</v>
          </cell>
        </row>
        <row r="355">
          <cell r="A355" t="str">
            <v>Navarro Sempere, Alicia </v>
          </cell>
          <cell r="B355">
            <v>2</v>
          </cell>
          <cell r="C355">
            <v>0.5</v>
          </cell>
        </row>
        <row r="356">
          <cell r="A356" t="str">
            <v>Navas Segura, Antonio </v>
          </cell>
          <cell r="B356">
            <v>1</v>
          </cell>
          <cell r="C356">
            <v>1</v>
          </cell>
        </row>
        <row r="357">
          <cell r="A357" t="str">
            <v>Nicolás Castellano, Carolina </v>
          </cell>
          <cell r="B357">
            <v>1</v>
          </cell>
          <cell r="C357">
            <v>1</v>
          </cell>
        </row>
        <row r="358">
          <cell r="A358" t="str">
            <v>Noguera Torres Timbó, Berenice </v>
          </cell>
          <cell r="B358">
            <v>2</v>
          </cell>
          <cell r="C358">
            <v>0.5</v>
          </cell>
        </row>
        <row r="359">
          <cell r="A359" t="str">
            <v>Nolasco Soto, Janet </v>
          </cell>
          <cell r="B359">
            <v>2</v>
          </cell>
          <cell r="C359">
            <v>0.5</v>
          </cell>
        </row>
        <row r="360">
          <cell r="A360" t="str">
            <v>Olaya Cuartero, Javier </v>
          </cell>
          <cell r="B360">
            <v>1</v>
          </cell>
          <cell r="C360">
            <v>1</v>
          </cell>
        </row>
        <row r="361">
          <cell r="A361" t="str">
            <v>Olmedo Rodriguez, Carmen Marcela </v>
          </cell>
          <cell r="B361">
            <v>1</v>
          </cell>
          <cell r="C361">
            <v>1</v>
          </cell>
        </row>
        <row r="362">
          <cell r="A362" t="str">
            <v>Ortega , John Evan </v>
          </cell>
          <cell r="B362">
            <v>1</v>
          </cell>
          <cell r="C362">
            <v>1</v>
          </cell>
        </row>
        <row r="363">
          <cell r="A363" t="str">
            <v>Ortega Bastida, Javier </v>
          </cell>
          <cell r="B363">
            <v>2</v>
          </cell>
          <cell r="C363">
            <v>0.5</v>
          </cell>
        </row>
        <row r="364">
          <cell r="A364" t="str">
            <v>Ortega Murcia, Alejandro </v>
          </cell>
          <cell r="B364">
            <v>2</v>
          </cell>
          <cell r="C364">
            <v>0.5</v>
          </cell>
        </row>
        <row r="365">
          <cell r="A365" t="str">
            <v>Ortiz Cano, Ricardo </v>
          </cell>
          <cell r="B365">
            <v>2</v>
          </cell>
          <cell r="C365">
            <v>0.5</v>
          </cell>
        </row>
        <row r="366">
          <cell r="A366" t="str">
            <v>Ortiz Fernández, Manuel </v>
          </cell>
          <cell r="B366">
            <v>2</v>
          </cell>
          <cell r="C366">
            <v>0.5</v>
          </cell>
        </row>
        <row r="367">
          <cell r="A367" t="str">
            <v>Oruc , Mirza </v>
          </cell>
          <cell r="B367">
            <v>2</v>
          </cell>
          <cell r="C367">
            <v>0.5</v>
          </cell>
        </row>
        <row r="368">
          <cell r="A368" t="str">
            <v>Orviz Suárez, María Teresa </v>
          </cell>
          <cell r="B368">
            <v>2</v>
          </cell>
          <cell r="C368">
            <v>0.5</v>
          </cell>
        </row>
        <row r="369">
          <cell r="A369" t="str">
            <v>Padilla López, Yolanda Lizeth </v>
          </cell>
          <cell r="B369">
            <v>2</v>
          </cell>
          <cell r="C369">
            <v>0.5</v>
          </cell>
        </row>
        <row r="370">
          <cell r="A370" t="str">
            <v>Pallarés Cerdà, Nina Victoria </v>
          </cell>
          <cell r="B370">
            <v>1</v>
          </cell>
          <cell r="C370">
            <v>1</v>
          </cell>
        </row>
        <row r="371">
          <cell r="A371" t="str">
            <v>Pan , Lili </v>
          </cell>
          <cell r="B371">
            <v>1</v>
          </cell>
          <cell r="C371">
            <v>1</v>
          </cell>
        </row>
        <row r="372">
          <cell r="A372" t="str">
            <v>PARASKEVAS , THEODOROS </v>
          </cell>
          <cell r="B372">
            <v>2</v>
          </cell>
          <cell r="C372">
            <v>0.5</v>
          </cell>
        </row>
        <row r="373">
          <cell r="A373" t="str">
            <v>Parra Grande, Mónica </v>
          </cell>
          <cell r="B373">
            <v>1</v>
          </cell>
          <cell r="C373">
            <v>1</v>
          </cell>
        </row>
        <row r="374">
          <cell r="A374" t="str">
            <v>Pascual García, Sandra </v>
          </cell>
          <cell r="B374">
            <v>2</v>
          </cell>
          <cell r="C374">
            <v>0.5</v>
          </cell>
        </row>
        <row r="375">
          <cell r="A375" t="str">
            <v>Pastor Pomares, Francisco </v>
          </cell>
          <cell r="B375">
            <v>2</v>
          </cell>
          <cell r="C375">
            <v>0.5</v>
          </cell>
        </row>
        <row r="376">
          <cell r="A376" t="str">
            <v>Paucar Aedo, Flor Gianina </v>
          </cell>
          <cell r="B376">
            <v>1</v>
          </cell>
          <cell r="C376">
            <v>1</v>
          </cell>
        </row>
        <row r="377">
          <cell r="A377" t="str">
            <v>Payá Cuadra, Gloria </v>
          </cell>
          <cell r="B377">
            <v>2</v>
          </cell>
          <cell r="C377">
            <v>0.5</v>
          </cell>
        </row>
        <row r="378">
          <cell r="A378" t="str">
            <v>Paz Alcívar, Katherine Rosa </v>
          </cell>
          <cell r="B378">
            <v>1</v>
          </cell>
          <cell r="C378">
            <v>1</v>
          </cell>
        </row>
        <row r="379">
          <cell r="A379" t="str">
            <v>Pedro De Blas, Jennifer </v>
          </cell>
          <cell r="B379">
            <v>1</v>
          </cell>
          <cell r="C379">
            <v>1</v>
          </cell>
        </row>
        <row r="380">
          <cell r="A380" t="str">
            <v>Perea Crespo, Ignacia </v>
          </cell>
          <cell r="B380">
            <v>2</v>
          </cell>
          <cell r="C380">
            <v>0.5</v>
          </cell>
        </row>
        <row r="381">
          <cell r="A381" t="str">
            <v>Pérez de la Cruz, Francisco Javier </v>
          </cell>
          <cell r="B381">
            <v>2</v>
          </cell>
          <cell r="C381">
            <v>0.5</v>
          </cell>
        </row>
        <row r="382">
          <cell r="A382" t="str">
            <v>Pérez Escudero, Francisco </v>
          </cell>
          <cell r="B382">
            <v>2</v>
          </cell>
          <cell r="C382">
            <v>0.5</v>
          </cell>
        </row>
        <row r="383">
          <cell r="A383" t="str">
            <v>Pérez Estevan, Elena </v>
          </cell>
          <cell r="B383">
            <v>1</v>
          </cell>
          <cell r="C383">
            <v>1</v>
          </cell>
        </row>
        <row r="384">
          <cell r="A384" t="str">
            <v>Pérez Pérez, Lucía Del Mar </v>
          </cell>
          <cell r="B384">
            <v>2</v>
          </cell>
          <cell r="C384">
            <v>0.5</v>
          </cell>
        </row>
        <row r="385">
          <cell r="A385" t="str">
            <v>Pérez Sánchez, Diana </v>
          </cell>
          <cell r="B385">
            <v>2</v>
          </cell>
          <cell r="C385">
            <v>0.5</v>
          </cell>
        </row>
        <row r="386">
          <cell r="A386" t="str">
            <v>Pérez Vázquez, Elena </v>
          </cell>
          <cell r="B386">
            <v>2</v>
          </cell>
          <cell r="C386">
            <v>0.5</v>
          </cell>
        </row>
        <row r="387">
          <cell r="A387" t="str">
            <v>Pérez Wilson, Patricia Andrea </v>
          </cell>
          <cell r="B387">
            <v>2</v>
          </cell>
          <cell r="C387">
            <v>0.5</v>
          </cell>
        </row>
        <row r="388">
          <cell r="A388" t="str">
            <v>Piad Morffis, Alejandro </v>
          </cell>
          <cell r="B388">
            <v>3</v>
          </cell>
          <cell r="C388">
            <v>0.33333333333333331</v>
          </cell>
        </row>
        <row r="389">
          <cell r="A389" t="str">
            <v>Picazo Millán, Elena </v>
          </cell>
          <cell r="B389">
            <v>2</v>
          </cell>
          <cell r="C389">
            <v>0.5</v>
          </cell>
        </row>
        <row r="390">
          <cell r="A390" t="str">
            <v>Pin Figueroa, Walter Jesus </v>
          </cell>
          <cell r="B390">
            <v>1</v>
          </cell>
          <cell r="C390">
            <v>1</v>
          </cell>
        </row>
        <row r="391">
          <cell r="A391" t="str">
            <v>Piñero Sirvent, María Elena </v>
          </cell>
          <cell r="B391">
            <v>2</v>
          </cell>
          <cell r="C391">
            <v>0.5</v>
          </cell>
        </row>
        <row r="392">
          <cell r="A392" t="str">
            <v>Pometti Benítez, Kevin Albert </v>
          </cell>
          <cell r="B392">
            <v>2</v>
          </cell>
          <cell r="C392">
            <v>0.5</v>
          </cell>
        </row>
        <row r="393">
          <cell r="A393" t="str">
            <v>Pons Dominguis, Jesús </v>
          </cell>
          <cell r="B393">
            <v>1</v>
          </cell>
          <cell r="C393">
            <v>1</v>
          </cell>
        </row>
        <row r="394">
          <cell r="A394" t="str">
            <v>Poveda Jover, Jonatan </v>
          </cell>
          <cell r="B394">
            <v>1</v>
          </cell>
          <cell r="C394">
            <v>1</v>
          </cell>
        </row>
        <row r="395">
          <cell r="A395" t="str">
            <v>Poveda Pareja, Esther </v>
          </cell>
          <cell r="B395">
            <v>2</v>
          </cell>
          <cell r="C395">
            <v>0.5</v>
          </cell>
        </row>
        <row r="396">
          <cell r="A396" t="str">
            <v>Poveda Salvá, Miquel </v>
          </cell>
          <cell r="B396">
            <v>2</v>
          </cell>
          <cell r="C396">
            <v>0.5</v>
          </cell>
        </row>
        <row r="397">
          <cell r="A397" t="str">
            <v>Pozo Zapata, Raúl Fernando </v>
          </cell>
          <cell r="B397">
            <v>1</v>
          </cell>
          <cell r="C397">
            <v>1</v>
          </cell>
        </row>
        <row r="398">
          <cell r="A398" t="str">
            <v>Prieto Cerdán, Antonio </v>
          </cell>
          <cell r="B398">
            <v>1</v>
          </cell>
          <cell r="C398">
            <v>1</v>
          </cell>
        </row>
        <row r="399">
          <cell r="A399" t="str">
            <v>Prior Martínez, Juan </v>
          </cell>
          <cell r="B399">
            <v>1</v>
          </cell>
          <cell r="C399">
            <v>1</v>
          </cell>
        </row>
        <row r="400">
          <cell r="A400" t="str">
            <v>Puma Torres, Paúl Fernando </v>
          </cell>
          <cell r="B400">
            <v>2</v>
          </cell>
          <cell r="C400">
            <v>0.5</v>
          </cell>
        </row>
        <row r="401">
          <cell r="A401" t="str">
            <v>Punset Bannel, Carolina Clara </v>
          </cell>
          <cell r="B401">
            <v>2</v>
          </cell>
          <cell r="C401">
            <v>0.5</v>
          </cell>
        </row>
        <row r="402">
          <cell r="A402" t="str">
            <v>Qin , Jian </v>
          </cell>
          <cell r="B402">
            <v>1</v>
          </cell>
          <cell r="C402">
            <v>1</v>
          </cell>
        </row>
        <row r="403">
          <cell r="A403" t="str">
            <v>Quereda Galvañ, Cristina </v>
          </cell>
          <cell r="B403">
            <v>1</v>
          </cell>
          <cell r="C403">
            <v>1</v>
          </cell>
        </row>
        <row r="404">
          <cell r="A404" t="str">
            <v>Quevedo Atienza, María Ángeles </v>
          </cell>
          <cell r="B404">
            <v>2</v>
          </cell>
          <cell r="C404">
            <v>0.5</v>
          </cell>
        </row>
        <row r="405">
          <cell r="A405" t="str">
            <v>Quílez Bermejo, Javier </v>
          </cell>
          <cell r="B405">
            <v>2</v>
          </cell>
          <cell r="C405">
            <v>0.5</v>
          </cell>
        </row>
        <row r="406">
          <cell r="A406" t="str">
            <v>Quintero Jaime, Andrés Felipe </v>
          </cell>
          <cell r="B406">
            <v>2</v>
          </cell>
          <cell r="C406">
            <v>0.5</v>
          </cell>
        </row>
        <row r="407">
          <cell r="A407" t="str">
            <v>Quiñonero Aliaga, Javier </v>
          </cell>
          <cell r="B407">
            <v>1</v>
          </cell>
          <cell r="C407">
            <v>1</v>
          </cell>
        </row>
        <row r="408">
          <cell r="A408" t="str">
            <v>Quishpe Sinailin, Pablo David </v>
          </cell>
          <cell r="B408">
            <v>2</v>
          </cell>
          <cell r="C408">
            <v>0.5</v>
          </cell>
        </row>
        <row r="409">
          <cell r="A409" t="str">
            <v>Quizhpe Salinas, Luis Alcivar </v>
          </cell>
          <cell r="B409">
            <v>2</v>
          </cell>
          <cell r="C409">
            <v>0.5</v>
          </cell>
        </row>
        <row r="410">
          <cell r="A410" t="str">
            <v>Rabasa Martínez, Ignacio </v>
          </cell>
          <cell r="B410">
            <v>1</v>
          </cell>
          <cell r="C410">
            <v>1</v>
          </cell>
        </row>
        <row r="411">
          <cell r="A411" t="str">
            <v>Rabat Blázquez, Álvaro </v>
          </cell>
          <cell r="B411">
            <v>2</v>
          </cell>
          <cell r="C411">
            <v>0.5</v>
          </cell>
        </row>
        <row r="412">
          <cell r="A412" t="str">
            <v>Rabuñal Gayo, José Ramón </v>
          </cell>
          <cell r="B412">
            <v>1</v>
          </cell>
          <cell r="C412">
            <v>1</v>
          </cell>
        </row>
        <row r="413">
          <cell r="A413" t="str">
            <v>Ráez Domínguez, María </v>
          </cell>
          <cell r="B413">
            <v>1</v>
          </cell>
          <cell r="C413">
            <v>1</v>
          </cell>
        </row>
        <row r="414">
          <cell r="A414" t="str">
            <v>Ramírez Arias, Aida Mireya </v>
          </cell>
          <cell r="B414">
            <v>2</v>
          </cell>
          <cell r="C414">
            <v>0.5</v>
          </cell>
        </row>
        <row r="415">
          <cell r="A415" t="str">
            <v>Ramos Altamira, Ignacio </v>
          </cell>
          <cell r="B415">
            <v>2</v>
          </cell>
          <cell r="C415">
            <v>0.5</v>
          </cell>
        </row>
        <row r="416">
          <cell r="A416" t="str">
            <v>Ramos Barbero, María Dolores </v>
          </cell>
          <cell r="B416">
            <v>2</v>
          </cell>
          <cell r="C416">
            <v>0.5</v>
          </cell>
        </row>
        <row r="417">
          <cell r="A417" t="str">
            <v>Ramos Rodríguez, Alejandro </v>
          </cell>
          <cell r="B417">
            <v>1</v>
          </cell>
          <cell r="C417">
            <v>1</v>
          </cell>
        </row>
        <row r="418">
          <cell r="A418" t="str">
            <v>Real Fernández, Alberto </v>
          </cell>
          <cell r="B418">
            <v>2</v>
          </cell>
          <cell r="C418">
            <v>0.5</v>
          </cell>
        </row>
        <row r="419">
          <cell r="A419" t="str">
            <v>Regis Vaz, Andréia </v>
          </cell>
          <cell r="B419">
            <v>2</v>
          </cell>
          <cell r="C419">
            <v>0.5</v>
          </cell>
        </row>
        <row r="420">
          <cell r="A420" t="str">
            <v>Ribeiro Freyesleben, Luiz Eduardo </v>
          </cell>
          <cell r="B420">
            <v>2</v>
          </cell>
          <cell r="C420">
            <v>0.5</v>
          </cell>
        </row>
        <row r="421">
          <cell r="A421" t="str">
            <v>Rico García, Héctor </v>
          </cell>
          <cell r="B421">
            <v>2</v>
          </cell>
          <cell r="C421">
            <v>0.5</v>
          </cell>
        </row>
        <row r="422">
          <cell r="A422" t="str">
            <v>Rico Sapena, Nuria </v>
          </cell>
          <cell r="B422">
            <v>2</v>
          </cell>
          <cell r="C422">
            <v>0.5</v>
          </cell>
        </row>
        <row r="423">
          <cell r="A423" t="str">
            <v>Riesgo Martínez, Ferran </v>
          </cell>
          <cell r="B423">
            <v>1</v>
          </cell>
          <cell r="C423">
            <v>1</v>
          </cell>
        </row>
        <row r="424">
          <cell r="A424" t="str">
            <v>Ríos Pérez, Manuel </v>
          </cell>
          <cell r="B424">
            <v>2</v>
          </cell>
          <cell r="C424">
            <v>0.5</v>
          </cell>
        </row>
        <row r="425">
          <cell r="A425" t="str">
            <v>Ripoll Seguer, Laura </v>
          </cell>
          <cell r="B425">
            <v>1</v>
          </cell>
          <cell r="C425">
            <v>1</v>
          </cell>
        </row>
        <row r="426">
          <cell r="A426" t="str">
            <v>Riquelme Galindo, Jorge </v>
          </cell>
          <cell r="B426">
            <v>1</v>
          </cell>
          <cell r="C426">
            <v>1</v>
          </cell>
        </row>
        <row r="427">
          <cell r="A427" t="str">
            <v>Rivarola , Romina Noelia </v>
          </cell>
          <cell r="B427">
            <v>2</v>
          </cell>
          <cell r="C427">
            <v>0.5</v>
          </cell>
        </row>
        <row r="428">
          <cell r="A428" t="str">
            <v>Rivas Tello, Augusta Carolina </v>
          </cell>
          <cell r="B428">
            <v>2</v>
          </cell>
          <cell r="C428">
            <v>0.5</v>
          </cell>
        </row>
        <row r="429">
          <cell r="A429" t="str">
            <v>Robles Gómez, María Laura </v>
          </cell>
          <cell r="B429">
            <v>2</v>
          </cell>
          <cell r="C429">
            <v>0.5</v>
          </cell>
        </row>
        <row r="430">
          <cell r="A430" t="str">
            <v>Rodes Biosca, Juan Ignacio </v>
          </cell>
          <cell r="B430">
            <v>2</v>
          </cell>
          <cell r="C430">
            <v>0.5</v>
          </cell>
        </row>
        <row r="431">
          <cell r="A431" t="str">
            <v>Rodrigues Barbosa, Edilene </v>
          </cell>
          <cell r="B431">
            <v>2</v>
          </cell>
          <cell r="C431">
            <v>0.5</v>
          </cell>
        </row>
        <row r="432">
          <cell r="A432" t="str">
            <v>Rodríguez Herrero, Verónica </v>
          </cell>
          <cell r="B432">
            <v>2</v>
          </cell>
          <cell r="C432">
            <v>0.5</v>
          </cell>
        </row>
        <row r="433">
          <cell r="A433" t="str">
            <v>Rodríguez Pallas, Ángel </v>
          </cell>
          <cell r="B433">
            <v>2</v>
          </cell>
          <cell r="C433">
            <v>0.5</v>
          </cell>
        </row>
        <row r="434">
          <cell r="A434" t="str">
            <v>Rodríguez Rodríguez, Ignacio </v>
          </cell>
          <cell r="B434">
            <v>1</v>
          </cell>
          <cell r="C434">
            <v>1</v>
          </cell>
        </row>
        <row r="435">
          <cell r="A435" t="str">
            <v>Rodríguez Triviño, José Ramón </v>
          </cell>
          <cell r="B435">
            <v>1</v>
          </cell>
          <cell r="C435">
            <v>1</v>
          </cell>
        </row>
        <row r="436">
          <cell r="A436" t="str">
            <v>Rojas Avilés, Héctor Francisco </v>
          </cell>
          <cell r="B436">
            <v>1</v>
          </cell>
          <cell r="C436">
            <v>1</v>
          </cell>
        </row>
        <row r="437">
          <cell r="A437" t="str">
            <v>Rojas Viteri, Juan Carlos </v>
          </cell>
          <cell r="B437">
            <v>1</v>
          </cell>
          <cell r="C437">
            <v>1</v>
          </cell>
        </row>
        <row r="438">
          <cell r="A438" t="str">
            <v>Rollán Oliveira, Susana María </v>
          </cell>
          <cell r="B438">
            <v>1</v>
          </cell>
          <cell r="C438">
            <v>1</v>
          </cell>
        </row>
        <row r="439">
          <cell r="A439" t="str">
            <v>Román García, Miguel Ángel </v>
          </cell>
          <cell r="B439">
            <v>2</v>
          </cell>
          <cell r="C439">
            <v>0.5</v>
          </cell>
        </row>
        <row r="440">
          <cell r="A440" t="str">
            <v>Romero Puig, Noelia </v>
          </cell>
          <cell r="B440">
            <v>2</v>
          </cell>
          <cell r="C440">
            <v>0.5</v>
          </cell>
        </row>
        <row r="441">
          <cell r="A441" t="str">
            <v>Rosa de Rivera, Verónica Idalia </v>
          </cell>
          <cell r="B441">
            <v>1</v>
          </cell>
          <cell r="C441">
            <v>1</v>
          </cell>
        </row>
        <row r="442">
          <cell r="A442" t="str">
            <v>Ruano Masiá, Carmen </v>
          </cell>
          <cell r="B442">
            <v>1</v>
          </cell>
          <cell r="C442">
            <v>1</v>
          </cell>
        </row>
        <row r="443">
          <cell r="A443" t="str">
            <v>Rubio Barber, Gemma Maria </v>
          </cell>
          <cell r="B443">
            <v>2</v>
          </cell>
          <cell r="C443">
            <v>0.5</v>
          </cell>
        </row>
        <row r="444">
          <cell r="A444" t="str">
            <v>Rubio Cordoba, Esther </v>
          </cell>
          <cell r="B444">
            <v>2</v>
          </cell>
          <cell r="C444">
            <v>0.5</v>
          </cell>
        </row>
        <row r="445">
          <cell r="A445" t="str">
            <v>Rubio Escuderos, Lucía </v>
          </cell>
          <cell r="B445">
            <v>2</v>
          </cell>
          <cell r="C445">
            <v>0.5</v>
          </cell>
        </row>
        <row r="446">
          <cell r="A446" t="str">
            <v>Rubio Morales, Marta </v>
          </cell>
          <cell r="B446">
            <v>2</v>
          </cell>
          <cell r="C446">
            <v>0.5</v>
          </cell>
        </row>
        <row r="447">
          <cell r="A447" t="str">
            <v>Rubio Silva, Patricia </v>
          </cell>
          <cell r="B447">
            <v>3</v>
          </cell>
          <cell r="C447">
            <v>0.33333333333333331</v>
          </cell>
        </row>
        <row r="448">
          <cell r="A448" t="str">
            <v>Rucci , Ana Clara </v>
          </cell>
          <cell r="B448">
            <v>3</v>
          </cell>
          <cell r="C448">
            <v>0.33333333333333331</v>
          </cell>
        </row>
        <row r="449">
          <cell r="A449" t="str">
            <v>Ruiz Fernandez, Lorena </v>
          </cell>
          <cell r="B449">
            <v>2</v>
          </cell>
          <cell r="C449">
            <v>0.5</v>
          </cell>
        </row>
        <row r="450">
          <cell r="A450" t="str">
            <v>Ruiz Lozano, Matías </v>
          </cell>
          <cell r="B450">
            <v>2</v>
          </cell>
          <cell r="C450">
            <v>0.5</v>
          </cell>
        </row>
        <row r="451">
          <cell r="A451" t="str">
            <v>Ruiz Molina, Liborio </v>
          </cell>
          <cell r="B451">
            <v>1</v>
          </cell>
          <cell r="C451">
            <v>1</v>
          </cell>
        </row>
        <row r="452">
          <cell r="A452" t="str">
            <v>Saavedra Guillem, Beatriz </v>
          </cell>
          <cell r="B452">
            <v>1</v>
          </cell>
          <cell r="C452">
            <v>1</v>
          </cell>
        </row>
        <row r="453">
          <cell r="A453" t="str">
            <v>Sáez Andreu, Marina </v>
          </cell>
          <cell r="B453">
            <v>2</v>
          </cell>
          <cell r="C453">
            <v>0.5</v>
          </cell>
        </row>
        <row r="454">
          <cell r="A454" t="str">
            <v>Saez Espinosa, Paula </v>
          </cell>
          <cell r="B454">
            <v>2</v>
          </cell>
          <cell r="C454">
            <v>0.5</v>
          </cell>
        </row>
        <row r="455">
          <cell r="A455" t="str">
            <v>Sáez Forcada, Lidia </v>
          </cell>
          <cell r="B455">
            <v>2</v>
          </cell>
          <cell r="C455">
            <v>0.5</v>
          </cell>
        </row>
        <row r="456">
          <cell r="A456" t="str">
            <v>Sáinz Ruiz, Pablo Alberto </v>
          </cell>
          <cell r="B456">
            <v>2</v>
          </cell>
          <cell r="C456">
            <v>0.5</v>
          </cell>
        </row>
        <row r="457">
          <cell r="A457" t="str">
            <v>Salinas Salinas, Carlos </v>
          </cell>
          <cell r="B457">
            <v>1</v>
          </cell>
          <cell r="C457">
            <v>1</v>
          </cell>
        </row>
        <row r="458">
          <cell r="A458" t="str">
            <v>Salvador Ullauri, Luis Antonio </v>
          </cell>
          <cell r="B458">
            <v>1</v>
          </cell>
          <cell r="C458">
            <v>1</v>
          </cell>
        </row>
        <row r="459">
          <cell r="A459" t="str">
            <v>Samaniego Dumas, Diego Oswaldo </v>
          </cell>
          <cell r="B459">
            <v>1</v>
          </cell>
          <cell r="C459">
            <v>1</v>
          </cell>
        </row>
        <row r="460">
          <cell r="A460" t="str">
            <v>San José Belda, Luis Carlos </v>
          </cell>
          <cell r="B460">
            <v>1</v>
          </cell>
          <cell r="C460">
            <v>1</v>
          </cell>
        </row>
        <row r="461">
          <cell r="A461" t="str">
            <v>San Onofre Bernat, Nadia </v>
          </cell>
          <cell r="B461">
            <v>2</v>
          </cell>
          <cell r="C461">
            <v>0.5</v>
          </cell>
        </row>
        <row r="462">
          <cell r="A462" t="str">
            <v>Sancha Vidal, Maria Jose </v>
          </cell>
          <cell r="B462">
            <v>1</v>
          </cell>
          <cell r="C462">
            <v>1</v>
          </cell>
        </row>
        <row r="463">
          <cell r="A463" t="str">
            <v>Sánchez Almeida, Tarquino Fabián </v>
          </cell>
          <cell r="B463">
            <v>2</v>
          </cell>
          <cell r="C463">
            <v>0.5</v>
          </cell>
        </row>
        <row r="464">
          <cell r="A464" t="str">
            <v>Sánchez García, Eduardo </v>
          </cell>
          <cell r="B464">
            <v>2</v>
          </cell>
          <cell r="C464">
            <v>0.5</v>
          </cell>
        </row>
        <row r="465">
          <cell r="A465" t="str">
            <v>Sánchez García, Luis Fermín </v>
          </cell>
          <cell r="B465">
            <v>2</v>
          </cell>
          <cell r="C465">
            <v>0.5</v>
          </cell>
        </row>
        <row r="466">
          <cell r="A466" t="str">
            <v>Sandoval Palis, Iván </v>
          </cell>
          <cell r="B466">
            <v>2</v>
          </cell>
          <cell r="C466">
            <v>0.5</v>
          </cell>
        </row>
        <row r="467">
          <cell r="A467" t="str">
            <v>Sanjuán Moltó, Ignacio </v>
          </cell>
          <cell r="B467">
            <v>2</v>
          </cell>
          <cell r="C467">
            <v>0.5</v>
          </cell>
        </row>
        <row r="468">
          <cell r="A468" t="str">
            <v>Santa Soriano, Alba </v>
          </cell>
          <cell r="B468">
            <v>1</v>
          </cell>
          <cell r="C468">
            <v>1</v>
          </cell>
        </row>
        <row r="469">
          <cell r="A469" t="str">
            <v>Santacruz Antón, Alberto </v>
          </cell>
          <cell r="B469">
            <v>1</v>
          </cell>
          <cell r="C469">
            <v>1</v>
          </cell>
        </row>
        <row r="470">
          <cell r="A470" t="str">
            <v>Santamaría Villar, María Belén </v>
          </cell>
          <cell r="B470">
            <v>1</v>
          </cell>
          <cell r="C470">
            <v>1</v>
          </cell>
        </row>
        <row r="471">
          <cell r="A471" t="str">
            <v>Santana Onrubia, Rubén </v>
          </cell>
          <cell r="B471">
            <v>2</v>
          </cell>
          <cell r="C471">
            <v>0.5</v>
          </cell>
        </row>
        <row r="472">
          <cell r="A472" t="str">
            <v>Saorín Villa, Antonio </v>
          </cell>
          <cell r="B472">
            <v>1</v>
          </cell>
          <cell r="C472">
            <v>1</v>
          </cell>
        </row>
        <row r="473">
          <cell r="A473" t="str">
            <v>Sarabia Gambín, Francisco José </v>
          </cell>
          <cell r="B473">
            <v>2</v>
          </cell>
          <cell r="C473">
            <v>0.5</v>
          </cell>
        </row>
        <row r="474">
          <cell r="A474" t="str">
            <v>Sarmiento Moscoso, Luis Santiago </v>
          </cell>
          <cell r="B474">
            <v>2</v>
          </cell>
          <cell r="C474">
            <v>0.5</v>
          </cell>
        </row>
        <row r="475">
          <cell r="A475" t="str">
            <v>Sarro Trigueros, Roberto </v>
          </cell>
          <cell r="B475">
            <v>1</v>
          </cell>
          <cell r="C475">
            <v>1</v>
          </cell>
        </row>
        <row r="476">
          <cell r="A476" t="str">
            <v>Sebastia Amat, Sergio </v>
          </cell>
          <cell r="B476">
            <v>2</v>
          </cell>
          <cell r="C476">
            <v>0.5</v>
          </cell>
        </row>
        <row r="477">
          <cell r="A477" t="str">
            <v>Seco Sauces, María Olga </v>
          </cell>
          <cell r="B477">
            <v>1</v>
          </cell>
          <cell r="C477">
            <v>1</v>
          </cell>
        </row>
        <row r="478">
          <cell r="A478" t="str">
            <v>Segura Martínez, Vicente </v>
          </cell>
          <cell r="B478">
            <v>2</v>
          </cell>
          <cell r="C478">
            <v>0.5</v>
          </cell>
        </row>
        <row r="479">
          <cell r="A479" t="str">
            <v>Sene , Madieumbe </v>
          </cell>
          <cell r="B479">
            <v>2</v>
          </cell>
          <cell r="C479">
            <v>0.5</v>
          </cell>
        </row>
        <row r="480">
          <cell r="A480" t="str">
            <v>Sepúlveda Torres, Robiert </v>
          </cell>
          <cell r="B480">
            <v>1</v>
          </cell>
          <cell r="C480">
            <v>1</v>
          </cell>
        </row>
        <row r="481">
          <cell r="A481" t="str">
            <v>Serna Rodrigo, Rocío </v>
          </cell>
          <cell r="B481">
            <v>2</v>
          </cell>
          <cell r="C481">
            <v>0.5</v>
          </cell>
        </row>
        <row r="482">
          <cell r="A482" t="str">
            <v>Serrano Cases, Alejandro </v>
          </cell>
          <cell r="B482">
            <v>1</v>
          </cell>
          <cell r="C482">
            <v>1</v>
          </cell>
        </row>
        <row r="483">
          <cell r="A483" t="str">
            <v>Serrano Quintero, Rafael </v>
          </cell>
          <cell r="B483">
            <v>1</v>
          </cell>
          <cell r="C483">
            <v>1</v>
          </cell>
        </row>
        <row r="484">
          <cell r="A484" t="str">
            <v>Serrano Ramón, Josep Manel </v>
          </cell>
          <cell r="B484">
            <v>2</v>
          </cell>
          <cell r="C484">
            <v>0.5</v>
          </cell>
        </row>
        <row r="485">
          <cell r="A485" t="str">
            <v>Seva Larrosa, Pedro </v>
          </cell>
          <cell r="B485">
            <v>2</v>
          </cell>
          <cell r="C485">
            <v>0.5</v>
          </cell>
        </row>
        <row r="486">
          <cell r="A486" t="str">
            <v>Sierra Pazmiño, Diego Xavier </v>
          </cell>
          <cell r="B486">
            <v>1</v>
          </cell>
          <cell r="C486">
            <v>1</v>
          </cell>
        </row>
        <row r="487">
          <cell r="A487" t="str">
            <v>Sierras Davó, María Cristina </v>
          </cell>
          <cell r="B487">
            <v>1</v>
          </cell>
          <cell r="C487">
            <v>1</v>
          </cell>
        </row>
        <row r="488">
          <cell r="A488" t="str">
            <v>Silva Barrera, Blanca Patricia </v>
          </cell>
          <cell r="B488">
            <v>1</v>
          </cell>
          <cell r="C488">
            <v>1</v>
          </cell>
        </row>
        <row r="489">
          <cell r="A489" t="str">
            <v>Silva Castillo, Vicente Xavier </v>
          </cell>
          <cell r="B489">
            <v>1</v>
          </cell>
          <cell r="C489">
            <v>1</v>
          </cell>
        </row>
        <row r="490">
          <cell r="A490" t="str">
            <v>Silva Martínez, Gardenia </v>
          </cell>
          <cell r="B490">
            <v>1</v>
          </cell>
          <cell r="C490">
            <v>1</v>
          </cell>
        </row>
        <row r="491">
          <cell r="A491" t="str">
            <v>Simón Albert, Raquel </v>
          </cell>
          <cell r="B491">
            <v>2</v>
          </cell>
          <cell r="C491">
            <v>0.5</v>
          </cell>
        </row>
        <row r="492">
          <cell r="A492" t="str">
            <v>Sinyashina , Ekaterina </v>
          </cell>
          <cell r="B492">
            <v>1</v>
          </cell>
          <cell r="C492">
            <v>1</v>
          </cell>
        </row>
        <row r="493">
          <cell r="A493" t="str">
            <v>Sirvent Verdú, Ana </v>
          </cell>
          <cell r="B493">
            <v>2</v>
          </cell>
          <cell r="C493">
            <v>0.5</v>
          </cell>
        </row>
        <row r="494">
          <cell r="A494" t="str">
            <v>Sola Maciá, Iván </v>
          </cell>
          <cell r="B494">
            <v>3</v>
          </cell>
          <cell r="C494">
            <v>0.33333333333333331</v>
          </cell>
        </row>
        <row r="495">
          <cell r="A495" t="str">
            <v>Soler Llorens, Juan Luis </v>
          </cell>
          <cell r="B495">
            <v>2</v>
          </cell>
          <cell r="C495">
            <v>0.5</v>
          </cell>
        </row>
        <row r="496">
          <cell r="A496" t="str">
            <v>Soler Molina, Joan Abel </v>
          </cell>
          <cell r="B496">
            <v>2</v>
          </cell>
          <cell r="C496">
            <v>0.5</v>
          </cell>
        </row>
        <row r="497">
          <cell r="A497" t="str">
            <v>Solís Calvo, Ana Magdalena </v>
          </cell>
          <cell r="B497">
            <v>2</v>
          </cell>
          <cell r="C497">
            <v>0.5</v>
          </cell>
        </row>
        <row r="498">
          <cell r="A498" t="str">
            <v>Soria Boix, María del Carmen </v>
          </cell>
          <cell r="B498">
            <v>2</v>
          </cell>
          <cell r="C498">
            <v>0.5</v>
          </cell>
        </row>
        <row r="499">
          <cell r="A499" t="str">
            <v>Sosa Sosa, María Elena </v>
          </cell>
          <cell r="B499">
            <v>2</v>
          </cell>
          <cell r="C499">
            <v>0.5</v>
          </cell>
        </row>
        <row r="500">
          <cell r="A500" t="str">
            <v>Soulopoulou , Polyxeni </v>
          </cell>
          <cell r="B500">
            <v>2</v>
          </cell>
          <cell r="C500">
            <v>0.5</v>
          </cell>
        </row>
        <row r="501">
          <cell r="A501" t="str">
            <v>Startseva , Elena </v>
          </cell>
          <cell r="B501">
            <v>1</v>
          </cell>
          <cell r="C501">
            <v>1</v>
          </cell>
        </row>
        <row r="502">
          <cell r="A502" t="str">
            <v>Su , Zhenyu </v>
          </cell>
          <cell r="B502">
            <v>1</v>
          </cell>
          <cell r="C502">
            <v>1</v>
          </cell>
        </row>
        <row r="503">
          <cell r="A503" t="str">
            <v>Suárez Fernández, Marta </v>
          </cell>
          <cell r="B503">
            <v>2</v>
          </cell>
          <cell r="C503">
            <v>0.5</v>
          </cell>
        </row>
        <row r="504">
          <cell r="A504" t="str">
            <v>Sulzer , Christof Thomas </v>
          </cell>
          <cell r="B504">
            <v>2</v>
          </cell>
          <cell r="C504">
            <v>0.5</v>
          </cell>
        </row>
        <row r="505">
          <cell r="A505" t="str">
            <v>Taramuel Villacreces, James Alduber </v>
          </cell>
          <cell r="B505">
            <v>2</v>
          </cell>
          <cell r="C505">
            <v>0.5</v>
          </cell>
        </row>
        <row r="506">
          <cell r="A506" t="str">
            <v>Tardio Olmos, Roberto </v>
          </cell>
          <cell r="B506">
            <v>2</v>
          </cell>
          <cell r="C506">
            <v>0.5</v>
          </cell>
        </row>
        <row r="507">
          <cell r="A507" t="str">
            <v>Tenorio Macia, Jose Carlos </v>
          </cell>
          <cell r="B507">
            <v>1</v>
          </cell>
          <cell r="C507">
            <v>1</v>
          </cell>
        </row>
        <row r="508">
          <cell r="A508" t="str">
            <v>Terradas Fernández, Marc </v>
          </cell>
          <cell r="B508">
            <v>2</v>
          </cell>
          <cell r="C508">
            <v>0.5</v>
          </cell>
        </row>
        <row r="509">
          <cell r="A509" t="str">
            <v>Terskaya ., Anastasia </v>
          </cell>
          <cell r="B509">
            <v>1</v>
          </cell>
          <cell r="C509">
            <v>1</v>
          </cell>
        </row>
        <row r="510">
          <cell r="A510" t="str">
            <v>Terzopoulou , Anastasia </v>
          </cell>
          <cell r="B510">
            <v>1</v>
          </cell>
          <cell r="C510">
            <v>1</v>
          </cell>
        </row>
        <row r="511">
          <cell r="A511" t="str">
            <v>Thomas , Arianna </v>
          </cell>
          <cell r="B511">
            <v>2</v>
          </cell>
          <cell r="C511">
            <v>0.5</v>
          </cell>
        </row>
        <row r="512">
          <cell r="A512" t="str">
            <v>Tomás López, María Baralida </v>
          </cell>
          <cell r="B512">
            <v>2</v>
          </cell>
          <cell r="C512">
            <v>0.5</v>
          </cell>
        </row>
        <row r="513">
          <cell r="A513" t="str">
            <v>Tomazini , Volnei Celso </v>
          </cell>
          <cell r="B513">
            <v>2</v>
          </cell>
          <cell r="C513">
            <v>0.5</v>
          </cell>
        </row>
        <row r="514">
          <cell r="A514" t="str">
            <v>Torrego Gómez, Daniel </v>
          </cell>
          <cell r="B514">
            <v>1</v>
          </cell>
          <cell r="C514">
            <v>1</v>
          </cell>
        </row>
        <row r="515">
          <cell r="A515" t="str">
            <v>Torregrosa Rivero, Verónica </v>
          </cell>
          <cell r="B515">
            <v>1</v>
          </cell>
          <cell r="C515">
            <v>1</v>
          </cell>
        </row>
        <row r="516">
          <cell r="A516" t="str">
            <v>Torres Díaz, María Concepción </v>
          </cell>
          <cell r="B516">
            <v>1</v>
          </cell>
          <cell r="C516">
            <v>1</v>
          </cell>
        </row>
        <row r="517">
          <cell r="A517" t="str">
            <v>Torres García de las Bayonas, Sonia María </v>
          </cell>
          <cell r="B517">
            <v>2</v>
          </cell>
          <cell r="C517">
            <v>0.5</v>
          </cell>
        </row>
        <row r="518">
          <cell r="A518" t="str">
            <v>Torres Gomariz, Octavio </v>
          </cell>
          <cell r="B518">
            <v>1</v>
          </cell>
          <cell r="C518">
            <v>1</v>
          </cell>
        </row>
        <row r="519">
          <cell r="A519" t="str">
            <v>Torres Gómez, Patricia </v>
          </cell>
          <cell r="B519">
            <v>2</v>
          </cell>
          <cell r="C519">
            <v>0.5</v>
          </cell>
        </row>
        <row r="520">
          <cell r="A520" t="str">
            <v>Tounici , Abir </v>
          </cell>
          <cell r="B520">
            <v>1</v>
          </cell>
          <cell r="C520">
            <v>1</v>
          </cell>
        </row>
        <row r="521">
          <cell r="A521" t="str">
            <v>Tremiño Agullo, Rosa Maria </v>
          </cell>
          <cell r="B521">
            <v>2</v>
          </cell>
          <cell r="C521">
            <v>0.5</v>
          </cell>
        </row>
        <row r="522">
          <cell r="A522" t="str">
            <v>Trigueros Páez, Emilio </v>
          </cell>
          <cell r="B522">
            <v>2</v>
          </cell>
          <cell r="C522">
            <v>0.5</v>
          </cell>
        </row>
        <row r="523">
          <cell r="A523" t="str">
            <v>Upegui Pachon, Angie Gisseth </v>
          </cell>
          <cell r="B523">
            <v>2</v>
          </cell>
          <cell r="C523">
            <v>0.5</v>
          </cell>
        </row>
        <row r="524">
          <cell r="A524" t="str">
            <v>Urrea Solano, María Encarnación </v>
          </cell>
          <cell r="B524">
            <v>2</v>
          </cell>
          <cell r="C524">
            <v>0.5</v>
          </cell>
        </row>
        <row r="525">
          <cell r="A525" t="str">
            <v>Usera Clavero, María Luisa </v>
          </cell>
          <cell r="B525">
            <v>2</v>
          </cell>
          <cell r="C525">
            <v>0.5</v>
          </cell>
        </row>
        <row r="526">
          <cell r="A526" t="str">
            <v>Vázquez Pérez, Antonio </v>
          </cell>
          <cell r="B526">
            <v>1</v>
          </cell>
          <cell r="C526">
            <v>1</v>
          </cell>
        </row>
        <row r="527">
          <cell r="A527" t="str">
            <v>Vázquez Vázquez, Daniel </v>
          </cell>
          <cell r="B527">
            <v>2</v>
          </cell>
          <cell r="C527">
            <v>0.5</v>
          </cell>
        </row>
        <row r="528">
          <cell r="A528" t="str">
            <v>Ventura Romero, José Modesto </v>
          </cell>
          <cell r="B528">
            <v>1</v>
          </cell>
          <cell r="C528">
            <v>1</v>
          </cell>
        </row>
        <row r="529">
          <cell r="A529" t="str">
            <v>Vera Esteban, María del Carmen </v>
          </cell>
          <cell r="B529">
            <v>1</v>
          </cell>
          <cell r="C529">
            <v>1</v>
          </cell>
        </row>
        <row r="530">
          <cell r="A530" t="str">
            <v>Veracruz Gálvez, Eva María </v>
          </cell>
          <cell r="B530">
            <v>2</v>
          </cell>
          <cell r="C530">
            <v>0.5</v>
          </cell>
        </row>
        <row r="531">
          <cell r="A531" t="str">
            <v>Vicente Alcalde, Nancy </v>
          </cell>
          <cell r="B531">
            <v>2</v>
          </cell>
          <cell r="C531">
            <v>0.5</v>
          </cell>
        </row>
        <row r="532">
          <cell r="A532" t="str">
            <v>Vicente Moreno, Esther Marta </v>
          </cell>
          <cell r="B532">
            <v>1</v>
          </cell>
          <cell r="C532">
            <v>1</v>
          </cell>
        </row>
        <row r="533">
          <cell r="A533" t="str">
            <v>Victory Fiol, Noemí </v>
          </cell>
          <cell r="B533">
            <v>2</v>
          </cell>
          <cell r="C533">
            <v>0.5</v>
          </cell>
        </row>
        <row r="534">
          <cell r="A534" t="str">
            <v>Vila Pérez, Sara </v>
          </cell>
          <cell r="B534">
            <v>2</v>
          </cell>
          <cell r="C534">
            <v>0.5</v>
          </cell>
        </row>
        <row r="535">
          <cell r="A535" t="str">
            <v>Villalba Clemente, Francisco Gabriel </v>
          </cell>
          <cell r="B535">
            <v>2</v>
          </cell>
          <cell r="C535">
            <v>0.5</v>
          </cell>
        </row>
        <row r="536">
          <cell r="A536" t="str">
            <v>Villamor Serrano, Judit </v>
          </cell>
          <cell r="B536">
            <v>2</v>
          </cell>
          <cell r="C536">
            <v>0.5</v>
          </cell>
        </row>
        <row r="537">
          <cell r="A537" t="str">
            <v>Villar Navascués, Rubén Alejandro </v>
          </cell>
          <cell r="B537">
            <v>2</v>
          </cell>
          <cell r="C537">
            <v>0.5</v>
          </cell>
        </row>
        <row r="538">
          <cell r="A538" t="str">
            <v>Villegas Chiliquinga, William Eduardo </v>
          </cell>
          <cell r="B538">
            <v>1</v>
          </cell>
          <cell r="C538">
            <v>1</v>
          </cell>
        </row>
        <row r="539">
          <cell r="A539" t="str">
            <v>Vives Boix, Víctor </v>
          </cell>
          <cell r="B539">
            <v>1</v>
          </cell>
          <cell r="C539">
            <v>1</v>
          </cell>
        </row>
        <row r="540">
          <cell r="A540" t="str">
            <v>Xie , Qinghua </v>
          </cell>
          <cell r="B540">
            <v>2</v>
          </cell>
          <cell r="C540">
            <v>0.5</v>
          </cell>
        </row>
        <row r="541">
          <cell r="A541" t="str">
            <v>Yang , Yang </v>
          </cell>
          <cell r="B541">
            <v>2</v>
          </cell>
          <cell r="C541">
            <v>0.5</v>
          </cell>
        </row>
        <row r="542">
          <cell r="A542" t="str">
            <v>Yáñez Pacios, Roberto Tomás </v>
          </cell>
          <cell r="B542">
            <v>1</v>
          </cell>
          <cell r="C542">
            <v>1</v>
          </cell>
        </row>
        <row r="543">
          <cell r="A543" t="str">
            <v>Zamora Hernández, Mauricio Andrés </v>
          </cell>
          <cell r="B543">
            <v>2</v>
          </cell>
          <cell r="C543">
            <v>0.5</v>
          </cell>
        </row>
        <row r="544">
          <cell r="A544" t="str">
            <v>Zamora Velázquez, Juan Manuel </v>
          </cell>
          <cell r="B544">
            <v>1</v>
          </cell>
          <cell r="C544">
            <v>1</v>
          </cell>
        </row>
        <row r="545">
          <cell r="A545" t="str">
            <v>Zapata Impatá, Brayan Stiven </v>
          </cell>
          <cell r="B545">
            <v>1</v>
          </cell>
          <cell r="C545">
            <v>1</v>
          </cell>
        </row>
        <row r="546">
          <cell r="A546" t="str">
            <v>Zhao , Guanlan </v>
          </cell>
          <cell r="B546">
            <v>2</v>
          </cell>
          <cell r="C546">
            <v>0.5</v>
          </cell>
        </row>
        <row r="547">
          <cell r="A547" t="str">
            <v>Molina Martín, Luis Alberto </v>
          </cell>
          <cell r="B547">
            <v>2</v>
          </cell>
          <cell r="C547">
            <v>0.5</v>
          </cell>
        </row>
      </sheetData>
      <sheetData sheetId="10"/>
      <sheetData sheetId="11">
        <row r="2">
          <cell r="A2" t="str">
            <v>00378165E</v>
          </cell>
          <cell r="B2" t="str">
            <v>CASTEL DE HARO, MARIA DE JESUS</v>
          </cell>
          <cell r="C2" t="str">
            <v>26/07/2006</v>
          </cell>
          <cell r="D2" t="str">
            <v>(en blanco)</v>
          </cell>
          <cell r="E2" t="str">
            <v>10.19</v>
          </cell>
          <cell r="F2" t="str">
            <v>I.U. INVESTIGACION INFORMATICA</v>
          </cell>
          <cell r="G2" t="str">
            <v>20</v>
          </cell>
          <cell r="H2" t="str">
            <v/>
          </cell>
          <cell r="I2" t="str">
            <v/>
          </cell>
          <cell r="J2" t="str">
            <v/>
          </cell>
          <cell r="K2" t="str">
            <v/>
          </cell>
          <cell r="L2" t="str">
            <v/>
          </cell>
        </row>
        <row r="3">
          <cell r="A3" t="str">
            <v>00832982Z</v>
          </cell>
          <cell r="B3" t="str">
            <v>FERNANDEZ ROSSIER, JOAQUIN IGNACIO</v>
          </cell>
          <cell r="C3" t="str">
            <v>01/03/2006</v>
          </cell>
          <cell r="D3" t="str">
            <v>(en blanco)</v>
          </cell>
          <cell r="E3" t="str">
            <v>10.14</v>
          </cell>
          <cell r="F3" t="str">
            <v>I.U. MATERIALES</v>
          </cell>
          <cell r="G3" t="str">
            <v>10</v>
          </cell>
          <cell r="H3" t="str">
            <v/>
          </cell>
          <cell r="I3" t="str">
            <v/>
          </cell>
          <cell r="J3" t="str">
            <v/>
          </cell>
          <cell r="K3" t="str">
            <v/>
          </cell>
          <cell r="L3" t="str">
            <v/>
          </cell>
        </row>
        <row r="4">
          <cell r="A4" t="str">
            <v>00834317S</v>
          </cell>
          <cell r="B4" t="str">
            <v>GARCIA REY, NATALIA</v>
          </cell>
          <cell r="C4" t="str">
            <v>01/04/2022</v>
          </cell>
          <cell r="D4" t="str">
            <v>31/12/2024</v>
          </cell>
          <cell r="E4" t="str">
            <v>10.12</v>
          </cell>
          <cell r="F4" t="str">
            <v>I.U. ELECTROQUIMICA</v>
          </cell>
          <cell r="G4" t="str">
            <v>100</v>
          </cell>
          <cell r="I4" t="str">
            <v/>
          </cell>
          <cell r="J4" t="str">
            <v/>
          </cell>
          <cell r="K4" t="str">
            <v/>
          </cell>
          <cell r="L4" t="str">
            <v/>
          </cell>
        </row>
        <row r="5">
          <cell r="A5" t="str">
            <v>01112688V</v>
          </cell>
          <cell r="B5" t="str">
            <v>VILLEGAS CASTRILLO, ESTHER</v>
          </cell>
          <cell r="C5" t="str">
            <v>29/01/2020</v>
          </cell>
          <cell r="D5" t="str">
            <v>(en blanco)</v>
          </cell>
          <cell r="E5" t="str">
            <v>10.23</v>
          </cell>
          <cell r="F5" t="str">
            <v>I.U. INVESTIGACION ESTUDIOS DE GENERO</v>
          </cell>
          <cell r="G5" t="str">
            <v>40</v>
          </cell>
          <cell r="H5" t="str">
            <v/>
          </cell>
          <cell r="I5" t="str">
            <v/>
          </cell>
          <cell r="J5" t="str">
            <v/>
          </cell>
          <cell r="K5" t="str">
            <v/>
          </cell>
          <cell r="L5" t="str">
            <v/>
          </cell>
        </row>
        <row r="6">
          <cell r="A6" t="str">
            <v>01818541T</v>
          </cell>
          <cell r="B6" t="str">
            <v>GOMEZ GIL, CARLOS VICENTE</v>
          </cell>
          <cell r="C6" t="str">
            <v>23/05/2022</v>
          </cell>
          <cell r="D6" t="str">
            <v>(en blanco)</v>
          </cell>
          <cell r="E6" t="str">
            <v>10.25</v>
          </cell>
          <cell r="F6" t="str">
            <v>I.U. INV. ESTUDIOS SOC. AMERICA LATINA</v>
          </cell>
          <cell r="G6" t="str">
            <v>10</v>
          </cell>
          <cell r="H6" t="str">
            <v>10.06</v>
          </cell>
          <cell r="I6" t="str">
            <v>I.INTERUNIVERSITARIO ECONOMIA INTERNACIO</v>
          </cell>
          <cell r="J6" t="str">
            <v>23/05/2022</v>
          </cell>
          <cell r="K6" t="str">
            <v>(en blanco)</v>
          </cell>
          <cell r="L6" t="str">
            <v>50</v>
          </cell>
        </row>
        <row r="7">
          <cell r="A7" t="str">
            <v>01887065F</v>
          </cell>
          <cell r="B7" t="str">
            <v>CORTEZ GALLARDO, VIEYLE</v>
          </cell>
          <cell r="C7" t="str">
            <v>19/07/2021</v>
          </cell>
          <cell r="D7" t="str">
            <v>31/05/2023</v>
          </cell>
          <cell r="E7" t="str">
            <v>10.13</v>
          </cell>
          <cell r="F7" t="str">
            <v>I.U. INVESTIGACION - CIBIO</v>
          </cell>
          <cell r="G7" t="str">
            <v>100</v>
          </cell>
          <cell r="H7" t="str">
            <v/>
          </cell>
          <cell r="I7" t="str">
            <v/>
          </cell>
          <cell r="J7" t="str">
            <v/>
          </cell>
          <cell r="K7" t="str">
            <v/>
          </cell>
          <cell r="L7" t="str">
            <v/>
          </cell>
        </row>
        <row r="8">
          <cell r="A8" t="str">
            <v>02380426H</v>
          </cell>
          <cell r="B8" t="str">
            <v>GUTIERREZ VAZQUEZ, YOAN</v>
          </cell>
          <cell r="C8" t="str">
            <v>29/06/2015</v>
          </cell>
          <cell r="D8" t="str">
            <v>(en blanco)</v>
          </cell>
          <cell r="E8" t="str">
            <v>10.19</v>
          </cell>
          <cell r="F8" t="str">
            <v>I.U. INVESTIGACION INFORMATICA</v>
          </cell>
          <cell r="G8" t="str">
            <v>20</v>
          </cell>
          <cell r="H8" t="str">
            <v/>
          </cell>
          <cell r="I8" t="str">
            <v/>
          </cell>
          <cell r="J8" t="str">
            <v/>
          </cell>
          <cell r="K8" t="str">
            <v/>
          </cell>
          <cell r="L8" t="str">
            <v/>
          </cell>
        </row>
        <row r="9">
          <cell r="A9" t="str">
            <v>02608919Y</v>
          </cell>
          <cell r="B9" t="str">
            <v>CAÑAVERAS JIMENEZ, JUAN CARLOS</v>
          </cell>
          <cell r="C9" t="str">
            <v>21/07/2014</v>
          </cell>
          <cell r="D9" t="str">
            <v>(en blanco)</v>
          </cell>
          <cell r="E9" t="str">
            <v>10.16</v>
          </cell>
          <cell r="F9" t="str">
            <v>I.M.E.M. RAMON MARGALEF (IMEM)</v>
          </cell>
          <cell r="G9" t="str">
            <v>10</v>
          </cell>
          <cell r="H9" t="str">
            <v/>
          </cell>
          <cell r="I9" t="str">
            <v/>
          </cell>
          <cell r="J9" t="str">
            <v/>
          </cell>
          <cell r="K9" t="str">
            <v/>
          </cell>
          <cell r="L9" t="str">
            <v/>
          </cell>
        </row>
        <row r="10">
          <cell r="A10" t="str">
            <v>02710353X</v>
          </cell>
          <cell r="B10" t="str">
            <v>JIMENEZ MENESES, PILAR</v>
          </cell>
          <cell r="C10" t="str">
            <v>20/05/2022</v>
          </cell>
          <cell r="D10" t="str">
            <v>19/11/2022</v>
          </cell>
          <cell r="E10" t="str">
            <v>10.12</v>
          </cell>
          <cell r="F10" t="str">
            <v>I.U. ELECTROQUIMICA</v>
          </cell>
          <cell r="G10" t="str">
            <v>100</v>
          </cell>
          <cell r="H10" t="str">
            <v/>
          </cell>
          <cell r="I10" t="str">
            <v/>
          </cell>
          <cell r="J10" t="str">
            <v/>
          </cell>
          <cell r="K10" t="str">
            <v/>
          </cell>
          <cell r="L10" t="str">
            <v/>
          </cell>
        </row>
        <row r="11">
          <cell r="A11" t="str">
            <v>03120050P</v>
          </cell>
          <cell r="B11" t="str">
            <v>VIEJO HERNANDO, DIEGO</v>
          </cell>
          <cell r="C11" t="str">
            <v>28/07/2008</v>
          </cell>
          <cell r="D11" t="str">
            <v>(en blanco)</v>
          </cell>
          <cell r="E11" t="str">
            <v>10.19</v>
          </cell>
          <cell r="F11" t="str">
            <v>I.U. INVESTIGACION INFORMATICA</v>
          </cell>
          <cell r="G11" t="str">
            <v>20</v>
          </cell>
          <cell r="H11" t="str">
            <v/>
          </cell>
          <cell r="I11" t="str">
            <v/>
          </cell>
          <cell r="J11" t="str">
            <v/>
          </cell>
          <cell r="K11" t="str">
            <v/>
          </cell>
          <cell r="L11" t="str">
            <v/>
          </cell>
        </row>
        <row r="12">
          <cell r="A12" t="str">
            <v>03418555L</v>
          </cell>
          <cell r="B12" t="str">
            <v>SAN FABIAN MAROTO, EMILIO</v>
          </cell>
          <cell r="C12" t="str">
            <v>01/03/2006</v>
          </cell>
          <cell r="D12" t="str">
            <v>(en blanco)</v>
          </cell>
          <cell r="E12" t="str">
            <v>10.14</v>
          </cell>
          <cell r="F12" t="str">
            <v>I.U. MATERIALES</v>
          </cell>
          <cell r="G12" t="str">
            <v>50</v>
          </cell>
          <cell r="H12" t="str">
            <v/>
          </cell>
          <cell r="I12" t="str">
            <v/>
          </cell>
          <cell r="J12" t="str">
            <v/>
          </cell>
          <cell r="K12" t="str">
            <v/>
          </cell>
          <cell r="L12" t="str">
            <v/>
          </cell>
        </row>
        <row r="13">
          <cell r="A13" t="str">
            <v>03421922M</v>
          </cell>
          <cell r="B13" t="str">
            <v>BENITO GIL, VICENTE JOSE</v>
          </cell>
          <cell r="C13" t="str">
            <v>08/01/2018</v>
          </cell>
          <cell r="D13" t="str">
            <v>(en blanco)</v>
          </cell>
          <cell r="E13" t="str">
            <v>10.25</v>
          </cell>
          <cell r="F13" t="str">
            <v>I.U. INV. ESTUDIOS SOC. AMERICA LATINA</v>
          </cell>
          <cell r="G13" t="str">
            <v>70</v>
          </cell>
          <cell r="H13" t="str">
            <v/>
          </cell>
          <cell r="I13" t="str">
            <v/>
          </cell>
          <cell r="J13" t="str">
            <v/>
          </cell>
          <cell r="K13" t="str">
            <v/>
          </cell>
          <cell r="L13" t="str">
            <v/>
          </cell>
        </row>
        <row r="14">
          <cell r="A14" t="str">
            <v>04295536X</v>
          </cell>
          <cell r="B14" t="str">
            <v>CERCHIELLO PALUMBO, GAETANO</v>
          </cell>
          <cell r="C14" t="str">
            <v>19/10/2021</v>
          </cell>
          <cell r="D14" t="str">
            <v>(en blanco)</v>
          </cell>
          <cell r="E14" t="str">
            <v>10.17</v>
          </cell>
          <cell r="F14" t="str">
            <v>I.U. INVESTIGACIONES TURISTICAS</v>
          </cell>
          <cell r="G14" t="str">
            <v>50</v>
          </cell>
          <cell r="H14" t="str">
            <v/>
          </cell>
          <cell r="I14" t="str">
            <v/>
          </cell>
          <cell r="J14" t="str">
            <v/>
          </cell>
          <cell r="K14" t="str">
            <v/>
          </cell>
          <cell r="L14" t="str">
            <v/>
          </cell>
        </row>
        <row r="15">
          <cell r="A15" t="str">
            <v>04296267M</v>
          </cell>
          <cell r="B15" t="str">
            <v>ARAUJO DA SILVA COSTA, ANGELO GONÇALO</v>
          </cell>
          <cell r="C15" t="str">
            <v>14/01/2022</v>
          </cell>
          <cell r="D15" t="str">
            <v>(en blanco)</v>
          </cell>
          <cell r="E15" t="str">
            <v>10.19</v>
          </cell>
          <cell r="F15" t="str">
            <v>I.U. INVESTIGACION INFORMATICA</v>
          </cell>
          <cell r="G15" t="str">
            <v>20</v>
          </cell>
          <cell r="H15" t="str">
            <v/>
          </cell>
          <cell r="I15" t="str">
            <v/>
          </cell>
          <cell r="J15" t="str">
            <v/>
          </cell>
          <cell r="K15" t="str">
            <v/>
          </cell>
          <cell r="L15" t="str">
            <v/>
          </cell>
        </row>
        <row r="16">
          <cell r="A16" t="str">
            <v>04567901D</v>
          </cell>
          <cell r="B16" t="str">
            <v>VILLALVILLA SORIA, JOSE MOISES</v>
          </cell>
          <cell r="C16">
            <v>44526</v>
          </cell>
          <cell r="D16" t="str">
            <v>(en blanco)</v>
          </cell>
          <cell r="E16" t="str">
            <v>10.14</v>
          </cell>
          <cell r="F16" t="str">
            <v>I.U. MATERIALES</v>
          </cell>
          <cell r="G16">
            <v>20</v>
          </cell>
        </row>
        <row r="17">
          <cell r="A17" t="str">
            <v>04581544J</v>
          </cell>
          <cell r="B17" t="str">
            <v>SAIZ NOEDA, MAXIMILIANO</v>
          </cell>
          <cell r="C17" t="str">
            <v>26/07/2006</v>
          </cell>
          <cell r="D17" t="str">
            <v>(en blanco)</v>
          </cell>
          <cell r="E17" t="str">
            <v>10.19</v>
          </cell>
          <cell r="F17" t="str">
            <v>I.U. INVESTIGACION INFORMATICA</v>
          </cell>
          <cell r="G17" t="str">
            <v>20</v>
          </cell>
          <cell r="H17" t="str">
            <v/>
          </cell>
          <cell r="I17" t="str">
            <v/>
          </cell>
          <cell r="J17" t="str">
            <v/>
          </cell>
          <cell r="K17" t="str">
            <v/>
          </cell>
          <cell r="L17" t="str">
            <v/>
          </cell>
        </row>
        <row r="18">
          <cell r="A18" t="str">
            <v>05150725J</v>
          </cell>
          <cell r="B18" t="str">
            <v>CIFUENTES HONRUBIA, JOSE LUIS</v>
          </cell>
          <cell r="C18" t="str">
            <v>01/03/2006</v>
          </cell>
          <cell r="D18" t="str">
            <v>(en blanco)</v>
          </cell>
          <cell r="E18" t="str">
            <v>10.15</v>
          </cell>
          <cell r="F18" t="str">
            <v>I.INTERUNIV. LENGUAS MODERNAS APLICADAS</v>
          </cell>
          <cell r="G18" t="str">
            <v>10</v>
          </cell>
          <cell r="H18" t="str">
            <v>10.25</v>
          </cell>
          <cell r="I18" t="str">
            <v>I.U. INV. ESTUDIOS SOC. AMERICA LATINA</v>
          </cell>
          <cell r="J18" t="str">
            <v>17/01/2018</v>
          </cell>
          <cell r="K18" t="str">
            <v>(en blanco)</v>
          </cell>
          <cell r="L18" t="str">
            <v>30</v>
          </cell>
        </row>
        <row r="19">
          <cell r="A19" t="str">
            <v>05162571Z</v>
          </cell>
          <cell r="B19" t="str">
            <v>BELENDEZ VAZQUEZ, AUGUSTO</v>
          </cell>
          <cell r="C19" t="str">
            <v>08/11/2017</v>
          </cell>
          <cell r="D19" t="str">
            <v>(en blanco)</v>
          </cell>
          <cell r="E19" t="str">
            <v>10.20</v>
          </cell>
          <cell r="F19" t="str">
            <v>I.U. FISICA APLICADA A LAS CIENCIAS Y LA</v>
          </cell>
          <cell r="G19" t="str">
            <v>50</v>
          </cell>
          <cell r="H19" t="str">
            <v/>
          </cell>
          <cell r="I19" t="str">
            <v/>
          </cell>
          <cell r="J19" t="str">
            <v/>
          </cell>
          <cell r="K19" t="str">
            <v/>
          </cell>
          <cell r="L19" t="str">
            <v/>
          </cell>
        </row>
        <row r="20">
          <cell r="A20" t="str">
            <v>05165001Y</v>
          </cell>
          <cell r="B20" t="str">
            <v>PIQUERAS CASTILLO, ABEL</v>
          </cell>
          <cell r="C20" t="str">
            <v>09/03/2016</v>
          </cell>
          <cell r="D20" t="str">
            <v>(en blanco)</v>
          </cell>
          <cell r="E20" t="str">
            <v>10.13</v>
          </cell>
          <cell r="F20" t="str">
            <v>I.U. INVESTIGACION - CIBIO</v>
          </cell>
          <cell r="G20" t="str">
            <v>100</v>
          </cell>
          <cell r="H20" t="str">
            <v/>
          </cell>
          <cell r="I20" t="str">
            <v/>
          </cell>
          <cell r="J20" t="str">
            <v/>
          </cell>
          <cell r="K20" t="str">
            <v/>
          </cell>
          <cell r="L20" t="str">
            <v/>
          </cell>
        </row>
        <row r="21">
          <cell r="A21" t="str">
            <v>05307494Z</v>
          </cell>
          <cell r="B21" t="str">
            <v>VILLAR NAVASCUES, RUBEN ALEJANDRO</v>
          </cell>
          <cell r="C21" t="str">
            <v>17/01/2022</v>
          </cell>
          <cell r="D21" t="str">
            <v>31/12/2022</v>
          </cell>
          <cell r="E21" t="str">
            <v>10.21</v>
          </cell>
          <cell r="F21" t="str">
            <v>I.INTERUNIVERSITARIO GEOGRAFIA</v>
          </cell>
          <cell r="G21" t="str">
            <v>100</v>
          </cell>
          <cell r="H21" t="str">
            <v/>
          </cell>
          <cell r="I21" t="str">
            <v/>
          </cell>
          <cell r="J21" t="str">
            <v/>
          </cell>
          <cell r="K21" t="str">
            <v/>
          </cell>
          <cell r="L21" t="str">
            <v/>
          </cell>
        </row>
        <row r="22">
          <cell r="A22" t="str">
            <v>05413313X</v>
          </cell>
          <cell r="B22" t="str">
            <v>ULLAN DE LA ROSA, FRANCISCO JAVIER</v>
          </cell>
          <cell r="C22" t="str">
            <v>26/02/2013</v>
          </cell>
          <cell r="D22" t="str">
            <v>(en blanco)</v>
          </cell>
          <cell r="E22" t="str">
            <v>10.22</v>
          </cell>
          <cell r="F22" t="str">
            <v>I.INTERUNIV. DESARROLLO SOCIAL Y PAZ</v>
          </cell>
          <cell r="G22" t="str">
            <v>10</v>
          </cell>
          <cell r="H22" t="str">
            <v/>
          </cell>
          <cell r="I22" t="str">
            <v/>
          </cell>
          <cell r="J22" t="str">
            <v/>
          </cell>
          <cell r="K22" t="str">
            <v/>
          </cell>
          <cell r="L22" t="str">
            <v/>
          </cell>
        </row>
        <row r="23">
          <cell r="A23" t="str">
            <v>05655788L</v>
          </cell>
          <cell r="B23" t="str">
            <v>VALDECANTOS DEMA, ALEJANDRO</v>
          </cell>
          <cell r="C23" t="str">
            <v>23/03/2022</v>
          </cell>
          <cell r="D23" t="str">
            <v>(en blanco)</v>
          </cell>
          <cell r="E23" t="str">
            <v>10.16</v>
          </cell>
          <cell r="F23" t="str">
            <v>I.M.E.M. RAMON MARGALEF (IMEM)</v>
          </cell>
          <cell r="G23" t="str">
            <v>50</v>
          </cell>
          <cell r="H23" t="str">
            <v/>
          </cell>
          <cell r="I23" t="str">
            <v/>
          </cell>
          <cell r="J23" t="str">
            <v/>
          </cell>
          <cell r="K23" t="str">
            <v/>
          </cell>
          <cell r="L23" t="str">
            <v/>
          </cell>
        </row>
        <row r="24">
          <cell r="A24" t="str">
            <v>05658630D</v>
          </cell>
          <cell r="B24" t="str">
            <v>HUETE NIEVES, RAQUEL</v>
          </cell>
          <cell r="C24" t="str">
            <v>29/06/2020</v>
          </cell>
          <cell r="D24" t="str">
            <v>(en blanco)</v>
          </cell>
          <cell r="E24" t="str">
            <v>10.17</v>
          </cell>
          <cell r="F24" t="str">
            <v>I.U. INVESTIGACIONES TURISTICAS</v>
          </cell>
          <cell r="G24" t="str">
            <v>50</v>
          </cell>
          <cell r="H24" t="str">
            <v/>
          </cell>
          <cell r="I24" t="str">
            <v/>
          </cell>
          <cell r="J24" t="str">
            <v/>
          </cell>
          <cell r="K24" t="str">
            <v/>
          </cell>
          <cell r="L24" t="str">
            <v/>
          </cell>
        </row>
        <row r="25">
          <cell r="A25" t="str">
            <v>05683727J</v>
          </cell>
          <cell r="B25" t="str">
            <v>CALVO URBINA, MARIA REYES</v>
          </cell>
          <cell r="C25" t="str">
            <v>08/10/2021</v>
          </cell>
          <cell r="D25" t="str">
            <v>(en blanco)</v>
          </cell>
          <cell r="E25" t="str">
            <v>10.14</v>
          </cell>
          <cell r="F25" t="str">
            <v>I.U. MATERIALES</v>
          </cell>
          <cell r="G25" t="str">
            <v>50</v>
          </cell>
          <cell r="H25" t="str">
            <v/>
          </cell>
          <cell r="I25" t="str">
            <v/>
          </cell>
          <cell r="J25" t="str">
            <v/>
          </cell>
          <cell r="K25" t="str">
            <v/>
          </cell>
          <cell r="L25" t="str">
            <v/>
          </cell>
        </row>
        <row r="26">
          <cell r="A26" t="str">
            <v>05921559W</v>
          </cell>
          <cell r="B26" t="str">
            <v>RETAMOSA HERNANDEZ, MARIA DE GRACIA</v>
          </cell>
          <cell r="C26" t="str">
            <v>12/03/2021</v>
          </cell>
          <cell r="D26" t="str">
            <v>(en blanco)</v>
          </cell>
          <cell r="E26" t="str">
            <v>10.11</v>
          </cell>
          <cell r="F26" t="str">
            <v>I.U. SINTESIS ORGANICA</v>
          </cell>
          <cell r="G26" t="str">
            <v>90</v>
          </cell>
          <cell r="H26" t="str">
            <v/>
          </cell>
          <cell r="I26" t="str">
            <v/>
          </cell>
          <cell r="J26" t="str">
            <v/>
          </cell>
          <cell r="K26" t="str">
            <v/>
          </cell>
          <cell r="L26" t="str">
            <v/>
          </cell>
        </row>
        <row r="27">
          <cell r="A27" t="str">
            <v>07210590K</v>
          </cell>
          <cell r="B27" t="str">
            <v>LORRIO ALVARADO, ALBERTO JOSE</v>
          </cell>
          <cell r="C27" t="str">
            <v>19/09/2014</v>
          </cell>
          <cell r="D27" t="str">
            <v>(en blanco)</v>
          </cell>
          <cell r="E27" t="str">
            <v>10.24</v>
          </cell>
          <cell r="F27" t="str">
            <v>I.U. INVESTIGACION ARQ. Y PATR. HIST.</v>
          </cell>
          <cell r="G27" t="str">
            <v>80</v>
          </cell>
          <cell r="H27" t="str">
            <v/>
          </cell>
          <cell r="I27" t="str">
            <v/>
          </cell>
          <cell r="J27" t="str">
            <v/>
          </cell>
          <cell r="K27" t="str">
            <v/>
          </cell>
          <cell r="L27" t="str">
            <v/>
          </cell>
        </row>
        <row r="28">
          <cell r="A28" t="str">
            <v>07495796G</v>
          </cell>
          <cell r="B28" t="str">
            <v>UNTIEDT LECUONA, CARLOS</v>
          </cell>
          <cell r="C28" t="str">
            <v>01/03/2006</v>
          </cell>
          <cell r="D28" t="str">
            <v>(en blanco)</v>
          </cell>
          <cell r="E28" t="str">
            <v>10.14</v>
          </cell>
          <cell r="F28" t="str">
            <v>I.U. MATERIALES</v>
          </cell>
          <cell r="G28" t="str">
            <v>10</v>
          </cell>
          <cell r="H28" t="str">
            <v/>
          </cell>
          <cell r="I28" t="str">
            <v/>
          </cell>
          <cell r="J28" t="str">
            <v/>
          </cell>
          <cell r="K28" t="str">
            <v/>
          </cell>
          <cell r="L28" t="str">
            <v/>
          </cell>
        </row>
        <row r="29">
          <cell r="A29" t="str">
            <v>07561152V</v>
          </cell>
          <cell r="B29" t="str">
            <v>LOPEZ MILLA, JULIAN</v>
          </cell>
          <cell r="C29" t="str">
            <v>11/06/2021</v>
          </cell>
          <cell r="D29" t="str">
            <v>(en blanco)</v>
          </cell>
          <cell r="E29" t="str">
            <v>10.06</v>
          </cell>
          <cell r="F29" t="str">
            <v>I.INTERUNIVERSITARIO ECONOMIA INTERNACIO</v>
          </cell>
          <cell r="G29" t="str">
            <v>50</v>
          </cell>
          <cell r="H29" t="str">
            <v/>
          </cell>
          <cell r="I29" t="str">
            <v/>
          </cell>
          <cell r="J29" t="str">
            <v/>
          </cell>
          <cell r="K29" t="str">
            <v/>
          </cell>
          <cell r="L29" t="str">
            <v/>
          </cell>
        </row>
        <row r="30">
          <cell r="A30" t="str">
            <v>07565182E</v>
          </cell>
          <cell r="B30" t="str">
            <v>GUERRERO MARTINEZ, JUAN RAMON</v>
          </cell>
          <cell r="C30" t="str">
            <v>09/03/2016</v>
          </cell>
          <cell r="D30" t="str">
            <v>(en blanco)</v>
          </cell>
          <cell r="E30" t="str">
            <v>10.13</v>
          </cell>
          <cell r="F30" t="str">
            <v>I.U. INVESTIGACION - CIBIO</v>
          </cell>
          <cell r="G30" t="str">
            <v>100</v>
          </cell>
          <cell r="H30" t="str">
            <v/>
          </cell>
          <cell r="I30" t="str">
            <v/>
          </cell>
          <cell r="J30" t="str">
            <v/>
          </cell>
          <cell r="K30" t="str">
            <v/>
          </cell>
          <cell r="L30" t="str">
            <v/>
          </cell>
        </row>
        <row r="31">
          <cell r="A31" t="str">
            <v>07860559X</v>
          </cell>
          <cell r="B31" t="str">
            <v>MANCHADO LOPEZ, MARIA DEL CARMEN</v>
          </cell>
          <cell r="C31" t="str">
            <v>21/12/2015</v>
          </cell>
          <cell r="D31" t="str">
            <v>(en blanco)</v>
          </cell>
          <cell r="E31" t="str">
            <v>10.23</v>
          </cell>
          <cell r="F31" t="str">
            <v>I.U. INVESTIGACION ESTUDIOS DE GENERO</v>
          </cell>
          <cell r="G31" t="str">
            <v>20</v>
          </cell>
          <cell r="H31" t="str">
            <v/>
          </cell>
          <cell r="I31" t="str">
            <v/>
          </cell>
          <cell r="J31" t="str">
            <v/>
          </cell>
          <cell r="K31" t="str">
            <v/>
          </cell>
          <cell r="L31" t="str">
            <v/>
          </cell>
        </row>
        <row r="32">
          <cell r="A32" t="str">
            <v>08791611E</v>
          </cell>
          <cell r="B32" t="str">
            <v>CONTRERAS DE VERA, ASUNCION</v>
          </cell>
          <cell r="C32" t="str">
            <v>27/05/2015</v>
          </cell>
          <cell r="D32" t="str">
            <v>(en blanco)</v>
          </cell>
          <cell r="E32" t="str">
            <v>10.16</v>
          </cell>
          <cell r="F32" t="str">
            <v>I.M.E.M. RAMON MARGALEF (IMEM)</v>
          </cell>
          <cell r="G32" t="str">
            <v>50</v>
          </cell>
          <cell r="H32" t="str">
            <v/>
          </cell>
          <cell r="I32" t="str">
            <v/>
          </cell>
          <cell r="J32" t="str">
            <v/>
          </cell>
          <cell r="K32" t="str">
            <v/>
          </cell>
          <cell r="L32" t="str">
            <v/>
          </cell>
        </row>
        <row r="33">
          <cell r="A33" t="str">
            <v>09306886M</v>
          </cell>
          <cell r="B33" t="str">
            <v>MARCOS ALBA, CARLOS LUIS</v>
          </cell>
          <cell r="C33" t="str">
            <v>11/02/2011</v>
          </cell>
          <cell r="D33" t="str">
            <v>(en blanco)</v>
          </cell>
          <cell r="E33" t="str">
            <v>10.15</v>
          </cell>
          <cell r="F33" t="str">
            <v>I.INTERUNIV. LENGUAS MODERNAS APLICADAS</v>
          </cell>
          <cell r="G33" t="str">
            <v>10</v>
          </cell>
          <cell r="H33" t="str">
            <v/>
          </cell>
          <cell r="I33" t="str">
            <v/>
          </cell>
          <cell r="J33" t="str">
            <v/>
          </cell>
          <cell r="K33" t="str">
            <v/>
          </cell>
          <cell r="L33" t="str">
            <v/>
          </cell>
        </row>
        <row r="34">
          <cell r="A34" t="str">
            <v>09371918Q</v>
          </cell>
          <cell r="B34" t="str">
            <v>FERRANDEZ PASTOR, FRANCISCO JAVIER</v>
          </cell>
          <cell r="C34" t="str">
            <v>08/10/2019</v>
          </cell>
          <cell r="D34" t="str">
            <v>(en blanco)</v>
          </cell>
          <cell r="E34" t="str">
            <v>10.25</v>
          </cell>
          <cell r="F34" t="str">
            <v>I.U. INV. ESTUDIOS SOC. AMERICA LATINA</v>
          </cell>
          <cell r="G34" t="str">
            <v>10</v>
          </cell>
          <cell r="H34" t="str">
            <v>10.19</v>
          </cell>
          <cell r="I34" t="str">
            <v>I.U. INVESTIGACION INFORMATICA</v>
          </cell>
          <cell r="J34" t="str">
            <v>08/10/2019</v>
          </cell>
          <cell r="K34" t="str">
            <v>(en blanco)</v>
          </cell>
          <cell r="L34" t="str">
            <v>10</v>
          </cell>
        </row>
        <row r="35">
          <cell r="A35" t="str">
            <v>10078923R</v>
          </cell>
          <cell r="B35" t="str">
            <v>GOMEZ LOPEZ, JOSE DANIEL</v>
          </cell>
          <cell r="C35" t="str">
            <v>26/05/2017</v>
          </cell>
          <cell r="D35" t="str">
            <v>(en blanco)</v>
          </cell>
          <cell r="E35" t="str">
            <v>10.25</v>
          </cell>
          <cell r="F35" t="str">
            <v>I.U. INV. ESTUDIOS SOC. AMERICA LATINA</v>
          </cell>
          <cell r="G35" t="str">
            <v>30</v>
          </cell>
          <cell r="H35" t="str">
            <v/>
          </cell>
          <cell r="I35" t="str">
            <v/>
          </cell>
          <cell r="J35" t="str">
            <v/>
          </cell>
          <cell r="K35" t="str">
            <v/>
          </cell>
          <cell r="L35" t="str">
            <v/>
          </cell>
        </row>
        <row r="36">
          <cell r="A36" t="str">
            <v>12381640G</v>
          </cell>
          <cell r="B36" t="str">
            <v>ESPESO MOLINERO, MARIA DEL PILAR</v>
          </cell>
          <cell r="C36" t="str">
            <v>25/04/2016</v>
          </cell>
          <cell r="D36" t="str">
            <v>(en blanco)</v>
          </cell>
          <cell r="E36" t="str">
            <v>10.17</v>
          </cell>
          <cell r="F36" t="str">
            <v>I.U. INVESTIGACIONES TURISTICAS</v>
          </cell>
          <cell r="G36" t="str">
            <v>50</v>
          </cell>
          <cell r="H36" t="str">
            <v/>
          </cell>
          <cell r="I36" t="str">
            <v/>
          </cell>
          <cell r="J36" t="str">
            <v/>
          </cell>
          <cell r="K36" t="str">
            <v/>
          </cell>
          <cell r="L36" t="str">
            <v/>
          </cell>
        </row>
        <row r="37">
          <cell r="A37" t="str">
            <v>12715224L</v>
          </cell>
          <cell r="B37" t="str">
            <v>MARCOS GARCIA, MARIA DE LOS ANGELES</v>
          </cell>
          <cell r="C37" t="str">
            <v>09/03/2016</v>
          </cell>
          <cell r="D37" t="str">
            <v>(en blanco)</v>
          </cell>
          <cell r="E37" t="str">
            <v>10.13</v>
          </cell>
          <cell r="F37" t="str">
            <v>I.U. INVESTIGACION - CIBIO</v>
          </cell>
          <cell r="G37" t="str">
            <v>100</v>
          </cell>
          <cell r="H37" t="str">
            <v/>
          </cell>
          <cell r="I37" t="str">
            <v/>
          </cell>
          <cell r="J37" t="str">
            <v/>
          </cell>
          <cell r="K37" t="str">
            <v/>
          </cell>
          <cell r="L37" t="str">
            <v/>
          </cell>
        </row>
        <row r="38">
          <cell r="A38" t="str">
            <v>12759974B</v>
          </cell>
          <cell r="B38" t="str">
            <v>FERNANDEZ PEREZ, NURIA</v>
          </cell>
          <cell r="C38" t="str">
            <v>20/10/2016</v>
          </cell>
          <cell r="D38" t="str">
            <v>(en blanco)</v>
          </cell>
          <cell r="E38" t="str">
            <v>10.17</v>
          </cell>
          <cell r="F38" t="str">
            <v>I.U. INVESTIGACIONES TURISTICAS</v>
          </cell>
          <cell r="G38" t="str">
            <v>50</v>
          </cell>
          <cell r="H38" t="str">
            <v/>
          </cell>
          <cell r="I38" t="str">
            <v/>
          </cell>
          <cell r="J38" t="str">
            <v/>
          </cell>
          <cell r="K38" t="str">
            <v/>
          </cell>
          <cell r="L38" t="str">
            <v/>
          </cell>
        </row>
        <row r="39">
          <cell r="A39" t="str">
            <v>13051474D</v>
          </cell>
          <cell r="B39" t="str">
            <v>ATIENZA RODRIGUEZ, MANUEL</v>
          </cell>
          <cell r="C39" t="str">
            <v>01/03/2006</v>
          </cell>
          <cell r="D39" t="str">
            <v>(en blanco)</v>
          </cell>
          <cell r="E39" t="str">
            <v>10.15</v>
          </cell>
          <cell r="F39" t="str">
            <v>I.INTERUNIV. LENGUAS MODERNAS APLICADAS</v>
          </cell>
          <cell r="G39" t="str">
            <v>10</v>
          </cell>
          <cell r="H39" t="str">
            <v/>
          </cell>
          <cell r="I39" t="str">
            <v/>
          </cell>
          <cell r="J39" t="str">
            <v/>
          </cell>
          <cell r="K39" t="str">
            <v/>
          </cell>
          <cell r="L39" t="str">
            <v/>
          </cell>
        </row>
        <row r="40">
          <cell r="A40" t="str">
            <v>13300077M</v>
          </cell>
          <cell r="B40" t="str">
            <v>GUTIERREZ MOZO, MARIA ELIA</v>
          </cell>
          <cell r="C40" t="str">
            <v>27/01/2022</v>
          </cell>
          <cell r="D40" t="str">
            <v>(en blanco)</v>
          </cell>
          <cell r="E40" t="str">
            <v>10.23</v>
          </cell>
          <cell r="F40" t="str">
            <v>I.U. INVESTIGACION ESTUDIOS DE GENERO</v>
          </cell>
          <cell r="G40" t="str">
            <v>50</v>
          </cell>
          <cell r="H40" t="str">
            <v/>
          </cell>
          <cell r="I40" t="str">
            <v/>
          </cell>
          <cell r="J40" t="str">
            <v/>
          </cell>
          <cell r="K40" t="str">
            <v/>
          </cell>
          <cell r="L40" t="str">
            <v/>
          </cell>
        </row>
        <row r="41">
          <cell r="A41" t="str">
            <v>15415457Y</v>
          </cell>
          <cell r="B41" t="str">
            <v>SARABIA GAMBIN, FRANCISCO JOSE</v>
          </cell>
          <cell r="C41" t="str">
            <v>01/01/2022</v>
          </cell>
          <cell r="D41" t="str">
            <v>31/12/2023</v>
          </cell>
          <cell r="E41" t="str">
            <v>10.12</v>
          </cell>
          <cell r="F41" t="str">
            <v>I.U. ELECTROQUIMICA</v>
          </cell>
          <cell r="G41" t="str">
            <v>100</v>
          </cell>
          <cell r="H41" t="str">
            <v/>
          </cell>
          <cell r="I41" t="str">
            <v/>
          </cell>
          <cell r="J41" t="str">
            <v/>
          </cell>
          <cell r="K41" t="str">
            <v/>
          </cell>
          <cell r="L41" t="str">
            <v/>
          </cell>
        </row>
        <row r="42">
          <cell r="A42" t="str">
            <v>15420084X</v>
          </cell>
          <cell r="B42" t="str">
            <v>BROTONS MARTINEZ, MATILDE</v>
          </cell>
          <cell r="C42" t="str">
            <v>15/02/2022</v>
          </cell>
          <cell r="D42" t="str">
            <v>30/04/2023</v>
          </cell>
          <cell r="E42" t="str">
            <v>10.17</v>
          </cell>
          <cell r="F42" t="str">
            <v>I.U. INVESTIGACIONES TURISTICAS</v>
          </cell>
          <cell r="G42" t="str">
            <v>100</v>
          </cell>
          <cell r="H42" t="str">
            <v/>
          </cell>
          <cell r="I42" t="str">
            <v/>
          </cell>
          <cell r="J42" t="str">
            <v/>
          </cell>
          <cell r="K42" t="str">
            <v/>
          </cell>
          <cell r="L42" t="str">
            <v/>
          </cell>
        </row>
        <row r="43">
          <cell r="A43" t="str">
            <v>15421218V</v>
          </cell>
          <cell r="B43" t="str">
            <v>MORALES VIDAL, MARTA</v>
          </cell>
          <cell r="C43" t="str">
            <v>08/01/2019</v>
          </cell>
          <cell r="D43" t="str">
            <v>22/04/2023</v>
          </cell>
          <cell r="E43" t="str">
            <v>10.20</v>
          </cell>
          <cell r="F43" t="str">
            <v>I.U. FISICA APLICADA A LAS CIENCIAS Y LA</v>
          </cell>
          <cell r="G43" t="str">
            <v>100</v>
          </cell>
          <cell r="H43" t="str">
            <v/>
          </cell>
          <cell r="I43" t="str">
            <v/>
          </cell>
          <cell r="J43" t="str">
            <v/>
          </cell>
          <cell r="K43" t="str">
            <v/>
          </cell>
          <cell r="L43" t="str">
            <v/>
          </cell>
        </row>
        <row r="44">
          <cell r="A44" t="str">
            <v>15422867X</v>
          </cell>
          <cell r="B44" t="str">
            <v>AMOROS LOPEZ, IVAN</v>
          </cell>
          <cell r="C44" t="str">
            <v>28/10/2020</v>
          </cell>
          <cell r="D44" t="str">
            <v>31/12/2022</v>
          </cell>
          <cell r="E44" t="str">
            <v>10.24</v>
          </cell>
          <cell r="F44" t="str">
            <v>I.U. INVESTIGACION ARQ. Y PATR. HIST.</v>
          </cell>
          <cell r="G44" t="str">
            <v>100</v>
          </cell>
          <cell r="H44" t="str">
            <v/>
          </cell>
          <cell r="I44" t="str">
            <v/>
          </cell>
          <cell r="J44" t="str">
            <v/>
          </cell>
          <cell r="K44" t="str">
            <v/>
          </cell>
          <cell r="L44" t="str">
            <v/>
          </cell>
        </row>
        <row r="45">
          <cell r="A45" t="str">
            <v>15423534X</v>
          </cell>
          <cell r="B45" t="str">
            <v>BELTRAN CASTELLANOS, JOSE MIGUEL</v>
          </cell>
          <cell r="C45" t="str">
            <v>22/07/2019</v>
          </cell>
          <cell r="D45" t="str">
            <v>(en blanco)</v>
          </cell>
          <cell r="E45" t="str">
            <v>10.05</v>
          </cell>
          <cell r="F45" t="str">
            <v>I.U. AGUA Y CIENCIAS AMBIENTALES</v>
          </cell>
          <cell r="G45" t="str">
            <v>10</v>
          </cell>
          <cell r="H45" t="str">
            <v/>
          </cell>
          <cell r="I45" t="str">
            <v/>
          </cell>
          <cell r="J45" t="str">
            <v/>
          </cell>
          <cell r="K45" t="str">
            <v/>
          </cell>
          <cell r="L45" t="str">
            <v/>
          </cell>
        </row>
        <row r="46">
          <cell r="A46" t="str">
            <v>15424733J</v>
          </cell>
          <cell r="B46" t="str">
            <v>ORTEGA GILABERT, JOSE ANTONIO</v>
          </cell>
          <cell r="C46" t="str">
            <v>13/01/2022</v>
          </cell>
          <cell r="D46" t="str">
            <v>12/01/2023</v>
          </cell>
          <cell r="E46" t="str">
            <v>10.15</v>
          </cell>
          <cell r="F46" t="str">
            <v>I.INTERUNIV. LENGUAS MODERNAS APLICADAS</v>
          </cell>
          <cell r="G46" t="str">
            <v>100</v>
          </cell>
          <cell r="H46" t="str">
            <v/>
          </cell>
          <cell r="I46" t="str">
            <v/>
          </cell>
          <cell r="J46" t="str">
            <v/>
          </cell>
          <cell r="K46" t="str">
            <v/>
          </cell>
          <cell r="L46" t="str">
            <v/>
          </cell>
        </row>
        <row r="47">
          <cell r="A47" t="str">
            <v>15852799A</v>
          </cell>
          <cell r="B47" t="str">
            <v>ZABALZA ARBIZU, JUAN ANGEL</v>
          </cell>
          <cell r="C47" t="str">
            <v>28/09/2016</v>
          </cell>
          <cell r="D47" t="str">
            <v>(en blanco)</v>
          </cell>
          <cell r="E47" t="str">
            <v>10.25</v>
          </cell>
          <cell r="F47" t="str">
            <v>I.U. INV. ESTUDIOS SOC. AMERICA LATINA</v>
          </cell>
          <cell r="G47" t="str">
            <v>50</v>
          </cell>
          <cell r="H47" t="str">
            <v/>
          </cell>
          <cell r="I47" t="str">
            <v/>
          </cell>
          <cell r="J47" t="str">
            <v/>
          </cell>
          <cell r="K47" t="str">
            <v/>
          </cell>
          <cell r="L47" t="str">
            <v/>
          </cell>
        </row>
        <row r="48">
          <cell r="A48" t="str">
            <v>16284755L</v>
          </cell>
          <cell r="B48" t="str">
            <v>SAEZ GARCIA, MIGUEL</v>
          </cell>
          <cell r="C48" t="str">
            <v>20/12/2012</v>
          </cell>
          <cell r="D48" t="str">
            <v>(en blanco)</v>
          </cell>
          <cell r="E48" t="str">
            <v>10.05</v>
          </cell>
          <cell r="F48" t="str">
            <v>I.U. AGUA Y CIENCIAS AMBIENTALES</v>
          </cell>
          <cell r="G48" t="str">
            <v>10</v>
          </cell>
          <cell r="H48" t="str">
            <v>10.21</v>
          </cell>
          <cell r="I48" t="str">
            <v>I.INTERUNIVERSITARIO GEOGRAFIA</v>
          </cell>
          <cell r="J48" t="str">
            <v>08/03/2013</v>
          </cell>
          <cell r="K48" t="str">
            <v>(en blanco)</v>
          </cell>
          <cell r="L48" t="str">
            <v>20</v>
          </cell>
        </row>
        <row r="49">
          <cell r="A49" t="str">
            <v>16568682B</v>
          </cell>
          <cell r="B49" t="str">
            <v>NEGUERUELA DIEZ, IGNACIO</v>
          </cell>
          <cell r="C49" t="str">
            <v>08/07/2022</v>
          </cell>
          <cell r="D49" t="str">
            <v>(en blanco)</v>
          </cell>
          <cell r="E49" t="str">
            <v>10.19</v>
          </cell>
          <cell r="F49" t="str">
            <v>I.U. INVESTIGACION INFORMATICA</v>
          </cell>
          <cell r="G49" t="str">
            <v>15</v>
          </cell>
          <cell r="H49" t="str">
            <v/>
          </cell>
          <cell r="I49" t="str">
            <v/>
          </cell>
          <cell r="J49" t="str">
            <v/>
          </cell>
          <cell r="K49" t="str">
            <v/>
          </cell>
          <cell r="L49" t="str">
            <v/>
          </cell>
        </row>
        <row r="50">
          <cell r="A50" t="str">
            <v>16809134K</v>
          </cell>
          <cell r="B50" t="str">
            <v>DE JUANA ESPINOSA, SUSANA AMALIA</v>
          </cell>
          <cell r="C50" t="str">
            <v>04/05/2017</v>
          </cell>
          <cell r="D50" t="str">
            <v>(en blanco)</v>
          </cell>
          <cell r="E50" t="str">
            <v>10.17</v>
          </cell>
          <cell r="F50" t="str">
            <v>I.U. INVESTIGACIONES TURISTICAS</v>
          </cell>
          <cell r="G50" t="str">
            <v>10</v>
          </cell>
          <cell r="H50" t="str">
            <v/>
          </cell>
          <cell r="I50" t="str">
            <v/>
          </cell>
          <cell r="J50" t="str">
            <v/>
          </cell>
          <cell r="K50" t="str">
            <v/>
          </cell>
          <cell r="L50" t="str">
            <v/>
          </cell>
        </row>
        <row r="51">
          <cell r="A51" t="str">
            <v>16813198Z</v>
          </cell>
          <cell r="B51" t="str">
            <v>SAN QUIRICO GARCIA, RAQUEL</v>
          </cell>
          <cell r="C51" t="str">
            <v>18/10/2021</v>
          </cell>
          <cell r="D51" t="str">
            <v>17/10/2023</v>
          </cell>
          <cell r="E51" t="str">
            <v>10.24</v>
          </cell>
          <cell r="F51" t="str">
            <v>I.U. INVESTIGACION ARQ. Y PATR. HIST.</v>
          </cell>
          <cell r="G51" t="str">
            <v>100</v>
          </cell>
          <cell r="H51" t="str">
            <v/>
          </cell>
          <cell r="I51" t="str">
            <v/>
          </cell>
          <cell r="J51" t="str">
            <v/>
          </cell>
          <cell r="K51" t="str">
            <v/>
          </cell>
          <cell r="L51" t="str">
            <v/>
          </cell>
        </row>
        <row r="52">
          <cell r="A52" t="str">
            <v>17695001C</v>
          </cell>
          <cell r="B52" t="str">
            <v>MARTINEZ PRADES, JOSE ANTONIO</v>
          </cell>
          <cell r="C52" t="str">
            <v>23/07/2014</v>
          </cell>
          <cell r="D52" t="str">
            <v>(en blanco)</v>
          </cell>
          <cell r="E52" t="str">
            <v>10.06</v>
          </cell>
          <cell r="F52" t="str">
            <v>I.INTERUNIVERSITARIO ECONOMIA INTERNACIO</v>
          </cell>
          <cell r="G52" t="str">
            <v>10</v>
          </cell>
          <cell r="H52" t="str">
            <v/>
          </cell>
          <cell r="I52" t="str">
            <v/>
          </cell>
          <cell r="J52" t="str">
            <v/>
          </cell>
          <cell r="K52" t="str">
            <v/>
          </cell>
          <cell r="L52" t="str">
            <v/>
          </cell>
        </row>
        <row r="53">
          <cell r="A53" t="str">
            <v>18011412C</v>
          </cell>
          <cell r="B53" t="str">
            <v>MAÑAS VIEJO, CARMEN ROSA</v>
          </cell>
          <cell r="C53" t="str">
            <v>01/02/2021</v>
          </cell>
          <cell r="D53" t="str">
            <v>(en blanco)</v>
          </cell>
          <cell r="E53" t="str">
            <v>10.23</v>
          </cell>
          <cell r="F53" t="str">
            <v>I.U. INVESTIGACION ESTUDIOS DE GENERO</v>
          </cell>
          <cell r="G53" t="str">
            <v>50</v>
          </cell>
          <cell r="H53" t="str">
            <v/>
          </cell>
          <cell r="I53" t="str">
            <v/>
          </cell>
          <cell r="J53" t="str">
            <v/>
          </cell>
          <cell r="K53" t="str">
            <v/>
          </cell>
          <cell r="L53" t="str">
            <v/>
          </cell>
        </row>
        <row r="54">
          <cell r="A54" t="str">
            <v>18157732Z</v>
          </cell>
          <cell r="B54" t="str">
            <v>GALANTE PATIÑO, EDUARDO</v>
          </cell>
          <cell r="C54" t="str">
            <v>09/03/2016</v>
          </cell>
          <cell r="D54" t="str">
            <v>(en blanco)</v>
          </cell>
          <cell r="E54" t="str">
            <v>10.13</v>
          </cell>
          <cell r="F54" t="str">
            <v>I.U. INVESTIGACION - CIBIO</v>
          </cell>
          <cell r="G54" t="str">
            <v>100</v>
          </cell>
          <cell r="H54" t="str">
            <v/>
          </cell>
          <cell r="I54" t="str">
            <v/>
          </cell>
          <cell r="J54" t="str">
            <v/>
          </cell>
          <cell r="K54" t="str">
            <v/>
          </cell>
          <cell r="L54" t="str">
            <v/>
          </cell>
        </row>
        <row r="55">
          <cell r="A55" t="str">
            <v>18202656L</v>
          </cell>
          <cell r="B55" t="str">
            <v>ECHARRI IRIBARREN, VICTOR</v>
          </cell>
          <cell r="C55" t="str">
            <v>31/10/2019</v>
          </cell>
          <cell r="D55" t="str">
            <v>(en blanco)</v>
          </cell>
          <cell r="E55" t="str">
            <v>10.05</v>
          </cell>
          <cell r="F55" t="str">
            <v>I.U. AGUA Y CIENCIAS AMBIENTALES</v>
          </cell>
          <cell r="G55" t="str">
            <v>20</v>
          </cell>
          <cell r="H55" t="str">
            <v/>
          </cell>
          <cell r="I55" t="str">
            <v/>
          </cell>
          <cell r="J55" t="str">
            <v/>
          </cell>
          <cell r="K55" t="str">
            <v/>
          </cell>
          <cell r="L55" t="str">
            <v/>
          </cell>
        </row>
        <row r="56">
          <cell r="A56" t="str">
            <v>18445118S</v>
          </cell>
          <cell r="B56" t="str">
            <v>NOLASCO CIRUGEDA, ALMUDENA</v>
          </cell>
          <cell r="C56" t="str">
            <v>22/12/2021</v>
          </cell>
          <cell r="D56" t="str">
            <v>(en blanco)</v>
          </cell>
          <cell r="E56" t="str">
            <v>10.17</v>
          </cell>
          <cell r="F56" t="str">
            <v>I.U. INVESTIGACIONES TURISTICAS</v>
          </cell>
          <cell r="G56" t="str">
            <v>10</v>
          </cell>
          <cell r="H56" t="str">
            <v/>
          </cell>
          <cell r="I56" t="str">
            <v/>
          </cell>
          <cell r="J56" t="str">
            <v/>
          </cell>
          <cell r="K56" t="str">
            <v/>
          </cell>
          <cell r="L56" t="str">
            <v/>
          </cell>
        </row>
        <row r="57">
          <cell r="A57" t="str">
            <v>19099684R</v>
          </cell>
          <cell r="B57" t="str">
            <v>TORREJON VAZQUEZ, JOSE MIGUEL</v>
          </cell>
          <cell r="C57" t="str">
            <v>20/10/2009</v>
          </cell>
          <cell r="D57" t="str">
            <v>(en blanco)</v>
          </cell>
          <cell r="E57" t="str">
            <v>10.20</v>
          </cell>
          <cell r="F57" t="str">
            <v>I.U. FISICA APLICADA A LAS CIENCIAS Y LA</v>
          </cell>
          <cell r="G57" t="str">
            <v>20</v>
          </cell>
          <cell r="H57" t="str">
            <v/>
          </cell>
          <cell r="I57" t="str">
            <v/>
          </cell>
          <cell r="J57" t="str">
            <v/>
          </cell>
          <cell r="K57" t="str">
            <v/>
          </cell>
          <cell r="L57" t="str">
            <v/>
          </cell>
        </row>
        <row r="58">
          <cell r="A58" t="str">
            <v>19838491W</v>
          </cell>
          <cell r="B58" t="str">
            <v>DESANTES REAL, MANUEL</v>
          </cell>
          <cell r="C58" t="str">
            <v>19/07/2012</v>
          </cell>
          <cell r="D58" t="str">
            <v>(en blanco)</v>
          </cell>
          <cell r="E58" t="str">
            <v>10.06</v>
          </cell>
          <cell r="F58" t="str">
            <v>I.INTERUNIVERSITARIO ECONOMIA INTERNACIO</v>
          </cell>
          <cell r="G58" t="str">
            <v>10</v>
          </cell>
          <cell r="H58" t="str">
            <v/>
          </cell>
          <cell r="I58" t="str">
            <v/>
          </cell>
          <cell r="J58" t="str">
            <v/>
          </cell>
          <cell r="K58" t="str">
            <v/>
          </cell>
          <cell r="L58" t="str">
            <v/>
          </cell>
        </row>
        <row r="59">
          <cell r="A59" t="str">
            <v>20015950Q</v>
          </cell>
          <cell r="B59" t="str">
            <v>MIRET MARI, JUAN JOSE</v>
          </cell>
          <cell r="C59" t="str">
            <v>07/02/2020</v>
          </cell>
          <cell r="D59" t="str">
            <v>(en blanco)</v>
          </cell>
          <cell r="E59" t="str">
            <v>10.20</v>
          </cell>
          <cell r="F59" t="str">
            <v>I.U. FISICA APLICADA A LAS CIENCIAS Y LA</v>
          </cell>
          <cell r="G59" t="str">
            <v>20</v>
          </cell>
          <cell r="H59" t="str">
            <v/>
          </cell>
          <cell r="I59" t="str">
            <v/>
          </cell>
          <cell r="J59" t="str">
            <v/>
          </cell>
          <cell r="K59" t="str">
            <v/>
          </cell>
          <cell r="L59" t="str">
            <v/>
          </cell>
        </row>
        <row r="60">
          <cell r="A60" t="str">
            <v>20033585X</v>
          </cell>
          <cell r="B60" t="str">
            <v>MONTES FERNANDEZ, ANTONIA</v>
          </cell>
          <cell r="C60" t="str">
            <v>17/12/2010</v>
          </cell>
          <cell r="D60" t="str">
            <v>(en blanco)</v>
          </cell>
          <cell r="E60" t="str">
            <v>10.15</v>
          </cell>
          <cell r="F60" t="str">
            <v>I.INTERUNIV. LENGUAS MODERNAS APLICADAS</v>
          </cell>
          <cell r="G60" t="str">
            <v>10</v>
          </cell>
          <cell r="H60" t="str">
            <v>10.23</v>
          </cell>
          <cell r="I60" t="str">
            <v>I.U. INVESTIGACION ESTUDIOS DE GENERO</v>
          </cell>
          <cell r="J60" t="str">
            <v>14/12/2018</v>
          </cell>
          <cell r="K60" t="str">
            <v>(en blanco)</v>
          </cell>
          <cell r="L60" t="str">
            <v>20</v>
          </cell>
        </row>
        <row r="61">
          <cell r="A61" t="str">
            <v>20045325C</v>
          </cell>
          <cell r="B61" t="str">
            <v>HIDALGO MARI, TATIANA</v>
          </cell>
          <cell r="C61" t="str">
            <v>15/02/2021</v>
          </cell>
          <cell r="D61" t="str">
            <v>(en blanco)</v>
          </cell>
          <cell r="E61" t="str">
            <v>10.17</v>
          </cell>
          <cell r="F61" t="str">
            <v>I.U. INVESTIGACIONES TURISTICAS</v>
          </cell>
          <cell r="G61" t="str">
            <v>20</v>
          </cell>
          <cell r="H61" t="str">
            <v/>
          </cell>
          <cell r="I61" t="str">
            <v/>
          </cell>
          <cell r="J61" t="str">
            <v/>
          </cell>
          <cell r="K61" t="str">
            <v/>
          </cell>
          <cell r="L61" t="str">
            <v/>
          </cell>
        </row>
        <row r="62">
          <cell r="A62" t="str">
            <v>20053027V</v>
          </cell>
          <cell r="B62" t="str">
            <v>MONTILLA VERDU, SALVADOR</v>
          </cell>
          <cell r="C62" t="str">
            <v>21/02/2022</v>
          </cell>
          <cell r="D62" t="str">
            <v>20/02/2023</v>
          </cell>
          <cell r="E62" t="str">
            <v>10.12</v>
          </cell>
          <cell r="F62" t="str">
            <v>I.U. ELECTROQUIMICA</v>
          </cell>
          <cell r="G62" t="str">
            <v>100</v>
          </cell>
          <cell r="H62" t="str">
            <v/>
          </cell>
          <cell r="I62" t="str">
            <v/>
          </cell>
          <cell r="J62" t="str">
            <v/>
          </cell>
          <cell r="K62" t="str">
            <v/>
          </cell>
          <cell r="L62" t="str">
            <v/>
          </cell>
        </row>
        <row r="63">
          <cell r="A63" t="str">
            <v>20054741Y</v>
          </cell>
          <cell r="B63" t="str">
            <v>DOMENE LOPEZ, DANIEL</v>
          </cell>
          <cell r="C63" t="str">
            <v>17/06/2021</v>
          </cell>
          <cell r="D63" t="str">
            <v>30/09/2022</v>
          </cell>
          <cell r="E63" t="str">
            <v>10.09</v>
          </cell>
          <cell r="F63" t="str">
            <v>I.U. INGENIERIA DE LOS PROCESOS QUIMICOS</v>
          </cell>
          <cell r="G63" t="str">
            <v>100</v>
          </cell>
          <cell r="H63" t="str">
            <v/>
          </cell>
          <cell r="I63" t="str">
            <v/>
          </cell>
          <cell r="J63" t="str">
            <v/>
          </cell>
          <cell r="K63" t="str">
            <v/>
          </cell>
          <cell r="L63" t="str">
            <v/>
          </cell>
        </row>
        <row r="64">
          <cell r="A64" t="str">
            <v>20054921W</v>
          </cell>
          <cell r="B64" t="str">
            <v>MARTINEZ PEREZ, NOELIA</v>
          </cell>
          <cell r="C64" t="str">
            <v>23/07/2021</v>
          </cell>
          <cell r="D64" t="str">
            <v>30/06/2023</v>
          </cell>
          <cell r="E64" t="str">
            <v>10.09</v>
          </cell>
          <cell r="F64" t="str">
            <v>I.U. INGENIERIA DE LOS PROCESOS QUIMICOS</v>
          </cell>
          <cell r="G64" t="str">
            <v>100</v>
          </cell>
          <cell r="H64" t="str">
            <v/>
          </cell>
          <cell r="I64" t="str">
            <v/>
          </cell>
          <cell r="J64" t="str">
            <v/>
          </cell>
          <cell r="K64" t="str">
            <v/>
          </cell>
          <cell r="L64" t="str">
            <v/>
          </cell>
        </row>
        <row r="65">
          <cell r="A65" t="str">
            <v>20083573L</v>
          </cell>
          <cell r="B65" t="str">
            <v>SIMON ALBERT, RAQUEL</v>
          </cell>
          <cell r="C65" t="str">
            <v>30/06/2022</v>
          </cell>
          <cell r="D65" t="str">
            <v>(en blanco)</v>
          </cell>
          <cell r="E65" t="str">
            <v>10.06</v>
          </cell>
          <cell r="F65" t="str">
            <v>I.INTERUNIVERSITARIO ECONOMIA INTERNACIO</v>
          </cell>
          <cell r="G65" t="str">
            <v>50</v>
          </cell>
          <cell r="H65" t="str">
            <v>10.06</v>
          </cell>
          <cell r="I65" t="str">
            <v>I.INTERUNIVERSITARIO ECONOMIA INTERNACIO</v>
          </cell>
          <cell r="J65" t="str">
            <v>17/06/2022</v>
          </cell>
          <cell r="K65" t="str">
            <v>16/06/2023</v>
          </cell>
          <cell r="L65" t="str">
            <v>100</v>
          </cell>
        </row>
        <row r="66">
          <cell r="A66" t="str">
            <v>20413324L</v>
          </cell>
          <cell r="B66" t="str">
            <v>PALOMAR SANZ, MANUEL JAVIER</v>
          </cell>
          <cell r="C66" t="str">
            <v>06/06/2018</v>
          </cell>
          <cell r="D66" t="str">
            <v>(en blanco)</v>
          </cell>
          <cell r="E66" t="str">
            <v>10.19</v>
          </cell>
          <cell r="F66" t="str">
            <v>I.U. INVESTIGACION INFORMATICA</v>
          </cell>
          <cell r="G66" t="str">
            <v>50</v>
          </cell>
          <cell r="H66" t="str">
            <v/>
          </cell>
          <cell r="I66" t="str">
            <v/>
          </cell>
          <cell r="J66" t="str">
            <v/>
          </cell>
          <cell r="K66" t="str">
            <v/>
          </cell>
          <cell r="L66" t="str">
            <v/>
          </cell>
        </row>
        <row r="67">
          <cell r="A67" t="str">
            <v>21012275G</v>
          </cell>
          <cell r="B67" t="str">
            <v>VILLARROYA CARPIO, ARTURO</v>
          </cell>
          <cell r="C67" t="str">
            <v>10/12/2021</v>
          </cell>
          <cell r="D67" t="str">
            <v>09/12/2022</v>
          </cell>
          <cell r="E67" t="str">
            <v>10.19</v>
          </cell>
          <cell r="F67" t="str">
            <v>I.U. INVESTIGACION INFORMATICA</v>
          </cell>
          <cell r="G67" t="str">
            <v>100</v>
          </cell>
          <cell r="H67" t="str">
            <v/>
          </cell>
          <cell r="I67" t="str">
            <v/>
          </cell>
          <cell r="J67" t="str">
            <v/>
          </cell>
          <cell r="K67" t="str">
            <v/>
          </cell>
          <cell r="L67" t="str">
            <v/>
          </cell>
        </row>
        <row r="68">
          <cell r="A68" t="str">
            <v>21374221E</v>
          </cell>
          <cell r="B68" t="str">
            <v>ALEMANY FERRER, RAFAEL</v>
          </cell>
          <cell r="C68" t="str">
            <v>01/03/2006</v>
          </cell>
          <cell r="D68" t="str">
            <v>(en blanco)</v>
          </cell>
          <cell r="E68" t="str">
            <v>10.08</v>
          </cell>
          <cell r="F68" t="str">
            <v>I.INTERUNIVERSITARIO FILOLOGIA VALENCIAN</v>
          </cell>
          <cell r="G68" t="str">
            <v>50</v>
          </cell>
          <cell r="H68" t="str">
            <v/>
          </cell>
          <cell r="I68" t="str">
            <v/>
          </cell>
          <cell r="J68" t="str">
            <v/>
          </cell>
          <cell r="K68" t="str">
            <v/>
          </cell>
          <cell r="L68" t="str">
            <v/>
          </cell>
        </row>
        <row r="69">
          <cell r="A69" t="str">
            <v>21374844R</v>
          </cell>
          <cell r="B69" t="str">
            <v>RAMOS ESPLA, ALFONSO ANGEL</v>
          </cell>
          <cell r="C69" t="str">
            <v>01/03/2006</v>
          </cell>
          <cell r="D69" t="str">
            <v>(en blanco)</v>
          </cell>
          <cell r="E69" t="str">
            <v>10.05</v>
          </cell>
          <cell r="F69" t="str">
            <v>I.U. AGUA Y CIENCIAS AMBIENTALES</v>
          </cell>
          <cell r="G69" t="str">
            <v>10</v>
          </cell>
          <cell r="H69" t="str">
            <v/>
          </cell>
          <cell r="I69" t="str">
            <v/>
          </cell>
          <cell r="J69" t="str">
            <v/>
          </cell>
          <cell r="K69" t="str">
            <v/>
          </cell>
          <cell r="L69" t="str">
            <v/>
          </cell>
        </row>
        <row r="70">
          <cell r="A70" t="str">
            <v>21375346C</v>
          </cell>
          <cell r="B70" t="str">
            <v>AZORIN FERNANDEZ, DOLORES</v>
          </cell>
          <cell r="C70" t="str">
            <v>01/03/2006</v>
          </cell>
          <cell r="D70" t="str">
            <v>(en blanco)</v>
          </cell>
          <cell r="E70" t="str">
            <v>10.15</v>
          </cell>
          <cell r="F70" t="str">
            <v>I.INTERUNIV. LENGUAS MODERNAS APLICADAS</v>
          </cell>
          <cell r="G70" t="str">
            <v>10</v>
          </cell>
          <cell r="H70" t="str">
            <v/>
          </cell>
          <cell r="I70" t="str">
            <v/>
          </cell>
          <cell r="J70" t="str">
            <v/>
          </cell>
          <cell r="K70" t="str">
            <v/>
          </cell>
          <cell r="L70" t="str">
            <v/>
          </cell>
        </row>
        <row r="71">
          <cell r="A71" t="str">
            <v>21378250A</v>
          </cell>
          <cell r="B71" t="str">
            <v>MATEO MARTINEZ, JOSE</v>
          </cell>
          <cell r="C71" t="str">
            <v>01/03/2006</v>
          </cell>
          <cell r="D71" t="str">
            <v>(en blanco)</v>
          </cell>
          <cell r="E71" t="str">
            <v>10.15</v>
          </cell>
          <cell r="F71" t="str">
            <v>I.INTERUNIV. LENGUAS MODERNAS APLICADAS</v>
          </cell>
          <cell r="G71" t="str">
            <v>50</v>
          </cell>
          <cell r="H71" t="str">
            <v/>
          </cell>
          <cell r="I71" t="str">
            <v/>
          </cell>
          <cell r="J71" t="str">
            <v/>
          </cell>
          <cell r="K71" t="str">
            <v/>
          </cell>
          <cell r="L71" t="str">
            <v/>
          </cell>
        </row>
        <row r="72">
          <cell r="A72" t="str">
            <v>21378697J</v>
          </cell>
          <cell r="B72" t="str">
            <v>MARTINEZ LINARES, MARIA ANTONIA</v>
          </cell>
          <cell r="C72" t="str">
            <v>01/03/2006</v>
          </cell>
          <cell r="D72" t="str">
            <v>(en blanco)</v>
          </cell>
          <cell r="E72" t="str">
            <v>10.15</v>
          </cell>
          <cell r="F72" t="str">
            <v>I.INTERUNIV. LENGUAS MODERNAS APLICADAS</v>
          </cell>
          <cell r="G72" t="str">
            <v>10</v>
          </cell>
          <cell r="H72" t="str">
            <v/>
          </cell>
          <cell r="I72" t="str">
            <v/>
          </cell>
          <cell r="J72" t="str">
            <v/>
          </cell>
          <cell r="K72" t="str">
            <v/>
          </cell>
          <cell r="L72" t="str">
            <v/>
          </cell>
        </row>
        <row r="73">
          <cell r="A73" t="str">
            <v>21384689W</v>
          </cell>
          <cell r="B73" t="str">
            <v>DIEZ SANCHEZ, JUAN JOSE</v>
          </cell>
          <cell r="C73" t="str">
            <v>19/09/2014</v>
          </cell>
          <cell r="D73" t="str">
            <v>(en blanco)</v>
          </cell>
          <cell r="E73" t="str">
            <v>10.24</v>
          </cell>
          <cell r="F73" t="str">
            <v>I.U. INVESTIGACION ARQ. Y PATR. HIST.</v>
          </cell>
          <cell r="G73" t="str">
            <v>10</v>
          </cell>
          <cell r="H73" t="str">
            <v/>
          </cell>
          <cell r="I73" t="str">
            <v/>
          </cell>
          <cell r="J73" t="str">
            <v/>
          </cell>
          <cell r="K73" t="str">
            <v/>
          </cell>
          <cell r="L73" t="str">
            <v/>
          </cell>
        </row>
        <row r="74">
          <cell r="A74" t="str">
            <v>21386831M</v>
          </cell>
          <cell r="B74" t="str">
            <v>MARTINEZ TORREGROSA, JOAQUIN</v>
          </cell>
          <cell r="C74" t="str">
            <v>08/11/2017</v>
          </cell>
          <cell r="D74" t="str">
            <v>(en blanco)</v>
          </cell>
          <cell r="E74" t="str">
            <v>10.20</v>
          </cell>
          <cell r="F74" t="str">
            <v>I.U. FISICA APLICADA A LAS CIENCIAS Y LA</v>
          </cell>
          <cell r="G74" t="str">
            <v>50</v>
          </cell>
          <cell r="H74" t="str">
            <v/>
          </cell>
          <cell r="I74" t="str">
            <v/>
          </cell>
          <cell r="J74" t="str">
            <v/>
          </cell>
          <cell r="K74" t="str">
            <v/>
          </cell>
          <cell r="L74" t="str">
            <v/>
          </cell>
        </row>
        <row r="75">
          <cell r="A75" t="str">
            <v>21388068T</v>
          </cell>
          <cell r="B75" t="str">
            <v>RIZO ALDEGUER, RAMON LUIS</v>
          </cell>
          <cell r="C75" t="str">
            <v>26/07/2006</v>
          </cell>
          <cell r="D75" t="str">
            <v>(en blanco)</v>
          </cell>
          <cell r="E75" t="str">
            <v>10.19</v>
          </cell>
          <cell r="F75" t="str">
            <v>I.U. INVESTIGACION INFORMATICA</v>
          </cell>
          <cell r="G75" t="str">
            <v>20</v>
          </cell>
          <cell r="H75" t="str">
            <v/>
          </cell>
          <cell r="I75" t="str">
            <v/>
          </cell>
          <cell r="J75" t="str">
            <v/>
          </cell>
          <cell r="K75" t="str">
            <v/>
          </cell>
          <cell r="L75" t="str">
            <v/>
          </cell>
        </row>
        <row r="76">
          <cell r="A76" t="str">
            <v>21388652D</v>
          </cell>
          <cell r="B76" t="str">
            <v>TRAPOTE JAUME, ARTURO</v>
          </cell>
          <cell r="C76" t="str">
            <v>28/01/2015</v>
          </cell>
          <cell r="D76" t="str">
            <v>(en blanco)</v>
          </cell>
          <cell r="E76" t="str">
            <v>10.05</v>
          </cell>
          <cell r="F76" t="str">
            <v>I.U. AGUA Y CIENCIAS AMBIENTALES</v>
          </cell>
          <cell r="G76" t="str">
            <v>80</v>
          </cell>
          <cell r="H76" t="str">
            <v/>
          </cell>
          <cell r="I76" t="str">
            <v/>
          </cell>
          <cell r="J76" t="str">
            <v/>
          </cell>
          <cell r="K76" t="str">
            <v/>
          </cell>
          <cell r="L76" t="str">
            <v/>
          </cell>
        </row>
        <row r="77">
          <cell r="A77" t="str">
            <v>21389246M</v>
          </cell>
          <cell r="B77" t="str">
            <v>CANALES MARTINEZ, GREGORIO</v>
          </cell>
          <cell r="C77" t="str">
            <v>05/08/2009</v>
          </cell>
          <cell r="D77" t="str">
            <v>(en blanco)</v>
          </cell>
          <cell r="E77" t="str">
            <v>10.21</v>
          </cell>
          <cell r="F77" t="str">
            <v>I.INTERUNIVERSITARIO GEOGRAFIA</v>
          </cell>
          <cell r="G77" t="str">
            <v>30</v>
          </cell>
          <cell r="H77" t="str">
            <v/>
          </cell>
          <cell r="I77" t="str">
            <v/>
          </cell>
          <cell r="J77" t="str">
            <v/>
          </cell>
          <cell r="K77" t="str">
            <v/>
          </cell>
          <cell r="L77" t="str">
            <v/>
          </cell>
        </row>
        <row r="78">
          <cell r="A78" t="str">
            <v>21393105T</v>
          </cell>
          <cell r="B78" t="str">
            <v>HERNANDEZ PRADOS, ANTONIO</v>
          </cell>
          <cell r="C78" t="str">
            <v>08/11/2017</v>
          </cell>
          <cell r="D78" t="str">
            <v>(en blanco)</v>
          </cell>
          <cell r="E78" t="str">
            <v>10.20</v>
          </cell>
          <cell r="F78" t="str">
            <v>I.U. FISICA APLICADA A LAS CIENCIAS Y LA</v>
          </cell>
          <cell r="G78" t="str">
            <v>50</v>
          </cell>
          <cell r="H78" t="str">
            <v/>
          </cell>
          <cell r="I78" t="str">
            <v/>
          </cell>
          <cell r="J78" t="str">
            <v/>
          </cell>
          <cell r="K78" t="str">
            <v/>
          </cell>
          <cell r="L78" t="str">
            <v/>
          </cell>
        </row>
        <row r="79">
          <cell r="A79" t="str">
            <v>21395951V</v>
          </cell>
          <cell r="B79" t="str">
            <v>MARCO SUCH, MANUEL</v>
          </cell>
          <cell r="C79" t="str">
            <v>30/09/2008</v>
          </cell>
          <cell r="D79" t="str">
            <v>(en blanco)</v>
          </cell>
          <cell r="E79" t="str">
            <v>10.06</v>
          </cell>
          <cell r="F79" t="str">
            <v>I.INTERUNIVERSITARIO ECONOMIA INTERNACIO</v>
          </cell>
          <cell r="G79" t="str">
            <v>10</v>
          </cell>
          <cell r="H79" t="str">
            <v>10.19</v>
          </cell>
          <cell r="I79" t="str">
            <v>I.U. INVESTIGACION INFORMATICA</v>
          </cell>
          <cell r="J79" t="str">
            <v>13/10/2011</v>
          </cell>
          <cell r="K79" t="str">
            <v>(en blanco)</v>
          </cell>
          <cell r="L79" t="str">
            <v>10</v>
          </cell>
        </row>
        <row r="80">
          <cell r="A80" t="str">
            <v>21396421G</v>
          </cell>
          <cell r="B80" t="str">
            <v>BOJ GIMENEZ, PEDRO JOSE</v>
          </cell>
          <cell r="C80" t="str">
            <v>01/03/2006</v>
          </cell>
          <cell r="D80" t="str">
            <v>(en blanco)</v>
          </cell>
          <cell r="E80" t="str">
            <v>10.14</v>
          </cell>
          <cell r="F80" t="str">
            <v>I.U. MATERIALES</v>
          </cell>
          <cell r="G80" t="str">
            <v>10</v>
          </cell>
          <cell r="H80" t="str">
            <v/>
          </cell>
          <cell r="I80" t="str">
            <v/>
          </cell>
          <cell r="J80" t="str">
            <v/>
          </cell>
          <cell r="K80" t="str">
            <v/>
          </cell>
          <cell r="L80" t="str">
            <v/>
          </cell>
        </row>
        <row r="81">
          <cell r="A81" t="str">
            <v>21397854B</v>
          </cell>
          <cell r="B81" t="str">
            <v>GREDIAGA OLIVO, ANGEL</v>
          </cell>
          <cell r="C81" t="str">
            <v>26/07/2006</v>
          </cell>
          <cell r="D81" t="str">
            <v>(en blanco)</v>
          </cell>
          <cell r="E81" t="str">
            <v>10.19</v>
          </cell>
          <cell r="F81" t="str">
            <v>I.U. INVESTIGACION INFORMATICA</v>
          </cell>
          <cell r="G81" t="str">
            <v>20</v>
          </cell>
          <cell r="H81" t="str">
            <v/>
          </cell>
          <cell r="I81" t="str">
            <v/>
          </cell>
          <cell r="J81" t="str">
            <v/>
          </cell>
          <cell r="K81" t="str">
            <v/>
          </cell>
          <cell r="L81" t="str">
            <v/>
          </cell>
        </row>
        <row r="82">
          <cell r="A82" t="str">
            <v>21398090V</v>
          </cell>
          <cell r="B82" t="str">
            <v>FERNANDEZ DAZA, ELISEO</v>
          </cell>
          <cell r="C82" t="str">
            <v>23/07/2014</v>
          </cell>
          <cell r="D82" t="str">
            <v>(en blanco)</v>
          </cell>
          <cell r="E82" t="str">
            <v>10.06</v>
          </cell>
          <cell r="F82" t="str">
            <v>I.INTERUNIVERSITARIO ECONOMIA INTERNACIO</v>
          </cell>
          <cell r="G82" t="str">
            <v>10</v>
          </cell>
          <cell r="H82" t="str">
            <v/>
          </cell>
          <cell r="I82" t="str">
            <v/>
          </cell>
          <cell r="J82" t="str">
            <v/>
          </cell>
          <cell r="K82" t="str">
            <v/>
          </cell>
          <cell r="L82" t="str">
            <v/>
          </cell>
        </row>
        <row r="83">
          <cell r="A83" t="str">
            <v>21399259J</v>
          </cell>
          <cell r="B83" t="str">
            <v>DE TOMAS SANCHEZ, JOSE ENRIQUE</v>
          </cell>
          <cell r="C83" t="str">
            <v>24/01/2017</v>
          </cell>
          <cell r="D83" t="str">
            <v>(en blanco)</v>
          </cell>
          <cell r="E83" t="str">
            <v>10.05</v>
          </cell>
          <cell r="F83" t="str">
            <v>I.U. AGUA Y CIENCIAS AMBIENTALES</v>
          </cell>
          <cell r="G83" t="str">
            <v>10</v>
          </cell>
          <cell r="H83" t="str">
            <v/>
          </cell>
          <cell r="I83" t="str">
            <v/>
          </cell>
          <cell r="J83" t="str">
            <v/>
          </cell>
          <cell r="K83" t="str">
            <v/>
          </cell>
          <cell r="L83" t="str">
            <v/>
          </cell>
        </row>
        <row r="84">
          <cell r="A84" t="str">
            <v>21399719J</v>
          </cell>
          <cell r="B84" t="str">
            <v>GOMIS YAGUES, VICENTE R.</v>
          </cell>
          <cell r="C84" t="str">
            <v>01/03/2006</v>
          </cell>
          <cell r="D84" t="str">
            <v>(en blanco)</v>
          </cell>
          <cell r="E84" t="str">
            <v>10.05</v>
          </cell>
          <cell r="F84" t="str">
            <v>I.U. AGUA Y CIENCIAS AMBIENTALES</v>
          </cell>
          <cell r="G84" t="str">
            <v>10</v>
          </cell>
          <cell r="H84" t="str">
            <v>10.09</v>
          </cell>
          <cell r="I84" t="str">
            <v>I.U. INGENIERIA DE LOS PROCESOS QUIMICOS</v>
          </cell>
          <cell r="J84" t="str">
            <v>17/05/2021</v>
          </cell>
          <cell r="K84" t="str">
            <v>(en blanco)</v>
          </cell>
          <cell r="L84" t="str">
            <v>65</v>
          </cell>
        </row>
        <row r="85">
          <cell r="A85" t="str">
            <v>21399908H</v>
          </cell>
          <cell r="B85" t="str">
            <v>MORENO MARIN, JUAN CARLOS</v>
          </cell>
          <cell r="C85" t="str">
            <v>13/11/2019</v>
          </cell>
          <cell r="D85" t="str">
            <v>(en blanco)</v>
          </cell>
          <cell r="E85" t="str">
            <v>10.20</v>
          </cell>
          <cell r="F85" t="str">
            <v>I.U. FISICA APLICADA A LAS CIENCIAS Y LA</v>
          </cell>
          <cell r="G85" t="str">
            <v>50</v>
          </cell>
          <cell r="H85" t="str">
            <v/>
          </cell>
          <cell r="I85" t="str">
            <v/>
          </cell>
          <cell r="J85" t="str">
            <v/>
          </cell>
          <cell r="K85" t="str">
            <v/>
          </cell>
          <cell r="L85" t="str">
            <v/>
          </cell>
        </row>
        <row r="86">
          <cell r="A86" t="str">
            <v>21401019W</v>
          </cell>
          <cell r="B86" t="str">
            <v>CHOFRE SIRVENT, JOSE FRANCISCO</v>
          </cell>
          <cell r="C86" t="str">
            <v>07/01/2015</v>
          </cell>
          <cell r="D86" t="str">
            <v>(en blanco)</v>
          </cell>
          <cell r="E86" t="str">
            <v>10.05</v>
          </cell>
          <cell r="F86" t="str">
            <v>I.U. AGUA Y CIENCIAS AMBIENTALES</v>
          </cell>
          <cell r="G86" t="str">
            <v>30</v>
          </cell>
          <cell r="H86" t="str">
            <v/>
          </cell>
          <cell r="I86" t="str">
            <v/>
          </cell>
          <cell r="J86" t="str">
            <v/>
          </cell>
          <cell r="K86" t="str">
            <v/>
          </cell>
          <cell r="L86" t="str">
            <v/>
          </cell>
        </row>
        <row r="87">
          <cell r="A87" t="str">
            <v>21401194Q</v>
          </cell>
          <cell r="B87" t="str">
            <v>MARCILLA GOMIS, ANTONIO FRANCISCO</v>
          </cell>
          <cell r="C87" t="str">
            <v>17/05/2021</v>
          </cell>
          <cell r="D87" t="str">
            <v>(en blanco)</v>
          </cell>
          <cell r="E87" t="str">
            <v>10.09</v>
          </cell>
          <cell r="F87" t="str">
            <v>I.U. INGENIERIA DE LOS PROCESOS QUIMICOS</v>
          </cell>
          <cell r="G87" t="str">
            <v>65</v>
          </cell>
          <cell r="H87" t="str">
            <v/>
          </cell>
          <cell r="I87" t="str">
            <v/>
          </cell>
          <cell r="J87" t="str">
            <v/>
          </cell>
          <cell r="K87" t="str">
            <v/>
          </cell>
          <cell r="L87" t="str">
            <v/>
          </cell>
        </row>
        <row r="88">
          <cell r="A88" t="str">
            <v>21406895J</v>
          </cell>
          <cell r="B88" t="str">
            <v>MACIA SOLER, MARIA LORETO</v>
          </cell>
          <cell r="C88" t="str">
            <v>16/07/2018</v>
          </cell>
          <cell r="D88" t="str">
            <v>(en blanco)</v>
          </cell>
          <cell r="E88" t="str">
            <v>10.25</v>
          </cell>
          <cell r="F88" t="str">
            <v>I.U. INV. ESTUDIOS SOC. AMERICA LATINA</v>
          </cell>
          <cell r="G88" t="str">
            <v>30</v>
          </cell>
          <cell r="H88" t="str">
            <v/>
          </cell>
          <cell r="I88" t="str">
            <v/>
          </cell>
          <cell r="J88" t="str">
            <v/>
          </cell>
          <cell r="K88" t="str">
            <v/>
          </cell>
          <cell r="L88" t="str">
            <v/>
          </cell>
        </row>
        <row r="89">
          <cell r="A89" t="str">
            <v>21407034Z</v>
          </cell>
          <cell r="B89" t="str">
            <v>VARO GALVAÑ, PEDRO JOSE</v>
          </cell>
          <cell r="C89" t="str">
            <v>01/03/2006</v>
          </cell>
          <cell r="D89" t="str">
            <v>(en blanco)</v>
          </cell>
          <cell r="E89" t="str">
            <v>10.05</v>
          </cell>
          <cell r="F89" t="str">
            <v>I.U. AGUA Y CIENCIAS AMBIENTALES</v>
          </cell>
          <cell r="G89" t="str">
            <v>45</v>
          </cell>
          <cell r="H89" t="str">
            <v>10.09</v>
          </cell>
          <cell r="I89" t="str">
            <v>I.U. INGENIERIA DE LOS PROCESOS QUIMICOS</v>
          </cell>
          <cell r="J89" t="str">
            <v>01/03/2006</v>
          </cell>
          <cell r="K89" t="str">
            <v>(en blanco)</v>
          </cell>
          <cell r="L89" t="str">
            <v>45</v>
          </cell>
        </row>
        <row r="90">
          <cell r="A90" t="str">
            <v>21407194J</v>
          </cell>
          <cell r="B90" t="str">
            <v>ALCARAZ RAMOS, MANUEL FRANCISCO</v>
          </cell>
          <cell r="C90" t="str">
            <v>10/02/2015</v>
          </cell>
          <cell r="D90" t="str">
            <v>(en blanco)</v>
          </cell>
          <cell r="E90" t="str">
            <v>10.06</v>
          </cell>
          <cell r="F90" t="str">
            <v>I.INTERUNIVERSITARIO ECONOMIA INTERNACIO</v>
          </cell>
          <cell r="G90" t="str">
            <v>10</v>
          </cell>
          <cell r="H90" t="str">
            <v/>
          </cell>
          <cell r="I90" t="str">
            <v/>
          </cell>
          <cell r="J90" t="str">
            <v/>
          </cell>
          <cell r="K90" t="str">
            <v/>
          </cell>
          <cell r="L90" t="str">
            <v/>
          </cell>
        </row>
        <row r="91">
          <cell r="A91" t="str">
            <v>21408206J</v>
          </cell>
          <cell r="B91" t="str">
            <v>SANCHEZ MONTAHUD, JUAN RAFAEL</v>
          </cell>
          <cell r="C91" t="str">
            <v>24/07/2014</v>
          </cell>
          <cell r="D91" t="str">
            <v>(en blanco)</v>
          </cell>
          <cell r="E91" t="str">
            <v>10.16</v>
          </cell>
          <cell r="F91" t="str">
            <v>I.M.E.M. RAMON MARGALEF (IMEM)</v>
          </cell>
          <cell r="G91" t="str">
            <v>20</v>
          </cell>
          <cell r="H91" t="str">
            <v/>
          </cell>
          <cell r="I91" t="str">
            <v/>
          </cell>
          <cell r="J91" t="str">
            <v/>
          </cell>
          <cell r="K91" t="str">
            <v/>
          </cell>
          <cell r="L91" t="str">
            <v/>
          </cell>
        </row>
        <row r="92">
          <cell r="A92" t="str">
            <v>21411855M</v>
          </cell>
          <cell r="B92" t="str">
            <v>SIGNES PONT, MARIA TERESA</v>
          </cell>
          <cell r="C92" t="str">
            <v>26/07/2006</v>
          </cell>
          <cell r="D92" t="str">
            <v>(en blanco)</v>
          </cell>
          <cell r="E92" t="str">
            <v>10.19</v>
          </cell>
          <cell r="F92" t="str">
            <v>I.U. INVESTIGACION INFORMATICA</v>
          </cell>
          <cell r="G92" t="str">
            <v>20</v>
          </cell>
          <cell r="H92" t="str">
            <v/>
          </cell>
          <cell r="I92" t="str">
            <v/>
          </cell>
          <cell r="J92" t="str">
            <v/>
          </cell>
          <cell r="K92" t="str">
            <v/>
          </cell>
          <cell r="L92" t="str">
            <v/>
          </cell>
        </row>
        <row r="93">
          <cell r="A93" t="str">
            <v>21414651H</v>
          </cell>
          <cell r="B93" t="str">
            <v>LOPEZ LLORCA, LUIS VICENTE</v>
          </cell>
          <cell r="C93" t="str">
            <v>10/06/2021</v>
          </cell>
          <cell r="D93" t="str">
            <v>(en blanco)</v>
          </cell>
          <cell r="E93" t="str">
            <v>10.16</v>
          </cell>
          <cell r="F93" t="str">
            <v>I.M.E.M. RAMON MARGALEF (IMEM)</v>
          </cell>
          <cell r="G93" t="str">
            <v>30</v>
          </cell>
          <cell r="H93" t="str">
            <v/>
          </cell>
          <cell r="I93" t="str">
            <v/>
          </cell>
          <cell r="J93" t="str">
            <v/>
          </cell>
          <cell r="K93" t="str">
            <v/>
          </cell>
          <cell r="L93" t="str">
            <v/>
          </cell>
        </row>
        <row r="94">
          <cell r="A94" t="str">
            <v>21415868Q</v>
          </cell>
          <cell r="B94" t="str">
            <v>CANALS HERNANDEZ, ANTONIO</v>
          </cell>
          <cell r="C94" t="str">
            <v>04/02/2009</v>
          </cell>
          <cell r="D94" t="str">
            <v>(en blanco)</v>
          </cell>
          <cell r="E94" t="str">
            <v>10.14</v>
          </cell>
          <cell r="F94" t="str">
            <v>I.U. MATERIALES</v>
          </cell>
          <cell r="G94" t="str">
            <v>50</v>
          </cell>
          <cell r="H94" t="str">
            <v/>
          </cell>
          <cell r="I94" t="str">
            <v/>
          </cell>
          <cell r="J94" t="str">
            <v/>
          </cell>
          <cell r="K94" t="str">
            <v/>
          </cell>
          <cell r="L94" t="str">
            <v/>
          </cell>
        </row>
        <row r="95">
          <cell r="A95" t="str">
            <v>21417213G</v>
          </cell>
          <cell r="B95" t="str">
            <v>CALERA RUBIO, JORGE</v>
          </cell>
          <cell r="C95" t="str">
            <v>26/07/2006</v>
          </cell>
          <cell r="D95" t="str">
            <v>(en blanco)</v>
          </cell>
          <cell r="E95" t="str">
            <v>10.19</v>
          </cell>
          <cell r="F95" t="str">
            <v>I.U. INVESTIGACION INFORMATICA</v>
          </cell>
          <cell r="G95" t="str">
            <v>20</v>
          </cell>
          <cell r="H95" t="str">
            <v/>
          </cell>
          <cell r="I95" t="str">
            <v/>
          </cell>
          <cell r="J95" t="str">
            <v/>
          </cell>
          <cell r="K95" t="str">
            <v/>
          </cell>
          <cell r="L95" t="str">
            <v/>
          </cell>
        </row>
        <row r="96">
          <cell r="A96" t="str">
            <v>21417350A</v>
          </cell>
          <cell r="B96" t="str">
            <v>VIDAL OLIVARES, FRANCISCO JAVIER</v>
          </cell>
          <cell r="C96" t="str">
            <v>28/09/2016</v>
          </cell>
          <cell r="D96" t="str">
            <v>(en blanco)</v>
          </cell>
          <cell r="E96" t="str">
            <v>10.25</v>
          </cell>
          <cell r="F96" t="str">
            <v>I.U. INV. ESTUDIOS SOC. AMERICA LATINA</v>
          </cell>
          <cell r="G96" t="str">
            <v>80</v>
          </cell>
          <cell r="H96" t="str">
            <v/>
          </cell>
          <cell r="I96" t="str">
            <v/>
          </cell>
          <cell r="J96" t="str">
            <v/>
          </cell>
          <cell r="K96" t="str">
            <v/>
          </cell>
          <cell r="L96" t="str">
            <v/>
          </cell>
        </row>
        <row r="97">
          <cell r="A97" t="str">
            <v>21417486R</v>
          </cell>
          <cell r="B97" t="str">
            <v>SIRVENT RAMOS, ANGELES</v>
          </cell>
          <cell r="C97" t="str">
            <v>01/03/2006</v>
          </cell>
          <cell r="D97" t="str">
            <v>(en blanco)</v>
          </cell>
          <cell r="E97" t="str">
            <v>10.15</v>
          </cell>
          <cell r="F97" t="str">
            <v>I.INTERUNIV. LENGUAS MODERNAS APLICADAS</v>
          </cell>
          <cell r="G97" t="str">
            <v>10</v>
          </cell>
          <cell r="H97" t="str">
            <v>10.23</v>
          </cell>
          <cell r="I97" t="str">
            <v>I.U. INVESTIGACION ESTUDIOS DE GENERO</v>
          </cell>
          <cell r="J97" t="str">
            <v>12/09/2014</v>
          </cell>
          <cell r="K97" t="str">
            <v>(en blanco)</v>
          </cell>
          <cell r="L97" t="str">
            <v>20</v>
          </cell>
        </row>
        <row r="98">
          <cell r="A98" t="str">
            <v>21418250Y</v>
          </cell>
          <cell r="B98" t="str">
            <v>CHINCHILLA CRUZ, RAFAEL JOSE</v>
          </cell>
          <cell r="C98" t="str">
            <v>15/02/2022</v>
          </cell>
          <cell r="D98" t="str">
            <v>(en blanco)</v>
          </cell>
          <cell r="E98" t="str">
            <v>10.11</v>
          </cell>
          <cell r="F98" t="str">
            <v>I.U. SINTESIS ORGANICA</v>
          </cell>
          <cell r="G98" t="str">
            <v>50</v>
          </cell>
          <cell r="H98" t="str">
            <v/>
          </cell>
          <cell r="I98" t="str">
            <v/>
          </cell>
          <cell r="J98" t="str">
            <v/>
          </cell>
          <cell r="K98" t="str">
            <v/>
          </cell>
          <cell r="L98" t="str">
            <v/>
          </cell>
        </row>
        <row r="99">
          <cell r="A99" t="str">
            <v>21418377H</v>
          </cell>
          <cell r="B99" t="str">
            <v>MOYA MONTOYA, JOSE ANTONIO</v>
          </cell>
          <cell r="C99" t="str">
            <v>12/06/2019</v>
          </cell>
          <cell r="D99" t="str">
            <v>(en blanco)</v>
          </cell>
          <cell r="E99" t="str">
            <v>10.24</v>
          </cell>
          <cell r="F99" t="str">
            <v>I.U. INVESTIGACION ARQ. Y PATR. HIST.</v>
          </cell>
          <cell r="G99" t="str">
            <v>50</v>
          </cell>
          <cell r="H99" t="str">
            <v/>
          </cell>
          <cell r="I99" t="str">
            <v/>
          </cell>
          <cell r="J99" t="str">
            <v/>
          </cell>
          <cell r="K99" t="str">
            <v/>
          </cell>
          <cell r="L99" t="str">
            <v/>
          </cell>
        </row>
        <row r="100">
          <cell r="A100" t="str">
            <v>21418438X</v>
          </cell>
          <cell r="B100" t="str">
            <v>DENIA CUESTA, ALFONSA</v>
          </cell>
          <cell r="C100" t="str">
            <v>26/05/2010</v>
          </cell>
          <cell r="D100" t="str">
            <v>(en blanco)</v>
          </cell>
          <cell r="E100" t="str">
            <v>10.22</v>
          </cell>
          <cell r="F100" t="str">
            <v>I.INTERUNIV. DESARROLLO SOCIAL Y PAZ</v>
          </cell>
          <cell r="G100" t="str">
            <v>20</v>
          </cell>
          <cell r="H100" t="str">
            <v/>
          </cell>
          <cell r="I100" t="str">
            <v/>
          </cell>
          <cell r="J100" t="str">
            <v/>
          </cell>
          <cell r="K100" t="str">
            <v/>
          </cell>
          <cell r="L100" t="str">
            <v/>
          </cell>
        </row>
        <row r="101">
          <cell r="A101" t="str">
            <v>21418561H</v>
          </cell>
          <cell r="B101" t="str">
            <v>MAS MIRALLES, ANTONI</v>
          </cell>
          <cell r="C101" t="str">
            <v>04/07/2006</v>
          </cell>
          <cell r="D101" t="str">
            <v>(en blanco)</v>
          </cell>
          <cell r="E101" t="str">
            <v>10.08</v>
          </cell>
          <cell r="F101" t="str">
            <v>I.INTERUNIVERSITARIO FILOLOGIA VALENCIAN</v>
          </cell>
          <cell r="G101" t="str">
            <v>50</v>
          </cell>
          <cell r="H101" t="str">
            <v/>
          </cell>
          <cell r="I101" t="str">
            <v/>
          </cell>
          <cell r="J101" t="str">
            <v/>
          </cell>
          <cell r="K101" t="str">
            <v/>
          </cell>
          <cell r="L101" t="str">
            <v/>
          </cell>
        </row>
        <row r="102">
          <cell r="A102" t="str">
            <v>21418619F</v>
          </cell>
          <cell r="B102" t="str">
            <v>MARTINEZ MORA, CARMEN</v>
          </cell>
          <cell r="C102" t="str">
            <v>05/11/2018</v>
          </cell>
          <cell r="D102" t="str">
            <v>(en blanco)</v>
          </cell>
          <cell r="E102" t="str">
            <v>10.06</v>
          </cell>
          <cell r="F102" t="str">
            <v>I.INTERUNIVERSITARIO ECONOMIA INTERNACIO</v>
          </cell>
          <cell r="G102" t="str">
            <v>50</v>
          </cell>
          <cell r="H102" t="str">
            <v/>
          </cell>
          <cell r="I102" t="str">
            <v/>
          </cell>
          <cell r="J102" t="str">
            <v/>
          </cell>
          <cell r="K102" t="str">
            <v/>
          </cell>
          <cell r="L102" t="str">
            <v/>
          </cell>
        </row>
        <row r="103">
          <cell r="A103" t="str">
            <v>21418660W</v>
          </cell>
          <cell r="B103" t="str">
            <v>GUTIERREZ LLORET, ROSA ANA</v>
          </cell>
          <cell r="C103" t="str">
            <v>14/07/2015</v>
          </cell>
          <cell r="D103" t="str">
            <v>(en blanco)</v>
          </cell>
          <cell r="E103" t="str">
            <v>10.23</v>
          </cell>
          <cell r="F103" t="str">
            <v>I.U. INVESTIGACION ESTUDIOS DE GENERO</v>
          </cell>
          <cell r="G103" t="str">
            <v>20</v>
          </cell>
          <cell r="H103" t="str">
            <v/>
          </cell>
          <cell r="I103" t="str">
            <v/>
          </cell>
          <cell r="J103" t="str">
            <v/>
          </cell>
          <cell r="K103" t="str">
            <v/>
          </cell>
          <cell r="L103" t="str">
            <v/>
          </cell>
        </row>
        <row r="104">
          <cell r="A104" t="str">
            <v>21419805C</v>
          </cell>
          <cell r="B104" t="str">
            <v>SAIZ PASTOR, CANDELARIA</v>
          </cell>
          <cell r="C104" t="str">
            <v>28/09/2016</v>
          </cell>
          <cell r="D104" t="str">
            <v>(en blanco)</v>
          </cell>
          <cell r="E104" t="str">
            <v>10.25</v>
          </cell>
          <cell r="F104" t="str">
            <v>I.U. INV. ESTUDIOS SOC. AMERICA LATINA</v>
          </cell>
          <cell r="G104" t="str">
            <v>80</v>
          </cell>
          <cell r="H104" t="str">
            <v/>
          </cell>
          <cell r="I104" t="str">
            <v/>
          </cell>
          <cell r="J104" t="str">
            <v/>
          </cell>
          <cell r="K104" t="str">
            <v/>
          </cell>
          <cell r="L104" t="str">
            <v/>
          </cell>
        </row>
        <row r="105">
          <cell r="A105" t="str">
            <v>21420512Z</v>
          </cell>
          <cell r="B105" t="str">
            <v>GOMEZ SIURANA, MARIA DE LOS DESAMPARADOS</v>
          </cell>
          <cell r="C105" t="str">
            <v>17/05/2021</v>
          </cell>
          <cell r="D105" t="str">
            <v>(en blanco)</v>
          </cell>
          <cell r="E105" t="str">
            <v>10.09</v>
          </cell>
          <cell r="F105" t="str">
            <v>I.U. INGENIERIA DE LOS PROCESOS QUIMICOS</v>
          </cell>
          <cell r="G105" t="str">
            <v>65</v>
          </cell>
          <cell r="H105" t="str">
            <v/>
          </cell>
          <cell r="I105" t="str">
            <v/>
          </cell>
          <cell r="J105" t="str">
            <v/>
          </cell>
          <cell r="K105" t="str">
            <v/>
          </cell>
          <cell r="L105" t="str">
            <v/>
          </cell>
        </row>
        <row r="106">
          <cell r="A106" t="str">
            <v>21422350N</v>
          </cell>
          <cell r="B106" t="str">
            <v>CAMACHO CARRASCO, MONICA LOURDES</v>
          </cell>
          <cell r="C106" t="str">
            <v>27/09/2011</v>
          </cell>
          <cell r="D106" t="str">
            <v>(en blanco)</v>
          </cell>
          <cell r="E106" t="str">
            <v>10.16</v>
          </cell>
          <cell r="F106" t="str">
            <v>I.M.E.M. RAMON MARGALEF (IMEM)</v>
          </cell>
          <cell r="G106" t="str">
            <v>10</v>
          </cell>
          <cell r="H106" t="str">
            <v/>
          </cell>
          <cell r="I106" t="str">
            <v/>
          </cell>
          <cell r="J106" t="str">
            <v/>
          </cell>
          <cell r="K106" t="str">
            <v/>
          </cell>
          <cell r="L106" t="str">
            <v/>
          </cell>
        </row>
        <row r="107">
          <cell r="A107" t="str">
            <v>21422399S</v>
          </cell>
          <cell r="B107" t="str">
            <v>ZAMORA GOMEZ, ANTONIO</v>
          </cell>
          <cell r="C107" t="str">
            <v>26/07/2006</v>
          </cell>
          <cell r="D107" t="str">
            <v>(en blanco)</v>
          </cell>
          <cell r="E107" t="str">
            <v>10.19</v>
          </cell>
          <cell r="F107" t="str">
            <v>I.U. INVESTIGACION INFORMATICA</v>
          </cell>
          <cell r="G107" t="str">
            <v>20</v>
          </cell>
          <cell r="H107" t="str">
            <v/>
          </cell>
          <cell r="I107" t="str">
            <v/>
          </cell>
          <cell r="J107" t="str">
            <v/>
          </cell>
          <cell r="K107" t="str">
            <v/>
          </cell>
          <cell r="L107" t="str">
            <v/>
          </cell>
        </row>
        <row r="108">
          <cell r="A108" t="str">
            <v>21423152D</v>
          </cell>
          <cell r="B108" t="str">
            <v>FERNANDEZ POYATOS, MARIA DOLORES</v>
          </cell>
          <cell r="C108" t="str">
            <v>14/02/2012</v>
          </cell>
          <cell r="D108" t="str">
            <v>(en blanco)</v>
          </cell>
          <cell r="E108" t="str">
            <v>10.17</v>
          </cell>
          <cell r="F108" t="str">
            <v>I.U. INVESTIGACIONES TURISTICAS</v>
          </cell>
          <cell r="G108" t="str">
            <v>20</v>
          </cell>
          <cell r="H108" t="str">
            <v>10.06</v>
          </cell>
          <cell r="I108" t="str">
            <v>I.INTERUNIVERSITARIO ECONOMIA INTERNACIO</v>
          </cell>
          <cell r="J108" t="str">
            <v>06/05/2013</v>
          </cell>
          <cell r="K108" t="str">
            <v>(en blanco)</v>
          </cell>
          <cell r="L108" t="str">
            <v>10</v>
          </cell>
        </row>
        <row r="109">
          <cell r="A109" t="str">
            <v>21425525J</v>
          </cell>
          <cell r="B109" t="str">
            <v>GOMEZ LUCAS, MARIA CECILIA</v>
          </cell>
          <cell r="C109" t="str">
            <v>31/03/2015</v>
          </cell>
          <cell r="D109" t="str">
            <v>(en blanco)</v>
          </cell>
          <cell r="E109" t="str">
            <v>10.11</v>
          </cell>
          <cell r="F109" t="str">
            <v>I.U. SINTESIS ORGANICA</v>
          </cell>
          <cell r="G109" t="str">
            <v>60</v>
          </cell>
          <cell r="H109" t="str">
            <v/>
          </cell>
          <cell r="I109" t="str">
            <v/>
          </cell>
          <cell r="J109" t="str">
            <v/>
          </cell>
          <cell r="K109" t="str">
            <v/>
          </cell>
          <cell r="L109" t="str">
            <v/>
          </cell>
        </row>
        <row r="110">
          <cell r="A110" t="str">
            <v>21428940R</v>
          </cell>
          <cell r="B110" t="str">
            <v>BALDAQUI ESCANDELL, VICENT RAIMON</v>
          </cell>
          <cell r="C110" t="str">
            <v>30/01/2019</v>
          </cell>
          <cell r="D110" t="str">
            <v>(en blanco)</v>
          </cell>
          <cell r="E110" t="str">
            <v>10.08</v>
          </cell>
          <cell r="F110" t="str">
            <v>I.INTERUNIVERSITARIO FILOLOGIA VALENCIAN</v>
          </cell>
          <cell r="G110" t="str">
            <v>50</v>
          </cell>
          <cell r="H110" t="str">
            <v/>
          </cell>
          <cell r="I110" t="str">
            <v/>
          </cell>
          <cell r="J110" t="str">
            <v/>
          </cell>
          <cell r="K110" t="str">
            <v/>
          </cell>
          <cell r="L110" t="str">
            <v/>
          </cell>
        </row>
        <row r="111">
          <cell r="A111" t="str">
            <v>21430250T</v>
          </cell>
          <cell r="B111" t="str">
            <v>ONCINA CARRATALA, JOSE MARIA</v>
          </cell>
          <cell r="C111" t="str">
            <v>26/07/2006</v>
          </cell>
          <cell r="D111" t="str">
            <v>(en blanco)</v>
          </cell>
          <cell r="E111" t="str">
            <v>10.19</v>
          </cell>
          <cell r="F111" t="str">
            <v>I.U. INVESTIGACION INFORMATICA</v>
          </cell>
          <cell r="G111" t="str">
            <v>20</v>
          </cell>
          <cell r="H111" t="str">
            <v/>
          </cell>
          <cell r="I111" t="str">
            <v/>
          </cell>
          <cell r="J111" t="str">
            <v/>
          </cell>
          <cell r="K111" t="str">
            <v/>
          </cell>
          <cell r="L111" t="str">
            <v/>
          </cell>
        </row>
        <row r="112">
          <cell r="A112" t="str">
            <v>21431893X</v>
          </cell>
          <cell r="B112" t="str">
            <v>GUTIERREZ LLORET, SONIA</v>
          </cell>
          <cell r="C112" t="str">
            <v>19/09/2014</v>
          </cell>
          <cell r="D112" t="str">
            <v>(en blanco)</v>
          </cell>
          <cell r="E112" t="str">
            <v>10.24</v>
          </cell>
          <cell r="F112" t="str">
            <v>I.U. INVESTIGACION ARQ. Y PATR. HIST.</v>
          </cell>
          <cell r="G112" t="str">
            <v>80</v>
          </cell>
          <cell r="H112" t="str">
            <v/>
          </cell>
          <cell r="I112" t="str">
            <v/>
          </cell>
          <cell r="J112" t="str">
            <v/>
          </cell>
          <cell r="K112" t="str">
            <v/>
          </cell>
          <cell r="L112" t="str">
            <v/>
          </cell>
        </row>
        <row r="113">
          <cell r="A113" t="str">
            <v>21431941N</v>
          </cell>
          <cell r="B113" t="str">
            <v>FERRER CASANOVA, JUAN</v>
          </cell>
          <cell r="C113" t="str">
            <v>26/07/2019</v>
          </cell>
          <cell r="D113" t="str">
            <v>(en blanco)</v>
          </cell>
          <cell r="E113" t="str">
            <v>10.16</v>
          </cell>
          <cell r="F113" t="str">
            <v>I.M.E.M. RAMON MARGALEF (IMEM)</v>
          </cell>
          <cell r="G113" t="str">
            <v>50</v>
          </cell>
          <cell r="H113" t="str">
            <v/>
          </cell>
          <cell r="I113" t="str">
            <v/>
          </cell>
          <cell r="J113" t="str">
            <v/>
          </cell>
          <cell r="K113" t="str">
            <v/>
          </cell>
          <cell r="L113" t="str">
            <v/>
          </cell>
        </row>
        <row r="114">
          <cell r="A114" t="str">
            <v>21432737A</v>
          </cell>
          <cell r="B114" t="str">
            <v>LOPEZ IBORRA, GERMAN MANUEL</v>
          </cell>
          <cell r="C114" t="str">
            <v>24/07/2014</v>
          </cell>
          <cell r="D114" t="str">
            <v>(en blanco)</v>
          </cell>
          <cell r="E114" t="str">
            <v>10.16</v>
          </cell>
          <cell r="F114" t="str">
            <v>I.M.E.M. RAMON MARGALEF (IMEM)</v>
          </cell>
          <cell r="G114" t="str">
            <v>30</v>
          </cell>
          <cell r="H114" t="str">
            <v/>
          </cell>
          <cell r="I114" t="str">
            <v/>
          </cell>
          <cell r="J114" t="str">
            <v/>
          </cell>
          <cell r="K114" t="str">
            <v/>
          </cell>
          <cell r="L114" t="str">
            <v/>
          </cell>
        </row>
        <row r="115">
          <cell r="A115" t="str">
            <v>21434002A</v>
          </cell>
          <cell r="B115" t="str">
            <v>PINA MEDINA, VICTOR MANUEL</v>
          </cell>
          <cell r="C115" t="str">
            <v>01/03/2006</v>
          </cell>
          <cell r="D115" t="str">
            <v>(en blanco)</v>
          </cell>
          <cell r="E115" t="str">
            <v>10.15</v>
          </cell>
          <cell r="F115" t="str">
            <v>I.INTERUNIV. LENGUAS MODERNAS APLICADAS</v>
          </cell>
          <cell r="G115" t="str">
            <v>10</v>
          </cell>
          <cell r="H115" t="str">
            <v/>
          </cell>
          <cell r="I115" t="str">
            <v/>
          </cell>
          <cell r="J115" t="str">
            <v/>
          </cell>
          <cell r="K115" t="str">
            <v/>
          </cell>
          <cell r="L115" t="str">
            <v/>
          </cell>
        </row>
        <row r="116">
          <cell r="A116" t="str">
            <v>21434053P</v>
          </cell>
          <cell r="B116" t="str">
            <v>LAFUENTE SANCHEZ, RAUL</v>
          </cell>
          <cell r="C116" t="str">
            <v>22/02/2016</v>
          </cell>
          <cell r="D116" t="str">
            <v>(en blanco)</v>
          </cell>
          <cell r="E116" t="str">
            <v>10.06</v>
          </cell>
          <cell r="F116" t="str">
            <v>I.INTERUNIVERSITARIO ECONOMIA INTERNACIO</v>
          </cell>
          <cell r="G116" t="str">
            <v>10</v>
          </cell>
          <cell r="H116" t="str">
            <v/>
          </cell>
          <cell r="I116" t="str">
            <v/>
          </cell>
          <cell r="J116" t="str">
            <v/>
          </cell>
          <cell r="K116" t="str">
            <v/>
          </cell>
          <cell r="L116" t="str">
            <v/>
          </cell>
        </row>
        <row r="117">
          <cell r="A117" t="str">
            <v>21434080N</v>
          </cell>
          <cell r="B117" t="str">
            <v>JORDA GUIJARRO, JUANA DOLORES</v>
          </cell>
          <cell r="C117" t="str">
            <v>17/11/2010</v>
          </cell>
          <cell r="D117" t="str">
            <v>(en blanco)</v>
          </cell>
          <cell r="E117" t="str">
            <v>10.16</v>
          </cell>
          <cell r="F117" t="str">
            <v>I.M.E.M. RAMON MARGALEF (IMEM)</v>
          </cell>
          <cell r="G117" t="str">
            <v>50</v>
          </cell>
          <cell r="H117" t="str">
            <v/>
          </cell>
          <cell r="I117" t="str">
            <v/>
          </cell>
          <cell r="J117" t="str">
            <v/>
          </cell>
          <cell r="K117" t="str">
            <v/>
          </cell>
          <cell r="L117" t="str">
            <v/>
          </cell>
        </row>
        <row r="118">
          <cell r="A118" t="str">
            <v>21434118G</v>
          </cell>
          <cell r="B118" t="str">
            <v>MARCO MOLINA, JUAN ANTONIO</v>
          </cell>
          <cell r="C118" t="str">
            <v>30/09/2009</v>
          </cell>
          <cell r="D118" t="str">
            <v>(en blanco)</v>
          </cell>
          <cell r="E118" t="str">
            <v>10.13</v>
          </cell>
          <cell r="F118" t="str">
            <v>I.U. INVESTIGACION - CIBIO</v>
          </cell>
          <cell r="G118" t="str">
            <v>20</v>
          </cell>
          <cell r="H118" t="str">
            <v>10.21</v>
          </cell>
          <cell r="I118" t="str">
            <v>I.INTERUNIVERSITARIO GEOGRAFIA</v>
          </cell>
          <cell r="J118" t="str">
            <v>30/09/2009</v>
          </cell>
          <cell r="K118" t="str">
            <v>(en blanco)</v>
          </cell>
          <cell r="L118" t="str">
            <v>40</v>
          </cell>
        </row>
        <row r="119">
          <cell r="A119" t="str">
            <v>21434282F</v>
          </cell>
          <cell r="B119" t="str">
            <v>SANCHEZ MATEO, YOLANDA DE SAN RAFAEL</v>
          </cell>
          <cell r="C119" t="str">
            <v>14/02/2017</v>
          </cell>
          <cell r="D119" t="str">
            <v>(en blanco)</v>
          </cell>
          <cell r="E119" t="str">
            <v>10.15</v>
          </cell>
          <cell r="F119" t="str">
            <v>I.INTERUNIV. LENGUAS MODERNAS APLICADAS</v>
          </cell>
          <cell r="G119" t="str">
            <v>25</v>
          </cell>
          <cell r="H119" t="str">
            <v/>
          </cell>
          <cell r="I119" t="str">
            <v/>
          </cell>
          <cell r="J119" t="str">
            <v/>
          </cell>
          <cell r="K119" t="str">
            <v/>
          </cell>
          <cell r="L119" t="str">
            <v/>
          </cell>
        </row>
        <row r="120">
          <cell r="A120" t="str">
            <v>21434493B</v>
          </cell>
          <cell r="B120" t="str">
            <v>MONTIEL LEGUEY, VICENTE</v>
          </cell>
          <cell r="C120" t="str">
            <v>01/03/2006</v>
          </cell>
          <cell r="D120" t="str">
            <v>(en blanco)</v>
          </cell>
          <cell r="E120" t="str">
            <v>10.12</v>
          </cell>
          <cell r="F120" t="str">
            <v>I.U. ELECTROQUIMICA</v>
          </cell>
          <cell r="G120" t="str">
            <v>50</v>
          </cell>
          <cell r="H120" t="str">
            <v/>
          </cell>
          <cell r="I120" t="str">
            <v/>
          </cell>
          <cell r="J120" t="str">
            <v/>
          </cell>
          <cell r="K120" t="str">
            <v/>
          </cell>
          <cell r="L120" t="str">
            <v/>
          </cell>
        </row>
        <row r="121">
          <cell r="A121" t="str">
            <v>21435704A</v>
          </cell>
          <cell r="B121" t="str">
            <v>MARTINEZ ALMIRA, MARIA MAGDALENA</v>
          </cell>
          <cell r="C121" t="str">
            <v>01/10/2015</v>
          </cell>
          <cell r="D121" t="str">
            <v>(en blanco)</v>
          </cell>
          <cell r="E121" t="str">
            <v>10.05</v>
          </cell>
          <cell r="F121" t="str">
            <v>I.U. AGUA Y CIENCIAS AMBIENTALES</v>
          </cell>
          <cell r="G121" t="str">
            <v>50</v>
          </cell>
          <cell r="H121" t="str">
            <v/>
          </cell>
          <cell r="I121" t="str">
            <v/>
          </cell>
          <cell r="J121" t="str">
            <v/>
          </cell>
          <cell r="K121" t="str">
            <v/>
          </cell>
          <cell r="L121" t="str">
            <v/>
          </cell>
        </row>
        <row r="122">
          <cell r="A122" t="str">
            <v>21436046T</v>
          </cell>
          <cell r="B122" t="str">
            <v>BARRIO BARRIO, JUAN ANTONIO</v>
          </cell>
          <cell r="C122" t="str">
            <v>24/09/2015</v>
          </cell>
          <cell r="D122" t="str">
            <v>(en blanco)</v>
          </cell>
          <cell r="E122" t="str">
            <v>10.23</v>
          </cell>
          <cell r="F122" t="str">
            <v>I.U. INVESTIGACION ESTUDIOS DE GENERO</v>
          </cell>
          <cell r="G122" t="str">
            <v>10</v>
          </cell>
          <cell r="H122" t="str">
            <v>10.25</v>
          </cell>
          <cell r="I122" t="str">
            <v>I.U. INV. ESTUDIOS SOC. AMERICA LATINA</v>
          </cell>
          <cell r="J122" t="str">
            <v>28/09/2016</v>
          </cell>
          <cell r="K122" t="str">
            <v>(en blanco)</v>
          </cell>
          <cell r="L122" t="str">
            <v>25</v>
          </cell>
        </row>
        <row r="123">
          <cell r="A123" t="str">
            <v>21436398F</v>
          </cell>
          <cell r="B123" t="str">
            <v>SUCH CLIMENT, MARIA PAZ</v>
          </cell>
          <cell r="C123" t="str">
            <v>05/08/2009</v>
          </cell>
          <cell r="D123" t="str">
            <v>(en blanco)</v>
          </cell>
          <cell r="E123" t="str">
            <v>10.21</v>
          </cell>
          <cell r="F123" t="str">
            <v>I.INTERUNIVERSITARIO GEOGRAFIA</v>
          </cell>
          <cell r="G123" t="str">
            <v>30</v>
          </cell>
          <cell r="H123" t="str">
            <v>10.17</v>
          </cell>
          <cell r="I123" t="str">
            <v>I.U. INVESTIGACIONES TURISTICAS</v>
          </cell>
          <cell r="J123" t="str">
            <v>26/07/2006</v>
          </cell>
          <cell r="K123" t="str">
            <v>(en blanco)</v>
          </cell>
          <cell r="L123" t="str">
            <v>35</v>
          </cell>
        </row>
        <row r="124">
          <cell r="A124" t="str">
            <v>21436412K</v>
          </cell>
          <cell r="B124" t="str">
            <v>GUILLEN NIETO, VICTORIA</v>
          </cell>
          <cell r="C124" t="str">
            <v>01/03/2006</v>
          </cell>
          <cell r="D124" t="str">
            <v>(en blanco)</v>
          </cell>
          <cell r="E124" t="str">
            <v>10.15</v>
          </cell>
          <cell r="F124" t="str">
            <v>I.INTERUNIV. LENGUAS MODERNAS APLICADAS</v>
          </cell>
          <cell r="G124" t="str">
            <v>50</v>
          </cell>
          <cell r="H124" t="str">
            <v/>
          </cell>
          <cell r="I124" t="str">
            <v/>
          </cell>
          <cell r="J124" t="str">
            <v/>
          </cell>
          <cell r="K124" t="str">
            <v/>
          </cell>
          <cell r="L124" t="str">
            <v/>
          </cell>
        </row>
        <row r="125">
          <cell r="A125" t="str">
            <v>21436895K</v>
          </cell>
          <cell r="B125" t="str">
            <v>PLANELLES IVAÑEZ, MONSERRAT JOSEFA</v>
          </cell>
          <cell r="C125" t="str">
            <v>06/09/2018</v>
          </cell>
          <cell r="D125" t="str">
            <v>(en blanco)</v>
          </cell>
          <cell r="E125" t="str">
            <v>10.15</v>
          </cell>
          <cell r="F125" t="str">
            <v>I.INTERUNIV. LENGUAS MODERNAS APLICADAS</v>
          </cell>
          <cell r="G125" t="str">
            <v>20</v>
          </cell>
          <cell r="H125" t="str">
            <v/>
          </cell>
          <cell r="I125" t="str">
            <v/>
          </cell>
          <cell r="J125" t="str">
            <v/>
          </cell>
          <cell r="K125" t="str">
            <v/>
          </cell>
          <cell r="L125" t="str">
            <v/>
          </cell>
        </row>
        <row r="126">
          <cell r="A126" t="str">
            <v>21437211S</v>
          </cell>
          <cell r="B126" t="str">
            <v>BAYLE SEMPERE, JUST TOMAS</v>
          </cell>
          <cell r="C126" t="str">
            <v>11/10/2007</v>
          </cell>
          <cell r="D126" t="str">
            <v>(en blanco)</v>
          </cell>
          <cell r="E126" t="str">
            <v>10.16</v>
          </cell>
          <cell r="F126" t="str">
            <v>I.M.E.M. RAMON MARGALEF (IMEM)</v>
          </cell>
          <cell r="G126" t="str">
            <v>50</v>
          </cell>
          <cell r="H126" t="str">
            <v/>
          </cell>
          <cell r="I126" t="str">
            <v/>
          </cell>
          <cell r="J126" t="str">
            <v/>
          </cell>
          <cell r="K126" t="str">
            <v/>
          </cell>
          <cell r="L126" t="str">
            <v/>
          </cell>
        </row>
        <row r="127">
          <cell r="A127" t="str">
            <v>21437369N</v>
          </cell>
          <cell r="B127" t="str">
            <v>BALDAQUI ESCANDELL, JOSEP MARIA</v>
          </cell>
          <cell r="C127" t="str">
            <v>01/03/2006</v>
          </cell>
          <cell r="D127" t="str">
            <v>(en blanco)</v>
          </cell>
          <cell r="E127" t="str">
            <v>10.08</v>
          </cell>
          <cell r="F127" t="str">
            <v>I.INTERUNIVERSITARIO FILOLOGIA VALENCIAN</v>
          </cell>
          <cell r="G127" t="str">
            <v>50</v>
          </cell>
          <cell r="H127" t="str">
            <v/>
          </cell>
          <cell r="I127" t="str">
            <v/>
          </cell>
          <cell r="J127" t="str">
            <v/>
          </cell>
          <cell r="K127" t="str">
            <v/>
          </cell>
          <cell r="L127" t="str">
            <v/>
          </cell>
        </row>
        <row r="128">
          <cell r="A128" t="str">
            <v>21438394W</v>
          </cell>
          <cell r="B128" t="str">
            <v>MICO ANDRES, MARIA LUISA</v>
          </cell>
          <cell r="C128" t="str">
            <v>26/07/2006</v>
          </cell>
          <cell r="D128" t="str">
            <v>(en blanco)</v>
          </cell>
          <cell r="E128" t="str">
            <v>10.19</v>
          </cell>
          <cell r="F128" t="str">
            <v>I.U. INVESTIGACION INFORMATICA</v>
          </cell>
          <cell r="G128" t="str">
            <v>20</v>
          </cell>
          <cell r="H128" t="str">
            <v/>
          </cell>
          <cell r="I128" t="str">
            <v/>
          </cell>
          <cell r="J128" t="str">
            <v/>
          </cell>
          <cell r="K128" t="str">
            <v/>
          </cell>
          <cell r="L128" t="str">
            <v/>
          </cell>
        </row>
        <row r="129">
          <cell r="A129" t="str">
            <v>21438560F</v>
          </cell>
          <cell r="B129" t="str">
            <v>PERNIAS PECO, PEDRO AGUSTIN</v>
          </cell>
          <cell r="C129" t="str">
            <v>30/09/2008</v>
          </cell>
          <cell r="D129" t="str">
            <v>(en blanco)</v>
          </cell>
          <cell r="E129" t="str">
            <v>10.06</v>
          </cell>
          <cell r="F129" t="str">
            <v>I.INTERUNIVERSITARIO ECONOMIA INTERNACIO</v>
          </cell>
          <cell r="G129" t="str">
            <v>10</v>
          </cell>
          <cell r="H129" t="str">
            <v/>
          </cell>
          <cell r="I129" t="str">
            <v/>
          </cell>
          <cell r="J129" t="str">
            <v/>
          </cell>
          <cell r="K129" t="str">
            <v/>
          </cell>
          <cell r="L129" t="str">
            <v/>
          </cell>
        </row>
        <row r="130">
          <cell r="A130" t="str">
            <v>21439023X</v>
          </cell>
          <cell r="B130" t="str">
            <v>SEMPERE ORTELLS, JOSE MIGUEL</v>
          </cell>
          <cell r="C130" t="str">
            <v>24/10/2006</v>
          </cell>
          <cell r="D130" t="str">
            <v>(en blanco)</v>
          </cell>
          <cell r="E130" t="str">
            <v>10.15</v>
          </cell>
          <cell r="F130" t="str">
            <v>I.INTERUNIV. LENGUAS MODERNAS APLICADAS</v>
          </cell>
          <cell r="G130" t="str">
            <v>10</v>
          </cell>
          <cell r="H130" t="str">
            <v/>
          </cell>
          <cell r="I130" t="str">
            <v/>
          </cell>
          <cell r="J130" t="str">
            <v/>
          </cell>
          <cell r="K130" t="str">
            <v/>
          </cell>
          <cell r="L130" t="str">
            <v/>
          </cell>
        </row>
        <row r="131">
          <cell r="A131" t="str">
            <v>21439172K</v>
          </cell>
          <cell r="B131" t="str">
            <v>ALEDO TUR, ANTONIO JOSE</v>
          </cell>
          <cell r="C131" t="str">
            <v>15/07/2015</v>
          </cell>
          <cell r="D131" t="str">
            <v>(en blanco)</v>
          </cell>
          <cell r="E131" t="str">
            <v>10.05</v>
          </cell>
          <cell r="F131" t="str">
            <v>I.U. AGUA Y CIENCIAS AMBIENTALES</v>
          </cell>
          <cell r="G131" t="str">
            <v>50</v>
          </cell>
          <cell r="H131" t="str">
            <v>10.17</v>
          </cell>
          <cell r="I131" t="str">
            <v>I.U. INVESTIGACIONES TURISTICAS</v>
          </cell>
          <cell r="J131" t="str">
            <v>15/10/2018</v>
          </cell>
          <cell r="K131" t="str">
            <v>(en blanco)</v>
          </cell>
          <cell r="L131" t="str">
            <v>10</v>
          </cell>
        </row>
        <row r="132">
          <cell r="A132" t="str">
            <v>21439260V</v>
          </cell>
          <cell r="B132" t="str">
            <v>GARCIA SEMPERE, MARIA MANUELA</v>
          </cell>
          <cell r="C132" t="str">
            <v>04/07/2006</v>
          </cell>
          <cell r="D132" t="str">
            <v>(en blanco)</v>
          </cell>
          <cell r="E132" t="str">
            <v>10.08</v>
          </cell>
          <cell r="F132" t="str">
            <v>I.INTERUNIVERSITARIO FILOLOGIA VALENCIAN</v>
          </cell>
          <cell r="G132" t="str">
            <v>50</v>
          </cell>
          <cell r="H132" t="str">
            <v/>
          </cell>
          <cell r="I132" t="str">
            <v/>
          </cell>
          <cell r="J132" t="str">
            <v/>
          </cell>
          <cell r="K132" t="str">
            <v/>
          </cell>
          <cell r="L132" t="str">
            <v/>
          </cell>
        </row>
        <row r="133">
          <cell r="A133" t="str">
            <v>21439614A</v>
          </cell>
          <cell r="B133" t="str">
            <v>IÑESTA QUEREDA, JOSE MANUEL</v>
          </cell>
          <cell r="C133" t="str">
            <v>26/07/2006</v>
          </cell>
          <cell r="D133" t="str">
            <v>(en blanco)</v>
          </cell>
          <cell r="E133" t="str">
            <v>10.19</v>
          </cell>
          <cell r="F133" t="str">
            <v>I.U. INVESTIGACION INFORMATICA</v>
          </cell>
          <cell r="G133" t="str">
            <v>20</v>
          </cell>
          <cell r="H133" t="str">
            <v/>
          </cell>
          <cell r="I133" t="str">
            <v/>
          </cell>
          <cell r="J133" t="str">
            <v/>
          </cell>
          <cell r="K133" t="str">
            <v/>
          </cell>
          <cell r="L133" t="str">
            <v/>
          </cell>
        </row>
        <row r="134">
          <cell r="A134" t="str">
            <v>21441866R</v>
          </cell>
          <cell r="B134" t="str">
            <v>ANTON BOTELLA, JOSEFA</v>
          </cell>
          <cell r="C134" t="str">
            <v>27/09/2007</v>
          </cell>
          <cell r="D134" t="str">
            <v>(en blanco)</v>
          </cell>
          <cell r="E134" t="str">
            <v>10.16</v>
          </cell>
          <cell r="F134" t="str">
            <v>I.M.E.M. RAMON MARGALEF (IMEM)</v>
          </cell>
          <cell r="G134" t="str">
            <v>50</v>
          </cell>
          <cell r="H134" t="str">
            <v/>
          </cell>
          <cell r="I134" t="str">
            <v/>
          </cell>
          <cell r="J134" t="str">
            <v/>
          </cell>
          <cell r="K134" t="str">
            <v/>
          </cell>
          <cell r="L134" t="str">
            <v/>
          </cell>
        </row>
        <row r="135">
          <cell r="A135" t="str">
            <v>21442319V</v>
          </cell>
          <cell r="B135" t="str">
            <v>RODENAS CALATAYUD, MARIA CARMEN</v>
          </cell>
          <cell r="C135" t="str">
            <v>26/03/2015</v>
          </cell>
          <cell r="D135" t="str">
            <v>(en blanco)</v>
          </cell>
          <cell r="E135" t="str">
            <v>10.22</v>
          </cell>
          <cell r="F135" t="str">
            <v>I.INTERUNIV. DESARROLLO SOCIAL Y PAZ</v>
          </cell>
          <cell r="G135" t="str">
            <v>50</v>
          </cell>
          <cell r="H135" t="str">
            <v/>
          </cell>
          <cell r="I135" t="str">
            <v/>
          </cell>
          <cell r="J135" t="str">
            <v/>
          </cell>
          <cell r="K135" t="str">
            <v/>
          </cell>
          <cell r="L135" t="str">
            <v/>
          </cell>
        </row>
        <row r="136">
          <cell r="A136" t="str">
            <v>21442493F</v>
          </cell>
          <cell r="B136" t="str">
            <v>MARIMON LLORCA, MARIA DEL CARMEN</v>
          </cell>
          <cell r="C136" t="str">
            <v>01/03/2006</v>
          </cell>
          <cell r="D136" t="str">
            <v>(en blanco)</v>
          </cell>
          <cell r="E136" t="str">
            <v>10.15</v>
          </cell>
          <cell r="F136" t="str">
            <v>I.INTERUNIV. LENGUAS MODERNAS APLICADAS</v>
          </cell>
          <cell r="G136" t="str">
            <v>10</v>
          </cell>
          <cell r="H136" t="str">
            <v>10.23</v>
          </cell>
          <cell r="I136" t="str">
            <v>I.U. INVESTIGACION ESTUDIOS DE GENERO</v>
          </cell>
          <cell r="J136" t="str">
            <v>15/05/2015</v>
          </cell>
          <cell r="K136" t="str">
            <v>(en blanco)</v>
          </cell>
          <cell r="L136" t="str">
            <v>10</v>
          </cell>
        </row>
        <row r="137">
          <cell r="A137" t="str">
            <v>21444057F</v>
          </cell>
          <cell r="B137" t="str">
            <v>RODES GARCIA, ANTONIO</v>
          </cell>
          <cell r="C137" t="str">
            <v>01/03/2006</v>
          </cell>
          <cell r="D137" t="str">
            <v>(en blanco)</v>
          </cell>
          <cell r="E137" t="str">
            <v>10.12</v>
          </cell>
          <cell r="F137" t="str">
            <v>I.U. ELECTROQUIMICA</v>
          </cell>
          <cell r="G137" t="str">
            <v>50</v>
          </cell>
          <cell r="H137" t="str">
            <v/>
          </cell>
          <cell r="I137" t="str">
            <v/>
          </cell>
          <cell r="J137" t="str">
            <v/>
          </cell>
          <cell r="K137" t="str">
            <v/>
          </cell>
          <cell r="L137" t="str">
            <v/>
          </cell>
        </row>
        <row r="138">
          <cell r="A138" t="str">
            <v>21444613B</v>
          </cell>
          <cell r="B138" t="str">
            <v>CARRATALA GIMENEZ, ADORACION ASUNCION</v>
          </cell>
          <cell r="C138" t="str">
            <v>24/11/2015</v>
          </cell>
          <cell r="D138" t="str">
            <v>(en blanco)</v>
          </cell>
          <cell r="E138" t="str">
            <v>10.09</v>
          </cell>
          <cell r="F138" t="str">
            <v>I.U. INGENIERIA DE LOS PROCESOS QUIMICOS</v>
          </cell>
          <cell r="G138" t="str">
            <v>40</v>
          </cell>
          <cell r="H138" t="str">
            <v>10.05</v>
          </cell>
          <cell r="I138" t="str">
            <v>I.U. AGUA Y CIENCIAS AMBIENTALES</v>
          </cell>
          <cell r="J138" t="str">
            <v>18/05/2021</v>
          </cell>
          <cell r="K138" t="str">
            <v>(en blanco)</v>
          </cell>
          <cell r="L138" t="str">
            <v>20</v>
          </cell>
        </row>
        <row r="139">
          <cell r="A139" t="str">
            <v>21444744G</v>
          </cell>
          <cell r="B139" t="str">
            <v>ORTS MATEO, JOSE MANUEL</v>
          </cell>
          <cell r="C139" t="str">
            <v>01/03/2006</v>
          </cell>
          <cell r="D139" t="str">
            <v>(en blanco)</v>
          </cell>
          <cell r="E139" t="str">
            <v>10.12</v>
          </cell>
          <cell r="F139" t="str">
            <v>I.U. ELECTROQUIMICA</v>
          </cell>
          <cell r="G139" t="str">
            <v>50</v>
          </cell>
          <cell r="H139" t="str">
            <v/>
          </cell>
          <cell r="I139" t="str">
            <v/>
          </cell>
          <cell r="J139" t="str">
            <v/>
          </cell>
          <cell r="K139" t="str">
            <v/>
          </cell>
          <cell r="L139" t="str">
            <v/>
          </cell>
        </row>
        <row r="140">
          <cell r="A140" t="str">
            <v>21444874L</v>
          </cell>
          <cell r="B140" t="str">
            <v>FORCADA ZUBIZARRETA, MIKEL LORENZO</v>
          </cell>
          <cell r="C140" t="str">
            <v>26/07/2006</v>
          </cell>
          <cell r="D140" t="str">
            <v>(en blanco)</v>
          </cell>
          <cell r="E140" t="str">
            <v>10.19</v>
          </cell>
          <cell r="F140" t="str">
            <v>I.U. INVESTIGACION INFORMATICA</v>
          </cell>
          <cell r="G140" t="str">
            <v>20</v>
          </cell>
          <cell r="H140" t="str">
            <v/>
          </cell>
          <cell r="I140" t="str">
            <v/>
          </cell>
          <cell r="J140" t="str">
            <v/>
          </cell>
          <cell r="K140" t="str">
            <v/>
          </cell>
          <cell r="L140" t="str">
            <v/>
          </cell>
        </row>
        <row r="141">
          <cell r="A141" t="str">
            <v>21445209D</v>
          </cell>
          <cell r="B141" t="str">
            <v>NARCISO ROMERO, FRANCISCO JAVIER</v>
          </cell>
          <cell r="C141" t="str">
            <v>01/03/2006</v>
          </cell>
          <cell r="D141" t="str">
            <v>(en blanco)</v>
          </cell>
          <cell r="E141" t="str">
            <v>10.14</v>
          </cell>
          <cell r="F141" t="str">
            <v>I.U. MATERIALES</v>
          </cell>
          <cell r="G141" t="str">
            <v>20</v>
          </cell>
          <cell r="H141" t="str">
            <v/>
          </cell>
          <cell r="I141" t="str">
            <v/>
          </cell>
          <cell r="J141" t="str">
            <v/>
          </cell>
          <cell r="K141" t="str">
            <v/>
          </cell>
          <cell r="L141" t="str">
            <v/>
          </cell>
        </row>
        <row r="142">
          <cell r="A142" t="str">
            <v>21445733G</v>
          </cell>
          <cell r="B142" t="str">
            <v>MENENDEZ ALZAMORA, MANUEL</v>
          </cell>
          <cell r="C142" t="str">
            <v>22/03/2019</v>
          </cell>
          <cell r="D142" t="str">
            <v>(en blanco)</v>
          </cell>
          <cell r="E142" t="str">
            <v>10.25</v>
          </cell>
          <cell r="F142" t="str">
            <v>I.U. INV. ESTUDIOS SOC. AMERICA LATINA</v>
          </cell>
          <cell r="G142" t="str">
            <v>10</v>
          </cell>
          <cell r="H142" t="str">
            <v/>
          </cell>
          <cell r="I142" t="str">
            <v/>
          </cell>
          <cell r="J142" t="str">
            <v/>
          </cell>
          <cell r="K142" t="str">
            <v/>
          </cell>
          <cell r="L142" t="str">
            <v/>
          </cell>
        </row>
        <row r="143">
          <cell r="A143" t="str">
            <v>21446823J</v>
          </cell>
          <cell r="B143" t="str">
            <v>CONGOST MAESTRE, NEREIDA</v>
          </cell>
          <cell r="C143" t="str">
            <v>02/03/2015</v>
          </cell>
          <cell r="D143" t="str">
            <v>(en blanco)</v>
          </cell>
          <cell r="E143" t="str">
            <v>10.15</v>
          </cell>
          <cell r="F143" t="str">
            <v>I.INTERUNIV. LENGUAS MODERNAS APLICADAS</v>
          </cell>
          <cell r="G143" t="str">
            <v>50</v>
          </cell>
          <cell r="H143" t="str">
            <v/>
          </cell>
          <cell r="I143" t="str">
            <v/>
          </cell>
          <cell r="J143" t="str">
            <v/>
          </cell>
          <cell r="K143" t="str">
            <v/>
          </cell>
          <cell r="L143" t="str">
            <v/>
          </cell>
        </row>
        <row r="144">
          <cell r="A144" t="str">
            <v>21448259T</v>
          </cell>
          <cell r="B144" t="str">
            <v>MARTIN CANTARINO, CARLOS</v>
          </cell>
          <cell r="C144" t="str">
            <v>01/10/2015</v>
          </cell>
          <cell r="D144" t="str">
            <v>(en blanco)</v>
          </cell>
          <cell r="E144" t="str">
            <v>10.05</v>
          </cell>
          <cell r="F144" t="str">
            <v>I.U. AGUA Y CIENCIAS AMBIENTALES</v>
          </cell>
          <cell r="G144" t="str">
            <v>10</v>
          </cell>
          <cell r="H144" t="str">
            <v>10.16</v>
          </cell>
          <cell r="I144" t="str">
            <v>I.M.E.M. RAMON MARGALEF (IMEM)</v>
          </cell>
          <cell r="J144" t="str">
            <v>18/12/2015</v>
          </cell>
          <cell r="K144" t="str">
            <v>(en blanco)</v>
          </cell>
          <cell r="L144" t="str">
            <v>10</v>
          </cell>
        </row>
        <row r="145">
          <cell r="A145" t="str">
            <v>21449137G</v>
          </cell>
          <cell r="B145" t="str">
            <v>ROSSER LIMIÑANA, ANA MARIA</v>
          </cell>
          <cell r="C145" t="str">
            <v>28/02/2019</v>
          </cell>
          <cell r="D145" t="str">
            <v>(en blanco)</v>
          </cell>
          <cell r="E145" t="str">
            <v>10.23</v>
          </cell>
          <cell r="F145" t="str">
            <v>I.U. INVESTIGACION ESTUDIOS DE GENERO</v>
          </cell>
          <cell r="G145" t="str">
            <v>20</v>
          </cell>
          <cell r="H145" t="str">
            <v/>
          </cell>
          <cell r="I145" t="str">
            <v/>
          </cell>
          <cell r="J145" t="str">
            <v/>
          </cell>
          <cell r="K145" t="str">
            <v/>
          </cell>
          <cell r="L145" t="str">
            <v/>
          </cell>
        </row>
        <row r="146">
          <cell r="A146" t="str">
            <v>21450008R</v>
          </cell>
          <cell r="B146" t="str">
            <v>ROSA MORENO, JUAN</v>
          </cell>
          <cell r="C146" t="str">
            <v>28/09/2016</v>
          </cell>
          <cell r="D146" t="str">
            <v>(en blanco)</v>
          </cell>
          <cell r="E146" t="str">
            <v>10.25</v>
          </cell>
          <cell r="F146" t="str">
            <v>I.U. INV. ESTUDIOS SOC. AMERICA LATINA</v>
          </cell>
          <cell r="G146" t="str">
            <v>50</v>
          </cell>
          <cell r="H146" t="str">
            <v/>
          </cell>
          <cell r="I146" t="str">
            <v/>
          </cell>
          <cell r="J146" t="str">
            <v/>
          </cell>
          <cell r="K146" t="str">
            <v/>
          </cell>
          <cell r="L146" t="str">
            <v/>
          </cell>
        </row>
        <row r="147">
          <cell r="A147" t="str">
            <v>21450055W</v>
          </cell>
          <cell r="B147" t="str">
            <v>CARRASCO JIMENEZ, RAFAEL CARLOS</v>
          </cell>
          <cell r="C147" t="str">
            <v>26/07/2006</v>
          </cell>
          <cell r="D147" t="str">
            <v>(en blanco)</v>
          </cell>
          <cell r="E147" t="str">
            <v>10.19</v>
          </cell>
          <cell r="F147" t="str">
            <v>I.U. INVESTIGACION INFORMATICA</v>
          </cell>
          <cell r="G147" t="str">
            <v>20</v>
          </cell>
          <cell r="H147" t="str">
            <v/>
          </cell>
          <cell r="I147" t="str">
            <v/>
          </cell>
          <cell r="J147" t="str">
            <v/>
          </cell>
          <cell r="K147" t="str">
            <v/>
          </cell>
          <cell r="L147" t="str">
            <v/>
          </cell>
        </row>
        <row r="148">
          <cell r="A148" t="str">
            <v>21451275A</v>
          </cell>
          <cell r="B148" t="str">
            <v>RODES ROCA, JOSE JOAQUIN</v>
          </cell>
          <cell r="C148" t="str">
            <v>08/11/2017</v>
          </cell>
          <cell r="D148" t="str">
            <v>(en blanco)</v>
          </cell>
          <cell r="E148" t="str">
            <v>10.20</v>
          </cell>
          <cell r="F148" t="str">
            <v>I.U. FISICA APLICADA A LAS CIENCIAS Y LA</v>
          </cell>
          <cell r="G148" t="str">
            <v>50</v>
          </cell>
          <cell r="H148" t="str">
            <v/>
          </cell>
          <cell r="I148" t="str">
            <v/>
          </cell>
          <cell r="J148" t="str">
            <v/>
          </cell>
          <cell r="K148" t="str">
            <v/>
          </cell>
          <cell r="L148" t="str">
            <v/>
          </cell>
        </row>
        <row r="149">
          <cell r="A149" t="str">
            <v>21452732B</v>
          </cell>
          <cell r="B149" t="str">
            <v>DOMENECH BELDA, CAROLINA</v>
          </cell>
          <cell r="C149" t="str">
            <v>19/09/2014</v>
          </cell>
          <cell r="D149" t="str">
            <v>(en blanco)</v>
          </cell>
          <cell r="E149" t="str">
            <v>10.24</v>
          </cell>
          <cell r="F149" t="str">
            <v>I.U. INVESTIGACION ARQ. Y PATR. HIST.</v>
          </cell>
          <cell r="G149" t="str">
            <v>80</v>
          </cell>
          <cell r="H149" t="str">
            <v/>
          </cell>
          <cell r="I149" t="str">
            <v/>
          </cell>
          <cell r="J149" t="str">
            <v/>
          </cell>
          <cell r="K149" t="str">
            <v/>
          </cell>
          <cell r="L149" t="str">
            <v/>
          </cell>
        </row>
        <row r="150">
          <cell r="A150" t="str">
            <v>21453179K</v>
          </cell>
          <cell r="B150" t="str">
            <v>MONTOYO GUIJARRO, JUAN ANDRES</v>
          </cell>
          <cell r="C150" t="str">
            <v>26/07/2006</v>
          </cell>
          <cell r="D150" t="str">
            <v>(en blanco)</v>
          </cell>
          <cell r="E150" t="str">
            <v>10.19</v>
          </cell>
          <cell r="F150" t="str">
            <v>I.U. INVESTIGACION INFORMATICA</v>
          </cell>
          <cell r="G150" t="str">
            <v>20</v>
          </cell>
          <cell r="H150" t="str">
            <v/>
          </cell>
          <cell r="I150" t="str">
            <v/>
          </cell>
          <cell r="J150" t="str">
            <v/>
          </cell>
          <cell r="K150" t="str">
            <v/>
          </cell>
          <cell r="L150" t="str">
            <v/>
          </cell>
        </row>
        <row r="151">
          <cell r="A151" t="str">
            <v>21453332J</v>
          </cell>
          <cell r="B151" t="str">
            <v>VICENT FRANCES, JOSE FRANCISCO</v>
          </cell>
          <cell r="C151" t="str">
            <v>17/10/2008</v>
          </cell>
          <cell r="D151" t="str">
            <v>(en blanco)</v>
          </cell>
          <cell r="E151" t="str">
            <v>10.19</v>
          </cell>
          <cell r="F151" t="str">
            <v>I.U. INVESTIGACION INFORMATICA</v>
          </cell>
          <cell r="G151" t="str">
            <v>20</v>
          </cell>
          <cell r="H151" t="str">
            <v/>
          </cell>
          <cell r="I151" t="str">
            <v/>
          </cell>
          <cell r="J151" t="str">
            <v/>
          </cell>
          <cell r="K151" t="str">
            <v/>
          </cell>
          <cell r="L151" t="str">
            <v/>
          </cell>
        </row>
        <row r="152">
          <cell r="A152" t="str">
            <v>21453370M</v>
          </cell>
          <cell r="B152" t="str">
            <v>SAN MAURO MARTINEZ, ISABEL MARIA</v>
          </cell>
          <cell r="C152" t="str">
            <v>01/05/2022</v>
          </cell>
          <cell r="D152" t="str">
            <v>30/04/2025</v>
          </cell>
          <cell r="E152" t="str">
            <v>10.23</v>
          </cell>
          <cell r="F152" t="str">
            <v>I.U. INVESTIGACION ESTUDIOS DE GENERO</v>
          </cell>
          <cell r="G152" t="str">
            <v>100</v>
          </cell>
          <cell r="H152" t="str">
            <v/>
          </cell>
          <cell r="I152" t="str">
            <v/>
          </cell>
          <cell r="J152" t="str">
            <v/>
          </cell>
          <cell r="K152" t="str">
            <v/>
          </cell>
          <cell r="L152" t="str">
            <v/>
          </cell>
        </row>
        <row r="153">
          <cell r="A153" t="str">
            <v>21453643W</v>
          </cell>
          <cell r="B153" t="str">
            <v>MARTI SEMPERE, MONICA</v>
          </cell>
          <cell r="C153" t="str">
            <v>10/11/2020</v>
          </cell>
          <cell r="D153" t="str">
            <v>(en blanco)</v>
          </cell>
          <cell r="E153" t="str">
            <v>10.22</v>
          </cell>
          <cell r="F153" t="str">
            <v>I.INTERUNIV. DESARROLLO SOCIAL Y PAZ</v>
          </cell>
          <cell r="G153" t="str">
            <v>90</v>
          </cell>
          <cell r="H153" t="str">
            <v/>
          </cell>
          <cell r="I153" t="str">
            <v/>
          </cell>
          <cell r="J153" t="str">
            <v/>
          </cell>
          <cell r="K153" t="str">
            <v/>
          </cell>
          <cell r="L153" t="str">
            <v/>
          </cell>
        </row>
        <row r="154">
          <cell r="A154" t="str">
            <v>21454765C</v>
          </cell>
          <cell r="B154" t="str">
            <v>LOPEZ MARTINEZ, MARIA PAZ</v>
          </cell>
          <cell r="C154" t="str">
            <v>19/09/2014</v>
          </cell>
          <cell r="D154" t="str">
            <v>(en blanco)</v>
          </cell>
          <cell r="E154" t="str">
            <v>10.24</v>
          </cell>
          <cell r="F154" t="str">
            <v>I.U. INVESTIGACION ARQ. Y PATR. HIST.</v>
          </cell>
          <cell r="G154" t="str">
            <v>80</v>
          </cell>
          <cell r="H154" t="str">
            <v/>
          </cell>
          <cell r="I154" t="str">
            <v/>
          </cell>
          <cell r="J154" t="str">
            <v/>
          </cell>
          <cell r="K154" t="str">
            <v/>
          </cell>
          <cell r="L154" t="str">
            <v/>
          </cell>
        </row>
        <row r="155">
          <cell r="A155" t="str">
            <v>21455081Z</v>
          </cell>
          <cell r="B155" t="str">
            <v>PEREZ LLEDO, JUAN ANTONIO</v>
          </cell>
          <cell r="C155" t="str">
            <v>24/10/2006</v>
          </cell>
          <cell r="D155" t="str">
            <v>(en blanco)</v>
          </cell>
          <cell r="E155" t="str">
            <v>10.15</v>
          </cell>
          <cell r="F155" t="str">
            <v>I.INTERUNIV. LENGUAS MODERNAS APLICADAS</v>
          </cell>
          <cell r="G155" t="str">
            <v>10</v>
          </cell>
          <cell r="H155" t="str">
            <v/>
          </cell>
          <cell r="I155" t="str">
            <v/>
          </cell>
          <cell r="J155" t="str">
            <v/>
          </cell>
          <cell r="K155" t="str">
            <v/>
          </cell>
          <cell r="L155" t="str">
            <v/>
          </cell>
        </row>
        <row r="156">
          <cell r="A156" t="str">
            <v>21455103J</v>
          </cell>
          <cell r="B156" t="str">
            <v>BOLUDA BOTELLA, NURIA</v>
          </cell>
          <cell r="C156" t="str">
            <v>18/11/2015</v>
          </cell>
          <cell r="D156" t="str">
            <v>(en blanco)</v>
          </cell>
          <cell r="E156" t="str">
            <v>10.09</v>
          </cell>
          <cell r="F156" t="str">
            <v>I.U. INGENIERIA DE LOS PROCESOS QUIMICOS</v>
          </cell>
          <cell r="G156" t="str">
            <v>40</v>
          </cell>
          <cell r="H156" t="str">
            <v>10.05</v>
          </cell>
          <cell r="I156" t="str">
            <v>I.U. AGUA Y CIENCIAS AMBIENTALES</v>
          </cell>
          <cell r="J156" t="str">
            <v>18/05/2021</v>
          </cell>
          <cell r="K156" t="str">
            <v>(en blanco)</v>
          </cell>
          <cell r="L156" t="str">
            <v>20</v>
          </cell>
        </row>
        <row r="157">
          <cell r="A157" t="str">
            <v>21455665T</v>
          </cell>
          <cell r="B157" t="str">
            <v>RIVERA SANCHEZ, JUAN RAMON</v>
          </cell>
          <cell r="C157" t="str">
            <v>12/07/2017</v>
          </cell>
          <cell r="D157" t="str">
            <v>(en blanco)</v>
          </cell>
          <cell r="E157" t="str">
            <v>10.25</v>
          </cell>
          <cell r="F157" t="str">
            <v>I.U. INV. ESTUDIOS SOC. AMERICA LATINA</v>
          </cell>
          <cell r="G157" t="str">
            <v>50</v>
          </cell>
          <cell r="H157" t="str">
            <v/>
          </cell>
          <cell r="I157" t="str">
            <v/>
          </cell>
          <cell r="J157" t="str">
            <v/>
          </cell>
          <cell r="K157" t="str">
            <v/>
          </cell>
          <cell r="L157" t="str">
            <v/>
          </cell>
        </row>
        <row r="158">
          <cell r="A158" t="str">
            <v>21455766D</v>
          </cell>
          <cell r="B158" t="str">
            <v>CAMPOS PARDILLOS, MIGUEL ANGEL</v>
          </cell>
          <cell r="C158" t="str">
            <v>02/03/2015</v>
          </cell>
          <cell r="D158" t="str">
            <v>(en blanco)</v>
          </cell>
          <cell r="E158" t="str">
            <v>10.15</v>
          </cell>
          <cell r="F158" t="str">
            <v>I.INTERUNIV. LENGUAS MODERNAS APLICADAS</v>
          </cell>
          <cell r="G158" t="str">
            <v>50</v>
          </cell>
          <cell r="H158" t="str">
            <v/>
          </cell>
          <cell r="I158" t="str">
            <v/>
          </cell>
          <cell r="J158" t="str">
            <v/>
          </cell>
          <cell r="K158" t="str">
            <v/>
          </cell>
          <cell r="L158" t="str">
            <v/>
          </cell>
        </row>
        <row r="159">
          <cell r="A159" t="str">
            <v>21456187Q</v>
          </cell>
          <cell r="B159" t="str">
            <v>PEREZ RODRIGUEZ, JORGE</v>
          </cell>
          <cell r="C159" t="str">
            <v>31/01/2018</v>
          </cell>
          <cell r="D159" t="str">
            <v>(en blanco)</v>
          </cell>
          <cell r="E159" t="str">
            <v>10.20</v>
          </cell>
          <cell r="F159" t="str">
            <v>I.U. FISICA APLICADA A LAS CIENCIAS Y LA</v>
          </cell>
          <cell r="G159" t="str">
            <v>50</v>
          </cell>
          <cell r="H159" t="str">
            <v/>
          </cell>
          <cell r="I159" t="str">
            <v/>
          </cell>
          <cell r="J159" t="str">
            <v/>
          </cell>
          <cell r="K159" t="str">
            <v/>
          </cell>
          <cell r="L159" t="str">
            <v/>
          </cell>
        </row>
        <row r="160">
          <cell r="A160" t="str">
            <v>21456802X</v>
          </cell>
          <cell r="B160" t="str">
            <v>GINER PEREZ, JOSE MIGUEL</v>
          </cell>
          <cell r="C160" t="str">
            <v>12/09/2014</v>
          </cell>
          <cell r="D160" t="str">
            <v>(en blanco)</v>
          </cell>
          <cell r="E160" t="str">
            <v>10.23</v>
          </cell>
          <cell r="F160" t="str">
            <v>I.U. INVESTIGACION ESTUDIOS DE GENERO</v>
          </cell>
          <cell r="G160" t="str">
            <v>10</v>
          </cell>
          <cell r="H160" t="str">
            <v>10.25</v>
          </cell>
          <cell r="I160" t="str">
            <v>I.U. INV. ESTUDIOS SOC. AMERICA LATINA</v>
          </cell>
          <cell r="J160" t="str">
            <v>30/07/2020</v>
          </cell>
          <cell r="K160" t="str">
            <v>(en blanco)</v>
          </cell>
          <cell r="L160" t="str">
            <v>20</v>
          </cell>
        </row>
        <row r="161">
          <cell r="A161" t="str">
            <v>21456823P</v>
          </cell>
          <cell r="B161" t="str">
            <v>VAZQUEZ FERRI, CARMEN</v>
          </cell>
          <cell r="C161" t="str">
            <v>07/02/2020</v>
          </cell>
          <cell r="D161" t="str">
            <v>(en blanco)</v>
          </cell>
          <cell r="E161" t="str">
            <v>10.20</v>
          </cell>
          <cell r="F161" t="str">
            <v>I.U. FISICA APLICADA A LAS CIENCIAS Y LA</v>
          </cell>
          <cell r="G161" t="str">
            <v>20</v>
          </cell>
          <cell r="H161" t="str">
            <v/>
          </cell>
          <cell r="I161" t="str">
            <v/>
          </cell>
          <cell r="J161" t="str">
            <v/>
          </cell>
          <cell r="K161" t="str">
            <v/>
          </cell>
          <cell r="L161" t="str">
            <v/>
          </cell>
        </row>
        <row r="162">
          <cell r="A162" t="str">
            <v>21457195N</v>
          </cell>
          <cell r="B162" t="str">
            <v>RAMON DANGLA, DIEGO JOSE</v>
          </cell>
          <cell r="C162" t="str">
            <v>31/03/2015</v>
          </cell>
          <cell r="D162" t="str">
            <v>(en blanco)</v>
          </cell>
          <cell r="E162" t="str">
            <v>10.11</v>
          </cell>
          <cell r="F162" t="str">
            <v>I.U. SINTESIS ORGANICA</v>
          </cell>
          <cell r="G162" t="str">
            <v>60</v>
          </cell>
          <cell r="H162" t="str">
            <v/>
          </cell>
          <cell r="I162" t="str">
            <v/>
          </cell>
          <cell r="J162" t="str">
            <v/>
          </cell>
          <cell r="K162" t="str">
            <v/>
          </cell>
          <cell r="L162" t="str">
            <v/>
          </cell>
        </row>
        <row r="163">
          <cell r="A163" t="str">
            <v>21457927P</v>
          </cell>
          <cell r="B163" t="str">
            <v>MORENO FONSERET, ROQUE</v>
          </cell>
          <cell r="C163" t="str">
            <v>28/09/2016</v>
          </cell>
          <cell r="D163" t="str">
            <v>(en blanco)</v>
          </cell>
          <cell r="E163" t="str">
            <v>10.25</v>
          </cell>
          <cell r="F163" t="str">
            <v>I.U. INV. ESTUDIOS SOC. AMERICA LATINA</v>
          </cell>
          <cell r="G163" t="str">
            <v>80</v>
          </cell>
          <cell r="H163" t="str">
            <v/>
          </cell>
          <cell r="I163" t="str">
            <v/>
          </cell>
          <cell r="J163" t="str">
            <v/>
          </cell>
          <cell r="K163" t="str">
            <v/>
          </cell>
          <cell r="L163" t="str">
            <v/>
          </cell>
        </row>
        <row r="164">
          <cell r="A164" t="str">
            <v>21457966R</v>
          </cell>
          <cell r="B164" t="str">
            <v>SUAREZ CUETO, ARMANDO</v>
          </cell>
          <cell r="C164" t="str">
            <v>26/07/2006</v>
          </cell>
          <cell r="D164" t="str">
            <v>(en blanco)</v>
          </cell>
          <cell r="E164" t="str">
            <v>10.19</v>
          </cell>
          <cell r="F164" t="str">
            <v>I.U. INVESTIGACION INFORMATICA</v>
          </cell>
          <cell r="G164" t="str">
            <v>20</v>
          </cell>
          <cell r="H164" t="str">
            <v/>
          </cell>
          <cell r="I164" t="str">
            <v/>
          </cell>
          <cell r="J164" t="str">
            <v/>
          </cell>
          <cell r="K164" t="str">
            <v/>
          </cell>
          <cell r="L164" t="str">
            <v/>
          </cell>
        </row>
        <row r="165">
          <cell r="A165" t="str">
            <v>21459173N</v>
          </cell>
          <cell r="B165" t="str">
            <v>GALLARDO LOPEZ, DOMINGO</v>
          </cell>
          <cell r="C165" t="str">
            <v>26/07/2006</v>
          </cell>
          <cell r="D165" t="str">
            <v>(en blanco)</v>
          </cell>
          <cell r="E165" t="str">
            <v>10.19</v>
          </cell>
          <cell r="F165" t="str">
            <v>I.U. INVESTIGACION INFORMATICA</v>
          </cell>
          <cell r="G165" t="str">
            <v>20</v>
          </cell>
          <cell r="H165" t="str">
            <v/>
          </cell>
          <cell r="I165" t="str">
            <v/>
          </cell>
          <cell r="J165" t="str">
            <v/>
          </cell>
          <cell r="K165" t="str">
            <v/>
          </cell>
          <cell r="L165" t="str">
            <v/>
          </cell>
        </row>
        <row r="166">
          <cell r="A166" t="str">
            <v>21459318L</v>
          </cell>
          <cell r="B166" t="str">
            <v>DOMENECH AMIGOT, BEGOÑA</v>
          </cell>
          <cell r="C166" t="str">
            <v>07/02/2020</v>
          </cell>
          <cell r="D166" t="str">
            <v>(en blanco)</v>
          </cell>
          <cell r="E166" t="str">
            <v>10.20</v>
          </cell>
          <cell r="F166" t="str">
            <v>I.U. FISICA APLICADA A LAS CIENCIAS Y LA</v>
          </cell>
          <cell r="G166" t="str">
            <v>20</v>
          </cell>
          <cell r="H166" t="str">
            <v/>
          </cell>
          <cell r="I166" t="str">
            <v/>
          </cell>
          <cell r="J166" t="str">
            <v/>
          </cell>
          <cell r="K166" t="str">
            <v/>
          </cell>
          <cell r="L166" t="str">
            <v/>
          </cell>
        </row>
        <row r="167">
          <cell r="A167" t="str">
            <v>21461233W</v>
          </cell>
          <cell r="B167" t="str">
            <v>TORTOSA GRAU, LEANDRO</v>
          </cell>
          <cell r="C167" t="str">
            <v>26/07/2006</v>
          </cell>
          <cell r="D167" t="str">
            <v>(en blanco)</v>
          </cell>
          <cell r="E167" t="str">
            <v>10.19</v>
          </cell>
          <cell r="F167" t="str">
            <v>I.U. INVESTIGACION INFORMATICA</v>
          </cell>
          <cell r="G167" t="str">
            <v>20</v>
          </cell>
          <cell r="H167" t="str">
            <v/>
          </cell>
          <cell r="I167" t="str">
            <v/>
          </cell>
          <cell r="J167" t="str">
            <v/>
          </cell>
          <cell r="K167" t="str">
            <v/>
          </cell>
          <cell r="L167" t="str">
            <v/>
          </cell>
        </row>
        <row r="168">
          <cell r="A168" t="str">
            <v>21462156M</v>
          </cell>
          <cell r="B168" t="str">
            <v>MORALLON NUÑEZ, EMILIA</v>
          </cell>
          <cell r="C168" t="str">
            <v>01/03/2006</v>
          </cell>
          <cell r="D168" t="str">
            <v>(en blanco)</v>
          </cell>
          <cell r="E168" t="str">
            <v>10.14</v>
          </cell>
          <cell r="F168" t="str">
            <v>I.U. MATERIALES</v>
          </cell>
          <cell r="G168" t="str">
            <v>50</v>
          </cell>
          <cell r="H168" t="str">
            <v/>
          </cell>
          <cell r="I168" t="str">
            <v/>
          </cell>
          <cell r="J168" t="str">
            <v/>
          </cell>
          <cell r="K168" t="str">
            <v/>
          </cell>
          <cell r="L168" t="str">
            <v/>
          </cell>
        </row>
        <row r="169">
          <cell r="A169" t="str">
            <v>21462392B</v>
          </cell>
          <cell r="B169" t="str">
            <v>CANDALIJA REINA, JOSE ANTONIO</v>
          </cell>
          <cell r="C169" t="str">
            <v>17/01/2018</v>
          </cell>
          <cell r="D169" t="str">
            <v>(en blanco)</v>
          </cell>
          <cell r="E169" t="str">
            <v>10.25</v>
          </cell>
          <cell r="F169" t="str">
            <v>I.U. INV. ESTUDIOS SOC. AMERICA LATINA</v>
          </cell>
          <cell r="G169" t="str">
            <v>30</v>
          </cell>
          <cell r="H169" t="str">
            <v/>
          </cell>
          <cell r="I169" t="str">
            <v/>
          </cell>
          <cell r="J169" t="str">
            <v/>
          </cell>
          <cell r="K169" t="str">
            <v/>
          </cell>
          <cell r="L169" t="str">
            <v/>
          </cell>
        </row>
        <row r="170">
          <cell r="A170" t="str">
            <v>21462400L</v>
          </cell>
          <cell r="B170" t="str">
            <v>MARTIN GULLON, IGNACIO</v>
          </cell>
          <cell r="C170" t="str">
            <v>17/05/2021</v>
          </cell>
          <cell r="D170" t="str">
            <v>(en blanco)</v>
          </cell>
          <cell r="E170" t="str">
            <v>10.09</v>
          </cell>
          <cell r="F170" t="str">
            <v>I.U. INGENIERIA DE LOS PROCESOS QUIMICOS</v>
          </cell>
          <cell r="G170" t="str">
            <v>65</v>
          </cell>
          <cell r="H170" t="str">
            <v/>
          </cell>
          <cell r="I170" t="str">
            <v/>
          </cell>
          <cell r="J170" t="str">
            <v/>
          </cell>
          <cell r="K170" t="str">
            <v/>
          </cell>
          <cell r="L170" t="str">
            <v/>
          </cell>
        </row>
        <row r="171">
          <cell r="A171" t="str">
            <v>21462550P</v>
          </cell>
          <cell r="B171" t="str">
            <v>MIGALLON GOMIS, MARIA VIOLETA</v>
          </cell>
          <cell r="C171" t="str">
            <v>26/07/2006</v>
          </cell>
          <cell r="D171" t="str">
            <v>(en blanco)</v>
          </cell>
          <cell r="E171" t="str">
            <v>10.19</v>
          </cell>
          <cell r="F171" t="str">
            <v>I.U. INVESTIGACION INFORMATICA</v>
          </cell>
          <cell r="G171" t="str">
            <v>20</v>
          </cell>
          <cell r="H171" t="str">
            <v/>
          </cell>
          <cell r="I171" t="str">
            <v/>
          </cell>
          <cell r="J171" t="str">
            <v/>
          </cell>
          <cell r="K171" t="str">
            <v/>
          </cell>
          <cell r="L171" t="str">
            <v/>
          </cell>
        </row>
        <row r="172">
          <cell r="A172" t="str">
            <v>21462906L</v>
          </cell>
          <cell r="B172" t="str">
            <v>SANSANO GIL, JOSE MIGUEL</v>
          </cell>
          <cell r="C172" t="str">
            <v>07/01/2019</v>
          </cell>
          <cell r="D172" t="str">
            <v>(en blanco)</v>
          </cell>
          <cell r="E172" t="str">
            <v>10.11</v>
          </cell>
          <cell r="F172" t="str">
            <v>I.U. SINTESIS ORGANICA</v>
          </cell>
          <cell r="G172" t="str">
            <v>80</v>
          </cell>
          <cell r="H172" t="str">
            <v/>
          </cell>
          <cell r="I172" t="str">
            <v/>
          </cell>
          <cell r="J172" t="str">
            <v/>
          </cell>
          <cell r="K172" t="str">
            <v/>
          </cell>
          <cell r="L172" t="str">
            <v/>
          </cell>
        </row>
        <row r="173">
          <cell r="A173" t="str">
            <v>21462916Y</v>
          </cell>
          <cell r="B173" t="str">
            <v>ILLAN GOMEZ, MARIA JOSE</v>
          </cell>
          <cell r="C173" t="str">
            <v>22/02/2016</v>
          </cell>
          <cell r="D173" t="str">
            <v>(en blanco)</v>
          </cell>
          <cell r="E173" t="str">
            <v>10.14</v>
          </cell>
          <cell r="F173" t="str">
            <v>I.U. MATERIALES</v>
          </cell>
          <cell r="G173" t="str">
            <v>40</v>
          </cell>
          <cell r="H173" t="str">
            <v/>
          </cell>
          <cell r="I173" t="str">
            <v/>
          </cell>
          <cell r="J173" t="str">
            <v/>
          </cell>
          <cell r="K173" t="str">
            <v/>
          </cell>
          <cell r="L173" t="str">
            <v/>
          </cell>
        </row>
        <row r="174">
          <cell r="A174" t="str">
            <v>21463234W</v>
          </cell>
          <cell r="B174" t="str">
            <v>MARHUENDA EGEA, FRUTOS CARLOS</v>
          </cell>
          <cell r="C174" t="str">
            <v>17/11/2010</v>
          </cell>
          <cell r="D174" t="str">
            <v>(en blanco)</v>
          </cell>
          <cell r="E174" t="str">
            <v>10.16</v>
          </cell>
          <cell r="F174" t="str">
            <v>I.M.E.M. RAMON MARGALEF (IMEM)</v>
          </cell>
          <cell r="G174" t="str">
            <v>50</v>
          </cell>
          <cell r="H174" t="str">
            <v/>
          </cell>
          <cell r="I174" t="str">
            <v/>
          </cell>
          <cell r="J174" t="str">
            <v/>
          </cell>
          <cell r="K174" t="str">
            <v/>
          </cell>
          <cell r="L174" t="str">
            <v/>
          </cell>
        </row>
        <row r="175">
          <cell r="A175" t="str">
            <v>21463378P</v>
          </cell>
          <cell r="B175" t="str">
            <v>TUR VIÑES, VICTORIA</v>
          </cell>
          <cell r="C175" t="str">
            <v>14/02/2017</v>
          </cell>
          <cell r="D175" t="str">
            <v>(en blanco)</v>
          </cell>
          <cell r="E175" t="str">
            <v>10.25</v>
          </cell>
          <cell r="F175" t="str">
            <v>I.U. INV. ESTUDIOS SOC. AMERICA LATINA</v>
          </cell>
          <cell r="G175" t="str">
            <v>30</v>
          </cell>
          <cell r="H175" t="str">
            <v/>
          </cell>
          <cell r="I175" t="str">
            <v/>
          </cell>
          <cell r="J175" t="str">
            <v/>
          </cell>
          <cell r="K175" t="str">
            <v/>
          </cell>
          <cell r="L175" t="str">
            <v/>
          </cell>
        </row>
        <row r="176">
          <cell r="A176" t="str">
            <v>21463437K</v>
          </cell>
          <cell r="B176" t="str">
            <v>ALCALDE PEREZ, JOSE</v>
          </cell>
          <cell r="C176" t="str">
            <v>17/12/2015</v>
          </cell>
          <cell r="D176" t="str">
            <v>(en blanco)</v>
          </cell>
          <cell r="E176" t="str">
            <v>10.22</v>
          </cell>
          <cell r="F176" t="str">
            <v>I.INTERUNIV. DESARROLLO SOCIAL Y PAZ</v>
          </cell>
          <cell r="G176" t="str">
            <v>100</v>
          </cell>
          <cell r="H176" t="str">
            <v/>
          </cell>
          <cell r="I176" t="str">
            <v/>
          </cell>
          <cell r="J176" t="str">
            <v/>
          </cell>
          <cell r="K176" t="str">
            <v/>
          </cell>
          <cell r="L176" t="str">
            <v/>
          </cell>
        </row>
        <row r="177">
          <cell r="A177" t="str">
            <v>21463610X</v>
          </cell>
          <cell r="B177" t="str">
            <v>RICO AMOROS, ANTONIO MANUEL</v>
          </cell>
          <cell r="C177" t="str">
            <v>05/08/2009</v>
          </cell>
          <cell r="D177" t="str">
            <v>(en blanco)</v>
          </cell>
          <cell r="E177" t="str">
            <v>10.21</v>
          </cell>
          <cell r="F177" t="str">
            <v>I.INTERUNIVERSITARIO GEOGRAFIA</v>
          </cell>
          <cell r="G177" t="str">
            <v>70</v>
          </cell>
          <cell r="H177" t="str">
            <v/>
          </cell>
          <cell r="I177" t="str">
            <v/>
          </cell>
          <cell r="J177" t="str">
            <v/>
          </cell>
          <cell r="K177" t="str">
            <v/>
          </cell>
          <cell r="L177" t="str">
            <v/>
          </cell>
        </row>
        <row r="178">
          <cell r="A178" t="str">
            <v>21464202G</v>
          </cell>
          <cell r="B178" t="str">
            <v>FERRANDEZ RODRIGUEZ, ANTONIO</v>
          </cell>
          <cell r="C178" t="str">
            <v>26/07/2006</v>
          </cell>
          <cell r="D178" t="str">
            <v>(en blanco)</v>
          </cell>
          <cell r="E178" t="str">
            <v>10.19</v>
          </cell>
          <cell r="F178" t="str">
            <v>I.U. INVESTIGACION INFORMATICA</v>
          </cell>
          <cell r="G178" t="str">
            <v>20</v>
          </cell>
          <cell r="H178" t="str">
            <v/>
          </cell>
          <cell r="I178" t="str">
            <v/>
          </cell>
          <cell r="J178" t="str">
            <v/>
          </cell>
          <cell r="K178" t="str">
            <v/>
          </cell>
          <cell r="L178" t="str">
            <v/>
          </cell>
        </row>
        <row r="179">
          <cell r="A179" t="str">
            <v>21464650S</v>
          </cell>
          <cell r="B179" t="str">
            <v>PONCE DE LEON AMADOR, PEDRO JOSE</v>
          </cell>
          <cell r="C179" t="str">
            <v>27/01/2012</v>
          </cell>
          <cell r="D179" t="str">
            <v>(en blanco)</v>
          </cell>
          <cell r="E179" t="str">
            <v>10.19</v>
          </cell>
          <cell r="F179" t="str">
            <v>I.U. INVESTIGACION INFORMATICA</v>
          </cell>
          <cell r="G179" t="str">
            <v>20</v>
          </cell>
          <cell r="H179" t="str">
            <v/>
          </cell>
          <cell r="I179" t="str">
            <v/>
          </cell>
          <cell r="J179" t="str">
            <v/>
          </cell>
          <cell r="K179" t="str">
            <v/>
          </cell>
          <cell r="L179" t="str">
            <v/>
          </cell>
        </row>
        <row r="180">
          <cell r="A180" t="str">
            <v>21464937A</v>
          </cell>
          <cell r="B180" t="str">
            <v>OLCINA CANTOS, JORGE</v>
          </cell>
          <cell r="C180" t="str">
            <v>05/08/2009</v>
          </cell>
          <cell r="D180" t="str">
            <v>(en blanco)</v>
          </cell>
          <cell r="E180" t="str">
            <v>10.21</v>
          </cell>
          <cell r="F180" t="str">
            <v>I.INTERUNIVERSITARIO GEOGRAFIA</v>
          </cell>
          <cell r="G180" t="str">
            <v>50</v>
          </cell>
          <cell r="H180" t="str">
            <v/>
          </cell>
          <cell r="I180" t="str">
            <v/>
          </cell>
          <cell r="J180" t="str">
            <v/>
          </cell>
          <cell r="K180" t="str">
            <v/>
          </cell>
          <cell r="L180" t="str">
            <v/>
          </cell>
        </row>
        <row r="181">
          <cell r="A181" t="str">
            <v>21466152E</v>
          </cell>
          <cell r="B181" t="str">
            <v>RAMON MORTE, ALFREDO</v>
          </cell>
          <cell r="C181" t="str">
            <v>26/07/2006</v>
          </cell>
          <cell r="D181" t="str">
            <v>(en blanco)</v>
          </cell>
          <cell r="E181" t="str">
            <v>10.17</v>
          </cell>
          <cell r="F181" t="str">
            <v>I.U. INVESTIGACIONES TURISTICAS</v>
          </cell>
          <cell r="G181" t="str">
            <v>10</v>
          </cell>
          <cell r="H181" t="str">
            <v>10.21</v>
          </cell>
          <cell r="I181" t="str">
            <v>I.INTERUNIVERSITARIO GEOGRAFIA</v>
          </cell>
          <cell r="J181" t="str">
            <v>16/06/2021</v>
          </cell>
          <cell r="K181" t="str">
            <v>(en blanco)</v>
          </cell>
          <cell r="L181" t="str">
            <v>50</v>
          </cell>
        </row>
        <row r="182">
          <cell r="A182" t="str">
            <v>21466262V</v>
          </cell>
          <cell r="B182" t="str">
            <v>MATEO RIPOLL, VERONICA</v>
          </cell>
          <cell r="C182" t="str">
            <v>28/02/2019</v>
          </cell>
          <cell r="D182" t="str">
            <v>(en blanco)</v>
          </cell>
          <cell r="E182" t="str">
            <v>10.23</v>
          </cell>
          <cell r="F182" t="str">
            <v>I.U. INVESTIGACION ESTUDIOS DE GENERO</v>
          </cell>
          <cell r="G182" t="str">
            <v>20</v>
          </cell>
          <cell r="H182" t="str">
            <v/>
          </cell>
          <cell r="I182" t="str">
            <v/>
          </cell>
          <cell r="J182" t="str">
            <v/>
          </cell>
          <cell r="K182" t="str">
            <v/>
          </cell>
          <cell r="L182" t="str">
            <v/>
          </cell>
        </row>
        <row r="183">
          <cell r="A183" t="str">
            <v>21467137H</v>
          </cell>
          <cell r="B183" t="str">
            <v>MUÑOZ GUILLENA, RAFAEL</v>
          </cell>
          <cell r="C183" t="str">
            <v>26/07/2006</v>
          </cell>
          <cell r="D183" t="str">
            <v>(en blanco)</v>
          </cell>
          <cell r="E183" t="str">
            <v>10.19</v>
          </cell>
          <cell r="F183" t="str">
            <v>I.U. INVESTIGACION INFORMATICA</v>
          </cell>
          <cell r="G183" t="str">
            <v>20</v>
          </cell>
          <cell r="H183" t="str">
            <v/>
          </cell>
          <cell r="I183" t="str">
            <v/>
          </cell>
          <cell r="J183" t="str">
            <v/>
          </cell>
          <cell r="K183" t="str">
            <v/>
          </cell>
          <cell r="L183" t="str">
            <v/>
          </cell>
        </row>
        <row r="184">
          <cell r="A184" t="str">
            <v>21467282W</v>
          </cell>
          <cell r="B184" t="str">
            <v>GARCIA MARTINEZ, JESUS</v>
          </cell>
          <cell r="C184" t="str">
            <v>15/09/2021</v>
          </cell>
          <cell r="D184" t="str">
            <v>(en blanco)</v>
          </cell>
          <cell r="E184" t="str">
            <v>10.16</v>
          </cell>
          <cell r="F184" t="str">
            <v>I.M.E.M. RAMON MARGALEF (IMEM)</v>
          </cell>
          <cell r="G184" t="str">
            <v>50</v>
          </cell>
          <cell r="H184" t="str">
            <v/>
          </cell>
          <cell r="I184" t="str">
            <v/>
          </cell>
          <cell r="J184" t="str">
            <v/>
          </cell>
          <cell r="K184" t="str">
            <v/>
          </cell>
          <cell r="L184" t="str">
            <v/>
          </cell>
        </row>
        <row r="185">
          <cell r="A185" t="str">
            <v>21467317Z</v>
          </cell>
          <cell r="B185" t="str">
            <v>MORENO SECO, FRANCISCO</v>
          </cell>
          <cell r="C185" t="str">
            <v>26/07/2006</v>
          </cell>
          <cell r="D185" t="str">
            <v>(en blanco)</v>
          </cell>
          <cell r="E185" t="str">
            <v>10.19</v>
          </cell>
          <cell r="F185" t="str">
            <v>I.U. INVESTIGACION INFORMATICA</v>
          </cell>
          <cell r="G185" t="str">
            <v>20</v>
          </cell>
          <cell r="H185" t="str">
            <v/>
          </cell>
          <cell r="I185" t="str">
            <v/>
          </cell>
          <cell r="J185" t="str">
            <v/>
          </cell>
          <cell r="K185" t="str">
            <v/>
          </cell>
          <cell r="L185" t="str">
            <v/>
          </cell>
        </row>
        <row r="186">
          <cell r="A186" t="str">
            <v>21468028N</v>
          </cell>
          <cell r="B186" t="str">
            <v>LILLO BAÑULS, ADELAIDA</v>
          </cell>
          <cell r="C186" t="str">
            <v>31/07/2015</v>
          </cell>
          <cell r="D186" t="str">
            <v>(en blanco)</v>
          </cell>
          <cell r="E186" t="str">
            <v>10.06</v>
          </cell>
          <cell r="F186" t="str">
            <v>I.INTERUNIVERSITARIO ECONOMIA INTERNACIO</v>
          </cell>
          <cell r="G186" t="str">
            <v>50</v>
          </cell>
          <cell r="H186" t="str">
            <v>10.17</v>
          </cell>
          <cell r="I186" t="str">
            <v>I.U. INVESTIGACIONES TURISTICAS</v>
          </cell>
          <cell r="J186" t="str">
            <v>10/11/2015</v>
          </cell>
          <cell r="K186" t="str">
            <v>(en blanco)</v>
          </cell>
          <cell r="L186" t="str">
            <v>10</v>
          </cell>
        </row>
        <row r="187">
          <cell r="A187" t="str">
            <v>21470393P</v>
          </cell>
          <cell r="B187" t="str">
            <v>GONZALEZ RAMIREZ, MARIA REYES</v>
          </cell>
          <cell r="C187" t="str">
            <v>19/10/2016</v>
          </cell>
          <cell r="D187" t="str">
            <v>(en blanco)</v>
          </cell>
          <cell r="E187" t="str">
            <v>10.17</v>
          </cell>
          <cell r="F187" t="str">
            <v>I.U. INVESTIGACIONES TURISTICAS</v>
          </cell>
          <cell r="G187" t="str">
            <v>50</v>
          </cell>
          <cell r="H187" t="str">
            <v/>
          </cell>
          <cell r="I187" t="str">
            <v/>
          </cell>
          <cell r="J187" t="str">
            <v/>
          </cell>
          <cell r="K187" t="str">
            <v/>
          </cell>
          <cell r="L187" t="str">
            <v/>
          </cell>
        </row>
        <row r="188">
          <cell r="A188" t="str">
            <v>21470517V</v>
          </cell>
          <cell r="B188" t="str">
            <v>GARCIA CORTES, ANGELA NURIA</v>
          </cell>
          <cell r="C188" t="str">
            <v>17/05/2021</v>
          </cell>
          <cell r="D188" t="str">
            <v>(en blanco)</v>
          </cell>
          <cell r="E188" t="str">
            <v>10.09</v>
          </cell>
          <cell r="F188" t="str">
            <v>I.U. INGENIERIA DE LOS PROCESOS QUIMICOS</v>
          </cell>
          <cell r="G188" t="str">
            <v>65</v>
          </cell>
          <cell r="H188" t="str">
            <v/>
          </cell>
          <cell r="I188" t="str">
            <v/>
          </cell>
          <cell r="J188" t="str">
            <v/>
          </cell>
          <cell r="K188" t="str">
            <v/>
          </cell>
          <cell r="L188" t="str">
            <v/>
          </cell>
        </row>
        <row r="189">
          <cell r="A189" t="str">
            <v>21470777R</v>
          </cell>
          <cell r="B189" t="str">
            <v>HERRERO RODRIGUEZ, ENRIQUE</v>
          </cell>
          <cell r="C189" t="str">
            <v>01/03/2006</v>
          </cell>
          <cell r="D189" t="str">
            <v>(en blanco)</v>
          </cell>
          <cell r="E189" t="str">
            <v>10.12</v>
          </cell>
          <cell r="F189" t="str">
            <v>I.U. ELECTROQUIMICA</v>
          </cell>
          <cell r="G189" t="str">
            <v>50</v>
          </cell>
          <cell r="H189" t="str">
            <v/>
          </cell>
          <cell r="I189" t="str">
            <v/>
          </cell>
          <cell r="J189" t="str">
            <v/>
          </cell>
          <cell r="K189" t="str">
            <v/>
          </cell>
          <cell r="L189" t="str">
            <v/>
          </cell>
        </row>
        <row r="190">
          <cell r="A190" t="str">
            <v>21471279C</v>
          </cell>
          <cell r="B190" t="str">
            <v>GUIJARRO ESPI, DAVID</v>
          </cell>
          <cell r="C190" t="str">
            <v>07/01/2019</v>
          </cell>
          <cell r="D190" t="str">
            <v>(en blanco)</v>
          </cell>
          <cell r="E190" t="str">
            <v>10.11</v>
          </cell>
          <cell r="F190" t="str">
            <v>I.U. SINTESIS ORGANICA</v>
          </cell>
          <cell r="G190" t="str">
            <v>80</v>
          </cell>
          <cell r="H190" t="str">
            <v/>
          </cell>
          <cell r="I190" t="str">
            <v/>
          </cell>
          <cell r="J190" t="str">
            <v/>
          </cell>
          <cell r="K190" t="str">
            <v/>
          </cell>
          <cell r="L190" t="str">
            <v/>
          </cell>
        </row>
        <row r="191">
          <cell r="A191" t="str">
            <v>21471389S</v>
          </cell>
          <cell r="B191" t="str">
            <v>ARRAEZ LLOBREGAT, JOSE LUIS</v>
          </cell>
          <cell r="C191" t="str">
            <v>28/02/2019</v>
          </cell>
          <cell r="D191" t="str">
            <v>(en blanco)</v>
          </cell>
          <cell r="E191" t="str">
            <v>10.23</v>
          </cell>
          <cell r="F191" t="str">
            <v>I.U. INVESTIGACION ESTUDIOS DE GENERO</v>
          </cell>
          <cell r="G191" t="str">
            <v>20</v>
          </cell>
          <cell r="H191" t="str">
            <v/>
          </cell>
          <cell r="I191" t="str">
            <v/>
          </cell>
          <cell r="J191" t="str">
            <v/>
          </cell>
          <cell r="K191" t="str">
            <v/>
          </cell>
          <cell r="L191" t="str">
            <v/>
          </cell>
        </row>
        <row r="192">
          <cell r="A192" t="str">
            <v>21472011Q</v>
          </cell>
          <cell r="B192" t="str">
            <v>VILLAGRA ARNEDO, CARLOS JOSE</v>
          </cell>
          <cell r="C192" t="str">
            <v>23/03/2016</v>
          </cell>
          <cell r="D192" t="str">
            <v>(en blanco)</v>
          </cell>
          <cell r="E192" t="str">
            <v>10.19</v>
          </cell>
          <cell r="F192" t="str">
            <v>I.U. INVESTIGACION INFORMATICA</v>
          </cell>
          <cell r="G192" t="str">
            <v>20</v>
          </cell>
          <cell r="H192" t="str">
            <v/>
          </cell>
          <cell r="I192" t="str">
            <v/>
          </cell>
          <cell r="J192" t="str">
            <v/>
          </cell>
          <cell r="K192" t="str">
            <v/>
          </cell>
          <cell r="L192" t="str">
            <v/>
          </cell>
        </row>
        <row r="193">
          <cell r="A193" t="str">
            <v>21473357M</v>
          </cell>
          <cell r="B193" t="str">
            <v>ESTABLIER PEREZ, HELENA</v>
          </cell>
          <cell r="C193" t="str">
            <v>28/05/2015</v>
          </cell>
          <cell r="D193" t="str">
            <v>(en blanco)</v>
          </cell>
          <cell r="E193" t="str">
            <v>10.23</v>
          </cell>
          <cell r="F193" t="str">
            <v>I.U. INVESTIGACION ESTUDIOS DE GENERO</v>
          </cell>
          <cell r="G193" t="str">
            <v>90</v>
          </cell>
          <cell r="H193" t="str">
            <v/>
          </cell>
          <cell r="I193" t="str">
            <v/>
          </cell>
          <cell r="J193" t="str">
            <v/>
          </cell>
          <cell r="K193" t="str">
            <v/>
          </cell>
          <cell r="L193" t="str">
            <v/>
          </cell>
        </row>
        <row r="194">
          <cell r="A194" t="str">
            <v>21473652R</v>
          </cell>
          <cell r="B194" t="str">
            <v>MARTINEZ BARCO, PATRICIO MANUEL</v>
          </cell>
          <cell r="C194" t="str">
            <v>06/06/2018</v>
          </cell>
          <cell r="D194" t="str">
            <v>(en blanco)</v>
          </cell>
          <cell r="E194" t="str">
            <v>10.19</v>
          </cell>
          <cell r="F194" t="str">
            <v>I.U. INVESTIGACION INFORMATICA</v>
          </cell>
          <cell r="G194" t="str">
            <v>50</v>
          </cell>
          <cell r="H194" t="str">
            <v/>
          </cell>
          <cell r="I194" t="str">
            <v/>
          </cell>
          <cell r="J194" t="str">
            <v/>
          </cell>
          <cell r="K194" t="str">
            <v/>
          </cell>
          <cell r="L194" t="str">
            <v/>
          </cell>
        </row>
        <row r="195">
          <cell r="A195" t="str">
            <v>21474037H</v>
          </cell>
          <cell r="B195" t="str">
            <v>MACIA PEREZ, FRANCISCO</v>
          </cell>
          <cell r="C195" t="str">
            <v>26/07/2006</v>
          </cell>
          <cell r="D195" t="str">
            <v>(en blanco)</v>
          </cell>
          <cell r="E195" t="str">
            <v>10.19</v>
          </cell>
          <cell r="F195" t="str">
            <v>I.U. INVESTIGACION INFORMATICA</v>
          </cell>
          <cell r="G195" t="str">
            <v>20</v>
          </cell>
          <cell r="H195" t="str">
            <v/>
          </cell>
          <cell r="I195" t="str">
            <v/>
          </cell>
          <cell r="J195" t="str">
            <v/>
          </cell>
          <cell r="K195" t="str">
            <v/>
          </cell>
          <cell r="L195" t="str">
            <v/>
          </cell>
        </row>
        <row r="196">
          <cell r="A196" t="str">
            <v>21474040K</v>
          </cell>
          <cell r="B196" t="str">
            <v>PENALVA VERDU, CLEMENTE ANTONIO</v>
          </cell>
          <cell r="C196" t="str">
            <v>24/02/2022</v>
          </cell>
          <cell r="D196" t="str">
            <v>(en blanco)</v>
          </cell>
          <cell r="E196" t="str">
            <v>10.22</v>
          </cell>
          <cell r="F196" t="str">
            <v>I.INTERUNIV. DESARROLLO SOCIAL Y PAZ</v>
          </cell>
          <cell r="G196" t="str">
            <v>80</v>
          </cell>
          <cell r="H196" t="str">
            <v/>
          </cell>
          <cell r="I196" t="str">
            <v/>
          </cell>
          <cell r="J196" t="str">
            <v/>
          </cell>
          <cell r="K196" t="str">
            <v/>
          </cell>
          <cell r="L196" t="str">
            <v/>
          </cell>
        </row>
        <row r="197">
          <cell r="A197" t="str">
            <v>21474106H</v>
          </cell>
          <cell r="B197" t="str">
            <v>TEROL GOMEZ, RAMON</v>
          </cell>
          <cell r="C197" t="str">
            <v>28/09/2016</v>
          </cell>
          <cell r="D197" t="str">
            <v>(en blanco)</v>
          </cell>
          <cell r="E197" t="str">
            <v>10.25</v>
          </cell>
          <cell r="F197" t="str">
            <v>I.U. INV. ESTUDIOS SOC. AMERICA LATINA</v>
          </cell>
          <cell r="G197" t="str">
            <v>50</v>
          </cell>
          <cell r="H197" t="str">
            <v/>
          </cell>
          <cell r="I197" t="str">
            <v/>
          </cell>
          <cell r="J197" t="str">
            <v/>
          </cell>
          <cell r="K197" t="str">
            <v/>
          </cell>
          <cell r="L197" t="str">
            <v/>
          </cell>
        </row>
        <row r="198">
          <cell r="A198" t="str">
            <v>21474219Q</v>
          </cell>
          <cell r="B198" t="str">
            <v>MORATALLA JAVEGA, JESUS</v>
          </cell>
          <cell r="C198" t="str">
            <v>29/01/2016</v>
          </cell>
          <cell r="D198" t="str">
            <v>(en blanco)</v>
          </cell>
          <cell r="E198" t="str">
            <v>10.24</v>
          </cell>
          <cell r="F198" t="str">
            <v>I.U. INVESTIGACION ARQ. Y PATR. HIST.</v>
          </cell>
          <cell r="G198" t="str">
            <v>80</v>
          </cell>
          <cell r="H198" t="str">
            <v/>
          </cell>
          <cell r="I198" t="str">
            <v/>
          </cell>
          <cell r="J198" t="str">
            <v/>
          </cell>
          <cell r="K198" t="str">
            <v/>
          </cell>
          <cell r="L198" t="str">
            <v/>
          </cell>
        </row>
        <row r="199">
          <cell r="A199" t="str">
            <v>21474282X</v>
          </cell>
          <cell r="B199" t="str">
            <v>VERDU MAS, JOSE LUIS</v>
          </cell>
          <cell r="C199" t="str">
            <v>13/10/2011</v>
          </cell>
          <cell r="D199" t="str">
            <v>(en blanco)</v>
          </cell>
          <cell r="E199" t="str">
            <v>10.19</v>
          </cell>
          <cell r="F199" t="str">
            <v>I.U. INVESTIGACION INFORMATICA</v>
          </cell>
          <cell r="G199" t="str">
            <v>20</v>
          </cell>
          <cell r="H199" t="str">
            <v/>
          </cell>
          <cell r="I199" t="str">
            <v/>
          </cell>
          <cell r="J199" t="str">
            <v/>
          </cell>
          <cell r="K199" t="str">
            <v/>
          </cell>
          <cell r="L199" t="str">
            <v/>
          </cell>
        </row>
        <row r="200">
          <cell r="A200" t="str">
            <v>21474507M</v>
          </cell>
          <cell r="B200" t="str">
            <v>LAPIEDRA GUTIERREZ, EVA</v>
          </cell>
          <cell r="C200" t="str">
            <v>21/12/2016</v>
          </cell>
          <cell r="D200" t="str">
            <v>(en blanco)</v>
          </cell>
          <cell r="E200" t="str">
            <v>10.23</v>
          </cell>
          <cell r="F200" t="str">
            <v>I.U. INVESTIGACION ESTUDIOS DE GENERO</v>
          </cell>
          <cell r="G200" t="str">
            <v>20</v>
          </cell>
          <cell r="H200" t="str">
            <v/>
          </cell>
          <cell r="I200" t="str">
            <v/>
          </cell>
          <cell r="J200" t="str">
            <v/>
          </cell>
          <cell r="K200" t="str">
            <v/>
          </cell>
          <cell r="L200" t="str">
            <v/>
          </cell>
        </row>
        <row r="201">
          <cell r="A201" t="str">
            <v>21474593E</v>
          </cell>
          <cell r="B201" t="str">
            <v>MOLINA VIDAL, JAIME</v>
          </cell>
          <cell r="C201" t="str">
            <v>19/09/2014</v>
          </cell>
          <cell r="D201" t="str">
            <v>(en blanco)</v>
          </cell>
          <cell r="E201" t="str">
            <v>10.24</v>
          </cell>
          <cell r="F201" t="str">
            <v>I.U. INVESTIGACION ARQ. Y PATR. HIST.</v>
          </cell>
          <cell r="G201" t="str">
            <v>80</v>
          </cell>
          <cell r="H201" t="str">
            <v/>
          </cell>
          <cell r="I201" t="str">
            <v/>
          </cell>
          <cell r="J201" t="str">
            <v/>
          </cell>
          <cell r="K201" t="str">
            <v/>
          </cell>
          <cell r="L201" t="str">
            <v/>
          </cell>
        </row>
        <row r="202">
          <cell r="A202" t="str">
            <v>21474705L</v>
          </cell>
          <cell r="B202" t="str">
            <v>ORTIZ GARCIA, MARIA MERCEDES</v>
          </cell>
          <cell r="C202" t="str">
            <v>22/07/2019</v>
          </cell>
          <cell r="D202" t="str">
            <v>(en blanco)</v>
          </cell>
          <cell r="E202" t="str">
            <v>10.13</v>
          </cell>
          <cell r="F202" t="str">
            <v>I.U. INVESTIGACION - CIBIO</v>
          </cell>
          <cell r="G202" t="str">
            <v>40</v>
          </cell>
          <cell r="H202" t="str">
            <v/>
          </cell>
          <cell r="I202" t="str">
            <v/>
          </cell>
          <cell r="J202" t="str">
            <v/>
          </cell>
          <cell r="K202" t="str">
            <v/>
          </cell>
          <cell r="L202" t="str">
            <v/>
          </cell>
        </row>
        <row r="203">
          <cell r="A203" t="str">
            <v>21474709T</v>
          </cell>
          <cell r="B203" t="str">
            <v>MARTINEZ PEREZ, FRANCISCO MIGUEL</v>
          </cell>
          <cell r="C203" t="str">
            <v>23/03/2016</v>
          </cell>
          <cell r="D203" t="str">
            <v>(en blanco)</v>
          </cell>
          <cell r="E203" t="str">
            <v>10.19</v>
          </cell>
          <cell r="F203" t="str">
            <v>I.U. INVESTIGACION INFORMATICA</v>
          </cell>
          <cell r="G203" t="str">
            <v>20</v>
          </cell>
          <cell r="H203" t="str">
            <v/>
          </cell>
          <cell r="I203" t="str">
            <v/>
          </cell>
          <cell r="J203" t="str">
            <v/>
          </cell>
          <cell r="K203" t="str">
            <v/>
          </cell>
          <cell r="L203" t="str">
            <v/>
          </cell>
        </row>
        <row r="204">
          <cell r="A204" t="str">
            <v>21474957H</v>
          </cell>
          <cell r="B204" t="str">
            <v>ASENSI STEEGMANN, JUAN CARLOS</v>
          </cell>
          <cell r="C204" t="str">
            <v>01/03/2006</v>
          </cell>
          <cell r="D204" t="str">
            <v>(en blanco)</v>
          </cell>
          <cell r="E204" t="str">
            <v>10.09</v>
          </cell>
          <cell r="F204" t="str">
            <v>I.U. INGENIERIA DE LOS PROCESOS QUIMICOS</v>
          </cell>
          <cell r="G204" t="str">
            <v>40</v>
          </cell>
          <cell r="H204" t="str">
            <v>10.05</v>
          </cell>
          <cell r="I204" t="str">
            <v>I.U. AGUA Y CIENCIAS AMBIENTALES</v>
          </cell>
          <cell r="J204" t="str">
            <v>01/03/2006</v>
          </cell>
          <cell r="K204" t="str">
            <v>(en blanco)</v>
          </cell>
          <cell r="L204" t="str">
            <v>10</v>
          </cell>
        </row>
        <row r="205">
          <cell r="A205" t="str">
            <v>21475002V</v>
          </cell>
          <cell r="B205" t="str">
            <v>JIMENEZ DELGADO, MARIA</v>
          </cell>
          <cell r="C205" t="str">
            <v>08/07/2015</v>
          </cell>
          <cell r="D205" t="str">
            <v>(en blanco)</v>
          </cell>
          <cell r="E205" t="str">
            <v>10.23</v>
          </cell>
          <cell r="F205" t="str">
            <v>I.U. INVESTIGACION ESTUDIOS DE GENERO</v>
          </cell>
          <cell r="G205" t="str">
            <v>20</v>
          </cell>
          <cell r="H205" t="str">
            <v/>
          </cell>
          <cell r="I205" t="str">
            <v/>
          </cell>
          <cell r="J205" t="str">
            <v/>
          </cell>
          <cell r="K205" t="str">
            <v/>
          </cell>
          <cell r="L205" t="str">
            <v/>
          </cell>
        </row>
        <row r="206">
          <cell r="A206" t="str">
            <v>21475142L</v>
          </cell>
          <cell r="B206" t="str">
            <v>FUSTER GARCIA, BEGOÑA LUCIA</v>
          </cell>
          <cell r="C206" t="str">
            <v>01/03/2006</v>
          </cell>
          <cell r="D206" t="str">
            <v>(en blanco)</v>
          </cell>
          <cell r="E206" t="str">
            <v>10.06</v>
          </cell>
          <cell r="F206" t="str">
            <v>I.INTERUNIVERSITARIO ECONOMIA INTERNACIO</v>
          </cell>
          <cell r="G206" t="str">
            <v>50</v>
          </cell>
          <cell r="H206" t="str">
            <v/>
          </cell>
          <cell r="I206" t="str">
            <v/>
          </cell>
          <cell r="J206" t="str">
            <v/>
          </cell>
          <cell r="K206" t="str">
            <v/>
          </cell>
          <cell r="L206" t="str">
            <v/>
          </cell>
        </row>
        <row r="207">
          <cell r="A207" t="str">
            <v>21475467E</v>
          </cell>
          <cell r="B207" t="str">
            <v>CATURLA TEROL, MARIA JOSE</v>
          </cell>
          <cell r="C207" t="str">
            <v>01/03/2006</v>
          </cell>
          <cell r="D207" t="str">
            <v>(en blanco)</v>
          </cell>
          <cell r="E207" t="str">
            <v>10.14</v>
          </cell>
          <cell r="F207" t="str">
            <v>I.U. MATERIALES</v>
          </cell>
          <cell r="G207" t="str">
            <v>10</v>
          </cell>
          <cell r="H207" t="str">
            <v/>
          </cell>
          <cell r="I207" t="str">
            <v/>
          </cell>
          <cell r="J207" t="str">
            <v/>
          </cell>
          <cell r="K207" t="str">
            <v/>
          </cell>
          <cell r="L207" t="str">
            <v/>
          </cell>
        </row>
        <row r="208">
          <cell r="A208" t="str">
            <v>21475880K</v>
          </cell>
          <cell r="B208" t="str">
            <v>GOMEZ ORTEGA, JAIME</v>
          </cell>
          <cell r="C208" t="str">
            <v>26/07/2006</v>
          </cell>
          <cell r="D208" t="str">
            <v>(en blanco)</v>
          </cell>
          <cell r="E208" t="str">
            <v>10.19</v>
          </cell>
          <cell r="F208" t="str">
            <v>I.U. INVESTIGACION INFORMATICA</v>
          </cell>
          <cell r="G208" t="str">
            <v>20</v>
          </cell>
          <cell r="H208" t="str">
            <v/>
          </cell>
          <cell r="I208" t="str">
            <v/>
          </cell>
          <cell r="J208" t="str">
            <v/>
          </cell>
          <cell r="K208" t="str">
            <v/>
          </cell>
          <cell r="L208" t="str">
            <v/>
          </cell>
        </row>
        <row r="209">
          <cell r="A209" t="str">
            <v>21477076K</v>
          </cell>
          <cell r="B209" t="str">
            <v>PASTOR BLAS, MARIA DE LAS MERCEDES</v>
          </cell>
          <cell r="C209" t="str">
            <v>07/11/2007</v>
          </cell>
          <cell r="D209" t="str">
            <v>(en blanco)</v>
          </cell>
          <cell r="E209" t="str">
            <v>10.14</v>
          </cell>
          <cell r="F209" t="str">
            <v>I.U. MATERIALES</v>
          </cell>
          <cell r="G209" t="str">
            <v>20</v>
          </cell>
          <cell r="H209" t="str">
            <v/>
          </cell>
          <cell r="I209" t="str">
            <v/>
          </cell>
          <cell r="J209" t="str">
            <v/>
          </cell>
          <cell r="K209" t="str">
            <v/>
          </cell>
          <cell r="L209" t="str">
            <v/>
          </cell>
        </row>
        <row r="210">
          <cell r="A210" t="str">
            <v>21477495A</v>
          </cell>
          <cell r="B210" t="str">
            <v>CABALLERO SUAREZ, JOSE ANTONIO</v>
          </cell>
          <cell r="C210" t="str">
            <v>17/05/2021</v>
          </cell>
          <cell r="D210" t="str">
            <v>(en blanco)</v>
          </cell>
          <cell r="E210" t="str">
            <v>10.09</v>
          </cell>
          <cell r="F210" t="str">
            <v>I.U. INGENIERIA DE LOS PROCESOS QUIMICOS</v>
          </cell>
          <cell r="G210" t="str">
            <v>65</v>
          </cell>
          <cell r="H210" t="str">
            <v/>
          </cell>
          <cell r="I210" t="str">
            <v/>
          </cell>
          <cell r="J210" t="str">
            <v/>
          </cell>
          <cell r="K210" t="str">
            <v/>
          </cell>
          <cell r="L210" t="str">
            <v/>
          </cell>
        </row>
        <row r="211">
          <cell r="A211" t="str">
            <v>21478044T</v>
          </cell>
          <cell r="B211" t="str">
            <v>FUENTES PASCUAL, RAMON</v>
          </cell>
          <cell r="C211" t="str">
            <v>06/11/2012</v>
          </cell>
          <cell r="D211" t="str">
            <v>(en blanco)</v>
          </cell>
          <cell r="E211" t="str">
            <v>10.17</v>
          </cell>
          <cell r="F211" t="str">
            <v>I.U. INVESTIGACIONES TURISTICAS</v>
          </cell>
          <cell r="G211" t="str">
            <v>25</v>
          </cell>
          <cell r="H211" t="str">
            <v>10.06</v>
          </cell>
          <cell r="I211" t="str">
            <v>I.INTERUNIVERSITARIO ECONOMIA INTERNACIO</v>
          </cell>
          <cell r="J211" t="str">
            <v>06/05/2013</v>
          </cell>
          <cell r="K211" t="str">
            <v>(en blanco)</v>
          </cell>
          <cell r="L211" t="str">
            <v>25</v>
          </cell>
        </row>
        <row r="212">
          <cell r="A212" t="str">
            <v>21478237D</v>
          </cell>
          <cell r="B212" t="str">
            <v>SANTA MARIA BENEYTO, MARIA JESUS</v>
          </cell>
          <cell r="C212" t="str">
            <v>04/03/2020</v>
          </cell>
          <cell r="D212" t="str">
            <v>(en blanco)</v>
          </cell>
          <cell r="E212" t="str">
            <v>10.25</v>
          </cell>
          <cell r="F212" t="str">
            <v>I.U. INV. ESTUDIOS SOC. AMERICA LATINA</v>
          </cell>
          <cell r="G212" t="str">
            <v>30</v>
          </cell>
          <cell r="H212" t="str">
            <v/>
          </cell>
          <cell r="I212" t="str">
            <v/>
          </cell>
          <cell r="J212" t="str">
            <v/>
          </cell>
          <cell r="K212" t="str">
            <v/>
          </cell>
          <cell r="L212" t="str">
            <v/>
          </cell>
        </row>
        <row r="213">
          <cell r="A213" t="str">
            <v>21478406V</v>
          </cell>
          <cell r="B213" t="str">
            <v>PEREZ TURPIN, JOSE ANTONIO</v>
          </cell>
          <cell r="C213" t="str">
            <v>30/09/2019</v>
          </cell>
          <cell r="D213" t="str">
            <v>(en blanco)</v>
          </cell>
          <cell r="E213" t="str">
            <v>10.17</v>
          </cell>
          <cell r="F213" t="str">
            <v>I.U. INVESTIGACIONES TURISTICAS</v>
          </cell>
          <cell r="G213" t="str">
            <v>20</v>
          </cell>
          <cell r="H213" t="str">
            <v/>
          </cell>
          <cell r="I213" t="str">
            <v/>
          </cell>
          <cell r="J213" t="str">
            <v/>
          </cell>
          <cell r="K213" t="str">
            <v/>
          </cell>
          <cell r="L213" t="str">
            <v/>
          </cell>
        </row>
        <row r="214">
          <cell r="A214" t="str">
            <v>21478607B</v>
          </cell>
          <cell r="B214" t="str">
            <v>SANCHEZ JEREZ, PABLO JOSE</v>
          </cell>
          <cell r="C214" t="str">
            <v>11/10/2007</v>
          </cell>
          <cell r="D214" t="str">
            <v>(en blanco)</v>
          </cell>
          <cell r="E214" t="str">
            <v>10.16</v>
          </cell>
          <cell r="F214" t="str">
            <v>I.M.E.M. RAMON MARGALEF (IMEM)</v>
          </cell>
          <cell r="G214" t="str">
            <v>50</v>
          </cell>
          <cell r="H214" t="str">
            <v/>
          </cell>
          <cell r="I214" t="str">
            <v/>
          </cell>
          <cell r="J214" t="str">
            <v/>
          </cell>
          <cell r="K214" t="str">
            <v/>
          </cell>
          <cell r="L214" t="str">
            <v/>
          </cell>
        </row>
        <row r="215">
          <cell r="A215" t="str">
            <v>21479315Y</v>
          </cell>
          <cell r="B215" t="str">
            <v>SANCHEZ SANCHEZ, ANGEL</v>
          </cell>
          <cell r="C215" t="str">
            <v>01/03/2006</v>
          </cell>
          <cell r="D215" t="str">
            <v>(en blanco)</v>
          </cell>
          <cell r="E215" t="str">
            <v>10.05</v>
          </cell>
          <cell r="F215" t="str">
            <v>I.U. AGUA Y CIENCIAS AMBIENTALES</v>
          </cell>
          <cell r="G215" t="str">
            <v>25</v>
          </cell>
          <cell r="H215" t="str">
            <v>10.06</v>
          </cell>
          <cell r="I215" t="str">
            <v>I.INTERUNIVERSITARIO ECONOMIA INTERNACIO</v>
          </cell>
          <cell r="J215" t="str">
            <v>10/10/2007</v>
          </cell>
          <cell r="K215" t="str">
            <v>(en blanco)</v>
          </cell>
          <cell r="L215" t="str">
            <v>25</v>
          </cell>
        </row>
        <row r="216">
          <cell r="A216" t="str">
            <v>21479431F</v>
          </cell>
          <cell r="B216" t="str">
            <v>PADILLA BLANCO, MARIA ASCENSION</v>
          </cell>
          <cell r="C216" t="str">
            <v>30/09/2009</v>
          </cell>
          <cell r="D216" t="str">
            <v>(en blanco)</v>
          </cell>
          <cell r="E216" t="str">
            <v>10.13</v>
          </cell>
          <cell r="F216" t="str">
            <v>I.U. INVESTIGACION - CIBIO</v>
          </cell>
          <cell r="G216" t="str">
            <v>20</v>
          </cell>
          <cell r="H216" t="str">
            <v>10.21</v>
          </cell>
          <cell r="I216" t="str">
            <v>I.INTERUNIVERSITARIO GEOGRAFIA</v>
          </cell>
          <cell r="J216" t="str">
            <v>30/09/2009</v>
          </cell>
          <cell r="K216" t="str">
            <v>(en blanco)</v>
          </cell>
          <cell r="L216" t="str">
            <v>40</v>
          </cell>
        </row>
        <row r="217">
          <cell r="A217" t="str">
            <v>21480784A</v>
          </cell>
          <cell r="B217" t="str">
            <v>JIMENEZ DELGADO, ANTONIO</v>
          </cell>
          <cell r="C217" t="str">
            <v>31/03/2022</v>
          </cell>
          <cell r="D217" t="str">
            <v>(en blanco)</v>
          </cell>
          <cell r="E217" t="str">
            <v>10.25</v>
          </cell>
          <cell r="F217" t="str">
            <v>I.U. INV. ESTUDIOS SOC. AMERICA LATINA</v>
          </cell>
          <cell r="G217" t="str">
            <v>10</v>
          </cell>
          <cell r="H217" t="str">
            <v/>
          </cell>
          <cell r="I217" t="str">
            <v/>
          </cell>
          <cell r="J217" t="str">
            <v/>
          </cell>
          <cell r="K217" t="str">
            <v/>
          </cell>
          <cell r="L217" t="str">
            <v/>
          </cell>
        </row>
        <row r="218">
          <cell r="A218" t="str">
            <v>21481015G</v>
          </cell>
          <cell r="B218" t="str">
            <v>VARGAS SIERRA, CHELO</v>
          </cell>
          <cell r="C218" t="str">
            <v>01/03/2006</v>
          </cell>
          <cell r="D218" t="str">
            <v>(en blanco)</v>
          </cell>
          <cell r="E218" t="str">
            <v>10.15</v>
          </cell>
          <cell r="F218" t="str">
            <v>I.INTERUNIV. LENGUAS MODERNAS APLICADAS</v>
          </cell>
          <cell r="G218" t="str">
            <v>50</v>
          </cell>
          <cell r="H218" t="str">
            <v/>
          </cell>
          <cell r="I218" t="str">
            <v/>
          </cell>
          <cell r="J218" t="str">
            <v/>
          </cell>
          <cell r="K218" t="str">
            <v/>
          </cell>
          <cell r="L218" t="str">
            <v/>
          </cell>
        </row>
        <row r="219">
          <cell r="A219" t="str">
            <v>21481385Y</v>
          </cell>
          <cell r="B219" t="str">
            <v>MORENO SECO, MONICA</v>
          </cell>
          <cell r="C219" t="str">
            <v>14/04/2015</v>
          </cell>
          <cell r="D219" t="str">
            <v>(en blanco)</v>
          </cell>
          <cell r="E219" t="str">
            <v>10.23</v>
          </cell>
          <cell r="F219" t="str">
            <v>I.U. INVESTIGACION ESTUDIOS DE GENERO</v>
          </cell>
          <cell r="G219" t="str">
            <v>90</v>
          </cell>
          <cell r="H219" t="str">
            <v/>
          </cell>
          <cell r="I219" t="str">
            <v/>
          </cell>
          <cell r="J219" t="str">
            <v/>
          </cell>
          <cell r="K219" t="str">
            <v/>
          </cell>
          <cell r="L219" t="str">
            <v/>
          </cell>
        </row>
        <row r="220">
          <cell r="A220" t="str">
            <v>21482281M</v>
          </cell>
          <cell r="B220" t="str">
            <v>FERNANDEZ TORRES, M. JOSE</v>
          </cell>
          <cell r="C220" t="str">
            <v>17/05/2021</v>
          </cell>
          <cell r="D220" t="str">
            <v>(en blanco)</v>
          </cell>
          <cell r="E220" t="str">
            <v>10.09</v>
          </cell>
          <cell r="F220" t="str">
            <v>I.U. INGENIERIA DE LOS PROCESOS QUIMICOS</v>
          </cell>
          <cell r="G220" t="str">
            <v>65</v>
          </cell>
          <cell r="H220" t="str">
            <v/>
          </cell>
          <cell r="I220" t="str">
            <v/>
          </cell>
          <cell r="J220" t="str">
            <v/>
          </cell>
          <cell r="K220" t="str">
            <v/>
          </cell>
          <cell r="L220" t="str">
            <v/>
          </cell>
        </row>
        <row r="221">
          <cell r="A221" t="str">
            <v>21482756C</v>
          </cell>
          <cell r="B221" t="str">
            <v>MOREDA POZO, MARIA PALOMA</v>
          </cell>
          <cell r="C221" t="str">
            <v>17/10/2008</v>
          </cell>
          <cell r="D221" t="str">
            <v>(en blanco)</v>
          </cell>
          <cell r="E221" t="str">
            <v>10.19</v>
          </cell>
          <cell r="F221" t="str">
            <v>I.U. INVESTIGACION INFORMATICA</v>
          </cell>
          <cell r="G221" t="str">
            <v>20</v>
          </cell>
          <cell r="H221" t="str">
            <v/>
          </cell>
          <cell r="I221" t="str">
            <v/>
          </cell>
          <cell r="J221" t="str">
            <v/>
          </cell>
          <cell r="K221" t="str">
            <v/>
          </cell>
          <cell r="L221" t="str">
            <v/>
          </cell>
        </row>
        <row r="222">
          <cell r="A222" t="str">
            <v>21482875R</v>
          </cell>
          <cell r="B222" t="str">
            <v>GUIJARRO PASTOR, ALBERT</v>
          </cell>
          <cell r="C222" t="str">
            <v>24/02/2016</v>
          </cell>
          <cell r="D222" t="str">
            <v>(en blanco)</v>
          </cell>
          <cell r="E222" t="str">
            <v>10.11</v>
          </cell>
          <cell r="F222" t="str">
            <v>I.U. SINTESIS ORGANICA</v>
          </cell>
          <cell r="G222" t="str">
            <v>90</v>
          </cell>
          <cell r="H222" t="str">
            <v/>
          </cell>
          <cell r="I222" t="str">
            <v/>
          </cell>
          <cell r="J222" t="str">
            <v/>
          </cell>
          <cell r="K222" t="str">
            <v/>
          </cell>
          <cell r="L222" t="str">
            <v/>
          </cell>
        </row>
        <row r="223">
          <cell r="A223" t="str">
            <v>21483642D</v>
          </cell>
          <cell r="B223" t="str">
            <v>INIESTA VALCARCEL, JESUS</v>
          </cell>
          <cell r="C223" t="str">
            <v>01/03/2006</v>
          </cell>
          <cell r="D223" t="str">
            <v>(en blanco)</v>
          </cell>
          <cell r="E223" t="str">
            <v>10.12</v>
          </cell>
          <cell r="F223" t="str">
            <v>I.U. ELECTROQUIMICA</v>
          </cell>
          <cell r="G223" t="str">
            <v>50</v>
          </cell>
          <cell r="H223" t="str">
            <v/>
          </cell>
          <cell r="I223" t="str">
            <v/>
          </cell>
          <cell r="J223" t="str">
            <v/>
          </cell>
          <cell r="K223" t="str">
            <v/>
          </cell>
          <cell r="L223" t="str">
            <v/>
          </cell>
        </row>
        <row r="224">
          <cell r="A224" t="str">
            <v>21484328M</v>
          </cell>
          <cell r="B224" t="str">
            <v>ALONSO VELASCO, DIEGO ANTONIO</v>
          </cell>
          <cell r="C224" t="str">
            <v>26/12/2017</v>
          </cell>
          <cell r="D224" t="str">
            <v>(en blanco)</v>
          </cell>
          <cell r="E224" t="str">
            <v>10.11</v>
          </cell>
          <cell r="F224" t="str">
            <v>I.U. SINTESIS ORGANICA</v>
          </cell>
          <cell r="G224" t="str">
            <v>65</v>
          </cell>
          <cell r="H224" t="str">
            <v/>
          </cell>
          <cell r="I224" t="str">
            <v/>
          </cell>
          <cell r="J224" t="str">
            <v/>
          </cell>
          <cell r="K224" t="str">
            <v/>
          </cell>
          <cell r="L224" t="str">
            <v/>
          </cell>
        </row>
        <row r="225">
          <cell r="A225" t="str">
            <v>21484456H</v>
          </cell>
          <cell r="B225" t="str">
            <v>GAVILAN MARTIN, DIEGO</v>
          </cell>
          <cell r="C225" t="str">
            <v>12/07/2022</v>
          </cell>
          <cell r="D225" t="str">
            <v>(en blanco)</v>
          </cell>
          <cell r="E225" t="str">
            <v>10.23</v>
          </cell>
          <cell r="F225" t="str">
            <v>I.U. INVESTIGACION ESTUDIOS DE GENERO</v>
          </cell>
          <cell r="G225" t="str">
            <v>20</v>
          </cell>
          <cell r="H225" t="str">
            <v/>
          </cell>
          <cell r="I225" t="str">
            <v/>
          </cell>
          <cell r="J225" t="str">
            <v/>
          </cell>
          <cell r="K225" t="str">
            <v/>
          </cell>
          <cell r="L225" t="str">
            <v/>
          </cell>
        </row>
        <row r="226">
          <cell r="A226" t="str">
            <v>21485335T</v>
          </cell>
          <cell r="B226" t="str">
            <v>TORRES ALFOSEA, FRANCISCO JOSE</v>
          </cell>
          <cell r="C226" t="str">
            <v>05/08/2009</v>
          </cell>
          <cell r="D226" t="str">
            <v>(en blanco)</v>
          </cell>
          <cell r="E226" t="str">
            <v>10.21</v>
          </cell>
          <cell r="F226" t="str">
            <v>I.INTERUNIVERSITARIO GEOGRAFIA</v>
          </cell>
          <cell r="G226" t="str">
            <v>50</v>
          </cell>
          <cell r="H226" t="str">
            <v>10.17</v>
          </cell>
          <cell r="I226" t="str">
            <v>I.U. INVESTIGACIONES TURISTICAS</v>
          </cell>
          <cell r="J226" t="str">
            <v>26/07/2006</v>
          </cell>
          <cell r="K226" t="str">
            <v>(en blanco)</v>
          </cell>
          <cell r="L226" t="str">
            <v>20</v>
          </cell>
        </row>
        <row r="227">
          <cell r="A227" t="str">
            <v>21485448K</v>
          </cell>
          <cell r="B227" t="str">
            <v>BAÑOS CASTIÑEIRA, CARLOS JAVIER</v>
          </cell>
          <cell r="C227" t="str">
            <v>30/09/2009</v>
          </cell>
          <cell r="D227" t="str">
            <v>(en blanco)</v>
          </cell>
          <cell r="E227" t="str">
            <v>10.21</v>
          </cell>
          <cell r="F227" t="str">
            <v>I.INTERUNIVERSITARIO GEOGRAFIA</v>
          </cell>
          <cell r="G227" t="str">
            <v>30</v>
          </cell>
          <cell r="H227" t="str">
            <v>10.17</v>
          </cell>
          <cell r="I227" t="str">
            <v>I.U. INVESTIGACIONES TURISTICAS</v>
          </cell>
          <cell r="J227" t="str">
            <v>15/05/2019</v>
          </cell>
          <cell r="K227" t="str">
            <v>(en blanco)</v>
          </cell>
          <cell r="L227" t="str">
            <v>20</v>
          </cell>
        </row>
        <row r="228">
          <cell r="A228" t="str">
            <v>21485458P</v>
          </cell>
          <cell r="B228" t="str">
            <v>MURTULA LAFUENTE, VIRGINIA</v>
          </cell>
          <cell r="C228" t="str">
            <v>15/11/2021</v>
          </cell>
          <cell r="D228" t="str">
            <v>(en blanco)</v>
          </cell>
          <cell r="E228" t="str">
            <v>10.23</v>
          </cell>
          <cell r="F228" t="str">
            <v>I.U. INVESTIGACION ESTUDIOS DE GENERO</v>
          </cell>
          <cell r="G228" t="str">
            <v>20</v>
          </cell>
          <cell r="H228" t="str">
            <v/>
          </cell>
          <cell r="I228" t="str">
            <v/>
          </cell>
          <cell r="J228" t="str">
            <v/>
          </cell>
          <cell r="K228" t="str">
            <v/>
          </cell>
          <cell r="L228" t="str">
            <v/>
          </cell>
        </row>
        <row r="229">
          <cell r="A229" t="str">
            <v>21485509J</v>
          </cell>
          <cell r="B229" t="str">
            <v>PUCHOL GARCIA, JUAN ANTONIO</v>
          </cell>
          <cell r="C229" t="str">
            <v>26/07/2006</v>
          </cell>
          <cell r="D229" t="str">
            <v>(en blanco)</v>
          </cell>
          <cell r="E229" t="str">
            <v>10.19</v>
          </cell>
          <cell r="F229" t="str">
            <v>I.U. INVESTIGACION INFORMATICA</v>
          </cell>
          <cell r="G229" t="str">
            <v>20</v>
          </cell>
          <cell r="H229" t="str">
            <v/>
          </cell>
          <cell r="I229" t="str">
            <v/>
          </cell>
          <cell r="J229" t="str">
            <v/>
          </cell>
          <cell r="K229" t="str">
            <v/>
          </cell>
          <cell r="L229" t="str">
            <v/>
          </cell>
        </row>
        <row r="230">
          <cell r="A230" t="str">
            <v>21486459C</v>
          </cell>
          <cell r="B230" t="str">
            <v>ARQUES CORRALES, MARIA DEL PILAR</v>
          </cell>
          <cell r="C230" t="str">
            <v>14/02/2008</v>
          </cell>
          <cell r="D230" t="str">
            <v>(en blanco)</v>
          </cell>
          <cell r="E230" t="str">
            <v>10.19</v>
          </cell>
          <cell r="F230" t="str">
            <v>I.U. INVESTIGACION INFORMATICA</v>
          </cell>
          <cell r="G230" t="str">
            <v>20</v>
          </cell>
          <cell r="H230" t="str">
            <v/>
          </cell>
          <cell r="I230" t="str">
            <v/>
          </cell>
          <cell r="J230" t="str">
            <v/>
          </cell>
          <cell r="K230" t="str">
            <v/>
          </cell>
          <cell r="L230" t="str">
            <v/>
          </cell>
        </row>
        <row r="231">
          <cell r="A231" t="str">
            <v>21486465A</v>
          </cell>
          <cell r="B231" t="str">
            <v>GOMEZ BALLESTER, EVA MARIA PALOMA</v>
          </cell>
          <cell r="C231" t="str">
            <v>07/06/2013</v>
          </cell>
          <cell r="D231" t="str">
            <v>(en blanco)</v>
          </cell>
          <cell r="E231" t="str">
            <v>10.19</v>
          </cell>
          <cell r="F231" t="str">
            <v>I.U. INVESTIGACION INFORMATICA</v>
          </cell>
          <cell r="G231" t="str">
            <v>20</v>
          </cell>
          <cell r="H231" t="str">
            <v/>
          </cell>
          <cell r="I231" t="str">
            <v/>
          </cell>
          <cell r="J231" t="str">
            <v/>
          </cell>
          <cell r="K231" t="str">
            <v/>
          </cell>
          <cell r="L231" t="str">
            <v/>
          </cell>
        </row>
        <row r="232">
          <cell r="A232" t="str">
            <v>21486541X</v>
          </cell>
          <cell r="B232" t="str">
            <v>GARCIA RODRIGUEZ, JOSE</v>
          </cell>
          <cell r="C232" t="str">
            <v>21/07/2009</v>
          </cell>
          <cell r="D232" t="str">
            <v>(en blanco)</v>
          </cell>
          <cell r="E232" t="str">
            <v>10.19</v>
          </cell>
          <cell r="F232" t="str">
            <v>I.U. INVESTIGACION INFORMATICA</v>
          </cell>
          <cell r="G232" t="str">
            <v>20</v>
          </cell>
          <cell r="H232" t="str">
            <v/>
          </cell>
          <cell r="I232" t="str">
            <v/>
          </cell>
          <cell r="J232" t="str">
            <v/>
          </cell>
          <cell r="K232" t="str">
            <v/>
          </cell>
          <cell r="L232" t="str">
            <v/>
          </cell>
        </row>
        <row r="233">
          <cell r="A233" t="str">
            <v>21487688F</v>
          </cell>
          <cell r="B233" t="str">
            <v>RAMON RODRIGUEZ, ANA BELEN</v>
          </cell>
          <cell r="C233" t="str">
            <v>02/07/2015</v>
          </cell>
          <cell r="D233" t="str">
            <v>(en blanco)</v>
          </cell>
          <cell r="E233" t="str">
            <v>10.06</v>
          </cell>
          <cell r="F233" t="str">
            <v>I.INTERUNIVERSITARIO ECONOMIA INTERNACIO</v>
          </cell>
          <cell r="G233" t="str">
            <v>50</v>
          </cell>
          <cell r="H233" t="str">
            <v>10.17</v>
          </cell>
          <cell r="I233" t="str">
            <v>I.U. INVESTIGACIONES TURISTICAS</v>
          </cell>
          <cell r="J233" t="str">
            <v>02/07/2015</v>
          </cell>
          <cell r="K233" t="str">
            <v>(en blanco)</v>
          </cell>
          <cell r="L233" t="str">
            <v>10</v>
          </cell>
        </row>
        <row r="234">
          <cell r="A234" t="str">
            <v>21487724C</v>
          </cell>
          <cell r="B234" t="str">
            <v>PIRE GALIANA, CARMEN LUCIA</v>
          </cell>
          <cell r="C234" t="str">
            <v>22/12/2020</v>
          </cell>
          <cell r="D234" t="str">
            <v>(en blanco)</v>
          </cell>
          <cell r="E234" t="str">
            <v>10.16</v>
          </cell>
          <cell r="F234" t="str">
            <v>I.M.E.M. RAMON MARGALEF (IMEM)</v>
          </cell>
          <cell r="G234" t="str">
            <v>50</v>
          </cell>
          <cell r="H234" t="str">
            <v/>
          </cell>
          <cell r="I234" t="str">
            <v/>
          </cell>
          <cell r="J234" t="str">
            <v/>
          </cell>
          <cell r="K234" t="str">
            <v/>
          </cell>
          <cell r="L234" t="str">
            <v/>
          </cell>
        </row>
        <row r="235">
          <cell r="A235" t="str">
            <v>21487726E</v>
          </cell>
          <cell r="B235" t="str">
            <v>GALIANA SANCHEZ, MARIA EUGENIA</v>
          </cell>
          <cell r="C235" t="str">
            <v>11/06/2015</v>
          </cell>
          <cell r="D235" t="str">
            <v>(en blanco)</v>
          </cell>
          <cell r="E235" t="str">
            <v>10.23</v>
          </cell>
          <cell r="F235" t="str">
            <v>I.U. INVESTIGACION ESTUDIOS DE GENERO</v>
          </cell>
          <cell r="G235" t="str">
            <v>20</v>
          </cell>
          <cell r="H235" t="str">
            <v/>
          </cell>
          <cell r="I235" t="str">
            <v/>
          </cell>
          <cell r="J235" t="str">
            <v/>
          </cell>
          <cell r="K235" t="str">
            <v/>
          </cell>
          <cell r="L235" t="str">
            <v/>
          </cell>
        </row>
        <row r="236">
          <cell r="A236" t="str">
            <v>21487975H</v>
          </cell>
          <cell r="B236" t="str">
            <v>VERDU FARACO, JOSE RAMON</v>
          </cell>
          <cell r="C236" t="str">
            <v>09/03/2016</v>
          </cell>
          <cell r="D236" t="str">
            <v>(en blanco)</v>
          </cell>
          <cell r="E236" t="str">
            <v>10.13</v>
          </cell>
          <cell r="F236" t="str">
            <v>I.U. INVESTIGACION - CIBIO</v>
          </cell>
          <cell r="G236" t="str">
            <v>100</v>
          </cell>
          <cell r="H236" t="str">
            <v/>
          </cell>
          <cell r="I236" t="str">
            <v/>
          </cell>
          <cell r="J236" t="str">
            <v/>
          </cell>
          <cell r="K236" t="str">
            <v/>
          </cell>
          <cell r="L236" t="str">
            <v/>
          </cell>
        </row>
        <row r="237">
          <cell r="A237" t="str">
            <v>21488087S</v>
          </cell>
          <cell r="B237" t="str">
            <v>LABARTA REYES, JUAN ANTONIO</v>
          </cell>
          <cell r="C237" t="str">
            <v>17/05/2021</v>
          </cell>
          <cell r="D237" t="str">
            <v>(en blanco)</v>
          </cell>
          <cell r="E237" t="str">
            <v>10.09</v>
          </cell>
          <cell r="F237" t="str">
            <v>I.U. INGENIERIA DE LOS PROCESOS QUIMICOS</v>
          </cell>
          <cell r="G237" t="str">
            <v>65</v>
          </cell>
          <cell r="H237" t="str">
            <v/>
          </cell>
          <cell r="I237" t="str">
            <v/>
          </cell>
          <cell r="J237" t="str">
            <v/>
          </cell>
          <cell r="K237" t="str">
            <v/>
          </cell>
          <cell r="L237" t="str">
            <v/>
          </cell>
        </row>
        <row r="238">
          <cell r="A238" t="str">
            <v>21488273V</v>
          </cell>
          <cell r="B238" t="str">
            <v>PERAL CORTES, JESUS</v>
          </cell>
          <cell r="C238" t="str">
            <v>26/07/2006</v>
          </cell>
          <cell r="D238" t="str">
            <v>(en blanco)</v>
          </cell>
          <cell r="E238" t="str">
            <v>10.19</v>
          </cell>
          <cell r="F238" t="str">
            <v>I.U. INVESTIGACION INFORMATICA</v>
          </cell>
          <cell r="G238" t="str">
            <v>20</v>
          </cell>
          <cell r="H238" t="str">
            <v/>
          </cell>
          <cell r="I238" t="str">
            <v/>
          </cell>
          <cell r="J238" t="str">
            <v/>
          </cell>
          <cell r="K238" t="str">
            <v/>
          </cell>
          <cell r="L238" t="str">
            <v/>
          </cell>
        </row>
        <row r="239">
          <cell r="A239" t="str">
            <v>21488495D</v>
          </cell>
          <cell r="B239" t="str">
            <v>JOVER SMET, MARGARITA MARIA</v>
          </cell>
          <cell r="C239" t="str">
            <v>06/10/2015</v>
          </cell>
          <cell r="D239" t="str">
            <v>(en blanco)</v>
          </cell>
          <cell r="E239" t="str">
            <v>10.05</v>
          </cell>
          <cell r="F239" t="str">
            <v>I.U. AGUA Y CIENCIAS AMBIENTALES</v>
          </cell>
          <cell r="G239" t="str">
            <v>20</v>
          </cell>
          <cell r="H239" t="str">
            <v/>
          </cell>
          <cell r="I239" t="str">
            <v/>
          </cell>
          <cell r="J239" t="str">
            <v/>
          </cell>
          <cell r="K239" t="str">
            <v/>
          </cell>
          <cell r="L239" t="str">
            <v/>
          </cell>
        </row>
        <row r="240">
          <cell r="A240" t="str">
            <v>21488564D</v>
          </cell>
          <cell r="B240" t="str">
            <v>GUILLENA TOWNLEY, GABRIELA</v>
          </cell>
          <cell r="C240" t="str">
            <v>15/02/2022</v>
          </cell>
          <cell r="D240" t="str">
            <v>(en blanco)</v>
          </cell>
          <cell r="E240" t="str">
            <v>10.11</v>
          </cell>
          <cell r="F240" t="str">
            <v>I.U. SINTESIS ORGANICA</v>
          </cell>
          <cell r="G240" t="str">
            <v>80</v>
          </cell>
          <cell r="H240" t="str">
            <v/>
          </cell>
          <cell r="I240" t="str">
            <v/>
          </cell>
          <cell r="J240" t="str">
            <v/>
          </cell>
          <cell r="K240" t="str">
            <v/>
          </cell>
          <cell r="L240" t="str">
            <v/>
          </cell>
        </row>
        <row r="241">
          <cell r="A241" t="str">
            <v>21489023P</v>
          </cell>
          <cell r="B241" t="str">
            <v>OLAYA LOPEZ, MARIA DEL MAR</v>
          </cell>
          <cell r="C241" t="str">
            <v>17/05/2021</v>
          </cell>
          <cell r="D241" t="str">
            <v>(en blanco)</v>
          </cell>
          <cell r="E241" t="str">
            <v>10.09</v>
          </cell>
          <cell r="F241" t="str">
            <v>I.U. INGENIERIA DE LOS PROCESOS QUIMICOS</v>
          </cell>
          <cell r="G241" t="str">
            <v>65</v>
          </cell>
          <cell r="H241" t="str">
            <v/>
          </cell>
          <cell r="I241" t="str">
            <v/>
          </cell>
          <cell r="J241" t="str">
            <v/>
          </cell>
          <cell r="K241" t="str">
            <v/>
          </cell>
          <cell r="L241" t="str">
            <v/>
          </cell>
        </row>
        <row r="242">
          <cell r="A242" t="str">
            <v>21489543E</v>
          </cell>
          <cell r="B242" t="str">
            <v>SEVILLANO CALERO, FRANCISCO</v>
          </cell>
          <cell r="C242" t="str">
            <v>28/09/2016</v>
          </cell>
          <cell r="D242" t="str">
            <v>(en blanco)</v>
          </cell>
          <cell r="E242" t="str">
            <v>10.25</v>
          </cell>
          <cell r="F242" t="str">
            <v>I.U. INV. ESTUDIOS SOC. AMERICA LATINA</v>
          </cell>
          <cell r="G242" t="str">
            <v>80</v>
          </cell>
          <cell r="H242" t="str">
            <v/>
          </cell>
          <cell r="I242" t="str">
            <v/>
          </cell>
          <cell r="J242" t="str">
            <v/>
          </cell>
          <cell r="K242" t="str">
            <v/>
          </cell>
          <cell r="L242" t="str">
            <v/>
          </cell>
        </row>
        <row r="243">
          <cell r="A243" t="str">
            <v>21489731A</v>
          </cell>
          <cell r="B243" t="str">
            <v>CAZORLA QUEVEDO, MIGUEL ANGEL</v>
          </cell>
          <cell r="C243" t="str">
            <v>05/06/2018</v>
          </cell>
          <cell r="D243" t="str">
            <v>(en blanco)</v>
          </cell>
          <cell r="E243" t="str">
            <v>10.19</v>
          </cell>
          <cell r="F243" t="str">
            <v>I.U. INVESTIGACION INFORMATICA</v>
          </cell>
          <cell r="G243" t="str">
            <v>50</v>
          </cell>
          <cell r="H243" t="str">
            <v/>
          </cell>
          <cell r="I243" t="str">
            <v/>
          </cell>
          <cell r="J243" t="str">
            <v/>
          </cell>
          <cell r="K243" t="str">
            <v/>
          </cell>
          <cell r="L243" t="str">
            <v/>
          </cell>
        </row>
        <row r="244">
          <cell r="A244" t="str">
            <v>21490870S</v>
          </cell>
          <cell r="B244" t="str">
            <v>TORRES VALDES, ROSA MARIA</v>
          </cell>
          <cell r="C244" t="str">
            <v>14/12/2018</v>
          </cell>
          <cell r="D244" t="str">
            <v>(en blanco)</v>
          </cell>
          <cell r="E244" t="str">
            <v>10.23</v>
          </cell>
          <cell r="F244" t="str">
            <v>I.U. INVESTIGACION ESTUDIOS DE GENERO</v>
          </cell>
          <cell r="G244" t="str">
            <v>20</v>
          </cell>
          <cell r="H244" t="str">
            <v/>
          </cell>
          <cell r="I244" t="str">
            <v/>
          </cell>
          <cell r="J244" t="str">
            <v/>
          </cell>
          <cell r="K244" t="str">
            <v/>
          </cell>
          <cell r="L244" t="str">
            <v/>
          </cell>
        </row>
        <row r="245">
          <cell r="A245" t="str">
            <v>21490998M</v>
          </cell>
          <cell r="B245" t="str">
            <v>ORTIZ DIAZ-GUERRA, MARIA JESUS</v>
          </cell>
          <cell r="C245" t="str">
            <v>23/07/2014</v>
          </cell>
          <cell r="D245" t="str">
            <v>(en blanco)</v>
          </cell>
          <cell r="E245" t="str">
            <v>10.06</v>
          </cell>
          <cell r="F245" t="str">
            <v>I.INTERUNIVERSITARIO ECONOMIA INTERNACIO</v>
          </cell>
          <cell r="G245" t="str">
            <v>10</v>
          </cell>
          <cell r="H245" t="str">
            <v/>
          </cell>
          <cell r="I245" t="str">
            <v/>
          </cell>
          <cell r="J245" t="str">
            <v/>
          </cell>
          <cell r="K245" t="str">
            <v/>
          </cell>
          <cell r="L245" t="str">
            <v/>
          </cell>
        </row>
        <row r="246">
          <cell r="A246" t="str">
            <v>21491812Z</v>
          </cell>
          <cell r="B246" t="str">
            <v>MARTINEZ SALA, ALBA MARIA</v>
          </cell>
          <cell r="C246" t="str">
            <v>12/03/2021</v>
          </cell>
          <cell r="D246" t="str">
            <v>(en blanco)</v>
          </cell>
          <cell r="E246" t="str">
            <v>10.25</v>
          </cell>
          <cell r="F246" t="str">
            <v>I.U. INV. ESTUDIOS SOC. AMERICA LATINA</v>
          </cell>
          <cell r="G246" t="str">
            <v>30</v>
          </cell>
          <cell r="H246" t="str">
            <v/>
          </cell>
          <cell r="I246" t="str">
            <v/>
          </cell>
          <cell r="J246" t="str">
            <v/>
          </cell>
          <cell r="K246" t="str">
            <v/>
          </cell>
          <cell r="L246" t="str">
            <v/>
          </cell>
        </row>
        <row r="247">
          <cell r="A247" t="str">
            <v>21493850M</v>
          </cell>
          <cell r="B247" t="str">
            <v>FUSTER OLIVARES, ANTONIO</v>
          </cell>
          <cell r="C247" t="str">
            <v>04/03/2020</v>
          </cell>
          <cell r="D247" t="str">
            <v>(en blanco)</v>
          </cell>
          <cell r="E247" t="str">
            <v>10.25</v>
          </cell>
          <cell r="F247" t="str">
            <v>I.U. INV. ESTUDIOS SOC. AMERICA LATINA</v>
          </cell>
          <cell r="G247" t="str">
            <v>30</v>
          </cell>
          <cell r="H247" t="str">
            <v/>
          </cell>
          <cell r="I247" t="str">
            <v/>
          </cell>
          <cell r="J247" t="str">
            <v/>
          </cell>
          <cell r="K247" t="str">
            <v/>
          </cell>
          <cell r="L247" t="str">
            <v/>
          </cell>
        </row>
        <row r="248">
          <cell r="A248" t="str">
            <v>21494190T</v>
          </cell>
          <cell r="B248" t="str">
            <v>SIMON PEREZ, HIPOLITO JOSE</v>
          </cell>
          <cell r="C248" t="str">
            <v>01/03/2006</v>
          </cell>
          <cell r="D248" t="str">
            <v>(en blanco)</v>
          </cell>
          <cell r="E248" t="str">
            <v>10.06</v>
          </cell>
          <cell r="F248" t="str">
            <v>I.INTERUNIVERSITARIO ECONOMIA INTERNACIO</v>
          </cell>
          <cell r="G248" t="str">
            <v>50</v>
          </cell>
          <cell r="H248" t="str">
            <v/>
          </cell>
          <cell r="I248" t="str">
            <v/>
          </cell>
          <cell r="J248" t="str">
            <v/>
          </cell>
          <cell r="K248" t="str">
            <v/>
          </cell>
          <cell r="L248" t="str">
            <v/>
          </cell>
        </row>
        <row r="249">
          <cell r="A249" t="str">
            <v>21494583W</v>
          </cell>
          <cell r="B249" t="str">
            <v>SABATER SEMPERE, VICENTE</v>
          </cell>
          <cell r="C249" t="str">
            <v>26/07/2006</v>
          </cell>
          <cell r="D249" t="str">
            <v>(en blanco)</v>
          </cell>
          <cell r="E249" t="str">
            <v>10.17</v>
          </cell>
          <cell r="F249" t="str">
            <v>I.U. INVESTIGACIONES TURISTICAS</v>
          </cell>
          <cell r="G249" t="str">
            <v>10</v>
          </cell>
          <cell r="H249" t="str">
            <v/>
          </cell>
          <cell r="I249" t="str">
            <v/>
          </cell>
          <cell r="J249" t="str">
            <v/>
          </cell>
          <cell r="K249" t="str">
            <v/>
          </cell>
          <cell r="L249" t="str">
            <v/>
          </cell>
        </row>
        <row r="250">
          <cell r="A250" t="str">
            <v>21494722A</v>
          </cell>
          <cell r="B250" t="str">
            <v>GARCIA QUESADA, JUAN CARLOS</v>
          </cell>
          <cell r="C250" t="str">
            <v>17/05/2021</v>
          </cell>
          <cell r="D250" t="str">
            <v>(en blanco)</v>
          </cell>
          <cell r="E250" t="str">
            <v>10.09</v>
          </cell>
          <cell r="F250" t="str">
            <v>I.U. INGENIERIA DE LOS PROCESOS QUIMICOS</v>
          </cell>
          <cell r="G250" t="str">
            <v>65</v>
          </cell>
          <cell r="H250" t="str">
            <v/>
          </cell>
          <cell r="I250" t="str">
            <v/>
          </cell>
          <cell r="J250" t="str">
            <v/>
          </cell>
          <cell r="K250" t="str">
            <v/>
          </cell>
          <cell r="L250" t="str">
            <v/>
          </cell>
        </row>
        <row r="251">
          <cell r="A251" t="str">
            <v>21494991L</v>
          </cell>
          <cell r="B251" t="str">
            <v>TRUJILLO MONDEJAR, JUAN CARLOS</v>
          </cell>
          <cell r="C251" t="str">
            <v>26/07/2006</v>
          </cell>
          <cell r="D251" t="str">
            <v>(en blanco)</v>
          </cell>
          <cell r="E251" t="str">
            <v>10.19</v>
          </cell>
          <cell r="F251" t="str">
            <v>I.U. INVESTIGACION INFORMATICA</v>
          </cell>
          <cell r="G251" t="str">
            <v>20</v>
          </cell>
          <cell r="H251" t="str">
            <v/>
          </cell>
          <cell r="I251" t="str">
            <v/>
          </cell>
          <cell r="J251" t="str">
            <v/>
          </cell>
          <cell r="K251" t="str">
            <v/>
          </cell>
          <cell r="L251" t="str">
            <v/>
          </cell>
        </row>
        <row r="252">
          <cell r="A252" t="str">
            <v>21495240S</v>
          </cell>
          <cell r="B252" t="str">
            <v>MONTOYO BOJO, JAVIER</v>
          </cell>
          <cell r="C252" t="str">
            <v>23/03/2016</v>
          </cell>
          <cell r="D252" t="str">
            <v>(en blanco)</v>
          </cell>
          <cell r="E252" t="str">
            <v>10.19</v>
          </cell>
          <cell r="F252" t="str">
            <v>I.U. INVESTIGACION INFORMATICA</v>
          </cell>
          <cell r="G252" t="str">
            <v>20</v>
          </cell>
          <cell r="H252" t="str">
            <v/>
          </cell>
          <cell r="I252" t="str">
            <v/>
          </cell>
          <cell r="J252" t="str">
            <v/>
          </cell>
          <cell r="K252" t="str">
            <v/>
          </cell>
          <cell r="L252" t="str">
            <v/>
          </cell>
        </row>
        <row r="253">
          <cell r="A253" t="str">
            <v>21495354Z</v>
          </cell>
          <cell r="B253" t="str">
            <v>RAMOS SOLER, IRENE</v>
          </cell>
          <cell r="C253" t="str">
            <v>24/07/2020</v>
          </cell>
          <cell r="D253" t="str">
            <v>(en blanco)</v>
          </cell>
          <cell r="E253" t="str">
            <v>10.25</v>
          </cell>
          <cell r="F253" t="str">
            <v>I.U. INV. ESTUDIOS SOC. AMERICA LATINA</v>
          </cell>
          <cell r="G253" t="str">
            <v>30</v>
          </cell>
          <cell r="H253" t="str">
            <v/>
          </cell>
          <cell r="I253" t="str">
            <v/>
          </cell>
          <cell r="J253" t="str">
            <v/>
          </cell>
          <cell r="K253" t="str">
            <v/>
          </cell>
          <cell r="L253" t="str">
            <v/>
          </cell>
        </row>
        <row r="254">
          <cell r="A254" t="str">
            <v>21496149G</v>
          </cell>
          <cell r="B254" t="str">
            <v>COMPAÑ ROSIQUE, PATRICIA</v>
          </cell>
          <cell r="C254" t="str">
            <v>26/07/2006</v>
          </cell>
          <cell r="D254" t="str">
            <v>(en blanco)</v>
          </cell>
          <cell r="E254" t="str">
            <v>10.19</v>
          </cell>
          <cell r="F254" t="str">
            <v>I.U. INVESTIGACION INFORMATICA</v>
          </cell>
          <cell r="G254" t="str">
            <v>20</v>
          </cell>
          <cell r="H254" t="str">
            <v/>
          </cell>
          <cell r="I254" t="str">
            <v/>
          </cell>
          <cell r="J254" t="str">
            <v/>
          </cell>
          <cell r="K254" t="str">
            <v/>
          </cell>
          <cell r="L254" t="str">
            <v/>
          </cell>
        </row>
        <row r="255">
          <cell r="A255" t="str">
            <v>21496269D</v>
          </cell>
          <cell r="B255" t="str">
            <v>SAQUETE FERRANDIZ, MARIA DOLORES</v>
          </cell>
          <cell r="C255" t="str">
            <v>01/03/2006</v>
          </cell>
          <cell r="D255" t="str">
            <v>(en blanco)</v>
          </cell>
          <cell r="E255" t="str">
            <v>10.05</v>
          </cell>
          <cell r="F255" t="str">
            <v>I.U. AGUA Y CIENCIAS AMBIENTALES</v>
          </cell>
          <cell r="G255" t="str">
            <v>10</v>
          </cell>
          <cell r="H255" t="str">
            <v>10.09</v>
          </cell>
          <cell r="I255" t="str">
            <v>I.U. INGENIERIA DE LOS PROCESOS QUIMICOS</v>
          </cell>
          <cell r="J255" t="str">
            <v>17/05/2021</v>
          </cell>
          <cell r="K255" t="str">
            <v>(en blanco)</v>
          </cell>
          <cell r="L255" t="str">
            <v>65</v>
          </cell>
        </row>
        <row r="256">
          <cell r="A256" t="str">
            <v>21497069G</v>
          </cell>
          <cell r="B256" t="str">
            <v>MARTOS SANCHEZ, JOSEP LLUIS</v>
          </cell>
          <cell r="C256" t="str">
            <v>04/07/2006</v>
          </cell>
          <cell r="D256" t="str">
            <v>(en blanco)</v>
          </cell>
          <cell r="E256" t="str">
            <v>10.08</v>
          </cell>
          <cell r="F256" t="str">
            <v>I.INTERUNIVERSITARIO FILOLOGIA VALENCIAN</v>
          </cell>
          <cell r="G256" t="str">
            <v>50</v>
          </cell>
          <cell r="H256" t="str">
            <v/>
          </cell>
          <cell r="I256" t="str">
            <v/>
          </cell>
          <cell r="J256" t="str">
            <v/>
          </cell>
          <cell r="K256" t="str">
            <v/>
          </cell>
          <cell r="L256" t="str">
            <v/>
          </cell>
        </row>
        <row r="257">
          <cell r="A257" t="str">
            <v>21497100N</v>
          </cell>
          <cell r="B257" t="str">
            <v>SEGURA I LLOPES, CARLES</v>
          </cell>
          <cell r="C257" t="str">
            <v>04/07/2006</v>
          </cell>
          <cell r="D257" t="str">
            <v>(en blanco)</v>
          </cell>
          <cell r="E257" t="str">
            <v>10.08</v>
          </cell>
          <cell r="F257" t="str">
            <v>I.INTERUNIVERSITARIO FILOLOGIA VALENCIAN</v>
          </cell>
          <cell r="G257" t="str">
            <v>50</v>
          </cell>
          <cell r="H257" t="str">
            <v/>
          </cell>
          <cell r="I257" t="str">
            <v/>
          </cell>
          <cell r="J257" t="str">
            <v/>
          </cell>
          <cell r="K257" t="str">
            <v/>
          </cell>
          <cell r="L257" t="str">
            <v/>
          </cell>
        </row>
        <row r="258">
          <cell r="A258" t="str">
            <v>21497219Q</v>
          </cell>
          <cell r="B258" t="str">
            <v>PEREZ DEL HOYO, RAQUEL</v>
          </cell>
          <cell r="C258" t="str">
            <v>07/01/2015</v>
          </cell>
          <cell r="D258" t="str">
            <v>(en blanco)</v>
          </cell>
          <cell r="E258" t="str">
            <v>10.05</v>
          </cell>
          <cell r="F258" t="str">
            <v>I.U. AGUA Y CIENCIAS AMBIENTALES</v>
          </cell>
          <cell r="G258" t="str">
            <v>20</v>
          </cell>
          <cell r="H258" t="str">
            <v/>
          </cell>
          <cell r="I258" t="str">
            <v/>
          </cell>
          <cell r="J258" t="str">
            <v/>
          </cell>
          <cell r="K258" t="str">
            <v/>
          </cell>
          <cell r="L258" t="str">
            <v/>
          </cell>
        </row>
        <row r="259">
          <cell r="A259" t="str">
            <v>21497338C</v>
          </cell>
          <cell r="B259" t="str">
            <v>RAMON DANGLA, REMEDIOS</v>
          </cell>
          <cell r="C259" t="str">
            <v>08/07/2021</v>
          </cell>
          <cell r="D259" t="str">
            <v>(en blanco)</v>
          </cell>
          <cell r="E259" t="str">
            <v>10.25</v>
          </cell>
          <cell r="F259" t="str">
            <v>I.U. INV. ESTUDIOS SOC. AMERICA LATINA</v>
          </cell>
          <cell r="G259" t="str">
            <v>20</v>
          </cell>
          <cell r="H259" t="str">
            <v/>
          </cell>
          <cell r="I259" t="str">
            <v/>
          </cell>
          <cell r="J259" t="str">
            <v/>
          </cell>
          <cell r="K259" t="str">
            <v/>
          </cell>
          <cell r="L259" t="str">
            <v/>
          </cell>
        </row>
        <row r="260">
          <cell r="A260" t="str">
            <v>21499146B</v>
          </cell>
          <cell r="B260" t="str">
            <v>PAPI GALVEZ, NATALIA</v>
          </cell>
          <cell r="C260" t="str">
            <v>23/10/2018</v>
          </cell>
          <cell r="D260" t="str">
            <v>(en blanco)</v>
          </cell>
          <cell r="E260" t="str">
            <v>10.06</v>
          </cell>
          <cell r="F260" t="str">
            <v>I.INTERUNIVERSITARIO ECONOMIA INTERNACIO</v>
          </cell>
          <cell r="G260" t="str">
            <v>20</v>
          </cell>
          <cell r="H260" t="str">
            <v>10.23</v>
          </cell>
          <cell r="I260" t="str">
            <v>I.U. INVESTIGACION ESTUDIOS DE GENERO</v>
          </cell>
          <cell r="J260" t="str">
            <v>30/10/2018</v>
          </cell>
          <cell r="K260" t="str">
            <v>(en blanco)</v>
          </cell>
          <cell r="L260" t="str">
            <v>20</v>
          </cell>
        </row>
        <row r="261">
          <cell r="A261" t="str">
            <v>21499481R</v>
          </cell>
          <cell r="B261" t="str">
            <v>GALIANA MERINO, JUAN JOSE</v>
          </cell>
          <cell r="C261" t="str">
            <v>20/10/2009</v>
          </cell>
          <cell r="D261" t="str">
            <v>(en blanco)</v>
          </cell>
          <cell r="E261" t="str">
            <v>10.20</v>
          </cell>
          <cell r="F261" t="str">
            <v>I.U. FISICA APLICADA A LAS CIENCIAS Y LA</v>
          </cell>
          <cell r="G261" t="str">
            <v>20</v>
          </cell>
          <cell r="H261" t="str">
            <v/>
          </cell>
          <cell r="I261" t="str">
            <v/>
          </cell>
          <cell r="J261" t="str">
            <v/>
          </cell>
          <cell r="K261" t="str">
            <v/>
          </cell>
          <cell r="L261" t="str">
            <v/>
          </cell>
        </row>
        <row r="262">
          <cell r="A262" t="str">
            <v>21501206R</v>
          </cell>
          <cell r="B262" t="str">
            <v>GARRIDO ALENDA, ALICIA</v>
          </cell>
          <cell r="C262" t="str">
            <v>26/07/2006</v>
          </cell>
          <cell r="D262" t="str">
            <v>(en blanco)</v>
          </cell>
          <cell r="E262" t="str">
            <v>10.19</v>
          </cell>
          <cell r="F262" t="str">
            <v>I.U. INVESTIGACION INFORMATICA</v>
          </cell>
          <cell r="G262" t="str">
            <v>20</v>
          </cell>
          <cell r="H262" t="str">
            <v/>
          </cell>
          <cell r="I262" t="str">
            <v/>
          </cell>
          <cell r="J262" t="str">
            <v/>
          </cell>
          <cell r="K262" t="str">
            <v/>
          </cell>
          <cell r="L262" t="str">
            <v/>
          </cell>
        </row>
        <row r="263">
          <cell r="A263" t="str">
            <v>21501710E</v>
          </cell>
          <cell r="B263" t="str">
            <v>MICO BALAGUER, ESTEFANIA</v>
          </cell>
          <cell r="C263" t="str">
            <v>09/03/2016</v>
          </cell>
          <cell r="D263" t="str">
            <v>(en blanco)</v>
          </cell>
          <cell r="E263" t="str">
            <v>10.13</v>
          </cell>
          <cell r="F263" t="str">
            <v>I.U. INVESTIGACION - CIBIO</v>
          </cell>
          <cell r="G263" t="str">
            <v>100</v>
          </cell>
          <cell r="H263" t="str">
            <v/>
          </cell>
          <cell r="I263" t="str">
            <v/>
          </cell>
          <cell r="J263" t="str">
            <v/>
          </cell>
          <cell r="K263" t="str">
            <v/>
          </cell>
          <cell r="L263" t="str">
            <v/>
          </cell>
        </row>
        <row r="264">
          <cell r="A264" t="str">
            <v>21502688B</v>
          </cell>
          <cell r="B264" t="str">
            <v>MENDEZ ALCARAZ, DAVID ISRAEL</v>
          </cell>
          <cell r="C264" t="str">
            <v>20/10/2009</v>
          </cell>
          <cell r="D264" t="str">
            <v>(en blanco)</v>
          </cell>
          <cell r="E264" t="str">
            <v>10.20</v>
          </cell>
          <cell r="F264" t="str">
            <v>I.U. FISICA APLICADA A LAS CIENCIAS Y LA</v>
          </cell>
          <cell r="G264" t="str">
            <v>20</v>
          </cell>
          <cell r="H264" t="str">
            <v/>
          </cell>
          <cell r="I264" t="str">
            <v/>
          </cell>
          <cell r="J264" t="str">
            <v/>
          </cell>
          <cell r="K264" t="str">
            <v/>
          </cell>
          <cell r="L264" t="str">
            <v/>
          </cell>
        </row>
        <row r="265">
          <cell r="A265" t="str">
            <v>21502998E</v>
          </cell>
          <cell r="B265" t="str">
            <v>MOLINA GIMENEZ, ANDRES</v>
          </cell>
          <cell r="C265" t="str">
            <v>27/03/2015</v>
          </cell>
          <cell r="D265" t="str">
            <v>(en blanco)</v>
          </cell>
          <cell r="E265" t="str">
            <v>10.05</v>
          </cell>
          <cell r="F265" t="str">
            <v>I.U. AGUA Y CIENCIAS AMBIENTALES</v>
          </cell>
          <cell r="G265" t="str">
            <v>60</v>
          </cell>
          <cell r="H265" t="str">
            <v/>
          </cell>
          <cell r="I265" t="str">
            <v/>
          </cell>
          <cell r="J265" t="str">
            <v/>
          </cell>
          <cell r="K265" t="str">
            <v/>
          </cell>
          <cell r="L265" t="str">
            <v/>
          </cell>
        </row>
        <row r="266">
          <cell r="A266" t="str">
            <v>21503087L</v>
          </cell>
          <cell r="B266" t="str">
            <v>RICO CANOVAS, ELISA TRINIDAD</v>
          </cell>
          <cell r="C266" t="str">
            <v>29/10/2014</v>
          </cell>
          <cell r="D266" t="str">
            <v>(en blanco)</v>
          </cell>
          <cell r="E266" t="str">
            <v>10.17</v>
          </cell>
          <cell r="F266" t="str">
            <v>I.U. INVESTIGACIONES TURISTICAS</v>
          </cell>
          <cell r="G266" t="str">
            <v>50</v>
          </cell>
          <cell r="H266" t="str">
            <v>10.21</v>
          </cell>
          <cell r="I266" t="str">
            <v>I.INTERUNIVERSITARIO GEOGRAFIA</v>
          </cell>
          <cell r="J266" t="str">
            <v>18/12/2019</v>
          </cell>
          <cell r="K266" t="str">
            <v>(en blanco)</v>
          </cell>
          <cell r="L266" t="str">
            <v>20</v>
          </cell>
        </row>
        <row r="267">
          <cell r="A267" t="str">
            <v>21503683V</v>
          </cell>
          <cell r="B267" t="str">
            <v>LOPEZ SANCHEZ, JUAN MANUEL</v>
          </cell>
          <cell r="C267" t="str">
            <v>06/06/2018</v>
          </cell>
          <cell r="D267" t="str">
            <v>(en blanco)</v>
          </cell>
          <cell r="E267" t="str">
            <v>10.19</v>
          </cell>
          <cell r="F267" t="str">
            <v>I.U. INVESTIGACION INFORMATICA</v>
          </cell>
          <cell r="G267" t="str">
            <v>50</v>
          </cell>
          <cell r="H267" t="str">
            <v/>
          </cell>
          <cell r="I267" t="str">
            <v/>
          </cell>
          <cell r="J267" t="str">
            <v/>
          </cell>
          <cell r="K267" t="str">
            <v/>
          </cell>
          <cell r="L267" t="str">
            <v/>
          </cell>
        </row>
        <row r="268">
          <cell r="A268" t="str">
            <v>21506145H</v>
          </cell>
          <cell r="B268" t="str">
            <v>PUEO ORTEGA, BASILIO</v>
          </cell>
          <cell r="C268" t="str">
            <v>03/12/2008</v>
          </cell>
          <cell r="D268" t="str">
            <v>(en blanco)</v>
          </cell>
          <cell r="E268" t="str">
            <v>10.19</v>
          </cell>
          <cell r="F268" t="str">
            <v>I.U. INVESTIGACION INFORMATICA</v>
          </cell>
          <cell r="G268" t="str">
            <v>20</v>
          </cell>
          <cell r="H268" t="str">
            <v/>
          </cell>
          <cell r="I268" t="str">
            <v/>
          </cell>
          <cell r="J268" t="str">
            <v/>
          </cell>
          <cell r="K268" t="str">
            <v/>
          </cell>
          <cell r="L268" t="str">
            <v/>
          </cell>
        </row>
        <row r="269">
          <cell r="A269" t="str">
            <v>21506571F</v>
          </cell>
          <cell r="B269" t="str">
            <v>SANTACREU FERNANDEZ, OSCAR ANTONIO</v>
          </cell>
          <cell r="C269" t="str">
            <v>07/11/2014</v>
          </cell>
          <cell r="D269" t="str">
            <v>(en blanco)</v>
          </cell>
          <cell r="E269" t="str">
            <v>10.22</v>
          </cell>
          <cell r="F269" t="str">
            <v>I.INTERUNIV. DESARROLLO SOCIAL Y PAZ</v>
          </cell>
          <cell r="G269" t="str">
            <v>10</v>
          </cell>
          <cell r="H269" t="str">
            <v/>
          </cell>
          <cell r="I269" t="str">
            <v/>
          </cell>
          <cell r="J269" t="str">
            <v/>
          </cell>
          <cell r="K269" t="str">
            <v/>
          </cell>
          <cell r="L269" t="str">
            <v/>
          </cell>
        </row>
        <row r="270">
          <cell r="A270" t="str">
            <v>21507330F</v>
          </cell>
          <cell r="B270" t="str">
            <v>LOPEZ-TARRUELLA MARTINEZ, AURELIO</v>
          </cell>
          <cell r="C270" t="str">
            <v>19/07/2012</v>
          </cell>
          <cell r="D270" t="str">
            <v>(en blanco)</v>
          </cell>
          <cell r="E270" t="str">
            <v>10.06</v>
          </cell>
          <cell r="F270" t="str">
            <v>I.INTERUNIVERSITARIO ECONOMIA INTERNACIO</v>
          </cell>
          <cell r="G270" t="str">
            <v>10</v>
          </cell>
          <cell r="H270" t="str">
            <v/>
          </cell>
          <cell r="I270" t="str">
            <v/>
          </cell>
          <cell r="J270" t="str">
            <v/>
          </cell>
          <cell r="K270" t="str">
            <v/>
          </cell>
          <cell r="L270" t="str">
            <v/>
          </cell>
        </row>
        <row r="271">
          <cell r="A271" t="str">
            <v>21507611N</v>
          </cell>
          <cell r="B271" t="str">
            <v>BUENO LOPEZ, AGUSTIN</v>
          </cell>
          <cell r="C271" t="str">
            <v>22/02/2016</v>
          </cell>
          <cell r="D271" t="str">
            <v>(en blanco)</v>
          </cell>
          <cell r="E271" t="str">
            <v>10.14</v>
          </cell>
          <cell r="F271" t="str">
            <v>I.U. MATERIALES</v>
          </cell>
          <cell r="G271" t="str">
            <v>50</v>
          </cell>
          <cell r="H271" t="str">
            <v/>
          </cell>
          <cell r="I271" t="str">
            <v/>
          </cell>
          <cell r="J271" t="str">
            <v/>
          </cell>
          <cell r="K271" t="str">
            <v/>
          </cell>
          <cell r="L271" t="str">
            <v/>
          </cell>
        </row>
        <row r="272">
          <cell r="A272" t="str">
            <v>21508379K</v>
          </cell>
          <cell r="B272" t="str">
            <v>GARCIA LLOPIS, CELIA</v>
          </cell>
          <cell r="C272" t="str">
            <v>12/02/2020</v>
          </cell>
          <cell r="D272" t="str">
            <v>(en blanco)</v>
          </cell>
          <cell r="E272" t="str">
            <v>10.20</v>
          </cell>
          <cell r="F272" t="str">
            <v>I.U. FISICA APLICADA A LAS CIENCIAS Y LA</v>
          </cell>
          <cell r="G272" t="str">
            <v>20</v>
          </cell>
          <cell r="H272" t="str">
            <v/>
          </cell>
          <cell r="I272" t="str">
            <v/>
          </cell>
          <cell r="J272" t="str">
            <v/>
          </cell>
          <cell r="K272" t="str">
            <v/>
          </cell>
          <cell r="L272" t="str">
            <v/>
          </cell>
        </row>
        <row r="273">
          <cell r="A273" t="str">
            <v>21508717Z</v>
          </cell>
          <cell r="B273" t="str">
            <v>SELLERS RUBIO, RICARDO</v>
          </cell>
          <cell r="C273" t="str">
            <v>28/04/2021</v>
          </cell>
          <cell r="D273" t="str">
            <v>(en blanco)</v>
          </cell>
          <cell r="E273" t="str">
            <v>10.17</v>
          </cell>
          <cell r="F273" t="str">
            <v>I.U. INVESTIGACIONES TURISTICAS</v>
          </cell>
          <cell r="G273" t="str">
            <v>10</v>
          </cell>
          <cell r="H273" t="str">
            <v/>
          </cell>
          <cell r="I273" t="str">
            <v/>
          </cell>
          <cell r="J273" t="str">
            <v/>
          </cell>
          <cell r="K273" t="str">
            <v/>
          </cell>
          <cell r="L273" t="str">
            <v/>
          </cell>
        </row>
        <row r="274">
          <cell r="A274" t="str">
            <v>21510176R</v>
          </cell>
          <cell r="B274" t="str">
            <v>RUIZ FERNANDEZ, DANIEL</v>
          </cell>
          <cell r="C274" t="str">
            <v>26/07/2006</v>
          </cell>
          <cell r="D274" t="str">
            <v>(en blanco)</v>
          </cell>
          <cell r="E274" t="str">
            <v>10.19</v>
          </cell>
          <cell r="F274" t="str">
            <v>I.U. INVESTIGACION INFORMATICA</v>
          </cell>
          <cell r="G274" t="str">
            <v>20</v>
          </cell>
          <cell r="H274" t="str">
            <v/>
          </cell>
          <cell r="I274" t="str">
            <v/>
          </cell>
          <cell r="J274" t="str">
            <v/>
          </cell>
          <cell r="K274" t="str">
            <v/>
          </cell>
          <cell r="L274" t="str">
            <v/>
          </cell>
        </row>
        <row r="275">
          <cell r="A275" t="str">
            <v>21510779Y</v>
          </cell>
          <cell r="B275" t="str">
            <v>SALCEDO DIAZ, RAQUEL</v>
          </cell>
          <cell r="C275" t="str">
            <v>17/05/2021</v>
          </cell>
          <cell r="D275" t="str">
            <v>(en blanco)</v>
          </cell>
          <cell r="E275" t="str">
            <v>10.09</v>
          </cell>
          <cell r="F275" t="str">
            <v>I.U. INGENIERIA DE LOS PROCESOS QUIMICOS</v>
          </cell>
          <cell r="G275" t="str">
            <v>65</v>
          </cell>
          <cell r="H275" t="str">
            <v/>
          </cell>
          <cell r="I275" t="str">
            <v/>
          </cell>
          <cell r="J275" t="str">
            <v/>
          </cell>
          <cell r="K275" t="str">
            <v/>
          </cell>
          <cell r="L275" t="str">
            <v/>
          </cell>
        </row>
        <row r="276">
          <cell r="A276" t="str">
            <v>21510925Z</v>
          </cell>
          <cell r="B276" t="str">
            <v>VIZCAYA MORENO, MARIA FLORES</v>
          </cell>
          <cell r="C276" t="str">
            <v>13/10/2021</v>
          </cell>
          <cell r="D276" t="str">
            <v>(en blanco)</v>
          </cell>
          <cell r="E276" t="str">
            <v>10.19</v>
          </cell>
          <cell r="F276" t="str">
            <v>I.U. INVESTIGACION INFORMATICA</v>
          </cell>
          <cell r="G276" t="str">
            <v>20</v>
          </cell>
          <cell r="H276" t="str">
            <v/>
          </cell>
          <cell r="I276" t="str">
            <v/>
          </cell>
          <cell r="J276" t="str">
            <v/>
          </cell>
          <cell r="K276" t="str">
            <v/>
          </cell>
          <cell r="L276" t="str">
            <v/>
          </cell>
        </row>
        <row r="277">
          <cell r="A277" t="str">
            <v>21510960A</v>
          </cell>
          <cell r="B277" t="str">
            <v>ESCOBAR ESTEBAN, MARIA PILAR</v>
          </cell>
          <cell r="C277" t="str">
            <v>18/05/2021</v>
          </cell>
          <cell r="D277" t="str">
            <v>(en blanco)</v>
          </cell>
          <cell r="E277" t="str">
            <v>10.19</v>
          </cell>
          <cell r="F277" t="str">
            <v>I.U. INVESTIGACION INFORMATICA</v>
          </cell>
          <cell r="G277" t="str">
            <v>20</v>
          </cell>
          <cell r="H277" t="str">
            <v/>
          </cell>
          <cell r="I277" t="str">
            <v/>
          </cell>
          <cell r="J277" t="str">
            <v/>
          </cell>
          <cell r="K277" t="str">
            <v/>
          </cell>
          <cell r="L277" t="str">
            <v/>
          </cell>
        </row>
        <row r="278">
          <cell r="A278" t="str">
            <v>21511105X</v>
          </cell>
          <cell r="B278" t="str">
            <v>DIEZ ROS, ROCIO</v>
          </cell>
          <cell r="C278" t="str">
            <v>21/12/2016</v>
          </cell>
          <cell r="D278" t="str">
            <v>(en blanco)</v>
          </cell>
          <cell r="E278" t="str">
            <v>10.23</v>
          </cell>
          <cell r="F278" t="str">
            <v>I.U. INVESTIGACION ESTUDIOS DE GENERO</v>
          </cell>
          <cell r="G278" t="str">
            <v>20</v>
          </cell>
          <cell r="H278" t="str">
            <v>10.25</v>
          </cell>
          <cell r="I278" t="str">
            <v>I.U. INV. ESTUDIOS SOC. AMERICA LATINA</v>
          </cell>
          <cell r="J278" t="str">
            <v>19/10/2018</v>
          </cell>
          <cell r="K278" t="str">
            <v>(en blanco)</v>
          </cell>
          <cell r="L278" t="str">
            <v>30</v>
          </cell>
        </row>
        <row r="279">
          <cell r="A279" t="str">
            <v>21511293Z</v>
          </cell>
          <cell r="B279" t="str">
            <v>RUIZ FEMENIA, JOSE RUBEN</v>
          </cell>
          <cell r="C279" t="str">
            <v>17/05/2021</v>
          </cell>
          <cell r="D279" t="str">
            <v>(en blanco)</v>
          </cell>
          <cell r="E279" t="str">
            <v>10.09</v>
          </cell>
          <cell r="F279" t="str">
            <v>I.U. INGENIERIA DE LOS PROCESOS QUIMICOS</v>
          </cell>
          <cell r="G279" t="str">
            <v>65</v>
          </cell>
          <cell r="H279" t="str">
            <v/>
          </cell>
          <cell r="I279" t="str">
            <v/>
          </cell>
          <cell r="J279" t="str">
            <v/>
          </cell>
          <cell r="K279" t="str">
            <v/>
          </cell>
          <cell r="L279" t="str">
            <v/>
          </cell>
        </row>
        <row r="280">
          <cell r="A280" t="str">
            <v>21511536G</v>
          </cell>
          <cell r="B280" t="str">
            <v>CERDAN SALA, MARIA DEL MAR</v>
          </cell>
          <cell r="C280" t="str">
            <v>26/11/2014</v>
          </cell>
          <cell r="D280" t="str">
            <v>(en blanco)</v>
          </cell>
          <cell r="E280" t="str">
            <v>10.13</v>
          </cell>
          <cell r="F280" t="str">
            <v>I.U. INVESTIGACION - CIBIO</v>
          </cell>
          <cell r="G280" t="str">
            <v>50</v>
          </cell>
          <cell r="H280" t="str">
            <v/>
          </cell>
          <cell r="I280" t="str">
            <v/>
          </cell>
          <cell r="J280" t="str">
            <v/>
          </cell>
          <cell r="K280" t="str">
            <v/>
          </cell>
          <cell r="L280" t="str">
            <v/>
          </cell>
        </row>
        <row r="281">
          <cell r="A281" t="str">
            <v>21511645K</v>
          </cell>
          <cell r="B281" t="str">
            <v>CLIMENT PAYA, VICTOR JOSE</v>
          </cell>
          <cell r="C281" t="str">
            <v>01/03/2006</v>
          </cell>
          <cell r="D281" t="str">
            <v>(en blanco)</v>
          </cell>
          <cell r="E281" t="str">
            <v>10.12</v>
          </cell>
          <cell r="F281" t="str">
            <v>I.U. ELECTROQUIMICA</v>
          </cell>
          <cell r="G281" t="str">
            <v>50</v>
          </cell>
          <cell r="H281" t="str">
            <v/>
          </cell>
          <cell r="I281" t="str">
            <v/>
          </cell>
          <cell r="J281" t="str">
            <v/>
          </cell>
          <cell r="K281" t="str">
            <v/>
          </cell>
          <cell r="L281" t="str">
            <v/>
          </cell>
        </row>
        <row r="282">
          <cell r="A282" t="str">
            <v>21512227M</v>
          </cell>
          <cell r="B282" t="str">
            <v>GARCIA GARCIA, JOSE TOMAS</v>
          </cell>
          <cell r="C282" t="str">
            <v>31/07/2015</v>
          </cell>
          <cell r="D282" t="str">
            <v>(en blanco)</v>
          </cell>
          <cell r="E282" t="str">
            <v>10.23</v>
          </cell>
          <cell r="F282" t="str">
            <v>I.U. INVESTIGACION ESTUDIOS DE GENERO</v>
          </cell>
          <cell r="G282" t="str">
            <v>20</v>
          </cell>
          <cell r="H282" t="str">
            <v>10.22</v>
          </cell>
          <cell r="I282" t="str">
            <v>I.INTERUNIV. DESARROLLO SOCIAL Y PAZ</v>
          </cell>
          <cell r="J282" t="str">
            <v>23/07/2015</v>
          </cell>
          <cell r="K282" t="str">
            <v>(en blanco)</v>
          </cell>
          <cell r="L282" t="str">
            <v>30</v>
          </cell>
        </row>
        <row r="283">
          <cell r="A283" t="str">
            <v>21512592W</v>
          </cell>
          <cell r="B283" t="str">
            <v>SANCHEZ MARTINEZ, FELIPE</v>
          </cell>
          <cell r="C283" t="str">
            <v>03/12/2008</v>
          </cell>
          <cell r="D283" t="str">
            <v>(en blanco)</v>
          </cell>
          <cell r="E283" t="str">
            <v>10.19</v>
          </cell>
          <cell r="F283" t="str">
            <v>I.U. INVESTIGACION INFORMATICA</v>
          </cell>
          <cell r="G283" t="str">
            <v>20</v>
          </cell>
          <cell r="H283" t="str">
            <v/>
          </cell>
          <cell r="I283" t="str">
            <v/>
          </cell>
          <cell r="J283" t="str">
            <v/>
          </cell>
          <cell r="K283" t="str">
            <v/>
          </cell>
          <cell r="L283" t="str">
            <v/>
          </cell>
        </row>
        <row r="284">
          <cell r="A284" t="str">
            <v>21513360B</v>
          </cell>
          <cell r="B284" t="str">
            <v>LUJAN MORA, SERGIO</v>
          </cell>
          <cell r="C284" t="str">
            <v>26/07/2006</v>
          </cell>
          <cell r="D284" t="str">
            <v>(en blanco)</v>
          </cell>
          <cell r="E284" t="str">
            <v>10.19</v>
          </cell>
          <cell r="F284" t="str">
            <v>I.U. INVESTIGACION INFORMATICA</v>
          </cell>
          <cell r="G284" t="str">
            <v>20</v>
          </cell>
          <cell r="H284" t="str">
            <v/>
          </cell>
          <cell r="I284" t="str">
            <v/>
          </cell>
          <cell r="J284" t="str">
            <v/>
          </cell>
          <cell r="K284" t="str">
            <v/>
          </cell>
          <cell r="L284" t="str">
            <v/>
          </cell>
        </row>
        <row r="285">
          <cell r="A285" t="str">
            <v>21513988H</v>
          </cell>
          <cell r="B285" t="str">
            <v>MOLTO BERENGUER, JULIA</v>
          </cell>
          <cell r="C285" t="str">
            <v>05/02/2013</v>
          </cell>
          <cell r="D285" t="str">
            <v>(en blanco)</v>
          </cell>
          <cell r="E285" t="str">
            <v>10.05</v>
          </cell>
          <cell r="F285" t="str">
            <v>I.U. AGUA Y CIENCIAS AMBIENTALES</v>
          </cell>
          <cell r="G285" t="str">
            <v>10</v>
          </cell>
          <cell r="H285" t="str">
            <v>10.09</v>
          </cell>
          <cell r="I285" t="str">
            <v>I.U. INGENIERIA DE LOS PROCESOS QUIMICOS</v>
          </cell>
          <cell r="J285" t="str">
            <v>17/05/2021</v>
          </cell>
          <cell r="K285" t="str">
            <v>(en blanco)</v>
          </cell>
          <cell r="L285" t="str">
            <v>65</v>
          </cell>
        </row>
        <row r="286">
          <cell r="A286" t="str">
            <v>21515828H</v>
          </cell>
          <cell r="B286" t="str">
            <v>MATEO PEREZ, MIGUEL ANGEL</v>
          </cell>
          <cell r="C286" t="str">
            <v>26/05/2010</v>
          </cell>
          <cell r="D286" t="str">
            <v>(en blanco)</v>
          </cell>
          <cell r="E286" t="str">
            <v>10.22</v>
          </cell>
          <cell r="F286" t="str">
            <v>I.INTERUNIV. DESARROLLO SOCIAL Y PAZ</v>
          </cell>
          <cell r="G286" t="str">
            <v>90</v>
          </cell>
          <cell r="H286" t="str">
            <v/>
          </cell>
          <cell r="I286" t="str">
            <v/>
          </cell>
          <cell r="J286" t="str">
            <v/>
          </cell>
          <cell r="K286" t="str">
            <v/>
          </cell>
          <cell r="L286" t="str">
            <v/>
          </cell>
        </row>
        <row r="287">
          <cell r="A287" t="str">
            <v>21516469S</v>
          </cell>
          <cell r="B287" t="str">
            <v>SILVESTRE ALBERO, JOAQUIN</v>
          </cell>
          <cell r="C287" t="str">
            <v>14/03/2007</v>
          </cell>
          <cell r="D287" t="str">
            <v>(en blanco)</v>
          </cell>
          <cell r="E287" t="str">
            <v>10.14</v>
          </cell>
          <cell r="F287" t="str">
            <v>I.U. MATERIALES</v>
          </cell>
          <cell r="G287" t="str">
            <v>20</v>
          </cell>
          <cell r="H287" t="str">
            <v/>
          </cell>
          <cell r="I287" t="str">
            <v/>
          </cell>
          <cell r="J287" t="str">
            <v/>
          </cell>
          <cell r="K287" t="str">
            <v/>
          </cell>
          <cell r="L287" t="str">
            <v/>
          </cell>
        </row>
        <row r="288">
          <cell r="A288" t="str">
            <v>21516771H</v>
          </cell>
          <cell r="B288" t="str">
            <v>ESPINAR RUIZ, EVA</v>
          </cell>
          <cell r="C288" t="str">
            <v>15/06/2017</v>
          </cell>
          <cell r="D288" t="str">
            <v>(en blanco)</v>
          </cell>
          <cell r="E288" t="str">
            <v>10.22</v>
          </cell>
          <cell r="F288" t="str">
            <v>I.INTERUNIV. DESARROLLO SOCIAL Y PAZ</v>
          </cell>
          <cell r="G288" t="str">
            <v>20</v>
          </cell>
          <cell r="H288" t="str">
            <v>10.23</v>
          </cell>
          <cell r="I288" t="str">
            <v>I.U. INVESTIGACION ESTUDIOS DE GENERO</v>
          </cell>
          <cell r="J288" t="str">
            <v>15/06/2017</v>
          </cell>
          <cell r="K288" t="str">
            <v>(en blanco)</v>
          </cell>
          <cell r="L288" t="str">
            <v>20</v>
          </cell>
        </row>
        <row r="289">
          <cell r="A289" t="str">
            <v>21622874E</v>
          </cell>
          <cell r="B289" t="str">
            <v>CARDONA MOLTO, MARIA CRISTINA</v>
          </cell>
          <cell r="C289" t="str">
            <v>21/12/2015</v>
          </cell>
          <cell r="D289" t="str">
            <v>(en blanco)</v>
          </cell>
          <cell r="E289" t="str">
            <v>10.23</v>
          </cell>
          <cell r="F289" t="str">
            <v>I.U. INVESTIGACION ESTUDIOS DE GENERO</v>
          </cell>
          <cell r="G289" t="str">
            <v>30</v>
          </cell>
          <cell r="H289" t="str">
            <v/>
          </cell>
          <cell r="I289" t="str">
            <v/>
          </cell>
          <cell r="J289" t="str">
            <v/>
          </cell>
          <cell r="K289" t="str">
            <v/>
          </cell>
          <cell r="L289" t="str">
            <v/>
          </cell>
        </row>
        <row r="290">
          <cell r="A290" t="str">
            <v>21626813M</v>
          </cell>
          <cell r="B290" t="str">
            <v>GOMEZ REUS, MARIA TERESA</v>
          </cell>
          <cell r="C290" t="str">
            <v>01/02/2021</v>
          </cell>
          <cell r="D290" t="str">
            <v>(en blanco)</v>
          </cell>
          <cell r="E290" t="str">
            <v>10.23</v>
          </cell>
          <cell r="F290" t="str">
            <v>I.U. INVESTIGACION ESTUDIOS DE GENERO</v>
          </cell>
          <cell r="G290" t="str">
            <v>20</v>
          </cell>
          <cell r="H290" t="str">
            <v/>
          </cell>
          <cell r="I290" t="str">
            <v/>
          </cell>
          <cell r="J290" t="str">
            <v/>
          </cell>
          <cell r="K290" t="str">
            <v/>
          </cell>
          <cell r="L290" t="str">
            <v/>
          </cell>
        </row>
        <row r="291">
          <cell r="A291" t="str">
            <v>21632131X</v>
          </cell>
          <cell r="B291" t="str">
            <v>BALAGUER PASCUAL, ENRIC</v>
          </cell>
          <cell r="C291" t="str">
            <v>01/03/2006</v>
          </cell>
          <cell r="D291" t="str">
            <v>(en blanco)</v>
          </cell>
          <cell r="E291" t="str">
            <v>10.08</v>
          </cell>
          <cell r="F291" t="str">
            <v>I.INTERUNIVERSITARIO FILOLOGIA VALENCIAN</v>
          </cell>
          <cell r="G291" t="str">
            <v>50</v>
          </cell>
          <cell r="H291" t="str">
            <v/>
          </cell>
          <cell r="I291" t="str">
            <v/>
          </cell>
          <cell r="J291" t="str">
            <v/>
          </cell>
          <cell r="K291" t="str">
            <v/>
          </cell>
          <cell r="L291" t="str">
            <v/>
          </cell>
        </row>
        <row r="292">
          <cell r="A292" t="str">
            <v>21633898Y</v>
          </cell>
          <cell r="B292" t="str">
            <v>SEBASTIA ALCARAZ, RAFAEL</v>
          </cell>
          <cell r="C292" t="str">
            <v>14/10/2015</v>
          </cell>
          <cell r="D292" t="str">
            <v>(en blanco)</v>
          </cell>
          <cell r="E292" t="str">
            <v>10.21</v>
          </cell>
          <cell r="F292" t="str">
            <v>I.INTERUNIVERSITARIO GEOGRAFIA</v>
          </cell>
          <cell r="G292" t="str">
            <v>50</v>
          </cell>
          <cell r="H292" t="str">
            <v/>
          </cell>
          <cell r="I292" t="str">
            <v/>
          </cell>
          <cell r="J292" t="str">
            <v/>
          </cell>
          <cell r="K292" t="str">
            <v/>
          </cell>
          <cell r="L292" t="str">
            <v/>
          </cell>
        </row>
        <row r="293">
          <cell r="A293" t="str">
            <v>21637322A</v>
          </cell>
          <cell r="B293" t="str">
            <v>LLORENS LARGO, FARAON</v>
          </cell>
          <cell r="C293" t="str">
            <v>26/07/2006</v>
          </cell>
          <cell r="D293" t="str">
            <v>(en blanco)</v>
          </cell>
          <cell r="E293" t="str">
            <v>10.19</v>
          </cell>
          <cell r="F293" t="str">
            <v>I.U. INVESTIGACION INFORMATICA</v>
          </cell>
          <cell r="G293" t="str">
            <v>20</v>
          </cell>
          <cell r="H293" t="str">
            <v/>
          </cell>
          <cell r="I293" t="str">
            <v/>
          </cell>
          <cell r="J293" t="str">
            <v/>
          </cell>
          <cell r="K293" t="str">
            <v/>
          </cell>
          <cell r="L293" t="str">
            <v/>
          </cell>
        </row>
        <row r="294">
          <cell r="A294" t="str">
            <v>21640952E</v>
          </cell>
          <cell r="B294" t="str">
            <v>ESPINOS FELIPE, JOAQUIM</v>
          </cell>
          <cell r="C294" t="str">
            <v>29/06/2006</v>
          </cell>
          <cell r="D294" t="str">
            <v>(en blanco)</v>
          </cell>
          <cell r="E294" t="str">
            <v>10.08</v>
          </cell>
          <cell r="F294" t="str">
            <v>I.INTERUNIVERSITARIO FILOLOGIA VALENCIAN</v>
          </cell>
          <cell r="G294" t="str">
            <v>50</v>
          </cell>
          <cell r="H294" t="str">
            <v/>
          </cell>
          <cell r="I294" t="str">
            <v/>
          </cell>
          <cell r="J294" t="str">
            <v/>
          </cell>
          <cell r="K294" t="str">
            <v/>
          </cell>
          <cell r="L294" t="str">
            <v/>
          </cell>
        </row>
        <row r="295">
          <cell r="A295" t="str">
            <v>21643754H</v>
          </cell>
          <cell r="B295" t="str">
            <v>TORRO GIL, LLUIS</v>
          </cell>
          <cell r="C295" t="str">
            <v>28/09/2016</v>
          </cell>
          <cell r="D295" t="str">
            <v>(en blanco)</v>
          </cell>
          <cell r="E295" t="str">
            <v>10.25</v>
          </cell>
          <cell r="F295" t="str">
            <v>I.U. INV. ESTUDIOS SOC. AMERICA LATINA</v>
          </cell>
          <cell r="G295" t="str">
            <v>50</v>
          </cell>
          <cell r="H295" t="str">
            <v>10.06</v>
          </cell>
          <cell r="I295" t="str">
            <v>I.INTERUNIVERSITARIO ECONOMIA INTERNACIO</v>
          </cell>
          <cell r="J295" t="str">
            <v>08/06/2017</v>
          </cell>
          <cell r="K295" t="str">
            <v>(en blanco)</v>
          </cell>
          <cell r="L295" t="str">
            <v>10</v>
          </cell>
        </row>
        <row r="296">
          <cell r="A296" t="str">
            <v>21644530N</v>
          </cell>
          <cell r="B296" t="str">
            <v>MARTIN PASCUAL, LLUCIA</v>
          </cell>
          <cell r="C296" t="str">
            <v>04/07/2006</v>
          </cell>
          <cell r="D296" t="str">
            <v>(en blanco)</v>
          </cell>
          <cell r="E296" t="str">
            <v>10.08</v>
          </cell>
          <cell r="F296" t="str">
            <v>I.INTERUNIVERSITARIO FILOLOGIA VALENCIAN</v>
          </cell>
          <cell r="G296" t="str">
            <v>50</v>
          </cell>
          <cell r="H296" t="str">
            <v/>
          </cell>
          <cell r="I296" t="str">
            <v/>
          </cell>
          <cell r="J296" t="str">
            <v/>
          </cell>
          <cell r="K296" t="str">
            <v/>
          </cell>
          <cell r="L296" t="str">
            <v/>
          </cell>
        </row>
        <row r="297">
          <cell r="A297" t="str">
            <v>21645324R</v>
          </cell>
          <cell r="B297" t="str">
            <v>PENADES MARTINEZ, JOSE LEANDRO</v>
          </cell>
          <cell r="C297" t="str">
            <v>26/07/2006</v>
          </cell>
          <cell r="D297" t="str">
            <v>(en blanco)</v>
          </cell>
          <cell r="E297" t="str">
            <v>10.19</v>
          </cell>
          <cell r="F297" t="str">
            <v>I.U. INVESTIGACION INFORMATICA</v>
          </cell>
          <cell r="G297" t="str">
            <v>20</v>
          </cell>
          <cell r="H297" t="str">
            <v/>
          </cell>
          <cell r="I297" t="str">
            <v/>
          </cell>
          <cell r="J297" t="str">
            <v/>
          </cell>
          <cell r="K297" t="str">
            <v/>
          </cell>
          <cell r="L297" t="str">
            <v/>
          </cell>
        </row>
        <row r="298">
          <cell r="A298" t="str">
            <v>21645638Q</v>
          </cell>
          <cell r="B298" t="str">
            <v>LLOPIS PASCUAL, FERNANDO ENRIQUE</v>
          </cell>
          <cell r="C298" t="str">
            <v>26/07/2006</v>
          </cell>
          <cell r="D298" t="str">
            <v>(en blanco)</v>
          </cell>
          <cell r="E298" t="str">
            <v>10.19</v>
          </cell>
          <cell r="F298" t="str">
            <v>I.U. INVESTIGACION INFORMATICA</v>
          </cell>
          <cell r="G298" t="str">
            <v>20</v>
          </cell>
          <cell r="H298" t="str">
            <v/>
          </cell>
          <cell r="I298" t="str">
            <v/>
          </cell>
          <cell r="J298" t="str">
            <v/>
          </cell>
          <cell r="K298" t="str">
            <v/>
          </cell>
          <cell r="L298" t="str">
            <v/>
          </cell>
        </row>
        <row r="299">
          <cell r="A299" t="str">
            <v>21645764G</v>
          </cell>
          <cell r="B299" t="str">
            <v>GASCO GASCO, JOSE LUIS</v>
          </cell>
          <cell r="C299" t="str">
            <v>10/11/2015</v>
          </cell>
          <cell r="D299" t="str">
            <v>(en blanco)</v>
          </cell>
          <cell r="E299" t="str">
            <v>10.17</v>
          </cell>
          <cell r="F299" t="str">
            <v>I.U. INVESTIGACIONES TURISTICAS</v>
          </cell>
          <cell r="G299" t="str">
            <v>50</v>
          </cell>
          <cell r="H299" t="str">
            <v/>
          </cell>
          <cell r="I299" t="str">
            <v/>
          </cell>
          <cell r="J299" t="str">
            <v/>
          </cell>
          <cell r="K299" t="str">
            <v/>
          </cell>
          <cell r="L299" t="str">
            <v/>
          </cell>
        </row>
        <row r="300">
          <cell r="A300" t="str">
            <v>21648517C</v>
          </cell>
          <cell r="B300" t="str">
            <v>MIRA ABAD, ALICIA VICTORIA</v>
          </cell>
          <cell r="C300" t="str">
            <v>26/05/2015</v>
          </cell>
          <cell r="D300" t="str">
            <v>(en blanco)</v>
          </cell>
          <cell r="E300" t="str">
            <v>10.23</v>
          </cell>
          <cell r="F300" t="str">
            <v>I.U. INVESTIGACION ESTUDIOS DE GENERO</v>
          </cell>
          <cell r="G300" t="str">
            <v>20</v>
          </cell>
          <cell r="H300" t="str">
            <v/>
          </cell>
          <cell r="I300" t="str">
            <v/>
          </cell>
          <cell r="J300" t="str">
            <v/>
          </cell>
          <cell r="K300" t="str">
            <v/>
          </cell>
          <cell r="L300" t="str">
            <v/>
          </cell>
        </row>
        <row r="301">
          <cell r="A301" t="str">
            <v>21648758P</v>
          </cell>
          <cell r="B301" t="str">
            <v>PASTOR SEMPERE, MARIA DEL CARMEN</v>
          </cell>
          <cell r="C301" t="str">
            <v>11/07/2017</v>
          </cell>
          <cell r="D301" t="str">
            <v>(en blanco)</v>
          </cell>
          <cell r="E301" t="str">
            <v>10.06</v>
          </cell>
          <cell r="F301" t="str">
            <v>I.INTERUNIVERSITARIO ECONOMIA INTERNACIO</v>
          </cell>
          <cell r="G301" t="str">
            <v>90</v>
          </cell>
          <cell r="H301" t="str">
            <v/>
          </cell>
          <cell r="I301" t="str">
            <v/>
          </cell>
          <cell r="J301" t="str">
            <v/>
          </cell>
          <cell r="K301" t="str">
            <v/>
          </cell>
          <cell r="L301" t="str">
            <v/>
          </cell>
        </row>
        <row r="302">
          <cell r="A302" t="str">
            <v>21649875K</v>
          </cell>
          <cell r="B302" t="str">
            <v>TORREGROSA GIMENEZ, PALMIRA</v>
          </cell>
          <cell r="C302" t="str">
            <v>29/01/2016</v>
          </cell>
          <cell r="D302" t="str">
            <v>(en blanco)</v>
          </cell>
          <cell r="E302" t="str">
            <v>10.24</v>
          </cell>
          <cell r="F302" t="str">
            <v>I.U. INVESTIGACION ARQ. Y PATR. HIST.</v>
          </cell>
          <cell r="G302" t="str">
            <v>80</v>
          </cell>
          <cell r="H302" t="str">
            <v/>
          </cell>
          <cell r="I302" t="str">
            <v/>
          </cell>
          <cell r="J302" t="str">
            <v/>
          </cell>
          <cell r="K302" t="str">
            <v/>
          </cell>
          <cell r="L302" t="str">
            <v/>
          </cell>
        </row>
        <row r="303">
          <cell r="A303" t="str">
            <v>21649909D</v>
          </cell>
          <cell r="B303" t="str">
            <v>SATORRE CUERDA, Rosana</v>
          </cell>
          <cell r="C303" t="str">
            <v>26/07/2006</v>
          </cell>
          <cell r="D303" t="str">
            <v>(en blanco)</v>
          </cell>
          <cell r="E303" t="str">
            <v>10.19</v>
          </cell>
          <cell r="F303" t="str">
            <v>I.U. INVESTIGACION INFORMATICA</v>
          </cell>
          <cell r="G303" t="str">
            <v>20</v>
          </cell>
          <cell r="H303" t="str">
            <v/>
          </cell>
          <cell r="I303" t="str">
            <v/>
          </cell>
          <cell r="J303" t="str">
            <v/>
          </cell>
          <cell r="K303" t="str">
            <v/>
          </cell>
          <cell r="L303" t="str">
            <v/>
          </cell>
        </row>
        <row r="304">
          <cell r="A304" t="str">
            <v>21650880Z</v>
          </cell>
          <cell r="B304" t="str">
            <v>CORTES ORTS, CARLES</v>
          </cell>
          <cell r="C304" t="str">
            <v>29/06/2006</v>
          </cell>
          <cell r="D304" t="str">
            <v>(en blanco)</v>
          </cell>
          <cell r="E304" t="str">
            <v>10.08</v>
          </cell>
          <cell r="F304" t="str">
            <v>I.INTERUNIVERSITARIO FILOLOGIA VALENCIAN</v>
          </cell>
          <cell r="G304" t="str">
            <v>50</v>
          </cell>
          <cell r="H304" t="str">
            <v/>
          </cell>
          <cell r="I304" t="str">
            <v/>
          </cell>
          <cell r="J304" t="str">
            <v/>
          </cell>
          <cell r="K304" t="str">
            <v/>
          </cell>
          <cell r="L304" t="str">
            <v/>
          </cell>
        </row>
        <row r="305">
          <cell r="A305" t="str">
            <v>21652975Q</v>
          </cell>
          <cell r="B305" t="str">
            <v>LLOPIS VAÑO, FRANCISCO</v>
          </cell>
          <cell r="C305" t="str">
            <v>20/12/2012</v>
          </cell>
          <cell r="D305" t="str">
            <v>(en blanco)</v>
          </cell>
          <cell r="E305" t="str">
            <v>10.05</v>
          </cell>
          <cell r="F305" t="str">
            <v>I.U. AGUA Y CIENCIAS AMBIENTALES</v>
          </cell>
          <cell r="G305" t="str">
            <v>10</v>
          </cell>
          <cell r="H305" t="str">
            <v/>
          </cell>
          <cell r="I305" t="str">
            <v/>
          </cell>
          <cell r="J305" t="str">
            <v/>
          </cell>
          <cell r="K305" t="str">
            <v/>
          </cell>
          <cell r="L305" t="str">
            <v/>
          </cell>
        </row>
        <row r="306">
          <cell r="A306" t="str">
            <v>21653610F</v>
          </cell>
          <cell r="B306" t="str">
            <v>JUAREZ TARRAGA, FRANCISCO</v>
          </cell>
          <cell r="C306" t="str">
            <v>24/02/2022</v>
          </cell>
          <cell r="D306" t="str">
            <v>(en blanco)</v>
          </cell>
          <cell r="E306" t="str">
            <v>10.17</v>
          </cell>
          <cell r="F306" t="str">
            <v>I.U. INVESTIGACIONES TURISTICAS</v>
          </cell>
          <cell r="G306" t="str">
            <v>10</v>
          </cell>
          <cell r="H306" t="str">
            <v>10.25</v>
          </cell>
          <cell r="I306" t="str">
            <v>I.U. INV. ESTUDIOS SOC. AMERICA LATINA</v>
          </cell>
          <cell r="J306" t="str">
            <v>23/11/2020</v>
          </cell>
          <cell r="K306" t="str">
            <v>(en blanco)</v>
          </cell>
          <cell r="L306" t="str">
            <v>50</v>
          </cell>
        </row>
        <row r="307">
          <cell r="A307" t="str">
            <v>21655866D</v>
          </cell>
          <cell r="B307" t="str">
            <v>MOLTO MANTERO, ENRIQUE ALFONSO</v>
          </cell>
          <cell r="C307" t="str">
            <v>16/01/2021</v>
          </cell>
          <cell r="D307" t="str">
            <v>(en blanco)</v>
          </cell>
          <cell r="E307" t="str">
            <v>10.21</v>
          </cell>
          <cell r="F307" t="str">
            <v>I.INTERUNIVERSITARIO GEOGRAFIA</v>
          </cell>
          <cell r="G307" t="str">
            <v>50</v>
          </cell>
          <cell r="H307" t="str">
            <v/>
          </cell>
          <cell r="I307" t="str">
            <v/>
          </cell>
          <cell r="J307" t="str">
            <v/>
          </cell>
          <cell r="K307" t="str">
            <v/>
          </cell>
          <cell r="L307" t="str">
            <v/>
          </cell>
        </row>
        <row r="308">
          <cell r="A308" t="str">
            <v>21657385X</v>
          </cell>
          <cell r="B308" t="str">
            <v>GRAU MIRA, IGNACIO</v>
          </cell>
          <cell r="C308" t="str">
            <v>19/09/2014</v>
          </cell>
          <cell r="D308" t="str">
            <v>(en blanco)</v>
          </cell>
          <cell r="E308" t="str">
            <v>10.24</v>
          </cell>
          <cell r="F308" t="str">
            <v>I.U. INVESTIGACION ARQ. Y PATR. HIST.</v>
          </cell>
          <cell r="G308" t="str">
            <v>80</v>
          </cell>
          <cell r="H308" t="str">
            <v/>
          </cell>
          <cell r="I308" t="str">
            <v/>
          </cell>
          <cell r="J308" t="str">
            <v/>
          </cell>
          <cell r="K308" t="str">
            <v/>
          </cell>
          <cell r="L308" t="str">
            <v/>
          </cell>
        </row>
        <row r="309">
          <cell r="A309" t="str">
            <v>21661002Q</v>
          </cell>
          <cell r="B309" t="str">
            <v>DOMENECH LOPEZ, YOLANDA DE LOS ANGELES</v>
          </cell>
          <cell r="C309" t="str">
            <v>26/05/2010</v>
          </cell>
          <cell r="D309" t="str">
            <v>(en blanco)</v>
          </cell>
          <cell r="E309" t="str">
            <v>10.22</v>
          </cell>
          <cell r="F309" t="str">
            <v>I.INTERUNIV. DESARROLLO SOCIAL Y PAZ</v>
          </cell>
          <cell r="G309" t="str">
            <v>50</v>
          </cell>
          <cell r="H309" t="str">
            <v/>
          </cell>
          <cell r="I309" t="str">
            <v/>
          </cell>
          <cell r="J309" t="str">
            <v/>
          </cell>
          <cell r="K309" t="str">
            <v/>
          </cell>
          <cell r="L309" t="str">
            <v/>
          </cell>
        </row>
        <row r="310">
          <cell r="A310" t="str">
            <v>21664897R</v>
          </cell>
          <cell r="B310" t="str">
            <v>BALLESTER BERMAN, JOSEP DAVID</v>
          </cell>
          <cell r="C310" t="str">
            <v>11/01/2008</v>
          </cell>
          <cell r="D310" t="str">
            <v>(en blanco)</v>
          </cell>
          <cell r="E310" t="str">
            <v>10.19</v>
          </cell>
          <cell r="F310" t="str">
            <v>I.U. INVESTIGACION INFORMATICA</v>
          </cell>
          <cell r="G310" t="str">
            <v>20</v>
          </cell>
          <cell r="H310" t="str">
            <v/>
          </cell>
          <cell r="I310" t="str">
            <v/>
          </cell>
          <cell r="J310" t="str">
            <v/>
          </cell>
          <cell r="K310" t="str">
            <v/>
          </cell>
          <cell r="L310" t="str">
            <v/>
          </cell>
        </row>
        <row r="311">
          <cell r="A311" t="str">
            <v>21668026W</v>
          </cell>
          <cell r="B311" t="str">
            <v>FRANCES DIEZ, MARIA ANGELS</v>
          </cell>
          <cell r="C311" t="str">
            <v>20/06/2014</v>
          </cell>
          <cell r="D311" t="str">
            <v>(en blanco)</v>
          </cell>
          <cell r="E311" t="str">
            <v>10.08</v>
          </cell>
          <cell r="F311" t="str">
            <v>I.INTERUNIVERSITARIO FILOLOGIA VALENCIAN</v>
          </cell>
          <cell r="G311" t="str">
            <v>50</v>
          </cell>
          <cell r="H311" t="str">
            <v/>
          </cell>
          <cell r="I311" t="str">
            <v/>
          </cell>
          <cell r="J311" t="str">
            <v/>
          </cell>
          <cell r="K311" t="str">
            <v/>
          </cell>
          <cell r="L311" t="str">
            <v/>
          </cell>
        </row>
        <row r="312">
          <cell r="A312" t="str">
            <v>21669783B</v>
          </cell>
          <cell r="B312" t="str">
            <v>MOLINA JORDA, JOSE MIGUEL</v>
          </cell>
          <cell r="C312" t="str">
            <v>27/06/2008</v>
          </cell>
          <cell r="D312" t="str">
            <v>(en blanco)</v>
          </cell>
          <cell r="E312" t="str">
            <v>10.14</v>
          </cell>
          <cell r="F312" t="str">
            <v>I.U. MATERIALES</v>
          </cell>
          <cell r="G312" t="str">
            <v>20</v>
          </cell>
          <cell r="H312" t="str">
            <v/>
          </cell>
          <cell r="I312" t="str">
            <v/>
          </cell>
          <cell r="J312" t="str">
            <v/>
          </cell>
          <cell r="K312" t="str">
            <v/>
          </cell>
          <cell r="L312" t="str">
            <v/>
          </cell>
        </row>
        <row r="313">
          <cell r="A313" t="str">
            <v>21671252P</v>
          </cell>
          <cell r="B313" t="str">
            <v>MARTINEZ FRANCES, VANESSA</v>
          </cell>
          <cell r="C313" t="str">
            <v>01/07/2021</v>
          </cell>
          <cell r="D313" t="str">
            <v>30/06/2023</v>
          </cell>
          <cell r="E313" t="str">
            <v>10.13</v>
          </cell>
          <cell r="F313" t="str">
            <v>I.U. INVESTIGACION - CIBIO</v>
          </cell>
          <cell r="G313" t="str">
            <v>100</v>
          </cell>
          <cell r="H313" t="str">
            <v/>
          </cell>
          <cell r="I313" t="str">
            <v/>
          </cell>
          <cell r="J313" t="str">
            <v/>
          </cell>
          <cell r="K313" t="str">
            <v/>
          </cell>
          <cell r="L313" t="str">
            <v/>
          </cell>
        </row>
        <row r="314">
          <cell r="A314" t="str">
            <v>21672037B</v>
          </cell>
          <cell r="B314" t="str">
            <v>LLORENS SIMON, EVA MARIA</v>
          </cell>
          <cell r="C314" t="str">
            <v>01/03/2022</v>
          </cell>
          <cell r="D314" t="str">
            <v>(en blanco)</v>
          </cell>
          <cell r="E314" t="str">
            <v>10.15</v>
          </cell>
          <cell r="F314" t="str">
            <v>I.INTERUNIV. LENGUAS MODERNAS APLICADAS</v>
          </cell>
          <cell r="G314" t="str">
            <v>25</v>
          </cell>
          <cell r="H314" t="str">
            <v/>
          </cell>
          <cell r="I314" t="str">
            <v/>
          </cell>
          <cell r="J314" t="str">
            <v/>
          </cell>
          <cell r="K314" t="str">
            <v/>
          </cell>
          <cell r="L314" t="str">
            <v/>
          </cell>
        </row>
        <row r="315">
          <cell r="A315" t="str">
            <v>21672410Q</v>
          </cell>
          <cell r="B315" t="str">
            <v>AZNAR GREGORI, FIDEL</v>
          </cell>
          <cell r="C315" t="str">
            <v>26/07/2006</v>
          </cell>
          <cell r="D315" t="str">
            <v>(en blanco)</v>
          </cell>
          <cell r="E315" t="str">
            <v>10.19</v>
          </cell>
          <cell r="F315" t="str">
            <v>I.U. INVESTIGACION INFORMATICA</v>
          </cell>
          <cell r="G315" t="str">
            <v>20</v>
          </cell>
          <cell r="H315" t="str">
            <v/>
          </cell>
          <cell r="I315" t="str">
            <v/>
          </cell>
          <cell r="J315" t="str">
            <v/>
          </cell>
          <cell r="K315" t="str">
            <v/>
          </cell>
          <cell r="L315" t="str">
            <v/>
          </cell>
        </row>
        <row r="316">
          <cell r="A316" t="str">
            <v>21672478S</v>
          </cell>
          <cell r="B316" t="str">
            <v>GARCIA ATIENZAR, GABRIEL</v>
          </cell>
          <cell r="C316" t="str">
            <v>19/09/2014</v>
          </cell>
          <cell r="D316" t="str">
            <v>(en blanco)</v>
          </cell>
          <cell r="E316" t="str">
            <v>10.24</v>
          </cell>
          <cell r="F316" t="str">
            <v>I.U. INVESTIGACION ARQ. Y PATR. HIST.</v>
          </cell>
          <cell r="G316" t="str">
            <v>80</v>
          </cell>
          <cell r="H316" t="str">
            <v/>
          </cell>
          <cell r="I316" t="str">
            <v/>
          </cell>
          <cell r="J316" t="str">
            <v/>
          </cell>
          <cell r="K316" t="str">
            <v/>
          </cell>
          <cell r="L316" t="str">
            <v/>
          </cell>
        </row>
        <row r="317">
          <cell r="A317" t="str">
            <v>21677876P</v>
          </cell>
          <cell r="B317" t="str">
            <v>TRESCASTRO LOPEZ, EVA MARIA</v>
          </cell>
          <cell r="C317" t="str">
            <v>03/03/2015</v>
          </cell>
          <cell r="D317" t="str">
            <v>(en blanco)</v>
          </cell>
          <cell r="E317" t="str">
            <v>10.06</v>
          </cell>
          <cell r="F317" t="str">
            <v>I.INTERUNIVERSITARIO ECONOMIA INTERNACIO</v>
          </cell>
          <cell r="G317" t="str">
            <v>10</v>
          </cell>
          <cell r="H317" t="str">
            <v/>
          </cell>
          <cell r="I317" t="str">
            <v/>
          </cell>
          <cell r="J317" t="str">
            <v/>
          </cell>
          <cell r="K317" t="str">
            <v/>
          </cell>
          <cell r="L317" t="str">
            <v/>
          </cell>
        </row>
        <row r="318">
          <cell r="A318" t="str">
            <v>21678844X</v>
          </cell>
          <cell r="B318" t="str">
            <v>JULIA SANCHIS, ROCIO</v>
          </cell>
          <cell r="C318" t="str">
            <v>30/04/2018</v>
          </cell>
          <cell r="D318" t="str">
            <v>(en blanco)</v>
          </cell>
          <cell r="E318" t="str">
            <v>10.21</v>
          </cell>
          <cell r="F318" t="str">
            <v>I.INTERUNIVERSITARIO GEOGRAFIA</v>
          </cell>
          <cell r="G318" t="str">
            <v>30</v>
          </cell>
          <cell r="H318" t="str">
            <v/>
          </cell>
          <cell r="I318" t="str">
            <v/>
          </cell>
          <cell r="J318" t="str">
            <v/>
          </cell>
          <cell r="K318" t="str">
            <v/>
          </cell>
          <cell r="L318" t="str">
            <v/>
          </cell>
        </row>
        <row r="319">
          <cell r="A319" t="str">
            <v>21683813B</v>
          </cell>
          <cell r="B319" t="str">
            <v>MONTAÑO SANZ, FRANCISCO DE BORJA</v>
          </cell>
          <cell r="C319" t="str">
            <v>09/05/2012</v>
          </cell>
          <cell r="D319" t="str">
            <v>(en blanco)</v>
          </cell>
          <cell r="E319" t="str">
            <v>10.05</v>
          </cell>
          <cell r="F319" t="str">
            <v>I.U. AGUA Y CIENCIAS AMBIENTALES</v>
          </cell>
          <cell r="G319" t="str">
            <v>20</v>
          </cell>
          <cell r="H319" t="str">
            <v/>
          </cell>
          <cell r="I319" t="str">
            <v/>
          </cell>
          <cell r="J319" t="str">
            <v/>
          </cell>
          <cell r="K319" t="str">
            <v/>
          </cell>
          <cell r="L319" t="str">
            <v/>
          </cell>
        </row>
        <row r="320">
          <cell r="A320" t="str">
            <v>21686601Q</v>
          </cell>
          <cell r="B320" t="str">
            <v>RICO GOMEZ, MARIA LUISA</v>
          </cell>
          <cell r="C320" t="str">
            <v>29/05/2017</v>
          </cell>
          <cell r="D320" t="str">
            <v>(en blanco)</v>
          </cell>
          <cell r="E320" t="str">
            <v>10.25</v>
          </cell>
          <cell r="F320" t="str">
            <v>I.U. INV. ESTUDIOS SOC. AMERICA LATINA</v>
          </cell>
          <cell r="G320" t="str">
            <v>50</v>
          </cell>
          <cell r="H320" t="str">
            <v/>
          </cell>
          <cell r="I320" t="str">
            <v/>
          </cell>
          <cell r="J320" t="str">
            <v/>
          </cell>
          <cell r="K320" t="str">
            <v/>
          </cell>
          <cell r="L320" t="str">
            <v/>
          </cell>
        </row>
        <row r="321">
          <cell r="A321" t="str">
            <v>21688295P</v>
          </cell>
          <cell r="B321" t="str">
            <v>NUÑEZ ROMERO, MARIA</v>
          </cell>
          <cell r="C321" t="str">
            <v>08/07/2019</v>
          </cell>
          <cell r="D321" t="str">
            <v>(en blanco)</v>
          </cell>
          <cell r="E321" t="str">
            <v>10.06</v>
          </cell>
          <cell r="F321" t="str">
            <v>I.INTERUNIVERSITARIO ECONOMIA INTERNACIO</v>
          </cell>
          <cell r="G321" t="str">
            <v>50</v>
          </cell>
          <cell r="H321" t="str">
            <v/>
          </cell>
          <cell r="I321" t="str">
            <v/>
          </cell>
          <cell r="J321" t="str">
            <v/>
          </cell>
          <cell r="K321" t="str">
            <v/>
          </cell>
          <cell r="L321" t="str">
            <v/>
          </cell>
        </row>
        <row r="322">
          <cell r="A322" t="str">
            <v>21690788V</v>
          </cell>
          <cell r="B322" t="str">
            <v>FERNANDEZ CATALA, JAVIER</v>
          </cell>
          <cell r="C322" t="str">
            <v>01/01/2022</v>
          </cell>
          <cell r="D322" t="str">
            <v>31/12/2024</v>
          </cell>
          <cell r="E322" t="str">
            <v>10.14</v>
          </cell>
          <cell r="F322" t="str">
            <v>I.U. MATERIALES</v>
          </cell>
          <cell r="G322" t="str">
            <v>100</v>
          </cell>
          <cell r="H322" t="str">
            <v/>
          </cell>
          <cell r="I322" t="str">
            <v/>
          </cell>
          <cell r="J322" t="str">
            <v/>
          </cell>
          <cell r="K322" t="str">
            <v/>
          </cell>
          <cell r="L322" t="str">
            <v/>
          </cell>
        </row>
        <row r="323">
          <cell r="A323" t="str">
            <v>21694694J</v>
          </cell>
          <cell r="B323" t="str">
            <v>MARSET GIMENO, XAVIER</v>
          </cell>
          <cell r="C323" t="str">
            <v>15/02/2022</v>
          </cell>
          <cell r="D323" t="str">
            <v>(en blanco)</v>
          </cell>
          <cell r="E323" t="str">
            <v>10.21</v>
          </cell>
          <cell r="F323" t="str">
            <v>I.INTERUNIVERSITARIO GEOGRAFIA</v>
          </cell>
          <cell r="G323" t="str">
            <v>90</v>
          </cell>
          <cell r="H323" t="str">
            <v/>
          </cell>
          <cell r="I323" t="str">
            <v/>
          </cell>
          <cell r="J323" t="str">
            <v/>
          </cell>
          <cell r="K323" t="str">
            <v/>
          </cell>
          <cell r="L323" t="str">
            <v/>
          </cell>
        </row>
        <row r="324">
          <cell r="A324" t="str">
            <v>21696160F</v>
          </cell>
          <cell r="B324" t="str">
            <v>JORDA FAUS, PEPE</v>
          </cell>
          <cell r="C324" t="str">
            <v>01/06/2022</v>
          </cell>
          <cell r="D324" t="str">
            <v>31/05/2025</v>
          </cell>
          <cell r="E324" t="str">
            <v>10.14</v>
          </cell>
          <cell r="F324" t="str">
            <v>I.U. MATERIALES</v>
          </cell>
          <cell r="G324" t="str">
            <v>100</v>
          </cell>
          <cell r="H324" t="str">
            <v/>
          </cell>
          <cell r="I324" t="str">
            <v/>
          </cell>
          <cell r="J324" t="str">
            <v/>
          </cell>
          <cell r="K324" t="str">
            <v/>
          </cell>
          <cell r="L324" t="str">
            <v/>
          </cell>
        </row>
        <row r="325">
          <cell r="A325" t="str">
            <v>21696564C</v>
          </cell>
          <cell r="B325" t="str">
            <v>GARCIA LOPEZ, MARCOS</v>
          </cell>
          <cell r="C325" t="str">
            <v>16/01/2022</v>
          </cell>
          <cell r="D325" t="str">
            <v>15/04/2023</v>
          </cell>
          <cell r="E325" t="str">
            <v>10.05</v>
          </cell>
          <cell r="F325" t="str">
            <v>I.U. AGUA Y CIENCIAS AMBIENTALES</v>
          </cell>
          <cell r="G325" t="str">
            <v>100</v>
          </cell>
          <cell r="H325" t="str">
            <v/>
          </cell>
          <cell r="I325" t="str">
            <v/>
          </cell>
          <cell r="J325" t="str">
            <v/>
          </cell>
          <cell r="K325" t="str">
            <v/>
          </cell>
          <cell r="L325" t="str">
            <v/>
          </cell>
        </row>
        <row r="326">
          <cell r="A326" t="str">
            <v>21943946Z</v>
          </cell>
          <cell r="B326" t="str">
            <v>PRATS RICO, DANIEL</v>
          </cell>
          <cell r="C326" t="str">
            <v>01/03/2006</v>
          </cell>
          <cell r="D326" t="str">
            <v>(en blanco)</v>
          </cell>
          <cell r="E326" t="str">
            <v>10.09</v>
          </cell>
          <cell r="F326" t="str">
            <v>I.U. INGENIERIA DE LOS PROCESOS QUIMICOS</v>
          </cell>
          <cell r="G326" t="str">
            <v>10</v>
          </cell>
          <cell r="H326" t="str">
            <v>10.05</v>
          </cell>
          <cell r="I326" t="str">
            <v>I.U. AGUA Y CIENCIAS AMBIENTALES</v>
          </cell>
          <cell r="J326" t="str">
            <v>30/09/2011</v>
          </cell>
          <cell r="K326" t="str">
            <v>(en blanco)</v>
          </cell>
          <cell r="L326" t="str">
            <v>80</v>
          </cell>
        </row>
        <row r="327">
          <cell r="A327" t="str">
            <v>21964202F</v>
          </cell>
          <cell r="B327" t="str">
            <v>GARCIA CHAMIZO, JUAN MANUEL</v>
          </cell>
          <cell r="C327" t="str">
            <v>26/07/2006</v>
          </cell>
          <cell r="D327" t="str">
            <v>(en blanco)</v>
          </cell>
          <cell r="E327" t="str">
            <v>10.19</v>
          </cell>
          <cell r="F327" t="str">
            <v>I.U. INVESTIGACION INFORMATICA</v>
          </cell>
          <cell r="G327" t="str">
            <v>20</v>
          </cell>
          <cell r="H327" t="str">
            <v>10.25</v>
          </cell>
          <cell r="I327" t="str">
            <v>I.U. INV. ESTUDIOS SOC. AMERICA LATINA</v>
          </cell>
          <cell r="J327" t="str">
            <v>28/09/2016</v>
          </cell>
          <cell r="K327" t="str">
            <v>(en blanco)</v>
          </cell>
          <cell r="L327" t="str">
            <v>10</v>
          </cell>
        </row>
        <row r="328">
          <cell r="A328" t="str">
            <v>21973079Y</v>
          </cell>
          <cell r="B328" t="str">
            <v>BAÑULS SOTO, JOSE FERNANDO</v>
          </cell>
          <cell r="C328" t="str">
            <v>03/06/2010</v>
          </cell>
          <cell r="D328" t="str">
            <v>(en blanco)</v>
          </cell>
          <cell r="E328" t="str">
            <v>10.22</v>
          </cell>
          <cell r="F328" t="str">
            <v>I.INTERUNIV. DESARROLLO SOCIAL Y PAZ</v>
          </cell>
          <cell r="G328" t="str">
            <v>50</v>
          </cell>
          <cell r="H328" t="str">
            <v/>
          </cell>
          <cell r="I328" t="str">
            <v/>
          </cell>
          <cell r="J328" t="str">
            <v/>
          </cell>
          <cell r="K328" t="str">
            <v/>
          </cell>
          <cell r="L328" t="str">
            <v/>
          </cell>
        </row>
        <row r="329">
          <cell r="A329" t="str">
            <v>21979558E</v>
          </cell>
          <cell r="B329" t="str">
            <v>SANSANO I BELSO, GABRIEL</v>
          </cell>
          <cell r="C329" t="str">
            <v>30/06/2008</v>
          </cell>
          <cell r="D329" t="str">
            <v>(en blanco)</v>
          </cell>
          <cell r="E329" t="str">
            <v>10.08</v>
          </cell>
          <cell r="F329" t="str">
            <v>I.INTERUNIVERSITARIO FILOLOGIA VALENCIAN</v>
          </cell>
          <cell r="G329" t="str">
            <v>50</v>
          </cell>
          <cell r="H329" t="str">
            <v/>
          </cell>
          <cell r="I329" t="str">
            <v/>
          </cell>
          <cell r="J329" t="str">
            <v/>
          </cell>
          <cell r="K329" t="str">
            <v/>
          </cell>
          <cell r="L329" t="str">
            <v/>
          </cell>
        </row>
        <row r="330">
          <cell r="A330" t="str">
            <v>21980176L</v>
          </cell>
          <cell r="B330" t="str">
            <v>SEPULVEDA ESCRIBANO, ANTONIO</v>
          </cell>
          <cell r="C330" t="str">
            <v>01/03/2006</v>
          </cell>
          <cell r="D330" t="str">
            <v>(en blanco)</v>
          </cell>
          <cell r="E330" t="str">
            <v>10.14</v>
          </cell>
          <cell r="F330" t="str">
            <v>I.U. MATERIALES</v>
          </cell>
          <cell r="G330" t="str">
            <v>20</v>
          </cell>
          <cell r="H330" t="str">
            <v/>
          </cell>
          <cell r="I330" t="str">
            <v/>
          </cell>
          <cell r="J330" t="str">
            <v/>
          </cell>
          <cell r="K330" t="str">
            <v/>
          </cell>
          <cell r="L330" t="str">
            <v/>
          </cell>
        </row>
        <row r="331">
          <cell r="A331" t="str">
            <v>21983769R</v>
          </cell>
          <cell r="B331" t="str">
            <v>PASCUAL VILLALOBOS, MARIA INMACULADA</v>
          </cell>
          <cell r="C331" t="str">
            <v>31/01/2018</v>
          </cell>
          <cell r="D331" t="str">
            <v>(en blanco)</v>
          </cell>
          <cell r="E331" t="str">
            <v>10.20</v>
          </cell>
          <cell r="F331" t="str">
            <v>I.U. FISICA APLICADA A LAS CIENCIAS Y LA</v>
          </cell>
          <cell r="G331" t="str">
            <v>50</v>
          </cell>
          <cell r="H331" t="str">
            <v/>
          </cell>
          <cell r="I331" t="str">
            <v/>
          </cell>
          <cell r="J331" t="str">
            <v/>
          </cell>
          <cell r="K331" t="str">
            <v/>
          </cell>
          <cell r="L331" t="str">
            <v/>
          </cell>
        </row>
        <row r="332">
          <cell r="A332" t="str">
            <v>21985529J</v>
          </cell>
          <cell r="B332" t="str">
            <v>PALAZON FERRANDO, SALVADOR</v>
          </cell>
          <cell r="C332" t="str">
            <v>28/09/2016</v>
          </cell>
          <cell r="D332" t="str">
            <v>(en blanco)</v>
          </cell>
          <cell r="E332" t="str">
            <v>10.25</v>
          </cell>
          <cell r="F332" t="str">
            <v>I.U. INV. ESTUDIOS SOC. AMERICA LATINA</v>
          </cell>
          <cell r="G332" t="str">
            <v>10</v>
          </cell>
          <cell r="H332" t="str">
            <v/>
          </cell>
          <cell r="I332" t="str">
            <v/>
          </cell>
          <cell r="J332" t="str">
            <v/>
          </cell>
          <cell r="K332" t="str">
            <v/>
          </cell>
          <cell r="L332" t="str">
            <v/>
          </cell>
        </row>
        <row r="333">
          <cell r="A333" t="str">
            <v>21985548D</v>
          </cell>
          <cell r="B333" t="str">
            <v>SUBIZA MARTINEZ, MARIA BEGOÑA</v>
          </cell>
          <cell r="C333" t="str">
            <v>17/12/2015</v>
          </cell>
          <cell r="D333" t="str">
            <v>(en blanco)</v>
          </cell>
          <cell r="E333" t="str">
            <v>10.22</v>
          </cell>
          <cell r="F333" t="str">
            <v>I.INTERUNIV. DESARROLLO SOCIAL Y PAZ</v>
          </cell>
          <cell r="G333" t="str">
            <v>100</v>
          </cell>
          <cell r="H333" t="str">
            <v/>
          </cell>
          <cell r="I333" t="str">
            <v/>
          </cell>
          <cell r="J333" t="str">
            <v/>
          </cell>
          <cell r="K333" t="str">
            <v/>
          </cell>
          <cell r="L333" t="str">
            <v/>
          </cell>
        </row>
        <row r="334">
          <cell r="A334" t="str">
            <v>21989619D</v>
          </cell>
          <cell r="B334" t="str">
            <v>MARTINEZ MOJICA, FRANCISCO JUAN</v>
          </cell>
          <cell r="C334" t="str">
            <v>27/09/2007</v>
          </cell>
          <cell r="D334" t="str">
            <v>(en blanco)</v>
          </cell>
          <cell r="E334" t="str">
            <v>10.16</v>
          </cell>
          <cell r="F334" t="str">
            <v>I.M.E.M. RAMON MARGALEF (IMEM)</v>
          </cell>
          <cell r="G334" t="str">
            <v>50</v>
          </cell>
          <cell r="H334" t="str">
            <v/>
          </cell>
          <cell r="I334" t="str">
            <v/>
          </cell>
          <cell r="J334" t="str">
            <v/>
          </cell>
          <cell r="K334" t="str">
            <v/>
          </cell>
          <cell r="L334" t="str">
            <v/>
          </cell>
        </row>
        <row r="335">
          <cell r="A335" t="str">
            <v>21994525Q</v>
          </cell>
          <cell r="B335" t="str">
            <v>MIRANDA ENCARNACION, JOSE ANTONIO</v>
          </cell>
          <cell r="C335" t="str">
            <v>20/12/2012</v>
          </cell>
          <cell r="D335" t="str">
            <v>(en blanco)</v>
          </cell>
          <cell r="E335" t="str">
            <v>10.05</v>
          </cell>
          <cell r="F335" t="str">
            <v>I.U. AGUA Y CIENCIAS AMBIENTALES</v>
          </cell>
          <cell r="G335" t="str">
            <v>20</v>
          </cell>
          <cell r="H335" t="str">
            <v>10.21</v>
          </cell>
          <cell r="I335" t="str">
            <v>I.INTERUNIVERSITARIO GEOGRAFIA</v>
          </cell>
          <cell r="J335" t="str">
            <v>22/11/2012</v>
          </cell>
          <cell r="K335" t="str">
            <v>(en blanco)</v>
          </cell>
          <cell r="L335" t="str">
            <v>30</v>
          </cell>
        </row>
        <row r="336">
          <cell r="A336" t="str">
            <v>21994647T</v>
          </cell>
          <cell r="B336" t="str">
            <v>CAZORLA AMOROS, DIEGO</v>
          </cell>
          <cell r="C336" t="str">
            <v>22/02/2016</v>
          </cell>
          <cell r="D336" t="str">
            <v>(en blanco)</v>
          </cell>
          <cell r="E336" t="str">
            <v>10.14</v>
          </cell>
          <cell r="F336" t="str">
            <v>I.U. MATERIALES</v>
          </cell>
          <cell r="G336" t="str">
            <v>50</v>
          </cell>
          <cell r="H336" t="str">
            <v/>
          </cell>
          <cell r="I336" t="str">
            <v/>
          </cell>
          <cell r="J336" t="str">
            <v/>
          </cell>
          <cell r="K336" t="str">
            <v/>
          </cell>
          <cell r="L336" t="str">
            <v/>
          </cell>
        </row>
        <row r="337">
          <cell r="A337" t="str">
            <v>21995314T</v>
          </cell>
          <cell r="B337" t="str">
            <v>MARTINEZ MARIN, TOMAS</v>
          </cell>
          <cell r="C337" t="str">
            <v>06/06/2018</v>
          </cell>
          <cell r="D337" t="str">
            <v>(en blanco)</v>
          </cell>
          <cell r="E337" t="str">
            <v>10.19</v>
          </cell>
          <cell r="F337" t="str">
            <v>I.U. INVESTIGACION INFORMATICA</v>
          </cell>
          <cell r="G337" t="str">
            <v>50</v>
          </cell>
          <cell r="H337" t="str">
            <v/>
          </cell>
          <cell r="I337" t="str">
            <v/>
          </cell>
          <cell r="J337" t="str">
            <v/>
          </cell>
          <cell r="K337" t="str">
            <v/>
          </cell>
          <cell r="L337" t="str">
            <v/>
          </cell>
        </row>
        <row r="338">
          <cell r="A338" t="str">
            <v>21996111S</v>
          </cell>
          <cell r="B338" t="str">
            <v>ANDREU RODES, JOSE MIGUEL</v>
          </cell>
          <cell r="C338" t="str">
            <v>01/03/2006</v>
          </cell>
          <cell r="D338" t="str">
            <v>(en blanco)</v>
          </cell>
          <cell r="E338" t="str">
            <v>10.05</v>
          </cell>
          <cell r="F338" t="str">
            <v>I.U. AGUA Y CIENCIAS AMBIENTALES</v>
          </cell>
          <cell r="G338" t="str">
            <v>10</v>
          </cell>
          <cell r="H338" t="str">
            <v/>
          </cell>
          <cell r="I338" t="str">
            <v/>
          </cell>
          <cell r="J338" t="str">
            <v/>
          </cell>
          <cell r="K338" t="str">
            <v/>
          </cell>
          <cell r="L338" t="str">
            <v/>
          </cell>
        </row>
        <row r="339">
          <cell r="A339" t="str">
            <v>21996705B</v>
          </cell>
          <cell r="B339" t="str">
            <v>ROMAN MARTINEZ, MARIA DEL CARMEN</v>
          </cell>
          <cell r="C339" t="str">
            <v>08/10/2021</v>
          </cell>
          <cell r="D339" t="str">
            <v>(en blanco)</v>
          </cell>
          <cell r="E339" t="str">
            <v>10.14</v>
          </cell>
          <cell r="F339" t="str">
            <v>I.U. MATERIALES</v>
          </cell>
          <cell r="G339" t="str">
            <v>50</v>
          </cell>
          <cell r="H339" t="str">
            <v/>
          </cell>
          <cell r="I339" t="str">
            <v/>
          </cell>
          <cell r="J339" t="str">
            <v/>
          </cell>
          <cell r="K339" t="str">
            <v/>
          </cell>
          <cell r="L339" t="str">
            <v/>
          </cell>
        </row>
        <row r="340">
          <cell r="A340" t="str">
            <v>22000675W</v>
          </cell>
          <cell r="B340" t="str">
            <v>FUSTER GUILLO, ANDRES</v>
          </cell>
          <cell r="C340" t="str">
            <v>11/06/2018</v>
          </cell>
          <cell r="D340" t="str">
            <v>(en blanco)</v>
          </cell>
          <cell r="E340" t="str">
            <v>10.19</v>
          </cell>
          <cell r="F340" t="str">
            <v>I.U. INVESTIGACION INFORMATICA</v>
          </cell>
          <cell r="G340" t="str">
            <v>50</v>
          </cell>
          <cell r="H340" t="str">
            <v/>
          </cell>
          <cell r="I340" t="str">
            <v/>
          </cell>
          <cell r="J340" t="str">
            <v/>
          </cell>
          <cell r="K340" t="str">
            <v/>
          </cell>
          <cell r="L340" t="str">
            <v/>
          </cell>
        </row>
        <row r="341">
          <cell r="A341" t="str">
            <v>22002559T</v>
          </cell>
          <cell r="B341" t="str">
            <v>PEREZ SANCHEZ, VICENTE RAUL</v>
          </cell>
          <cell r="C341" t="str">
            <v>08/03/2021</v>
          </cell>
          <cell r="D341" t="str">
            <v>(en blanco)</v>
          </cell>
          <cell r="E341" t="str">
            <v>10.25</v>
          </cell>
          <cell r="F341" t="str">
            <v>I.U. INV. ESTUDIOS SOC. AMERICA LATINA</v>
          </cell>
          <cell r="G341" t="str">
            <v>10</v>
          </cell>
          <cell r="H341" t="str">
            <v/>
          </cell>
          <cell r="I341" t="str">
            <v/>
          </cell>
          <cell r="J341" t="str">
            <v/>
          </cell>
          <cell r="K341" t="str">
            <v/>
          </cell>
          <cell r="L341" t="str">
            <v/>
          </cell>
        </row>
        <row r="342">
          <cell r="A342" t="str">
            <v>22003613L</v>
          </cell>
          <cell r="B342" t="str">
            <v>BONETE FERRANDEZ, PEDRO LUIS</v>
          </cell>
          <cell r="C342" t="str">
            <v>19/09/2006</v>
          </cell>
          <cell r="D342" t="str">
            <v>(en blanco)</v>
          </cell>
          <cell r="E342" t="str">
            <v>10.12</v>
          </cell>
          <cell r="F342" t="str">
            <v>I.U. ELECTROQUIMICA</v>
          </cell>
          <cell r="G342" t="str">
            <v>50</v>
          </cell>
          <cell r="H342" t="str">
            <v/>
          </cell>
          <cell r="I342" t="str">
            <v/>
          </cell>
          <cell r="J342" t="str">
            <v/>
          </cell>
          <cell r="K342" t="str">
            <v/>
          </cell>
          <cell r="L342" t="str">
            <v/>
          </cell>
        </row>
        <row r="343">
          <cell r="A343" t="str">
            <v>22003811X</v>
          </cell>
          <cell r="B343" t="str">
            <v>BELTRAN RICO, MARIA ISABEL</v>
          </cell>
          <cell r="C343" t="str">
            <v>17/05/2021</v>
          </cell>
          <cell r="D343" t="str">
            <v>(en blanco)</v>
          </cell>
          <cell r="E343" t="str">
            <v>10.09</v>
          </cell>
          <cell r="F343" t="str">
            <v>I.U. INGENIERIA DE LOS PROCESOS QUIMICOS</v>
          </cell>
          <cell r="G343" t="str">
            <v>65</v>
          </cell>
          <cell r="H343" t="str">
            <v/>
          </cell>
          <cell r="I343" t="str">
            <v/>
          </cell>
          <cell r="J343" t="str">
            <v/>
          </cell>
          <cell r="K343" t="str">
            <v/>
          </cell>
          <cell r="L343" t="str">
            <v/>
          </cell>
        </row>
        <row r="344">
          <cell r="A344" t="str">
            <v>22006135B</v>
          </cell>
          <cell r="B344" t="str">
            <v>CONESA FERRER, JUAN ANTONIO</v>
          </cell>
          <cell r="C344" t="str">
            <v>07/05/2021</v>
          </cell>
          <cell r="D344" t="str">
            <v>(en blanco)</v>
          </cell>
          <cell r="E344" t="str">
            <v>10.09</v>
          </cell>
          <cell r="F344" t="str">
            <v>I.U. INGENIERIA DE LOS PROCESOS QUIMICOS</v>
          </cell>
          <cell r="G344" t="str">
            <v>65</v>
          </cell>
          <cell r="H344" t="str">
            <v/>
          </cell>
          <cell r="I344" t="str">
            <v/>
          </cell>
          <cell r="J344" t="str">
            <v/>
          </cell>
          <cell r="K344" t="str">
            <v/>
          </cell>
          <cell r="L344" t="str">
            <v/>
          </cell>
        </row>
        <row r="345">
          <cell r="A345" t="str">
            <v>22008840W</v>
          </cell>
          <cell r="B345" t="str">
            <v>GOMEZ TORREGROSA, ROBERTO</v>
          </cell>
          <cell r="C345" t="str">
            <v>01/03/2006</v>
          </cell>
          <cell r="D345" t="str">
            <v>(en blanco)</v>
          </cell>
          <cell r="E345" t="str">
            <v>10.12</v>
          </cell>
          <cell r="F345" t="str">
            <v>I.U. ELECTROQUIMICA</v>
          </cell>
          <cell r="G345" t="str">
            <v>50</v>
          </cell>
          <cell r="H345" t="str">
            <v/>
          </cell>
          <cell r="I345" t="str">
            <v/>
          </cell>
          <cell r="J345" t="str">
            <v/>
          </cell>
          <cell r="K345" t="str">
            <v/>
          </cell>
          <cell r="L345" t="str">
            <v/>
          </cell>
        </row>
        <row r="346">
          <cell r="A346" t="str">
            <v>22008854Q</v>
          </cell>
          <cell r="B346" t="str">
            <v>SANCHEZ ADSUAR, MARIA SALVADORA</v>
          </cell>
          <cell r="C346" t="str">
            <v>22/02/2016</v>
          </cell>
          <cell r="D346" t="str">
            <v>(en blanco)</v>
          </cell>
          <cell r="E346" t="str">
            <v>10.14</v>
          </cell>
          <cell r="F346" t="str">
            <v>I.U. MATERIALES</v>
          </cell>
          <cell r="G346" t="str">
            <v>40</v>
          </cell>
          <cell r="H346" t="str">
            <v/>
          </cell>
          <cell r="I346" t="str">
            <v/>
          </cell>
          <cell r="J346" t="str">
            <v/>
          </cell>
          <cell r="K346" t="str">
            <v/>
          </cell>
          <cell r="L346" t="str">
            <v/>
          </cell>
        </row>
        <row r="347">
          <cell r="A347" t="str">
            <v>22009507W</v>
          </cell>
          <cell r="B347" t="str">
            <v>PERUJO MELGAR, JOAN MARIA</v>
          </cell>
          <cell r="C347" t="str">
            <v>29/01/2019</v>
          </cell>
          <cell r="D347" t="str">
            <v>(en blanco)</v>
          </cell>
          <cell r="E347" t="str">
            <v>10.08</v>
          </cell>
          <cell r="F347" t="str">
            <v>I.INTERUNIVERSITARIO FILOLOGIA VALENCIAN</v>
          </cell>
          <cell r="G347" t="str">
            <v>50</v>
          </cell>
          <cell r="H347" t="str">
            <v/>
          </cell>
          <cell r="I347" t="str">
            <v/>
          </cell>
          <cell r="J347" t="str">
            <v/>
          </cell>
          <cell r="K347" t="str">
            <v/>
          </cell>
          <cell r="L347" t="str">
            <v/>
          </cell>
        </row>
        <row r="348">
          <cell r="A348" t="str">
            <v>22009956Z</v>
          </cell>
          <cell r="B348" t="str">
            <v>FERRANDEZ AGULLO, FRANCISCO</v>
          </cell>
          <cell r="C348" t="str">
            <v>26/07/2006</v>
          </cell>
          <cell r="D348" t="str">
            <v>(en blanco)</v>
          </cell>
          <cell r="E348" t="str">
            <v>10.19</v>
          </cell>
          <cell r="F348" t="str">
            <v>I.U. INVESTIGACION INFORMATICA</v>
          </cell>
          <cell r="G348" t="str">
            <v>20</v>
          </cell>
          <cell r="H348" t="str">
            <v/>
          </cell>
          <cell r="I348" t="str">
            <v/>
          </cell>
          <cell r="J348" t="str">
            <v/>
          </cell>
          <cell r="K348" t="str">
            <v/>
          </cell>
          <cell r="L348" t="str">
            <v/>
          </cell>
        </row>
        <row r="349">
          <cell r="A349" t="str">
            <v>22009989R</v>
          </cell>
          <cell r="B349" t="str">
            <v>MORA LIZAN, FRANCISCO JOSE</v>
          </cell>
          <cell r="C349" t="str">
            <v>18/05/2021</v>
          </cell>
          <cell r="D349" t="str">
            <v>(en blanco)</v>
          </cell>
          <cell r="E349" t="str">
            <v>10.19</v>
          </cell>
          <cell r="F349" t="str">
            <v>I.U. INVESTIGACION INFORMATICA</v>
          </cell>
          <cell r="G349" t="str">
            <v>20</v>
          </cell>
          <cell r="H349" t="str">
            <v/>
          </cell>
          <cell r="I349" t="str">
            <v/>
          </cell>
          <cell r="J349" t="str">
            <v/>
          </cell>
          <cell r="K349" t="str">
            <v/>
          </cell>
          <cell r="L349" t="str">
            <v/>
          </cell>
        </row>
        <row r="350">
          <cell r="A350" t="str">
            <v>22102953E</v>
          </cell>
          <cell r="B350" t="str">
            <v>BELLOT ABAD, JUAN FRANCISCO</v>
          </cell>
          <cell r="C350" t="str">
            <v>03/03/2015</v>
          </cell>
          <cell r="D350" t="str">
            <v>(en blanco)</v>
          </cell>
          <cell r="E350" t="str">
            <v>10.16</v>
          </cell>
          <cell r="F350" t="str">
            <v>I.M.E.M. RAMON MARGALEF (IMEM)</v>
          </cell>
          <cell r="G350" t="str">
            <v>70</v>
          </cell>
          <cell r="H350" t="str">
            <v/>
          </cell>
          <cell r="I350" t="str">
            <v/>
          </cell>
          <cell r="J350" t="str">
            <v/>
          </cell>
          <cell r="K350" t="str">
            <v/>
          </cell>
          <cell r="L350" t="str">
            <v/>
          </cell>
        </row>
        <row r="351">
          <cell r="A351" t="str">
            <v>22106650Q</v>
          </cell>
          <cell r="B351" t="str">
            <v>BONETE PEREZ, MARIA JOSE</v>
          </cell>
          <cell r="C351" t="str">
            <v>27/09/2011</v>
          </cell>
          <cell r="D351" t="str">
            <v>(en blanco)</v>
          </cell>
          <cell r="E351" t="str">
            <v>10.16</v>
          </cell>
          <cell r="F351" t="str">
            <v>I.M.E.M. RAMON MARGALEF (IMEM)</v>
          </cell>
          <cell r="G351" t="str">
            <v>10</v>
          </cell>
          <cell r="H351" t="str">
            <v/>
          </cell>
          <cell r="I351" t="str">
            <v/>
          </cell>
          <cell r="J351" t="str">
            <v/>
          </cell>
          <cell r="K351" t="str">
            <v/>
          </cell>
          <cell r="L351" t="str">
            <v/>
          </cell>
        </row>
        <row r="352">
          <cell r="A352" t="str">
            <v>22108770C</v>
          </cell>
          <cell r="B352" t="str">
            <v>VALERO ESCANDELL, JOSE RAMON</v>
          </cell>
          <cell r="C352" t="str">
            <v>16/01/2013</v>
          </cell>
          <cell r="D352" t="str">
            <v>(en blanco)</v>
          </cell>
          <cell r="E352" t="str">
            <v>10.17</v>
          </cell>
          <cell r="F352" t="str">
            <v>I.U. INVESTIGACIONES TURISTICAS</v>
          </cell>
          <cell r="G352" t="str">
            <v>10</v>
          </cell>
          <cell r="H352" t="str">
            <v/>
          </cell>
          <cell r="I352" t="str">
            <v/>
          </cell>
          <cell r="J352" t="str">
            <v/>
          </cell>
          <cell r="K352" t="str">
            <v/>
          </cell>
          <cell r="L352" t="str">
            <v/>
          </cell>
        </row>
        <row r="353">
          <cell r="A353" t="str">
            <v>22112038E</v>
          </cell>
          <cell r="B353" t="str">
            <v>CUENCA NAVARRO, NICOLAS</v>
          </cell>
          <cell r="C353" t="str">
            <v>02/02/2012</v>
          </cell>
          <cell r="D353" t="str">
            <v>(en blanco)</v>
          </cell>
          <cell r="E353" t="str">
            <v>10.16</v>
          </cell>
          <cell r="F353" t="str">
            <v>I.M.E.M. RAMON MARGALEF (IMEM)</v>
          </cell>
          <cell r="G353" t="str">
            <v>85</v>
          </cell>
          <cell r="H353" t="str">
            <v/>
          </cell>
          <cell r="I353" t="str">
            <v/>
          </cell>
          <cell r="J353" t="str">
            <v/>
          </cell>
          <cell r="K353" t="str">
            <v/>
          </cell>
          <cell r="L353" t="str">
            <v/>
          </cell>
        </row>
        <row r="354">
          <cell r="A354" t="str">
            <v>22114157W</v>
          </cell>
          <cell r="B354" t="str">
            <v>HERNANDEZ POVEDA, CONSUELO</v>
          </cell>
          <cell r="C354" t="str">
            <v>07/02/2020</v>
          </cell>
          <cell r="D354" t="str">
            <v>(en blanco)</v>
          </cell>
          <cell r="E354" t="str">
            <v>10.20</v>
          </cell>
          <cell r="F354" t="str">
            <v>I.U. FISICA APLICADA A LAS CIENCIAS Y LA</v>
          </cell>
          <cell r="G354" t="str">
            <v>20</v>
          </cell>
          <cell r="H354" t="str">
            <v/>
          </cell>
          <cell r="I354" t="str">
            <v/>
          </cell>
          <cell r="J354" t="str">
            <v/>
          </cell>
          <cell r="K354" t="str">
            <v/>
          </cell>
          <cell r="L354" t="str">
            <v/>
          </cell>
        </row>
        <row r="355">
          <cell r="A355" t="str">
            <v>22115933F</v>
          </cell>
          <cell r="B355" t="str">
            <v>PARDO ALES, GLORIA</v>
          </cell>
          <cell r="C355" t="str">
            <v>01/03/2006</v>
          </cell>
          <cell r="D355" t="str">
            <v>(en blanco)</v>
          </cell>
          <cell r="E355" t="str">
            <v>10.06</v>
          </cell>
          <cell r="F355" t="str">
            <v>I.INTERUNIVERSITARIO ECONOMIA INTERNACIO</v>
          </cell>
          <cell r="G355" t="str">
            <v>50</v>
          </cell>
          <cell r="H355" t="str">
            <v/>
          </cell>
          <cell r="I355" t="str">
            <v/>
          </cell>
          <cell r="J355" t="str">
            <v/>
          </cell>
          <cell r="K355" t="str">
            <v/>
          </cell>
          <cell r="L355" t="str">
            <v/>
          </cell>
        </row>
        <row r="356">
          <cell r="A356" t="str">
            <v>22121930R</v>
          </cell>
          <cell r="B356" t="str">
            <v>MARTINEZ EGIDO, JOSE JOAQUIN</v>
          </cell>
          <cell r="C356" t="str">
            <v>16/03/2005</v>
          </cell>
          <cell r="D356" t="str">
            <v>(en blanco)</v>
          </cell>
          <cell r="E356" t="str">
            <v>10.15</v>
          </cell>
          <cell r="F356" t="str">
            <v>I.INTERUNIV. LENGUAS MODERNAS APLICADAS</v>
          </cell>
          <cell r="G356" t="str">
            <v>10</v>
          </cell>
          <cell r="H356" t="str">
            <v/>
          </cell>
          <cell r="I356" t="str">
            <v/>
          </cell>
          <cell r="J356" t="str">
            <v/>
          </cell>
          <cell r="K356" t="str">
            <v/>
          </cell>
          <cell r="L356" t="str">
            <v/>
          </cell>
        </row>
        <row r="357">
          <cell r="A357" t="str">
            <v>22122086L</v>
          </cell>
          <cell r="B357" t="str">
            <v>RICHART MARTINEZ, MIGUEL</v>
          </cell>
          <cell r="C357" t="str">
            <v>17/12/2012</v>
          </cell>
          <cell r="D357" t="str">
            <v>(en blanco)</v>
          </cell>
          <cell r="E357" t="str">
            <v>10.06</v>
          </cell>
          <cell r="F357" t="str">
            <v>I.INTERUNIVERSITARIO ECONOMIA INTERNACIO</v>
          </cell>
          <cell r="G357" t="str">
            <v>10</v>
          </cell>
          <cell r="H357" t="str">
            <v/>
          </cell>
          <cell r="I357" t="str">
            <v/>
          </cell>
          <cell r="J357" t="str">
            <v/>
          </cell>
          <cell r="K357" t="str">
            <v/>
          </cell>
          <cell r="L357" t="str">
            <v/>
          </cell>
        </row>
        <row r="358">
          <cell r="A358" t="str">
            <v>22126836P</v>
          </cell>
          <cell r="B358" t="str">
            <v>CABEZUELO PLIEGO, JOSE VICENTE</v>
          </cell>
          <cell r="C358" t="str">
            <v>11/02/2021</v>
          </cell>
          <cell r="D358" t="str">
            <v>(en blanco)</v>
          </cell>
          <cell r="E358" t="str">
            <v>10.25</v>
          </cell>
          <cell r="F358" t="str">
            <v>I.U. INV. ESTUDIOS SOC. AMERICA LATINA</v>
          </cell>
          <cell r="G358" t="str">
            <v>50</v>
          </cell>
          <cell r="H358" t="str">
            <v/>
          </cell>
          <cell r="I358" t="str">
            <v/>
          </cell>
          <cell r="J358" t="str">
            <v/>
          </cell>
          <cell r="K358" t="str">
            <v/>
          </cell>
          <cell r="L358" t="str">
            <v/>
          </cell>
        </row>
        <row r="359">
          <cell r="A359" t="str">
            <v>22126890Q</v>
          </cell>
          <cell r="B359" t="str">
            <v>GALLEGO SANCHEZ, ESPERANZA</v>
          </cell>
          <cell r="C359" t="str">
            <v>26/07/2006</v>
          </cell>
          <cell r="D359" t="str">
            <v>(en blanco)</v>
          </cell>
          <cell r="E359" t="str">
            <v>10.17</v>
          </cell>
          <cell r="F359" t="str">
            <v>I.U. INVESTIGACIONES TURISTICAS</v>
          </cell>
          <cell r="G359" t="str">
            <v>10</v>
          </cell>
          <cell r="H359" t="str">
            <v/>
          </cell>
          <cell r="I359" t="str">
            <v/>
          </cell>
          <cell r="J359" t="str">
            <v/>
          </cell>
          <cell r="K359" t="str">
            <v/>
          </cell>
          <cell r="L359" t="str">
            <v/>
          </cell>
        </row>
        <row r="360">
          <cell r="A360" t="str">
            <v>22128337Z</v>
          </cell>
          <cell r="B360" t="str">
            <v>CORBI SAEZ, MARIA ISABEL</v>
          </cell>
          <cell r="C360" t="str">
            <v>11/02/2011</v>
          </cell>
          <cell r="D360" t="str">
            <v>(en blanco)</v>
          </cell>
          <cell r="E360" t="str">
            <v>10.15</v>
          </cell>
          <cell r="F360" t="str">
            <v>I.INTERUNIV. LENGUAS MODERNAS APLICADAS</v>
          </cell>
          <cell r="G360" t="str">
            <v>10</v>
          </cell>
          <cell r="H360" t="str">
            <v>10.23</v>
          </cell>
          <cell r="I360" t="str">
            <v>I.U. INVESTIGACION ESTUDIOS DE GENERO</v>
          </cell>
          <cell r="J360" t="str">
            <v>21/10/2019</v>
          </cell>
          <cell r="K360" t="str">
            <v>(en blanco)</v>
          </cell>
          <cell r="L360" t="str">
            <v>20</v>
          </cell>
        </row>
        <row r="361">
          <cell r="A361" t="str">
            <v>22131391D</v>
          </cell>
          <cell r="B361" t="str">
            <v>NAVALON GARCIA, MARIA DEL ROSARIO</v>
          </cell>
          <cell r="C361" t="str">
            <v>30/07/2013</v>
          </cell>
          <cell r="D361" t="str">
            <v>(en blanco)</v>
          </cell>
          <cell r="E361" t="str">
            <v>10.17</v>
          </cell>
          <cell r="F361" t="str">
            <v>I.U. INVESTIGACIONES TURISTICAS</v>
          </cell>
          <cell r="G361" t="str">
            <v>50</v>
          </cell>
          <cell r="H361" t="str">
            <v/>
          </cell>
          <cell r="I361" t="str">
            <v/>
          </cell>
          <cell r="J361" t="str">
            <v/>
          </cell>
          <cell r="K361" t="str">
            <v/>
          </cell>
          <cell r="L361" t="str">
            <v/>
          </cell>
        </row>
        <row r="362">
          <cell r="A362" t="str">
            <v>22131713D</v>
          </cell>
          <cell r="B362" t="str">
            <v>JOVER MAESTRE, FRANCISCO JAVIER</v>
          </cell>
          <cell r="C362" t="str">
            <v>19/09/2014</v>
          </cell>
          <cell r="D362" t="str">
            <v>(en blanco)</v>
          </cell>
          <cell r="E362" t="str">
            <v>10.24</v>
          </cell>
          <cell r="F362" t="str">
            <v>I.U. INVESTIGACION ARQ. Y PATR. HIST.</v>
          </cell>
          <cell r="G362" t="str">
            <v>80</v>
          </cell>
          <cell r="H362" t="str">
            <v/>
          </cell>
          <cell r="I362" t="str">
            <v/>
          </cell>
          <cell r="J362" t="str">
            <v/>
          </cell>
          <cell r="K362" t="str">
            <v/>
          </cell>
          <cell r="L362" t="str">
            <v/>
          </cell>
        </row>
        <row r="363">
          <cell r="A363" t="str">
            <v>22131716N</v>
          </cell>
          <cell r="B363" t="str">
            <v>MARTINEZ ESCANDELL, MANUEL</v>
          </cell>
          <cell r="C363" t="str">
            <v>01/03/2006</v>
          </cell>
          <cell r="D363" t="str">
            <v>(en blanco)</v>
          </cell>
          <cell r="E363" t="str">
            <v>10.14</v>
          </cell>
          <cell r="F363" t="str">
            <v>I.U. MATERIALES</v>
          </cell>
          <cell r="G363" t="str">
            <v>20</v>
          </cell>
          <cell r="H363" t="str">
            <v/>
          </cell>
          <cell r="I363" t="str">
            <v/>
          </cell>
          <cell r="J363" t="str">
            <v/>
          </cell>
          <cell r="K363" t="str">
            <v/>
          </cell>
          <cell r="L363" t="str">
            <v/>
          </cell>
        </row>
        <row r="364">
          <cell r="A364" t="str">
            <v>22133724L</v>
          </cell>
          <cell r="B364" t="str">
            <v>PAYA LOPEZ, PEDRO</v>
          </cell>
          <cell r="C364" t="str">
            <v>15/03/2017</v>
          </cell>
          <cell r="D364" t="str">
            <v>(en blanco)</v>
          </cell>
          <cell r="E364" t="str">
            <v>10.25</v>
          </cell>
          <cell r="F364" t="str">
            <v>I.U. INV. ESTUDIOS SOC. AMERICA LATINA</v>
          </cell>
          <cell r="G364" t="str">
            <v>50</v>
          </cell>
          <cell r="H364" t="str">
            <v/>
          </cell>
          <cell r="I364" t="str">
            <v/>
          </cell>
          <cell r="J364" t="str">
            <v/>
          </cell>
          <cell r="K364" t="str">
            <v/>
          </cell>
          <cell r="L364" t="str">
            <v/>
          </cell>
        </row>
        <row r="365">
          <cell r="A365" t="str">
            <v>22134857W</v>
          </cell>
          <cell r="B365" t="str">
            <v>LEDESMA LATORRE, BERNARDO</v>
          </cell>
          <cell r="C365" t="str">
            <v>26/07/2006</v>
          </cell>
          <cell r="D365" t="str">
            <v>(en blanco)</v>
          </cell>
          <cell r="E365" t="str">
            <v>10.19</v>
          </cell>
          <cell r="F365" t="str">
            <v>I.U. INVESTIGACION INFORMATICA</v>
          </cell>
          <cell r="G365" t="str">
            <v>20</v>
          </cell>
          <cell r="H365" t="str">
            <v/>
          </cell>
          <cell r="I365" t="str">
            <v/>
          </cell>
          <cell r="J365" t="str">
            <v/>
          </cell>
          <cell r="K365" t="str">
            <v/>
          </cell>
          <cell r="L365" t="str">
            <v/>
          </cell>
        </row>
        <row r="366">
          <cell r="A366" t="str">
            <v>22135596M</v>
          </cell>
          <cell r="B366" t="str">
            <v>MOLINA CARMONA, RAFAEL</v>
          </cell>
          <cell r="C366" t="str">
            <v>26/07/2006</v>
          </cell>
          <cell r="D366" t="str">
            <v>(en blanco)</v>
          </cell>
          <cell r="E366" t="str">
            <v>10.19</v>
          </cell>
          <cell r="F366" t="str">
            <v>I.U. INVESTIGACION INFORMATICA</v>
          </cell>
          <cell r="G366" t="str">
            <v>20</v>
          </cell>
          <cell r="H366" t="str">
            <v/>
          </cell>
          <cell r="I366" t="str">
            <v/>
          </cell>
          <cell r="J366" t="str">
            <v/>
          </cell>
          <cell r="K366" t="str">
            <v/>
          </cell>
          <cell r="L366" t="str">
            <v/>
          </cell>
        </row>
        <row r="367">
          <cell r="A367" t="str">
            <v>22135613E</v>
          </cell>
          <cell r="B367" t="str">
            <v>MARTINEZ VERDU, FRANCISCO MIGUEL</v>
          </cell>
          <cell r="C367" t="str">
            <v>20/10/2009</v>
          </cell>
          <cell r="D367" t="str">
            <v>(en blanco)</v>
          </cell>
          <cell r="E367" t="str">
            <v>10.20</v>
          </cell>
          <cell r="F367" t="str">
            <v>I.U. FISICA APLICADA A LAS CIENCIAS Y LA</v>
          </cell>
          <cell r="G367" t="str">
            <v>20</v>
          </cell>
          <cell r="H367" t="str">
            <v/>
          </cell>
          <cell r="I367" t="str">
            <v/>
          </cell>
          <cell r="J367" t="str">
            <v/>
          </cell>
          <cell r="K367" t="str">
            <v/>
          </cell>
          <cell r="L367" t="str">
            <v/>
          </cell>
        </row>
        <row r="368">
          <cell r="A368" t="str">
            <v>22135677V</v>
          </cell>
          <cell r="B368" t="str">
            <v>SORIANO PAYA, ANTONIO</v>
          </cell>
          <cell r="C368" t="str">
            <v>26/07/2006</v>
          </cell>
          <cell r="D368" t="str">
            <v>(en blanco)</v>
          </cell>
          <cell r="E368" t="str">
            <v>10.19</v>
          </cell>
          <cell r="F368" t="str">
            <v>I.U. INVESTIGACION INFORMATICA</v>
          </cell>
          <cell r="G368" t="str">
            <v>20</v>
          </cell>
          <cell r="H368" t="str">
            <v/>
          </cell>
          <cell r="I368" t="str">
            <v/>
          </cell>
          <cell r="J368" t="str">
            <v/>
          </cell>
          <cell r="K368" t="str">
            <v/>
          </cell>
          <cell r="L368" t="str">
            <v/>
          </cell>
        </row>
        <row r="369">
          <cell r="A369" t="str">
            <v>22136568B</v>
          </cell>
          <cell r="B369" t="str">
            <v>SELVA VERA, JESUS</v>
          </cell>
          <cell r="C369" t="str">
            <v>05/06/2007</v>
          </cell>
          <cell r="D369" t="str">
            <v>(en blanco)</v>
          </cell>
          <cell r="E369" t="str">
            <v>10.19</v>
          </cell>
          <cell r="F369" t="str">
            <v>I.U. INVESTIGACION INFORMATICA</v>
          </cell>
          <cell r="G369" t="str">
            <v>20</v>
          </cell>
          <cell r="H369" t="str">
            <v/>
          </cell>
          <cell r="I369" t="str">
            <v/>
          </cell>
          <cell r="J369" t="str">
            <v/>
          </cell>
          <cell r="K369" t="str">
            <v/>
          </cell>
          <cell r="L369" t="str">
            <v/>
          </cell>
        </row>
        <row r="370">
          <cell r="A370" t="str">
            <v>22138935D</v>
          </cell>
          <cell r="B370" t="str">
            <v>GARCIA GARCIA, AVELINA ANTONIA</v>
          </cell>
          <cell r="C370" t="str">
            <v>22/02/2016</v>
          </cell>
          <cell r="D370" t="str">
            <v>(en blanco)</v>
          </cell>
          <cell r="E370" t="str">
            <v>10.14</v>
          </cell>
          <cell r="F370" t="str">
            <v>I.U. MATERIALES</v>
          </cell>
          <cell r="G370" t="str">
            <v>40</v>
          </cell>
          <cell r="H370" t="str">
            <v/>
          </cell>
          <cell r="I370" t="str">
            <v/>
          </cell>
          <cell r="J370" t="str">
            <v/>
          </cell>
          <cell r="K370" t="str">
            <v/>
          </cell>
          <cell r="L370" t="str">
            <v/>
          </cell>
        </row>
        <row r="371">
          <cell r="A371" t="str">
            <v>22139399J</v>
          </cell>
          <cell r="B371" t="str">
            <v>BROCAL FERNANDEZ, FRANCISCO</v>
          </cell>
          <cell r="C371" t="str">
            <v>27/10/2015</v>
          </cell>
          <cell r="D371" t="str">
            <v>(en blanco)</v>
          </cell>
          <cell r="E371" t="str">
            <v>10.20</v>
          </cell>
          <cell r="F371" t="str">
            <v>I.U. FISICA APLICADA A LAS CIENCIAS Y LA</v>
          </cell>
          <cell r="G371" t="str">
            <v>20</v>
          </cell>
          <cell r="H371" t="str">
            <v/>
          </cell>
          <cell r="I371" t="str">
            <v/>
          </cell>
          <cell r="J371" t="str">
            <v/>
          </cell>
          <cell r="K371" t="str">
            <v/>
          </cell>
          <cell r="L371" t="str">
            <v/>
          </cell>
        </row>
        <row r="372">
          <cell r="A372" t="str">
            <v>22140300V</v>
          </cell>
          <cell r="B372" t="str">
            <v>FRANCES GARCIA, FRANCISCO JOSE</v>
          </cell>
          <cell r="C372" t="str">
            <v>07/11/2014</v>
          </cell>
          <cell r="D372" t="str">
            <v>(en blanco)</v>
          </cell>
          <cell r="E372" t="str">
            <v>10.22</v>
          </cell>
          <cell r="F372" t="str">
            <v>I.INTERUNIV. DESARROLLO SOCIAL Y PAZ</v>
          </cell>
          <cell r="G372" t="str">
            <v>10</v>
          </cell>
          <cell r="H372" t="str">
            <v/>
          </cell>
          <cell r="I372" t="str">
            <v/>
          </cell>
          <cell r="J372" t="str">
            <v/>
          </cell>
          <cell r="K372" t="str">
            <v/>
          </cell>
          <cell r="L372" t="str">
            <v/>
          </cell>
        </row>
        <row r="373">
          <cell r="A373" t="str">
            <v>22142045Z</v>
          </cell>
          <cell r="B373" t="str">
            <v>SAEZ FERNANDEZ, ALFONSO</v>
          </cell>
          <cell r="C373" t="str">
            <v>01/10/2021</v>
          </cell>
          <cell r="D373" t="str">
            <v>31/12/2022</v>
          </cell>
          <cell r="E373" t="str">
            <v>10.12</v>
          </cell>
          <cell r="F373" t="str">
            <v>I.U. ELECTROQUIMICA</v>
          </cell>
          <cell r="G373" t="str">
            <v>100</v>
          </cell>
          <cell r="H373" t="str">
            <v/>
          </cell>
          <cell r="I373" t="str">
            <v/>
          </cell>
          <cell r="J373" t="str">
            <v/>
          </cell>
          <cell r="K373" t="str">
            <v/>
          </cell>
          <cell r="L373" t="str">
            <v/>
          </cell>
        </row>
        <row r="374">
          <cell r="A374" t="str">
            <v>22142307T</v>
          </cell>
          <cell r="B374" t="str">
            <v>MARTINEZ GUARDIOLA, FRANCISCO JAVIER</v>
          </cell>
          <cell r="C374" t="str">
            <v>27/02/2017</v>
          </cell>
          <cell r="D374" t="str">
            <v>(en blanco)</v>
          </cell>
          <cell r="E374" t="str">
            <v>10.20</v>
          </cell>
          <cell r="F374" t="str">
            <v>I.U. FISICA APLICADA A LAS CIENCIAS Y LA</v>
          </cell>
          <cell r="G374" t="str">
            <v>20</v>
          </cell>
          <cell r="H374" t="str">
            <v/>
          </cell>
          <cell r="I374" t="str">
            <v/>
          </cell>
          <cell r="J374" t="str">
            <v/>
          </cell>
          <cell r="K374" t="str">
            <v/>
          </cell>
          <cell r="L374" t="str">
            <v/>
          </cell>
        </row>
        <row r="375">
          <cell r="A375" t="str">
            <v>22145073Y</v>
          </cell>
          <cell r="B375" t="str">
            <v>RIZO VALERO, DAVID</v>
          </cell>
          <cell r="C375" t="str">
            <v>07/11/2011</v>
          </cell>
          <cell r="D375" t="str">
            <v>(en blanco)</v>
          </cell>
          <cell r="E375" t="str">
            <v>10.19</v>
          </cell>
          <cell r="F375" t="str">
            <v>I.U. INVESTIGACION INFORMATICA</v>
          </cell>
          <cell r="G375" t="str">
            <v>20</v>
          </cell>
          <cell r="H375" t="str">
            <v/>
          </cell>
          <cell r="I375" t="str">
            <v/>
          </cell>
          <cell r="J375" t="str">
            <v/>
          </cell>
          <cell r="K375" t="str">
            <v/>
          </cell>
          <cell r="L375" t="str">
            <v/>
          </cell>
        </row>
        <row r="376">
          <cell r="A376" t="str">
            <v>22145079N</v>
          </cell>
          <cell r="B376" t="str">
            <v>BELDA MEDINA, JOSE RAMON</v>
          </cell>
          <cell r="C376" t="str">
            <v>01/03/2006</v>
          </cell>
          <cell r="D376" t="str">
            <v>(en blanco)</v>
          </cell>
          <cell r="E376" t="str">
            <v>10.15</v>
          </cell>
          <cell r="F376" t="str">
            <v>I.INTERUNIV. LENGUAS MODERNAS APLICADAS</v>
          </cell>
          <cell r="G376" t="str">
            <v>10</v>
          </cell>
          <cell r="H376" t="str">
            <v/>
          </cell>
          <cell r="I376" t="str">
            <v/>
          </cell>
          <cell r="J376" t="str">
            <v/>
          </cell>
          <cell r="K376" t="str">
            <v/>
          </cell>
          <cell r="L376" t="str">
            <v/>
          </cell>
        </row>
        <row r="377">
          <cell r="A377" t="str">
            <v>22146053C</v>
          </cell>
          <cell r="B377" t="str">
            <v>MAESTRE BROTONS, ANTONI</v>
          </cell>
          <cell r="C377" t="str">
            <v>21/12/2016</v>
          </cell>
          <cell r="D377" t="str">
            <v>(en blanco)</v>
          </cell>
          <cell r="E377" t="str">
            <v>10.23</v>
          </cell>
          <cell r="F377" t="str">
            <v>I.U. INVESTIGACION ESTUDIOS DE GENERO</v>
          </cell>
          <cell r="G377" t="str">
            <v>30</v>
          </cell>
          <cell r="H377" t="str">
            <v/>
          </cell>
          <cell r="I377" t="str">
            <v/>
          </cell>
          <cell r="J377" t="str">
            <v/>
          </cell>
          <cell r="K377" t="str">
            <v/>
          </cell>
          <cell r="L377" t="str">
            <v/>
          </cell>
        </row>
        <row r="378">
          <cell r="A378" t="str">
            <v>22146116Z</v>
          </cell>
          <cell r="B378" t="str">
            <v>NAJERA PEREZ, ELENA</v>
          </cell>
          <cell r="C378" t="str">
            <v>12/09/2014</v>
          </cell>
          <cell r="D378" t="str">
            <v>(en blanco)</v>
          </cell>
          <cell r="E378" t="str">
            <v>10.23</v>
          </cell>
          <cell r="F378" t="str">
            <v>I.U. INVESTIGACION ESTUDIOS DE GENERO</v>
          </cell>
          <cell r="G378" t="str">
            <v>20</v>
          </cell>
          <cell r="H378" t="str">
            <v/>
          </cell>
          <cell r="I378" t="str">
            <v/>
          </cell>
          <cell r="J378" t="str">
            <v/>
          </cell>
          <cell r="K378" t="str">
            <v/>
          </cell>
          <cell r="L378" t="str">
            <v/>
          </cell>
        </row>
        <row r="379">
          <cell r="A379" t="str">
            <v>22427685V</v>
          </cell>
          <cell r="B379" t="str">
            <v>SANCHEZ ANDREU, JUAN</v>
          </cell>
          <cell r="C379" t="str">
            <v>13/05/2015</v>
          </cell>
          <cell r="D379" t="str">
            <v>(en blanco)</v>
          </cell>
          <cell r="E379" t="str">
            <v>10.13</v>
          </cell>
          <cell r="F379" t="str">
            <v>I.U. INVESTIGACION - CIBIO</v>
          </cell>
          <cell r="G379" t="str">
            <v>50</v>
          </cell>
          <cell r="H379" t="str">
            <v/>
          </cell>
          <cell r="I379" t="str">
            <v/>
          </cell>
          <cell r="J379" t="str">
            <v/>
          </cell>
          <cell r="K379" t="str">
            <v/>
          </cell>
          <cell r="L379" t="str">
            <v/>
          </cell>
        </row>
        <row r="380">
          <cell r="A380" t="str">
            <v>22438365W</v>
          </cell>
          <cell r="B380" t="str">
            <v>BARBA MERINO, ISIDORO</v>
          </cell>
          <cell r="C380" t="str">
            <v>07/01/2019</v>
          </cell>
          <cell r="D380" t="str">
            <v>(en blanco)</v>
          </cell>
          <cell r="E380" t="str">
            <v>10.11</v>
          </cell>
          <cell r="F380" t="str">
            <v>I.U. SINTESIS ORGANICA</v>
          </cell>
          <cell r="G380" t="str">
            <v>80</v>
          </cell>
          <cell r="H380" t="str">
            <v/>
          </cell>
          <cell r="I380" t="str">
            <v/>
          </cell>
          <cell r="J380" t="str">
            <v/>
          </cell>
          <cell r="K380" t="str">
            <v/>
          </cell>
          <cell r="L380" t="str">
            <v/>
          </cell>
        </row>
        <row r="381">
          <cell r="A381" t="str">
            <v>22455996S</v>
          </cell>
          <cell r="B381" t="str">
            <v>LOPEZ SANCHEZ, MARIA DEL CARMEN</v>
          </cell>
          <cell r="C381" t="str">
            <v>14/02/2017</v>
          </cell>
          <cell r="D381" t="str">
            <v>(en blanco)</v>
          </cell>
          <cell r="E381" t="str">
            <v>10.25</v>
          </cell>
          <cell r="F381" t="str">
            <v>I.U. INV. ESTUDIOS SOC. AMERICA LATINA</v>
          </cell>
          <cell r="G381" t="str">
            <v>50</v>
          </cell>
          <cell r="H381" t="str">
            <v/>
          </cell>
          <cell r="I381" t="str">
            <v/>
          </cell>
          <cell r="J381" t="str">
            <v/>
          </cell>
          <cell r="K381" t="str">
            <v/>
          </cell>
          <cell r="L381" t="str">
            <v/>
          </cell>
        </row>
        <row r="382">
          <cell r="A382" t="str">
            <v>22457885H</v>
          </cell>
          <cell r="B382" t="str">
            <v>LAGUNA PEREZ, ANA</v>
          </cell>
          <cell r="C382" t="str">
            <v>17/12/2012</v>
          </cell>
          <cell r="D382" t="str">
            <v>(en blanco)</v>
          </cell>
          <cell r="E382" t="str">
            <v>10.06</v>
          </cell>
          <cell r="F382" t="str">
            <v>I.INTERUNIVERSITARIO ECONOMIA INTERNACIO</v>
          </cell>
          <cell r="G382" t="str">
            <v>10</v>
          </cell>
          <cell r="H382" t="str">
            <v/>
          </cell>
          <cell r="I382" t="str">
            <v/>
          </cell>
          <cell r="J382" t="str">
            <v/>
          </cell>
          <cell r="K382" t="str">
            <v/>
          </cell>
          <cell r="L382" t="str">
            <v/>
          </cell>
        </row>
        <row r="383">
          <cell r="A383" t="str">
            <v>22529387J</v>
          </cell>
          <cell r="B383" t="str">
            <v>TALTAVULL DE LA PAZ, PALOMA</v>
          </cell>
          <cell r="C383" t="str">
            <v>23/11/2020</v>
          </cell>
          <cell r="D383" t="str">
            <v>(en blanco)</v>
          </cell>
          <cell r="E383" t="str">
            <v>10.25</v>
          </cell>
          <cell r="F383" t="str">
            <v>I.U. INV. ESTUDIOS SOC. AMERICA LATINA</v>
          </cell>
          <cell r="G383" t="str">
            <v>50</v>
          </cell>
          <cell r="H383" t="str">
            <v>10.17</v>
          </cell>
          <cell r="I383" t="str">
            <v>I.U. INVESTIGACIONES TURISTICAS</v>
          </cell>
          <cell r="J383" t="str">
            <v>29/11/2021</v>
          </cell>
          <cell r="K383" t="str">
            <v>(en blanco)</v>
          </cell>
          <cell r="L383" t="str">
            <v>10</v>
          </cell>
        </row>
        <row r="384">
          <cell r="A384" t="str">
            <v>22630445D</v>
          </cell>
          <cell r="B384" t="str">
            <v>MARTINEZ RIERA, JOSE RAMON</v>
          </cell>
          <cell r="C384" t="str">
            <v>19/07/2012</v>
          </cell>
          <cell r="D384" t="str">
            <v>(en blanco)</v>
          </cell>
          <cell r="E384" t="str">
            <v>10.06</v>
          </cell>
          <cell r="F384" t="str">
            <v>I.INTERUNIVERSITARIO ECONOMIA INTERNACIO</v>
          </cell>
          <cell r="G384" t="str">
            <v>10</v>
          </cell>
          <cell r="H384" t="str">
            <v/>
          </cell>
          <cell r="I384" t="str">
            <v/>
          </cell>
          <cell r="J384" t="str">
            <v/>
          </cell>
          <cell r="K384" t="str">
            <v/>
          </cell>
          <cell r="L384" t="str">
            <v/>
          </cell>
        </row>
        <row r="385">
          <cell r="A385" t="str">
            <v>22929043K</v>
          </cell>
          <cell r="B385" t="str">
            <v>CASTEJON COSTA, JUAN LUIS</v>
          </cell>
          <cell r="C385" t="str">
            <v>28/09/2016</v>
          </cell>
          <cell r="D385" t="str">
            <v>(en blanco)</v>
          </cell>
          <cell r="E385" t="str">
            <v>10.25</v>
          </cell>
          <cell r="F385" t="str">
            <v>I.U. INV. ESTUDIOS SOC. AMERICA LATINA</v>
          </cell>
          <cell r="G385" t="str">
            <v>10</v>
          </cell>
          <cell r="H385" t="str">
            <v/>
          </cell>
          <cell r="I385" t="str">
            <v/>
          </cell>
          <cell r="J385" t="str">
            <v/>
          </cell>
          <cell r="K385" t="str">
            <v/>
          </cell>
          <cell r="L385" t="str">
            <v/>
          </cell>
        </row>
        <row r="386">
          <cell r="A386" t="str">
            <v>23213158V</v>
          </cell>
          <cell r="B386" t="str">
            <v>ABRIL SANCHEZ, ISABEL</v>
          </cell>
          <cell r="C386" t="str">
            <v>15/12/2008</v>
          </cell>
          <cell r="D386" t="str">
            <v>(en blanco)</v>
          </cell>
          <cell r="E386" t="str">
            <v>10.14</v>
          </cell>
          <cell r="F386" t="str">
            <v>I.U. MATERIALES</v>
          </cell>
          <cell r="G386" t="str">
            <v>50</v>
          </cell>
          <cell r="H386" t="str">
            <v/>
          </cell>
          <cell r="I386" t="str">
            <v/>
          </cell>
          <cell r="J386" t="str">
            <v/>
          </cell>
          <cell r="K386" t="str">
            <v/>
          </cell>
          <cell r="L386" t="str">
            <v/>
          </cell>
        </row>
        <row r="387">
          <cell r="A387" t="str">
            <v>23230314S</v>
          </cell>
          <cell r="B387" t="str">
            <v>GIMENEZ CASALDUERO, MARIA FRANCISCA</v>
          </cell>
          <cell r="C387" t="str">
            <v>22/07/2022</v>
          </cell>
          <cell r="D387" t="str">
            <v>(en blanco)</v>
          </cell>
          <cell r="E387" t="str">
            <v>10.16</v>
          </cell>
          <cell r="F387" t="str">
            <v>I.M.E.M. RAMON MARGALEF (IMEM)</v>
          </cell>
          <cell r="G387" t="str">
            <v>30</v>
          </cell>
          <cell r="H387" t="str">
            <v/>
          </cell>
          <cell r="I387" t="str">
            <v/>
          </cell>
          <cell r="J387" t="str">
            <v/>
          </cell>
          <cell r="K387" t="str">
            <v/>
          </cell>
          <cell r="L387" t="str">
            <v/>
          </cell>
        </row>
        <row r="388">
          <cell r="A388" t="str">
            <v>23779586R</v>
          </cell>
          <cell r="B388" t="str">
            <v>ALAMINOS CHICA, ANTONIO FRANCISCO</v>
          </cell>
          <cell r="C388" t="str">
            <v>26/05/2010</v>
          </cell>
          <cell r="D388" t="str">
            <v>(en blanco)</v>
          </cell>
          <cell r="E388" t="str">
            <v>10.22</v>
          </cell>
          <cell r="F388" t="str">
            <v>I.INTERUNIV. DESARROLLO SOCIAL Y PAZ</v>
          </cell>
          <cell r="G388" t="str">
            <v>10</v>
          </cell>
          <cell r="H388" t="str">
            <v>10.06</v>
          </cell>
          <cell r="I388" t="str">
            <v>I.INTERUNIVERSITARIO ECONOMIA INTERNACIO</v>
          </cell>
          <cell r="J388" t="str">
            <v>23/07/2014</v>
          </cell>
          <cell r="K388" t="str">
            <v>(en blanco)</v>
          </cell>
          <cell r="L388" t="str">
            <v>10</v>
          </cell>
        </row>
        <row r="389">
          <cell r="A389" t="str">
            <v>24115903N</v>
          </cell>
          <cell r="B389" t="str">
            <v>MOLINA SABIO, MIGUEL</v>
          </cell>
          <cell r="C389" t="str">
            <v>01/03/2006</v>
          </cell>
          <cell r="D389" t="str">
            <v>(en blanco)</v>
          </cell>
          <cell r="E389" t="str">
            <v>10.14</v>
          </cell>
          <cell r="F389" t="str">
            <v>I.U. MATERIALES</v>
          </cell>
          <cell r="G389" t="str">
            <v>20</v>
          </cell>
          <cell r="H389" t="str">
            <v/>
          </cell>
          <cell r="I389" t="str">
            <v/>
          </cell>
          <cell r="J389" t="str">
            <v/>
          </cell>
          <cell r="K389" t="str">
            <v/>
          </cell>
          <cell r="L389" t="str">
            <v/>
          </cell>
        </row>
        <row r="390">
          <cell r="A390" t="str">
            <v>24161924X</v>
          </cell>
          <cell r="B390" t="str">
            <v>SORIA MINGORANCE, JESUS MIGUEL</v>
          </cell>
          <cell r="C390" t="str">
            <v>19/10/2007</v>
          </cell>
          <cell r="D390" t="str">
            <v>(en blanco)</v>
          </cell>
          <cell r="E390" t="str">
            <v>10.16</v>
          </cell>
          <cell r="F390" t="str">
            <v>I.M.E.M. RAMON MARGALEF (IMEM)</v>
          </cell>
          <cell r="G390" t="str">
            <v>50</v>
          </cell>
          <cell r="H390" t="str">
            <v/>
          </cell>
          <cell r="I390" t="str">
            <v/>
          </cell>
          <cell r="J390" t="str">
            <v/>
          </cell>
          <cell r="K390" t="str">
            <v/>
          </cell>
          <cell r="L390" t="str">
            <v/>
          </cell>
        </row>
        <row r="391">
          <cell r="A391" t="str">
            <v>24208680F</v>
          </cell>
          <cell r="B391" t="str">
            <v>LOPEZ FERNANDEZ, CRISTINA</v>
          </cell>
          <cell r="C391" t="str">
            <v>31/07/2020</v>
          </cell>
          <cell r="D391" t="str">
            <v>(en blanco)</v>
          </cell>
          <cell r="E391" t="str">
            <v>10.22</v>
          </cell>
          <cell r="F391" t="str">
            <v>I.INTERUNIV. DESARROLLO SOCIAL Y PAZ</v>
          </cell>
          <cell r="G391" t="str">
            <v>50</v>
          </cell>
          <cell r="H391" t="str">
            <v/>
          </cell>
          <cell r="I391" t="str">
            <v/>
          </cell>
          <cell r="J391" t="str">
            <v/>
          </cell>
          <cell r="K391" t="str">
            <v/>
          </cell>
          <cell r="L391" t="str">
            <v/>
          </cell>
        </row>
        <row r="392">
          <cell r="A392" t="str">
            <v>24218798M</v>
          </cell>
          <cell r="B392" t="str">
            <v>TORRES MEDINA, FERNANDO</v>
          </cell>
          <cell r="C392" t="str">
            <v>06/06/2018</v>
          </cell>
          <cell r="D392" t="str">
            <v>(en blanco)</v>
          </cell>
          <cell r="E392" t="str">
            <v>10.19</v>
          </cell>
          <cell r="F392" t="str">
            <v>I.U. INVESTIGACION INFORMATICA</v>
          </cell>
          <cell r="G392" t="str">
            <v>50</v>
          </cell>
          <cell r="H392" t="str">
            <v/>
          </cell>
          <cell r="I392" t="str">
            <v/>
          </cell>
          <cell r="J392" t="str">
            <v/>
          </cell>
          <cell r="K392" t="str">
            <v/>
          </cell>
          <cell r="L392" t="str">
            <v/>
          </cell>
        </row>
        <row r="393">
          <cell r="A393" t="str">
            <v>24229915J</v>
          </cell>
          <cell r="B393" t="str">
            <v>GIL CHICA, FRANCISCO JAVIER</v>
          </cell>
          <cell r="C393" t="str">
            <v>20/10/2009</v>
          </cell>
          <cell r="D393" t="str">
            <v>(en blanco)</v>
          </cell>
          <cell r="E393" t="str">
            <v>10.20</v>
          </cell>
          <cell r="F393" t="str">
            <v>I.U. FISICA APLICADA A LAS CIENCIAS Y LA</v>
          </cell>
          <cell r="G393" t="str">
            <v>20</v>
          </cell>
          <cell r="H393" t="str">
            <v/>
          </cell>
          <cell r="I393" t="str">
            <v/>
          </cell>
          <cell r="J393" t="str">
            <v/>
          </cell>
          <cell r="K393" t="str">
            <v/>
          </cell>
          <cell r="L393" t="str">
            <v/>
          </cell>
        </row>
        <row r="394">
          <cell r="A394" t="str">
            <v>24509611Y</v>
          </cell>
          <cell r="B394" t="str">
            <v>SERRANO ESTRADA, LETICIA</v>
          </cell>
          <cell r="C394" t="str">
            <v>01/04/2022</v>
          </cell>
          <cell r="D394" t="str">
            <v>(en blanco)</v>
          </cell>
          <cell r="E394" t="str">
            <v>10.06</v>
          </cell>
          <cell r="F394" t="str">
            <v>I.INTERUNIVERSITARIO ECONOMIA INTERNACIO</v>
          </cell>
          <cell r="G394" t="str">
            <v>10</v>
          </cell>
          <cell r="H394" t="str">
            <v/>
          </cell>
          <cell r="I394" t="str">
            <v/>
          </cell>
          <cell r="J394" t="str">
            <v/>
          </cell>
          <cell r="K394" t="str">
            <v/>
          </cell>
          <cell r="L394" t="str">
            <v/>
          </cell>
        </row>
        <row r="395">
          <cell r="A395" t="str">
            <v>25119289T</v>
          </cell>
          <cell r="B395" t="str">
            <v>MARTINEZ PEREZ, JOSEP</v>
          </cell>
          <cell r="C395" t="str">
            <v>30/06/2008</v>
          </cell>
          <cell r="D395" t="str">
            <v>(en blanco)</v>
          </cell>
          <cell r="E395" t="str">
            <v>10.08</v>
          </cell>
          <cell r="F395" t="str">
            <v>I.INTERUNIVERSITARIO FILOLOGIA VALENCIAN</v>
          </cell>
          <cell r="G395" t="str">
            <v>50</v>
          </cell>
          <cell r="H395" t="str">
            <v/>
          </cell>
          <cell r="I395" t="str">
            <v/>
          </cell>
          <cell r="J395" t="str">
            <v/>
          </cell>
          <cell r="K395" t="str">
            <v/>
          </cell>
          <cell r="L395" t="str">
            <v/>
          </cell>
        </row>
        <row r="396">
          <cell r="A396" t="str">
            <v>25120571V</v>
          </cell>
          <cell r="B396" t="str">
            <v>SALA SELLES, FELICIANA</v>
          </cell>
          <cell r="C396" t="str">
            <v>19/09/2014</v>
          </cell>
          <cell r="D396" t="str">
            <v>(en blanco)</v>
          </cell>
          <cell r="E396" t="str">
            <v>10.24</v>
          </cell>
          <cell r="F396" t="str">
            <v>I.U. INVESTIGACION ARQ. Y PATR. HIST.</v>
          </cell>
          <cell r="G396" t="str">
            <v>80</v>
          </cell>
          <cell r="H396" t="str">
            <v/>
          </cell>
          <cell r="I396" t="str">
            <v/>
          </cell>
          <cell r="J396" t="str">
            <v/>
          </cell>
          <cell r="K396" t="str">
            <v/>
          </cell>
          <cell r="L396" t="str">
            <v/>
          </cell>
        </row>
        <row r="397">
          <cell r="A397" t="str">
            <v>25122167A</v>
          </cell>
          <cell r="B397" t="str">
            <v>MARTINEZ PEREZ, VICENT</v>
          </cell>
          <cell r="C397" t="str">
            <v>01/03/2006</v>
          </cell>
          <cell r="D397" t="str">
            <v>(en blanco)</v>
          </cell>
          <cell r="E397" t="str">
            <v>10.08</v>
          </cell>
          <cell r="F397" t="str">
            <v>I.INTERUNIVERSITARIO FILOLOGIA VALENCIAN</v>
          </cell>
          <cell r="G397" t="str">
            <v>50</v>
          </cell>
          <cell r="H397" t="str">
            <v/>
          </cell>
          <cell r="I397" t="str">
            <v/>
          </cell>
          <cell r="J397" t="str">
            <v/>
          </cell>
          <cell r="K397" t="str">
            <v/>
          </cell>
          <cell r="L397" t="str">
            <v/>
          </cell>
        </row>
        <row r="398">
          <cell r="A398" t="str">
            <v>25122922E</v>
          </cell>
          <cell r="B398" t="str">
            <v>LLORCA IBI, FRANCESC XAVIER</v>
          </cell>
          <cell r="C398" t="str">
            <v>31/10/2007</v>
          </cell>
          <cell r="D398" t="str">
            <v>(en blanco)</v>
          </cell>
          <cell r="E398" t="str">
            <v>10.08</v>
          </cell>
          <cell r="F398" t="str">
            <v>I.INTERUNIVERSITARIO FILOLOGIA VALENCIAN</v>
          </cell>
          <cell r="G398" t="str">
            <v>50</v>
          </cell>
          <cell r="H398" t="str">
            <v/>
          </cell>
          <cell r="I398" t="str">
            <v/>
          </cell>
          <cell r="J398" t="str">
            <v/>
          </cell>
          <cell r="K398" t="str">
            <v/>
          </cell>
          <cell r="L398" t="str">
            <v/>
          </cell>
        </row>
        <row r="399">
          <cell r="A399" t="str">
            <v>25126276H</v>
          </cell>
          <cell r="B399" t="str">
            <v>IVARS BAIDAL, JOSEP ANTONI</v>
          </cell>
          <cell r="C399" t="str">
            <v>01/03/2006</v>
          </cell>
          <cell r="D399" t="str">
            <v>(en blanco)</v>
          </cell>
          <cell r="E399" t="str">
            <v>10.06</v>
          </cell>
          <cell r="F399" t="str">
            <v>I.INTERUNIVERSITARIO ECONOMIA INTERNACIO</v>
          </cell>
          <cell r="G399" t="str">
            <v>10</v>
          </cell>
          <cell r="H399" t="str">
            <v>10.17</v>
          </cell>
          <cell r="I399" t="str">
            <v>I.U. INVESTIGACIONES TURISTICAS</v>
          </cell>
          <cell r="J399" t="str">
            <v>26/07/2006</v>
          </cell>
          <cell r="K399" t="str">
            <v>(en blanco)</v>
          </cell>
          <cell r="L399" t="str">
            <v>70</v>
          </cell>
        </row>
        <row r="400">
          <cell r="A400" t="str">
            <v>25126465T</v>
          </cell>
          <cell r="B400" t="str">
            <v>BORJA SANZ, JOAN</v>
          </cell>
          <cell r="C400" t="str">
            <v>01/03/2006</v>
          </cell>
          <cell r="D400" t="str">
            <v>(en blanco)</v>
          </cell>
          <cell r="E400" t="str">
            <v>10.08</v>
          </cell>
          <cell r="F400" t="str">
            <v>I.INTERUNIVERSITARIO FILOLOGIA VALENCIAN</v>
          </cell>
          <cell r="G400" t="str">
            <v>50</v>
          </cell>
          <cell r="H400" t="str">
            <v/>
          </cell>
          <cell r="I400" t="str">
            <v/>
          </cell>
          <cell r="J400" t="str">
            <v/>
          </cell>
          <cell r="K400" t="str">
            <v/>
          </cell>
          <cell r="L400" t="str">
            <v/>
          </cell>
        </row>
        <row r="401">
          <cell r="A401" t="str">
            <v>25126587F</v>
          </cell>
          <cell r="B401" t="str">
            <v>FERRER LLORET, JAUME</v>
          </cell>
          <cell r="C401" t="str">
            <v>28/09/2016</v>
          </cell>
          <cell r="D401" t="str">
            <v>(en blanco)</v>
          </cell>
          <cell r="E401" t="str">
            <v>10.25</v>
          </cell>
          <cell r="F401" t="str">
            <v>I.U. INV. ESTUDIOS SOC. AMERICA LATINA</v>
          </cell>
          <cell r="G401" t="str">
            <v>50</v>
          </cell>
          <cell r="H401" t="str">
            <v/>
          </cell>
          <cell r="I401" t="str">
            <v/>
          </cell>
          <cell r="J401" t="str">
            <v/>
          </cell>
          <cell r="K401" t="str">
            <v/>
          </cell>
          <cell r="L401" t="str">
            <v/>
          </cell>
        </row>
        <row r="402">
          <cell r="A402" t="str">
            <v>25126858W</v>
          </cell>
          <cell r="B402" t="str">
            <v>ROIG VILA, ROSABEL</v>
          </cell>
          <cell r="C402" t="str">
            <v>17/01/2017</v>
          </cell>
          <cell r="D402" t="str">
            <v>(en blanco)</v>
          </cell>
          <cell r="E402" t="str">
            <v>10.25</v>
          </cell>
          <cell r="F402" t="str">
            <v>I.U. INV. ESTUDIOS SOC. AMERICA LATINA</v>
          </cell>
          <cell r="G402" t="str">
            <v>30</v>
          </cell>
          <cell r="H402" t="str">
            <v/>
          </cell>
          <cell r="I402" t="str">
            <v/>
          </cell>
          <cell r="J402" t="str">
            <v/>
          </cell>
          <cell r="K402" t="str">
            <v/>
          </cell>
          <cell r="L402" t="str">
            <v/>
          </cell>
        </row>
        <row r="403">
          <cell r="A403" t="str">
            <v>25127439P</v>
          </cell>
          <cell r="B403" t="str">
            <v>BELTRAN I CALVO, VICENT</v>
          </cell>
          <cell r="C403" t="str">
            <v>04/07/2006</v>
          </cell>
          <cell r="D403" t="str">
            <v>(en blanco)</v>
          </cell>
          <cell r="E403" t="str">
            <v>10.08</v>
          </cell>
          <cell r="F403" t="str">
            <v>I.INTERUNIVERSITARIO FILOLOGIA VALENCIAN</v>
          </cell>
          <cell r="G403" t="str">
            <v>50</v>
          </cell>
          <cell r="H403" t="str">
            <v/>
          </cell>
          <cell r="I403" t="str">
            <v/>
          </cell>
          <cell r="J403" t="str">
            <v/>
          </cell>
          <cell r="K403" t="str">
            <v/>
          </cell>
          <cell r="L403" t="str">
            <v/>
          </cell>
        </row>
        <row r="404">
          <cell r="A404" t="str">
            <v>25127766J</v>
          </cell>
          <cell r="B404" t="str">
            <v>ALCAÑIZ MONGE, JUAN ANTONIO</v>
          </cell>
          <cell r="C404" t="str">
            <v>22/02/2016</v>
          </cell>
          <cell r="D404" t="str">
            <v>(en blanco)</v>
          </cell>
          <cell r="E404" t="str">
            <v>10.14</v>
          </cell>
          <cell r="F404" t="str">
            <v>I.U. MATERIALES</v>
          </cell>
          <cell r="G404" t="str">
            <v>30</v>
          </cell>
          <cell r="H404" t="str">
            <v/>
          </cell>
          <cell r="I404" t="str">
            <v/>
          </cell>
          <cell r="J404" t="str">
            <v/>
          </cell>
          <cell r="K404" t="str">
            <v/>
          </cell>
          <cell r="L404" t="str">
            <v/>
          </cell>
        </row>
        <row r="405">
          <cell r="A405" t="str">
            <v>25128440C</v>
          </cell>
          <cell r="B405" t="str">
            <v>RODRIGUEZ JAUME, MARIA JOSE</v>
          </cell>
          <cell r="C405" t="str">
            <v>29/07/2020</v>
          </cell>
          <cell r="D405" t="str">
            <v>(en blanco)</v>
          </cell>
          <cell r="E405" t="str">
            <v>10.23</v>
          </cell>
          <cell r="F405" t="str">
            <v>I.U. INVESTIGACION ESTUDIOS DE GENERO</v>
          </cell>
          <cell r="G405" t="str">
            <v>20</v>
          </cell>
          <cell r="H405" t="str">
            <v/>
          </cell>
          <cell r="I405" t="str">
            <v/>
          </cell>
          <cell r="J405" t="str">
            <v/>
          </cell>
          <cell r="K405" t="str">
            <v/>
          </cell>
          <cell r="L405" t="str">
            <v/>
          </cell>
        </row>
        <row r="406">
          <cell r="A406" t="str">
            <v>25128914B</v>
          </cell>
          <cell r="B406" t="str">
            <v>SANTAMARIA PEREZ, MARIA ISABEL</v>
          </cell>
          <cell r="C406" t="str">
            <v>23/01/2019</v>
          </cell>
          <cell r="D406" t="str">
            <v>(en blanco)</v>
          </cell>
          <cell r="E406" t="str">
            <v>10.15</v>
          </cell>
          <cell r="F406" t="str">
            <v>I.INTERUNIV. LENGUAS MODERNAS APLICADAS</v>
          </cell>
          <cell r="G406" t="str">
            <v>10</v>
          </cell>
          <cell r="H406" t="str">
            <v>10.23</v>
          </cell>
          <cell r="I406" t="str">
            <v>I.U. INVESTIGACION ESTUDIOS DE GENERO</v>
          </cell>
          <cell r="J406" t="str">
            <v>21/10/2019</v>
          </cell>
          <cell r="K406" t="str">
            <v>(en blanco)</v>
          </cell>
          <cell r="L406" t="str">
            <v>20</v>
          </cell>
        </row>
        <row r="407">
          <cell r="A407" t="str">
            <v>25130259E</v>
          </cell>
          <cell r="B407" t="str">
            <v>DIAZ SANCHEZ, ISABEL</v>
          </cell>
          <cell r="C407" t="str">
            <v>24/09/2015</v>
          </cell>
          <cell r="D407" t="str">
            <v>(en blanco)</v>
          </cell>
          <cell r="E407" t="str">
            <v>10.23</v>
          </cell>
          <cell r="F407" t="str">
            <v>I.U. INVESTIGACION ESTUDIOS DE GENERO</v>
          </cell>
          <cell r="G407" t="str">
            <v>50</v>
          </cell>
          <cell r="H407" t="str">
            <v/>
          </cell>
          <cell r="I407" t="str">
            <v/>
          </cell>
          <cell r="J407" t="str">
            <v/>
          </cell>
          <cell r="K407" t="str">
            <v/>
          </cell>
          <cell r="L407" t="str">
            <v/>
          </cell>
        </row>
        <row r="408">
          <cell r="A408" t="str">
            <v>25145934B</v>
          </cell>
          <cell r="B408" t="str">
            <v>MESA SANZ, JUAN FRANCISCO</v>
          </cell>
          <cell r="C408" t="str">
            <v>19/09/2014</v>
          </cell>
          <cell r="D408" t="str">
            <v>(en blanco)</v>
          </cell>
          <cell r="E408" t="str">
            <v>10.24</v>
          </cell>
          <cell r="F408" t="str">
            <v>I.U. INVESTIGACION ARQ. Y PATR. HIST.</v>
          </cell>
          <cell r="G408" t="str">
            <v>80</v>
          </cell>
          <cell r="H408" t="str">
            <v/>
          </cell>
          <cell r="I408" t="str">
            <v/>
          </cell>
          <cell r="J408" t="str">
            <v/>
          </cell>
          <cell r="K408" t="str">
            <v/>
          </cell>
          <cell r="L408" t="str">
            <v/>
          </cell>
        </row>
        <row r="409">
          <cell r="A409" t="str">
            <v>25146159Y</v>
          </cell>
          <cell r="B409" t="str">
            <v>IÑIGUEZ ORTEGA, MARIA PILAR</v>
          </cell>
          <cell r="C409" t="str">
            <v>26/07/2006</v>
          </cell>
          <cell r="D409" t="str">
            <v>(en blanco)</v>
          </cell>
          <cell r="E409" t="str">
            <v>10.17</v>
          </cell>
          <cell r="F409" t="str">
            <v>I.U. INVESTIGACIONES TURISTICAS</v>
          </cell>
          <cell r="G409" t="str">
            <v>25</v>
          </cell>
          <cell r="H409" t="str">
            <v/>
          </cell>
          <cell r="I409" t="str">
            <v/>
          </cell>
          <cell r="J409" t="str">
            <v/>
          </cell>
          <cell r="K409" t="str">
            <v/>
          </cell>
          <cell r="L409" t="str">
            <v/>
          </cell>
        </row>
        <row r="410">
          <cell r="A410" t="str">
            <v>25414751G</v>
          </cell>
          <cell r="B410" t="str">
            <v>FERRER CRESPO, MARIA BELEN</v>
          </cell>
          <cell r="C410" t="str">
            <v>12/07/2019</v>
          </cell>
          <cell r="D410" t="str">
            <v>(en blanco)</v>
          </cell>
          <cell r="E410" t="str">
            <v>10.20</v>
          </cell>
          <cell r="F410" t="str">
            <v>I.U. FISICA APLICADA A LAS CIENCIAS Y LA</v>
          </cell>
          <cell r="G410" t="str">
            <v>50</v>
          </cell>
          <cell r="H410" t="str">
            <v/>
          </cell>
          <cell r="I410" t="str">
            <v/>
          </cell>
          <cell r="J410" t="str">
            <v/>
          </cell>
          <cell r="K410" t="str">
            <v/>
          </cell>
          <cell r="L410" t="str">
            <v/>
          </cell>
        </row>
        <row r="411">
          <cell r="A411" t="str">
            <v>26186611F</v>
          </cell>
          <cell r="B411" t="str">
            <v>RUIZ CANTERO, MARIA TERESA</v>
          </cell>
          <cell r="C411" t="str">
            <v>21/12/2015</v>
          </cell>
          <cell r="D411" t="str">
            <v>(en blanco)</v>
          </cell>
          <cell r="E411" t="str">
            <v>10.23</v>
          </cell>
          <cell r="F411" t="str">
            <v>I.U. INVESTIGACION ESTUDIOS DE GENERO</v>
          </cell>
          <cell r="G411" t="str">
            <v>50</v>
          </cell>
          <cell r="H411" t="str">
            <v/>
          </cell>
          <cell r="I411" t="str">
            <v/>
          </cell>
          <cell r="J411" t="str">
            <v/>
          </cell>
          <cell r="K411" t="str">
            <v/>
          </cell>
          <cell r="L411" t="str">
            <v/>
          </cell>
        </row>
        <row r="412">
          <cell r="A412" t="str">
            <v>26226014B</v>
          </cell>
          <cell r="B412" t="str">
            <v>MARTINEZ LIROLA, MARIA DOLORES</v>
          </cell>
          <cell r="C412" t="str">
            <v>16/03/2005</v>
          </cell>
          <cell r="D412" t="str">
            <v>(en blanco)</v>
          </cell>
          <cell r="E412" t="str">
            <v>10.15</v>
          </cell>
          <cell r="F412" t="str">
            <v>I.INTERUNIV. LENGUAS MODERNAS APLICADAS</v>
          </cell>
          <cell r="G412" t="str">
            <v>10</v>
          </cell>
          <cell r="H412" t="str">
            <v>10.23</v>
          </cell>
          <cell r="I412" t="str">
            <v>I.U. INVESTIGACION ESTUDIOS DE GENERO</v>
          </cell>
          <cell r="J412" t="str">
            <v>14/12/2018</v>
          </cell>
          <cell r="K412" t="str">
            <v>(en blanco)</v>
          </cell>
          <cell r="L412" t="str">
            <v>20</v>
          </cell>
        </row>
        <row r="413">
          <cell r="A413" t="str">
            <v>26745914L</v>
          </cell>
          <cell r="B413" t="str">
            <v>FERRANDO ROCHER, MIGUEL</v>
          </cell>
          <cell r="C413" t="str">
            <v>12/02/2020</v>
          </cell>
          <cell r="D413" t="str">
            <v>(en blanco)</v>
          </cell>
          <cell r="E413" t="str">
            <v>10.20</v>
          </cell>
          <cell r="F413" t="str">
            <v>I.U. FISICA APLICADA A LAS CIENCIAS Y LA</v>
          </cell>
          <cell r="G413" t="str">
            <v>50</v>
          </cell>
          <cell r="H413" t="str">
            <v/>
          </cell>
          <cell r="I413" t="str">
            <v/>
          </cell>
          <cell r="J413" t="str">
            <v/>
          </cell>
          <cell r="K413" t="str">
            <v/>
          </cell>
          <cell r="L413" t="str">
            <v/>
          </cell>
        </row>
        <row r="414">
          <cell r="A414" t="str">
            <v>27294053E</v>
          </cell>
          <cell r="B414" t="str">
            <v>MARTIN NIETO, JOSE</v>
          </cell>
          <cell r="C414" t="str">
            <v>02/02/2012</v>
          </cell>
          <cell r="D414" t="str">
            <v>(en blanco)</v>
          </cell>
          <cell r="E414" t="str">
            <v>10.16</v>
          </cell>
          <cell r="F414" t="str">
            <v>I.M.E.M. RAMON MARGALEF (IMEM)</v>
          </cell>
          <cell r="G414" t="str">
            <v>85</v>
          </cell>
          <cell r="H414" t="str">
            <v/>
          </cell>
          <cell r="I414" t="str">
            <v/>
          </cell>
          <cell r="J414" t="str">
            <v/>
          </cell>
          <cell r="K414" t="str">
            <v/>
          </cell>
          <cell r="L414" t="str">
            <v/>
          </cell>
        </row>
        <row r="415">
          <cell r="A415" t="str">
            <v>27439255W</v>
          </cell>
          <cell r="B415" t="str">
            <v>LOPEZ ORTIZ, MARIA INMACULADA</v>
          </cell>
          <cell r="C415" t="str">
            <v>22/11/2012</v>
          </cell>
          <cell r="D415" t="str">
            <v>(en blanco)</v>
          </cell>
          <cell r="E415" t="str">
            <v>10.21</v>
          </cell>
          <cell r="F415" t="str">
            <v>I.INTERUNIVERSITARIO GEOGRAFIA</v>
          </cell>
          <cell r="G415" t="str">
            <v>30</v>
          </cell>
          <cell r="H415" t="str">
            <v>10.05</v>
          </cell>
          <cell r="I415" t="str">
            <v>I.U. AGUA Y CIENCIAS AMBIENTALES</v>
          </cell>
          <cell r="J415" t="str">
            <v>20/12/2012</v>
          </cell>
          <cell r="K415" t="str">
            <v>(en blanco)</v>
          </cell>
          <cell r="L415" t="str">
            <v>20</v>
          </cell>
        </row>
        <row r="416">
          <cell r="A416" t="str">
            <v>27456413W</v>
          </cell>
          <cell r="B416" t="str">
            <v>CASAS MARTINEZ, JOSE LUIS</v>
          </cell>
          <cell r="C416" t="str">
            <v>09/03/2016</v>
          </cell>
          <cell r="D416" t="str">
            <v>(en blanco)</v>
          </cell>
          <cell r="E416" t="str">
            <v>10.13</v>
          </cell>
          <cell r="F416" t="str">
            <v>I.U. INVESTIGACION - CIBIO</v>
          </cell>
          <cell r="G416" t="str">
            <v>100</v>
          </cell>
          <cell r="H416" t="str">
            <v/>
          </cell>
          <cell r="I416" t="str">
            <v/>
          </cell>
          <cell r="J416" t="str">
            <v/>
          </cell>
          <cell r="K416" t="str">
            <v/>
          </cell>
          <cell r="L416" t="str">
            <v/>
          </cell>
        </row>
        <row r="417">
          <cell r="A417" t="str">
            <v>27461670S</v>
          </cell>
          <cell r="B417" t="str">
            <v>BAYONA FERNANDEZ, GLORIA</v>
          </cell>
          <cell r="C417" t="str">
            <v>16/02/2017</v>
          </cell>
          <cell r="D417" t="str">
            <v>(en blanco)</v>
          </cell>
          <cell r="E417" t="str">
            <v>10.25</v>
          </cell>
          <cell r="F417" t="str">
            <v>I.U. INV. ESTUDIOS SOC. AMERICA LATINA</v>
          </cell>
          <cell r="G417" t="str">
            <v>50</v>
          </cell>
          <cell r="H417" t="str">
            <v/>
          </cell>
          <cell r="I417" t="str">
            <v/>
          </cell>
          <cell r="J417" t="str">
            <v/>
          </cell>
          <cell r="K417" t="str">
            <v/>
          </cell>
          <cell r="L417" t="str">
            <v/>
          </cell>
        </row>
        <row r="418">
          <cell r="A418" t="str">
            <v>27462839B</v>
          </cell>
          <cell r="B418" t="str">
            <v>ROCA MARIN, SANTIAGO</v>
          </cell>
          <cell r="C418" t="str">
            <v>17/01/2018</v>
          </cell>
          <cell r="D418" t="str">
            <v>(en blanco)</v>
          </cell>
          <cell r="E418" t="str">
            <v>10.25</v>
          </cell>
          <cell r="F418" t="str">
            <v>I.U. INV. ESTUDIOS SOC. AMERICA LATINA</v>
          </cell>
          <cell r="G418" t="str">
            <v>30</v>
          </cell>
          <cell r="H418" t="str">
            <v/>
          </cell>
          <cell r="I418" t="str">
            <v/>
          </cell>
          <cell r="J418" t="str">
            <v/>
          </cell>
          <cell r="K418" t="str">
            <v/>
          </cell>
          <cell r="L418" t="str">
            <v/>
          </cell>
        </row>
        <row r="419">
          <cell r="A419" t="str">
            <v>28555357Y</v>
          </cell>
          <cell r="B419" t="str">
            <v>ALVAREZ-DARDET DIAZ, CARLOS</v>
          </cell>
          <cell r="C419" t="str">
            <v>12/07/2022</v>
          </cell>
          <cell r="D419" t="str">
            <v>(en blanco)</v>
          </cell>
          <cell r="E419" t="str">
            <v>10.23</v>
          </cell>
          <cell r="F419" t="str">
            <v>I.U. INVESTIGACION ESTUDIOS DE GENERO</v>
          </cell>
          <cell r="G419" t="str">
            <v>20</v>
          </cell>
          <cell r="H419" t="str">
            <v/>
          </cell>
          <cell r="I419" t="str">
            <v/>
          </cell>
          <cell r="J419" t="str">
            <v/>
          </cell>
          <cell r="K419" t="str">
            <v/>
          </cell>
          <cell r="L419" t="str">
            <v/>
          </cell>
        </row>
        <row r="420">
          <cell r="A420" t="str">
            <v>28959284F</v>
          </cell>
          <cell r="B420" t="str">
            <v>URBANEJA CILLAN, JORGE</v>
          </cell>
          <cell r="C420" t="str">
            <v>22/05/2017</v>
          </cell>
          <cell r="D420" t="str">
            <v>(en blanco)</v>
          </cell>
          <cell r="E420" t="str">
            <v>10.25</v>
          </cell>
          <cell r="F420" t="str">
            <v>I.U. INV. ESTUDIOS SOC. AMERICA LATINA</v>
          </cell>
          <cell r="G420" t="str">
            <v>50</v>
          </cell>
          <cell r="H420" t="str">
            <v/>
          </cell>
          <cell r="I420" t="str">
            <v/>
          </cell>
          <cell r="J420" t="str">
            <v/>
          </cell>
          <cell r="K420" t="str">
            <v/>
          </cell>
          <cell r="L420" t="str">
            <v/>
          </cell>
        </row>
        <row r="421">
          <cell r="A421" t="str">
            <v>28995929J</v>
          </cell>
          <cell r="B421" t="str">
            <v>CATALA OLTRA, LUIS</v>
          </cell>
          <cell r="C421" t="str">
            <v>08/07/2021</v>
          </cell>
          <cell r="D421" t="str">
            <v>(en blanco)</v>
          </cell>
          <cell r="E421" t="str">
            <v>10.22</v>
          </cell>
          <cell r="F421" t="str">
            <v>I.INTERUNIV. DESARROLLO SOCIAL Y PAZ</v>
          </cell>
          <cell r="G421" t="str">
            <v>10</v>
          </cell>
          <cell r="H421" t="str">
            <v/>
          </cell>
          <cell r="I421" t="str">
            <v/>
          </cell>
          <cell r="J421" t="str">
            <v/>
          </cell>
          <cell r="K421" t="str">
            <v/>
          </cell>
          <cell r="L421" t="str">
            <v/>
          </cell>
        </row>
        <row r="422">
          <cell r="A422" t="str">
            <v>28996290Y</v>
          </cell>
          <cell r="B422" t="str">
            <v>CHINER SANZ, ESTHER</v>
          </cell>
          <cell r="C422" t="str">
            <v>21/12/2015</v>
          </cell>
          <cell r="D422" t="str">
            <v>(en blanco)</v>
          </cell>
          <cell r="E422" t="str">
            <v>10.23</v>
          </cell>
          <cell r="F422" t="str">
            <v>I.U. INVESTIGACION ESTUDIOS DE GENERO</v>
          </cell>
          <cell r="G422" t="str">
            <v>30</v>
          </cell>
          <cell r="H422" t="str">
            <v/>
          </cell>
          <cell r="I422" t="str">
            <v/>
          </cell>
          <cell r="J422" t="str">
            <v/>
          </cell>
          <cell r="K422" t="str">
            <v/>
          </cell>
          <cell r="L422" t="str">
            <v/>
          </cell>
        </row>
        <row r="423">
          <cell r="A423" t="str">
            <v>29003651F</v>
          </cell>
          <cell r="B423" t="str">
            <v>SANMARTIN PARDO, JOSE JESUS</v>
          </cell>
          <cell r="C423" t="str">
            <v>06/03/2014</v>
          </cell>
          <cell r="D423" t="str">
            <v>(en blanco)</v>
          </cell>
          <cell r="E423" t="str">
            <v>10.06</v>
          </cell>
          <cell r="F423" t="str">
            <v>I.INTERUNIVERSITARIO ECONOMIA INTERNACIO</v>
          </cell>
          <cell r="G423" t="str">
            <v>10</v>
          </cell>
          <cell r="H423" t="str">
            <v/>
          </cell>
          <cell r="I423" t="str">
            <v/>
          </cell>
          <cell r="J423" t="str">
            <v/>
          </cell>
          <cell r="K423" t="str">
            <v/>
          </cell>
          <cell r="L423" t="str">
            <v/>
          </cell>
        </row>
        <row r="424">
          <cell r="A424" t="str">
            <v>29007607F</v>
          </cell>
          <cell r="B424" t="str">
            <v>HERNANDEZ HERNANDEZ, MARIANA PILAR</v>
          </cell>
          <cell r="C424" t="str">
            <v>19/05/2010</v>
          </cell>
          <cell r="D424" t="str">
            <v>(en blanco)</v>
          </cell>
          <cell r="E424" t="str">
            <v>10.05</v>
          </cell>
          <cell r="F424" t="str">
            <v>I.U. AGUA Y CIENCIAS AMBIENTALES</v>
          </cell>
          <cell r="G424" t="str">
            <v>25</v>
          </cell>
          <cell r="H424" t="str">
            <v/>
          </cell>
          <cell r="I424" t="str">
            <v/>
          </cell>
          <cell r="J424" t="str">
            <v/>
          </cell>
          <cell r="K424" t="str">
            <v/>
          </cell>
          <cell r="L424" t="str">
            <v/>
          </cell>
        </row>
        <row r="425">
          <cell r="A425" t="str">
            <v>29008698V</v>
          </cell>
          <cell r="B425" t="str">
            <v>PASTOR CESTEROS, SUSANA</v>
          </cell>
          <cell r="C425" t="str">
            <v>16/03/2005</v>
          </cell>
          <cell r="D425" t="str">
            <v>(en blanco)</v>
          </cell>
          <cell r="E425" t="str">
            <v>10.15</v>
          </cell>
          <cell r="F425" t="str">
            <v>I.INTERUNIV. LENGUAS MODERNAS APLICADAS</v>
          </cell>
          <cell r="G425" t="str">
            <v>10</v>
          </cell>
          <cell r="H425" t="str">
            <v/>
          </cell>
          <cell r="I425" t="str">
            <v/>
          </cell>
          <cell r="J425" t="str">
            <v/>
          </cell>
          <cell r="K425" t="str">
            <v/>
          </cell>
          <cell r="L425" t="str">
            <v/>
          </cell>
        </row>
        <row r="426">
          <cell r="A426" t="str">
            <v>29011916S</v>
          </cell>
          <cell r="B426" t="str">
            <v>JIMENO MORENILLA, ANTONIO MANUEL</v>
          </cell>
          <cell r="C426" t="str">
            <v>26/07/2006</v>
          </cell>
          <cell r="D426" t="str">
            <v>(en blanco)</v>
          </cell>
          <cell r="E426" t="str">
            <v>10.19</v>
          </cell>
          <cell r="F426" t="str">
            <v>I.U. INVESTIGACION INFORMATICA</v>
          </cell>
          <cell r="G426" t="str">
            <v>20</v>
          </cell>
          <cell r="H426" t="str">
            <v/>
          </cell>
          <cell r="I426" t="str">
            <v/>
          </cell>
          <cell r="J426" t="str">
            <v/>
          </cell>
          <cell r="K426" t="str">
            <v/>
          </cell>
          <cell r="L426" t="str">
            <v/>
          </cell>
        </row>
        <row r="427">
          <cell r="A427" t="str">
            <v>29012741N</v>
          </cell>
          <cell r="B427" t="str">
            <v>OLTRA CAMARA, MARCO ANTONIO</v>
          </cell>
          <cell r="C427" t="str">
            <v>24/01/2017</v>
          </cell>
          <cell r="D427" t="str">
            <v>(en blanco)</v>
          </cell>
          <cell r="E427" t="str">
            <v>10.05</v>
          </cell>
          <cell r="F427" t="str">
            <v>I.U. AGUA Y CIENCIAS AMBIENTALES</v>
          </cell>
          <cell r="G427" t="str">
            <v>50</v>
          </cell>
          <cell r="H427" t="str">
            <v/>
          </cell>
          <cell r="I427" t="str">
            <v/>
          </cell>
          <cell r="J427" t="str">
            <v/>
          </cell>
          <cell r="K427" t="str">
            <v/>
          </cell>
          <cell r="L427" t="str">
            <v/>
          </cell>
        </row>
        <row r="428">
          <cell r="A428" t="str">
            <v>29013509K</v>
          </cell>
          <cell r="B428" t="str">
            <v>GIMENO NIEVES, ENCARNACION</v>
          </cell>
          <cell r="C428" t="str">
            <v>08/11/2017</v>
          </cell>
          <cell r="D428" t="str">
            <v>(en blanco)</v>
          </cell>
          <cell r="E428" t="str">
            <v>10.20</v>
          </cell>
          <cell r="F428" t="str">
            <v>I.U. FISICA APLICADA A LAS CIENCIAS Y LA</v>
          </cell>
          <cell r="G428" t="str">
            <v>50</v>
          </cell>
          <cell r="H428" t="str">
            <v/>
          </cell>
          <cell r="I428" t="str">
            <v/>
          </cell>
          <cell r="J428" t="str">
            <v/>
          </cell>
          <cell r="K428" t="str">
            <v/>
          </cell>
          <cell r="L428" t="str">
            <v/>
          </cell>
        </row>
        <row r="429">
          <cell r="A429" t="str">
            <v>29013572S</v>
          </cell>
          <cell r="B429" t="str">
            <v>PEÑALVER VICEA, MARIA ISABEL</v>
          </cell>
          <cell r="C429" t="str">
            <v>31/05/2016</v>
          </cell>
          <cell r="D429" t="str">
            <v>(en blanco)</v>
          </cell>
          <cell r="E429" t="str">
            <v>10.23</v>
          </cell>
          <cell r="F429" t="str">
            <v>I.U. INVESTIGACION ESTUDIOS DE GENERO</v>
          </cell>
          <cell r="G429" t="str">
            <v>50</v>
          </cell>
          <cell r="H429" t="str">
            <v/>
          </cell>
          <cell r="I429" t="str">
            <v/>
          </cell>
          <cell r="J429" t="str">
            <v/>
          </cell>
          <cell r="K429" t="str">
            <v/>
          </cell>
          <cell r="L429" t="str">
            <v/>
          </cell>
        </row>
        <row r="430">
          <cell r="A430" t="str">
            <v>29013624K</v>
          </cell>
          <cell r="B430" t="str">
            <v>ORTUÑO SANCHEZ, MANUEL FRANCISCO</v>
          </cell>
          <cell r="C430" t="str">
            <v>25/09/2019</v>
          </cell>
          <cell r="D430" t="str">
            <v>(en blanco)</v>
          </cell>
          <cell r="E430" t="str">
            <v>10.20</v>
          </cell>
          <cell r="F430" t="str">
            <v>I.U. FISICA APLICADA A LAS CIENCIAS Y LA</v>
          </cell>
          <cell r="G430" t="str">
            <v>50</v>
          </cell>
          <cell r="H430" t="str">
            <v/>
          </cell>
          <cell r="I430" t="str">
            <v/>
          </cell>
          <cell r="J430" t="str">
            <v/>
          </cell>
          <cell r="K430" t="str">
            <v/>
          </cell>
          <cell r="L430" t="str">
            <v/>
          </cell>
        </row>
        <row r="431">
          <cell r="A431" t="str">
            <v>29015181Z</v>
          </cell>
          <cell r="B431" t="str">
            <v>UBEDA GARCIA, MARIA MERCEDES</v>
          </cell>
          <cell r="C431" t="str">
            <v>26/07/2006</v>
          </cell>
          <cell r="D431" t="str">
            <v>(en blanco)</v>
          </cell>
          <cell r="E431" t="str">
            <v>10.17</v>
          </cell>
          <cell r="F431" t="str">
            <v>I.U. INVESTIGACIONES TURISTICAS</v>
          </cell>
          <cell r="G431" t="str">
            <v>10</v>
          </cell>
          <cell r="H431" t="str">
            <v/>
          </cell>
          <cell r="I431" t="str">
            <v/>
          </cell>
          <cell r="J431" t="str">
            <v/>
          </cell>
          <cell r="K431" t="str">
            <v/>
          </cell>
          <cell r="L431" t="str">
            <v/>
          </cell>
        </row>
        <row r="432">
          <cell r="A432" t="str">
            <v>29019785H</v>
          </cell>
          <cell r="B432" t="str">
            <v>BAJO GARCIA, IRENE</v>
          </cell>
          <cell r="C432" t="str">
            <v>12/07/2022</v>
          </cell>
          <cell r="D432" t="str">
            <v>(en blanco)</v>
          </cell>
          <cell r="E432" t="str">
            <v>10.23</v>
          </cell>
          <cell r="F432" t="str">
            <v>I.U. INVESTIGACION ESTUDIOS DE GENERO</v>
          </cell>
          <cell r="G432" t="str">
            <v>20</v>
          </cell>
          <cell r="H432" t="str">
            <v/>
          </cell>
          <cell r="I432" t="str">
            <v/>
          </cell>
          <cell r="J432" t="str">
            <v/>
          </cell>
          <cell r="K432" t="str">
            <v/>
          </cell>
          <cell r="L432" t="str">
            <v/>
          </cell>
        </row>
        <row r="433">
          <cell r="A433" t="str">
            <v>29020457T</v>
          </cell>
          <cell r="B433" t="str">
            <v>QUER RAMON, DIEGO FRANCISCO</v>
          </cell>
          <cell r="C433" t="str">
            <v>04/02/2021</v>
          </cell>
          <cell r="D433" t="str">
            <v>(en blanco)</v>
          </cell>
          <cell r="E433" t="str">
            <v>10.17</v>
          </cell>
          <cell r="F433" t="str">
            <v>I.U. INVESTIGACIONES TURISTICAS</v>
          </cell>
          <cell r="G433" t="str">
            <v>10</v>
          </cell>
          <cell r="H433" t="str">
            <v/>
          </cell>
          <cell r="I433" t="str">
            <v/>
          </cell>
          <cell r="J433" t="str">
            <v/>
          </cell>
          <cell r="K433" t="str">
            <v/>
          </cell>
          <cell r="L433" t="str">
            <v/>
          </cell>
        </row>
        <row r="434">
          <cell r="A434" t="str">
            <v>29022960L</v>
          </cell>
          <cell r="B434" t="str">
            <v>FERNANDEZ LOPEZ DE PABLO, JAVIER</v>
          </cell>
          <cell r="C434" t="str">
            <v>01/07/2019</v>
          </cell>
          <cell r="D434" t="str">
            <v>31/12/2022</v>
          </cell>
          <cell r="E434" t="str">
            <v>10.24</v>
          </cell>
          <cell r="F434" t="str">
            <v>I.U. INVESTIGACION ARQ. Y PATR. HIST.</v>
          </cell>
          <cell r="G434" t="str">
            <v>100</v>
          </cell>
          <cell r="H434" t="str">
            <v/>
          </cell>
          <cell r="I434" t="str">
            <v/>
          </cell>
          <cell r="J434" t="str">
            <v/>
          </cell>
          <cell r="K434" t="str">
            <v/>
          </cell>
          <cell r="L434" t="str">
            <v/>
          </cell>
        </row>
        <row r="435">
          <cell r="A435" t="str">
            <v>29074147P</v>
          </cell>
          <cell r="B435" t="str">
            <v>PEREZ BELTRAN, JORGE RAMON</v>
          </cell>
          <cell r="C435" t="str">
            <v>09/05/2019</v>
          </cell>
          <cell r="D435" t="str">
            <v>(en blanco)</v>
          </cell>
          <cell r="E435" t="str">
            <v>10.19</v>
          </cell>
          <cell r="F435" t="str">
            <v>I.U. INVESTIGACION INFORMATICA</v>
          </cell>
          <cell r="G435" t="str">
            <v>20</v>
          </cell>
          <cell r="H435" t="str">
            <v/>
          </cell>
          <cell r="I435" t="str">
            <v/>
          </cell>
          <cell r="J435" t="str">
            <v/>
          </cell>
          <cell r="K435" t="str">
            <v/>
          </cell>
          <cell r="L435" t="str">
            <v/>
          </cell>
        </row>
        <row r="436">
          <cell r="A436" t="str">
            <v>29075312T</v>
          </cell>
          <cell r="B436" t="str">
            <v>TORRES DÍAZ, MARÍA CONCEPCIÓN</v>
          </cell>
          <cell r="C436" t="str">
            <v>15/11/2021</v>
          </cell>
          <cell r="D436" t="str">
            <v>(en blanco)</v>
          </cell>
          <cell r="E436" t="str">
            <v>10.23</v>
          </cell>
          <cell r="F436" t="str">
            <v>I.U. INVESTIGACION ESTUDIOS DE GENERO</v>
          </cell>
          <cell r="G436" t="str">
            <v>20</v>
          </cell>
          <cell r="H436" t="str">
            <v/>
          </cell>
          <cell r="I436" t="str">
            <v/>
          </cell>
          <cell r="J436" t="str">
            <v/>
          </cell>
          <cell r="K436" t="str">
            <v/>
          </cell>
          <cell r="L436" t="str">
            <v/>
          </cell>
        </row>
        <row r="437">
          <cell r="A437" t="str">
            <v>29162329P</v>
          </cell>
          <cell r="B437" t="str">
            <v>PADILLA GARCIA, JOSE ANTONIO</v>
          </cell>
          <cell r="C437" t="str">
            <v>16/03/2005</v>
          </cell>
          <cell r="D437" t="str">
            <v>(en blanco)</v>
          </cell>
          <cell r="E437" t="str">
            <v>10.15</v>
          </cell>
          <cell r="F437" t="str">
            <v>I.INTERUNIV. LENGUAS MODERNAS APLICADAS</v>
          </cell>
          <cell r="G437" t="str">
            <v>10</v>
          </cell>
          <cell r="H437" t="str">
            <v/>
          </cell>
          <cell r="I437" t="str">
            <v/>
          </cell>
          <cell r="J437" t="str">
            <v/>
          </cell>
          <cell r="K437" t="str">
            <v/>
          </cell>
          <cell r="L437" t="str">
            <v/>
          </cell>
        </row>
        <row r="438">
          <cell r="A438" t="str">
            <v>29183969M</v>
          </cell>
          <cell r="B438" t="str">
            <v>GOMEZ PUCHE, MARIA MAGDALENA</v>
          </cell>
          <cell r="C438" t="str">
            <v>01/07/2019</v>
          </cell>
          <cell r="D438" t="str">
            <v>15/11/2022</v>
          </cell>
          <cell r="E438" t="str">
            <v>10.24</v>
          </cell>
          <cell r="F438" t="str">
            <v>I.U. INVESTIGACION ARQ. Y PATR. HIST.</v>
          </cell>
          <cell r="G438" t="str">
            <v>100</v>
          </cell>
          <cell r="H438" t="str">
            <v/>
          </cell>
          <cell r="I438" t="str">
            <v/>
          </cell>
          <cell r="J438" t="str">
            <v/>
          </cell>
          <cell r="K438" t="str">
            <v/>
          </cell>
          <cell r="L438" t="str">
            <v/>
          </cell>
        </row>
        <row r="439">
          <cell r="A439" t="str">
            <v>30989236W</v>
          </cell>
          <cell r="B439" t="str">
            <v>GISBERT GONZALEZ, JOSE MARIA</v>
          </cell>
          <cell r="C439" t="str">
            <v>12/09/2022</v>
          </cell>
          <cell r="D439" t="str">
            <v>(en blanco)</v>
          </cell>
          <cell r="E439" t="str">
            <v>10.12</v>
          </cell>
          <cell r="F439" t="str">
            <v>I.U. ELECTROQUIMICA</v>
          </cell>
          <cell r="G439" t="str">
            <v>100</v>
          </cell>
          <cell r="H439" t="str">
            <v/>
          </cell>
          <cell r="I439" t="str">
            <v/>
          </cell>
          <cell r="J439" t="str">
            <v/>
          </cell>
          <cell r="K439" t="str">
            <v/>
          </cell>
          <cell r="L439" t="str">
            <v/>
          </cell>
        </row>
        <row r="440">
          <cell r="A440" t="str">
            <v>31251007X</v>
          </cell>
          <cell r="B440" t="str">
            <v>CUENCA ASENSI, SERGIO ANTONIO</v>
          </cell>
          <cell r="C440" t="str">
            <v>26/07/2006</v>
          </cell>
          <cell r="D440" t="str">
            <v>(en blanco)</v>
          </cell>
          <cell r="E440" t="str">
            <v>10.19</v>
          </cell>
          <cell r="F440" t="str">
            <v>I.U. INVESTIGACION INFORMATICA</v>
          </cell>
          <cell r="G440" t="str">
            <v>20</v>
          </cell>
          <cell r="H440" t="str">
            <v/>
          </cell>
          <cell r="I440" t="str">
            <v/>
          </cell>
          <cell r="J440" t="str">
            <v/>
          </cell>
          <cell r="K440" t="str">
            <v/>
          </cell>
          <cell r="L440" t="str">
            <v/>
          </cell>
        </row>
        <row r="441">
          <cell r="A441" t="str">
            <v>31379115P</v>
          </cell>
          <cell r="B441" t="str">
            <v>ABAD CASAL, LORENZO</v>
          </cell>
          <cell r="C441" t="str">
            <v>19/09/2014</v>
          </cell>
          <cell r="D441" t="str">
            <v>(en blanco)</v>
          </cell>
          <cell r="E441" t="str">
            <v>10.24</v>
          </cell>
          <cell r="F441" t="str">
            <v>I.U. INVESTIGACION ARQ. Y PATR. HIST.</v>
          </cell>
          <cell r="G441" t="str">
            <v>80</v>
          </cell>
          <cell r="H441" t="str">
            <v/>
          </cell>
          <cell r="I441" t="str">
            <v/>
          </cell>
          <cell r="J441" t="str">
            <v/>
          </cell>
          <cell r="K441" t="str">
            <v/>
          </cell>
          <cell r="L441" t="str">
            <v/>
          </cell>
        </row>
        <row r="442">
          <cell r="A442" t="str">
            <v>31829328L</v>
          </cell>
          <cell r="B442" t="str">
            <v>RODRIGUEZ MATEO, FRANCISCO</v>
          </cell>
          <cell r="C442" t="str">
            <v>16/11/2018</v>
          </cell>
          <cell r="D442" t="str">
            <v>(en blanco)</v>
          </cell>
          <cell r="E442" t="str">
            <v>10.16</v>
          </cell>
          <cell r="F442" t="str">
            <v>I.M.E.M. RAMON MARGALEF (IMEM)</v>
          </cell>
          <cell r="G442" t="str">
            <v>30</v>
          </cell>
          <cell r="H442" t="str">
            <v/>
          </cell>
          <cell r="I442" t="str">
            <v/>
          </cell>
          <cell r="J442" t="str">
            <v/>
          </cell>
          <cell r="K442" t="str">
            <v/>
          </cell>
          <cell r="L442" t="str">
            <v/>
          </cell>
        </row>
        <row r="443">
          <cell r="A443" t="str">
            <v>31832052Y</v>
          </cell>
          <cell r="B443" t="str">
            <v>BAUTISTA AGUILAR, JOSEFA SUSANA</v>
          </cell>
          <cell r="C443" t="str">
            <v>13/04/2006</v>
          </cell>
          <cell r="D443" t="str">
            <v>(en blanco)</v>
          </cell>
          <cell r="E443" t="str">
            <v>10.16</v>
          </cell>
          <cell r="F443" t="str">
            <v>I.M.E.M. RAMON MARGALEF (IMEM)</v>
          </cell>
          <cell r="G443" t="str">
            <v>30</v>
          </cell>
          <cell r="H443" t="str">
            <v/>
          </cell>
          <cell r="I443" t="str">
            <v/>
          </cell>
          <cell r="J443" t="str">
            <v/>
          </cell>
          <cell r="K443" t="str">
            <v/>
          </cell>
          <cell r="L443" t="str">
            <v/>
          </cell>
        </row>
        <row r="444">
          <cell r="A444" t="str">
            <v>33330450T</v>
          </cell>
          <cell r="B444" t="str">
            <v>SOLLA GULLON, JOSE</v>
          </cell>
          <cell r="C444" t="str">
            <v>09/11/2020</v>
          </cell>
          <cell r="D444" t="str">
            <v>(en blanco)</v>
          </cell>
          <cell r="E444" t="str">
            <v>10.12</v>
          </cell>
          <cell r="F444" t="str">
            <v>I.U. ELECTROQUIMICA</v>
          </cell>
          <cell r="G444" t="str">
            <v>50</v>
          </cell>
          <cell r="H444" t="str">
            <v/>
          </cell>
          <cell r="I444" t="str">
            <v/>
          </cell>
          <cell r="J444" t="str">
            <v/>
          </cell>
          <cell r="K444" t="str">
            <v/>
          </cell>
          <cell r="L444" t="str">
            <v/>
          </cell>
        </row>
        <row r="445">
          <cell r="A445" t="str">
            <v>33364292D</v>
          </cell>
          <cell r="B445" t="str">
            <v>HIDALGO NUÑEZ, MARIA MONTSERRAT</v>
          </cell>
          <cell r="C445" t="str">
            <v>15/10/2010</v>
          </cell>
          <cell r="D445" t="str">
            <v>(en blanco)</v>
          </cell>
          <cell r="E445" t="str">
            <v>10.14</v>
          </cell>
          <cell r="F445" t="str">
            <v>I.U. MATERIALES</v>
          </cell>
          <cell r="G445" t="str">
            <v>50</v>
          </cell>
          <cell r="H445" t="str">
            <v/>
          </cell>
          <cell r="I445" t="str">
            <v/>
          </cell>
          <cell r="J445" t="str">
            <v/>
          </cell>
          <cell r="K445" t="str">
            <v/>
          </cell>
          <cell r="L445" t="str">
            <v/>
          </cell>
        </row>
        <row r="446">
          <cell r="A446" t="str">
            <v>33443060W</v>
          </cell>
          <cell r="B446" t="str">
            <v>LANA VILLARREAL, TERESA</v>
          </cell>
          <cell r="C446" t="str">
            <v>01/03/2006</v>
          </cell>
          <cell r="D446" t="str">
            <v>(en blanco)</v>
          </cell>
          <cell r="E446" t="str">
            <v>10.12</v>
          </cell>
          <cell r="F446" t="str">
            <v>I.U. ELECTROQUIMICA</v>
          </cell>
          <cell r="G446" t="str">
            <v>50</v>
          </cell>
          <cell r="H446" t="str">
            <v/>
          </cell>
          <cell r="I446" t="str">
            <v/>
          </cell>
          <cell r="J446" t="str">
            <v/>
          </cell>
          <cell r="K446" t="str">
            <v/>
          </cell>
          <cell r="L446" t="str">
            <v/>
          </cell>
        </row>
        <row r="447">
          <cell r="A447" t="str">
            <v>33475167R</v>
          </cell>
          <cell r="B447" t="str">
            <v>MORA PASCUAL, JERONIMO MANUEL</v>
          </cell>
          <cell r="C447" t="str">
            <v>26/07/2006</v>
          </cell>
          <cell r="D447" t="str">
            <v>(en blanco)</v>
          </cell>
          <cell r="E447" t="str">
            <v>10.19</v>
          </cell>
          <cell r="F447" t="str">
            <v>I.U. INVESTIGACION INFORMATICA</v>
          </cell>
          <cell r="G447" t="str">
            <v>20</v>
          </cell>
          <cell r="H447" t="str">
            <v>10.25</v>
          </cell>
          <cell r="I447" t="str">
            <v>I.U. INV. ESTUDIOS SOC. AMERICA LATINA</v>
          </cell>
          <cell r="J447" t="str">
            <v>28/09/2016</v>
          </cell>
          <cell r="K447" t="str">
            <v>(en blanco)</v>
          </cell>
          <cell r="L447" t="str">
            <v>10</v>
          </cell>
        </row>
        <row r="448">
          <cell r="A448" t="str">
            <v>33475454N</v>
          </cell>
          <cell r="B448" t="str">
            <v>CASADO DIAZ, JOSE MANUEL</v>
          </cell>
          <cell r="C448" t="str">
            <v>26/07/2006</v>
          </cell>
          <cell r="D448" t="str">
            <v>(en blanco)</v>
          </cell>
          <cell r="E448" t="str">
            <v>10.17</v>
          </cell>
          <cell r="F448" t="str">
            <v>I.U. INVESTIGACIONES TURISTICAS</v>
          </cell>
          <cell r="G448" t="str">
            <v>10</v>
          </cell>
          <cell r="H448" t="str">
            <v>10.06</v>
          </cell>
          <cell r="I448" t="str">
            <v>I.INTERUNIVERSITARIO ECONOMIA INTERNACIO</v>
          </cell>
          <cell r="J448" t="str">
            <v>28/04/2015</v>
          </cell>
          <cell r="K448" t="str">
            <v>(en blanco)</v>
          </cell>
          <cell r="L448" t="str">
            <v>50</v>
          </cell>
        </row>
        <row r="449">
          <cell r="A449" t="str">
            <v>33476663W</v>
          </cell>
          <cell r="B449" t="str">
            <v>FLOREZ REVUELTA, FRANCISCO ASIS</v>
          </cell>
          <cell r="C449" t="str">
            <v>26/07/2006</v>
          </cell>
          <cell r="D449" t="str">
            <v>(en blanco)</v>
          </cell>
          <cell r="E449" t="str">
            <v>10.19</v>
          </cell>
          <cell r="F449" t="str">
            <v>I.U. INVESTIGACION INFORMATICA</v>
          </cell>
          <cell r="G449" t="str">
            <v>20</v>
          </cell>
          <cell r="H449" t="str">
            <v/>
          </cell>
          <cell r="I449" t="str">
            <v/>
          </cell>
          <cell r="J449" t="str">
            <v/>
          </cell>
          <cell r="K449" t="str">
            <v/>
          </cell>
          <cell r="L449" t="str">
            <v/>
          </cell>
        </row>
        <row r="450">
          <cell r="A450" t="str">
            <v>33477513R</v>
          </cell>
          <cell r="B450" t="str">
            <v>NEIPP LOPEZ, CRISTIAN</v>
          </cell>
          <cell r="C450" t="str">
            <v>20/10/2009</v>
          </cell>
          <cell r="D450" t="str">
            <v>(en blanco)</v>
          </cell>
          <cell r="E450" t="str">
            <v>10.20</v>
          </cell>
          <cell r="F450" t="str">
            <v>I.U. FISICA APLICADA A LAS CIENCIAS Y LA</v>
          </cell>
          <cell r="G450" t="str">
            <v>20</v>
          </cell>
          <cell r="H450" t="str">
            <v/>
          </cell>
          <cell r="I450" t="str">
            <v/>
          </cell>
          <cell r="J450" t="str">
            <v/>
          </cell>
          <cell r="K450" t="str">
            <v/>
          </cell>
          <cell r="L450" t="str">
            <v/>
          </cell>
        </row>
        <row r="451">
          <cell r="A451" t="str">
            <v>33478305B</v>
          </cell>
          <cell r="B451" t="str">
            <v>SPAIRANI BERRIO, YOLANDA</v>
          </cell>
          <cell r="C451" t="str">
            <v>08/06/2016</v>
          </cell>
          <cell r="D451" t="str">
            <v>(en blanco)</v>
          </cell>
          <cell r="E451" t="str">
            <v>10.24</v>
          </cell>
          <cell r="F451" t="str">
            <v>I.U. INVESTIGACION ARQ. Y PATR. HIST.</v>
          </cell>
          <cell r="G451" t="str">
            <v>50</v>
          </cell>
          <cell r="H451" t="str">
            <v/>
          </cell>
          <cell r="I451" t="str">
            <v/>
          </cell>
          <cell r="J451" t="str">
            <v/>
          </cell>
          <cell r="K451" t="str">
            <v/>
          </cell>
          <cell r="L451" t="str">
            <v/>
          </cell>
        </row>
        <row r="452">
          <cell r="A452" t="str">
            <v>33480107L</v>
          </cell>
          <cell r="B452" t="str">
            <v>CAMPILLO ALHAMA, CONCEPCION</v>
          </cell>
          <cell r="C452" t="str">
            <v>25/02/2022</v>
          </cell>
          <cell r="D452" t="str">
            <v>(en blanco)</v>
          </cell>
          <cell r="E452" t="str">
            <v>10.25</v>
          </cell>
          <cell r="F452" t="str">
            <v>I.U. INV. ESTUDIOS SOC. AMERICA LATINA</v>
          </cell>
          <cell r="G452" t="str">
            <v>30</v>
          </cell>
          <cell r="H452" t="str">
            <v/>
          </cell>
          <cell r="I452" t="str">
            <v/>
          </cell>
          <cell r="J452" t="str">
            <v/>
          </cell>
          <cell r="K452" t="str">
            <v/>
          </cell>
          <cell r="L452" t="str">
            <v/>
          </cell>
        </row>
        <row r="453">
          <cell r="A453" t="str">
            <v>33481301V</v>
          </cell>
          <cell r="B453" t="str">
            <v>CACHERO CASTRO, CRISTINA</v>
          </cell>
          <cell r="C453" t="str">
            <v>26/07/2006</v>
          </cell>
          <cell r="D453" t="str">
            <v>(en blanco)</v>
          </cell>
          <cell r="E453" t="str">
            <v>10.19</v>
          </cell>
          <cell r="F453" t="str">
            <v>I.U. INVESTIGACION INFORMATICA</v>
          </cell>
          <cell r="G453" t="str">
            <v>20</v>
          </cell>
          <cell r="H453" t="str">
            <v/>
          </cell>
          <cell r="I453" t="str">
            <v/>
          </cell>
          <cell r="J453" t="str">
            <v/>
          </cell>
          <cell r="K453" t="str">
            <v/>
          </cell>
          <cell r="L453" t="str">
            <v/>
          </cell>
        </row>
        <row r="454">
          <cell r="A454" t="str">
            <v>33481428Y</v>
          </cell>
          <cell r="B454" t="str">
            <v>TARI GUILLO, JUAN JOSE</v>
          </cell>
          <cell r="C454" t="str">
            <v>28/09/2011</v>
          </cell>
          <cell r="D454" t="str">
            <v>(en blanco)</v>
          </cell>
          <cell r="E454" t="str">
            <v>10.17</v>
          </cell>
          <cell r="F454" t="str">
            <v>I.U. INVESTIGACIONES TURISTICAS</v>
          </cell>
          <cell r="G454" t="str">
            <v>10</v>
          </cell>
          <cell r="H454" t="str">
            <v/>
          </cell>
          <cell r="I454" t="str">
            <v/>
          </cell>
          <cell r="J454" t="str">
            <v/>
          </cell>
          <cell r="K454" t="str">
            <v/>
          </cell>
          <cell r="L454" t="str">
            <v/>
          </cell>
        </row>
        <row r="455">
          <cell r="A455" t="str">
            <v>33484860B</v>
          </cell>
          <cell r="B455" t="str">
            <v>PERAL CRESPO, AMELIA</v>
          </cell>
          <cell r="C455" t="str">
            <v>28/02/2019</v>
          </cell>
          <cell r="D455" t="str">
            <v>(en blanco)</v>
          </cell>
          <cell r="E455" t="str">
            <v>10.23</v>
          </cell>
          <cell r="F455" t="str">
            <v>I.U. INVESTIGACION ESTUDIOS DE GENERO</v>
          </cell>
          <cell r="G455" t="str">
            <v>20</v>
          </cell>
          <cell r="H455" t="str">
            <v/>
          </cell>
          <cell r="I455" t="str">
            <v/>
          </cell>
          <cell r="J455" t="str">
            <v/>
          </cell>
          <cell r="K455" t="str">
            <v/>
          </cell>
          <cell r="L455" t="str">
            <v/>
          </cell>
        </row>
        <row r="456">
          <cell r="A456" t="str">
            <v>33485105A</v>
          </cell>
          <cell r="B456" t="str">
            <v>SANCHEZ ROMERO, JOSE LUIS</v>
          </cell>
          <cell r="C456" t="str">
            <v>28/05/2009</v>
          </cell>
          <cell r="D456" t="str">
            <v>(en blanco)</v>
          </cell>
          <cell r="E456" t="str">
            <v>10.19</v>
          </cell>
          <cell r="F456" t="str">
            <v>I.U. INVESTIGACION INFORMATICA</v>
          </cell>
          <cell r="G456" t="str">
            <v>20</v>
          </cell>
          <cell r="H456" t="str">
            <v/>
          </cell>
          <cell r="I456" t="str">
            <v/>
          </cell>
          <cell r="J456" t="str">
            <v/>
          </cell>
          <cell r="K456" t="str">
            <v/>
          </cell>
          <cell r="L456" t="str">
            <v/>
          </cell>
        </row>
        <row r="457">
          <cell r="A457" t="str">
            <v>33485113B</v>
          </cell>
          <cell r="B457" t="str">
            <v>MARTIN LLAGUNO, MARTA</v>
          </cell>
          <cell r="C457" t="str">
            <v>12/09/2014</v>
          </cell>
          <cell r="D457" t="str">
            <v>(en blanco)</v>
          </cell>
          <cell r="E457" t="str">
            <v>10.23</v>
          </cell>
          <cell r="F457" t="str">
            <v>I.U. INVESTIGACION ESTUDIOS DE GENERO</v>
          </cell>
          <cell r="G457" t="str">
            <v>30</v>
          </cell>
          <cell r="H457" t="str">
            <v/>
          </cell>
          <cell r="I457" t="str">
            <v/>
          </cell>
          <cell r="J457" t="str">
            <v/>
          </cell>
          <cell r="K457" t="str">
            <v/>
          </cell>
          <cell r="L457" t="str">
            <v/>
          </cell>
        </row>
        <row r="458">
          <cell r="A458" t="str">
            <v>33485422K</v>
          </cell>
          <cell r="B458" t="str">
            <v>PEREZ SANCHEZ, JUAN CARLOS</v>
          </cell>
          <cell r="C458" t="str">
            <v>08/03/2021</v>
          </cell>
          <cell r="D458" t="str">
            <v>(en blanco)</v>
          </cell>
          <cell r="E458" t="str">
            <v>10.25</v>
          </cell>
          <cell r="F458" t="str">
            <v>I.U. INV. ESTUDIOS SOC. AMERICA LATINA</v>
          </cell>
          <cell r="G458" t="str">
            <v>10</v>
          </cell>
          <cell r="H458" t="str">
            <v/>
          </cell>
          <cell r="I458" t="str">
            <v/>
          </cell>
          <cell r="J458" t="str">
            <v/>
          </cell>
          <cell r="K458" t="str">
            <v/>
          </cell>
          <cell r="L458" t="str">
            <v/>
          </cell>
        </row>
        <row r="459">
          <cell r="A459" t="str">
            <v>33486204K</v>
          </cell>
          <cell r="B459" t="str">
            <v>MARTINEZ GINER, LUIS ALFONSO</v>
          </cell>
          <cell r="C459" t="str">
            <v>19/01/2021</v>
          </cell>
          <cell r="D459" t="str">
            <v>(en blanco)</v>
          </cell>
          <cell r="E459" t="str">
            <v>10.06</v>
          </cell>
          <cell r="F459" t="str">
            <v>I.INTERUNIVERSITARIO ECONOMIA INTERNACIO</v>
          </cell>
          <cell r="G459" t="str">
            <v>25</v>
          </cell>
          <cell r="H459" t="str">
            <v/>
          </cell>
          <cell r="I459" t="str">
            <v/>
          </cell>
          <cell r="J459" t="str">
            <v/>
          </cell>
          <cell r="K459" t="str">
            <v/>
          </cell>
          <cell r="L459" t="str">
            <v/>
          </cell>
        </row>
        <row r="460">
          <cell r="A460" t="str">
            <v>33486240B</v>
          </cell>
          <cell r="B460" t="str">
            <v>REQUENA CASANOVA, MILLAN</v>
          </cell>
          <cell r="C460" t="str">
            <v>28/09/2016</v>
          </cell>
          <cell r="D460" t="str">
            <v>(en blanco)</v>
          </cell>
          <cell r="E460" t="str">
            <v>10.25</v>
          </cell>
          <cell r="F460" t="str">
            <v>I.U. INV. ESTUDIOS SOC. AMERICA LATINA</v>
          </cell>
          <cell r="G460" t="str">
            <v>50</v>
          </cell>
          <cell r="H460" t="str">
            <v/>
          </cell>
          <cell r="I460" t="str">
            <v/>
          </cell>
          <cell r="J460" t="str">
            <v/>
          </cell>
          <cell r="K460" t="str">
            <v/>
          </cell>
          <cell r="L460" t="str">
            <v/>
          </cell>
        </row>
        <row r="461">
          <cell r="A461" t="str">
            <v>33487725R</v>
          </cell>
          <cell r="B461" t="str">
            <v>ESQUEMBRE CERDA, MARIA DEL MAR</v>
          </cell>
          <cell r="C461" t="str">
            <v>01/02/2021</v>
          </cell>
          <cell r="D461" t="str">
            <v>(en blanco)</v>
          </cell>
          <cell r="E461" t="str">
            <v>10.23</v>
          </cell>
          <cell r="F461" t="str">
            <v>I.U. INVESTIGACION ESTUDIOS DE GENERO</v>
          </cell>
          <cell r="G461" t="str">
            <v>60</v>
          </cell>
          <cell r="H461" t="str">
            <v/>
          </cell>
          <cell r="I461" t="str">
            <v/>
          </cell>
          <cell r="J461" t="str">
            <v/>
          </cell>
          <cell r="K461" t="str">
            <v/>
          </cell>
          <cell r="L461" t="str">
            <v/>
          </cell>
        </row>
        <row r="462">
          <cell r="A462" t="str">
            <v>33489374V</v>
          </cell>
          <cell r="B462" t="str">
            <v>MORA MORA, HIGINIO</v>
          </cell>
          <cell r="C462" t="str">
            <v>26/07/2006</v>
          </cell>
          <cell r="D462" t="str">
            <v>(en blanco)</v>
          </cell>
          <cell r="E462" t="str">
            <v>10.19</v>
          </cell>
          <cell r="F462" t="str">
            <v>I.U. INVESTIGACION INFORMATICA</v>
          </cell>
          <cell r="G462" t="str">
            <v>20</v>
          </cell>
          <cell r="H462" t="str">
            <v/>
          </cell>
          <cell r="I462" t="str">
            <v/>
          </cell>
          <cell r="J462" t="str">
            <v/>
          </cell>
          <cell r="K462" t="str">
            <v/>
          </cell>
          <cell r="L462" t="str">
            <v/>
          </cell>
        </row>
        <row r="463">
          <cell r="A463" t="str">
            <v>33490890S</v>
          </cell>
          <cell r="B463" t="str">
            <v>ALMODOVAR IÑESTA, MARIA</v>
          </cell>
          <cell r="C463" t="str">
            <v>20/12/2012</v>
          </cell>
          <cell r="D463" t="str">
            <v>(en blanco)</v>
          </cell>
          <cell r="E463" t="str">
            <v>10.05</v>
          </cell>
          <cell r="F463" t="str">
            <v>I.U. AGUA Y CIENCIAS AMBIENTALES</v>
          </cell>
          <cell r="G463" t="str">
            <v>10</v>
          </cell>
          <cell r="H463" t="str">
            <v/>
          </cell>
          <cell r="I463" t="str">
            <v/>
          </cell>
          <cell r="J463" t="str">
            <v/>
          </cell>
          <cell r="K463" t="str">
            <v/>
          </cell>
          <cell r="L463" t="str">
            <v/>
          </cell>
        </row>
        <row r="464">
          <cell r="A464" t="str">
            <v>33491634T</v>
          </cell>
          <cell r="B464" t="str">
            <v>MARCOS JORQUERA, DIEGO</v>
          </cell>
          <cell r="C464" t="str">
            <v>13/10/2011</v>
          </cell>
          <cell r="D464" t="str">
            <v>(en blanco)</v>
          </cell>
          <cell r="E464" t="str">
            <v>10.19</v>
          </cell>
          <cell r="F464" t="str">
            <v>I.U. INVESTIGACION INFORMATICA</v>
          </cell>
          <cell r="G464" t="str">
            <v>20</v>
          </cell>
          <cell r="H464" t="str">
            <v/>
          </cell>
          <cell r="I464" t="str">
            <v/>
          </cell>
          <cell r="J464" t="str">
            <v/>
          </cell>
          <cell r="K464" t="str">
            <v/>
          </cell>
          <cell r="L464" t="str">
            <v/>
          </cell>
        </row>
        <row r="465">
          <cell r="A465" t="str">
            <v>33491671Z</v>
          </cell>
          <cell r="B465" t="str">
            <v>MAS CANDELA, DAVID SALVADOR</v>
          </cell>
          <cell r="C465" t="str">
            <v>31/01/2018</v>
          </cell>
          <cell r="D465" t="str">
            <v>(en blanco)</v>
          </cell>
          <cell r="E465" t="str">
            <v>10.20</v>
          </cell>
          <cell r="F465" t="str">
            <v>I.U. FISICA APLICADA A LAS CIENCIAS Y LA</v>
          </cell>
          <cell r="G465" t="str">
            <v>50</v>
          </cell>
          <cell r="H465" t="str">
            <v/>
          </cell>
          <cell r="I465" t="str">
            <v/>
          </cell>
          <cell r="J465" t="str">
            <v/>
          </cell>
          <cell r="K465" t="str">
            <v/>
          </cell>
          <cell r="L465" t="str">
            <v/>
          </cell>
        </row>
        <row r="466">
          <cell r="A466" t="str">
            <v>33492585P</v>
          </cell>
          <cell r="B466" t="str">
            <v>MONTILLA JIMENEZ, FRANCISCO</v>
          </cell>
          <cell r="C466" t="str">
            <v>03/11/2020</v>
          </cell>
          <cell r="D466" t="str">
            <v>(en blanco)</v>
          </cell>
          <cell r="E466" t="str">
            <v>10.14</v>
          </cell>
          <cell r="F466" t="str">
            <v>I.U. MATERIALES</v>
          </cell>
          <cell r="G466" t="str">
            <v>20</v>
          </cell>
          <cell r="H466" t="str">
            <v/>
          </cell>
          <cell r="I466" t="str">
            <v/>
          </cell>
          <cell r="J466" t="str">
            <v/>
          </cell>
          <cell r="K466" t="str">
            <v/>
          </cell>
          <cell r="L466" t="str">
            <v/>
          </cell>
        </row>
        <row r="467">
          <cell r="A467" t="str">
            <v>33492959Z</v>
          </cell>
          <cell r="B467" t="str">
            <v>BLEDA PEREZ, SERGIO</v>
          </cell>
          <cell r="C467" t="str">
            <v>11/03/2010</v>
          </cell>
          <cell r="D467" t="str">
            <v>(en blanco)</v>
          </cell>
          <cell r="E467" t="str">
            <v>10.20</v>
          </cell>
          <cell r="F467" t="str">
            <v>I.U. FISICA APLICADA A LAS CIENCIAS Y LA</v>
          </cell>
          <cell r="G467" t="str">
            <v>20</v>
          </cell>
          <cell r="H467" t="str">
            <v/>
          </cell>
          <cell r="I467" t="str">
            <v/>
          </cell>
          <cell r="J467" t="str">
            <v/>
          </cell>
          <cell r="K467" t="str">
            <v/>
          </cell>
          <cell r="L467" t="str">
            <v/>
          </cell>
        </row>
        <row r="468">
          <cell r="A468" t="str">
            <v>33492987L</v>
          </cell>
          <cell r="B468" t="str">
            <v>GIL GONZALEZ, DIANA MARIA</v>
          </cell>
          <cell r="C468" t="str">
            <v>29/07/2020</v>
          </cell>
          <cell r="D468" t="str">
            <v>(en blanco)</v>
          </cell>
          <cell r="E468" t="str">
            <v>10.23</v>
          </cell>
          <cell r="F468" t="str">
            <v>I.U. INVESTIGACION ESTUDIOS DE GENERO</v>
          </cell>
          <cell r="G468" t="str">
            <v>20</v>
          </cell>
          <cell r="H468" t="str">
            <v/>
          </cell>
          <cell r="I468" t="str">
            <v/>
          </cell>
          <cell r="J468" t="str">
            <v/>
          </cell>
          <cell r="K468" t="str">
            <v/>
          </cell>
          <cell r="L468" t="str">
            <v/>
          </cell>
        </row>
        <row r="469">
          <cell r="A469" t="str">
            <v>33493609C</v>
          </cell>
          <cell r="B469" t="str">
            <v>CALZADO ESTEPA, EVA MARIA</v>
          </cell>
          <cell r="C469" t="str">
            <v>25/05/2010</v>
          </cell>
          <cell r="D469" t="str">
            <v>(en blanco)</v>
          </cell>
          <cell r="E469" t="str">
            <v>10.20</v>
          </cell>
          <cell r="F469" t="str">
            <v>I.U. FISICA APLICADA A LAS CIENCIAS Y LA</v>
          </cell>
          <cell r="G469" t="str">
            <v>20</v>
          </cell>
          <cell r="H469" t="str">
            <v/>
          </cell>
          <cell r="I469" t="str">
            <v/>
          </cell>
          <cell r="J469" t="str">
            <v/>
          </cell>
          <cell r="K469" t="str">
            <v/>
          </cell>
          <cell r="L469" t="str">
            <v/>
          </cell>
        </row>
        <row r="470">
          <cell r="A470" t="str">
            <v>33495154R</v>
          </cell>
          <cell r="B470" t="str">
            <v>PASCUAL VILLALOBOS, CAROLINA</v>
          </cell>
          <cell r="C470" t="str">
            <v>11/03/2010</v>
          </cell>
          <cell r="D470" t="str">
            <v>(en blanco)</v>
          </cell>
          <cell r="E470" t="str">
            <v>10.20</v>
          </cell>
          <cell r="F470" t="str">
            <v>I.U. FISICA APLICADA A LAS CIENCIAS Y LA</v>
          </cell>
          <cell r="G470" t="str">
            <v>20</v>
          </cell>
          <cell r="H470" t="str">
            <v/>
          </cell>
          <cell r="I470" t="str">
            <v/>
          </cell>
          <cell r="J470" t="str">
            <v/>
          </cell>
          <cell r="K470" t="str">
            <v/>
          </cell>
          <cell r="L470" t="str">
            <v/>
          </cell>
        </row>
        <row r="471">
          <cell r="A471" t="str">
            <v>33495335K</v>
          </cell>
          <cell r="B471" t="str">
            <v>PERTUSA ORTEGA, EVA MARIA</v>
          </cell>
          <cell r="C471" t="str">
            <v>22/12/2021</v>
          </cell>
          <cell r="D471" t="str">
            <v>(en blanco)</v>
          </cell>
          <cell r="E471" t="str">
            <v>10.17</v>
          </cell>
          <cell r="F471" t="str">
            <v>I.U. INVESTIGACIONES TURISTICAS</v>
          </cell>
          <cell r="G471" t="str">
            <v>10</v>
          </cell>
          <cell r="H471" t="str">
            <v/>
          </cell>
          <cell r="I471" t="str">
            <v/>
          </cell>
          <cell r="J471" t="str">
            <v/>
          </cell>
          <cell r="K471" t="str">
            <v/>
          </cell>
          <cell r="L471" t="str">
            <v/>
          </cell>
        </row>
        <row r="472">
          <cell r="A472" t="str">
            <v>33496411Q</v>
          </cell>
          <cell r="B472" t="str">
            <v>FERNANDEZ JAEN, JORGE</v>
          </cell>
          <cell r="C472" t="str">
            <v>17/01/2018</v>
          </cell>
          <cell r="D472" t="str">
            <v>(en blanco)</v>
          </cell>
          <cell r="E472" t="str">
            <v>10.25</v>
          </cell>
          <cell r="F472" t="str">
            <v>I.U. INV. ESTUDIOS SOC. AMERICA LATINA</v>
          </cell>
          <cell r="G472" t="str">
            <v>30</v>
          </cell>
          <cell r="H472" t="str">
            <v/>
          </cell>
          <cell r="I472" t="str">
            <v/>
          </cell>
          <cell r="J472" t="str">
            <v/>
          </cell>
          <cell r="K472" t="str">
            <v/>
          </cell>
          <cell r="L472" t="str">
            <v/>
          </cell>
        </row>
        <row r="473">
          <cell r="A473" t="str">
            <v>34804871Y</v>
          </cell>
          <cell r="B473" t="str">
            <v>SANCHEZ SANCHEZ, ANTONIO</v>
          </cell>
          <cell r="C473" t="str">
            <v>26/11/2014</v>
          </cell>
          <cell r="D473" t="str">
            <v>(en blanco)</v>
          </cell>
          <cell r="E473" t="str">
            <v>10.13</v>
          </cell>
          <cell r="F473" t="str">
            <v>I.U. INVESTIGACION - CIBIO</v>
          </cell>
          <cell r="G473" t="str">
            <v>50</v>
          </cell>
          <cell r="H473" t="str">
            <v/>
          </cell>
          <cell r="I473" t="str">
            <v/>
          </cell>
          <cell r="J473" t="str">
            <v/>
          </cell>
          <cell r="K473" t="str">
            <v/>
          </cell>
          <cell r="L473" t="str">
            <v/>
          </cell>
        </row>
        <row r="474">
          <cell r="A474" t="str">
            <v>34819244G</v>
          </cell>
          <cell r="B474" t="str">
            <v>PARRA MARTINEZ, JOSE</v>
          </cell>
          <cell r="C474" t="str">
            <v>27/01/2022</v>
          </cell>
          <cell r="D474" t="str">
            <v>(en blanco)</v>
          </cell>
          <cell r="E474" t="str">
            <v>10.23</v>
          </cell>
          <cell r="F474" t="str">
            <v>I.U. INVESTIGACION ESTUDIOS DE GENERO</v>
          </cell>
          <cell r="G474" t="str">
            <v>50</v>
          </cell>
          <cell r="H474" t="str">
            <v/>
          </cell>
          <cell r="I474" t="str">
            <v/>
          </cell>
          <cell r="J474" t="str">
            <v/>
          </cell>
          <cell r="K474" t="str">
            <v/>
          </cell>
          <cell r="L474" t="str">
            <v/>
          </cell>
        </row>
        <row r="475">
          <cell r="A475" t="str">
            <v>34829970N</v>
          </cell>
          <cell r="B475" t="str">
            <v>GOMEZ GONZALEZ-JOVER, ADELINA</v>
          </cell>
          <cell r="C475" t="str">
            <v>21/12/2009</v>
          </cell>
          <cell r="D475" t="str">
            <v>(en blanco)</v>
          </cell>
          <cell r="E475" t="str">
            <v>10.15</v>
          </cell>
          <cell r="F475" t="str">
            <v>I.INTERUNIV. LENGUAS MODERNAS APLICADAS</v>
          </cell>
          <cell r="G475" t="str">
            <v>15</v>
          </cell>
          <cell r="H475" t="str">
            <v/>
          </cell>
          <cell r="I475" t="str">
            <v/>
          </cell>
          <cell r="J475" t="str">
            <v/>
          </cell>
          <cell r="K475" t="str">
            <v/>
          </cell>
          <cell r="L475" t="str">
            <v/>
          </cell>
        </row>
        <row r="476">
          <cell r="A476" t="str">
            <v>34895192Y</v>
          </cell>
          <cell r="B476" t="str">
            <v>LOPEZ ROPERO, MARIA LOURDES</v>
          </cell>
          <cell r="C476" t="str">
            <v>10/10/2011</v>
          </cell>
          <cell r="D476" t="str">
            <v>(en blanco)</v>
          </cell>
          <cell r="E476" t="str">
            <v>10.15</v>
          </cell>
          <cell r="F476" t="str">
            <v>I.INTERUNIV. LENGUAS MODERNAS APLICADAS</v>
          </cell>
          <cell r="G476" t="str">
            <v>10</v>
          </cell>
          <cell r="H476" t="str">
            <v/>
          </cell>
          <cell r="I476" t="str">
            <v/>
          </cell>
          <cell r="J476" t="str">
            <v/>
          </cell>
          <cell r="K476" t="str">
            <v/>
          </cell>
          <cell r="L476" t="str">
            <v/>
          </cell>
        </row>
        <row r="477">
          <cell r="A477" t="str">
            <v>35004437R</v>
          </cell>
          <cell r="B477" t="str">
            <v>BONET JORNET, ANDRES</v>
          </cell>
          <cell r="C477" t="str">
            <v>24/07/2014</v>
          </cell>
          <cell r="D477" t="str">
            <v>(en blanco)</v>
          </cell>
          <cell r="E477" t="str">
            <v>10.16</v>
          </cell>
          <cell r="F477" t="str">
            <v>I.M.E.M. RAMON MARGALEF (IMEM)</v>
          </cell>
          <cell r="G477" t="str">
            <v>20</v>
          </cell>
          <cell r="H477" t="str">
            <v/>
          </cell>
          <cell r="I477" t="str">
            <v/>
          </cell>
          <cell r="J477" t="str">
            <v/>
          </cell>
          <cell r="K477" t="str">
            <v/>
          </cell>
          <cell r="L477" t="str">
            <v/>
          </cell>
        </row>
        <row r="478">
          <cell r="A478" t="str">
            <v>35052669W</v>
          </cell>
          <cell r="B478" t="str">
            <v>CORTINA I SEGARRA, JORDI</v>
          </cell>
          <cell r="C478" t="str">
            <v>13/04/2006</v>
          </cell>
          <cell r="D478" t="str">
            <v>(en blanco)</v>
          </cell>
          <cell r="E478" t="str">
            <v>10.16</v>
          </cell>
          <cell r="F478" t="str">
            <v>I.M.E.M. RAMON MARGALEF (IMEM)</v>
          </cell>
          <cell r="G478" t="str">
            <v>50</v>
          </cell>
          <cell r="H478" t="str">
            <v/>
          </cell>
          <cell r="I478" t="str">
            <v/>
          </cell>
          <cell r="J478" t="str">
            <v/>
          </cell>
          <cell r="K478" t="str">
            <v/>
          </cell>
          <cell r="L478" t="str">
            <v/>
          </cell>
        </row>
        <row r="479">
          <cell r="A479" t="str">
            <v>36565677R</v>
          </cell>
          <cell r="B479" t="str">
            <v>MARCILLAS PIQUER, ISABEL</v>
          </cell>
          <cell r="C479" t="str">
            <v>27/01/2022</v>
          </cell>
          <cell r="D479" t="str">
            <v>(en blanco)</v>
          </cell>
          <cell r="E479" t="str">
            <v>10.23</v>
          </cell>
          <cell r="F479" t="str">
            <v>I.U. INVESTIGACION ESTUDIOS DE GENERO</v>
          </cell>
          <cell r="G479" t="str">
            <v>20</v>
          </cell>
          <cell r="H479" t="str">
            <v/>
          </cell>
          <cell r="I479" t="str">
            <v/>
          </cell>
          <cell r="J479" t="str">
            <v/>
          </cell>
          <cell r="K479" t="str">
            <v/>
          </cell>
          <cell r="L479" t="str">
            <v/>
          </cell>
        </row>
        <row r="480">
          <cell r="A480" t="str">
            <v>40529346B</v>
          </cell>
          <cell r="B480" t="str">
            <v>FONFRIA SUBIROS, EVA</v>
          </cell>
          <cell r="C480" t="str">
            <v>20/05/2022</v>
          </cell>
          <cell r="D480" t="str">
            <v>19/05/2023</v>
          </cell>
          <cell r="E480" t="str">
            <v>10.16</v>
          </cell>
          <cell r="F480" t="str">
            <v>I.M.E.M. RAMON MARGALEF (IMEM)</v>
          </cell>
          <cell r="G480" t="str">
            <v>100</v>
          </cell>
          <cell r="H480" t="str">
            <v/>
          </cell>
          <cell r="I480" t="str">
            <v/>
          </cell>
          <cell r="J480" t="str">
            <v/>
          </cell>
          <cell r="K480" t="str">
            <v/>
          </cell>
          <cell r="L480" t="str">
            <v/>
          </cell>
        </row>
        <row r="481">
          <cell r="A481" t="str">
            <v>43727316S</v>
          </cell>
          <cell r="B481" t="str">
            <v>GRAELLS FABREGAT, RAIMON</v>
          </cell>
          <cell r="C481" t="str">
            <v>30/07/2020</v>
          </cell>
          <cell r="D481" t="str">
            <v>(en blanco)</v>
          </cell>
          <cell r="E481" t="str">
            <v>10.24</v>
          </cell>
          <cell r="F481" t="str">
            <v>I.U. INVESTIGACION ARQ. Y PATR. HIST.</v>
          </cell>
          <cell r="G481" t="str">
            <v>80</v>
          </cell>
          <cell r="H481" t="str">
            <v/>
          </cell>
          <cell r="I481" t="str">
            <v/>
          </cell>
          <cell r="J481" t="str">
            <v/>
          </cell>
          <cell r="K481" t="str">
            <v/>
          </cell>
          <cell r="L481" t="str">
            <v/>
          </cell>
        </row>
        <row r="482">
          <cell r="A482" t="str">
            <v>44554016A</v>
          </cell>
          <cell r="B482" t="str">
            <v>GARMENDIA LOPEZ, IDOIA</v>
          </cell>
          <cell r="C482" t="str">
            <v>01/10/2008</v>
          </cell>
          <cell r="D482" t="str">
            <v>(en blanco)</v>
          </cell>
          <cell r="E482" t="str">
            <v>10.05</v>
          </cell>
          <cell r="F482" t="str">
            <v>I.U. AGUA Y CIENCIAS AMBIENTALES</v>
          </cell>
          <cell r="G482" t="str">
            <v>10</v>
          </cell>
          <cell r="H482" t="str">
            <v>10.16</v>
          </cell>
          <cell r="I482" t="str">
            <v>I.M.E.M. RAMON MARGALEF (IMEM)</v>
          </cell>
          <cell r="J482" t="str">
            <v>27/05/2015</v>
          </cell>
          <cell r="K482" t="str">
            <v>(en blanco)</v>
          </cell>
          <cell r="L482" t="str">
            <v>20</v>
          </cell>
        </row>
        <row r="483">
          <cell r="A483" t="str">
            <v>44752168X</v>
          </cell>
          <cell r="B483" t="str">
            <v>ALVARADO ORTEGA, MARIA BELEN</v>
          </cell>
          <cell r="C483" t="str">
            <v>14/01/2020</v>
          </cell>
          <cell r="D483" t="str">
            <v>(en blanco)</v>
          </cell>
          <cell r="E483" t="str">
            <v>10.25</v>
          </cell>
          <cell r="F483" t="str">
            <v>I.U. INV. ESTUDIOS SOC. AMERICA LATINA</v>
          </cell>
          <cell r="G483" t="str">
            <v>10</v>
          </cell>
          <cell r="H483" t="str">
            <v>10.23</v>
          </cell>
          <cell r="I483" t="str">
            <v>I.U. INVESTIGACION ESTUDIOS DE GENERO</v>
          </cell>
          <cell r="J483" t="str">
            <v>29/07/2020</v>
          </cell>
          <cell r="K483" t="str">
            <v>(en blanco)</v>
          </cell>
          <cell r="L483" t="str">
            <v>20</v>
          </cell>
        </row>
        <row r="484">
          <cell r="A484" t="str">
            <v>44752524K</v>
          </cell>
          <cell r="B484" t="str">
            <v>PUJOL LOPEZ, FRANCISCO ANTONIO</v>
          </cell>
          <cell r="C484" t="str">
            <v>26/07/2006</v>
          </cell>
          <cell r="D484" t="str">
            <v>(en blanco)</v>
          </cell>
          <cell r="E484" t="str">
            <v>10.19</v>
          </cell>
          <cell r="F484" t="str">
            <v>I.U. INVESTIGACION INFORMATICA</v>
          </cell>
          <cell r="G484" t="str">
            <v>20</v>
          </cell>
          <cell r="H484" t="str">
            <v/>
          </cell>
          <cell r="I484" t="str">
            <v/>
          </cell>
          <cell r="J484" t="str">
            <v/>
          </cell>
          <cell r="K484" t="str">
            <v/>
          </cell>
          <cell r="L484" t="str">
            <v/>
          </cell>
        </row>
        <row r="485">
          <cell r="A485" t="str">
            <v>44753914P</v>
          </cell>
          <cell r="B485" t="str">
            <v>MAESTRE GIL, FERNANDO TOMAS</v>
          </cell>
          <cell r="C485" t="str">
            <v>28/04/2020</v>
          </cell>
          <cell r="D485" t="str">
            <v>(en blanco)</v>
          </cell>
          <cell r="E485" t="str">
            <v>10.16</v>
          </cell>
          <cell r="F485" t="str">
            <v>I.M.E.M. RAMON MARGALEF (IMEM)</v>
          </cell>
          <cell r="G485" t="str">
            <v>90</v>
          </cell>
          <cell r="H485" t="str">
            <v/>
          </cell>
          <cell r="I485" t="str">
            <v/>
          </cell>
          <cell r="J485" t="str">
            <v/>
          </cell>
          <cell r="K485" t="str">
            <v/>
          </cell>
          <cell r="L485" t="str">
            <v/>
          </cell>
        </row>
        <row r="486">
          <cell r="A486" t="str">
            <v>44754725Z</v>
          </cell>
          <cell r="B486" t="str">
            <v>MARTINEZ ESPINOSA, ROSA MARIA</v>
          </cell>
          <cell r="C486" t="str">
            <v>25/10/2019</v>
          </cell>
          <cell r="D486" t="str">
            <v>(en blanco)</v>
          </cell>
          <cell r="E486" t="str">
            <v>10.16</v>
          </cell>
          <cell r="F486" t="str">
            <v>I.M.E.M. RAMON MARGALEF (IMEM)</v>
          </cell>
          <cell r="G486" t="str">
            <v>50</v>
          </cell>
          <cell r="H486" t="str">
            <v/>
          </cell>
          <cell r="I486" t="str">
            <v/>
          </cell>
          <cell r="J486" t="str">
            <v/>
          </cell>
          <cell r="K486" t="str">
            <v/>
          </cell>
          <cell r="L486" t="str">
            <v/>
          </cell>
        </row>
        <row r="487">
          <cell r="A487" t="str">
            <v>44757440S</v>
          </cell>
          <cell r="B487" t="str">
            <v>PONSODA LOPEZ DE ATALAYA, SANTIAGO</v>
          </cell>
          <cell r="C487" t="str">
            <v>08/07/2019</v>
          </cell>
          <cell r="D487" t="str">
            <v>(en blanco)</v>
          </cell>
          <cell r="E487" t="str">
            <v>10.25</v>
          </cell>
          <cell r="F487" t="str">
            <v>I.U. INV. ESTUDIOS SOC. AMERICA LATINA</v>
          </cell>
          <cell r="G487" t="str">
            <v>30</v>
          </cell>
          <cell r="H487" t="str">
            <v/>
          </cell>
          <cell r="I487" t="str">
            <v/>
          </cell>
          <cell r="J487" t="str">
            <v/>
          </cell>
          <cell r="K487" t="str">
            <v/>
          </cell>
          <cell r="L487" t="str">
            <v/>
          </cell>
        </row>
        <row r="488">
          <cell r="A488" t="str">
            <v>44759120Q</v>
          </cell>
          <cell r="B488" t="str">
            <v>TOMAS DIAZ, DAVID</v>
          </cell>
          <cell r="C488" t="str">
            <v>21/01/2010</v>
          </cell>
          <cell r="D488" t="str">
            <v>(en blanco)</v>
          </cell>
          <cell r="E488" t="str">
            <v>10.19</v>
          </cell>
          <cell r="F488" t="str">
            <v>I.U. INVESTIGACION INFORMATICA</v>
          </cell>
          <cell r="G488" t="str">
            <v>20</v>
          </cell>
          <cell r="H488" t="str">
            <v/>
          </cell>
          <cell r="I488" t="str">
            <v/>
          </cell>
          <cell r="J488" t="str">
            <v/>
          </cell>
          <cell r="K488" t="str">
            <v/>
          </cell>
          <cell r="L488" t="str">
            <v/>
          </cell>
        </row>
        <row r="489">
          <cell r="A489" t="str">
            <v>44761485N</v>
          </cell>
          <cell r="B489" t="str">
            <v>HERRERO HERRERO, MARIA ANGELES</v>
          </cell>
          <cell r="C489" t="str">
            <v>12/07/2022</v>
          </cell>
          <cell r="D489" t="str">
            <v>(en blanco)</v>
          </cell>
          <cell r="E489" t="str">
            <v>10.23</v>
          </cell>
          <cell r="F489" t="str">
            <v>I.U. INVESTIGACION ESTUDIOS DE GENERO</v>
          </cell>
          <cell r="G489" t="str">
            <v>30</v>
          </cell>
          <cell r="H489" t="str">
            <v/>
          </cell>
          <cell r="I489" t="str">
            <v/>
          </cell>
          <cell r="J489" t="str">
            <v/>
          </cell>
          <cell r="K489" t="str">
            <v/>
          </cell>
          <cell r="L489" t="str">
            <v/>
          </cell>
        </row>
        <row r="490">
          <cell r="A490" t="str">
            <v>44762540D</v>
          </cell>
          <cell r="B490" t="str">
            <v>VAZQUEZ PEREZ, SONIA</v>
          </cell>
          <cell r="C490" t="str">
            <v>01/10/2010</v>
          </cell>
          <cell r="D490" t="str">
            <v>(en blanco)</v>
          </cell>
          <cell r="E490" t="str">
            <v>10.19</v>
          </cell>
          <cell r="F490" t="str">
            <v>I.U. INVESTIGACION INFORMATICA</v>
          </cell>
          <cell r="G490" t="str">
            <v>20</v>
          </cell>
          <cell r="H490" t="str">
            <v/>
          </cell>
          <cell r="I490" t="str">
            <v/>
          </cell>
          <cell r="J490" t="str">
            <v/>
          </cell>
          <cell r="K490" t="str">
            <v/>
          </cell>
          <cell r="L490" t="str">
            <v/>
          </cell>
        </row>
        <row r="491">
          <cell r="A491" t="str">
            <v>44765640G</v>
          </cell>
          <cell r="B491" t="str">
            <v>SOLER MILLA, JUAN LEONARDO</v>
          </cell>
          <cell r="C491" t="str">
            <v>11/02/2021</v>
          </cell>
          <cell r="D491" t="str">
            <v>(en blanco)</v>
          </cell>
          <cell r="E491" t="str">
            <v>10.25</v>
          </cell>
          <cell r="F491" t="str">
            <v>I.U. INV. ESTUDIOS SOC. AMERICA LATINA</v>
          </cell>
          <cell r="G491" t="str">
            <v>30</v>
          </cell>
          <cell r="H491" t="str">
            <v/>
          </cell>
          <cell r="I491" t="str">
            <v/>
          </cell>
          <cell r="J491" t="str">
            <v/>
          </cell>
          <cell r="K491" t="str">
            <v/>
          </cell>
          <cell r="L491" t="str">
            <v/>
          </cell>
        </row>
        <row r="492">
          <cell r="A492" t="str">
            <v>44766117K</v>
          </cell>
          <cell r="B492" t="str">
            <v>VIDAL MARTINEZ, LORENA</v>
          </cell>
          <cell r="C492" t="str">
            <v>23/01/2013</v>
          </cell>
          <cell r="D492" t="str">
            <v>(en blanco)</v>
          </cell>
          <cell r="E492" t="str">
            <v>10.14</v>
          </cell>
          <cell r="F492" t="str">
            <v>I.U. MATERIALES</v>
          </cell>
          <cell r="G492" t="str">
            <v>20</v>
          </cell>
          <cell r="H492" t="str">
            <v/>
          </cell>
          <cell r="I492" t="str">
            <v/>
          </cell>
          <cell r="J492" t="str">
            <v/>
          </cell>
          <cell r="K492" t="str">
            <v/>
          </cell>
          <cell r="L492" t="str">
            <v/>
          </cell>
        </row>
        <row r="493">
          <cell r="A493" t="str">
            <v>44766559A</v>
          </cell>
          <cell r="B493" t="str">
            <v>ORTIZ NOGUERA, GUADALUPE</v>
          </cell>
          <cell r="C493" t="str">
            <v>25/02/2020</v>
          </cell>
          <cell r="D493" t="str">
            <v>(en blanco)</v>
          </cell>
          <cell r="E493" t="str">
            <v>10.05</v>
          </cell>
          <cell r="F493" t="str">
            <v>I.U. AGUA Y CIENCIAS AMBIENTALES</v>
          </cell>
          <cell r="G493" t="str">
            <v>20</v>
          </cell>
          <cell r="H493" t="str">
            <v>10.17</v>
          </cell>
          <cell r="I493" t="str">
            <v>I.U. INVESTIGACIONES TURISTICAS</v>
          </cell>
          <cell r="J493" t="str">
            <v>25/02/2020</v>
          </cell>
          <cell r="K493" t="str">
            <v>(en blanco)</v>
          </cell>
          <cell r="L493" t="str">
            <v>10</v>
          </cell>
        </row>
        <row r="494">
          <cell r="A494" t="str">
            <v>44769416P</v>
          </cell>
          <cell r="B494" t="str">
            <v>CANDELA ROMERO, GUSTAVO</v>
          </cell>
          <cell r="C494" t="str">
            <v>18/05/2021</v>
          </cell>
          <cell r="D494" t="str">
            <v>(en blanco)</v>
          </cell>
          <cell r="E494" t="str">
            <v>10.19</v>
          </cell>
          <cell r="F494" t="str">
            <v>I.U. INVESTIGACION INFORMATICA</v>
          </cell>
          <cell r="G494" t="str">
            <v>20</v>
          </cell>
          <cell r="H494" t="str">
            <v/>
          </cell>
          <cell r="I494" t="str">
            <v/>
          </cell>
          <cell r="J494" t="str">
            <v/>
          </cell>
          <cell r="K494" t="str">
            <v/>
          </cell>
          <cell r="L494" t="str">
            <v/>
          </cell>
        </row>
        <row r="495">
          <cell r="A495" t="str">
            <v>44769550G</v>
          </cell>
          <cell r="B495" t="str">
            <v>ORTUÑO MARTINEZ, BARBARA</v>
          </cell>
          <cell r="C495" t="str">
            <v>14/12/2018</v>
          </cell>
          <cell r="D495" t="str">
            <v>(en blanco)</v>
          </cell>
          <cell r="E495" t="str">
            <v>10.23</v>
          </cell>
          <cell r="F495" t="str">
            <v>I.U. INVESTIGACION ESTUDIOS DE GENERO</v>
          </cell>
          <cell r="G495" t="str">
            <v>20</v>
          </cell>
          <cell r="H495" t="str">
            <v>10.25</v>
          </cell>
          <cell r="I495" t="str">
            <v>I.U. INV. ESTUDIOS SOC. AMERICA LATINA</v>
          </cell>
          <cell r="J495" t="str">
            <v>14/12/2018</v>
          </cell>
          <cell r="K495" t="str">
            <v>(en blanco)</v>
          </cell>
          <cell r="L495" t="str">
            <v>50</v>
          </cell>
        </row>
        <row r="496">
          <cell r="A496" t="str">
            <v>44771694D</v>
          </cell>
          <cell r="B496" t="str">
            <v>CARBAJO SAN MARTIN, JESUS</v>
          </cell>
          <cell r="C496" t="str">
            <v>22/10/2020</v>
          </cell>
          <cell r="D496" t="str">
            <v>(en blanco)</v>
          </cell>
          <cell r="E496" t="str">
            <v>10.20</v>
          </cell>
          <cell r="F496" t="str">
            <v>I.U. FISICA APLICADA A LAS CIENCIAS Y LA</v>
          </cell>
          <cell r="G496" t="str">
            <v>50</v>
          </cell>
          <cell r="H496" t="str">
            <v/>
          </cell>
          <cell r="I496" t="str">
            <v/>
          </cell>
          <cell r="J496" t="str">
            <v/>
          </cell>
          <cell r="K496" t="str">
            <v/>
          </cell>
          <cell r="L496" t="str">
            <v/>
          </cell>
        </row>
        <row r="497">
          <cell r="A497" t="str">
            <v>44774024Q</v>
          </cell>
          <cell r="B497" t="str">
            <v>AMAT MONTESINOS, XAVIER</v>
          </cell>
          <cell r="C497" t="str">
            <v>22/12/2021</v>
          </cell>
          <cell r="D497" t="str">
            <v>(en blanco)</v>
          </cell>
          <cell r="E497" t="str">
            <v>10.21</v>
          </cell>
          <cell r="F497" t="str">
            <v>I.INTERUNIVERSITARIO GEOGRAFIA</v>
          </cell>
          <cell r="G497" t="str">
            <v>10</v>
          </cell>
          <cell r="H497" t="str">
            <v/>
          </cell>
          <cell r="I497" t="str">
            <v/>
          </cell>
          <cell r="J497" t="str">
            <v/>
          </cell>
          <cell r="K497" t="str">
            <v/>
          </cell>
          <cell r="L497" t="str">
            <v/>
          </cell>
        </row>
        <row r="498">
          <cell r="A498" t="str">
            <v>45273600D</v>
          </cell>
          <cell r="B498" t="str">
            <v>YUS RAMOS, FRANCISCO BENIGNO</v>
          </cell>
          <cell r="C498" t="str">
            <v>24/10/2006</v>
          </cell>
          <cell r="D498" t="str">
            <v>(en blanco)</v>
          </cell>
          <cell r="E498" t="str">
            <v>10.15</v>
          </cell>
          <cell r="F498" t="str">
            <v>I.INTERUNIV. LENGUAS MODERNAS APLICADAS</v>
          </cell>
          <cell r="G498" t="str">
            <v>50</v>
          </cell>
          <cell r="H498" t="str">
            <v/>
          </cell>
          <cell r="I498" t="str">
            <v/>
          </cell>
          <cell r="J498" t="str">
            <v/>
          </cell>
          <cell r="K498" t="str">
            <v/>
          </cell>
          <cell r="L498" t="str">
            <v/>
          </cell>
        </row>
        <row r="499">
          <cell r="A499" t="str">
            <v>45561686C</v>
          </cell>
          <cell r="B499" t="str">
            <v>ZARAGOZA SAEZ, PATROCINIO DEL CARMEN</v>
          </cell>
          <cell r="C499" t="str">
            <v>04/02/2021</v>
          </cell>
          <cell r="D499" t="str">
            <v>(en blanco)</v>
          </cell>
          <cell r="E499" t="str">
            <v>10.17</v>
          </cell>
          <cell r="F499" t="str">
            <v>I.U. INVESTIGACIONES TURISTICAS</v>
          </cell>
          <cell r="G499" t="str">
            <v>10</v>
          </cell>
          <cell r="H499" t="str">
            <v/>
          </cell>
          <cell r="I499" t="str">
            <v/>
          </cell>
          <cell r="J499" t="str">
            <v/>
          </cell>
          <cell r="K499" t="str">
            <v/>
          </cell>
          <cell r="L499" t="str">
            <v/>
          </cell>
        </row>
        <row r="500">
          <cell r="A500" t="str">
            <v>45567523S</v>
          </cell>
          <cell r="B500" t="str">
            <v>TORREGROSA MARTI, MARIA TERESA</v>
          </cell>
          <cell r="C500" t="str">
            <v>15/06/2015</v>
          </cell>
          <cell r="D500" t="str">
            <v>(en blanco)</v>
          </cell>
          <cell r="E500" t="str">
            <v>10.06</v>
          </cell>
          <cell r="F500" t="str">
            <v>I.INTERUNIVERSITARIO ECONOMIA INTERNACIO</v>
          </cell>
          <cell r="G500" t="str">
            <v>50</v>
          </cell>
          <cell r="H500" t="str">
            <v>10.17</v>
          </cell>
          <cell r="I500" t="str">
            <v>I.U. INVESTIGACIONES TURISTICAS</v>
          </cell>
          <cell r="J500" t="str">
            <v>09/11/2021</v>
          </cell>
          <cell r="K500" t="str">
            <v>(en blanco)</v>
          </cell>
          <cell r="L500" t="str">
            <v>10</v>
          </cell>
        </row>
        <row r="501">
          <cell r="A501" t="str">
            <v>45568488Z</v>
          </cell>
          <cell r="B501" t="str">
            <v>RODRIGUEZ ROSIQUE, SUSANA</v>
          </cell>
          <cell r="C501" t="str">
            <v>17/01/2018</v>
          </cell>
          <cell r="D501" t="str">
            <v>(en blanco)</v>
          </cell>
          <cell r="E501" t="str">
            <v>10.25</v>
          </cell>
          <cell r="F501" t="str">
            <v>I.U. INV. ESTUDIOS SOC. AMERICA LATINA</v>
          </cell>
          <cell r="G501" t="str">
            <v>30</v>
          </cell>
          <cell r="H501" t="str">
            <v/>
          </cell>
          <cell r="I501" t="str">
            <v/>
          </cell>
          <cell r="J501" t="str">
            <v/>
          </cell>
          <cell r="K501" t="str">
            <v/>
          </cell>
          <cell r="L501" t="str">
            <v/>
          </cell>
        </row>
        <row r="502">
          <cell r="A502" t="str">
            <v>45905770R</v>
          </cell>
          <cell r="B502" t="str">
            <v>GONZALEZ GOMEZ, JOSE CARLOS</v>
          </cell>
          <cell r="C502" t="str">
            <v>07/01/2019</v>
          </cell>
          <cell r="D502" t="str">
            <v>(en blanco)</v>
          </cell>
          <cell r="E502" t="str">
            <v>10.11</v>
          </cell>
          <cell r="F502" t="str">
            <v>I.U. SINTESIS ORGANICA</v>
          </cell>
          <cell r="G502" t="str">
            <v>80</v>
          </cell>
          <cell r="H502" t="str">
            <v/>
          </cell>
          <cell r="I502" t="str">
            <v/>
          </cell>
          <cell r="J502" t="str">
            <v/>
          </cell>
          <cell r="K502" t="str">
            <v/>
          </cell>
          <cell r="L502" t="str">
            <v/>
          </cell>
        </row>
        <row r="503">
          <cell r="A503" t="str">
            <v>45929743P</v>
          </cell>
          <cell r="B503" t="str">
            <v>VILLORA PICO, JUAN JOSE</v>
          </cell>
          <cell r="C503" t="str">
            <v>01/07/2021</v>
          </cell>
          <cell r="D503" t="str">
            <v>30/11/2022</v>
          </cell>
          <cell r="E503" t="str">
            <v>10.14</v>
          </cell>
          <cell r="F503" t="str">
            <v>I.U. MATERIALES</v>
          </cell>
          <cell r="G503" t="str">
            <v>100</v>
          </cell>
          <cell r="H503" t="str">
            <v/>
          </cell>
          <cell r="I503" t="str">
            <v/>
          </cell>
          <cell r="J503" t="str">
            <v/>
          </cell>
          <cell r="K503" t="str">
            <v/>
          </cell>
          <cell r="L503" t="str">
            <v/>
          </cell>
        </row>
        <row r="504">
          <cell r="A504" t="str">
            <v>45930843G</v>
          </cell>
          <cell r="B504" t="str">
            <v>BUSQUIER MARTINEZ, MARIO</v>
          </cell>
          <cell r="C504" t="str">
            <v>01/05/2022</v>
          </cell>
          <cell r="D504" t="str">
            <v>30/04/2025</v>
          </cell>
          <cell r="E504" t="str">
            <v>10.19</v>
          </cell>
          <cell r="F504" t="str">
            <v>I.U. INVESTIGACION INFORMATICA</v>
          </cell>
          <cell r="G504" t="str">
            <v>100</v>
          </cell>
          <cell r="H504" t="str">
            <v/>
          </cell>
          <cell r="I504" t="str">
            <v/>
          </cell>
          <cell r="J504" t="str">
            <v/>
          </cell>
          <cell r="K504" t="str">
            <v/>
          </cell>
          <cell r="L504" t="str">
            <v/>
          </cell>
        </row>
        <row r="505">
          <cell r="A505" t="str">
            <v>46072820W</v>
          </cell>
          <cell r="B505" t="str">
            <v>MOYA RUIZ, RAQUEL</v>
          </cell>
          <cell r="C505" t="str">
            <v>20/01/2022</v>
          </cell>
          <cell r="D505" t="str">
            <v>31/12/2022</v>
          </cell>
          <cell r="E505" t="str">
            <v>10.24</v>
          </cell>
          <cell r="F505" t="str">
            <v>I.U. INVESTIGACION ARQ. Y PATR. HIST.</v>
          </cell>
          <cell r="G505" t="str">
            <v>100</v>
          </cell>
          <cell r="H505" t="str">
            <v/>
          </cell>
          <cell r="I505" t="str">
            <v/>
          </cell>
          <cell r="J505" t="str">
            <v/>
          </cell>
          <cell r="K505" t="str">
            <v/>
          </cell>
          <cell r="L505" t="str">
            <v/>
          </cell>
        </row>
        <row r="506">
          <cell r="A506" t="str">
            <v>46081988Q</v>
          </cell>
          <cell r="B506" t="str">
            <v>AGUES ESCOLANO, IRENE</v>
          </cell>
          <cell r="C506" t="str">
            <v>01/05/2022</v>
          </cell>
          <cell r="D506" t="str">
            <v>30/04/2025</v>
          </cell>
          <cell r="E506" t="str">
            <v>10.24</v>
          </cell>
          <cell r="F506" t="str">
            <v>I.U. INVESTIGACION ARQ. Y PATR. HIST.</v>
          </cell>
          <cell r="G506" t="str">
            <v>100</v>
          </cell>
          <cell r="H506" t="str">
            <v/>
          </cell>
          <cell r="I506" t="str">
            <v/>
          </cell>
          <cell r="J506" t="str">
            <v/>
          </cell>
          <cell r="K506" t="str">
            <v/>
          </cell>
          <cell r="L506" t="str">
            <v/>
          </cell>
        </row>
        <row r="507">
          <cell r="A507" t="str">
            <v>46083772Y</v>
          </cell>
          <cell r="B507" t="str">
            <v>GARCIA RODRIGUEZ, MARIO</v>
          </cell>
          <cell r="C507" t="str">
            <v>22/11/2021</v>
          </cell>
          <cell r="D507" t="str">
            <v>21/11/2025</v>
          </cell>
          <cell r="E507" t="str">
            <v>10.14</v>
          </cell>
          <cell r="F507" t="str">
            <v>I.U. MATERIALES</v>
          </cell>
          <cell r="G507" t="str">
            <v>100</v>
          </cell>
          <cell r="H507" t="str">
            <v/>
          </cell>
          <cell r="I507" t="str">
            <v/>
          </cell>
          <cell r="J507" t="str">
            <v/>
          </cell>
          <cell r="K507" t="str">
            <v/>
          </cell>
          <cell r="L507" t="str">
            <v/>
          </cell>
        </row>
        <row r="508">
          <cell r="A508" t="str">
            <v>46084208M</v>
          </cell>
          <cell r="B508" t="str">
            <v>SANCHEZ ALMODOVAR, ESTHER</v>
          </cell>
          <cell r="C508" t="str">
            <v>25/02/2022</v>
          </cell>
          <cell r="D508" t="str">
            <v>15/04/2023</v>
          </cell>
          <cell r="E508" t="str">
            <v>10.21</v>
          </cell>
          <cell r="F508" t="str">
            <v>I.INTERUNIVERSITARIO GEOGRAFIA</v>
          </cell>
          <cell r="G508" t="str">
            <v>100</v>
          </cell>
          <cell r="H508" t="str">
            <v/>
          </cell>
          <cell r="I508" t="str">
            <v/>
          </cell>
          <cell r="J508" t="str">
            <v/>
          </cell>
          <cell r="K508" t="str">
            <v/>
          </cell>
          <cell r="L508" t="str">
            <v/>
          </cell>
        </row>
        <row r="509">
          <cell r="A509" t="str">
            <v>46085014Y</v>
          </cell>
          <cell r="B509" t="str">
            <v>TIMOFEEVA TIMOFEEV, LARISSA</v>
          </cell>
          <cell r="C509" t="str">
            <v>28/02/2019</v>
          </cell>
          <cell r="D509" t="str">
            <v>(en blanco)</v>
          </cell>
          <cell r="E509" t="str">
            <v>10.23</v>
          </cell>
          <cell r="F509" t="str">
            <v>I.U. INVESTIGACION ESTUDIOS DE GENERO</v>
          </cell>
          <cell r="G509" t="str">
            <v>20</v>
          </cell>
          <cell r="H509" t="str">
            <v>10.15</v>
          </cell>
          <cell r="I509" t="str">
            <v>I.INTERUNIV. LENGUAS MODERNAS APLICADAS</v>
          </cell>
          <cell r="J509" t="str">
            <v>16/04/2019</v>
          </cell>
          <cell r="K509" t="str">
            <v>(en blanco)</v>
          </cell>
          <cell r="L509" t="str">
            <v>10</v>
          </cell>
        </row>
        <row r="510">
          <cell r="A510" t="str">
            <v>46336900L</v>
          </cell>
          <cell r="B510" t="str">
            <v>MARTI CIRIQUIAN, PABLO</v>
          </cell>
          <cell r="C510" t="str">
            <v>20/12/2012</v>
          </cell>
          <cell r="D510" t="str">
            <v>(en blanco)</v>
          </cell>
          <cell r="E510" t="str">
            <v>10.05</v>
          </cell>
          <cell r="F510" t="str">
            <v>I.U. AGUA Y CIENCIAS AMBIENTALES</v>
          </cell>
          <cell r="G510" t="str">
            <v>20</v>
          </cell>
          <cell r="H510" t="str">
            <v>10.25</v>
          </cell>
          <cell r="I510" t="str">
            <v>I.U. INV. ESTUDIOS SOC. AMERICA LATINA</v>
          </cell>
          <cell r="J510" t="str">
            <v>23/11/2020</v>
          </cell>
          <cell r="K510" t="str">
            <v>(en blanco)</v>
          </cell>
          <cell r="L510" t="str">
            <v>10</v>
          </cell>
        </row>
        <row r="511">
          <cell r="A511" t="str">
            <v>46865919S</v>
          </cell>
          <cell r="B511" t="str">
            <v>DACAL DE TOMAS, MARINA</v>
          </cell>
          <cell r="C511" t="str">
            <v>09/11/2021</v>
          </cell>
          <cell r="D511" t="str">
            <v>08/11/2022</v>
          </cell>
          <cell r="E511" t="str">
            <v>10.16</v>
          </cell>
          <cell r="F511" t="str">
            <v>I.M.E.M. RAMON MARGALEF (IMEM)</v>
          </cell>
          <cell r="G511" t="str">
            <v>100</v>
          </cell>
          <cell r="H511" t="str">
            <v/>
          </cell>
          <cell r="I511" t="str">
            <v/>
          </cell>
          <cell r="J511" t="str">
            <v/>
          </cell>
          <cell r="K511" t="str">
            <v/>
          </cell>
          <cell r="L511" t="str">
            <v/>
          </cell>
        </row>
        <row r="512">
          <cell r="A512" t="str">
            <v>47057425T</v>
          </cell>
          <cell r="B512" t="str">
            <v>PARDO PICAZO, MIGUEL ANGEL</v>
          </cell>
          <cell r="C512" t="str">
            <v>30/01/2016</v>
          </cell>
          <cell r="D512" t="str">
            <v>(en blanco)</v>
          </cell>
          <cell r="E512" t="str">
            <v>10.05</v>
          </cell>
          <cell r="F512" t="str">
            <v>I.U. AGUA Y CIENCIAS AMBIENTALES</v>
          </cell>
          <cell r="G512" t="str">
            <v>20</v>
          </cell>
          <cell r="H512" t="str">
            <v/>
          </cell>
          <cell r="I512" t="str">
            <v/>
          </cell>
          <cell r="J512" t="str">
            <v/>
          </cell>
          <cell r="K512" t="str">
            <v/>
          </cell>
          <cell r="L512" t="str">
            <v/>
          </cell>
        </row>
        <row r="513">
          <cell r="A513" t="str">
            <v>47075279Y</v>
          </cell>
          <cell r="B513" t="str">
            <v>TERUEL MARTINEZ, MIGUEL ANGEL</v>
          </cell>
          <cell r="C513" t="str">
            <v>13/10/2021</v>
          </cell>
          <cell r="D513" t="str">
            <v>(en blanco)</v>
          </cell>
          <cell r="E513" t="str">
            <v>10.19</v>
          </cell>
          <cell r="F513" t="str">
            <v>I.U. INVESTIGACION INFORMATICA</v>
          </cell>
          <cell r="G513" t="str">
            <v>20</v>
          </cell>
          <cell r="H513" t="str">
            <v/>
          </cell>
          <cell r="I513" t="str">
            <v/>
          </cell>
          <cell r="J513" t="str">
            <v/>
          </cell>
          <cell r="K513" t="str">
            <v/>
          </cell>
          <cell r="L513" t="str">
            <v/>
          </cell>
        </row>
        <row r="514">
          <cell r="A514" t="str">
            <v>47083217D</v>
          </cell>
          <cell r="B514" t="str">
            <v>MORENO IZQUIERDO, LUIS</v>
          </cell>
          <cell r="C514" t="str">
            <v>07/04/2014</v>
          </cell>
          <cell r="D514" t="str">
            <v>(en blanco)</v>
          </cell>
          <cell r="E514" t="str">
            <v>10.17</v>
          </cell>
          <cell r="F514" t="str">
            <v>I.U. INVESTIGACIONES TURISTICAS</v>
          </cell>
          <cell r="G514" t="str">
            <v>10</v>
          </cell>
          <cell r="H514" t="str">
            <v>10.06</v>
          </cell>
          <cell r="I514" t="str">
            <v>I.INTERUNIVERSITARIO ECONOMIA INTERNACIO</v>
          </cell>
          <cell r="J514" t="str">
            <v>23/11/2020</v>
          </cell>
          <cell r="K514" t="str">
            <v>(en blanco)</v>
          </cell>
          <cell r="L514" t="str">
            <v>50</v>
          </cell>
        </row>
        <row r="515">
          <cell r="A515" t="str">
            <v>47449872K</v>
          </cell>
          <cell r="B515" t="str">
            <v>MARTINEZ MOYA, SERGIO</v>
          </cell>
          <cell r="C515" t="str">
            <v>01/12/2021</v>
          </cell>
          <cell r="D515" t="str">
            <v>10/03/2023</v>
          </cell>
          <cell r="E515" t="str">
            <v>10.09</v>
          </cell>
          <cell r="F515" t="str">
            <v>I.U. INGENIERIA DE LOS PROCESOS QUIMICOS</v>
          </cell>
          <cell r="G515" t="str">
            <v>100</v>
          </cell>
          <cell r="H515" t="str">
            <v/>
          </cell>
          <cell r="I515" t="str">
            <v/>
          </cell>
          <cell r="J515" t="str">
            <v/>
          </cell>
          <cell r="K515" t="str">
            <v/>
          </cell>
          <cell r="L515" t="str">
            <v/>
          </cell>
        </row>
        <row r="516">
          <cell r="A516" t="str">
            <v>47608813D</v>
          </cell>
          <cell r="B516" t="str">
            <v>SANTANA ROS, ANTONIO</v>
          </cell>
          <cell r="C516" t="str">
            <v>17/05/2022</v>
          </cell>
          <cell r="D516" t="str">
            <v>16/05/2023</v>
          </cell>
          <cell r="E516" t="str">
            <v>10.20</v>
          </cell>
          <cell r="F516" t="str">
            <v>I.U. FISICA APLICADA A LAS CIENCIAS Y LA</v>
          </cell>
          <cell r="G516" t="str">
            <v>100</v>
          </cell>
          <cell r="H516" t="str">
            <v/>
          </cell>
          <cell r="I516" t="str">
            <v/>
          </cell>
          <cell r="J516" t="str">
            <v/>
          </cell>
          <cell r="K516" t="str">
            <v/>
          </cell>
          <cell r="L516" t="str">
            <v/>
          </cell>
        </row>
        <row r="517">
          <cell r="A517" t="str">
            <v>48296836X</v>
          </cell>
          <cell r="B517" t="str">
            <v>VIVES CASES, MARIA DEL CARMEN</v>
          </cell>
          <cell r="C517" t="str">
            <v>21/12/2015</v>
          </cell>
          <cell r="D517" t="str">
            <v>(en blanco)</v>
          </cell>
          <cell r="E517" t="str">
            <v>10.23</v>
          </cell>
          <cell r="F517" t="str">
            <v>I.U. INVESTIGACION ESTUDIOS DE GENERO</v>
          </cell>
          <cell r="G517" t="str">
            <v>30</v>
          </cell>
          <cell r="H517" t="str">
            <v/>
          </cell>
          <cell r="I517" t="str">
            <v/>
          </cell>
          <cell r="J517" t="str">
            <v/>
          </cell>
          <cell r="K517" t="str">
            <v/>
          </cell>
          <cell r="L517" t="str">
            <v/>
          </cell>
        </row>
        <row r="518">
          <cell r="A518" t="str">
            <v>48300176S</v>
          </cell>
          <cell r="B518" t="str">
            <v>LOPEZ GAMERO, MARIA DOLORES</v>
          </cell>
          <cell r="C518" t="str">
            <v>22/12/2021</v>
          </cell>
          <cell r="D518" t="str">
            <v>(en blanco)</v>
          </cell>
          <cell r="E518" t="str">
            <v>10.17</v>
          </cell>
          <cell r="F518" t="str">
            <v>I.U. INVESTIGACIONES TURISTICAS</v>
          </cell>
          <cell r="G518" t="str">
            <v>10</v>
          </cell>
          <cell r="H518" t="str">
            <v/>
          </cell>
          <cell r="I518" t="str">
            <v/>
          </cell>
          <cell r="J518" t="str">
            <v/>
          </cell>
          <cell r="K518" t="str">
            <v/>
          </cell>
          <cell r="L518" t="str">
            <v/>
          </cell>
        </row>
        <row r="519">
          <cell r="A519" t="str">
            <v>48303841T</v>
          </cell>
          <cell r="B519" t="str">
            <v>GOMEZ DOMENECH, IGOR</v>
          </cell>
          <cell r="C519" t="str">
            <v>08/01/2020</v>
          </cell>
          <cell r="D519" t="str">
            <v>(en blanco)</v>
          </cell>
          <cell r="E519" t="str">
            <v>10.16</v>
          </cell>
          <cell r="F519" t="str">
            <v>I.M.E.M. RAMON MARGALEF (IMEM)</v>
          </cell>
          <cell r="G519" t="str">
            <v>50</v>
          </cell>
          <cell r="H519" t="str">
            <v/>
          </cell>
          <cell r="I519" t="str">
            <v/>
          </cell>
          <cell r="J519" t="str">
            <v/>
          </cell>
          <cell r="K519" t="str">
            <v/>
          </cell>
          <cell r="L519" t="str">
            <v/>
          </cell>
        </row>
        <row r="520">
          <cell r="A520" t="str">
            <v>48315036V</v>
          </cell>
          <cell r="B520" t="str">
            <v>ORTIZ ZAMORA, JAVIER</v>
          </cell>
          <cell r="C520" t="str">
            <v>02/03/2020</v>
          </cell>
          <cell r="D520" t="str">
            <v>(en blanco)</v>
          </cell>
          <cell r="E520" t="str">
            <v>10.20</v>
          </cell>
          <cell r="F520" t="str">
            <v>I.U. FISICA APLICADA A LAS CIENCIAS Y LA</v>
          </cell>
          <cell r="G520" t="str">
            <v>20</v>
          </cell>
          <cell r="H520" t="str">
            <v/>
          </cell>
          <cell r="I520" t="str">
            <v/>
          </cell>
          <cell r="J520" t="str">
            <v/>
          </cell>
          <cell r="K520" t="str">
            <v/>
          </cell>
          <cell r="L520" t="str">
            <v/>
          </cell>
        </row>
        <row r="521">
          <cell r="A521" t="str">
            <v>48315254M</v>
          </cell>
          <cell r="B521" t="str">
            <v>MOYA LLAMAS, MARIA JOSE</v>
          </cell>
          <cell r="C521" t="str">
            <v>24/10/2019</v>
          </cell>
          <cell r="D521" t="str">
            <v>(en blanco)</v>
          </cell>
          <cell r="E521" t="str">
            <v>10.05</v>
          </cell>
          <cell r="F521" t="str">
            <v>I.U. AGUA Y CIENCIAS AMBIENTALES</v>
          </cell>
          <cell r="G521" t="str">
            <v>20</v>
          </cell>
          <cell r="H521" t="str">
            <v/>
          </cell>
          <cell r="I521" t="str">
            <v/>
          </cell>
          <cell r="J521" t="str">
            <v/>
          </cell>
          <cell r="K521" t="str">
            <v/>
          </cell>
          <cell r="L521" t="str">
            <v/>
          </cell>
        </row>
        <row r="522">
          <cell r="A522" t="str">
            <v>48316322S</v>
          </cell>
          <cell r="B522" t="str">
            <v>FERNANDEZ SIRVENT, RAFAEL</v>
          </cell>
          <cell r="C522" t="str">
            <v>23/07/2014</v>
          </cell>
          <cell r="D522" t="str">
            <v>(en blanco)</v>
          </cell>
          <cell r="E522" t="str">
            <v>10.06</v>
          </cell>
          <cell r="F522" t="str">
            <v>I.INTERUNIVERSITARIO ECONOMIA INTERNACIO</v>
          </cell>
          <cell r="G522" t="str">
            <v>10</v>
          </cell>
          <cell r="H522" t="str">
            <v/>
          </cell>
          <cell r="I522" t="str">
            <v/>
          </cell>
          <cell r="J522" t="str">
            <v/>
          </cell>
          <cell r="K522" t="str">
            <v/>
          </cell>
          <cell r="L522" t="str">
            <v/>
          </cell>
        </row>
        <row r="523">
          <cell r="A523" t="str">
            <v>48316575S</v>
          </cell>
          <cell r="B523" t="str">
            <v>FERNANDEZ TORQUEMADA, YOLANDA</v>
          </cell>
          <cell r="C523" t="str">
            <v>23/07/2019</v>
          </cell>
          <cell r="D523" t="str">
            <v>(en blanco)</v>
          </cell>
          <cell r="E523" t="str">
            <v>10.05</v>
          </cell>
          <cell r="F523" t="str">
            <v>I.U. AGUA Y CIENCIAS AMBIENTALES</v>
          </cell>
          <cell r="G523" t="str">
            <v>10</v>
          </cell>
          <cell r="H523" t="str">
            <v/>
          </cell>
          <cell r="I523" t="str">
            <v/>
          </cell>
          <cell r="J523" t="str">
            <v/>
          </cell>
          <cell r="K523" t="str">
            <v/>
          </cell>
          <cell r="L523" t="str">
            <v/>
          </cell>
        </row>
        <row r="524">
          <cell r="A524" t="str">
            <v>48316782S</v>
          </cell>
          <cell r="B524" t="str">
            <v>HEREDIA AVALOS, SANTIAGO</v>
          </cell>
          <cell r="C524" t="str">
            <v>11/03/2010</v>
          </cell>
          <cell r="D524" t="str">
            <v>(en blanco)</v>
          </cell>
          <cell r="E524" t="str">
            <v>10.20</v>
          </cell>
          <cell r="F524" t="str">
            <v>I.U. FISICA APLICADA A LAS CIENCIAS Y LA</v>
          </cell>
          <cell r="G524" t="str">
            <v>20</v>
          </cell>
          <cell r="H524" t="str">
            <v/>
          </cell>
          <cell r="I524" t="str">
            <v/>
          </cell>
          <cell r="J524" t="str">
            <v/>
          </cell>
          <cell r="K524" t="str">
            <v/>
          </cell>
          <cell r="L524" t="str">
            <v/>
          </cell>
        </row>
        <row r="525">
          <cell r="A525" t="str">
            <v>48316865Y</v>
          </cell>
          <cell r="B525" t="str">
            <v>ESCLAPEZ ESPLIEGO, JULIA MARIA</v>
          </cell>
          <cell r="C525" t="str">
            <v>27/01/2017</v>
          </cell>
          <cell r="D525" t="str">
            <v>(en blanco)</v>
          </cell>
          <cell r="E525" t="str">
            <v>10.16</v>
          </cell>
          <cell r="F525" t="str">
            <v>I.M.E.M. RAMON MARGALEF (IMEM)</v>
          </cell>
          <cell r="G525" t="str">
            <v>20</v>
          </cell>
          <cell r="H525" t="str">
            <v/>
          </cell>
          <cell r="I525" t="str">
            <v/>
          </cell>
          <cell r="J525" t="str">
            <v/>
          </cell>
          <cell r="K525" t="str">
            <v/>
          </cell>
          <cell r="L525" t="str">
            <v/>
          </cell>
        </row>
        <row r="526">
          <cell r="A526" t="str">
            <v>48316901L</v>
          </cell>
          <cell r="B526" t="str">
            <v>SENTANA GADEA, IRENE</v>
          </cell>
          <cell r="C526" t="str">
            <v>01/10/2015</v>
          </cell>
          <cell r="D526" t="str">
            <v>(en blanco)</v>
          </cell>
          <cell r="E526" t="str">
            <v>10.05</v>
          </cell>
          <cell r="F526" t="str">
            <v>I.U. AGUA Y CIENCIAS AMBIENTALES</v>
          </cell>
          <cell r="G526" t="str">
            <v>50</v>
          </cell>
          <cell r="H526" t="str">
            <v/>
          </cell>
          <cell r="I526" t="str">
            <v/>
          </cell>
          <cell r="J526" t="str">
            <v/>
          </cell>
          <cell r="K526" t="str">
            <v/>
          </cell>
          <cell r="L526" t="str">
            <v/>
          </cell>
        </row>
        <row r="527">
          <cell r="A527" t="str">
            <v>48317347M</v>
          </cell>
          <cell r="B527" t="str">
            <v>GOMEZ-RICO NUÑEZ DE ARENAS, MARIA FRANCISCA</v>
          </cell>
          <cell r="C527" t="str">
            <v>05/02/2013</v>
          </cell>
          <cell r="D527" t="str">
            <v>(en blanco)</v>
          </cell>
          <cell r="E527" t="str">
            <v>10.05</v>
          </cell>
          <cell r="F527" t="str">
            <v>I.U. AGUA Y CIENCIAS AMBIENTALES</v>
          </cell>
          <cell r="G527" t="str">
            <v>10</v>
          </cell>
          <cell r="H527" t="str">
            <v>10.09</v>
          </cell>
          <cell r="I527" t="str">
            <v>I.U. INGENIERIA DE LOS PROCESOS QUIMICOS</v>
          </cell>
          <cell r="J527" t="str">
            <v>17/05/2021</v>
          </cell>
          <cell r="K527" t="str">
            <v>(en blanco)</v>
          </cell>
          <cell r="L527" t="str">
            <v>65</v>
          </cell>
        </row>
        <row r="528">
          <cell r="A528" t="str">
            <v>48318313M</v>
          </cell>
          <cell r="B528" t="str">
            <v>LILLO RODENAS, MARIA ANGELES</v>
          </cell>
          <cell r="C528" t="str">
            <v>08/10/2021</v>
          </cell>
          <cell r="D528" t="str">
            <v>(en blanco)</v>
          </cell>
          <cell r="E528" t="str">
            <v>10.14</v>
          </cell>
          <cell r="F528" t="str">
            <v>I.U. MATERIALES</v>
          </cell>
          <cell r="G528" t="str">
            <v>50</v>
          </cell>
          <cell r="H528" t="str">
            <v/>
          </cell>
          <cell r="I528" t="str">
            <v/>
          </cell>
          <cell r="J528" t="str">
            <v/>
          </cell>
          <cell r="K528" t="str">
            <v/>
          </cell>
          <cell r="L528" t="str">
            <v/>
          </cell>
        </row>
        <row r="529">
          <cell r="A529" t="str">
            <v>48319966W</v>
          </cell>
          <cell r="B529" t="str">
            <v>ROMERO RAMETA, ALEJANDRO</v>
          </cell>
          <cell r="C529" t="str">
            <v>19/09/2014</v>
          </cell>
          <cell r="D529" t="str">
            <v>(en blanco)</v>
          </cell>
          <cell r="E529" t="str">
            <v>10.24</v>
          </cell>
          <cell r="F529" t="str">
            <v>I.U. INVESTIGACION ARQ. Y PATR. HIST.</v>
          </cell>
          <cell r="G529" t="str">
            <v>10</v>
          </cell>
          <cell r="H529" t="str">
            <v/>
          </cell>
          <cell r="I529" t="str">
            <v/>
          </cell>
          <cell r="J529" t="str">
            <v/>
          </cell>
          <cell r="K529" t="str">
            <v/>
          </cell>
          <cell r="L529" t="str">
            <v/>
          </cell>
        </row>
        <row r="530">
          <cell r="A530" t="str">
            <v>48321267S</v>
          </cell>
          <cell r="B530" t="str">
            <v>TRIVIÑO PEREZ, ALEJANDRO</v>
          </cell>
          <cell r="C530" t="str">
            <v>24/02/2022</v>
          </cell>
          <cell r="D530" t="str">
            <v>(en blanco)</v>
          </cell>
          <cell r="E530" t="str">
            <v>10.21</v>
          </cell>
          <cell r="F530" t="str">
            <v>I.INTERUNIVERSITARIO GEOGRAFIA</v>
          </cell>
          <cell r="G530" t="str">
            <v>33</v>
          </cell>
          <cell r="H530" t="str">
            <v>10.17</v>
          </cell>
          <cell r="I530" t="str">
            <v>I.U. INVESTIGACIONES TURISTICAS</v>
          </cell>
          <cell r="J530" t="str">
            <v>24/02/2022</v>
          </cell>
          <cell r="K530" t="str">
            <v>(en blanco)</v>
          </cell>
          <cell r="L530" t="str">
            <v>33</v>
          </cell>
        </row>
        <row r="531">
          <cell r="A531" t="str">
            <v>48325137K</v>
          </cell>
          <cell r="B531" t="str">
            <v>FERNANDEZ VARO, MARIA HELENA</v>
          </cell>
          <cell r="C531" t="str">
            <v>11/03/2010</v>
          </cell>
          <cell r="D531" t="str">
            <v>(en blanco)</v>
          </cell>
          <cell r="E531" t="str">
            <v>10.20</v>
          </cell>
          <cell r="F531" t="str">
            <v>I.U. FISICA APLICADA A LAS CIENCIAS Y LA</v>
          </cell>
          <cell r="G531" t="str">
            <v>20</v>
          </cell>
          <cell r="H531" t="str">
            <v/>
          </cell>
          <cell r="I531" t="str">
            <v/>
          </cell>
          <cell r="J531" t="str">
            <v/>
          </cell>
          <cell r="K531" t="str">
            <v/>
          </cell>
          <cell r="L531" t="str">
            <v/>
          </cell>
        </row>
        <row r="532">
          <cell r="A532" t="str">
            <v>48325227L</v>
          </cell>
          <cell r="B532" t="str">
            <v>SAVAL CALVO, MARCELO</v>
          </cell>
          <cell r="C532" t="str">
            <v>04/02/2019</v>
          </cell>
          <cell r="D532" t="str">
            <v>(en blanco)</v>
          </cell>
          <cell r="E532" t="str">
            <v>10.19</v>
          </cell>
          <cell r="F532" t="str">
            <v>I.U. INVESTIGACION INFORMATICA</v>
          </cell>
          <cell r="G532" t="str">
            <v>20</v>
          </cell>
          <cell r="H532" t="str">
            <v/>
          </cell>
          <cell r="I532" t="str">
            <v/>
          </cell>
          <cell r="J532" t="str">
            <v/>
          </cell>
          <cell r="K532" t="str">
            <v/>
          </cell>
          <cell r="L532" t="str">
            <v/>
          </cell>
        </row>
        <row r="533">
          <cell r="A533" t="str">
            <v>48326669N</v>
          </cell>
          <cell r="B533" t="str">
            <v>ZARAGOZA MARTI, MARIA FRANCISCA</v>
          </cell>
          <cell r="C533" t="str">
            <v>31/07/2017</v>
          </cell>
          <cell r="D533" t="str">
            <v>(en blanco)</v>
          </cell>
          <cell r="E533" t="str">
            <v>10.21</v>
          </cell>
          <cell r="F533" t="str">
            <v>I.INTERUNIVERSITARIO GEOGRAFIA</v>
          </cell>
          <cell r="G533" t="str">
            <v>40</v>
          </cell>
          <cell r="H533" t="str">
            <v>10.05</v>
          </cell>
          <cell r="I533" t="str">
            <v>I.U. AGUA Y CIENCIAS AMBIENTALES</v>
          </cell>
          <cell r="J533" t="str">
            <v>04/02/2021</v>
          </cell>
          <cell r="K533" t="str">
            <v>(en blanco)</v>
          </cell>
          <cell r="L533" t="str">
            <v>30</v>
          </cell>
        </row>
        <row r="534">
          <cell r="A534" t="str">
            <v>48328421Q</v>
          </cell>
          <cell r="B534" t="str">
            <v>FRANCES MONLLOR, JORGE</v>
          </cell>
          <cell r="C534" t="str">
            <v>02/07/2021</v>
          </cell>
          <cell r="D534" t="str">
            <v>(en blanco)</v>
          </cell>
          <cell r="E534" t="str">
            <v>10.20</v>
          </cell>
          <cell r="F534" t="str">
            <v>I.U. FISICA APLICADA A LAS CIENCIAS Y LA</v>
          </cell>
          <cell r="G534" t="str">
            <v>50</v>
          </cell>
          <cell r="H534" t="str">
            <v/>
          </cell>
          <cell r="I534" t="str">
            <v/>
          </cell>
          <cell r="J534" t="str">
            <v/>
          </cell>
          <cell r="K534" t="str">
            <v/>
          </cell>
          <cell r="L534" t="str">
            <v/>
          </cell>
        </row>
        <row r="535">
          <cell r="A535" t="str">
            <v>48341145K</v>
          </cell>
          <cell r="B535" t="str">
            <v>BARRAJON LOPEZ, ELISA</v>
          </cell>
          <cell r="C535" t="str">
            <v>17/01/2018</v>
          </cell>
          <cell r="D535" t="str">
            <v>(en blanco)</v>
          </cell>
          <cell r="E535" t="str">
            <v>10.25</v>
          </cell>
          <cell r="F535" t="str">
            <v>I.U. INV. ESTUDIOS SOC. AMERICA LATINA</v>
          </cell>
          <cell r="G535" t="str">
            <v>30</v>
          </cell>
          <cell r="H535" t="str">
            <v/>
          </cell>
          <cell r="I535" t="str">
            <v/>
          </cell>
          <cell r="J535" t="str">
            <v/>
          </cell>
          <cell r="K535" t="str">
            <v/>
          </cell>
          <cell r="L535" t="str">
            <v/>
          </cell>
        </row>
        <row r="536">
          <cell r="A536" t="str">
            <v>48342228T</v>
          </cell>
          <cell r="B536" t="str">
            <v>HURTADO GARCIA, INMACULADA</v>
          </cell>
          <cell r="C536" t="str">
            <v>08/06/2021</v>
          </cell>
          <cell r="D536" t="str">
            <v>(en blanco)</v>
          </cell>
          <cell r="E536" t="str">
            <v>10.17</v>
          </cell>
          <cell r="F536" t="str">
            <v>I.U. INVESTIGACIONES TURISTICAS</v>
          </cell>
          <cell r="G536" t="str">
            <v>25</v>
          </cell>
          <cell r="H536" t="str">
            <v>10.23</v>
          </cell>
          <cell r="I536" t="str">
            <v>I.U. INVESTIGACION ESTUDIOS DE GENERO</v>
          </cell>
          <cell r="J536" t="str">
            <v>08/06/2021</v>
          </cell>
          <cell r="K536" t="str">
            <v>(en blanco)</v>
          </cell>
          <cell r="L536" t="str">
            <v>25</v>
          </cell>
        </row>
        <row r="537">
          <cell r="A537" t="str">
            <v>48343629K</v>
          </cell>
          <cell r="B537" t="str">
            <v>BLASCO LOPEZ, INMACULADA</v>
          </cell>
          <cell r="C537" t="str">
            <v>10/05/2021</v>
          </cell>
          <cell r="D537" t="str">
            <v>(en blanco)</v>
          </cell>
          <cell r="E537" t="str">
            <v>10.09</v>
          </cell>
          <cell r="F537" t="str">
            <v>I.U. INGENIERIA DE LOS PROCESOS QUIMICOS</v>
          </cell>
          <cell r="G537" t="str">
            <v>65</v>
          </cell>
          <cell r="H537" t="str">
            <v/>
          </cell>
          <cell r="I537" t="str">
            <v/>
          </cell>
          <cell r="J537" t="str">
            <v/>
          </cell>
          <cell r="K537" t="str">
            <v/>
          </cell>
          <cell r="L537" t="str">
            <v/>
          </cell>
        </row>
        <row r="538">
          <cell r="A538" t="str">
            <v>48344784A</v>
          </cell>
          <cell r="B538" t="str">
            <v>FONT ESCAMILLA, ALICIA</v>
          </cell>
          <cell r="C538" t="str">
            <v>17/05/2021</v>
          </cell>
          <cell r="D538" t="str">
            <v>(en blanco)</v>
          </cell>
          <cell r="E538" t="str">
            <v>10.09</v>
          </cell>
          <cell r="F538" t="str">
            <v>I.U. INGENIERIA DE LOS PROCESOS QUIMICOS</v>
          </cell>
          <cell r="G538" t="str">
            <v>65</v>
          </cell>
          <cell r="H538" t="str">
            <v/>
          </cell>
          <cell r="I538" t="str">
            <v/>
          </cell>
          <cell r="J538" t="str">
            <v/>
          </cell>
          <cell r="K538" t="str">
            <v/>
          </cell>
          <cell r="L538" t="str">
            <v/>
          </cell>
        </row>
        <row r="539">
          <cell r="A539" t="str">
            <v>48345196R</v>
          </cell>
          <cell r="B539" t="str">
            <v>MENARGUES MARCILLA, MARIA ASUNCION</v>
          </cell>
          <cell r="C539" t="str">
            <v>06/11/2017</v>
          </cell>
          <cell r="D539" t="str">
            <v>(en blanco)</v>
          </cell>
          <cell r="E539" t="str">
            <v>10.20</v>
          </cell>
          <cell r="F539" t="str">
            <v>I.U. FISICA APLICADA A LAS CIENCIAS Y LA</v>
          </cell>
          <cell r="G539" t="str">
            <v>50</v>
          </cell>
          <cell r="H539" t="str">
            <v/>
          </cell>
          <cell r="I539" t="str">
            <v/>
          </cell>
          <cell r="J539" t="str">
            <v/>
          </cell>
          <cell r="K539" t="str">
            <v/>
          </cell>
          <cell r="L539" t="str">
            <v/>
          </cell>
        </row>
        <row r="540">
          <cell r="A540" t="str">
            <v>48345463S</v>
          </cell>
          <cell r="B540" t="str">
            <v>CAPORALE BIZZINI, SILVIA JULIA</v>
          </cell>
          <cell r="C540" t="str">
            <v>26/05/2010</v>
          </cell>
          <cell r="D540" t="str">
            <v>(en blanco)</v>
          </cell>
          <cell r="E540" t="str">
            <v>10.22</v>
          </cell>
          <cell r="F540" t="str">
            <v>I.INTERUNIV. DESARROLLO SOCIAL Y PAZ</v>
          </cell>
          <cell r="G540" t="str">
            <v>10</v>
          </cell>
          <cell r="H540" t="str">
            <v>10.23</v>
          </cell>
          <cell r="I540" t="str">
            <v>I.U. INVESTIGACION ESTUDIOS DE GENERO</v>
          </cell>
          <cell r="J540" t="str">
            <v>21/05/2015</v>
          </cell>
          <cell r="K540" t="str">
            <v>(en blanco)</v>
          </cell>
          <cell r="L540" t="str">
            <v>20</v>
          </cell>
        </row>
        <row r="541">
          <cell r="A541" t="str">
            <v>48348315S</v>
          </cell>
          <cell r="B541" t="str">
            <v>GRINDLAY LLEDO, GUILLERMO</v>
          </cell>
          <cell r="C541" t="str">
            <v>13/03/2019</v>
          </cell>
          <cell r="D541" t="str">
            <v>(en blanco)</v>
          </cell>
          <cell r="E541" t="str">
            <v>10.05</v>
          </cell>
          <cell r="F541" t="str">
            <v>I.U. AGUA Y CIENCIAS AMBIENTALES</v>
          </cell>
          <cell r="G541" t="str">
            <v>10</v>
          </cell>
          <cell r="H541" t="str">
            <v/>
          </cell>
          <cell r="I541" t="str">
            <v/>
          </cell>
          <cell r="J541" t="str">
            <v/>
          </cell>
          <cell r="K541" t="str">
            <v/>
          </cell>
          <cell r="L541" t="str">
            <v/>
          </cell>
        </row>
        <row r="542">
          <cell r="A542" t="str">
            <v>48349803P</v>
          </cell>
          <cell r="B542" t="str">
            <v>SUAU PEREZ, PABLO</v>
          </cell>
          <cell r="C542" t="str">
            <v>01/10/2010</v>
          </cell>
          <cell r="D542" t="str">
            <v>(en blanco)</v>
          </cell>
          <cell r="E542" t="str">
            <v>10.19</v>
          </cell>
          <cell r="F542" t="str">
            <v>I.U. INVESTIGACION INFORMATICA</v>
          </cell>
          <cell r="G542" t="str">
            <v>20</v>
          </cell>
          <cell r="H542" t="str">
            <v/>
          </cell>
          <cell r="I542" t="str">
            <v/>
          </cell>
          <cell r="J542" t="str">
            <v/>
          </cell>
          <cell r="K542" t="str">
            <v/>
          </cell>
          <cell r="L542" t="str">
            <v/>
          </cell>
        </row>
        <row r="543">
          <cell r="A543" t="str">
            <v>48350398M</v>
          </cell>
          <cell r="B543" t="str">
            <v>ASENSI MERAS, ALTEA</v>
          </cell>
          <cell r="C543" t="str">
            <v>05/06/2013</v>
          </cell>
          <cell r="D543" t="str">
            <v>(en blanco)</v>
          </cell>
          <cell r="E543" t="str">
            <v>10.17</v>
          </cell>
          <cell r="F543" t="str">
            <v>I.U. INVESTIGACIONES TURISTICAS</v>
          </cell>
          <cell r="G543" t="str">
            <v>15</v>
          </cell>
          <cell r="H543" t="str">
            <v/>
          </cell>
          <cell r="I543" t="str">
            <v/>
          </cell>
          <cell r="J543" t="str">
            <v/>
          </cell>
          <cell r="K543" t="str">
            <v/>
          </cell>
          <cell r="L543" t="str">
            <v/>
          </cell>
        </row>
        <row r="544">
          <cell r="A544" t="str">
            <v>48350547Q</v>
          </cell>
          <cell r="B544" t="str">
            <v>PEREIRA MOLINER, JORGE</v>
          </cell>
          <cell r="C544" t="str">
            <v>28/09/2011</v>
          </cell>
          <cell r="D544" t="str">
            <v>(en blanco)</v>
          </cell>
          <cell r="E544" t="str">
            <v>10.17</v>
          </cell>
          <cell r="F544" t="str">
            <v>I.U. INVESTIGACIONES TURISTICAS</v>
          </cell>
          <cell r="G544" t="str">
            <v>15</v>
          </cell>
          <cell r="H544" t="str">
            <v/>
          </cell>
          <cell r="I544" t="str">
            <v/>
          </cell>
          <cell r="J544" t="str">
            <v/>
          </cell>
          <cell r="K544" t="str">
            <v/>
          </cell>
          <cell r="L544" t="str">
            <v/>
          </cell>
        </row>
        <row r="545">
          <cell r="A545" t="str">
            <v>48350620C</v>
          </cell>
          <cell r="B545" t="str">
            <v>GALLEGO RICO, SERGI</v>
          </cell>
          <cell r="C545" t="str">
            <v>20/10/2009</v>
          </cell>
          <cell r="D545" t="str">
            <v>(en blanco)</v>
          </cell>
          <cell r="E545" t="str">
            <v>10.20</v>
          </cell>
          <cell r="F545" t="str">
            <v>I.U. FISICA APLICADA A LAS CIENCIAS Y LA</v>
          </cell>
          <cell r="G545" t="str">
            <v>20</v>
          </cell>
          <cell r="H545" t="str">
            <v/>
          </cell>
          <cell r="I545" t="str">
            <v/>
          </cell>
          <cell r="J545" t="str">
            <v/>
          </cell>
          <cell r="K545" t="str">
            <v/>
          </cell>
          <cell r="L545" t="str">
            <v/>
          </cell>
        </row>
        <row r="546">
          <cell r="A546" t="str">
            <v>48351140B</v>
          </cell>
          <cell r="B546" t="str">
            <v>GARRIGOS FERNANDEZ, IRENE</v>
          </cell>
          <cell r="C546" t="str">
            <v>18/07/2008</v>
          </cell>
          <cell r="D546" t="str">
            <v>(en blanco)</v>
          </cell>
          <cell r="E546" t="str">
            <v>10.19</v>
          </cell>
          <cell r="F546" t="str">
            <v>I.U. INVESTIGACION INFORMATICA</v>
          </cell>
          <cell r="G546" t="str">
            <v>20</v>
          </cell>
          <cell r="H546" t="str">
            <v/>
          </cell>
          <cell r="I546" t="str">
            <v/>
          </cell>
          <cell r="J546" t="str">
            <v/>
          </cell>
          <cell r="K546" t="str">
            <v/>
          </cell>
          <cell r="L546" t="str">
            <v/>
          </cell>
        </row>
        <row r="547">
          <cell r="A547" t="str">
            <v>48351663M</v>
          </cell>
          <cell r="B547" t="str">
            <v>GALLEGO HERNANDEZ, DANIEL EMILIO</v>
          </cell>
          <cell r="C547" t="str">
            <v>10/02/2014</v>
          </cell>
          <cell r="D547" t="str">
            <v>(en blanco)</v>
          </cell>
          <cell r="E547" t="str">
            <v>10.15</v>
          </cell>
          <cell r="F547" t="str">
            <v>I.INTERUNIV. LENGUAS MODERNAS APLICADAS</v>
          </cell>
          <cell r="G547" t="str">
            <v>10</v>
          </cell>
          <cell r="H547" t="str">
            <v/>
          </cell>
          <cell r="I547" t="str">
            <v/>
          </cell>
          <cell r="J547" t="str">
            <v/>
          </cell>
          <cell r="K547" t="str">
            <v/>
          </cell>
          <cell r="L547" t="str">
            <v/>
          </cell>
        </row>
        <row r="548">
          <cell r="A548" t="str">
            <v>48352073R</v>
          </cell>
          <cell r="B548" t="str">
            <v>ARACIL SAEZ, IGNACIO</v>
          </cell>
          <cell r="C548" t="str">
            <v>17/05/2021</v>
          </cell>
          <cell r="D548" t="str">
            <v>(en blanco)</v>
          </cell>
          <cell r="E548" t="str">
            <v>10.09</v>
          </cell>
          <cell r="F548" t="str">
            <v>I.U. INGENIERIA DE LOS PROCESOS QUIMICOS</v>
          </cell>
          <cell r="G548" t="str">
            <v>65</v>
          </cell>
          <cell r="H548" t="str">
            <v/>
          </cell>
          <cell r="I548" t="str">
            <v/>
          </cell>
          <cell r="J548" t="str">
            <v/>
          </cell>
          <cell r="K548" t="str">
            <v/>
          </cell>
          <cell r="L548" t="str">
            <v/>
          </cell>
        </row>
        <row r="549">
          <cell r="A549" t="str">
            <v>48352264P</v>
          </cell>
          <cell r="B549" t="str">
            <v>SOLIVERES CODINA, SANTIAGO</v>
          </cell>
          <cell r="C549" t="str">
            <v>08/11/2018</v>
          </cell>
          <cell r="D549" t="str">
            <v>(en blanco)</v>
          </cell>
          <cell r="E549" t="str">
            <v>10.16</v>
          </cell>
          <cell r="F549" t="str">
            <v>I.M.E.M. RAMON MARGALEF (IMEM)</v>
          </cell>
          <cell r="G549" t="str">
            <v>50</v>
          </cell>
          <cell r="H549" t="str">
            <v/>
          </cell>
          <cell r="I549" t="str">
            <v/>
          </cell>
          <cell r="J549" t="str">
            <v/>
          </cell>
          <cell r="K549" t="str">
            <v/>
          </cell>
          <cell r="L549" t="str">
            <v/>
          </cell>
        </row>
        <row r="550">
          <cell r="A550" t="str">
            <v>48353391P</v>
          </cell>
          <cell r="B550" t="str">
            <v>GIMENEZ FONT, PABLO</v>
          </cell>
          <cell r="C550" t="str">
            <v>30/09/2009</v>
          </cell>
          <cell r="D550" t="str">
            <v>(en blanco)</v>
          </cell>
          <cell r="E550" t="str">
            <v>10.13</v>
          </cell>
          <cell r="F550" t="str">
            <v>I.U. INVESTIGACION - CIBIO</v>
          </cell>
          <cell r="G550" t="str">
            <v>20</v>
          </cell>
          <cell r="H550" t="str">
            <v>10.21</v>
          </cell>
          <cell r="I550" t="str">
            <v>I.INTERUNIVERSITARIO GEOGRAFIA</v>
          </cell>
          <cell r="J550" t="str">
            <v>16/06/2021</v>
          </cell>
          <cell r="K550" t="str">
            <v>(en blanco)</v>
          </cell>
          <cell r="L550" t="str">
            <v>50</v>
          </cell>
        </row>
        <row r="551">
          <cell r="A551" t="str">
            <v>48353749K</v>
          </cell>
          <cell r="B551" t="str">
            <v>NORMAN MORA, ELOISA</v>
          </cell>
          <cell r="C551" t="str">
            <v>22/02/2016</v>
          </cell>
          <cell r="D551" t="str">
            <v>(en blanco)</v>
          </cell>
          <cell r="E551" t="str">
            <v>10.06</v>
          </cell>
          <cell r="F551" t="str">
            <v>I.INTERUNIVERSITARIO ECONOMIA INTERNACIO</v>
          </cell>
          <cell r="G551" t="str">
            <v>50</v>
          </cell>
          <cell r="H551" t="str">
            <v/>
          </cell>
          <cell r="I551" t="str">
            <v/>
          </cell>
          <cell r="J551" t="str">
            <v/>
          </cell>
          <cell r="K551" t="str">
            <v/>
          </cell>
          <cell r="L551" t="str">
            <v/>
          </cell>
        </row>
        <row r="552">
          <cell r="A552" t="str">
            <v>48354591N</v>
          </cell>
          <cell r="B552" t="str">
            <v>POVEDA MARTINEZ, PEDRO</v>
          </cell>
          <cell r="C552" t="str">
            <v>22/10/2020</v>
          </cell>
          <cell r="D552" t="str">
            <v>(en blanco)</v>
          </cell>
          <cell r="E552" t="str">
            <v>10.20</v>
          </cell>
          <cell r="F552" t="str">
            <v>I.U. FISICA APLICADA A LAS CIENCIAS Y LA</v>
          </cell>
          <cell r="G552" t="str">
            <v>50</v>
          </cell>
          <cell r="H552" t="str">
            <v/>
          </cell>
          <cell r="I552" t="str">
            <v/>
          </cell>
          <cell r="J552" t="str">
            <v/>
          </cell>
          <cell r="K552" t="str">
            <v/>
          </cell>
          <cell r="L552" t="str">
            <v/>
          </cell>
        </row>
        <row r="553">
          <cell r="A553" t="str">
            <v>48355574Y</v>
          </cell>
          <cell r="B553" t="str">
            <v>SANDERSON PASTOR, JOHN DOUGLAS</v>
          </cell>
          <cell r="C553" t="str">
            <v>01/03/2006</v>
          </cell>
          <cell r="D553" t="str">
            <v>(en blanco)</v>
          </cell>
          <cell r="E553" t="str">
            <v>10.15</v>
          </cell>
          <cell r="F553" t="str">
            <v>I.INTERUNIV. LENGUAS MODERNAS APLICADAS</v>
          </cell>
          <cell r="G553" t="str">
            <v>10</v>
          </cell>
          <cell r="H553" t="str">
            <v/>
          </cell>
          <cell r="I553" t="str">
            <v/>
          </cell>
          <cell r="J553" t="str">
            <v/>
          </cell>
          <cell r="K553" t="str">
            <v/>
          </cell>
          <cell r="L553" t="str">
            <v/>
          </cell>
        </row>
        <row r="554">
          <cell r="A554" t="str">
            <v>48356166T</v>
          </cell>
          <cell r="B554" t="str">
            <v>ORTUÑO GARCIA, NURIA</v>
          </cell>
          <cell r="C554" t="str">
            <v>09/03/2021</v>
          </cell>
          <cell r="D554" t="str">
            <v>(en blanco)</v>
          </cell>
          <cell r="E554" t="str">
            <v>10.09</v>
          </cell>
          <cell r="F554" t="str">
            <v>I.U. INGENIERIA DE LOS PROCESOS QUIMICOS</v>
          </cell>
          <cell r="G554" t="str">
            <v>90</v>
          </cell>
          <cell r="H554" t="str">
            <v/>
          </cell>
          <cell r="I554" t="str">
            <v/>
          </cell>
          <cell r="J554" t="str">
            <v/>
          </cell>
          <cell r="K554" t="str">
            <v/>
          </cell>
          <cell r="L554" t="str">
            <v/>
          </cell>
        </row>
        <row r="555">
          <cell r="A555" t="str">
            <v>48356326E</v>
          </cell>
          <cell r="B555" t="str">
            <v>CAPDEPON FRIAS, MARGARITA</v>
          </cell>
          <cell r="C555" t="str">
            <v>25/10/2021</v>
          </cell>
          <cell r="D555" t="str">
            <v>(en blanco)</v>
          </cell>
          <cell r="E555" t="str">
            <v>10.17</v>
          </cell>
          <cell r="F555" t="str">
            <v>I.U. INVESTIGACIONES TURISTICAS</v>
          </cell>
          <cell r="G555" t="str">
            <v>30</v>
          </cell>
          <cell r="H555" t="str">
            <v>10.21</v>
          </cell>
          <cell r="I555" t="str">
            <v>I.INTERUNIVERSITARIO GEOGRAFIA</v>
          </cell>
          <cell r="J555" t="str">
            <v>25/10/2021</v>
          </cell>
          <cell r="K555" t="str">
            <v>(en blanco)</v>
          </cell>
          <cell r="L555" t="str">
            <v>30</v>
          </cell>
        </row>
        <row r="556">
          <cell r="A556" t="str">
            <v>48357020A</v>
          </cell>
          <cell r="B556" t="str">
            <v>GINER SANCHEZ, DAVID</v>
          </cell>
          <cell r="C556" t="str">
            <v>01/09/2020</v>
          </cell>
          <cell r="D556" t="str">
            <v>(en blanco)</v>
          </cell>
          <cell r="E556" t="str">
            <v>10.17</v>
          </cell>
          <cell r="F556" t="str">
            <v>I.U. INVESTIGACIONES TURISTICAS</v>
          </cell>
          <cell r="G556" t="str">
            <v>80</v>
          </cell>
          <cell r="H556" t="str">
            <v/>
          </cell>
          <cell r="I556" t="str">
            <v/>
          </cell>
          <cell r="J556" t="str">
            <v/>
          </cell>
          <cell r="K556" t="str">
            <v/>
          </cell>
          <cell r="L556" t="str">
            <v/>
          </cell>
        </row>
        <row r="557">
          <cell r="A557" t="str">
            <v>48358432N</v>
          </cell>
          <cell r="B557" t="str">
            <v>HERNANDEZ RUIZ, ALEJANDRA</v>
          </cell>
          <cell r="C557" t="str">
            <v>12/09/2014</v>
          </cell>
          <cell r="D557" t="str">
            <v>(en blanco)</v>
          </cell>
          <cell r="E557" t="str">
            <v>10.23</v>
          </cell>
          <cell r="F557" t="str">
            <v>I.U. INVESTIGACION ESTUDIOS DE GENERO</v>
          </cell>
          <cell r="G557" t="str">
            <v>30</v>
          </cell>
          <cell r="H557" t="str">
            <v/>
          </cell>
          <cell r="I557" t="str">
            <v/>
          </cell>
          <cell r="J557" t="str">
            <v/>
          </cell>
          <cell r="K557" t="str">
            <v/>
          </cell>
          <cell r="L557" t="str">
            <v/>
          </cell>
        </row>
        <row r="558">
          <cell r="A558" t="str">
            <v>48363194J</v>
          </cell>
          <cell r="B558" t="str">
            <v>GALLEGO DURAN, FRANCISCO JOSE</v>
          </cell>
          <cell r="C558" t="str">
            <v>11/04/2016</v>
          </cell>
          <cell r="D558" t="str">
            <v>(en blanco)</v>
          </cell>
          <cell r="E558" t="str">
            <v>10.19</v>
          </cell>
          <cell r="F558" t="str">
            <v>I.U. INVESTIGACION INFORMATICA</v>
          </cell>
          <cell r="G558" t="str">
            <v>20</v>
          </cell>
          <cell r="H558" t="str">
            <v/>
          </cell>
          <cell r="I558" t="str">
            <v/>
          </cell>
          <cell r="J558" t="str">
            <v/>
          </cell>
          <cell r="K558" t="str">
            <v/>
          </cell>
          <cell r="L558" t="str">
            <v/>
          </cell>
        </row>
        <row r="559">
          <cell r="A559" t="str">
            <v>48364398K</v>
          </cell>
          <cell r="B559" t="str">
            <v>ILIESCU GHEORGHIU, CATALINA</v>
          </cell>
          <cell r="C559" t="str">
            <v>01/03/2006</v>
          </cell>
          <cell r="D559" t="str">
            <v>(en blanco)</v>
          </cell>
          <cell r="E559" t="str">
            <v>10.15</v>
          </cell>
          <cell r="F559" t="str">
            <v>I.INTERUNIV. LENGUAS MODERNAS APLICADAS</v>
          </cell>
          <cell r="G559" t="str">
            <v>10</v>
          </cell>
          <cell r="H559" t="str">
            <v/>
          </cell>
          <cell r="I559" t="str">
            <v/>
          </cell>
          <cell r="J559" t="str">
            <v/>
          </cell>
          <cell r="K559" t="str">
            <v/>
          </cell>
          <cell r="L559" t="str">
            <v/>
          </cell>
        </row>
        <row r="560">
          <cell r="A560" t="str">
            <v>48364625H</v>
          </cell>
          <cell r="B560" t="str">
            <v>AGUIRRE PASTOR, JOSE VICENTE</v>
          </cell>
          <cell r="C560" t="str">
            <v>22/12/2017</v>
          </cell>
          <cell r="D560" t="str">
            <v>(en blanco)</v>
          </cell>
          <cell r="E560" t="str">
            <v>10.19</v>
          </cell>
          <cell r="F560" t="str">
            <v>I.U. INVESTIGACION INFORMATICA</v>
          </cell>
          <cell r="G560" t="str">
            <v>20</v>
          </cell>
          <cell r="H560" t="str">
            <v/>
          </cell>
          <cell r="I560" t="str">
            <v/>
          </cell>
          <cell r="J560" t="str">
            <v/>
          </cell>
          <cell r="K560" t="str">
            <v/>
          </cell>
          <cell r="L560" t="str">
            <v/>
          </cell>
        </row>
        <row r="561">
          <cell r="A561" t="str">
            <v>48364694H</v>
          </cell>
          <cell r="B561" t="str">
            <v>BARCIELA GONZALEZ, VIRGINIA</v>
          </cell>
          <cell r="C561" t="str">
            <v>22/12/2017</v>
          </cell>
          <cell r="D561" t="str">
            <v>(en blanco)</v>
          </cell>
          <cell r="E561" t="str">
            <v>10.24</v>
          </cell>
          <cell r="F561" t="str">
            <v>I.U. INVESTIGACION ARQ. Y PATR. HIST.</v>
          </cell>
          <cell r="G561" t="str">
            <v>80</v>
          </cell>
          <cell r="H561" t="str">
            <v/>
          </cell>
          <cell r="I561" t="str">
            <v/>
          </cell>
          <cell r="J561" t="str">
            <v/>
          </cell>
          <cell r="K561" t="str">
            <v/>
          </cell>
          <cell r="L561" t="str">
            <v/>
          </cell>
        </row>
        <row r="562">
          <cell r="A562" t="str">
            <v>48375773B</v>
          </cell>
          <cell r="B562" t="str">
            <v>MORA GARCIA, RAUL TOMAS</v>
          </cell>
          <cell r="C562" t="str">
            <v>08/03/2021</v>
          </cell>
          <cell r="D562" t="str">
            <v>(en blanco)</v>
          </cell>
          <cell r="E562" t="str">
            <v>10.25</v>
          </cell>
          <cell r="F562" t="str">
            <v>I.U. INV. ESTUDIOS SOC. AMERICA LATINA</v>
          </cell>
          <cell r="G562" t="str">
            <v>10</v>
          </cell>
          <cell r="H562" t="str">
            <v/>
          </cell>
          <cell r="I562" t="str">
            <v/>
          </cell>
          <cell r="J562" t="str">
            <v/>
          </cell>
          <cell r="K562" t="str">
            <v/>
          </cell>
          <cell r="L562" t="str">
            <v/>
          </cell>
        </row>
        <row r="563">
          <cell r="A563" t="str">
            <v>48375795X</v>
          </cell>
          <cell r="B563" t="str">
            <v>BERNA MARTINEZ, JOSE VICENTE</v>
          </cell>
          <cell r="C563" t="str">
            <v>13/10/2011</v>
          </cell>
          <cell r="D563" t="str">
            <v>(en blanco)</v>
          </cell>
          <cell r="E563" t="str">
            <v>10.19</v>
          </cell>
          <cell r="F563" t="str">
            <v>I.U. INVESTIGACION INFORMATICA</v>
          </cell>
          <cell r="G563" t="str">
            <v>20</v>
          </cell>
          <cell r="H563" t="str">
            <v/>
          </cell>
          <cell r="I563" t="str">
            <v/>
          </cell>
          <cell r="J563" t="str">
            <v/>
          </cell>
          <cell r="K563" t="str">
            <v/>
          </cell>
          <cell r="L563" t="str">
            <v/>
          </cell>
        </row>
        <row r="564">
          <cell r="A564" t="str">
            <v>48378635K</v>
          </cell>
          <cell r="B564" t="str">
            <v>PEREZ SANCHO, CARLOS</v>
          </cell>
          <cell r="C564" t="str">
            <v>19/02/2010</v>
          </cell>
          <cell r="D564" t="str">
            <v>(en blanco)</v>
          </cell>
          <cell r="E564" t="str">
            <v>10.19</v>
          </cell>
          <cell r="F564" t="str">
            <v>I.U. INVESTIGACION INFORMATICA</v>
          </cell>
          <cell r="G564" t="str">
            <v>20</v>
          </cell>
          <cell r="H564" t="str">
            <v/>
          </cell>
          <cell r="I564" t="str">
            <v/>
          </cell>
          <cell r="J564" t="str">
            <v/>
          </cell>
          <cell r="K564" t="str">
            <v/>
          </cell>
          <cell r="L564" t="str">
            <v/>
          </cell>
        </row>
        <row r="565">
          <cell r="A565" t="str">
            <v>48379979P</v>
          </cell>
          <cell r="B565" t="str">
            <v>LOZANO CABEZAS, INES</v>
          </cell>
          <cell r="C565" t="str">
            <v>04/09/2017</v>
          </cell>
          <cell r="D565" t="str">
            <v>(en blanco)</v>
          </cell>
          <cell r="E565" t="str">
            <v>10.25</v>
          </cell>
          <cell r="F565" t="str">
            <v>I.U. INV. ESTUDIOS SOC. AMERICA LATINA</v>
          </cell>
          <cell r="G565" t="str">
            <v>30</v>
          </cell>
          <cell r="H565" t="str">
            <v>10.23</v>
          </cell>
          <cell r="I565" t="str">
            <v>I.U. INVESTIGACION ESTUDIOS DE GENERO</v>
          </cell>
          <cell r="J565" t="str">
            <v>14/12/2018</v>
          </cell>
          <cell r="K565" t="str">
            <v>(en blanco)</v>
          </cell>
          <cell r="L565" t="str">
            <v>20</v>
          </cell>
        </row>
        <row r="566">
          <cell r="A566" t="str">
            <v>48392661V</v>
          </cell>
          <cell r="B566" t="str">
            <v>BUENO ALONSO, JOSEFINA</v>
          </cell>
          <cell r="C566" t="str">
            <v>01/03/2006</v>
          </cell>
          <cell r="D566" t="str">
            <v>(en blanco)</v>
          </cell>
          <cell r="E566" t="str">
            <v>10.15</v>
          </cell>
          <cell r="F566" t="str">
            <v>I.INTERUNIV. LENGUAS MODERNAS APLICADAS</v>
          </cell>
          <cell r="G566" t="str">
            <v>10</v>
          </cell>
          <cell r="H566" t="str">
            <v>10.23</v>
          </cell>
          <cell r="I566" t="str">
            <v>I.U. INVESTIGACION ESTUDIOS DE GENERO</v>
          </cell>
          <cell r="J566" t="str">
            <v>09/12/2014</v>
          </cell>
          <cell r="K566" t="str">
            <v>(en blanco)</v>
          </cell>
          <cell r="L566" t="str">
            <v>10</v>
          </cell>
        </row>
        <row r="567">
          <cell r="A567" t="str">
            <v>48455569C</v>
          </cell>
          <cell r="B567" t="str">
            <v>PERTUSA IBAÑEZ, ANTONIO JORGE</v>
          </cell>
          <cell r="C567" t="str">
            <v>06/06/2018</v>
          </cell>
          <cell r="D567" t="str">
            <v>(en blanco)</v>
          </cell>
          <cell r="E567" t="str">
            <v>10.19</v>
          </cell>
          <cell r="F567" t="str">
            <v>I.U. INVESTIGACION INFORMATICA</v>
          </cell>
          <cell r="G567" t="str">
            <v>50</v>
          </cell>
          <cell r="H567" t="str">
            <v/>
          </cell>
          <cell r="I567" t="str">
            <v/>
          </cell>
          <cell r="J567" t="str">
            <v/>
          </cell>
          <cell r="K567" t="str">
            <v/>
          </cell>
          <cell r="L567" t="str">
            <v/>
          </cell>
        </row>
        <row r="568">
          <cell r="A568" t="str">
            <v>48457141M</v>
          </cell>
          <cell r="B568" t="str">
            <v>SALINAS SERRANO, JOSE MARIA</v>
          </cell>
          <cell r="C568" t="str">
            <v>02/04/2014</v>
          </cell>
          <cell r="D568" t="str">
            <v>(en blanco)</v>
          </cell>
          <cell r="E568" t="str">
            <v>10.19</v>
          </cell>
          <cell r="F568" t="str">
            <v>I.U. INVESTIGACION INFORMATICA</v>
          </cell>
          <cell r="G568" t="str">
            <v>20</v>
          </cell>
          <cell r="H568" t="str">
            <v/>
          </cell>
          <cell r="I568" t="str">
            <v/>
          </cell>
          <cell r="J568" t="str">
            <v/>
          </cell>
          <cell r="K568" t="str">
            <v/>
          </cell>
          <cell r="L568" t="str">
            <v/>
          </cell>
        </row>
        <row r="569">
          <cell r="A569" t="str">
            <v>48457726S</v>
          </cell>
          <cell r="B569" t="str">
            <v>ANDREU GUERRERO, MARIA ROSARIO</v>
          </cell>
          <cell r="C569" t="str">
            <v>22/03/2007</v>
          </cell>
          <cell r="D569" t="str">
            <v>(en blanco)</v>
          </cell>
          <cell r="E569" t="str">
            <v>10.17</v>
          </cell>
          <cell r="F569" t="str">
            <v>I.U. INVESTIGACIONES TURISTICAS</v>
          </cell>
          <cell r="G569" t="str">
            <v>30</v>
          </cell>
          <cell r="H569" t="str">
            <v/>
          </cell>
          <cell r="I569" t="str">
            <v/>
          </cell>
          <cell r="J569" t="str">
            <v/>
          </cell>
          <cell r="K569" t="str">
            <v/>
          </cell>
          <cell r="L569" t="str">
            <v/>
          </cell>
        </row>
        <row r="570">
          <cell r="A570" t="str">
            <v>48496100W</v>
          </cell>
          <cell r="B570" t="str">
            <v>URREA SOLANO, MARIA ENCARNACION</v>
          </cell>
          <cell r="C570" t="str">
            <v>04/06/2021</v>
          </cell>
          <cell r="D570" t="str">
            <v>(en blanco)</v>
          </cell>
          <cell r="E570" t="str">
            <v>10.23</v>
          </cell>
          <cell r="F570" t="str">
            <v>I.U. INVESTIGACION ESTUDIOS DE GENERO</v>
          </cell>
          <cell r="G570" t="str">
            <v>20</v>
          </cell>
          <cell r="H570" t="str">
            <v/>
          </cell>
          <cell r="I570" t="str">
            <v/>
          </cell>
          <cell r="J570" t="str">
            <v/>
          </cell>
          <cell r="K570" t="str">
            <v/>
          </cell>
          <cell r="L570" t="str">
            <v/>
          </cell>
        </row>
        <row r="571">
          <cell r="A571" t="str">
            <v>48525115Z</v>
          </cell>
          <cell r="B571" t="str">
            <v>ROMERO TARIN, ADELA</v>
          </cell>
          <cell r="C571" t="str">
            <v>06/07/2017</v>
          </cell>
          <cell r="D571" t="str">
            <v>(en blanco)</v>
          </cell>
          <cell r="E571" t="str">
            <v>10.25</v>
          </cell>
          <cell r="F571" t="str">
            <v>I.U. INV. ESTUDIOS SOC. AMERICA LATINA</v>
          </cell>
          <cell r="G571" t="str">
            <v>30</v>
          </cell>
          <cell r="H571" t="str">
            <v/>
          </cell>
          <cell r="I571" t="str">
            <v/>
          </cell>
          <cell r="J571" t="str">
            <v/>
          </cell>
          <cell r="K571" t="str">
            <v/>
          </cell>
          <cell r="L571" t="str">
            <v/>
          </cell>
        </row>
        <row r="572">
          <cell r="A572" t="str">
            <v>48531413X</v>
          </cell>
          <cell r="B572" t="str">
            <v>LOZANO ORTEGA, MIGUEL ANGEL</v>
          </cell>
          <cell r="C572" t="str">
            <v>28/07/2008</v>
          </cell>
          <cell r="D572" t="str">
            <v>(en blanco)</v>
          </cell>
          <cell r="E572" t="str">
            <v>10.19</v>
          </cell>
          <cell r="F572" t="str">
            <v>I.U. INVESTIGACION INFORMATICA</v>
          </cell>
          <cell r="G572" t="str">
            <v>20</v>
          </cell>
          <cell r="H572" t="str">
            <v/>
          </cell>
          <cell r="I572" t="str">
            <v/>
          </cell>
          <cell r="J572" t="str">
            <v/>
          </cell>
          <cell r="K572" t="str">
            <v/>
          </cell>
          <cell r="L572" t="str">
            <v/>
          </cell>
        </row>
        <row r="573">
          <cell r="A573" t="str">
            <v>48531956R</v>
          </cell>
          <cell r="B573" t="str">
            <v>GALLEGO SANCHEZ, ANTONIO JAVIER</v>
          </cell>
          <cell r="C573" t="str">
            <v>07/06/2013</v>
          </cell>
          <cell r="D573" t="str">
            <v>(en blanco)</v>
          </cell>
          <cell r="E573" t="str">
            <v>10.19</v>
          </cell>
          <cell r="F573" t="str">
            <v>I.U. INVESTIGACION INFORMATICA</v>
          </cell>
          <cell r="G573" t="str">
            <v>20</v>
          </cell>
          <cell r="H573" t="str">
            <v/>
          </cell>
          <cell r="I573" t="str">
            <v/>
          </cell>
          <cell r="J573" t="str">
            <v/>
          </cell>
          <cell r="K573" t="str">
            <v/>
          </cell>
          <cell r="L573" t="str">
            <v/>
          </cell>
        </row>
        <row r="574">
          <cell r="A574" t="str">
            <v>48534266B</v>
          </cell>
          <cell r="B574" t="str">
            <v>ESPLA GOMIS, MIQUEL</v>
          </cell>
          <cell r="C574" t="str">
            <v>18/05/2021</v>
          </cell>
          <cell r="D574" t="str">
            <v>(en blanco)</v>
          </cell>
          <cell r="E574" t="str">
            <v>10.19</v>
          </cell>
          <cell r="F574" t="str">
            <v>I.U. INVESTIGACION INFORMATICA</v>
          </cell>
          <cell r="G574" t="str">
            <v>20</v>
          </cell>
          <cell r="H574" t="str">
            <v/>
          </cell>
          <cell r="I574" t="str">
            <v/>
          </cell>
          <cell r="J574" t="str">
            <v/>
          </cell>
          <cell r="K574" t="str">
            <v/>
          </cell>
          <cell r="L574" t="str">
            <v/>
          </cell>
        </row>
        <row r="575">
          <cell r="A575" t="str">
            <v>48537598P</v>
          </cell>
          <cell r="B575" t="str">
            <v>BLANES MORA, RUBEN</v>
          </cell>
          <cell r="C575" t="str">
            <v>04/05/2021</v>
          </cell>
          <cell r="D575" t="str">
            <v>(en blanco)</v>
          </cell>
          <cell r="E575" t="str">
            <v>10.25</v>
          </cell>
          <cell r="F575" t="str">
            <v>I.U. INV. ESTUDIOS SOC. AMERICA LATINA</v>
          </cell>
          <cell r="G575" t="str">
            <v>30</v>
          </cell>
          <cell r="H575" t="str">
            <v/>
          </cell>
          <cell r="I575" t="str">
            <v/>
          </cell>
          <cell r="J575" t="str">
            <v/>
          </cell>
          <cell r="K575" t="str">
            <v/>
          </cell>
          <cell r="L575" t="str">
            <v/>
          </cell>
        </row>
        <row r="576">
          <cell r="A576" t="str">
            <v>48538859G</v>
          </cell>
          <cell r="B576" t="str">
            <v>MANCEBO ARACIL, JOSE FRANCISCO</v>
          </cell>
          <cell r="C576" t="str">
            <v>22/02/2021</v>
          </cell>
          <cell r="D576" t="str">
            <v>(en blanco)</v>
          </cell>
          <cell r="E576" t="str">
            <v>10.17</v>
          </cell>
          <cell r="F576" t="str">
            <v>I.U. INVESTIGACIONES TURISTICAS</v>
          </cell>
          <cell r="G576" t="str">
            <v>20</v>
          </cell>
          <cell r="H576" t="str">
            <v/>
          </cell>
          <cell r="I576" t="str">
            <v/>
          </cell>
          <cell r="J576" t="str">
            <v/>
          </cell>
          <cell r="K576" t="str">
            <v/>
          </cell>
          <cell r="L576" t="str">
            <v/>
          </cell>
        </row>
        <row r="577">
          <cell r="A577" t="str">
            <v>48539812Z</v>
          </cell>
          <cell r="B577" t="str">
            <v>PEREZ MOLINA, MANUEL</v>
          </cell>
          <cell r="C577" t="str">
            <v>11/03/2010</v>
          </cell>
          <cell r="D577" t="str">
            <v>(en blanco)</v>
          </cell>
          <cell r="E577" t="str">
            <v>10.20</v>
          </cell>
          <cell r="F577" t="str">
            <v>I.U. FISICA APLICADA A LAS CIENCIAS Y LA</v>
          </cell>
          <cell r="G577" t="str">
            <v>20</v>
          </cell>
          <cell r="H577" t="str">
            <v/>
          </cell>
          <cell r="I577" t="str">
            <v/>
          </cell>
          <cell r="J577" t="str">
            <v/>
          </cell>
          <cell r="K577" t="str">
            <v/>
          </cell>
          <cell r="L577" t="str">
            <v/>
          </cell>
        </row>
        <row r="578">
          <cell r="A578" t="str">
            <v>48555813F</v>
          </cell>
          <cell r="B578" t="str">
            <v>RODRIGUEZ HERNANDEZ, MARIA DEL CARMEN</v>
          </cell>
          <cell r="C578" t="str">
            <v>01/10/2015</v>
          </cell>
          <cell r="D578" t="str">
            <v>(en blanco)</v>
          </cell>
          <cell r="E578" t="str">
            <v>10.05</v>
          </cell>
          <cell r="F578" t="str">
            <v>I.U. AGUA Y CIENCIAS AMBIENTALES</v>
          </cell>
          <cell r="G578" t="str">
            <v>50</v>
          </cell>
          <cell r="H578" t="str">
            <v/>
          </cell>
          <cell r="I578" t="str">
            <v/>
          </cell>
          <cell r="J578" t="str">
            <v/>
          </cell>
          <cell r="K578" t="str">
            <v/>
          </cell>
          <cell r="L578" t="str">
            <v/>
          </cell>
        </row>
        <row r="579">
          <cell r="A579" t="str">
            <v>48558539L</v>
          </cell>
          <cell r="B579" t="str">
            <v>MATE MORGA, ALEJANDRO</v>
          </cell>
          <cell r="C579" t="str">
            <v>21/02/2022</v>
          </cell>
          <cell r="D579" t="str">
            <v>(en blanco)</v>
          </cell>
          <cell r="E579" t="str">
            <v>10.19</v>
          </cell>
          <cell r="F579" t="str">
            <v>I.U. INVESTIGACION INFORMATICA</v>
          </cell>
          <cell r="G579" t="str">
            <v>20</v>
          </cell>
          <cell r="H579" t="str">
            <v/>
          </cell>
          <cell r="I579" t="str">
            <v/>
          </cell>
          <cell r="J579" t="str">
            <v/>
          </cell>
          <cell r="K579" t="str">
            <v/>
          </cell>
          <cell r="L579" t="str">
            <v/>
          </cell>
        </row>
        <row r="580">
          <cell r="A580" t="str">
            <v>48560510N</v>
          </cell>
          <cell r="B580" t="str">
            <v>ZUBCOFF VALLEJO, JOSE JACOBO</v>
          </cell>
          <cell r="C580" t="str">
            <v>21/07/2014</v>
          </cell>
          <cell r="D580" t="str">
            <v>(en blanco)</v>
          </cell>
          <cell r="E580" t="str">
            <v>10.16</v>
          </cell>
          <cell r="F580" t="str">
            <v>I.M.E.M. RAMON MARGALEF (IMEM)</v>
          </cell>
          <cell r="G580" t="str">
            <v>10</v>
          </cell>
          <cell r="H580" t="str">
            <v>10.19</v>
          </cell>
          <cell r="I580" t="str">
            <v>I.U. INVESTIGACION INFORMATICA</v>
          </cell>
          <cell r="J580" t="str">
            <v>09/06/2022</v>
          </cell>
          <cell r="K580" t="str">
            <v>(en blanco)</v>
          </cell>
          <cell r="L580" t="str">
            <v>10</v>
          </cell>
        </row>
        <row r="581">
          <cell r="A581" t="str">
            <v>48561192G</v>
          </cell>
          <cell r="B581" t="str">
            <v>ROSA CINTAS, SERGIO</v>
          </cell>
          <cell r="C581" t="str">
            <v>06/11/2017</v>
          </cell>
          <cell r="D581" t="str">
            <v>(en blanco)</v>
          </cell>
          <cell r="E581" t="str">
            <v>10.20</v>
          </cell>
          <cell r="F581" t="str">
            <v>I.U. FISICA APLICADA A LAS CIENCIAS Y LA</v>
          </cell>
          <cell r="G581" t="str">
            <v>50</v>
          </cell>
          <cell r="H581" t="str">
            <v/>
          </cell>
          <cell r="I581" t="str">
            <v/>
          </cell>
          <cell r="J581" t="str">
            <v/>
          </cell>
          <cell r="K581" t="str">
            <v/>
          </cell>
          <cell r="L581" t="str">
            <v/>
          </cell>
        </row>
        <row r="582">
          <cell r="A582" t="str">
            <v>48561476N</v>
          </cell>
          <cell r="B582" t="str">
            <v>PLA BRU, MARIA DE LA CONCEPCION</v>
          </cell>
          <cell r="C582" t="str">
            <v>19/09/2017</v>
          </cell>
          <cell r="D582" t="str">
            <v>(en blanco)</v>
          </cell>
          <cell r="E582" t="str">
            <v>10.05</v>
          </cell>
          <cell r="F582" t="str">
            <v>I.U. AGUA Y CIENCIAS AMBIENTALES</v>
          </cell>
          <cell r="G582" t="str">
            <v>20</v>
          </cell>
          <cell r="H582" t="str">
            <v/>
          </cell>
          <cell r="I582" t="str">
            <v/>
          </cell>
          <cell r="J582" t="str">
            <v/>
          </cell>
          <cell r="K582" t="str">
            <v/>
          </cell>
          <cell r="L582" t="str">
            <v/>
          </cell>
        </row>
        <row r="583">
          <cell r="A583" t="str">
            <v>48561783C</v>
          </cell>
          <cell r="B583" t="str">
            <v>LAVALE ORTIZ, RUTH MARIA</v>
          </cell>
          <cell r="C583" t="str">
            <v>17/01/2018</v>
          </cell>
          <cell r="D583" t="str">
            <v>(en blanco)</v>
          </cell>
          <cell r="E583" t="str">
            <v>10.25</v>
          </cell>
          <cell r="F583" t="str">
            <v>I.U. INV. ESTUDIOS SOC. AMERICA LATINA</v>
          </cell>
          <cell r="G583" t="str">
            <v>30</v>
          </cell>
          <cell r="H583" t="str">
            <v/>
          </cell>
          <cell r="I583" t="str">
            <v/>
          </cell>
          <cell r="J583" t="str">
            <v/>
          </cell>
          <cell r="K583" t="str">
            <v/>
          </cell>
          <cell r="L583" t="str">
            <v/>
          </cell>
        </row>
        <row r="584">
          <cell r="A584" t="str">
            <v>48568823E</v>
          </cell>
          <cell r="B584" t="str">
            <v>SANCHEZ LIZASO, JOSE LUIS</v>
          </cell>
          <cell r="C584" t="str">
            <v>01/03/2006</v>
          </cell>
          <cell r="D584" t="str">
            <v>(en blanco)</v>
          </cell>
          <cell r="E584" t="str">
            <v>10.05</v>
          </cell>
          <cell r="F584" t="str">
            <v>I.U. AGUA Y CIENCIAS AMBIENTALES</v>
          </cell>
          <cell r="G584" t="str">
            <v>10</v>
          </cell>
          <cell r="H584" t="str">
            <v>10.16</v>
          </cell>
          <cell r="I584" t="str">
            <v>I.M.E.M. RAMON MARGALEF (IMEM)</v>
          </cell>
          <cell r="J584" t="str">
            <v>29/07/2014</v>
          </cell>
          <cell r="K584" t="str">
            <v>(en blanco)</v>
          </cell>
          <cell r="L584" t="str">
            <v>10</v>
          </cell>
        </row>
        <row r="585">
          <cell r="A585" t="str">
            <v>48569460S</v>
          </cell>
          <cell r="B585" t="str">
            <v>MATEO CORREDOR, DANIEL</v>
          </cell>
          <cell r="C585" t="str">
            <v>30/07/2020</v>
          </cell>
          <cell r="D585" t="str">
            <v>(en blanco)</v>
          </cell>
          <cell r="E585" t="str">
            <v>10.24</v>
          </cell>
          <cell r="F585" t="str">
            <v>I.U. INVESTIGACION ARQ. Y PATR. HIST.</v>
          </cell>
          <cell r="G585" t="str">
            <v>50</v>
          </cell>
          <cell r="H585" t="str">
            <v/>
          </cell>
          <cell r="I585" t="str">
            <v/>
          </cell>
          <cell r="J585" t="str">
            <v/>
          </cell>
          <cell r="K585" t="str">
            <v/>
          </cell>
          <cell r="L585" t="str">
            <v/>
          </cell>
        </row>
        <row r="586">
          <cell r="A586" t="str">
            <v>48570418F</v>
          </cell>
          <cell r="B586" t="str">
            <v>GUIJARRO CARRATALA, NESTOR</v>
          </cell>
          <cell r="C586" t="str">
            <v>01/09/2020</v>
          </cell>
          <cell r="D586" t="str">
            <v>31/08/2025</v>
          </cell>
          <cell r="E586" t="str">
            <v>10.12</v>
          </cell>
          <cell r="F586" t="str">
            <v>I.U. ELECTROQUIMICA</v>
          </cell>
          <cell r="G586" t="str">
            <v>100</v>
          </cell>
          <cell r="H586" t="str">
            <v/>
          </cell>
          <cell r="I586" t="str">
            <v/>
          </cell>
          <cell r="J586" t="str">
            <v/>
          </cell>
          <cell r="K586" t="str">
            <v/>
          </cell>
          <cell r="L586" t="str">
            <v/>
          </cell>
        </row>
        <row r="587">
          <cell r="A587" t="str">
            <v>48573129G</v>
          </cell>
          <cell r="B587" t="str">
            <v>ABELLAN CONTRERAS, FRANCISCO JOSE</v>
          </cell>
          <cell r="C587" t="str">
            <v>25/05/2018</v>
          </cell>
          <cell r="D587" t="str">
            <v>(en blanco)</v>
          </cell>
          <cell r="E587" t="str">
            <v>10.05</v>
          </cell>
          <cell r="F587" t="str">
            <v>I.U. AGUA Y CIENCIAS AMBIENTALES</v>
          </cell>
          <cell r="G587" t="str">
            <v>25</v>
          </cell>
          <cell r="H587" t="str">
            <v/>
          </cell>
          <cell r="I587" t="str">
            <v/>
          </cell>
          <cell r="J587" t="str">
            <v/>
          </cell>
          <cell r="K587" t="str">
            <v/>
          </cell>
          <cell r="L587" t="str">
            <v/>
          </cell>
        </row>
        <row r="588">
          <cell r="A588" t="str">
            <v>48574813D</v>
          </cell>
          <cell r="B588" t="str">
            <v>PALOMO ALEPUZ, LAURA CRISTINA</v>
          </cell>
          <cell r="C588" t="str">
            <v>18/12/2020</v>
          </cell>
          <cell r="D588" t="str">
            <v>(en blanco)</v>
          </cell>
          <cell r="E588" t="str">
            <v>10.23</v>
          </cell>
          <cell r="F588" t="str">
            <v>I.U. INVESTIGACION ESTUDIOS DE GENERO</v>
          </cell>
          <cell r="G588" t="str">
            <v>20</v>
          </cell>
          <cell r="H588" t="str">
            <v/>
          </cell>
          <cell r="I588" t="str">
            <v/>
          </cell>
          <cell r="J588" t="str">
            <v/>
          </cell>
          <cell r="K588" t="str">
            <v/>
          </cell>
          <cell r="L588" t="str">
            <v/>
          </cell>
        </row>
        <row r="589">
          <cell r="A589" t="str">
            <v>48575141S</v>
          </cell>
          <cell r="B589" t="str">
            <v>GOMIS BERENGUER, ALICIA</v>
          </cell>
          <cell r="C589" t="str">
            <v>01/01/2022</v>
          </cell>
          <cell r="D589" t="str">
            <v>31/12/2024</v>
          </cell>
          <cell r="E589" t="str">
            <v>10.12</v>
          </cell>
          <cell r="F589" t="str">
            <v>I.U. ELECTROQUIMICA</v>
          </cell>
          <cell r="G589" t="str">
            <v>100</v>
          </cell>
          <cell r="H589" t="str">
            <v/>
          </cell>
          <cell r="I589" t="str">
            <v/>
          </cell>
          <cell r="J589" t="str">
            <v/>
          </cell>
          <cell r="K589" t="str">
            <v/>
          </cell>
          <cell r="L589" t="str">
            <v/>
          </cell>
        </row>
        <row r="590">
          <cell r="A590" t="str">
            <v>48620517N</v>
          </cell>
          <cell r="B590" t="str">
            <v>BOSQUE MARTINEZ, IRENE</v>
          </cell>
          <cell r="C590" t="str">
            <v>23/07/2020</v>
          </cell>
          <cell r="D590" t="str">
            <v>(en blanco)</v>
          </cell>
          <cell r="E590" t="str">
            <v>10.11</v>
          </cell>
          <cell r="F590" t="str">
            <v>I.U. SINTESIS ORGANICA</v>
          </cell>
          <cell r="G590" t="str">
            <v>90</v>
          </cell>
          <cell r="H590" t="str">
            <v/>
          </cell>
          <cell r="I590" t="str">
            <v/>
          </cell>
          <cell r="J590" t="str">
            <v/>
          </cell>
          <cell r="K590" t="str">
            <v/>
          </cell>
          <cell r="L590" t="str">
            <v/>
          </cell>
        </row>
        <row r="591">
          <cell r="A591" t="str">
            <v>48624316Q</v>
          </cell>
          <cell r="B591" t="str">
            <v>RIZO MAESTRE, CARLOS</v>
          </cell>
          <cell r="C591" t="str">
            <v>14/11/2019</v>
          </cell>
          <cell r="D591" t="str">
            <v>(en blanco)</v>
          </cell>
          <cell r="E591" t="str">
            <v>10.05</v>
          </cell>
          <cell r="F591" t="str">
            <v>I.U. AGUA Y CIENCIAS AMBIENTALES</v>
          </cell>
          <cell r="G591" t="str">
            <v>20</v>
          </cell>
          <cell r="H591" t="str">
            <v/>
          </cell>
          <cell r="I591" t="str">
            <v/>
          </cell>
          <cell r="J591" t="str">
            <v/>
          </cell>
          <cell r="K591" t="str">
            <v/>
          </cell>
          <cell r="L591" t="str">
            <v/>
          </cell>
        </row>
        <row r="592">
          <cell r="A592" t="str">
            <v>48667279S</v>
          </cell>
          <cell r="B592" t="str">
            <v>COLOMINA MARTINEZ, JAUME</v>
          </cell>
          <cell r="C592" t="str">
            <v>13/04/2022</v>
          </cell>
          <cell r="D592" t="str">
            <v>12/04/2023</v>
          </cell>
          <cell r="E592" t="str">
            <v>10.20</v>
          </cell>
          <cell r="F592" t="str">
            <v>I.U. FISICA APLICADA A LAS CIENCIAS Y LA</v>
          </cell>
          <cell r="G592" t="str">
            <v>100</v>
          </cell>
          <cell r="H592" t="str">
            <v/>
          </cell>
          <cell r="I592" t="str">
            <v/>
          </cell>
          <cell r="J592" t="str">
            <v/>
          </cell>
          <cell r="K592" t="str">
            <v/>
          </cell>
          <cell r="L592" t="str">
            <v/>
          </cell>
        </row>
        <row r="593">
          <cell r="A593" t="str">
            <v>48668211G</v>
          </cell>
          <cell r="B593" t="str">
            <v>OLCINA LAGOS, SANTIAGO</v>
          </cell>
          <cell r="C593" t="str">
            <v>16/01/2022</v>
          </cell>
          <cell r="D593" t="str">
            <v>15/04/2023</v>
          </cell>
          <cell r="E593" t="str">
            <v>10.24</v>
          </cell>
          <cell r="F593" t="str">
            <v>I.U. INVESTIGACION ARQ. Y PATR. HIST.</v>
          </cell>
          <cell r="G593" t="str">
            <v>100</v>
          </cell>
          <cell r="H593" t="str">
            <v/>
          </cell>
          <cell r="I593" t="str">
            <v/>
          </cell>
          <cell r="J593" t="str">
            <v/>
          </cell>
          <cell r="K593" t="str">
            <v/>
          </cell>
          <cell r="L593" t="str">
            <v/>
          </cell>
        </row>
        <row r="594">
          <cell r="A594" t="str">
            <v>48670737T</v>
          </cell>
          <cell r="B594" t="str">
            <v>GANDON ROS, GERARD</v>
          </cell>
          <cell r="C594" t="str">
            <v>01/07/2021</v>
          </cell>
          <cell r="D594" t="str">
            <v>30/11/2022</v>
          </cell>
          <cell r="E594" t="str">
            <v>10.09</v>
          </cell>
          <cell r="F594" t="str">
            <v>I.U. INGENIERIA DE LOS PROCESOS QUIMICOS</v>
          </cell>
          <cell r="G594" t="str">
            <v>100</v>
          </cell>
          <cell r="H594" t="str">
            <v/>
          </cell>
          <cell r="I594" t="str">
            <v/>
          </cell>
          <cell r="J594" t="str">
            <v/>
          </cell>
          <cell r="K594" t="str">
            <v/>
          </cell>
          <cell r="L594" t="str">
            <v/>
          </cell>
        </row>
        <row r="595">
          <cell r="A595" t="str">
            <v>48671295Y</v>
          </cell>
          <cell r="B595" t="str">
            <v>MARTINEZ CASTRO, JENNIFER</v>
          </cell>
          <cell r="C595" t="str">
            <v>09/12/2020</v>
          </cell>
          <cell r="D595" t="str">
            <v>31/05/2023</v>
          </cell>
          <cell r="E595" t="str">
            <v>10.09</v>
          </cell>
          <cell r="F595" t="str">
            <v>I.U. INGENIERIA DE LOS PROCESOS QUIMICOS</v>
          </cell>
          <cell r="G595" t="str">
            <v>100</v>
          </cell>
          <cell r="H595" t="str">
            <v/>
          </cell>
          <cell r="I595" t="str">
            <v/>
          </cell>
          <cell r="J595" t="str">
            <v/>
          </cell>
          <cell r="K595" t="str">
            <v/>
          </cell>
          <cell r="L595" t="str">
            <v/>
          </cell>
        </row>
        <row r="596">
          <cell r="A596" t="str">
            <v>48674922E</v>
          </cell>
          <cell r="B596" t="str">
            <v>ALVAREZ LOPEZ, MARIELA LAZARA</v>
          </cell>
          <cell r="C596" t="str">
            <v>08/11/2017</v>
          </cell>
          <cell r="D596" t="str">
            <v>(en blanco)</v>
          </cell>
          <cell r="E596" t="str">
            <v>10.20</v>
          </cell>
          <cell r="F596" t="str">
            <v>I.U. FISICA APLICADA A LAS CIENCIAS Y LA</v>
          </cell>
          <cell r="G596" t="str">
            <v>50</v>
          </cell>
          <cell r="H596" t="str">
            <v/>
          </cell>
          <cell r="I596" t="str">
            <v/>
          </cell>
          <cell r="J596" t="str">
            <v/>
          </cell>
          <cell r="K596" t="str">
            <v/>
          </cell>
          <cell r="L596" t="str">
            <v/>
          </cell>
        </row>
        <row r="597">
          <cell r="A597" t="str">
            <v>48675341G</v>
          </cell>
          <cell r="B597" t="str">
            <v>GUIJARRO RAMIREZ, NURIA</v>
          </cell>
          <cell r="C597" t="str">
            <v>11/01/2022</v>
          </cell>
          <cell r="D597" t="str">
            <v>10/01/2023</v>
          </cell>
          <cell r="E597" t="str">
            <v>10.16</v>
          </cell>
          <cell r="F597" t="str">
            <v>I.M.E.M. RAMON MARGALEF (IMEM)</v>
          </cell>
          <cell r="G597" t="str">
            <v>100</v>
          </cell>
          <cell r="H597" t="str">
            <v/>
          </cell>
          <cell r="I597" t="str">
            <v/>
          </cell>
          <cell r="J597" t="str">
            <v/>
          </cell>
          <cell r="K597" t="str">
            <v/>
          </cell>
          <cell r="L597" t="str">
            <v/>
          </cell>
        </row>
        <row r="598">
          <cell r="A598" t="str">
            <v>48675459F</v>
          </cell>
          <cell r="B598" t="str">
            <v>BENAICHA ZIANI, M. NAIMA</v>
          </cell>
          <cell r="C598" t="str">
            <v>17/06/2019</v>
          </cell>
          <cell r="D598" t="str">
            <v>(en blanco)</v>
          </cell>
          <cell r="E598" t="str">
            <v>10.23</v>
          </cell>
          <cell r="F598" t="str">
            <v>I.U. INVESTIGACION ESTUDIOS DE GENERO</v>
          </cell>
          <cell r="G598" t="str">
            <v>20</v>
          </cell>
          <cell r="H598" t="str">
            <v/>
          </cell>
          <cell r="I598" t="str">
            <v/>
          </cell>
          <cell r="J598" t="str">
            <v/>
          </cell>
          <cell r="K598" t="str">
            <v/>
          </cell>
          <cell r="L598" t="str">
            <v/>
          </cell>
        </row>
        <row r="599">
          <cell r="A599" t="str">
            <v>48675989P</v>
          </cell>
          <cell r="B599" t="str">
            <v>CARBONELL HERMIDA, PALOMA</v>
          </cell>
          <cell r="C599" t="str">
            <v>01/09/2022</v>
          </cell>
          <cell r="D599" t="str">
            <v>09/12/2022</v>
          </cell>
          <cell r="E599" t="str">
            <v>10.09</v>
          </cell>
          <cell r="F599" t="str">
            <v>I.U. INGENIERIA DE LOS PROCESOS QUIMICOS</v>
          </cell>
          <cell r="G599" t="str">
            <v>100</v>
          </cell>
          <cell r="H599" t="str">
            <v/>
          </cell>
          <cell r="I599" t="str">
            <v/>
          </cell>
          <cell r="J599" t="str">
            <v/>
          </cell>
          <cell r="K599" t="str">
            <v/>
          </cell>
          <cell r="L599" t="str">
            <v/>
          </cell>
        </row>
        <row r="600">
          <cell r="A600" t="str">
            <v>48721262V</v>
          </cell>
          <cell r="B600" t="str">
            <v>PRADO GOVEA, RAUL HUGO</v>
          </cell>
          <cell r="C600" t="str">
            <v>26/06/2017</v>
          </cell>
          <cell r="D600" t="str">
            <v>(en blanco)</v>
          </cell>
          <cell r="E600" t="str">
            <v>10.24</v>
          </cell>
          <cell r="F600" t="str">
            <v>I.U. INVESTIGACION ARQ. Y PATR. HIST.</v>
          </cell>
          <cell r="G600" t="str">
            <v>30</v>
          </cell>
          <cell r="H600" t="str">
            <v/>
          </cell>
          <cell r="I600" t="str">
            <v/>
          </cell>
          <cell r="J600" t="str">
            <v/>
          </cell>
          <cell r="K600" t="str">
            <v/>
          </cell>
          <cell r="L600" t="str">
            <v/>
          </cell>
        </row>
        <row r="601">
          <cell r="A601" t="str">
            <v>48723729T</v>
          </cell>
          <cell r="B601" t="str">
            <v>MOYA SORIANO, ESTER</v>
          </cell>
          <cell r="C601" t="str">
            <v>01/12/2020</v>
          </cell>
          <cell r="D601" t="str">
            <v>30/11/2023</v>
          </cell>
          <cell r="E601" t="str">
            <v>10.24</v>
          </cell>
          <cell r="F601" t="str">
            <v>I.U. INVESTIGACION ARQ. Y PATR. HIST.</v>
          </cell>
          <cell r="G601" t="str">
            <v>100</v>
          </cell>
          <cell r="H601" t="str">
            <v/>
          </cell>
          <cell r="I601" t="str">
            <v/>
          </cell>
          <cell r="J601" t="str">
            <v/>
          </cell>
          <cell r="K601" t="str">
            <v/>
          </cell>
          <cell r="L601" t="str">
            <v/>
          </cell>
        </row>
        <row r="602">
          <cell r="A602" t="str">
            <v>48765309L</v>
          </cell>
          <cell r="B602" t="str">
            <v>CHIAPPE ACOSTA, GUILLERMO</v>
          </cell>
          <cell r="C602" t="str">
            <v>25/04/2007</v>
          </cell>
          <cell r="D602" t="str">
            <v>(en blanco)</v>
          </cell>
          <cell r="E602" t="str">
            <v>10.14</v>
          </cell>
          <cell r="F602" t="str">
            <v>I.U. MATERIALES</v>
          </cell>
          <cell r="G602" t="str">
            <v>50</v>
          </cell>
          <cell r="H602" t="str">
            <v/>
          </cell>
          <cell r="I602" t="str">
            <v/>
          </cell>
          <cell r="J602" t="str">
            <v/>
          </cell>
          <cell r="K602" t="str">
            <v/>
          </cell>
          <cell r="L602" t="str">
            <v/>
          </cell>
        </row>
        <row r="603">
          <cell r="A603" t="str">
            <v>48765998H</v>
          </cell>
          <cell r="B603" t="str">
            <v>MAS FERRANDO, ADRIAN</v>
          </cell>
          <cell r="C603" t="str">
            <v>18/05/2022</v>
          </cell>
          <cell r="D603" t="str">
            <v>17/11/2022</v>
          </cell>
          <cell r="E603" t="str">
            <v>10.06</v>
          </cell>
          <cell r="F603" t="str">
            <v>I.INTERUNIVERSITARIO ECONOMIA INTERNACIO</v>
          </cell>
          <cell r="G603" t="str">
            <v>100</v>
          </cell>
          <cell r="H603" t="str">
            <v/>
          </cell>
          <cell r="I603" t="str">
            <v/>
          </cell>
          <cell r="J603" t="str">
            <v/>
          </cell>
          <cell r="K603" t="str">
            <v/>
          </cell>
          <cell r="L603" t="str">
            <v/>
          </cell>
        </row>
        <row r="604">
          <cell r="A604" t="str">
            <v>48766704B</v>
          </cell>
          <cell r="B604" t="str">
            <v>FARRANDO PEREZ, JUDIT</v>
          </cell>
          <cell r="C604" t="str">
            <v>01/12/2020</v>
          </cell>
          <cell r="D604" t="str">
            <v>30/11/2023</v>
          </cell>
          <cell r="E604" t="str">
            <v>10.14</v>
          </cell>
          <cell r="F604" t="str">
            <v>I.U. MATERIALES</v>
          </cell>
          <cell r="G604" t="str">
            <v>100</v>
          </cell>
          <cell r="H604" t="str">
            <v/>
          </cell>
          <cell r="I604" t="str">
            <v/>
          </cell>
          <cell r="J604" t="str">
            <v/>
          </cell>
          <cell r="K604" t="str">
            <v/>
          </cell>
          <cell r="L604" t="str">
            <v/>
          </cell>
        </row>
        <row r="605">
          <cell r="A605" t="str">
            <v>48769418B</v>
          </cell>
          <cell r="B605" t="str">
            <v>MERMA MOLINA, GLADYS</v>
          </cell>
          <cell r="C605" t="str">
            <v>21/12/2016</v>
          </cell>
          <cell r="D605" t="str">
            <v>(en blanco)</v>
          </cell>
          <cell r="E605" t="str">
            <v>10.23</v>
          </cell>
          <cell r="F605" t="str">
            <v>I.U. INVESTIGACION ESTUDIOS DE GENERO</v>
          </cell>
          <cell r="G605" t="str">
            <v>30</v>
          </cell>
          <cell r="H605" t="str">
            <v>10.25</v>
          </cell>
          <cell r="I605" t="str">
            <v>I.U. INV. ESTUDIOS SOC. AMERICA LATINA</v>
          </cell>
          <cell r="J605" t="str">
            <v>18/07/2017</v>
          </cell>
          <cell r="K605" t="str">
            <v>(en blanco)</v>
          </cell>
          <cell r="L605" t="str">
            <v>30</v>
          </cell>
        </row>
        <row r="606">
          <cell r="A606" t="str">
            <v>48774668V</v>
          </cell>
          <cell r="B606" t="str">
            <v>GARCIA CORRECHER, RUBEN</v>
          </cell>
          <cell r="C606" t="str">
            <v>12/09/2022</v>
          </cell>
          <cell r="D606" t="str">
            <v>11/09/2023</v>
          </cell>
          <cell r="E606" t="str">
            <v>10.09</v>
          </cell>
          <cell r="F606" t="str">
            <v>I.U. INGENIERIA DE LOS PROCESOS QUIMICOS</v>
          </cell>
          <cell r="G606" t="str">
            <v>100</v>
          </cell>
          <cell r="H606" t="str">
            <v/>
          </cell>
          <cell r="I606" t="str">
            <v/>
          </cell>
          <cell r="J606" t="str">
            <v/>
          </cell>
          <cell r="K606" t="str">
            <v/>
          </cell>
          <cell r="L606" t="str">
            <v/>
          </cell>
        </row>
        <row r="607">
          <cell r="A607" t="str">
            <v>48774934F</v>
          </cell>
          <cell r="B607" t="str">
            <v>VINADER ANTON, IRENE</v>
          </cell>
          <cell r="C607" t="str">
            <v>01/07/2022</v>
          </cell>
          <cell r="D607" t="str">
            <v>30/06/2023</v>
          </cell>
          <cell r="E607" t="str">
            <v>10.24</v>
          </cell>
          <cell r="F607" t="str">
            <v>I.U. INVESTIGACION ARQ. Y PATR. HIST.</v>
          </cell>
          <cell r="G607" t="str">
            <v>100</v>
          </cell>
          <cell r="H607" t="str">
            <v/>
          </cell>
          <cell r="I607" t="str">
            <v/>
          </cell>
          <cell r="J607" t="str">
            <v/>
          </cell>
          <cell r="K607" t="str">
            <v/>
          </cell>
          <cell r="L607" t="str">
            <v/>
          </cell>
        </row>
        <row r="608">
          <cell r="A608" t="str">
            <v>48787505C</v>
          </cell>
          <cell r="B608" t="str">
            <v>BERENGUER PASTOR, ALBERTO</v>
          </cell>
          <cell r="C608" t="str">
            <v>25/03/2022</v>
          </cell>
          <cell r="D608" t="str">
            <v>24/03/2023</v>
          </cell>
          <cell r="E608" t="str">
            <v>10.19</v>
          </cell>
          <cell r="F608" t="str">
            <v>I.U. INVESTIGACION INFORMATICA</v>
          </cell>
          <cell r="G608" t="str">
            <v>100</v>
          </cell>
          <cell r="H608" t="str">
            <v/>
          </cell>
          <cell r="I608" t="str">
            <v/>
          </cell>
          <cell r="J608" t="str">
            <v/>
          </cell>
          <cell r="K608" t="str">
            <v/>
          </cell>
          <cell r="L608" t="str">
            <v/>
          </cell>
        </row>
        <row r="609">
          <cell r="A609" t="str">
            <v>48790125H</v>
          </cell>
          <cell r="B609" t="str">
            <v>DENTON ZANELLO, CRISTIAN DIEGO</v>
          </cell>
          <cell r="C609" t="str">
            <v>03/10/2011</v>
          </cell>
          <cell r="D609" t="str">
            <v>(en blanco)</v>
          </cell>
          <cell r="E609" t="str">
            <v>10.14</v>
          </cell>
          <cell r="F609" t="str">
            <v>I.U. MATERIALES</v>
          </cell>
          <cell r="G609" t="str">
            <v>10</v>
          </cell>
          <cell r="H609" t="str">
            <v/>
          </cell>
          <cell r="I609" t="str">
            <v/>
          </cell>
          <cell r="J609" t="str">
            <v/>
          </cell>
          <cell r="K609" t="str">
            <v/>
          </cell>
          <cell r="L609" t="str">
            <v/>
          </cell>
        </row>
        <row r="610">
          <cell r="A610" t="str">
            <v>48796208Y</v>
          </cell>
          <cell r="B610" t="str">
            <v>ANTON CANOVAS, TERESA</v>
          </cell>
          <cell r="C610" t="str">
            <v>01/05/2022</v>
          </cell>
          <cell r="D610" t="str">
            <v>30/04/2025</v>
          </cell>
          <cell r="E610" t="str">
            <v>10.11</v>
          </cell>
          <cell r="F610" t="str">
            <v>I.U. SINTESIS ORGANICA</v>
          </cell>
          <cell r="G610" t="str">
            <v>100</v>
          </cell>
          <cell r="H610" t="str">
            <v/>
          </cell>
          <cell r="I610" t="str">
            <v/>
          </cell>
          <cell r="J610" t="str">
            <v/>
          </cell>
          <cell r="K610" t="str">
            <v/>
          </cell>
          <cell r="L610" t="str">
            <v/>
          </cell>
        </row>
        <row r="611">
          <cell r="A611" t="str">
            <v>48824879L</v>
          </cell>
          <cell r="B611" t="str">
            <v>MARTIN GARCIA, MARIA IRIS</v>
          </cell>
          <cell r="C611" t="str">
            <v>04/07/2022</v>
          </cell>
          <cell r="D611" t="str">
            <v>(en blanco)</v>
          </cell>
          <cell r="E611" t="str">
            <v>10.11</v>
          </cell>
          <cell r="F611" t="str">
            <v>I.U. SINTESIS ORGANICA</v>
          </cell>
          <cell r="G611" t="str">
            <v>100</v>
          </cell>
          <cell r="H611" t="str">
            <v/>
          </cell>
          <cell r="I611" t="str">
            <v/>
          </cell>
          <cell r="J611" t="str">
            <v/>
          </cell>
          <cell r="K611" t="str">
            <v/>
          </cell>
          <cell r="L611" t="str">
            <v/>
          </cell>
        </row>
        <row r="612">
          <cell r="A612" t="str">
            <v>48826899S</v>
          </cell>
          <cell r="B612" t="str">
            <v>MARTINEZ MARTINEZ, GUILLERMO</v>
          </cell>
          <cell r="C612" t="str">
            <v>09/12/2021</v>
          </cell>
          <cell r="D612" t="str">
            <v>08/12/2022</v>
          </cell>
          <cell r="E612" t="str">
            <v>10.16</v>
          </cell>
          <cell r="F612" t="str">
            <v>I.M.E.M. RAMON MARGALEF (IMEM)</v>
          </cell>
          <cell r="G612" t="str">
            <v>100</v>
          </cell>
          <cell r="H612" t="str">
            <v/>
          </cell>
          <cell r="I612" t="str">
            <v/>
          </cell>
          <cell r="J612" t="str">
            <v/>
          </cell>
          <cell r="K612" t="str">
            <v/>
          </cell>
          <cell r="L612" t="str">
            <v/>
          </cell>
        </row>
        <row r="613">
          <cell r="A613" t="str">
            <v>49625619Z</v>
          </cell>
          <cell r="B613" t="str">
            <v>SANCHEZ FAJARDO, JOSE ANTONIO</v>
          </cell>
          <cell r="C613" t="str">
            <v>26/02/2018</v>
          </cell>
          <cell r="D613" t="str">
            <v>(en blanco)</v>
          </cell>
          <cell r="E613" t="str">
            <v>10.15</v>
          </cell>
          <cell r="F613" t="str">
            <v>I.INTERUNIV. LENGUAS MODERNAS APLICADAS</v>
          </cell>
          <cell r="G613" t="str">
            <v>20</v>
          </cell>
          <cell r="H613" t="str">
            <v>10.25</v>
          </cell>
          <cell r="I613" t="str">
            <v>I.U. INV. ESTUDIOS SOC. AMERICA LATINA</v>
          </cell>
          <cell r="J613" t="str">
            <v>05/11/2019</v>
          </cell>
          <cell r="K613" t="str">
            <v>(en blanco)</v>
          </cell>
          <cell r="L613" t="str">
            <v>20</v>
          </cell>
        </row>
        <row r="614">
          <cell r="A614" t="str">
            <v>49626005D</v>
          </cell>
          <cell r="B614" t="str">
            <v>NUÑEZ RAMOS, SAMUEL SANTIAGO</v>
          </cell>
          <cell r="C614" t="str">
            <v>13/04/2021</v>
          </cell>
          <cell r="D614" t="str">
            <v>12/04/2023</v>
          </cell>
          <cell r="E614" t="str">
            <v>10.09</v>
          </cell>
          <cell r="F614" t="str">
            <v>I.U. INGENIERIA DE LOS PROCESOS QUIMICOS</v>
          </cell>
          <cell r="G614" t="str">
            <v>100</v>
          </cell>
          <cell r="H614" t="str">
            <v/>
          </cell>
          <cell r="I614" t="str">
            <v/>
          </cell>
          <cell r="J614" t="str">
            <v/>
          </cell>
          <cell r="K614" t="str">
            <v/>
          </cell>
          <cell r="L614" t="str">
            <v/>
          </cell>
        </row>
        <row r="615">
          <cell r="A615" t="str">
            <v>50170678L</v>
          </cell>
          <cell r="B615" t="str">
            <v>GIL MENDEZ, DAVID</v>
          </cell>
          <cell r="C615" t="str">
            <v>28/05/2009</v>
          </cell>
          <cell r="D615" t="str">
            <v>(en blanco)</v>
          </cell>
          <cell r="E615" t="str">
            <v>10.19</v>
          </cell>
          <cell r="F615" t="str">
            <v>I.U. INVESTIGACION INFORMATICA</v>
          </cell>
          <cell r="G615" t="str">
            <v>20</v>
          </cell>
          <cell r="H615" t="str">
            <v/>
          </cell>
          <cell r="I615" t="str">
            <v/>
          </cell>
          <cell r="J615" t="str">
            <v/>
          </cell>
          <cell r="K615" t="str">
            <v/>
          </cell>
          <cell r="L615" t="str">
            <v/>
          </cell>
        </row>
        <row r="616">
          <cell r="A616" t="str">
            <v>50283950Q</v>
          </cell>
          <cell r="B616" t="str">
            <v>FERNANDEZ ARRILLAGA, MARIA INMACULADA CONCEPCION</v>
          </cell>
          <cell r="C616" t="str">
            <v>28/05/2015</v>
          </cell>
          <cell r="D616" t="str">
            <v>(en blanco)</v>
          </cell>
          <cell r="E616" t="str">
            <v>10.23</v>
          </cell>
          <cell r="F616" t="str">
            <v>I.U. INVESTIGACION ESTUDIOS DE GENERO</v>
          </cell>
          <cell r="G616" t="str">
            <v>60</v>
          </cell>
          <cell r="H616" t="str">
            <v/>
          </cell>
          <cell r="I616" t="str">
            <v/>
          </cell>
          <cell r="J616" t="str">
            <v/>
          </cell>
          <cell r="K616" t="str">
            <v/>
          </cell>
          <cell r="L616" t="str">
            <v/>
          </cell>
        </row>
        <row r="617">
          <cell r="A617" t="str">
            <v>50380590X</v>
          </cell>
          <cell r="B617" t="str">
            <v>ALEMANY MOLINA, GABRIEL</v>
          </cell>
          <cell r="C617" t="str">
            <v>22/11/2021</v>
          </cell>
          <cell r="D617" t="str">
            <v>21/11/2025</v>
          </cell>
          <cell r="E617" t="str">
            <v>10.14</v>
          </cell>
          <cell r="F617" t="str">
            <v>I.U. MATERIALES</v>
          </cell>
          <cell r="G617" t="str">
            <v>100</v>
          </cell>
          <cell r="H617" t="str">
            <v/>
          </cell>
          <cell r="I617" t="str">
            <v/>
          </cell>
          <cell r="J617" t="str">
            <v/>
          </cell>
          <cell r="K617" t="str">
            <v/>
          </cell>
          <cell r="L617" t="str">
            <v/>
          </cell>
        </row>
        <row r="618">
          <cell r="A618" t="str">
            <v>50535098G</v>
          </cell>
          <cell r="B618" t="str">
            <v>BARCIELA LOPEZ, CARLOS</v>
          </cell>
          <cell r="C618" t="str">
            <v>01/03/2006</v>
          </cell>
          <cell r="D618" t="str">
            <v>(en blanco)</v>
          </cell>
          <cell r="E618" t="str">
            <v>10.06</v>
          </cell>
          <cell r="F618" t="str">
            <v>I.INTERUNIVERSITARIO ECONOMIA INTERNACIO</v>
          </cell>
          <cell r="G618" t="str">
            <v>10</v>
          </cell>
          <cell r="H618" t="str">
            <v>10.24</v>
          </cell>
          <cell r="I618" t="str">
            <v>I.U. INVESTIGACION ARQ. Y PATR. HIST.</v>
          </cell>
          <cell r="J618" t="str">
            <v>19/09/2014</v>
          </cell>
          <cell r="K618" t="str">
            <v>(en blanco)</v>
          </cell>
          <cell r="L618" t="str">
            <v>10</v>
          </cell>
        </row>
        <row r="619">
          <cell r="A619" t="str">
            <v>50591680Y</v>
          </cell>
          <cell r="B619" t="str">
            <v>BENAVIDEZ LOZANO, PAULA GABRIELA</v>
          </cell>
          <cell r="C619" t="str">
            <v>11/03/2010</v>
          </cell>
          <cell r="D619" t="str">
            <v>(en blanco)</v>
          </cell>
          <cell r="E619" t="str">
            <v>10.20</v>
          </cell>
          <cell r="F619" t="str">
            <v>I.U. FISICA APLICADA A LAS CIENCIAS Y LA</v>
          </cell>
          <cell r="G619" t="str">
            <v>20</v>
          </cell>
          <cell r="H619" t="str">
            <v/>
          </cell>
          <cell r="I619" t="str">
            <v/>
          </cell>
          <cell r="J619" t="str">
            <v/>
          </cell>
          <cell r="K619" t="str">
            <v/>
          </cell>
          <cell r="L619" t="str">
            <v/>
          </cell>
        </row>
        <row r="620">
          <cell r="A620" t="str">
            <v>50617642R</v>
          </cell>
          <cell r="B620" t="str">
            <v>CABEZAS MONTERO, RUFINO</v>
          </cell>
          <cell r="C620" t="str">
            <v>03/12/2021</v>
          </cell>
          <cell r="D620" t="str">
            <v>02/12/2022</v>
          </cell>
          <cell r="E620" t="str">
            <v>10.12</v>
          </cell>
          <cell r="F620" t="str">
            <v>I.U. ELECTROQUIMICA</v>
          </cell>
          <cell r="G620" t="str">
            <v>100</v>
          </cell>
          <cell r="H620" t="str">
            <v/>
          </cell>
          <cell r="I620" t="str">
            <v/>
          </cell>
          <cell r="J620" t="str">
            <v/>
          </cell>
          <cell r="K620" t="str">
            <v/>
          </cell>
          <cell r="L620" t="str">
            <v/>
          </cell>
        </row>
        <row r="621">
          <cell r="A621" t="str">
            <v>50735030C</v>
          </cell>
          <cell r="B621" t="str">
            <v>GILART IGLESIAS, VIRGILIO</v>
          </cell>
          <cell r="C621" t="str">
            <v>13/10/2011</v>
          </cell>
          <cell r="D621" t="str">
            <v>(en blanco)</v>
          </cell>
          <cell r="E621" t="str">
            <v>10.19</v>
          </cell>
          <cell r="F621" t="str">
            <v>I.U. INVESTIGACION INFORMATICA</v>
          </cell>
          <cell r="G621" t="str">
            <v>20</v>
          </cell>
          <cell r="H621" t="str">
            <v/>
          </cell>
          <cell r="I621" t="str">
            <v/>
          </cell>
          <cell r="J621" t="str">
            <v/>
          </cell>
          <cell r="K621" t="str">
            <v/>
          </cell>
          <cell r="L621" t="str">
            <v/>
          </cell>
        </row>
        <row r="622">
          <cell r="A622" t="str">
            <v>50750696T</v>
          </cell>
          <cell r="B622" t="str">
            <v>GONZALEZ SERRANO, GERMAN</v>
          </cell>
          <cell r="C622" t="str">
            <v>26/03/2021</v>
          </cell>
          <cell r="D622" t="str">
            <v>(en blanco)</v>
          </cell>
          <cell r="E622" t="str">
            <v>10.19</v>
          </cell>
          <cell r="F622" t="str">
            <v>I.U. INVESTIGACION INFORMATICA</v>
          </cell>
          <cell r="G622" t="str">
            <v>20</v>
          </cell>
          <cell r="H622" t="str">
            <v/>
          </cell>
          <cell r="I622" t="str">
            <v/>
          </cell>
          <cell r="J622" t="str">
            <v/>
          </cell>
          <cell r="K622" t="str">
            <v/>
          </cell>
          <cell r="L622" t="str">
            <v/>
          </cell>
        </row>
        <row r="623">
          <cell r="A623" t="str">
            <v>50907917Q</v>
          </cell>
          <cell r="B623" t="str">
            <v>AGUADO ARANDA, PABLO</v>
          </cell>
          <cell r="C623" t="str">
            <v>01/09/2020</v>
          </cell>
          <cell r="D623" t="str">
            <v>31/08/2024</v>
          </cell>
          <cell r="E623" t="str">
            <v>10.13</v>
          </cell>
          <cell r="F623" t="str">
            <v>I.U. INVESTIGACION - CIBIO</v>
          </cell>
          <cell r="G623" t="str">
            <v>100</v>
          </cell>
          <cell r="H623" t="str">
            <v/>
          </cell>
          <cell r="I623" t="str">
            <v/>
          </cell>
          <cell r="J623" t="str">
            <v/>
          </cell>
          <cell r="K623" t="str">
            <v/>
          </cell>
          <cell r="L623" t="str">
            <v/>
          </cell>
        </row>
        <row r="624">
          <cell r="A624" t="str">
            <v>51091750X</v>
          </cell>
          <cell r="B624" t="str">
            <v>RAMOS FEIJOO, CLARISA</v>
          </cell>
          <cell r="C624" t="str">
            <v>24/09/2015</v>
          </cell>
          <cell r="D624" t="str">
            <v>(en blanco)</v>
          </cell>
          <cell r="E624" t="str">
            <v>10.23</v>
          </cell>
          <cell r="F624" t="str">
            <v>I.U. INVESTIGACION ESTUDIOS DE GENERO</v>
          </cell>
          <cell r="G624" t="str">
            <v>50</v>
          </cell>
          <cell r="H624" t="str">
            <v/>
          </cell>
          <cell r="I624" t="str">
            <v/>
          </cell>
          <cell r="J624" t="str">
            <v/>
          </cell>
          <cell r="K624" t="str">
            <v/>
          </cell>
          <cell r="L624" t="str">
            <v/>
          </cell>
        </row>
        <row r="625">
          <cell r="A625" t="str">
            <v>51326460M</v>
          </cell>
          <cell r="B625" t="str">
            <v>PASTOR ALFONSO, MARIA JOSEFA</v>
          </cell>
          <cell r="C625" t="str">
            <v>23/04/2007</v>
          </cell>
          <cell r="D625" t="str">
            <v>(en blanco)</v>
          </cell>
          <cell r="E625" t="str">
            <v>10.17</v>
          </cell>
          <cell r="F625" t="str">
            <v>I.U. INVESTIGACIONES TURISTICAS</v>
          </cell>
          <cell r="G625" t="str">
            <v>50</v>
          </cell>
          <cell r="H625" t="str">
            <v/>
          </cell>
          <cell r="I625" t="str">
            <v/>
          </cell>
          <cell r="J625" t="str">
            <v/>
          </cell>
          <cell r="K625" t="str">
            <v/>
          </cell>
          <cell r="L625" t="str">
            <v/>
          </cell>
        </row>
        <row r="626">
          <cell r="A626" t="str">
            <v>51396407D</v>
          </cell>
          <cell r="B626" t="str">
            <v>DIAZ GARCIA, MARIA ANGELES</v>
          </cell>
          <cell r="C626" t="str">
            <v>01/03/2006</v>
          </cell>
          <cell r="D626" t="str">
            <v>(en blanco)</v>
          </cell>
          <cell r="E626" t="str">
            <v>10.14</v>
          </cell>
          <cell r="F626" t="str">
            <v>I.U. MATERIALES</v>
          </cell>
          <cell r="G626" t="str">
            <v>50</v>
          </cell>
          <cell r="H626" t="str">
            <v/>
          </cell>
          <cell r="I626" t="str">
            <v/>
          </cell>
          <cell r="J626" t="str">
            <v/>
          </cell>
          <cell r="K626" t="str">
            <v/>
          </cell>
          <cell r="L626" t="str">
            <v/>
          </cell>
        </row>
        <row r="627">
          <cell r="A627" t="str">
            <v>51948220Y</v>
          </cell>
          <cell r="B627" t="str">
            <v>GILSANZ DIAZ, ANA COVADONGA</v>
          </cell>
          <cell r="C627" t="str">
            <v>18/12/2020</v>
          </cell>
          <cell r="D627" t="str">
            <v>(en blanco)</v>
          </cell>
          <cell r="E627" t="str">
            <v>10.23</v>
          </cell>
          <cell r="F627" t="str">
            <v>I.U. INVESTIGACION ESTUDIOS DE GENERO</v>
          </cell>
          <cell r="G627" t="str">
            <v>20</v>
          </cell>
          <cell r="H627" t="str">
            <v/>
          </cell>
          <cell r="I627" t="str">
            <v/>
          </cell>
          <cell r="J627" t="str">
            <v/>
          </cell>
          <cell r="K627" t="str">
            <v/>
          </cell>
          <cell r="L627" t="str">
            <v/>
          </cell>
        </row>
        <row r="628">
          <cell r="A628" t="str">
            <v>52437293F</v>
          </cell>
          <cell r="B628" t="str">
            <v>MARQUEZ RUIZ, ANDRES</v>
          </cell>
          <cell r="C628" t="str">
            <v>20/10/2009</v>
          </cell>
          <cell r="D628" t="str">
            <v>(en blanco)</v>
          </cell>
          <cell r="E628" t="str">
            <v>10.20</v>
          </cell>
          <cell r="F628" t="str">
            <v>I.U. FISICA APLICADA A LAS CIENCIAS Y LA</v>
          </cell>
          <cell r="G628" t="str">
            <v>20</v>
          </cell>
          <cell r="H628" t="str">
            <v/>
          </cell>
          <cell r="I628" t="str">
            <v/>
          </cell>
          <cell r="J628" t="str">
            <v/>
          </cell>
          <cell r="K628" t="str">
            <v/>
          </cell>
          <cell r="L628" t="str">
            <v/>
          </cell>
        </row>
        <row r="629">
          <cell r="A629" t="str">
            <v>52583754G</v>
          </cell>
          <cell r="B629" t="str">
            <v>MOLINA PALACIOS, SERGIO</v>
          </cell>
          <cell r="C629" t="str">
            <v>20/10/2009</v>
          </cell>
          <cell r="D629" t="str">
            <v>(en blanco)</v>
          </cell>
          <cell r="E629" t="str">
            <v>10.20</v>
          </cell>
          <cell r="F629" t="str">
            <v>I.U. FISICA APLICADA A LAS CIENCIAS Y LA</v>
          </cell>
          <cell r="G629" t="str">
            <v>20</v>
          </cell>
          <cell r="H629" t="str">
            <v>10.16</v>
          </cell>
          <cell r="I629" t="str">
            <v>I.M.E.M. RAMON MARGALEF (IMEM)</v>
          </cell>
          <cell r="J629" t="str">
            <v>04/03/2011</v>
          </cell>
          <cell r="K629" t="str">
            <v>(en blanco)</v>
          </cell>
          <cell r="L629" t="str">
            <v>40</v>
          </cell>
        </row>
        <row r="630">
          <cell r="A630" t="str">
            <v>52736134D</v>
          </cell>
          <cell r="B630" t="str">
            <v>TENT MANCLUS, JOSE ENRIQUE</v>
          </cell>
          <cell r="C630" t="str">
            <v>30/06/2009</v>
          </cell>
          <cell r="D630" t="str">
            <v>(en blanco)</v>
          </cell>
          <cell r="E630" t="str">
            <v>10.16</v>
          </cell>
          <cell r="F630" t="str">
            <v>I.M.E.M. RAMON MARGALEF (IMEM)</v>
          </cell>
          <cell r="G630" t="str">
            <v>30</v>
          </cell>
          <cell r="H630" t="str">
            <v/>
          </cell>
          <cell r="I630" t="str">
            <v/>
          </cell>
          <cell r="J630" t="str">
            <v/>
          </cell>
          <cell r="K630" t="str">
            <v/>
          </cell>
          <cell r="L630" t="str">
            <v/>
          </cell>
        </row>
        <row r="631">
          <cell r="A631" t="str">
            <v>52747327R</v>
          </cell>
          <cell r="B631" t="str">
            <v>RUIZ GURILLO, LEONOR</v>
          </cell>
          <cell r="C631" t="str">
            <v>01/03/2006</v>
          </cell>
          <cell r="D631" t="str">
            <v>(en blanco)</v>
          </cell>
          <cell r="E631" t="str">
            <v>10.15</v>
          </cell>
          <cell r="F631" t="str">
            <v>I.INTERUNIV. LENGUAS MODERNAS APLICADAS</v>
          </cell>
          <cell r="G631" t="str">
            <v>10</v>
          </cell>
          <cell r="H631" t="str">
            <v>10.23</v>
          </cell>
          <cell r="I631" t="str">
            <v>I.U. INVESTIGACION ESTUDIOS DE GENERO</v>
          </cell>
          <cell r="J631" t="str">
            <v>28/02/2019</v>
          </cell>
          <cell r="K631" t="str">
            <v>(en blanco)</v>
          </cell>
          <cell r="L631" t="str">
            <v>20</v>
          </cell>
        </row>
        <row r="632">
          <cell r="A632" t="str">
            <v>52762689E</v>
          </cell>
          <cell r="B632" t="str">
            <v>BERENGUER BETRIAN, RAUL</v>
          </cell>
          <cell r="C632" t="str">
            <v>08/01/2019</v>
          </cell>
          <cell r="D632" t="str">
            <v>07/01/2024</v>
          </cell>
          <cell r="E632" t="str">
            <v>10.14</v>
          </cell>
          <cell r="F632" t="str">
            <v>I.U. MATERIALES</v>
          </cell>
          <cell r="G632" t="str">
            <v>100</v>
          </cell>
          <cell r="H632" t="str">
            <v/>
          </cell>
          <cell r="I632" t="str">
            <v/>
          </cell>
          <cell r="J632" t="str">
            <v/>
          </cell>
          <cell r="K632" t="str">
            <v/>
          </cell>
          <cell r="L632" t="str">
            <v/>
          </cell>
        </row>
        <row r="633">
          <cell r="A633" t="str">
            <v>52763585K</v>
          </cell>
          <cell r="B633" t="str">
            <v>LOPEZ JIMENEZ, JUAN</v>
          </cell>
          <cell r="C633" t="str">
            <v>22/12/2021</v>
          </cell>
          <cell r="D633" t="str">
            <v>(en blanco)</v>
          </cell>
          <cell r="E633" t="str">
            <v>10.21</v>
          </cell>
          <cell r="F633" t="str">
            <v>I.INTERUNIVERSITARIO GEOGRAFIA</v>
          </cell>
          <cell r="G633" t="str">
            <v>10</v>
          </cell>
          <cell r="H633" t="str">
            <v/>
          </cell>
          <cell r="I633" t="str">
            <v/>
          </cell>
          <cell r="J633" t="str">
            <v/>
          </cell>
          <cell r="K633" t="str">
            <v/>
          </cell>
          <cell r="L633" t="str">
            <v/>
          </cell>
        </row>
        <row r="634">
          <cell r="A634" t="str">
            <v>52764629F</v>
          </cell>
          <cell r="B634" t="str">
            <v>POMARES BAEZA, JORGE</v>
          </cell>
          <cell r="C634" t="str">
            <v>07/11/2019</v>
          </cell>
          <cell r="D634" t="str">
            <v>(en blanco)</v>
          </cell>
          <cell r="E634" t="str">
            <v>10.20</v>
          </cell>
          <cell r="F634" t="str">
            <v>I.U. FISICA APLICADA A LAS CIENCIAS Y LA</v>
          </cell>
          <cell r="G634" t="str">
            <v>50</v>
          </cell>
          <cell r="H634" t="str">
            <v/>
          </cell>
          <cell r="I634" t="str">
            <v/>
          </cell>
          <cell r="J634" t="str">
            <v/>
          </cell>
          <cell r="K634" t="str">
            <v/>
          </cell>
          <cell r="L634" t="str">
            <v/>
          </cell>
        </row>
        <row r="635">
          <cell r="A635" t="str">
            <v>52764800V</v>
          </cell>
          <cell r="B635" t="str">
            <v>GARCIA ANDREU, HUGO</v>
          </cell>
          <cell r="C635" t="str">
            <v>14/07/2008</v>
          </cell>
          <cell r="D635" t="str">
            <v>(en blanco)</v>
          </cell>
          <cell r="E635" t="str">
            <v>10.17</v>
          </cell>
          <cell r="F635" t="str">
            <v>I.U. INVESTIGACIONES TURISTICAS</v>
          </cell>
          <cell r="G635" t="str">
            <v>20</v>
          </cell>
          <cell r="H635" t="str">
            <v/>
          </cell>
          <cell r="I635" t="str">
            <v/>
          </cell>
          <cell r="J635" t="str">
            <v/>
          </cell>
          <cell r="K635" t="str">
            <v/>
          </cell>
          <cell r="L635" t="str">
            <v/>
          </cell>
        </row>
        <row r="636">
          <cell r="A636" t="str">
            <v>52764803C</v>
          </cell>
          <cell r="B636" t="str">
            <v>AZORIN LOPEZ, JORGE</v>
          </cell>
          <cell r="C636" t="str">
            <v>11/06/2018</v>
          </cell>
          <cell r="D636" t="str">
            <v>(en blanco)</v>
          </cell>
          <cell r="E636" t="str">
            <v>10.19</v>
          </cell>
          <cell r="F636" t="str">
            <v>I.U. INVESTIGACION INFORMATICA</v>
          </cell>
          <cell r="G636" t="str">
            <v>50</v>
          </cell>
          <cell r="H636" t="str">
            <v/>
          </cell>
          <cell r="I636" t="str">
            <v/>
          </cell>
          <cell r="J636" t="str">
            <v/>
          </cell>
          <cell r="K636" t="str">
            <v/>
          </cell>
          <cell r="L636" t="str">
            <v/>
          </cell>
        </row>
        <row r="637">
          <cell r="A637" t="str">
            <v>52765823M</v>
          </cell>
          <cell r="B637" t="str">
            <v>GARCIA GOMEZ, GABRIEL JESUS</v>
          </cell>
          <cell r="C637" t="str">
            <v>07/11/2019</v>
          </cell>
          <cell r="D637" t="str">
            <v>(en blanco)</v>
          </cell>
          <cell r="E637" t="str">
            <v>10.20</v>
          </cell>
          <cell r="F637" t="str">
            <v>I.U. FISICA APLICADA A LAS CIENCIAS Y LA</v>
          </cell>
          <cell r="G637" t="str">
            <v>20</v>
          </cell>
          <cell r="H637" t="str">
            <v/>
          </cell>
          <cell r="I637" t="str">
            <v/>
          </cell>
          <cell r="J637" t="str">
            <v/>
          </cell>
          <cell r="K637" t="str">
            <v/>
          </cell>
          <cell r="L637" t="str">
            <v/>
          </cell>
        </row>
        <row r="638">
          <cell r="A638" t="str">
            <v>52766981J</v>
          </cell>
          <cell r="B638" t="str">
            <v>GARCIA BOTELLA, MARIA ESTELA</v>
          </cell>
          <cell r="C638" t="str">
            <v>15/02/2022</v>
          </cell>
          <cell r="D638" t="str">
            <v>(en blanco)</v>
          </cell>
          <cell r="E638" t="str">
            <v>10.21</v>
          </cell>
          <cell r="F638" t="str">
            <v>I.INTERUNIVERSITARIO GEOGRAFIA</v>
          </cell>
          <cell r="G638" t="str">
            <v>50</v>
          </cell>
          <cell r="H638" t="str">
            <v/>
          </cell>
          <cell r="I638" t="str">
            <v/>
          </cell>
          <cell r="J638" t="str">
            <v/>
          </cell>
          <cell r="K638" t="str">
            <v/>
          </cell>
          <cell r="L638" t="str">
            <v/>
          </cell>
        </row>
        <row r="639">
          <cell r="A639" t="str">
            <v>52767687Y</v>
          </cell>
          <cell r="B639" t="str">
            <v>ESTEVE GUILLEN, ANNA ISABEL</v>
          </cell>
          <cell r="C639" t="str">
            <v>20/06/2014</v>
          </cell>
          <cell r="D639" t="str">
            <v>(en blanco)</v>
          </cell>
          <cell r="E639" t="str">
            <v>10.08</v>
          </cell>
          <cell r="F639" t="str">
            <v>I.INTERUNIVERSITARIO FILOLOGIA VALENCIAN</v>
          </cell>
          <cell r="G639" t="str">
            <v>50</v>
          </cell>
          <cell r="H639" t="str">
            <v/>
          </cell>
          <cell r="I639" t="str">
            <v/>
          </cell>
          <cell r="J639" t="str">
            <v/>
          </cell>
          <cell r="K639" t="str">
            <v/>
          </cell>
          <cell r="L639" t="str">
            <v/>
          </cell>
        </row>
        <row r="640">
          <cell r="A640" t="str">
            <v>52768616S</v>
          </cell>
          <cell r="B640" t="str">
            <v>SANABRIA GARCIA, SONIA</v>
          </cell>
          <cell r="C640" t="str">
            <v>10/03/2020</v>
          </cell>
          <cell r="D640" t="str">
            <v>(en blanco)</v>
          </cell>
          <cell r="E640" t="str">
            <v>10.05</v>
          </cell>
          <cell r="F640" t="str">
            <v>I.U. AGUA Y CIENCIAS AMBIENTALES</v>
          </cell>
          <cell r="G640" t="str">
            <v>20</v>
          </cell>
          <cell r="H640" t="str">
            <v/>
          </cell>
          <cell r="I640" t="str">
            <v/>
          </cell>
          <cell r="J640" t="str">
            <v/>
          </cell>
          <cell r="K640" t="str">
            <v/>
          </cell>
          <cell r="L640" t="str">
            <v/>
          </cell>
        </row>
        <row r="641">
          <cell r="A641" t="str">
            <v>52770995W</v>
          </cell>
          <cell r="B641" t="str">
            <v>SANCHO GARCIA, JUAN CARLOS</v>
          </cell>
          <cell r="C641" t="str">
            <v>19/04/2018</v>
          </cell>
          <cell r="D641" t="str">
            <v>(en blanco)</v>
          </cell>
          <cell r="E641" t="str">
            <v>10.14</v>
          </cell>
          <cell r="F641" t="str">
            <v>I.U. MATERIALES</v>
          </cell>
          <cell r="G641" t="str">
            <v>50</v>
          </cell>
          <cell r="H641" t="str">
            <v/>
          </cell>
          <cell r="I641" t="str">
            <v/>
          </cell>
          <cell r="J641" t="str">
            <v/>
          </cell>
          <cell r="K641" t="str">
            <v/>
          </cell>
          <cell r="L641" t="str">
            <v/>
          </cell>
        </row>
        <row r="642">
          <cell r="A642" t="str">
            <v>52771535J</v>
          </cell>
          <cell r="B642" t="str">
            <v>PEREZ ORTIZ, JUAN ANTONIO</v>
          </cell>
          <cell r="C642" t="str">
            <v>26/07/2006</v>
          </cell>
          <cell r="D642" t="str">
            <v>(en blanco)</v>
          </cell>
          <cell r="E642" t="str">
            <v>10.19</v>
          </cell>
          <cell r="F642" t="str">
            <v>I.U. INVESTIGACION INFORMATICA</v>
          </cell>
          <cell r="G642" t="str">
            <v>20</v>
          </cell>
          <cell r="H642" t="str">
            <v/>
          </cell>
          <cell r="I642" t="str">
            <v/>
          </cell>
          <cell r="J642" t="str">
            <v/>
          </cell>
          <cell r="K642" t="str">
            <v/>
          </cell>
          <cell r="L642" t="str">
            <v/>
          </cell>
        </row>
        <row r="643">
          <cell r="A643" t="str">
            <v>52773069Y</v>
          </cell>
          <cell r="B643" t="str">
            <v>CANDELAS HERIAS, FRANCISCO ANDRES</v>
          </cell>
          <cell r="C643" t="str">
            <v>26/07/2006</v>
          </cell>
          <cell r="D643" t="str">
            <v>(en blanco)</v>
          </cell>
          <cell r="E643" t="str">
            <v>10.19</v>
          </cell>
          <cell r="F643" t="str">
            <v>I.U. INVESTIGACION INFORMATICA</v>
          </cell>
          <cell r="G643" t="str">
            <v>20</v>
          </cell>
          <cell r="H643" t="str">
            <v/>
          </cell>
          <cell r="I643" t="str">
            <v/>
          </cell>
          <cell r="J643" t="str">
            <v/>
          </cell>
          <cell r="K643" t="str">
            <v/>
          </cell>
          <cell r="L643" t="str">
            <v/>
          </cell>
        </row>
        <row r="644">
          <cell r="A644" t="str">
            <v>52773386R</v>
          </cell>
          <cell r="B644" t="str">
            <v>MARIN RAMOS, ESTHER</v>
          </cell>
          <cell r="C644" t="str">
            <v>12/07/2022</v>
          </cell>
          <cell r="D644" t="str">
            <v>(en blanco)</v>
          </cell>
          <cell r="E644" t="str">
            <v>10.23</v>
          </cell>
          <cell r="F644" t="str">
            <v>I.U. INVESTIGACION ESTUDIOS DE GENERO</v>
          </cell>
          <cell r="G644" t="str">
            <v>25</v>
          </cell>
          <cell r="H644" t="str">
            <v/>
          </cell>
          <cell r="I644" t="str">
            <v/>
          </cell>
          <cell r="J644" t="str">
            <v/>
          </cell>
          <cell r="K644" t="str">
            <v/>
          </cell>
          <cell r="L644" t="str">
            <v/>
          </cell>
        </row>
        <row r="645">
          <cell r="A645" t="str">
            <v>52773425V</v>
          </cell>
          <cell r="B645" t="str">
            <v>AMOROS RUIZ, VICTORIA ENCARNACION</v>
          </cell>
          <cell r="C645" t="str">
            <v>01/09/2020</v>
          </cell>
          <cell r="D645" t="str">
            <v>09/12/2022</v>
          </cell>
          <cell r="E645" t="str">
            <v>10.24</v>
          </cell>
          <cell r="F645" t="str">
            <v>I.U. INVESTIGACION ARQ. Y PATR. HIST.</v>
          </cell>
          <cell r="G645" t="str">
            <v>100</v>
          </cell>
          <cell r="H645" t="str">
            <v/>
          </cell>
          <cell r="I645" t="str">
            <v/>
          </cell>
          <cell r="J645" t="str">
            <v/>
          </cell>
          <cell r="K645" t="str">
            <v/>
          </cell>
          <cell r="L645" t="str">
            <v/>
          </cell>
        </row>
        <row r="646">
          <cell r="A646" t="str">
            <v>52773764B</v>
          </cell>
          <cell r="B646" t="str">
            <v>GOMEZ TRIGUEROS, ISABEL MARIA</v>
          </cell>
          <cell r="C646" t="str">
            <v>17/06/2019</v>
          </cell>
          <cell r="D646" t="str">
            <v>(en blanco)</v>
          </cell>
          <cell r="E646" t="str">
            <v>10.25</v>
          </cell>
          <cell r="F646" t="str">
            <v>I.U. INV. ESTUDIOS SOC. AMERICA LATINA</v>
          </cell>
          <cell r="G646" t="str">
            <v>30</v>
          </cell>
          <cell r="H646" t="str">
            <v>10.23</v>
          </cell>
          <cell r="I646" t="str">
            <v>I.U. INVESTIGACION ESTUDIOS DE GENERO</v>
          </cell>
          <cell r="J646" t="str">
            <v>17/06/2019</v>
          </cell>
          <cell r="K646" t="str">
            <v>(en blanco)</v>
          </cell>
          <cell r="L646" t="str">
            <v>20</v>
          </cell>
        </row>
        <row r="647">
          <cell r="A647" t="str">
            <v>52774665S</v>
          </cell>
          <cell r="B647" t="str">
            <v>CANTO LOPEZ, MARIA TERESA</v>
          </cell>
          <cell r="C647" t="str">
            <v>08/10/2008</v>
          </cell>
          <cell r="D647" t="str">
            <v>(en blanco)</v>
          </cell>
          <cell r="E647" t="str">
            <v>10.13</v>
          </cell>
          <cell r="F647" t="str">
            <v>I.U. INVESTIGACION - CIBIO</v>
          </cell>
          <cell r="G647" t="str">
            <v>10</v>
          </cell>
          <cell r="H647" t="str">
            <v/>
          </cell>
          <cell r="I647" t="str">
            <v/>
          </cell>
          <cell r="J647" t="str">
            <v/>
          </cell>
          <cell r="K647" t="str">
            <v/>
          </cell>
          <cell r="L647" t="str">
            <v/>
          </cell>
        </row>
        <row r="648">
          <cell r="A648" t="str">
            <v>52774740K</v>
          </cell>
          <cell r="B648" t="str">
            <v>PASTOR BEVIA, ISIDRO MANUEL</v>
          </cell>
          <cell r="C648" t="str">
            <v>15/02/2022</v>
          </cell>
          <cell r="D648" t="str">
            <v>(en blanco)</v>
          </cell>
          <cell r="E648" t="str">
            <v>10.11</v>
          </cell>
          <cell r="F648" t="str">
            <v>I.U. SINTESIS ORGANICA</v>
          </cell>
          <cell r="G648" t="str">
            <v>80</v>
          </cell>
          <cell r="H648" t="str">
            <v/>
          </cell>
          <cell r="I648" t="str">
            <v/>
          </cell>
          <cell r="J648" t="str">
            <v/>
          </cell>
          <cell r="K648" t="str">
            <v/>
          </cell>
          <cell r="L648" t="str">
            <v/>
          </cell>
        </row>
        <row r="649">
          <cell r="A649" t="str">
            <v>52774862M</v>
          </cell>
          <cell r="B649" t="str">
            <v>SARABIA BAUTISTA, JULIA</v>
          </cell>
          <cell r="C649" t="str">
            <v>29/07/2020</v>
          </cell>
          <cell r="D649" t="str">
            <v>(en blanco)</v>
          </cell>
          <cell r="E649" t="str">
            <v>10.24</v>
          </cell>
          <cell r="F649" t="str">
            <v>I.U. INVESTIGACION ARQ. Y PATR. HIST.</v>
          </cell>
          <cell r="G649" t="str">
            <v>80</v>
          </cell>
          <cell r="H649" t="str">
            <v/>
          </cell>
          <cell r="I649" t="str">
            <v/>
          </cell>
          <cell r="J649" t="str">
            <v/>
          </cell>
          <cell r="K649" t="str">
            <v/>
          </cell>
          <cell r="L649" t="str">
            <v/>
          </cell>
        </row>
        <row r="650">
          <cell r="A650" t="str">
            <v>52774982X</v>
          </cell>
          <cell r="B650" t="str">
            <v>GIL VAZQUEZ, PABLO</v>
          </cell>
          <cell r="C650" t="str">
            <v>06/06/2018</v>
          </cell>
          <cell r="D650" t="str">
            <v>(en blanco)</v>
          </cell>
          <cell r="E650" t="str">
            <v>10.19</v>
          </cell>
          <cell r="F650" t="str">
            <v>I.U. INVESTIGACION INFORMATICA</v>
          </cell>
          <cell r="G650" t="str">
            <v>50</v>
          </cell>
          <cell r="H650" t="str">
            <v/>
          </cell>
          <cell r="I650" t="str">
            <v/>
          </cell>
          <cell r="J650" t="str">
            <v/>
          </cell>
          <cell r="K650" t="str">
            <v/>
          </cell>
          <cell r="L650" t="str">
            <v/>
          </cell>
        </row>
        <row r="651">
          <cell r="A651" t="str">
            <v>52775130C</v>
          </cell>
          <cell r="B651" t="str">
            <v>LOZANO CASTELLO, DOLORES</v>
          </cell>
          <cell r="C651" t="str">
            <v>22/02/2016</v>
          </cell>
          <cell r="D651" t="str">
            <v>(en blanco)</v>
          </cell>
          <cell r="E651" t="str">
            <v>10.14</v>
          </cell>
          <cell r="F651" t="str">
            <v>I.U. MATERIALES</v>
          </cell>
          <cell r="G651" t="str">
            <v>50</v>
          </cell>
          <cell r="H651" t="str">
            <v/>
          </cell>
          <cell r="I651" t="str">
            <v/>
          </cell>
          <cell r="J651" t="str">
            <v/>
          </cell>
          <cell r="K651" t="str">
            <v/>
          </cell>
          <cell r="L651" t="str">
            <v/>
          </cell>
        </row>
        <row r="652">
          <cell r="A652" t="str">
            <v>52776283T</v>
          </cell>
          <cell r="B652" t="str">
            <v>BERENGUER MURCIA, ANGEL</v>
          </cell>
          <cell r="C652" t="str">
            <v>08/02/2019</v>
          </cell>
          <cell r="D652" t="str">
            <v>(en blanco)</v>
          </cell>
          <cell r="E652" t="str">
            <v>10.14</v>
          </cell>
          <cell r="F652" t="str">
            <v>I.U. MATERIALES</v>
          </cell>
          <cell r="G652" t="str">
            <v>50</v>
          </cell>
          <cell r="H652" t="str">
            <v/>
          </cell>
          <cell r="I652" t="str">
            <v/>
          </cell>
          <cell r="J652" t="str">
            <v/>
          </cell>
          <cell r="K652" t="str">
            <v/>
          </cell>
          <cell r="L652" t="str">
            <v/>
          </cell>
        </row>
        <row r="653">
          <cell r="A653" t="str">
            <v>52776404Y</v>
          </cell>
          <cell r="B653" t="str">
            <v>BAEZA CARRATALA, ALEJANDRO</v>
          </cell>
          <cell r="C653" t="str">
            <v>15/02/2022</v>
          </cell>
          <cell r="D653" t="str">
            <v>(en blanco)</v>
          </cell>
          <cell r="E653" t="str">
            <v>10.11</v>
          </cell>
          <cell r="F653" t="str">
            <v>I.U. SINTESIS ORGANICA</v>
          </cell>
          <cell r="G653" t="str">
            <v>50</v>
          </cell>
          <cell r="H653" t="str">
            <v/>
          </cell>
          <cell r="I653" t="str">
            <v/>
          </cell>
          <cell r="J653" t="str">
            <v/>
          </cell>
          <cell r="K653" t="str">
            <v/>
          </cell>
          <cell r="L653" t="str">
            <v/>
          </cell>
        </row>
        <row r="654">
          <cell r="A654" t="str">
            <v>52776534K</v>
          </cell>
          <cell r="B654" t="str">
            <v>NAVARRO COLORADO, FRANCISCO DE BORJA</v>
          </cell>
          <cell r="C654" t="str">
            <v>15/10/2007</v>
          </cell>
          <cell r="D654" t="str">
            <v>(en blanco)</v>
          </cell>
          <cell r="E654" t="str">
            <v>10.19</v>
          </cell>
          <cell r="F654" t="str">
            <v>I.U. INVESTIGACION INFORMATICA</v>
          </cell>
          <cell r="G654" t="str">
            <v>20</v>
          </cell>
          <cell r="H654" t="str">
            <v/>
          </cell>
          <cell r="I654" t="str">
            <v/>
          </cell>
          <cell r="J654" t="str">
            <v/>
          </cell>
          <cell r="K654" t="str">
            <v/>
          </cell>
          <cell r="L654" t="str">
            <v/>
          </cell>
        </row>
        <row r="655">
          <cell r="A655" t="str">
            <v>52777349P</v>
          </cell>
          <cell r="B655" t="str">
            <v>MELIA BEIGBEDER, SANTIAGO</v>
          </cell>
          <cell r="C655" t="str">
            <v>15/10/2007</v>
          </cell>
          <cell r="D655" t="str">
            <v>(en blanco)</v>
          </cell>
          <cell r="E655" t="str">
            <v>10.19</v>
          </cell>
          <cell r="F655" t="str">
            <v>I.U. INVESTIGACION INFORMATICA</v>
          </cell>
          <cell r="G655" t="str">
            <v>20</v>
          </cell>
          <cell r="H655" t="str">
            <v/>
          </cell>
          <cell r="I655" t="str">
            <v/>
          </cell>
          <cell r="J655" t="str">
            <v/>
          </cell>
          <cell r="K655" t="str">
            <v/>
          </cell>
          <cell r="L655" t="str">
            <v/>
          </cell>
        </row>
        <row r="656">
          <cell r="A656" t="str">
            <v>52777601F</v>
          </cell>
          <cell r="B656" t="str">
            <v>SURIA MARTINEZ, RAQUEL</v>
          </cell>
          <cell r="C656" t="str">
            <v>21/10/2019</v>
          </cell>
          <cell r="D656" t="str">
            <v>(en blanco)</v>
          </cell>
          <cell r="E656" t="str">
            <v>10.23</v>
          </cell>
          <cell r="F656" t="str">
            <v>I.U. INVESTIGACION ESTUDIOS DE GENERO</v>
          </cell>
          <cell r="G656" t="str">
            <v>20</v>
          </cell>
          <cell r="H656" t="str">
            <v/>
          </cell>
          <cell r="I656" t="str">
            <v/>
          </cell>
          <cell r="J656" t="str">
            <v/>
          </cell>
          <cell r="K656" t="str">
            <v/>
          </cell>
          <cell r="L656" t="str">
            <v/>
          </cell>
        </row>
        <row r="657">
          <cell r="A657" t="str">
            <v>52778169T</v>
          </cell>
          <cell r="B657" t="str">
            <v>SAQUETE BORO, MARIA ESTELA</v>
          </cell>
          <cell r="C657" t="str">
            <v>26/07/2006</v>
          </cell>
          <cell r="D657" t="str">
            <v>(en blanco)</v>
          </cell>
          <cell r="E657" t="str">
            <v>10.19</v>
          </cell>
          <cell r="F657" t="str">
            <v>I.U. INVESTIGACION INFORMATICA</v>
          </cell>
          <cell r="G657" t="str">
            <v>20</v>
          </cell>
          <cell r="H657" t="str">
            <v/>
          </cell>
          <cell r="I657" t="str">
            <v/>
          </cell>
          <cell r="J657" t="str">
            <v/>
          </cell>
          <cell r="K657" t="str">
            <v/>
          </cell>
          <cell r="L657" t="str">
            <v/>
          </cell>
        </row>
        <row r="658">
          <cell r="A658" t="str">
            <v>52778442C</v>
          </cell>
          <cell r="B658" t="str">
            <v>PUENTE MENDEZ, SANTIAGO TIMOTEO</v>
          </cell>
          <cell r="C658" t="str">
            <v>26/07/2006</v>
          </cell>
          <cell r="D658" t="str">
            <v>(en blanco)</v>
          </cell>
          <cell r="E658" t="str">
            <v>10.19</v>
          </cell>
          <cell r="F658" t="str">
            <v>I.U. INVESTIGACION INFORMATICA</v>
          </cell>
          <cell r="G658" t="str">
            <v>20</v>
          </cell>
          <cell r="H658" t="str">
            <v/>
          </cell>
          <cell r="I658" t="str">
            <v/>
          </cell>
          <cell r="J658" t="str">
            <v/>
          </cell>
          <cell r="K658" t="str">
            <v/>
          </cell>
          <cell r="L658" t="str">
            <v/>
          </cell>
        </row>
        <row r="659">
          <cell r="A659" t="str">
            <v>52778850Z</v>
          </cell>
          <cell r="B659" t="str">
            <v>MARTINEZ GRAS, RODOLFO</v>
          </cell>
          <cell r="C659" t="str">
            <v>07/02/2014</v>
          </cell>
          <cell r="D659" t="str">
            <v>(en blanco)</v>
          </cell>
          <cell r="E659" t="str">
            <v>10.22</v>
          </cell>
          <cell r="F659" t="str">
            <v>I.INTERUNIV. DESARROLLO SOCIAL Y PAZ</v>
          </cell>
          <cell r="G659" t="str">
            <v>10</v>
          </cell>
          <cell r="H659" t="str">
            <v/>
          </cell>
          <cell r="I659" t="str">
            <v/>
          </cell>
          <cell r="J659" t="str">
            <v/>
          </cell>
          <cell r="K659" t="str">
            <v/>
          </cell>
          <cell r="L659" t="str">
            <v/>
          </cell>
        </row>
        <row r="660">
          <cell r="A660" t="str">
            <v>52779604D</v>
          </cell>
          <cell r="B660" t="str">
            <v>LA PARRA CASADO, DANIEL</v>
          </cell>
          <cell r="C660" t="str">
            <v>23/07/2014</v>
          </cell>
          <cell r="D660" t="str">
            <v>(en blanco)</v>
          </cell>
          <cell r="E660" t="str">
            <v>10.06</v>
          </cell>
          <cell r="F660" t="str">
            <v>I.INTERUNIVERSITARIO ECONOMIA INTERNACIO</v>
          </cell>
          <cell r="G660" t="str">
            <v>10</v>
          </cell>
          <cell r="H660" t="str">
            <v>10.22</v>
          </cell>
          <cell r="I660" t="str">
            <v>I.INTERUNIV. DESARROLLO SOCIAL Y PAZ</v>
          </cell>
          <cell r="J660" t="str">
            <v>07/11/2014</v>
          </cell>
          <cell r="K660" t="str">
            <v>(en blanco)</v>
          </cell>
          <cell r="L660" t="str">
            <v>80</v>
          </cell>
        </row>
        <row r="661">
          <cell r="A661" t="str">
            <v>52781763Y</v>
          </cell>
          <cell r="B661" t="str">
            <v>LLORCA TONDA, MARIA DE LOS ANGELES</v>
          </cell>
          <cell r="C661" t="str">
            <v>21/05/2015</v>
          </cell>
          <cell r="D661" t="str">
            <v>(en blanco)</v>
          </cell>
          <cell r="E661" t="str">
            <v>10.23</v>
          </cell>
          <cell r="F661" t="str">
            <v>I.U. INVESTIGACION ESTUDIOS DE GENERO</v>
          </cell>
          <cell r="G661" t="str">
            <v>20</v>
          </cell>
          <cell r="H661" t="str">
            <v/>
          </cell>
          <cell r="I661" t="str">
            <v/>
          </cell>
          <cell r="J661" t="str">
            <v/>
          </cell>
          <cell r="K661" t="str">
            <v/>
          </cell>
          <cell r="L661" t="str">
            <v/>
          </cell>
        </row>
        <row r="662">
          <cell r="A662" t="str">
            <v>52784140Z</v>
          </cell>
          <cell r="B662" t="str">
            <v>BORDEHORE FONTANET, CESAR</v>
          </cell>
          <cell r="C662" t="str">
            <v>27/05/2015</v>
          </cell>
          <cell r="D662" t="str">
            <v>(en blanco)</v>
          </cell>
          <cell r="E662" t="str">
            <v>10.16</v>
          </cell>
          <cell r="F662" t="str">
            <v>I.M.E.M. RAMON MARGALEF (IMEM)</v>
          </cell>
          <cell r="G662" t="str">
            <v>50</v>
          </cell>
          <cell r="H662" t="str">
            <v/>
          </cell>
          <cell r="I662" t="str">
            <v/>
          </cell>
          <cell r="J662" t="str">
            <v/>
          </cell>
          <cell r="K662" t="str">
            <v/>
          </cell>
          <cell r="L662" t="str">
            <v/>
          </cell>
        </row>
        <row r="663">
          <cell r="A663" t="str">
            <v>52793369C</v>
          </cell>
          <cell r="B663" t="str">
            <v>ARNAL GARCIA, JOSE</v>
          </cell>
          <cell r="C663" t="str">
            <v>26/07/2006</v>
          </cell>
          <cell r="D663" t="str">
            <v>(en blanco)</v>
          </cell>
          <cell r="E663" t="str">
            <v>10.19</v>
          </cell>
          <cell r="F663" t="str">
            <v>I.U. INVESTIGACION INFORMATICA</v>
          </cell>
          <cell r="G663" t="str">
            <v>20</v>
          </cell>
          <cell r="H663" t="str">
            <v/>
          </cell>
          <cell r="I663" t="str">
            <v/>
          </cell>
          <cell r="J663" t="str">
            <v/>
          </cell>
          <cell r="K663" t="str">
            <v/>
          </cell>
          <cell r="L663" t="str">
            <v/>
          </cell>
        </row>
        <row r="664">
          <cell r="A664" t="str">
            <v>52805806Z</v>
          </cell>
          <cell r="B664" t="str">
            <v>SAEZ MARTINEZ, JUAN MANUEL</v>
          </cell>
          <cell r="C664" t="str">
            <v>26/07/2006</v>
          </cell>
          <cell r="D664" t="str">
            <v>(en blanco)</v>
          </cell>
          <cell r="E664" t="str">
            <v>10.19</v>
          </cell>
          <cell r="F664" t="str">
            <v>I.U. INVESTIGACION INFORMATICA</v>
          </cell>
          <cell r="G664" t="str">
            <v>20</v>
          </cell>
          <cell r="H664" t="str">
            <v/>
          </cell>
          <cell r="I664" t="str">
            <v/>
          </cell>
          <cell r="J664" t="str">
            <v/>
          </cell>
          <cell r="K664" t="str">
            <v/>
          </cell>
          <cell r="L664" t="str">
            <v/>
          </cell>
        </row>
        <row r="665">
          <cell r="A665" t="str">
            <v>52860484K</v>
          </cell>
          <cell r="B665" t="str">
            <v>PRADOS MARTINEZ, FERNANDO</v>
          </cell>
          <cell r="C665" t="str">
            <v>19/09/2014</v>
          </cell>
          <cell r="D665" t="str">
            <v>(en blanco)</v>
          </cell>
          <cell r="E665" t="str">
            <v>10.24</v>
          </cell>
          <cell r="F665" t="str">
            <v>I.U. INVESTIGACION ARQ. Y PATR. HIST.</v>
          </cell>
          <cell r="G665" t="str">
            <v>80</v>
          </cell>
          <cell r="H665" t="str">
            <v/>
          </cell>
          <cell r="I665" t="str">
            <v/>
          </cell>
          <cell r="J665" t="str">
            <v/>
          </cell>
          <cell r="K665" t="str">
            <v/>
          </cell>
          <cell r="L665" t="str">
            <v/>
          </cell>
        </row>
        <row r="666">
          <cell r="A666" t="str">
            <v>52911805Y</v>
          </cell>
          <cell r="B666" t="str">
            <v>MONTSERRAT BUENDIA, SANDRA</v>
          </cell>
          <cell r="C666" t="str">
            <v>31/10/2007</v>
          </cell>
          <cell r="D666" t="str">
            <v>(en blanco)</v>
          </cell>
          <cell r="E666" t="str">
            <v>10.08</v>
          </cell>
          <cell r="F666" t="str">
            <v>I.INTERUNIVERSITARIO FILOLOGIA VALENCIAN</v>
          </cell>
          <cell r="G666" t="str">
            <v>50</v>
          </cell>
          <cell r="H666" t="str">
            <v/>
          </cell>
          <cell r="I666" t="str">
            <v/>
          </cell>
          <cell r="J666" t="str">
            <v/>
          </cell>
          <cell r="K666" t="str">
            <v/>
          </cell>
          <cell r="L666" t="str">
            <v/>
          </cell>
        </row>
        <row r="667">
          <cell r="A667" t="str">
            <v>52987571X</v>
          </cell>
          <cell r="B667" t="str">
            <v>SOUTO GALVAN, BEATRIZ</v>
          </cell>
          <cell r="C667" t="str">
            <v>12/09/2014</v>
          </cell>
          <cell r="D667" t="str">
            <v>(en blanco)</v>
          </cell>
          <cell r="E667" t="str">
            <v>10.23</v>
          </cell>
          <cell r="F667" t="str">
            <v>I.U. INVESTIGACION ESTUDIOS DE GENERO</v>
          </cell>
          <cell r="G667" t="str">
            <v>30</v>
          </cell>
          <cell r="H667" t="str">
            <v/>
          </cell>
          <cell r="I667" t="str">
            <v/>
          </cell>
          <cell r="J667" t="str">
            <v/>
          </cell>
          <cell r="K667" t="str">
            <v/>
          </cell>
          <cell r="L667" t="str">
            <v/>
          </cell>
        </row>
        <row r="668">
          <cell r="A668" t="str">
            <v>53145504W</v>
          </cell>
          <cell r="B668" t="str">
            <v>GALINDO MERINO, MARIA DEL MAR</v>
          </cell>
          <cell r="C668" t="str">
            <v>24/09/2015</v>
          </cell>
          <cell r="D668" t="str">
            <v>(en blanco)</v>
          </cell>
          <cell r="E668" t="str">
            <v>10.23</v>
          </cell>
          <cell r="F668" t="str">
            <v>I.U. INVESTIGACION ESTUDIOS DE GENERO</v>
          </cell>
          <cell r="G668" t="str">
            <v>20</v>
          </cell>
          <cell r="H668" t="str">
            <v/>
          </cell>
          <cell r="I668" t="str">
            <v/>
          </cell>
          <cell r="J668" t="str">
            <v/>
          </cell>
          <cell r="K668" t="str">
            <v/>
          </cell>
          <cell r="L668" t="str">
            <v/>
          </cell>
        </row>
        <row r="669">
          <cell r="A669" t="str">
            <v>53146258C</v>
          </cell>
          <cell r="B669" t="str">
            <v>GUTIERREZ RAMIREZ, MANUEL</v>
          </cell>
          <cell r="C669" t="str">
            <v>17/12/2018</v>
          </cell>
          <cell r="D669" t="str">
            <v>(en blanco)</v>
          </cell>
          <cell r="E669" t="str">
            <v>10.20</v>
          </cell>
          <cell r="F669" t="str">
            <v>I.U. FISICA APLICADA A LAS CIENCIAS Y LA</v>
          </cell>
          <cell r="G669" t="str">
            <v>20</v>
          </cell>
          <cell r="H669" t="str">
            <v/>
          </cell>
          <cell r="I669" t="str">
            <v/>
          </cell>
          <cell r="J669" t="str">
            <v/>
          </cell>
          <cell r="K669" t="str">
            <v/>
          </cell>
          <cell r="L669" t="str">
            <v/>
          </cell>
        </row>
        <row r="670">
          <cell r="A670" t="str">
            <v>53210452K</v>
          </cell>
          <cell r="B670" t="str">
            <v>ROSELLO SENDRA, PEDRO JUAN</v>
          </cell>
          <cell r="C670" t="str">
            <v>01/07/2021</v>
          </cell>
          <cell r="D670" t="str">
            <v>30/06/2025</v>
          </cell>
          <cell r="E670" t="str">
            <v>10.24</v>
          </cell>
          <cell r="F670" t="str">
            <v>I.U. INVESTIGACION ARQ. Y PATR. HIST.</v>
          </cell>
          <cell r="G670" t="str">
            <v>100</v>
          </cell>
          <cell r="H670" t="str">
            <v/>
          </cell>
          <cell r="I670" t="str">
            <v/>
          </cell>
          <cell r="J670" t="str">
            <v/>
          </cell>
          <cell r="K670" t="str">
            <v/>
          </cell>
          <cell r="L670" t="str">
            <v/>
          </cell>
        </row>
        <row r="671">
          <cell r="A671" t="str">
            <v>53210892R</v>
          </cell>
          <cell r="B671" t="str">
            <v>LLOPIS TAVERNER, JUAN</v>
          </cell>
          <cell r="C671" t="str">
            <v>19/10/2016</v>
          </cell>
          <cell r="D671" t="str">
            <v>(en blanco)</v>
          </cell>
          <cell r="E671" t="str">
            <v>10.17</v>
          </cell>
          <cell r="F671" t="str">
            <v>I.U. INVESTIGACIONES TURISTICAS</v>
          </cell>
          <cell r="G671" t="str">
            <v>50</v>
          </cell>
          <cell r="H671" t="str">
            <v/>
          </cell>
          <cell r="I671" t="str">
            <v/>
          </cell>
          <cell r="J671" t="str">
            <v/>
          </cell>
          <cell r="K671" t="str">
            <v/>
          </cell>
          <cell r="L671" t="str">
            <v/>
          </cell>
        </row>
        <row r="672">
          <cell r="A672" t="str">
            <v>53227471C</v>
          </cell>
          <cell r="B672" t="str">
            <v>MARTINEZ MARTIN, ESTER</v>
          </cell>
          <cell r="C672" t="str">
            <v>23/12/2017</v>
          </cell>
          <cell r="D672" t="str">
            <v>(en blanco)</v>
          </cell>
          <cell r="E672" t="str">
            <v>10.19</v>
          </cell>
          <cell r="F672" t="str">
            <v>I.U. INVESTIGACION INFORMATICA</v>
          </cell>
          <cell r="G672" t="str">
            <v>20</v>
          </cell>
          <cell r="H672" t="str">
            <v/>
          </cell>
          <cell r="I672" t="str">
            <v/>
          </cell>
          <cell r="J672" t="str">
            <v/>
          </cell>
          <cell r="K672" t="str">
            <v/>
          </cell>
          <cell r="L672" t="str">
            <v/>
          </cell>
        </row>
        <row r="673">
          <cell r="A673" t="str">
            <v>53230124M</v>
          </cell>
          <cell r="B673" t="str">
            <v>MUÑOZ TEROL, RAFAEL</v>
          </cell>
          <cell r="C673" t="str">
            <v>07/06/2013</v>
          </cell>
          <cell r="D673" t="str">
            <v>(en blanco)</v>
          </cell>
          <cell r="E673" t="str">
            <v>10.19</v>
          </cell>
          <cell r="F673" t="str">
            <v>I.U. INVESTIGACION INFORMATICA</v>
          </cell>
          <cell r="G673" t="str">
            <v>20</v>
          </cell>
          <cell r="H673" t="str">
            <v/>
          </cell>
          <cell r="I673" t="str">
            <v/>
          </cell>
          <cell r="J673" t="str">
            <v/>
          </cell>
          <cell r="K673" t="str">
            <v/>
          </cell>
          <cell r="L673" t="str">
            <v/>
          </cell>
        </row>
        <row r="674">
          <cell r="A674" t="str">
            <v>53231432W</v>
          </cell>
          <cell r="B674" t="str">
            <v>ALVAREZ SANCHEZ, RAFAEL IGNACIO</v>
          </cell>
          <cell r="C674" t="str">
            <v>26/07/2006</v>
          </cell>
          <cell r="D674" t="str">
            <v>(en blanco)</v>
          </cell>
          <cell r="E674" t="str">
            <v>10.19</v>
          </cell>
          <cell r="F674" t="str">
            <v>I.U. INVESTIGACION INFORMATICA</v>
          </cell>
          <cell r="G674" t="str">
            <v>20</v>
          </cell>
          <cell r="H674" t="str">
            <v/>
          </cell>
          <cell r="I674" t="str">
            <v/>
          </cell>
          <cell r="J674" t="str">
            <v/>
          </cell>
          <cell r="K674" t="str">
            <v/>
          </cell>
          <cell r="L674" t="str">
            <v/>
          </cell>
        </row>
        <row r="675">
          <cell r="A675" t="str">
            <v>53232946K</v>
          </cell>
          <cell r="B675" t="str">
            <v>RICARTE SABATER, ANTONIO RAMON</v>
          </cell>
          <cell r="C675" t="str">
            <v>16/03/2018</v>
          </cell>
          <cell r="D675" t="str">
            <v>15/06/2023</v>
          </cell>
          <cell r="E675" t="str">
            <v>10.13</v>
          </cell>
          <cell r="F675" t="str">
            <v>I.U. INVESTIGACION - CIBIO</v>
          </cell>
          <cell r="G675" t="str">
            <v>100</v>
          </cell>
          <cell r="H675" t="str">
            <v/>
          </cell>
          <cell r="I675" t="str">
            <v/>
          </cell>
          <cell r="J675" t="str">
            <v/>
          </cell>
          <cell r="K675" t="str">
            <v/>
          </cell>
          <cell r="L675" t="str">
            <v/>
          </cell>
        </row>
        <row r="676">
          <cell r="A676" t="str">
            <v>53232971T</v>
          </cell>
          <cell r="B676" t="str">
            <v>LLORET PASTOR, ELENA</v>
          </cell>
          <cell r="C676" t="str">
            <v>27/01/2012</v>
          </cell>
          <cell r="D676" t="str">
            <v>(en blanco)</v>
          </cell>
          <cell r="E676" t="str">
            <v>10.19</v>
          </cell>
          <cell r="F676" t="str">
            <v>I.U. INVESTIGACION INFORMATICA</v>
          </cell>
          <cell r="G676" t="str">
            <v>20</v>
          </cell>
          <cell r="H676" t="str">
            <v/>
          </cell>
          <cell r="I676" t="str">
            <v/>
          </cell>
          <cell r="J676" t="str">
            <v/>
          </cell>
          <cell r="K676" t="str">
            <v/>
          </cell>
          <cell r="L676" t="str">
            <v/>
          </cell>
        </row>
        <row r="677">
          <cell r="A677" t="str">
            <v>53236358Y</v>
          </cell>
          <cell r="B677" t="str">
            <v>RODRIGUEZ PASTOR, ILUMINADA</v>
          </cell>
          <cell r="C677" t="str">
            <v>15/06/2020</v>
          </cell>
          <cell r="D677" t="str">
            <v>(en blanco)</v>
          </cell>
          <cell r="E677" t="str">
            <v>10.09</v>
          </cell>
          <cell r="F677" t="str">
            <v>I.U. INGENIERIA DE LOS PROCESOS QUIMICOS</v>
          </cell>
          <cell r="G677" t="str">
            <v>100</v>
          </cell>
          <cell r="H677" t="str">
            <v/>
          </cell>
          <cell r="I677" t="str">
            <v/>
          </cell>
          <cell r="J677" t="str">
            <v/>
          </cell>
          <cell r="K677" t="str">
            <v/>
          </cell>
          <cell r="L677" t="str">
            <v/>
          </cell>
        </row>
        <row r="678">
          <cell r="A678" t="str">
            <v>53238057A</v>
          </cell>
          <cell r="B678" t="str">
            <v>LOPEZ LLOPIS, ESTEFANIA</v>
          </cell>
          <cell r="C678" t="str">
            <v>31/07/2015</v>
          </cell>
          <cell r="D678" t="str">
            <v>(en blanco)</v>
          </cell>
          <cell r="E678" t="str">
            <v>10.06</v>
          </cell>
          <cell r="F678" t="str">
            <v>I.INTERUNIVERSITARIO ECONOMIA INTERNACIO</v>
          </cell>
          <cell r="G678" t="str">
            <v>50</v>
          </cell>
          <cell r="H678" t="str">
            <v>10.05</v>
          </cell>
          <cell r="I678" t="str">
            <v>I.U. AGUA Y CIENCIAS AMBIENTALES</v>
          </cell>
          <cell r="J678" t="str">
            <v>27/11/2018</v>
          </cell>
          <cell r="K678" t="str">
            <v>(en blanco)</v>
          </cell>
          <cell r="L678" t="str">
            <v>25</v>
          </cell>
        </row>
        <row r="679">
          <cell r="A679" t="str">
            <v>53240321J</v>
          </cell>
          <cell r="B679" t="str">
            <v>ORTS ESCOLANO, SERGIO</v>
          </cell>
          <cell r="C679" t="str">
            <v>21/12/2016</v>
          </cell>
          <cell r="D679" t="str">
            <v>(en blanco)</v>
          </cell>
          <cell r="E679" t="str">
            <v>10.19</v>
          </cell>
          <cell r="F679" t="str">
            <v>I.U. INVESTIGACION INFORMATICA</v>
          </cell>
          <cell r="G679" t="str">
            <v>20</v>
          </cell>
          <cell r="H679" t="str">
            <v/>
          </cell>
          <cell r="I679" t="str">
            <v/>
          </cell>
          <cell r="J679" t="str">
            <v/>
          </cell>
          <cell r="K679" t="str">
            <v/>
          </cell>
          <cell r="L679" t="str">
            <v/>
          </cell>
        </row>
        <row r="680">
          <cell r="A680" t="str">
            <v>53240328C</v>
          </cell>
          <cell r="B680" t="str">
            <v>RODRIGUEZ LIFANTE, ALBERTO</v>
          </cell>
          <cell r="C680" t="str">
            <v>09/02/2016</v>
          </cell>
          <cell r="D680" t="str">
            <v>(en blanco)</v>
          </cell>
          <cell r="E680" t="str">
            <v>10.15</v>
          </cell>
          <cell r="F680" t="str">
            <v>I.INTERUNIV. LENGUAS MODERNAS APLICADAS</v>
          </cell>
          <cell r="G680" t="str">
            <v>10</v>
          </cell>
          <cell r="H680" t="str">
            <v>10.22</v>
          </cell>
          <cell r="I680" t="str">
            <v>I.INTERUNIV. DESARROLLO SOCIAL Y PAZ</v>
          </cell>
          <cell r="J680" t="str">
            <v>28/07/2021</v>
          </cell>
          <cell r="K680" t="str">
            <v>(en blanco)</v>
          </cell>
          <cell r="L680" t="str">
            <v>10</v>
          </cell>
        </row>
        <row r="681">
          <cell r="A681" t="str">
            <v>53241660H</v>
          </cell>
          <cell r="B681" t="str">
            <v>FERNANDEZ ARACIL, PATRICIA</v>
          </cell>
          <cell r="C681" t="str">
            <v>21/12/2021</v>
          </cell>
          <cell r="D681" t="str">
            <v>(en blanco)</v>
          </cell>
          <cell r="E681" t="str">
            <v>10.05</v>
          </cell>
          <cell r="F681" t="str">
            <v>I.U. AGUA Y CIENCIAS AMBIENTALES</v>
          </cell>
          <cell r="G681" t="str">
            <v>20</v>
          </cell>
          <cell r="H681" t="str">
            <v/>
          </cell>
          <cell r="I681" t="str">
            <v/>
          </cell>
          <cell r="J681" t="str">
            <v/>
          </cell>
          <cell r="K681" t="str">
            <v/>
          </cell>
          <cell r="L681" t="str">
            <v/>
          </cell>
        </row>
        <row r="682">
          <cell r="A682" t="str">
            <v>53244622J</v>
          </cell>
          <cell r="B682" t="str">
            <v>GOMEZ DONOSO, FRANCISCO RAFAEL</v>
          </cell>
          <cell r="C682" t="str">
            <v>14/01/2022</v>
          </cell>
          <cell r="D682" t="str">
            <v>(en blanco)</v>
          </cell>
          <cell r="E682" t="str">
            <v>10.19</v>
          </cell>
          <cell r="F682" t="str">
            <v>I.U. INVESTIGACION INFORMATICA</v>
          </cell>
          <cell r="G682" t="str">
            <v>20</v>
          </cell>
          <cell r="H682" t="str">
            <v/>
          </cell>
          <cell r="I682" t="str">
            <v/>
          </cell>
          <cell r="J682" t="str">
            <v/>
          </cell>
          <cell r="K682" t="str">
            <v/>
          </cell>
          <cell r="L682" t="str">
            <v/>
          </cell>
        </row>
        <row r="683">
          <cell r="A683" t="str">
            <v>53247981Z</v>
          </cell>
          <cell r="B683" t="str">
            <v>SUAREZ TOSTADO, MARTA LUISA</v>
          </cell>
          <cell r="C683" t="str">
            <v>01/05/2022</v>
          </cell>
          <cell r="D683" t="str">
            <v>30/04/2025</v>
          </cell>
          <cell r="E683" t="str">
            <v>10.17</v>
          </cell>
          <cell r="F683" t="str">
            <v>I.U. INVESTIGACIONES TURISTICAS</v>
          </cell>
          <cell r="G683" t="str">
            <v>100</v>
          </cell>
          <cell r="H683" t="str">
            <v/>
          </cell>
          <cell r="I683" t="str">
            <v/>
          </cell>
          <cell r="J683" t="str">
            <v/>
          </cell>
          <cell r="K683" t="str">
            <v/>
          </cell>
          <cell r="L683" t="str">
            <v/>
          </cell>
        </row>
        <row r="684">
          <cell r="A684" t="str">
            <v>53626562S</v>
          </cell>
          <cell r="B684" t="str">
            <v>KERSLAKE YOUNG, LORRAINE JOANNA</v>
          </cell>
          <cell r="C684" t="str">
            <v>31/05/2017</v>
          </cell>
          <cell r="D684" t="str">
            <v>(en blanco)</v>
          </cell>
          <cell r="E684" t="str">
            <v>10.23</v>
          </cell>
          <cell r="F684" t="str">
            <v>I.U. INVESTIGACION ESTUDIOS DE GENERO</v>
          </cell>
          <cell r="G684" t="str">
            <v>20</v>
          </cell>
          <cell r="H684" t="str">
            <v/>
          </cell>
          <cell r="I684" t="str">
            <v/>
          </cell>
          <cell r="J684" t="str">
            <v/>
          </cell>
          <cell r="K684" t="str">
            <v/>
          </cell>
          <cell r="L684" t="str">
            <v/>
          </cell>
        </row>
        <row r="685">
          <cell r="A685" t="str">
            <v>53712381K</v>
          </cell>
          <cell r="B685" t="str">
            <v>FORNIELES ALVAREZ, FRANCISCO ANTONIO</v>
          </cell>
          <cell r="C685" t="str">
            <v>11/07/2022</v>
          </cell>
          <cell r="D685" t="str">
            <v>20/10/2022</v>
          </cell>
          <cell r="E685" t="str">
            <v>10.16</v>
          </cell>
          <cell r="F685" t="str">
            <v>I.M.E.M. RAMON MARGALEF (IMEM)</v>
          </cell>
          <cell r="G685" t="str">
            <v>100</v>
          </cell>
          <cell r="H685" t="str">
            <v/>
          </cell>
          <cell r="I685" t="str">
            <v/>
          </cell>
          <cell r="J685" t="str">
            <v/>
          </cell>
          <cell r="K685" t="str">
            <v/>
          </cell>
          <cell r="L685" t="str">
            <v/>
          </cell>
        </row>
        <row r="686">
          <cell r="A686" t="str">
            <v>53987906Y</v>
          </cell>
          <cell r="B686" t="str">
            <v>HIDALGO LEON, RAQUEL</v>
          </cell>
          <cell r="C686" t="str">
            <v>01/03/2021</v>
          </cell>
          <cell r="D686" t="str">
            <v>31/08/2023</v>
          </cell>
          <cell r="E686" t="str">
            <v>10.11</v>
          </cell>
          <cell r="F686" t="str">
            <v>I.U. SINTESIS ORGANICA</v>
          </cell>
          <cell r="G686" t="str">
            <v>100</v>
          </cell>
          <cell r="H686" t="str">
            <v/>
          </cell>
          <cell r="I686" t="str">
            <v/>
          </cell>
          <cell r="J686" t="str">
            <v/>
          </cell>
          <cell r="K686" t="str">
            <v/>
          </cell>
          <cell r="L686" t="str">
            <v/>
          </cell>
        </row>
        <row r="687">
          <cell r="A687" t="str">
            <v>55337017Y</v>
          </cell>
          <cell r="B687" t="str">
            <v>ORENGO GREEN, JOSE JAVIER</v>
          </cell>
          <cell r="C687" t="str">
            <v>01/12/2020</v>
          </cell>
          <cell r="D687" t="str">
            <v>30/11/2023</v>
          </cell>
          <cell r="E687" t="str">
            <v>10.13</v>
          </cell>
          <cell r="F687" t="str">
            <v>I.U. INVESTIGACION - CIBIO</v>
          </cell>
          <cell r="G687" t="str">
            <v>100</v>
          </cell>
          <cell r="H687" t="str">
            <v/>
          </cell>
          <cell r="I687" t="str">
            <v/>
          </cell>
          <cell r="J687" t="str">
            <v/>
          </cell>
          <cell r="K687" t="str">
            <v/>
          </cell>
          <cell r="L687" t="str">
            <v/>
          </cell>
        </row>
        <row r="688">
          <cell r="A688" t="str">
            <v>70591474N</v>
          </cell>
          <cell r="B688" t="str">
            <v>DELGADO MARIN, JOSE JAVIER</v>
          </cell>
          <cell r="C688" t="str">
            <v>01/10/2021</v>
          </cell>
          <cell r="D688" t="str">
            <v>30/09/2023</v>
          </cell>
          <cell r="E688" t="str">
            <v>10.14</v>
          </cell>
          <cell r="F688" t="str">
            <v>I.U. MATERIALES</v>
          </cell>
          <cell r="G688" t="str">
            <v>100</v>
          </cell>
          <cell r="H688" t="str">
            <v/>
          </cell>
          <cell r="I688" t="str">
            <v/>
          </cell>
          <cell r="J688" t="str">
            <v/>
          </cell>
          <cell r="K688" t="str">
            <v/>
          </cell>
          <cell r="L688" t="str">
            <v/>
          </cell>
        </row>
        <row r="689">
          <cell r="A689" t="str">
            <v>71661231Q</v>
          </cell>
          <cell r="B689" t="str">
            <v>PRIETO GARCIA-CAÑEDO, SARA</v>
          </cell>
          <cell r="C689" t="str">
            <v>21/12/2016</v>
          </cell>
          <cell r="D689" t="str">
            <v>(en blanco)</v>
          </cell>
          <cell r="E689" t="str">
            <v>10.23</v>
          </cell>
          <cell r="F689" t="str">
            <v>I.U. INVESTIGACION ESTUDIOS DE GENERO</v>
          </cell>
          <cell r="G689" t="str">
            <v>50</v>
          </cell>
          <cell r="H689" t="str">
            <v/>
          </cell>
          <cell r="I689" t="str">
            <v/>
          </cell>
          <cell r="J689" t="str">
            <v/>
          </cell>
          <cell r="K689" t="str">
            <v/>
          </cell>
          <cell r="L689" t="str">
            <v/>
          </cell>
        </row>
        <row r="690">
          <cell r="A690" t="str">
            <v>71697007G</v>
          </cell>
          <cell r="B690" t="str">
            <v>FOUBELO GARCIA, FRANCISCO</v>
          </cell>
          <cell r="C690" t="str">
            <v>07/01/2019</v>
          </cell>
          <cell r="D690" t="str">
            <v>(en blanco)</v>
          </cell>
          <cell r="E690" t="str">
            <v>10.11</v>
          </cell>
          <cell r="F690" t="str">
            <v>I.U. SINTESIS ORGANICA</v>
          </cell>
          <cell r="G690" t="str">
            <v>80</v>
          </cell>
          <cell r="H690" t="str">
            <v/>
          </cell>
          <cell r="I690" t="str">
            <v/>
          </cell>
          <cell r="J690" t="str">
            <v/>
          </cell>
          <cell r="K690" t="str">
            <v/>
          </cell>
          <cell r="L690" t="str">
            <v/>
          </cell>
        </row>
        <row r="691">
          <cell r="A691" t="str">
            <v>72128548L</v>
          </cell>
          <cell r="B691" t="str">
            <v>MANTECON TERAN, ALEJANDRO</v>
          </cell>
          <cell r="C691" t="str">
            <v>22/05/2008</v>
          </cell>
          <cell r="D691" t="str">
            <v>(en blanco)</v>
          </cell>
          <cell r="E691" t="str">
            <v>10.17</v>
          </cell>
          <cell r="F691" t="str">
            <v>I.U. INVESTIGACIONES TURISTICAS</v>
          </cell>
          <cell r="G691" t="str">
            <v>20</v>
          </cell>
          <cell r="H691" t="str">
            <v/>
          </cell>
          <cell r="I691" t="str">
            <v/>
          </cell>
          <cell r="J691" t="str">
            <v/>
          </cell>
          <cell r="K691" t="str">
            <v/>
          </cell>
          <cell r="L691" t="str">
            <v/>
          </cell>
        </row>
        <row r="692">
          <cell r="A692" t="str">
            <v>72519052Y</v>
          </cell>
          <cell r="B692" t="str">
            <v>BAEZA BERNA, MANUEL JAIME</v>
          </cell>
          <cell r="C692" t="str">
            <v>08/11/2018</v>
          </cell>
          <cell r="D692" t="str">
            <v>(en blanco)</v>
          </cell>
          <cell r="E692" t="str">
            <v>10.16</v>
          </cell>
          <cell r="F692" t="str">
            <v>I.M.E.M. RAMON MARGALEF (IMEM)</v>
          </cell>
          <cell r="G692" t="str">
            <v>50</v>
          </cell>
          <cell r="H692" t="str">
            <v/>
          </cell>
          <cell r="I692" t="str">
            <v/>
          </cell>
          <cell r="J692" t="str">
            <v/>
          </cell>
          <cell r="K692" t="str">
            <v/>
          </cell>
          <cell r="L692" t="str">
            <v/>
          </cell>
        </row>
        <row r="693">
          <cell r="A693" t="str">
            <v>72520384G</v>
          </cell>
          <cell r="B693" t="str">
            <v>MARCO TOBARRA, AMPARO</v>
          </cell>
          <cell r="C693" t="str">
            <v>08/07/2022</v>
          </cell>
          <cell r="D693" t="str">
            <v>(en blanco)</v>
          </cell>
          <cell r="E693" t="str">
            <v>10.19</v>
          </cell>
          <cell r="F693" t="str">
            <v>I.U. INVESTIGACION INFORMATICA</v>
          </cell>
          <cell r="G693" t="str">
            <v>50</v>
          </cell>
          <cell r="H693" t="str">
            <v/>
          </cell>
          <cell r="I693" t="str">
            <v/>
          </cell>
          <cell r="J693" t="str">
            <v/>
          </cell>
          <cell r="K693" t="str">
            <v/>
          </cell>
          <cell r="L693" t="str">
            <v/>
          </cell>
        </row>
        <row r="694">
          <cell r="A694" t="str">
            <v>72548351A</v>
          </cell>
          <cell r="B694" t="str">
            <v>HILLER VALLINA, PABLO</v>
          </cell>
          <cell r="C694" t="str">
            <v>21/01/2022</v>
          </cell>
          <cell r="D694" t="str">
            <v>20/01/2023</v>
          </cell>
          <cell r="E694" t="str">
            <v>10.12</v>
          </cell>
          <cell r="F694" t="str">
            <v>I.U. ELECTROQUIMICA</v>
          </cell>
          <cell r="G694" t="str">
            <v>100</v>
          </cell>
          <cell r="H694" t="str">
            <v/>
          </cell>
          <cell r="I694" t="str">
            <v/>
          </cell>
          <cell r="J694" t="str">
            <v/>
          </cell>
          <cell r="K694" t="str">
            <v/>
          </cell>
          <cell r="L694" t="str">
            <v/>
          </cell>
        </row>
        <row r="695">
          <cell r="A695" t="str">
            <v>73241112G</v>
          </cell>
          <cell r="B695" t="str">
            <v>RABUÑAL GAYO, JOSE RAMON</v>
          </cell>
          <cell r="C695" t="str">
            <v>01/01/2022</v>
          </cell>
          <cell r="D695" t="str">
            <v>31/12/2024</v>
          </cell>
          <cell r="E695" t="str">
            <v>10.24</v>
          </cell>
          <cell r="F695" t="str">
            <v>I.U. INVESTIGACION ARQ. Y PATR. HIST.</v>
          </cell>
          <cell r="G695" t="str">
            <v>100</v>
          </cell>
          <cell r="H695" t="str">
            <v/>
          </cell>
          <cell r="I695" t="str">
            <v/>
          </cell>
          <cell r="J695" t="str">
            <v/>
          </cell>
          <cell r="K695" t="str">
            <v/>
          </cell>
          <cell r="L695" t="str">
            <v/>
          </cell>
        </row>
        <row r="696">
          <cell r="A696" t="str">
            <v>73376420A</v>
          </cell>
          <cell r="B696" t="str">
            <v>PEIRO CLAVELL, VICTORIANO</v>
          </cell>
          <cell r="C696" t="str">
            <v>24/07/2014</v>
          </cell>
          <cell r="D696" t="str">
            <v>(en blanco)</v>
          </cell>
          <cell r="E696" t="str">
            <v>10.16</v>
          </cell>
          <cell r="F696" t="str">
            <v>I.M.E.M. RAMON MARGALEF (IMEM)</v>
          </cell>
          <cell r="G696" t="str">
            <v>30</v>
          </cell>
          <cell r="H696" t="str">
            <v/>
          </cell>
          <cell r="I696" t="str">
            <v/>
          </cell>
          <cell r="J696" t="str">
            <v/>
          </cell>
          <cell r="K696" t="str">
            <v/>
          </cell>
          <cell r="L696" t="str">
            <v/>
          </cell>
        </row>
        <row r="697">
          <cell r="A697" t="str">
            <v>73536751R</v>
          </cell>
          <cell r="B697" t="str">
            <v>ESTEVE FAUBEL, JOSE MARIA</v>
          </cell>
          <cell r="C697" t="str">
            <v>20/02/2017</v>
          </cell>
          <cell r="D697" t="str">
            <v>(en blanco)</v>
          </cell>
          <cell r="E697" t="str">
            <v>10.25</v>
          </cell>
          <cell r="F697" t="str">
            <v>I.U. INV. ESTUDIOS SOC. AMERICA LATINA</v>
          </cell>
          <cell r="G697" t="str">
            <v>50</v>
          </cell>
          <cell r="H697" t="str">
            <v/>
          </cell>
          <cell r="I697" t="str">
            <v/>
          </cell>
          <cell r="J697" t="str">
            <v/>
          </cell>
          <cell r="K697" t="str">
            <v/>
          </cell>
          <cell r="L697" t="str">
            <v/>
          </cell>
        </row>
        <row r="698">
          <cell r="A698" t="str">
            <v>73766251F</v>
          </cell>
          <cell r="B698" t="str">
            <v>RICO JUAN, JUAN RAMON</v>
          </cell>
          <cell r="C698" t="str">
            <v>26/07/2006</v>
          </cell>
          <cell r="D698" t="str">
            <v>(en blanco)</v>
          </cell>
          <cell r="E698" t="str">
            <v>10.19</v>
          </cell>
          <cell r="F698" t="str">
            <v>I.U. INVESTIGACION INFORMATICA</v>
          </cell>
          <cell r="G698" t="str">
            <v>20</v>
          </cell>
          <cell r="H698" t="str">
            <v/>
          </cell>
          <cell r="I698" t="str">
            <v/>
          </cell>
          <cell r="J698" t="str">
            <v/>
          </cell>
          <cell r="K698" t="str">
            <v/>
          </cell>
          <cell r="L698" t="str">
            <v/>
          </cell>
        </row>
        <row r="699">
          <cell r="A699" t="str">
            <v>73768475T</v>
          </cell>
          <cell r="B699" t="str">
            <v>FULLANA FONT, ANDRES</v>
          </cell>
          <cell r="C699" t="str">
            <v>05/02/2013</v>
          </cell>
          <cell r="D699" t="str">
            <v>(en blanco)</v>
          </cell>
          <cell r="E699" t="str">
            <v>10.05</v>
          </cell>
          <cell r="F699" t="str">
            <v>I.U. AGUA Y CIENCIAS AMBIENTALES</v>
          </cell>
          <cell r="G699" t="str">
            <v>10</v>
          </cell>
          <cell r="H699" t="str">
            <v>10.09</v>
          </cell>
          <cell r="I699" t="str">
            <v>I.U. INGENIERIA DE LOS PROCESOS QUIMICOS</v>
          </cell>
          <cell r="J699" t="str">
            <v>17/05/2021</v>
          </cell>
          <cell r="K699" t="str">
            <v>(en blanco)</v>
          </cell>
          <cell r="L699" t="str">
            <v>55</v>
          </cell>
        </row>
        <row r="700">
          <cell r="A700" t="str">
            <v>73908310H</v>
          </cell>
          <cell r="B700" t="str">
            <v>PERIS FERRANDO, JOSEP ENRIC</v>
          </cell>
          <cell r="C700" t="str">
            <v>17/12/2015</v>
          </cell>
          <cell r="D700" t="str">
            <v>(en blanco)</v>
          </cell>
          <cell r="E700" t="str">
            <v>10.22</v>
          </cell>
          <cell r="F700" t="str">
            <v>I.INTERUNIV. DESARROLLO SOCIAL Y PAZ</v>
          </cell>
          <cell r="G700" t="str">
            <v>100</v>
          </cell>
          <cell r="H700" t="str">
            <v/>
          </cell>
          <cell r="I700" t="str">
            <v/>
          </cell>
          <cell r="J700" t="str">
            <v/>
          </cell>
          <cell r="K700" t="str">
            <v/>
          </cell>
          <cell r="L700" t="str">
            <v/>
          </cell>
        </row>
        <row r="701">
          <cell r="A701" t="str">
            <v>73989362H</v>
          </cell>
          <cell r="B701" t="str">
            <v>RAMIS SORIANO, JAIME</v>
          </cell>
          <cell r="C701" t="str">
            <v>08/11/2017</v>
          </cell>
          <cell r="D701" t="str">
            <v>(en blanco)</v>
          </cell>
          <cell r="E701" t="str">
            <v>10.20</v>
          </cell>
          <cell r="F701" t="str">
            <v>I.U. FISICA APLICADA A LAS CIENCIAS Y LA</v>
          </cell>
          <cell r="G701" t="str">
            <v>50</v>
          </cell>
          <cell r="H701" t="str">
            <v/>
          </cell>
          <cell r="I701" t="str">
            <v/>
          </cell>
          <cell r="J701" t="str">
            <v/>
          </cell>
          <cell r="K701" t="str">
            <v/>
          </cell>
          <cell r="L701" t="str">
            <v/>
          </cell>
        </row>
        <row r="702">
          <cell r="A702" t="str">
            <v>73993969W</v>
          </cell>
          <cell r="B702" t="str">
            <v>MAZON LOPEZ, JOSE NORBERTO</v>
          </cell>
          <cell r="C702" t="str">
            <v>28/05/2009</v>
          </cell>
          <cell r="D702" t="str">
            <v>(en blanco)</v>
          </cell>
          <cell r="E702" t="str">
            <v>10.19</v>
          </cell>
          <cell r="F702" t="str">
            <v>I.U. INVESTIGACION INFORMATICA</v>
          </cell>
          <cell r="G702" t="str">
            <v>20</v>
          </cell>
          <cell r="H702" t="str">
            <v/>
          </cell>
          <cell r="I702" t="str">
            <v/>
          </cell>
          <cell r="J702" t="str">
            <v/>
          </cell>
          <cell r="K702" t="str">
            <v/>
          </cell>
          <cell r="L702" t="str">
            <v/>
          </cell>
        </row>
        <row r="703">
          <cell r="A703" t="str">
            <v>73994724K</v>
          </cell>
          <cell r="B703" t="str">
            <v>CELDRAN BERNABEU, MARCO ANTONIO</v>
          </cell>
          <cell r="C703" t="str">
            <v>15/05/2019</v>
          </cell>
          <cell r="D703" t="str">
            <v>(en blanco)</v>
          </cell>
          <cell r="E703" t="str">
            <v>10.17</v>
          </cell>
          <cell r="F703" t="str">
            <v>I.U. INVESTIGACIONES TURISTICAS</v>
          </cell>
          <cell r="G703" t="str">
            <v>50</v>
          </cell>
          <cell r="H703" t="str">
            <v/>
          </cell>
          <cell r="I703" t="str">
            <v/>
          </cell>
          <cell r="J703" t="str">
            <v/>
          </cell>
          <cell r="K703" t="str">
            <v/>
          </cell>
          <cell r="L703" t="str">
            <v/>
          </cell>
        </row>
        <row r="704">
          <cell r="A704" t="str">
            <v>73995007M</v>
          </cell>
          <cell r="B704" t="str">
            <v>SABATER PIQUERES, CARLOS</v>
          </cell>
          <cell r="C704" t="str">
            <v>11/02/2020</v>
          </cell>
          <cell r="D704" t="str">
            <v>(en blanco)</v>
          </cell>
          <cell r="E704" t="str">
            <v>10.14</v>
          </cell>
          <cell r="F704" t="str">
            <v>I.U. MATERIALES</v>
          </cell>
          <cell r="G704" t="str">
            <v>10</v>
          </cell>
          <cell r="H704" t="str">
            <v/>
          </cell>
          <cell r="I704" t="str">
            <v/>
          </cell>
          <cell r="J704" t="str">
            <v/>
          </cell>
          <cell r="K704" t="str">
            <v/>
          </cell>
          <cell r="L704" t="str">
            <v/>
          </cell>
        </row>
        <row r="705">
          <cell r="A705" t="str">
            <v>73995619L</v>
          </cell>
          <cell r="B705" t="str">
            <v>PUERTO GARCIA, DANIEL</v>
          </cell>
          <cell r="C705" t="str">
            <v>13/12/2018</v>
          </cell>
          <cell r="D705" t="str">
            <v>(en blanco)</v>
          </cell>
          <cell r="E705" t="str">
            <v>10.20</v>
          </cell>
          <cell r="F705" t="str">
            <v>I.U. FISICA APLICADA A LAS CIENCIAS Y LA</v>
          </cell>
          <cell r="G705" t="str">
            <v>20</v>
          </cell>
          <cell r="H705" t="str">
            <v/>
          </cell>
          <cell r="I705" t="str">
            <v/>
          </cell>
          <cell r="J705" t="str">
            <v/>
          </cell>
          <cell r="K705" t="str">
            <v/>
          </cell>
          <cell r="L705" t="str">
            <v/>
          </cell>
        </row>
        <row r="706">
          <cell r="A706" t="str">
            <v>73995818B</v>
          </cell>
          <cell r="B706" t="str">
            <v>ESPINOSA TOMAS, JULIAN</v>
          </cell>
          <cell r="C706" t="str">
            <v>07/02/2020</v>
          </cell>
          <cell r="D706" t="str">
            <v>(en blanco)</v>
          </cell>
          <cell r="E706" t="str">
            <v>10.20</v>
          </cell>
          <cell r="F706" t="str">
            <v>I.U. FISICA APLICADA A LAS CIENCIAS Y LA</v>
          </cell>
          <cell r="G706" t="str">
            <v>20</v>
          </cell>
          <cell r="H706" t="str">
            <v/>
          </cell>
          <cell r="I706" t="str">
            <v/>
          </cell>
          <cell r="J706" t="str">
            <v/>
          </cell>
          <cell r="K706" t="str">
            <v/>
          </cell>
          <cell r="L706" t="str">
            <v/>
          </cell>
        </row>
        <row r="707">
          <cell r="A707" t="str">
            <v>73996233N</v>
          </cell>
          <cell r="B707" t="str">
            <v>JARA BRAVO, CARLOS ALBERTO</v>
          </cell>
          <cell r="C707" t="str">
            <v>07/11/2019</v>
          </cell>
          <cell r="D707" t="str">
            <v>(en blanco)</v>
          </cell>
          <cell r="E707" t="str">
            <v>10.20</v>
          </cell>
          <cell r="F707" t="str">
            <v>I.U. FISICA APLICADA A LAS CIENCIAS Y LA</v>
          </cell>
          <cell r="G707" t="str">
            <v>20</v>
          </cell>
          <cell r="H707" t="str">
            <v/>
          </cell>
          <cell r="I707" t="str">
            <v/>
          </cell>
          <cell r="J707" t="str">
            <v/>
          </cell>
          <cell r="K707" t="str">
            <v/>
          </cell>
          <cell r="L707" t="str">
            <v/>
          </cell>
        </row>
        <row r="708">
          <cell r="A708" t="str">
            <v>74002223E</v>
          </cell>
          <cell r="B708" t="str">
            <v>SANCHEZ SORIANO, MIGUEL ANGEL</v>
          </cell>
          <cell r="C708" t="str">
            <v>07/03/2016</v>
          </cell>
          <cell r="D708" t="str">
            <v>(en blanco)</v>
          </cell>
          <cell r="E708" t="str">
            <v>10.20</v>
          </cell>
          <cell r="F708" t="str">
            <v>I.U. FISICA APLICADA A LAS CIENCIAS Y LA</v>
          </cell>
          <cell r="G708" t="str">
            <v>20</v>
          </cell>
          <cell r="H708" t="str">
            <v/>
          </cell>
          <cell r="I708" t="str">
            <v/>
          </cell>
          <cell r="J708" t="str">
            <v/>
          </cell>
          <cell r="K708" t="str">
            <v/>
          </cell>
          <cell r="L708" t="str">
            <v/>
          </cell>
        </row>
        <row r="709">
          <cell r="A709" t="str">
            <v>74002594W</v>
          </cell>
          <cell r="B709" t="str">
            <v>VALDES ABELLAN, JAVIER</v>
          </cell>
          <cell r="C709" t="str">
            <v>27/10/2014</v>
          </cell>
          <cell r="D709" t="str">
            <v>(en blanco)</v>
          </cell>
          <cell r="E709" t="str">
            <v>10.05</v>
          </cell>
          <cell r="F709" t="str">
            <v>I.U. AGUA Y CIENCIAS AMBIENTALES</v>
          </cell>
          <cell r="G709" t="str">
            <v>10</v>
          </cell>
          <cell r="H709" t="str">
            <v/>
          </cell>
          <cell r="I709" t="str">
            <v/>
          </cell>
          <cell r="J709" t="str">
            <v/>
          </cell>
          <cell r="K709" t="str">
            <v/>
          </cell>
          <cell r="L709" t="str">
            <v/>
          </cell>
        </row>
        <row r="710">
          <cell r="A710" t="str">
            <v>74004743N</v>
          </cell>
          <cell r="B710" t="str">
            <v>CALVO ZARAGOZA, JORGE</v>
          </cell>
          <cell r="C710" t="str">
            <v>04/02/2019</v>
          </cell>
          <cell r="D710" t="str">
            <v>(en blanco)</v>
          </cell>
          <cell r="E710" t="str">
            <v>10.19</v>
          </cell>
          <cell r="F710" t="str">
            <v>I.U. INVESTIGACION INFORMATICA</v>
          </cell>
          <cell r="G710" t="str">
            <v>20</v>
          </cell>
          <cell r="H710" t="str">
            <v/>
          </cell>
          <cell r="I710" t="str">
            <v/>
          </cell>
          <cell r="J710" t="str">
            <v/>
          </cell>
          <cell r="K710" t="str">
            <v/>
          </cell>
          <cell r="L710" t="str">
            <v/>
          </cell>
        </row>
        <row r="711">
          <cell r="A711" t="str">
            <v>74005750F</v>
          </cell>
          <cell r="B711" t="str">
            <v>NAVLANI GARCIA, MIRIAM</v>
          </cell>
          <cell r="C711" t="str">
            <v>11/02/2020</v>
          </cell>
          <cell r="D711" t="str">
            <v>(en blanco)</v>
          </cell>
          <cell r="E711" t="str">
            <v>10.14</v>
          </cell>
          <cell r="F711" t="str">
            <v>I.U. MATERIALES</v>
          </cell>
          <cell r="G711" t="str">
            <v>50</v>
          </cell>
          <cell r="H711" t="str">
            <v/>
          </cell>
          <cell r="I711" t="str">
            <v/>
          </cell>
          <cell r="J711" t="str">
            <v/>
          </cell>
          <cell r="K711" t="str">
            <v/>
          </cell>
          <cell r="L711" t="str">
            <v/>
          </cell>
        </row>
        <row r="712">
          <cell r="A712" t="str">
            <v>74009172W</v>
          </cell>
          <cell r="B712" t="str">
            <v>RIZO PARRAGA, RUBEN JAVIER</v>
          </cell>
          <cell r="C712" t="str">
            <v>01/06/2020</v>
          </cell>
          <cell r="D712" t="str">
            <v>31/10/2022</v>
          </cell>
          <cell r="E712" t="str">
            <v>10.12</v>
          </cell>
          <cell r="F712" t="str">
            <v>I.U. ELECTROQUIMICA</v>
          </cell>
          <cell r="G712" t="str">
            <v>100</v>
          </cell>
          <cell r="H712" t="str">
            <v/>
          </cell>
          <cell r="I712" t="str">
            <v/>
          </cell>
          <cell r="J712" t="str">
            <v/>
          </cell>
          <cell r="K712" t="str">
            <v/>
          </cell>
          <cell r="L712" t="str">
            <v/>
          </cell>
        </row>
        <row r="713">
          <cell r="A713" t="str">
            <v>74014347W</v>
          </cell>
          <cell r="B713" t="str">
            <v>MONTIEL LOPEZ, DAVID</v>
          </cell>
          <cell r="C713" t="str">
            <v>22/11/2021</v>
          </cell>
          <cell r="D713" t="str">
            <v>21/11/2022</v>
          </cell>
          <cell r="E713" t="str">
            <v>10.16</v>
          </cell>
          <cell r="F713" t="str">
            <v>I.M.E.M. RAMON MARGALEF (IMEM)</v>
          </cell>
          <cell r="G713" t="str">
            <v>100</v>
          </cell>
          <cell r="H713" t="str">
            <v/>
          </cell>
          <cell r="I713" t="str">
            <v/>
          </cell>
          <cell r="J713" t="str">
            <v/>
          </cell>
          <cell r="K713" t="str">
            <v/>
          </cell>
          <cell r="L713" t="str">
            <v/>
          </cell>
        </row>
        <row r="714">
          <cell r="A714" t="str">
            <v>74017701K</v>
          </cell>
          <cell r="B714" t="str">
            <v>ABAD COLOMA, RICARDO</v>
          </cell>
          <cell r="C714" t="str">
            <v>01/12/2020</v>
          </cell>
          <cell r="D714" t="str">
            <v>30/11/2023</v>
          </cell>
          <cell r="E714" t="str">
            <v>10.21</v>
          </cell>
          <cell r="F714" t="str">
            <v>I.INTERUNIVERSITARIO GEOGRAFIA</v>
          </cell>
          <cell r="G714" t="str">
            <v>100</v>
          </cell>
          <cell r="H714" t="str">
            <v/>
          </cell>
          <cell r="I714" t="str">
            <v/>
          </cell>
          <cell r="J714" t="str">
            <v/>
          </cell>
          <cell r="K714" t="str">
            <v/>
          </cell>
          <cell r="L714" t="str">
            <v/>
          </cell>
        </row>
        <row r="715">
          <cell r="A715" t="str">
            <v>74018463R</v>
          </cell>
          <cell r="B715" t="str">
            <v>TORREGROSA CHINILLACH, ALEJANDRO</v>
          </cell>
          <cell r="C715" t="str">
            <v>01/09/2022</v>
          </cell>
          <cell r="D715" t="str">
            <v>30/09/2022</v>
          </cell>
          <cell r="E715" t="str">
            <v>10.11</v>
          </cell>
          <cell r="F715" t="str">
            <v>I.U. SINTESIS ORGANICA</v>
          </cell>
          <cell r="G715" t="str">
            <v>100</v>
          </cell>
          <cell r="H715" t="str">
            <v/>
          </cell>
          <cell r="I715" t="str">
            <v/>
          </cell>
          <cell r="J715" t="str">
            <v/>
          </cell>
          <cell r="K715" t="str">
            <v/>
          </cell>
          <cell r="L715" t="str">
            <v/>
          </cell>
        </row>
        <row r="716">
          <cell r="A716" t="str">
            <v>74084767L</v>
          </cell>
          <cell r="B716" t="str">
            <v>ALEMANY BAY, CARMEN</v>
          </cell>
          <cell r="C716" t="str">
            <v>21/05/2015</v>
          </cell>
          <cell r="D716" t="str">
            <v>(en blanco)</v>
          </cell>
          <cell r="E716" t="str">
            <v>10.23</v>
          </cell>
          <cell r="F716" t="str">
            <v>I.U. INVESTIGACION ESTUDIOS DE GENERO</v>
          </cell>
          <cell r="G716" t="str">
            <v>50</v>
          </cell>
          <cell r="H716" t="str">
            <v/>
          </cell>
          <cell r="I716" t="str">
            <v/>
          </cell>
          <cell r="J716" t="str">
            <v/>
          </cell>
          <cell r="K716" t="str">
            <v/>
          </cell>
          <cell r="L716" t="str">
            <v/>
          </cell>
        </row>
        <row r="717">
          <cell r="A717" t="str">
            <v>74085154S</v>
          </cell>
          <cell r="B717" t="str">
            <v>VICEDO GONZALEZ, JOSE LUIS</v>
          </cell>
          <cell r="C717" t="str">
            <v>26/07/2006</v>
          </cell>
          <cell r="D717" t="str">
            <v>(en blanco)</v>
          </cell>
          <cell r="E717" t="str">
            <v>10.19</v>
          </cell>
          <cell r="F717" t="str">
            <v>I.U. INVESTIGACION INFORMATICA</v>
          </cell>
          <cell r="G717" t="str">
            <v>20</v>
          </cell>
          <cell r="H717" t="str">
            <v/>
          </cell>
          <cell r="I717" t="str">
            <v/>
          </cell>
          <cell r="J717" t="str">
            <v/>
          </cell>
          <cell r="K717" t="str">
            <v/>
          </cell>
          <cell r="L717" t="str">
            <v/>
          </cell>
        </row>
        <row r="718">
          <cell r="A718" t="str">
            <v>74085674Y</v>
          </cell>
          <cell r="B718" t="str">
            <v>RICO SOLIVERES, MARIA LUISA</v>
          </cell>
          <cell r="C718" t="str">
            <v>13/10/2011</v>
          </cell>
          <cell r="D718" t="str">
            <v>(en blanco)</v>
          </cell>
          <cell r="E718" t="str">
            <v>10.19</v>
          </cell>
          <cell r="F718" t="str">
            <v>I.U. INVESTIGACION INFORMATICA</v>
          </cell>
          <cell r="G718" t="str">
            <v>20</v>
          </cell>
          <cell r="H718" t="str">
            <v/>
          </cell>
          <cell r="I718" t="str">
            <v/>
          </cell>
          <cell r="J718" t="str">
            <v/>
          </cell>
          <cell r="K718" t="str">
            <v/>
          </cell>
          <cell r="L718" t="str">
            <v/>
          </cell>
        </row>
        <row r="719">
          <cell r="A719" t="str">
            <v>74087122M</v>
          </cell>
          <cell r="B719" t="str">
            <v>GARCIA LILLO, FRANCISCO</v>
          </cell>
          <cell r="C719" t="str">
            <v>26/07/2006</v>
          </cell>
          <cell r="D719" t="str">
            <v>(en blanco)</v>
          </cell>
          <cell r="E719" t="str">
            <v>10.17</v>
          </cell>
          <cell r="F719" t="str">
            <v>I.U. INVESTIGACIONES TURISTICAS</v>
          </cell>
          <cell r="G719" t="str">
            <v>10</v>
          </cell>
          <cell r="H719" t="str">
            <v/>
          </cell>
          <cell r="I719" t="str">
            <v/>
          </cell>
          <cell r="J719" t="str">
            <v/>
          </cell>
          <cell r="K719" t="str">
            <v/>
          </cell>
          <cell r="L719" t="str">
            <v/>
          </cell>
        </row>
        <row r="720">
          <cell r="A720" t="str">
            <v>74087347T</v>
          </cell>
          <cell r="B720" t="str">
            <v>MOLINA AZORIN, JOSE FRANCISCO</v>
          </cell>
          <cell r="C720" t="str">
            <v>22/12/2021</v>
          </cell>
          <cell r="D720" t="str">
            <v>(en blanco)</v>
          </cell>
          <cell r="E720" t="str">
            <v>10.17</v>
          </cell>
          <cell r="F720" t="str">
            <v>I.U. INVESTIGACIONES TURISTICAS</v>
          </cell>
          <cell r="G720" t="str">
            <v>10</v>
          </cell>
          <cell r="H720" t="str">
            <v/>
          </cell>
          <cell r="I720" t="str">
            <v/>
          </cell>
          <cell r="J720" t="str">
            <v/>
          </cell>
          <cell r="K720" t="str">
            <v/>
          </cell>
          <cell r="L720" t="str">
            <v/>
          </cell>
        </row>
        <row r="721">
          <cell r="A721" t="str">
            <v>74149704G</v>
          </cell>
          <cell r="B721" t="str">
            <v>ESCUDERO GUTIERREZ, ANTONIO</v>
          </cell>
          <cell r="C721" t="str">
            <v>14/05/2014</v>
          </cell>
          <cell r="D721" t="str">
            <v>(en blanco)</v>
          </cell>
          <cell r="E721" t="str">
            <v>10.06</v>
          </cell>
          <cell r="F721" t="str">
            <v>I.INTERUNIVERSITARIO ECONOMIA INTERNACIO</v>
          </cell>
          <cell r="G721" t="str">
            <v>90</v>
          </cell>
          <cell r="H721" t="str">
            <v/>
          </cell>
          <cell r="I721" t="str">
            <v/>
          </cell>
          <cell r="J721" t="str">
            <v/>
          </cell>
          <cell r="K721" t="str">
            <v/>
          </cell>
          <cell r="L721" t="str">
            <v/>
          </cell>
        </row>
        <row r="722">
          <cell r="A722" t="str">
            <v>74176634R</v>
          </cell>
          <cell r="B722" t="str">
            <v>VERA REBOLLO, JOSE FERNANDO</v>
          </cell>
          <cell r="C722" t="str">
            <v>01/03/2006</v>
          </cell>
          <cell r="D722" t="str">
            <v>(en blanco)</v>
          </cell>
          <cell r="E722" t="str">
            <v>10.06</v>
          </cell>
          <cell r="F722" t="str">
            <v>I.INTERUNIVERSITARIO ECONOMIA INTERNACIO</v>
          </cell>
          <cell r="G722" t="str">
            <v>10</v>
          </cell>
          <cell r="H722" t="str">
            <v>10.17</v>
          </cell>
          <cell r="I722" t="str">
            <v>I.U. INVESTIGACIONES TURISTICAS</v>
          </cell>
          <cell r="J722" t="str">
            <v>26/07/2006</v>
          </cell>
          <cell r="K722" t="str">
            <v>(en blanco)</v>
          </cell>
          <cell r="L722" t="str">
            <v>80</v>
          </cell>
        </row>
        <row r="723">
          <cell r="A723" t="str">
            <v>74176967N</v>
          </cell>
          <cell r="B723" t="str">
            <v>SAURA GOMEZ, PASCUAL</v>
          </cell>
          <cell r="C723" t="str">
            <v>04/04/2022</v>
          </cell>
          <cell r="D723" t="str">
            <v>(en blanco)</v>
          </cell>
          <cell r="E723" t="str">
            <v>10.05</v>
          </cell>
          <cell r="F723" t="str">
            <v>I.U. AGUA Y CIENCIAS AMBIENTALES</v>
          </cell>
          <cell r="G723" t="str">
            <v>20</v>
          </cell>
          <cell r="H723" t="str">
            <v/>
          </cell>
          <cell r="I723" t="str">
            <v/>
          </cell>
          <cell r="J723" t="str">
            <v/>
          </cell>
          <cell r="K723" t="str">
            <v/>
          </cell>
          <cell r="L723" t="str">
            <v/>
          </cell>
        </row>
        <row r="724">
          <cell r="A724" t="str">
            <v>74182605S</v>
          </cell>
          <cell r="B724" t="str">
            <v>GUILLO FUENTES, MARIA DOLORES</v>
          </cell>
          <cell r="C724" t="str">
            <v>17/12/2015</v>
          </cell>
          <cell r="D724" t="str">
            <v>(en blanco)</v>
          </cell>
          <cell r="E724" t="str">
            <v>10.22</v>
          </cell>
          <cell r="F724" t="str">
            <v>I.INTERUNIV. DESARROLLO SOCIAL Y PAZ</v>
          </cell>
          <cell r="G724" t="str">
            <v>50</v>
          </cell>
          <cell r="H724" t="str">
            <v/>
          </cell>
          <cell r="I724" t="str">
            <v/>
          </cell>
          <cell r="J724" t="str">
            <v/>
          </cell>
          <cell r="K724" t="str">
            <v/>
          </cell>
          <cell r="L724" t="str">
            <v/>
          </cell>
        </row>
        <row r="725">
          <cell r="A725" t="str">
            <v>74187810E</v>
          </cell>
          <cell r="B725" t="str">
            <v>BRU MARTINEZ, ROQUE</v>
          </cell>
          <cell r="C725" t="str">
            <v>13/04/2006</v>
          </cell>
          <cell r="D725" t="str">
            <v>(en blanco)</v>
          </cell>
          <cell r="E725" t="str">
            <v>10.16</v>
          </cell>
          <cell r="F725" t="str">
            <v>I.M.E.M. RAMON MARGALEF (IMEM)</v>
          </cell>
          <cell r="G725" t="str">
            <v>50</v>
          </cell>
          <cell r="H725" t="str">
            <v/>
          </cell>
          <cell r="I725" t="str">
            <v/>
          </cell>
          <cell r="J725" t="str">
            <v/>
          </cell>
          <cell r="K725" t="str">
            <v/>
          </cell>
          <cell r="L725" t="str">
            <v/>
          </cell>
        </row>
        <row r="726">
          <cell r="A726" t="str">
            <v>74190808F</v>
          </cell>
          <cell r="B726" t="str">
            <v>ALFONSO GALIPIENSO, MARIA ISABEL</v>
          </cell>
          <cell r="C726" t="str">
            <v>26/07/2006</v>
          </cell>
          <cell r="D726" t="str">
            <v>(en blanco)</v>
          </cell>
          <cell r="E726" t="str">
            <v>10.19</v>
          </cell>
          <cell r="F726" t="str">
            <v>I.U. INVESTIGACION INFORMATICA</v>
          </cell>
          <cell r="G726" t="str">
            <v>20</v>
          </cell>
          <cell r="H726" t="str">
            <v/>
          </cell>
          <cell r="I726" t="str">
            <v/>
          </cell>
          <cell r="J726" t="str">
            <v/>
          </cell>
          <cell r="K726" t="str">
            <v/>
          </cell>
          <cell r="L726" t="str">
            <v/>
          </cell>
        </row>
        <row r="727">
          <cell r="A727" t="str">
            <v>74192819V</v>
          </cell>
          <cell r="B727" t="str">
            <v>LILLO BUADES, ANTONIO</v>
          </cell>
          <cell r="C727" t="str">
            <v>29/06/2017</v>
          </cell>
          <cell r="D727" t="str">
            <v>(en blanco)</v>
          </cell>
          <cell r="E727" t="str">
            <v>10.25</v>
          </cell>
          <cell r="F727" t="str">
            <v>I.U. INV. ESTUDIOS SOC. AMERICA LATINA</v>
          </cell>
          <cell r="G727" t="str">
            <v>30</v>
          </cell>
          <cell r="H727" t="str">
            <v>10.15</v>
          </cell>
          <cell r="I727" t="str">
            <v>I.INTERUNIV. LENGUAS MODERNAS APLICADAS</v>
          </cell>
          <cell r="J727" t="str">
            <v>29/06/2017</v>
          </cell>
          <cell r="K727" t="str">
            <v>(en blanco)</v>
          </cell>
          <cell r="L727" t="str">
            <v>30</v>
          </cell>
        </row>
        <row r="728">
          <cell r="A728" t="str">
            <v>74193699T</v>
          </cell>
          <cell r="B728" t="str">
            <v>ESCOLANO RUIZ, FRANCISCO JAVIER</v>
          </cell>
          <cell r="C728" t="str">
            <v>05/06/2018</v>
          </cell>
          <cell r="D728" t="str">
            <v>(en blanco)</v>
          </cell>
          <cell r="E728" t="str">
            <v>10.19</v>
          </cell>
          <cell r="F728" t="str">
            <v>I.U. INVESTIGACION INFORMATICA</v>
          </cell>
          <cell r="G728" t="str">
            <v>50</v>
          </cell>
          <cell r="H728" t="str">
            <v/>
          </cell>
          <cell r="I728" t="str">
            <v/>
          </cell>
          <cell r="J728" t="str">
            <v/>
          </cell>
          <cell r="K728" t="str">
            <v/>
          </cell>
          <cell r="L728" t="str">
            <v/>
          </cell>
        </row>
        <row r="729">
          <cell r="A729" t="str">
            <v>74209119X</v>
          </cell>
          <cell r="B729" t="str">
            <v>MONTOYA ABAT, BRAULI</v>
          </cell>
          <cell r="C729" t="str">
            <v>01/03/2006</v>
          </cell>
          <cell r="D729" t="str">
            <v>(en blanco)</v>
          </cell>
          <cell r="E729" t="str">
            <v>10.08</v>
          </cell>
          <cell r="F729" t="str">
            <v>I.INTERUNIVERSITARIO FILOLOGIA VALENCIAN</v>
          </cell>
          <cell r="G729" t="str">
            <v>50</v>
          </cell>
          <cell r="H729" t="str">
            <v/>
          </cell>
          <cell r="I729" t="str">
            <v/>
          </cell>
          <cell r="J729" t="str">
            <v/>
          </cell>
          <cell r="K729" t="str">
            <v/>
          </cell>
          <cell r="L729" t="str">
            <v/>
          </cell>
        </row>
        <row r="730">
          <cell r="A730" t="str">
            <v>74211761F</v>
          </cell>
          <cell r="B730" t="str">
            <v>PONCE HERRERO, GABINO</v>
          </cell>
          <cell r="C730" t="str">
            <v>21/09/2015</v>
          </cell>
          <cell r="D730" t="str">
            <v>(en blanco)</v>
          </cell>
          <cell r="E730" t="str">
            <v>10.21</v>
          </cell>
          <cell r="F730" t="str">
            <v>I.INTERUNIVERSITARIO GEOGRAFIA</v>
          </cell>
          <cell r="G730" t="str">
            <v>10</v>
          </cell>
          <cell r="H730" t="str">
            <v/>
          </cell>
          <cell r="I730" t="str">
            <v/>
          </cell>
          <cell r="J730" t="str">
            <v/>
          </cell>
          <cell r="K730" t="str">
            <v/>
          </cell>
          <cell r="L730" t="str">
            <v/>
          </cell>
        </row>
        <row r="731">
          <cell r="A731" t="str">
            <v>74212968H</v>
          </cell>
          <cell r="B731" t="str">
            <v>PASTOR LOPEZ, ANTONIO</v>
          </cell>
          <cell r="C731" t="str">
            <v>17/10/2007</v>
          </cell>
          <cell r="D731" t="str">
            <v>(en blanco)</v>
          </cell>
          <cell r="E731" t="str">
            <v>10.16</v>
          </cell>
          <cell r="F731" t="str">
            <v>I.M.E.M. RAMON MARGALEF (IMEM)</v>
          </cell>
          <cell r="G731" t="str">
            <v>50</v>
          </cell>
          <cell r="H731" t="str">
            <v/>
          </cell>
          <cell r="I731" t="str">
            <v/>
          </cell>
          <cell r="J731" t="str">
            <v/>
          </cell>
          <cell r="K731" t="str">
            <v/>
          </cell>
          <cell r="L731" t="str">
            <v/>
          </cell>
        </row>
        <row r="732">
          <cell r="A732" t="str">
            <v>74213842H</v>
          </cell>
          <cell r="B732" t="str">
            <v>PUJOL LOPEZ, MARIA DEL MAR</v>
          </cell>
          <cell r="C732" t="str">
            <v>26/07/2006</v>
          </cell>
          <cell r="D732" t="str">
            <v>(en blanco)</v>
          </cell>
          <cell r="E732" t="str">
            <v>10.19</v>
          </cell>
          <cell r="F732" t="str">
            <v>I.U. INVESTIGACION INFORMATICA</v>
          </cell>
          <cell r="G732" t="str">
            <v>20</v>
          </cell>
          <cell r="H732" t="str">
            <v/>
          </cell>
          <cell r="I732" t="str">
            <v/>
          </cell>
          <cell r="J732" t="str">
            <v/>
          </cell>
          <cell r="K732" t="str">
            <v/>
          </cell>
          <cell r="L732" t="str">
            <v/>
          </cell>
        </row>
        <row r="733">
          <cell r="A733" t="str">
            <v>74215613H</v>
          </cell>
          <cell r="B733" t="str">
            <v>ALONSO VALDES, FRANCISCO</v>
          </cell>
          <cell r="C733" t="str">
            <v>24/02/2016</v>
          </cell>
          <cell r="D733" t="str">
            <v>(en blanco)</v>
          </cell>
          <cell r="E733" t="str">
            <v>10.11</v>
          </cell>
          <cell r="F733" t="str">
            <v>I.U. SINTESIS ORGANICA</v>
          </cell>
          <cell r="G733" t="str">
            <v>90</v>
          </cell>
          <cell r="H733" t="str">
            <v/>
          </cell>
          <cell r="I733" t="str">
            <v/>
          </cell>
          <cell r="J733" t="str">
            <v/>
          </cell>
          <cell r="K733" t="str">
            <v/>
          </cell>
          <cell r="L733" t="str">
            <v/>
          </cell>
        </row>
        <row r="734">
          <cell r="A734" t="str">
            <v>74218142V</v>
          </cell>
          <cell r="B734" t="str">
            <v>PRIETO CERDAN, ANTONIO</v>
          </cell>
          <cell r="C734" t="str">
            <v>15/02/2022</v>
          </cell>
          <cell r="D734" t="str">
            <v>(en blanco)</v>
          </cell>
          <cell r="E734" t="str">
            <v>10.21</v>
          </cell>
          <cell r="F734" t="str">
            <v>I.INTERUNIVERSITARIO GEOGRAFIA</v>
          </cell>
          <cell r="G734" t="str">
            <v>50</v>
          </cell>
          <cell r="H734" t="str">
            <v/>
          </cell>
          <cell r="I734" t="str">
            <v/>
          </cell>
          <cell r="J734" t="str">
            <v/>
          </cell>
          <cell r="K734" t="str">
            <v/>
          </cell>
          <cell r="L734" t="str">
            <v/>
          </cell>
        </row>
        <row r="735">
          <cell r="A735" t="str">
            <v>74218386P</v>
          </cell>
          <cell r="B735" t="str">
            <v>MARTINEZ PUCHE, ANTONIO</v>
          </cell>
          <cell r="C735" t="str">
            <v>26/05/2017</v>
          </cell>
          <cell r="D735" t="str">
            <v>(en blanco)</v>
          </cell>
          <cell r="E735" t="str">
            <v>10.25</v>
          </cell>
          <cell r="F735" t="str">
            <v>I.U. INV. ESTUDIOS SOC. AMERICA LATINA</v>
          </cell>
          <cell r="G735" t="str">
            <v>30</v>
          </cell>
          <cell r="H735" t="str">
            <v>10.21</v>
          </cell>
          <cell r="I735" t="str">
            <v>I.INTERUNIVERSITARIO GEOGRAFIA</v>
          </cell>
          <cell r="J735" t="str">
            <v>22/12/2021</v>
          </cell>
          <cell r="K735" t="str">
            <v>(en blanco)</v>
          </cell>
          <cell r="L735" t="str">
            <v>30</v>
          </cell>
        </row>
        <row r="736">
          <cell r="A736" t="str">
            <v>74218439S</v>
          </cell>
          <cell r="B736" t="str">
            <v>HERNANDEZ HERNANDEZ, MARIA</v>
          </cell>
          <cell r="C736" t="str">
            <v>05/08/2009</v>
          </cell>
          <cell r="D736" t="str">
            <v>(en blanco)</v>
          </cell>
          <cell r="E736" t="str">
            <v>10.21</v>
          </cell>
          <cell r="F736" t="str">
            <v>I.INTERUNIVERSITARIO GEOGRAFIA</v>
          </cell>
          <cell r="G736" t="str">
            <v>40</v>
          </cell>
          <cell r="H736" t="str">
            <v>10.17</v>
          </cell>
          <cell r="I736" t="str">
            <v>I.U. INVESTIGACIONES TURISTICAS</v>
          </cell>
          <cell r="J736" t="str">
            <v>03/07/2007</v>
          </cell>
          <cell r="K736" t="str">
            <v>(en blanco)</v>
          </cell>
          <cell r="L736" t="str">
            <v>10</v>
          </cell>
        </row>
        <row r="737">
          <cell r="A737" t="str">
            <v>74218489L</v>
          </cell>
          <cell r="B737" t="str">
            <v>MARCO LAJARA, BARTOLOME</v>
          </cell>
          <cell r="C737" t="str">
            <v>26/07/2006</v>
          </cell>
          <cell r="D737" t="str">
            <v>(en blanco)</v>
          </cell>
          <cell r="E737" t="str">
            <v>10.17</v>
          </cell>
          <cell r="F737" t="str">
            <v>I.U. INVESTIGACIONES TURISTICAS</v>
          </cell>
          <cell r="G737" t="str">
            <v>10</v>
          </cell>
          <cell r="H737" t="str">
            <v/>
          </cell>
          <cell r="I737" t="str">
            <v/>
          </cell>
          <cell r="J737" t="str">
            <v/>
          </cell>
          <cell r="K737" t="str">
            <v/>
          </cell>
          <cell r="L737" t="str">
            <v/>
          </cell>
        </row>
        <row r="738">
          <cell r="A738" t="str">
            <v>74219671M</v>
          </cell>
          <cell r="B738" t="str">
            <v>GIL MACIA, LORENZO</v>
          </cell>
          <cell r="C738" t="str">
            <v>20/12/2012</v>
          </cell>
          <cell r="D738" t="str">
            <v>(en blanco)</v>
          </cell>
          <cell r="E738" t="str">
            <v>10.05</v>
          </cell>
          <cell r="F738" t="str">
            <v>I.U. AGUA Y CIENCIAS AMBIENTALES</v>
          </cell>
          <cell r="G738" t="str">
            <v>10</v>
          </cell>
          <cell r="H738" t="str">
            <v>10.06</v>
          </cell>
          <cell r="I738" t="str">
            <v>I.INTERUNIVERSITARIO ECONOMIA INTERNACIO</v>
          </cell>
          <cell r="J738" t="str">
            <v>13/12/2012</v>
          </cell>
          <cell r="K738" t="str">
            <v>(en blanco)</v>
          </cell>
          <cell r="L738" t="str">
            <v>25</v>
          </cell>
        </row>
        <row r="739">
          <cell r="A739" t="str">
            <v>74221742Y</v>
          </cell>
          <cell r="B739" t="str">
            <v>LIMIÑANA MORCILLO, RUBEN</v>
          </cell>
          <cell r="C739" t="str">
            <v>06/11/2017</v>
          </cell>
          <cell r="D739" t="str">
            <v>(en blanco)</v>
          </cell>
          <cell r="E739" t="str">
            <v>10.20</v>
          </cell>
          <cell r="F739" t="str">
            <v>I.U. FISICA APLICADA A LAS CIENCIAS Y LA</v>
          </cell>
          <cell r="G739" t="str">
            <v>50</v>
          </cell>
          <cell r="H739" t="str">
            <v/>
          </cell>
          <cell r="I739" t="str">
            <v/>
          </cell>
          <cell r="J739" t="str">
            <v/>
          </cell>
          <cell r="K739" t="str">
            <v/>
          </cell>
          <cell r="L739" t="str">
            <v/>
          </cell>
        </row>
        <row r="740">
          <cell r="A740" t="str">
            <v>74223314Z</v>
          </cell>
          <cell r="B740" t="str">
            <v>SEMPERE TORTOSA, MIREIA LUISA</v>
          </cell>
          <cell r="C740" t="str">
            <v>02/04/2014</v>
          </cell>
          <cell r="D740" t="str">
            <v>(en blanco)</v>
          </cell>
          <cell r="E740" t="str">
            <v>10.19</v>
          </cell>
          <cell r="F740" t="str">
            <v>I.U. INVESTIGACION INFORMATICA</v>
          </cell>
          <cell r="G740" t="str">
            <v>20</v>
          </cell>
          <cell r="H740" t="str">
            <v/>
          </cell>
          <cell r="I740" t="str">
            <v/>
          </cell>
          <cell r="J740" t="str">
            <v/>
          </cell>
          <cell r="K740" t="str">
            <v/>
          </cell>
          <cell r="L740" t="str">
            <v/>
          </cell>
        </row>
        <row r="741">
          <cell r="A741" t="str">
            <v>74231164K</v>
          </cell>
          <cell r="B741" t="str">
            <v>QUINTO CANOVAS, JAVIER</v>
          </cell>
          <cell r="C741" t="str">
            <v>20/01/2022</v>
          </cell>
          <cell r="D741" t="str">
            <v>19/01/2023</v>
          </cell>
          <cell r="E741" t="str">
            <v>10.13</v>
          </cell>
          <cell r="F741" t="str">
            <v>I.U. INVESTIGACION - CIBIO</v>
          </cell>
          <cell r="G741" t="str">
            <v>100</v>
          </cell>
          <cell r="H741" t="str">
            <v/>
          </cell>
          <cell r="I741" t="str">
            <v/>
          </cell>
          <cell r="J741" t="str">
            <v/>
          </cell>
          <cell r="K741" t="str">
            <v/>
          </cell>
          <cell r="L741" t="str">
            <v/>
          </cell>
        </row>
        <row r="742">
          <cell r="A742" t="str">
            <v>74235633M</v>
          </cell>
          <cell r="B742" t="str">
            <v>SANZ LAZARO, CARLOS</v>
          </cell>
          <cell r="C742" t="str">
            <v>06/11/2015</v>
          </cell>
          <cell r="D742" t="str">
            <v>(en blanco)</v>
          </cell>
          <cell r="E742" t="str">
            <v>10.16</v>
          </cell>
          <cell r="F742" t="str">
            <v>I.M.E.M. RAMON MARGALEF (IMEM)</v>
          </cell>
          <cell r="G742" t="str">
            <v>50</v>
          </cell>
          <cell r="H742" t="str">
            <v/>
          </cell>
          <cell r="I742" t="str">
            <v/>
          </cell>
          <cell r="J742" t="str">
            <v/>
          </cell>
          <cell r="K742" t="str">
            <v/>
          </cell>
          <cell r="L742" t="str">
            <v/>
          </cell>
        </row>
        <row r="743">
          <cell r="A743" t="str">
            <v>74336031P</v>
          </cell>
          <cell r="B743" t="str">
            <v>RIOS RUIZ, SEGUNDO</v>
          </cell>
          <cell r="C743" t="str">
            <v>09/03/2016</v>
          </cell>
          <cell r="D743" t="str">
            <v>(en blanco)</v>
          </cell>
          <cell r="E743" t="str">
            <v>10.13</v>
          </cell>
          <cell r="F743" t="str">
            <v>I.U. INVESTIGACION - CIBIO</v>
          </cell>
          <cell r="G743" t="str">
            <v>100</v>
          </cell>
          <cell r="H743" t="str">
            <v/>
          </cell>
          <cell r="I743" t="str">
            <v/>
          </cell>
          <cell r="J743" t="str">
            <v/>
          </cell>
          <cell r="K743" t="str">
            <v/>
          </cell>
          <cell r="L743" t="str">
            <v/>
          </cell>
        </row>
        <row r="744">
          <cell r="A744" t="str">
            <v>74342287P</v>
          </cell>
          <cell r="B744" t="str">
            <v>MELGAREJO MORENO, JOAQUIN</v>
          </cell>
          <cell r="C744" t="str">
            <v>02/03/2015</v>
          </cell>
          <cell r="D744" t="str">
            <v>(en blanco)</v>
          </cell>
          <cell r="E744" t="str">
            <v>10.05</v>
          </cell>
          <cell r="F744" t="str">
            <v>I.U. AGUA Y CIENCIAS AMBIENTALES</v>
          </cell>
          <cell r="G744" t="str">
            <v>90</v>
          </cell>
          <cell r="H744" t="str">
            <v/>
          </cell>
          <cell r="I744" t="str">
            <v/>
          </cell>
          <cell r="J744" t="str">
            <v/>
          </cell>
          <cell r="K744" t="str">
            <v/>
          </cell>
          <cell r="L744" t="str">
            <v/>
          </cell>
        </row>
        <row r="745">
          <cell r="A745" t="str">
            <v>74362842R</v>
          </cell>
          <cell r="B745" t="str">
            <v>UBEDA CASTELLANOS, ANDRES</v>
          </cell>
          <cell r="C745" t="str">
            <v>07/11/2019</v>
          </cell>
          <cell r="D745" t="str">
            <v>(en blanco)</v>
          </cell>
          <cell r="E745" t="str">
            <v>10.20</v>
          </cell>
          <cell r="F745" t="str">
            <v>I.U. FISICA APLICADA A LAS CIENCIAS Y LA</v>
          </cell>
          <cell r="G745" t="str">
            <v>20</v>
          </cell>
          <cell r="H745" t="str">
            <v/>
          </cell>
          <cell r="I745" t="str">
            <v/>
          </cell>
          <cell r="J745" t="str">
            <v/>
          </cell>
          <cell r="K745" t="str">
            <v/>
          </cell>
          <cell r="L745" t="str">
            <v/>
          </cell>
        </row>
        <row r="746">
          <cell r="A746" t="str">
            <v>74363844Z</v>
          </cell>
          <cell r="B746" t="str">
            <v>SANCHEZ CARTAGENA, VICTOR MANUEL</v>
          </cell>
          <cell r="C746" t="str">
            <v>18/05/2021</v>
          </cell>
          <cell r="D746" t="str">
            <v>(en blanco)</v>
          </cell>
          <cell r="E746" t="str">
            <v>10.19</v>
          </cell>
          <cell r="F746" t="str">
            <v>I.U. INVESTIGACION INFORMATICA</v>
          </cell>
          <cell r="G746" t="str">
            <v>20</v>
          </cell>
          <cell r="H746" t="str">
            <v/>
          </cell>
          <cell r="I746" t="str">
            <v/>
          </cell>
          <cell r="J746" t="str">
            <v/>
          </cell>
          <cell r="K746" t="str">
            <v/>
          </cell>
          <cell r="L746" t="str">
            <v/>
          </cell>
        </row>
        <row r="747">
          <cell r="A747" t="str">
            <v>74365649W</v>
          </cell>
          <cell r="B747" t="str">
            <v>MUÑOZ BAÑON, MIGUEL ANGEL</v>
          </cell>
          <cell r="C747" t="str">
            <v>01/09/2022</v>
          </cell>
          <cell r="D747" t="str">
            <v>09/12/2022</v>
          </cell>
          <cell r="E747" t="str">
            <v>10.19</v>
          </cell>
          <cell r="F747" t="str">
            <v>I.U. INVESTIGACION INFORMATICA</v>
          </cell>
          <cell r="G747" t="str">
            <v>100</v>
          </cell>
          <cell r="H747" t="str">
            <v/>
          </cell>
          <cell r="I747" t="str">
            <v/>
          </cell>
          <cell r="J747" t="str">
            <v/>
          </cell>
          <cell r="K747" t="str">
            <v/>
          </cell>
          <cell r="L747" t="str">
            <v/>
          </cell>
        </row>
        <row r="748">
          <cell r="A748" t="str">
            <v>74370842C</v>
          </cell>
          <cell r="B748" t="str">
            <v>ARAN AIS, ROSA MARIA</v>
          </cell>
          <cell r="C748" t="str">
            <v>01/07/2020</v>
          </cell>
          <cell r="D748" t="str">
            <v>30/06/2024</v>
          </cell>
          <cell r="E748" t="str">
            <v>10.12</v>
          </cell>
          <cell r="F748" t="str">
            <v>I.U. ELECTROQUIMICA</v>
          </cell>
          <cell r="G748" t="str">
            <v>100</v>
          </cell>
          <cell r="H748" t="str">
            <v/>
          </cell>
          <cell r="I748" t="str">
            <v/>
          </cell>
          <cell r="J748" t="str">
            <v/>
          </cell>
          <cell r="K748" t="str">
            <v/>
          </cell>
          <cell r="L748" t="str">
            <v/>
          </cell>
        </row>
        <row r="749">
          <cell r="A749" t="str">
            <v>74372523E</v>
          </cell>
          <cell r="B749" t="str">
            <v>VALERO MAS, JOSE JAVIER</v>
          </cell>
          <cell r="C749" t="str">
            <v>26/03/2021</v>
          </cell>
          <cell r="D749" t="str">
            <v>(en blanco)</v>
          </cell>
          <cell r="E749" t="str">
            <v>10.19</v>
          </cell>
          <cell r="F749" t="str">
            <v>I.U. INVESTIGACION INFORMATICA</v>
          </cell>
          <cell r="G749" t="str">
            <v>20</v>
          </cell>
          <cell r="H749" t="str">
            <v/>
          </cell>
          <cell r="I749" t="str">
            <v/>
          </cell>
          <cell r="J749" t="str">
            <v/>
          </cell>
          <cell r="K749" t="str">
            <v/>
          </cell>
          <cell r="L749" t="str">
            <v/>
          </cell>
        </row>
        <row r="750">
          <cell r="A750" t="str">
            <v>74376600M</v>
          </cell>
          <cell r="B750" t="str">
            <v>Maturano Ruiz, ADRIAN</v>
          </cell>
          <cell r="C750" t="str">
            <v>16/06/2022</v>
          </cell>
          <cell r="D750" t="str">
            <v>(en blanco)</v>
          </cell>
          <cell r="E750" t="str">
            <v>10.16</v>
          </cell>
          <cell r="F750" t="str">
            <v>I.M.E.M. RAMON MARGALEF (IMEM)</v>
          </cell>
          <cell r="G750" t="str">
            <v>100</v>
          </cell>
          <cell r="H750" t="str">
            <v/>
          </cell>
          <cell r="I750" t="str">
            <v/>
          </cell>
          <cell r="J750" t="str">
            <v/>
          </cell>
          <cell r="K750" t="str">
            <v/>
          </cell>
          <cell r="L750" t="str">
            <v/>
          </cell>
        </row>
        <row r="751">
          <cell r="A751" t="str">
            <v>74376618T</v>
          </cell>
          <cell r="B751" t="str">
            <v>MOSTAZO LOPEZ, MARIA JOSE</v>
          </cell>
          <cell r="C751" t="str">
            <v>01/09/2020</v>
          </cell>
          <cell r="D751" t="str">
            <v>09/12/2022</v>
          </cell>
          <cell r="E751" t="str">
            <v>10.14</v>
          </cell>
          <cell r="F751" t="str">
            <v>I.U. MATERIALES</v>
          </cell>
          <cell r="G751" t="str">
            <v>100</v>
          </cell>
          <cell r="H751" t="str">
            <v/>
          </cell>
          <cell r="I751" t="str">
            <v/>
          </cell>
          <cell r="J751" t="str">
            <v/>
          </cell>
          <cell r="K751" t="str">
            <v/>
          </cell>
          <cell r="L751" t="str">
            <v/>
          </cell>
        </row>
        <row r="752">
          <cell r="A752" t="str">
            <v>74378196Z</v>
          </cell>
          <cell r="B752" t="str">
            <v>TORRES GOMARIZ, OCTAVIO</v>
          </cell>
          <cell r="C752" t="str">
            <v>05/01/2022</v>
          </cell>
          <cell r="D752" t="str">
            <v>31/12/2024</v>
          </cell>
          <cell r="E752" t="str">
            <v>10.24</v>
          </cell>
          <cell r="F752" t="str">
            <v>I.U. INVESTIGACION ARQ. Y PATR. HIST.</v>
          </cell>
          <cell r="G752" t="str">
            <v>100</v>
          </cell>
          <cell r="H752" t="str">
            <v/>
          </cell>
          <cell r="I752" t="str">
            <v/>
          </cell>
          <cell r="J752" t="str">
            <v/>
          </cell>
          <cell r="K752" t="str">
            <v/>
          </cell>
          <cell r="L752" t="str">
            <v/>
          </cell>
        </row>
        <row r="753">
          <cell r="A753" t="str">
            <v>74378235F</v>
          </cell>
          <cell r="B753" t="str">
            <v>MARTINEZ PEREZ, SANDRA</v>
          </cell>
          <cell r="C753" t="str">
            <v>01/07/2021</v>
          </cell>
          <cell r="D753" t="str">
            <v>20/03/2023</v>
          </cell>
          <cell r="E753" t="str">
            <v>10.13</v>
          </cell>
          <cell r="F753" t="str">
            <v>I.U. INVESTIGACION - CIBIO</v>
          </cell>
          <cell r="G753" t="str">
            <v>100</v>
          </cell>
          <cell r="H753" t="str">
            <v/>
          </cell>
          <cell r="I753" t="str">
            <v/>
          </cell>
          <cell r="J753" t="str">
            <v/>
          </cell>
          <cell r="K753" t="str">
            <v/>
          </cell>
          <cell r="L753" t="str">
            <v/>
          </cell>
        </row>
        <row r="754">
          <cell r="A754" t="str">
            <v>74382424X</v>
          </cell>
          <cell r="B754" t="str">
            <v>MARTIN DE LA SIERRA PAREJA, PAULA</v>
          </cell>
          <cell r="C754" t="str">
            <v>01/11/2020</v>
          </cell>
          <cell r="D754" t="str">
            <v>31/10/2024</v>
          </cell>
          <cell r="E754" t="str">
            <v>10.24</v>
          </cell>
          <cell r="F754" t="str">
            <v>I.U. INVESTIGACION ARQ. Y PATR. HIST.</v>
          </cell>
          <cell r="G754" t="str">
            <v>100</v>
          </cell>
          <cell r="H754" t="str">
            <v/>
          </cell>
          <cell r="I754" t="str">
            <v/>
          </cell>
          <cell r="J754" t="str">
            <v/>
          </cell>
          <cell r="K754" t="str">
            <v/>
          </cell>
          <cell r="L754" t="str">
            <v/>
          </cell>
        </row>
        <row r="755">
          <cell r="A755" t="str">
            <v>74384069E</v>
          </cell>
          <cell r="B755" t="str">
            <v>RUIZ BERNAL, ZAIRA</v>
          </cell>
          <cell r="C755" t="str">
            <v>01/09/2020</v>
          </cell>
          <cell r="D755" t="str">
            <v>31/08/2024</v>
          </cell>
          <cell r="E755" t="str">
            <v>10.14</v>
          </cell>
          <cell r="F755" t="str">
            <v>I.U. MATERIALES</v>
          </cell>
          <cell r="G755" t="str">
            <v>100</v>
          </cell>
          <cell r="H755" t="str">
            <v/>
          </cell>
          <cell r="I755" t="str">
            <v/>
          </cell>
          <cell r="J755" t="str">
            <v/>
          </cell>
          <cell r="K755" t="str">
            <v/>
          </cell>
          <cell r="L755" t="str">
            <v/>
          </cell>
        </row>
        <row r="756">
          <cell r="A756" t="str">
            <v>74389429T</v>
          </cell>
          <cell r="B756" t="str">
            <v>ANTON ESPI, NEUS</v>
          </cell>
          <cell r="C756" t="str">
            <v>01/12/2020</v>
          </cell>
          <cell r="D756" t="str">
            <v>30/11/2023</v>
          </cell>
          <cell r="E756" t="str">
            <v>10.24</v>
          </cell>
          <cell r="F756" t="str">
            <v>I.U. INVESTIGACION ARQ. Y PATR. HIST.</v>
          </cell>
          <cell r="G756" t="str">
            <v>100</v>
          </cell>
          <cell r="H756" t="str">
            <v/>
          </cell>
          <cell r="I756" t="str">
            <v/>
          </cell>
          <cell r="J756" t="str">
            <v/>
          </cell>
          <cell r="K756" t="str">
            <v/>
          </cell>
          <cell r="L756" t="str">
            <v/>
          </cell>
        </row>
        <row r="757">
          <cell r="A757" t="str">
            <v>74390710Q</v>
          </cell>
          <cell r="B757" t="str">
            <v>MARTINEZ SANCHEZ, BEATRIZ</v>
          </cell>
          <cell r="C757" t="str">
            <v>18/10/2021</v>
          </cell>
          <cell r="D757" t="str">
            <v>17/10/2023</v>
          </cell>
          <cell r="E757" t="str">
            <v>10.14</v>
          </cell>
          <cell r="F757" t="str">
            <v>I.U. MATERIALES</v>
          </cell>
          <cell r="G757" t="str">
            <v>100</v>
          </cell>
          <cell r="H757" t="str">
            <v/>
          </cell>
          <cell r="I757" t="str">
            <v/>
          </cell>
          <cell r="J757" t="str">
            <v/>
          </cell>
          <cell r="K757" t="str">
            <v/>
          </cell>
          <cell r="L757" t="str">
            <v/>
          </cell>
        </row>
        <row r="758">
          <cell r="A758" t="str">
            <v>74390903W</v>
          </cell>
          <cell r="B758" t="str">
            <v>MARTINEZ BOIX, JOSE LUIS</v>
          </cell>
          <cell r="C758" t="str">
            <v>09/09/2022</v>
          </cell>
          <cell r="D758" t="str">
            <v>08/09/2023</v>
          </cell>
          <cell r="E758" t="str">
            <v>10.24</v>
          </cell>
          <cell r="F758" t="str">
            <v>I.U. INVESTIGACION ARQ. Y PATR. HIST.</v>
          </cell>
          <cell r="G758" t="str">
            <v>100</v>
          </cell>
          <cell r="H758" t="str">
            <v/>
          </cell>
          <cell r="I758" t="str">
            <v/>
          </cell>
          <cell r="J758" t="str">
            <v/>
          </cell>
          <cell r="K758" t="str">
            <v/>
          </cell>
          <cell r="L758" t="str">
            <v/>
          </cell>
        </row>
        <row r="759">
          <cell r="A759" t="str">
            <v>74392535R</v>
          </cell>
          <cell r="B759" t="str">
            <v>SERNA MARTINEZ, ISRAEL</v>
          </cell>
          <cell r="C759" t="str">
            <v>01/05/2022</v>
          </cell>
          <cell r="D759" t="str">
            <v>30/04/2025</v>
          </cell>
          <cell r="E759" t="str">
            <v>10.24</v>
          </cell>
          <cell r="F759" t="str">
            <v>I.U. INVESTIGACION ARQ. Y PATR. HIST.</v>
          </cell>
          <cell r="G759" t="str">
            <v>100</v>
          </cell>
          <cell r="H759" t="str">
            <v/>
          </cell>
          <cell r="I759" t="str">
            <v/>
          </cell>
          <cell r="J759" t="str">
            <v/>
          </cell>
          <cell r="K759" t="str">
            <v/>
          </cell>
          <cell r="L759" t="str">
            <v/>
          </cell>
        </row>
        <row r="760">
          <cell r="A760" t="str">
            <v>74393380H</v>
          </cell>
          <cell r="B760" t="str">
            <v>FLORES LASLUISA, JHONY XAVIER</v>
          </cell>
          <cell r="C760" t="str">
            <v>01/07/2021</v>
          </cell>
          <cell r="D760" t="str">
            <v>30/11/2022</v>
          </cell>
          <cell r="E760" t="str">
            <v>10.14</v>
          </cell>
          <cell r="F760" t="str">
            <v>I.U. MATERIALES</v>
          </cell>
          <cell r="G760" t="str">
            <v>100</v>
          </cell>
          <cell r="H760" t="str">
            <v/>
          </cell>
          <cell r="I760" t="str">
            <v/>
          </cell>
          <cell r="J760" t="str">
            <v/>
          </cell>
          <cell r="K760" t="str">
            <v/>
          </cell>
          <cell r="L760" t="str">
            <v/>
          </cell>
        </row>
        <row r="761">
          <cell r="A761" t="str">
            <v>74394000V</v>
          </cell>
          <cell r="B761" t="str">
            <v>MIRON ALARCON, MIGUEL</v>
          </cell>
          <cell r="C761" t="str">
            <v>01/10/2021</v>
          </cell>
          <cell r="D761" t="str">
            <v>30/09/2025</v>
          </cell>
          <cell r="E761" t="str">
            <v>10.19</v>
          </cell>
          <cell r="F761" t="str">
            <v>I.U. INVESTIGACION INFORMATICA</v>
          </cell>
          <cell r="G761" t="str">
            <v>100</v>
          </cell>
          <cell r="H761" t="str">
            <v/>
          </cell>
          <cell r="I761" t="str">
            <v/>
          </cell>
          <cell r="J761" t="str">
            <v/>
          </cell>
          <cell r="K761" t="str">
            <v/>
          </cell>
          <cell r="L761" t="str">
            <v/>
          </cell>
        </row>
        <row r="762">
          <cell r="A762" t="str">
            <v>74446453F</v>
          </cell>
          <cell r="B762" t="str">
            <v>BAEZA MORALES, ANDRES</v>
          </cell>
          <cell r="C762" t="str">
            <v>01/01/2022</v>
          </cell>
          <cell r="D762" t="str">
            <v>31/12/2022</v>
          </cell>
          <cell r="E762" t="str">
            <v>10.16</v>
          </cell>
          <cell r="F762" t="str">
            <v>I.M.E.M. RAMON MARGALEF (IMEM)</v>
          </cell>
          <cell r="G762" t="str">
            <v>100</v>
          </cell>
          <cell r="H762" t="str">
            <v/>
          </cell>
          <cell r="I762" t="str">
            <v/>
          </cell>
          <cell r="J762" t="str">
            <v/>
          </cell>
          <cell r="K762" t="str">
            <v/>
          </cell>
          <cell r="L762" t="str">
            <v/>
          </cell>
        </row>
        <row r="763">
          <cell r="A763" t="str">
            <v>74626785L</v>
          </cell>
          <cell r="B763" t="str">
            <v>FUENTES ROSILLO, ROSA MARIA</v>
          </cell>
          <cell r="C763" t="str">
            <v>20/10/2009</v>
          </cell>
          <cell r="D763" t="str">
            <v>(en blanco)</v>
          </cell>
          <cell r="E763" t="str">
            <v>10.20</v>
          </cell>
          <cell r="F763" t="str">
            <v>I.U. FISICA APLICADA A LAS CIENCIAS Y LA</v>
          </cell>
          <cell r="G763" t="str">
            <v>20</v>
          </cell>
          <cell r="H763" t="str">
            <v/>
          </cell>
          <cell r="I763" t="str">
            <v/>
          </cell>
          <cell r="J763" t="str">
            <v/>
          </cell>
          <cell r="K763" t="str">
            <v/>
          </cell>
          <cell r="L763" t="str">
            <v/>
          </cell>
        </row>
        <row r="764">
          <cell r="A764" t="str">
            <v>74653004H</v>
          </cell>
          <cell r="B764" t="str">
            <v>MARTINEZ ALVAREZ, ANTONIO</v>
          </cell>
          <cell r="C764" t="str">
            <v>26/07/2006</v>
          </cell>
          <cell r="D764" t="str">
            <v>(en blanco)</v>
          </cell>
          <cell r="E764" t="str">
            <v>10.19</v>
          </cell>
          <cell r="F764" t="str">
            <v>I.U. INVESTIGACION INFORMATICA</v>
          </cell>
          <cell r="G764" t="str">
            <v>20</v>
          </cell>
          <cell r="H764" t="str">
            <v/>
          </cell>
          <cell r="I764" t="str">
            <v/>
          </cell>
          <cell r="J764" t="str">
            <v/>
          </cell>
          <cell r="K764" t="str">
            <v/>
          </cell>
          <cell r="L764" t="str">
            <v/>
          </cell>
        </row>
        <row r="765">
          <cell r="A765" t="str">
            <v>74663636R</v>
          </cell>
          <cell r="B765" t="str">
            <v>RAMOS FERNANDEZ, ENRIQUE VICENTE</v>
          </cell>
          <cell r="C765" t="str">
            <v>11/02/2020</v>
          </cell>
          <cell r="D765" t="str">
            <v>(en blanco)</v>
          </cell>
          <cell r="E765" t="str">
            <v>10.14</v>
          </cell>
          <cell r="F765" t="str">
            <v>I.U. MATERIALES</v>
          </cell>
          <cell r="G765" t="str">
            <v>20</v>
          </cell>
          <cell r="H765" t="str">
            <v/>
          </cell>
          <cell r="I765" t="str">
            <v/>
          </cell>
          <cell r="J765" t="str">
            <v/>
          </cell>
          <cell r="K765" t="str">
            <v/>
          </cell>
          <cell r="L765" t="str">
            <v/>
          </cell>
        </row>
        <row r="766">
          <cell r="A766" t="str">
            <v>75256208R</v>
          </cell>
          <cell r="B766" t="str">
            <v>GUIRADO HERNANDEZ, EMILIO</v>
          </cell>
          <cell r="C766" t="str">
            <v>16/11/2021</v>
          </cell>
          <cell r="D766" t="str">
            <v>15/11/2023</v>
          </cell>
          <cell r="E766" t="str">
            <v>10.16</v>
          </cell>
          <cell r="F766" t="str">
            <v>I.M.E.M. RAMON MARGALEF (IMEM)</v>
          </cell>
          <cell r="G766" t="str">
            <v>100</v>
          </cell>
          <cell r="H766" t="str">
            <v/>
          </cell>
          <cell r="I766" t="str">
            <v/>
          </cell>
          <cell r="J766" t="str">
            <v/>
          </cell>
          <cell r="K766" t="str">
            <v/>
          </cell>
          <cell r="L766" t="str">
            <v/>
          </cell>
        </row>
        <row r="767">
          <cell r="A767" t="str">
            <v>76414567B</v>
          </cell>
          <cell r="B767" t="str">
            <v>BALTEIRO FERNANDEZ, MARIA ISABEL</v>
          </cell>
          <cell r="C767" t="str">
            <v>15/07/2016</v>
          </cell>
          <cell r="D767" t="str">
            <v>(en blanco)</v>
          </cell>
          <cell r="E767" t="str">
            <v>10.23</v>
          </cell>
          <cell r="F767" t="str">
            <v>I.U. INVESTIGACION ESTUDIOS DE GENERO</v>
          </cell>
          <cell r="G767" t="str">
            <v>20</v>
          </cell>
          <cell r="H767" t="str">
            <v>10.15</v>
          </cell>
          <cell r="I767" t="str">
            <v>I.INTERUNIV. LENGUAS MODERNAS APLICADAS</v>
          </cell>
          <cell r="J767" t="str">
            <v>15/07/2016</v>
          </cell>
          <cell r="K767" t="str">
            <v>(en blanco)</v>
          </cell>
          <cell r="L767" t="str">
            <v>20</v>
          </cell>
        </row>
        <row r="768">
          <cell r="A768" t="str">
            <v>76434487J</v>
          </cell>
          <cell r="B768" t="str">
            <v>AVILA BOLIVAR, BEATRIZ</v>
          </cell>
          <cell r="C768" t="str">
            <v>01/07/2021</v>
          </cell>
          <cell r="D768" t="str">
            <v>30/11/2022</v>
          </cell>
          <cell r="E768" t="str">
            <v>10.12</v>
          </cell>
          <cell r="F768" t="str">
            <v>I.U. ELECTROQUIMICA</v>
          </cell>
          <cell r="G768" t="str">
            <v>100</v>
          </cell>
          <cell r="H768" t="str">
            <v/>
          </cell>
          <cell r="I768" t="str">
            <v/>
          </cell>
          <cell r="J768" t="str">
            <v/>
          </cell>
          <cell r="K768" t="str">
            <v/>
          </cell>
          <cell r="L768" t="str">
            <v/>
          </cell>
        </row>
        <row r="769">
          <cell r="A769" t="str">
            <v>76630378J</v>
          </cell>
          <cell r="B769" t="str">
            <v>ROMAN FERNANDEZ, JOSE RAUL</v>
          </cell>
          <cell r="C769" t="str">
            <v>01/02/2022</v>
          </cell>
          <cell r="D769" t="str">
            <v>31/01/2025</v>
          </cell>
          <cell r="E769" t="str">
            <v>10.16</v>
          </cell>
          <cell r="F769" t="str">
            <v>I.M.E.M. RAMON MARGALEF (IMEM)</v>
          </cell>
          <cell r="G769" t="str">
            <v>100</v>
          </cell>
          <cell r="H769" t="str">
            <v/>
          </cell>
          <cell r="I769" t="str">
            <v/>
          </cell>
          <cell r="J769" t="str">
            <v/>
          </cell>
          <cell r="K769" t="str">
            <v/>
          </cell>
          <cell r="L769" t="str">
            <v/>
          </cell>
        </row>
        <row r="770">
          <cell r="A770" t="str">
            <v>76941801Q</v>
          </cell>
          <cell r="B770" t="str">
            <v>IGLESIAS MARTINEZ, MARCOS JESUS</v>
          </cell>
          <cell r="C770" t="str">
            <v>04/09/2017</v>
          </cell>
          <cell r="D770" t="str">
            <v>(en blanco)</v>
          </cell>
          <cell r="E770" t="str">
            <v>10.25</v>
          </cell>
          <cell r="F770" t="str">
            <v>I.U. INV. ESTUDIOS SOC. AMERICA LATINA</v>
          </cell>
          <cell r="G770" t="str">
            <v>30</v>
          </cell>
          <cell r="H770" t="str">
            <v>10.23</v>
          </cell>
          <cell r="I770" t="str">
            <v>I.U. INVESTIGACION ESTUDIOS DE GENERO</v>
          </cell>
          <cell r="J770" t="str">
            <v>14/12/2018</v>
          </cell>
          <cell r="K770" t="str">
            <v>(en blanco)</v>
          </cell>
          <cell r="L770" t="str">
            <v>20</v>
          </cell>
        </row>
        <row r="771">
          <cell r="A771" t="str">
            <v>77182218Z</v>
          </cell>
          <cell r="B771" t="str">
            <v>BUJALANCE SILVA, RAQUEL</v>
          </cell>
          <cell r="C771" t="str">
            <v>01/08/2021</v>
          </cell>
          <cell r="D771" t="str">
            <v>31/07/2025</v>
          </cell>
          <cell r="E771" t="str">
            <v>10.24</v>
          </cell>
          <cell r="F771" t="str">
            <v>I.U. INVESTIGACION ARQ. Y PATR. HIST.</v>
          </cell>
          <cell r="G771" t="str">
            <v>100</v>
          </cell>
          <cell r="H771" t="str">
            <v/>
          </cell>
          <cell r="I771" t="str">
            <v/>
          </cell>
          <cell r="J771" t="str">
            <v/>
          </cell>
          <cell r="K771" t="str">
            <v/>
          </cell>
          <cell r="L771" t="str">
            <v/>
          </cell>
        </row>
        <row r="772">
          <cell r="A772" t="str">
            <v>77662607W</v>
          </cell>
          <cell r="B772" t="str">
            <v>CAMARAS MIGUEL, MARCELO</v>
          </cell>
          <cell r="C772" t="str">
            <v>24/11/2021</v>
          </cell>
          <cell r="D772" t="str">
            <v>23/11/2022</v>
          </cell>
          <cell r="E772" t="str">
            <v>10.12</v>
          </cell>
          <cell r="F772" t="str">
            <v>I.U. ELECTROQUIMICA</v>
          </cell>
          <cell r="G772" t="str">
            <v>100</v>
          </cell>
          <cell r="H772" t="str">
            <v/>
          </cell>
          <cell r="I772" t="str">
            <v/>
          </cell>
          <cell r="J772" t="str">
            <v/>
          </cell>
          <cell r="K772" t="str">
            <v/>
          </cell>
          <cell r="L772" t="str">
            <v/>
          </cell>
        </row>
        <row r="773">
          <cell r="A773" t="str">
            <v>77706785C</v>
          </cell>
          <cell r="B773" t="str">
            <v>PERNI LLORENTE, REMEDIOS</v>
          </cell>
          <cell r="C773" t="str">
            <v>31/05/2017</v>
          </cell>
          <cell r="D773" t="str">
            <v>(en blanco)</v>
          </cell>
          <cell r="E773" t="str">
            <v>10.23</v>
          </cell>
          <cell r="F773" t="str">
            <v>I.U. INVESTIGACION ESTUDIOS DE GENERO</v>
          </cell>
          <cell r="G773" t="str">
            <v>25</v>
          </cell>
          <cell r="H773" t="str">
            <v/>
          </cell>
          <cell r="I773" t="str">
            <v/>
          </cell>
          <cell r="J773" t="str">
            <v/>
          </cell>
          <cell r="K773" t="str">
            <v/>
          </cell>
          <cell r="L773" t="str">
            <v/>
          </cell>
        </row>
        <row r="774">
          <cell r="A774" t="str">
            <v>77718607C</v>
          </cell>
          <cell r="B774" t="str">
            <v>SOTO ALMELA, JORGE</v>
          </cell>
          <cell r="C774" t="str">
            <v>01/03/2022</v>
          </cell>
          <cell r="D774" t="str">
            <v>(en blanco)</v>
          </cell>
          <cell r="E774" t="str">
            <v>10.15</v>
          </cell>
          <cell r="F774" t="str">
            <v>I.INTERUNIV. LENGUAS MODERNAS APLICADAS</v>
          </cell>
          <cell r="G774" t="str">
            <v>20</v>
          </cell>
          <cell r="H774" t="str">
            <v/>
          </cell>
          <cell r="I774" t="str">
            <v/>
          </cell>
          <cell r="J774" t="str">
            <v/>
          </cell>
          <cell r="K774" t="str">
            <v/>
          </cell>
          <cell r="L774" t="str">
            <v/>
          </cell>
        </row>
        <row r="775">
          <cell r="A775" t="str">
            <v>78011141V</v>
          </cell>
          <cell r="B775" t="str">
            <v>MAIORANO LAURIA, LUCILA PAOLA</v>
          </cell>
          <cell r="C775" t="str">
            <v>29/06/2022</v>
          </cell>
          <cell r="D775" t="str">
            <v>(en blanco)</v>
          </cell>
          <cell r="E775" t="str">
            <v>10.14</v>
          </cell>
          <cell r="F775" t="str">
            <v>I.U. MATERIALES</v>
          </cell>
          <cell r="G775" t="str">
            <v>100</v>
          </cell>
          <cell r="H775" t="str">
            <v/>
          </cell>
          <cell r="I775" t="str">
            <v/>
          </cell>
          <cell r="J775" t="str">
            <v/>
          </cell>
          <cell r="K775" t="str">
            <v/>
          </cell>
          <cell r="L775" t="str">
            <v/>
          </cell>
        </row>
        <row r="776">
          <cell r="A776" t="str">
            <v>78480833A</v>
          </cell>
          <cell r="B776" t="str">
            <v>TEJERINA ANTON, DANIEL</v>
          </cell>
          <cell r="C776" t="str">
            <v>03/08/2022</v>
          </cell>
          <cell r="D776" t="str">
            <v>10/11/2022</v>
          </cell>
          <cell r="E776" t="str">
            <v>10.24</v>
          </cell>
          <cell r="F776" t="str">
            <v>I.U. INVESTIGACION ARQ. Y PATR. HIST.</v>
          </cell>
          <cell r="G776" t="str">
            <v>100</v>
          </cell>
          <cell r="H776" t="str">
            <v/>
          </cell>
          <cell r="I776" t="str">
            <v/>
          </cell>
          <cell r="J776" t="str">
            <v/>
          </cell>
          <cell r="K776" t="str">
            <v/>
          </cell>
          <cell r="L776" t="str">
            <v/>
          </cell>
        </row>
        <row r="777">
          <cell r="A777" t="str">
            <v>79101713K</v>
          </cell>
          <cell r="B777" t="str">
            <v>GUARDIOLA SAVALL, MARIA ISABEL</v>
          </cell>
          <cell r="C777" t="str">
            <v>29/01/2019</v>
          </cell>
          <cell r="D777" t="str">
            <v>(en blanco)</v>
          </cell>
          <cell r="E777" t="str">
            <v>10.08</v>
          </cell>
          <cell r="F777" t="str">
            <v>I.INTERUNIVERSITARIO FILOLOGIA VALENCIAN</v>
          </cell>
          <cell r="G777" t="str">
            <v>50</v>
          </cell>
          <cell r="H777" t="str">
            <v/>
          </cell>
          <cell r="I777" t="str">
            <v/>
          </cell>
          <cell r="J777" t="str">
            <v/>
          </cell>
          <cell r="K777" t="str">
            <v/>
          </cell>
          <cell r="L777" t="str">
            <v/>
          </cell>
        </row>
        <row r="778">
          <cell r="A778" t="str">
            <v>79108766J</v>
          </cell>
          <cell r="B778" t="str">
            <v>ORTUÑO PADILLA, ARMANDO</v>
          </cell>
          <cell r="C778" t="str">
            <v>14/02/2012</v>
          </cell>
          <cell r="D778" t="str">
            <v>(en blanco)</v>
          </cell>
          <cell r="E778" t="str">
            <v>10.17</v>
          </cell>
          <cell r="F778" t="str">
            <v>I.U. INVESTIGACIONES TURISTICAS</v>
          </cell>
          <cell r="G778" t="str">
            <v>20</v>
          </cell>
          <cell r="H778" t="str">
            <v>10.05</v>
          </cell>
          <cell r="I778" t="str">
            <v>I.U. AGUA Y CIENCIAS AMBIENTALES</v>
          </cell>
          <cell r="J778" t="str">
            <v>01/10/2015</v>
          </cell>
          <cell r="K778" t="str">
            <v>(en blanco)</v>
          </cell>
          <cell r="L778" t="str">
            <v>50</v>
          </cell>
        </row>
        <row r="779">
          <cell r="A779" t="str">
            <v>X0325201G</v>
          </cell>
          <cell r="B779" t="str">
            <v>CAMPO BAGATIN, ADRIANO</v>
          </cell>
          <cell r="C779" t="str">
            <v>13/11/2019</v>
          </cell>
          <cell r="D779" t="str">
            <v>(en blanco)</v>
          </cell>
          <cell r="E779" t="str">
            <v>10.20</v>
          </cell>
          <cell r="F779" t="str">
            <v>I.U. FISICA APLICADA A LAS CIENCIAS Y LA</v>
          </cell>
          <cell r="G779" t="str">
            <v>50</v>
          </cell>
          <cell r="H779" t="str">
            <v/>
          </cell>
          <cell r="I779" t="str">
            <v/>
          </cell>
          <cell r="J779" t="str">
            <v/>
          </cell>
          <cell r="K779" t="str">
            <v/>
          </cell>
          <cell r="L779" t="str">
            <v/>
          </cell>
        </row>
        <row r="780">
          <cell r="A780" t="str">
            <v>X1299790Z</v>
          </cell>
          <cell r="B780" t="str">
            <v>GRUMPEL , CLAUDIA GISELA</v>
          </cell>
          <cell r="C780" t="str">
            <v>19/12/2014</v>
          </cell>
          <cell r="D780" t="str">
            <v>(en blanco)</v>
          </cell>
          <cell r="E780" t="str">
            <v>10.06</v>
          </cell>
          <cell r="F780" t="str">
            <v>I.INTERUNIVERSITARIO ECONOMIA INTERNACIO</v>
          </cell>
          <cell r="G780" t="str">
            <v>50</v>
          </cell>
          <cell r="H780" t="str">
            <v/>
          </cell>
          <cell r="I780" t="str">
            <v/>
          </cell>
          <cell r="J780" t="str">
            <v/>
          </cell>
          <cell r="K780" t="str">
            <v/>
          </cell>
          <cell r="L780" t="str">
            <v/>
          </cell>
        </row>
        <row r="781">
          <cell r="A781" t="str">
            <v>X2196236N</v>
          </cell>
          <cell r="B781" t="str">
            <v>SENATORE , MARIA XIMENA</v>
          </cell>
          <cell r="C781" t="str">
            <v>01/01/2022</v>
          </cell>
          <cell r="D781" t="str">
            <v>31/12/2024</v>
          </cell>
          <cell r="E781" t="str">
            <v>10.24</v>
          </cell>
          <cell r="F781" t="str">
            <v>I.U. INVESTIGACION ARQ. Y PATR. HIST.</v>
          </cell>
          <cell r="G781" t="str">
            <v>100</v>
          </cell>
          <cell r="H781" t="str">
            <v/>
          </cell>
          <cell r="I781" t="str">
            <v/>
          </cell>
          <cell r="J781" t="str">
            <v/>
          </cell>
          <cell r="K781" t="str">
            <v/>
          </cell>
          <cell r="L781" t="str">
            <v/>
          </cell>
        </row>
        <row r="782">
          <cell r="A782" t="str">
            <v>X3722234Y</v>
          </cell>
          <cell r="B782" t="str">
            <v>MARINI , STEPHAN</v>
          </cell>
          <cell r="C782" t="str">
            <v>20/10/2009</v>
          </cell>
          <cell r="D782" t="str">
            <v>(en blanco)</v>
          </cell>
          <cell r="E782" t="str">
            <v>10.20</v>
          </cell>
          <cell r="F782" t="str">
            <v>I.U. FISICA APLICADA A LAS CIENCIAS Y LA</v>
          </cell>
          <cell r="G782" t="str">
            <v>20</v>
          </cell>
          <cell r="H782" t="str">
            <v/>
          </cell>
          <cell r="I782" t="str">
            <v/>
          </cell>
          <cell r="J782" t="str">
            <v/>
          </cell>
          <cell r="K782" t="str">
            <v/>
          </cell>
          <cell r="L782" t="str">
            <v/>
          </cell>
        </row>
        <row r="783">
          <cell r="A783" t="str">
            <v>X3948401Z</v>
          </cell>
          <cell r="B783" t="str">
            <v>CARVALHO , CRISTINA</v>
          </cell>
          <cell r="C783" t="str">
            <v>26/01/2017</v>
          </cell>
          <cell r="D783" t="str">
            <v>(en blanco)</v>
          </cell>
          <cell r="E783" t="str">
            <v>10.15</v>
          </cell>
          <cell r="F783" t="str">
            <v>I.INTERUNIV. LENGUAS MODERNAS APLICADAS</v>
          </cell>
          <cell r="G783" t="str">
            <v>10</v>
          </cell>
          <cell r="H783" t="str">
            <v/>
          </cell>
          <cell r="I783" t="str">
            <v/>
          </cell>
          <cell r="J783" t="str">
            <v/>
          </cell>
          <cell r="K783" t="str">
            <v/>
          </cell>
          <cell r="L783" t="str">
            <v/>
          </cell>
        </row>
        <row r="784">
          <cell r="A784" t="str">
            <v>X4438120V</v>
          </cell>
          <cell r="B784" t="str">
            <v>MARTIN , TANIA JOSEPHINE</v>
          </cell>
          <cell r="C784" t="str">
            <v>22/04/2021</v>
          </cell>
          <cell r="D784" t="str">
            <v>(en blanco)</v>
          </cell>
          <cell r="E784" t="str">
            <v>10.15</v>
          </cell>
          <cell r="F784" t="str">
            <v>I.INTERUNIV. LENGUAS MODERNAS APLICADAS</v>
          </cell>
          <cell r="G784" t="str">
            <v>50</v>
          </cell>
          <cell r="H784" t="str">
            <v/>
          </cell>
          <cell r="I784" t="str">
            <v/>
          </cell>
          <cell r="J784" t="str">
            <v/>
          </cell>
          <cell r="K784" t="str">
            <v/>
          </cell>
          <cell r="L784" t="str">
            <v/>
          </cell>
        </row>
        <row r="785">
          <cell r="A785" t="str">
            <v>X5350592X</v>
          </cell>
          <cell r="B785" t="str">
            <v>KHAYLINA , ANASTASIA</v>
          </cell>
          <cell r="C785" t="str">
            <v>13/01/2022</v>
          </cell>
          <cell r="D785" t="str">
            <v>12/01/2023</v>
          </cell>
          <cell r="E785" t="str">
            <v>10.15</v>
          </cell>
          <cell r="F785" t="str">
            <v>I.INTERUNIV. LENGUAS MODERNAS APLICADAS</v>
          </cell>
          <cell r="G785" t="str">
            <v>100</v>
          </cell>
          <cell r="H785" t="str">
            <v/>
          </cell>
          <cell r="I785" t="str">
            <v/>
          </cell>
          <cell r="J785" t="str">
            <v/>
          </cell>
          <cell r="K785" t="str">
            <v/>
          </cell>
          <cell r="L785" t="str">
            <v/>
          </cell>
        </row>
        <row r="786">
          <cell r="A786" t="str">
            <v>X5461382D</v>
          </cell>
          <cell r="B786" t="str">
            <v>DRIHA , OANA MADALINA</v>
          </cell>
          <cell r="C786" t="str">
            <v>07/04/2014</v>
          </cell>
          <cell r="D786" t="str">
            <v>(en blanco)</v>
          </cell>
          <cell r="E786" t="str">
            <v>10.17</v>
          </cell>
          <cell r="F786" t="str">
            <v>I.U. INVESTIGACIONES TURISTICAS</v>
          </cell>
          <cell r="G786" t="str">
            <v>10</v>
          </cell>
          <cell r="H786" t="str">
            <v>10.06</v>
          </cell>
          <cell r="I786" t="str">
            <v>I.INTERUNIVERSITARIO ECONOMIA INTERNACIO</v>
          </cell>
          <cell r="J786" t="str">
            <v>23/11/2020</v>
          </cell>
          <cell r="K786" t="str">
            <v>(en blanco)</v>
          </cell>
          <cell r="L786" t="str">
            <v>50</v>
          </cell>
        </row>
        <row r="787">
          <cell r="A787" t="str">
            <v>X6997175T</v>
          </cell>
          <cell r="B787" t="str">
            <v>SANCHEZ DIAZ, ALEXANDER</v>
          </cell>
          <cell r="C787" t="str">
            <v>18/05/2021</v>
          </cell>
          <cell r="D787" t="str">
            <v>(en blanco)</v>
          </cell>
          <cell r="E787" t="str">
            <v>10.19</v>
          </cell>
          <cell r="F787" t="str">
            <v>I.U. INVESTIGACION INFORMATICA</v>
          </cell>
          <cell r="G787" t="str">
            <v>20</v>
          </cell>
          <cell r="H787" t="str">
            <v/>
          </cell>
          <cell r="I787" t="str">
            <v/>
          </cell>
          <cell r="J787" t="str">
            <v/>
          </cell>
          <cell r="K787" t="str">
            <v/>
          </cell>
          <cell r="L787" t="str">
            <v/>
          </cell>
        </row>
        <row r="788">
          <cell r="A788" t="str">
            <v>Y0664929J</v>
          </cell>
          <cell r="B788" t="str">
            <v>BRONK ., PAWEL JAROSLAW</v>
          </cell>
          <cell r="C788" t="str">
            <v>01/05/2022</v>
          </cell>
          <cell r="D788" t="str">
            <v>30/04/2025</v>
          </cell>
          <cell r="E788" t="str">
            <v>10.11</v>
          </cell>
          <cell r="F788" t="str">
            <v>I.U. SINTESIS ORGANICA</v>
          </cell>
          <cell r="G788" t="str">
            <v>100</v>
          </cell>
          <cell r="H788" t="str">
            <v/>
          </cell>
          <cell r="I788" t="str">
            <v/>
          </cell>
          <cell r="J788" t="str">
            <v/>
          </cell>
          <cell r="K788" t="str">
            <v/>
          </cell>
          <cell r="L788" t="str">
            <v/>
          </cell>
        </row>
        <row r="789">
          <cell r="A789" t="str">
            <v>Y1829149L</v>
          </cell>
          <cell r="B789" t="str">
            <v>MURA , GIOVANNA ANGELA</v>
          </cell>
          <cell r="C789" t="str">
            <v>27/01/2022</v>
          </cell>
          <cell r="D789" t="str">
            <v>(en blanco)</v>
          </cell>
          <cell r="E789" t="str">
            <v>10.23</v>
          </cell>
          <cell r="F789" t="str">
            <v>I.U. INVESTIGACION ESTUDIOS DE GENERO</v>
          </cell>
          <cell r="G789" t="str">
            <v>20</v>
          </cell>
          <cell r="H789" t="str">
            <v>10.15</v>
          </cell>
          <cell r="I789" t="str">
            <v>I.INTERUNIV. LENGUAS MODERNAS APLICADAS</v>
          </cell>
          <cell r="J789" t="str">
            <v>27/01/2022</v>
          </cell>
          <cell r="K789" t="str">
            <v>(en blanco)</v>
          </cell>
          <cell r="L789" t="str">
            <v>10</v>
          </cell>
        </row>
        <row r="790">
          <cell r="A790" t="str">
            <v>Y3153474G</v>
          </cell>
          <cell r="B790" t="str">
            <v>OSORIO RAULD, NELSON ALEJANDRO</v>
          </cell>
          <cell r="C790" t="str">
            <v>01/03/2022</v>
          </cell>
          <cell r="D790" t="str">
            <v>(en blanco)</v>
          </cell>
          <cell r="E790" t="str">
            <v>10.25</v>
          </cell>
          <cell r="F790" t="str">
            <v>I.U. INV. ESTUDIOS SOC. AMERICA LATINA</v>
          </cell>
          <cell r="G790" t="str">
            <v>10</v>
          </cell>
          <cell r="H790" t="str">
            <v>10.22</v>
          </cell>
          <cell r="I790" t="str">
            <v>I.INTERUNIV. DESARROLLO SOCIAL Y PAZ</v>
          </cell>
          <cell r="J790" t="str">
            <v>01/03/2022</v>
          </cell>
          <cell r="K790" t="str">
            <v>(en blanco)</v>
          </cell>
          <cell r="L790" t="str">
            <v>60</v>
          </cell>
        </row>
        <row r="791">
          <cell r="A791" t="str">
            <v>Y4902028Y</v>
          </cell>
          <cell r="B791" t="str">
            <v>MOGHLI , AYMEN</v>
          </cell>
          <cell r="C791" t="str">
            <v>10/12/2021</v>
          </cell>
          <cell r="D791" t="str">
            <v>09/10/2022</v>
          </cell>
          <cell r="E791" t="str">
            <v>10.16</v>
          </cell>
          <cell r="F791" t="str">
            <v>I.M.E.M. RAMON MARGALEF (IMEM)</v>
          </cell>
          <cell r="G791" t="str">
            <v>100</v>
          </cell>
          <cell r="H791" t="str">
            <v/>
          </cell>
          <cell r="I791" t="str">
            <v/>
          </cell>
          <cell r="J791" t="str">
            <v/>
          </cell>
          <cell r="K791" t="str">
            <v/>
          </cell>
          <cell r="L791" t="str">
            <v/>
          </cell>
        </row>
        <row r="792">
          <cell r="A792" t="str">
            <v>Y5185715B</v>
          </cell>
          <cell r="B792" t="str">
            <v>SANDOVAL SALINAS, MARIA EUGENIA</v>
          </cell>
          <cell r="C792" t="str">
            <v>31/05/2022</v>
          </cell>
          <cell r="D792" t="str">
            <v>30/05/2023</v>
          </cell>
          <cell r="E792" t="str">
            <v>10.14</v>
          </cell>
          <cell r="F792" t="str">
            <v>I.U. MATERIALES</v>
          </cell>
          <cell r="G792" t="str">
            <v>100</v>
          </cell>
          <cell r="H792" t="str">
            <v/>
          </cell>
          <cell r="I792" t="str">
            <v/>
          </cell>
          <cell r="J792" t="str">
            <v/>
          </cell>
          <cell r="K792" t="str">
            <v/>
          </cell>
          <cell r="L792" t="str">
            <v/>
          </cell>
        </row>
        <row r="793">
          <cell r="A793" t="str">
            <v>Y5737901J</v>
          </cell>
          <cell r="B793" t="str">
            <v>VELASCO SANCHEZ, EDISON PATRICIO</v>
          </cell>
          <cell r="C793" t="str">
            <v>01/12/2020</v>
          </cell>
          <cell r="D793" t="str">
            <v>30/11/2024</v>
          </cell>
          <cell r="E793" t="str">
            <v>10.19</v>
          </cell>
          <cell r="F793" t="str">
            <v>I.U. INVESTIGACION INFORMATICA</v>
          </cell>
          <cell r="G793" t="str">
            <v>100</v>
          </cell>
          <cell r="H793" t="str">
            <v/>
          </cell>
          <cell r="I793" t="str">
            <v/>
          </cell>
          <cell r="J793" t="str">
            <v/>
          </cell>
          <cell r="K793" t="str">
            <v/>
          </cell>
          <cell r="L793" t="str">
            <v/>
          </cell>
        </row>
        <row r="794">
          <cell r="A794" t="str">
            <v>Y5955749M</v>
          </cell>
          <cell r="B794" t="str">
            <v>BELABBES , ASMAA</v>
          </cell>
          <cell r="C794" t="str">
            <v>19/02/2021</v>
          </cell>
          <cell r="D794" t="str">
            <v>18/02/2023</v>
          </cell>
          <cell r="E794" t="str">
            <v>10.11</v>
          </cell>
          <cell r="F794" t="str">
            <v>I.U. SINTESIS ORGANICA</v>
          </cell>
          <cell r="G794" t="str">
            <v>100</v>
          </cell>
          <cell r="H794" t="str">
            <v/>
          </cell>
          <cell r="I794" t="str">
            <v/>
          </cell>
          <cell r="J794" t="str">
            <v/>
          </cell>
          <cell r="K794" t="str">
            <v/>
          </cell>
          <cell r="L794" t="str">
            <v/>
          </cell>
        </row>
        <row r="795">
          <cell r="A795" t="str">
            <v>Y6485509Y</v>
          </cell>
          <cell r="B795" t="str">
            <v>Chaparro Garnica, Jessica Alejandra</v>
          </cell>
          <cell r="C795" t="str">
            <v>01/07/2022</v>
          </cell>
          <cell r="D795" t="str">
            <v>30/06/2023</v>
          </cell>
          <cell r="E795" t="str">
            <v>10.14</v>
          </cell>
          <cell r="F795" t="str">
            <v>I.U. MATERIALES</v>
          </cell>
          <cell r="G795" t="str">
            <v>100</v>
          </cell>
          <cell r="H795" t="str">
            <v/>
          </cell>
          <cell r="I795" t="str">
            <v/>
          </cell>
          <cell r="J795" t="str">
            <v/>
          </cell>
          <cell r="K795" t="str">
            <v/>
          </cell>
          <cell r="L795" t="str">
            <v/>
          </cell>
        </row>
        <row r="796">
          <cell r="A796" t="str">
            <v>Y6813142G</v>
          </cell>
          <cell r="B796" t="str">
            <v>URRUTIA SANCHEZ, MIGUEL ANGEL</v>
          </cell>
          <cell r="C796" t="str">
            <v>04/10/2021</v>
          </cell>
          <cell r="D796" t="str">
            <v>15/09/2025</v>
          </cell>
          <cell r="E796" t="str">
            <v>10.13</v>
          </cell>
          <cell r="F796" t="str">
            <v>I.U. INVESTIGACION - CIBIO</v>
          </cell>
          <cell r="G796" t="str">
            <v>100</v>
          </cell>
          <cell r="H796" t="str">
            <v/>
          </cell>
          <cell r="I796" t="str">
            <v/>
          </cell>
          <cell r="J796" t="str">
            <v/>
          </cell>
          <cell r="K796" t="str">
            <v/>
          </cell>
          <cell r="L796" t="str">
            <v/>
          </cell>
        </row>
        <row r="797">
          <cell r="A797" t="str">
            <v>Y7561378G</v>
          </cell>
          <cell r="B797" t="str">
            <v>PEÑA RODRIGUEZ, AILEN</v>
          </cell>
          <cell r="C797" t="str">
            <v>02/12/2021</v>
          </cell>
          <cell r="D797" t="str">
            <v>01/11/2022</v>
          </cell>
          <cell r="E797" t="str">
            <v>10.12</v>
          </cell>
          <cell r="F797" t="str">
            <v>I.U. ELECTROQUIMICA</v>
          </cell>
          <cell r="G797" t="str">
            <v>100</v>
          </cell>
          <cell r="H797" t="str">
            <v/>
          </cell>
          <cell r="I797" t="str">
            <v/>
          </cell>
          <cell r="J797" t="str">
            <v/>
          </cell>
          <cell r="K797" t="str">
            <v/>
          </cell>
          <cell r="L797" t="str">
            <v/>
          </cell>
        </row>
        <row r="798">
          <cell r="A798" t="str">
            <v>Y8055169P</v>
          </cell>
          <cell r="B798" t="str">
            <v>LIU , PO-YEN</v>
          </cell>
          <cell r="C798" t="str">
            <v>14/09/2022</v>
          </cell>
          <cell r="D798" t="str">
            <v>30/11/2023</v>
          </cell>
          <cell r="E798" t="str">
            <v>10.20</v>
          </cell>
          <cell r="F798" t="str">
            <v>I.U. FISICA APLICADA A LAS CIENCIAS Y LA</v>
          </cell>
          <cell r="G798" t="str">
            <v>100</v>
          </cell>
          <cell r="H798" t="str">
            <v/>
          </cell>
          <cell r="I798" t="str">
            <v/>
          </cell>
          <cell r="J798" t="str">
            <v/>
          </cell>
          <cell r="K798" t="str">
            <v/>
          </cell>
          <cell r="L798" t="str">
            <v/>
          </cell>
        </row>
        <row r="799">
          <cell r="A799" t="str">
            <v>Y8245689L</v>
          </cell>
          <cell r="B799" t="str">
            <v>BERKANE , IMENE</v>
          </cell>
          <cell r="C799" t="str">
            <v>10/09/2022</v>
          </cell>
          <cell r="D799" t="str">
            <v>(en blanco)</v>
          </cell>
          <cell r="E799" t="str">
            <v>10.09</v>
          </cell>
          <cell r="F799" t="str">
            <v>I.U. INGENIERIA DE LOS PROCESOS QUIMICOS</v>
          </cell>
          <cell r="G799" t="str">
            <v>100</v>
          </cell>
          <cell r="H799" t="str">
            <v/>
          </cell>
          <cell r="I799" t="str">
            <v/>
          </cell>
          <cell r="J799" t="str">
            <v/>
          </cell>
          <cell r="K799" t="str">
            <v/>
          </cell>
          <cell r="L799" t="str">
            <v/>
          </cell>
        </row>
        <row r="800">
          <cell r="A800" t="str">
            <v>Y8392657V</v>
          </cell>
          <cell r="B800" t="str">
            <v>JAIMES PAEZ, CRISTIAN DANIEL</v>
          </cell>
          <cell r="C800" t="str">
            <v>16/01/2021</v>
          </cell>
          <cell r="D800" t="str">
            <v>15/01/2024</v>
          </cell>
          <cell r="E800" t="str">
            <v>10.14</v>
          </cell>
          <cell r="F800" t="str">
            <v>I.U. MATERIALES</v>
          </cell>
          <cell r="G800" t="str">
            <v>100</v>
          </cell>
          <cell r="H800" t="str">
            <v/>
          </cell>
          <cell r="I800" t="str">
            <v/>
          </cell>
          <cell r="J800" t="str">
            <v/>
          </cell>
          <cell r="K800" t="str">
            <v/>
          </cell>
          <cell r="L800" t="str">
            <v/>
          </cell>
        </row>
        <row r="801">
          <cell r="A801" t="str">
            <v>Y8401923Z</v>
          </cell>
          <cell r="B801" t="str">
            <v>FIGUEROA QUINTERO, LEIDY PATRICIA</v>
          </cell>
          <cell r="C801" t="str">
            <v>16/01/2021</v>
          </cell>
          <cell r="D801" t="str">
            <v>15/01/2024</v>
          </cell>
          <cell r="E801" t="str">
            <v>10.14</v>
          </cell>
          <cell r="F801" t="str">
            <v>I.U. MATERIALES</v>
          </cell>
          <cell r="G801" t="str">
            <v>100</v>
          </cell>
          <cell r="H801" t="str">
            <v/>
          </cell>
          <cell r="I801" t="str">
            <v/>
          </cell>
          <cell r="J801" t="str">
            <v/>
          </cell>
          <cell r="K801" t="str">
            <v/>
          </cell>
          <cell r="L801" t="str">
            <v/>
          </cell>
        </row>
        <row r="802">
          <cell r="A802" t="str">
            <v>Y8409620Y</v>
          </cell>
          <cell r="B802" t="str">
            <v>DURAN URIBE, EDGAR STIVEN</v>
          </cell>
          <cell r="C802" t="str">
            <v>16/01/2021</v>
          </cell>
          <cell r="D802" t="str">
            <v>15/01/2024</v>
          </cell>
          <cell r="E802" t="str">
            <v>10.14</v>
          </cell>
          <cell r="F802" t="str">
            <v>I.U. MATERIALES</v>
          </cell>
          <cell r="G802" t="str">
            <v>100</v>
          </cell>
          <cell r="H802" t="str">
            <v/>
          </cell>
          <cell r="I802" t="str">
            <v/>
          </cell>
          <cell r="J802" t="str">
            <v/>
          </cell>
          <cell r="K802" t="str">
            <v/>
          </cell>
          <cell r="L802" t="str">
            <v/>
          </cell>
        </row>
        <row r="803">
          <cell r="A803" t="str">
            <v>Y8412740K</v>
          </cell>
          <cell r="B803" t="str">
            <v>TROGOLO , NAIR ELISA</v>
          </cell>
          <cell r="C803" t="str">
            <v>05/02/2021</v>
          </cell>
          <cell r="D803" t="str">
            <v>30/09/2022</v>
          </cell>
          <cell r="E803" t="str">
            <v>10.20</v>
          </cell>
          <cell r="F803" t="str">
            <v>I.U. FISICA APLICADA A LAS CIENCIAS Y LA</v>
          </cell>
          <cell r="G803" t="str">
            <v>100</v>
          </cell>
          <cell r="H803" t="str">
            <v/>
          </cell>
          <cell r="I803" t="str">
            <v/>
          </cell>
          <cell r="J803" t="str">
            <v/>
          </cell>
          <cell r="K803" t="str">
            <v/>
          </cell>
          <cell r="L803" t="str">
            <v/>
          </cell>
        </row>
        <row r="804">
          <cell r="A804" t="str">
            <v>Y8468831S</v>
          </cell>
          <cell r="B804" t="str">
            <v>NEUENKAMP , LENA</v>
          </cell>
          <cell r="C804" t="str">
            <v>07/01/2021</v>
          </cell>
          <cell r="D804" t="str">
            <v>30/09/2022</v>
          </cell>
          <cell r="E804" t="str">
            <v>10.16</v>
          </cell>
          <cell r="F804" t="str">
            <v>I.M.E.M. RAMON MARGALEF (IMEM)</v>
          </cell>
          <cell r="G804" t="str">
            <v>100</v>
          </cell>
          <cell r="H804" t="str">
            <v/>
          </cell>
          <cell r="I804" t="str">
            <v/>
          </cell>
          <cell r="J804" t="str">
            <v/>
          </cell>
          <cell r="K804" t="str">
            <v/>
          </cell>
          <cell r="L804" t="str">
            <v/>
          </cell>
        </row>
        <row r="805">
          <cell r="A805" t="str">
            <v>Y8481112Z</v>
          </cell>
          <cell r="B805" t="str">
            <v>LUO , JIAYIN</v>
          </cell>
          <cell r="C805" t="str">
            <v>01/04/2022</v>
          </cell>
          <cell r="D805" t="str">
            <v>31/12/2022</v>
          </cell>
          <cell r="E805" t="str">
            <v>10.19</v>
          </cell>
          <cell r="F805" t="str">
            <v>I.U. INVESTIGACION INFORMATICA</v>
          </cell>
          <cell r="G805" t="str">
            <v>100</v>
          </cell>
          <cell r="H805" t="str">
            <v/>
          </cell>
          <cell r="I805" t="str">
            <v/>
          </cell>
          <cell r="J805" t="str">
            <v/>
          </cell>
          <cell r="K805" t="str">
            <v/>
          </cell>
          <cell r="L805" t="str">
            <v/>
          </cell>
        </row>
        <row r="806">
          <cell r="A806" t="str">
            <v>Y8784828S</v>
          </cell>
          <cell r="B806" t="str">
            <v>MELLE BAPTISTA, GABRIEL</v>
          </cell>
          <cell r="C806" t="str">
            <v>01/09/2021</v>
          </cell>
          <cell r="D806" t="str">
            <v>31/12/2023</v>
          </cell>
          <cell r="E806" t="str">
            <v>10.12</v>
          </cell>
          <cell r="F806" t="str">
            <v>I.U. ELECTROQUIMICA</v>
          </cell>
          <cell r="G806" t="str">
            <v>100</v>
          </cell>
          <cell r="H806" t="str">
            <v/>
          </cell>
          <cell r="I806" t="str">
            <v/>
          </cell>
          <cell r="J806" t="str">
            <v/>
          </cell>
          <cell r="K806" t="str">
            <v/>
          </cell>
          <cell r="L806" t="str">
            <v/>
          </cell>
        </row>
        <row r="807">
          <cell r="A807" t="str">
            <v>Y8814576R</v>
          </cell>
          <cell r="B807" t="str">
            <v>ABREU JAUREGUI, COSET</v>
          </cell>
          <cell r="C807" t="str">
            <v>01/10/2021</v>
          </cell>
          <cell r="D807" t="str">
            <v>30/09/2025</v>
          </cell>
          <cell r="E807" t="str">
            <v>10.14</v>
          </cell>
          <cell r="F807" t="str">
            <v>I.U. MATERIALES</v>
          </cell>
          <cell r="G807" t="str">
            <v>100</v>
          </cell>
          <cell r="H807" t="str">
            <v/>
          </cell>
          <cell r="I807" t="str">
            <v/>
          </cell>
          <cell r="J807" t="str">
            <v/>
          </cell>
          <cell r="K807" t="str">
            <v/>
          </cell>
          <cell r="L807" t="str">
            <v/>
          </cell>
        </row>
        <row r="808">
          <cell r="A808" t="str">
            <v>Y8938366M</v>
          </cell>
          <cell r="B808" t="str">
            <v>SANCHEZ MONTES, ADRIANA ROSALIA</v>
          </cell>
          <cell r="C808" t="str">
            <v>17/11/2021</v>
          </cell>
          <cell r="D808" t="str">
            <v>15/09/2025</v>
          </cell>
          <cell r="E808" t="str">
            <v>10.20</v>
          </cell>
          <cell r="F808" t="str">
            <v>I.U. FISICA APLICADA A LAS CIENCIAS Y LA</v>
          </cell>
          <cell r="G808" t="str">
            <v>100</v>
          </cell>
          <cell r="H808" t="str">
            <v/>
          </cell>
          <cell r="I808" t="str">
            <v/>
          </cell>
          <cell r="J808" t="str">
            <v/>
          </cell>
          <cell r="K808" t="str">
            <v/>
          </cell>
          <cell r="L808" t="str">
            <v/>
          </cell>
        </row>
        <row r="809">
          <cell r="A809" t="str">
            <v>Y8944389W</v>
          </cell>
          <cell r="B809" t="str">
            <v>PABON ROMAN, KEILA MELISSA</v>
          </cell>
          <cell r="C809" t="str">
            <v>16/01/2022</v>
          </cell>
          <cell r="D809" t="str">
            <v>15/01/2023</v>
          </cell>
          <cell r="E809" t="str">
            <v>10.14</v>
          </cell>
          <cell r="F809" t="str">
            <v>I.U. MATERIALES</v>
          </cell>
          <cell r="G809" t="str">
            <v>100</v>
          </cell>
          <cell r="H809" t="str">
            <v/>
          </cell>
          <cell r="I809" t="str">
            <v/>
          </cell>
          <cell r="J809" t="str">
            <v/>
          </cell>
          <cell r="K809" t="str">
            <v/>
          </cell>
          <cell r="L809" t="str">
            <v/>
          </cell>
        </row>
        <row r="810">
          <cell r="A810" t="str">
            <v>Y9002288X</v>
          </cell>
          <cell r="B810" t="str">
            <v>VEGA HINCAPIE, DARWIN JOSE</v>
          </cell>
          <cell r="C810" t="str">
            <v>21/02/2022</v>
          </cell>
          <cell r="D810" t="str">
            <v>20/02/2025</v>
          </cell>
          <cell r="E810" t="str">
            <v>10.12</v>
          </cell>
          <cell r="F810" t="str">
            <v>I.U. ELECTROQUIMICA</v>
          </cell>
          <cell r="G810" t="str">
            <v>100</v>
          </cell>
          <cell r="H810" t="str">
            <v/>
          </cell>
          <cell r="I810" t="str">
            <v/>
          </cell>
          <cell r="J810" t="str">
            <v/>
          </cell>
          <cell r="K810" t="str">
            <v/>
          </cell>
          <cell r="L810" t="str">
            <v/>
          </cell>
        </row>
        <row r="811">
          <cell r="A811" t="str">
            <v>Y9023888J</v>
          </cell>
          <cell r="B811" t="str">
            <v>TORRES OSORNO, JHOAN SEBASTIAN</v>
          </cell>
          <cell r="C811" t="str">
            <v>16/01/2022</v>
          </cell>
          <cell r="D811" t="str">
            <v>15/01/2026</v>
          </cell>
          <cell r="E811" t="str">
            <v>10.12</v>
          </cell>
          <cell r="F811" t="str">
            <v>I.U. ELECTROQUIMICA</v>
          </cell>
          <cell r="G811" t="str">
            <v>100</v>
          </cell>
          <cell r="H811" t="str">
            <v/>
          </cell>
          <cell r="I811" t="str">
            <v/>
          </cell>
          <cell r="J811" t="str">
            <v/>
          </cell>
          <cell r="K811" t="str">
            <v/>
          </cell>
          <cell r="L811" t="str">
            <v/>
          </cell>
        </row>
        <row r="812">
          <cell r="A812" t="str">
            <v>Y9223184Z</v>
          </cell>
          <cell r="B812" t="str">
            <v>CHEN , NING</v>
          </cell>
          <cell r="C812" t="str">
            <v>14/06/2022</v>
          </cell>
          <cell r="D812" t="str">
            <v>13/06/2024</v>
          </cell>
          <cell r="E812" t="str">
            <v>10.16</v>
          </cell>
          <cell r="F812" t="str">
            <v>I.M.E.M. RAMON MARGALEF (IMEM)</v>
          </cell>
          <cell r="G812" t="str">
            <v>100</v>
          </cell>
          <cell r="H812" t="str">
            <v/>
          </cell>
          <cell r="I812" t="str">
            <v/>
          </cell>
          <cell r="J812" t="str">
            <v/>
          </cell>
          <cell r="K812" t="str">
            <v/>
          </cell>
          <cell r="L812" t="str">
            <v/>
          </cell>
        </row>
        <row r="813">
          <cell r="A813" t="str">
            <v>Y9359443K</v>
          </cell>
          <cell r="B813" t="str">
            <v>RICO VARGAS, ELIO ALFONSO</v>
          </cell>
          <cell r="C813" t="str">
            <v>26/04/2022</v>
          </cell>
          <cell r="D813" t="str">
            <v>25/04/2023</v>
          </cell>
          <cell r="E813" t="str">
            <v>10.12</v>
          </cell>
          <cell r="F813" t="str">
            <v>I.U. ELECTROQUIMICA</v>
          </cell>
          <cell r="G813" t="str">
            <v>100</v>
          </cell>
          <cell r="H813" t="str">
            <v/>
          </cell>
          <cell r="I813" t="str">
            <v/>
          </cell>
          <cell r="J813" t="str">
            <v/>
          </cell>
          <cell r="K813" t="str">
            <v/>
          </cell>
          <cell r="L813" t="str">
            <v/>
          </cell>
        </row>
        <row r="814">
          <cell r="A814" t="str">
            <v>Y9663207R</v>
          </cell>
          <cell r="B814" t="str">
            <v>LAZE , LORIS</v>
          </cell>
          <cell r="C814" t="str">
            <v>01/06/2022</v>
          </cell>
          <cell r="D814" t="str">
            <v>30/05/2023</v>
          </cell>
          <cell r="E814" t="str">
            <v>10.11</v>
          </cell>
          <cell r="F814" t="str">
            <v>I.U. SINTESIS ORGANICA</v>
          </cell>
          <cell r="G814" t="str">
            <v>100</v>
          </cell>
          <cell r="H814" t="str">
            <v/>
          </cell>
          <cell r="I814" t="str">
            <v/>
          </cell>
          <cell r="J814" t="str">
            <v/>
          </cell>
          <cell r="K814" t="str">
            <v/>
          </cell>
          <cell r="L814" t="str">
            <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34"/>
  <sheetViews>
    <sheetView showGridLines="0" tabSelected="1" topLeftCell="H11" zoomScale="120" zoomScaleNormal="120" workbookViewId="0">
      <selection activeCell="S34" sqref="S34:T34"/>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25.6640625" style="13" customWidth="1"/>
    <col min="11" max="12" width="5.109375" style="13" customWidth="1"/>
    <col min="13" max="13" width="8.33203125" style="14" bestFit="1" customWidth="1"/>
    <col min="14" max="14" width="4.88671875" style="13" customWidth="1"/>
    <col min="15" max="15" width="5.33203125" style="14" customWidth="1"/>
    <col min="16" max="16" width="4.88671875" style="13" customWidth="1"/>
    <col min="17" max="17" width="3.5546875" style="14" customWidth="1"/>
    <col min="18" max="18" width="3.5546875" style="13" customWidth="1"/>
    <col min="19" max="21" width="5.109375" style="13" customWidth="1"/>
    <col min="22" max="16384" width="10.33203125" style="13"/>
  </cols>
  <sheetData>
    <row r="1" spans="1:22" ht="45.6" thickBot="1" x14ac:dyDescent="0.25">
      <c r="A1" s="8" t="s">
        <v>9</v>
      </c>
      <c r="B1" s="9" t="s">
        <v>10</v>
      </c>
      <c r="C1" s="9" t="s">
        <v>11</v>
      </c>
      <c r="D1" s="9" t="s">
        <v>12</v>
      </c>
      <c r="E1" s="9" t="s">
        <v>13</v>
      </c>
      <c r="F1" s="9" t="s">
        <v>14</v>
      </c>
      <c r="G1" s="9" t="s">
        <v>15</v>
      </c>
      <c r="H1" s="9" t="s">
        <v>16</v>
      </c>
      <c r="I1" s="8" t="s">
        <v>17</v>
      </c>
      <c r="J1" s="9" t="s">
        <v>18</v>
      </c>
      <c r="K1" s="8" t="s">
        <v>19</v>
      </c>
      <c r="L1" s="9" t="s">
        <v>20</v>
      </c>
      <c r="M1" s="10" t="s">
        <v>21</v>
      </c>
      <c r="N1" s="11" t="s">
        <v>22</v>
      </c>
      <c r="O1" s="12" t="s">
        <v>23</v>
      </c>
      <c r="P1" s="11" t="s">
        <v>24</v>
      </c>
      <c r="Q1" s="12" t="s">
        <v>25</v>
      </c>
      <c r="R1" s="11" t="s">
        <v>26</v>
      </c>
      <c r="S1" s="11" t="s">
        <v>27</v>
      </c>
      <c r="T1" s="11" t="s">
        <v>28</v>
      </c>
      <c r="U1" s="11" t="s">
        <v>29</v>
      </c>
    </row>
    <row r="2" spans="1:22" s="54" customFormat="1" ht="10.8" thickBot="1" x14ac:dyDescent="0.25">
      <c r="A2" s="37" t="s">
        <v>52</v>
      </c>
      <c r="B2" s="37" t="s">
        <v>53</v>
      </c>
      <c r="C2" s="37" t="s">
        <v>54</v>
      </c>
      <c r="D2" s="37" t="s">
        <v>219</v>
      </c>
      <c r="E2" s="37" t="s">
        <v>220</v>
      </c>
      <c r="F2" s="37" t="s">
        <v>221</v>
      </c>
      <c r="G2" s="38" t="s">
        <v>222</v>
      </c>
      <c r="H2" s="39" t="s">
        <v>34</v>
      </c>
      <c r="I2" s="39" t="s">
        <v>223</v>
      </c>
      <c r="J2" s="40" t="s">
        <v>224</v>
      </c>
      <c r="K2" s="35">
        <f>IF(ISNUMBER(MATCH(D2,'[1]Asignación Tesis'!$A$4:$A$547,0)),VLOOKUP(D2,'[1]Asignación Tesis'!$A$4:$C$547,3,0),"X")</f>
        <v>1</v>
      </c>
      <c r="L2" s="35" t="e">
        <f>IF(I2="ZZ",IF(CODE(A2)=85,VLOOKUP(LEFT(A2,LEN(A2)-1),$X$2:$Y$20,2,0),LEFT(A2,4)),IF(CODE(I2)=85,VLOOKUP(LEFT(I2,LEN(I2)-1),$X$2:$Y$21,2,0),LEFT(I2,4)))</f>
        <v>#N/A</v>
      </c>
      <c r="M2" s="27">
        <v>2020</v>
      </c>
      <c r="N2" s="27" t="str">
        <f>IF(ISNUMBER(MATCH(LEFT($G2,LEN($G2)-1),[1]Ded!$A$2:$A$814,0)),VLOOKUP(LEFT($G2,LEN($G2)-1),[1]Ded!$A$2:$L$814,5,0),"")</f>
        <v>10.24</v>
      </c>
      <c r="O2" s="28" t="str">
        <f>IF(ISNUMBER(MATCH(LEFT($G2,LEN($G2)-1),[1]Ded!$A$2:$A$814,0)),VLOOKUP(LEFT($G2,LEN($G2)-1),[1]Ded!$A$2:$L$814,7,0),"")</f>
        <v>100</v>
      </c>
      <c r="P2" s="27" t="str">
        <f>IF(ISNUMBER(MATCH(LEFT($G2,LEN($G2)-1),[1]Ded!$A$2:$A$814,0)),VLOOKUP(LEFT($G2,LEN($G2)-1),[1]Ded!$A$2:$L$814,8,0),"")</f>
        <v/>
      </c>
      <c r="Q2" s="28" t="str">
        <f>IF(ISNUMBER(MATCH(LEFT($G2,LEN($G2)-1),[1]Ded!$A$2:$A$814,0)),VLOOKUP(LEFT($G2,LEN($G2)-1),[1]Ded!$A$2:$L$814,12,0),"")</f>
        <v/>
      </c>
      <c r="R2" s="27">
        <f t="shared" ref="R2" si="0">IF(Q2&lt;&gt;"",100-O2-Q2,IF(O2&lt;&gt;"",100-O2,100))</f>
        <v>0</v>
      </c>
      <c r="S2" s="57">
        <f t="shared" ref="S2" si="1">K2*R2/100</f>
        <v>0</v>
      </c>
      <c r="T2" s="27">
        <f t="shared" ref="T2" si="2">IF(O2="",0,K2*O2/100)</f>
        <v>1</v>
      </c>
      <c r="U2" s="27">
        <f t="shared" ref="U2" si="3">IF(Q2="",0,K2*Q2/100)</f>
        <v>0</v>
      </c>
      <c r="V2" s="54" t="s">
        <v>330</v>
      </c>
    </row>
    <row r="3" spans="1:22" s="54" customFormat="1" x14ac:dyDescent="0.2">
      <c r="A3" s="27" t="s">
        <v>64</v>
      </c>
      <c r="B3" s="27" t="s">
        <v>65</v>
      </c>
      <c r="C3" s="27" t="s">
        <v>71</v>
      </c>
      <c r="D3" s="27" t="s">
        <v>77</v>
      </c>
      <c r="E3" s="27" t="s">
        <v>78</v>
      </c>
      <c r="F3" s="27" t="s">
        <v>33</v>
      </c>
      <c r="G3" s="27" t="s">
        <v>68</v>
      </c>
      <c r="H3" s="27" t="s">
        <v>34</v>
      </c>
      <c r="I3" s="27" t="s">
        <v>64</v>
      </c>
      <c r="J3" s="27" t="s">
        <v>65</v>
      </c>
      <c r="K3" s="30">
        <v>1</v>
      </c>
      <c r="L3" s="27" t="s">
        <v>69</v>
      </c>
      <c r="M3" s="27">
        <v>2016</v>
      </c>
      <c r="N3" s="27" t="s">
        <v>67</v>
      </c>
      <c r="O3" s="28" t="s">
        <v>51</v>
      </c>
      <c r="P3" s="27" t="s">
        <v>31</v>
      </c>
      <c r="Q3" s="28" t="s">
        <v>31</v>
      </c>
      <c r="R3" s="29">
        <v>20</v>
      </c>
      <c r="S3" s="30">
        <v>0.2</v>
      </c>
      <c r="T3" s="58">
        <v>0.8</v>
      </c>
      <c r="U3" s="30">
        <v>0</v>
      </c>
    </row>
    <row r="4" spans="1:22" s="54" customFormat="1" x14ac:dyDescent="0.2">
      <c r="A4" s="27" t="s">
        <v>64</v>
      </c>
      <c r="B4" s="27" t="s">
        <v>65</v>
      </c>
      <c r="C4" s="27" t="s">
        <v>71</v>
      </c>
      <c r="D4" s="27" t="s">
        <v>79</v>
      </c>
      <c r="E4" s="27" t="s">
        <v>80</v>
      </c>
      <c r="F4" s="27" t="s">
        <v>81</v>
      </c>
      <c r="G4" s="27" t="s">
        <v>68</v>
      </c>
      <c r="H4" s="27" t="s">
        <v>34</v>
      </c>
      <c r="I4" s="27" t="s">
        <v>64</v>
      </c>
      <c r="J4" s="27" t="s">
        <v>65</v>
      </c>
      <c r="K4" s="30">
        <v>1</v>
      </c>
      <c r="L4" s="27" t="s">
        <v>69</v>
      </c>
      <c r="M4" s="27">
        <v>2016</v>
      </c>
      <c r="N4" s="27" t="s">
        <v>67</v>
      </c>
      <c r="O4" s="28" t="s">
        <v>51</v>
      </c>
      <c r="P4" s="27" t="s">
        <v>31</v>
      </c>
      <c r="Q4" s="28" t="s">
        <v>31</v>
      </c>
      <c r="R4" s="29">
        <v>20</v>
      </c>
      <c r="S4" s="30">
        <v>0.2</v>
      </c>
      <c r="T4" s="58">
        <v>0.8</v>
      </c>
      <c r="U4" s="30">
        <v>0</v>
      </c>
    </row>
    <row r="5" spans="1:22" s="54" customFormat="1" x14ac:dyDescent="0.2">
      <c r="A5" s="27" t="s">
        <v>64</v>
      </c>
      <c r="B5" s="27" t="s">
        <v>65</v>
      </c>
      <c r="C5" s="27" t="s">
        <v>71</v>
      </c>
      <c r="D5" s="27" t="s">
        <v>82</v>
      </c>
      <c r="E5" s="27" t="s">
        <v>83</v>
      </c>
      <c r="F5" s="27" t="s">
        <v>58</v>
      </c>
      <c r="G5" s="27" t="s">
        <v>73</v>
      </c>
      <c r="H5" s="27" t="s">
        <v>34</v>
      </c>
      <c r="I5" s="27" t="s">
        <v>64</v>
      </c>
      <c r="J5" s="27" t="s">
        <v>65</v>
      </c>
      <c r="K5" s="30">
        <v>1</v>
      </c>
      <c r="L5" s="27" t="s">
        <v>69</v>
      </c>
      <c r="M5" s="27">
        <v>2016</v>
      </c>
      <c r="N5" s="27" t="s">
        <v>67</v>
      </c>
      <c r="O5" s="28" t="s">
        <v>51</v>
      </c>
      <c r="P5" s="27" t="s">
        <v>31</v>
      </c>
      <c r="Q5" s="28" t="s">
        <v>31</v>
      </c>
      <c r="R5" s="29">
        <v>20</v>
      </c>
      <c r="S5" s="30">
        <v>0.2</v>
      </c>
      <c r="T5" s="58">
        <v>0.8</v>
      </c>
      <c r="U5" s="30">
        <v>0</v>
      </c>
    </row>
    <row r="6" spans="1:22" s="54" customFormat="1" x14ac:dyDescent="0.2">
      <c r="A6" s="27" t="s">
        <v>52</v>
      </c>
      <c r="B6" s="27" t="s">
        <v>53</v>
      </c>
      <c r="C6" s="27" t="s">
        <v>54</v>
      </c>
      <c r="D6" s="27" t="s">
        <v>84</v>
      </c>
      <c r="E6" s="27" t="s">
        <v>85</v>
      </c>
      <c r="F6" s="27" t="s">
        <v>62</v>
      </c>
      <c r="G6" s="27" t="s">
        <v>72</v>
      </c>
      <c r="H6" s="27" t="s">
        <v>34</v>
      </c>
      <c r="I6" s="27" t="s">
        <v>64</v>
      </c>
      <c r="J6" s="27" t="s">
        <v>65</v>
      </c>
      <c r="K6" s="30">
        <v>1</v>
      </c>
      <c r="L6" s="27" t="s">
        <v>69</v>
      </c>
      <c r="M6" s="27">
        <v>2016</v>
      </c>
      <c r="N6" s="27" t="s">
        <v>67</v>
      </c>
      <c r="O6" s="28" t="s">
        <v>51</v>
      </c>
      <c r="P6" s="27" t="s">
        <v>31</v>
      </c>
      <c r="Q6" s="28" t="s">
        <v>31</v>
      </c>
      <c r="R6" s="29">
        <v>20</v>
      </c>
      <c r="S6" s="30">
        <v>0.2</v>
      </c>
      <c r="T6" s="58">
        <v>0.8</v>
      </c>
      <c r="U6" s="30">
        <v>0</v>
      </c>
    </row>
    <row r="7" spans="1:22" s="54" customFormat="1" x14ac:dyDescent="0.2">
      <c r="A7" s="27" t="s">
        <v>52</v>
      </c>
      <c r="B7" s="27" t="s">
        <v>53</v>
      </c>
      <c r="C7" s="27" t="s">
        <v>54</v>
      </c>
      <c r="D7" s="27" t="s">
        <v>86</v>
      </c>
      <c r="E7" s="27" t="s">
        <v>87</v>
      </c>
      <c r="F7" s="27" t="s">
        <v>37</v>
      </c>
      <c r="G7" s="27" t="s">
        <v>72</v>
      </c>
      <c r="H7" s="27" t="s">
        <v>34</v>
      </c>
      <c r="I7" s="27" t="s">
        <v>64</v>
      </c>
      <c r="J7" s="27" t="s">
        <v>65</v>
      </c>
      <c r="K7" s="30">
        <v>1</v>
      </c>
      <c r="L7" s="27" t="s">
        <v>69</v>
      </c>
      <c r="M7" s="27">
        <v>2016</v>
      </c>
      <c r="N7" s="27" t="s">
        <v>67</v>
      </c>
      <c r="O7" s="28" t="s">
        <v>51</v>
      </c>
      <c r="P7" s="27" t="s">
        <v>31</v>
      </c>
      <c r="Q7" s="28" t="s">
        <v>31</v>
      </c>
      <c r="R7" s="29">
        <v>20</v>
      </c>
      <c r="S7" s="30">
        <v>0.2</v>
      </c>
      <c r="T7" s="58">
        <v>0.8</v>
      </c>
      <c r="U7" s="30">
        <v>0</v>
      </c>
    </row>
    <row r="8" spans="1:22" s="54" customFormat="1" x14ac:dyDescent="0.2">
      <c r="A8" s="27" t="s">
        <v>52</v>
      </c>
      <c r="B8" s="27" t="s">
        <v>53</v>
      </c>
      <c r="C8" s="27" t="s">
        <v>56</v>
      </c>
      <c r="D8" s="27" t="s">
        <v>88</v>
      </c>
      <c r="E8" s="27" t="s">
        <v>89</v>
      </c>
      <c r="F8" s="27" t="s">
        <v>57</v>
      </c>
      <c r="G8" s="27" t="s">
        <v>76</v>
      </c>
      <c r="H8" s="27" t="s">
        <v>34</v>
      </c>
      <c r="I8" s="27" t="s">
        <v>64</v>
      </c>
      <c r="J8" s="27" t="s">
        <v>65</v>
      </c>
      <c r="K8" s="30">
        <v>1</v>
      </c>
      <c r="L8" s="27" t="s">
        <v>69</v>
      </c>
      <c r="M8" s="27">
        <v>2016</v>
      </c>
      <c r="N8" s="27" t="s">
        <v>67</v>
      </c>
      <c r="O8" s="28" t="s">
        <v>51</v>
      </c>
      <c r="P8" s="27" t="s">
        <v>31</v>
      </c>
      <c r="Q8" s="28" t="s">
        <v>31</v>
      </c>
      <c r="R8" s="29">
        <v>20</v>
      </c>
      <c r="S8" s="30">
        <v>0.2</v>
      </c>
      <c r="T8" s="58">
        <v>0.8</v>
      </c>
      <c r="U8" s="30">
        <v>0</v>
      </c>
    </row>
    <row r="9" spans="1:22" s="54" customFormat="1" x14ac:dyDescent="0.2">
      <c r="A9" s="27" t="s">
        <v>49</v>
      </c>
      <c r="B9" s="27" t="s">
        <v>50</v>
      </c>
      <c r="C9" s="27" t="s">
        <v>108</v>
      </c>
      <c r="D9" s="27" t="s">
        <v>109</v>
      </c>
      <c r="E9" s="27" t="s">
        <v>110</v>
      </c>
      <c r="F9" s="27" t="s">
        <v>36</v>
      </c>
      <c r="G9" s="27" t="s">
        <v>107</v>
      </c>
      <c r="H9" s="27" t="s">
        <v>30</v>
      </c>
      <c r="I9" s="27" t="s">
        <v>45</v>
      </c>
      <c r="J9" s="27" t="s">
        <v>46</v>
      </c>
      <c r="K9" s="30">
        <v>0.5</v>
      </c>
      <c r="L9" s="27" t="s">
        <v>47</v>
      </c>
      <c r="M9" s="27">
        <v>2016</v>
      </c>
      <c r="N9" s="27" t="s">
        <v>67</v>
      </c>
      <c r="O9" s="28" t="s">
        <v>39</v>
      </c>
      <c r="P9" s="27" t="s">
        <v>31</v>
      </c>
      <c r="Q9" s="28" t="s">
        <v>31</v>
      </c>
      <c r="R9" s="29">
        <v>50</v>
      </c>
      <c r="S9" s="30">
        <v>0.25</v>
      </c>
      <c r="T9" s="58">
        <v>0.25</v>
      </c>
      <c r="U9" s="30">
        <v>0</v>
      </c>
    </row>
    <row r="10" spans="1:22" s="54" customFormat="1" x14ac:dyDescent="0.2">
      <c r="A10" s="27" t="s">
        <v>52</v>
      </c>
      <c r="B10" s="27" t="s">
        <v>53</v>
      </c>
      <c r="C10" s="27" t="s">
        <v>54</v>
      </c>
      <c r="D10" s="27" t="s">
        <v>90</v>
      </c>
      <c r="E10" s="27" t="s">
        <v>91</v>
      </c>
      <c r="F10" s="27" t="s">
        <v>55</v>
      </c>
      <c r="G10" s="27" t="s">
        <v>70</v>
      </c>
      <c r="H10" s="27" t="s">
        <v>34</v>
      </c>
      <c r="I10" s="27" t="s">
        <v>64</v>
      </c>
      <c r="J10" s="27" t="s">
        <v>65</v>
      </c>
      <c r="K10" s="30">
        <v>1</v>
      </c>
      <c r="L10" s="27" t="s">
        <v>69</v>
      </c>
      <c r="M10" s="27">
        <v>2017</v>
      </c>
      <c r="N10" s="27" t="s">
        <v>67</v>
      </c>
      <c r="O10" s="28" t="s">
        <v>51</v>
      </c>
      <c r="P10" s="27" t="s">
        <v>31</v>
      </c>
      <c r="Q10" s="28" t="s">
        <v>31</v>
      </c>
      <c r="R10" s="29">
        <v>20</v>
      </c>
      <c r="S10" s="30">
        <v>0.2</v>
      </c>
      <c r="T10" s="58">
        <v>0.8</v>
      </c>
      <c r="U10" s="30">
        <v>0</v>
      </c>
    </row>
    <row r="11" spans="1:22" s="54" customFormat="1" x14ac:dyDescent="0.2">
      <c r="A11" s="27" t="s">
        <v>52</v>
      </c>
      <c r="B11" s="27" t="s">
        <v>53</v>
      </c>
      <c r="C11" s="27" t="s">
        <v>54</v>
      </c>
      <c r="D11" s="27" t="s">
        <v>92</v>
      </c>
      <c r="E11" s="27" t="s">
        <v>93</v>
      </c>
      <c r="F11" s="27" t="s">
        <v>32</v>
      </c>
      <c r="G11" s="27" t="s">
        <v>94</v>
      </c>
      <c r="H11" s="27" t="s">
        <v>34</v>
      </c>
      <c r="I11" s="27" t="s">
        <v>64</v>
      </c>
      <c r="J11" s="27" t="s">
        <v>65</v>
      </c>
      <c r="K11" s="30">
        <v>1</v>
      </c>
      <c r="L11" s="27" t="s">
        <v>69</v>
      </c>
      <c r="M11" s="27">
        <v>2017</v>
      </c>
      <c r="N11" s="27" t="s">
        <v>67</v>
      </c>
      <c r="O11" s="28" t="s">
        <v>51</v>
      </c>
      <c r="P11" s="27" t="s">
        <v>31</v>
      </c>
      <c r="Q11" s="28" t="s">
        <v>31</v>
      </c>
      <c r="R11" s="29">
        <v>20</v>
      </c>
      <c r="S11" s="30">
        <v>0.2</v>
      </c>
      <c r="T11" s="58">
        <v>0.8</v>
      </c>
      <c r="U11" s="30">
        <v>0</v>
      </c>
    </row>
    <row r="12" spans="1:22" s="54" customFormat="1" x14ac:dyDescent="0.2">
      <c r="A12" s="27" t="s">
        <v>52</v>
      </c>
      <c r="B12" s="27" t="s">
        <v>53</v>
      </c>
      <c r="C12" s="27" t="s">
        <v>54</v>
      </c>
      <c r="D12" s="27" t="s">
        <v>95</v>
      </c>
      <c r="E12" s="27" t="s">
        <v>96</v>
      </c>
      <c r="F12" s="27" t="s">
        <v>97</v>
      </c>
      <c r="G12" s="27" t="s">
        <v>94</v>
      </c>
      <c r="H12" s="27" t="s">
        <v>30</v>
      </c>
      <c r="I12" s="27" t="s">
        <v>64</v>
      </c>
      <c r="J12" s="27" t="s">
        <v>65</v>
      </c>
      <c r="K12" s="30">
        <v>0.5</v>
      </c>
      <c r="L12" s="27" t="s">
        <v>69</v>
      </c>
      <c r="M12" s="27">
        <v>2017</v>
      </c>
      <c r="N12" s="27" t="s">
        <v>67</v>
      </c>
      <c r="O12" s="28" t="s">
        <v>51</v>
      </c>
      <c r="P12" s="27" t="s">
        <v>31</v>
      </c>
      <c r="Q12" s="28" t="s">
        <v>31</v>
      </c>
      <c r="R12" s="29">
        <v>20</v>
      </c>
      <c r="S12" s="30">
        <v>0.1</v>
      </c>
      <c r="T12" s="58">
        <v>0.4</v>
      </c>
      <c r="U12" s="30">
        <v>0</v>
      </c>
    </row>
    <row r="13" spans="1:22" s="54" customFormat="1" x14ac:dyDescent="0.2">
      <c r="A13" s="27" t="s">
        <v>52</v>
      </c>
      <c r="B13" s="27" t="s">
        <v>53</v>
      </c>
      <c r="C13" s="27" t="s">
        <v>54</v>
      </c>
      <c r="D13" s="27" t="s">
        <v>95</v>
      </c>
      <c r="E13" s="27" t="s">
        <v>96</v>
      </c>
      <c r="F13" s="27" t="s">
        <v>97</v>
      </c>
      <c r="G13" s="27" t="s">
        <v>72</v>
      </c>
      <c r="H13" s="27" t="s">
        <v>30</v>
      </c>
      <c r="I13" s="27" t="s">
        <v>64</v>
      </c>
      <c r="J13" s="27" t="s">
        <v>65</v>
      </c>
      <c r="K13" s="30">
        <v>0.5</v>
      </c>
      <c r="L13" s="27" t="s">
        <v>69</v>
      </c>
      <c r="M13" s="27">
        <v>2017</v>
      </c>
      <c r="N13" s="27" t="s">
        <v>67</v>
      </c>
      <c r="O13" s="28" t="s">
        <v>51</v>
      </c>
      <c r="P13" s="27" t="s">
        <v>31</v>
      </c>
      <c r="Q13" s="28" t="s">
        <v>31</v>
      </c>
      <c r="R13" s="29">
        <v>20</v>
      </c>
      <c r="S13" s="30">
        <v>0.1</v>
      </c>
      <c r="T13" s="58">
        <v>0.4</v>
      </c>
      <c r="U13" s="30">
        <v>0</v>
      </c>
    </row>
    <row r="14" spans="1:22" s="54" customFormat="1" x14ac:dyDescent="0.2">
      <c r="A14" s="27" t="s">
        <v>52</v>
      </c>
      <c r="B14" s="27" t="s">
        <v>53</v>
      </c>
      <c r="C14" s="27" t="s">
        <v>54</v>
      </c>
      <c r="D14" s="27" t="s">
        <v>98</v>
      </c>
      <c r="E14" s="27" t="s">
        <v>99</v>
      </c>
      <c r="F14" s="27" t="s">
        <v>38</v>
      </c>
      <c r="G14" s="27" t="s">
        <v>74</v>
      </c>
      <c r="H14" s="27" t="s">
        <v>30</v>
      </c>
      <c r="I14" s="27" t="s">
        <v>64</v>
      </c>
      <c r="J14" s="27" t="s">
        <v>65</v>
      </c>
      <c r="K14" s="30">
        <v>0.5</v>
      </c>
      <c r="L14" s="27" t="s">
        <v>69</v>
      </c>
      <c r="M14" s="27">
        <v>2017</v>
      </c>
      <c r="N14" s="27" t="s">
        <v>67</v>
      </c>
      <c r="O14" s="28" t="s">
        <v>51</v>
      </c>
      <c r="P14" s="27" t="s">
        <v>31</v>
      </c>
      <c r="Q14" s="28" t="s">
        <v>31</v>
      </c>
      <c r="R14" s="29">
        <v>20</v>
      </c>
      <c r="S14" s="30">
        <v>0.1</v>
      </c>
      <c r="T14" s="58">
        <v>0.4</v>
      </c>
      <c r="U14" s="30">
        <v>0</v>
      </c>
    </row>
    <row r="15" spans="1:22" s="54" customFormat="1" x14ac:dyDescent="0.2">
      <c r="A15" s="27" t="s">
        <v>43</v>
      </c>
      <c r="B15" s="27" t="s">
        <v>44</v>
      </c>
      <c r="C15" s="27" t="s">
        <v>54</v>
      </c>
      <c r="D15" s="27" t="s">
        <v>100</v>
      </c>
      <c r="E15" s="27" t="s">
        <v>101</v>
      </c>
      <c r="F15" s="27" t="s">
        <v>35</v>
      </c>
      <c r="G15" s="27" t="s">
        <v>68</v>
      </c>
      <c r="H15" s="27" t="s">
        <v>34</v>
      </c>
      <c r="I15" s="27" t="s">
        <v>64</v>
      </c>
      <c r="J15" s="27" t="s">
        <v>65</v>
      </c>
      <c r="K15" s="30">
        <v>1</v>
      </c>
      <c r="L15" s="27" t="s">
        <v>69</v>
      </c>
      <c r="M15" s="27">
        <v>2017</v>
      </c>
      <c r="N15" s="27" t="s">
        <v>67</v>
      </c>
      <c r="O15" s="28" t="s">
        <v>51</v>
      </c>
      <c r="P15" s="27" t="s">
        <v>31</v>
      </c>
      <c r="Q15" s="28" t="s">
        <v>31</v>
      </c>
      <c r="R15" s="29">
        <v>20</v>
      </c>
      <c r="S15" s="30">
        <v>0.2</v>
      </c>
      <c r="T15" s="58">
        <v>0.8</v>
      </c>
      <c r="U15" s="30">
        <v>0</v>
      </c>
    </row>
    <row r="16" spans="1:22" s="54" customFormat="1" x14ac:dyDescent="0.2">
      <c r="A16" s="27" t="s">
        <v>52</v>
      </c>
      <c r="B16" s="27" t="s">
        <v>53</v>
      </c>
      <c r="C16" s="27" t="s">
        <v>54</v>
      </c>
      <c r="D16" s="27" t="s">
        <v>102</v>
      </c>
      <c r="E16" s="27" t="s">
        <v>103</v>
      </c>
      <c r="F16" s="27" t="s">
        <v>104</v>
      </c>
      <c r="G16" s="27" t="s">
        <v>73</v>
      </c>
      <c r="H16" s="27" t="s">
        <v>34</v>
      </c>
      <c r="I16" s="27" t="s">
        <v>64</v>
      </c>
      <c r="J16" s="27" t="s">
        <v>65</v>
      </c>
      <c r="K16" s="55">
        <v>1</v>
      </c>
      <c r="L16" s="27" t="s">
        <v>69</v>
      </c>
      <c r="M16" s="27">
        <v>2018</v>
      </c>
      <c r="N16" s="27" t="s">
        <v>67</v>
      </c>
      <c r="O16" s="28" t="s">
        <v>51</v>
      </c>
      <c r="P16" s="27" t="s">
        <v>31</v>
      </c>
      <c r="Q16" s="28" t="s">
        <v>31</v>
      </c>
      <c r="R16" s="29">
        <v>20</v>
      </c>
      <c r="S16" s="30">
        <v>0.2</v>
      </c>
      <c r="T16" s="58">
        <v>0.8</v>
      </c>
      <c r="U16" s="30">
        <v>0</v>
      </c>
    </row>
    <row r="17" spans="1:22" s="54" customFormat="1" x14ac:dyDescent="0.2">
      <c r="A17" s="27" t="s">
        <v>52</v>
      </c>
      <c r="B17" s="27" t="s">
        <v>53</v>
      </c>
      <c r="C17" s="27" t="s">
        <v>54</v>
      </c>
      <c r="D17" s="27" t="s">
        <v>105</v>
      </c>
      <c r="E17" s="27" t="s">
        <v>106</v>
      </c>
      <c r="F17" s="27" t="s">
        <v>63</v>
      </c>
      <c r="G17" s="27" t="s">
        <v>75</v>
      </c>
      <c r="H17" s="27" t="s">
        <v>34</v>
      </c>
      <c r="I17" s="27" t="s">
        <v>64</v>
      </c>
      <c r="J17" s="27" t="s">
        <v>65</v>
      </c>
      <c r="K17" s="55">
        <v>1</v>
      </c>
      <c r="L17" s="27" t="s">
        <v>69</v>
      </c>
      <c r="M17" s="27">
        <v>2018</v>
      </c>
      <c r="N17" s="27" t="s">
        <v>67</v>
      </c>
      <c r="O17" s="28" t="s">
        <v>51</v>
      </c>
      <c r="P17" s="27" t="s">
        <v>31</v>
      </c>
      <c r="Q17" s="28" t="s">
        <v>31</v>
      </c>
      <c r="R17" s="29">
        <v>20</v>
      </c>
      <c r="S17" s="30">
        <v>0.2</v>
      </c>
      <c r="T17" s="58">
        <v>0.8</v>
      </c>
      <c r="U17" s="30">
        <v>0</v>
      </c>
    </row>
    <row r="18" spans="1:22" s="54" customFormat="1" x14ac:dyDescent="0.2">
      <c r="A18" s="31" t="s">
        <v>52</v>
      </c>
      <c r="B18" s="31" t="s">
        <v>53</v>
      </c>
      <c r="C18" s="31" t="s">
        <v>54</v>
      </c>
      <c r="D18" s="31" t="s">
        <v>191</v>
      </c>
      <c r="E18" s="31" t="s">
        <v>192</v>
      </c>
      <c r="F18" s="31" t="s">
        <v>193</v>
      </c>
      <c r="G18" s="31" t="s">
        <v>68</v>
      </c>
      <c r="H18" s="31" t="s">
        <v>30</v>
      </c>
      <c r="I18" s="31" t="s">
        <v>64</v>
      </c>
      <c r="J18" s="31" t="s">
        <v>65</v>
      </c>
      <c r="K18" s="56">
        <v>0.5</v>
      </c>
      <c r="L18" s="31" t="s">
        <v>69</v>
      </c>
      <c r="M18" s="31">
        <v>2019</v>
      </c>
      <c r="N18" s="31" t="s">
        <v>67</v>
      </c>
      <c r="O18" s="32" t="s">
        <v>51</v>
      </c>
      <c r="P18" s="31" t="s">
        <v>31</v>
      </c>
      <c r="Q18" s="32" t="s">
        <v>31</v>
      </c>
      <c r="R18" s="33">
        <v>20</v>
      </c>
      <c r="S18" s="34">
        <v>0.1</v>
      </c>
      <c r="T18" s="59">
        <v>0.4</v>
      </c>
      <c r="U18" s="34">
        <v>0</v>
      </c>
      <c r="V18" s="54" t="s">
        <v>330</v>
      </c>
    </row>
    <row r="19" spans="1:22" s="54" customFormat="1" x14ac:dyDescent="0.2">
      <c r="A19" s="31" t="s">
        <v>194</v>
      </c>
      <c r="B19" s="31" t="s">
        <v>195</v>
      </c>
      <c r="C19" s="31" t="s">
        <v>196</v>
      </c>
      <c r="D19" s="31" t="s">
        <v>197</v>
      </c>
      <c r="E19" s="31" t="s">
        <v>198</v>
      </c>
      <c r="F19" s="31" t="s">
        <v>199</v>
      </c>
      <c r="G19" s="31" t="s">
        <v>111</v>
      </c>
      <c r="H19" s="31" t="s">
        <v>30</v>
      </c>
      <c r="I19" s="31" t="s">
        <v>59</v>
      </c>
      <c r="J19" s="31" t="s">
        <v>60</v>
      </c>
      <c r="K19" s="56">
        <v>0.5</v>
      </c>
      <c r="L19" s="31" t="s">
        <v>61</v>
      </c>
      <c r="M19" s="31">
        <v>2019</v>
      </c>
      <c r="N19" s="31" t="s">
        <v>67</v>
      </c>
      <c r="O19" s="32" t="s">
        <v>48</v>
      </c>
      <c r="P19" s="31" t="s">
        <v>31</v>
      </c>
      <c r="Q19" s="32" t="s">
        <v>31</v>
      </c>
      <c r="R19" s="33">
        <v>90</v>
      </c>
      <c r="S19" s="34">
        <v>0.45</v>
      </c>
      <c r="T19" s="59">
        <v>0.05</v>
      </c>
      <c r="U19" s="34">
        <v>0</v>
      </c>
      <c r="V19" s="54" t="s">
        <v>330</v>
      </c>
    </row>
    <row r="20" spans="1:22" s="54" customFormat="1" x14ac:dyDescent="0.2">
      <c r="A20" s="27" t="s">
        <v>52</v>
      </c>
      <c r="B20" s="27" t="s">
        <v>53</v>
      </c>
      <c r="C20" s="27" t="s">
        <v>54</v>
      </c>
      <c r="D20" s="27" t="s">
        <v>205</v>
      </c>
      <c r="E20" s="27" t="s">
        <v>206</v>
      </c>
      <c r="F20" s="27" t="s">
        <v>207</v>
      </c>
      <c r="G20" s="27" t="s">
        <v>208</v>
      </c>
      <c r="H20" s="27" t="s">
        <v>30</v>
      </c>
      <c r="I20" s="27" t="s">
        <v>64</v>
      </c>
      <c r="J20" s="27" t="s">
        <v>65</v>
      </c>
      <c r="K20" s="35">
        <v>0.5</v>
      </c>
      <c r="L20" s="35" t="s">
        <v>69</v>
      </c>
      <c r="M20" s="36">
        <v>2019</v>
      </c>
      <c r="N20" s="27" t="s">
        <v>67</v>
      </c>
      <c r="O20" s="28" t="s">
        <v>39</v>
      </c>
      <c r="P20" s="27" t="s">
        <v>31</v>
      </c>
      <c r="Q20" s="28" t="s">
        <v>31</v>
      </c>
      <c r="R20" s="27">
        <v>50</v>
      </c>
      <c r="S20" s="27">
        <v>0.25</v>
      </c>
      <c r="T20" s="57">
        <v>0.25</v>
      </c>
      <c r="U20" s="27">
        <v>0</v>
      </c>
      <c r="V20" s="54" t="s">
        <v>330</v>
      </c>
    </row>
    <row r="21" spans="1:22" s="54" customFormat="1" ht="10.8" thickBot="1" x14ac:dyDescent="0.25">
      <c r="A21" s="27" t="s">
        <v>52</v>
      </c>
      <c r="B21" s="27" t="s">
        <v>53</v>
      </c>
      <c r="C21" s="27" t="s">
        <v>54</v>
      </c>
      <c r="D21" s="27" t="s">
        <v>205</v>
      </c>
      <c r="E21" s="27" t="s">
        <v>206</v>
      </c>
      <c r="F21" s="27" t="s">
        <v>207</v>
      </c>
      <c r="G21" s="27" t="s">
        <v>73</v>
      </c>
      <c r="H21" s="27" t="s">
        <v>30</v>
      </c>
      <c r="I21" s="27" t="s">
        <v>64</v>
      </c>
      <c r="J21" s="27" t="s">
        <v>65</v>
      </c>
      <c r="K21" s="35">
        <v>0.5</v>
      </c>
      <c r="L21" s="35" t="s">
        <v>69</v>
      </c>
      <c r="M21" s="36">
        <v>2019</v>
      </c>
      <c r="N21" s="27" t="s">
        <v>67</v>
      </c>
      <c r="O21" s="28" t="s">
        <v>51</v>
      </c>
      <c r="P21" s="27" t="s">
        <v>31</v>
      </c>
      <c r="Q21" s="28" t="s">
        <v>31</v>
      </c>
      <c r="R21" s="27">
        <v>20</v>
      </c>
      <c r="S21" s="27">
        <v>0.1</v>
      </c>
      <c r="T21" s="57">
        <v>0.4</v>
      </c>
      <c r="U21" s="27">
        <v>0</v>
      </c>
      <c r="V21" s="54" t="s">
        <v>330</v>
      </c>
    </row>
    <row r="22" spans="1:22" s="54" customFormat="1" ht="10.8" thickBot="1" x14ac:dyDescent="0.25">
      <c r="A22" s="37" t="s">
        <v>209</v>
      </c>
      <c r="B22" s="37" t="s">
        <v>210</v>
      </c>
      <c r="C22" s="37" t="s">
        <v>211</v>
      </c>
      <c r="D22" s="37" t="s">
        <v>212</v>
      </c>
      <c r="E22" s="37" t="s">
        <v>213</v>
      </c>
      <c r="F22" s="37" t="s">
        <v>214</v>
      </c>
      <c r="G22" s="38" t="s">
        <v>215</v>
      </c>
      <c r="H22" s="39" t="s">
        <v>34</v>
      </c>
      <c r="I22" s="39" t="s">
        <v>45</v>
      </c>
      <c r="J22" s="40" t="s">
        <v>46</v>
      </c>
      <c r="K22" s="35">
        <v>1</v>
      </c>
      <c r="L22" s="35" t="s">
        <v>47</v>
      </c>
      <c r="M22" s="27">
        <v>2020</v>
      </c>
      <c r="N22" s="27" t="s">
        <v>67</v>
      </c>
      <c r="O22" s="28" t="s">
        <v>39</v>
      </c>
      <c r="P22" s="27" t="s">
        <v>31</v>
      </c>
      <c r="Q22" s="28" t="s">
        <v>31</v>
      </c>
      <c r="R22" s="27">
        <v>50</v>
      </c>
      <c r="S22" s="27">
        <v>0.5</v>
      </c>
      <c r="T22" s="57">
        <v>0.5</v>
      </c>
      <c r="U22" s="27">
        <v>0</v>
      </c>
      <c r="V22" s="54" t="s">
        <v>330</v>
      </c>
    </row>
    <row r="23" spans="1:22" s="54" customFormat="1" ht="10.8" thickBot="1" x14ac:dyDescent="0.25">
      <c r="A23" s="37" t="s">
        <v>52</v>
      </c>
      <c r="B23" s="37" t="s">
        <v>53</v>
      </c>
      <c r="C23" s="37" t="s">
        <v>54</v>
      </c>
      <c r="D23" s="37" t="s">
        <v>216</v>
      </c>
      <c r="E23" s="37" t="s">
        <v>217</v>
      </c>
      <c r="F23" s="37" t="s">
        <v>218</v>
      </c>
      <c r="G23" s="38" t="s">
        <v>68</v>
      </c>
      <c r="H23" s="39" t="s">
        <v>30</v>
      </c>
      <c r="I23" s="39" t="s">
        <v>64</v>
      </c>
      <c r="J23" s="40" t="s">
        <v>65</v>
      </c>
      <c r="K23" s="35">
        <v>0.5</v>
      </c>
      <c r="L23" s="35" t="s">
        <v>69</v>
      </c>
      <c r="M23" s="27">
        <v>2020</v>
      </c>
      <c r="N23" s="27" t="s">
        <v>67</v>
      </c>
      <c r="O23" s="28" t="s">
        <v>51</v>
      </c>
      <c r="P23" s="27" t="s">
        <v>31</v>
      </c>
      <c r="Q23" s="28" t="s">
        <v>31</v>
      </c>
      <c r="R23" s="27">
        <v>20</v>
      </c>
      <c r="S23" s="27">
        <v>0.1</v>
      </c>
      <c r="T23" s="57">
        <v>0.4</v>
      </c>
      <c r="U23" s="27">
        <v>0</v>
      </c>
      <c r="V23" s="54" t="s">
        <v>330</v>
      </c>
    </row>
    <row r="24" spans="1:22" s="54" customFormat="1" ht="10.8" thickBot="1" x14ac:dyDescent="0.25">
      <c r="A24" s="37" t="s">
        <v>52</v>
      </c>
      <c r="B24" s="37" t="s">
        <v>53</v>
      </c>
      <c r="C24" s="37" t="s">
        <v>54</v>
      </c>
      <c r="D24" s="37" t="s">
        <v>216</v>
      </c>
      <c r="E24" s="37" t="s">
        <v>217</v>
      </c>
      <c r="F24" s="37" t="s">
        <v>218</v>
      </c>
      <c r="G24" s="38" t="s">
        <v>66</v>
      </c>
      <c r="H24" s="39" t="s">
        <v>30</v>
      </c>
      <c r="I24" s="39" t="s">
        <v>40</v>
      </c>
      <c r="J24" s="40" t="s">
        <v>41</v>
      </c>
      <c r="K24" s="35">
        <v>0.5</v>
      </c>
      <c r="L24" s="35" t="s">
        <v>42</v>
      </c>
      <c r="M24" s="27">
        <v>2020</v>
      </c>
      <c r="N24" s="27" t="s">
        <v>67</v>
      </c>
      <c r="O24" s="28" t="s">
        <v>48</v>
      </c>
      <c r="P24" s="27" t="s">
        <v>31</v>
      </c>
      <c r="Q24" s="28" t="s">
        <v>31</v>
      </c>
      <c r="R24" s="27">
        <v>90</v>
      </c>
      <c r="S24" s="27">
        <v>0.45</v>
      </c>
      <c r="T24" s="57">
        <v>0.05</v>
      </c>
      <c r="U24" s="27">
        <v>0</v>
      </c>
      <c r="V24" s="54" t="s">
        <v>330</v>
      </c>
    </row>
    <row r="25" spans="1:22" s="54" customFormat="1" ht="10.8" thickBot="1" x14ac:dyDescent="0.25">
      <c r="A25" s="37" t="s">
        <v>52</v>
      </c>
      <c r="B25" s="37" t="s">
        <v>53</v>
      </c>
      <c r="C25" s="37" t="s">
        <v>54</v>
      </c>
      <c r="D25" s="37" t="s">
        <v>219</v>
      </c>
      <c r="E25" s="37" t="s">
        <v>220</v>
      </c>
      <c r="F25" s="37" t="s">
        <v>221</v>
      </c>
      <c r="G25" s="38" t="s">
        <v>222</v>
      </c>
      <c r="H25" s="39" t="s">
        <v>34</v>
      </c>
      <c r="I25" s="39" t="s">
        <v>223</v>
      </c>
      <c r="J25" s="40" t="s">
        <v>224</v>
      </c>
      <c r="K25" s="35">
        <v>1</v>
      </c>
      <c r="L25" s="35" t="s">
        <v>67</v>
      </c>
      <c r="M25" s="27">
        <v>2020</v>
      </c>
      <c r="N25" s="27" t="s">
        <v>67</v>
      </c>
      <c r="O25" s="28" t="s">
        <v>225</v>
      </c>
      <c r="P25" s="27" t="s">
        <v>31</v>
      </c>
      <c r="Q25" s="28" t="s">
        <v>31</v>
      </c>
      <c r="R25" s="27">
        <v>0</v>
      </c>
      <c r="S25" s="27">
        <v>0</v>
      </c>
      <c r="T25" s="57">
        <v>1</v>
      </c>
      <c r="U25" s="27">
        <v>0</v>
      </c>
      <c r="V25" s="54" t="s">
        <v>330</v>
      </c>
    </row>
    <row r="26" spans="1:22" s="54" customFormat="1" ht="10.8" thickBot="1" x14ac:dyDescent="0.25">
      <c r="A26" s="37" t="s">
        <v>52</v>
      </c>
      <c r="B26" s="37" t="s">
        <v>53</v>
      </c>
      <c r="C26" s="37" t="s">
        <v>54</v>
      </c>
      <c r="D26" s="37" t="s">
        <v>226</v>
      </c>
      <c r="E26" s="37" t="s">
        <v>227</v>
      </c>
      <c r="F26" s="37" t="s">
        <v>228</v>
      </c>
      <c r="G26" s="38" t="s">
        <v>229</v>
      </c>
      <c r="H26" s="39" t="s">
        <v>34</v>
      </c>
      <c r="I26" s="39" t="s">
        <v>64</v>
      </c>
      <c r="J26" s="40" t="s">
        <v>65</v>
      </c>
      <c r="K26" s="35">
        <v>1</v>
      </c>
      <c r="L26" s="35" t="s">
        <v>69</v>
      </c>
      <c r="M26" s="27">
        <v>2020</v>
      </c>
      <c r="N26" s="27" t="s">
        <v>67</v>
      </c>
      <c r="O26" s="28" t="s">
        <v>51</v>
      </c>
      <c r="P26" s="27" t="s">
        <v>31</v>
      </c>
      <c r="Q26" s="28" t="s">
        <v>31</v>
      </c>
      <c r="R26" s="27">
        <v>20</v>
      </c>
      <c r="S26" s="27">
        <v>0.2</v>
      </c>
      <c r="T26" s="57">
        <v>0.8</v>
      </c>
      <c r="U26" s="27">
        <v>0</v>
      </c>
      <c r="V26" s="54" t="s">
        <v>330</v>
      </c>
    </row>
    <row r="27" spans="1:22" s="54" customFormat="1" ht="10.8" thickBot="1" x14ac:dyDescent="0.25">
      <c r="A27" s="37" t="s">
        <v>52</v>
      </c>
      <c r="B27" s="37" t="s">
        <v>53</v>
      </c>
      <c r="C27" s="37" t="s">
        <v>56</v>
      </c>
      <c r="D27" s="37" t="s">
        <v>230</v>
      </c>
      <c r="E27" s="37" t="s">
        <v>231</v>
      </c>
      <c r="F27" s="37" t="s">
        <v>232</v>
      </c>
      <c r="G27" s="38" t="s">
        <v>76</v>
      </c>
      <c r="H27" s="39" t="s">
        <v>34</v>
      </c>
      <c r="I27" s="39" t="s">
        <v>64</v>
      </c>
      <c r="J27" s="40" t="s">
        <v>65</v>
      </c>
      <c r="K27" s="35">
        <v>1</v>
      </c>
      <c r="L27" s="35" t="s">
        <v>69</v>
      </c>
      <c r="M27" s="27">
        <v>2020</v>
      </c>
      <c r="N27" s="27" t="s">
        <v>67</v>
      </c>
      <c r="O27" s="28" t="s">
        <v>51</v>
      </c>
      <c r="P27" s="27" t="s">
        <v>31</v>
      </c>
      <c r="Q27" s="28" t="s">
        <v>31</v>
      </c>
      <c r="R27" s="27">
        <v>20</v>
      </c>
      <c r="S27" s="27">
        <v>0.2</v>
      </c>
      <c r="T27" s="57">
        <v>0.8</v>
      </c>
      <c r="U27" s="27">
        <v>0</v>
      </c>
      <c r="V27" s="54" t="s">
        <v>330</v>
      </c>
    </row>
    <row r="28" spans="1:22" s="54" customFormat="1" x14ac:dyDescent="0.2">
      <c r="A28" s="27" t="s">
        <v>52</v>
      </c>
      <c r="B28" s="27" t="s">
        <v>53</v>
      </c>
      <c r="C28" s="27" t="s">
        <v>54</v>
      </c>
      <c r="D28" s="27" t="s">
        <v>331</v>
      </c>
      <c r="E28" s="27" t="s">
        <v>332</v>
      </c>
      <c r="F28" s="27" t="s">
        <v>333</v>
      </c>
      <c r="G28" s="27" t="s">
        <v>94</v>
      </c>
      <c r="H28" s="27" t="s">
        <v>30</v>
      </c>
      <c r="I28" s="27" t="s">
        <v>64</v>
      </c>
      <c r="J28" s="27" t="s">
        <v>65</v>
      </c>
      <c r="K28" s="35">
        <v>0.5</v>
      </c>
      <c r="L28" s="35" t="s">
        <v>69</v>
      </c>
      <c r="M28" s="27">
        <v>2021</v>
      </c>
      <c r="N28" s="27" t="s">
        <v>67</v>
      </c>
      <c r="O28" s="28" t="s">
        <v>51</v>
      </c>
      <c r="P28" s="27" t="s">
        <v>31</v>
      </c>
      <c r="Q28" s="28" t="s">
        <v>31</v>
      </c>
      <c r="R28" s="27">
        <v>20</v>
      </c>
      <c r="S28" s="27">
        <v>0.1</v>
      </c>
      <c r="T28" s="57">
        <v>0.4</v>
      </c>
      <c r="U28" s="27">
        <v>0</v>
      </c>
      <c r="V28" s="54" t="s">
        <v>330</v>
      </c>
    </row>
    <row r="29" spans="1:22" s="54" customFormat="1" x14ac:dyDescent="0.2">
      <c r="A29" s="27" t="s">
        <v>52</v>
      </c>
      <c r="B29" s="27" t="s">
        <v>53</v>
      </c>
      <c r="C29" s="27" t="s">
        <v>54</v>
      </c>
      <c r="D29" s="27" t="s">
        <v>334</v>
      </c>
      <c r="E29" s="27" t="s">
        <v>335</v>
      </c>
      <c r="F29" s="27" t="s">
        <v>336</v>
      </c>
      <c r="G29" s="27" t="s">
        <v>70</v>
      </c>
      <c r="H29" s="27" t="s">
        <v>30</v>
      </c>
      <c r="I29" s="27" t="s">
        <v>64</v>
      </c>
      <c r="J29" s="27" t="s">
        <v>65</v>
      </c>
      <c r="K29" s="35">
        <v>0.5</v>
      </c>
      <c r="L29" s="35" t="s">
        <v>69</v>
      </c>
      <c r="M29" s="27">
        <v>2021</v>
      </c>
      <c r="N29" s="27" t="s">
        <v>67</v>
      </c>
      <c r="O29" s="28" t="s">
        <v>51</v>
      </c>
      <c r="P29" s="27" t="s">
        <v>31</v>
      </c>
      <c r="Q29" s="28" t="s">
        <v>31</v>
      </c>
      <c r="R29" s="27">
        <v>20</v>
      </c>
      <c r="S29" s="27">
        <v>0.1</v>
      </c>
      <c r="T29" s="57">
        <v>0.4</v>
      </c>
      <c r="U29" s="27">
        <v>0</v>
      </c>
      <c r="V29" s="54" t="s">
        <v>330</v>
      </c>
    </row>
    <row r="30" spans="1:22" s="54" customFormat="1" x14ac:dyDescent="0.2">
      <c r="A30" s="27" t="s">
        <v>52</v>
      </c>
      <c r="B30" s="27" t="s">
        <v>53</v>
      </c>
      <c r="C30" s="27" t="s">
        <v>54</v>
      </c>
      <c r="D30" s="27" t="s">
        <v>337</v>
      </c>
      <c r="E30" s="27" t="s">
        <v>338</v>
      </c>
      <c r="F30" s="27" t="s">
        <v>339</v>
      </c>
      <c r="G30" s="27" t="s">
        <v>75</v>
      </c>
      <c r="H30" s="27" t="s">
        <v>34</v>
      </c>
      <c r="I30" s="27" t="s">
        <v>64</v>
      </c>
      <c r="J30" s="27" t="s">
        <v>65</v>
      </c>
      <c r="K30" s="35">
        <v>1</v>
      </c>
      <c r="L30" s="35" t="s">
        <v>69</v>
      </c>
      <c r="M30" s="27">
        <v>2021</v>
      </c>
      <c r="N30" s="27" t="s">
        <v>67</v>
      </c>
      <c r="O30" s="28" t="s">
        <v>51</v>
      </c>
      <c r="P30" s="27" t="s">
        <v>31</v>
      </c>
      <c r="Q30" s="28" t="s">
        <v>31</v>
      </c>
      <c r="R30" s="27">
        <v>20</v>
      </c>
      <c r="S30" s="27">
        <v>0.2</v>
      </c>
      <c r="T30" s="57">
        <v>0.8</v>
      </c>
      <c r="U30" s="27">
        <v>0</v>
      </c>
      <c r="V30" s="54" t="s">
        <v>330</v>
      </c>
    </row>
    <row r="31" spans="1:22" s="54" customFormat="1" x14ac:dyDescent="0.2">
      <c r="A31" s="27" t="s">
        <v>52</v>
      </c>
      <c r="B31" s="27" t="s">
        <v>53</v>
      </c>
      <c r="C31" s="27" t="s">
        <v>54</v>
      </c>
      <c r="D31" s="27" t="s">
        <v>340</v>
      </c>
      <c r="E31" s="27" t="s">
        <v>341</v>
      </c>
      <c r="F31" s="27" t="s">
        <v>342</v>
      </c>
      <c r="G31" s="27" t="s">
        <v>70</v>
      </c>
      <c r="H31" s="27" t="s">
        <v>34</v>
      </c>
      <c r="I31" s="27" t="s">
        <v>64</v>
      </c>
      <c r="J31" s="27" t="s">
        <v>65</v>
      </c>
      <c r="K31" s="35">
        <v>1</v>
      </c>
      <c r="L31" s="35" t="s">
        <v>69</v>
      </c>
      <c r="M31" s="27">
        <v>2021</v>
      </c>
      <c r="N31" s="27" t="s">
        <v>67</v>
      </c>
      <c r="O31" s="28" t="s">
        <v>51</v>
      </c>
      <c r="P31" s="27" t="s">
        <v>31</v>
      </c>
      <c r="Q31" s="28" t="s">
        <v>31</v>
      </c>
      <c r="R31" s="27">
        <v>20</v>
      </c>
      <c r="S31" s="27">
        <v>0.2</v>
      </c>
      <c r="T31" s="57">
        <v>0.8</v>
      </c>
      <c r="U31" s="27">
        <v>0</v>
      </c>
      <c r="V31" s="54" t="s">
        <v>330</v>
      </c>
    </row>
    <row r="32" spans="1:22" s="54" customFormat="1" x14ac:dyDescent="0.2">
      <c r="A32" s="27" t="s">
        <v>52</v>
      </c>
      <c r="B32" s="27" t="s">
        <v>53</v>
      </c>
      <c r="C32" s="27" t="s">
        <v>54</v>
      </c>
      <c r="D32" s="27" t="s">
        <v>343</v>
      </c>
      <c r="E32" s="27" t="s">
        <v>344</v>
      </c>
      <c r="F32" s="27" t="s">
        <v>345</v>
      </c>
      <c r="G32" s="27" t="s">
        <v>72</v>
      </c>
      <c r="H32" s="27" t="s">
        <v>34</v>
      </c>
      <c r="I32" s="27" t="s">
        <v>64</v>
      </c>
      <c r="J32" s="27" t="s">
        <v>65</v>
      </c>
      <c r="K32" s="35">
        <v>1</v>
      </c>
      <c r="L32" s="35" t="s">
        <v>69</v>
      </c>
      <c r="M32" s="27">
        <v>2021</v>
      </c>
      <c r="N32" s="27" t="s">
        <v>67</v>
      </c>
      <c r="O32" s="28" t="s">
        <v>51</v>
      </c>
      <c r="P32" s="27" t="s">
        <v>31</v>
      </c>
      <c r="Q32" s="28" t="s">
        <v>31</v>
      </c>
      <c r="R32" s="27">
        <v>20</v>
      </c>
      <c r="S32" s="27">
        <v>0.2</v>
      </c>
      <c r="T32" s="57">
        <v>0.8</v>
      </c>
      <c r="U32" s="27">
        <v>0</v>
      </c>
      <c r="V32" s="54" t="s">
        <v>330</v>
      </c>
    </row>
    <row r="33" spans="1:22" s="54" customFormat="1" x14ac:dyDescent="0.2">
      <c r="A33" s="27" t="s">
        <v>194</v>
      </c>
      <c r="B33" s="27" t="s">
        <v>195</v>
      </c>
      <c r="C33" s="27" t="s">
        <v>196</v>
      </c>
      <c r="D33" s="27" t="s">
        <v>346</v>
      </c>
      <c r="E33" s="27" t="s">
        <v>347</v>
      </c>
      <c r="F33" s="27" t="s">
        <v>348</v>
      </c>
      <c r="G33" s="27" t="s">
        <v>111</v>
      </c>
      <c r="H33" s="27" t="s">
        <v>30</v>
      </c>
      <c r="I33" s="27" t="s">
        <v>59</v>
      </c>
      <c r="J33" s="27" t="s">
        <v>60</v>
      </c>
      <c r="K33" s="35">
        <v>0.5</v>
      </c>
      <c r="L33" s="35" t="s">
        <v>61</v>
      </c>
      <c r="M33" s="27">
        <v>2021</v>
      </c>
      <c r="N33" s="27" t="s">
        <v>67</v>
      </c>
      <c r="O33" s="28" t="s">
        <v>48</v>
      </c>
      <c r="P33" s="27" t="s">
        <v>31</v>
      </c>
      <c r="Q33" s="28" t="s">
        <v>31</v>
      </c>
      <c r="R33" s="27">
        <v>90</v>
      </c>
      <c r="S33" s="27">
        <v>0.45</v>
      </c>
      <c r="T33" s="57">
        <v>0.05</v>
      </c>
      <c r="U33" s="27">
        <v>0</v>
      </c>
      <c r="V33" s="54" t="s">
        <v>330</v>
      </c>
    </row>
    <row r="34" spans="1:22" x14ac:dyDescent="0.2">
      <c r="S34" s="66">
        <f>SUM(T3:T33,S2)</f>
        <v>18.150000000000009</v>
      </c>
      <c r="T34" s="67"/>
    </row>
  </sheetData>
  <autoFilter ref="A1:U1" xr:uid="{00000000-0009-0000-0000-000000000000}">
    <sortState xmlns:xlrd2="http://schemas.microsoft.com/office/spreadsheetml/2017/richdata2" ref="A2:S915">
      <sortCondition ref="L2:L915"/>
      <sortCondition ref="N2:N915"/>
    </sortState>
  </autoFilter>
  <mergeCells count="1">
    <mergeCell ref="S34:T34"/>
  </mergeCells>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20"/>
  <sheetViews>
    <sheetView zoomScaleNormal="100" workbookViewId="0">
      <selection activeCell="Q20" sqref="Q20"/>
    </sheetView>
  </sheetViews>
  <sheetFormatPr baseColWidth="10" defaultColWidth="11.44140625" defaultRowHeight="13.2" x14ac:dyDescent="0.25"/>
  <cols>
    <col min="1" max="1" width="10.88671875" style="18" bestFit="1" customWidth="1"/>
    <col min="2" max="2" width="36.109375" style="18" bestFit="1" customWidth="1"/>
    <col min="3" max="3" width="17" style="18" bestFit="1" customWidth="1"/>
    <col min="4" max="9" width="3.33203125" style="18" bestFit="1" customWidth="1"/>
    <col min="10" max="10" width="13.109375" style="18" bestFit="1" customWidth="1"/>
    <col min="11" max="11" width="5.33203125" style="18" bestFit="1" customWidth="1"/>
    <col min="12" max="12" width="5.6640625" style="18" bestFit="1" customWidth="1"/>
    <col min="13" max="14" width="5.6640625" style="19" bestFit="1" customWidth="1"/>
    <col min="15" max="15" width="5.6640625" style="18" bestFit="1" customWidth="1"/>
    <col min="16" max="16" width="5.6640625" style="19" bestFit="1" customWidth="1"/>
    <col min="17" max="19" width="5.6640625" style="18" bestFit="1" customWidth="1"/>
    <col min="20" max="16384" width="11.44140625" style="18"/>
  </cols>
  <sheetData>
    <row r="1" spans="1:19" s="17" customFormat="1" ht="65.099999999999994" customHeight="1" x14ac:dyDescent="0.25">
      <c r="A1" s="22" t="s">
        <v>112</v>
      </c>
      <c r="B1" s="22" t="s">
        <v>113</v>
      </c>
      <c r="C1" s="22" t="s">
        <v>114</v>
      </c>
      <c r="D1" s="23">
        <v>2017</v>
      </c>
      <c r="E1" s="23">
        <v>2018</v>
      </c>
      <c r="F1" s="23">
        <v>2019</v>
      </c>
      <c r="G1" s="23">
        <v>2020</v>
      </c>
      <c r="H1" s="23">
        <v>2021</v>
      </c>
      <c r="I1" s="23">
        <v>2022</v>
      </c>
      <c r="J1" s="22" t="s">
        <v>115</v>
      </c>
      <c r="K1" s="24" t="s">
        <v>204</v>
      </c>
      <c r="L1" s="15" t="s">
        <v>116</v>
      </c>
      <c r="M1" s="15" t="s">
        <v>117</v>
      </c>
      <c r="N1" s="15" t="s">
        <v>118</v>
      </c>
      <c r="O1" s="15" t="s">
        <v>119</v>
      </c>
      <c r="P1" s="16" t="s">
        <v>120</v>
      </c>
      <c r="Q1" s="16" t="s">
        <v>121</v>
      </c>
      <c r="R1" s="16" t="s">
        <v>122</v>
      </c>
      <c r="S1" s="16" t="s">
        <v>123</v>
      </c>
    </row>
    <row r="2" spans="1:19" ht="14.4" x14ac:dyDescent="0.3">
      <c r="A2" s="25" t="s">
        <v>140</v>
      </c>
      <c r="B2" s="25" t="s">
        <v>141</v>
      </c>
      <c r="C2" s="25">
        <v>6</v>
      </c>
      <c r="D2" s="25"/>
      <c r="E2" s="25"/>
      <c r="F2" s="25">
        <v>1</v>
      </c>
      <c r="G2" s="25"/>
      <c r="H2" s="25">
        <v>1</v>
      </c>
      <c r="I2" s="25"/>
      <c r="J2" s="25">
        <v>2</v>
      </c>
      <c r="K2" s="25" t="s">
        <v>69</v>
      </c>
      <c r="L2" s="26" t="s">
        <v>67</v>
      </c>
      <c r="M2" s="26" t="s">
        <v>51</v>
      </c>
      <c r="N2" s="26" t="s">
        <v>31</v>
      </c>
      <c r="O2" s="26" t="s">
        <v>31</v>
      </c>
      <c r="P2" s="26">
        <v>20</v>
      </c>
      <c r="Q2" s="26">
        <v>1.6</v>
      </c>
      <c r="R2" s="26">
        <v>0</v>
      </c>
      <c r="S2" s="26">
        <v>0.4</v>
      </c>
    </row>
    <row r="3" spans="1:19" ht="14.4" x14ac:dyDescent="0.3">
      <c r="A3" s="25" t="s">
        <v>126</v>
      </c>
      <c r="B3" s="25" t="s">
        <v>127</v>
      </c>
      <c r="C3" s="25" t="s">
        <v>124</v>
      </c>
      <c r="D3" s="25">
        <v>1</v>
      </c>
      <c r="E3" s="25"/>
      <c r="F3" s="25">
        <v>1</v>
      </c>
      <c r="G3" s="25"/>
      <c r="H3" s="25"/>
      <c r="I3" s="25"/>
      <c r="J3" s="25">
        <v>2</v>
      </c>
      <c r="K3" s="25" t="s">
        <v>42</v>
      </c>
      <c r="L3" s="26" t="s">
        <v>67</v>
      </c>
      <c r="M3" s="26" t="s">
        <v>48</v>
      </c>
      <c r="N3" s="26" t="s">
        <v>31</v>
      </c>
      <c r="O3" s="26" t="s">
        <v>31</v>
      </c>
      <c r="P3" s="26">
        <v>90</v>
      </c>
      <c r="Q3" s="26">
        <v>0.2</v>
      </c>
      <c r="R3" s="26">
        <v>0</v>
      </c>
      <c r="S3" s="26">
        <v>1.8</v>
      </c>
    </row>
    <row r="4" spans="1:19" ht="14.4" x14ac:dyDescent="0.3">
      <c r="A4" s="25" t="s">
        <v>134</v>
      </c>
      <c r="B4" s="25" t="s">
        <v>135</v>
      </c>
      <c r="C4" s="25">
        <v>6</v>
      </c>
      <c r="D4" s="25"/>
      <c r="E4" s="25">
        <v>1</v>
      </c>
      <c r="F4" s="25">
        <v>1</v>
      </c>
      <c r="G4" s="25"/>
      <c r="H4" s="25"/>
      <c r="I4" s="25"/>
      <c r="J4" s="25">
        <v>2</v>
      </c>
      <c r="K4" s="25" t="s">
        <v>69</v>
      </c>
      <c r="L4" s="26" t="s">
        <v>67</v>
      </c>
      <c r="M4" s="26" t="s">
        <v>51</v>
      </c>
      <c r="N4" s="26" t="s">
        <v>31</v>
      </c>
      <c r="O4" s="26" t="s">
        <v>31</v>
      </c>
      <c r="P4" s="26">
        <v>20</v>
      </c>
      <c r="Q4" s="26">
        <v>1.6</v>
      </c>
      <c r="R4" s="26">
        <v>0</v>
      </c>
      <c r="S4" s="26">
        <v>0.4</v>
      </c>
    </row>
    <row r="5" spans="1:19" ht="14.4" x14ac:dyDescent="0.3">
      <c r="A5" s="25" t="s">
        <v>128</v>
      </c>
      <c r="B5" s="25" t="s">
        <v>129</v>
      </c>
      <c r="C5" s="25" t="s">
        <v>124</v>
      </c>
      <c r="D5" s="25">
        <v>1</v>
      </c>
      <c r="E5" s="25"/>
      <c r="F5" s="25"/>
      <c r="G5" s="25"/>
      <c r="H5" s="25"/>
      <c r="I5" s="25"/>
      <c r="J5" s="25">
        <v>1</v>
      </c>
      <c r="K5" s="25" t="s">
        <v>69</v>
      </c>
      <c r="L5" s="26" t="s">
        <v>67</v>
      </c>
      <c r="M5" s="26" t="s">
        <v>51</v>
      </c>
      <c r="N5" s="26" t="s">
        <v>31</v>
      </c>
      <c r="O5" s="26" t="s">
        <v>31</v>
      </c>
      <c r="P5" s="26">
        <v>20</v>
      </c>
      <c r="Q5" s="26">
        <v>0.8</v>
      </c>
      <c r="R5" s="26">
        <v>0</v>
      </c>
      <c r="S5" s="26">
        <v>0.2</v>
      </c>
    </row>
    <row r="6" spans="1:19" ht="14.4" x14ac:dyDescent="0.3">
      <c r="A6" s="25" t="s">
        <v>138</v>
      </c>
      <c r="B6" s="25" t="s">
        <v>139</v>
      </c>
      <c r="C6" s="25" t="s">
        <v>124</v>
      </c>
      <c r="D6" s="25"/>
      <c r="E6" s="25"/>
      <c r="F6" s="25"/>
      <c r="G6" s="25">
        <v>1</v>
      </c>
      <c r="H6" s="25"/>
      <c r="I6" s="25"/>
      <c r="J6" s="25">
        <v>1</v>
      </c>
      <c r="K6" s="25" t="s">
        <v>69</v>
      </c>
      <c r="L6" s="26" t="s">
        <v>67</v>
      </c>
      <c r="M6" s="26" t="s">
        <v>51</v>
      </c>
      <c r="N6" s="26" t="s">
        <v>31</v>
      </c>
      <c r="O6" s="26" t="s">
        <v>31</v>
      </c>
      <c r="P6" s="26">
        <v>20</v>
      </c>
      <c r="Q6" s="26">
        <v>0.8</v>
      </c>
      <c r="R6" s="26">
        <v>0</v>
      </c>
      <c r="S6" s="26">
        <v>0.2</v>
      </c>
    </row>
    <row r="7" spans="1:19" ht="14.4" x14ac:dyDescent="0.3">
      <c r="A7" s="25" t="s">
        <v>144</v>
      </c>
      <c r="B7" s="25" t="s">
        <v>145</v>
      </c>
      <c r="C7" s="25" t="s">
        <v>124</v>
      </c>
      <c r="D7" s="25"/>
      <c r="E7" s="25"/>
      <c r="F7" s="25">
        <v>1</v>
      </c>
      <c r="G7" s="25"/>
      <c r="H7" s="25"/>
      <c r="I7" s="25"/>
      <c r="J7" s="25">
        <v>1</v>
      </c>
      <c r="K7" s="25" t="s">
        <v>69</v>
      </c>
      <c r="L7" s="26" t="s">
        <v>67</v>
      </c>
      <c r="M7" s="26" t="s">
        <v>51</v>
      </c>
      <c r="N7" s="26" t="s">
        <v>31</v>
      </c>
      <c r="O7" s="26" t="s">
        <v>31</v>
      </c>
      <c r="P7" s="26">
        <v>20</v>
      </c>
      <c r="Q7" s="26">
        <v>0.8</v>
      </c>
      <c r="R7" s="26">
        <v>0</v>
      </c>
      <c r="S7" s="26">
        <v>0.2</v>
      </c>
    </row>
    <row r="8" spans="1:19" ht="14.4" x14ac:dyDescent="0.3">
      <c r="A8" s="25" t="s">
        <v>132</v>
      </c>
      <c r="B8" s="25" t="s">
        <v>133</v>
      </c>
      <c r="C8" s="25" t="s">
        <v>124</v>
      </c>
      <c r="D8" s="25"/>
      <c r="E8" s="25"/>
      <c r="F8" s="25"/>
      <c r="G8" s="25"/>
      <c r="H8" s="25">
        <v>1</v>
      </c>
      <c r="I8" s="25"/>
      <c r="J8" s="25">
        <v>1</v>
      </c>
      <c r="K8" s="25" t="s">
        <v>69</v>
      </c>
      <c r="L8" s="26" t="s">
        <v>67</v>
      </c>
      <c r="M8" s="26" t="s">
        <v>51</v>
      </c>
      <c r="N8" s="26" t="s">
        <v>31</v>
      </c>
      <c r="O8" s="26" t="s">
        <v>31</v>
      </c>
      <c r="P8" s="26">
        <v>20</v>
      </c>
      <c r="Q8" s="26">
        <v>0.8</v>
      </c>
      <c r="R8" s="26">
        <v>0</v>
      </c>
      <c r="S8" s="26">
        <v>0.2</v>
      </c>
    </row>
    <row r="9" spans="1:19" ht="14.4" x14ac:dyDescent="0.3">
      <c r="A9" s="25" t="s">
        <v>130</v>
      </c>
      <c r="B9" s="25" t="s">
        <v>131</v>
      </c>
      <c r="C9" s="25" t="s">
        <v>124</v>
      </c>
      <c r="D9" s="25"/>
      <c r="E9" s="25">
        <v>2</v>
      </c>
      <c r="F9" s="25">
        <v>1</v>
      </c>
      <c r="G9" s="25"/>
      <c r="H9" s="25"/>
      <c r="I9" s="25"/>
      <c r="J9" s="25">
        <v>3</v>
      </c>
      <c r="K9" s="25" t="s">
        <v>69</v>
      </c>
      <c r="L9" s="26" t="s">
        <v>67</v>
      </c>
      <c r="M9" s="26" t="s">
        <v>51</v>
      </c>
      <c r="N9" s="26" t="s">
        <v>31</v>
      </c>
      <c r="O9" s="26" t="s">
        <v>31</v>
      </c>
      <c r="P9" s="26">
        <v>20</v>
      </c>
      <c r="Q9" s="26">
        <v>2.4</v>
      </c>
      <c r="R9" s="26">
        <v>0</v>
      </c>
      <c r="S9" s="26">
        <v>0.6</v>
      </c>
    </row>
    <row r="10" spans="1:19" ht="14.4" x14ac:dyDescent="0.3">
      <c r="A10" s="25" t="s">
        <v>136</v>
      </c>
      <c r="B10" s="25" t="s">
        <v>137</v>
      </c>
      <c r="C10" s="25" t="s">
        <v>124</v>
      </c>
      <c r="D10" s="25"/>
      <c r="E10" s="25">
        <v>1</v>
      </c>
      <c r="F10" s="25"/>
      <c r="G10" s="25"/>
      <c r="H10" s="25"/>
      <c r="I10" s="25"/>
      <c r="J10" s="25">
        <v>1</v>
      </c>
      <c r="K10" s="25" t="s">
        <v>69</v>
      </c>
      <c r="L10" s="26" t="s">
        <v>67</v>
      </c>
      <c r="M10" s="26" t="s">
        <v>51</v>
      </c>
      <c r="N10" s="26" t="s">
        <v>31</v>
      </c>
      <c r="O10" s="26" t="s">
        <v>31</v>
      </c>
      <c r="P10" s="26">
        <v>20</v>
      </c>
      <c r="Q10" s="26">
        <v>0.8</v>
      </c>
      <c r="R10" s="26">
        <v>0</v>
      </c>
      <c r="S10" s="26">
        <v>0.2</v>
      </c>
    </row>
    <row r="11" spans="1:19" ht="14.4" x14ac:dyDescent="0.3">
      <c r="A11" s="25" t="s">
        <v>150</v>
      </c>
      <c r="B11" s="25" t="s">
        <v>151</v>
      </c>
      <c r="C11" s="25" t="s">
        <v>124</v>
      </c>
      <c r="D11" s="25"/>
      <c r="E11" s="25"/>
      <c r="F11" s="25">
        <v>1</v>
      </c>
      <c r="G11" s="25"/>
      <c r="H11" s="25"/>
      <c r="I11" s="25"/>
      <c r="J11" s="25">
        <v>1</v>
      </c>
      <c r="K11" s="25" t="s">
        <v>69</v>
      </c>
      <c r="L11" s="26" t="s">
        <v>67</v>
      </c>
      <c r="M11" s="26" t="s">
        <v>51</v>
      </c>
      <c r="N11" s="26" t="s">
        <v>31</v>
      </c>
      <c r="O11" s="26" t="s">
        <v>31</v>
      </c>
      <c r="P11" s="26">
        <v>20</v>
      </c>
      <c r="Q11" s="26">
        <v>0.8</v>
      </c>
      <c r="R11" s="26">
        <v>0</v>
      </c>
      <c r="S11" s="26">
        <v>0.2</v>
      </c>
    </row>
    <row r="12" spans="1:19" ht="14.4" x14ac:dyDescent="0.3">
      <c r="A12" s="25" t="s">
        <v>142</v>
      </c>
      <c r="B12" s="25" t="s">
        <v>143</v>
      </c>
      <c r="C12" s="25" t="s">
        <v>124</v>
      </c>
      <c r="D12" s="25"/>
      <c r="E12" s="25"/>
      <c r="F12" s="25">
        <v>2</v>
      </c>
      <c r="G12" s="25"/>
      <c r="H12" s="25"/>
      <c r="I12" s="25"/>
      <c r="J12" s="25">
        <v>2</v>
      </c>
      <c r="K12" s="25" t="s">
        <v>69</v>
      </c>
      <c r="L12" s="26" t="s">
        <v>67</v>
      </c>
      <c r="M12" s="26" t="s">
        <v>51</v>
      </c>
      <c r="N12" s="26" t="s">
        <v>31</v>
      </c>
      <c r="O12" s="26" t="s">
        <v>31</v>
      </c>
      <c r="P12" s="26">
        <v>20</v>
      </c>
      <c r="Q12" s="26">
        <v>1.6</v>
      </c>
      <c r="R12" s="26">
        <v>0</v>
      </c>
      <c r="S12" s="26">
        <v>0.4</v>
      </c>
    </row>
    <row r="13" spans="1:19" ht="14.4" x14ac:dyDescent="0.3">
      <c r="A13" s="25" t="s">
        <v>279</v>
      </c>
      <c r="B13" s="25" t="s">
        <v>280</v>
      </c>
      <c r="C13" s="25" t="s">
        <v>125</v>
      </c>
      <c r="D13" s="25"/>
      <c r="E13" s="25"/>
      <c r="F13" s="25"/>
      <c r="G13" s="25"/>
      <c r="H13" s="25"/>
      <c r="I13" s="25">
        <v>1</v>
      </c>
      <c r="J13" s="25">
        <v>1</v>
      </c>
      <c r="K13" s="25" t="s">
        <v>67</v>
      </c>
      <c r="L13" s="26" t="s">
        <v>67</v>
      </c>
      <c r="M13" s="26" t="s">
        <v>225</v>
      </c>
      <c r="N13" s="26" t="s">
        <v>31</v>
      </c>
      <c r="O13" s="26" t="s">
        <v>31</v>
      </c>
      <c r="P13" s="26">
        <v>0</v>
      </c>
      <c r="Q13" s="26">
        <v>1</v>
      </c>
      <c r="R13" s="26">
        <v>0</v>
      </c>
      <c r="S13" s="26">
        <v>0</v>
      </c>
    </row>
    <row r="14" spans="1:19" ht="14.4" x14ac:dyDescent="0.3">
      <c r="A14" s="25" t="s">
        <v>152</v>
      </c>
      <c r="B14" s="25" t="s">
        <v>153</v>
      </c>
      <c r="C14" s="25" t="s">
        <v>124</v>
      </c>
      <c r="D14" s="25"/>
      <c r="E14" s="25"/>
      <c r="F14" s="25">
        <v>1</v>
      </c>
      <c r="G14" s="25"/>
      <c r="H14" s="25"/>
      <c r="I14" s="25"/>
      <c r="J14" s="25">
        <v>1</v>
      </c>
      <c r="K14" s="25" t="s">
        <v>47</v>
      </c>
      <c r="L14" s="26" t="s">
        <v>67</v>
      </c>
      <c r="M14" s="26" t="s">
        <v>39</v>
      </c>
      <c r="N14" s="26" t="s">
        <v>31</v>
      </c>
      <c r="O14" s="26" t="s">
        <v>31</v>
      </c>
      <c r="P14" s="26">
        <v>50</v>
      </c>
      <c r="Q14" s="26">
        <v>0.5</v>
      </c>
      <c r="R14" s="26">
        <v>0</v>
      </c>
      <c r="S14" s="26">
        <v>0.5</v>
      </c>
    </row>
    <row r="15" spans="1:19" ht="14.4" x14ac:dyDescent="0.3">
      <c r="A15" s="25" t="s">
        <v>349</v>
      </c>
      <c r="B15" s="25" t="s">
        <v>350</v>
      </c>
      <c r="C15" s="25" t="s">
        <v>125</v>
      </c>
      <c r="D15" s="25"/>
      <c r="E15" s="25"/>
      <c r="F15" s="25"/>
      <c r="G15" s="25"/>
      <c r="H15" s="25">
        <v>1</v>
      </c>
      <c r="I15" s="25"/>
      <c r="J15" s="25">
        <v>1</v>
      </c>
      <c r="K15" s="25" t="s">
        <v>69</v>
      </c>
      <c r="L15" s="26" t="s">
        <v>67</v>
      </c>
      <c r="M15" s="26" t="s">
        <v>51</v>
      </c>
      <c r="N15" s="26" t="s">
        <v>31</v>
      </c>
      <c r="O15" s="26" t="s">
        <v>31</v>
      </c>
      <c r="P15" s="26">
        <v>20</v>
      </c>
      <c r="Q15" s="26">
        <v>0.8</v>
      </c>
      <c r="R15" s="26">
        <v>0</v>
      </c>
      <c r="S15" s="26">
        <v>0.2</v>
      </c>
    </row>
    <row r="16" spans="1:19" ht="14.4" x14ac:dyDescent="0.3">
      <c r="A16" s="25" t="s">
        <v>148</v>
      </c>
      <c r="B16" s="25" t="s">
        <v>149</v>
      </c>
      <c r="C16" s="25" t="s">
        <v>124</v>
      </c>
      <c r="D16" s="25"/>
      <c r="E16" s="25"/>
      <c r="F16" s="25"/>
      <c r="G16" s="25">
        <v>1</v>
      </c>
      <c r="H16" s="25">
        <v>1</v>
      </c>
      <c r="I16" s="25"/>
      <c r="J16" s="25">
        <v>2</v>
      </c>
      <c r="K16" s="25" t="s">
        <v>61</v>
      </c>
      <c r="L16" s="26" t="s">
        <v>67</v>
      </c>
      <c r="M16" s="26" t="s">
        <v>48</v>
      </c>
      <c r="N16" s="26" t="s">
        <v>31</v>
      </c>
      <c r="O16" s="26" t="s">
        <v>31</v>
      </c>
      <c r="P16" s="26">
        <v>90</v>
      </c>
      <c r="Q16" s="26">
        <v>0.2</v>
      </c>
      <c r="R16" s="26">
        <v>0</v>
      </c>
      <c r="S16" s="26">
        <v>1.8</v>
      </c>
    </row>
    <row r="17" spans="1:19" ht="14.4" x14ac:dyDescent="0.3">
      <c r="A17" s="20" t="s">
        <v>200</v>
      </c>
      <c r="B17" s="20" t="s">
        <v>201</v>
      </c>
      <c r="C17" s="21" t="s">
        <v>125</v>
      </c>
      <c r="D17" s="20"/>
      <c r="E17" s="20"/>
      <c r="F17" s="20"/>
      <c r="G17" s="20"/>
      <c r="H17" s="20"/>
      <c r="I17" s="20">
        <v>1</v>
      </c>
      <c r="J17" s="25">
        <v>1</v>
      </c>
      <c r="K17" s="25" t="s">
        <v>69</v>
      </c>
      <c r="L17" s="26" t="s">
        <v>67</v>
      </c>
      <c r="M17" s="26" t="s">
        <v>39</v>
      </c>
      <c r="N17" s="26" t="s">
        <v>31</v>
      </c>
      <c r="O17" s="26" t="s">
        <v>31</v>
      </c>
      <c r="P17" s="26">
        <v>50</v>
      </c>
      <c r="Q17" s="26">
        <v>0.5</v>
      </c>
      <c r="R17" s="26">
        <v>0</v>
      </c>
      <c r="S17" s="26">
        <v>0.5</v>
      </c>
    </row>
    <row r="18" spans="1:19" ht="14.4" x14ac:dyDescent="0.3">
      <c r="A18" s="25" t="s">
        <v>202</v>
      </c>
      <c r="B18" s="25" t="s">
        <v>203</v>
      </c>
      <c r="C18" s="25" t="s">
        <v>124</v>
      </c>
      <c r="D18" s="25"/>
      <c r="E18" s="25"/>
      <c r="F18" s="25"/>
      <c r="G18" s="25"/>
      <c r="H18" s="25"/>
      <c r="I18" s="25">
        <v>1</v>
      </c>
      <c r="J18" s="25">
        <v>1</v>
      </c>
      <c r="K18" s="25" t="s">
        <v>69</v>
      </c>
      <c r="L18" s="26" t="s">
        <v>67</v>
      </c>
      <c r="M18" s="26" t="s">
        <v>51</v>
      </c>
      <c r="N18" s="26" t="s">
        <v>31</v>
      </c>
      <c r="O18" s="26" t="s">
        <v>31</v>
      </c>
      <c r="P18" s="26">
        <v>20</v>
      </c>
      <c r="Q18" s="26">
        <v>0.8</v>
      </c>
      <c r="R18" s="26">
        <v>0</v>
      </c>
      <c r="S18" s="26">
        <v>0.2</v>
      </c>
    </row>
    <row r="19" spans="1:19" ht="14.4" x14ac:dyDescent="0.3">
      <c r="A19" s="25" t="s">
        <v>146</v>
      </c>
      <c r="B19" s="25" t="s">
        <v>147</v>
      </c>
      <c r="C19" s="25" t="s">
        <v>124</v>
      </c>
      <c r="D19" s="25"/>
      <c r="E19" s="25"/>
      <c r="F19" s="25">
        <v>2</v>
      </c>
      <c r="G19" s="25"/>
      <c r="H19" s="25"/>
      <c r="I19" s="25"/>
      <c r="J19" s="25">
        <v>2</v>
      </c>
      <c r="K19" s="25" t="s">
        <v>69</v>
      </c>
      <c r="L19" s="26" t="s">
        <v>67</v>
      </c>
      <c r="M19" s="26" t="s">
        <v>51</v>
      </c>
      <c r="N19" s="26" t="s">
        <v>31</v>
      </c>
      <c r="O19" s="26" t="s">
        <v>31</v>
      </c>
      <c r="P19" s="26">
        <v>20</v>
      </c>
      <c r="Q19" s="26">
        <v>1.6</v>
      </c>
      <c r="R19" s="26">
        <v>0</v>
      </c>
      <c r="S19" s="26">
        <v>0.4</v>
      </c>
    </row>
    <row r="20" spans="1:19" x14ac:dyDescent="0.25">
      <c r="A20" s="60"/>
      <c r="B20" s="60"/>
      <c r="C20" s="60"/>
      <c r="D20" s="60"/>
      <c r="E20" s="60"/>
      <c r="F20" s="60"/>
      <c r="G20" s="60"/>
      <c r="H20" s="60"/>
      <c r="I20" s="60"/>
      <c r="J20" s="60"/>
      <c r="K20" s="60"/>
      <c r="L20" s="60"/>
      <c r="M20" s="61"/>
      <c r="N20" s="61"/>
      <c r="O20" s="60"/>
      <c r="P20" s="61"/>
      <c r="Q20" s="62">
        <f>SUM(Q2:Q19)</f>
        <v>17.600000000000001</v>
      </c>
      <c r="R20" s="63"/>
      <c r="S20" s="60"/>
    </row>
  </sheetData>
  <sortState xmlns:xlrd2="http://schemas.microsoft.com/office/spreadsheetml/2017/richdata2" ref="A2:S19">
    <sortCondition ref="B2:B19"/>
  </sortState>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4"/>
  <sheetViews>
    <sheetView zoomScaleNormal="100" workbookViewId="0">
      <selection sqref="A1:B1"/>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v>
      </c>
      <c r="B2" s="5"/>
    </row>
    <row r="3" spans="1:2" x14ac:dyDescent="0.2">
      <c r="A3" s="4" t="s">
        <v>154</v>
      </c>
      <c r="B3" s="5">
        <v>2000</v>
      </c>
    </row>
    <row r="4" spans="1:2" x14ac:dyDescent="0.2">
      <c r="A4" s="4" t="s">
        <v>155</v>
      </c>
      <c r="B4" s="5"/>
    </row>
    <row r="5" spans="1:2" x14ac:dyDescent="0.2">
      <c r="A5" s="4" t="s">
        <v>156</v>
      </c>
      <c r="B5" s="5">
        <v>3300</v>
      </c>
    </row>
    <row r="6" spans="1:2" x14ac:dyDescent="0.2">
      <c r="A6" s="4" t="s">
        <v>157</v>
      </c>
      <c r="B6" s="5"/>
    </row>
    <row r="7" spans="1:2" x14ac:dyDescent="0.2">
      <c r="A7" s="4" t="s">
        <v>158</v>
      </c>
      <c r="B7" s="5">
        <v>3305.78</v>
      </c>
    </row>
    <row r="8" spans="1:2" x14ac:dyDescent="0.2">
      <c r="A8" s="4" t="s">
        <v>159</v>
      </c>
      <c r="B8" s="5"/>
    </row>
    <row r="9" spans="1:2" x14ac:dyDescent="0.2">
      <c r="A9" s="4" t="s">
        <v>160</v>
      </c>
      <c r="B9" s="5">
        <v>4132.2299999999996</v>
      </c>
    </row>
    <row r="10" spans="1:2" x14ac:dyDescent="0.2">
      <c r="A10" s="4" t="s">
        <v>161</v>
      </c>
      <c r="B10" s="5"/>
    </row>
    <row r="11" spans="1:2" x14ac:dyDescent="0.2">
      <c r="A11" s="4" t="s">
        <v>162</v>
      </c>
      <c r="B11" s="5">
        <v>9400</v>
      </c>
    </row>
    <row r="12" spans="1:2" x14ac:dyDescent="0.2">
      <c r="A12" s="4" t="s">
        <v>163</v>
      </c>
      <c r="B12" s="5"/>
    </row>
    <row r="13" spans="1:2" x14ac:dyDescent="0.2">
      <c r="A13" s="4" t="s">
        <v>164</v>
      </c>
      <c r="B13" s="5">
        <v>4800</v>
      </c>
    </row>
    <row r="14" spans="1:2" x14ac:dyDescent="0.2">
      <c r="A14" s="4" t="s">
        <v>165</v>
      </c>
      <c r="B14" s="5"/>
    </row>
    <row r="15" spans="1:2" x14ac:dyDescent="0.2">
      <c r="A15" s="4" t="s">
        <v>166</v>
      </c>
      <c r="B15" s="5">
        <v>60</v>
      </c>
    </row>
    <row r="16" spans="1:2" x14ac:dyDescent="0.2">
      <c r="A16" s="4" t="s">
        <v>167</v>
      </c>
      <c r="B16" s="5">
        <v>60</v>
      </c>
    </row>
    <row r="17" spans="1:2" x14ac:dyDescent="0.2">
      <c r="A17" s="4" t="s">
        <v>168</v>
      </c>
      <c r="B17" s="5">
        <v>60</v>
      </c>
    </row>
    <row r="18" spans="1:2" x14ac:dyDescent="0.2">
      <c r="A18" s="4" t="s">
        <v>169</v>
      </c>
      <c r="B18" s="5">
        <v>2430</v>
      </c>
    </row>
    <row r="19" spans="1:2" x14ac:dyDescent="0.2">
      <c r="A19" s="4" t="s">
        <v>170</v>
      </c>
      <c r="B19" s="5">
        <v>60</v>
      </c>
    </row>
    <row r="20" spans="1:2" x14ac:dyDescent="0.2">
      <c r="A20" s="4" t="s">
        <v>171</v>
      </c>
      <c r="B20" s="5"/>
    </row>
    <row r="21" spans="1:2" x14ac:dyDescent="0.2">
      <c r="A21" s="4" t="s">
        <v>172</v>
      </c>
      <c r="B21" s="5">
        <v>4824.5</v>
      </c>
    </row>
    <row r="22" spans="1:2" x14ac:dyDescent="0.2">
      <c r="A22" s="4" t="s">
        <v>4</v>
      </c>
      <c r="B22" s="5"/>
    </row>
    <row r="23" spans="1:2" x14ac:dyDescent="0.2">
      <c r="A23" s="4" t="s">
        <v>173</v>
      </c>
      <c r="B23" s="5">
        <v>13750</v>
      </c>
    </row>
    <row r="24" spans="1:2" x14ac:dyDescent="0.2">
      <c r="A24" s="4" t="s">
        <v>5</v>
      </c>
      <c r="B24" s="5"/>
    </row>
    <row r="25" spans="1:2" x14ac:dyDescent="0.2">
      <c r="A25" s="4" t="s">
        <v>174</v>
      </c>
      <c r="B25" s="5">
        <v>7200</v>
      </c>
    </row>
    <row r="26" spans="1:2" x14ac:dyDescent="0.2">
      <c r="A26" s="4" t="s">
        <v>6</v>
      </c>
      <c r="B26" s="5"/>
    </row>
    <row r="27" spans="1:2" x14ac:dyDescent="0.2">
      <c r="A27" s="4" t="s">
        <v>175</v>
      </c>
      <c r="B27" s="5">
        <v>4950</v>
      </c>
    </row>
    <row r="28" spans="1:2" x14ac:dyDescent="0.2">
      <c r="A28" s="4" t="s">
        <v>7</v>
      </c>
      <c r="B28" s="5"/>
    </row>
    <row r="29" spans="1:2" x14ac:dyDescent="0.2">
      <c r="A29" s="4" t="s">
        <v>176</v>
      </c>
      <c r="B29" s="5">
        <v>3375</v>
      </c>
    </row>
    <row r="30" spans="1:2" x14ac:dyDescent="0.2">
      <c r="A30" s="4" t="s">
        <v>177</v>
      </c>
      <c r="B30" s="5"/>
    </row>
    <row r="31" spans="1:2" x14ac:dyDescent="0.2">
      <c r="A31" s="4" t="s">
        <v>178</v>
      </c>
      <c r="B31" s="5">
        <v>21048</v>
      </c>
    </row>
    <row r="32" spans="1:2" x14ac:dyDescent="0.2">
      <c r="A32" s="4" t="s">
        <v>179</v>
      </c>
      <c r="B32" s="5"/>
    </row>
    <row r="33" spans="1:2" x14ac:dyDescent="0.2">
      <c r="A33" s="4" t="s">
        <v>180</v>
      </c>
      <c r="B33" s="5">
        <v>6609.6</v>
      </c>
    </row>
    <row r="34" spans="1:2" x14ac:dyDescent="0.2">
      <c r="A34" s="4" t="s">
        <v>181</v>
      </c>
      <c r="B34" s="5"/>
    </row>
    <row r="35" spans="1:2" x14ac:dyDescent="0.2">
      <c r="A35" s="4" t="s">
        <v>182</v>
      </c>
      <c r="B35" s="5">
        <v>42771</v>
      </c>
    </row>
    <row r="36" spans="1:2" x14ac:dyDescent="0.2">
      <c r="A36" s="4" t="s">
        <v>183</v>
      </c>
      <c r="B36" s="5"/>
    </row>
    <row r="37" spans="1:2" x14ac:dyDescent="0.2">
      <c r="A37" s="4" t="s">
        <v>184</v>
      </c>
      <c r="B37" s="5">
        <v>5150</v>
      </c>
    </row>
    <row r="38" spans="1:2" x14ac:dyDescent="0.2">
      <c r="A38" s="4" t="s">
        <v>185</v>
      </c>
      <c r="B38" s="5"/>
    </row>
    <row r="39" spans="1:2" x14ac:dyDescent="0.2">
      <c r="A39" s="4" t="s">
        <v>186</v>
      </c>
      <c r="B39" s="5">
        <v>4980.37</v>
      </c>
    </row>
    <row r="40" spans="1:2" x14ac:dyDescent="0.2">
      <c r="A40" s="4" t="s">
        <v>187</v>
      </c>
      <c r="B40" s="5"/>
    </row>
    <row r="41" spans="1:2" x14ac:dyDescent="0.2">
      <c r="A41" s="4" t="s">
        <v>188</v>
      </c>
      <c r="B41" s="5">
        <v>27997</v>
      </c>
    </row>
    <row r="42" spans="1:2" x14ac:dyDescent="0.2">
      <c r="A42" s="4" t="s">
        <v>189</v>
      </c>
      <c r="B42" s="5"/>
    </row>
    <row r="43" spans="1:2" x14ac:dyDescent="0.2">
      <c r="A43" s="4" t="s">
        <v>190</v>
      </c>
      <c r="B43" s="5">
        <v>10000</v>
      </c>
    </row>
    <row r="44" spans="1:2" x14ac:dyDescent="0.2">
      <c r="A44" s="6" t="s">
        <v>2</v>
      </c>
      <c r="B44" s="7">
        <f>SUM(B3:B43)</f>
        <v>182263.48</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D7BDA-6BC7-42A1-A4D4-73CEBD9E64FC}">
  <dimension ref="A1:B55"/>
  <sheetViews>
    <sheetView topLeftCell="B31" workbookViewId="0">
      <selection activeCell="A50" sqref="A50"/>
    </sheetView>
  </sheetViews>
  <sheetFormatPr baseColWidth="10" defaultRowHeight="14.4" x14ac:dyDescent="0.3"/>
  <cols>
    <col min="1" max="1" width="255.6640625" bestFit="1" customWidth="1"/>
  </cols>
  <sheetData>
    <row r="1" spans="1:2" ht="21.6" x14ac:dyDescent="0.3">
      <c r="A1" s="2" t="s">
        <v>0</v>
      </c>
      <c r="B1" s="3" t="s">
        <v>1</v>
      </c>
    </row>
    <row r="2" spans="1:2" x14ac:dyDescent="0.3">
      <c r="A2" s="25" t="s">
        <v>3</v>
      </c>
      <c r="B2" s="25"/>
    </row>
    <row r="3" spans="1:2" x14ac:dyDescent="0.3">
      <c r="A3" s="25" t="s">
        <v>154</v>
      </c>
      <c r="B3" s="25">
        <v>1760</v>
      </c>
    </row>
    <row r="4" spans="1:2" x14ac:dyDescent="0.3">
      <c r="A4" s="25" t="s">
        <v>233</v>
      </c>
      <c r="B4" s="25"/>
    </row>
    <row r="5" spans="1:2" x14ac:dyDescent="0.3">
      <c r="A5" s="25" t="s">
        <v>234</v>
      </c>
      <c r="B5" s="25">
        <v>8712</v>
      </c>
    </row>
    <row r="6" spans="1:2" x14ac:dyDescent="0.3">
      <c r="A6" s="25" t="s">
        <v>235</v>
      </c>
      <c r="B6" s="25"/>
    </row>
    <row r="7" spans="1:2" x14ac:dyDescent="0.3">
      <c r="A7" s="25" t="s">
        <v>236</v>
      </c>
      <c r="B7" s="25">
        <v>7436</v>
      </c>
    </row>
    <row r="8" spans="1:2" x14ac:dyDescent="0.3">
      <c r="A8" s="25" t="s">
        <v>237</v>
      </c>
      <c r="B8" s="25"/>
    </row>
    <row r="9" spans="1:2" x14ac:dyDescent="0.3">
      <c r="A9" s="25" t="s">
        <v>238</v>
      </c>
      <c r="B9" s="25">
        <v>4224</v>
      </c>
    </row>
    <row r="10" spans="1:2" x14ac:dyDescent="0.3">
      <c r="A10" s="25" t="s">
        <v>239</v>
      </c>
      <c r="B10" s="25"/>
    </row>
    <row r="11" spans="1:2" x14ac:dyDescent="0.3">
      <c r="A11" s="25" t="s">
        <v>240</v>
      </c>
      <c r="B11" s="25">
        <v>704</v>
      </c>
    </row>
    <row r="12" spans="1:2" x14ac:dyDescent="0.3">
      <c r="A12" s="25" t="s">
        <v>241</v>
      </c>
      <c r="B12" s="25"/>
    </row>
    <row r="13" spans="1:2" x14ac:dyDescent="0.3">
      <c r="A13" s="25" t="s">
        <v>242</v>
      </c>
      <c r="B13" s="25">
        <v>2560.8000000000002</v>
      </c>
    </row>
    <row r="14" spans="1:2" x14ac:dyDescent="0.3">
      <c r="A14" s="25" t="s">
        <v>243</v>
      </c>
      <c r="B14" s="25"/>
    </row>
    <row r="15" spans="1:2" x14ac:dyDescent="0.3">
      <c r="A15" s="25" t="s">
        <v>244</v>
      </c>
      <c r="B15" s="25">
        <v>13156</v>
      </c>
    </row>
    <row r="16" spans="1:2" x14ac:dyDescent="0.3">
      <c r="A16" s="25" t="s">
        <v>245</v>
      </c>
      <c r="B16" s="25"/>
    </row>
    <row r="17" spans="1:2" x14ac:dyDescent="0.3">
      <c r="A17" s="25" t="s">
        <v>246</v>
      </c>
      <c r="B17" s="25">
        <v>8764.7999999999993</v>
      </c>
    </row>
    <row r="18" spans="1:2" x14ac:dyDescent="0.3">
      <c r="A18" s="25" t="s">
        <v>247</v>
      </c>
      <c r="B18" s="25"/>
    </row>
    <row r="19" spans="1:2" x14ac:dyDescent="0.3">
      <c r="A19" s="25" t="s">
        <v>248</v>
      </c>
      <c r="B19" s="25">
        <v>3784</v>
      </c>
    </row>
    <row r="20" spans="1:2" x14ac:dyDescent="0.3">
      <c r="A20" s="25" t="s">
        <v>249</v>
      </c>
      <c r="B20" s="25"/>
    </row>
    <row r="21" spans="1:2" x14ac:dyDescent="0.3">
      <c r="A21" s="25" t="s">
        <v>250</v>
      </c>
      <c r="B21" s="25">
        <v>2640</v>
      </c>
    </row>
    <row r="22" spans="1:2" x14ac:dyDescent="0.3">
      <c r="A22" s="25" t="s">
        <v>251</v>
      </c>
      <c r="B22" s="25"/>
    </row>
    <row r="23" spans="1:2" x14ac:dyDescent="0.3">
      <c r="A23" s="25" t="s">
        <v>252</v>
      </c>
      <c r="B23" s="25">
        <v>2635.6</v>
      </c>
    </row>
    <row r="24" spans="1:2" x14ac:dyDescent="0.3">
      <c r="A24" s="25" t="s">
        <v>253</v>
      </c>
      <c r="B24" s="25"/>
    </row>
    <row r="25" spans="1:2" x14ac:dyDescent="0.3">
      <c r="A25" s="25" t="s">
        <v>254</v>
      </c>
      <c r="B25" s="25">
        <v>15000</v>
      </c>
    </row>
    <row r="26" spans="1:2" x14ac:dyDescent="0.3">
      <c r="A26" s="25" t="s">
        <v>255</v>
      </c>
      <c r="B26" s="25">
        <v>14807.71</v>
      </c>
    </row>
    <row r="27" spans="1:2" x14ac:dyDescent="0.3">
      <c r="A27" s="25" t="s">
        <v>7</v>
      </c>
      <c r="B27" s="25"/>
    </row>
    <row r="28" spans="1:2" x14ac:dyDescent="0.3">
      <c r="A28" s="25" t="s">
        <v>256</v>
      </c>
      <c r="B28" s="25">
        <v>6750</v>
      </c>
    </row>
    <row r="29" spans="1:2" x14ac:dyDescent="0.3">
      <c r="A29" s="25" t="s">
        <v>8</v>
      </c>
      <c r="B29" s="25"/>
    </row>
    <row r="30" spans="1:2" x14ac:dyDescent="0.3">
      <c r="A30" s="25" t="s">
        <v>257</v>
      </c>
      <c r="B30" s="25">
        <v>4107.5</v>
      </c>
    </row>
    <row r="31" spans="1:2" x14ac:dyDescent="0.3">
      <c r="A31" s="25" t="s">
        <v>181</v>
      </c>
      <c r="B31" s="25"/>
    </row>
    <row r="32" spans="1:2" x14ac:dyDescent="0.3">
      <c r="A32" s="25" t="s">
        <v>258</v>
      </c>
      <c r="B32" s="25">
        <v>41125</v>
      </c>
    </row>
    <row r="33" spans="1:2" x14ac:dyDescent="0.3">
      <c r="A33" s="25" t="s">
        <v>259</v>
      </c>
      <c r="B33" s="25"/>
    </row>
    <row r="34" spans="1:2" x14ac:dyDescent="0.3">
      <c r="A34" s="25" t="s">
        <v>260</v>
      </c>
      <c r="B34" s="25">
        <v>20151</v>
      </c>
    </row>
    <row r="35" spans="1:2" x14ac:dyDescent="0.3">
      <c r="A35" s="25" t="s">
        <v>261</v>
      </c>
      <c r="B35" s="25"/>
    </row>
    <row r="36" spans="1:2" x14ac:dyDescent="0.3">
      <c r="A36" s="25" t="s">
        <v>262</v>
      </c>
      <c r="B36" s="25">
        <v>3332.45</v>
      </c>
    </row>
    <row r="37" spans="1:2" x14ac:dyDescent="0.3">
      <c r="A37" s="25" t="s">
        <v>187</v>
      </c>
      <c r="B37" s="25"/>
    </row>
    <row r="38" spans="1:2" x14ac:dyDescent="0.3">
      <c r="A38" s="25" t="s">
        <v>263</v>
      </c>
      <c r="B38" s="25">
        <v>42458</v>
      </c>
    </row>
    <row r="39" spans="1:2" x14ac:dyDescent="0.3">
      <c r="A39" s="25" t="s">
        <v>189</v>
      </c>
      <c r="B39" s="25"/>
    </row>
    <row r="40" spans="1:2" x14ac:dyDescent="0.3">
      <c r="A40" s="25" t="s">
        <v>264</v>
      </c>
      <c r="B40" s="25">
        <v>10000</v>
      </c>
    </row>
    <row r="41" spans="1:2" x14ac:dyDescent="0.3">
      <c r="A41" s="25" t="s">
        <v>265</v>
      </c>
      <c r="B41" s="25"/>
    </row>
    <row r="42" spans="1:2" x14ac:dyDescent="0.3">
      <c r="A42" s="25" t="s">
        <v>266</v>
      </c>
      <c r="B42" s="25">
        <v>11983.47</v>
      </c>
    </row>
    <row r="43" spans="1:2" x14ac:dyDescent="0.3">
      <c r="A43" s="25" t="s">
        <v>267</v>
      </c>
      <c r="B43" s="25"/>
    </row>
    <row r="44" spans="1:2" x14ac:dyDescent="0.3">
      <c r="A44" s="25" t="s">
        <v>268</v>
      </c>
      <c r="B44" s="25">
        <v>2850</v>
      </c>
    </row>
    <row r="45" spans="1:2" x14ac:dyDescent="0.3">
      <c r="A45" s="25" t="s">
        <v>269</v>
      </c>
      <c r="B45" s="25"/>
    </row>
    <row r="46" spans="1:2" x14ac:dyDescent="0.3">
      <c r="A46" s="25" t="s">
        <v>270</v>
      </c>
      <c r="B46" s="25">
        <v>3300</v>
      </c>
    </row>
    <row r="47" spans="1:2" x14ac:dyDescent="0.3">
      <c r="A47" s="25" t="s">
        <v>271</v>
      </c>
      <c r="B47" s="25"/>
    </row>
    <row r="48" spans="1:2" x14ac:dyDescent="0.3">
      <c r="A48" s="25" t="s">
        <v>272</v>
      </c>
      <c r="B48" s="25">
        <v>3731</v>
      </c>
    </row>
    <row r="49" spans="1:2" x14ac:dyDescent="0.3">
      <c r="A49" s="25" t="s">
        <v>273</v>
      </c>
      <c r="B49" s="25"/>
    </row>
    <row r="50" spans="1:2" x14ac:dyDescent="0.3">
      <c r="A50" s="25" t="s">
        <v>274</v>
      </c>
      <c r="B50" s="25">
        <v>4484.25</v>
      </c>
    </row>
    <row r="51" spans="1:2" x14ac:dyDescent="0.3">
      <c r="A51" s="25" t="s">
        <v>275</v>
      </c>
      <c r="B51" s="25"/>
    </row>
    <row r="52" spans="1:2" x14ac:dyDescent="0.3">
      <c r="A52" s="25" t="s">
        <v>276</v>
      </c>
      <c r="B52" s="25">
        <v>10197.779999999999</v>
      </c>
    </row>
    <row r="53" spans="1:2" x14ac:dyDescent="0.3">
      <c r="A53" s="25" t="s">
        <v>277</v>
      </c>
      <c r="B53" s="25"/>
    </row>
    <row r="54" spans="1:2" x14ac:dyDescent="0.3">
      <c r="A54" s="25" t="s">
        <v>278</v>
      </c>
      <c r="B54" s="25">
        <v>353413.17</v>
      </c>
    </row>
    <row r="55" spans="1:2" x14ac:dyDescent="0.3">
      <c r="A55" s="41" t="s">
        <v>115</v>
      </c>
      <c r="B55" s="41">
        <v>604068.53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74A2D-BEB6-46FD-AE2A-2561452DA307}">
  <dimension ref="A1:D33"/>
  <sheetViews>
    <sheetView topLeftCell="A17" workbookViewId="0">
      <selection activeCell="D33" sqref="D33"/>
    </sheetView>
  </sheetViews>
  <sheetFormatPr baseColWidth="10" defaultRowHeight="14.4" x14ac:dyDescent="0.3"/>
  <cols>
    <col min="2" max="2" width="14" bestFit="1" customWidth="1"/>
    <col min="3" max="3" width="75.6640625" customWidth="1"/>
    <col min="4" max="4" width="11.6640625" bestFit="1" customWidth="1"/>
  </cols>
  <sheetData>
    <row r="1" spans="1:4" ht="15" thickBot="1" x14ac:dyDescent="0.35">
      <c r="A1" s="42" t="s">
        <v>281</v>
      </c>
      <c r="B1" s="43" t="s">
        <v>282</v>
      </c>
      <c r="C1" s="43" t="s">
        <v>283</v>
      </c>
      <c r="D1" s="44" t="s">
        <v>1</v>
      </c>
    </row>
    <row r="2" spans="1:4" ht="15" thickTop="1" x14ac:dyDescent="0.3">
      <c r="A2" s="45" t="s">
        <v>284</v>
      </c>
      <c r="B2" s="46" t="s">
        <v>285</v>
      </c>
      <c r="C2" s="46" t="s">
        <v>286</v>
      </c>
      <c r="D2" s="47">
        <v>13199.12</v>
      </c>
    </row>
    <row r="3" spans="1:4" x14ac:dyDescent="0.3">
      <c r="A3" s="48" t="s">
        <v>284</v>
      </c>
      <c r="B3" s="49" t="s">
        <v>287</v>
      </c>
      <c r="C3" s="49" t="s">
        <v>288</v>
      </c>
      <c r="D3" s="50">
        <v>13182.4</v>
      </c>
    </row>
    <row r="4" spans="1:4" x14ac:dyDescent="0.3">
      <c r="A4" s="45" t="s">
        <v>284</v>
      </c>
      <c r="B4" s="46" t="s">
        <v>289</v>
      </c>
      <c r="C4" s="46" t="s">
        <v>290</v>
      </c>
      <c r="D4" s="47">
        <v>4363.6400000000003</v>
      </c>
    </row>
    <row r="5" spans="1:4" x14ac:dyDescent="0.3">
      <c r="A5" s="48" t="s">
        <v>284</v>
      </c>
      <c r="B5" s="49" t="s">
        <v>291</v>
      </c>
      <c r="C5" s="49" t="s">
        <v>292</v>
      </c>
      <c r="D5" s="50">
        <v>1818.19</v>
      </c>
    </row>
    <row r="6" spans="1:4" x14ac:dyDescent="0.3">
      <c r="A6" s="45" t="s">
        <v>284</v>
      </c>
      <c r="B6" s="46" t="s">
        <v>291</v>
      </c>
      <c r="C6" s="46" t="s">
        <v>293</v>
      </c>
      <c r="D6" s="47">
        <v>3636.36</v>
      </c>
    </row>
    <row r="7" spans="1:4" x14ac:dyDescent="0.3">
      <c r="A7" s="48" t="s">
        <v>284</v>
      </c>
      <c r="B7" s="49" t="s">
        <v>294</v>
      </c>
      <c r="C7" s="49" t="s">
        <v>295</v>
      </c>
      <c r="D7" s="50">
        <v>6554.18</v>
      </c>
    </row>
    <row r="8" spans="1:4" x14ac:dyDescent="0.3">
      <c r="A8" s="45" t="s">
        <v>284</v>
      </c>
      <c r="B8" s="46" t="s">
        <v>294</v>
      </c>
      <c r="C8" s="46" t="s">
        <v>296</v>
      </c>
      <c r="D8" s="47">
        <v>6554.18</v>
      </c>
    </row>
    <row r="9" spans="1:4" x14ac:dyDescent="0.3">
      <c r="A9" s="48" t="s">
        <v>284</v>
      </c>
      <c r="B9" s="49" t="s">
        <v>297</v>
      </c>
      <c r="C9" s="49" t="s">
        <v>298</v>
      </c>
      <c r="D9" s="50">
        <v>4224</v>
      </c>
    </row>
    <row r="10" spans="1:4" x14ac:dyDescent="0.3">
      <c r="A10" s="45" t="s">
        <v>284</v>
      </c>
      <c r="B10" s="46" t="s">
        <v>299</v>
      </c>
      <c r="C10" s="46" t="s">
        <v>300</v>
      </c>
      <c r="D10" s="47">
        <v>4092</v>
      </c>
    </row>
    <row r="11" spans="1:4" x14ac:dyDescent="0.3">
      <c r="A11" s="48" t="s">
        <v>284</v>
      </c>
      <c r="B11" s="49" t="s">
        <v>301</v>
      </c>
      <c r="C11" s="49" t="s">
        <v>302</v>
      </c>
      <c r="D11" s="50">
        <v>29200.16</v>
      </c>
    </row>
    <row r="12" spans="1:4" x14ac:dyDescent="0.3">
      <c r="A12" s="45" t="s">
        <v>284</v>
      </c>
      <c r="B12" s="46" t="s">
        <v>303</v>
      </c>
      <c r="C12" s="46" t="s">
        <v>304</v>
      </c>
      <c r="D12" s="47">
        <v>11137.28</v>
      </c>
    </row>
    <row r="13" spans="1:4" x14ac:dyDescent="0.3">
      <c r="A13" s="48" t="s">
        <v>284</v>
      </c>
      <c r="B13" s="49" t="s">
        <v>305</v>
      </c>
      <c r="C13" s="49" t="s">
        <v>306</v>
      </c>
      <c r="D13" s="50">
        <v>13002.91</v>
      </c>
    </row>
    <row r="14" spans="1:4" x14ac:dyDescent="0.3">
      <c r="A14" s="45" t="s">
        <v>284</v>
      </c>
      <c r="B14" s="46" t="s">
        <v>307</v>
      </c>
      <c r="C14" s="46" t="s">
        <v>308</v>
      </c>
      <c r="D14" s="47">
        <v>26884</v>
      </c>
    </row>
    <row r="15" spans="1:4" x14ac:dyDescent="0.3">
      <c r="A15" s="48" t="s">
        <v>284</v>
      </c>
      <c r="B15" s="49" t="s">
        <v>309</v>
      </c>
      <c r="C15" s="49" t="s">
        <v>310</v>
      </c>
      <c r="D15" s="50">
        <v>3960</v>
      </c>
    </row>
    <row r="16" spans="1:4" x14ac:dyDescent="0.3">
      <c r="A16" s="45" t="s">
        <v>284</v>
      </c>
      <c r="B16" s="46" t="s">
        <v>311</v>
      </c>
      <c r="C16" s="46" t="s">
        <v>312</v>
      </c>
      <c r="D16" s="47">
        <v>4224</v>
      </c>
    </row>
    <row r="17" spans="1:4" x14ac:dyDescent="0.3">
      <c r="A17" s="48" t="s">
        <v>284</v>
      </c>
      <c r="B17" s="49" t="s">
        <v>253</v>
      </c>
      <c r="C17" s="49" t="s">
        <v>313</v>
      </c>
      <c r="D17" s="50">
        <v>15000</v>
      </c>
    </row>
    <row r="18" spans="1:4" x14ac:dyDescent="0.3">
      <c r="A18" s="45" t="s">
        <v>284</v>
      </c>
      <c r="B18" s="46" t="s">
        <v>7</v>
      </c>
      <c r="C18" s="46" t="s">
        <v>314</v>
      </c>
      <c r="D18" s="47">
        <v>9000</v>
      </c>
    </row>
    <row r="19" spans="1:4" x14ac:dyDescent="0.3">
      <c r="A19" s="48" t="s">
        <v>284</v>
      </c>
      <c r="B19" s="49" t="s">
        <v>181</v>
      </c>
      <c r="C19" s="49" t="s">
        <v>315</v>
      </c>
      <c r="D19" s="50">
        <v>41855</v>
      </c>
    </row>
    <row r="20" spans="1:4" x14ac:dyDescent="0.3">
      <c r="A20" s="45" t="s">
        <v>284</v>
      </c>
      <c r="B20" s="46" t="s">
        <v>187</v>
      </c>
      <c r="C20" s="46" t="s">
        <v>316</v>
      </c>
      <c r="D20" s="47">
        <v>43042</v>
      </c>
    </row>
    <row r="21" spans="1:4" x14ac:dyDescent="0.3">
      <c r="A21" s="48" t="s">
        <v>284</v>
      </c>
      <c r="B21" s="49" t="s">
        <v>267</v>
      </c>
      <c r="C21" s="49" t="s">
        <v>317</v>
      </c>
      <c r="D21" s="50">
        <v>4450</v>
      </c>
    </row>
    <row r="22" spans="1:4" x14ac:dyDescent="0.3">
      <c r="A22" s="45" t="s">
        <v>284</v>
      </c>
      <c r="B22" s="46" t="s">
        <v>269</v>
      </c>
      <c r="C22" s="46" t="s">
        <v>318</v>
      </c>
      <c r="D22" s="47">
        <v>16500</v>
      </c>
    </row>
    <row r="23" spans="1:4" x14ac:dyDescent="0.3">
      <c r="A23" s="48" t="s">
        <v>284</v>
      </c>
      <c r="B23" s="49" t="s">
        <v>271</v>
      </c>
      <c r="C23" s="49" t="s">
        <v>319</v>
      </c>
      <c r="D23" s="50">
        <v>9184</v>
      </c>
    </row>
    <row r="24" spans="1:4" x14ac:dyDescent="0.3">
      <c r="A24" s="45" t="s">
        <v>284</v>
      </c>
      <c r="B24" s="46" t="s">
        <v>275</v>
      </c>
      <c r="C24" s="46" t="s">
        <v>320</v>
      </c>
      <c r="D24" s="47">
        <v>5217.41</v>
      </c>
    </row>
    <row r="25" spans="1:4" x14ac:dyDescent="0.3">
      <c r="A25" s="48" t="s">
        <v>284</v>
      </c>
      <c r="B25" s="49" t="s">
        <v>321</v>
      </c>
      <c r="C25" s="49" t="s">
        <v>322</v>
      </c>
      <c r="D25" s="50">
        <v>3615.16</v>
      </c>
    </row>
    <row r="26" spans="1:4" x14ac:dyDescent="0.3">
      <c r="A26" s="45" t="s">
        <v>284</v>
      </c>
      <c r="B26" s="46" t="s">
        <v>323</v>
      </c>
      <c r="C26" s="46" t="s">
        <v>324</v>
      </c>
      <c r="D26" s="47">
        <v>10812</v>
      </c>
    </row>
    <row r="27" spans="1:4" x14ac:dyDescent="0.3">
      <c r="A27" s="48" t="s">
        <v>284</v>
      </c>
      <c r="B27" s="49" t="s">
        <v>325</v>
      </c>
      <c r="C27" s="49" t="s">
        <v>326</v>
      </c>
      <c r="D27" s="50">
        <v>5920</v>
      </c>
    </row>
    <row r="28" spans="1:4" x14ac:dyDescent="0.3">
      <c r="A28" s="45" t="s">
        <v>284</v>
      </c>
      <c r="B28" s="46" t="s">
        <v>327</v>
      </c>
      <c r="C28" s="46" t="s">
        <v>328</v>
      </c>
      <c r="D28" s="47">
        <v>5059.99</v>
      </c>
    </row>
    <row r="29" spans="1:4" ht="15" thickBot="1" x14ac:dyDescent="0.35">
      <c r="A29" s="48" t="s">
        <v>284</v>
      </c>
      <c r="B29" s="49" t="s">
        <v>277</v>
      </c>
      <c r="C29" s="49" t="s">
        <v>329</v>
      </c>
      <c r="D29" s="50">
        <v>7399.97</v>
      </c>
    </row>
    <row r="30" spans="1:4" ht="15" thickTop="1" x14ac:dyDescent="0.3">
      <c r="A30" s="51" t="s">
        <v>2</v>
      </c>
      <c r="B30" s="52"/>
      <c r="C30" s="52"/>
      <c r="D30" s="53">
        <v>323087.9499999999</v>
      </c>
    </row>
    <row r="33" spans="3:4" x14ac:dyDescent="0.3">
      <c r="C33" s="64" t="s">
        <v>351</v>
      </c>
      <c r="D33" s="65">
        <f>D30+'ingresos investigación 2020'!B55+'Ingresos investigación 2019'!B44</f>
        <v>1109419.96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Tesis</vt:lpstr>
      <vt:lpstr>Sexenios</vt:lpstr>
      <vt:lpstr>Ingresos investigación 2019</vt:lpstr>
      <vt:lpstr>ingresos investigación 2020</vt:lpstr>
      <vt:lpstr>ingresos investigación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cp:lastPrinted>2019-07-03T07:26:29Z</cp:lastPrinted>
  <dcterms:created xsi:type="dcterms:W3CDTF">2019-07-03T07:15:54Z</dcterms:created>
  <dcterms:modified xsi:type="dcterms:W3CDTF">2022-10-18T15:55:26Z</dcterms:modified>
</cp:coreProperties>
</file>