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Institutos\"/>
    </mc:Choice>
  </mc:AlternateContent>
  <xr:revisionPtr revIDLastSave="0" documentId="13_ncr:1_{1584BA03-6AD9-438F-BF04-00926B70C27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vestigación ingresos 2021" sheetId="7" r:id="rId5"/>
  </sheets>
  <definedNames>
    <definedName name="_xlnm._FilterDatabase" localSheetId="1" hidden="1">Sexenios!$A$1:$S$12</definedName>
    <definedName name="_xlnm._FilterDatabase" localSheetId="0" hidden="1">Tesis!$A$1:$U$38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9" i="2" l="1"/>
  <c r="Q14" i="3" l="1"/>
  <c r="B24" i="5" l="1"/>
  <c r="D21" i="7" s="1"/>
</calcChain>
</file>

<file path=xl/sharedStrings.xml><?xml version="1.0" encoding="utf-8"?>
<sst xmlns="http://schemas.openxmlformats.org/spreadsheetml/2006/main" count="785" uniqueCount="235">
  <si>
    <t>Orgánica
Descripción justificante</t>
  </si>
  <si>
    <t>Importe</t>
  </si>
  <si>
    <t>Total</t>
  </si>
  <si>
    <t>40.80.6C.00.12</t>
  </si>
  <si>
    <t>40.80.6P.00.06</t>
  </si>
  <si>
    <t>40.80.6P.00.07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</si>
  <si>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</si>
  <si>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</si>
  <si>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</si>
  <si>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</si>
  <si>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</si>
  <si>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</si>
  <si>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</si>
  <si>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</si>
  <si>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</si>
  <si>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</si>
  <si>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</si>
  <si>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</si>
  <si>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</si>
  <si>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</si>
  <si>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</si>
  <si>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</si>
  <si>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</si>
  <si>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</si>
  <si>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</si>
  <si>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</si>
  <si>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</si>
  <si>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</si>
  <si>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</si>
  <si>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</si>
  <si>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U045 </t>
  </si>
  <si>
    <t>ADM. I.U. DE ELECTROQUÍMICA </t>
  </si>
  <si>
    <t>DOCTORADO EN ELECTROQUÍMICA. CIENCIA Y TECNOLOGÍA </t>
  </si>
  <si>
    <t>10.12</t>
  </si>
  <si>
    <t>Gomis Berenguer, Alicia </t>
  </si>
  <si>
    <t>PHOTOCHEMICAL RESPONSE OF NANOPOROUS CARBONS. ROLE AS CATALYSTS, PHOTOELECTRODES AND ADDITIVES TO SEMICONDUCTORS </t>
  </si>
  <si>
    <t>21/12/2016 </t>
  </si>
  <si>
    <t>Sebastián Pascual, Paula </t>
  </si>
  <si>
    <t>SURFACE INFLUENCE ON THE FIRST STAGES OF METAL ELECTRODEPOSITION IN IONIC LIQUIDS </t>
  </si>
  <si>
    <t>20/07/2018 </t>
  </si>
  <si>
    <t>U045</t>
  </si>
  <si>
    <t>ADM. I.U. DE ELECTROQUÍMICA</t>
  </si>
  <si>
    <t>DOCTORADO EN ELECTROQUÍMICA. CIENCIA Y TECNOLOGÍA</t>
  </si>
  <si>
    <t>Mendieta Reyes, Néstor Eduardo</t>
  </si>
  <si>
    <t>"ESTUDIO DE LA REDUCCIÓN DE CO2 Y LA DEGRADACIÓN SONOFOTOCATALÍTICA DE CONTAMINANTES SOBRE ÓXIDOS DE METALES DE TRANSICIÓN"</t>
  </si>
  <si>
    <t>Mendieta Reyes, Néstor Eduardo </t>
  </si>
  <si>
    <t>"ESTUDIO DE LA REDUCCIÓN DE CO2 Y LA DEGRADACIÓN SONOFOTOCATALÍTICA DE CONTAMINANTES SOBRE ÓXIDOS DE METALES DE TRANSICIÓN" </t>
  </si>
  <si>
    <t>27/09/2018 </t>
  </si>
  <si>
    <t>Martínez Rodríguez, Roberto Alexis </t>
  </si>
  <si>
    <t>SYNTHESIS AND ELECTROCHEMICAL BEHAVIOR OF SHAPE-CONTROLLED PT NANOPARTICLES SYNTHESIZED USING WATER IN OIL MICROEMULSION IN ACID AQUEOUS PHASE FOR AMMONIA OXIDATION </t>
  </si>
  <si>
    <t>19/07/2019 </t>
  </si>
  <si>
    <t>Montiel López, Miguel Angel </t>
  </si>
  <si>
    <t>CONSIDERACIONES EXPERIMENTALES RELEVANTES PARA LOS ESTUDIOS DE ELECTROCATÁLISIS EN LÍQUIDOS IÓNICOS </t>
  </si>
  <si>
    <t>25/01/2019 </t>
  </si>
  <si>
    <t>U052 </t>
  </si>
  <si>
    <t>ADM. I.U. DE MATERIALES </t>
  </si>
  <si>
    <t>DOCTORADO EN CIENCIA DE MATERIALES </t>
  </si>
  <si>
    <t>50</t>
  </si>
  <si>
    <t>ZZ </t>
  </si>
  <si>
    <t>SIN ASIGNAR </t>
  </si>
  <si>
    <t>11/07/2017 </t>
  </si>
  <si>
    <t>14/12/2018 </t>
  </si>
  <si>
    <t>33330450T </t>
  </si>
  <si>
    <t>100</t>
  </si>
  <si>
    <t>21372220E </t>
  </si>
  <si>
    <t>B128 </t>
  </si>
  <si>
    <t>QUÍMICA FÍSICA </t>
  </si>
  <si>
    <t>B128</t>
  </si>
  <si>
    <t>33443060W </t>
  </si>
  <si>
    <t>22008840W </t>
  </si>
  <si>
    <t>21434493B </t>
  </si>
  <si>
    <t>21444057F </t>
  </si>
  <si>
    <t>21483642D </t>
  </si>
  <si>
    <t>21470777R </t>
  </si>
  <si>
    <t>Cheuquepan Valenzuela, William </t>
  </si>
  <si>
    <t>ESTUDIO ESPECTROELECTROQUÍMICO DE LA ADSORCIÓN Y REACTIVIDAD DE DERIVADOS DE LA UREA Y COMPUESTOS RELACIONADOS SOBRE ELECTRODOS DE ORO NANOESTRUCTURADOS </t>
  </si>
  <si>
    <t>21444744G </t>
  </si>
  <si>
    <t>Chumillas Lidón, Sara </t>
  </si>
  <si>
    <t>ENZYMATIC BIOELECTROCATALYSIS ON WELL-DEFINED ELECTRODE SURFACE </t>
  </si>
  <si>
    <t>17/07/2017 </t>
  </si>
  <si>
    <t>21511645K </t>
  </si>
  <si>
    <t>Díaz García, Ana Korina </t>
  </si>
  <si>
    <t>CÉLULAS TÁNDEM FOTOELECTROQUÍMICAS PARA LA GENERACIÓN DE HIDRÓGENO Y OTROS COMBUSTIBLES SOLARES </t>
  </si>
  <si>
    <t>25/09/2017 </t>
  </si>
  <si>
    <t xml:space="preserve">22008840W </t>
  </si>
  <si>
    <t xml:space="preserve">B128 </t>
  </si>
  <si>
    <t>Díez García, María Isabel </t>
  </si>
  <si>
    <t>PREPARATION AND STUDY OT TERNARY METAL OXIDE PHOTOCATHODES FOR SOLAR ENERGY CONVERSION </t>
  </si>
  <si>
    <t>17/01/2018 </t>
  </si>
  <si>
    <t>Navarro Brull, Francisco José </t>
  </si>
  <si>
    <t>MODELING, SIMULATION AND OPTIMIZATION OF MULTIPHASE MICROPACKED.BED REACTORS AND CAPILLARY SONOREACTORS </t>
  </si>
  <si>
    <t>20/09/2018 </t>
  </si>
  <si>
    <t>Hernández Ibáñez, Naiara </t>
  </si>
  <si>
    <t>EXPLORATION OF NOVEL MATERIALS IN (BIO)ELECTROCATALYSIS: SENSING IN COMPLEX MEDIA AND BIOCATHODES FOR THE CO2 REDUCTION </t>
  </si>
  <si>
    <t>Ruiz Martínez, Debora </t>
  </si>
  <si>
    <t>ESTUDIO DE NUEVOS ELECTROLITOS INORGÁNICOS PARA SU USO EN BATERÍAS RECARGABLES BASADAS EN SODIO </t>
  </si>
  <si>
    <t>17/01/2019 </t>
  </si>
  <si>
    <t>Martínez Hincapié, Ricardo Alonso </t>
  </si>
  <si>
    <t>EFECTO DEL PH EN LA ESTRUCTURA DE LA DOBLE CAPA ELÉCTRICA Y SU INFLUENCIA EN REACTIVIDAD ELECTROQUÍMICA </t>
  </si>
  <si>
    <t>30/05/2019 </t>
  </si>
  <si>
    <t>Cots Segura, Ainhoa </t>
  </si>
  <si>
    <t>DEVELOPMENT OF HEMATITE AND CUPRIC OXIDE PHOTOELECTRODES FOR WATER SPLITTING TANDEM CELLS </t>
  </si>
  <si>
    <t>13/09/2019 </t>
  </si>
  <si>
    <t>22003613L </t>
  </si>
  <si>
    <t>Cibrev ., Dejan </t>
  </si>
  <si>
    <t>PHOTOELECTROCATALYTIC AND PHOTOELECTROCHROMIC PROPERTIES OF COMPOSITE NANOSTRUCTURED METAL OXIDE FILMS </t>
  </si>
  <si>
    <t>25/09/2019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</si>
  <si>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</si>
  <si>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</si>
  <si>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</si>
  <si>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</si>
  <si>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</si>
  <si>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</si>
  <si>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</si>
  <si>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</si>
  <si>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</si>
  <si>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</si>
  <si>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</si>
  <si>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</si>
  <si>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</si>
  <si>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22003613L</t>
  </si>
  <si>
    <t>BONETE FERRANDEZ, PEDRO LUIS</t>
  </si>
  <si>
    <t>21511645K</t>
  </si>
  <si>
    <t>CLIMENT PAYA, VICTOR JOSE</t>
  </si>
  <si>
    <t>22008840W</t>
  </si>
  <si>
    <t>GOMEZ TORREGROSA, ROBERTO</t>
  </si>
  <si>
    <t>21470777R</t>
  </si>
  <si>
    <t>HERRERO RODRIGUEZ, ENRIQUE</t>
  </si>
  <si>
    <t>21483642D</t>
  </si>
  <si>
    <t>INIESTA VALCARCEL, JESUS</t>
  </si>
  <si>
    <t>33443060W</t>
  </si>
  <si>
    <t>LANA VILLARREAL, TERESA</t>
  </si>
  <si>
    <t>21434493B</t>
  </si>
  <si>
    <t>MONTIEL LEGUEY, VICENTE</t>
  </si>
  <si>
    <t>21444744G</t>
  </si>
  <si>
    <t>ORTS MATEO, JOSE MANUEL</t>
  </si>
  <si>
    <t>21444057F</t>
  </si>
  <si>
    <t>RODES GARCIA, ANTONIO</t>
  </si>
  <si>
    <t>SEGUNDO PAGO A LA FINALIZACIÓN DEL CONTRATO QUIMICANALON 2-18TPA</t>
  </si>
  <si>
    <t>40.80.6C.00.16</t>
  </si>
  <si>
    <t>PRIMER PAGO NÚMERO DE PEDIDO: 56080047 SUN2HY</t>
  </si>
  <si>
    <t>SEGUNDA PARTE DEL PRIMER PAGO TRAS EL INICIO DEL CONTRATO DEL PROYECTO DE I+D SUN2HY NÚMERO DE PEDIDO 56080047</t>
  </si>
  <si>
    <t xml:space="preserve">TERCER PAGO DEL CONTRATO DEL PROYECTO DE I+D SUN2HY NÚMERO DE PEDIDO 56080047 </t>
  </si>
  <si>
    <t>40.80.6C.00.17</t>
  </si>
  <si>
    <t>PAGO POR FINALIZACIÓN DE LA PRESTACIÓN DEL PROYECTO RSEQ1-19TPA. ACTUALIZACIÓN WEB GRUPO ELECTROQUÍMICA DE LA RSEQ</t>
  </si>
  <si>
    <t>40.80.6C.00.18</t>
  </si>
  <si>
    <t>PAGO POR FINALIZACIÓN DE LA PRESTACIÓN DEL PROYECTO RSEQ2-19TPA</t>
  </si>
  <si>
    <t>LIBERADOS 23/05/2019, ANUALIDAD 2019 PROYECTOS I+D RETOS (PIA 13) N EXPEDIENTE: PIA132016-1-4 ANUALIDAD REFERENCIA: CTQ2016-76231 -C2-2-R. REF. DEL ORDENANTE PARA EL BENEFICIARIO: 27402219310019338.</t>
  </si>
  <si>
    <t>LIBERADOS EL 23/04/2019, ANUALIDAD 2019 PROYECTOS I+D (PIA1) N EXPEDIENTE: PIA12016-1 - 4 ANUALIDAD REFERENCIA: CTQ2016-76221-P. REF. DEL ORDENANTE PARA EL BENEFICIARIO: 27402219310018243.</t>
  </si>
  <si>
    <t>REINTEGRO CUOTA PATRONAL CORRESPONDIENTE AL MES DE DICIEMBRE DE 2019.</t>
  </si>
  <si>
    <t>40.80.6S.00.01</t>
  </si>
  <si>
    <t>Reintegro de cuota patronal correspondiente al mes de junio 2019</t>
  </si>
  <si>
    <t>40.80.6S.00.04</t>
  </si>
  <si>
    <t>Reintegro de cuota patronal por IT del mes de marzo 2019</t>
  </si>
  <si>
    <t>40.80.6X.00.02</t>
  </si>
  <si>
    <t>LIBERATE. LA OFICINA DE GESTIÓN DE PROYECTOS INTERNACIONALES INFORMA QUE SE TRATA DEL PRIMER INGRESO DEL PROYECTO LIBERATE. DEPARTAMENTO DE QUÍMICA FÍSICA.</t>
  </si>
  <si>
    <t>LIBERATE. LA OFICINA DE GESTIÓN DE PROYECTOS INTERNACIONALES INFORMA QUE SE TRATA DEL SEGUNDO INGRESO DEL PROYECTO LIBERATE. DEPARTAMENTO QUÍMICA FÍSICA.</t>
  </si>
  <si>
    <t>Sanjuán Moltó, Ignacio </t>
  </si>
  <si>
    <t>"Treatment of the reject water from an Electrodialysis Reversal plant by electrochemical methods" </t>
  </si>
  <si>
    <t>28/07/2020 </t>
  </si>
  <si>
    <t>Boronat González, Ana </t>
  </si>
  <si>
    <t>EFECTOS DE LA ESTRUCTURA SUPERFICIAL EN REACCIONES ASOCIADAS A PILAS DE COMBUSTIBLE </t>
  </si>
  <si>
    <t>14/02/2020 </t>
  </si>
  <si>
    <t>Briega Martos, Valentín </t>
  </si>
  <si>
    <t>Unraveling the oxygen reduction reaction mechanism: occurrence of a bifurcation point before hydrogen peroxide formation </t>
  </si>
  <si>
    <t>25/10/2019 </t>
  </si>
  <si>
    <t>COD DEP</t>
  </si>
  <si>
    <t>NO FUNCIONARIO</t>
  </si>
  <si>
    <t>33330450T</t>
  </si>
  <si>
    <t>SOLLA GULLON, JOSE</t>
  </si>
  <si>
    <t>Quiñonero Aliaga, Javier </t>
  </si>
  <si>
    <t>"Improving the photoelectrochemical activity of photoelectrodes through Surface engineering: systematic electrocatalysis and co-catalysis studies¿. </t>
  </si>
  <si>
    <t>16/12/2020 </t>
  </si>
  <si>
    <t>Sarabia Gambín, Francisco José </t>
  </si>
  <si>
    <t>Interfacial studies of Pt and Cu single-crystal electrodes modified by transition metal deposition </t>
  </si>
  <si>
    <t>05/02/2021 </t>
  </si>
  <si>
    <t>48319565S </t>
  </si>
  <si>
    <t>48315044W </t>
  </si>
  <si>
    <t>- </t>
  </si>
  <si>
    <t>30801600T </t>
  </si>
  <si>
    <t>CUARTO PAGO DEL CONTRATO DEL PROYECTO DE I+D SUN2HY. NÚMERO DE PEDIDO 56080047 REPSOL2-19I</t>
  </si>
  <si>
    <t>40.80.6C.00.19</t>
  </si>
  <si>
    <t>First payment: 45 % of the total amount "NEW COMPONENTS LITHIUM-SULFUR BATTERIES"</t>
  </si>
  <si>
    <t>40.80.6C.00.20</t>
  </si>
  <si>
    <t>DISEÑO DE BANCO DE PRUEBAS QUE CORRESPONDE A SU PEDIDO NÚMERO 56095964</t>
  </si>
  <si>
    <t>40.80.6H.00.02</t>
  </si>
  <si>
    <t>PAGO SEGUNDA ANUALIDAD PROMOCION EMPLEO JOVEN (PEJ-) N EXPEDIENTE: PEJ-2018-1 - 2 ANUALIDAD REFERENCIA: PEJ2018-002571-P - ACTUACION: PEJ2</t>
  </si>
  <si>
    <t xml:space="preserve">PROMOCIÓN EMPLEO JOVEN (PEJ-)N EXPEDIENTE:PEJ-20 18-1 -1 ANUALIDAD REFERENCIAS: PEJ2018-005099-A/PEJ2018-004471-A/PEJ2018-002736-A/PEJ2018-002571-A/PEJ2018-001733-A/ PEJ2018-003063-A/PEJ2018-002648-A       </t>
  </si>
  <si>
    <t>REINTEGRO CUOTA PATRONAL CORRESPONDIENTE A SEPTIEMBRE DE 2020.</t>
  </si>
  <si>
    <t>Reintegro de cuota patronal de ejercicio cerrado por duplicado del mes de octubre de 2019. Francisco José Sarabia Gambin</t>
  </si>
  <si>
    <t>40.80.6P.00.15</t>
  </si>
  <si>
    <t>RAMON Y CAJAL N EXPEDIENTE: RYC-2018-1 - 1 ANUALIDAD REFERENCIA: RYC2018-023888-I</t>
  </si>
  <si>
    <t>40.80.6P.00.16</t>
  </si>
  <si>
    <t>CDEIGENT 2019 ANUALIDAD 2020RESOL DGCI 23/12/2019 (INNOVACIÓN,UNIVERSIDADES,CIENCIA SOC.DIG)</t>
  </si>
  <si>
    <t>40.80.6P.00.17</t>
  </si>
  <si>
    <t>RESOLUCIÓN CONCESIÓN SUBVENCIONES DEL PROGRAMA PROMETEO 2020 (INNOVACIÓN,UNIVERSIDADES,CIENCIA SOC.DIG)</t>
  </si>
  <si>
    <t>40.80.6P.00.18</t>
  </si>
  <si>
    <t>PAGO CONVOVATORIA PROYECTOS 2019 ANUALIDAD 2020 PROYECTOS I+D (PIA1) EXPEDIENTE PIA12019-1-1 ANUALIDAD REFERENCIA: PID2019-105653G</t>
  </si>
  <si>
    <t>40.80.6P.00.19</t>
  </si>
  <si>
    <t xml:space="preserve">PAGO CONVOCATORIA PROYECTOS 2019 1ANUALIDAD 2020 PROYECTOS I+D (PIA 1)N EXPEDIENTE: PIA 1 2019-1-1. ANUALIDAD REFERENCIA: PID2019-108136RB-C32 </t>
  </si>
  <si>
    <t>Unidad</t>
  </si>
  <si>
    <t>Cód. org. aplic.</t>
  </si>
  <si>
    <t>Descripción justificante</t>
  </si>
  <si>
    <t>40.80</t>
  </si>
  <si>
    <t>QUINTO PAGO DEL CONTRATO DEL PROYECTO DE I+D SUN2HY. NÚMERO DE PEDIDO 56080047</t>
  </si>
  <si>
    <t>Second payment: 30% of the total amount "NEW COMPONENTS LITHIUM-SULFUR BATTERIES"</t>
  </si>
  <si>
    <t>40.80.6C.00.21</t>
  </si>
  <si>
    <t>SEGUNDO PAGO TRAS FINALIZACIÓN DE CONTRATO PROYECTO CERIOX. NÚMERO DE PEDIDO 6005231</t>
  </si>
  <si>
    <t>PRIMER PAGO A LA FIRMA DEL CONTRATO. NÚMERO DE PEDIDO:  6004303</t>
  </si>
  <si>
    <t>40.80.6C.00.22</t>
  </si>
  <si>
    <t>LABORES DE SUPERVISIÓN, CONTROL, ACTUALIZACIÓN Y MANTENIMIENTO DE LA WEB DEL GRUPO DE ELECTROQUÍMICA DE LA REAL SOCIEDAD ESPAÑOLA DE QUÍMICA (RSEQ) - AÑO 2020</t>
  </si>
  <si>
    <t>40.80.6C.00.23</t>
  </si>
  <si>
    <t>REALIZACIÓN DE LABORES DE SUPERVISIÓN, CONTROL, ACTUALIZACIÓN Y MANTENIMIENTO DE LA WEB DE LA SECCIÓN TERRITORIAL DE ALICANTE DE LA REAL SOCIEDAD ESPAÑOLA DE QUÍMICA</t>
  </si>
  <si>
    <t>40.80.6C.00.24</t>
  </si>
  <si>
    <t>MECHANISTIC INSIGHTS INTRO ELECTROCATALYTIC REACTIONS ON WELL-DEFINED BIMETALLIC SURFACES. MPI1-21Y</t>
  </si>
  <si>
    <t>40.80.6C.00.25</t>
  </si>
  <si>
    <t>PRIMER PAGO CONTRATO ASISTENCIA CIENTÍFICO-TÉCNICA COMPLEMENTARIO AL CONTRATO PROYECTO CERIOX (PEDIDO Nº 6005879)</t>
  </si>
  <si>
    <t>PEJ2018-002571-P ACTUACIÓN. PEJ2018-02571. 2 ANUALIDAD COVID PROMOCIÓN EMPLEO JOVEN</t>
  </si>
  <si>
    <t>RYC2018-023888-I RYC-2018-1 -2 ANUALIDAD RAMON Y CAJAL</t>
  </si>
  <si>
    <t>CDEIGENT 2019 ANUALIDAD 2021RESOLUCION DGCI 23/12/2019 (INNOVACIÓN,UNIVERSIDADES,CIENCIA SOC.DIG)</t>
  </si>
  <si>
    <t>PROMETEO 2020 EN 2021 (INNOVACIÓN,UNIVERSIDADES,CIENCIA SOC.DIG)</t>
  </si>
  <si>
    <t>PID2019-105653GB-I00</t>
  </si>
  <si>
    <t xml:space="preserve">PID2019-108136RB-C32 </t>
  </si>
  <si>
    <t>40.80.6P.00.22</t>
  </si>
  <si>
    <t>PLEC2021-007779 PEPLE21-1 1 ANUALIDAD PAGO ANUALIDAD 2021 PROYECTOS LÍNEAS ESTRATÉGICAS COLABORACIÓN (PE)</t>
  </si>
  <si>
    <t xml:space="preserve">REINTEGRO CUOTA PATRONAL CORRESPONDIENTE A DICIEMBRE DE 2021. </t>
  </si>
  <si>
    <t>Total ingresos formación 2019, 2020 y 2021</t>
  </si>
  <si>
    <t>48570418F</t>
  </si>
  <si>
    <t>GUIJARRO CARRATALA, NESTOR</t>
  </si>
  <si>
    <t>74370842C</t>
  </si>
  <si>
    <t>ARAN AIS, ROSA MARIA</t>
  </si>
  <si>
    <t>c</t>
  </si>
  <si>
    <t>28/06/2022 </t>
  </si>
  <si>
    <t>Miralles Gómez, Carmen </t>
  </si>
  <si>
    <t>Materiales basados en óxidos de manganeso para baterías multivalentes recargables de magnesio y calcio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</si>
</sst>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 textRotation="90" wrapText="1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3" fillId="0" borderId="1" xfId="1" applyBorder="1"/>
    <xf numFmtId="0" fontId="11" fillId="0" borderId="6" xfId="0" applyFont="1" applyBorder="1" applyAlignment="1">
      <alignment horizontal="left"/>
    </xf>
    <xf numFmtId="0" fontId="11" fillId="0" borderId="6" xfId="0" applyFont="1" applyBorder="1"/>
    <xf numFmtId="0" fontId="0" fillId="0" borderId="0" xfId="0" applyAlignment="1">
      <alignment horizontal="left" indent="1"/>
    </xf>
    <xf numFmtId="0" fontId="11" fillId="7" borderId="7" xfId="0" applyFont="1" applyFill="1" applyBorder="1" applyAlignment="1">
      <alignment horizontal="left"/>
    </xf>
    <xf numFmtId="0" fontId="11" fillId="7" borderId="7" xfId="0" applyFont="1" applyFill="1" applyBorder="1"/>
    <xf numFmtId="0" fontId="13" fillId="8" borderId="8" xfId="0" applyNumberFormat="1" applyFont="1" applyFill="1" applyBorder="1"/>
    <xf numFmtId="0" fontId="13" fillId="8" borderId="9" xfId="0" applyNumberFormat="1" applyFont="1" applyFill="1" applyBorder="1"/>
    <xf numFmtId="0" fontId="13" fillId="8" borderId="10" xfId="0" applyFont="1" applyFill="1" applyBorder="1" applyAlignment="1">
      <alignment horizontal="right"/>
    </xf>
    <xf numFmtId="0" fontId="0" fillId="9" borderId="11" xfId="0" applyNumberFormat="1" applyFont="1" applyFill="1" applyBorder="1"/>
    <xf numFmtId="0" fontId="0" fillId="9" borderId="12" xfId="0" applyFont="1" applyFill="1" applyBorder="1"/>
    <xf numFmtId="4" fontId="0" fillId="9" borderId="13" xfId="0" applyNumberFormat="1" applyFont="1" applyFill="1" applyBorder="1"/>
    <xf numFmtId="0" fontId="0" fillId="7" borderId="11" xfId="0" applyNumberFormat="1" applyFont="1" applyFill="1" applyBorder="1"/>
    <xf numFmtId="0" fontId="0" fillId="7" borderId="12" xfId="0" applyFont="1" applyFill="1" applyBorder="1"/>
    <xf numFmtId="4" fontId="0" fillId="7" borderId="13" xfId="0" applyNumberFormat="1" applyFont="1" applyFill="1" applyBorder="1"/>
    <xf numFmtId="0" fontId="13" fillId="8" borderId="14" xfId="0" applyFont="1" applyFill="1" applyBorder="1"/>
    <xf numFmtId="0" fontId="13" fillId="8" borderId="15" xfId="0" applyFont="1" applyFill="1" applyBorder="1"/>
    <xf numFmtId="4" fontId="13" fillId="8" borderId="16" xfId="0" applyNumberFormat="1" applyFont="1" applyFill="1" applyBorder="1"/>
    <xf numFmtId="0" fontId="0" fillId="0" borderId="1" xfId="0" applyBorder="1" applyAlignment="1">
      <alignment horizontal="left"/>
    </xf>
    <xf numFmtId="14" fontId="3" fillId="4" borderId="1" xfId="1" applyNumberFormat="1" applyFill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4" borderId="17" xfId="1" applyFill="1" applyBorder="1"/>
    <xf numFmtId="164" fontId="3" fillId="10" borderId="1" xfId="1" applyNumberFormat="1" applyFill="1" applyBorder="1"/>
    <xf numFmtId="164" fontId="3" fillId="10" borderId="2" xfId="1" applyNumberFormat="1" applyFill="1" applyBorder="1"/>
    <xf numFmtId="0" fontId="3" fillId="10" borderId="1" xfId="1" applyFill="1" applyBorder="1"/>
    <xf numFmtId="0" fontId="11" fillId="10" borderId="19" xfId="5" applyFont="1" applyFill="1" applyBorder="1"/>
    <xf numFmtId="0" fontId="14" fillId="10" borderId="1" xfId="0" applyFont="1" applyFill="1" applyBorder="1" applyAlignment="1">
      <alignment horizontal="right"/>
    </xf>
    <xf numFmtId="4" fontId="14" fillId="10" borderId="1" xfId="0" applyNumberFormat="1" applyFont="1" applyFill="1" applyBorder="1"/>
    <xf numFmtId="164" fontId="3" fillId="10" borderId="18" xfId="1" applyNumberFormat="1" applyFont="1" applyFill="1" applyBorder="1" applyAlignment="1">
      <alignment horizontal="center"/>
    </xf>
    <xf numFmtId="0" fontId="3" fillId="10" borderId="18" xfId="1" applyFont="1" applyFill="1" applyBorder="1" applyAlignment="1">
      <alignment horizontal="center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9"/>
  <sheetViews>
    <sheetView showGridLines="0" tabSelected="1" topLeftCell="E16" zoomScale="120" zoomScaleNormal="120" workbookViewId="0">
      <selection activeCell="S39" sqref="S39:T39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5.33203125" style="14" customWidth="1"/>
    <col min="14" max="14" width="4.88671875" style="13" customWidth="1"/>
    <col min="15" max="15" width="5.33203125" style="14" customWidth="1"/>
    <col min="16" max="16" width="4.88671875" style="13" customWidth="1"/>
    <col min="17" max="17" width="3.5546875" style="14" customWidth="1"/>
    <col min="18" max="18" width="7.109375" style="13" bestFit="1" customWidth="1"/>
    <col min="19" max="21" width="5.109375" style="13" customWidth="1"/>
    <col min="22" max="16384" width="10.33203125" style="13"/>
  </cols>
  <sheetData>
    <row r="1" spans="1:21" ht="45" x14ac:dyDescent="0.2">
      <c r="A1" s="8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8" t="s">
        <v>14</v>
      </c>
      <c r="J1" s="9" t="s">
        <v>15</v>
      </c>
      <c r="K1" s="8" t="s">
        <v>16</v>
      </c>
      <c r="L1" s="9" t="s">
        <v>17</v>
      </c>
      <c r="M1" s="10" t="s">
        <v>18</v>
      </c>
      <c r="N1" s="11" t="s">
        <v>19</v>
      </c>
      <c r="O1" s="12" t="s">
        <v>20</v>
      </c>
      <c r="P1" s="11" t="s">
        <v>21</v>
      </c>
      <c r="Q1" s="12" t="s">
        <v>22</v>
      </c>
      <c r="R1" s="11" t="s">
        <v>23</v>
      </c>
      <c r="S1" s="11" t="s">
        <v>24</v>
      </c>
      <c r="T1" s="11" t="s">
        <v>25</v>
      </c>
      <c r="U1" s="11" t="s">
        <v>26</v>
      </c>
    </row>
    <row r="2" spans="1:21" x14ac:dyDescent="0.2">
      <c r="A2" s="25" t="s">
        <v>30</v>
      </c>
      <c r="B2" s="25" t="s">
        <v>31</v>
      </c>
      <c r="C2" s="25" t="s">
        <v>32</v>
      </c>
      <c r="D2" s="25" t="s">
        <v>34</v>
      </c>
      <c r="E2" s="25" t="s">
        <v>35</v>
      </c>
      <c r="F2" s="25" t="s">
        <v>231</v>
      </c>
      <c r="G2" s="25" t="s">
        <v>72</v>
      </c>
      <c r="H2" s="25" t="s">
        <v>27</v>
      </c>
      <c r="I2" s="25" t="s">
        <v>65</v>
      </c>
      <c r="J2" s="25" t="s">
        <v>66</v>
      </c>
      <c r="K2" s="28">
        <v>0.5</v>
      </c>
      <c r="L2" s="25" t="s">
        <v>67</v>
      </c>
      <c r="M2" s="25">
        <v>2016</v>
      </c>
      <c r="N2" s="25" t="s">
        <v>33</v>
      </c>
      <c r="O2" s="26" t="s">
        <v>57</v>
      </c>
      <c r="P2" s="25" t="s">
        <v>28</v>
      </c>
      <c r="Q2" s="26" t="s">
        <v>28</v>
      </c>
      <c r="R2" s="27">
        <v>50</v>
      </c>
      <c r="S2" s="28">
        <v>0.25</v>
      </c>
      <c r="T2" s="60">
        <v>0.25</v>
      </c>
      <c r="U2" s="28">
        <v>0</v>
      </c>
    </row>
    <row r="3" spans="1:21" x14ac:dyDescent="0.2">
      <c r="A3" s="25" t="s">
        <v>30</v>
      </c>
      <c r="B3" s="25" t="s">
        <v>31</v>
      </c>
      <c r="C3" s="25" t="s">
        <v>32</v>
      </c>
      <c r="D3" s="25" t="s">
        <v>74</v>
      </c>
      <c r="E3" s="25" t="s">
        <v>75</v>
      </c>
      <c r="F3" s="25" t="s">
        <v>60</v>
      </c>
      <c r="G3" s="25" t="s">
        <v>76</v>
      </c>
      <c r="H3" s="25" t="s">
        <v>27</v>
      </c>
      <c r="I3" s="25" t="s">
        <v>65</v>
      </c>
      <c r="J3" s="25" t="s">
        <v>66</v>
      </c>
      <c r="K3" s="28">
        <v>0.5</v>
      </c>
      <c r="L3" s="25" t="s">
        <v>67</v>
      </c>
      <c r="M3" s="25">
        <v>2016</v>
      </c>
      <c r="N3" s="25" t="s">
        <v>33</v>
      </c>
      <c r="O3" s="26" t="s">
        <v>57</v>
      </c>
      <c r="P3" s="25" t="s">
        <v>28</v>
      </c>
      <c r="Q3" s="26" t="s">
        <v>28</v>
      </c>
      <c r="R3" s="27">
        <v>50</v>
      </c>
      <c r="S3" s="28">
        <v>0.25</v>
      </c>
      <c r="T3" s="60">
        <v>0.25</v>
      </c>
      <c r="U3" s="28">
        <v>0</v>
      </c>
    </row>
    <row r="4" spans="1:21" x14ac:dyDescent="0.2">
      <c r="A4" s="25" t="s">
        <v>30</v>
      </c>
      <c r="B4" s="25" t="s">
        <v>31</v>
      </c>
      <c r="C4" s="25" t="s">
        <v>32</v>
      </c>
      <c r="D4" s="25" t="s">
        <v>74</v>
      </c>
      <c r="E4" s="25" t="s">
        <v>75</v>
      </c>
      <c r="F4" s="25" t="s">
        <v>60</v>
      </c>
      <c r="G4" s="25" t="s">
        <v>71</v>
      </c>
      <c r="H4" s="25" t="s">
        <v>27</v>
      </c>
      <c r="I4" s="25" t="s">
        <v>65</v>
      </c>
      <c r="J4" s="25" t="s">
        <v>66</v>
      </c>
      <c r="K4" s="28">
        <v>0.5</v>
      </c>
      <c r="L4" s="25" t="s">
        <v>67</v>
      </c>
      <c r="M4" s="25">
        <v>2016</v>
      </c>
      <c r="N4" s="25" t="s">
        <v>33</v>
      </c>
      <c r="O4" s="26" t="s">
        <v>57</v>
      </c>
      <c r="P4" s="25" t="s">
        <v>28</v>
      </c>
      <c r="Q4" s="26" t="s">
        <v>28</v>
      </c>
      <c r="R4" s="27">
        <v>50</v>
      </c>
      <c r="S4" s="28">
        <v>0.25</v>
      </c>
      <c r="T4" s="60">
        <v>0.25</v>
      </c>
      <c r="U4" s="28">
        <v>0</v>
      </c>
    </row>
    <row r="5" spans="1:21" x14ac:dyDescent="0.2">
      <c r="A5" s="25" t="s">
        <v>30</v>
      </c>
      <c r="B5" s="25" t="s">
        <v>31</v>
      </c>
      <c r="C5" s="25" t="s">
        <v>32</v>
      </c>
      <c r="D5" s="25" t="s">
        <v>77</v>
      </c>
      <c r="E5" s="25" t="s">
        <v>78</v>
      </c>
      <c r="F5" s="25" t="s">
        <v>79</v>
      </c>
      <c r="G5" s="25" t="s">
        <v>80</v>
      </c>
      <c r="H5" s="25" t="s">
        <v>27</v>
      </c>
      <c r="I5" s="25" t="s">
        <v>65</v>
      </c>
      <c r="J5" s="25" t="s">
        <v>66</v>
      </c>
      <c r="K5" s="28">
        <v>0.5</v>
      </c>
      <c r="L5" s="25" t="s">
        <v>67</v>
      </c>
      <c r="M5" s="25">
        <v>2016</v>
      </c>
      <c r="N5" s="25" t="s">
        <v>33</v>
      </c>
      <c r="O5" s="26" t="s">
        <v>57</v>
      </c>
      <c r="P5" s="25" t="s">
        <v>28</v>
      </c>
      <c r="Q5" s="26" t="s">
        <v>28</v>
      </c>
      <c r="R5" s="27">
        <v>50</v>
      </c>
      <c r="S5" s="28">
        <v>0.25</v>
      </c>
      <c r="T5" s="60">
        <v>0.25</v>
      </c>
      <c r="U5" s="28">
        <v>0</v>
      </c>
    </row>
    <row r="6" spans="1:21" x14ac:dyDescent="0.2">
      <c r="A6" s="25" t="s">
        <v>30</v>
      </c>
      <c r="B6" s="25" t="s">
        <v>31</v>
      </c>
      <c r="C6" s="25" t="s">
        <v>32</v>
      </c>
      <c r="D6" s="25" t="s">
        <v>77</v>
      </c>
      <c r="E6" s="25" t="s">
        <v>78</v>
      </c>
      <c r="F6" s="25" t="s">
        <v>79</v>
      </c>
      <c r="G6" s="25" t="s">
        <v>64</v>
      </c>
      <c r="H6" s="25" t="s">
        <v>27</v>
      </c>
      <c r="I6" s="25" t="s">
        <v>65</v>
      </c>
      <c r="J6" s="25" t="s">
        <v>66</v>
      </c>
      <c r="K6" s="28">
        <v>0.5</v>
      </c>
      <c r="L6" s="25" t="s">
        <v>67</v>
      </c>
      <c r="M6" s="25">
        <v>2016</v>
      </c>
      <c r="N6" s="25" t="s">
        <v>33</v>
      </c>
      <c r="O6" s="26" t="s">
        <v>57</v>
      </c>
      <c r="P6" s="25" t="s">
        <v>28</v>
      </c>
      <c r="Q6" s="26" t="s">
        <v>28</v>
      </c>
      <c r="R6" s="27">
        <v>50</v>
      </c>
      <c r="S6" s="28">
        <v>0.25</v>
      </c>
      <c r="T6" s="60">
        <v>0.25</v>
      </c>
      <c r="U6" s="28">
        <v>0</v>
      </c>
    </row>
    <row r="7" spans="1:21" x14ac:dyDescent="0.2">
      <c r="A7" s="25" t="s">
        <v>54</v>
      </c>
      <c r="B7" s="25" t="s">
        <v>55</v>
      </c>
      <c r="C7" s="25" t="s">
        <v>56</v>
      </c>
      <c r="D7" s="25" t="s">
        <v>81</v>
      </c>
      <c r="E7" s="25" t="s">
        <v>82</v>
      </c>
      <c r="F7" s="25" t="s">
        <v>83</v>
      </c>
      <c r="G7" s="25" t="s">
        <v>69</v>
      </c>
      <c r="H7" s="25" t="s">
        <v>29</v>
      </c>
      <c r="I7" s="25" t="s">
        <v>65</v>
      </c>
      <c r="J7" s="25" t="s">
        <v>66</v>
      </c>
      <c r="K7" s="28">
        <v>1</v>
      </c>
      <c r="L7" s="25" t="s">
        <v>67</v>
      </c>
      <c r="M7" s="25">
        <v>2016</v>
      </c>
      <c r="N7" s="25" t="s">
        <v>33</v>
      </c>
      <c r="O7" s="26" t="s">
        <v>57</v>
      </c>
      <c r="P7" s="25" t="s">
        <v>28</v>
      </c>
      <c r="Q7" s="26" t="s">
        <v>28</v>
      </c>
      <c r="R7" s="27">
        <v>50</v>
      </c>
      <c r="S7" s="28">
        <v>0.5</v>
      </c>
      <c r="T7" s="60">
        <v>0.5</v>
      </c>
      <c r="U7" s="28">
        <v>0</v>
      </c>
    </row>
    <row r="8" spans="1:21" x14ac:dyDescent="0.2">
      <c r="A8" s="25" t="s">
        <v>30</v>
      </c>
      <c r="B8" s="25" t="s">
        <v>31</v>
      </c>
      <c r="C8" s="25" t="s">
        <v>32</v>
      </c>
      <c r="D8" s="25" t="s">
        <v>37</v>
      </c>
      <c r="E8" s="25" t="s">
        <v>38</v>
      </c>
      <c r="F8" s="25" t="s">
        <v>39</v>
      </c>
      <c r="G8" s="25" t="s">
        <v>64</v>
      </c>
      <c r="H8" s="25" t="s">
        <v>27</v>
      </c>
      <c r="I8" s="25" t="s">
        <v>65</v>
      </c>
      <c r="J8" s="25" t="s">
        <v>66</v>
      </c>
      <c r="K8" s="28">
        <v>0.5</v>
      </c>
      <c r="L8" s="25" t="s">
        <v>67</v>
      </c>
      <c r="M8" s="25">
        <v>2017</v>
      </c>
      <c r="N8" s="25" t="s">
        <v>33</v>
      </c>
      <c r="O8" s="26" t="s">
        <v>57</v>
      </c>
      <c r="P8" s="25" t="s">
        <v>28</v>
      </c>
      <c r="Q8" s="26" t="s">
        <v>28</v>
      </c>
      <c r="R8" s="27">
        <v>50</v>
      </c>
      <c r="S8" s="28">
        <v>0.25</v>
      </c>
      <c r="T8" s="60">
        <v>0.25</v>
      </c>
      <c r="U8" s="28">
        <v>0</v>
      </c>
    </row>
    <row r="9" spans="1:21" x14ac:dyDescent="0.2">
      <c r="A9" s="25" t="s">
        <v>40</v>
      </c>
      <c r="B9" s="25" t="s">
        <v>41</v>
      </c>
      <c r="C9" s="25" t="s">
        <v>42</v>
      </c>
      <c r="D9" s="25" t="s">
        <v>43</v>
      </c>
      <c r="E9" s="25" t="s">
        <v>44</v>
      </c>
      <c r="F9" s="56">
        <v>43370</v>
      </c>
      <c r="G9" s="25" t="s">
        <v>84</v>
      </c>
      <c r="H9" s="25" t="s">
        <v>27</v>
      </c>
      <c r="I9" s="25" t="s">
        <v>85</v>
      </c>
      <c r="J9" s="25" t="s">
        <v>66</v>
      </c>
      <c r="K9" s="28">
        <v>0.5</v>
      </c>
      <c r="L9" s="25" t="s">
        <v>67</v>
      </c>
      <c r="M9" s="25">
        <v>2017</v>
      </c>
      <c r="N9" s="25" t="s">
        <v>33</v>
      </c>
      <c r="O9" s="26" t="s">
        <v>57</v>
      </c>
      <c r="P9" s="25" t="s">
        <v>28</v>
      </c>
      <c r="Q9" s="26" t="s">
        <v>28</v>
      </c>
      <c r="R9" s="27">
        <v>50</v>
      </c>
      <c r="S9" s="28">
        <v>0.25</v>
      </c>
      <c r="T9" s="60">
        <v>0.25</v>
      </c>
      <c r="U9" s="28">
        <v>0</v>
      </c>
    </row>
    <row r="10" spans="1:21" x14ac:dyDescent="0.2">
      <c r="A10" s="25" t="s">
        <v>54</v>
      </c>
      <c r="B10" s="25" t="s">
        <v>55</v>
      </c>
      <c r="C10" s="25" t="s">
        <v>56</v>
      </c>
      <c r="D10" s="25" t="s">
        <v>86</v>
      </c>
      <c r="E10" s="25" t="s">
        <v>87</v>
      </c>
      <c r="F10" s="25" t="s">
        <v>88</v>
      </c>
      <c r="G10" s="25" t="s">
        <v>69</v>
      </c>
      <c r="H10" s="25" t="s">
        <v>29</v>
      </c>
      <c r="I10" s="25" t="s">
        <v>65</v>
      </c>
      <c r="J10" s="25" t="s">
        <v>66</v>
      </c>
      <c r="K10" s="28">
        <v>1</v>
      </c>
      <c r="L10" s="25" t="s">
        <v>67</v>
      </c>
      <c r="M10" s="25">
        <v>2017</v>
      </c>
      <c r="N10" s="25" t="s">
        <v>33</v>
      </c>
      <c r="O10" s="26" t="s">
        <v>57</v>
      </c>
      <c r="P10" s="25" t="s">
        <v>28</v>
      </c>
      <c r="Q10" s="26" t="s">
        <v>28</v>
      </c>
      <c r="R10" s="27">
        <v>50</v>
      </c>
      <c r="S10" s="28">
        <v>0.5</v>
      </c>
      <c r="T10" s="60">
        <v>0.5</v>
      </c>
      <c r="U10" s="28">
        <v>0</v>
      </c>
    </row>
    <row r="11" spans="1:21" x14ac:dyDescent="0.2">
      <c r="A11" s="25" t="s">
        <v>58</v>
      </c>
      <c r="B11" s="25" t="s">
        <v>59</v>
      </c>
      <c r="C11" s="25" t="s">
        <v>56</v>
      </c>
      <c r="D11" s="25" t="s">
        <v>89</v>
      </c>
      <c r="E11" s="25" t="s">
        <v>90</v>
      </c>
      <c r="F11" s="25" t="s">
        <v>91</v>
      </c>
      <c r="G11" s="25" t="s">
        <v>69</v>
      </c>
      <c r="H11" s="25" t="s">
        <v>29</v>
      </c>
      <c r="I11" s="25" t="s">
        <v>65</v>
      </c>
      <c r="J11" s="25" t="s">
        <v>66</v>
      </c>
      <c r="K11" s="28">
        <v>1</v>
      </c>
      <c r="L11" s="25" t="s">
        <v>67</v>
      </c>
      <c r="M11" s="25">
        <v>2017</v>
      </c>
      <c r="N11" s="25" t="s">
        <v>33</v>
      </c>
      <c r="O11" s="26" t="s">
        <v>57</v>
      </c>
      <c r="P11" s="25" t="s">
        <v>28</v>
      </c>
      <c r="Q11" s="26" t="s">
        <v>28</v>
      </c>
      <c r="R11" s="27">
        <v>50</v>
      </c>
      <c r="S11" s="28">
        <v>0.5</v>
      </c>
      <c r="T11" s="60">
        <v>0.5</v>
      </c>
      <c r="U11" s="28">
        <v>0</v>
      </c>
    </row>
    <row r="12" spans="1:21" x14ac:dyDescent="0.2">
      <c r="A12" s="25" t="s">
        <v>30</v>
      </c>
      <c r="B12" s="25" t="s">
        <v>31</v>
      </c>
      <c r="C12" s="25" t="s">
        <v>32</v>
      </c>
      <c r="D12" s="25" t="s">
        <v>45</v>
      </c>
      <c r="E12" s="25" t="s">
        <v>46</v>
      </c>
      <c r="F12" s="25" t="s">
        <v>47</v>
      </c>
      <c r="G12" s="25" t="s">
        <v>69</v>
      </c>
      <c r="H12" s="25" t="s">
        <v>27</v>
      </c>
      <c r="I12" s="25" t="s">
        <v>65</v>
      </c>
      <c r="J12" s="25" t="s">
        <v>66</v>
      </c>
      <c r="K12" s="57">
        <v>0.5</v>
      </c>
      <c r="L12" s="25" t="s">
        <v>67</v>
      </c>
      <c r="M12" s="25">
        <v>2017</v>
      </c>
      <c r="N12" s="25" t="s">
        <v>33</v>
      </c>
      <c r="O12" s="26" t="s">
        <v>57</v>
      </c>
      <c r="P12" s="25" t="s">
        <v>28</v>
      </c>
      <c r="Q12" s="26" t="s">
        <v>28</v>
      </c>
      <c r="R12" s="27">
        <v>50</v>
      </c>
      <c r="S12" s="28">
        <v>0.25</v>
      </c>
      <c r="T12" s="60">
        <v>0.25</v>
      </c>
      <c r="U12" s="28">
        <v>0</v>
      </c>
    </row>
    <row r="13" spans="1:21" x14ac:dyDescent="0.2">
      <c r="A13" s="25" t="s">
        <v>30</v>
      </c>
      <c r="B13" s="25" t="s">
        <v>31</v>
      </c>
      <c r="C13" s="25" t="s">
        <v>32</v>
      </c>
      <c r="D13" s="25" t="s">
        <v>92</v>
      </c>
      <c r="E13" s="25" t="s">
        <v>93</v>
      </c>
      <c r="F13" s="25" t="s">
        <v>61</v>
      </c>
      <c r="G13" s="25" t="s">
        <v>72</v>
      </c>
      <c r="H13" s="25" t="s">
        <v>29</v>
      </c>
      <c r="I13" s="25" t="s">
        <v>65</v>
      </c>
      <c r="J13" s="25" t="s">
        <v>66</v>
      </c>
      <c r="K13" s="57">
        <v>1</v>
      </c>
      <c r="L13" s="25" t="s">
        <v>67</v>
      </c>
      <c r="M13" s="25">
        <v>2018</v>
      </c>
      <c r="N13" s="25" t="s">
        <v>33</v>
      </c>
      <c r="O13" s="26" t="s">
        <v>57</v>
      </c>
      <c r="P13" s="25" t="s">
        <v>28</v>
      </c>
      <c r="Q13" s="26" t="s">
        <v>28</v>
      </c>
      <c r="R13" s="27">
        <v>50</v>
      </c>
      <c r="S13" s="28">
        <v>0.5</v>
      </c>
      <c r="T13" s="60">
        <v>0.5</v>
      </c>
      <c r="U13" s="28">
        <v>0</v>
      </c>
    </row>
    <row r="14" spans="1:21" x14ac:dyDescent="0.2">
      <c r="A14" s="25" t="s">
        <v>30</v>
      </c>
      <c r="B14" s="25" t="s">
        <v>31</v>
      </c>
      <c r="C14" s="25" t="s">
        <v>32</v>
      </c>
      <c r="D14" s="25" t="s">
        <v>94</v>
      </c>
      <c r="E14" s="25" t="s">
        <v>95</v>
      </c>
      <c r="F14" s="25" t="s">
        <v>96</v>
      </c>
      <c r="G14" s="25" t="s">
        <v>69</v>
      </c>
      <c r="H14" s="25" t="s">
        <v>29</v>
      </c>
      <c r="I14" s="25" t="s">
        <v>65</v>
      </c>
      <c r="J14" s="25" t="s">
        <v>66</v>
      </c>
      <c r="K14" s="57">
        <v>1</v>
      </c>
      <c r="L14" s="25" t="s">
        <v>67</v>
      </c>
      <c r="M14" s="25">
        <v>2018</v>
      </c>
      <c r="N14" s="25" t="s">
        <v>33</v>
      </c>
      <c r="O14" s="26" t="s">
        <v>57</v>
      </c>
      <c r="P14" s="25" t="s">
        <v>28</v>
      </c>
      <c r="Q14" s="26" t="s">
        <v>28</v>
      </c>
      <c r="R14" s="27">
        <v>50</v>
      </c>
      <c r="S14" s="28">
        <v>0.5</v>
      </c>
      <c r="T14" s="60">
        <v>0.5</v>
      </c>
      <c r="U14" s="28">
        <v>0</v>
      </c>
    </row>
    <row r="15" spans="1:21" x14ac:dyDescent="0.2">
      <c r="A15" s="25" t="s">
        <v>30</v>
      </c>
      <c r="B15" s="25" t="s">
        <v>31</v>
      </c>
      <c r="C15" s="25" t="s">
        <v>32</v>
      </c>
      <c r="D15" s="25" t="s">
        <v>48</v>
      </c>
      <c r="E15" s="25" t="s">
        <v>49</v>
      </c>
      <c r="F15" s="25" t="s">
        <v>50</v>
      </c>
      <c r="G15" s="25" t="s">
        <v>64</v>
      </c>
      <c r="H15" s="25" t="s">
        <v>27</v>
      </c>
      <c r="I15" s="25" t="s">
        <v>65</v>
      </c>
      <c r="J15" s="25" t="s">
        <v>66</v>
      </c>
      <c r="K15" s="57">
        <v>0.33333333333333331</v>
      </c>
      <c r="L15" s="25" t="s">
        <v>67</v>
      </c>
      <c r="M15" s="25">
        <v>2018</v>
      </c>
      <c r="N15" s="25" t="s">
        <v>33</v>
      </c>
      <c r="O15" s="26" t="s">
        <v>57</v>
      </c>
      <c r="P15" s="25" t="s">
        <v>28</v>
      </c>
      <c r="Q15" s="26" t="s">
        <v>28</v>
      </c>
      <c r="R15" s="27">
        <v>50</v>
      </c>
      <c r="S15" s="28">
        <v>0.16666666666666663</v>
      </c>
      <c r="T15" s="60">
        <v>0.16666666666666663</v>
      </c>
      <c r="U15" s="28">
        <v>0</v>
      </c>
    </row>
    <row r="16" spans="1:21" x14ac:dyDescent="0.2">
      <c r="A16" s="25" t="s">
        <v>30</v>
      </c>
      <c r="B16" s="25" t="s">
        <v>31</v>
      </c>
      <c r="C16" s="25" t="s">
        <v>32</v>
      </c>
      <c r="D16" s="25" t="s">
        <v>51</v>
      </c>
      <c r="E16" s="25" t="s">
        <v>52</v>
      </c>
      <c r="F16" s="25" t="s">
        <v>53</v>
      </c>
      <c r="G16" s="25" t="s">
        <v>62</v>
      </c>
      <c r="H16" s="25" t="s">
        <v>27</v>
      </c>
      <c r="I16" s="25" t="s">
        <v>30</v>
      </c>
      <c r="J16" s="25" t="s">
        <v>31</v>
      </c>
      <c r="K16" s="57">
        <v>0.5</v>
      </c>
      <c r="L16" s="25" t="s">
        <v>33</v>
      </c>
      <c r="M16" s="25">
        <v>2018</v>
      </c>
      <c r="N16" s="25" t="s">
        <v>33</v>
      </c>
      <c r="O16" s="26" t="s">
        <v>63</v>
      </c>
      <c r="P16" s="25" t="s">
        <v>28</v>
      </c>
      <c r="Q16" s="26" t="s">
        <v>28</v>
      </c>
      <c r="R16" s="27">
        <v>0</v>
      </c>
      <c r="S16" s="28">
        <v>0</v>
      </c>
      <c r="T16" s="60">
        <v>0.5</v>
      </c>
      <c r="U16" s="28">
        <v>0</v>
      </c>
    </row>
    <row r="17" spans="1:21" x14ac:dyDescent="0.2">
      <c r="A17" s="25" t="s">
        <v>30</v>
      </c>
      <c r="B17" s="25" t="s">
        <v>31</v>
      </c>
      <c r="C17" s="25" t="s">
        <v>32</v>
      </c>
      <c r="D17" s="25" t="s">
        <v>97</v>
      </c>
      <c r="E17" s="25" t="s">
        <v>98</v>
      </c>
      <c r="F17" s="25" t="s">
        <v>99</v>
      </c>
      <c r="G17" s="25" t="s">
        <v>80</v>
      </c>
      <c r="H17" s="25" t="s">
        <v>27</v>
      </c>
      <c r="I17" s="25" t="s">
        <v>65</v>
      </c>
      <c r="J17" s="25" t="s">
        <v>66</v>
      </c>
      <c r="K17" s="57">
        <v>0.5</v>
      </c>
      <c r="L17" s="25" t="s">
        <v>67</v>
      </c>
      <c r="M17" s="25">
        <v>2018</v>
      </c>
      <c r="N17" s="25" t="s">
        <v>33</v>
      </c>
      <c r="O17" s="26" t="s">
        <v>57</v>
      </c>
      <c r="P17" s="25" t="s">
        <v>28</v>
      </c>
      <c r="Q17" s="26" t="s">
        <v>28</v>
      </c>
      <c r="R17" s="27">
        <v>50</v>
      </c>
      <c r="S17" s="28">
        <v>0.25</v>
      </c>
      <c r="T17" s="60">
        <v>0.25</v>
      </c>
      <c r="U17" s="28">
        <v>0</v>
      </c>
    </row>
    <row r="18" spans="1:21" x14ac:dyDescent="0.2">
      <c r="A18" s="25" t="s">
        <v>30</v>
      </c>
      <c r="B18" s="25" t="s">
        <v>31</v>
      </c>
      <c r="C18" s="25" t="s">
        <v>32</v>
      </c>
      <c r="D18" s="25" t="s">
        <v>97</v>
      </c>
      <c r="E18" s="25" t="s">
        <v>98</v>
      </c>
      <c r="F18" s="25" t="s">
        <v>99</v>
      </c>
      <c r="G18" s="25" t="s">
        <v>64</v>
      </c>
      <c r="H18" s="25" t="s">
        <v>27</v>
      </c>
      <c r="I18" s="25" t="s">
        <v>65</v>
      </c>
      <c r="J18" s="25" t="s">
        <v>66</v>
      </c>
      <c r="K18" s="57">
        <v>0.5</v>
      </c>
      <c r="L18" s="25" t="s">
        <v>67</v>
      </c>
      <c r="M18" s="25">
        <v>2018</v>
      </c>
      <c r="N18" s="25" t="s">
        <v>33</v>
      </c>
      <c r="O18" s="26" t="s">
        <v>57</v>
      </c>
      <c r="P18" s="25" t="s">
        <v>28</v>
      </c>
      <c r="Q18" s="26" t="s">
        <v>28</v>
      </c>
      <c r="R18" s="27">
        <v>50</v>
      </c>
      <c r="S18" s="28">
        <v>0.25</v>
      </c>
      <c r="T18" s="60">
        <v>0.25</v>
      </c>
      <c r="U18" s="28">
        <v>0</v>
      </c>
    </row>
    <row r="19" spans="1:21" x14ac:dyDescent="0.2">
      <c r="A19" s="25" t="s">
        <v>54</v>
      </c>
      <c r="B19" s="25" t="s">
        <v>55</v>
      </c>
      <c r="C19" s="25" t="s">
        <v>56</v>
      </c>
      <c r="D19" s="25" t="s">
        <v>100</v>
      </c>
      <c r="E19" s="25" t="s">
        <v>101</v>
      </c>
      <c r="F19" s="25" t="s">
        <v>102</v>
      </c>
      <c r="G19" s="25" t="s">
        <v>103</v>
      </c>
      <c r="H19" s="25" t="s">
        <v>27</v>
      </c>
      <c r="I19" s="25" t="s">
        <v>65</v>
      </c>
      <c r="J19" s="25" t="s">
        <v>66</v>
      </c>
      <c r="K19" s="57">
        <v>0.5</v>
      </c>
      <c r="L19" s="25" t="s">
        <v>67</v>
      </c>
      <c r="M19" s="25">
        <v>2018</v>
      </c>
      <c r="N19" s="25" t="s">
        <v>33</v>
      </c>
      <c r="O19" s="26" t="s">
        <v>57</v>
      </c>
      <c r="P19" s="25" t="s">
        <v>28</v>
      </c>
      <c r="Q19" s="26" t="s">
        <v>28</v>
      </c>
      <c r="R19" s="27">
        <v>50</v>
      </c>
      <c r="S19" s="28">
        <v>0.25</v>
      </c>
      <c r="T19" s="60">
        <v>0.25</v>
      </c>
      <c r="U19" s="28">
        <v>0</v>
      </c>
    </row>
    <row r="20" spans="1:21" x14ac:dyDescent="0.2">
      <c r="A20" s="25" t="s">
        <v>54</v>
      </c>
      <c r="B20" s="25" t="s">
        <v>55</v>
      </c>
      <c r="C20" s="25" t="s">
        <v>56</v>
      </c>
      <c r="D20" s="25" t="s">
        <v>100</v>
      </c>
      <c r="E20" s="25" t="s">
        <v>101</v>
      </c>
      <c r="F20" s="25" t="s">
        <v>102</v>
      </c>
      <c r="G20" s="25" t="s">
        <v>69</v>
      </c>
      <c r="H20" s="25" t="s">
        <v>27</v>
      </c>
      <c r="I20" s="25" t="s">
        <v>65</v>
      </c>
      <c r="J20" s="25" t="s">
        <v>66</v>
      </c>
      <c r="K20" s="57">
        <v>0.5</v>
      </c>
      <c r="L20" s="25" t="s">
        <v>67</v>
      </c>
      <c r="M20" s="25">
        <v>2018</v>
      </c>
      <c r="N20" s="25" t="s">
        <v>33</v>
      </c>
      <c r="O20" s="26" t="s">
        <v>57</v>
      </c>
      <c r="P20" s="25" t="s">
        <v>28</v>
      </c>
      <c r="Q20" s="26" t="s">
        <v>28</v>
      </c>
      <c r="R20" s="27">
        <v>50</v>
      </c>
      <c r="S20" s="28">
        <v>0.25</v>
      </c>
      <c r="T20" s="60">
        <v>0.25</v>
      </c>
      <c r="U20" s="28">
        <v>0</v>
      </c>
    </row>
    <row r="21" spans="1:21" x14ac:dyDescent="0.2">
      <c r="A21" s="25" t="s">
        <v>54</v>
      </c>
      <c r="B21" s="25" t="s">
        <v>55</v>
      </c>
      <c r="C21" s="25" t="s">
        <v>56</v>
      </c>
      <c r="D21" s="25" t="s">
        <v>104</v>
      </c>
      <c r="E21" s="25" t="s">
        <v>105</v>
      </c>
      <c r="F21" s="25" t="s">
        <v>106</v>
      </c>
      <c r="G21" s="25" t="s">
        <v>68</v>
      </c>
      <c r="H21" s="25" t="s">
        <v>27</v>
      </c>
      <c r="I21" s="25" t="s">
        <v>65</v>
      </c>
      <c r="J21" s="25" t="s">
        <v>66</v>
      </c>
      <c r="K21" s="57">
        <v>0.5</v>
      </c>
      <c r="L21" s="25" t="s">
        <v>67</v>
      </c>
      <c r="M21" s="25">
        <v>2018</v>
      </c>
      <c r="N21" s="25" t="s">
        <v>33</v>
      </c>
      <c r="O21" s="26" t="s">
        <v>57</v>
      </c>
      <c r="P21" s="25" t="s">
        <v>28</v>
      </c>
      <c r="Q21" s="26" t="s">
        <v>28</v>
      </c>
      <c r="R21" s="27">
        <v>50</v>
      </c>
      <c r="S21" s="28">
        <v>0.25</v>
      </c>
      <c r="T21" s="60">
        <v>0.25</v>
      </c>
      <c r="U21" s="28">
        <v>0</v>
      </c>
    </row>
    <row r="22" spans="1:21" x14ac:dyDescent="0.2">
      <c r="A22" s="25" t="s">
        <v>54</v>
      </c>
      <c r="B22" s="25" t="s">
        <v>55</v>
      </c>
      <c r="C22" s="25" t="s">
        <v>56</v>
      </c>
      <c r="D22" s="25" t="s">
        <v>104</v>
      </c>
      <c r="E22" s="25" t="s">
        <v>105</v>
      </c>
      <c r="F22" s="25" t="s">
        <v>106</v>
      </c>
      <c r="G22" s="25" t="s">
        <v>69</v>
      </c>
      <c r="H22" s="25" t="s">
        <v>27</v>
      </c>
      <c r="I22" s="25" t="s">
        <v>65</v>
      </c>
      <c r="J22" s="25" t="s">
        <v>66</v>
      </c>
      <c r="K22" s="57">
        <v>0.5</v>
      </c>
      <c r="L22" s="25" t="s">
        <v>67</v>
      </c>
      <c r="M22" s="25">
        <v>2018</v>
      </c>
      <c r="N22" s="25" t="s">
        <v>33</v>
      </c>
      <c r="O22" s="26" t="s">
        <v>57</v>
      </c>
      <c r="P22" s="25" t="s">
        <v>28</v>
      </c>
      <c r="Q22" s="26" t="s">
        <v>28</v>
      </c>
      <c r="R22" s="27">
        <v>50</v>
      </c>
      <c r="S22" s="28">
        <v>0.25</v>
      </c>
      <c r="T22" s="60">
        <v>0.25</v>
      </c>
      <c r="U22" s="28">
        <v>0</v>
      </c>
    </row>
    <row r="23" spans="1:21" x14ac:dyDescent="0.2">
      <c r="A23" s="29" t="s">
        <v>30</v>
      </c>
      <c r="B23" s="29" t="s">
        <v>31</v>
      </c>
      <c r="C23" s="29" t="s">
        <v>32</v>
      </c>
      <c r="D23" s="29" t="s">
        <v>157</v>
      </c>
      <c r="E23" s="29" t="s">
        <v>158</v>
      </c>
      <c r="F23" s="29" t="s">
        <v>159</v>
      </c>
      <c r="G23" s="29" t="s">
        <v>70</v>
      </c>
      <c r="H23" s="29" t="s">
        <v>27</v>
      </c>
      <c r="I23" s="29" t="s">
        <v>65</v>
      </c>
      <c r="J23" s="29" t="s">
        <v>66</v>
      </c>
      <c r="K23" s="58">
        <v>0.5</v>
      </c>
      <c r="L23" s="29" t="s">
        <v>67</v>
      </c>
      <c r="M23" s="29">
        <v>2019</v>
      </c>
      <c r="N23" s="29" t="s">
        <v>33</v>
      </c>
      <c r="O23" s="30" t="s">
        <v>57</v>
      </c>
      <c r="P23" s="29" t="s">
        <v>28</v>
      </c>
      <c r="Q23" s="30" t="s">
        <v>28</v>
      </c>
      <c r="R23" s="31">
        <v>50</v>
      </c>
      <c r="S23" s="32">
        <v>0.25</v>
      </c>
      <c r="T23" s="61">
        <v>0.25</v>
      </c>
      <c r="U23" s="32">
        <v>0</v>
      </c>
    </row>
    <row r="24" spans="1:21" x14ac:dyDescent="0.2">
      <c r="A24" s="29" t="s">
        <v>30</v>
      </c>
      <c r="B24" s="29" t="s">
        <v>31</v>
      </c>
      <c r="C24" s="29" t="s">
        <v>32</v>
      </c>
      <c r="D24" s="29" t="s">
        <v>160</v>
      </c>
      <c r="E24" s="29" t="s">
        <v>161</v>
      </c>
      <c r="F24" s="29" t="s">
        <v>162</v>
      </c>
      <c r="G24" s="29" t="s">
        <v>73</v>
      </c>
      <c r="H24" s="29" t="s">
        <v>29</v>
      </c>
      <c r="I24" s="29" t="s">
        <v>65</v>
      </c>
      <c r="J24" s="29" t="s">
        <v>66</v>
      </c>
      <c r="K24" s="58">
        <v>1</v>
      </c>
      <c r="L24" s="29" t="s">
        <v>67</v>
      </c>
      <c r="M24" s="29">
        <v>2019</v>
      </c>
      <c r="N24" s="29" t="s">
        <v>33</v>
      </c>
      <c r="O24" s="30" t="s">
        <v>57</v>
      </c>
      <c r="P24" s="29" t="s">
        <v>28</v>
      </c>
      <c r="Q24" s="30" t="s">
        <v>28</v>
      </c>
      <c r="R24" s="31">
        <v>50</v>
      </c>
      <c r="S24" s="32">
        <v>0.5</v>
      </c>
      <c r="T24" s="61">
        <v>0.5</v>
      </c>
      <c r="U24" s="32">
        <v>0</v>
      </c>
    </row>
    <row r="25" spans="1:21" x14ac:dyDescent="0.2">
      <c r="A25" s="29" t="s">
        <v>30</v>
      </c>
      <c r="B25" s="29" t="s">
        <v>31</v>
      </c>
      <c r="C25" s="29" t="s">
        <v>32</v>
      </c>
      <c r="D25" s="29" t="s">
        <v>163</v>
      </c>
      <c r="E25" s="29" t="s">
        <v>164</v>
      </c>
      <c r="F25" s="29" t="s">
        <v>165</v>
      </c>
      <c r="G25" s="29" t="s">
        <v>64</v>
      </c>
      <c r="H25" s="29" t="s">
        <v>27</v>
      </c>
      <c r="I25" s="29" t="s">
        <v>65</v>
      </c>
      <c r="J25" s="29" t="s">
        <v>66</v>
      </c>
      <c r="K25" s="58">
        <v>0.5</v>
      </c>
      <c r="L25" s="29" t="s">
        <v>67</v>
      </c>
      <c r="M25" s="29">
        <v>2019</v>
      </c>
      <c r="N25" s="29" t="s">
        <v>33</v>
      </c>
      <c r="O25" s="30" t="s">
        <v>57</v>
      </c>
      <c r="P25" s="29" t="s">
        <v>28</v>
      </c>
      <c r="Q25" s="30" t="s">
        <v>28</v>
      </c>
      <c r="R25" s="31">
        <v>50</v>
      </c>
      <c r="S25" s="32">
        <v>0.25</v>
      </c>
      <c r="T25" s="61">
        <v>0.25</v>
      </c>
      <c r="U25" s="32">
        <v>0</v>
      </c>
    </row>
    <row r="26" spans="1:21" x14ac:dyDescent="0.2">
      <c r="A26" s="29" t="s">
        <v>30</v>
      </c>
      <c r="B26" s="29" t="s">
        <v>31</v>
      </c>
      <c r="C26" s="29" t="s">
        <v>32</v>
      </c>
      <c r="D26" s="29" t="s">
        <v>163</v>
      </c>
      <c r="E26" s="29" t="s">
        <v>164</v>
      </c>
      <c r="F26" s="29" t="s">
        <v>165</v>
      </c>
      <c r="G26" s="29" t="s">
        <v>73</v>
      </c>
      <c r="H26" s="29" t="s">
        <v>27</v>
      </c>
      <c r="I26" s="29" t="s">
        <v>65</v>
      </c>
      <c r="J26" s="29" t="s">
        <v>66</v>
      </c>
      <c r="K26" s="58">
        <v>0.5</v>
      </c>
      <c r="L26" s="29" t="s">
        <v>67</v>
      </c>
      <c r="M26" s="29">
        <v>2019</v>
      </c>
      <c r="N26" s="29" t="s">
        <v>33</v>
      </c>
      <c r="O26" s="30" t="s">
        <v>57</v>
      </c>
      <c r="P26" s="29" t="s">
        <v>28</v>
      </c>
      <c r="Q26" s="30" t="s">
        <v>28</v>
      </c>
      <c r="R26" s="31">
        <v>50</v>
      </c>
      <c r="S26" s="32">
        <v>0.25</v>
      </c>
      <c r="T26" s="61">
        <v>0.25</v>
      </c>
      <c r="U26" s="32">
        <v>0</v>
      </c>
    </row>
    <row r="27" spans="1:21" ht="10.8" thickBot="1" x14ac:dyDescent="0.25">
      <c r="A27" s="25" t="s">
        <v>54</v>
      </c>
      <c r="B27" s="25" t="s">
        <v>55</v>
      </c>
      <c r="C27" s="25" t="s">
        <v>56</v>
      </c>
      <c r="D27" s="25" t="s">
        <v>170</v>
      </c>
      <c r="E27" s="25" t="s">
        <v>171</v>
      </c>
      <c r="F27" s="25" t="s">
        <v>172</v>
      </c>
      <c r="G27" s="25" t="s">
        <v>69</v>
      </c>
      <c r="H27" s="25" t="s">
        <v>29</v>
      </c>
      <c r="I27" s="25" t="s">
        <v>65</v>
      </c>
      <c r="J27" s="25" t="s">
        <v>66</v>
      </c>
      <c r="K27" s="37">
        <v>1</v>
      </c>
      <c r="L27" s="37" t="s">
        <v>67</v>
      </c>
      <c r="M27" s="59">
        <v>2019</v>
      </c>
      <c r="N27" s="25" t="s">
        <v>33</v>
      </c>
      <c r="O27" s="26" t="s">
        <v>57</v>
      </c>
      <c r="P27" s="25" t="s">
        <v>28</v>
      </c>
      <c r="Q27" s="26" t="s">
        <v>28</v>
      </c>
      <c r="R27" s="25">
        <v>50</v>
      </c>
      <c r="S27" s="25">
        <v>0.5</v>
      </c>
      <c r="T27" s="62">
        <v>0.5</v>
      </c>
      <c r="U27" s="25">
        <v>0</v>
      </c>
    </row>
    <row r="28" spans="1:21" ht="10.8" thickBot="1" x14ac:dyDescent="0.25">
      <c r="A28" s="33" t="s">
        <v>30</v>
      </c>
      <c r="B28" s="33" t="s">
        <v>31</v>
      </c>
      <c r="C28" s="33" t="s">
        <v>32</v>
      </c>
      <c r="D28" s="33" t="s">
        <v>173</v>
      </c>
      <c r="E28" s="33" t="s">
        <v>174</v>
      </c>
      <c r="F28" s="33" t="s">
        <v>175</v>
      </c>
      <c r="G28" s="34" t="s">
        <v>80</v>
      </c>
      <c r="H28" s="35" t="s">
        <v>27</v>
      </c>
      <c r="I28" s="35" t="s">
        <v>65</v>
      </c>
      <c r="J28" s="36" t="s">
        <v>66</v>
      </c>
      <c r="K28" s="37">
        <v>0.5</v>
      </c>
      <c r="L28" s="37" t="s">
        <v>67</v>
      </c>
      <c r="M28" s="25">
        <v>2020</v>
      </c>
      <c r="N28" s="25" t="s">
        <v>33</v>
      </c>
      <c r="O28" s="26" t="s">
        <v>57</v>
      </c>
      <c r="P28" s="25" t="s">
        <v>28</v>
      </c>
      <c r="Q28" s="26" t="s">
        <v>28</v>
      </c>
      <c r="R28" s="25">
        <v>50</v>
      </c>
      <c r="S28" s="25">
        <v>0.25</v>
      </c>
      <c r="T28" s="62">
        <v>0.25</v>
      </c>
      <c r="U28" s="25">
        <v>0</v>
      </c>
    </row>
    <row r="29" spans="1:21" x14ac:dyDescent="0.2">
      <c r="A29" s="25" t="s">
        <v>54</v>
      </c>
      <c r="B29" s="25" t="s">
        <v>55</v>
      </c>
      <c r="C29" s="25" t="s">
        <v>56</v>
      </c>
      <c r="D29" s="25" t="s">
        <v>233</v>
      </c>
      <c r="E29" s="25" t="s">
        <v>234</v>
      </c>
      <c r="F29" s="25" t="s">
        <v>232</v>
      </c>
      <c r="G29" s="25" t="s">
        <v>69</v>
      </c>
      <c r="H29" s="25" t="s">
        <v>29</v>
      </c>
      <c r="I29" s="25" t="s">
        <v>65</v>
      </c>
      <c r="J29" s="25" t="s">
        <v>66</v>
      </c>
      <c r="K29" s="37">
        <v>1</v>
      </c>
      <c r="L29" s="37" t="s">
        <v>67</v>
      </c>
      <c r="M29" s="25">
        <v>2021</v>
      </c>
      <c r="N29" s="25" t="s">
        <v>33</v>
      </c>
      <c r="O29" s="26" t="s">
        <v>57</v>
      </c>
      <c r="P29" s="25" t="s">
        <v>28</v>
      </c>
      <c r="Q29" s="26" t="s">
        <v>28</v>
      </c>
      <c r="R29" s="25">
        <v>50</v>
      </c>
      <c r="S29" s="25">
        <v>0.5</v>
      </c>
      <c r="T29" s="62">
        <v>0.5</v>
      </c>
      <c r="U29" s="25">
        <v>0</v>
      </c>
    </row>
    <row r="30" spans="1:21" x14ac:dyDescent="0.2">
      <c r="A30" s="25" t="s">
        <v>30</v>
      </c>
      <c r="B30" s="25" t="s">
        <v>31</v>
      </c>
      <c r="C30" s="25" t="s">
        <v>32</v>
      </c>
      <c r="D30" s="25" t="s">
        <v>34</v>
      </c>
      <c r="E30" s="25" t="s">
        <v>35</v>
      </c>
      <c r="F30" s="25" t="s">
        <v>36</v>
      </c>
      <c r="G30" s="25" t="s">
        <v>178</v>
      </c>
      <c r="H30" s="25" t="s">
        <v>27</v>
      </c>
      <c r="I30" s="25" t="s">
        <v>30</v>
      </c>
      <c r="J30" s="25" t="s">
        <v>31</v>
      </c>
      <c r="K30" s="28">
        <v>0.5</v>
      </c>
      <c r="L30" s="25" t="s">
        <v>33</v>
      </c>
      <c r="M30" s="25">
        <v>2016</v>
      </c>
      <c r="N30" s="25" t="s">
        <v>28</v>
      </c>
      <c r="O30" s="26" t="s">
        <v>28</v>
      </c>
      <c r="P30" s="25" t="s">
        <v>28</v>
      </c>
      <c r="Q30" s="26" t="s">
        <v>28</v>
      </c>
      <c r="R30" s="27">
        <v>100</v>
      </c>
      <c r="S30" s="60">
        <v>0.5</v>
      </c>
      <c r="T30" s="28">
        <v>0</v>
      </c>
      <c r="U30" s="28">
        <v>0</v>
      </c>
    </row>
    <row r="31" spans="1:21" x14ac:dyDescent="0.2">
      <c r="A31" s="25" t="s">
        <v>30</v>
      </c>
      <c r="B31" s="25" t="s">
        <v>31</v>
      </c>
      <c r="C31" s="25" t="s">
        <v>32</v>
      </c>
      <c r="D31" s="25" t="s">
        <v>37</v>
      </c>
      <c r="E31" s="25" t="s">
        <v>38</v>
      </c>
      <c r="F31" s="25" t="s">
        <v>39</v>
      </c>
      <c r="G31" s="25" t="s">
        <v>178</v>
      </c>
      <c r="H31" s="25" t="s">
        <v>27</v>
      </c>
      <c r="I31" s="25" t="s">
        <v>30</v>
      </c>
      <c r="J31" s="25" t="s">
        <v>31</v>
      </c>
      <c r="K31" s="28">
        <v>0.5</v>
      </c>
      <c r="L31" s="25" t="s">
        <v>33</v>
      </c>
      <c r="M31" s="25">
        <v>2017</v>
      </c>
      <c r="N31" s="25" t="s">
        <v>28</v>
      </c>
      <c r="O31" s="26" t="s">
        <v>28</v>
      </c>
      <c r="P31" s="25" t="s">
        <v>28</v>
      </c>
      <c r="Q31" s="26" t="s">
        <v>28</v>
      </c>
      <c r="R31" s="27">
        <v>100</v>
      </c>
      <c r="S31" s="60">
        <v>0.5</v>
      </c>
      <c r="T31" s="28">
        <v>0</v>
      </c>
      <c r="U31" s="28">
        <v>0</v>
      </c>
    </row>
    <row r="32" spans="1:21" x14ac:dyDescent="0.2">
      <c r="A32" s="25" t="s">
        <v>40</v>
      </c>
      <c r="B32" s="25" t="s">
        <v>41</v>
      </c>
      <c r="C32" s="25" t="s">
        <v>42</v>
      </c>
      <c r="D32" s="25" t="s">
        <v>43</v>
      </c>
      <c r="E32" s="25" t="s">
        <v>44</v>
      </c>
      <c r="F32" s="56">
        <v>43370</v>
      </c>
      <c r="G32" s="25" t="s">
        <v>178</v>
      </c>
      <c r="H32" s="25" t="s">
        <v>27</v>
      </c>
      <c r="I32" s="25" t="s">
        <v>30</v>
      </c>
      <c r="J32" s="25" t="s">
        <v>31</v>
      </c>
      <c r="K32" s="28">
        <v>0.5</v>
      </c>
      <c r="L32" s="25" t="s">
        <v>33</v>
      </c>
      <c r="M32" s="25">
        <v>2017</v>
      </c>
      <c r="N32" s="25" t="s">
        <v>28</v>
      </c>
      <c r="O32" s="26" t="s">
        <v>28</v>
      </c>
      <c r="P32" s="25" t="s">
        <v>28</v>
      </c>
      <c r="Q32" s="26" t="s">
        <v>28</v>
      </c>
      <c r="R32" s="27">
        <v>100</v>
      </c>
      <c r="S32" s="60">
        <v>0.5</v>
      </c>
      <c r="T32" s="28">
        <v>0</v>
      </c>
      <c r="U32" s="28">
        <v>0</v>
      </c>
    </row>
    <row r="33" spans="1:21" x14ac:dyDescent="0.2">
      <c r="A33" s="25" t="s">
        <v>30</v>
      </c>
      <c r="B33" s="25" t="s">
        <v>31</v>
      </c>
      <c r="C33" s="25" t="s">
        <v>32</v>
      </c>
      <c r="D33" s="25" t="s">
        <v>45</v>
      </c>
      <c r="E33" s="25" t="s">
        <v>46</v>
      </c>
      <c r="F33" s="25" t="s">
        <v>47</v>
      </c>
      <c r="G33" s="25" t="s">
        <v>178</v>
      </c>
      <c r="H33" s="25" t="s">
        <v>27</v>
      </c>
      <c r="I33" s="25" t="s">
        <v>30</v>
      </c>
      <c r="J33" s="25" t="s">
        <v>31</v>
      </c>
      <c r="K33" s="57">
        <v>0.5</v>
      </c>
      <c r="L33" s="25" t="s">
        <v>33</v>
      </c>
      <c r="M33" s="25">
        <v>2017</v>
      </c>
      <c r="N33" s="25" t="s">
        <v>28</v>
      </c>
      <c r="O33" s="26" t="s">
        <v>28</v>
      </c>
      <c r="P33" s="25" t="s">
        <v>28</v>
      </c>
      <c r="Q33" s="26" t="s">
        <v>28</v>
      </c>
      <c r="R33" s="27">
        <v>100</v>
      </c>
      <c r="S33" s="60">
        <v>0.5</v>
      </c>
      <c r="T33" s="28">
        <v>0</v>
      </c>
      <c r="U33" s="28">
        <v>0</v>
      </c>
    </row>
    <row r="34" spans="1:21" x14ac:dyDescent="0.2">
      <c r="A34" s="25" t="s">
        <v>30</v>
      </c>
      <c r="B34" s="25" t="s">
        <v>31</v>
      </c>
      <c r="C34" s="25" t="s">
        <v>32</v>
      </c>
      <c r="D34" s="25" t="s">
        <v>48</v>
      </c>
      <c r="E34" s="25" t="s">
        <v>49</v>
      </c>
      <c r="F34" s="25" t="s">
        <v>50</v>
      </c>
      <c r="G34" s="25" t="s">
        <v>176</v>
      </c>
      <c r="H34" s="25" t="s">
        <v>27</v>
      </c>
      <c r="I34" s="25" t="s">
        <v>30</v>
      </c>
      <c r="J34" s="25" t="s">
        <v>31</v>
      </c>
      <c r="K34" s="57">
        <v>0.33333333333333331</v>
      </c>
      <c r="L34" s="25" t="s">
        <v>33</v>
      </c>
      <c r="M34" s="25">
        <v>2018</v>
      </c>
      <c r="N34" s="25" t="s">
        <v>28</v>
      </c>
      <c r="O34" s="26" t="s">
        <v>28</v>
      </c>
      <c r="P34" s="25" t="s">
        <v>28</v>
      </c>
      <c r="Q34" s="26" t="s">
        <v>28</v>
      </c>
      <c r="R34" s="27">
        <v>100</v>
      </c>
      <c r="S34" s="60">
        <v>0.33333333333333326</v>
      </c>
      <c r="T34" s="28">
        <v>0</v>
      </c>
      <c r="U34" s="28">
        <v>0</v>
      </c>
    </row>
    <row r="35" spans="1:21" x14ac:dyDescent="0.2">
      <c r="A35" s="25" t="s">
        <v>30</v>
      </c>
      <c r="B35" s="25" t="s">
        <v>31</v>
      </c>
      <c r="C35" s="25" t="s">
        <v>32</v>
      </c>
      <c r="D35" s="25" t="s">
        <v>48</v>
      </c>
      <c r="E35" s="25" t="s">
        <v>49</v>
      </c>
      <c r="F35" s="25" t="s">
        <v>50</v>
      </c>
      <c r="G35" s="25" t="s">
        <v>178</v>
      </c>
      <c r="H35" s="25" t="s">
        <v>27</v>
      </c>
      <c r="I35" s="25" t="s">
        <v>30</v>
      </c>
      <c r="J35" s="25" t="s">
        <v>31</v>
      </c>
      <c r="K35" s="57">
        <v>0.33333333333333331</v>
      </c>
      <c r="L35" s="25" t="s">
        <v>33</v>
      </c>
      <c r="M35" s="25">
        <v>2018</v>
      </c>
      <c r="N35" s="25" t="s">
        <v>28</v>
      </c>
      <c r="O35" s="26" t="s">
        <v>28</v>
      </c>
      <c r="P35" s="25" t="s">
        <v>28</v>
      </c>
      <c r="Q35" s="26" t="s">
        <v>28</v>
      </c>
      <c r="R35" s="27">
        <v>100</v>
      </c>
      <c r="S35" s="60">
        <v>0.33333333333333326</v>
      </c>
      <c r="T35" s="28">
        <v>0</v>
      </c>
      <c r="U35" s="28">
        <v>0</v>
      </c>
    </row>
    <row r="36" spans="1:21" x14ac:dyDescent="0.2">
      <c r="A36" s="25" t="s">
        <v>30</v>
      </c>
      <c r="B36" s="25" t="s">
        <v>31</v>
      </c>
      <c r="C36" s="25" t="s">
        <v>32</v>
      </c>
      <c r="D36" s="25" t="s">
        <v>51</v>
      </c>
      <c r="E36" s="25" t="s">
        <v>52</v>
      </c>
      <c r="F36" s="25" t="s">
        <v>53</v>
      </c>
      <c r="G36" s="25" t="s">
        <v>177</v>
      </c>
      <c r="H36" s="25" t="s">
        <v>27</v>
      </c>
      <c r="I36" s="25" t="s">
        <v>30</v>
      </c>
      <c r="J36" s="25" t="s">
        <v>31</v>
      </c>
      <c r="K36" s="57">
        <v>0.5</v>
      </c>
      <c r="L36" s="25" t="s">
        <v>33</v>
      </c>
      <c r="M36" s="25">
        <v>2018</v>
      </c>
      <c r="N36" s="25" t="s">
        <v>28</v>
      </c>
      <c r="O36" s="26" t="s">
        <v>28</v>
      </c>
      <c r="P36" s="25" t="s">
        <v>28</v>
      </c>
      <c r="Q36" s="26" t="s">
        <v>28</v>
      </c>
      <c r="R36" s="27">
        <v>100</v>
      </c>
      <c r="S36" s="60">
        <v>0.5</v>
      </c>
      <c r="T36" s="28">
        <v>0</v>
      </c>
      <c r="U36" s="28">
        <v>0</v>
      </c>
    </row>
    <row r="37" spans="1:21" x14ac:dyDescent="0.2">
      <c r="A37" s="25" t="s">
        <v>30</v>
      </c>
      <c r="B37" s="25" t="s">
        <v>31</v>
      </c>
      <c r="C37" s="25" t="s">
        <v>32</v>
      </c>
      <c r="D37" s="25" t="s">
        <v>51</v>
      </c>
      <c r="E37" s="25" t="s">
        <v>52</v>
      </c>
      <c r="F37" s="25" t="s">
        <v>53</v>
      </c>
      <c r="G37" s="25" t="s">
        <v>62</v>
      </c>
      <c r="H37" s="25" t="s">
        <v>27</v>
      </c>
      <c r="I37" s="25" t="s">
        <v>30</v>
      </c>
      <c r="J37" s="25" t="s">
        <v>31</v>
      </c>
      <c r="K37" s="57">
        <v>0.5</v>
      </c>
      <c r="L37" s="25" t="s">
        <v>33</v>
      </c>
      <c r="M37" s="25">
        <v>2018</v>
      </c>
      <c r="N37" s="25" t="s">
        <v>33</v>
      </c>
      <c r="O37" s="26" t="s">
        <v>63</v>
      </c>
      <c r="P37" s="25" t="s">
        <v>28</v>
      </c>
      <c r="Q37" s="26" t="s">
        <v>28</v>
      </c>
      <c r="R37" s="27">
        <v>0</v>
      </c>
      <c r="S37" s="60">
        <v>0</v>
      </c>
      <c r="T37" s="28">
        <v>0.5</v>
      </c>
      <c r="U37" s="28">
        <v>0</v>
      </c>
    </row>
    <row r="38" spans="1:21" x14ac:dyDescent="0.2">
      <c r="A38" s="29" t="s">
        <v>30</v>
      </c>
      <c r="B38" s="29" t="s">
        <v>31</v>
      </c>
      <c r="C38" s="29" t="s">
        <v>32</v>
      </c>
      <c r="D38" s="29" t="s">
        <v>157</v>
      </c>
      <c r="E38" s="29" t="s">
        <v>158</v>
      </c>
      <c r="F38" s="29" t="s">
        <v>159</v>
      </c>
      <c r="G38" s="29" t="s">
        <v>179</v>
      </c>
      <c r="H38" s="29" t="s">
        <v>27</v>
      </c>
      <c r="I38" s="29" t="s">
        <v>30</v>
      </c>
      <c r="J38" s="29" t="s">
        <v>31</v>
      </c>
      <c r="K38" s="58">
        <v>0.5</v>
      </c>
      <c r="L38" s="29" t="s">
        <v>33</v>
      </c>
      <c r="M38" s="29">
        <v>2019</v>
      </c>
      <c r="N38" s="29" t="s">
        <v>28</v>
      </c>
      <c r="O38" s="30" t="s">
        <v>28</v>
      </c>
      <c r="P38" s="29" t="s">
        <v>28</v>
      </c>
      <c r="Q38" s="30" t="s">
        <v>28</v>
      </c>
      <c r="R38" s="31">
        <v>100</v>
      </c>
      <c r="S38" s="61">
        <v>0.5</v>
      </c>
      <c r="T38" s="32">
        <v>0</v>
      </c>
      <c r="U38" s="32">
        <v>0</v>
      </c>
    </row>
    <row r="39" spans="1:21" x14ac:dyDescent="0.2">
      <c r="S39" s="66">
        <f>SUM(S30:S38,T2:T29)</f>
        <v>12.833333333333332</v>
      </c>
      <c r="T39" s="67"/>
    </row>
  </sheetData>
  <autoFilter ref="A1:U38" xr:uid="{00000000-0009-0000-0000-000000000000}"/>
  <mergeCells count="1">
    <mergeCell ref="S39:T39"/>
  </mergeCells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4"/>
  <sheetViews>
    <sheetView zoomScaleNormal="100" workbookViewId="0">
      <selection activeCell="Q14" sqref="Q14"/>
    </sheetView>
  </sheetViews>
  <sheetFormatPr baseColWidth="10" defaultColWidth="11.44140625" defaultRowHeight="13.2" x14ac:dyDescent="0.25"/>
  <cols>
    <col min="1" max="1" width="10.88671875" style="18" bestFit="1" customWidth="1"/>
    <col min="2" max="2" width="33.109375" style="18" bestFit="1" customWidth="1"/>
    <col min="3" max="3" width="14.5546875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2" width="5.6640625" style="18" bestFit="1" customWidth="1"/>
    <col min="13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5.099999999999994" customHeight="1" x14ac:dyDescent="0.25">
      <c r="A1" s="20" t="s">
        <v>107</v>
      </c>
      <c r="B1" s="20" t="s">
        <v>108</v>
      </c>
      <c r="C1" s="20" t="s">
        <v>109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110</v>
      </c>
      <c r="K1" s="22" t="s">
        <v>166</v>
      </c>
      <c r="L1" s="15" t="s">
        <v>111</v>
      </c>
      <c r="M1" s="15" t="s">
        <v>112</v>
      </c>
      <c r="N1" s="15" t="s">
        <v>113</v>
      </c>
      <c r="O1" s="15" t="s">
        <v>114</v>
      </c>
      <c r="P1" s="16" t="s">
        <v>115</v>
      </c>
      <c r="Q1" s="16" t="s">
        <v>116</v>
      </c>
      <c r="R1" s="16" t="s">
        <v>117</v>
      </c>
      <c r="S1" s="16" t="s">
        <v>118</v>
      </c>
    </row>
    <row r="2" spans="1:19" ht="14.4" x14ac:dyDescent="0.3">
      <c r="A2" s="24" t="s">
        <v>132</v>
      </c>
      <c r="B2" s="24" t="s">
        <v>133</v>
      </c>
      <c r="C2" s="24">
        <v>6</v>
      </c>
      <c r="D2" s="24"/>
      <c r="E2" s="24"/>
      <c r="F2" s="24">
        <v>1</v>
      </c>
      <c r="G2" s="24"/>
      <c r="H2" s="24">
        <v>1</v>
      </c>
      <c r="I2" s="24"/>
      <c r="J2" s="24">
        <v>2</v>
      </c>
      <c r="K2" s="24" t="s">
        <v>67</v>
      </c>
      <c r="L2" s="23" t="s">
        <v>33</v>
      </c>
      <c r="M2" s="23" t="s">
        <v>57</v>
      </c>
      <c r="N2" s="23" t="s">
        <v>28</v>
      </c>
      <c r="O2" s="23" t="s">
        <v>28</v>
      </c>
      <c r="P2" s="23">
        <v>50</v>
      </c>
      <c r="Q2" s="23">
        <v>1</v>
      </c>
      <c r="R2" s="23">
        <v>0</v>
      </c>
      <c r="S2" s="23">
        <v>1</v>
      </c>
    </row>
    <row r="3" spans="1:19" ht="14.4" x14ac:dyDescent="0.3">
      <c r="A3" s="24" t="s">
        <v>136</v>
      </c>
      <c r="B3" s="24" t="s">
        <v>137</v>
      </c>
      <c r="C3" s="24" t="s">
        <v>119</v>
      </c>
      <c r="D3" s="24">
        <v>1</v>
      </c>
      <c r="E3" s="24"/>
      <c r="F3" s="24"/>
      <c r="G3" s="24"/>
      <c r="H3" s="24"/>
      <c r="I3" s="24"/>
      <c r="J3" s="24">
        <v>1</v>
      </c>
      <c r="K3" s="24" t="s">
        <v>67</v>
      </c>
      <c r="L3" s="23" t="s">
        <v>33</v>
      </c>
      <c r="M3" s="23" t="s">
        <v>57</v>
      </c>
      <c r="N3" s="23" t="s">
        <v>28</v>
      </c>
      <c r="O3" s="23" t="s">
        <v>28</v>
      </c>
      <c r="P3" s="23">
        <v>50</v>
      </c>
      <c r="Q3" s="23">
        <v>0.5</v>
      </c>
      <c r="R3" s="23">
        <v>0</v>
      </c>
      <c r="S3" s="23">
        <v>0.5</v>
      </c>
    </row>
    <row r="4" spans="1:19" ht="14.4" x14ac:dyDescent="0.3">
      <c r="A4" s="24" t="s">
        <v>134</v>
      </c>
      <c r="B4" s="24" t="s">
        <v>135</v>
      </c>
      <c r="C4" s="24" t="s">
        <v>119</v>
      </c>
      <c r="D4" s="24"/>
      <c r="E4" s="24"/>
      <c r="F4" s="24">
        <v>1</v>
      </c>
      <c r="G4" s="24"/>
      <c r="H4" s="24"/>
      <c r="I4" s="24"/>
      <c r="J4" s="24">
        <v>1</v>
      </c>
      <c r="K4" s="24" t="s">
        <v>67</v>
      </c>
      <c r="L4" s="23" t="s">
        <v>33</v>
      </c>
      <c r="M4" s="23" t="s">
        <v>57</v>
      </c>
      <c r="N4" s="23" t="s">
        <v>28</v>
      </c>
      <c r="O4" s="23" t="s">
        <v>28</v>
      </c>
      <c r="P4" s="23">
        <v>50</v>
      </c>
      <c r="Q4" s="23">
        <v>0.5</v>
      </c>
      <c r="R4" s="23">
        <v>0</v>
      </c>
      <c r="S4" s="23">
        <v>0.5</v>
      </c>
    </row>
    <row r="5" spans="1:19" ht="14.4" x14ac:dyDescent="0.3">
      <c r="A5" s="24" t="s">
        <v>126</v>
      </c>
      <c r="B5" s="24" t="s">
        <v>127</v>
      </c>
      <c r="C5" s="24">
        <v>6</v>
      </c>
      <c r="D5" s="24"/>
      <c r="E5" s="24"/>
      <c r="F5" s="24">
        <v>1</v>
      </c>
      <c r="G5" s="24"/>
      <c r="H5" s="24">
        <v>1</v>
      </c>
      <c r="I5" s="24"/>
      <c r="J5" s="24">
        <v>2</v>
      </c>
      <c r="K5" s="24" t="s">
        <v>67</v>
      </c>
      <c r="L5" s="23" t="s">
        <v>33</v>
      </c>
      <c r="M5" s="23" t="s">
        <v>57</v>
      </c>
      <c r="N5" s="23" t="s">
        <v>28</v>
      </c>
      <c r="O5" s="23" t="s">
        <v>28</v>
      </c>
      <c r="P5" s="23">
        <v>50</v>
      </c>
      <c r="Q5" s="23">
        <v>1</v>
      </c>
      <c r="R5" s="23">
        <v>0</v>
      </c>
      <c r="S5" s="23">
        <v>1</v>
      </c>
    </row>
    <row r="6" spans="1:19" ht="14.4" x14ac:dyDescent="0.3">
      <c r="A6" s="24" t="s">
        <v>128</v>
      </c>
      <c r="B6" s="24" t="s">
        <v>129</v>
      </c>
      <c r="C6" s="24" t="s">
        <v>119</v>
      </c>
      <c r="D6" s="24">
        <v>1</v>
      </c>
      <c r="E6" s="24"/>
      <c r="F6" s="24"/>
      <c r="G6" s="24"/>
      <c r="H6" s="24"/>
      <c r="I6" s="24"/>
      <c r="J6" s="24">
        <v>1</v>
      </c>
      <c r="K6" s="24" t="s">
        <v>67</v>
      </c>
      <c r="L6" s="23" t="s">
        <v>33</v>
      </c>
      <c r="M6" s="23" t="s">
        <v>57</v>
      </c>
      <c r="N6" s="23" t="s">
        <v>28</v>
      </c>
      <c r="O6" s="23" t="s">
        <v>28</v>
      </c>
      <c r="P6" s="23">
        <v>50</v>
      </c>
      <c r="Q6" s="23">
        <v>0.5</v>
      </c>
      <c r="R6" s="23">
        <v>0</v>
      </c>
      <c r="S6" s="23">
        <v>0.5</v>
      </c>
    </row>
    <row r="7" spans="1:19" ht="14.4" x14ac:dyDescent="0.3">
      <c r="A7" s="24" t="s">
        <v>122</v>
      </c>
      <c r="B7" s="24" t="s">
        <v>123</v>
      </c>
      <c r="C7" s="24" t="s">
        <v>119</v>
      </c>
      <c r="D7" s="24"/>
      <c r="E7" s="24"/>
      <c r="F7" s="24"/>
      <c r="G7" s="24">
        <v>1</v>
      </c>
      <c r="H7" s="24"/>
      <c r="I7" s="24"/>
      <c r="J7" s="24">
        <v>1</v>
      </c>
      <c r="K7" s="24" t="s">
        <v>67</v>
      </c>
      <c r="L7" s="23" t="s">
        <v>33</v>
      </c>
      <c r="M7" s="23" t="s">
        <v>57</v>
      </c>
      <c r="N7" s="23" t="s">
        <v>28</v>
      </c>
      <c r="O7" s="23" t="s">
        <v>28</v>
      </c>
      <c r="P7" s="23">
        <v>50</v>
      </c>
      <c r="Q7" s="23">
        <v>0.5</v>
      </c>
      <c r="R7" s="23">
        <v>0</v>
      </c>
      <c r="S7" s="23">
        <v>0.5</v>
      </c>
    </row>
    <row r="8" spans="1:19" ht="14.4" x14ac:dyDescent="0.3">
      <c r="A8" s="24" t="s">
        <v>120</v>
      </c>
      <c r="B8" s="24" t="s">
        <v>121</v>
      </c>
      <c r="C8" s="24" t="s">
        <v>119</v>
      </c>
      <c r="D8" s="24"/>
      <c r="E8" s="24"/>
      <c r="F8" s="24"/>
      <c r="G8" s="24">
        <v>4</v>
      </c>
      <c r="H8" s="24"/>
      <c r="I8" s="24"/>
      <c r="J8" s="24">
        <v>4</v>
      </c>
      <c r="K8" s="24" t="s">
        <v>67</v>
      </c>
      <c r="L8" s="23" t="s">
        <v>33</v>
      </c>
      <c r="M8" s="23" t="s">
        <v>57</v>
      </c>
      <c r="N8" s="23" t="s">
        <v>28</v>
      </c>
      <c r="O8" s="23" t="s">
        <v>28</v>
      </c>
      <c r="P8" s="23">
        <v>50</v>
      </c>
      <c r="Q8" s="23">
        <v>2</v>
      </c>
      <c r="R8" s="23">
        <v>0</v>
      </c>
      <c r="S8" s="23">
        <v>2</v>
      </c>
    </row>
    <row r="9" spans="1:19" ht="14.4" x14ac:dyDescent="0.3">
      <c r="A9" s="24" t="s">
        <v>124</v>
      </c>
      <c r="B9" s="24" t="s">
        <v>125</v>
      </c>
      <c r="C9" s="24" t="s">
        <v>119</v>
      </c>
      <c r="D9" s="24"/>
      <c r="E9" s="24"/>
      <c r="F9" s="24"/>
      <c r="G9" s="24"/>
      <c r="H9" s="24">
        <v>1</v>
      </c>
      <c r="I9" s="24"/>
      <c r="J9" s="24">
        <v>1</v>
      </c>
      <c r="K9" s="24" t="s">
        <v>67</v>
      </c>
      <c r="L9" s="23" t="s">
        <v>33</v>
      </c>
      <c r="M9" s="23" t="s">
        <v>57</v>
      </c>
      <c r="N9" s="23" t="s">
        <v>28</v>
      </c>
      <c r="O9" s="23" t="s">
        <v>28</v>
      </c>
      <c r="P9" s="23">
        <v>50</v>
      </c>
      <c r="Q9" s="23">
        <v>0.5</v>
      </c>
      <c r="R9" s="23">
        <v>0</v>
      </c>
      <c r="S9" s="23">
        <v>0.5</v>
      </c>
    </row>
    <row r="10" spans="1:19" ht="14.4" x14ac:dyDescent="0.3">
      <c r="A10" s="24" t="s">
        <v>168</v>
      </c>
      <c r="B10" s="24" t="s">
        <v>169</v>
      </c>
      <c r="C10" s="24" t="s">
        <v>167</v>
      </c>
      <c r="D10" s="24"/>
      <c r="E10" s="24"/>
      <c r="F10" s="24"/>
      <c r="G10" s="24"/>
      <c r="H10" s="24"/>
      <c r="I10" s="24">
        <v>3</v>
      </c>
      <c r="J10" s="24">
        <v>3</v>
      </c>
      <c r="K10" s="24" t="s">
        <v>67</v>
      </c>
      <c r="L10" s="23" t="s">
        <v>33</v>
      </c>
      <c r="M10" s="23" t="s">
        <v>57</v>
      </c>
      <c r="N10" s="23" t="s">
        <v>28</v>
      </c>
      <c r="O10" s="23" t="s">
        <v>28</v>
      </c>
      <c r="P10" s="23">
        <v>50</v>
      </c>
      <c r="Q10" s="23">
        <v>1.5</v>
      </c>
      <c r="R10" s="23">
        <v>0</v>
      </c>
      <c r="S10" s="23">
        <v>1.5</v>
      </c>
    </row>
    <row r="11" spans="1:19" ht="14.4" x14ac:dyDescent="0.3">
      <c r="A11" s="24" t="s">
        <v>130</v>
      </c>
      <c r="B11" s="24" t="s">
        <v>131</v>
      </c>
      <c r="C11" s="24" t="s">
        <v>119</v>
      </c>
      <c r="D11" s="24"/>
      <c r="E11" s="24">
        <v>1</v>
      </c>
      <c r="F11" s="24"/>
      <c r="G11" s="24"/>
      <c r="H11" s="24"/>
      <c r="I11" s="24"/>
      <c r="J11" s="24">
        <v>1</v>
      </c>
      <c r="K11" s="24" t="s">
        <v>67</v>
      </c>
      <c r="L11" s="23" t="s">
        <v>33</v>
      </c>
      <c r="M11" s="23" t="s">
        <v>57</v>
      </c>
      <c r="N11" s="23" t="s">
        <v>28</v>
      </c>
      <c r="O11" s="23" t="s">
        <v>28</v>
      </c>
      <c r="P11" s="23">
        <v>50</v>
      </c>
      <c r="Q11" s="23">
        <v>0.5</v>
      </c>
      <c r="R11" s="23">
        <v>0</v>
      </c>
      <c r="S11" s="23">
        <v>0.5</v>
      </c>
    </row>
    <row r="12" spans="1:19" ht="14.4" x14ac:dyDescent="0.3">
      <c r="A12" s="24" t="s">
        <v>227</v>
      </c>
      <c r="B12" s="24" t="s">
        <v>228</v>
      </c>
      <c r="C12" s="24" t="s">
        <v>167</v>
      </c>
      <c r="D12" s="24"/>
      <c r="E12" s="24"/>
      <c r="F12" s="24"/>
      <c r="G12" s="24"/>
      <c r="H12" s="24"/>
      <c r="I12" s="24">
        <v>2</v>
      </c>
      <c r="J12" s="24">
        <v>2</v>
      </c>
      <c r="K12" s="24" t="s">
        <v>33</v>
      </c>
      <c r="L12" s="23" t="s">
        <v>33</v>
      </c>
      <c r="M12" s="23" t="s">
        <v>63</v>
      </c>
      <c r="N12" s="23" t="s">
        <v>28</v>
      </c>
      <c r="O12" s="23" t="s">
        <v>28</v>
      </c>
      <c r="P12" s="23">
        <v>0</v>
      </c>
      <c r="Q12" s="23">
        <v>2</v>
      </c>
      <c r="R12" s="23">
        <v>0</v>
      </c>
      <c r="S12" s="23">
        <v>0</v>
      </c>
    </row>
    <row r="13" spans="1:19" ht="14.4" x14ac:dyDescent="0.3">
      <c r="A13" s="24" t="s">
        <v>229</v>
      </c>
      <c r="B13" s="24" t="s">
        <v>230</v>
      </c>
      <c r="C13" s="55" t="s">
        <v>167</v>
      </c>
      <c r="D13" s="24"/>
      <c r="E13" s="24"/>
      <c r="F13" s="24"/>
      <c r="G13" s="24"/>
      <c r="H13" s="24"/>
      <c r="I13" s="24">
        <v>1</v>
      </c>
      <c r="J13" s="24">
        <v>1</v>
      </c>
      <c r="K13" s="24" t="s">
        <v>33</v>
      </c>
      <c r="L13" s="23" t="s">
        <v>33</v>
      </c>
      <c r="M13" s="23" t="s">
        <v>63</v>
      </c>
      <c r="N13" s="23" t="s">
        <v>28</v>
      </c>
      <c r="O13" s="23" t="s">
        <v>28</v>
      </c>
      <c r="P13" s="23">
        <v>0</v>
      </c>
      <c r="Q13" s="23">
        <v>1</v>
      </c>
      <c r="R13" s="23">
        <v>0</v>
      </c>
      <c r="S13" s="23">
        <v>0</v>
      </c>
    </row>
    <row r="14" spans="1:19" x14ac:dyDescent="0.25">
      <c r="Q14" s="63">
        <f>SUM(Q2:Q13)</f>
        <v>11.5</v>
      </c>
    </row>
  </sheetData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zoomScaleNormal="100" workbookViewId="0">
      <selection sqref="A1:B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138</v>
      </c>
      <c r="B3" s="5">
        <v>4000</v>
      </c>
    </row>
    <row r="4" spans="1:2" x14ac:dyDescent="0.2">
      <c r="A4" s="4" t="s">
        <v>139</v>
      </c>
      <c r="B4" s="5"/>
    </row>
    <row r="5" spans="1:2" x14ac:dyDescent="0.2">
      <c r="A5" s="4" t="s">
        <v>140</v>
      </c>
      <c r="B5" s="5">
        <v>65113</v>
      </c>
    </row>
    <row r="6" spans="1:2" x14ac:dyDescent="0.2">
      <c r="A6" s="4" t="s">
        <v>141</v>
      </c>
      <c r="B6" s="5">
        <v>32993</v>
      </c>
    </row>
    <row r="7" spans="1:2" x14ac:dyDescent="0.2">
      <c r="A7" s="4" t="s">
        <v>142</v>
      </c>
      <c r="B7" s="5">
        <v>86742</v>
      </c>
    </row>
    <row r="8" spans="1:2" x14ac:dyDescent="0.2">
      <c r="A8" s="4" t="s">
        <v>143</v>
      </c>
      <c r="B8" s="5"/>
    </row>
    <row r="9" spans="1:2" x14ac:dyDescent="0.2">
      <c r="A9" s="4" t="s">
        <v>144</v>
      </c>
      <c r="B9" s="5">
        <v>1000</v>
      </c>
    </row>
    <row r="10" spans="1:2" x14ac:dyDescent="0.2">
      <c r="A10" s="4" t="s">
        <v>145</v>
      </c>
      <c r="B10" s="5"/>
    </row>
    <row r="11" spans="1:2" x14ac:dyDescent="0.2">
      <c r="A11" s="4" t="s">
        <v>146</v>
      </c>
      <c r="B11" s="5">
        <v>800</v>
      </c>
    </row>
    <row r="12" spans="1:2" x14ac:dyDescent="0.2">
      <c r="A12" s="4" t="s">
        <v>4</v>
      </c>
      <c r="B12" s="5"/>
    </row>
    <row r="13" spans="1:2" x14ac:dyDescent="0.2">
      <c r="A13" s="4" t="s">
        <v>147</v>
      </c>
      <c r="B13" s="5">
        <v>58850</v>
      </c>
    </row>
    <row r="14" spans="1:2" x14ac:dyDescent="0.2">
      <c r="A14" s="4" t="s">
        <v>5</v>
      </c>
      <c r="B14" s="5"/>
    </row>
    <row r="15" spans="1:2" x14ac:dyDescent="0.2">
      <c r="A15" s="4" t="s">
        <v>148</v>
      </c>
      <c r="B15" s="5">
        <v>45900</v>
      </c>
    </row>
    <row r="16" spans="1:2" x14ac:dyDescent="0.2">
      <c r="A16" s="4" t="s">
        <v>149</v>
      </c>
      <c r="B16" s="5">
        <v>19.5</v>
      </c>
    </row>
    <row r="17" spans="1:2" x14ac:dyDescent="0.2">
      <c r="A17" s="4" t="s">
        <v>150</v>
      </c>
      <c r="B17" s="5"/>
    </row>
    <row r="18" spans="1:2" x14ac:dyDescent="0.2">
      <c r="A18" s="4" t="s">
        <v>151</v>
      </c>
      <c r="B18" s="5">
        <v>2337.58</v>
      </c>
    </row>
    <row r="19" spans="1:2" x14ac:dyDescent="0.2">
      <c r="A19" s="4" t="s">
        <v>152</v>
      </c>
      <c r="B19" s="5"/>
    </row>
    <row r="20" spans="1:2" x14ac:dyDescent="0.2">
      <c r="A20" s="4" t="s">
        <v>153</v>
      </c>
      <c r="B20" s="5">
        <v>217.34</v>
      </c>
    </row>
    <row r="21" spans="1:2" x14ac:dyDescent="0.2">
      <c r="A21" s="4" t="s">
        <v>154</v>
      </c>
      <c r="B21" s="5"/>
    </row>
    <row r="22" spans="1:2" x14ac:dyDescent="0.2">
      <c r="A22" s="4" t="s">
        <v>155</v>
      </c>
      <c r="B22" s="5">
        <v>219266.1</v>
      </c>
    </row>
    <row r="23" spans="1:2" x14ac:dyDescent="0.2">
      <c r="A23" s="4" t="s">
        <v>156</v>
      </c>
      <c r="B23" s="5">
        <v>73088.7</v>
      </c>
    </row>
    <row r="24" spans="1:2" x14ac:dyDescent="0.2">
      <c r="A24" s="6" t="s">
        <v>2</v>
      </c>
      <c r="B24" s="7">
        <f>SUM(B3:B23)</f>
        <v>590327.22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ABB5-001C-43FD-BE01-B7C38DC3041D}">
  <dimension ref="A1:B24"/>
  <sheetViews>
    <sheetView topLeftCell="B1" workbookViewId="0">
      <selection activeCell="A12" sqref="A12"/>
    </sheetView>
  </sheetViews>
  <sheetFormatPr baseColWidth="10" defaultRowHeight="14.4" x14ac:dyDescent="0.3"/>
  <cols>
    <col min="1" max="1" width="199.5546875" bestFit="1" customWidth="1"/>
  </cols>
  <sheetData>
    <row r="1" spans="1:2" ht="21.6" x14ac:dyDescent="0.3">
      <c r="A1" s="2" t="s">
        <v>0</v>
      </c>
      <c r="B1" s="3" t="s">
        <v>1</v>
      </c>
    </row>
    <row r="2" spans="1:2" x14ac:dyDescent="0.3">
      <c r="A2" s="38" t="s">
        <v>139</v>
      </c>
      <c r="B2" s="39"/>
    </row>
    <row r="3" spans="1:2" x14ac:dyDescent="0.3">
      <c r="A3" s="40" t="s">
        <v>180</v>
      </c>
      <c r="B3">
        <v>58833.279999999999</v>
      </c>
    </row>
    <row r="4" spans="1:2" x14ac:dyDescent="0.3">
      <c r="A4" s="38" t="s">
        <v>181</v>
      </c>
      <c r="B4" s="39"/>
    </row>
    <row r="5" spans="1:2" x14ac:dyDescent="0.3">
      <c r="A5" s="40" t="s">
        <v>182</v>
      </c>
      <c r="B5">
        <v>17028</v>
      </c>
    </row>
    <row r="6" spans="1:2" x14ac:dyDescent="0.3">
      <c r="A6" s="38" t="s">
        <v>183</v>
      </c>
      <c r="B6" s="39"/>
    </row>
    <row r="7" spans="1:2" x14ac:dyDescent="0.3">
      <c r="A7" s="40" t="s">
        <v>184</v>
      </c>
      <c r="B7">
        <v>6160</v>
      </c>
    </row>
    <row r="8" spans="1:2" x14ac:dyDescent="0.3">
      <c r="A8" s="38" t="s">
        <v>185</v>
      </c>
      <c r="B8" s="39"/>
    </row>
    <row r="9" spans="1:2" x14ac:dyDescent="0.3">
      <c r="A9" s="40" t="s">
        <v>186</v>
      </c>
      <c r="B9">
        <v>17900</v>
      </c>
    </row>
    <row r="10" spans="1:2" x14ac:dyDescent="0.3">
      <c r="A10" s="40" t="s">
        <v>187</v>
      </c>
      <c r="B10">
        <v>17900</v>
      </c>
    </row>
    <row r="11" spans="1:2" x14ac:dyDescent="0.3">
      <c r="A11" s="40" t="s">
        <v>188</v>
      </c>
      <c r="B11">
        <v>21.71</v>
      </c>
    </row>
    <row r="12" spans="1:2" x14ac:dyDescent="0.3">
      <c r="A12" s="38" t="s">
        <v>5</v>
      </c>
      <c r="B12" s="39"/>
    </row>
    <row r="13" spans="1:2" x14ac:dyDescent="0.3">
      <c r="A13" s="40" t="s">
        <v>189</v>
      </c>
      <c r="B13">
        <v>469.24</v>
      </c>
    </row>
    <row r="14" spans="1:2" x14ac:dyDescent="0.3">
      <c r="A14" s="38" t="s">
        <v>190</v>
      </c>
      <c r="B14" s="39"/>
    </row>
    <row r="15" spans="1:2" x14ac:dyDescent="0.3">
      <c r="A15" s="40" t="s">
        <v>191</v>
      </c>
      <c r="B15">
        <v>20000</v>
      </c>
    </row>
    <row r="16" spans="1:2" x14ac:dyDescent="0.3">
      <c r="A16" s="38" t="s">
        <v>192</v>
      </c>
      <c r="B16" s="39"/>
    </row>
    <row r="17" spans="1:2" x14ac:dyDescent="0.3">
      <c r="A17" s="40" t="s">
        <v>193</v>
      </c>
      <c r="B17">
        <v>17076.29</v>
      </c>
    </row>
    <row r="18" spans="1:2" x14ac:dyDescent="0.3">
      <c r="A18" s="38" t="s">
        <v>194</v>
      </c>
      <c r="B18" s="39"/>
    </row>
    <row r="19" spans="1:2" x14ac:dyDescent="0.3">
      <c r="A19" s="40" t="s">
        <v>195</v>
      </c>
      <c r="B19">
        <v>44193</v>
      </c>
    </row>
    <row r="20" spans="1:2" x14ac:dyDescent="0.3">
      <c r="A20" s="38" t="s">
        <v>196</v>
      </c>
      <c r="B20" s="39"/>
    </row>
    <row r="21" spans="1:2" x14ac:dyDescent="0.3">
      <c r="A21" s="40" t="s">
        <v>197</v>
      </c>
      <c r="B21">
        <v>17500</v>
      </c>
    </row>
    <row r="22" spans="1:2" x14ac:dyDescent="0.3">
      <c r="A22" s="38" t="s">
        <v>198</v>
      </c>
      <c r="B22" s="39"/>
    </row>
    <row r="23" spans="1:2" x14ac:dyDescent="0.3">
      <c r="A23" s="40" t="s">
        <v>199</v>
      </c>
      <c r="B23">
        <v>18100</v>
      </c>
    </row>
    <row r="24" spans="1:2" x14ac:dyDescent="0.3">
      <c r="A24" s="41" t="s">
        <v>110</v>
      </c>
      <c r="B24" s="42">
        <v>235181.52000000002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176E-50B1-49D8-9567-9E2FFD356C67}">
  <dimension ref="A1:D21"/>
  <sheetViews>
    <sheetView workbookViewId="0">
      <selection activeCell="C21" sqref="C21:D21"/>
    </sheetView>
  </sheetViews>
  <sheetFormatPr baseColWidth="10" defaultRowHeight="14.4" x14ac:dyDescent="0.3"/>
  <cols>
    <col min="2" max="2" width="13.109375" customWidth="1"/>
    <col min="3" max="3" width="81.109375" customWidth="1"/>
    <col min="4" max="4" width="11.6640625" bestFit="1" customWidth="1"/>
  </cols>
  <sheetData>
    <row r="1" spans="1:4" ht="15" thickBot="1" x14ac:dyDescent="0.35">
      <c r="A1" s="43" t="s">
        <v>200</v>
      </c>
      <c r="B1" s="44" t="s">
        <v>201</v>
      </c>
      <c r="C1" s="44" t="s">
        <v>202</v>
      </c>
      <c r="D1" s="45" t="s">
        <v>1</v>
      </c>
    </row>
    <row r="2" spans="1:4" ht="15" thickTop="1" x14ac:dyDescent="0.3">
      <c r="A2" s="46" t="s">
        <v>203</v>
      </c>
      <c r="B2" s="47" t="s">
        <v>139</v>
      </c>
      <c r="C2" s="47" t="s">
        <v>204</v>
      </c>
      <c r="D2" s="48">
        <v>65000.32</v>
      </c>
    </row>
    <row r="3" spans="1:4" x14ac:dyDescent="0.3">
      <c r="A3" s="49" t="s">
        <v>203</v>
      </c>
      <c r="B3" s="50" t="s">
        <v>181</v>
      </c>
      <c r="C3" s="50" t="s">
        <v>205</v>
      </c>
      <c r="D3" s="51">
        <v>11352</v>
      </c>
    </row>
    <row r="4" spans="1:4" x14ac:dyDescent="0.3">
      <c r="A4" s="46" t="s">
        <v>203</v>
      </c>
      <c r="B4" s="47" t="s">
        <v>206</v>
      </c>
      <c r="C4" s="47" t="s">
        <v>207</v>
      </c>
      <c r="D4" s="48">
        <v>8800</v>
      </c>
    </row>
    <row r="5" spans="1:4" x14ac:dyDescent="0.3">
      <c r="A5" s="49" t="s">
        <v>203</v>
      </c>
      <c r="B5" s="50" t="s">
        <v>206</v>
      </c>
      <c r="C5" s="50" t="s">
        <v>208</v>
      </c>
      <c r="D5" s="51">
        <v>8800</v>
      </c>
    </row>
    <row r="6" spans="1:4" x14ac:dyDescent="0.3">
      <c r="A6" s="46" t="s">
        <v>203</v>
      </c>
      <c r="B6" s="47" t="s">
        <v>209</v>
      </c>
      <c r="C6" s="47" t="s">
        <v>210</v>
      </c>
      <c r="D6" s="48">
        <v>880</v>
      </c>
    </row>
    <row r="7" spans="1:4" x14ac:dyDescent="0.3">
      <c r="A7" s="49" t="s">
        <v>203</v>
      </c>
      <c r="B7" s="50" t="s">
        <v>211</v>
      </c>
      <c r="C7" s="50" t="s">
        <v>212</v>
      </c>
      <c r="D7" s="51">
        <v>352</v>
      </c>
    </row>
    <row r="8" spans="1:4" x14ac:dyDescent="0.3">
      <c r="A8" s="46" t="s">
        <v>203</v>
      </c>
      <c r="B8" s="47" t="s">
        <v>213</v>
      </c>
      <c r="C8" s="47" t="s">
        <v>214</v>
      </c>
      <c r="D8" s="48">
        <v>20000</v>
      </c>
    </row>
    <row r="9" spans="1:4" x14ac:dyDescent="0.3">
      <c r="A9" s="49" t="s">
        <v>203</v>
      </c>
      <c r="B9" s="50" t="s">
        <v>215</v>
      </c>
      <c r="C9" s="50" t="s">
        <v>216</v>
      </c>
      <c r="D9" s="51">
        <v>5280</v>
      </c>
    </row>
    <row r="10" spans="1:4" x14ac:dyDescent="0.3">
      <c r="A10" s="46" t="s">
        <v>203</v>
      </c>
      <c r="B10" s="47" t="s">
        <v>185</v>
      </c>
      <c r="C10" s="47" t="s">
        <v>217</v>
      </c>
      <c r="D10" s="48">
        <v>7405.21</v>
      </c>
    </row>
    <row r="11" spans="1:4" x14ac:dyDescent="0.3">
      <c r="A11" s="49" t="s">
        <v>203</v>
      </c>
      <c r="B11" s="50" t="s">
        <v>190</v>
      </c>
      <c r="C11" s="50" t="s">
        <v>218</v>
      </c>
      <c r="D11" s="51">
        <v>20000</v>
      </c>
    </row>
    <row r="12" spans="1:4" x14ac:dyDescent="0.3">
      <c r="A12" s="46" t="s">
        <v>203</v>
      </c>
      <c r="B12" s="47" t="s">
        <v>192</v>
      </c>
      <c r="C12" s="47" t="s">
        <v>219</v>
      </c>
      <c r="D12" s="48">
        <v>23875</v>
      </c>
    </row>
    <row r="13" spans="1:4" x14ac:dyDescent="0.3">
      <c r="A13" s="49" t="s">
        <v>203</v>
      </c>
      <c r="B13" s="50" t="s">
        <v>194</v>
      </c>
      <c r="C13" s="50" t="s">
        <v>220</v>
      </c>
      <c r="D13" s="51">
        <v>52375.41</v>
      </c>
    </row>
    <row r="14" spans="1:4" x14ac:dyDescent="0.3">
      <c r="A14" s="46" t="s">
        <v>203</v>
      </c>
      <c r="B14" s="47" t="s">
        <v>196</v>
      </c>
      <c r="C14" s="47" t="s">
        <v>221</v>
      </c>
      <c r="D14" s="48">
        <v>87500</v>
      </c>
    </row>
    <row r="15" spans="1:4" x14ac:dyDescent="0.3">
      <c r="A15" s="49" t="s">
        <v>203</v>
      </c>
      <c r="B15" s="50" t="s">
        <v>198</v>
      </c>
      <c r="C15" s="50" t="s">
        <v>222</v>
      </c>
      <c r="D15" s="51">
        <v>90500</v>
      </c>
    </row>
    <row r="16" spans="1:4" x14ac:dyDescent="0.3">
      <c r="A16" s="46" t="s">
        <v>203</v>
      </c>
      <c r="B16" s="47" t="s">
        <v>223</v>
      </c>
      <c r="C16" s="47" t="s">
        <v>224</v>
      </c>
      <c r="D16" s="48">
        <v>139919.79999999999</v>
      </c>
    </row>
    <row r="17" spans="1:4" ht="15" thickBot="1" x14ac:dyDescent="0.35">
      <c r="A17" s="49" t="s">
        <v>203</v>
      </c>
      <c r="B17" s="50" t="s">
        <v>154</v>
      </c>
      <c r="C17" s="50" t="s">
        <v>225</v>
      </c>
      <c r="D17" s="51">
        <v>0.01</v>
      </c>
    </row>
    <row r="18" spans="1:4" ht="15" thickTop="1" x14ac:dyDescent="0.3">
      <c r="A18" s="52" t="s">
        <v>2</v>
      </c>
      <c r="B18" s="53"/>
      <c r="C18" s="53"/>
      <c r="D18" s="54">
        <v>542039.75</v>
      </c>
    </row>
    <row r="21" spans="1:4" x14ac:dyDescent="0.3">
      <c r="C21" s="64" t="s">
        <v>226</v>
      </c>
      <c r="D21" s="65">
        <f>D18+'ingresos investigación 2020'!B24+'Ingresos investigación 2019'!B24</f>
        <v>1367548.49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Investigación ingresos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cp:lastPrinted>2019-07-03T07:26:29Z</cp:lastPrinted>
  <dcterms:created xsi:type="dcterms:W3CDTF">2019-07-03T07:15:54Z</dcterms:created>
  <dcterms:modified xsi:type="dcterms:W3CDTF">2022-10-18T15:44:38Z</dcterms:modified>
</cp:coreProperties>
</file>