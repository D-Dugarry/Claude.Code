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F25FA89F-ED3B-49CE-BDC2-FBBDF3D33977}" xr6:coauthVersionLast="47" xr6:coauthVersionMax="47" xr10:uidLastSave="{00000000-0000-0000-0000-000000000000}"/>
  <bookViews>
    <workbookView xWindow="22932" yWindow="-108" windowWidth="23256" windowHeight="12456" tabRatio="728" xr2:uid="{00000000-000D-0000-FFFF-FFFF00000000}"/>
  </bookViews>
  <sheets>
    <sheet name="Tesis" sheetId="8" r:id="rId1"/>
    <sheet name="Sexenios" sheetId="9" r:id="rId2"/>
    <sheet name="Ingresos investigación 2019" sheetId="12" r:id="rId3"/>
    <sheet name="Ingresos investigación 2020" sheetId="14" r:id="rId4"/>
    <sheet name="Ingresos investigación 2021" sheetId="17" r:id="rId5"/>
    <sheet name="Ingresos formación 2019" sheetId="13" r:id="rId6"/>
    <sheet name="Ingresos formación 2020" sheetId="16" r:id="rId7"/>
    <sheet name="Ingresos formación 2021" sheetId="18" r:id="rId8"/>
  </sheets>
  <definedNames>
    <definedName name="_xlnm._FilterDatabase" localSheetId="1" hidden="1">Sexenios!$A$1:$S$1</definedName>
    <definedName name="_xlnm._FilterDatabase" localSheetId="0" hidden="1">Tesis!$A$1:$U$67</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9" i="9" l="1"/>
  <c r="S68" i="8" l="1"/>
  <c r="B18" i="17" l="1"/>
  <c r="B10" i="16" l="1"/>
  <c r="B6" i="14"/>
  <c r="B9" i="13" l="1"/>
  <c r="B14" i="16" s="1"/>
  <c r="B8" i="12"/>
  <c r="B22" i="17" s="1"/>
</calcChain>
</file>

<file path=xl/sharedStrings.xml><?xml version="1.0" encoding="utf-8"?>
<sst xmlns="http://schemas.openxmlformats.org/spreadsheetml/2006/main" count="1347" uniqueCount="364">
  <si>
    <t>Orgánica
Descripción justificante</t>
  </si>
  <si>
    <t>Importe</t>
  </si>
  <si>
    <t>Total</t>
  </si>
  <si>
    <t>33.10.2T.00.03</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</si>
  <si>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</si>
  <si>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</si>
  <si>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</si>
  <si>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</si>
  <si>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</si>
  <si>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</si>
  <si>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</si>
  <si>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</si>
  <si>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</si>
  <si>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</si>
  <si>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</si>
  <si>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</si>
  <si>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</si>
  <si>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</si>
  <si>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</si>
  <si>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</si>
  <si>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</si>
  <si>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</si>
  <si>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</si>
  <si>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</si>
  <si>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</si>
  <si>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</si>
  <si>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</si>
  <si>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</si>
  <si>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</si>
  <si>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 </t>
  </si>
  <si>
    <t>28/09/2017 </t>
  </si>
  <si>
    <t>28/09/2018 </t>
  </si>
  <si>
    <t>30/07/2019 </t>
  </si>
  <si>
    <t>29/07/2019 </t>
  </si>
  <si>
    <t>U025 </t>
  </si>
  <si>
    <t>ADM. FACULTAD DE DERECHO </t>
  </si>
  <si>
    <t>DOCTORADO EN DERECHO </t>
  </si>
  <si>
    <t>B112 </t>
  </si>
  <si>
    <t>DIDACTICA GENERAL Y DIDÁCTICAS ESPECÍFICAS </t>
  </si>
  <si>
    <t>DOCTORADO EN INVESTIGACIÓN EDUCATIVA </t>
  </si>
  <si>
    <t>19/07/2017 </t>
  </si>
  <si>
    <t>29/09/2017 </t>
  </si>
  <si>
    <t>10.25</t>
  </si>
  <si>
    <t>10.17</t>
  </si>
  <si>
    <t>30</t>
  </si>
  <si>
    <t>DOCTORADO EN INVESTIGACIÓN EDUCATIVA: ENSEÑANZA Y APRENDIZAJE </t>
  </si>
  <si>
    <t>21478406V </t>
  </si>
  <si>
    <t>B112</t>
  </si>
  <si>
    <t>73536751R </t>
  </si>
  <si>
    <t>25126858W </t>
  </si>
  <si>
    <t>21362631R </t>
  </si>
  <si>
    <t>21386831M </t>
  </si>
  <si>
    <t>10.20</t>
  </si>
  <si>
    <t>20</t>
  </si>
  <si>
    <t>B177 </t>
  </si>
  <si>
    <t>PSICOLOGÍA EVOLUTIVA Y DIDÁCTICA </t>
  </si>
  <si>
    <t>19964753V </t>
  </si>
  <si>
    <t>21506145H </t>
  </si>
  <si>
    <t>10.19</t>
  </si>
  <si>
    <t>Cambronero Resta, Miguel </t>
  </si>
  <si>
    <t>EFECTOS DE LAS MEDIAS COMPRENSIVAS GRADUALES SOBRE EL ORGANISMO TRAS SU USO PROLONGADO </t>
  </si>
  <si>
    <t>10/05/2017 </t>
  </si>
  <si>
    <t>21660466D </t>
  </si>
  <si>
    <t>Cobos Velasco, Juan Carlos </t>
  </si>
  <si>
    <t>ANÁLISIS, EVALUACIÓN E INTEGRACIÓN DE MOODLE CON HERRAMIENTAS DE LA WEB 2.0 EN LA UNIVERSIDAD CENTRAL DEL ECUADOR 2014-15 </t>
  </si>
  <si>
    <t>11/07/2017 </t>
  </si>
  <si>
    <t>Colomer Barberá, Rafael </t>
  </si>
  <si>
    <t>EFECTO DE LA ENSEÑANZA PROBLEMATIZADA DE LA ASTRONOMÍA DIURNA (CICLOS Y SIMETRÍAS DEL MOVIMIENTO DEL SOL Y EL MODELO SOL/TIERRA) EN LOS CONOMICIEMTOS Y LAS ACTITUDES DE LOS FUTUROS MAESTROS DE PRIMARIA </t>
  </si>
  <si>
    <t>48345196R </t>
  </si>
  <si>
    <t>Figueroa Angel, Melba Ximena </t>
  </si>
  <si>
    <t>LA RELACIÓN ENTRE LA INCLUSIÓN Y LOS VALORES EN TRES INSTITUCIONES EDUCATIVAS DEL MUNICIPIO DE CHÍA-CUNDINAMARCA (COLOMBIA) </t>
  </si>
  <si>
    <t>García Vidal, Marcos </t>
  </si>
  <si>
    <t>DESPLIEGUE DE LA SUBJETIVIDAD DOCENTE. PERCEPCIONES Y PROYECCIONES AXIOLÓGICAS RESPECTO A LA CONVIVENCIA ESCOLAR </t>
  </si>
  <si>
    <t>Guerrero Gallardo, Héctor Iván </t>
  </si>
  <si>
    <t>EL DESARROLLO PROFESIONAL DE LOS DOCENTES NOVELES DE LA UNIVERSIDAD CENTRAL DEL ECUADOR DESDE LA NARRATIVA DE SUS PROTAGONISTAS </t>
  </si>
  <si>
    <t>17/07/2017 </t>
  </si>
  <si>
    <t>Logroño , Mercy Julieta </t>
  </si>
  <si>
    <t>GÉNERO Y EDUCACIÓN SUPERIOR DESDE LAS VOCES DE LAS ACADÉMICAS: CASO UNIVERSIDAD CENTRAL DEL ECUADOR </t>
  </si>
  <si>
    <t>Mañas Pérez, Antonio Francisco </t>
  </si>
  <si>
    <t>DE LA AUDICIÓN MUSICAL ACTIVA A LA AUDICIÓN MUSICAL INTERACTIVA </t>
  </si>
  <si>
    <t>19/09/2017 </t>
  </si>
  <si>
    <t>PALACIOS TERAN, GALO ALEJANDRO </t>
  </si>
  <si>
    <t>LA PRÁCTICA DE ÉTICA Y VALORES DE LOS DOCENTES, SU INCIDENCIA EN LA FORMACIÓN PROFESIONAL DE LOS ESTUDIANTES DE LA FACULTAD DE FILOSOÍA, UNIVERSIDAD CENTRAL DE ECUADOR. </t>
  </si>
  <si>
    <t>Pérez Narváez, Hamilton Omar </t>
  </si>
  <si>
    <t>USO DE SCRATCH COMO HERRAMIENTA PARA EL DESARROLLO DEL PENSAMIENTO COMPUTACIONAL EN PROGRAMACIÓN I DE LA CARRERA DE INFORMÁTICA DE LA UNIVERSIDAD CENTRAL DEL ECUADOR </t>
  </si>
  <si>
    <t>Ríos Riquelme, Raúl </t>
  </si>
  <si>
    <t>LOS IMPACTOS DE LA RESPONSABILIDAD SOCIAL EN CENTROS DEPORTIVOS </t>
  </si>
  <si>
    <t>20/07/2017 </t>
  </si>
  <si>
    <t>21515031A </t>
  </si>
  <si>
    <t>Sellés Pérez, Sergio </t>
  </si>
  <si>
    <t>EFECTOS DE LA DISTRIBUCIÓN DE LA INTENSIDAD DE ENTRENAMIENTO EN TRIATLETAS POPULARES DE LARGA DISTANCIA: MODELO POLARIZADO Y MODELO ENTRE UMBRALES </t>
  </si>
  <si>
    <t>21/07/2017 </t>
  </si>
  <si>
    <t>71018179K </t>
  </si>
  <si>
    <t>Simbaña Cabrera, Héctor Alfonso </t>
  </si>
  <si>
    <t>LAS IMPLICACIONES PEDAGÓGICAS DE LA VINCULACIÓN CON LA SOCIEDAD EN LA FORMACIÓN DOCENTE DE LOS ESTUDIANTES DE LA FACULTAD DE FILOSOFÍA, LETRAS Y CIENCIAS DE LA EDUCACIÓN DE LA UNIVERSIDAD CENTRAL DEL ECUADOR </t>
  </si>
  <si>
    <t>Zarco Pleguezuelos, Pablo </t>
  </si>
  <si>
    <t>ANÁLISIS MULTIFACTORIAL DE LOS COMBATES DE JUDO MASCULINO EN CAMPEONATOS DEL MUNDO Y JUEGOS OLÍMPICOS EN EL PERÍODO 2014-16. </t>
  </si>
  <si>
    <t>24/07/2017 </t>
  </si>
  <si>
    <t>Candela Sevila, Virgilio Francisco </t>
  </si>
  <si>
    <t>LA TRANSICIÓN POLÍTICA A LA DEMOCRACIA EN LA PROVINCIA DE ALICANTE: HISTORIA DE LA UNIÓN DE CENTRO DEMOCRÁTICO (1973-1983) </t>
  </si>
  <si>
    <t>10/09/2018 </t>
  </si>
  <si>
    <t>21457927P </t>
  </si>
  <si>
    <t>80</t>
  </si>
  <si>
    <t>Ferriz Valero, Alberto </t>
  </si>
  <si>
    <t>IDENTIFICACIÓN DE FACTORES PARA EL DESARROLLO DEL TALENTO DEPORTIVO EN JÓVENES TRIATLETAS </t>
  </si>
  <si>
    <t>08/06/2018 </t>
  </si>
  <si>
    <t>GIMÉNEZ MESEGUER, JORGE </t>
  </si>
  <si>
    <t>BENEFICIOS DEL EJERCICIO FÍSICO EN POBLACIÓN DROGODEPENDIENTE </t>
  </si>
  <si>
    <t>16/07/2018 </t>
  </si>
  <si>
    <t>León Ravina, Gemma María del Rosario </t>
  </si>
  <si>
    <t>LA ÓPERA EN CÁDIZ EN EL SIGLO XIX, UN ESTUDIO CUALITATIVO </t>
  </si>
  <si>
    <t>11/04/2018 </t>
  </si>
  <si>
    <t>Martin ., Tania Josephine </t>
  </si>
  <si>
    <t>PROTEST MUSIC, SOCIETY AND SOCIAL CHANGE </t>
  </si>
  <si>
    <t>Martínez Canales, Celeste </t>
  </si>
  <si>
    <t>NIVELES DE ACTIVIDAD FÍSICA Y FACTORES QUE INFLUYEN EN EL SEDENTARISMO O EN LA PRÁCTICA DE ACTIVIDAD FÍSICA EN PERSONAS CON DETERIORO COGNITIVO LEVE Y ALZHEIMER LEVE </t>
  </si>
  <si>
    <t>12/09/2018 </t>
  </si>
  <si>
    <t>Picón Martínez, Moisés </t>
  </si>
  <si>
    <t>EFECTOS AGUDOS DEL ENTRENAMIENTO CON RESTRICIÓN DEL FLUJO SANGUÍNEO SOBRE EL TENDÓN, LA RESPUESTA CARDIOVASCULAR Y LA RESPUESTA MUSCULAR </t>
  </si>
  <si>
    <t>17/09/2018 </t>
  </si>
  <si>
    <t>53250074Z </t>
  </si>
  <si>
    <t>Alonso Aubin, Diego Alexandre </t>
  </si>
  <si>
    <t>EFECTO DEL ENTRENAMIENTO MULTICOMPONENTE EN JUGADORES DE RUGBY EN ETAPAS DE DESARROLLO. EFFECTS OF MULTICOMPONENT TRAINING ON RUGBY PLAYERS IN DEVELOPMENTAL STAGES </t>
  </si>
  <si>
    <t>19/09/2019 </t>
  </si>
  <si>
    <t>García Jaén, Miguel </t>
  </si>
  <si>
    <t>FACTORES INFLUYENTES EN LA ACTIVACIÓN DE LA MUSCULATURA LUMBAR Y ABDOMINAL EN EL EJERCICIO DE LA PLANCHA PRONO. INFLUENTIAL FACTORS ON THE LUMBAR AND ABDOMINAL MUSCULATURE ACTIVATION IN THE PRONE PLANK EXERCISE </t>
  </si>
  <si>
    <t>20/09/2019 </t>
  </si>
  <si>
    <t>Gomis Gomis, María José </t>
  </si>
  <si>
    <t>EFECTOS DE UN PROGRAMA DE ACTIVIDAD FÍSICA BASADO EN LOS AVANCES TECNOLÓGICOS: LOS ENTORNOS VIRTUALES MOTRICES COMO PROMOTORES DE SALUD </t>
  </si>
  <si>
    <t>Lorenzo Lledó, Alejandro </t>
  </si>
  <si>
    <t>PERCEPCIONES DEL ALUMNADO DEL GRADO DE MAESTRO EN UNIVERSIDADES ESPAÑOLAS SOBRE EL CINE COMO RECURSO DIDÁCTICO EN EDUCACIÓN INFANTIL Y PRIMARIA </t>
  </si>
  <si>
    <t>22/05/2019 </t>
  </si>
  <si>
    <t>Martínez Benítez, Jenny Esmeralda </t>
  </si>
  <si>
    <t>DIFERENCIALES DE GÉNERO Y ACTIVIDAD FÍSICA EN LOS ESTUDIANTES DE LA UNIVERSIDAD CENTRAL DEL ECUADOR </t>
  </si>
  <si>
    <t>18/10/2018 </t>
  </si>
  <si>
    <t>Ramirez Cruz, Yanira Mesalina </t>
  </si>
  <si>
    <t>APRENDIZAJE BASADO EN EL USO DE MOODLE. EVALUACIÓN Y DISEÑO DE UN PLAN DE MEJORA CONTINUA EN LA ASIGNATURA DE ADMINISTRACIÓN II DE LA LICENCIATURA EN ADMINISTRACIÓN DE EMPRESAS DE LA FACULTAD DE CIENCIAS EMPRESARIALES DE LA UNIVERSIDAD TECNOLÓGICA DE </t>
  </si>
  <si>
    <t>10.23</t>
  </si>
  <si>
    <t>NIF</t>
  </si>
  <si>
    <t>NOMBRE_COMPLETO</t>
  </si>
  <si>
    <t>TIPO_SEXENIO</t>
  </si>
  <si>
    <t>Total general</t>
  </si>
  <si>
    <t>INS
1</t>
  </si>
  <si>
    <t>DED
INS 1</t>
  </si>
  <si>
    <t>INS
2</t>
  </si>
  <si>
    <t>DED
INS 2</t>
  </si>
  <si>
    <t>DED
DEP</t>
  </si>
  <si>
    <t>SEX
INS 1</t>
  </si>
  <si>
    <t>SEX
INS 2</t>
  </si>
  <si>
    <t>SEX
DEP</t>
  </si>
  <si>
    <t>FUNCIONARIO</t>
  </si>
  <si>
    <t>NO FUNCIONARIO</t>
  </si>
  <si>
    <t>25339428Y</t>
  </si>
  <si>
    <t>ALARCON LOPEZ, FRANCISCO</t>
  </si>
  <si>
    <t>71018179K</t>
  </si>
  <si>
    <t>CEJUELA ANTA, ROBERTO</t>
  </si>
  <si>
    <t>21660466D</t>
  </si>
  <si>
    <t>CORTELL TORMO, JUAN MANUEL</t>
  </si>
  <si>
    <t>73536751R</t>
  </si>
  <si>
    <t>ESTEVE FAUBEL, JOSE MARIA</t>
  </si>
  <si>
    <t>76941801Q</t>
  </si>
  <si>
    <t>IGLESIAS MARTINEZ, MARCOS JESUS</t>
  </si>
  <si>
    <t>48364767E</t>
  </si>
  <si>
    <t>JIMENEZ OLMEDO, JOSE MANUEL</t>
  </si>
  <si>
    <t>74221742Y</t>
  </si>
  <si>
    <t>LIMIÑANA MORCILLO, RUBEN</t>
  </si>
  <si>
    <t>48379979P</t>
  </si>
  <si>
    <t>LOZANO CABEZAS, INES</t>
  </si>
  <si>
    <t>07860559X</t>
  </si>
  <si>
    <t>MANCHADO LOPEZ, MARIA DEL CARMEN</t>
  </si>
  <si>
    <t>21386831M</t>
  </si>
  <si>
    <t>MARTINEZ TORREGROSA, JOAQUIN</t>
  </si>
  <si>
    <t>48345196R</t>
  </si>
  <si>
    <t>MENARGUES MARCILLA, MARIA ASUNCION</t>
  </si>
  <si>
    <t>48769418B</t>
  </si>
  <si>
    <t>MERMA MOLINA, GLADYS</t>
  </si>
  <si>
    <t>21478406V</t>
  </si>
  <si>
    <t>PEREZ TURPIN, JOSE ANTONIO</t>
  </si>
  <si>
    <t>21506145H</t>
  </si>
  <si>
    <t>PUEO ORTEGA, BASILIO</t>
  </si>
  <si>
    <t>21686601Q</t>
  </si>
  <si>
    <t>RICO GOMEZ, MARIA LUISA</t>
  </si>
  <si>
    <t>25126858W</t>
  </si>
  <si>
    <t>ROIG VILA, ROSABEL</t>
  </si>
  <si>
    <t>21515031A</t>
  </si>
  <si>
    <t>TORTOSA MARTINEZ, JUAN</t>
  </si>
  <si>
    <t>33.10.6C.00.07</t>
  </si>
  <si>
    <t xml:space="preserve">Test de Parametrización específica con tomas de lactato a los deportistas de tecnificación de la FRCV: apoyo científico- técnico al equipo de tecnificación de la FRCV. </t>
  </si>
  <si>
    <t>33.10.6F.00.03</t>
  </si>
  <si>
    <t>REINTEGRO CUOTA PATRONAL CORRESPONDIENTE AL MES DE DICIEMBRE DE 2019</t>
  </si>
  <si>
    <t>33.10.6P.00.11</t>
  </si>
  <si>
    <t>PRIMER PAGO CONVOCATORIA REDES DE INVESTIGACIÓN 2019/1-24/UPB/19 REDES DE INVESTIGACIÓN EN CC DEL DEPORTE.-18101219310003850-2019/004175 REF: 24/UPB/19</t>
  </si>
  <si>
    <t>33.10.2T.00.01</t>
  </si>
  <si>
    <t>Liquidación  PLAN GD40 curso ''DISEÑO Y CREACIÓN DE WEBQUEST. APRENDIZAJE A TRAVÉS DE INTERNET'' ORDEN 5485</t>
  </si>
  <si>
    <t>PLAN GD39 DISEÑO DE MURALES MULTIMEDIA EN INTERNET COMO RECURSO DIDÁCTICO</t>
  </si>
  <si>
    <t>Liquidación  PLAN GD37 curso ''BLOGS. UN RECURSO PARA EL AULA'' ORDEN 5441</t>
  </si>
  <si>
    <t>33.10.2T.00.08</t>
  </si>
  <si>
    <t>Liquidación PLAN GE22 " VI Seminario Internacional Hispome. Enseñanza y memoria democrática"</t>
  </si>
  <si>
    <t>López Guevara, Noris Isabel </t>
  </si>
  <si>
    <t>LA ATENCIÓN TUTORIAL. APROXIMACIÓN A UN MODELO BASADO EN EL APRENDIZAJE SOCIAL/COMUNIDAD DE APRENDIZAJE </t>
  </si>
  <si>
    <t>29/10/2019 </t>
  </si>
  <si>
    <t>Olaya Cuartero, Javier </t>
  </si>
  <si>
    <t>Análisis del rendimiento del segmento de carrera a pie en triatlón mediante la potencia y la técnica </t>
  </si>
  <si>
    <t>10/12/2019 </t>
  </si>
  <si>
    <t>52773764B</t>
  </si>
  <si>
    <t>GOMEZ TRIGUEROS, ISABEL MARIA</t>
  </si>
  <si>
    <t>15421692P</t>
  </si>
  <si>
    <t>PENICHET TOMAS, ALFONSO</t>
  </si>
  <si>
    <t>48561192G</t>
  </si>
  <si>
    <t>ROSA CINTAS, SERGIO</t>
  </si>
  <si>
    <t>COD DEP</t>
  </si>
  <si>
    <t>10.21</t>
  </si>
  <si>
    <t>21501988R</t>
  </si>
  <si>
    <t>AVALOS RAMOS, MARIA ALEJANDRA</t>
  </si>
  <si>
    <t>21633898Y</t>
  </si>
  <si>
    <t>SEBASTIA ALCARAZ, RAFAEL</t>
  </si>
  <si>
    <t>33492789M</t>
  </si>
  <si>
    <t>CHINCHILLA MIRA, JUAN JOSE</t>
  </si>
  <si>
    <t>79107466R</t>
  </si>
  <si>
    <t>CARBONELL MARTINEZ, JOSE ANTONIO</t>
  </si>
  <si>
    <t>Rojas Viteri, Juan Carlos </t>
  </si>
  <si>
    <t>MODELO FLIPPED LEARNING APLICADO A LA ASIGNATURA DE SISTEMAS OPERATIVOS II DE LA CARRERA DE INFORMÁTICA DE LA UCE: ESTUDIO DE CASO PARA MEDIR EL NIVEL DE MOTIVACIÓN Y SATISFACCIÓN TECNOLÓGICA EN EL USO DE LA PLATAFORMA MOODLE </t>
  </si>
  <si>
    <t>04/11/2020 </t>
  </si>
  <si>
    <t>Blanco Reyes, Lidia </t>
  </si>
  <si>
    <t>EL DESARROLLO PROFESIONAL DOCENTE A TRAVÉS DEL PROGRAMA ERASMUS+: UN ESTUDIO DE CASOS </t>
  </si>
  <si>
    <t>15/12/2020 </t>
  </si>
  <si>
    <t>76941801Q </t>
  </si>
  <si>
    <t>48379979P </t>
  </si>
  <si>
    <t>Blanes Mora, Ruben </t>
  </si>
  <si>
    <t>EL GRUPO FOTOGRÁFICO AFAL. LA HISTORIA VISUAL DE ESPAÑA (1956-1963) </t>
  </si>
  <si>
    <t>05/10/2020 </t>
  </si>
  <si>
    <t>Grau Barrera, Beatriz </t>
  </si>
  <si>
    <t>"Modelo de gestión para la innovación e integración digital progresiva en un centro educativo basado en la mejora continua y el liderazgo compartido" </t>
  </si>
  <si>
    <t>U023 </t>
  </si>
  <si>
    <t>ADM. FACULTAD DE FILOSOFIA Y LETRAS </t>
  </si>
  <si>
    <t>DOCTORADO EN FILOSOFÍA Y LETRAS </t>
  </si>
  <si>
    <t>Latorre Aizaga, Franklin Lenin </t>
  </si>
  <si>
    <t>IMPACTO DE LAS POLÍTICAS ECONOMICAS-LABORALES EN LAS CONDICIONES DE TRABAJO EN ECUADOR (2007-2017) </t>
  </si>
  <si>
    <t>23/10/2020 </t>
  </si>
  <si>
    <t>Gómez Ramos, Julia </t>
  </si>
  <si>
    <t>Análisis de los factores de rendimiento en la práctica del estilo Choy Lee Fut de Kung-Fu y en combates de Sanda </t>
  </si>
  <si>
    <t>28/05/2021 </t>
  </si>
  <si>
    <t>48379055G </t>
  </si>
  <si>
    <t>Sebastia Amat, Sergio </t>
  </si>
  <si>
    <t>Propuesta de evaluación motriz en personas com enfermedad de Parkinson / Motor evaluation proposal for people with Parkinson Disease </t>
  </si>
  <si>
    <t>20/07/2021 </t>
  </si>
  <si>
    <t>Urrea Solano, María Encarnación </t>
  </si>
  <si>
    <t>El liderazgo de las académicas en la Educación Superior: un estudio de caso </t>
  </si>
  <si>
    <t>22/02/2021 </t>
  </si>
  <si>
    <t>48769418B </t>
  </si>
  <si>
    <t>Nicolás Castellano, Carolina </t>
  </si>
  <si>
    <t>Hacia el cambio didáctico en la enseñanza de las ciencias en la educación primaria: de la enseñanza transmisiva a la enseñanza problematizada </t>
  </si>
  <si>
    <t>20/04/2021 </t>
  </si>
  <si>
    <t>Diseño y evaluación de un programa para el desarrollo de la competencia investigadora en la formación inicial de docentes: percepción de alumnado y profesorado </t>
  </si>
  <si>
    <t>30/09/2021 </t>
  </si>
  <si>
    <t>Cazarez Valdiviezo, José Luis </t>
  </si>
  <si>
    <t>Competencias del profesorado universitario en relación al uso de Tecnologías de la Información y Comunicación. Un estudio de caso en la Universidad Central de Ecuador </t>
  </si>
  <si>
    <t>18/02/2021 </t>
  </si>
  <si>
    <t>Silva Martínez, Gardenia </t>
  </si>
  <si>
    <t>Análisis de las dificultades de los estudiantes para desarrollar su carrera en al Universidad UTE Santo Domingo (Ecuador) </t>
  </si>
  <si>
    <t>19/02/2021 </t>
  </si>
  <si>
    <t>Sierra Pazmiño, Diego Xavier </t>
  </si>
  <si>
    <t>Evaluación de las competencias digitales en la formación inicial docente de los y las estudiantes de la Facultad de Filosofía y Letras y Ciencias de la Educación de la Universidad Central de Ecuador </t>
  </si>
  <si>
    <t>25/02/2021 </t>
  </si>
  <si>
    <t>Fabra Brell, Eugenio </t>
  </si>
  <si>
    <t>Flipped Learning y Aprendizaje Musical: Un estudio colectivo de casos con estudiantes de Educación Secundaria Obligatoria en un entorno rural </t>
  </si>
  <si>
    <t>Morillo Revelo, Edgardo Javier </t>
  </si>
  <si>
    <t>Reducción de la pobreza en Ecuador (2007-2017). El caso del Cantón Pedro Moncayo </t>
  </si>
  <si>
    <t>27/04/2021 </t>
  </si>
  <si>
    <t>Ramos Altamira, Ignacio </t>
  </si>
  <si>
    <t>"Rafael Altamira y Crevea y su contribución a la educación popular y la escuela pública española" </t>
  </si>
  <si>
    <t>29/07/2021 </t>
  </si>
  <si>
    <t>21633898Y </t>
  </si>
  <si>
    <t>U062 </t>
  </si>
  <si>
    <t>ADM. I.U. DE INVESTIGACIÓN INFORMÁTICA </t>
  </si>
  <si>
    <t>DOCTORADO EN INFORMÁTICA </t>
  </si>
  <si>
    <t>Jiménez Álvarez, Luis Gonzalo </t>
  </si>
  <si>
    <t>Diseño y Especificación del ocio digital con fines de aprendizaje ODFA Subproblema: Ocio digital formativo en competencias ODFC para la UCE </t>
  </si>
  <si>
    <t>21686601Q </t>
  </si>
  <si>
    <t>U075 </t>
  </si>
  <si>
    <t>ADM. I.U.INVESTIGACIÓN DE ESTUDIOS SOCIALES DE AMÉRICA LATINA </t>
  </si>
  <si>
    <t>DOCTORADO EN HUMANIDADES Y ESTUDIOS SOCIALES DE AMÉRICA LATINA </t>
  </si>
  <si>
    <t>Hoyos Londoño, María Carmenza </t>
  </si>
  <si>
    <t>Vida y obra del poeta colombiano Raúl Gómez Jattin: su indiscutible propensión a la poesía </t>
  </si>
  <si>
    <t>02/07/2021 </t>
  </si>
  <si>
    <t>REINTEGRO CUOTA PATRONAL CORRESPONDIENTE AL MES DE ENERO DE 2020.</t>
  </si>
  <si>
    <t>33.10.6P.00.13</t>
  </si>
  <si>
    <t>SUBVENCIONES PARA LA REALIZACIÓN DE PROYECTOS DE I+D+I DESARROLLADOS POR GRUPOS DE INVESTIGACIÓN EMERGENTES GV/2020 (NNOVACIÓN,UNIVERSIDADES,CIENCIA SOC.DIG)</t>
  </si>
  <si>
    <t>33.10.2T.00.09</t>
  </si>
  <si>
    <t>Liquidación PLAN GE90 "FORMACIÓN DE VOLUNTARIOS PARA UN PROGRAMA DE EJERCICIO FÍSICO CON PERSONAS CON DETERIORO COGNITIVO LEVE Y ENFERMEDAD DE ALZHEIMER"</t>
  </si>
  <si>
    <t>33.10.2T.00.10</t>
  </si>
  <si>
    <t>Liquidación PLAN GD37 "Blogs. Un recurso para el aula"</t>
  </si>
  <si>
    <t>33.10.2T.00.11</t>
  </si>
  <si>
    <t xml:space="preserve">1ª Liquidación Curso GD39 Diseño de murales multimedia en internet como recurso didáctico </t>
  </si>
  <si>
    <t>33.10.2T.00.12</t>
  </si>
  <si>
    <t>Plan GD40 2019/20  Curso diseño y creación de webquest. Aprendizaje a través de internet</t>
  </si>
  <si>
    <t>33.10.6C.00.09</t>
  </si>
  <si>
    <t xml:space="preserve">Realización de test de rendimiento sobre tapiz rodante o en pista de atletismo utilizando diferentes modelos de mascarillas desarrolladas dentro del proyecto AUSTRAL-CDTI de I+D: SPORT MASK </t>
  </si>
  <si>
    <t>33.10.6C.00.10</t>
  </si>
  <si>
    <t>Nº de pedido: PC.21-4149 Proyecto: SPORTMASK Realización de test de rendimiento sobre tapiz rodante o en pista de atletismo utilizando diferentes modelos de mascarillas, tanto convencionales, como sensorizadas, desarrolladas en el proyecto SportMask. Análisis y valoración de la influencia del uso de los prototipos de mascarillas en el rendimiento del deportista.</t>
  </si>
  <si>
    <t>33.10.6M.00.06</t>
  </si>
  <si>
    <t>ACTIVIDADES DE FORMACIÓN DE ENTRENAMIENTO DE TRIATLÓN EN CURSOS DE LA FEDERACIÓN Y JORNADAS TÉCNICAS.</t>
  </si>
  <si>
    <t>Supervisión y formación de los técnicos y deportistas del programa de tecnificación sobre la planificación y organización del entrenamiento en altitud.</t>
  </si>
  <si>
    <t>Supervisión y formación a los técnicos y deportistas del programa de tecnificación sobre la evaluación y control de la carga de entrenamiento.</t>
  </si>
  <si>
    <t>33.10.6P.00.12</t>
  </si>
  <si>
    <t>INNVA1/2020/81 ERGOTex. Mejora de la ergonomía laboral mediante la evaluación de las posturas adoptadas en diferentes puestos de trabajo.</t>
  </si>
  <si>
    <t>RESOLUCIÓN CONCESIÓN SUBVENCIONESEMERGENTES GV 2020 EN 2021</t>
  </si>
  <si>
    <t>33.10.6P.00.14</t>
  </si>
  <si>
    <t>AYUDAS GRUPOS EMERGENTES ANUALIDAD 2021</t>
  </si>
  <si>
    <t>33.10.6P.00.15</t>
  </si>
  <si>
    <t>Sánchez García, Luis Fermín </t>
  </si>
  <si>
    <t>Factores condicionales de rendimiento deportivo en corredores jóvenes de trail running </t>
  </si>
  <si>
    <t>15/06/2021 </t>
  </si>
  <si>
    <t>48364767E </t>
  </si>
  <si>
    <t>Brenes Maltez, Perla Mayela </t>
  </si>
  <si>
    <t>Serrano Ramón, Josep Manel </t>
  </si>
  <si>
    <t>"Efectos de la restricción del flujo sanguíneo durante el entrenamiento de fuerza en base a la velocidad </t>
  </si>
  <si>
    <t>10/02/2022 </t>
  </si>
  <si>
    <t>Ruano Masiá, Carmen </t>
  </si>
  <si>
    <t>Comparación del rendimiento físico y técnico en diferentes fases del ciclo menstrual en deportistas de gimnasia rítmica de nivel nacional </t>
  </si>
  <si>
    <t>18/02/2022 </t>
  </si>
  <si>
    <t>García del Castillo López, Fernando </t>
  </si>
  <si>
    <t>Estilos de vida, comportamiento digital, estado emocional y actividad física en situación de confinamiento por la COVID-19, en una muestra de estudiantes universitarios </t>
  </si>
  <si>
    <t>11/03/2022 </t>
  </si>
  <si>
    <t>Elvira Aranda, Carlos </t>
  </si>
  <si>
    <t>ANÁLISIS DEL COMPORTAMIENTO OFENSIVO EN FÚTBOL: LAS SITUACIONES DE JUEGO REDUCIDO COMO VARIABLES EXPLICATIVAS DEL ÉXITO </t>
  </si>
  <si>
    <t>21/12/2021 </t>
  </si>
  <si>
    <t>Gavilán Martín, Diego </t>
  </si>
  <si>
    <t>La integración de la igualdad de género en la formación de los futuros docentes de Educación Primaria: los espacios de género </t>
  </si>
  <si>
    <t>18/10/2021 </t>
  </si>
  <si>
    <t>García Martínez, Salvador </t>
  </si>
  <si>
    <t>Modificación del estigma asociado a la enfermedad mental grave mediante la educación física </t>
  </si>
  <si>
    <t>05/04/2022 </t>
  </si>
  <si>
    <t>González Magaña, Jose L. </t>
  </si>
  <si>
    <t>ELOY VAQUERO CANTILLO O EL OPTIMISMO TRÁGICO EN UN NACER QUE TUVO ANTICIPADO </t>
  </si>
  <si>
    <t>27/05/2022 </t>
  </si>
  <si>
    <t>15422184V</t>
  </si>
  <si>
    <t>HERNANDEZ AMOROS, MARIA JOSE</t>
  </si>
  <si>
    <t>21409087C</t>
  </si>
  <si>
    <t>GINER GOMIS, ANTONIO VICENTE</t>
  </si>
  <si>
    <t>21484456H</t>
  </si>
  <si>
    <t>GAVILAN MARTIN, DIEGO</t>
  </si>
  <si>
    <t>21511105X</t>
  </si>
  <si>
    <t>DIEZ ROS, ROCIO</t>
  </si>
  <si>
    <t>43081296L</t>
  </si>
  <si>
    <t>GOMEZ PUERTA, JOSE MARCOS</t>
  </si>
  <si>
    <t>44757440S</t>
  </si>
  <si>
    <t>PONSODA LOPEZ DE ATALAYA, SANTIAGO</t>
  </si>
  <si>
    <t>44769550G</t>
  </si>
  <si>
    <t>ORTUÑO MARTINEZ, BARBARA</t>
  </si>
  <si>
    <t>45563110H</t>
  </si>
  <si>
    <t>PERTEGAL FELICES, MARIA LUISA</t>
  </si>
  <si>
    <t>48496100W</t>
  </si>
  <si>
    <t>URREA SOLANO, MARIA ENCARNACION</t>
  </si>
  <si>
    <t>48785270Q</t>
  </si>
  <si>
    <t>VEGA RAMIREZ, LILYAN MERCEDES</t>
  </si>
  <si>
    <t>74002849G</t>
  </si>
  <si>
    <t>FERRIZ VALERO, ALBERTO</t>
  </si>
  <si>
    <t>74237659F</t>
  </si>
  <si>
    <t>SELLES PEREZ, SERGIO</t>
  </si>
  <si>
    <t>75129631Q</t>
  </si>
  <si>
    <t>BAENA MORALES, SALVADOR</t>
  </si>
  <si>
    <t>Total ingreos investigación 2019, 2020 y 2021</t>
  </si>
  <si>
    <t>Total ingresos formación 2019 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</si>
</sst>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style="thin">
        <color theme="1"/>
      </top>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54">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4" fontId="1" fillId="0" borderId="0" xfId="0" applyNumberFormat="1" applyFont="1"/>
    <xf numFmtId="0" fontId="3" fillId="4" borderId="1" xfId="1" applyFill="1" applyBorder="1"/>
    <xf numFmtId="0" fontId="3" fillId="0" borderId="1" xfId="1" applyBorder="1"/>
    <xf numFmtId="0" fontId="3" fillId="4" borderId="2" xfId="1" applyFill="1" applyBorder="1"/>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165" fontId="3" fillId="0" borderId="1" xfId="1" applyNumberFormat="1" applyBorder="1"/>
    <xf numFmtId="0" fontId="3" fillId="0" borderId="1" xfId="1" applyBorder="1" applyAlignment="1">
      <alignment horizontal="right"/>
    </xf>
    <xf numFmtId="1" fontId="3" fillId="0" borderId="1" xfId="1" applyNumberFormat="1" applyBorder="1"/>
    <xf numFmtId="164" fontId="3" fillId="0" borderId="1" xfId="1" applyNumberFormat="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4" borderId="6" xfId="1" applyFill="1" applyBorder="1"/>
    <xf numFmtId="0" fontId="0" fillId="0" borderId="1" xfId="0" applyBorder="1" applyAlignment="1">
      <alignment horizontal="left"/>
    </xf>
    <xf numFmtId="0" fontId="9" fillId="3" borderId="1" xfId="3" applyFont="1" applyFill="1" applyBorder="1" applyAlignment="1">
      <alignment horizontal="center" wrapText="1"/>
    </xf>
    <xf numFmtId="0" fontId="10" fillId="7" borderId="0" xfId="5" applyFont="1" applyFill="1"/>
    <xf numFmtId="0" fontId="10" fillId="7" borderId="0" xfId="5" applyFont="1" applyFill="1" applyAlignment="1">
      <alignment horizontal="right"/>
    </xf>
    <xf numFmtId="0" fontId="12" fillId="7" borderId="0" xfId="5" applyFont="1" applyFill="1"/>
    <xf numFmtId="0" fontId="3" fillId="7" borderId="0" xfId="1" applyFont="1" applyFill="1" applyAlignment="1"/>
    <xf numFmtId="0" fontId="3" fillId="7" borderId="0" xfId="1" applyFont="1" applyFill="1" applyAlignment="1">
      <alignment horizontal="right"/>
    </xf>
    <xf numFmtId="164" fontId="4" fillId="7" borderId="0" xfId="1" applyNumberFormat="1" applyFont="1" applyFill="1" applyAlignment="1"/>
    <xf numFmtId="0" fontId="2" fillId="0" borderId="1" xfId="0" applyFont="1" applyBorder="1" applyAlignment="1">
      <alignment horizontal="right"/>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8"/>
  <sheetViews>
    <sheetView showGridLines="0" tabSelected="1" zoomScale="120" zoomScaleNormal="120" workbookViewId="0">
      <pane xSplit="1" ySplit="1" topLeftCell="F47" activePane="bottomRight" state="frozen"/>
      <selection pane="topRight" activeCell="B1" sqref="B1"/>
      <selection pane="bottomLeft" activeCell="A2" sqref="A2"/>
      <selection pane="bottomRight" activeCell="J71" sqref="J71"/>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38.441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4</v>
      </c>
      <c r="B1" s="9" t="s">
        <v>5</v>
      </c>
      <c r="C1" s="9" t="s">
        <v>6</v>
      </c>
      <c r="D1" s="9" t="s">
        <v>7</v>
      </c>
      <c r="E1" s="9" t="s">
        <v>8</v>
      </c>
      <c r="F1" s="9" t="s">
        <v>9</v>
      </c>
      <c r="G1" s="9" t="s">
        <v>10</v>
      </c>
      <c r="H1" s="9" t="s">
        <v>11</v>
      </c>
      <c r="I1" s="8" t="s">
        <v>12</v>
      </c>
      <c r="J1" s="9" t="s">
        <v>13</v>
      </c>
      <c r="K1" s="8" t="s">
        <v>14</v>
      </c>
      <c r="L1" s="9" t="s">
        <v>15</v>
      </c>
      <c r="M1" s="10" t="s">
        <v>16</v>
      </c>
      <c r="N1" s="11" t="s">
        <v>17</v>
      </c>
      <c r="O1" s="12" t="s">
        <v>18</v>
      </c>
      <c r="P1" s="11" t="s">
        <v>19</v>
      </c>
      <c r="Q1" s="12" t="s">
        <v>20</v>
      </c>
      <c r="R1" s="11" t="s">
        <v>21</v>
      </c>
      <c r="S1" s="11" t="s">
        <v>22</v>
      </c>
      <c r="T1" s="11" t="s">
        <v>23</v>
      </c>
      <c r="U1" s="11" t="s">
        <v>24</v>
      </c>
    </row>
    <row r="2" spans="1:21" x14ac:dyDescent="0.2">
      <c r="A2" s="25" t="s">
        <v>37</v>
      </c>
      <c r="B2" s="25" t="s">
        <v>38</v>
      </c>
      <c r="C2" s="25" t="s">
        <v>39</v>
      </c>
      <c r="D2" s="25" t="s">
        <v>93</v>
      </c>
      <c r="E2" s="25" t="s">
        <v>94</v>
      </c>
      <c r="F2" s="25" t="s">
        <v>87</v>
      </c>
      <c r="G2" s="25" t="s">
        <v>56</v>
      </c>
      <c r="H2" s="25" t="s">
        <v>28</v>
      </c>
      <c r="I2" s="25" t="s">
        <v>37</v>
      </c>
      <c r="J2" s="25" t="s">
        <v>38</v>
      </c>
      <c r="K2" s="32">
        <v>1</v>
      </c>
      <c r="L2" s="25" t="s">
        <v>47</v>
      </c>
      <c r="M2" s="25">
        <v>2016</v>
      </c>
      <c r="N2" s="25" t="s">
        <v>27</v>
      </c>
      <c r="O2" s="33" t="s">
        <v>27</v>
      </c>
      <c r="P2" s="25" t="s">
        <v>27</v>
      </c>
      <c r="Q2" s="33" t="s">
        <v>27</v>
      </c>
      <c r="R2" s="34">
        <v>100</v>
      </c>
      <c r="S2" s="32">
        <v>1</v>
      </c>
      <c r="T2" s="32">
        <v>0</v>
      </c>
      <c r="U2" s="32">
        <v>0</v>
      </c>
    </row>
    <row r="3" spans="1:21" x14ac:dyDescent="0.2">
      <c r="A3" s="25" t="s">
        <v>37</v>
      </c>
      <c r="B3" s="25" t="s">
        <v>38</v>
      </c>
      <c r="C3" s="25" t="s">
        <v>39</v>
      </c>
      <c r="D3" s="25" t="s">
        <v>63</v>
      </c>
      <c r="E3" s="25" t="s">
        <v>64</v>
      </c>
      <c r="F3" s="25" t="s">
        <v>65</v>
      </c>
      <c r="G3" s="25" t="s">
        <v>49</v>
      </c>
      <c r="H3" s="25" t="s">
        <v>28</v>
      </c>
      <c r="I3" s="25" t="s">
        <v>37</v>
      </c>
      <c r="J3" s="25" t="s">
        <v>38</v>
      </c>
      <c r="K3" s="32">
        <v>1</v>
      </c>
      <c r="L3" s="25" t="s">
        <v>47</v>
      </c>
      <c r="M3" s="25">
        <v>2016</v>
      </c>
      <c r="N3" s="25" t="s">
        <v>42</v>
      </c>
      <c r="O3" s="33" t="s">
        <v>44</v>
      </c>
      <c r="P3" s="25" t="s">
        <v>27</v>
      </c>
      <c r="Q3" s="33" t="s">
        <v>27</v>
      </c>
      <c r="R3" s="34">
        <v>70</v>
      </c>
      <c r="S3" s="32">
        <v>0.7</v>
      </c>
      <c r="T3" s="32">
        <v>0.3</v>
      </c>
      <c r="U3" s="32">
        <v>0</v>
      </c>
    </row>
    <row r="4" spans="1:21" x14ac:dyDescent="0.2">
      <c r="A4" s="25" t="s">
        <v>37</v>
      </c>
      <c r="B4" s="25" t="s">
        <v>38</v>
      </c>
      <c r="C4" s="25" t="s">
        <v>39</v>
      </c>
      <c r="D4" s="25" t="s">
        <v>95</v>
      </c>
      <c r="E4" s="25" t="s">
        <v>96</v>
      </c>
      <c r="F4" s="25" t="s">
        <v>97</v>
      </c>
      <c r="G4" s="25" t="s">
        <v>57</v>
      </c>
      <c r="H4" s="25" t="s">
        <v>28</v>
      </c>
      <c r="I4" s="25" t="s">
        <v>37</v>
      </c>
      <c r="J4" s="25" t="s">
        <v>38</v>
      </c>
      <c r="K4" s="32">
        <v>1</v>
      </c>
      <c r="L4" s="25" t="s">
        <v>47</v>
      </c>
      <c r="M4" s="25">
        <v>2016</v>
      </c>
      <c r="N4" s="25" t="s">
        <v>58</v>
      </c>
      <c r="O4" s="33" t="s">
        <v>53</v>
      </c>
      <c r="P4" s="25" t="s">
        <v>27</v>
      </c>
      <c r="Q4" s="33" t="s">
        <v>27</v>
      </c>
      <c r="R4" s="34">
        <v>80</v>
      </c>
      <c r="S4" s="32">
        <v>0.8</v>
      </c>
      <c r="T4" s="32">
        <v>0.2</v>
      </c>
      <c r="U4" s="32">
        <v>0</v>
      </c>
    </row>
    <row r="5" spans="1:21" x14ac:dyDescent="0.2">
      <c r="A5" s="25" t="s">
        <v>37</v>
      </c>
      <c r="B5" s="25" t="s">
        <v>38</v>
      </c>
      <c r="C5" s="25" t="s">
        <v>39</v>
      </c>
      <c r="D5" s="25" t="s">
        <v>83</v>
      </c>
      <c r="E5" s="25" t="s">
        <v>84</v>
      </c>
      <c r="F5" s="25" t="s">
        <v>65</v>
      </c>
      <c r="G5" s="25" t="s">
        <v>49</v>
      </c>
      <c r="H5" s="25" t="s">
        <v>28</v>
      </c>
      <c r="I5" s="25" t="s">
        <v>37</v>
      </c>
      <c r="J5" s="25" t="s">
        <v>38</v>
      </c>
      <c r="K5" s="32">
        <v>1</v>
      </c>
      <c r="L5" s="25" t="s">
        <v>47</v>
      </c>
      <c r="M5" s="25">
        <v>2016</v>
      </c>
      <c r="N5" s="25" t="s">
        <v>42</v>
      </c>
      <c r="O5" s="33" t="s">
        <v>44</v>
      </c>
      <c r="P5" s="25" t="s">
        <v>27</v>
      </c>
      <c r="Q5" s="33" t="s">
        <v>27</v>
      </c>
      <c r="R5" s="34">
        <v>70</v>
      </c>
      <c r="S5" s="32">
        <v>0.7</v>
      </c>
      <c r="T5" s="32">
        <v>0.3</v>
      </c>
      <c r="U5" s="32">
        <v>0</v>
      </c>
    </row>
    <row r="6" spans="1:21" x14ac:dyDescent="0.2">
      <c r="A6" s="25" t="s">
        <v>37</v>
      </c>
      <c r="B6" s="25" t="s">
        <v>38</v>
      </c>
      <c r="C6" s="25" t="s">
        <v>45</v>
      </c>
      <c r="D6" s="25" t="s">
        <v>66</v>
      </c>
      <c r="E6" s="25" t="s">
        <v>67</v>
      </c>
      <c r="F6" s="25" t="s">
        <v>65</v>
      </c>
      <c r="G6" s="25" t="s">
        <v>164</v>
      </c>
      <c r="H6" s="25" t="s">
        <v>25</v>
      </c>
      <c r="I6" s="25" t="s">
        <v>37</v>
      </c>
      <c r="J6" s="25" t="s">
        <v>38</v>
      </c>
      <c r="K6" s="32">
        <v>0.5</v>
      </c>
      <c r="L6" s="25" t="s">
        <v>47</v>
      </c>
      <c r="M6" s="25">
        <v>2016</v>
      </c>
      <c r="N6" s="25" t="s">
        <v>52</v>
      </c>
      <c r="O6" s="33" t="s">
        <v>26</v>
      </c>
      <c r="P6" s="25" t="s">
        <v>27</v>
      </c>
      <c r="Q6" s="33" t="s">
        <v>27</v>
      </c>
      <c r="R6" s="34">
        <v>50</v>
      </c>
      <c r="S6" s="32">
        <v>0.25</v>
      </c>
      <c r="T6" s="32">
        <v>0.25</v>
      </c>
      <c r="U6" s="32">
        <v>0</v>
      </c>
    </row>
    <row r="7" spans="1:21" x14ac:dyDescent="0.2">
      <c r="A7" s="25" t="s">
        <v>37</v>
      </c>
      <c r="B7" s="25" t="s">
        <v>38</v>
      </c>
      <c r="C7" s="25" t="s">
        <v>45</v>
      </c>
      <c r="D7" s="25" t="s">
        <v>66</v>
      </c>
      <c r="E7" s="25" t="s">
        <v>67</v>
      </c>
      <c r="F7" s="25" t="s">
        <v>65</v>
      </c>
      <c r="G7" s="25" t="s">
        <v>68</v>
      </c>
      <c r="H7" s="25" t="s">
        <v>25</v>
      </c>
      <c r="I7" s="25" t="s">
        <v>37</v>
      </c>
      <c r="J7" s="25" t="s">
        <v>38</v>
      </c>
      <c r="K7" s="32">
        <v>0.5</v>
      </c>
      <c r="L7" s="25" t="s">
        <v>47</v>
      </c>
      <c r="M7" s="25">
        <v>2016</v>
      </c>
      <c r="N7" s="25" t="s">
        <v>52</v>
      </c>
      <c r="O7" s="33" t="s">
        <v>26</v>
      </c>
      <c r="P7" s="25" t="s">
        <v>27</v>
      </c>
      <c r="Q7" s="33" t="s">
        <v>27</v>
      </c>
      <c r="R7" s="34">
        <v>50</v>
      </c>
      <c r="S7" s="32">
        <v>0.25</v>
      </c>
      <c r="T7" s="32">
        <v>0.25</v>
      </c>
      <c r="U7" s="32">
        <v>0</v>
      </c>
    </row>
    <row r="8" spans="1:21" x14ac:dyDescent="0.2">
      <c r="A8" s="25" t="s">
        <v>37</v>
      </c>
      <c r="B8" s="25" t="s">
        <v>38</v>
      </c>
      <c r="C8" s="25" t="s">
        <v>45</v>
      </c>
      <c r="D8" s="25" t="s">
        <v>85</v>
      </c>
      <c r="E8" s="25" t="s">
        <v>86</v>
      </c>
      <c r="F8" s="25" t="s">
        <v>87</v>
      </c>
      <c r="G8" s="25" t="s">
        <v>88</v>
      </c>
      <c r="H8" s="25" t="s">
        <v>28</v>
      </c>
      <c r="I8" s="25" t="s">
        <v>37</v>
      </c>
      <c r="J8" s="25" t="s">
        <v>38</v>
      </c>
      <c r="K8" s="32">
        <v>1</v>
      </c>
      <c r="L8" s="25" t="s">
        <v>47</v>
      </c>
      <c r="M8" s="25">
        <v>2016</v>
      </c>
      <c r="N8" s="25" t="s">
        <v>27</v>
      </c>
      <c r="O8" s="33" t="s">
        <v>27</v>
      </c>
      <c r="P8" s="25" t="s">
        <v>27</v>
      </c>
      <c r="Q8" s="33" t="s">
        <v>27</v>
      </c>
      <c r="R8" s="34">
        <v>100</v>
      </c>
      <c r="S8" s="32">
        <v>1</v>
      </c>
      <c r="T8" s="32">
        <v>0</v>
      </c>
      <c r="U8" s="32">
        <v>0</v>
      </c>
    </row>
    <row r="9" spans="1:21" x14ac:dyDescent="0.2">
      <c r="A9" s="25" t="s">
        <v>54</v>
      </c>
      <c r="B9" s="25" t="s">
        <v>55</v>
      </c>
      <c r="C9" s="25" t="s">
        <v>39</v>
      </c>
      <c r="D9" s="25" t="s">
        <v>73</v>
      </c>
      <c r="E9" s="25" t="s">
        <v>74</v>
      </c>
      <c r="F9" s="25" t="s">
        <v>75</v>
      </c>
      <c r="G9" s="25" t="s">
        <v>50</v>
      </c>
      <c r="H9" s="25" t="s">
        <v>28</v>
      </c>
      <c r="I9" s="25" t="s">
        <v>37</v>
      </c>
      <c r="J9" s="25" t="s">
        <v>38</v>
      </c>
      <c r="K9" s="32">
        <v>1</v>
      </c>
      <c r="L9" s="25" t="s">
        <v>47</v>
      </c>
      <c r="M9" s="25">
        <v>2016</v>
      </c>
      <c r="N9" s="25" t="s">
        <v>42</v>
      </c>
      <c r="O9" s="33" t="s">
        <v>26</v>
      </c>
      <c r="P9" s="25" t="s">
        <v>27</v>
      </c>
      <c r="Q9" s="33" t="s">
        <v>27</v>
      </c>
      <c r="R9" s="34">
        <v>50</v>
      </c>
      <c r="S9" s="32">
        <v>0.5</v>
      </c>
      <c r="T9" s="32">
        <v>0.5</v>
      </c>
      <c r="U9" s="32">
        <v>0</v>
      </c>
    </row>
    <row r="10" spans="1:21" x14ac:dyDescent="0.2">
      <c r="A10" s="25" t="s">
        <v>54</v>
      </c>
      <c r="B10" s="25" t="s">
        <v>55</v>
      </c>
      <c r="C10" s="25" t="s">
        <v>39</v>
      </c>
      <c r="D10" s="25" t="s">
        <v>78</v>
      </c>
      <c r="E10" s="25" t="s">
        <v>79</v>
      </c>
      <c r="F10" s="25" t="s">
        <v>80</v>
      </c>
      <c r="G10" s="25" t="s">
        <v>49</v>
      </c>
      <c r="H10" s="25" t="s">
        <v>28</v>
      </c>
      <c r="I10" s="25" t="s">
        <v>37</v>
      </c>
      <c r="J10" s="25" t="s">
        <v>38</v>
      </c>
      <c r="K10" s="32">
        <v>1</v>
      </c>
      <c r="L10" s="25" t="s">
        <v>47</v>
      </c>
      <c r="M10" s="25">
        <v>2016</v>
      </c>
      <c r="N10" s="25" t="s">
        <v>42</v>
      </c>
      <c r="O10" s="33" t="s">
        <v>44</v>
      </c>
      <c r="P10" s="25" t="s">
        <v>27</v>
      </c>
      <c r="Q10" s="33" t="s">
        <v>27</v>
      </c>
      <c r="R10" s="34">
        <v>70</v>
      </c>
      <c r="S10" s="32">
        <v>0.7</v>
      </c>
      <c r="T10" s="32">
        <v>0.3</v>
      </c>
      <c r="U10" s="32">
        <v>0</v>
      </c>
    </row>
    <row r="11" spans="1:21" x14ac:dyDescent="0.2">
      <c r="A11" s="25" t="s">
        <v>54</v>
      </c>
      <c r="B11" s="25" t="s">
        <v>55</v>
      </c>
      <c r="C11" s="25" t="s">
        <v>39</v>
      </c>
      <c r="D11" s="25" t="s">
        <v>71</v>
      </c>
      <c r="E11" s="25" t="s">
        <v>72</v>
      </c>
      <c r="F11" s="25" t="s">
        <v>40</v>
      </c>
      <c r="G11" s="25" t="s">
        <v>56</v>
      </c>
      <c r="H11" s="25" t="s">
        <v>28</v>
      </c>
      <c r="I11" s="25" t="s">
        <v>37</v>
      </c>
      <c r="J11" s="25" t="s">
        <v>38</v>
      </c>
      <c r="K11" s="32">
        <v>1</v>
      </c>
      <c r="L11" s="25" t="s">
        <v>47</v>
      </c>
      <c r="M11" s="25">
        <v>2016</v>
      </c>
      <c r="N11" s="25" t="s">
        <v>27</v>
      </c>
      <c r="O11" s="33" t="s">
        <v>27</v>
      </c>
      <c r="P11" s="25" t="s">
        <v>27</v>
      </c>
      <c r="Q11" s="33" t="s">
        <v>27</v>
      </c>
      <c r="R11" s="34">
        <v>100</v>
      </c>
      <c r="S11" s="32">
        <v>1</v>
      </c>
      <c r="T11" s="32">
        <v>0</v>
      </c>
      <c r="U11" s="32">
        <v>0</v>
      </c>
    </row>
    <row r="12" spans="1:21" x14ac:dyDescent="0.2">
      <c r="A12" s="25" t="s">
        <v>54</v>
      </c>
      <c r="B12" s="25" t="s">
        <v>55</v>
      </c>
      <c r="C12" s="25" t="s">
        <v>39</v>
      </c>
      <c r="D12" s="25" t="s">
        <v>59</v>
      </c>
      <c r="E12" s="25" t="s">
        <v>60</v>
      </c>
      <c r="F12" s="25" t="s">
        <v>61</v>
      </c>
      <c r="G12" s="25" t="s">
        <v>62</v>
      </c>
      <c r="H12" s="25" t="s">
        <v>25</v>
      </c>
      <c r="I12" s="25" t="s">
        <v>37</v>
      </c>
      <c r="J12" s="25" t="s">
        <v>38</v>
      </c>
      <c r="K12" s="32">
        <v>0.5</v>
      </c>
      <c r="L12" s="25" t="s">
        <v>47</v>
      </c>
      <c r="M12" s="25">
        <v>2016</v>
      </c>
      <c r="N12" s="25" t="s">
        <v>27</v>
      </c>
      <c r="O12" s="33" t="s">
        <v>27</v>
      </c>
      <c r="P12" s="25" t="s">
        <v>27</v>
      </c>
      <c r="Q12" s="33" t="s">
        <v>27</v>
      </c>
      <c r="R12" s="34">
        <v>100</v>
      </c>
      <c r="S12" s="32">
        <v>0.5</v>
      </c>
      <c r="T12" s="32">
        <v>0</v>
      </c>
      <c r="U12" s="32">
        <v>0</v>
      </c>
    </row>
    <row r="13" spans="1:21" x14ac:dyDescent="0.2">
      <c r="A13" s="25" t="s">
        <v>54</v>
      </c>
      <c r="B13" s="25" t="s">
        <v>55</v>
      </c>
      <c r="C13" s="25" t="s">
        <v>39</v>
      </c>
      <c r="D13" s="25" t="s">
        <v>59</v>
      </c>
      <c r="E13" s="25" t="s">
        <v>60</v>
      </c>
      <c r="F13" s="25" t="s">
        <v>61</v>
      </c>
      <c r="G13" s="25" t="s">
        <v>29</v>
      </c>
      <c r="H13" s="25" t="s">
        <v>25</v>
      </c>
      <c r="I13" s="25" t="s">
        <v>37</v>
      </c>
      <c r="J13" s="25" t="s">
        <v>38</v>
      </c>
      <c r="K13" s="32">
        <v>0.5</v>
      </c>
      <c r="L13" s="25" t="s">
        <v>47</v>
      </c>
      <c r="M13" s="25">
        <v>2016</v>
      </c>
      <c r="N13" s="25" t="s">
        <v>27</v>
      </c>
      <c r="O13" s="33" t="s">
        <v>27</v>
      </c>
      <c r="P13" s="25" t="s">
        <v>27</v>
      </c>
      <c r="Q13" s="33" t="s">
        <v>27</v>
      </c>
      <c r="R13" s="34">
        <v>100</v>
      </c>
      <c r="S13" s="32">
        <v>0.5</v>
      </c>
      <c r="T13" s="32">
        <v>0</v>
      </c>
      <c r="U13" s="32">
        <v>0</v>
      </c>
    </row>
    <row r="14" spans="1:21" x14ac:dyDescent="0.2">
      <c r="A14" s="25" t="s">
        <v>54</v>
      </c>
      <c r="B14" s="25" t="s">
        <v>55</v>
      </c>
      <c r="C14" s="25" t="s">
        <v>39</v>
      </c>
      <c r="D14" s="25" t="s">
        <v>89</v>
      </c>
      <c r="E14" s="25" t="s">
        <v>90</v>
      </c>
      <c r="F14" s="25" t="s">
        <v>91</v>
      </c>
      <c r="G14" s="25" t="s">
        <v>92</v>
      </c>
      <c r="H14" s="25" t="s">
        <v>28</v>
      </c>
      <c r="I14" s="25" t="s">
        <v>37</v>
      </c>
      <c r="J14" s="25" t="s">
        <v>38</v>
      </c>
      <c r="K14" s="32">
        <v>1</v>
      </c>
      <c r="L14" s="25" t="s">
        <v>47</v>
      </c>
      <c r="M14" s="25">
        <v>2016</v>
      </c>
      <c r="N14" s="25" t="s">
        <v>27</v>
      </c>
      <c r="O14" s="33" t="s">
        <v>27</v>
      </c>
      <c r="P14" s="25" t="s">
        <v>27</v>
      </c>
      <c r="Q14" s="33" t="s">
        <v>27</v>
      </c>
      <c r="R14" s="34">
        <v>100</v>
      </c>
      <c r="S14" s="32">
        <v>1</v>
      </c>
      <c r="T14" s="32">
        <v>0</v>
      </c>
      <c r="U14" s="32">
        <v>0</v>
      </c>
    </row>
    <row r="15" spans="1:21" x14ac:dyDescent="0.2">
      <c r="A15" s="25" t="s">
        <v>54</v>
      </c>
      <c r="B15" s="25" t="s">
        <v>55</v>
      </c>
      <c r="C15" s="25" t="s">
        <v>39</v>
      </c>
      <c r="D15" s="25" t="s">
        <v>69</v>
      </c>
      <c r="E15" s="25" t="s">
        <v>70</v>
      </c>
      <c r="F15" s="25" t="s">
        <v>40</v>
      </c>
      <c r="G15" s="25" t="s">
        <v>56</v>
      </c>
      <c r="H15" s="25" t="s">
        <v>28</v>
      </c>
      <c r="I15" s="25" t="s">
        <v>37</v>
      </c>
      <c r="J15" s="25" t="s">
        <v>38</v>
      </c>
      <c r="K15" s="32">
        <v>1</v>
      </c>
      <c r="L15" s="25" t="s">
        <v>47</v>
      </c>
      <c r="M15" s="25">
        <v>2016</v>
      </c>
      <c r="N15" s="25" t="s">
        <v>27</v>
      </c>
      <c r="O15" s="33" t="s">
        <v>27</v>
      </c>
      <c r="P15" s="25" t="s">
        <v>27</v>
      </c>
      <c r="Q15" s="33" t="s">
        <v>27</v>
      </c>
      <c r="R15" s="34">
        <v>100</v>
      </c>
      <c r="S15" s="32">
        <v>1</v>
      </c>
      <c r="T15" s="32">
        <v>0</v>
      </c>
      <c r="U15" s="32">
        <v>0</v>
      </c>
    </row>
    <row r="16" spans="1:21" x14ac:dyDescent="0.2">
      <c r="A16" s="25" t="s">
        <v>54</v>
      </c>
      <c r="B16" s="25" t="s">
        <v>55</v>
      </c>
      <c r="C16" s="25" t="s">
        <v>39</v>
      </c>
      <c r="D16" s="25" t="s">
        <v>76</v>
      </c>
      <c r="E16" s="25" t="s">
        <v>77</v>
      </c>
      <c r="F16" s="25" t="s">
        <v>30</v>
      </c>
      <c r="G16" s="25" t="s">
        <v>50</v>
      </c>
      <c r="H16" s="25" t="s">
        <v>28</v>
      </c>
      <c r="I16" s="25" t="s">
        <v>37</v>
      </c>
      <c r="J16" s="25" t="s">
        <v>38</v>
      </c>
      <c r="K16" s="32">
        <v>1</v>
      </c>
      <c r="L16" s="25" t="s">
        <v>47</v>
      </c>
      <c r="M16" s="25">
        <v>2016</v>
      </c>
      <c r="N16" s="25" t="s">
        <v>42</v>
      </c>
      <c r="O16" s="33" t="s">
        <v>26</v>
      </c>
      <c r="P16" s="25" t="s">
        <v>27</v>
      </c>
      <c r="Q16" s="33" t="s">
        <v>27</v>
      </c>
      <c r="R16" s="34">
        <v>50</v>
      </c>
      <c r="S16" s="32">
        <v>0.5</v>
      </c>
      <c r="T16" s="32">
        <v>0.5</v>
      </c>
      <c r="U16" s="32">
        <v>0</v>
      </c>
    </row>
    <row r="17" spans="1:21" x14ac:dyDescent="0.2">
      <c r="A17" s="25" t="s">
        <v>54</v>
      </c>
      <c r="B17" s="25" t="s">
        <v>55</v>
      </c>
      <c r="C17" s="25" t="s">
        <v>39</v>
      </c>
      <c r="D17" s="25" t="s">
        <v>81</v>
      </c>
      <c r="E17" s="25" t="s">
        <v>82</v>
      </c>
      <c r="F17" s="25" t="s">
        <v>41</v>
      </c>
      <c r="G17" s="25" t="s">
        <v>56</v>
      </c>
      <c r="H17" s="25" t="s">
        <v>28</v>
      </c>
      <c r="I17" s="25" t="s">
        <v>37</v>
      </c>
      <c r="J17" s="25" t="s">
        <v>38</v>
      </c>
      <c r="K17" s="32">
        <v>1</v>
      </c>
      <c r="L17" s="25" t="s">
        <v>47</v>
      </c>
      <c r="M17" s="25">
        <v>2016</v>
      </c>
      <c r="N17" s="25" t="s">
        <v>27</v>
      </c>
      <c r="O17" s="33" t="s">
        <v>27</v>
      </c>
      <c r="P17" s="25" t="s">
        <v>27</v>
      </c>
      <c r="Q17" s="33" t="s">
        <v>27</v>
      </c>
      <c r="R17" s="34">
        <v>100</v>
      </c>
      <c r="S17" s="32">
        <v>1</v>
      </c>
      <c r="T17" s="32">
        <v>0</v>
      </c>
      <c r="U17" s="32">
        <v>0</v>
      </c>
    </row>
    <row r="18" spans="1:21" x14ac:dyDescent="0.2">
      <c r="A18" s="25" t="s">
        <v>54</v>
      </c>
      <c r="B18" s="25" t="s">
        <v>55</v>
      </c>
      <c r="C18" s="25" t="s">
        <v>39</v>
      </c>
      <c r="D18" s="25" t="s">
        <v>117</v>
      </c>
      <c r="E18" s="25" t="s">
        <v>118</v>
      </c>
      <c r="F18" s="25" t="s">
        <v>119</v>
      </c>
      <c r="G18" s="25" t="s">
        <v>62</v>
      </c>
      <c r="H18" s="25" t="s">
        <v>25</v>
      </c>
      <c r="I18" s="25" t="s">
        <v>37</v>
      </c>
      <c r="J18" s="25" t="s">
        <v>38</v>
      </c>
      <c r="K18" s="32">
        <v>0.5</v>
      </c>
      <c r="L18" s="25" t="s">
        <v>47</v>
      </c>
      <c r="M18" s="25">
        <v>2017</v>
      </c>
      <c r="N18" s="25" t="s">
        <v>27</v>
      </c>
      <c r="O18" s="33" t="s">
        <v>27</v>
      </c>
      <c r="P18" s="25" t="s">
        <v>27</v>
      </c>
      <c r="Q18" s="33" t="s">
        <v>27</v>
      </c>
      <c r="R18" s="34">
        <v>100</v>
      </c>
      <c r="S18" s="32">
        <v>0.5</v>
      </c>
      <c r="T18" s="32">
        <v>0</v>
      </c>
      <c r="U18" s="32">
        <v>0</v>
      </c>
    </row>
    <row r="19" spans="1:21" x14ac:dyDescent="0.2">
      <c r="A19" s="25" t="s">
        <v>54</v>
      </c>
      <c r="B19" s="25" t="s">
        <v>55</v>
      </c>
      <c r="C19" s="25" t="s">
        <v>39</v>
      </c>
      <c r="D19" s="25" t="s">
        <v>117</v>
      </c>
      <c r="E19" s="25" t="s">
        <v>118</v>
      </c>
      <c r="F19" s="25" t="s">
        <v>119</v>
      </c>
      <c r="G19" s="25" t="s">
        <v>120</v>
      </c>
      <c r="H19" s="25" t="s">
        <v>25</v>
      </c>
      <c r="I19" s="25" t="s">
        <v>37</v>
      </c>
      <c r="J19" s="25" t="s">
        <v>38</v>
      </c>
      <c r="K19" s="32">
        <v>0.5</v>
      </c>
      <c r="L19" s="25" t="s">
        <v>47</v>
      </c>
      <c r="M19" s="25">
        <v>2017</v>
      </c>
      <c r="N19" s="25" t="s">
        <v>27</v>
      </c>
      <c r="O19" s="33" t="s">
        <v>27</v>
      </c>
      <c r="P19" s="25" t="s">
        <v>27</v>
      </c>
      <c r="Q19" s="33" t="s">
        <v>27</v>
      </c>
      <c r="R19" s="34">
        <v>100</v>
      </c>
      <c r="S19" s="32">
        <v>0.5</v>
      </c>
      <c r="T19" s="32">
        <v>0</v>
      </c>
      <c r="U19" s="32">
        <v>0</v>
      </c>
    </row>
    <row r="20" spans="1:21" x14ac:dyDescent="0.2">
      <c r="A20" s="25" t="s">
        <v>54</v>
      </c>
      <c r="B20" s="25" t="s">
        <v>55</v>
      </c>
      <c r="C20" s="25" t="s">
        <v>39</v>
      </c>
      <c r="D20" s="25" t="s">
        <v>114</v>
      </c>
      <c r="E20" s="25" t="s">
        <v>115</v>
      </c>
      <c r="F20" s="25" t="s">
        <v>116</v>
      </c>
      <c r="G20" s="25" t="s">
        <v>88</v>
      </c>
      <c r="H20" s="25" t="s">
        <v>25</v>
      </c>
      <c r="I20" s="25" t="s">
        <v>37</v>
      </c>
      <c r="J20" s="25" t="s">
        <v>38</v>
      </c>
      <c r="K20" s="32">
        <v>0.5</v>
      </c>
      <c r="L20" s="25" t="s">
        <v>47</v>
      </c>
      <c r="M20" s="25">
        <v>2017</v>
      </c>
      <c r="N20" s="25" t="s">
        <v>27</v>
      </c>
      <c r="O20" s="33" t="s">
        <v>27</v>
      </c>
      <c r="P20" s="25" t="s">
        <v>27</v>
      </c>
      <c r="Q20" s="33" t="s">
        <v>27</v>
      </c>
      <c r="R20" s="34">
        <v>100</v>
      </c>
      <c r="S20" s="32">
        <v>0.5</v>
      </c>
      <c r="T20" s="32">
        <v>0</v>
      </c>
      <c r="U20" s="32">
        <v>0</v>
      </c>
    </row>
    <row r="21" spans="1:21" x14ac:dyDescent="0.2">
      <c r="A21" s="25" t="s">
        <v>54</v>
      </c>
      <c r="B21" s="25" t="s">
        <v>55</v>
      </c>
      <c r="C21" s="25" t="s">
        <v>39</v>
      </c>
      <c r="D21" s="25" t="s">
        <v>106</v>
      </c>
      <c r="E21" s="25" t="s">
        <v>107</v>
      </c>
      <c r="F21" s="25" t="s">
        <v>108</v>
      </c>
      <c r="G21" s="25" t="s">
        <v>88</v>
      </c>
      <c r="H21" s="25" t="s">
        <v>28</v>
      </c>
      <c r="I21" s="25" t="s">
        <v>37</v>
      </c>
      <c r="J21" s="25" t="s">
        <v>38</v>
      </c>
      <c r="K21" s="32">
        <v>1</v>
      </c>
      <c r="L21" s="25" t="s">
        <v>47</v>
      </c>
      <c r="M21" s="25">
        <v>2017</v>
      </c>
      <c r="N21" s="25" t="s">
        <v>27</v>
      </c>
      <c r="O21" s="33" t="s">
        <v>27</v>
      </c>
      <c r="P21" s="25" t="s">
        <v>27</v>
      </c>
      <c r="Q21" s="33" t="s">
        <v>27</v>
      </c>
      <c r="R21" s="34">
        <v>100</v>
      </c>
      <c r="S21" s="32">
        <v>1</v>
      </c>
      <c r="T21" s="32">
        <v>0</v>
      </c>
      <c r="U21" s="32">
        <v>0</v>
      </c>
    </row>
    <row r="22" spans="1:21" x14ac:dyDescent="0.2">
      <c r="A22" s="25" t="s">
        <v>54</v>
      </c>
      <c r="B22" s="25" t="s">
        <v>55</v>
      </c>
      <c r="C22" s="25" t="s">
        <v>39</v>
      </c>
      <c r="D22" s="25" t="s">
        <v>103</v>
      </c>
      <c r="E22" s="25" t="s">
        <v>104</v>
      </c>
      <c r="F22" s="25" t="s">
        <v>105</v>
      </c>
      <c r="G22" s="25" t="s">
        <v>92</v>
      </c>
      <c r="H22" s="25" t="s">
        <v>28</v>
      </c>
      <c r="I22" s="25" t="s">
        <v>37</v>
      </c>
      <c r="J22" s="25" t="s">
        <v>38</v>
      </c>
      <c r="K22" s="32">
        <v>1</v>
      </c>
      <c r="L22" s="25" t="s">
        <v>47</v>
      </c>
      <c r="M22" s="25">
        <v>2017</v>
      </c>
      <c r="N22" s="25" t="s">
        <v>27</v>
      </c>
      <c r="O22" s="33" t="s">
        <v>27</v>
      </c>
      <c r="P22" s="25" t="s">
        <v>27</v>
      </c>
      <c r="Q22" s="33" t="s">
        <v>27</v>
      </c>
      <c r="R22" s="34">
        <v>100</v>
      </c>
      <c r="S22" s="32">
        <v>1</v>
      </c>
      <c r="T22" s="32">
        <v>0</v>
      </c>
      <c r="U22" s="32">
        <v>0</v>
      </c>
    </row>
    <row r="23" spans="1:21" x14ac:dyDescent="0.2">
      <c r="A23" s="25" t="s">
        <v>54</v>
      </c>
      <c r="B23" s="25" t="s">
        <v>55</v>
      </c>
      <c r="C23" s="25" t="s">
        <v>39</v>
      </c>
      <c r="D23" s="25" t="s">
        <v>109</v>
      </c>
      <c r="E23" s="25" t="s">
        <v>110</v>
      </c>
      <c r="F23" s="25" t="s">
        <v>111</v>
      </c>
      <c r="G23" s="25" t="s">
        <v>48</v>
      </c>
      <c r="H23" s="25" t="s">
        <v>28</v>
      </c>
      <c r="I23" s="25" t="s">
        <v>37</v>
      </c>
      <c r="J23" s="25" t="s">
        <v>38</v>
      </c>
      <c r="K23" s="32">
        <v>1</v>
      </c>
      <c r="L23" s="25" t="s">
        <v>47</v>
      </c>
      <c r="M23" s="25">
        <v>2017</v>
      </c>
      <c r="N23" s="25" t="s">
        <v>42</v>
      </c>
      <c r="O23" s="33" t="s">
        <v>26</v>
      </c>
      <c r="P23" s="25" t="s">
        <v>27</v>
      </c>
      <c r="Q23" s="33" t="s">
        <v>27</v>
      </c>
      <c r="R23" s="34">
        <v>50</v>
      </c>
      <c r="S23" s="32">
        <v>0.5</v>
      </c>
      <c r="T23" s="32">
        <v>0.5</v>
      </c>
      <c r="U23" s="32">
        <v>0</v>
      </c>
    </row>
    <row r="24" spans="1:21" x14ac:dyDescent="0.2">
      <c r="A24" s="25" t="s">
        <v>34</v>
      </c>
      <c r="B24" s="25" t="s">
        <v>35</v>
      </c>
      <c r="C24" s="25" t="s">
        <v>36</v>
      </c>
      <c r="D24" s="25" t="s">
        <v>98</v>
      </c>
      <c r="E24" s="25" t="s">
        <v>99</v>
      </c>
      <c r="F24" s="25" t="s">
        <v>100</v>
      </c>
      <c r="G24" s="25" t="s">
        <v>101</v>
      </c>
      <c r="H24" s="25" t="s">
        <v>25</v>
      </c>
      <c r="I24" s="25" t="s">
        <v>37</v>
      </c>
      <c r="J24" s="25" t="s">
        <v>38</v>
      </c>
      <c r="K24" s="32">
        <v>0.5</v>
      </c>
      <c r="L24" s="25" t="s">
        <v>47</v>
      </c>
      <c r="M24" s="25">
        <v>2017</v>
      </c>
      <c r="N24" s="25" t="s">
        <v>42</v>
      </c>
      <c r="O24" s="33" t="s">
        <v>102</v>
      </c>
      <c r="P24" s="25" t="s">
        <v>27</v>
      </c>
      <c r="Q24" s="33" t="s">
        <v>27</v>
      </c>
      <c r="R24" s="34">
        <v>20</v>
      </c>
      <c r="S24" s="32">
        <v>0.1</v>
      </c>
      <c r="T24" s="32">
        <v>0.4</v>
      </c>
      <c r="U24" s="32">
        <v>0</v>
      </c>
    </row>
    <row r="25" spans="1:21" x14ac:dyDescent="0.2">
      <c r="A25" s="25" t="s">
        <v>54</v>
      </c>
      <c r="B25" s="25" t="s">
        <v>55</v>
      </c>
      <c r="C25" s="25" t="s">
        <v>39</v>
      </c>
      <c r="D25" s="25" t="s">
        <v>112</v>
      </c>
      <c r="E25" s="25" t="s">
        <v>113</v>
      </c>
      <c r="F25" s="25" t="s">
        <v>31</v>
      </c>
      <c r="G25" s="25" t="s">
        <v>48</v>
      </c>
      <c r="H25" s="25" t="s">
        <v>28</v>
      </c>
      <c r="I25" s="25" t="s">
        <v>37</v>
      </c>
      <c r="J25" s="25" t="s">
        <v>38</v>
      </c>
      <c r="K25" s="35">
        <v>1</v>
      </c>
      <c r="L25" s="25" t="s">
        <v>47</v>
      </c>
      <c r="M25" s="25">
        <v>2017</v>
      </c>
      <c r="N25" s="25" t="s">
        <v>42</v>
      </c>
      <c r="O25" s="33" t="s">
        <v>26</v>
      </c>
      <c r="P25" s="25" t="s">
        <v>27</v>
      </c>
      <c r="Q25" s="33" t="s">
        <v>27</v>
      </c>
      <c r="R25" s="34">
        <v>50</v>
      </c>
      <c r="S25" s="32">
        <v>0.5</v>
      </c>
      <c r="T25" s="32">
        <v>0.5</v>
      </c>
      <c r="U25" s="32">
        <v>0</v>
      </c>
    </row>
    <row r="26" spans="1:21" x14ac:dyDescent="0.2">
      <c r="A26" s="26" t="s">
        <v>37</v>
      </c>
      <c r="B26" s="26" t="s">
        <v>38</v>
      </c>
      <c r="C26" s="26" t="s">
        <v>39</v>
      </c>
      <c r="D26" s="26" t="s">
        <v>121</v>
      </c>
      <c r="E26" s="26" t="s">
        <v>122</v>
      </c>
      <c r="F26" s="26" t="s">
        <v>123</v>
      </c>
      <c r="G26" s="26" t="s">
        <v>62</v>
      </c>
      <c r="H26" s="26" t="s">
        <v>25</v>
      </c>
      <c r="I26" s="26" t="s">
        <v>37</v>
      </c>
      <c r="J26" s="26" t="s">
        <v>38</v>
      </c>
      <c r="K26" s="36">
        <v>0.5</v>
      </c>
      <c r="L26" s="26" t="s">
        <v>47</v>
      </c>
      <c r="M26" s="26">
        <v>2018</v>
      </c>
      <c r="N26" s="26" t="s">
        <v>27</v>
      </c>
      <c r="O26" s="37" t="s">
        <v>27</v>
      </c>
      <c r="P26" s="26" t="s">
        <v>27</v>
      </c>
      <c r="Q26" s="37" t="s">
        <v>27</v>
      </c>
      <c r="R26" s="38">
        <v>100</v>
      </c>
      <c r="S26" s="39">
        <v>0.5</v>
      </c>
      <c r="T26" s="39">
        <v>0</v>
      </c>
      <c r="U26" s="39">
        <v>0</v>
      </c>
    </row>
    <row r="27" spans="1:21" x14ac:dyDescent="0.2">
      <c r="A27" s="25" t="s">
        <v>37</v>
      </c>
      <c r="B27" s="25" t="s">
        <v>38</v>
      </c>
      <c r="C27" s="25" t="s">
        <v>39</v>
      </c>
      <c r="D27" s="25" t="s">
        <v>121</v>
      </c>
      <c r="E27" s="25" t="s">
        <v>122</v>
      </c>
      <c r="F27" s="25" t="s">
        <v>123</v>
      </c>
      <c r="G27" s="25" t="s">
        <v>120</v>
      </c>
      <c r="H27" s="25" t="s">
        <v>25</v>
      </c>
      <c r="I27" s="25" t="s">
        <v>37</v>
      </c>
      <c r="J27" s="25" t="s">
        <v>38</v>
      </c>
      <c r="K27" s="35">
        <v>0.5</v>
      </c>
      <c r="L27" s="25" t="s">
        <v>47</v>
      </c>
      <c r="M27" s="25">
        <v>2018</v>
      </c>
      <c r="N27" s="25" t="s">
        <v>27</v>
      </c>
      <c r="O27" s="33" t="s">
        <v>27</v>
      </c>
      <c r="P27" s="25" t="s">
        <v>27</v>
      </c>
      <c r="Q27" s="33" t="s">
        <v>27</v>
      </c>
      <c r="R27" s="34">
        <v>100</v>
      </c>
      <c r="S27" s="32">
        <v>0.5</v>
      </c>
      <c r="T27" s="32">
        <v>0</v>
      </c>
      <c r="U27" s="32">
        <v>0</v>
      </c>
    </row>
    <row r="28" spans="1:21" x14ac:dyDescent="0.2">
      <c r="A28" s="25" t="s">
        <v>54</v>
      </c>
      <c r="B28" s="25" t="s">
        <v>55</v>
      </c>
      <c r="C28" s="25" t="s">
        <v>39</v>
      </c>
      <c r="D28" s="25" t="s">
        <v>132</v>
      </c>
      <c r="E28" s="25" t="s">
        <v>133</v>
      </c>
      <c r="F28" s="25" t="s">
        <v>134</v>
      </c>
      <c r="G28" s="25" t="s">
        <v>50</v>
      </c>
      <c r="H28" s="25" t="s">
        <v>28</v>
      </c>
      <c r="I28" s="25" t="s">
        <v>37</v>
      </c>
      <c r="J28" s="25" t="s">
        <v>38</v>
      </c>
      <c r="K28" s="35">
        <v>1</v>
      </c>
      <c r="L28" s="25" t="s">
        <v>47</v>
      </c>
      <c r="M28" s="25">
        <v>2018</v>
      </c>
      <c r="N28" s="25" t="s">
        <v>42</v>
      </c>
      <c r="O28" s="33" t="s">
        <v>26</v>
      </c>
      <c r="P28" s="25" t="s">
        <v>27</v>
      </c>
      <c r="Q28" s="33" t="s">
        <v>27</v>
      </c>
      <c r="R28" s="34">
        <v>50</v>
      </c>
      <c r="S28" s="32">
        <v>0.5</v>
      </c>
      <c r="T28" s="32">
        <v>0.5</v>
      </c>
      <c r="U28" s="32">
        <v>0</v>
      </c>
    </row>
    <row r="29" spans="1:21" x14ac:dyDescent="0.2">
      <c r="A29" s="25" t="s">
        <v>54</v>
      </c>
      <c r="B29" s="25" t="s">
        <v>55</v>
      </c>
      <c r="C29" s="25" t="s">
        <v>39</v>
      </c>
      <c r="D29" s="25" t="s">
        <v>124</v>
      </c>
      <c r="E29" s="25" t="s">
        <v>125</v>
      </c>
      <c r="F29" s="25" t="s">
        <v>126</v>
      </c>
      <c r="G29" s="25" t="s">
        <v>62</v>
      </c>
      <c r="H29" s="25" t="s">
        <v>28</v>
      </c>
      <c r="I29" s="25" t="s">
        <v>37</v>
      </c>
      <c r="J29" s="25" t="s">
        <v>38</v>
      </c>
      <c r="K29" s="35">
        <v>1</v>
      </c>
      <c r="L29" s="25" t="s">
        <v>47</v>
      </c>
      <c r="M29" s="25">
        <v>2018</v>
      </c>
      <c r="N29" s="25" t="s">
        <v>27</v>
      </c>
      <c r="O29" s="33" t="s">
        <v>27</v>
      </c>
      <c r="P29" s="25" t="s">
        <v>27</v>
      </c>
      <c r="Q29" s="33" t="s">
        <v>27</v>
      </c>
      <c r="R29" s="34">
        <v>100</v>
      </c>
      <c r="S29" s="32">
        <v>1</v>
      </c>
      <c r="T29" s="32">
        <v>0</v>
      </c>
      <c r="U29" s="32">
        <v>0</v>
      </c>
    </row>
    <row r="30" spans="1:21" x14ac:dyDescent="0.2">
      <c r="A30" s="25" t="s">
        <v>54</v>
      </c>
      <c r="B30" s="25" t="s">
        <v>55</v>
      </c>
      <c r="C30" s="25" t="s">
        <v>39</v>
      </c>
      <c r="D30" s="25" t="s">
        <v>127</v>
      </c>
      <c r="E30" s="25" t="s">
        <v>128</v>
      </c>
      <c r="F30" s="25" t="s">
        <v>32</v>
      </c>
      <c r="G30" s="25" t="s">
        <v>46</v>
      </c>
      <c r="H30" s="25" t="s">
        <v>28</v>
      </c>
      <c r="I30" s="25" t="s">
        <v>37</v>
      </c>
      <c r="J30" s="25" t="s">
        <v>38</v>
      </c>
      <c r="K30" s="35">
        <v>1</v>
      </c>
      <c r="L30" s="25" t="s">
        <v>47</v>
      </c>
      <c r="M30" s="25">
        <v>2018</v>
      </c>
      <c r="N30" s="25" t="s">
        <v>43</v>
      </c>
      <c r="O30" s="33" t="s">
        <v>53</v>
      </c>
      <c r="P30" s="25" t="s">
        <v>27</v>
      </c>
      <c r="Q30" s="33" t="s">
        <v>27</v>
      </c>
      <c r="R30" s="34">
        <v>80</v>
      </c>
      <c r="S30" s="32">
        <v>0.8</v>
      </c>
      <c r="T30" s="32">
        <v>0.2</v>
      </c>
      <c r="U30" s="32">
        <v>0</v>
      </c>
    </row>
    <row r="31" spans="1:21" x14ac:dyDescent="0.2">
      <c r="A31" s="25" t="s">
        <v>54</v>
      </c>
      <c r="B31" s="25" t="s">
        <v>55</v>
      </c>
      <c r="C31" s="25" t="s">
        <v>39</v>
      </c>
      <c r="D31" s="25" t="s">
        <v>129</v>
      </c>
      <c r="E31" s="25" t="s">
        <v>130</v>
      </c>
      <c r="F31" s="25" t="s">
        <v>131</v>
      </c>
      <c r="G31" s="25" t="s">
        <v>49</v>
      </c>
      <c r="H31" s="25" t="s">
        <v>28</v>
      </c>
      <c r="I31" s="25" t="s">
        <v>37</v>
      </c>
      <c r="J31" s="25" t="s">
        <v>38</v>
      </c>
      <c r="K31" s="35">
        <v>1</v>
      </c>
      <c r="L31" s="25" t="s">
        <v>47</v>
      </c>
      <c r="M31" s="25">
        <v>2018</v>
      </c>
      <c r="N31" s="25" t="s">
        <v>42</v>
      </c>
      <c r="O31" s="33" t="s">
        <v>44</v>
      </c>
      <c r="P31" s="25" t="s">
        <v>27</v>
      </c>
      <c r="Q31" s="33" t="s">
        <v>27</v>
      </c>
      <c r="R31" s="34">
        <v>70</v>
      </c>
      <c r="S31" s="32">
        <v>0.7</v>
      </c>
      <c r="T31" s="32">
        <v>0.3</v>
      </c>
      <c r="U31" s="32">
        <v>0</v>
      </c>
    </row>
    <row r="32" spans="1:21" x14ac:dyDescent="0.2">
      <c r="A32" s="25" t="s">
        <v>54</v>
      </c>
      <c r="B32" s="25" t="s">
        <v>55</v>
      </c>
      <c r="C32" s="25" t="s">
        <v>39</v>
      </c>
      <c r="D32" s="25" t="s">
        <v>135</v>
      </c>
      <c r="E32" s="25" t="s">
        <v>136</v>
      </c>
      <c r="F32" s="25" t="s">
        <v>33</v>
      </c>
      <c r="G32" s="25" t="s">
        <v>49</v>
      </c>
      <c r="H32" s="25" t="s">
        <v>28</v>
      </c>
      <c r="I32" s="25" t="s">
        <v>37</v>
      </c>
      <c r="J32" s="25" t="s">
        <v>38</v>
      </c>
      <c r="K32" s="35">
        <v>1</v>
      </c>
      <c r="L32" s="25" t="s">
        <v>47</v>
      </c>
      <c r="M32" s="25">
        <v>2018</v>
      </c>
      <c r="N32" s="25" t="s">
        <v>42</v>
      </c>
      <c r="O32" s="33" t="s">
        <v>44</v>
      </c>
      <c r="P32" s="25" t="s">
        <v>27</v>
      </c>
      <c r="Q32" s="33" t="s">
        <v>27</v>
      </c>
      <c r="R32" s="34">
        <v>70</v>
      </c>
      <c r="S32" s="32">
        <v>0.7</v>
      </c>
      <c r="T32" s="32">
        <v>0.3</v>
      </c>
      <c r="U32" s="32">
        <v>0</v>
      </c>
    </row>
    <row r="33" spans="1:21" x14ac:dyDescent="0.2">
      <c r="A33" s="27" t="s">
        <v>54</v>
      </c>
      <c r="B33" s="27" t="s">
        <v>55</v>
      </c>
      <c r="C33" s="27" t="s">
        <v>39</v>
      </c>
      <c r="D33" s="27" t="s">
        <v>201</v>
      </c>
      <c r="E33" s="27" t="s">
        <v>202</v>
      </c>
      <c r="F33" s="27" t="s">
        <v>203</v>
      </c>
      <c r="G33" s="27" t="s">
        <v>92</v>
      </c>
      <c r="H33" s="27" t="s">
        <v>28</v>
      </c>
      <c r="I33" s="27" t="s">
        <v>37</v>
      </c>
      <c r="J33" s="27" t="s">
        <v>38</v>
      </c>
      <c r="K33" s="40">
        <v>1</v>
      </c>
      <c r="L33" s="27" t="s">
        <v>47</v>
      </c>
      <c r="M33" s="27">
        <v>2019</v>
      </c>
      <c r="N33" s="27" t="s">
        <v>27</v>
      </c>
      <c r="O33" s="41" t="s">
        <v>27</v>
      </c>
      <c r="P33" s="27" t="s">
        <v>27</v>
      </c>
      <c r="Q33" s="41" t="s">
        <v>27</v>
      </c>
      <c r="R33" s="42">
        <v>100</v>
      </c>
      <c r="S33" s="43">
        <v>1</v>
      </c>
      <c r="T33" s="43">
        <v>0</v>
      </c>
      <c r="U33" s="43">
        <v>0</v>
      </c>
    </row>
    <row r="34" spans="1:21" x14ac:dyDescent="0.2">
      <c r="A34" s="27" t="s">
        <v>54</v>
      </c>
      <c r="B34" s="27" t="s">
        <v>55</v>
      </c>
      <c r="C34" s="27" t="s">
        <v>39</v>
      </c>
      <c r="D34" s="27" t="s">
        <v>198</v>
      </c>
      <c r="E34" s="27" t="s">
        <v>199</v>
      </c>
      <c r="F34" s="27" t="s">
        <v>200</v>
      </c>
      <c r="G34" s="27" t="s">
        <v>50</v>
      </c>
      <c r="H34" s="27" t="s">
        <v>28</v>
      </c>
      <c r="I34" s="27" t="s">
        <v>37</v>
      </c>
      <c r="J34" s="27" t="s">
        <v>38</v>
      </c>
      <c r="K34" s="40">
        <v>1</v>
      </c>
      <c r="L34" s="27" t="s">
        <v>47</v>
      </c>
      <c r="M34" s="27">
        <v>2019</v>
      </c>
      <c r="N34" s="27" t="s">
        <v>27</v>
      </c>
      <c r="O34" s="41" t="s">
        <v>27</v>
      </c>
      <c r="P34" s="27" t="s">
        <v>27</v>
      </c>
      <c r="Q34" s="41" t="s">
        <v>27</v>
      </c>
      <c r="R34" s="42">
        <v>100</v>
      </c>
      <c r="S34" s="43">
        <v>1</v>
      </c>
      <c r="T34" s="43">
        <v>0</v>
      </c>
      <c r="U34" s="43">
        <v>0</v>
      </c>
    </row>
    <row r="35" spans="1:21" x14ac:dyDescent="0.2">
      <c r="A35" s="25" t="s">
        <v>54</v>
      </c>
      <c r="B35" s="25" t="s">
        <v>55</v>
      </c>
      <c r="C35" s="25" t="s">
        <v>39</v>
      </c>
      <c r="D35" s="25" t="s">
        <v>220</v>
      </c>
      <c r="E35" s="25" t="s">
        <v>221</v>
      </c>
      <c r="F35" s="25" t="s">
        <v>222</v>
      </c>
      <c r="G35" s="25" t="s">
        <v>49</v>
      </c>
      <c r="H35" s="25" t="s">
        <v>28</v>
      </c>
      <c r="I35" s="25" t="s">
        <v>37</v>
      </c>
      <c r="J35" s="25" t="s">
        <v>38</v>
      </c>
      <c r="K35" s="26">
        <v>1</v>
      </c>
      <c r="L35" s="26" t="s">
        <v>47</v>
      </c>
      <c r="M35" s="44">
        <v>2019</v>
      </c>
      <c r="N35" s="25" t="s">
        <v>42</v>
      </c>
      <c r="O35" s="33" t="s">
        <v>44</v>
      </c>
      <c r="P35" s="25" t="s">
        <v>27</v>
      </c>
      <c r="Q35" s="33" t="s">
        <v>27</v>
      </c>
      <c r="R35" s="25">
        <v>70</v>
      </c>
      <c r="S35" s="25">
        <v>0.7</v>
      </c>
      <c r="T35" s="25">
        <v>0.3</v>
      </c>
      <c r="U35" s="25">
        <v>0</v>
      </c>
    </row>
    <row r="36" spans="1:21" x14ac:dyDescent="0.2">
      <c r="A36" s="25" t="s">
        <v>54</v>
      </c>
      <c r="B36" s="25" t="s">
        <v>55</v>
      </c>
      <c r="C36" s="25" t="s">
        <v>39</v>
      </c>
      <c r="D36" s="25" t="s">
        <v>223</v>
      </c>
      <c r="E36" s="25" t="s">
        <v>224</v>
      </c>
      <c r="F36" s="25" t="s">
        <v>225</v>
      </c>
      <c r="G36" s="25" t="s">
        <v>226</v>
      </c>
      <c r="H36" s="25" t="s">
        <v>25</v>
      </c>
      <c r="I36" s="25" t="s">
        <v>37</v>
      </c>
      <c r="J36" s="25" t="s">
        <v>38</v>
      </c>
      <c r="K36" s="26">
        <v>0.5</v>
      </c>
      <c r="L36" s="26" t="s">
        <v>47</v>
      </c>
      <c r="M36" s="44">
        <v>2019</v>
      </c>
      <c r="N36" s="25" t="s">
        <v>42</v>
      </c>
      <c r="O36" s="33" t="s">
        <v>44</v>
      </c>
      <c r="P36" s="25" t="s">
        <v>137</v>
      </c>
      <c r="Q36" s="33" t="s">
        <v>53</v>
      </c>
      <c r="R36" s="25">
        <v>50</v>
      </c>
      <c r="S36" s="25">
        <v>0.25</v>
      </c>
      <c r="T36" s="25">
        <v>0.15</v>
      </c>
      <c r="U36" s="25">
        <v>0.1</v>
      </c>
    </row>
    <row r="37" spans="1:21" x14ac:dyDescent="0.2">
      <c r="A37" s="25" t="s">
        <v>54</v>
      </c>
      <c r="B37" s="25" t="s">
        <v>55</v>
      </c>
      <c r="C37" s="25" t="s">
        <v>39</v>
      </c>
      <c r="D37" s="25" t="s">
        <v>223</v>
      </c>
      <c r="E37" s="25" t="s">
        <v>224</v>
      </c>
      <c r="F37" s="25" t="s">
        <v>225</v>
      </c>
      <c r="G37" s="25" t="s">
        <v>227</v>
      </c>
      <c r="H37" s="25" t="s">
        <v>25</v>
      </c>
      <c r="I37" s="25" t="s">
        <v>37</v>
      </c>
      <c r="J37" s="25" t="s">
        <v>38</v>
      </c>
      <c r="K37" s="26">
        <v>0.5</v>
      </c>
      <c r="L37" s="26" t="s">
        <v>47</v>
      </c>
      <c r="M37" s="44">
        <v>2019</v>
      </c>
      <c r="N37" s="25" t="s">
        <v>42</v>
      </c>
      <c r="O37" s="33" t="s">
        <v>44</v>
      </c>
      <c r="P37" s="25" t="s">
        <v>137</v>
      </c>
      <c r="Q37" s="33" t="s">
        <v>53</v>
      </c>
      <c r="R37" s="25">
        <v>50</v>
      </c>
      <c r="S37" s="25">
        <v>0.25</v>
      </c>
      <c r="T37" s="25">
        <v>0.15</v>
      </c>
      <c r="U37" s="25">
        <v>0.1</v>
      </c>
    </row>
    <row r="38" spans="1:21" x14ac:dyDescent="0.2">
      <c r="A38" s="25" t="s">
        <v>54</v>
      </c>
      <c r="B38" s="25" t="s">
        <v>55</v>
      </c>
      <c r="C38" s="25" t="s">
        <v>39</v>
      </c>
      <c r="D38" s="25" t="s">
        <v>228</v>
      </c>
      <c r="E38" s="25" t="s">
        <v>229</v>
      </c>
      <c r="F38" s="25" t="s">
        <v>230</v>
      </c>
      <c r="G38" s="25" t="s">
        <v>101</v>
      </c>
      <c r="H38" s="25" t="s">
        <v>28</v>
      </c>
      <c r="I38" s="25" t="s">
        <v>37</v>
      </c>
      <c r="J38" s="25" t="s">
        <v>38</v>
      </c>
      <c r="K38" s="26">
        <v>1</v>
      </c>
      <c r="L38" s="26" t="s">
        <v>47</v>
      </c>
      <c r="M38" s="44">
        <v>2019</v>
      </c>
      <c r="N38" s="25" t="s">
        <v>42</v>
      </c>
      <c r="O38" s="33" t="s">
        <v>102</v>
      </c>
      <c r="P38" s="25" t="s">
        <v>27</v>
      </c>
      <c r="Q38" s="33" t="s">
        <v>27</v>
      </c>
      <c r="R38" s="25">
        <v>20</v>
      </c>
      <c r="S38" s="25">
        <v>0.2</v>
      </c>
      <c r="T38" s="25">
        <v>0.8</v>
      </c>
      <c r="U38" s="25">
        <v>0</v>
      </c>
    </row>
    <row r="39" spans="1:21" x14ac:dyDescent="0.2">
      <c r="A39" s="25" t="s">
        <v>54</v>
      </c>
      <c r="B39" s="25" t="s">
        <v>55</v>
      </c>
      <c r="C39" s="25" t="s">
        <v>39</v>
      </c>
      <c r="D39" s="25" t="s">
        <v>231</v>
      </c>
      <c r="E39" s="25" t="s">
        <v>232</v>
      </c>
      <c r="F39" s="25" t="s">
        <v>222</v>
      </c>
      <c r="G39" s="25" t="s">
        <v>49</v>
      </c>
      <c r="H39" s="25" t="s">
        <v>28</v>
      </c>
      <c r="I39" s="25" t="s">
        <v>37</v>
      </c>
      <c r="J39" s="25" t="s">
        <v>38</v>
      </c>
      <c r="K39" s="26">
        <v>1</v>
      </c>
      <c r="L39" s="26" t="s">
        <v>47</v>
      </c>
      <c r="M39" s="44">
        <v>2019</v>
      </c>
      <c r="N39" s="25" t="s">
        <v>42</v>
      </c>
      <c r="O39" s="33" t="s">
        <v>44</v>
      </c>
      <c r="P39" s="25" t="s">
        <v>27</v>
      </c>
      <c r="Q39" s="33" t="s">
        <v>27</v>
      </c>
      <c r="R39" s="25">
        <v>70</v>
      </c>
      <c r="S39" s="25">
        <v>0.7</v>
      </c>
      <c r="T39" s="25">
        <v>0.3</v>
      </c>
      <c r="U39" s="25">
        <v>0</v>
      </c>
    </row>
    <row r="40" spans="1:21" ht="10.8" thickBot="1" x14ac:dyDescent="0.25">
      <c r="A40" s="25" t="s">
        <v>233</v>
      </c>
      <c r="B40" s="25" t="s">
        <v>234</v>
      </c>
      <c r="C40" s="25" t="s">
        <v>235</v>
      </c>
      <c r="D40" s="25" t="s">
        <v>236</v>
      </c>
      <c r="E40" s="25" t="s">
        <v>237</v>
      </c>
      <c r="F40" s="25" t="s">
        <v>238</v>
      </c>
      <c r="G40" s="25" t="s">
        <v>101</v>
      </c>
      <c r="H40" s="25" t="s">
        <v>25</v>
      </c>
      <c r="I40" s="25" t="s">
        <v>37</v>
      </c>
      <c r="J40" s="25" t="s">
        <v>38</v>
      </c>
      <c r="K40" s="26">
        <v>0.5</v>
      </c>
      <c r="L40" s="26" t="s">
        <v>47</v>
      </c>
      <c r="M40" s="44">
        <v>2019</v>
      </c>
      <c r="N40" s="25" t="s">
        <v>42</v>
      </c>
      <c r="O40" s="33" t="s">
        <v>102</v>
      </c>
      <c r="P40" s="25" t="s">
        <v>27</v>
      </c>
      <c r="Q40" s="33" t="s">
        <v>27</v>
      </c>
      <c r="R40" s="25">
        <v>20</v>
      </c>
      <c r="S40" s="25">
        <v>0.1</v>
      </c>
      <c r="T40" s="25">
        <v>0.4</v>
      </c>
      <c r="U40" s="25">
        <v>0</v>
      </c>
    </row>
    <row r="41" spans="1:21" ht="10.8" thickBot="1" x14ac:dyDescent="0.25">
      <c r="A41" s="28" t="s">
        <v>37</v>
      </c>
      <c r="B41" s="28" t="s">
        <v>38</v>
      </c>
      <c r="C41" s="28" t="s">
        <v>39</v>
      </c>
      <c r="D41" s="28" t="s">
        <v>239</v>
      </c>
      <c r="E41" s="28" t="s">
        <v>240</v>
      </c>
      <c r="F41" s="28" t="s">
        <v>241</v>
      </c>
      <c r="G41" s="29" t="s">
        <v>62</v>
      </c>
      <c r="H41" s="30" t="s">
        <v>25</v>
      </c>
      <c r="I41" s="30" t="s">
        <v>37</v>
      </c>
      <c r="J41" s="31" t="s">
        <v>38</v>
      </c>
      <c r="K41" s="26">
        <v>0.5</v>
      </c>
      <c r="L41" s="26" t="s">
        <v>47</v>
      </c>
      <c r="M41" s="25">
        <v>2020</v>
      </c>
      <c r="N41" s="25" t="s">
        <v>27</v>
      </c>
      <c r="O41" s="33" t="s">
        <v>27</v>
      </c>
      <c r="P41" s="25" t="s">
        <v>27</v>
      </c>
      <c r="Q41" s="33" t="s">
        <v>27</v>
      </c>
      <c r="R41" s="25">
        <v>100</v>
      </c>
      <c r="S41" s="25">
        <v>0.5</v>
      </c>
      <c r="T41" s="25">
        <v>0</v>
      </c>
      <c r="U41" s="25">
        <v>0</v>
      </c>
    </row>
    <row r="42" spans="1:21" ht="10.8" thickBot="1" x14ac:dyDescent="0.25">
      <c r="A42" s="28" t="s">
        <v>37</v>
      </c>
      <c r="B42" s="28" t="s">
        <v>38</v>
      </c>
      <c r="C42" s="28" t="s">
        <v>39</v>
      </c>
      <c r="D42" s="28" t="s">
        <v>239</v>
      </c>
      <c r="E42" s="28" t="s">
        <v>240</v>
      </c>
      <c r="F42" s="28" t="s">
        <v>241</v>
      </c>
      <c r="G42" s="29" t="s">
        <v>242</v>
      </c>
      <c r="H42" s="30" t="s">
        <v>25</v>
      </c>
      <c r="I42" s="30" t="s">
        <v>37</v>
      </c>
      <c r="J42" s="31" t="s">
        <v>38</v>
      </c>
      <c r="K42" s="26">
        <v>0.5</v>
      </c>
      <c r="L42" s="26" t="s">
        <v>47</v>
      </c>
      <c r="M42" s="25">
        <v>2020</v>
      </c>
      <c r="N42" s="25" t="s">
        <v>27</v>
      </c>
      <c r="O42" s="33" t="s">
        <v>27</v>
      </c>
      <c r="P42" s="25" t="s">
        <v>27</v>
      </c>
      <c r="Q42" s="33" t="s">
        <v>27</v>
      </c>
      <c r="R42" s="25">
        <v>100</v>
      </c>
      <c r="S42" s="25">
        <v>0.5</v>
      </c>
      <c r="T42" s="25">
        <v>0</v>
      </c>
      <c r="U42" s="25">
        <v>0</v>
      </c>
    </row>
    <row r="43" spans="1:21" ht="10.8" thickBot="1" x14ac:dyDescent="0.25">
      <c r="A43" s="28" t="s">
        <v>37</v>
      </c>
      <c r="B43" s="28" t="s">
        <v>38</v>
      </c>
      <c r="C43" s="28" t="s">
        <v>39</v>
      </c>
      <c r="D43" s="28" t="s">
        <v>243</v>
      </c>
      <c r="E43" s="28" t="s">
        <v>244</v>
      </c>
      <c r="F43" s="28" t="s">
        <v>245</v>
      </c>
      <c r="G43" s="29" t="s">
        <v>57</v>
      </c>
      <c r="H43" s="30" t="s">
        <v>25</v>
      </c>
      <c r="I43" s="30" t="s">
        <v>37</v>
      </c>
      <c r="J43" s="31" t="s">
        <v>38</v>
      </c>
      <c r="K43" s="26">
        <v>0.5</v>
      </c>
      <c r="L43" s="26" t="s">
        <v>47</v>
      </c>
      <c r="M43" s="25">
        <v>2020</v>
      </c>
      <c r="N43" s="25" t="s">
        <v>58</v>
      </c>
      <c r="O43" s="33" t="s">
        <v>53</v>
      </c>
      <c r="P43" s="25" t="s">
        <v>27</v>
      </c>
      <c r="Q43" s="33" t="s">
        <v>27</v>
      </c>
      <c r="R43" s="25">
        <v>80</v>
      </c>
      <c r="S43" s="25">
        <v>0.4</v>
      </c>
      <c r="T43" s="25">
        <v>0.1</v>
      </c>
      <c r="U43" s="25">
        <v>0</v>
      </c>
    </row>
    <row r="44" spans="1:21" ht="10.8" thickBot="1" x14ac:dyDescent="0.25">
      <c r="A44" s="28" t="s">
        <v>37</v>
      </c>
      <c r="B44" s="28" t="s">
        <v>38</v>
      </c>
      <c r="C44" s="28" t="s">
        <v>39</v>
      </c>
      <c r="D44" s="28" t="s">
        <v>243</v>
      </c>
      <c r="E44" s="28" t="s">
        <v>244</v>
      </c>
      <c r="F44" s="28" t="s">
        <v>245</v>
      </c>
      <c r="G44" s="29" t="s">
        <v>88</v>
      </c>
      <c r="H44" s="30" t="s">
        <v>25</v>
      </c>
      <c r="I44" s="30" t="s">
        <v>37</v>
      </c>
      <c r="J44" s="31" t="s">
        <v>38</v>
      </c>
      <c r="K44" s="26">
        <v>0.5</v>
      </c>
      <c r="L44" s="26" t="s">
        <v>47</v>
      </c>
      <c r="M44" s="25">
        <v>2020</v>
      </c>
      <c r="N44" s="25" t="s">
        <v>27</v>
      </c>
      <c r="O44" s="33" t="s">
        <v>27</v>
      </c>
      <c r="P44" s="25" t="s">
        <v>27</v>
      </c>
      <c r="Q44" s="33" t="s">
        <v>27</v>
      </c>
      <c r="R44" s="25">
        <v>100</v>
      </c>
      <c r="S44" s="25">
        <v>0.5</v>
      </c>
      <c r="T44" s="25">
        <v>0</v>
      </c>
      <c r="U44" s="25">
        <v>0</v>
      </c>
    </row>
    <row r="45" spans="1:21" ht="10.8" thickBot="1" x14ac:dyDescent="0.25">
      <c r="A45" s="28" t="s">
        <v>37</v>
      </c>
      <c r="B45" s="28" t="s">
        <v>38</v>
      </c>
      <c r="C45" s="28" t="s">
        <v>39</v>
      </c>
      <c r="D45" s="28" t="s">
        <v>310</v>
      </c>
      <c r="E45" s="28" t="s">
        <v>311</v>
      </c>
      <c r="F45" s="28" t="s">
        <v>312</v>
      </c>
      <c r="G45" s="29" t="s">
        <v>57</v>
      </c>
      <c r="H45" s="30" t="s">
        <v>25</v>
      </c>
      <c r="I45" s="30" t="s">
        <v>37</v>
      </c>
      <c r="J45" s="31" t="s">
        <v>38</v>
      </c>
      <c r="K45" s="26">
        <v>0.5</v>
      </c>
      <c r="L45" s="26" t="s">
        <v>47</v>
      </c>
      <c r="M45" s="25">
        <v>2020</v>
      </c>
      <c r="N45" s="25" t="s">
        <v>58</v>
      </c>
      <c r="O45" s="33" t="s">
        <v>53</v>
      </c>
      <c r="P45" s="25" t="s">
        <v>27</v>
      </c>
      <c r="Q45" s="33" t="s">
        <v>27</v>
      </c>
      <c r="R45" s="25">
        <v>80</v>
      </c>
      <c r="S45" s="25">
        <v>0.4</v>
      </c>
      <c r="T45" s="25">
        <v>0.1</v>
      </c>
      <c r="U45" s="25">
        <v>0</v>
      </c>
    </row>
    <row r="46" spans="1:21" ht="10.8" thickBot="1" x14ac:dyDescent="0.25">
      <c r="A46" s="28" t="s">
        <v>37</v>
      </c>
      <c r="B46" s="28" t="s">
        <v>38</v>
      </c>
      <c r="C46" s="28" t="s">
        <v>39</v>
      </c>
      <c r="D46" s="28" t="s">
        <v>310</v>
      </c>
      <c r="E46" s="28" t="s">
        <v>311</v>
      </c>
      <c r="F46" s="28" t="s">
        <v>312</v>
      </c>
      <c r="G46" s="29" t="s">
        <v>313</v>
      </c>
      <c r="H46" s="30" t="s">
        <v>25</v>
      </c>
      <c r="I46" s="30" t="s">
        <v>37</v>
      </c>
      <c r="J46" s="31" t="s">
        <v>38</v>
      </c>
      <c r="K46" s="26">
        <v>0.5</v>
      </c>
      <c r="L46" s="26" t="s">
        <v>47</v>
      </c>
      <c r="M46" s="25">
        <v>2020</v>
      </c>
      <c r="N46" s="25" t="s">
        <v>27</v>
      </c>
      <c r="O46" s="33" t="s">
        <v>27</v>
      </c>
      <c r="P46" s="25" t="s">
        <v>27</v>
      </c>
      <c r="Q46" s="33" t="s">
        <v>27</v>
      </c>
      <c r="R46" s="25">
        <v>100</v>
      </c>
      <c r="S46" s="25">
        <v>0.5</v>
      </c>
      <c r="T46" s="25">
        <v>0</v>
      </c>
      <c r="U46" s="25">
        <v>0</v>
      </c>
    </row>
    <row r="47" spans="1:21" ht="10.8" thickBot="1" x14ac:dyDescent="0.25">
      <c r="A47" s="28" t="s">
        <v>37</v>
      </c>
      <c r="B47" s="28" t="s">
        <v>38</v>
      </c>
      <c r="C47" s="28" t="s">
        <v>39</v>
      </c>
      <c r="D47" s="28" t="s">
        <v>246</v>
      </c>
      <c r="E47" s="28" t="s">
        <v>247</v>
      </c>
      <c r="F47" s="28" t="s">
        <v>248</v>
      </c>
      <c r="G47" s="29" t="s">
        <v>249</v>
      </c>
      <c r="H47" s="30" t="s">
        <v>25</v>
      </c>
      <c r="I47" s="30" t="s">
        <v>37</v>
      </c>
      <c r="J47" s="31" t="s">
        <v>38</v>
      </c>
      <c r="K47" s="26">
        <v>0.5</v>
      </c>
      <c r="L47" s="26" t="s">
        <v>47</v>
      </c>
      <c r="M47" s="25">
        <v>2020</v>
      </c>
      <c r="N47" s="25" t="s">
        <v>137</v>
      </c>
      <c r="O47" s="33" t="s">
        <v>44</v>
      </c>
      <c r="P47" s="25" t="s">
        <v>42</v>
      </c>
      <c r="Q47" s="33" t="s">
        <v>44</v>
      </c>
      <c r="R47" s="25">
        <v>40</v>
      </c>
      <c r="S47" s="25">
        <v>0.2</v>
      </c>
      <c r="T47" s="25">
        <v>0.15</v>
      </c>
      <c r="U47" s="25">
        <v>0.15</v>
      </c>
    </row>
    <row r="48" spans="1:21" ht="10.8" thickBot="1" x14ac:dyDescent="0.25">
      <c r="A48" s="28" t="s">
        <v>37</v>
      </c>
      <c r="B48" s="28" t="s">
        <v>38</v>
      </c>
      <c r="C48" s="28" t="s">
        <v>39</v>
      </c>
      <c r="D48" s="28" t="s">
        <v>246</v>
      </c>
      <c r="E48" s="28" t="s">
        <v>247</v>
      </c>
      <c r="F48" s="28" t="s">
        <v>248</v>
      </c>
      <c r="G48" s="29" t="s">
        <v>50</v>
      </c>
      <c r="H48" s="30" t="s">
        <v>25</v>
      </c>
      <c r="I48" s="30" t="s">
        <v>37</v>
      </c>
      <c r="J48" s="31" t="s">
        <v>38</v>
      </c>
      <c r="K48" s="26">
        <v>0.5</v>
      </c>
      <c r="L48" s="26" t="s">
        <v>47</v>
      </c>
      <c r="M48" s="25">
        <v>2020</v>
      </c>
      <c r="N48" s="25" t="s">
        <v>27</v>
      </c>
      <c r="O48" s="33" t="s">
        <v>27</v>
      </c>
      <c r="P48" s="25" t="s">
        <v>27</v>
      </c>
      <c r="Q48" s="33" t="s">
        <v>27</v>
      </c>
      <c r="R48" s="25">
        <v>100</v>
      </c>
      <c r="S48" s="25">
        <v>0.5</v>
      </c>
      <c r="T48" s="25">
        <v>0</v>
      </c>
      <c r="U48" s="25">
        <v>0</v>
      </c>
    </row>
    <row r="49" spans="1:21" ht="10.8" thickBot="1" x14ac:dyDescent="0.25">
      <c r="A49" s="28" t="s">
        <v>37</v>
      </c>
      <c r="B49" s="28" t="s">
        <v>38</v>
      </c>
      <c r="C49" s="28" t="s">
        <v>39</v>
      </c>
      <c r="D49" s="28" t="s">
        <v>250</v>
      </c>
      <c r="E49" s="28" t="s">
        <v>251</v>
      </c>
      <c r="F49" s="28" t="s">
        <v>252</v>
      </c>
      <c r="G49" s="29" t="s">
        <v>51</v>
      </c>
      <c r="H49" s="30" t="s">
        <v>28</v>
      </c>
      <c r="I49" s="30" t="s">
        <v>37</v>
      </c>
      <c r="J49" s="31" t="s">
        <v>38</v>
      </c>
      <c r="K49" s="26">
        <v>1</v>
      </c>
      <c r="L49" s="26" t="s">
        <v>47</v>
      </c>
      <c r="M49" s="25">
        <v>2020</v>
      </c>
      <c r="N49" s="25" t="s">
        <v>52</v>
      </c>
      <c r="O49" s="33" t="s">
        <v>26</v>
      </c>
      <c r="P49" s="25" t="s">
        <v>27</v>
      </c>
      <c r="Q49" s="33" t="s">
        <v>27</v>
      </c>
      <c r="R49" s="25">
        <v>50</v>
      </c>
      <c r="S49" s="25">
        <v>0.5</v>
      </c>
      <c r="T49" s="25">
        <v>0.5</v>
      </c>
      <c r="U49" s="25">
        <v>0</v>
      </c>
    </row>
    <row r="50" spans="1:21" ht="10.8" thickBot="1" x14ac:dyDescent="0.25">
      <c r="A50" s="28" t="s">
        <v>37</v>
      </c>
      <c r="B50" s="28" t="s">
        <v>38</v>
      </c>
      <c r="C50" s="28" t="s">
        <v>39</v>
      </c>
      <c r="D50" s="28" t="s">
        <v>314</v>
      </c>
      <c r="E50" s="28" t="s">
        <v>253</v>
      </c>
      <c r="F50" s="28" t="s">
        <v>254</v>
      </c>
      <c r="G50" s="29" t="s">
        <v>226</v>
      </c>
      <c r="H50" s="30" t="s">
        <v>28</v>
      </c>
      <c r="I50" s="30" t="s">
        <v>37</v>
      </c>
      <c r="J50" s="31" t="s">
        <v>38</v>
      </c>
      <c r="K50" s="26">
        <v>1</v>
      </c>
      <c r="L50" s="26" t="s">
        <v>47</v>
      </c>
      <c r="M50" s="25">
        <v>2020</v>
      </c>
      <c r="N50" s="25" t="s">
        <v>42</v>
      </c>
      <c r="O50" s="33" t="s">
        <v>44</v>
      </c>
      <c r="P50" s="25" t="s">
        <v>137</v>
      </c>
      <c r="Q50" s="33" t="s">
        <v>53</v>
      </c>
      <c r="R50" s="25">
        <v>50</v>
      </c>
      <c r="S50" s="25">
        <v>0.5</v>
      </c>
      <c r="T50" s="25">
        <v>0.3</v>
      </c>
      <c r="U50" s="25">
        <v>0.2</v>
      </c>
    </row>
    <row r="51" spans="1:21" ht="10.8" thickBot="1" x14ac:dyDescent="0.25">
      <c r="A51" s="28" t="s">
        <v>54</v>
      </c>
      <c r="B51" s="28" t="s">
        <v>55</v>
      </c>
      <c r="C51" s="28" t="s">
        <v>39</v>
      </c>
      <c r="D51" s="28" t="s">
        <v>255</v>
      </c>
      <c r="E51" s="28" t="s">
        <v>256</v>
      </c>
      <c r="F51" s="28" t="s">
        <v>257</v>
      </c>
      <c r="G51" s="29" t="s">
        <v>49</v>
      </c>
      <c r="H51" s="30" t="s">
        <v>28</v>
      </c>
      <c r="I51" s="30" t="s">
        <v>37</v>
      </c>
      <c r="J51" s="31" t="s">
        <v>38</v>
      </c>
      <c r="K51" s="26">
        <v>1</v>
      </c>
      <c r="L51" s="26" t="s">
        <v>47</v>
      </c>
      <c r="M51" s="25">
        <v>2020</v>
      </c>
      <c r="N51" s="25" t="s">
        <v>42</v>
      </c>
      <c r="O51" s="33" t="s">
        <v>44</v>
      </c>
      <c r="P51" s="25" t="s">
        <v>27</v>
      </c>
      <c r="Q51" s="33" t="s">
        <v>27</v>
      </c>
      <c r="R51" s="25">
        <v>70</v>
      </c>
      <c r="S51" s="25">
        <v>0.7</v>
      </c>
      <c r="T51" s="25">
        <v>0.3</v>
      </c>
      <c r="U51" s="25">
        <v>0</v>
      </c>
    </row>
    <row r="52" spans="1:21" ht="10.8" thickBot="1" x14ac:dyDescent="0.25">
      <c r="A52" s="28" t="s">
        <v>54</v>
      </c>
      <c r="B52" s="28" t="s">
        <v>55</v>
      </c>
      <c r="C52" s="28" t="s">
        <v>39</v>
      </c>
      <c r="D52" s="28" t="s">
        <v>258</v>
      </c>
      <c r="E52" s="28" t="s">
        <v>259</v>
      </c>
      <c r="F52" s="28" t="s">
        <v>260</v>
      </c>
      <c r="G52" s="29" t="s">
        <v>226</v>
      </c>
      <c r="H52" s="30" t="s">
        <v>28</v>
      </c>
      <c r="I52" s="30" t="s">
        <v>37</v>
      </c>
      <c r="J52" s="31" t="s">
        <v>38</v>
      </c>
      <c r="K52" s="26">
        <v>1</v>
      </c>
      <c r="L52" s="26" t="s">
        <v>47</v>
      </c>
      <c r="M52" s="25">
        <v>2020</v>
      </c>
      <c r="N52" s="25" t="s">
        <v>42</v>
      </c>
      <c r="O52" s="33" t="s">
        <v>44</v>
      </c>
      <c r="P52" s="25" t="s">
        <v>137</v>
      </c>
      <c r="Q52" s="33" t="s">
        <v>53</v>
      </c>
      <c r="R52" s="25">
        <v>50</v>
      </c>
      <c r="S52" s="25">
        <v>0.5</v>
      </c>
      <c r="T52" s="25">
        <v>0.3</v>
      </c>
      <c r="U52" s="25">
        <v>0.2</v>
      </c>
    </row>
    <row r="53" spans="1:21" ht="10.8" thickBot="1" x14ac:dyDescent="0.25">
      <c r="A53" s="28" t="s">
        <v>54</v>
      </c>
      <c r="B53" s="28" t="s">
        <v>55</v>
      </c>
      <c r="C53" s="28" t="s">
        <v>39</v>
      </c>
      <c r="D53" s="28" t="s">
        <v>261</v>
      </c>
      <c r="E53" s="28" t="s">
        <v>262</v>
      </c>
      <c r="F53" s="28" t="s">
        <v>263</v>
      </c>
      <c r="G53" s="29" t="s">
        <v>49</v>
      </c>
      <c r="H53" s="30" t="s">
        <v>28</v>
      </c>
      <c r="I53" s="30" t="s">
        <v>37</v>
      </c>
      <c r="J53" s="31" t="s">
        <v>38</v>
      </c>
      <c r="K53" s="26">
        <v>1</v>
      </c>
      <c r="L53" s="26" t="s">
        <v>47</v>
      </c>
      <c r="M53" s="25">
        <v>2020</v>
      </c>
      <c r="N53" s="25" t="s">
        <v>42</v>
      </c>
      <c r="O53" s="33" t="s">
        <v>44</v>
      </c>
      <c r="P53" s="25" t="s">
        <v>27</v>
      </c>
      <c r="Q53" s="33" t="s">
        <v>27</v>
      </c>
      <c r="R53" s="25">
        <v>70</v>
      </c>
      <c r="S53" s="25">
        <v>0.7</v>
      </c>
      <c r="T53" s="25">
        <v>0.3</v>
      </c>
      <c r="U53" s="25">
        <v>0</v>
      </c>
    </row>
    <row r="54" spans="1:21" ht="10.8" thickBot="1" x14ac:dyDescent="0.25">
      <c r="A54" s="28" t="s">
        <v>54</v>
      </c>
      <c r="B54" s="28" t="s">
        <v>55</v>
      </c>
      <c r="C54" s="28" t="s">
        <v>39</v>
      </c>
      <c r="D54" s="28" t="s">
        <v>264</v>
      </c>
      <c r="E54" s="28" t="s">
        <v>265</v>
      </c>
      <c r="F54" s="28" t="s">
        <v>257</v>
      </c>
      <c r="G54" s="29" t="s">
        <v>49</v>
      </c>
      <c r="H54" s="30" t="s">
        <v>28</v>
      </c>
      <c r="I54" s="30" t="s">
        <v>37</v>
      </c>
      <c r="J54" s="31" t="s">
        <v>38</v>
      </c>
      <c r="K54" s="26">
        <v>1</v>
      </c>
      <c r="L54" s="26" t="s">
        <v>47</v>
      </c>
      <c r="M54" s="25">
        <v>2020</v>
      </c>
      <c r="N54" s="25" t="s">
        <v>42</v>
      </c>
      <c r="O54" s="33" t="s">
        <v>44</v>
      </c>
      <c r="P54" s="25" t="s">
        <v>27</v>
      </c>
      <c r="Q54" s="33" t="s">
        <v>27</v>
      </c>
      <c r="R54" s="25">
        <v>70</v>
      </c>
      <c r="S54" s="25">
        <v>0.7</v>
      </c>
      <c r="T54" s="25">
        <v>0.3</v>
      </c>
      <c r="U54" s="25">
        <v>0</v>
      </c>
    </row>
    <row r="55" spans="1:21" ht="10.8" thickBot="1" x14ac:dyDescent="0.25">
      <c r="A55" s="28" t="s">
        <v>233</v>
      </c>
      <c r="B55" s="28" t="s">
        <v>234</v>
      </c>
      <c r="C55" s="28" t="s">
        <v>235</v>
      </c>
      <c r="D55" s="28" t="s">
        <v>266</v>
      </c>
      <c r="E55" s="28" t="s">
        <v>267</v>
      </c>
      <c r="F55" s="28" t="s">
        <v>268</v>
      </c>
      <c r="G55" s="29" t="s">
        <v>101</v>
      </c>
      <c r="H55" s="30" t="s">
        <v>28</v>
      </c>
      <c r="I55" s="30" t="s">
        <v>37</v>
      </c>
      <c r="J55" s="31" t="s">
        <v>38</v>
      </c>
      <c r="K55" s="26">
        <v>1</v>
      </c>
      <c r="L55" s="26" t="s">
        <v>47</v>
      </c>
      <c r="M55" s="25">
        <v>2020</v>
      </c>
      <c r="N55" s="25" t="s">
        <v>42</v>
      </c>
      <c r="O55" s="33" t="s">
        <v>102</v>
      </c>
      <c r="P55" s="25" t="s">
        <v>27</v>
      </c>
      <c r="Q55" s="33" t="s">
        <v>27</v>
      </c>
      <c r="R55" s="25">
        <v>20</v>
      </c>
      <c r="S55" s="25">
        <v>0.2</v>
      </c>
      <c r="T55" s="25">
        <v>0.8</v>
      </c>
      <c r="U55" s="25">
        <v>0</v>
      </c>
    </row>
    <row r="56" spans="1:21" ht="10.8" thickBot="1" x14ac:dyDescent="0.25">
      <c r="A56" s="28" t="s">
        <v>233</v>
      </c>
      <c r="B56" s="28" t="s">
        <v>234</v>
      </c>
      <c r="C56" s="28" t="s">
        <v>235</v>
      </c>
      <c r="D56" s="28" t="s">
        <v>269</v>
      </c>
      <c r="E56" s="28" t="s">
        <v>270</v>
      </c>
      <c r="F56" s="28" t="s">
        <v>271</v>
      </c>
      <c r="G56" s="29" t="s">
        <v>272</v>
      </c>
      <c r="H56" s="30" t="s">
        <v>25</v>
      </c>
      <c r="I56" s="30" t="s">
        <v>37</v>
      </c>
      <c r="J56" s="31" t="s">
        <v>38</v>
      </c>
      <c r="K56" s="26">
        <v>0.5</v>
      </c>
      <c r="L56" s="26" t="s">
        <v>47</v>
      </c>
      <c r="M56" s="25">
        <v>2020</v>
      </c>
      <c r="N56" s="25" t="s">
        <v>211</v>
      </c>
      <c r="O56" s="33" t="s">
        <v>26</v>
      </c>
      <c r="P56" s="25" t="s">
        <v>27</v>
      </c>
      <c r="Q56" s="33" t="s">
        <v>27</v>
      </c>
      <c r="R56" s="25">
        <v>50</v>
      </c>
      <c r="S56" s="25">
        <v>0.25</v>
      </c>
      <c r="T56" s="25">
        <v>0.25</v>
      </c>
      <c r="U56" s="25">
        <v>0</v>
      </c>
    </row>
    <row r="57" spans="1:21" ht="10.8" thickBot="1" x14ac:dyDescent="0.25">
      <c r="A57" s="28" t="s">
        <v>273</v>
      </c>
      <c r="B57" s="28" t="s">
        <v>274</v>
      </c>
      <c r="C57" s="28" t="s">
        <v>275</v>
      </c>
      <c r="D57" s="28" t="s">
        <v>276</v>
      </c>
      <c r="E57" s="28" t="s">
        <v>277</v>
      </c>
      <c r="F57" s="28" t="s">
        <v>263</v>
      </c>
      <c r="G57" s="29" t="s">
        <v>278</v>
      </c>
      <c r="H57" s="30" t="s">
        <v>25</v>
      </c>
      <c r="I57" s="30" t="s">
        <v>37</v>
      </c>
      <c r="J57" s="31" t="s">
        <v>38</v>
      </c>
      <c r="K57" s="26">
        <v>0.5</v>
      </c>
      <c r="L57" s="26" t="s">
        <v>47</v>
      </c>
      <c r="M57" s="25">
        <v>2020</v>
      </c>
      <c r="N57" s="25" t="s">
        <v>42</v>
      </c>
      <c r="O57" s="33" t="s">
        <v>26</v>
      </c>
      <c r="P57" s="25" t="s">
        <v>27</v>
      </c>
      <c r="Q57" s="33" t="s">
        <v>27</v>
      </c>
      <c r="R57" s="25">
        <v>50</v>
      </c>
      <c r="S57" s="25">
        <v>0.25</v>
      </c>
      <c r="T57" s="25">
        <v>0.25</v>
      </c>
      <c r="U57" s="25">
        <v>0</v>
      </c>
    </row>
    <row r="58" spans="1:21" x14ac:dyDescent="0.2">
      <c r="A58" s="25" t="s">
        <v>279</v>
      </c>
      <c r="B58" s="25" t="s">
        <v>280</v>
      </c>
      <c r="C58" s="25" t="s">
        <v>281</v>
      </c>
      <c r="D58" s="25" t="s">
        <v>282</v>
      </c>
      <c r="E58" s="25" t="s">
        <v>283</v>
      </c>
      <c r="F58" s="25" t="s">
        <v>284</v>
      </c>
      <c r="G58" s="25" t="s">
        <v>101</v>
      </c>
      <c r="H58" s="25" t="s">
        <v>28</v>
      </c>
      <c r="I58" s="25" t="s">
        <v>37</v>
      </c>
      <c r="J58" s="25" t="s">
        <v>38</v>
      </c>
      <c r="K58" s="26">
        <v>1</v>
      </c>
      <c r="L58" s="26" t="s">
        <v>47</v>
      </c>
      <c r="M58" s="25">
        <v>2020</v>
      </c>
      <c r="N58" s="25" t="s">
        <v>42</v>
      </c>
      <c r="O58" s="33" t="s">
        <v>102</v>
      </c>
      <c r="P58" s="25" t="s">
        <v>27</v>
      </c>
      <c r="Q58" s="33" t="s">
        <v>27</v>
      </c>
      <c r="R58" s="25">
        <v>20</v>
      </c>
      <c r="S58" s="25">
        <v>0.2</v>
      </c>
      <c r="T58" s="25">
        <v>0.8</v>
      </c>
      <c r="U58" s="25">
        <v>0</v>
      </c>
    </row>
    <row r="59" spans="1:21" x14ac:dyDescent="0.2">
      <c r="A59" s="25" t="s">
        <v>37</v>
      </c>
      <c r="B59" s="25" t="s">
        <v>38</v>
      </c>
      <c r="C59" s="25" t="s">
        <v>39</v>
      </c>
      <c r="D59" s="25" t="s">
        <v>315</v>
      </c>
      <c r="E59" s="25" t="s">
        <v>316</v>
      </c>
      <c r="F59" s="25" t="s">
        <v>317</v>
      </c>
      <c r="G59" s="25" t="s">
        <v>62</v>
      </c>
      <c r="H59" s="25" t="s">
        <v>25</v>
      </c>
      <c r="I59" s="25" t="s">
        <v>37</v>
      </c>
      <c r="J59" s="25" t="s">
        <v>38</v>
      </c>
      <c r="K59" s="26">
        <v>0.5</v>
      </c>
      <c r="L59" s="26" t="s">
        <v>47</v>
      </c>
      <c r="M59" s="25">
        <v>2021</v>
      </c>
      <c r="N59" s="25" t="s">
        <v>27</v>
      </c>
      <c r="O59" s="33" t="s">
        <v>27</v>
      </c>
      <c r="P59" s="25" t="s">
        <v>27</v>
      </c>
      <c r="Q59" s="33" t="s">
        <v>27</v>
      </c>
      <c r="R59" s="25">
        <v>100</v>
      </c>
      <c r="S59" s="25">
        <v>0.5</v>
      </c>
      <c r="T59" s="25">
        <v>0</v>
      </c>
      <c r="U59" s="25">
        <v>0</v>
      </c>
    </row>
    <row r="60" spans="1:21" x14ac:dyDescent="0.2">
      <c r="A60" s="25" t="s">
        <v>37</v>
      </c>
      <c r="B60" s="25" t="s">
        <v>38</v>
      </c>
      <c r="C60" s="25" t="s">
        <v>39</v>
      </c>
      <c r="D60" s="25" t="s">
        <v>315</v>
      </c>
      <c r="E60" s="25" t="s">
        <v>316</v>
      </c>
      <c r="F60" s="25" t="s">
        <v>317</v>
      </c>
      <c r="G60" s="25" t="s">
        <v>242</v>
      </c>
      <c r="H60" s="25" t="s">
        <v>25</v>
      </c>
      <c r="I60" s="25" t="s">
        <v>37</v>
      </c>
      <c r="J60" s="25" t="s">
        <v>38</v>
      </c>
      <c r="K60" s="26">
        <v>0.5</v>
      </c>
      <c r="L60" s="26" t="s">
        <v>47</v>
      </c>
      <c r="M60" s="25">
        <v>2021</v>
      </c>
      <c r="N60" s="25" t="s">
        <v>27</v>
      </c>
      <c r="O60" s="33" t="s">
        <v>27</v>
      </c>
      <c r="P60" s="25" t="s">
        <v>27</v>
      </c>
      <c r="Q60" s="33" t="s">
        <v>27</v>
      </c>
      <c r="R60" s="25">
        <v>100</v>
      </c>
      <c r="S60" s="25">
        <v>0.5</v>
      </c>
      <c r="T60" s="25">
        <v>0</v>
      </c>
      <c r="U60" s="25">
        <v>0</v>
      </c>
    </row>
    <row r="61" spans="1:21" x14ac:dyDescent="0.2">
      <c r="A61" s="25" t="s">
        <v>37</v>
      </c>
      <c r="B61" s="25" t="s">
        <v>38</v>
      </c>
      <c r="C61" s="25" t="s">
        <v>39</v>
      </c>
      <c r="D61" s="25" t="s">
        <v>318</v>
      </c>
      <c r="E61" s="25" t="s">
        <v>319</v>
      </c>
      <c r="F61" s="25" t="s">
        <v>320</v>
      </c>
      <c r="G61" s="25" t="s">
        <v>92</v>
      </c>
      <c r="H61" s="25" t="s">
        <v>28</v>
      </c>
      <c r="I61" s="25" t="s">
        <v>37</v>
      </c>
      <c r="J61" s="25" t="s">
        <v>38</v>
      </c>
      <c r="K61" s="26">
        <v>1</v>
      </c>
      <c r="L61" s="26" t="s">
        <v>47</v>
      </c>
      <c r="M61" s="25">
        <v>2021</v>
      </c>
      <c r="N61" s="25" t="s">
        <v>27</v>
      </c>
      <c r="O61" s="33" t="s">
        <v>27</v>
      </c>
      <c r="P61" s="25" t="s">
        <v>27</v>
      </c>
      <c r="Q61" s="33" t="s">
        <v>27</v>
      </c>
      <c r="R61" s="25">
        <v>100</v>
      </c>
      <c r="S61" s="25">
        <v>1</v>
      </c>
      <c r="T61" s="25">
        <v>0</v>
      </c>
      <c r="U61" s="25">
        <v>0</v>
      </c>
    </row>
    <row r="62" spans="1:21" x14ac:dyDescent="0.2">
      <c r="A62" s="25" t="s">
        <v>37</v>
      </c>
      <c r="B62" s="25" t="s">
        <v>38</v>
      </c>
      <c r="C62" s="25" t="s">
        <v>39</v>
      </c>
      <c r="D62" s="25" t="s">
        <v>321</v>
      </c>
      <c r="E62" s="25" t="s">
        <v>322</v>
      </c>
      <c r="F62" s="25" t="s">
        <v>323</v>
      </c>
      <c r="G62" s="25" t="s">
        <v>88</v>
      </c>
      <c r="H62" s="25" t="s">
        <v>25</v>
      </c>
      <c r="I62" s="25" t="s">
        <v>37</v>
      </c>
      <c r="J62" s="25" t="s">
        <v>38</v>
      </c>
      <c r="K62" s="26">
        <v>0.5</v>
      </c>
      <c r="L62" s="26" t="s">
        <v>47</v>
      </c>
      <c r="M62" s="25">
        <v>2021</v>
      </c>
      <c r="N62" s="25" t="s">
        <v>27</v>
      </c>
      <c r="O62" s="33" t="s">
        <v>27</v>
      </c>
      <c r="P62" s="25" t="s">
        <v>27</v>
      </c>
      <c r="Q62" s="33" t="s">
        <v>27</v>
      </c>
      <c r="R62" s="25">
        <v>100</v>
      </c>
      <c r="S62" s="25">
        <v>0.5</v>
      </c>
      <c r="T62" s="25">
        <v>0</v>
      </c>
      <c r="U62" s="25">
        <v>0</v>
      </c>
    </row>
    <row r="63" spans="1:21" x14ac:dyDescent="0.2">
      <c r="A63" s="25" t="s">
        <v>37</v>
      </c>
      <c r="B63" s="25" t="s">
        <v>38</v>
      </c>
      <c r="C63" s="25" t="s">
        <v>39</v>
      </c>
      <c r="D63" s="25" t="s">
        <v>324</v>
      </c>
      <c r="E63" s="25" t="s">
        <v>325</v>
      </c>
      <c r="F63" s="25" t="s">
        <v>326</v>
      </c>
      <c r="G63" s="25" t="s">
        <v>46</v>
      </c>
      <c r="H63" s="25" t="s">
        <v>25</v>
      </c>
      <c r="I63" s="25" t="s">
        <v>37</v>
      </c>
      <c r="J63" s="25" t="s">
        <v>38</v>
      </c>
      <c r="K63" s="26">
        <v>0.5</v>
      </c>
      <c r="L63" s="26" t="s">
        <v>47</v>
      </c>
      <c r="M63" s="25">
        <v>2021</v>
      </c>
      <c r="N63" s="25" t="s">
        <v>43</v>
      </c>
      <c r="O63" s="33" t="s">
        <v>53</v>
      </c>
      <c r="P63" s="25" t="s">
        <v>27</v>
      </c>
      <c r="Q63" s="33" t="s">
        <v>27</v>
      </c>
      <c r="R63" s="25">
        <v>80</v>
      </c>
      <c r="S63" s="25">
        <v>0.4</v>
      </c>
      <c r="T63" s="25">
        <v>0.1</v>
      </c>
      <c r="U63" s="25">
        <v>0</v>
      </c>
    </row>
    <row r="64" spans="1:21" x14ac:dyDescent="0.2">
      <c r="A64" s="25" t="s">
        <v>37</v>
      </c>
      <c r="B64" s="25" t="s">
        <v>38</v>
      </c>
      <c r="C64" s="25" t="s">
        <v>39</v>
      </c>
      <c r="D64" s="25" t="s">
        <v>324</v>
      </c>
      <c r="E64" s="25" t="s">
        <v>325</v>
      </c>
      <c r="F64" s="25" t="s">
        <v>326</v>
      </c>
      <c r="G64" s="25" t="s">
        <v>29</v>
      </c>
      <c r="H64" s="25" t="s">
        <v>25</v>
      </c>
      <c r="I64" s="25" t="s">
        <v>37</v>
      </c>
      <c r="J64" s="25" t="s">
        <v>38</v>
      </c>
      <c r="K64" s="26">
        <v>0.5</v>
      </c>
      <c r="L64" s="26" t="s">
        <v>47</v>
      </c>
      <c r="M64" s="25">
        <v>2021</v>
      </c>
      <c r="N64" s="25" t="s">
        <v>27</v>
      </c>
      <c r="O64" s="33" t="s">
        <v>27</v>
      </c>
      <c r="P64" s="25" t="s">
        <v>27</v>
      </c>
      <c r="Q64" s="33" t="s">
        <v>27</v>
      </c>
      <c r="R64" s="25">
        <v>100</v>
      </c>
      <c r="S64" s="25">
        <v>0.5</v>
      </c>
      <c r="T64" s="25">
        <v>0</v>
      </c>
      <c r="U64" s="25">
        <v>0</v>
      </c>
    </row>
    <row r="65" spans="1:21" x14ac:dyDescent="0.2">
      <c r="A65" s="25" t="s">
        <v>54</v>
      </c>
      <c r="B65" s="25" t="s">
        <v>55</v>
      </c>
      <c r="C65" s="25" t="s">
        <v>39</v>
      </c>
      <c r="D65" s="25" t="s">
        <v>327</v>
      </c>
      <c r="E65" s="25" t="s">
        <v>328</v>
      </c>
      <c r="F65" s="25" t="s">
        <v>329</v>
      </c>
      <c r="G65" s="25" t="s">
        <v>249</v>
      </c>
      <c r="H65" s="25" t="s">
        <v>28</v>
      </c>
      <c r="I65" s="25" t="s">
        <v>37</v>
      </c>
      <c r="J65" s="25" t="s">
        <v>38</v>
      </c>
      <c r="K65" s="26">
        <v>1</v>
      </c>
      <c r="L65" s="26" t="s">
        <v>47</v>
      </c>
      <c r="M65" s="25">
        <v>2021</v>
      </c>
      <c r="N65" s="25" t="s">
        <v>137</v>
      </c>
      <c r="O65" s="33" t="s">
        <v>44</v>
      </c>
      <c r="P65" s="25" t="s">
        <v>42</v>
      </c>
      <c r="Q65" s="33" t="s">
        <v>44</v>
      </c>
      <c r="R65" s="25">
        <v>40</v>
      </c>
      <c r="S65" s="25">
        <v>0.4</v>
      </c>
      <c r="T65" s="25">
        <v>0.3</v>
      </c>
      <c r="U65" s="25">
        <v>0.3</v>
      </c>
    </row>
    <row r="66" spans="1:21" x14ac:dyDescent="0.2">
      <c r="A66" s="25" t="s">
        <v>54</v>
      </c>
      <c r="B66" s="25" t="s">
        <v>55</v>
      </c>
      <c r="C66" s="25" t="s">
        <v>39</v>
      </c>
      <c r="D66" s="25" t="s">
        <v>330</v>
      </c>
      <c r="E66" s="25" t="s">
        <v>331</v>
      </c>
      <c r="F66" s="25" t="s">
        <v>332</v>
      </c>
      <c r="G66" s="25" t="s">
        <v>88</v>
      </c>
      <c r="H66" s="25" t="s">
        <v>25</v>
      </c>
      <c r="I66" s="25" t="s">
        <v>37</v>
      </c>
      <c r="J66" s="25" t="s">
        <v>38</v>
      </c>
      <c r="K66" s="26">
        <v>0.5</v>
      </c>
      <c r="L66" s="26" t="s">
        <v>47</v>
      </c>
      <c r="M66" s="25">
        <v>2021</v>
      </c>
      <c r="N66" s="25" t="s">
        <v>27</v>
      </c>
      <c r="O66" s="33" t="s">
        <v>27</v>
      </c>
      <c r="P66" s="25" t="s">
        <v>27</v>
      </c>
      <c r="Q66" s="33" t="s">
        <v>27</v>
      </c>
      <c r="R66" s="25">
        <v>100</v>
      </c>
      <c r="S66" s="25">
        <v>0.5</v>
      </c>
      <c r="T66" s="25">
        <v>0</v>
      </c>
      <c r="U66" s="25">
        <v>0</v>
      </c>
    </row>
    <row r="67" spans="1:21" x14ac:dyDescent="0.2">
      <c r="A67" s="25" t="s">
        <v>233</v>
      </c>
      <c r="B67" s="25" t="s">
        <v>234</v>
      </c>
      <c r="C67" s="25" t="s">
        <v>235</v>
      </c>
      <c r="D67" s="25" t="s">
        <v>333</v>
      </c>
      <c r="E67" s="25" t="s">
        <v>334</v>
      </c>
      <c r="F67" s="25" t="s">
        <v>335</v>
      </c>
      <c r="G67" s="25" t="s">
        <v>272</v>
      </c>
      <c r="H67" s="25" t="s">
        <v>25</v>
      </c>
      <c r="I67" s="25" t="s">
        <v>37</v>
      </c>
      <c r="J67" s="25" t="s">
        <v>38</v>
      </c>
      <c r="K67" s="26">
        <v>0.5</v>
      </c>
      <c r="L67" s="26" t="s">
        <v>47</v>
      </c>
      <c r="M67" s="25">
        <v>2021</v>
      </c>
      <c r="N67" s="25" t="s">
        <v>211</v>
      </c>
      <c r="O67" s="33" t="s">
        <v>26</v>
      </c>
      <c r="P67" s="25" t="s">
        <v>27</v>
      </c>
      <c r="Q67" s="33" t="s">
        <v>27</v>
      </c>
      <c r="R67" s="25">
        <v>50</v>
      </c>
      <c r="S67" s="25">
        <v>0.25</v>
      </c>
      <c r="T67" s="25">
        <v>0.25</v>
      </c>
      <c r="U67" s="25">
        <v>0</v>
      </c>
    </row>
    <row r="68" spans="1:21" x14ac:dyDescent="0.2">
      <c r="A68" s="50"/>
      <c r="B68" s="50"/>
      <c r="C68" s="50"/>
      <c r="D68" s="50"/>
      <c r="E68" s="50"/>
      <c r="F68" s="50"/>
      <c r="G68" s="50"/>
      <c r="H68" s="50"/>
      <c r="I68" s="50"/>
      <c r="J68" s="50"/>
      <c r="K68" s="50"/>
      <c r="L68" s="50"/>
      <c r="M68" s="50"/>
      <c r="N68" s="50"/>
      <c r="O68" s="51"/>
      <c r="P68" s="50"/>
      <c r="Q68" s="51"/>
      <c r="R68" s="50"/>
      <c r="S68" s="52">
        <f>SUM(S2:S67)</f>
        <v>37.449999999999996</v>
      </c>
      <c r="T68" s="50"/>
      <c r="U68" s="50"/>
    </row>
  </sheetData>
  <autoFilter ref="A1:U67" xr:uid="{00000000-0009-0000-0000-000000000000}">
    <sortState xmlns:xlrd2="http://schemas.microsoft.com/office/spreadsheetml/2017/richdata2" ref="A2:U1849">
      <sortCondition ref="L2:L1849"/>
      <sortCondition ref="M2:M1849"/>
      <sortCondition ref="D2:D1849"/>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9"/>
  <sheetViews>
    <sheetView topLeftCell="A16" zoomScaleNormal="100" workbookViewId="0">
      <selection activeCell="A39" sqref="A39:S39"/>
    </sheetView>
  </sheetViews>
  <sheetFormatPr baseColWidth="10" defaultColWidth="11.44140625" defaultRowHeight="13.2" x14ac:dyDescent="0.25"/>
  <cols>
    <col min="1" max="1" width="10.88671875" style="18" bestFit="1" customWidth="1"/>
    <col min="2" max="2" width="40.554687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20" t="s">
        <v>138</v>
      </c>
      <c r="B1" s="20" t="s">
        <v>139</v>
      </c>
      <c r="C1" s="20" t="s">
        <v>140</v>
      </c>
      <c r="D1" s="21">
        <v>2017</v>
      </c>
      <c r="E1" s="21">
        <v>2018</v>
      </c>
      <c r="F1" s="21">
        <v>2019</v>
      </c>
      <c r="G1" s="21">
        <v>2020</v>
      </c>
      <c r="H1" s="21">
        <v>2021</v>
      </c>
      <c r="I1" s="21">
        <v>2022</v>
      </c>
      <c r="J1" s="20" t="s">
        <v>141</v>
      </c>
      <c r="K1" s="46" t="s">
        <v>210</v>
      </c>
      <c r="L1" s="15" t="s">
        <v>142</v>
      </c>
      <c r="M1" s="15" t="s">
        <v>143</v>
      </c>
      <c r="N1" s="15" t="s">
        <v>144</v>
      </c>
      <c r="O1" s="15" t="s">
        <v>145</v>
      </c>
      <c r="P1" s="16" t="s">
        <v>146</v>
      </c>
      <c r="Q1" s="16" t="s">
        <v>147</v>
      </c>
      <c r="R1" s="16" t="s">
        <v>148</v>
      </c>
      <c r="S1" s="16" t="s">
        <v>149</v>
      </c>
    </row>
    <row r="2" spans="1:19" ht="14.4" x14ac:dyDescent="0.3">
      <c r="A2" s="22" t="s">
        <v>168</v>
      </c>
      <c r="B2" s="22" t="s">
        <v>169</v>
      </c>
      <c r="C2" s="22" t="s">
        <v>150</v>
      </c>
      <c r="D2" s="22"/>
      <c r="E2" s="22"/>
      <c r="F2" s="22">
        <v>1</v>
      </c>
      <c r="G2" s="22">
        <v>1</v>
      </c>
      <c r="H2" s="22"/>
      <c r="I2" s="22"/>
      <c r="J2" s="22">
        <v>2</v>
      </c>
      <c r="K2" s="22" t="s">
        <v>47</v>
      </c>
      <c r="L2" s="23" t="s">
        <v>137</v>
      </c>
      <c r="M2" s="23" t="s">
        <v>53</v>
      </c>
      <c r="N2" s="23" t="s">
        <v>27</v>
      </c>
      <c r="O2" s="23" t="s">
        <v>27</v>
      </c>
      <c r="P2" s="23">
        <v>80</v>
      </c>
      <c r="Q2" s="23">
        <v>0.4</v>
      </c>
      <c r="R2" s="23">
        <v>0</v>
      </c>
      <c r="S2" s="23">
        <v>1.6</v>
      </c>
    </row>
    <row r="3" spans="1:19" ht="14.4" x14ac:dyDescent="0.3">
      <c r="A3" s="22" t="s">
        <v>206</v>
      </c>
      <c r="B3" s="22" t="s">
        <v>207</v>
      </c>
      <c r="C3" s="22" t="s">
        <v>151</v>
      </c>
      <c r="D3" s="22"/>
      <c r="E3" s="22"/>
      <c r="F3" s="22"/>
      <c r="G3" s="22"/>
      <c r="H3" s="22"/>
      <c r="I3" s="22">
        <v>1</v>
      </c>
      <c r="J3" s="22">
        <v>1</v>
      </c>
      <c r="K3" s="22" t="s">
        <v>47</v>
      </c>
      <c r="L3" s="23">
        <v>0</v>
      </c>
      <c r="M3" s="23">
        <v>0</v>
      </c>
      <c r="N3" s="23" t="s">
        <v>27</v>
      </c>
      <c r="O3" s="23" t="s">
        <v>27</v>
      </c>
      <c r="P3" s="23">
        <v>100</v>
      </c>
      <c r="Q3" s="23">
        <v>0</v>
      </c>
      <c r="R3" s="23">
        <v>0</v>
      </c>
      <c r="S3" s="23">
        <v>1</v>
      </c>
    </row>
    <row r="4" spans="1:19" ht="14.4" x14ac:dyDescent="0.3">
      <c r="A4" s="22" t="s">
        <v>336</v>
      </c>
      <c r="B4" s="22" t="s">
        <v>337</v>
      </c>
      <c r="C4" s="22" t="s">
        <v>151</v>
      </c>
      <c r="D4" s="22"/>
      <c r="E4" s="22"/>
      <c r="F4" s="22"/>
      <c r="G4" s="22"/>
      <c r="H4" s="22"/>
      <c r="I4" s="22">
        <v>1</v>
      </c>
      <c r="J4" s="22">
        <v>1</v>
      </c>
      <c r="K4" s="22" t="s">
        <v>47</v>
      </c>
      <c r="L4" s="23">
        <v>0</v>
      </c>
      <c r="M4" s="23">
        <v>0</v>
      </c>
      <c r="N4" s="23" t="s">
        <v>27</v>
      </c>
      <c r="O4" s="23" t="s">
        <v>27</v>
      </c>
      <c r="P4" s="23">
        <v>100</v>
      </c>
      <c r="Q4" s="23">
        <v>0</v>
      </c>
      <c r="R4" s="23">
        <v>0</v>
      </c>
      <c r="S4" s="23">
        <v>1</v>
      </c>
    </row>
    <row r="5" spans="1:19" ht="14.4" x14ac:dyDescent="0.3">
      <c r="A5" s="22" t="s">
        <v>170</v>
      </c>
      <c r="B5" s="22" t="s">
        <v>171</v>
      </c>
      <c r="C5" s="22" t="s">
        <v>150</v>
      </c>
      <c r="D5" s="22"/>
      <c r="E5" s="22"/>
      <c r="F5" s="22"/>
      <c r="G5" s="22"/>
      <c r="H5" s="22">
        <v>1</v>
      </c>
      <c r="I5" s="22"/>
      <c r="J5" s="22">
        <v>1</v>
      </c>
      <c r="K5" s="22" t="s">
        <v>47</v>
      </c>
      <c r="L5" s="23" t="s">
        <v>52</v>
      </c>
      <c r="M5" s="23" t="s">
        <v>26</v>
      </c>
      <c r="N5" s="23" t="s">
        <v>27</v>
      </c>
      <c r="O5" s="23" t="s">
        <v>27</v>
      </c>
      <c r="P5" s="23">
        <v>50</v>
      </c>
      <c r="Q5" s="23">
        <v>0.5</v>
      </c>
      <c r="R5" s="23">
        <v>0</v>
      </c>
      <c r="S5" s="23">
        <v>0.5</v>
      </c>
    </row>
    <row r="6" spans="1:19" ht="14.4" x14ac:dyDescent="0.3">
      <c r="A6" s="22" t="s">
        <v>338</v>
      </c>
      <c r="B6" s="22" t="s">
        <v>339</v>
      </c>
      <c r="C6" s="22" t="s">
        <v>150</v>
      </c>
      <c r="D6" s="22"/>
      <c r="E6" s="22"/>
      <c r="F6" s="22"/>
      <c r="G6" s="22"/>
      <c r="H6" s="22"/>
      <c r="I6" s="22">
        <v>1</v>
      </c>
      <c r="J6" s="22">
        <v>1</v>
      </c>
      <c r="K6" s="22" t="s">
        <v>47</v>
      </c>
      <c r="L6" s="23">
        <v>0</v>
      </c>
      <c r="M6" s="23">
        <v>0</v>
      </c>
      <c r="N6" s="23" t="s">
        <v>27</v>
      </c>
      <c r="O6" s="23" t="s">
        <v>27</v>
      </c>
      <c r="P6" s="23">
        <v>100</v>
      </c>
      <c r="Q6" s="23">
        <v>0</v>
      </c>
      <c r="R6" s="23">
        <v>0</v>
      </c>
      <c r="S6" s="23">
        <v>1</v>
      </c>
    </row>
    <row r="7" spans="1:19" ht="14.4" x14ac:dyDescent="0.3">
      <c r="A7" s="22" t="s">
        <v>176</v>
      </c>
      <c r="B7" s="22" t="s">
        <v>177</v>
      </c>
      <c r="C7" s="22" t="s">
        <v>150</v>
      </c>
      <c r="D7" s="22"/>
      <c r="E7" s="22"/>
      <c r="F7" s="22"/>
      <c r="G7" s="22"/>
      <c r="H7" s="22">
        <v>1</v>
      </c>
      <c r="I7" s="22"/>
      <c r="J7" s="22">
        <v>1</v>
      </c>
      <c r="K7" s="22" t="s">
        <v>47</v>
      </c>
      <c r="L7" s="23" t="s">
        <v>43</v>
      </c>
      <c r="M7" s="23" t="s">
        <v>53</v>
      </c>
      <c r="N7" s="23" t="s">
        <v>27</v>
      </c>
      <c r="O7" s="23" t="s">
        <v>27</v>
      </c>
      <c r="P7" s="23">
        <v>80</v>
      </c>
      <c r="Q7" s="23">
        <v>0.2</v>
      </c>
      <c r="R7" s="23">
        <v>0</v>
      </c>
      <c r="S7" s="23">
        <v>0.8</v>
      </c>
    </row>
    <row r="8" spans="1:19" ht="14.4" x14ac:dyDescent="0.3">
      <c r="A8" s="22" t="s">
        <v>340</v>
      </c>
      <c r="B8" s="22" t="s">
        <v>341</v>
      </c>
      <c r="C8" s="22" t="s">
        <v>151</v>
      </c>
      <c r="D8" s="22"/>
      <c r="E8" s="22"/>
      <c r="F8" s="22"/>
      <c r="G8" s="22"/>
      <c r="H8" s="22"/>
      <c r="I8" s="22">
        <v>1</v>
      </c>
      <c r="J8" s="22">
        <v>1</v>
      </c>
      <c r="K8" s="22" t="s">
        <v>47</v>
      </c>
      <c r="L8" s="23" t="s">
        <v>137</v>
      </c>
      <c r="M8" s="23" t="s">
        <v>53</v>
      </c>
      <c r="N8" s="23" t="s">
        <v>27</v>
      </c>
      <c r="O8" s="23" t="s">
        <v>27</v>
      </c>
      <c r="P8" s="23">
        <v>80</v>
      </c>
      <c r="Q8" s="23">
        <v>0.2</v>
      </c>
      <c r="R8" s="23">
        <v>0</v>
      </c>
      <c r="S8" s="23">
        <v>0.8</v>
      </c>
    </row>
    <row r="9" spans="1:19" ht="14.4" x14ac:dyDescent="0.3">
      <c r="A9" s="22" t="s">
        <v>212</v>
      </c>
      <c r="B9" s="22" t="s">
        <v>213</v>
      </c>
      <c r="C9" s="22" t="s">
        <v>151</v>
      </c>
      <c r="D9" s="22"/>
      <c r="E9" s="22"/>
      <c r="F9" s="22"/>
      <c r="G9" s="22"/>
      <c r="H9" s="22"/>
      <c r="I9" s="22">
        <v>1</v>
      </c>
      <c r="J9" s="22">
        <v>1</v>
      </c>
      <c r="K9" s="22" t="s">
        <v>47</v>
      </c>
      <c r="L9" s="23">
        <v>0</v>
      </c>
      <c r="M9" s="23">
        <v>0</v>
      </c>
      <c r="N9" s="23" t="s">
        <v>27</v>
      </c>
      <c r="O9" s="23" t="s">
        <v>27</v>
      </c>
      <c r="P9" s="23">
        <v>100</v>
      </c>
      <c r="Q9" s="23">
        <v>0</v>
      </c>
      <c r="R9" s="23">
        <v>0</v>
      </c>
      <c r="S9" s="23">
        <v>1</v>
      </c>
    </row>
    <row r="10" spans="1:19" ht="14.4" x14ac:dyDescent="0.3">
      <c r="A10" s="22" t="s">
        <v>178</v>
      </c>
      <c r="B10" s="22" t="s">
        <v>179</v>
      </c>
      <c r="C10" s="22" t="s">
        <v>150</v>
      </c>
      <c r="D10" s="22"/>
      <c r="E10" s="22"/>
      <c r="F10" s="22">
        <v>2</v>
      </c>
      <c r="G10" s="22"/>
      <c r="H10" s="22"/>
      <c r="I10" s="22">
        <v>1</v>
      </c>
      <c r="J10" s="22">
        <v>3</v>
      </c>
      <c r="K10" s="22" t="s">
        <v>47</v>
      </c>
      <c r="L10" s="23" t="s">
        <v>58</v>
      </c>
      <c r="M10" s="23" t="s">
        <v>53</v>
      </c>
      <c r="N10" s="23" t="s">
        <v>27</v>
      </c>
      <c r="O10" s="23" t="s">
        <v>27</v>
      </c>
      <c r="P10" s="23">
        <v>80</v>
      </c>
      <c r="Q10" s="23">
        <v>0.6</v>
      </c>
      <c r="R10" s="23">
        <v>0</v>
      </c>
      <c r="S10" s="23">
        <v>2.4</v>
      </c>
    </row>
    <row r="11" spans="1:19" ht="14.4" x14ac:dyDescent="0.3">
      <c r="A11" s="22" t="s">
        <v>342</v>
      </c>
      <c r="B11" s="22" t="s">
        <v>343</v>
      </c>
      <c r="C11" s="22" t="s">
        <v>151</v>
      </c>
      <c r="D11" s="22"/>
      <c r="E11" s="22"/>
      <c r="F11" s="22"/>
      <c r="G11" s="22"/>
      <c r="H11" s="22"/>
      <c r="I11" s="22">
        <v>1</v>
      </c>
      <c r="J11" s="22">
        <v>1</v>
      </c>
      <c r="K11" s="22" t="s">
        <v>47</v>
      </c>
      <c r="L11" s="23" t="s">
        <v>137</v>
      </c>
      <c r="M11" s="23" t="s">
        <v>53</v>
      </c>
      <c r="N11" s="23" t="s">
        <v>42</v>
      </c>
      <c r="O11" s="23" t="s">
        <v>44</v>
      </c>
      <c r="P11" s="23">
        <v>50</v>
      </c>
      <c r="Q11" s="23">
        <v>0.2</v>
      </c>
      <c r="R11" s="23">
        <v>0.3</v>
      </c>
      <c r="S11" s="23">
        <v>0.5</v>
      </c>
    </row>
    <row r="12" spans="1:19" ht="14.4" x14ac:dyDescent="0.3">
      <c r="A12" s="22" t="s">
        <v>184</v>
      </c>
      <c r="B12" s="22" t="s">
        <v>185</v>
      </c>
      <c r="C12" s="22" t="s">
        <v>150</v>
      </c>
      <c r="D12" s="22"/>
      <c r="E12" s="22">
        <v>1</v>
      </c>
      <c r="F12" s="22">
        <v>1</v>
      </c>
      <c r="G12" s="22"/>
      <c r="H12" s="22"/>
      <c r="I12" s="22"/>
      <c r="J12" s="22">
        <v>2</v>
      </c>
      <c r="K12" s="22" t="s">
        <v>47</v>
      </c>
      <c r="L12" s="23">
        <v>0</v>
      </c>
      <c r="M12" s="23">
        <v>0</v>
      </c>
      <c r="N12" s="23" t="s">
        <v>27</v>
      </c>
      <c r="O12" s="23" t="s">
        <v>27</v>
      </c>
      <c r="P12" s="23">
        <v>100</v>
      </c>
      <c r="Q12" s="23">
        <v>0</v>
      </c>
      <c r="R12" s="23">
        <v>0</v>
      </c>
      <c r="S12" s="23">
        <v>2</v>
      </c>
    </row>
    <row r="13" spans="1:19" ht="14.4" x14ac:dyDescent="0.3">
      <c r="A13" s="22" t="s">
        <v>214</v>
      </c>
      <c r="B13" s="22" t="s">
        <v>215</v>
      </c>
      <c r="C13" s="22" t="s">
        <v>150</v>
      </c>
      <c r="D13" s="22"/>
      <c r="E13" s="22"/>
      <c r="F13" s="22"/>
      <c r="G13" s="22"/>
      <c r="H13" s="22">
        <v>1</v>
      </c>
      <c r="I13" s="22"/>
      <c r="J13" s="22">
        <v>1</v>
      </c>
      <c r="K13" s="22" t="s">
        <v>47</v>
      </c>
      <c r="L13" s="23" t="s">
        <v>211</v>
      </c>
      <c r="M13" s="23" t="s">
        <v>26</v>
      </c>
      <c r="N13" s="23" t="s">
        <v>27</v>
      </c>
      <c r="O13" s="23" t="s">
        <v>27</v>
      </c>
      <c r="P13" s="23">
        <v>50</v>
      </c>
      <c r="Q13" s="23">
        <v>0.5</v>
      </c>
      <c r="R13" s="23">
        <v>0</v>
      </c>
      <c r="S13" s="23">
        <v>0.5</v>
      </c>
    </row>
    <row r="14" spans="1:19" ht="14.4" x14ac:dyDescent="0.3">
      <c r="A14" s="22" t="s">
        <v>156</v>
      </c>
      <c r="B14" s="22" t="s">
        <v>157</v>
      </c>
      <c r="C14" s="45" t="s">
        <v>150</v>
      </c>
      <c r="D14" s="22"/>
      <c r="E14" s="22">
        <v>2</v>
      </c>
      <c r="F14" s="22"/>
      <c r="G14" s="22"/>
      <c r="H14" s="22"/>
      <c r="I14" s="22"/>
      <c r="J14" s="22">
        <v>2</v>
      </c>
      <c r="K14" s="22" t="s">
        <v>47</v>
      </c>
      <c r="L14" s="23">
        <v>0</v>
      </c>
      <c r="M14" s="23">
        <v>0</v>
      </c>
      <c r="N14" s="23" t="s">
        <v>27</v>
      </c>
      <c r="O14" s="23" t="s">
        <v>27</v>
      </c>
      <c r="P14" s="23">
        <v>100</v>
      </c>
      <c r="Q14" s="23">
        <v>0</v>
      </c>
      <c r="R14" s="23">
        <v>0</v>
      </c>
      <c r="S14" s="23">
        <v>2</v>
      </c>
    </row>
    <row r="15" spans="1:19" ht="14.4" x14ac:dyDescent="0.3">
      <c r="A15" s="22" t="s">
        <v>180</v>
      </c>
      <c r="B15" s="22" t="s">
        <v>181</v>
      </c>
      <c r="C15" s="22" t="s">
        <v>151</v>
      </c>
      <c r="D15" s="22"/>
      <c r="E15" s="22"/>
      <c r="F15" s="22">
        <v>1</v>
      </c>
      <c r="G15" s="22"/>
      <c r="H15" s="22"/>
      <c r="I15" s="22"/>
      <c r="J15" s="22">
        <v>1</v>
      </c>
      <c r="K15" s="22" t="s">
        <v>47</v>
      </c>
      <c r="L15" s="23" t="s">
        <v>42</v>
      </c>
      <c r="M15" s="23" t="s">
        <v>26</v>
      </c>
      <c r="N15" s="23" t="s">
        <v>27</v>
      </c>
      <c r="O15" s="23" t="s">
        <v>27</v>
      </c>
      <c r="P15" s="23">
        <v>50</v>
      </c>
      <c r="Q15" s="23">
        <v>0.5</v>
      </c>
      <c r="R15" s="23">
        <v>0</v>
      </c>
      <c r="S15" s="23">
        <v>0.5</v>
      </c>
    </row>
    <row r="16" spans="1:19" ht="14.4" x14ac:dyDescent="0.3">
      <c r="A16" s="22" t="s">
        <v>182</v>
      </c>
      <c r="B16" s="22" t="s">
        <v>183</v>
      </c>
      <c r="C16" s="22" t="s">
        <v>150</v>
      </c>
      <c r="D16" s="22"/>
      <c r="E16" s="22"/>
      <c r="F16" s="22">
        <v>1</v>
      </c>
      <c r="G16" s="22"/>
      <c r="H16" s="22"/>
      <c r="I16" s="22"/>
      <c r="J16" s="22">
        <v>1</v>
      </c>
      <c r="K16" s="22" t="s">
        <v>47</v>
      </c>
      <c r="L16" s="23" t="s">
        <v>42</v>
      </c>
      <c r="M16" s="23" t="s">
        <v>44</v>
      </c>
      <c r="N16" s="23" t="s">
        <v>27</v>
      </c>
      <c r="O16" s="23" t="s">
        <v>27</v>
      </c>
      <c r="P16" s="23">
        <v>70</v>
      </c>
      <c r="Q16" s="23">
        <v>0.3</v>
      </c>
      <c r="R16" s="23">
        <v>0</v>
      </c>
      <c r="S16" s="23">
        <v>0.7</v>
      </c>
    </row>
    <row r="17" spans="1:19" ht="14.4" x14ac:dyDescent="0.3">
      <c r="A17" s="22" t="s">
        <v>152</v>
      </c>
      <c r="B17" s="22" t="s">
        <v>153</v>
      </c>
      <c r="C17" s="22" t="s">
        <v>150</v>
      </c>
      <c r="D17" s="22"/>
      <c r="E17" s="22"/>
      <c r="F17" s="22">
        <v>1</v>
      </c>
      <c r="G17" s="22"/>
      <c r="H17" s="22">
        <v>1</v>
      </c>
      <c r="I17" s="22"/>
      <c r="J17" s="22">
        <v>2</v>
      </c>
      <c r="K17" s="22" t="s">
        <v>47</v>
      </c>
      <c r="L17" s="23">
        <v>0</v>
      </c>
      <c r="M17" s="23">
        <v>0</v>
      </c>
      <c r="N17" s="23" t="s">
        <v>27</v>
      </c>
      <c r="O17" s="23" t="s">
        <v>27</v>
      </c>
      <c r="P17" s="23">
        <v>100</v>
      </c>
      <c r="Q17" s="23">
        <v>0</v>
      </c>
      <c r="R17" s="23">
        <v>0</v>
      </c>
      <c r="S17" s="23">
        <v>2</v>
      </c>
    </row>
    <row r="18" spans="1:19" ht="14.4" x14ac:dyDescent="0.3">
      <c r="A18" s="22" t="s">
        <v>216</v>
      </c>
      <c r="B18" s="22" t="s">
        <v>217</v>
      </c>
      <c r="C18" s="22" t="s">
        <v>151</v>
      </c>
      <c r="D18" s="22"/>
      <c r="E18" s="22"/>
      <c r="F18" s="22"/>
      <c r="G18" s="22">
        <v>1</v>
      </c>
      <c r="H18" s="22">
        <v>1</v>
      </c>
      <c r="I18" s="22"/>
      <c r="J18" s="22">
        <v>2</v>
      </c>
      <c r="K18" s="22" t="s">
        <v>47</v>
      </c>
      <c r="L18" s="23">
        <v>0</v>
      </c>
      <c r="M18" s="23">
        <v>0</v>
      </c>
      <c r="N18" s="23" t="s">
        <v>27</v>
      </c>
      <c r="O18" s="23" t="s">
        <v>27</v>
      </c>
      <c r="P18" s="23">
        <v>100</v>
      </c>
      <c r="Q18" s="23">
        <v>0</v>
      </c>
      <c r="R18" s="23">
        <v>0</v>
      </c>
      <c r="S18" s="23">
        <v>2</v>
      </c>
    </row>
    <row r="19" spans="1:19" ht="14.4" x14ac:dyDescent="0.3">
      <c r="A19" s="22" t="s">
        <v>344</v>
      </c>
      <c r="B19" s="22" t="s">
        <v>345</v>
      </c>
      <c r="C19" s="22" t="s">
        <v>151</v>
      </c>
      <c r="D19" s="22"/>
      <c r="E19" s="22"/>
      <c r="F19" s="22"/>
      <c r="G19" s="22">
        <v>1</v>
      </c>
      <c r="H19" s="22"/>
      <c r="I19" s="22"/>
      <c r="J19" s="22">
        <v>1</v>
      </c>
      <c r="K19" s="22" t="s">
        <v>47</v>
      </c>
      <c r="L19" s="23">
        <v>0</v>
      </c>
      <c r="M19" s="23">
        <v>0</v>
      </c>
      <c r="N19" s="23" t="s">
        <v>27</v>
      </c>
      <c r="O19" s="23" t="s">
        <v>27</v>
      </c>
      <c r="P19" s="23">
        <v>100</v>
      </c>
      <c r="Q19" s="23">
        <v>0</v>
      </c>
      <c r="R19" s="23">
        <v>0</v>
      </c>
      <c r="S19" s="23">
        <v>1</v>
      </c>
    </row>
    <row r="20" spans="1:19" ht="14.4" x14ac:dyDescent="0.3">
      <c r="A20" s="22" t="s">
        <v>346</v>
      </c>
      <c r="B20" s="22" t="s">
        <v>347</v>
      </c>
      <c r="C20" s="22" t="s">
        <v>151</v>
      </c>
      <c r="D20" s="22"/>
      <c r="E20" s="22"/>
      <c r="F20" s="22"/>
      <c r="G20" s="22"/>
      <c r="H20" s="22"/>
      <c r="I20" s="22">
        <v>1</v>
      </c>
      <c r="J20" s="22">
        <v>1</v>
      </c>
      <c r="K20" s="22" t="s">
        <v>47</v>
      </c>
      <c r="L20" s="23" t="s">
        <v>42</v>
      </c>
      <c r="M20" s="23" t="s">
        <v>44</v>
      </c>
      <c r="N20" s="23" t="s">
        <v>27</v>
      </c>
      <c r="O20" s="23" t="s">
        <v>27</v>
      </c>
      <c r="P20" s="23">
        <v>70</v>
      </c>
      <c r="Q20" s="23">
        <v>0.3</v>
      </c>
      <c r="R20" s="23">
        <v>0</v>
      </c>
      <c r="S20" s="23">
        <v>0.7</v>
      </c>
    </row>
    <row r="21" spans="1:19" ht="14.4" x14ac:dyDescent="0.3">
      <c r="A21" s="22" t="s">
        <v>348</v>
      </c>
      <c r="B21" s="22" t="s">
        <v>349</v>
      </c>
      <c r="C21" s="22" t="s">
        <v>151</v>
      </c>
      <c r="D21" s="22"/>
      <c r="E21" s="22"/>
      <c r="F21" s="22"/>
      <c r="G21" s="22"/>
      <c r="H21" s="22"/>
      <c r="I21" s="22">
        <v>1</v>
      </c>
      <c r="J21" s="22">
        <v>1</v>
      </c>
      <c r="K21" s="22" t="s">
        <v>47</v>
      </c>
      <c r="L21" s="23" t="s">
        <v>137</v>
      </c>
      <c r="M21" s="23" t="s">
        <v>53</v>
      </c>
      <c r="N21" s="23" t="s">
        <v>42</v>
      </c>
      <c r="O21" s="23" t="s">
        <v>26</v>
      </c>
      <c r="P21" s="23">
        <v>30</v>
      </c>
      <c r="Q21" s="23">
        <v>0.2</v>
      </c>
      <c r="R21" s="23">
        <v>0.5</v>
      </c>
      <c r="S21" s="23">
        <v>0.3</v>
      </c>
    </row>
    <row r="22" spans="1:19" ht="14.4" x14ac:dyDescent="0.3">
      <c r="A22" s="22" t="s">
        <v>350</v>
      </c>
      <c r="B22" s="22" t="s">
        <v>351</v>
      </c>
      <c r="C22" s="22" t="s">
        <v>150</v>
      </c>
      <c r="D22" s="22"/>
      <c r="E22" s="22"/>
      <c r="F22" s="22"/>
      <c r="G22" s="22"/>
      <c r="H22" s="22">
        <v>1</v>
      </c>
      <c r="I22" s="22"/>
      <c r="J22" s="22">
        <v>1</v>
      </c>
      <c r="K22" s="22" t="s">
        <v>47</v>
      </c>
      <c r="L22" s="23">
        <v>0</v>
      </c>
      <c r="M22" s="23">
        <v>0</v>
      </c>
      <c r="N22" s="23" t="s">
        <v>27</v>
      </c>
      <c r="O22" s="23" t="s">
        <v>27</v>
      </c>
      <c r="P22" s="23">
        <v>100</v>
      </c>
      <c r="Q22" s="23">
        <v>0</v>
      </c>
      <c r="R22" s="23">
        <v>0</v>
      </c>
      <c r="S22" s="23">
        <v>1</v>
      </c>
    </row>
    <row r="23" spans="1:19" ht="14.4" x14ac:dyDescent="0.3">
      <c r="A23" s="22" t="s">
        <v>172</v>
      </c>
      <c r="B23" s="22" t="s">
        <v>173</v>
      </c>
      <c r="C23" s="22" t="s">
        <v>150</v>
      </c>
      <c r="D23" s="22"/>
      <c r="E23" s="22"/>
      <c r="F23" s="22"/>
      <c r="G23" s="22">
        <v>1</v>
      </c>
      <c r="H23" s="22"/>
      <c r="I23" s="22"/>
      <c r="J23" s="22">
        <v>1</v>
      </c>
      <c r="K23" s="22" t="s">
        <v>47</v>
      </c>
      <c r="L23" s="23" t="s">
        <v>52</v>
      </c>
      <c r="M23" s="23" t="s">
        <v>26</v>
      </c>
      <c r="N23" s="23" t="s">
        <v>27</v>
      </c>
      <c r="O23" s="23" t="s">
        <v>27</v>
      </c>
      <c r="P23" s="23">
        <v>50</v>
      </c>
      <c r="Q23" s="23">
        <v>0.5</v>
      </c>
      <c r="R23" s="23">
        <v>0</v>
      </c>
      <c r="S23" s="23">
        <v>0.5</v>
      </c>
    </row>
    <row r="24" spans="1:19" ht="14.4" x14ac:dyDescent="0.3">
      <c r="A24" s="22" t="s">
        <v>162</v>
      </c>
      <c r="B24" s="22" t="s">
        <v>163</v>
      </c>
      <c r="C24" s="22" t="s">
        <v>150</v>
      </c>
      <c r="D24" s="22"/>
      <c r="E24" s="22"/>
      <c r="F24" s="22"/>
      <c r="G24" s="22"/>
      <c r="H24" s="22"/>
      <c r="I24" s="22">
        <v>1</v>
      </c>
      <c r="J24" s="22">
        <v>1</v>
      </c>
      <c r="K24" s="22" t="s">
        <v>47</v>
      </c>
      <c r="L24" s="23">
        <v>0</v>
      </c>
      <c r="M24" s="23">
        <v>0</v>
      </c>
      <c r="N24" s="23" t="s">
        <v>27</v>
      </c>
      <c r="O24" s="23" t="s">
        <v>27</v>
      </c>
      <c r="P24" s="23">
        <v>100</v>
      </c>
      <c r="Q24" s="23">
        <v>0</v>
      </c>
      <c r="R24" s="23">
        <v>0</v>
      </c>
      <c r="S24" s="23">
        <v>1</v>
      </c>
    </row>
    <row r="25" spans="1:19" ht="14.4" x14ac:dyDescent="0.3">
      <c r="A25" s="22" t="s">
        <v>166</v>
      </c>
      <c r="B25" s="22" t="s">
        <v>167</v>
      </c>
      <c r="C25" s="22" t="s">
        <v>150</v>
      </c>
      <c r="D25" s="22"/>
      <c r="E25" s="22"/>
      <c r="F25" s="22"/>
      <c r="G25" s="22"/>
      <c r="H25" s="22"/>
      <c r="I25" s="22">
        <v>1</v>
      </c>
      <c r="J25" s="22">
        <v>1</v>
      </c>
      <c r="K25" s="22" t="s">
        <v>47</v>
      </c>
      <c r="L25" s="23" t="s">
        <v>42</v>
      </c>
      <c r="M25" s="23" t="s">
        <v>44</v>
      </c>
      <c r="N25" s="23" t="s">
        <v>137</v>
      </c>
      <c r="O25" s="23" t="s">
        <v>53</v>
      </c>
      <c r="P25" s="23">
        <v>50</v>
      </c>
      <c r="Q25" s="23">
        <v>0.3</v>
      </c>
      <c r="R25" s="23">
        <v>0.2</v>
      </c>
      <c r="S25" s="23">
        <v>0.5</v>
      </c>
    </row>
    <row r="26" spans="1:19" ht="14.4" x14ac:dyDescent="0.3">
      <c r="A26" s="22" t="s">
        <v>352</v>
      </c>
      <c r="B26" s="22" t="s">
        <v>353</v>
      </c>
      <c r="C26" s="22" t="s">
        <v>151</v>
      </c>
      <c r="D26" s="22"/>
      <c r="E26" s="22"/>
      <c r="F26" s="22"/>
      <c r="G26" s="22"/>
      <c r="H26" s="22"/>
      <c r="I26" s="22">
        <v>1</v>
      </c>
      <c r="J26" s="22">
        <v>1</v>
      </c>
      <c r="K26" s="22" t="s">
        <v>47</v>
      </c>
      <c r="L26" s="23" t="s">
        <v>137</v>
      </c>
      <c r="M26" s="23" t="s">
        <v>53</v>
      </c>
      <c r="N26" s="23" t="s">
        <v>27</v>
      </c>
      <c r="O26" s="23" t="s">
        <v>27</v>
      </c>
      <c r="P26" s="23">
        <v>80</v>
      </c>
      <c r="Q26" s="23">
        <v>0.2</v>
      </c>
      <c r="R26" s="23">
        <v>0</v>
      </c>
      <c r="S26" s="23">
        <v>0.8</v>
      </c>
    </row>
    <row r="27" spans="1:19" ht="14.4" x14ac:dyDescent="0.3">
      <c r="A27" s="22" t="s">
        <v>208</v>
      </c>
      <c r="B27" s="22" t="s">
        <v>209</v>
      </c>
      <c r="C27" s="22" t="s">
        <v>151</v>
      </c>
      <c r="D27" s="22"/>
      <c r="E27" s="22"/>
      <c r="F27" s="22"/>
      <c r="G27" s="22"/>
      <c r="H27" s="22"/>
      <c r="I27" s="22">
        <v>1</v>
      </c>
      <c r="J27" s="22">
        <v>1</v>
      </c>
      <c r="K27" s="22" t="s">
        <v>47</v>
      </c>
      <c r="L27" s="23" t="s">
        <v>52</v>
      </c>
      <c r="M27" s="23" t="s">
        <v>26</v>
      </c>
      <c r="N27" s="23" t="s">
        <v>27</v>
      </c>
      <c r="O27" s="23" t="s">
        <v>27</v>
      </c>
      <c r="P27" s="23">
        <v>50</v>
      </c>
      <c r="Q27" s="23">
        <v>0.5</v>
      </c>
      <c r="R27" s="23">
        <v>0</v>
      </c>
      <c r="S27" s="23">
        <v>0.5</v>
      </c>
    </row>
    <row r="28" spans="1:19" ht="14.4" x14ac:dyDescent="0.3">
      <c r="A28" s="22" t="s">
        <v>174</v>
      </c>
      <c r="B28" s="22" t="s">
        <v>175</v>
      </c>
      <c r="C28" s="22" t="s">
        <v>150</v>
      </c>
      <c r="D28" s="22"/>
      <c r="E28" s="22"/>
      <c r="F28" s="22"/>
      <c r="G28" s="22"/>
      <c r="H28" s="22"/>
      <c r="I28" s="22">
        <v>1</v>
      </c>
      <c r="J28" s="22">
        <v>1</v>
      </c>
      <c r="K28" s="22" t="s">
        <v>47</v>
      </c>
      <c r="L28" s="23" t="s">
        <v>137</v>
      </c>
      <c r="M28" s="23" t="s">
        <v>44</v>
      </c>
      <c r="N28" s="23" t="s">
        <v>42</v>
      </c>
      <c r="O28" s="23" t="s">
        <v>44</v>
      </c>
      <c r="P28" s="23">
        <v>40</v>
      </c>
      <c r="Q28" s="23">
        <v>0.3</v>
      </c>
      <c r="R28" s="23">
        <v>0.3</v>
      </c>
      <c r="S28" s="23">
        <v>0.4</v>
      </c>
    </row>
    <row r="29" spans="1:19" ht="14.4" x14ac:dyDescent="0.3">
      <c r="A29" s="22" t="s">
        <v>354</v>
      </c>
      <c r="B29" s="22" t="s">
        <v>355</v>
      </c>
      <c r="C29" s="22" t="s">
        <v>151</v>
      </c>
      <c r="D29" s="22"/>
      <c r="E29" s="22"/>
      <c r="F29" s="22"/>
      <c r="G29" s="22"/>
      <c r="H29" s="22"/>
      <c r="I29" s="22">
        <v>1</v>
      </c>
      <c r="J29" s="22">
        <v>1</v>
      </c>
      <c r="K29" s="22" t="s">
        <v>47</v>
      </c>
      <c r="L29" s="23">
        <v>0</v>
      </c>
      <c r="M29" s="23">
        <v>0</v>
      </c>
      <c r="N29" s="23" t="s">
        <v>27</v>
      </c>
      <c r="O29" s="23" t="s">
        <v>27</v>
      </c>
      <c r="P29" s="23">
        <v>100</v>
      </c>
      <c r="Q29" s="23">
        <v>0</v>
      </c>
      <c r="R29" s="23">
        <v>0</v>
      </c>
      <c r="S29" s="23">
        <v>1</v>
      </c>
    </row>
    <row r="30" spans="1:19" ht="14.4" x14ac:dyDescent="0.3">
      <c r="A30" s="22" t="s">
        <v>204</v>
      </c>
      <c r="B30" s="22" t="s">
        <v>205</v>
      </c>
      <c r="C30" s="22" t="s">
        <v>151</v>
      </c>
      <c r="D30" s="22"/>
      <c r="E30" s="22"/>
      <c r="F30" s="22"/>
      <c r="G30" s="22">
        <v>1</v>
      </c>
      <c r="H30" s="22"/>
      <c r="I30" s="22"/>
      <c r="J30" s="22">
        <v>1</v>
      </c>
      <c r="K30" s="22" t="s">
        <v>47</v>
      </c>
      <c r="L30" s="23" t="s">
        <v>42</v>
      </c>
      <c r="M30" s="23" t="s">
        <v>44</v>
      </c>
      <c r="N30" s="23" t="s">
        <v>137</v>
      </c>
      <c r="O30" s="23" t="s">
        <v>53</v>
      </c>
      <c r="P30" s="23">
        <v>50</v>
      </c>
      <c r="Q30" s="23">
        <v>0.3</v>
      </c>
      <c r="R30" s="23">
        <v>0.2</v>
      </c>
      <c r="S30" s="23">
        <v>0.5</v>
      </c>
    </row>
    <row r="31" spans="1:19" ht="14.4" x14ac:dyDescent="0.3">
      <c r="A31" s="22" t="s">
        <v>154</v>
      </c>
      <c r="B31" s="22" t="s">
        <v>155</v>
      </c>
      <c r="C31" s="22" t="s">
        <v>150</v>
      </c>
      <c r="D31" s="22"/>
      <c r="E31" s="22"/>
      <c r="F31" s="22">
        <v>2</v>
      </c>
      <c r="G31" s="22"/>
      <c r="H31" s="22"/>
      <c r="I31" s="22"/>
      <c r="J31" s="22">
        <v>2</v>
      </c>
      <c r="K31" s="22" t="s">
        <v>47</v>
      </c>
      <c r="L31" s="23">
        <v>0</v>
      </c>
      <c r="M31" s="23">
        <v>0</v>
      </c>
      <c r="N31" s="23" t="s">
        <v>27</v>
      </c>
      <c r="O31" s="23" t="s">
        <v>27</v>
      </c>
      <c r="P31" s="23">
        <v>100</v>
      </c>
      <c r="Q31" s="23">
        <v>0</v>
      </c>
      <c r="R31" s="23">
        <v>0</v>
      </c>
      <c r="S31" s="23">
        <v>2</v>
      </c>
    </row>
    <row r="32" spans="1:19" ht="14.4" x14ac:dyDescent="0.3">
      <c r="A32" s="22" t="s">
        <v>158</v>
      </c>
      <c r="B32" s="22" t="s">
        <v>159</v>
      </c>
      <c r="C32" s="22" t="s">
        <v>150</v>
      </c>
      <c r="D32" s="22"/>
      <c r="E32" s="22"/>
      <c r="F32" s="22"/>
      <c r="G32" s="22"/>
      <c r="H32" s="22"/>
      <c r="I32" s="22">
        <v>1</v>
      </c>
      <c r="J32" s="22">
        <v>1</v>
      </c>
      <c r="K32" s="22" t="s">
        <v>47</v>
      </c>
      <c r="L32" s="23" t="s">
        <v>42</v>
      </c>
      <c r="M32" s="23" t="s">
        <v>26</v>
      </c>
      <c r="N32" s="23" t="s">
        <v>27</v>
      </c>
      <c r="O32" s="23" t="s">
        <v>27</v>
      </c>
      <c r="P32" s="23">
        <v>50</v>
      </c>
      <c r="Q32" s="23">
        <v>0.5</v>
      </c>
      <c r="R32" s="23">
        <v>0</v>
      </c>
      <c r="S32" s="23">
        <v>0.5</v>
      </c>
    </row>
    <row r="33" spans="1:19" ht="14.4" x14ac:dyDescent="0.3">
      <c r="A33" s="22" t="s">
        <v>356</v>
      </c>
      <c r="B33" s="22" t="s">
        <v>357</v>
      </c>
      <c r="C33" s="22" t="s">
        <v>151</v>
      </c>
      <c r="D33" s="22"/>
      <c r="E33" s="22"/>
      <c r="F33" s="22"/>
      <c r="G33" s="22"/>
      <c r="H33" s="22"/>
      <c r="I33" s="22">
        <v>1</v>
      </c>
      <c r="J33" s="22">
        <v>1</v>
      </c>
      <c r="K33" s="22" t="s">
        <v>47</v>
      </c>
      <c r="L33" s="23">
        <v>0</v>
      </c>
      <c r="M33" s="23">
        <v>0</v>
      </c>
      <c r="N33" s="23" t="s">
        <v>27</v>
      </c>
      <c r="O33" s="23" t="s">
        <v>27</v>
      </c>
      <c r="P33" s="23">
        <v>100</v>
      </c>
      <c r="Q33" s="23">
        <v>0</v>
      </c>
      <c r="R33" s="23">
        <v>0</v>
      </c>
      <c r="S33" s="23">
        <v>1</v>
      </c>
    </row>
    <row r="34" spans="1:19" ht="14.4" x14ac:dyDescent="0.3">
      <c r="A34" s="22" t="s">
        <v>164</v>
      </c>
      <c r="B34" s="22" t="s">
        <v>165</v>
      </c>
      <c r="C34" s="22" t="s">
        <v>150</v>
      </c>
      <c r="D34" s="22"/>
      <c r="E34" s="22"/>
      <c r="F34" s="22"/>
      <c r="G34" s="22"/>
      <c r="H34" s="22">
        <v>1</v>
      </c>
      <c r="I34" s="22">
        <v>1</v>
      </c>
      <c r="J34" s="22">
        <v>2</v>
      </c>
      <c r="K34" s="22" t="s">
        <v>47</v>
      </c>
      <c r="L34" s="23" t="s">
        <v>52</v>
      </c>
      <c r="M34" s="23" t="s">
        <v>26</v>
      </c>
      <c r="N34" s="23" t="s">
        <v>27</v>
      </c>
      <c r="O34" s="23" t="s">
        <v>27</v>
      </c>
      <c r="P34" s="23">
        <v>50</v>
      </c>
      <c r="Q34" s="23">
        <v>1</v>
      </c>
      <c r="R34" s="23">
        <v>0</v>
      </c>
      <c r="S34" s="23">
        <v>1</v>
      </c>
    </row>
    <row r="35" spans="1:19" ht="14.4" x14ac:dyDescent="0.3">
      <c r="A35" s="22" t="s">
        <v>358</v>
      </c>
      <c r="B35" s="22" t="s">
        <v>359</v>
      </c>
      <c r="C35" s="22" t="s">
        <v>151</v>
      </c>
      <c r="D35" s="22"/>
      <c r="E35" s="22"/>
      <c r="F35" s="22"/>
      <c r="G35" s="22"/>
      <c r="H35" s="22"/>
      <c r="I35" s="22">
        <v>1</v>
      </c>
      <c r="J35" s="22">
        <v>1</v>
      </c>
      <c r="K35" s="22" t="s">
        <v>47</v>
      </c>
      <c r="L35" s="23">
        <v>0</v>
      </c>
      <c r="M35" s="23">
        <v>0</v>
      </c>
      <c r="N35" s="23" t="s">
        <v>27</v>
      </c>
      <c r="O35" s="23" t="s">
        <v>27</v>
      </c>
      <c r="P35" s="23">
        <v>100</v>
      </c>
      <c r="Q35" s="23">
        <v>0</v>
      </c>
      <c r="R35" s="23">
        <v>0</v>
      </c>
      <c r="S35" s="23">
        <v>1</v>
      </c>
    </row>
    <row r="36" spans="1:19" ht="14.4" x14ac:dyDescent="0.3">
      <c r="A36" s="22" t="s">
        <v>360</v>
      </c>
      <c r="B36" s="22" t="s">
        <v>361</v>
      </c>
      <c r="C36" s="45" t="s">
        <v>151</v>
      </c>
      <c r="D36" s="22"/>
      <c r="E36" s="22"/>
      <c r="F36" s="22"/>
      <c r="G36" s="22"/>
      <c r="H36" s="22"/>
      <c r="I36" s="22">
        <v>1</v>
      </c>
      <c r="J36" s="22">
        <v>1</v>
      </c>
      <c r="K36" s="22" t="s">
        <v>47</v>
      </c>
      <c r="L36" s="23">
        <v>0</v>
      </c>
      <c r="M36" s="23">
        <v>0</v>
      </c>
      <c r="N36" s="23" t="s">
        <v>27</v>
      </c>
      <c r="O36" s="23" t="s">
        <v>27</v>
      </c>
      <c r="P36" s="23">
        <v>100</v>
      </c>
      <c r="Q36" s="23">
        <v>0</v>
      </c>
      <c r="R36" s="23">
        <v>0</v>
      </c>
      <c r="S36" s="23">
        <v>1</v>
      </c>
    </row>
    <row r="37" spans="1:19" ht="14.4" x14ac:dyDescent="0.3">
      <c r="A37" s="22" t="s">
        <v>160</v>
      </c>
      <c r="B37" s="22" t="s">
        <v>161</v>
      </c>
      <c r="C37" s="45" t="s">
        <v>150</v>
      </c>
      <c r="D37" s="22"/>
      <c r="E37" s="22"/>
      <c r="F37" s="22"/>
      <c r="G37" s="22"/>
      <c r="H37" s="22">
        <v>1</v>
      </c>
      <c r="I37" s="22"/>
      <c r="J37" s="22">
        <v>1</v>
      </c>
      <c r="K37" s="22" t="s">
        <v>47</v>
      </c>
      <c r="L37" s="23" t="s">
        <v>42</v>
      </c>
      <c r="M37" s="23" t="s">
        <v>44</v>
      </c>
      <c r="N37" s="23" t="s">
        <v>137</v>
      </c>
      <c r="O37" s="23" t="s">
        <v>53</v>
      </c>
      <c r="P37" s="23">
        <v>50</v>
      </c>
      <c r="Q37" s="23">
        <v>0.3</v>
      </c>
      <c r="R37" s="23">
        <v>0.2</v>
      </c>
      <c r="S37" s="23">
        <v>0.5</v>
      </c>
    </row>
    <row r="38" spans="1:19" ht="14.4" x14ac:dyDescent="0.3">
      <c r="A38" s="22" t="s">
        <v>218</v>
      </c>
      <c r="B38" s="22" t="s">
        <v>219</v>
      </c>
      <c r="C38" s="45" t="s">
        <v>151</v>
      </c>
      <c r="D38" s="22"/>
      <c r="E38" s="22"/>
      <c r="F38" s="22"/>
      <c r="G38" s="22"/>
      <c r="H38" s="22">
        <v>1</v>
      </c>
      <c r="I38" s="22"/>
      <c r="J38" s="22">
        <v>1</v>
      </c>
      <c r="K38" s="22" t="s">
        <v>47</v>
      </c>
      <c r="L38" s="23">
        <v>0</v>
      </c>
      <c r="M38" s="23">
        <v>0</v>
      </c>
      <c r="N38" s="23" t="s">
        <v>27</v>
      </c>
      <c r="O38" s="23" t="s">
        <v>27</v>
      </c>
      <c r="P38" s="23">
        <v>100</v>
      </c>
      <c r="Q38" s="23">
        <v>0</v>
      </c>
      <c r="R38" s="23">
        <v>0</v>
      </c>
      <c r="S38" s="23">
        <v>1</v>
      </c>
    </row>
    <row r="39" spans="1:19" x14ac:dyDescent="0.25">
      <c r="A39" s="47"/>
      <c r="B39" s="47"/>
      <c r="C39" s="47"/>
      <c r="D39" s="47"/>
      <c r="E39" s="47"/>
      <c r="F39" s="47"/>
      <c r="G39" s="47"/>
      <c r="H39" s="47"/>
      <c r="I39" s="47"/>
      <c r="J39" s="47"/>
      <c r="K39" s="47"/>
      <c r="L39" s="47"/>
      <c r="M39" s="47"/>
      <c r="N39" s="48"/>
      <c r="O39" s="47"/>
      <c r="P39" s="48"/>
      <c r="Q39" s="47"/>
      <c r="R39" s="47"/>
      <c r="S39" s="49">
        <f>SUM(S2:S38)</f>
        <v>36.5</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zoomScaleNormal="100" workbookViewId="0">
      <selection activeCell="A40" sqref="A40"/>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186</v>
      </c>
      <c r="B2" s="5"/>
    </row>
    <row r="3" spans="1:2" x14ac:dyDescent="0.2">
      <c r="A3" s="4" t="s">
        <v>187</v>
      </c>
      <c r="B3" s="5">
        <v>1652.89</v>
      </c>
    </row>
    <row r="4" spans="1:2" x14ac:dyDescent="0.2">
      <c r="A4" s="4" t="s">
        <v>188</v>
      </c>
      <c r="B4" s="5"/>
    </row>
    <row r="5" spans="1:2" x14ac:dyDescent="0.2">
      <c r="A5" s="4" t="s">
        <v>189</v>
      </c>
      <c r="B5" s="5">
        <v>388.85</v>
      </c>
    </row>
    <row r="6" spans="1:2" x14ac:dyDescent="0.2">
      <c r="A6" s="4" t="s">
        <v>190</v>
      </c>
      <c r="B6" s="5"/>
    </row>
    <row r="7" spans="1:2" x14ac:dyDescent="0.2">
      <c r="A7" s="4" t="s">
        <v>191</v>
      </c>
      <c r="B7" s="5">
        <v>5880.34</v>
      </c>
    </row>
    <row r="8" spans="1:2" x14ac:dyDescent="0.2">
      <c r="A8" s="6" t="s">
        <v>2</v>
      </c>
      <c r="B8" s="7">
        <f>SUM(B3:B7)</f>
        <v>7922.08</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E0E0-8F32-4E72-A93C-682290C772AE}">
  <dimension ref="A1:B6"/>
  <sheetViews>
    <sheetView zoomScaleNormal="100" workbookViewId="0">
      <selection activeCell="A6" sqref="A6:XFD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188</v>
      </c>
      <c r="B2" s="5"/>
    </row>
    <row r="3" spans="1:2" x14ac:dyDescent="0.2">
      <c r="A3" s="4" t="s">
        <v>285</v>
      </c>
      <c r="B3" s="5">
        <v>43.43</v>
      </c>
    </row>
    <row r="4" spans="1:2" x14ac:dyDescent="0.2">
      <c r="A4" s="4" t="s">
        <v>286</v>
      </c>
      <c r="B4" s="5"/>
    </row>
    <row r="5" spans="1:2" x14ac:dyDescent="0.2">
      <c r="A5" s="4" t="s">
        <v>287</v>
      </c>
      <c r="B5" s="5">
        <v>7650</v>
      </c>
    </row>
    <row r="6" spans="1:2" x14ac:dyDescent="0.2">
      <c r="A6" s="6" t="s">
        <v>2</v>
      </c>
      <c r="B6" s="7">
        <f>SUM(B3:B5)</f>
        <v>7693.43</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E7CA-C792-4B4B-AE0A-2C07A407E08F}">
  <dimension ref="A1:B22"/>
  <sheetViews>
    <sheetView zoomScaleNormal="100" workbookViewId="0">
      <selection activeCell="A25" sqref="A2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296</v>
      </c>
      <c r="B2" s="5"/>
    </row>
    <row r="3" spans="1:2" x14ac:dyDescent="0.2">
      <c r="A3" s="4" t="s">
        <v>297</v>
      </c>
      <c r="B3" s="5">
        <v>1320</v>
      </c>
    </row>
    <row r="4" spans="1:2" x14ac:dyDescent="0.2">
      <c r="A4" s="4" t="s">
        <v>298</v>
      </c>
      <c r="B4" s="5"/>
    </row>
    <row r="5" spans="1:2" x14ac:dyDescent="0.2">
      <c r="A5" s="4" t="s">
        <v>299</v>
      </c>
      <c r="B5" s="5">
        <v>1760</v>
      </c>
    </row>
    <row r="6" spans="1:2" x14ac:dyDescent="0.2">
      <c r="A6" s="4" t="s">
        <v>300</v>
      </c>
      <c r="B6" s="7"/>
    </row>
    <row r="7" spans="1:2" x14ac:dyDescent="0.2">
      <c r="A7" s="4" t="s">
        <v>301</v>
      </c>
      <c r="B7" s="4">
        <v>726</v>
      </c>
    </row>
    <row r="8" spans="1:2" x14ac:dyDescent="0.2">
      <c r="A8" s="4" t="s">
        <v>302</v>
      </c>
      <c r="B8" s="4">
        <v>1177</v>
      </c>
    </row>
    <row r="9" spans="1:2" x14ac:dyDescent="0.2">
      <c r="A9" s="4" t="s">
        <v>303</v>
      </c>
      <c r="B9" s="4">
        <v>1177</v>
      </c>
    </row>
    <row r="10" spans="1:2" x14ac:dyDescent="0.2">
      <c r="A10" s="4" t="s">
        <v>304</v>
      </c>
      <c r="B10" s="4"/>
    </row>
    <row r="11" spans="1:2" x14ac:dyDescent="0.2">
      <c r="A11" s="4" t="s">
        <v>305</v>
      </c>
      <c r="B11" s="4">
        <v>58658.53</v>
      </c>
    </row>
    <row r="12" spans="1:2" x14ac:dyDescent="0.2">
      <c r="A12" s="4" t="s">
        <v>286</v>
      </c>
      <c r="B12" s="4"/>
    </row>
    <row r="13" spans="1:2" x14ac:dyDescent="0.2">
      <c r="A13" s="4" t="s">
        <v>306</v>
      </c>
      <c r="B13" s="4">
        <v>7200</v>
      </c>
    </row>
    <row r="14" spans="1:2" x14ac:dyDescent="0.2">
      <c r="A14" s="4" t="s">
        <v>307</v>
      </c>
      <c r="B14" s="4"/>
    </row>
    <row r="15" spans="1:2" x14ac:dyDescent="0.2">
      <c r="A15" s="4" t="s">
        <v>308</v>
      </c>
      <c r="B15" s="4">
        <v>10000</v>
      </c>
    </row>
    <row r="16" spans="1:2" x14ac:dyDescent="0.2">
      <c r="A16" s="4" t="s">
        <v>309</v>
      </c>
      <c r="B16" s="4"/>
    </row>
    <row r="17" spans="1:2" x14ac:dyDescent="0.2">
      <c r="A17" s="4" t="s">
        <v>308</v>
      </c>
      <c r="B17" s="4">
        <v>10000</v>
      </c>
    </row>
    <row r="18" spans="1:2" x14ac:dyDescent="0.2">
      <c r="A18" s="6" t="s">
        <v>2</v>
      </c>
      <c r="B18" s="7">
        <f>SUM(B2:B17)</f>
        <v>92018.53</v>
      </c>
    </row>
    <row r="21" spans="1:2" x14ac:dyDescent="0.2">
      <c r="B21" s="24"/>
    </row>
    <row r="22" spans="1:2" x14ac:dyDescent="0.2">
      <c r="A22" s="53" t="s">
        <v>362</v>
      </c>
      <c r="B22" s="7">
        <f>B18+'Ingresos investigación 2020'!B6+'Ingresos investigación 2019'!B8</f>
        <v>107634.04</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zoomScaleNormal="100" workbookViewId="0">
      <selection activeCell="B10" sqref="B10"/>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192</v>
      </c>
      <c r="B2" s="5"/>
    </row>
    <row r="3" spans="1:2" x14ac:dyDescent="0.2">
      <c r="A3" s="4" t="s">
        <v>193</v>
      </c>
      <c r="B3" s="5">
        <v>910</v>
      </c>
    </row>
    <row r="4" spans="1:2" x14ac:dyDescent="0.2">
      <c r="A4" s="4" t="s">
        <v>194</v>
      </c>
      <c r="B4" s="5">
        <v>650</v>
      </c>
    </row>
    <row r="5" spans="1:2" x14ac:dyDescent="0.2">
      <c r="A5" s="4" t="s">
        <v>3</v>
      </c>
      <c r="B5" s="5"/>
    </row>
    <row r="6" spans="1:2" x14ac:dyDescent="0.2">
      <c r="A6" s="4" t="s">
        <v>195</v>
      </c>
      <c r="B6" s="5">
        <v>820</v>
      </c>
    </row>
    <row r="7" spans="1:2" x14ac:dyDescent="0.2">
      <c r="A7" s="4" t="s">
        <v>196</v>
      </c>
      <c r="B7" s="5"/>
    </row>
    <row r="8" spans="1:2" x14ac:dyDescent="0.2">
      <c r="A8" s="4" t="s">
        <v>197</v>
      </c>
      <c r="B8" s="5">
        <v>40</v>
      </c>
    </row>
    <row r="9" spans="1:2" x14ac:dyDescent="0.2">
      <c r="A9" s="6" t="s">
        <v>2</v>
      </c>
      <c r="B9" s="7">
        <f>SUM(B3:B8)</f>
        <v>2420</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A233-274C-4E53-855D-3D52CC8978C1}">
  <dimension ref="A1:B14"/>
  <sheetViews>
    <sheetView zoomScaleNormal="100" workbookViewId="0">
      <selection activeCell="A23" sqref="A2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288</v>
      </c>
      <c r="B2" s="5"/>
    </row>
    <row r="3" spans="1:2" x14ac:dyDescent="0.2">
      <c r="A3" s="4" t="s">
        <v>289</v>
      </c>
      <c r="B3" s="5">
        <v>315</v>
      </c>
    </row>
    <row r="4" spans="1:2" x14ac:dyDescent="0.2">
      <c r="A4" s="4" t="s">
        <v>290</v>
      </c>
      <c r="B4" s="5"/>
    </row>
    <row r="5" spans="1:2" x14ac:dyDescent="0.2">
      <c r="A5" s="4" t="s">
        <v>291</v>
      </c>
      <c r="B5" s="5">
        <v>810</v>
      </c>
    </row>
    <row r="6" spans="1:2" x14ac:dyDescent="0.2">
      <c r="A6" s="4" t="s">
        <v>292</v>
      </c>
      <c r="B6" s="5"/>
    </row>
    <row r="7" spans="1:2" x14ac:dyDescent="0.2">
      <c r="A7" s="4" t="s">
        <v>293</v>
      </c>
      <c r="B7" s="5">
        <v>607.5</v>
      </c>
    </row>
    <row r="8" spans="1:2" x14ac:dyDescent="0.2">
      <c r="A8" s="4" t="s">
        <v>294</v>
      </c>
      <c r="B8" s="5"/>
    </row>
    <row r="9" spans="1:2" x14ac:dyDescent="0.2">
      <c r="A9" s="4" t="s">
        <v>295</v>
      </c>
      <c r="B9" s="5">
        <v>877.5</v>
      </c>
    </row>
    <row r="10" spans="1:2" x14ac:dyDescent="0.2">
      <c r="A10" s="6" t="s">
        <v>2</v>
      </c>
      <c r="B10" s="7">
        <f>SUM(B3:B9)</f>
        <v>2610</v>
      </c>
    </row>
    <row r="14" spans="1:2" x14ac:dyDescent="0.2">
      <c r="A14" s="53" t="s">
        <v>363</v>
      </c>
      <c r="B14" s="7">
        <f>B10+'Ingresos formación 2019'!B9</f>
        <v>5030</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896E-FCAE-4D61-BD74-B862B1A47ADF}">
  <dimension ref="A1:B23"/>
  <sheetViews>
    <sheetView zoomScaleNormal="100" workbookViewId="0">
      <selection activeCell="A37" sqref="A3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6" t="s">
        <v>2</v>
      </c>
      <c r="B2" s="7">
        <v>0</v>
      </c>
    </row>
    <row r="23" spans="2:2" x14ac:dyDescent="0.2">
      <c r="B23" s="24"/>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2022-10-18T10:16:02Z</dcterms:modified>
</cp:coreProperties>
</file>