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1FDA217A-92D3-41BA-A002-8477E86CF937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Tesis" sheetId="1" r:id="rId1"/>
    <sheet name="Sexenios" sheetId="2" r:id="rId2"/>
    <sheet name="Ingresos Investigación 19" sheetId="4" r:id="rId3"/>
    <sheet name="Ingresos Investigación 2020" sheetId="5" r:id="rId4"/>
    <sheet name="Ingresos Investigación 2021" sheetId="6" r:id="rId5"/>
  </sheets>
  <definedNames>
    <definedName name="_xlnm._FilterDatabase" localSheetId="1" hidden="1">Sexenios!$A$1:$S$17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5" i="1" l="1"/>
  <c r="B6" i="5" l="1"/>
  <c r="S18" i="2" l="1"/>
  <c r="B8" i="4" l="1"/>
  <c r="D9" i="6" s="1"/>
</calcChain>
</file>

<file path=xl/sharedStrings.xml><?xml version="1.0" encoding="utf-8"?>
<sst xmlns="http://schemas.openxmlformats.org/spreadsheetml/2006/main" count="829" uniqueCount="229">
  <si>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</si>
  <si>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</si>
  <si>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</si>
  <si>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</si>
  <si>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</si>
  <si>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</si>
  <si>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</si>
  <si>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</si>
  <si>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</si>
  <si>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</si>
  <si>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</si>
  <si>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</si>
  <si>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</si>
  <si>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</si>
  <si>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</si>
  <si>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</si>
  <si>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</si>
  <si>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</si>
  <si>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</si>
  <si>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</si>
  <si>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</si>
  <si>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</si>
  <si>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50</t>
  </si>
  <si>
    <t/>
  </si>
  <si>
    <t>Director de tesis </t>
  </si>
  <si>
    <t>05/04/2019 </t>
  </si>
  <si>
    <t>20/07/2018 </t>
  </si>
  <si>
    <t>19/07/2019 </t>
  </si>
  <si>
    <t>11/07/2017 </t>
  </si>
  <si>
    <t>17/07/2017 </t>
  </si>
  <si>
    <t>ZZ </t>
  </si>
  <si>
    <t>SIN ASIGNAR </t>
  </si>
  <si>
    <t>10.14</t>
  </si>
  <si>
    <t>U052 </t>
  </si>
  <si>
    <t>ADM. I.U. DE MATERIALES </t>
  </si>
  <si>
    <t>DOCTORADO EN CIENCIA DE MATERIALES </t>
  </si>
  <si>
    <t>22/09/2017 </t>
  </si>
  <si>
    <t>33492585P </t>
  </si>
  <si>
    <t>B128 </t>
  </si>
  <si>
    <t>QUÍMICA FÍSICA </t>
  </si>
  <si>
    <t>B128</t>
  </si>
  <si>
    <t>U045 </t>
  </si>
  <si>
    <t>ADM. I.U. DE ELECTROQUÍMICA </t>
  </si>
  <si>
    <t>DOCTORADO EN ELECTROQUÍMICA. CIENCIA Y TECNOLOGÍA </t>
  </si>
  <si>
    <t>21372220E </t>
  </si>
  <si>
    <t>10.12</t>
  </si>
  <si>
    <t>21462156M </t>
  </si>
  <si>
    <t>33443060W </t>
  </si>
  <si>
    <t>22008840W </t>
  </si>
  <si>
    <t>21444057F </t>
  </si>
  <si>
    <t>21434493B </t>
  </si>
  <si>
    <t>21470777R </t>
  </si>
  <si>
    <t>21483642D </t>
  </si>
  <si>
    <t>Abellán Llobregat, Alejandra </t>
  </si>
  <si>
    <t>DEVELOPMENT OF ELECTROCHEMICAL SENSORS BASED ON NANOSTRUCTURED CARBON MATERIALS FOR HEALTH-CARE APPLICATIONS </t>
  </si>
  <si>
    <t>08/03/2017 </t>
  </si>
  <si>
    <t>Abidi , Maali </t>
  </si>
  <si>
    <t>CHEMICAL AND ELECTROCHEMICAL SYNTHESIS OF POLYMERS OBTAINED FROM SUSTITUTED PHENOLS </t>
  </si>
  <si>
    <t>07/09/2017 </t>
  </si>
  <si>
    <t>Cheuquepan Valenzuela, William </t>
  </si>
  <si>
    <t>ESTUDIO ESPECTROELECTROQUÍMICO DE LA ADSORCIÓN Y REACTIVIDAD DE DERIVADOS DE LA UREA Y COMPUESTOS RELACIONADOS SOBRE ELECTRODOS DE ORO NANOESTRUCTURADOS </t>
  </si>
  <si>
    <t>21444744G </t>
  </si>
  <si>
    <t>Chumillas Lidón, Sara </t>
  </si>
  <si>
    <t>ENZYMATIC BIOELECTROCATALYSIS ON WELL-DEFINED ELECTRODE SURFACE </t>
  </si>
  <si>
    <t>21511645K </t>
  </si>
  <si>
    <t>Díaz García, Ana Korina </t>
  </si>
  <si>
    <t>CÉLULAS TÁNDEM FOTOELECTROQUÍMICAS PARA LA GENERACIÓN DE HIDRÓGENO Y OTROS COMBUSTIBLES SOLARES </t>
  </si>
  <si>
    <t>25/09/2017 </t>
  </si>
  <si>
    <t>Gomis Berenguer, Alicia </t>
  </si>
  <si>
    <t>PHOTOCHEMICAL RESPONSE OF NANOPOROUS CARBONS. ROLE AS CATALYSTS, PHOTOELECTRODES AND ADDITIVES TO SEMICONDUCTORS </t>
  </si>
  <si>
    <t>21/12/2016 </t>
  </si>
  <si>
    <t>López Bernabeu, Sara </t>
  </si>
  <si>
    <t>TRANSFERENCIA ELECTRÓNICA DIRECTA A CITOCROMO C INMOVILIZADO SOBRE ELECTRODOS MODIFICADOS. APLICACIÓN EN SENSORES AMPEROMÉTRICOS </t>
  </si>
  <si>
    <t>Díez García, María Isabel </t>
  </si>
  <si>
    <t>PREPARATION AND STUDY OT TERNARY METAL OXIDE PHOTOCATHODES FOR SOLAR ENERGY CONVERSION </t>
  </si>
  <si>
    <t>17/01/2018 </t>
  </si>
  <si>
    <t>U045</t>
  </si>
  <si>
    <t>ADM. I.U. DE ELECTROQUÍMICA</t>
  </si>
  <si>
    <t>DOCTORADO EN ELECTROQUÍMICA. CIENCIA Y TECNOLOGÍA</t>
  </si>
  <si>
    <t>Mendieta Reyes, Néstor Eduardo</t>
  </si>
  <si>
    <t>"ESTUDIO DE LA REDUCCIÓN DE CO2 Y LA DEGRADACIÓN SONOFOTOCATALÍTICA DE CONTAMINANTES SOBRE ÓXIDOS DE METALES DE TRANSICIÓN"</t>
  </si>
  <si>
    <t xml:space="preserve">22008840W </t>
  </si>
  <si>
    <t xml:space="preserve">B128 </t>
  </si>
  <si>
    <t>Mendieta Reyes, Néstor Eduardo </t>
  </si>
  <si>
    <t>"ESTUDIO DE LA REDUCCIÓN DE CO2 Y LA DEGRADACIÓN SONOFOTOCATALÍTICA DE CONTAMINANTES SOBRE ÓXIDOS DE METALES DE TRANSICIÓN" </t>
  </si>
  <si>
    <t>27/09/2018 </t>
  </si>
  <si>
    <t>Navarro Brull, Francisco José </t>
  </si>
  <si>
    <t>MODELING, SIMULATION AND OPTIMIZATION OF MULTIPHASE MICROPACKED.BED REACTORS AND CAPILLARY SONOREACTORS </t>
  </si>
  <si>
    <t>20/09/2018 </t>
  </si>
  <si>
    <t>Sebastián Pascual, Paula </t>
  </si>
  <si>
    <t>SURFACE INFLUENCE ON THE FIRST STAGES OF METAL ELECTRODEPOSITION IN IONIC LIQUIDS </t>
  </si>
  <si>
    <t>Cibrev ., Dejan </t>
  </si>
  <si>
    <t>PHOTOELECTROCATALYTIC AND PHOTOELECTROCHROMIC PROPERTIES OF COMPOSITE NANOSTRUCTURED METAL OXIDE FILMS </t>
  </si>
  <si>
    <t>25/09/2019 </t>
  </si>
  <si>
    <t>Cots Segura, Ainhoa </t>
  </si>
  <si>
    <t>DEVELOPMENT OF HEMATITE AND CUPRIC OXIDE PHOTOELECTRODES FOR WATER SPLITTING TANDEM CELLS </t>
  </si>
  <si>
    <t>13/09/2019 </t>
  </si>
  <si>
    <t>22003613L </t>
  </si>
  <si>
    <t>Gabe , Atsushi </t>
  </si>
  <si>
    <t>UNDERSTANDING OF CARBON ACTIVE SITES FOR OXYGEN REDUCTION REACTION </t>
  </si>
  <si>
    <t>11/10/2018 </t>
  </si>
  <si>
    <t>Hernández Ibáñez, Naiara </t>
  </si>
  <si>
    <t>EXPLORATION OF NOVEL MATERIALS IN (BIO)ELECTROCATALYSIS: SENSING IN COMPLEX MEDIA AND BIOCATHODES FOR THE CO2 REDUCTION </t>
  </si>
  <si>
    <t>14/12/2018 </t>
  </si>
  <si>
    <t>Martínez Hincapié, Ricardo Alonso </t>
  </si>
  <si>
    <t>EFECTO DEL PH EN LA ESTRUCTURA DE LA DOBLE CAPA ELÉCTRICA Y SU INFLUENCIA EN REACTIVIDAD ELECTROQUÍMICA </t>
  </si>
  <si>
    <t>30/05/2019 </t>
  </si>
  <si>
    <t>Martínez Rodríguez, Roberto Alexis </t>
  </si>
  <si>
    <t>SYNTHESIS AND ELECTROCHEMICAL BEHAVIOR OF SHAPE-CONTROLLED PT NANOPARTICLES SYNTHESIZED USING WATER IN OIL MICROEMULSION IN ACID AQUEOUS PHASE FOR AMMONIA OXIDATION </t>
  </si>
  <si>
    <t>Mostazo López, María José </t>
  </si>
  <si>
    <t>FUNCIONALIZACIÓN QUÍMICA DE MATERIALES CARBONOSOS PARA ALMACENAMIENTO Y GENERACIÓN DE ENERGÍA </t>
  </si>
  <si>
    <t>Ruiz Martínez, Debora </t>
  </si>
  <si>
    <t>ESTUDIO DE NUEVOS ELECTROLITOS INORGÁNICOS PARA SU USO EN BATERÍAS RECARGABLES BASADAS EN SODIO </t>
  </si>
  <si>
    <t>17/01/2019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</si>
  <si>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</si>
  <si>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</si>
  <si>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</si>
  <si>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</si>
  <si>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</si>
  <si>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</si>
  <si>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</si>
  <si>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</si>
  <si>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</si>
  <si>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</si>
  <si>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</si>
  <si>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</si>
  <si>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</si>
  <si>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22003613L</t>
  </si>
  <si>
    <t>BONETE FERRANDEZ, PEDRO LUIS</t>
  </si>
  <si>
    <t>21511645K</t>
  </si>
  <si>
    <t>CLIMENT PAYA, VICTOR JOSE</t>
  </si>
  <si>
    <t>22008840W</t>
  </si>
  <si>
    <t>GOMEZ TORREGROSA, ROBERTO</t>
  </si>
  <si>
    <t>21470777R</t>
  </si>
  <si>
    <t>HERRERO RODRIGUEZ, ENRIQUE</t>
  </si>
  <si>
    <t>21483642D</t>
  </si>
  <si>
    <t>INIESTA VALCARCEL, JESUS</t>
  </si>
  <si>
    <t>33443060W</t>
  </si>
  <si>
    <t>LANA VILLARREAL, TERESA</t>
  </si>
  <si>
    <t>21434493B</t>
  </si>
  <si>
    <t>MONTIEL LEGUEY, VICENTE</t>
  </si>
  <si>
    <t>33492585P</t>
  </si>
  <si>
    <t>MONTILLA JIMENEZ, FRANCISCO</t>
  </si>
  <si>
    <t>21462156M</t>
  </si>
  <si>
    <t>MORALLON NUÑEZ, EMILIA</t>
  </si>
  <si>
    <t>21444744G</t>
  </si>
  <si>
    <t>ORTS MATEO, JOSE MANUEL</t>
  </si>
  <si>
    <t>21493783F</t>
  </si>
  <si>
    <t>PEREZ JIMENEZ, ANGEL JOSE</t>
  </si>
  <si>
    <t>21444057F</t>
  </si>
  <si>
    <t>RODES GARCIA, ANTONIO</t>
  </si>
  <si>
    <t>03418555L</t>
  </si>
  <si>
    <t>SAN FABIAN MAROTO, EMILIO</t>
  </si>
  <si>
    <t>52770995W</t>
  </si>
  <si>
    <t>SANCHO GARCIA, JUAN CARLOS</t>
  </si>
  <si>
    <t>Djelad , Halima </t>
  </si>
  <si>
    <t>"SYNTESIS OF HYBRID SILICA-ORGANIC MATERIALS FOR THE DEVELOPMENT OF ELECTROCHEMICAL BIOSENSING APPLICATIONS" </t>
  </si>
  <si>
    <t>27/09/2019 </t>
  </si>
  <si>
    <t>31.30.6P.00.06</t>
  </si>
  <si>
    <t>REINTEGRO CUOTA PATRONAL CORRESPONDIENTE AL MES DE DICIEMBRE DE 2019.</t>
  </si>
  <si>
    <t xml:space="preserve">SUBVENCIONES REALIZACIÓN GRUPOS CONSOLIDABLES. AICO/2018.2ªANUALIDAD </t>
  </si>
  <si>
    <t>31.30.6P.00.07</t>
  </si>
  <si>
    <t>PAGO 1 ANUALIDAD PROYECTOS RETOS I+D+I 2018. ANUAL 2019 PROYECTOS I+D RETOS (PIA 13) N EXPEDIENTE: PIA 132018 - 1- 1 ANUALIDAD REFERENCIA: R. REFERENCIA DEL ORDENANTE PARA EL BENEFICIARIO: 00173219310010867 - 2019/009684</t>
  </si>
  <si>
    <t>PARA EL PAGO DE LA ANUALIDAD 2019 DE LA CONVOCATORIA RTI 2018 PROYECTOS  I+D RETOS (PIA 13) N EXPEDIENTE: PIA 132018-1  -1 ANUALIDAD REFERENC REFERENCIA DEL ORDENANTE PARA EL BENEFICIARIO: 27402219310027098</t>
  </si>
  <si>
    <t>Orgánica
Descripción justificante</t>
  </si>
  <si>
    <t>Importe</t>
  </si>
  <si>
    <t>Total</t>
  </si>
  <si>
    <t>28/07/2020 </t>
  </si>
  <si>
    <t>"Treatment of the reject water from an Electrodialysis Reversal plant by electrochemical methods" </t>
  </si>
  <si>
    <t>Sanjuán Moltó, Ignacio </t>
  </si>
  <si>
    <t>22/07/2020 </t>
  </si>
  <si>
    <t>Electrochemical functionalization of nanostructured carbon materials for bioelectrochemical applications </t>
  </si>
  <si>
    <t>Quintero Jaime, Andrés Felipe </t>
  </si>
  <si>
    <t>04/09/2020 </t>
  </si>
  <si>
    <t>Design of N-doped carbon materials for ORR electrocatalysts through the combination of computational modelling and chemical synthesis </t>
  </si>
  <si>
    <t>Quílez Bermejo, Javier </t>
  </si>
  <si>
    <t>25/10/2019 </t>
  </si>
  <si>
    <t>Unraveling the oxygen reduction reaction mechanism: occurrence of a bifurcation point before hydrogen peroxide formation </t>
  </si>
  <si>
    <t>Briega Martos, Valentín </t>
  </si>
  <si>
    <t>14/02/2020 </t>
  </si>
  <si>
    <t>EFECTOS DE LA ESTRUCTURA SUPERFICIAL EN REACCIONES ASOCIADAS A PILAS DE COMBUSTIBLE </t>
  </si>
  <si>
    <t>Boronat González, Ana </t>
  </si>
  <si>
    <t>COD DEP</t>
  </si>
  <si>
    <t>21638610A</t>
  </si>
  <si>
    <t>PEREZ JORDA, JOSE MARIA</t>
  </si>
  <si>
    <t>33330450T</t>
  </si>
  <si>
    <t>SOLLA GULLON, JOSE</t>
  </si>
  <si>
    <t>NO FUNCIONARIO</t>
  </si>
  <si>
    <t>20</t>
  </si>
  <si>
    <t>Quiñonero Aliaga, Javier </t>
  </si>
  <si>
    <t>"Improving the photoelectrochemical activity of photoelectrodes through Surface engineering: systematic electrocatalysis and co-catalysis studies¿. </t>
  </si>
  <si>
    <t>16/12/2020 </t>
  </si>
  <si>
    <t>Sarabia Gambín, Francisco José </t>
  </si>
  <si>
    <t>Interfacial studies of Pt and Cu single-crystal electrodes modified by transition metal deposition </t>
  </si>
  <si>
    <t>05/02/2021 </t>
  </si>
  <si>
    <t>Merino González, Camilo </t>
  </si>
  <si>
    <t>Diseño y prototipo de supercondensador asimétrico en electrolito acuoso basado en materiales carbonosos </t>
  </si>
  <si>
    <t>18/01/2021 </t>
  </si>
  <si>
    <t>Ortiz Cano, Ricardo </t>
  </si>
  <si>
    <t>Electronic and spin properties of open-shell nanographenes </t>
  </si>
  <si>
    <t>29/09/2021 </t>
  </si>
  <si>
    <t>52770995W </t>
  </si>
  <si>
    <t>Ortega Murcia, Alejandro </t>
  </si>
  <si>
    <t>Preparación y caracterización de (electro)catalizadores basados en nanopartículas de paladio soportadas sobre materiales de carbón </t>
  </si>
  <si>
    <t>22/03/2021 </t>
  </si>
  <si>
    <t>Ferrández Gómez, Borja </t>
  </si>
  <si>
    <t>Regeneración electroquímica de carbón activado usado en plantas potabilizadoras de agua: escalado, optimización y validación de prototipos </t>
  </si>
  <si>
    <t>17/09/2021 </t>
  </si>
  <si>
    <t>Flores Lasluisa, Jhony Xavier </t>
  </si>
  <si>
    <t>Síntesis de electrocatalizadores basados en perovskitas, espinelas y materiales carbonosos para reacciones de almacenamiento y producción de energía </t>
  </si>
  <si>
    <t>11/06/2021 </t>
  </si>
  <si>
    <t>FLIB 30/06/2020. PROYECTOS RETOS INVESTIGACION 201 / 8. ANUAL 2020 PROYECTOS I+D RETOS (PIA13) N E / XPEDIENTE: PIA132018-1 - 2 ANUALIDAD REFERE / GOVT / 27402220310030649</t>
  </si>
  <si>
    <t>31.30.6P.00.08</t>
  </si>
  <si>
    <t>RESOLUCIÓN CONCESIÓN SUBVENCIONES DEL PROGRAMA PROMETEO 2020 (INNOVACIÓN,UNIVERSIDADES,CIENCIA SOC.DIG)</t>
  </si>
  <si>
    <t>Unidad</t>
  </si>
  <si>
    <t>Cód. org. aplic.</t>
  </si>
  <si>
    <t>Descripción justificante</t>
  </si>
  <si>
    <t>31.30</t>
  </si>
  <si>
    <t xml:space="preserve">RTI2018-102061-B-I00 </t>
  </si>
  <si>
    <t>PROMETEO 2020 EN 2021 (INNOVACIÓN,UNIVERSIDADES,CIENCIA SOC.DIG)</t>
  </si>
  <si>
    <t>31.30.6X.00.01</t>
  </si>
  <si>
    <t>PRE-FINANCING SOFTBIOART, SEGÚN INFORMAN DESDE LA OGPI</t>
  </si>
  <si>
    <t>Kedir , Chahineze Nawel </t>
  </si>
  <si>
    <t>Synthesis of polyaniline-based conducting polymer and their hydrogels. Electrochemical applications </t>
  </si>
  <si>
    <t>17/01/2022 </t>
  </si>
  <si>
    <t>Miralles Gómez, Carmen </t>
  </si>
  <si>
    <t>Materiales basados en óxidos de manganeso para baterías multivalentes recargables de magnesio y calcio </t>
  </si>
  <si>
    <t>28/06/2022 </t>
  </si>
  <si>
    <t>total ingresos investigación 2019-2020-2021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</si>
</sst>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4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4" fillId="0" borderId="0"/>
    <xf numFmtId="0" fontId="8" fillId="0" borderId="0"/>
  </cellStyleXfs>
  <cellXfs count="64">
    <xf numFmtId="0" fontId="0" fillId="0" borderId="0" xfId="0"/>
    <xf numFmtId="0" fontId="2" fillId="2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/>
    </xf>
    <xf numFmtId="0" fontId="3" fillId="2" borderId="1" xfId="3" applyFont="1" applyFill="1" applyBorder="1" applyAlignment="1">
      <alignment horizontal="center" wrapText="1"/>
    </xf>
    <xf numFmtId="0" fontId="3" fillId="2" borderId="1" xfId="3" applyFont="1" applyFill="1" applyBorder="1" applyAlignment="1">
      <alignment horizontal="right" wrapText="1"/>
    </xf>
    <xf numFmtId="0" fontId="1" fillId="3" borderId="0" xfId="1" applyFont="1" applyFill="1" applyAlignment="1"/>
    <xf numFmtId="0" fontId="1" fillId="3" borderId="0" xfId="1" applyFont="1" applyFill="1" applyAlignment="1">
      <alignment horizontal="right"/>
    </xf>
    <xf numFmtId="0" fontId="7" fillId="5" borderId="1" xfId="3" applyFont="1" applyFill="1" applyBorder="1" applyAlignment="1">
      <alignment horizontal="center" textRotation="90" wrapText="1"/>
    </xf>
    <xf numFmtId="0" fontId="7" fillId="2" borderId="1" xfId="3" applyFont="1" applyFill="1" applyBorder="1" applyAlignment="1">
      <alignment horizontal="center" textRotation="90" wrapText="1"/>
    </xf>
    <xf numFmtId="0" fontId="4" fillId="0" borderId="0" xfId="4" applyFont="1"/>
    <xf numFmtId="0" fontId="9" fillId="0" borderId="0" xfId="4" applyFont="1"/>
    <xf numFmtId="0" fontId="9" fillId="0" borderId="0" xfId="4" applyFont="1" applyAlignment="1">
      <alignment horizontal="right"/>
    </xf>
    <xf numFmtId="0" fontId="1" fillId="0" borderId="0" xfId="0" applyFont="1"/>
    <xf numFmtId="0" fontId="1" fillId="0" borderId="1" xfId="0" applyFont="1" applyBorder="1"/>
    <xf numFmtId="4" fontId="1" fillId="0" borderId="1" xfId="0" applyNumberFormat="1" applyFont="1" applyBorder="1"/>
    <xf numFmtId="4" fontId="2" fillId="0" borderId="1" xfId="0" applyNumberFormat="1" applyFont="1" applyBorder="1"/>
    <xf numFmtId="0" fontId="11" fillId="4" borderId="1" xfId="0" applyFont="1" applyFill="1" applyBorder="1" applyAlignment="1">
      <alignment horizontal="left" wrapText="1"/>
    </xf>
    <xf numFmtId="0" fontId="11" fillId="4" borderId="1" xfId="0" applyFont="1" applyFill="1" applyBorder="1" applyAlignment="1">
      <alignment horizontal="center"/>
    </xf>
    <xf numFmtId="0" fontId="2" fillId="0" borderId="1" xfId="0" applyFont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textRotation="90"/>
    </xf>
    <xf numFmtId="0" fontId="7" fillId="2" borderId="1" xfId="3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1" applyFill="1" applyBorder="1"/>
    <xf numFmtId="0" fontId="1" fillId="3" borderId="1" xfId="1" applyFill="1" applyBorder="1" applyAlignment="1">
      <alignment horizontal="right"/>
    </xf>
    <xf numFmtId="1" fontId="1" fillId="3" borderId="1" xfId="1" applyNumberFormat="1" applyFill="1" applyBorder="1"/>
    <xf numFmtId="164" fontId="1" fillId="3" borderId="1" xfId="1" applyNumberFormat="1" applyFill="1" applyBorder="1"/>
    <xf numFmtId="0" fontId="1" fillId="3" borderId="2" xfId="1" applyFill="1" applyBorder="1"/>
    <xf numFmtId="0" fontId="1" fillId="3" borderId="2" xfId="1" applyFill="1" applyBorder="1" applyAlignment="1">
      <alignment horizontal="right"/>
    </xf>
    <xf numFmtId="1" fontId="1" fillId="3" borderId="2" xfId="1" applyNumberFormat="1" applyFill="1" applyBorder="1"/>
    <xf numFmtId="164" fontId="1" fillId="3" borderId="2" xfId="1" applyNumberFormat="1" applyFill="1" applyBorder="1"/>
    <xf numFmtId="0" fontId="12" fillId="6" borderId="1" xfId="0" applyFont="1" applyFill="1" applyBorder="1" applyAlignment="1">
      <alignment horizontal="left" vertical="center"/>
    </xf>
    <xf numFmtId="0" fontId="12" fillId="6" borderId="3" xfId="0" applyFont="1" applyFill="1" applyBorder="1" applyAlignment="1">
      <alignment horizontal="left" vertical="center"/>
    </xf>
    <xf numFmtId="0" fontId="12" fillId="6" borderId="4" xfId="0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left" vertical="center"/>
    </xf>
    <xf numFmtId="0" fontId="1" fillId="0" borderId="1" xfId="1" applyBorder="1"/>
    <xf numFmtId="4" fontId="1" fillId="0" borderId="0" xfId="0" applyNumberFormat="1" applyFont="1"/>
    <xf numFmtId="0" fontId="13" fillId="7" borderId="6" xfId="0" applyNumberFormat="1" applyFont="1" applyFill="1" applyBorder="1"/>
    <xf numFmtId="0" fontId="13" fillId="7" borderId="7" xfId="0" applyNumberFormat="1" applyFont="1" applyFill="1" applyBorder="1"/>
    <xf numFmtId="0" fontId="13" fillId="7" borderId="8" xfId="0" applyFont="1" applyFill="1" applyBorder="1" applyAlignment="1">
      <alignment horizontal="right"/>
    </xf>
    <xf numFmtId="0" fontId="0" fillId="8" borderId="9" xfId="0" applyNumberFormat="1" applyFont="1" applyFill="1" applyBorder="1"/>
    <xf numFmtId="0" fontId="0" fillId="8" borderId="10" xfId="0" applyFont="1" applyFill="1" applyBorder="1"/>
    <xf numFmtId="4" fontId="0" fillId="8" borderId="11" xfId="0" applyNumberFormat="1" applyFont="1" applyFill="1" applyBorder="1"/>
    <xf numFmtId="0" fontId="0" fillId="9" borderId="9" xfId="0" applyNumberFormat="1" applyFont="1" applyFill="1" applyBorder="1"/>
    <xf numFmtId="0" fontId="0" fillId="9" borderId="10" xfId="0" applyFont="1" applyFill="1" applyBorder="1"/>
    <xf numFmtId="4" fontId="0" fillId="9" borderId="11" xfId="0" applyNumberFormat="1" applyFont="1" applyFill="1" applyBorder="1"/>
    <xf numFmtId="0" fontId="13" fillId="7" borderId="12" xfId="0" applyFont="1" applyFill="1" applyBorder="1"/>
    <xf numFmtId="0" fontId="13" fillId="7" borderId="13" xfId="0" applyFont="1" applyFill="1" applyBorder="1"/>
    <xf numFmtId="4" fontId="13" fillId="7" borderId="14" xfId="0" applyNumberFormat="1" applyFont="1" applyFill="1" applyBorder="1"/>
    <xf numFmtId="14" fontId="1" fillId="3" borderId="1" xfId="1" applyNumberFormat="1" applyFill="1" applyBorder="1"/>
    <xf numFmtId="165" fontId="1" fillId="3" borderId="1" xfId="1" applyNumberFormat="1" applyFill="1" applyBorder="1"/>
    <xf numFmtId="165" fontId="1" fillId="3" borderId="2" xfId="1" applyNumberFormat="1" applyFill="1" applyBorder="1"/>
    <xf numFmtId="0" fontId="1" fillId="3" borderId="15" xfId="1" applyFill="1" applyBorder="1"/>
    <xf numFmtId="0" fontId="0" fillId="0" borderId="1" xfId="0" applyBorder="1" applyAlignment="1">
      <alignment horizontal="left"/>
    </xf>
    <xf numFmtId="164" fontId="10" fillId="10" borderId="1" xfId="4" applyNumberFormat="1" applyFont="1" applyFill="1" applyBorder="1"/>
    <xf numFmtId="0" fontId="9" fillId="10" borderId="16" xfId="4" applyFont="1" applyFill="1" applyBorder="1"/>
    <xf numFmtId="0" fontId="9" fillId="10" borderId="16" xfId="4" applyFont="1" applyFill="1" applyBorder="1" applyAlignment="1">
      <alignment horizontal="right"/>
    </xf>
    <xf numFmtId="0" fontId="1" fillId="10" borderId="16" xfId="1" applyFont="1" applyFill="1" applyBorder="1" applyAlignment="1"/>
    <xf numFmtId="0" fontId="1" fillId="10" borderId="16" xfId="1" applyFont="1" applyFill="1" applyBorder="1" applyAlignment="1">
      <alignment horizontal="right"/>
    </xf>
    <xf numFmtId="0" fontId="6" fillId="10" borderId="1" xfId="0" applyFont="1" applyFill="1" applyBorder="1" applyAlignment="1">
      <alignment horizontal="right"/>
    </xf>
    <xf numFmtId="4" fontId="0" fillId="10" borderId="1" xfId="0" applyNumberFormat="1" applyFill="1" applyBorder="1" applyAlignment="1">
      <alignment horizontal="right"/>
    </xf>
    <xf numFmtId="164" fontId="2" fillId="10" borderId="16" xfId="1" applyNumberFormat="1" applyFont="1" applyFill="1" applyBorder="1" applyAlignment="1"/>
  </cellXfs>
  <cellStyles count="5">
    <cellStyle name="Normal" xfId="0" builtinId="0"/>
    <cellStyle name="Normal 3" xfId="4" xr:uid="{00000000-0005-0000-0000-000001000000}"/>
    <cellStyle name="Normal_Becas 14_9_2005" xfId="2" xr:uid="{00000000-0005-0000-0000-000002000000}"/>
    <cellStyle name="Normal_Ind.2010" xfId="1" xr:uid="{00000000-0005-0000-0000-000003000000}"/>
    <cellStyle name="Normal_PDI por Centro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5"/>
  <sheetViews>
    <sheetView showGridLines="0" tabSelected="1" zoomScale="120" zoomScaleNormal="120" workbookViewId="0">
      <pane xSplit="1" ySplit="1" topLeftCell="F26" activePane="bottomRight" state="frozen"/>
      <selection pane="topRight" activeCell="B1" sqref="B1"/>
      <selection pane="bottomLeft" activeCell="A2" sqref="A2"/>
      <selection pane="bottomRight" activeCell="S45" sqref="S45"/>
    </sheetView>
  </sheetViews>
  <sheetFormatPr baseColWidth="10" defaultColWidth="10.33203125" defaultRowHeight="10.199999999999999" x14ac:dyDescent="0.2"/>
  <cols>
    <col min="1" max="1" width="5" style="6" customWidth="1"/>
    <col min="2" max="4" width="29.6640625" style="6" customWidth="1"/>
    <col min="5" max="5" width="40.6640625" style="6" customWidth="1"/>
    <col min="6" max="6" width="9.109375" style="6" customWidth="1"/>
    <col min="7" max="7" width="9.6640625" style="6" customWidth="1"/>
    <col min="8" max="8" width="14.44140625" style="6" customWidth="1"/>
    <col min="9" max="9" width="5.88671875" style="6" customWidth="1"/>
    <col min="10" max="10" width="25.6640625" style="6" customWidth="1"/>
    <col min="11" max="12" width="5.109375" style="6" customWidth="1"/>
    <col min="13" max="13" width="4.44140625" style="6" customWidth="1"/>
    <col min="14" max="14" width="4.88671875" style="6" customWidth="1"/>
    <col min="15" max="15" width="4.88671875" style="7" customWidth="1"/>
    <col min="16" max="16" width="4.88671875" style="6" customWidth="1"/>
    <col min="17" max="17" width="3.5546875" style="7" customWidth="1"/>
    <col min="18" max="18" width="3.5546875" style="6" customWidth="1"/>
    <col min="19" max="21" width="5.109375" style="6" customWidth="1"/>
    <col min="22" max="16384" width="10.33203125" style="6"/>
  </cols>
  <sheetData>
    <row r="1" spans="1:21" ht="40.79999999999999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3" t="s">
        <v>12</v>
      </c>
      <c r="N1" s="4" t="s">
        <v>13</v>
      </c>
      <c r="O1" s="5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">
      <c r="A2" s="25" t="s">
        <v>41</v>
      </c>
      <c r="B2" s="25" t="s">
        <v>42</v>
      </c>
      <c r="C2" s="25" t="s">
        <v>43</v>
      </c>
      <c r="D2" s="25" t="s">
        <v>68</v>
      </c>
      <c r="E2" s="25" t="s">
        <v>69</v>
      </c>
      <c r="F2" s="25" t="s">
        <v>70</v>
      </c>
      <c r="G2" s="25" t="s">
        <v>52</v>
      </c>
      <c r="H2" s="25" t="s">
        <v>21</v>
      </c>
      <c r="I2" s="25" t="s">
        <v>38</v>
      </c>
      <c r="J2" s="25" t="s">
        <v>39</v>
      </c>
      <c r="K2" s="28">
        <v>0.5</v>
      </c>
      <c r="L2" s="25" t="s">
        <v>40</v>
      </c>
      <c r="M2" s="25">
        <v>2016</v>
      </c>
      <c r="N2" s="25" t="s">
        <v>45</v>
      </c>
      <c r="O2" s="26" t="s">
        <v>22</v>
      </c>
      <c r="P2" s="25" t="s">
        <v>23</v>
      </c>
      <c r="Q2" s="26" t="s">
        <v>23</v>
      </c>
      <c r="R2" s="27">
        <v>50</v>
      </c>
      <c r="S2" s="28">
        <v>0.25</v>
      </c>
      <c r="T2" s="28">
        <v>0.25</v>
      </c>
      <c r="U2" s="28">
        <v>0</v>
      </c>
    </row>
    <row r="3" spans="1:21" x14ac:dyDescent="0.2">
      <c r="A3" s="25" t="s">
        <v>41</v>
      </c>
      <c r="B3" s="25" t="s">
        <v>42</v>
      </c>
      <c r="C3" s="25" t="s">
        <v>43</v>
      </c>
      <c r="D3" s="25" t="s">
        <v>59</v>
      </c>
      <c r="E3" s="25" t="s">
        <v>60</v>
      </c>
      <c r="F3" s="25" t="s">
        <v>28</v>
      </c>
      <c r="G3" s="25" t="s">
        <v>61</v>
      </c>
      <c r="H3" s="25" t="s">
        <v>21</v>
      </c>
      <c r="I3" s="25" t="s">
        <v>38</v>
      </c>
      <c r="J3" s="25" t="s">
        <v>39</v>
      </c>
      <c r="K3" s="28">
        <v>0.5</v>
      </c>
      <c r="L3" s="25" t="s">
        <v>40</v>
      </c>
      <c r="M3" s="25">
        <v>2016</v>
      </c>
      <c r="N3" s="25" t="s">
        <v>45</v>
      </c>
      <c r="O3" s="26" t="s">
        <v>22</v>
      </c>
      <c r="P3" s="25" t="s">
        <v>23</v>
      </c>
      <c r="Q3" s="26" t="s">
        <v>23</v>
      </c>
      <c r="R3" s="27">
        <v>50</v>
      </c>
      <c r="S3" s="28">
        <v>0.25</v>
      </c>
      <c r="T3" s="28">
        <v>0.25</v>
      </c>
      <c r="U3" s="28">
        <v>0</v>
      </c>
    </row>
    <row r="4" spans="1:21" x14ac:dyDescent="0.2">
      <c r="A4" s="25" t="s">
        <v>41</v>
      </c>
      <c r="B4" s="25" t="s">
        <v>42</v>
      </c>
      <c r="C4" s="25" t="s">
        <v>43</v>
      </c>
      <c r="D4" s="25" t="s">
        <v>59</v>
      </c>
      <c r="E4" s="25" t="s">
        <v>60</v>
      </c>
      <c r="F4" s="25" t="s">
        <v>28</v>
      </c>
      <c r="G4" s="25" t="s">
        <v>49</v>
      </c>
      <c r="H4" s="25" t="s">
        <v>21</v>
      </c>
      <c r="I4" s="25" t="s">
        <v>38</v>
      </c>
      <c r="J4" s="25" t="s">
        <v>39</v>
      </c>
      <c r="K4" s="28">
        <v>0.5</v>
      </c>
      <c r="L4" s="25" t="s">
        <v>40</v>
      </c>
      <c r="M4" s="25">
        <v>2016</v>
      </c>
      <c r="N4" s="25" t="s">
        <v>45</v>
      </c>
      <c r="O4" s="26" t="s">
        <v>22</v>
      </c>
      <c r="P4" s="25" t="s">
        <v>23</v>
      </c>
      <c r="Q4" s="26" t="s">
        <v>23</v>
      </c>
      <c r="R4" s="27">
        <v>50</v>
      </c>
      <c r="S4" s="28">
        <v>0.25</v>
      </c>
      <c r="T4" s="28">
        <v>0.25</v>
      </c>
      <c r="U4" s="28">
        <v>0</v>
      </c>
    </row>
    <row r="5" spans="1:21" x14ac:dyDescent="0.2">
      <c r="A5" s="25" t="s">
        <v>41</v>
      </c>
      <c r="B5" s="25" t="s">
        <v>42</v>
      </c>
      <c r="C5" s="25" t="s">
        <v>43</v>
      </c>
      <c r="D5" s="25" t="s">
        <v>62</v>
      </c>
      <c r="E5" s="25" t="s">
        <v>63</v>
      </c>
      <c r="F5" s="25" t="s">
        <v>29</v>
      </c>
      <c r="G5" s="25" t="s">
        <v>64</v>
      </c>
      <c r="H5" s="25" t="s">
        <v>21</v>
      </c>
      <c r="I5" s="25" t="s">
        <v>38</v>
      </c>
      <c r="J5" s="25" t="s">
        <v>39</v>
      </c>
      <c r="K5" s="28">
        <v>0.5</v>
      </c>
      <c r="L5" s="25" t="s">
        <v>40</v>
      </c>
      <c r="M5" s="25">
        <v>2016</v>
      </c>
      <c r="N5" s="25" t="s">
        <v>45</v>
      </c>
      <c r="O5" s="26" t="s">
        <v>22</v>
      </c>
      <c r="P5" s="25" t="s">
        <v>23</v>
      </c>
      <c r="Q5" s="26" t="s">
        <v>23</v>
      </c>
      <c r="R5" s="27">
        <v>50</v>
      </c>
      <c r="S5" s="28">
        <v>0.25</v>
      </c>
      <c r="T5" s="28">
        <v>0.25</v>
      </c>
      <c r="U5" s="28">
        <v>0</v>
      </c>
    </row>
    <row r="6" spans="1:21" x14ac:dyDescent="0.2">
      <c r="A6" s="25" t="s">
        <v>41</v>
      </c>
      <c r="B6" s="25" t="s">
        <v>42</v>
      </c>
      <c r="C6" s="25" t="s">
        <v>43</v>
      </c>
      <c r="D6" s="25" t="s">
        <v>62</v>
      </c>
      <c r="E6" s="25" t="s">
        <v>63</v>
      </c>
      <c r="F6" s="25" t="s">
        <v>29</v>
      </c>
      <c r="G6" s="25" t="s">
        <v>44</v>
      </c>
      <c r="H6" s="25" t="s">
        <v>21</v>
      </c>
      <c r="I6" s="25" t="s">
        <v>38</v>
      </c>
      <c r="J6" s="25" t="s">
        <v>39</v>
      </c>
      <c r="K6" s="28">
        <v>0.5</v>
      </c>
      <c r="L6" s="25" t="s">
        <v>40</v>
      </c>
      <c r="M6" s="25">
        <v>2016</v>
      </c>
      <c r="N6" s="25" t="s">
        <v>45</v>
      </c>
      <c r="O6" s="26" t="s">
        <v>22</v>
      </c>
      <c r="P6" s="25" t="s">
        <v>23</v>
      </c>
      <c r="Q6" s="26" t="s">
        <v>23</v>
      </c>
      <c r="R6" s="27">
        <v>50</v>
      </c>
      <c r="S6" s="28">
        <v>0.25</v>
      </c>
      <c r="T6" s="28">
        <v>0.25</v>
      </c>
      <c r="U6" s="28">
        <v>0</v>
      </c>
    </row>
    <row r="7" spans="1:21" x14ac:dyDescent="0.2">
      <c r="A7" s="25" t="s">
        <v>33</v>
      </c>
      <c r="B7" s="25" t="s">
        <v>34</v>
      </c>
      <c r="C7" s="25" t="s">
        <v>35</v>
      </c>
      <c r="D7" s="25" t="s">
        <v>71</v>
      </c>
      <c r="E7" s="25" t="s">
        <v>72</v>
      </c>
      <c r="F7" s="25" t="s">
        <v>36</v>
      </c>
      <c r="G7" s="25" t="s">
        <v>37</v>
      </c>
      <c r="H7" s="25" t="s">
        <v>21</v>
      </c>
      <c r="I7" s="25" t="s">
        <v>38</v>
      </c>
      <c r="J7" s="25" t="s">
        <v>39</v>
      </c>
      <c r="K7" s="28">
        <v>0.5</v>
      </c>
      <c r="L7" s="25" t="s">
        <v>40</v>
      </c>
      <c r="M7" s="25">
        <v>2016</v>
      </c>
      <c r="N7" s="25" t="s">
        <v>32</v>
      </c>
      <c r="O7" s="26" t="s">
        <v>22</v>
      </c>
      <c r="P7" s="25" t="s">
        <v>23</v>
      </c>
      <c r="Q7" s="26" t="s">
        <v>23</v>
      </c>
      <c r="R7" s="27">
        <v>50</v>
      </c>
      <c r="S7" s="28">
        <v>0.25</v>
      </c>
      <c r="T7" s="28">
        <v>0.25</v>
      </c>
      <c r="U7" s="28">
        <v>0</v>
      </c>
    </row>
    <row r="8" spans="1:21" x14ac:dyDescent="0.2">
      <c r="A8" s="25" t="s">
        <v>33</v>
      </c>
      <c r="B8" s="25" t="s">
        <v>34</v>
      </c>
      <c r="C8" s="25" t="s">
        <v>35</v>
      </c>
      <c r="D8" s="25" t="s">
        <v>71</v>
      </c>
      <c r="E8" s="25" t="s">
        <v>72</v>
      </c>
      <c r="F8" s="25" t="s">
        <v>36</v>
      </c>
      <c r="G8" s="25" t="s">
        <v>46</v>
      </c>
      <c r="H8" s="25" t="s">
        <v>21</v>
      </c>
      <c r="I8" s="25" t="s">
        <v>38</v>
      </c>
      <c r="J8" s="25" t="s">
        <v>39</v>
      </c>
      <c r="K8" s="28">
        <v>0.5</v>
      </c>
      <c r="L8" s="25" t="s">
        <v>40</v>
      </c>
      <c r="M8" s="25">
        <v>2016</v>
      </c>
      <c r="N8" s="25" t="s">
        <v>32</v>
      </c>
      <c r="O8" s="26" t="s">
        <v>22</v>
      </c>
      <c r="P8" s="25" t="s">
        <v>23</v>
      </c>
      <c r="Q8" s="26" t="s">
        <v>23</v>
      </c>
      <c r="R8" s="27">
        <v>50</v>
      </c>
      <c r="S8" s="28">
        <v>0.25</v>
      </c>
      <c r="T8" s="28">
        <v>0.25</v>
      </c>
      <c r="U8" s="28">
        <v>0</v>
      </c>
    </row>
    <row r="9" spans="1:21" x14ac:dyDescent="0.2">
      <c r="A9" s="25" t="s">
        <v>33</v>
      </c>
      <c r="B9" s="25" t="s">
        <v>34</v>
      </c>
      <c r="C9" s="25" t="s">
        <v>35</v>
      </c>
      <c r="D9" s="25" t="s">
        <v>53</v>
      </c>
      <c r="E9" s="25" t="s">
        <v>54</v>
      </c>
      <c r="F9" s="25" t="s">
        <v>55</v>
      </c>
      <c r="G9" s="25" t="s">
        <v>46</v>
      </c>
      <c r="H9" s="25" t="s">
        <v>21</v>
      </c>
      <c r="I9" s="25" t="s">
        <v>38</v>
      </c>
      <c r="J9" s="25" t="s">
        <v>39</v>
      </c>
      <c r="K9" s="28">
        <v>0.5</v>
      </c>
      <c r="L9" s="25" t="s">
        <v>40</v>
      </c>
      <c r="M9" s="25">
        <v>2016</v>
      </c>
      <c r="N9" s="25" t="s">
        <v>32</v>
      </c>
      <c r="O9" s="26" t="s">
        <v>22</v>
      </c>
      <c r="P9" s="25" t="s">
        <v>23</v>
      </c>
      <c r="Q9" s="26" t="s">
        <v>23</v>
      </c>
      <c r="R9" s="27">
        <v>50</v>
      </c>
      <c r="S9" s="28">
        <v>0.25</v>
      </c>
      <c r="T9" s="28">
        <v>0.25</v>
      </c>
      <c r="U9" s="28">
        <v>0</v>
      </c>
    </row>
    <row r="10" spans="1:21" x14ac:dyDescent="0.2">
      <c r="A10" s="25" t="s">
        <v>33</v>
      </c>
      <c r="B10" s="25" t="s">
        <v>34</v>
      </c>
      <c r="C10" s="25" t="s">
        <v>35</v>
      </c>
      <c r="D10" s="25" t="s">
        <v>65</v>
      </c>
      <c r="E10" s="25" t="s">
        <v>66</v>
      </c>
      <c r="F10" s="25" t="s">
        <v>67</v>
      </c>
      <c r="G10" s="25" t="s">
        <v>48</v>
      </c>
      <c r="H10" s="25" t="s">
        <v>24</v>
      </c>
      <c r="I10" s="25" t="s">
        <v>38</v>
      </c>
      <c r="J10" s="25" t="s">
        <v>39</v>
      </c>
      <c r="K10" s="28">
        <v>1</v>
      </c>
      <c r="L10" s="25" t="s">
        <v>40</v>
      </c>
      <c r="M10" s="25">
        <v>2016</v>
      </c>
      <c r="N10" s="25" t="s">
        <v>45</v>
      </c>
      <c r="O10" s="26" t="s">
        <v>22</v>
      </c>
      <c r="P10" s="25" t="s">
        <v>23</v>
      </c>
      <c r="Q10" s="26" t="s">
        <v>23</v>
      </c>
      <c r="R10" s="27">
        <v>50</v>
      </c>
      <c r="S10" s="28">
        <v>0.5</v>
      </c>
      <c r="T10" s="28">
        <v>0.5</v>
      </c>
      <c r="U10" s="28">
        <v>0</v>
      </c>
    </row>
    <row r="11" spans="1:21" x14ac:dyDescent="0.2">
      <c r="A11" s="25" t="s">
        <v>33</v>
      </c>
      <c r="B11" s="25" t="s">
        <v>34</v>
      </c>
      <c r="C11" s="25" t="s">
        <v>35</v>
      </c>
      <c r="D11" s="25" t="s">
        <v>56</v>
      </c>
      <c r="E11" s="25" t="s">
        <v>57</v>
      </c>
      <c r="F11" s="25" t="s">
        <v>58</v>
      </c>
      <c r="G11" s="25" t="s">
        <v>46</v>
      </c>
      <c r="H11" s="25" t="s">
        <v>21</v>
      </c>
      <c r="I11" s="25" t="s">
        <v>38</v>
      </c>
      <c r="J11" s="25" t="s">
        <v>39</v>
      </c>
      <c r="K11" s="28">
        <v>0.5</v>
      </c>
      <c r="L11" s="25" t="s">
        <v>40</v>
      </c>
      <c r="M11" s="25">
        <v>2016</v>
      </c>
      <c r="N11" s="25" t="s">
        <v>32</v>
      </c>
      <c r="O11" s="26" t="s">
        <v>22</v>
      </c>
      <c r="P11" s="25" t="s">
        <v>23</v>
      </c>
      <c r="Q11" s="26" t="s">
        <v>23</v>
      </c>
      <c r="R11" s="27">
        <v>50</v>
      </c>
      <c r="S11" s="28">
        <v>0.25</v>
      </c>
      <c r="T11" s="28">
        <v>0.25</v>
      </c>
      <c r="U11" s="28">
        <v>0</v>
      </c>
    </row>
    <row r="12" spans="1:21" x14ac:dyDescent="0.2">
      <c r="A12" s="25" t="s">
        <v>41</v>
      </c>
      <c r="B12" s="25" t="s">
        <v>42</v>
      </c>
      <c r="C12" s="25" t="s">
        <v>43</v>
      </c>
      <c r="D12" s="25" t="s">
        <v>89</v>
      </c>
      <c r="E12" s="25" t="s">
        <v>90</v>
      </c>
      <c r="F12" s="25" t="s">
        <v>26</v>
      </c>
      <c r="G12" s="25" t="s">
        <v>44</v>
      </c>
      <c r="H12" s="25" t="s">
        <v>21</v>
      </c>
      <c r="I12" s="25" t="s">
        <v>38</v>
      </c>
      <c r="J12" s="25" t="s">
        <v>39</v>
      </c>
      <c r="K12" s="28">
        <v>0.5</v>
      </c>
      <c r="L12" s="25" t="s">
        <v>40</v>
      </c>
      <c r="M12" s="25">
        <v>2017</v>
      </c>
      <c r="N12" s="25" t="s">
        <v>45</v>
      </c>
      <c r="O12" s="26" t="s">
        <v>22</v>
      </c>
      <c r="P12" s="25" t="s">
        <v>23</v>
      </c>
      <c r="Q12" s="26" t="s">
        <v>23</v>
      </c>
      <c r="R12" s="27">
        <v>50</v>
      </c>
      <c r="S12" s="28">
        <v>0.25</v>
      </c>
      <c r="T12" s="28">
        <v>0.25</v>
      </c>
      <c r="U12" s="28">
        <v>0</v>
      </c>
    </row>
    <row r="13" spans="1:21" x14ac:dyDescent="0.2">
      <c r="A13" s="25" t="s">
        <v>76</v>
      </c>
      <c r="B13" s="25" t="s">
        <v>77</v>
      </c>
      <c r="C13" s="25" t="s">
        <v>78</v>
      </c>
      <c r="D13" s="25" t="s">
        <v>79</v>
      </c>
      <c r="E13" s="25" t="s">
        <v>80</v>
      </c>
      <c r="F13" s="51">
        <v>43370</v>
      </c>
      <c r="G13" s="25" t="s">
        <v>81</v>
      </c>
      <c r="H13" s="25" t="s">
        <v>21</v>
      </c>
      <c r="I13" s="25" t="s">
        <v>82</v>
      </c>
      <c r="J13" s="25" t="s">
        <v>39</v>
      </c>
      <c r="K13" s="28">
        <v>0.5</v>
      </c>
      <c r="L13" s="25" t="s">
        <v>40</v>
      </c>
      <c r="M13" s="25">
        <v>2017</v>
      </c>
      <c r="N13" s="25" t="s">
        <v>45</v>
      </c>
      <c r="O13" s="26" t="s">
        <v>22</v>
      </c>
      <c r="P13" s="25" t="s">
        <v>23</v>
      </c>
      <c r="Q13" s="26" t="s">
        <v>23</v>
      </c>
      <c r="R13" s="27">
        <v>50</v>
      </c>
      <c r="S13" s="28">
        <v>0.25</v>
      </c>
      <c r="T13" s="28">
        <v>0.25</v>
      </c>
      <c r="U13" s="28">
        <v>0</v>
      </c>
    </row>
    <row r="14" spans="1:21" x14ac:dyDescent="0.2">
      <c r="A14" s="25" t="s">
        <v>33</v>
      </c>
      <c r="B14" s="25" t="s">
        <v>34</v>
      </c>
      <c r="C14" s="25" t="s">
        <v>35</v>
      </c>
      <c r="D14" s="25" t="s">
        <v>73</v>
      </c>
      <c r="E14" s="25" t="s">
        <v>74</v>
      </c>
      <c r="F14" s="25" t="s">
        <v>75</v>
      </c>
      <c r="G14" s="25" t="s">
        <v>48</v>
      </c>
      <c r="H14" s="25" t="s">
        <v>24</v>
      </c>
      <c r="I14" s="25" t="s">
        <v>38</v>
      </c>
      <c r="J14" s="25" t="s">
        <v>39</v>
      </c>
      <c r="K14" s="28">
        <v>1</v>
      </c>
      <c r="L14" s="25" t="s">
        <v>40</v>
      </c>
      <c r="M14" s="25">
        <v>2017</v>
      </c>
      <c r="N14" s="25" t="s">
        <v>45</v>
      </c>
      <c r="O14" s="26" t="s">
        <v>22</v>
      </c>
      <c r="P14" s="25" t="s">
        <v>23</v>
      </c>
      <c r="Q14" s="26" t="s">
        <v>23</v>
      </c>
      <c r="R14" s="27">
        <v>50</v>
      </c>
      <c r="S14" s="28">
        <v>0.5</v>
      </c>
      <c r="T14" s="28">
        <v>0.5</v>
      </c>
      <c r="U14" s="28">
        <v>0</v>
      </c>
    </row>
    <row r="15" spans="1:21" x14ac:dyDescent="0.2">
      <c r="A15" s="25" t="s">
        <v>30</v>
      </c>
      <c r="B15" s="25" t="s">
        <v>31</v>
      </c>
      <c r="C15" s="25" t="s">
        <v>35</v>
      </c>
      <c r="D15" s="25" t="s">
        <v>86</v>
      </c>
      <c r="E15" s="25" t="s">
        <v>87</v>
      </c>
      <c r="F15" s="25" t="s">
        <v>88</v>
      </c>
      <c r="G15" s="25" t="s">
        <v>48</v>
      </c>
      <c r="H15" s="25" t="s">
        <v>24</v>
      </c>
      <c r="I15" s="25" t="s">
        <v>38</v>
      </c>
      <c r="J15" s="25" t="s">
        <v>39</v>
      </c>
      <c r="K15" s="28">
        <v>1</v>
      </c>
      <c r="L15" s="25" t="s">
        <v>40</v>
      </c>
      <c r="M15" s="25">
        <v>2017</v>
      </c>
      <c r="N15" s="25" t="s">
        <v>45</v>
      </c>
      <c r="O15" s="26" t="s">
        <v>22</v>
      </c>
      <c r="P15" s="25" t="s">
        <v>23</v>
      </c>
      <c r="Q15" s="26" t="s">
        <v>23</v>
      </c>
      <c r="R15" s="27">
        <v>50</v>
      </c>
      <c r="S15" s="28">
        <v>0.5</v>
      </c>
      <c r="T15" s="28">
        <v>0.5</v>
      </c>
      <c r="U15" s="28">
        <v>0</v>
      </c>
    </row>
    <row r="16" spans="1:21" x14ac:dyDescent="0.2">
      <c r="A16" s="25" t="s">
        <v>41</v>
      </c>
      <c r="B16" s="25" t="s">
        <v>42</v>
      </c>
      <c r="C16" s="25" t="s">
        <v>43</v>
      </c>
      <c r="D16" s="25" t="s">
        <v>83</v>
      </c>
      <c r="E16" s="25" t="s">
        <v>84</v>
      </c>
      <c r="F16" s="25" t="s">
        <v>85</v>
      </c>
      <c r="G16" s="25" t="s">
        <v>48</v>
      </c>
      <c r="H16" s="25" t="s">
        <v>21</v>
      </c>
      <c r="I16" s="25" t="s">
        <v>38</v>
      </c>
      <c r="J16" s="25" t="s">
        <v>39</v>
      </c>
      <c r="K16" s="52">
        <v>0.5</v>
      </c>
      <c r="L16" s="25" t="s">
        <v>40</v>
      </c>
      <c r="M16" s="25">
        <v>2017</v>
      </c>
      <c r="N16" s="25" t="s">
        <v>45</v>
      </c>
      <c r="O16" s="26" t="s">
        <v>22</v>
      </c>
      <c r="P16" s="25" t="s">
        <v>23</v>
      </c>
      <c r="Q16" s="26" t="s">
        <v>23</v>
      </c>
      <c r="R16" s="27">
        <v>50</v>
      </c>
      <c r="S16" s="28">
        <v>0.25</v>
      </c>
      <c r="T16" s="28">
        <v>0.25</v>
      </c>
      <c r="U16" s="28">
        <v>0</v>
      </c>
    </row>
    <row r="17" spans="1:21" x14ac:dyDescent="0.2">
      <c r="A17" s="25" t="s">
        <v>41</v>
      </c>
      <c r="B17" s="25" t="s">
        <v>42</v>
      </c>
      <c r="C17" s="25" t="s">
        <v>43</v>
      </c>
      <c r="D17" s="25" t="s">
        <v>101</v>
      </c>
      <c r="E17" s="25" t="s">
        <v>102</v>
      </c>
      <c r="F17" s="25" t="s">
        <v>103</v>
      </c>
      <c r="G17" s="25" t="s">
        <v>52</v>
      </c>
      <c r="H17" s="25" t="s">
        <v>24</v>
      </c>
      <c r="I17" s="25" t="s">
        <v>38</v>
      </c>
      <c r="J17" s="25" t="s">
        <v>39</v>
      </c>
      <c r="K17" s="52">
        <v>1</v>
      </c>
      <c r="L17" s="25" t="s">
        <v>40</v>
      </c>
      <c r="M17" s="25">
        <v>2018</v>
      </c>
      <c r="N17" s="25" t="s">
        <v>45</v>
      </c>
      <c r="O17" s="26" t="s">
        <v>22</v>
      </c>
      <c r="P17" s="25" t="s">
        <v>23</v>
      </c>
      <c r="Q17" s="26" t="s">
        <v>23</v>
      </c>
      <c r="R17" s="27">
        <v>50</v>
      </c>
      <c r="S17" s="28">
        <v>0.5</v>
      </c>
      <c r="T17" s="28">
        <v>0.5</v>
      </c>
      <c r="U17" s="28">
        <v>0</v>
      </c>
    </row>
    <row r="18" spans="1:21" x14ac:dyDescent="0.2">
      <c r="A18" s="25" t="s">
        <v>41</v>
      </c>
      <c r="B18" s="25" t="s">
        <v>42</v>
      </c>
      <c r="C18" s="25" t="s">
        <v>43</v>
      </c>
      <c r="D18" s="25" t="s">
        <v>111</v>
      </c>
      <c r="E18" s="25" t="s">
        <v>112</v>
      </c>
      <c r="F18" s="25" t="s">
        <v>113</v>
      </c>
      <c r="G18" s="25" t="s">
        <v>48</v>
      </c>
      <c r="H18" s="25" t="s">
        <v>24</v>
      </c>
      <c r="I18" s="25" t="s">
        <v>38</v>
      </c>
      <c r="J18" s="25" t="s">
        <v>39</v>
      </c>
      <c r="K18" s="52">
        <v>1</v>
      </c>
      <c r="L18" s="25" t="s">
        <v>40</v>
      </c>
      <c r="M18" s="25">
        <v>2018</v>
      </c>
      <c r="N18" s="25" t="s">
        <v>45</v>
      </c>
      <c r="O18" s="26" t="s">
        <v>22</v>
      </c>
      <c r="P18" s="25" t="s">
        <v>23</v>
      </c>
      <c r="Q18" s="26" t="s">
        <v>23</v>
      </c>
      <c r="R18" s="27">
        <v>50</v>
      </c>
      <c r="S18" s="28">
        <v>0.5</v>
      </c>
      <c r="T18" s="28">
        <v>0.5</v>
      </c>
      <c r="U18" s="28">
        <v>0</v>
      </c>
    </row>
    <row r="19" spans="1:21" x14ac:dyDescent="0.2">
      <c r="A19" s="25" t="s">
        <v>41</v>
      </c>
      <c r="B19" s="25" t="s">
        <v>42</v>
      </c>
      <c r="C19" s="25" t="s">
        <v>43</v>
      </c>
      <c r="D19" s="25" t="s">
        <v>107</v>
      </c>
      <c r="E19" s="25" t="s">
        <v>108</v>
      </c>
      <c r="F19" s="25" t="s">
        <v>27</v>
      </c>
      <c r="G19" s="25" t="s">
        <v>44</v>
      </c>
      <c r="H19" s="25" t="s">
        <v>21</v>
      </c>
      <c r="I19" s="25" t="s">
        <v>38</v>
      </c>
      <c r="J19" s="25" t="s">
        <v>39</v>
      </c>
      <c r="K19" s="52">
        <v>0.33333333333333331</v>
      </c>
      <c r="L19" s="25" t="s">
        <v>40</v>
      </c>
      <c r="M19" s="25">
        <v>2018</v>
      </c>
      <c r="N19" s="25" t="s">
        <v>45</v>
      </c>
      <c r="O19" s="26" t="s">
        <v>22</v>
      </c>
      <c r="P19" s="25" t="s">
        <v>23</v>
      </c>
      <c r="Q19" s="26" t="s">
        <v>23</v>
      </c>
      <c r="R19" s="27">
        <v>50</v>
      </c>
      <c r="S19" s="28">
        <v>0.16666666666666663</v>
      </c>
      <c r="T19" s="28">
        <v>0.16666666666666663</v>
      </c>
      <c r="U19" s="28">
        <v>0</v>
      </c>
    </row>
    <row r="20" spans="1:21" x14ac:dyDescent="0.2">
      <c r="A20" s="25" t="s">
        <v>41</v>
      </c>
      <c r="B20" s="25" t="s">
        <v>42</v>
      </c>
      <c r="C20" s="25" t="s">
        <v>43</v>
      </c>
      <c r="D20" s="25" t="s">
        <v>104</v>
      </c>
      <c r="E20" s="25" t="s">
        <v>105</v>
      </c>
      <c r="F20" s="25" t="s">
        <v>106</v>
      </c>
      <c r="G20" s="25" t="s">
        <v>64</v>
      </c>
      <c r="H20" s="25" t="s">
        <v>21</v>
      </c>
      <c r="I20" s="25" t="s">
        <v>38</v>
      </c>
      <c r="J20" s="25" t="s">
        <v>39</v>
      </c>
      <c r="K20" s="52">
        <v>0.5</v>
      </c>
      <c r="L20" s="25" t="s">
        <v>40</v>
      </c>
      <c r="M20" s="25">
        <v>2018</v>
      </c>
      <c r="N20" s="25" t="s">
        <v>45</v>
      </c>
      <c r="O20" s="26" t="s">
        <v>22</v>
      </c>
      <c r="P20" s="25" t="s">
        <v>23</v>
      </c>
      <c r="Q20" s="26" t="s">
        <v>23</v>
      </c>
      <c r="R20" s="27">
        <v>50</v>
      </c>
      <c r="S20" s="28">
        <v>0.25</v>
      </c>
      <c r="T20" s="28">
        <v>0.25</v>
      </c>
      <c r="U20" s="28">
        <v>0</v>
      </c>
    </row>
    <row r="21" spans="1:21" x14ac:dyDescent="0.2">
      <c r="A21" s="25" t="s">
        <v>41</v>
      </c>
      <c r="B21" s="25" t="s">
        <v>42</v>
      </c>
      <c r="C21" s="25" t="s">
        <v>43</v>
      </c>
      <c r="D21" s="25" t="s">
        <v>104</v>
      </c>
      <c r="E21" s="25" t="s">
        <v>105</v>
      </c>
      <c r="F21" s="25" t="s">
        <v>106</v>
      </c>
      <c r="G21" s="25" t="s">
        <v>44</v>
      </c>
      <c r="H21" s="25" t="s">
        <v>21</v>
      </c>
      <c r="I21" s="25" t="s">
        <v>38</v>
      </c>
      <c r="J21" s="25" t="s">
        <v>39</v>
      </c>
      <c r="K21" s="52">
        <v>0.5</v>
      </c>
      <c r="L21" s="25" t="s">
        <v>40</v>
      </c>
      <c r="M21" s="25">
        <v>2018</v>
      </c>
      <c r="N21" s="25" t="s">
        <v>45</v>
      </c>
      <c r="O21" s="26" t="s">
        <v>22</v>
      </c>
      <c r="P21" s="25" t="s">
        <v>23</v>
      </c>
      <c r="Q21" s="26" t="s">
        <v>23</v>
      </c>
      <c r="R21" s="27">
        <v>50</v>
      </c>
      <c r="S21" s="28">
        <v>0.25</v>
      </c>
      <c r="T21" s="28">
        <v>0.25</v>
      </c>
      <c r="U21" s="28">
        <v>0</v>
      </c>
    </row>
    <row r="22" spans="1:21" x14ac:dyDescent="0.2">
      <c r="A22" s="25" t="s">
        <v>33</v>
      </c>
      <c r="B22" s="25" t="s">
        <v>34</v>
      </c>
      <c r="C22" s="25" t="s">
        <v>35</v>
      </c>
      <c r="D22" s="25" t="s">
        <v>94</v>
      </c>
      <c r="E22" s="25" t="s">
        <v>95</v>
      </c>
      <c r="F22" s="25" t="s">
        <v>96</v>
      </c>
      <c r="G22" s="25" t="s">
        <v>97</v>
      </c>
      <c r="H22" s="25" t="s">
        <v>21</v>
      </c>
      <c r="I22" s="25" t="s">
        <v>38</v>
      </c>
      <c r="J22" s="25" t="s">
        <v>39</v>
      </c>
      <c r="K22" s="52">
        <v>0.5</v>
      </c>
      <c r="L22" s="25" t="s">
        <v>40</v>
      </c>
      <c r="M22" s="25">
        <v>2018</v>
      </c>
      <c r="N22" s="25" t="s">
        <v>45</v>
      </c>
      <c r="O22" s="26" t="s">
        <v>22</v>
      </c>
      <c r="P22" s="25" t="s">
        <v>23</v>
      </c>
      <c r="Q22" s="26" t="s">
        <v>23</v>
      </c>
      <c r="R22" s="27">
        <v>50</v>
      </c>
      <c r="S22" s="28">
        <v>0.25</v>
      </c>
      <c r="T22" s="28">
        <v>0.25</v>
      </c>
      <c r="U22" s="28">
        <v>0</v>
      </c>
    </row>
    <row r="23" spans="1:21" x14ac:dyDescent="0.2">
      <c r="A23" s="25" t="s">
        <v>33</v>
      </c>
      <c r="B23" s="25" t="s">
        <v>34</v>
      </c>
      <c r="C23" s="25" t="s">
        <v>35</v>
      </c>
      <c r="D23" s="25" t="s">
        <v>94</v>
      </c>
      <c r="E23" s="25" t="s">
        <v>95</v>
      </c>
      <c r="F23" s="25" t="s">
        <v>96</v>
      </c>
      <c r="G23" s="25" t="s">
        <v>48</v>
      </c>
      <c r="H23" s="25" t="s">
        <v>21</v>
      </c>
      <c r="I23" s="25" t="s">
        <v>38</v>
      </c>
      <c r="J23" s="25" t="s">
        <v>39</v>
      </c>
      <c r="K23" s="52">
        <v>0.5</v>
      </c>
      <c r="L23" s="25" t="s">
        <v>40</v>
      </c>
      <c r="M23" s="25">
        <v>2018</v>
      </c>
      <c r="N23" s="25" t="s">
        <v>45</v>
      </c>
      <c r="O23" s="26" t="s">
        <v>22</v>
      </c>
      <c r="P23" s="25" t="s">
        <v>23</v>
      </c>
      <c r="Q23" s="26" t="s">
        <v>23</v>
      </c>
      <c r="R23" s="27">
        <v>50</v>
      </c>
      <c r="S23" s="28">
        <v>0.25</v>
      </c>
      <c r="T23" s="28">
        <v>0.25</v>
      </c>
      <c r="U23" s="28">
        <v>0</v>
      </c>
    </row>
    <row r="24" spans="1:21" x14ac:dyDescent="0.2">
      <c r="A24" s="25" t="s">
        <v>33</v>
      </c>
      <c r="B24" s="25" t="s">
        <v>34</v>
      </c>
      <c r="C24" s="25" t="s">
        <v>35</v>
      </c>
      <c r="D24" s="25" t="s">
        <v>109</v>
      </c>
      <c r="E24" s="25" t="s">
        <v>110</v>
      </c>
      <c r="F24" s="25" t="s">
        <v>25</v>
      </c>
      <c r="G24" s="25" t="s">
        <v>46</v>
      </c>
      <c r="H24" s="25" t="s">
        <v>21</v>
      </c>
      <c r="I24" s="25" t="s">
        <v>38</v>
      </c>
      <c r="J24" s="25" t="s">
        <v>39</v>
      </c>
      <c r="K24" s="52">
        <v>0.5</v>
      </c>
      <c r="L24" s="25" t="s">
        <v>40</v>
      </c>
      <c r="M24" s="25">
        <v>2018</v>
      </c>
      <c r="N24" s="25" t="s">
        <v>32</v>
      </c>
      <c r="O24" s="26" t="s">
        <v>22</v>
      </c>
      <c r="P24" s="25" t="s">
        <v>23</v>
      </c>
      <c r="Q24" s="26" t="s">
        <v>23</v>
      </c>
      <c r="R24" s="27">
        <v>50</v>
      </c>
      <c r="S24" s="28">
        <v>0.25</v>
      </c>
      <c r="T24" s="28">
        <v>0.25</v>
      </c>
      <c r="U24" s="28">
        <v>0</v>
      </c>
    </row>
    <row r="25" spans="1:21" x14ac:dyDescent="0.2">
      <c r="A25" s="25" t="s">
        <v>33</v>
      </c>
      <c r="B25" s="25" t="s">
        <v>34</v>
      </c>
      <c r="C25" s="25" t="s">
        <v>35</v>
      </c>
      <c r="D25" s="25" t="s">
        <v>98</v>
      </c>
      <c r="E25" s="25" t="s">
        <v>99</v>
      </c>
      <c r="F25" s="25" t="s">
        <v>100</v>
      </c>
      <c r="G25" s="25" t="s">
        <v>46</v>
      </c>
      <c r="H25" s="25" t="s">
        <v>21</v>
      </c>
      <c r="I25" s="25" t="s">
        <v>38</v>
      </c>
      <c r="J25" s="25" t="s">
        <v>39</v>
      </c>
      <c r="K25" s="52">
        <v>0.5</v>
      </c>
      <c r="L25" s="25" t="s">
        <v>40</v>
      </c>
      <c r="M25" s="25">
        <v>2018</v>
      </c>
      <c r="N25" s="25" t="s">
        <v>32</v>
      </c>
      <c r="O25" s="26" t="s">
        <v>22</v>
      </c>
      <c r="P25" s="25" t="s">
        <v>23</v>
      </c>
      <c r="Q25" s="26" t="s">
        <v>23</v>
      </c>
      <c r="R25" s="27">
        <v>50</v>
      </c>
      <c r="S25" s="28">
        <v>0.25</v>
      </c>
      <c r="T25" s="28">
        <v>0.25</v>
      </c>
      <c r="U25" s="28">
        <v>0</v>
      </c>
    </row>
    <row r="26" spans="1:21" x14ac:dyDescent="0.2">
      <c r="A26" s="25" t="s">
        <v>33</v>
      </c>
      <c r="B26" s="25" t="s">
        <v>34</v>
      </c>
      <c r="C26" s="25" t="s">
        <v>35</v>
      </c>
      <c r="D26" s="25" t="s">
        <v>91</v>
      </c>
      <c r="E26" s="25" t="s">
        <v>92</v>
      </c>
      <c r="F26" s="25" t="s">
        <v>93</v>
      </c>
      <c r="G26" s="25" t="s">
        <v>47</v>
      </c>
      <c r="H26" s="25" t="s">
        <v>21</v>
      </c>
      <c r="I26" s="25" t="s">
        <v>38</v>
      </c>
      <c r="J26" s="25" t="s">
        <v>39</v>
      </c>
      <c r="K26" s="52">
        <v>0.5</v>
      </c>
      <c r="L26" s="25" t="s">
        <v>40</v>
      </c>
      <c r="M26" s="25">
        <v>2018</v>
      </c>
      <c r="N26" s="25" t="s">
        <v>45</v>
      </c>
      <c r="O26" s="26" t="s">
        <v>22</v>
      </c>
      <c r="P26" s="25" t="s">
        <v>23</v>
      </c>
      <c r="Q26" s="26" t="s">
        <v>23</v>
      </c>
      <c r="R26" s="27">
        <v>50</v>
      </c>
      <c r="S26" s="28">
        <v>0.25</v>
      </c>
      <c r="T26" s="28">
        <v>0.25</v>
      </c>
      <c r="U26" s="28">
        <v>0</v>
      </c>
    </row>
    <row r="27" spans="1:21" x14ac:dyDescent="0.2">
      <c r="A27" s="25" t="s">
        <v>33</v>
      </c>
      <c r="B27" s="25" t="s">
        <v>34</v>
      </c>
      <c r="C27" s="25" t="s">
        <v>35</v>
      </c>
      <c r="D27" s="25" t="s">
        <v>91</v>
      </c>
      <c r="E27" s="25" t="s">
        <v>92</v>
      </c>
      <c r="F27" s="25" t="s">
        <v>93</v>
      </c>
      <c r="G27" s="25" t="s">
        <v>48</v>
      </c>
      <c r="H27" s="25" t="s">
        <v>21</v>
      </c>
      <c r="I27" s="25" t="s">
        <v>38</v>
      </c>
      <c r="J27" s="25" t="s">
        <v>39</v>
      </c>
      <c r="K27" s="52">
        <v>0.5</v>
      </c>
      <c r="L27" s="25" t="s">
        <v>40</v>
      </c>
      <c r="M27" s="25">
        <v>2018</v>
      </c>
      <c r="N27" s="25" t="s">
        <v>45</v>
      </c>
      <c r="O27" s="26" t="s">
        <v>22</v>
      </c>
      <c r="P27" s="25" t="s">
        <v>23</v>
      </c>
      <c r="Q27" s="26" t="s">
        <v>23</v>
      </c>
      <c r="R27" s="27">
        <v>50</v>
      </c>
      <c r="S27" s="28">
        <v>0.25</v>
      </c>
      <c r="T27" s="28">
        <v>0.25</v>
      </c>
      <c r="U27" s="28">
        <v>0</v>
      </c>
    </row>
    <row r="28" spans="1:21" x14ac:dyDescent="0.2">
      <c r="A28" s="25" t="s">
        <v>33</v>
      </c>
      <c r="B28" s="25" t="s">
        <v>34</v>
      </c>
      <c r="C28" s="25" t="s">
        <v>35</v>
      </c>
      <c r="D28" s="25" t="s">
        <v>155</v>
      </c>
      <c r="E28" s="25" t="s">
        <v>156</v>
      </c>
      <c r="F28" s="25" t="s">
        <v>157</v>
      </c>
      <c r="G28" s="25" t="s">
        <v>37</v>
      </c>
      <c r="H28" s="25" t="s">
        <v>21</v>
      </c>
      <c r="I28" s="25" t="s">
        <v>38</v>
      </c>
      <c r="J28" s="25" t="s">
        <v>39</v>
      </c>
      <c r="K28" s="52">
        <v>0.5</v>
      </c>
      <c r="L28" s="25" t="s">
        <v>40</v>
      </c>
      <c r="M28" s="25">
        <v>2018</v>
      </c>
      <c r="N28" s="25" t="s">
        <v>32</v>
      </c>
      <c r="O28" s="26" t="s">
        <v>22</v>
      </c>
      <c r="P28" s="25" t="s">
        <v>23</v>
      </c>
      <c r="Q28" s="26" t="s">
        <v>23</v>
      </c>
      <c r="R28" s="27">
        <v>50</v>
      </c>
      <c r="S28" s="28">
        <v>0.25</v>
      </c>
      <c r="T28" s="28">
        <v>0.25</v>
      </c>
      <c r="U28" s="28">
        <v>0</v>
      </c>
    </row>
    <row r="29" spans="1:21" x14ac:dyDescent="0.2">
      <c r="A29" s="29" t="s">
        <v>41</v>
      </c>
      <c r="B29" s="29" t="s">
        <v>42</v>
      </c>
      <c r="C29" s="29" t="s">
        <v>43</v>
      </c>
      <c r="D29" s="29" t="s">
        <v>169</v>
      </c>
      <c r="E29" s="29" t="s">
        <v>168</v>
      </c>
      <c r="F29" s="29" t="s">
        <v>167</v>
      </c>
      <c r="G29" s="29" t="s">
        <v>50</v>
      </c>
      <c r="H29" s="29" t="s">
        <v>21</v>
      </c>
      <c r="I29" s="29" t="s">
        <v>38</v>
      </c>
      <c r="J29" s="29" t="s">
        <v>39</v>
      </c>
      <c r="K29" s="53">
        <v>0.5</v>
      </c>
      <c r="L29" s="29" t="s">
        <v>40</v>
      </c>
      <c r="M29" s="29">
        <v>2019</v>
      </c>
      <c r="N29" s="29" t="s">
        <v>45</v>
      </c>
      <c r="O29" s="30" t="s">
        <v>22</v>
      </c>
      <c r="P29" s="29" t="s">
        <v>23</v>
      </c>
      <c r="Q29" s="30" t="s">
        <v>23</v>
      </c>
      <c r="R29" s="31">
        <v>50</v>
      </c>
      <c r="S29" s="32">
        <v>0.25</v>
      </c>
      <c r="T29" s="32">
        <v>0.25</v>
      </c>
      <c r="U29" s="32">
        <v>0</v>
      </c>
    </row>
    <row r="30" spans="1:21" x14ac:dyDescent="0.2">
      <c r="A30" s="29" t="s">
        <v>41</v>
      </c>
      <c r="B30" s="29" t="s">
        <v>42</v>
      </c>
      <c r="C30" s="29" t="s">
        <v>43</v>
      </c>
      <c r="D30" s="29" t="s">
        <v>181</v>
      </c>
      <c r="E30" s="29" t="s">
        <v>180</v>
      </c>
      <c r="F30" s="29" t="s">
        <v>179</v>
      </c>
      <c r="G30" s="29" t="s">
        <v>51</v>
      </c>
      <c r="H30" s="29" t="s">
        <v>24</v>
      </c>
      <c r="I30" s="29" t="s">
        <v>38</v>
      </c>
      <c r="J30" s="29" t="s">
        <v>39</v>
      </c>
      <c r="K30" s="53">
        <v>1</v>
      </c>
      <c r="L30" s="29" t="s">
        <v>40</v>
      </c>
      <c r="M30" s="29">
        <v>2019</v>
      </c>
      <c r="N30" s="29" t="s">
        <v>45</v>
      </c>
      <c r="O30" s="30" t="s">
        <v>22</v>
      </c>
      <c r="P30" s="29" t="s">
        <v>23</v>
      </c>
      <c r="Q30" s="30" t="s">
        <v>23</v>
      </c>
      <c r="R30" s="31">
        <v>50</v>
      </c>
      <c r="S30" s="32">
        <v>0.5</v>
      </c>
      <c r="T30" s="32">
        <v>0.5</v>
      </c>
      <c r="U30" s="32">
        <v>0</v>
      </c>
    </row>
    <row r="31" spans="1:21" x14ac:dyDescent="0.2">
      <c r="A31" s="29" t="s">
        <v>41</v>
      </c>
      <c r="B31" s="29" t="s">
        <v>42</v>
      </c>
      <c r="C31" s="29" t="s">
        <v>43</v>
      </c>
      <c r="D31" s="29" t="s">
        <v>178</v>
      </c>
      <c r="E31" s="29" t="s">
        <v>177</v>
      </c>
      <c r="F31" s="29" t="s">
        <v>176</v>
      </c>
      <c r="G31" s="29" t="s">
        <v>44</v>
      </c>
      <c r="H31" s="29" t="s">
        <v>21</v>
      </c>
      <c r="I31" s="29" t="s">
        <v>38</v>
      </c>
      <c r="J31" s="29" t="s">
        <v>39</v>
      </c>
      <c r="K31" s="53">
        <v>0.5</v>
      </c>
      <c r="L31" s="29" t="s">
        <v>40</v>
      </c>
      <c r="M31" s="29">
        <v>2019</v>
      </c>
      <c r="N31" s="29" t="s">
        <v>45</v>
      </c>
      <c r="O31" s="30" t="s">
        <v>22</v>
      </c>
      <c r="P31" s="29" t="s">
        <v>23</v>
      </c>
      <c r="Q31" s="30" t="s">
        <v>23</v>
      </c>
      <c r="R31" s="31">
        <v>50</v>
      </c>
      <c r="S31" s="32">
        <v>0.25</v>
      </c>
      <c r="T31" s="32">
        <v>0.25</v>
      </c>
      <c r="U31" s="32">
        <v>0</v>
      </c>
    </row>
    <row r="32" spans="1:21" x14ac:dyDescent="0.2">
      <c r="A32" s="29" t="s">
        <v>41</v>
      </c>
      <c r="B32" s="29" t="s">
        <v>42</v>
      </c>
      <c r="C32" s="29" t="s">
        <v>43</v>
      </c>
      <c r="D32" s="29" t="s">
        <v>178</v>
      </c>
      <c r="E32" s="29" t="s">
        <v>177</v>
      </c>
      <c r="F32" s="29" t="s">
        <v>176</v>
      </c>
      <c r="G32" s="29" t="s">
        <v>51</v>
      </c>
      <c r="H32" s="29" t="s">
        <v>21</v>
      </c>
      <c r="I32" s="29" t="s">
        <v>38</v>
      </c>
      <c r="J32" s="29" t="s">
        <v>39</v>
      </c>
      <c r="K32" s="53">
        <v>0.5</v>
      </c>
      <c r="L32" s="29" t="s">
        <v>40</v>
      </c>
      <c r="M32" s="29">
        <v>2019</v>
      </c>
      <c r="N32" s="29" t="s">
        <v>45</v>
      </c>
      <c r="O32" s="30" t="s">
        <v>22</v>
      </c>
      <c r="P32" s="29" t="s">
        <v>23</v>
      </c>
      <c r="Q32" s="30" t="s">
        <v>23</v>
      </c>
      <c r="R32" s="31">
        <v>50</v>
      </c>
      <c r="S32" s="32">
        <v>0.25</v>
      </c>
      <c r="T32" s="32">
        <v>0.25</v>
      </c>
      <c r="U32" s="32">
        <v>0</v>
      </c>
    </row>
    <row r="33" spans="1:21" x14ac:dyDescent="0.2">
      <c r="A33" s="29" t="s">
        <v>33</v>
      </c>
      <c r="B33" s="29" t="s">
        <v>34</v>
      </c>
      <c r="C33" s="29" t="s">
        <v>35</v>
      </c>
      <c r="D33" s="29" t="s">
        <v>172</v>
      </c>
      <c r="E33" s="29" t="s">
        <v>171</v>
      </c>
      <c r="F33" s="29" t="s">
        <v>170</v>
      </c>
      <c r="G33" s="29" t="s">
        <v>46</v>
      </c>
      <c r="H33" s="29" t="s">
        <v>21</v>
      </c>
      <c r="I33" s="29" t="s">
        <v>38</v>
      </c>
      <c r="J33" s="29" t="s">
        <v>39</v>
      </c>
      <c r="K33" s="53">
        <v>0.5</v>
      </c>
      <c r="L33" s="29" t="s">
        <v>40</v>
      </c>
      <c r="M33" s="29">
        <v>2019</v>
      </c>
      <c r="N33" s="29" t="s">
        <v>32</v>
      </c>
      <c r="O33" s="30" t="s">
        <v>22</v>
      </c>
      <c r="P33" s="29" t="s">
        <v>23</v>
      </c>
      <c r="Q33" s="30" t="s">
        <v>23</v>
      </c>
      <c r="R33" s="31">
        <v>50</v>
      </c>
      <c r="S33" s="32">
        <v>0.25</v>
      </c>
      <c r="T33" s="32">
        <v>0.25</v>
      </c>
      <c r="U33" s="32">
        <v>0</v>
      </c>
    </row>
    <row r="34" spans="1:21" x14ac:dyDescent="0.2">
      <c r="A34" s="29" t="s">
        <v>33</v>
      </c>
      <c r="B34" s="29" t="s">
        <v>34</v>
      </c>
      <c r="C34" s="29" t="s">
        <v>35</v>
      </c>
      <c r="D34" s="29" t="s">
        <v>175</v>
      </c>
      <c r="E34" s="29" t="s">
        <v>174</v>
      </c>
      <c r="F34" s="29" t="s">
        <v>173</v>
      </c>
      <c r="G34" s="29" t="s">
        <v>46</v>
      </c>
      <c r="H34" s="29" t="s">
        <v>21</v>
      </c>
      <c r="I34" s="29" t="s">
        <v>38</v>
      </c>
      <c r="J34" s="29" t="s">
        <v>39</v>
      </c>
      <c r="K34" s="53">
        <v>0.5</v>
      </c>
      <c r="L34" s="29" t="s">
        <v>40</v>
      </c>
      <c r="M34" s="29">
        <v>2019</v>
      </c>
      <c r="N34" s="29" t="s">
        <v>32</v>
      </c>
      <c r="O34" s="30" t="s">
        <v>22</v>
      </c>
      <c r="P34" s="29" t="s">
        <v>23</v>
      </c>
      <c r="Q34" s="30" t="s">
        <v>23</v>
      </c>
      <c r="R34" s="31">
        <v>50</v>
      </c>
      <c r="S34" s="32">
        <v>0.25</v>
      </c>
      <c r="T34" s="32">
        <v>0.25</v>
      </c>
      <c r="U34" s="32">
        <v>0</v>
      </c>
    </row>
    <row r="35" spans="1:21" ht="10.8" thickBot="1" x14ac:dyDescent="0.25">
      <c r="A35" s="25" t="s">
        <v>33</v>
      </c>
      <c r="B35" s="25" t="s">
        <v>34</v>
      </c>
      <c r="C35" s="25" t="s">
        <v>35</v>
      </c>
      <c r="D35" s="25" t="s">
        <v>189</v>
      </c>
      <c r="E35" s="25" t="s">
        <v>190</v>
      </c>
      <c r="F35" s="25" t="s">
        <v>191</v>
      </c>
      <c r="G35" s="25" t="s">
        <v>48</v>
      </c>
      <c r="H35" s="25" t="s">
        <v>24</v>
      </c>
      <c r="I35" s="25" t="s">
        <v>38</v>
      </c>
      <c r="J35" s="25" t="s">
        <v>39</v>
      </c>
      <c r="K35" s="37">
        <v>1</v>
      </c>
      <c r="L35" s="37" t="s">
        <v>40</v>
      </c>
      <c r="M35" s="54">
        <v>2019</v>
      </c>
      <c r="N35" s="25" t="s">
        <v>45</v>
      </c>
      <c r="O35" s="26" t="s">
        <v>22</v>
      </c>
      <c r="P35" s="25" t="s">
        <v>23</v>
      </c>
      <c r="Q35" s="26" t="s">
        <v>23</v>
      </c>
      <c r="R35" s="25">
        <v>50</v>
      </c>
      <c r="S35" s="25">
        <v>0.5</v>
      </c>
      <c r="T35" s="25">
        <v>0.5</v>
      </c>
      <c r="U35" s="25">
        <v>0</v>
      </c>
    </row>
    <row r="36" spans="1:21" ht="10.8" thickBot="1" x14ac:dyDescent="0.25">
      <c r="A36" s="33" t="s">
        <v>41</v>
      </c>
      <c r="B36" s="33" t="s">
        <v>42</v>
      </c>
      <c r="C36" s="33" t="s">
        <v>43</v>
      </c>
      <c r="D36" s="33" t="s">
        <v>192</v>
      </c>
      <c r="E36" s="33" t="s">
        <v>193</v>
      </c>
      <c r="F36" s="33" t="s">
        <v>194</v>
      </c>
      <c r="G36" s="34" t="s">
        <v>64</v>
      </c>
      <c r="H36" s="35" t="s">
        <v>21</v>
      </c>
      <c r="I36" s="35" t="s">
        <v>38</v>
      </c>
      <c r="J36" s="36" t="s">
        <v>39</v>
      </c>
      <c r="K36" s="37">
        <v>0.5</v>
      </c>
      <c r="L36" s="37" t="s">
        <v>40</v>
      </c>
      <c r="M36" s="25">
        <v>2020</v>
      </c>
      <c r="N36" s="25" t="s">
        <v>45</v>
      </c>
      <c r="O36" s="26" t="s">
        <v>22</v>
      </c>
      <c r="P36" s="25" t="s">
        <v>23</v>
      </c>
      <c r="Q36" s="26" t="s">
        <v>23</v>
      </c>
      <c r="R36" s="25">
        <v>50</v>
      </c>
      <c r="S36" s="25">
        <v>0.25</v>
      </c>
      <c r="T36" s="25">
        <v>0.25</v>
      </c>
      <c r="U36" s="25">
        <v>0</v>
      </c>
    </row>
    <row r="37" spans="1:21" ht="10.8" thickBot="1" x14ac:dyDescent="0.25">
      <c r="A37" s="33" t="s">
        <v>41</v>
      </c>
      <c r="B37" s="33" t="s">
        <v>42</v>
      </c>
      <c r="C37" s="33" t="s">
        <v>43</v>
      </c>
      <c r="D37" s="33" t="s">
        <v>192</v>
      </c>
      <c r="E37" s="33" t="s">
        <v>193</v>
      </c>
      <c r="F37" s="33" t="s">
        <v>194</v>
      </c>
      <c r="G37" s="34" t="s">
        <v>44</v>
      </c>
      <c r="H37" s="35" t="s">
        <v>21</v>
      </c>
      <c r="I37" s="35" t="s">
        <v>38</v>
      </c>
      <c r="J37" s="36" t="s">
        <v>39</v>
      </c>
      <c r="K37" s="37">
        <v>0.5</v>
      </c>
      <c r="L37" s="37" t="s">
        <v>40</v>
      </c>
      <c r="M37" s="25">
        <v>2020</v>
      </c>
      <c r="N37" s="25" t="s">
        <v>23</v>
      </c>
      <c r="O37" s="26" t="s">
        <v>23</v>
      </c>
      <c r="P37" s="25" t="s">
        <v>23</v>
      </c>
      <c r="Q37" s="26" t="s">
        <v>23</v>
      </c>
      <c r="R37" s="25">
        <v>100</v>
      </c>
      <c r="S37" s="25">
        <v>0.5</v>
      </c>
      <c r="T37" s="25">
        <v>0</v>
      </c>
      <c r="U37" s="25">
        <v>0</v>
      </c>
    </row>
    <row r="38" spans="1:21" ht="10.8" thickBot="1" x14ac:dyDescent="0.25">
      <c r="A38" s="33" t="s">
        <v>33</v>
      </c>
      <c r="B38" s="33" t="s">
        <v>34</v>
      </c>
      <c r="C38" s="33" t="s">
        <v>35</v>
      </c>
      <c r="D38" s="33" t="s">
        <v>195</v>
      </c>
      <c r="E38" s="33" t="s">
        <v>196</v>
      </c>
      <c r="F38" s="33" t="s">
        <v>197</v>
      </c>
      <c r="G38" s="34" t="s">
        <v>46</v>
      </c>
      <c r="H38" s="35" t="s">
        <v>21</v>
      </c>
      <c r="I38" s="35" t="s">
        <v>38</v>
      </c>
      <c r="J38" s="36" t="s">
        <v>39</v>
      </c>
      <c r="K38" s="37">
        <v>0.5</v>
      </c>
      <c r="L38" s="37" t="s">
        <v>40</v>
      </c>
      <c r="M38" s="25">
        <v>2020</v>
      </c>
      <c r="N38" s="25" t="s">
        <v>32</v>
      </c>
      <c r="O38" s="26" t="s">
        <v>22</v>
      </c>
      <c r="P38" s="25" t="s">
        <v>23</v>
      </c>
      <c r="Q38" s="26" t="s">
        <v>23</v>
      </c>
      <c r="R38" s="25">
        <v>50</v>
      </c>
      <c r="S38" s="25">
        <v>0.25</v>
      </c>
      <c r="T38" s="25">
        <v>0.25</v>
      </c>
      <c r="U38" s="25">
        <v>0</v>
      </c>
    </row>
    <row r="39" spans="1:21" ht="10.8" thickBot="1" x14ac:dyDescent="0.25">
      <c r="A39" s="33" t="s">
        <v>33</v>
      </c>
      <c r="B39" s="33" t="s">
        <v>34</v>
      </c>
      <c r="C39" s="33" t="s">
        <v>35</v>
      </c>
      <c r="D39" s="33" t="s">
        <v>198</v>
      </c>
      <c r="E39" s="33" t="s">
        <v>199</v>
      </c>
      <c r="F39" s="33" t="s">
        <v>200</v>
      </c>
      <c r="G39" s="34" t="s">
        <v>201</v>
      </c>
      <c r="H39" s="35" t="s">
        <v>21</v>
      </c>
      <c r="I39" s="35" t="s">
        <v>38</v>
      </c>
      <c r="J39" s="36" t="s">
        <v>39</v>
      </c>
      <c r="K39" s="37">
        <v>0.5</v>
      </c>
      <c r="L39" s="37" t="s">
        <v>40</v>
      </c>
      <c r="M39" s="25">
        <v>2020</v>
      </c>
      <c r="N39" s="25" t="s">
        <v>32</v>
      </c>
      <c r="O39" s="26" t="s">
        <v>22</v>
      </c>
      <c r="P39" s="25" t="s">
        <v>23</v>
      </c>
      <c r="Q39" s="26" t="s">
        <v>23</v>
      </c>
      <c r="R39" s="25">
        <v>50</v>
      </c>
      <c r="S39" s="25">
        <v>0.25</v>
      </c>
      <c r="T39" s="25">
        <v>0.25</v>
      </c>
      <c r="U39" s="25">
        <v>0</v>
      </c>
    </row>
    <row r="40" spans="1:21" ht="10.8" thickBot="1" x14ac:dyDescent="0.25">
      <c r="A40" s="33" t="s">
        <v>33</v>
      </c>
      <c r="B40" s="33" t="s">
        <v>34</v>
      </c>
      <c r="C40" s="33" t="s">
        <v>35</v>
      </c>
      <c r="D40" s="33" t="s">
        <v>202</v>
      </c>
      <c r="E40" s="33" t="s">
        <v>203</v>
      </c>
      <c r="F40" s="33" t="s">
        <v>204</v>
      </c>
      <c r="G40" s="34" t="s">
        <v>46</v>
      </c>
      <c r="H40" s="35" t="s">
        <v>21</v>
      </c>
      <c r="I40" s="35" t="s">
        <v>38</v>
      </c>
      <c r="J40" s="36" t="s">
        <v>39</v>
      </c>
      <c r="K40" s="37">
        <v>0.5</v>
      </c>
      <c r="L40" s="37" t="s">
        <v>40</v>
      </c>
      <c r="M40" s="25">
        <v>2020</v>
      </c>
      <c r="N40" s="25" t="s">
        <v>32</v>
      </c>
      <c r="O40" s="26" t="s">
        <v>22</v>
      </c>
      <c r="P40" s="25" t="s">
        <v>23</v>
      </c>
      <c r="Q40" s="26" t="s">
        <v>23</v>
      </c>
      <c r="R40" s="25">
        <v>50</v>
      </c>
      <c r="S40" s="25">
        <v>0.25</v>
      </c>
      <c r="T40" s="25">
        <v>0.25</v>
      </c>
      <c r="U40" s="25">
        <v>0</v>
      </c>
    </row>
    <row r="41" spans="1:21" ht="10.8" thickBot="1" x14ac:dyDescent="0.25">
      <c r="A41" s="33" t="s">
        <v>33</v>
      </c>
      <c r="B41" s="33" t="s">
        <v>34</v>
      </c>
      <c r="C41" s="33" t="s">
        <v>35</v>
      </c>
      <c r="D41" s="33" t="s">
        <v>205</v>
      </c>
      <c r="E41" s="33" t="s">
        <v>206</v>
      </c>
      <c r="F41" s="33" t="s">
        <v>207</v>
      </c>
      <c r="G41" s="34" t="s">
        <v>46</v>
      </c>
      <c r="H41" s="35" t="s">
        <v>21</v>
      </c>
      <c r="I41" s="35" t="s">
        <v>38</v>
      </c>
      <c r="J41" s="36" t="s">
        <v>39</v>
      </c>
      <c r="K41" s="37">
        <v>0.5</v>
      </c>
      <c r="L41" s="37" t="s">
        <v>40</v>
      </c>
      <c r="M41" s="25">
        <v>2020</v>
      </c>
      <c r="N41" s="25" t="s">
        <v>32</v>
      </c>
      <c r="O41" s="26" t="s">
        <v>22</v>
      </c>
      <c r="P41" s="25" t="s">
        <v>23</v>
      </c>
      <c r="Q41" s="26" t="s">
        <v>23</v>
      </c>
      <c r="R41" s="25">
        <v>50</v>
      </c>
      <c r="S41" s="25">
        <v>0.25</v>
      </c>
      <c r="T41" s="25">
        <v>0.25</v>
      </c>
      <c r="U41" s="25">
        <v>0</v>
      </c>
    </row>
    <row r="42" spans="1:21" ht="10.8" thickBot="1" x14ac:dyDescent="0.25">
      <c r="A42" s="33" t="s">
        <v>33</v>
      </c>
      <c r="B42" s="33" t="s">
        <v>34</v>
      </c>
      <c r="C42" s="33" t="s">
        <v>35</v>
      </c>
      <c r="D42" s="33" t="s">
        <v>208</v>
      </c>
      <c r="E42" s="33" t="s">
        <v>209</v>
      </c>
      <c r="F42" s="33" t="s">
        <v>210</v>
      </c>
      <c r="G42" s="34" t="s">
        <v>46</v>
      </c>
      <c r="H42" s="35" t="s">
        <v>21</v>
      </c>
      <c r="I42" s="35" t="s">
        <v>38</v>
      </c>
      <c r="J42" s="36" t="s">
        <v>39</v>
      </c>
      <c r="K42" s="37">
        <v>0.5</v>
      </c>
      <c r="L42" s="37" t="s">
        <v>40</v>
      </c>
      <c r="M42" s="25">
        <v>2020</v>
      </c>
      <c r="N42" s="25" t="s">
        <v>32</v>
      </c>
      <c r="O42" s="26" t="s">
        <v>22</v>
      </c>
      <c r="P42" s="25" t="s">
        <v>23</v>
      </c>
      <c r="Q42" s="26" t="s">
        <v>23</v>
      </c>
      <c r="R42" s="25">
        <v>50</v>
      </c>
      <c r="S42" s="25">
        <v>0.25</v>
      </c>
      <c r="T42" s="25">
        <v>0.25</v>
      </c>
      <c r="U42" s="25">
        <v>0</v>
      </c>
    </row>
    <row r="43" spans="1:21" x14ac:dyDescent="0.2">
      <c r="A43" s="25" t="s">
        <v>33</v>
      </c>
      <c r="B43" s="25" t="s">
        <v>34</v>
      </c>
      <c r="C43" s="25" t="s">
        <v>35</v>
      </c>
      <c r="D43" s="25" t="s">
        <v>222</v>
      </c>
      <c r="E43" s="25" t="s">
        <v>223</v>
      </c>
      <c r="F43" s="25" t="s">
        <v>224</v>
      </c>
      <c r="G43" s="25" t="s">
        <v>46</v>
      </c>
      <c r="H43" s="25" t="s">
        <v>21</v>
      </c>
      <c r="I43" s="25" t="s">
        <v>38</v>
      </c>
      <c r="J43" s="25" t="s">
        <v>39</v>
      </c>
      <c r="K43" s="37">
        <v>0.5</v>
      </c>
      <c r="L43" s="37" t="s">
        <v>40</v>
      </c>
      <c r="M43" s="25">
        <v>2021</v>
      </c>
      <c r="N43" s="25" t="s">
        <v>32</v>
      </c>
      <c r="O43" s="26" t="s">
        <v>22</v>
      </c>
      <c r="P43" s="25" t="s">
        <v>23</v>
      </c>
      <c r="Q43" s="26" t="s">
        <v>23</v>
      </c>
      <c r="R43" s="25">
        <v>50</v>
      </c>
      <c r="S43" s="25">
        <v>0.25</v>
      </c>
      <c r="T43" s="25">
        <v>0.25</v>
      </c>
      <c r="U43" s="25">
        <v>0</v>
      </c>
    </row>
    <row r="44" spans="1:21" x14ac:dyDescent="0.2">
      <c r="A44" s="25" t="s">
        <v>33</v>
      </c>
      <c r="B44" s="25" t="s">
        <v>34</v>
      </c>
      <c r="C44" s="25" t="s">
        <v>35</v>
      </c>
      <c r="D44" s="25" t="s">
        <v>225</v>
      </c>
      <c r="E44" s="25" t="s">
        <v>226</v>
      </c>
      <c r="F44" s="25" t="s">
        <v>227</v>
      </c>
      <c r="G44" s="25" t="s">
        <v>48</v>
      </c>
      <c r="H44" s="25" t="s">
        <v>24</v>
      </c>
      <c r="I44" s="25" t="s">
        <v>38</v>
      </c>
      <c r="J44" s="25" t="s">
        <v>39</v>
      </c>
      <c r="K44" s="37">
        <v>1</v>
      </c>
      <c r="L44" s="37" t="s">
        <v>40</v>
      </c>
      <c r="M44" s="25">
        <v>2021</v>
      </c>
      <c r="N44" s="25" t="s">
        <v>45</v>
      </c>
      <c r="O44" s="26" t="s">
        <v>22</v>
      </c>
      <c r="P44" s="25" t="s">
        <v>23</v>
      </c>
      <c r="Q44" s="26" t="s">
        <v>23</v>
      </c>
      <c r="R44" s="25">
        <v>50</v>
      </c>
      <c r="S44" s="25">
        <v>0.5</v>
      </c>
      <c r="T44" s="25">
        <v>0.5</v>
      </c>
      <c r="U44" s="25">
        <v>0</v>
      </c>
    </row>
    <row r="45" spans="1:21" x14ac:dyDescent="0.2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60"/>
      <c r="P45" s="59"/>
      <c r="Q45" s="60"/>
      <c r="R45" s="59"/>
      <c r="S45" s="63">
        <f>SUM(S2:S44)</f>
        <v>12.916666666666668</v>
      </c>
      <c r="T45" s="59"/>
      <c r="U45" s="59"/>
    </row>
  </sheetData>
  <autoFilter ref="A1:U1" xr:uid="{00000000-0009-0000-0000-000000000000}">
    <sortState xmlns:xlrd2="http://schemas.microsoft.com/office/spreadsheetml/2017/richdata2" ref="A2:S1856">
      <sortCondition ref="K2:K1856"/>
      <sortCondition ref="D2:D1856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8"/>
  <sheetViews>
    <sheetView zoomScaleNormal="100" workbookViewId="0">
      <selection activeCell="S18" sqref="A18:S18"/>
    </sheetView>
  </sheetViews>
  <sheetFormatPr baseColWidth="10" defaultColWidth="11.44140625" defaultRowHeight="13.2" x14ac:dyDescent="0.25"/>
  <cols>
    <col min="1" max="1" width="10.88671875" style="11" bestFit="1" customWidth="1"/>
    <col min="2" max="2" width="33.109375" style="11" bestFit="1" customWidth="1"/>
    <col min="3" max="3" width="14.5546875" style="11" bestFit="1" customWidth="1"/>
    <col min="4" max="9" width="3.33203125" style="11" bestFit="1" customWidth="1"/>
    <col min="10" max="10" width="13.109375" style="11" bestFit="1" customWidth="1"/>
    <col min="11" max="11" width="5.33203125" style="11" bestFit="1" customWidth="1"/>
    <col min="12" max="13" width="5.6640625" style="11" bestFit="1" customWidth="1"/>
    <col min="14" max="14" width="5.6640625" style="12" bestFit="1" customWidth="1"/>
    <col min="15" max="15" width="5.6640625" style="11" bestFit="1" customWidth="1"/>
    <col min="16" max="16" width="5.6640625" style="12" bestFit="1" customWidth="1"/>
    <col min="17" max="19" width="5.6640625" style="11" bestFit="1" customWidth="1"/>
    <col min="20" max="16384" width="11.44140625" style="11"/>
  </cols>
  <sheetData>
    <row r="1" spans="1:19" s="10" customFormat="1" ht="60" customHeight="1" x14ac:dyDescent="0.25">
      <c r="A1" s="20" t="s">
        <v>114</v>
      </c>
      <c r="B1" s="20" t="s">
        <v>115</v>
      </c>
      <c r="C1" s="20" t="s">
        <v>116</v>
      </c>
      <c r="D1" s="21">
        <v>2017</v>
      </c>
      <c r="E1" s="21">
        <v>2018</v>
      </c>
      <c r="F1" s="21">
        <v>2019</v>
      </c>
      <c r="G1" s="21">
        <v>2020</v>
      </c>
      <c r="H1" s="21">
        <v>2021</v>
      </c>
      <c r="I1" s="21">
        <v>2022</v>
      </c>
      <c r="J1" s="20" t="s">
        <v>117</v>
      </c>
      <c r="K1" s="22" t="s">
        <v>182</v>
      </c>
      <c r="L1" s="8" t="s">
        <v>118</v>
      </c>
      <c r="M1" s="8" t="s">
        <v>119</v>
      </c>
      <c r="N1" s="8" t="s">
        <v>120</v>
      </c>
      <c r="O1" s="8" t="s">
        <v>121</v>
      </c>
      <c r="P1" s="9" t="s">
        <v>122</v>
      </c>
      <c r="Q1" s="9" t="s">
        <v>123</v>
      </c>
      <c r="R1" s="9" t="s">
        <v>124</v>
      </c>
      <c r="S1" s="9" t="s">
        <v>125</v>
      </c>
    </row>
    <row r="2" spans="1:19" x14ac:dyDescent="0.25">
      <c r="A2" s="24" t="s">
        <v>139</v>
      </c>
      <c r="B2" s="24" t="s">
        <v>140</v>
      </c>
      <c r="C2" s="24">
        <v>6</v>
      </c>
      <c r="D2" s="24"/>
      <c r="E2" s="24"/>
      <c r="F2" s="24">
        <v>1</v>
      </c>
      <c r="G2" s="24"/>
      <c r="H2" s="24">
        <v>1</v>
      </c>
      <c r="I2" s="24"/>
      <c r="J2" s="24">
        <v>2</v>
      </c>
      <c r="K2" s="24" t="s">
        <v>40</v>
      </c>
      <c r="L2" s="23" t="s">
        <v>45</v>
      </c>
      <c r="M2" s="23" t="s">
        <v>22</v>
      </c>
      <c r="N2" s="23" t="s">
        <v>23</v>
      </c>
      <c r="O2" s="23" t="s">
        <v>23</v>
      </c>
      <c r="P2" s="23">
        <v>50</v>
      </c>
      <c r="Q2" s="23">
        <v>1</v>
      </c>
      <c r="R2" s="23">
        <v>0</v>
      </c>
      <c r="S2" s="23">
        <v>1</v>
      </c>
    </row>
    <row r="3" spans="1:19" x14ac:dyDescent="0.25">
      <c r="A3" s="24" t="s">
        <v>149</v>
      </c>
      <c r="B3" s="24" t="s">
        <v>150</v>
      </c>
      <c r="C3" s="24" t="s">
        <v>126</v>
      </c>
      <c r="D3" s="24">
        <v>1</v>
      </c>
      <c r="E3" s="24"/>
      <c r="F3" s="24"/>
      <c r="G3" s="24"/>
      <c r="H3" s="24"/>
      <c r="I3" s="24"/>
      <c r="J3" s="24">
        <v>1</v>
      </c>
      <c r="K3" s="24" t="s">
        <v>40</v>
      </c>
      <c r="L3" s="23" t="s">
        <v>45</v>
      </c>
      <c r="M3" s="23" t="s">
        <v>22</v>
      </c>
      <c r="N3" s="23" t="s">
        <v>23</v>
      </c>
      <c r="O3" s="23" t="s">
        <v>23</v>
      </c>
      <c r="P3" s="23">
        <v>50</v>
      </c>
      <c r="Q3" s="23">
        <v>0.5</v>
      </c>
      <c r="R3" s="23">
        <v>0</v>
      </c>
      <c r="S3" s="23">
        <v>0.5</v>
      </c>
    </row>
    <row r="4" spans="1:19" x14ac:dyDescent="0.25">
      <c r="A4" s="24" t="s">
        <v>145</v>
      </c>
      <c r="B4" s="24" t="s">
        <v>146</v>
      </c>
      <c r="C4" s="24" t="s">
        <v>126</v>
      </c>
      <c r="D4" s="24"/>
      <c r="E4" s="24"/>
      <c r="F4" s="24">
        <v>1</v>
      </c>
      <c r="G4" s="24"/>
      <c r="H4" s="24"/>
      <c r="I4" s="24"/>
      <c r="J4" s="24">
        <v>1</v>
      </c>
      <c r="K4" s="24" t="s">
        <v>40</v>
      </c>
      <c r="L4" s="23" t="s">
        <v>45</v>
      </c>
      <c r="M4" s="23" t="s">
        <v>22</v>
      </c>
      <c r="N4" s="23" t="s">
        <v>23</v>
      </c>
      <c r="O4" s="23" t="s">
        <v>23</v>
      </c>
      <c r="P4" s="23">
        <v>50</v>
      </c>
      <c r="Q4" s="23">
        <v>0.5</v>
      </c>
      <c r="R4" s="23">
        <v>0</v>
      </c>
      <c r="S4" s="23">
        <v>0.5</v>
      </c>
    </row>
    <row r="5" spans="1:19" x14ac:dyDescent="0.25">
      <c r="A5" s="24" t="s">
        <v>143</v>
      </c>
      <c r="B5" s="24" t="s">
        <v>144</v>
      </c>
      <c r="C5" s="24">
        <v>6</v>
      </c>
      <c r="D5" s="24"/>
      <c r="E5" s="24"/>
      <c r="F5" s="24">
        <v>1</v>
      </c>
      <c r="G5" s="24">
        <v>1</v>
      </c>
      <c r="H5" s="24"/>
      <c r="I5" s="24"/>
      <c r="J5" s="24">
        <v>2</v>
      </c>
      <c r="K5" s="24" t="s">
        <v>40</v>
      </c>
      <c r="L5" s="23" t="s">
        <v>32</v>
      </c>
      <c r="M5" s="23" t="s">
        <v>22</v>
      </c>
      <c r="N5" s="23" t="s">
        <v>23</v>
      </c>
      <c r="O5" s="23" t="s">
        <v>23</v>
      </c>
      <c r="P5" s="23">
        <v>50</v>
      </c>
      <c r="Q5" s="23">
        <v>1</v>
      </c>
      <c r="R5" s="23">
        <v>0</v>
      </c>
      <c r="S5" s="23">
        <v>1</v>
      </c>
    </row>
    <row r="6" spans="1:19" x14ac:dyDescent="0.25">
      <c r="A6" s="24" t="s">
        <v>133</v>
      </c>
      <c r="B6" s="24" t="s">
        <v>134</v>
      </c>
      <c r="C6" s="24">
        <v>6</v>
      </c>
      <c r="D6" s="24"/>
      <c r="E6" s="24"/>
      <c r="F6" s="24">
        <v>1</v>
      </c>
      <c r="G6" s="24"/>
      <c r="H6" s="24">
        <v>1</v>
      </c>
      <c r="I6" s="24"/>
      <c r="J6" s="24">
        <v>2</v>
      </c>
      <c r="K6" s="24" t="s">
        <v>40</v>
      </c>
      <c r="L6" s="23" t="s">
        <v>45</v>
      </c>
      <c r="M6" s="23" t="s">
        <v>22</v>
      </c>
      <c r="N6" s="23" t="s">
        <v>23</v>
      </c>
      <c r="O6" s="23" t="s">
        <v>23</v>
      </c>
      <c r="P6" s="23">
        <v>50</v>
      </c>
      <c r="Q6" s="23">
        <v>1</v>
      </c>
      <c r="R6" s="23">
        <v>0</v>
      </c>
      <c r="S6" s="23">
        <v>1</v>
      </c>
    </row>
    <row r="7" spans="1:19" x14ac:dyDescent="0.25">
      <c r="A7" s="24" t="s">
        <v>135</v>
      </c>
      <c r="B7" s="24" t="s">
        <v>136</v>
      </c>
      <c r="C7" s="24" t="s">
        <v>126</v>
      </c>
      <c r="D7" s="24">
        <v>1</v>
      </c>
      <c r="E7" s="24"/>
      <c r="F7" s="24"/>
      <c r="G7" s="24"/>
      <c r="H7" s="24"/>
      <c r="I7" s="24"/>
      <c r="J7" s="24">
        <v>1</v>
      </c>
      <c r="K7" s="24" t="s">
        <v>40</v>
      </c>
      <c r="L7" s="23" t="s">
        <v>45</v>
      </c>
      <c r="M7" s="23" t="s">
        <v>22</v>
      </c>
      <c r="N7" s="23" t="s">
        <v>23</v>
      </c>
      <c r="O7" s="23" t="s">
        <v>23</v>
      </c>
      <c r="P7" s="23">
        <v>50</v>
      </c>
      <c r="Q7" s="23">
        <v>0.5</v>
      </c>
      <c r="R7" s="23">
        <v>0</v>
      </c>
      <c r="S7" s="23">
        <v>0.5</v>
      </c>
    </row>
    <row r="8" spans="1:19" x14ac:dyDescent="0.25">
      <c r="A8" s="24" t="s">
        <v>147</v>
      </c>
      <c r="B8" s="24" t="s">
        <v>148</v>
      </c>
      <c r="C8" s="24" t="s">
        <v>126</v>
      </c>
      <c r="D8" s="24"/>
      <c r="E8" s="24">
        <v>1</v>
      </c>
      <c r="F8" s="24"/>
      <c r="G8" s="24"/>
      <c r="H8" s="24"/>
      <c r="I8" s="24"/>
      <c r="J8" s="24">
        <v>1</v>
      </c>
      <c r="K8" s="24" t="s">
        <v>40</v>
      </c>
      <c r="L8" s="23">
        <v>0</v>
      </c>
      <c r="M8" s="23">
        <v>0</v>
      </c>
      <c r="N8" s="23" t="s">
        <v>23</v>
      </c>
      <c r="O8" s="23" t="s">
        <v>23</v>
      </c>
      <c r="P8" s="23">
        <v>100</v>
      </c>
      <c r="Q8" s="23">
        <v>0</v>
      </c>
      <c r="R8" s="23">
        <v>0</v>
      </c>
      <c r="S8" s="23">
        <v>1</v>
      </c>
    </row>
    <row r="9" spans="1:19" x14ac:dyDescent="0.25">
      <c r="A9" s="24" t="s">
        <v>129</v>
      </c>
      <c r="B9" s="24" t="s">
        <v>130</v>
      </c>
      <c r="C9" s="24" t="s">
        <v>126</v>
      </c>
      <c r="D9" s="24"/>
      <c r="E9" s="24"/>
      <c r="F9" s="24"/>
      <c r="G9" s="24">
        <v>1</v>
      </c>
      <c r="H9" s="24"/>
      <c r="I9" s="24"/>
      <c r="J9" s="24">
        <v>1</v>
      </c>
      <c r="K9" s="24" t="s">
        <v>40</v>
      </c>
      <c r="L9" s="23" t="s">
        <v>45</v>
      </c>
      <c r="M9" s="23" t="s">
        <v>22</v>
      </c>
      <c r="N9" s="23" t="s">
        <v>23</v>
      </c>
      <c r="O9" s="23" t="s">
        <v>23</v>
      </c>
      <c r="P9" s="23">
        <v>50</v>
      </c>
      <c r="Q9" s="23">
        <v>0.5</v>
      </c>
      <c r="R9" s="23">
        <v>0</v>
      </c>
      <c r="S9" s="23">
        <v>0.5</v>
      </c>
    </row>
    <row r="10" spans="1:19" x14ac:dyDescent="0.25">
      <c r="A10" s="24" t="s">
        <v>183</v>
      </c>
      <c r="B10" s="24" t="s">
        <v>184</v>
      </c>
      <c r="C10" s="24" t="s">
        <v>126</v>
      </c>
      <c r="D10" s="24"/>
      <c r="E10" s="24"/>
      <c r="F10" s="24"/>
      <c r="G10" s="24"/>
      <c r="H10" s="24">
        <v>1</v>
      </c>
      <c r="I10" s="24"/>
      <c r="J10" s="24">
        <v>1</v>
      </c>
      <c r="K10" s="24" t="s">
        <v>40</v>
      </c>
      <c r="L10" s="23">
        <v>0</v>
      </c>
      <c r="M10" s="23">
        <v>0</v>
      </c>
      <c r="N10" s="23" t="s">
        <v>23</v>
      </c>
      <c r="O10" s="23" t="s">
        <v>23</v>
      </c>
      <c r="P10" s="23">
        <v>100</v>
      </c>
      <c r="Q10" s="23">
        <v>0</v>
      </c>
      <c r="R10" s="23">
        <v>0</v>
      </c>
      <c r="S10" s="23">
        <v>1</v>
      </c>
    </row>
    <row r="11" spans="1:19" x14ac:dyDescent="0.25">
      <c r="A11" s="24" t="s">
        <v>127</v>
      </c>
      <c r="B11" s="24" t="s">
        <v>128</v>
      </c>
      <c r="C11" s="24" t="s">
        <v>126</v>
      </c>
      <c r="D11" s="24"/>
      <c r="E11" s="24"/>
      <c r="F11" s="24"/>
      <c r="G11" s="24">
        <v>4</v>
      </c>
      <c r="H11" s="24"/>
      <c r="I11" s="24"/>
      <c r="J11" s="24">
        <v>4</v>
      </c>
      <c r="K11" s="24" t="s">
        <v>40</v>
      </c>
      <c r="L11" s="23" t="s">
        <v>45</v>
      </c>
      <c r="M11" s="23" t="s">
        <v>22</v>
      </c>
      <c r="N11" s="23" t="s">
        <v>23</v>
      </c>
      <c r="O11" s="23" t="s">
        <v>23</v>
      </c>
      <c r="P11" s="23">
        <v>50</v>
      </c>
      <c r="Q11" s="23">
        <v>2</v>
      </c>
      <c r="R11" s="23">
        <v>0</v>
      </c>
      <c r="S11" s="23">
        <v>2</v>
      </c>
    </row>
    <row r="12" spans="1:19" x14ac:dyDescent="0.25">
      <c r="A12" s="24" t="s">
        <v>131</v>
      </c>
      <c r="B12" s="24" t="s">
        <v>132</v>
      </c>
      <c r="C12" s="24" t="s">
        <v>126</v>
      </c>
      <c r="D12" s="24"/>
      <c r="E12" s="24"/>
      <c r="F12" s="24"/>
      <c r="G12" s="24"/>
      <c r="H12" s="24">
        <v>1</v>
      </c>
      <c r="I12" s="24"/>
      <c r="J12" s="24">
        <v>1</v>
      </c>
      <c r="K12" s="24" t="s">
        <v>40</v>
      </c>
      <c r="L12" s="23" t="s">
        <v>45</v>
      </c>
      <c r="M12" s="23" t="s">
        <v>22</v>
      </c>
      <c r="N12" s="23" t="s">
        <v>23</v>
      </c>
      <c r="O12" s="23" t="s">
        <v>23</v>
      </c>
      <c r="P12" s="23">
        <v>50</v>
      </c>
      <c r="Q12" s="23">
        <v>0.5</v>
      </c>
      <c r="R12" s="23">
        <v>0</v>
      </c>
      <c r="S12" s="23">
        <v>0.5</v>
      </c>
    </row>
    <row r="13" spans="1:19" x14ac:dyDescent="0.25">
      <c r="A13" s="24" t="s">
        <v>185</v>
      </c>
      <c r="B13" s="24" t="s">
        <v>186</v>
      </c>
      <c r="C13" s="24" t="s">
        <v>187</v>
      </c>
      <c r="D13" s="24"/>
      <c r="E13" s="24"/>
      <c r="F13" s="24"/>
      <c r="G13" s="24"/>
      <c r="H13" s="24"/>
      <c r="I13" s="24">
        <v>3</v>
      </c>
      <c r="J13" s="24">
        <v>3</v>
      </c>
      <c r="K13" s="24" t="s">
        <v>40</v>
      </c>
      <c r="L13" s="23" t="s">
        <v>45</v>
      </c>
      <c r="M13" s="23" t="s">
        <v>22</v>
      </c>
      <c r="N13" s="23" t="s">
        <v>23</v>
      </c>
      <c r="O13" s="23" t="s">
        <v>23</v>
      </c>
      <c r="P13" s="23">
        <v>50</v>
      </c>
      <c r="Q13" s="23">
        <v>1.5</v>
      </c>
      <c r="R13" s="23">
        <v>0</v>
      </c>
      <c r="S13" s="23">
        <v>1.5</v>
      </c>
    </row>
    <row r="14" spans="1:19" x14ac:dyDescent="0.25">
      <c r="A14" s="24" t="s">
        <v>137</v>
      </c>
      <c r="B14" s="24" t="s">
        <v>138</v>
      </c>
      <c r="C14" s="24" t="s">
        <v>126</v>
      </c>
      <c r="D14" s="24"/>
      <c r="E14" s="24">
        <v>1</v>
      </c>
      <c r="F14" s="24"/>
      <c r="G14" s="24"/>
      <c r="H14" s="24"/>
      <c r="I14" s="24"/>
      <c r="J14" s="24">
        <v>1</v>
      </c>
      <c r="K14" s="24" t="s">
        <v>40</v>
      </c>
      <c r="L14" s="23" t="s">
        <v>45</v>
      </c>
      <c r="M14" s="23" t="s">
        <v>22</v>
      </c>
      <c r="N14" s="23" t="s">
        <v>23</v>
      </c>
      <c r="O14" s="23" t="s">
        <v>23</v>
      </c>
      <c r="P14" s="23">
        <v>50</v>
      </c>
      <c r="Q14" s="23">
        <v>0.5</v>
      </c>
      <c r="R14" s="23">
        <v>0</v>
      </c>
      <c r="S14" s="23">
        <v>0.5</v>
      </c>
    </row>
    <row r="15" spans="1:19" x14ac:dyDescent="0.25">
      <c r="A15" s="24" t="s">
        <v>141</v>
      </c>
      <c r="B15" s="24" t="s">
        <v>142</v>
      </c>
      <c r="C15" s="24" t="s">
        <v>126</v>
      </c>
      <c r="D15" s="24">
        <v>1</v>
      </c>
      <c r="E15" s="24"/>
      <c r="F15" s="24"/>
      <c r="G15" s="24"/>
      <c r="H15" s="24"/>
      <c r="I15" s="24"/>
      <c r="J15" s="24">
        <v>1</v>
      </c>
      <c r="K15" s="24" t="s">
        <v>40</v>
      </c>
      <c r="L15" s="23" t="s">
        <v>32</v>
      </c>
      <c r="M15" s="23" t="s">
        <v>188</v>
      </c>
      <c r="N15" s="23" t="s">
        <v>23</v>
      </c>
      <c r="O15" s="23" t="s">
        <v>23</v>
      </c>
      <c r="P15" s="23">
        <v>80</v>
      </c>
      <c r="Q15" s="23">
        <v>0.2</v>
      </c>
      <c r="R15" s="23">
        <v>0</v>
      </c>
      <c r="S15" s="23">
        <v>0.8</v>
      </c>
    </row>
    <row r="16" spans="1:19" x14ac:dyDescent="0.25">
      <c r="A16" s="24" t="s">
        <v>153</v>
      </c>
      <c r="B16" s="24" t="s">
        <v>154</v>
      </c>
      <c r="C16" s="24" t="s">
        <v>126</v>
      </c>
      <c r="D16" s="24"/>
      <c r="E16" s="24">
        <v>1</v>
      </c>
      <c r="F16" s="24"/>
      <c r="G16" s="24"/>
      <c r="H16" s="24"/>
      <c r="I16" s="24"/>
      <c r="J16" s="24">
        <v>1</v>
      </c>
      <c r="K16" s="24" t="s">
        <v>40</v>
      </c>
      <c r="L16" s="23" t="s">
        <v>32</v>
      </c>
      <c r="M16" s="23" t="s">
        <v>22</v>
      </c>
      <c r="N16" s="23" t="s">
        <v>23</v>
      </c>
      <c r="O16" s="23" t="s">
        <v>23</v>
      </c>
      <c r="P16" s="23">
        <v>50</v>
      </c>
      <c r="Q16" s="23">
        <v>0.5</v>
      </c>
      <c r="R16" s="23">
        <v>0</v>
      </c>
      <c r="S16" s="23">
        <v>0.5</v>
      </c>
    </row>
    <row r="17" spans="1:19" x14ac:dyDescent="0.25">
      <c r="A17" s="24" t="s">
        <v>151</v>
      </c>
      <c r="B17" s="24" t="s">
        <v>152</v>
      </c>
      <c r="C17" s="55">
        <v>6</v>
      </c>
      <c r="D17" s="24"/>
      <c r="E17" s="24"/>
      <c r="F17" s="24"/>
      <c r="G17" s="24"/>
      <c r="H17" s="24"/>
      <c r="I17" s="24"/>
      <c r="J17" s="24">
        <v>1</v>
      </c>
      <c r="K17" s="24" t="s">
        <v>40</v>
      </c>
      <c r="L17" s="23" t="s">
        <v>32</v>
      </c>
      <c r="M17" s="23" t="s">
        <v>22</v>
      </c>
      <c r="N17" s="23" t="s">
        <v>23</v>
      </c>
      <c r="O17" s="23" t="s">
        <v>23</v>
      </c>
      <c r="P17" s="23">
        <v>50</v>
      </c>
      <c r="Q17" s="23">
        <v>0.5</v>
      </c>
      <c r="R17" s="23">
        <v>0</v>
      </c>
      <c r="S17" s="23">
        <v>0.5</v>
      </c>
    </row>
    <row r="18" spans="1:19" x14ac:dyDescent="0.25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8"/>
      <c r="O18" s="57"/>
      <c r="P18" s="58"/>
      <c r="Q18" s="57"/>
      <c r="R18" s="57"/>
      <c r="S18" s="56">
        <f>SUM(S2:S17)</f>
        <v>13.3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B12" sqref="B12"/>
    </sheetView>
  </sheetViews>
  <sheetFormatPr baseColWidth="10" defaultColWidth="11.44140625" defaultRowHeight="10.199999999999999" x14ac:dyDescent="0.2"/>
  <cols>
    <col min="1" max="1" width="100.6640625" style="13" customWidth="1"/>
    <col min="2" max="16384" width="11.44140625" style="13"/>
  </cols>
  <sheetData>
    <row r="1" spans="1:2" ht="20.399999999999999" x14ac:dyDescent="0.2">
      <c r="A1" s="17" t="s">
        <v>164</v>
      </c>
      <c r="B1" s="18" t="s">
        <v>165</v>
      </c>
    </row>
    <row r="2" spans="1:2" x14ac:dyDescent="0.2">
      <c r="A2" s="14" t="s">
        <v>158</v>
      </c>
      <c r="B2" s="15"/>
    </row>
    <row r="3" spans="1:2" x14ac:dyDescent="0.2">
      <c r="A3" s="14" t="s">
        <v>159</v>
      </c>
      <c r="B3" s="15">
        <v>166.98</v>
      </c>
    </row>
    <row r="4" spans="1:2" x14ac:dyDescent="0.2">
      <c r="A4" s="14" t="s">
        <v>160</v>
      </c>
      <c r="B4" s="15">
        <v>19995.32</v>
      </c>
    </row>
    <row r="5" spans="1:2" x14ac:dyDescent="0.2">
      <c r="A5" s="14" t="s">
        <v>161</v>
      </c>
      <c r="B5" s="15"/>
    </row>
    <row r="6" spans="1:2" x14ac:dyDescent="0.2">
      <c r="A6" s="14" t="s">
        <v>162</v>
      </c>
      <c r="B6" s="15">
        <v>40000</v>
      </c>
    </row>
    <row r="7" spans="1:2" x14ac:dyDescent="0.2">
      <c r="A7" s="14" t="s">
        <v>163</v>
      </c>
      <c r="B7" s="15">
        <v>19200</v>
      </c>
    </row>
    <row r="8" spans="1:2" x14ac:dyDescent="0.2">
      <c r="A8" s="19" t="s">
        <v>166</v>
      </c>
      <c r="B8" s="16">
        <f>SUM(B3:B7)</f>
        <v>79362.3</v>
      </c>
    </row>
    <row r="11" spans="1:2" x14ac:dyDescent="0.2">
      <c r="B11" s="3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C8F7A-6C97-4B50-82F8-9EA642137341}">
  <dimension ref="A1:B6"/>
  <sheetViews>
    <sheetView workbookViewId="0">
      <selection activeCell="A16" sqref="A16"/>
    </sheetView>
  </sheetViews>
  <sheetFormatPr baseColWidth="10" defaultColWidth="11.44140625" defaultRowHeight="10.199999999999999" x14ac:dyDescent="0.2"/>
  <cols>
    <col min="1" max="1" width="100.6640625" style="13" customWidth="1"/>
    <col min="2" max="16384" width="11.44140625" style="13"/>
  </cols>
  <sheetData>
    <row r="1" spans="1:2" ht="20.399999999999999" x14ac:dyDescent="0.2">
      <c r="A1" s="17" t="s">
        <v>164</v>
      </c>
      <c r="B1" s="18" t="s">
        <v>165</v>
      </c>
    </row>
    <row r="2" spans="1:2" x14ac:dyDescent="0.2">
      <c r="A2" s="14" t="s">
        <v>161</v>
      </c>
      <c r="B2" s="15"/>
    </row>
    <row r="3" spans="1:2" x14ac:dyDescent="0.2">
      <c r="A3" s="14" t="s">
        <v>211</v>
      </c>
      <c r="B3" s="15">
        <v>4000</v>
      </c>
    </row>
    <row r="4" spans="1:2" x14ac:dyDescent="0.2">
      <c r="A4" s="14" t="s">
        <v>212</v>
      </c>
      <c r="B4" s="15"/>
    </row>
    <row r="5" spans="1:2" x14ac:dyDescent="0.2">
      <c r="A5" s="14" t="s">
        <v>213</v>
      </c>
      <c r="B5" s="15">
        <v>45986</v>
      </c>
    </row>
    <row r="6" spans="1:2" x14ac:dyDescent="0.2">
      <c r="A6" s="19" t="s">
        <v>166</v>
      </c>
      <c r="B6" s="16">
        <f>SUM(B3:B5)</f>
        <v>49986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E31D8-D9F8-4718-AD5E-1813196DD397}">
  <dimension ref="A1:D9"/>
  <sheetViews>
    <sheetView workbookViewId="0">
      <selection activeCell="D21" sqref="D21"/>
    </sheetView>
  </sheetViews>
  <sheetFormatPr baseColWidth="10" defaultRowHeight="13.2" x14ac:dyDescent="0.25"/>
  <cols>
    <col min="3" max="3" width="70.33203125" bestFit="1" customWidth="1"/>
  </cols>
  <sheetData>
    <row r="1" spans="1:4" ht="15" thickBot="1" x14ac:dyDescent="0.35">
      <c r="A1" s="39" t="s">
        <v>214</v>
      </c>
      <c r="B1" s="40" t="s">
        <v>215</v>
      </c>
      <c r="C1" s="40" t="s">
        <v>216</v>
      </c>
      <c r="D1" s="41" t="s">
        <v>165</v>
      </c>
    </row>
    <row r="2" spans="1:4" ht="13.8" thickTop="1" x14ac:dyDescent="0.25">
      <c r="A2" s="42" t="s">
        <v>217</v>
      </c>
      <c r="B2" s="43" t="s">
        <v>161</v>
      </c>
      <c r="C2" s="43" t="s">
        <v>218</v>
      </c>
      <c r="D2" s="44">
        <v>16800</v>
      </c>
    </row>
    <row r="3" spans="1:4" x14ac:dyDescent="0.25">
      <c r="A3" s="45" t="s">
        <v>217</v>
      </c>
      <c r="B3" s="46" t="s">
        <v>212</v>
      </c>
      <c r="C3" s="46" t="s">
        <v>219</v>
      </c>
      <c r="D3" s="47">
        <v>49819.33</v>
      </c>
    </row>
    <row r="4" spans="1:4" ht="13.8" thickBot="1" x14ac:dyDescent="0.3">
      <c r="A4" s="42" t="s">
        <v>217</v>
      </c>
      <c r="B4" s="43" t="s">
        <v>220</v>
      </c>
      <c r="C4" s="43" t="s">
        <v>221</v>
      </c>
      <c r="D4" s="44">
        <v>104606.12</v>
      </c>
    </row>
    <row r="5" spans="1:4" ht="15" thickTop="1" x14ac:dyDescent="0.3">
      <c r="A5" s="48" t="s">
        <v>166</v>
      </c>
      <c r="B5" s="49"/>
      <c r="C5" s="49"/>
      <c r="D5" s="50">
        <v>171225.45</v>
      </c>
    </row>
    <row r="9" spans="1:4" x14ac:dyDescent="0.25">
      <c r="C9" s="61" t="s">
        <v>228</v>
      </c>
      <c r="D9" s="62">
        <f>D5+'Ingresos Investigación 2020'!B6+'Ingresos Investigación 19'!B8</f>
        <v>300573.75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Tesis</vt:lpstr>
      <vt:lpstr>Sexenios</vt:lpstr>
      <vt:lpstr>Ingresos Investigación 19</vt:lpstr>
      <vt:lpstr>Ingresos Investigación 2020</vt:lpstr>
      <vt:lpstr>Ingresos Investigación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2019-10-14T13:44:16Z</dcterms:created>
  <dcterms:modified xsi:type="dcterms:W3CDTF">2022-10-18T15:00:04Z</dcterms:modified>
</cp:coreProperties>
</file>