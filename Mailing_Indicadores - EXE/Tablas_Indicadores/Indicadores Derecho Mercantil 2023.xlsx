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6F9AFB30-70EA-46F3-82C8-B0C84D42A819}" xr6:coauthVersionLast="47" xr6:coauthVersionMax="47" xr10:uidLastSave="{00000000-0000-0000-0000-000000000000}"/>
  <bookViews>
    <workbookView xWindow="22932" yWindow="-108" windowWidth="23256" windowHeight="12456" tabRatio="794" xr2:uid="{00000000-000D-0000-FFFF-FFFF00000000}"/>
  </bookViews>
  <sheets>
    <sheet name="Tesis" sheetId="11" r:id="rId1"/>
    <sheet name="Sexenios" sheetId="12" r:id="rId2"/>
    <sheet name="Ingresos investigación 2019" sheetId="15" r:id="rId3"/>
    <sheet name="Ingresos investigación 2020" sheetId="18" r:id="rId4"/>
    <sheet name="Ingresos investigación 2021" sheetId="19" r:id="rId5"/>
    <sheet name="Ingresos formación 2019" sheetId="16" r:id="rId6"/>
    <sheet name="Ingresos formación 2020" sheetId="17" r:id="rId7"/>
    <sheet name="Ingresos formación 2021" sheetId="20" r:id="rId8"/>
  </sheets>
  <definedNames>
    <definedName name="_xlnm._FilterDatabase" localSheetId="1" hidden="1">Sexenios!$A$1:$S$15</definedName>
    <definedName name="_xlnm._FilterDatabase" localSheetId="0" hidden="1">Tesis!$A$1:$U$17</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8" i="12" l="1"/>
  <c r="S18" i="11" l="1"/>
  <c r="B16" i="20" l="1"/>
  <c r="B18" i="19"/>
  <c r="B17" i="18" l="1"/>
  <c r="B24" i="17"/>
  <c r="B66" i="16" l="1"/>
  <c r="B19" i="20" s="1"/>
  <c r="B23" i="15"/>
  <c r="B21" i="19" s="1"/>
</calcChain>
</file>

<file path=xl/sharedStrings.xml><?xml version="1.0" encoding="utf-8"?>
<sst xmlns="http://schemas.openxmlformats.org/spreadsheetml/2006/main" count="550" uniqueCount="262">
  <si>
    <t>Orgánica
Descripción justificante</t>
  </si>
  <si>
    <t>Importe</t>
  </si>
  <si>
    <t>Total</t>
  </si>
  <si>
    <t>35.20.6P.00.06</t>
  </si>
  <si>
    <t>35.20.6P.00.07</t>
  </si>
  <si>
    <t>35.20.6P.00.08</t>
  </si>
  <si>
    <t>35.20.6P.00.09</t>
  </si>
  <si>
    <t>35.20.2T.00.01</t>
  </si>
  <si>
    <t>35.20.2T.00.02</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</si>
  <si>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</si>
  <si>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</si>
  <si>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</si>
  <si>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</si>
  <si>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</si>
  <si>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</si>
  <si>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</si>
  <si>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</si>
  <si>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</si>
  <si>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</si>
  <si>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</si>
  <si>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</si>
  <si>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</si>
  <si>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</si>
  <si>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</si>
  <si>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</si>
  <si>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</si>
  <si>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</si>
  <si>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</si>
  <si>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</si>
  <si>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</si>
  <si>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</si>
  <si>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</si>
  <si>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</si>
  <si>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</si>
  <si>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</si>
  <si>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27/09/2019 </t>
  </si>
  <si>
    <t>90</t>
  </si>
  <si>
    <t>U025 </t>
  </si>
  <si>
    <t>ADM. FACULTAD DE DERECHO </t>
  </si>
  <si>
    <t>DOCTORADO EN DERECHO </t>
  </si>
  <si>
    <t>15/07/2019 </t>
  </si>
  <si>
    <t>10.17</t>
  </si>
  <si>
    <t>15</t>
  </si>
  <si>
    <t>17/07/2017 </t>
  </si>
  <si>
    <t>10.06</t>
  </si>
  <si>
    <t>25</t>
  </si>
  <si>
    <t>Sargsyan , Gevorg </t>
  </si>
  <si>
    <t>EFFECT OF STATUTORY AND REGULATORY PROTECTION IN INVESTMENT DECISION </t>
  </si>
  <si>
    <t>29/06/2018 </t>
  </si>
  <si>
    <t>21418740J </t>
  </si>
  <si>
    <t>B154 </t>
  </si>
  <si>
    <t>DERECHO MERCANTIL Y DERECHO PROCESAL </t>
  </si>
  <si>
    <t>B154</t>
  </si>
  <si>
    <t>22126890Q </t>
  </si>
  <si>
    <t>12759974B </t>
  </si>
  <si>
    <t>Durán Silva, Carmen María </t>
  </si>
  <si>
    <t>LA VIDEOVIGILANCIA EN EL PROCESO PENAL: TRATAMIENTO PROCESAL Y EFICACIA PROBATORIA </t>
  </si>
  <si>
    <t>20/12/2016 </t>
  </si>
  <si>
    <t>48316091Z </t>
  </si>
  <si>
    <t>21435269M </t>
  </si>
  <si>
    <t>García Arango, Gustavo Adolfo </t>
  </si>
  <si>
    <t>LA REGULACIÓN JURÍDICA DEL EMPRENDIMIENTO EN LATINOAMÉRICA Y ESPAÑA </t>
  </si>
  <si>
    <t>Ludeña Benítez, Óscar Daniel </t>
  </si>
  <si>
    <t>LA INTERVENCIÓN DEL LETRADO DE LA ADMINISTRACIÓN DE JUSTICIA EN LA JURISDICCIÓN VOLUNTARIA </t>
  </si>
  <si>
    <t>RAMOS CALVO, MARíA DOLORES </t>
  </si>
  <si>
    <t>RÉGIMEN JURÍDICO DE LA MEDIACIÓN CONCURSAL EN EL DERECHO ESPAÑOL </t>
  </si>
  <si>
    <t>48352505L </t>
  </si>
  <si>
    <t>NIF</t>
  </si>
  <si>
    <t>NOMBRE_COMPLETO</t>
  </si>
  <si>
    <t>TIPO_SEXENIO</t>
  </si>
  <si>
    <t>Total general</t>
  </si>
  <si>
    <t>INS
1</t>
  </si>
  <si>
    <t>DED
INS 1</t>
  </si>
  <si>
    <t>INS
2</t>
  </si>
  <si>
    <t>DED
INS 2</t>
  </si>
  <si>
    <t>DED
DEP</t>
  </si>
  <si>
    <t>SEX
INS 1</t>
  </si>
  <si>
    <t>SEX
INS 2</t>
  </si>
  <si>
    <t>SEX
DEP</t>
  </si>
  <si>
    <t>FUNCIONARIO</t>
  </si>
  <si>
    <t>NO FUNCIONARIO</t>
  </si>
  <si>
    <t>21418740J</t>
  </si>
  <si>
    <t>ASENCIO MELLADO, JOSE MARIA</t>
  </si>
  <si>
    <t>48350398M</t>
  </si>
  <si>
    <t>ASENSI MERAS, ALTEA</t>
  </si>
  <si>
    <t>21435269M</t>
  </si>
  <si>
    <t>CUADRADO SALINAS, MARIA DEL CARMEN</t>
  </si>
  <si>
    <t>48316091Z</t>
  </si>
  <si>
    <t>FERNANDEZ LOPEZ, MERCEDES</t>
  </si>
  <si>
    <t>12759974B</t>
  </si>
  <si>
    <t>FERNANDEZ PEREZ, NURIA</t>
  </si>
  <si>
    <t>22126890Q</t>
  </si>
  <si>
    <t>GALLEGO SANCHEZ, ESPERANZA</t>
  </si>
  <si>
    <t>25146159Y</t>
  </si>
  <si>
    <t>IÑIGUEZ ORTEGA, MARIA PILAR</t>
  </si>
  <si>
    <t>22139886V</t>
  </si>
  <si>
    <t>LOPEZ YAGÜES, VERONICA</t>
  </si>
  <si>
    <t>33524308Z</t>
  </si>
  <si>
    <t>MONTERO GARCIA-NOBLEJAS, MARIA PILAR</t>
  </si>
  <si>
    <t>48352505L</t>
  </si>
  <si>
    <t>MOYA BALLESTER, JORGE</t>
  </si>
  <si>
    <t>74217639C</t>
  </si>
  <si>
    <t>OCHOA MONZO, VIRTUDES</t>
  </si>
  <si>
    <t>21648758P</t>
  </si>
  <si>
    <t>PASTOR SEMPERE, MARIA DEL CARMEN</t>
  </si>
  <si>
    <t>52779870E</t>
  </si>
  <si>
    <t>RIZO GOMEZ, MARIA BELEN</t>
  </si>
  <si>
    <t>48318632W</t>
  </si>
  <si>
    <t>RUIZ DE LA CUESTA FERNANDEZ, MARIA SOLEDAD</t>
  </si>
  <si>
    <t>35.20.6C.00.08</t>
  </si>
  <si>
    <t>Informe técnico sobre el marco jurídico de promoción de los productos agroalimentarios catalanes. GENERALITATCATALUNYA1-19TPA. Número de expediente AG-2019-1113</t>
  </si>
  <si>
    <t>35.20.6C.00.09</t>
  </si>
  <si>
    <t>Informe técnico sobre marcas de garantía de entes locales. GENERALITATCATALUNYA2-19TPA. Número de expediente AG-2019-1113</t>
  </si>
  <si>
    <t>35.20.6C.00.10</t>
  </si>
  <si>
    <t>Informe técnico sobre signos distintivos regulados por normativa propia catalana. GENERALITATCATALUNYA3-19TPA. Número de expediente AG-2019-1113</t>
  </si>
  <si>
    <t>35.20.6C.00.11</t>
  </si>
  <si>
    <t>NUCLEOESTABLE1-19T REDACCIÓN DE INFORME JURÍDICO EN MATERIA DE DERECHO MERCANTIL</t>
  </si>
  <si>
    <t>NUCLEOESTABLE1-19T REDACCIÓN INFORME EN MATERIA DE DERECHO MERCANTIL</t>
  </si>
  <si>
    <t xml:space="preserve">SUBVENCIONES PARA LA REALIZACIÓN DE PROYECTOS DE I+D+I DESARROLLADOS POR GRUPOS DE INVESTIGACIÓN EMERGENTES GV/2017-3ªA. </t>
  </si>
  <si>
    <t xml:space="preserve">SUBVENCIONES PARA GRUPOS DE INVESTIGACIÓN CONSOLIDABLES AICO/2017-3ª ANUALIDAD </t>
  </si>
  <si>
    <t>LIBERADOS EL 18/03/19, ANUALIDAD 2019 PROYECTOS I+D (PIA1) N EXPEDIENTE: PIA12017-1 -2 ANUALIDAD REFERENCIA: DER2017-87516-P. REF. ORDENANTE: 27402219310015479.</t>
  </si>
  <si>
    <t>FLIB 18/03/19. PROYECTOS I+D+I RETOS 2017. ANUAL 2019. UNIV2 PROYECTOS I+D RETOS (PIA13) N EXPEDIENTE: PIA132017-1 - 2 ANUALIDAD REFERENCI. REF. ORDENANTE: 27402219310014377.</t>
  </si>
  <si>
    <t>35.20.6X.00.01</t>
  </si>
  <si>
    <t>AMICABLE 1ST PROJECT INSTALMENT INVOICE FROM 20.07.2019 AMICABLE - 851393. LA OFICINA DE GESTIÓN DE PROYECTOS INTERNACIONALES INFORMA QUE CORRESPONDE  AL PRIMER PAGO DEL PROYECTO AMICABLE. DEPARTAMENTO DE DERECHO MERCANTIL Y PROCESAL.</t>
  </si>
  <si>
    <t>AMICABLE REIMBURSEMENT OF TRAVEL EXPENSES SOLEDAD RUIZ DE LA CUESTA FERNANDEZ KICK OFF MEETING BERLIN 11-12.04.19. REF. BENEFICIARIO: BYLADEM 1001E6F 14763082673B6. LA OFICINA DE GESTIÓN DE PROYECTOS INTERNACIONALES INFORMA QUE SE TRATA DE UN INGRESO DEL PROYECTO AMICABLE, COORDINADO POR LA PROFESORA SOLEDAD RUIZ. CORRESPONDE A LOS GASTOS DE VIAJE PARA ASISTIR A LA REUNIÓN DE INICIO DEL PROYECTO.</t>
  </si>
  <si>
    <t>AMICABLE REIMBUSEMENT OF  TRAVEL EXPENSES SOLEDAD RUÍZ DE LA CUESTA FERNÁNDEZ KICK OFF MEETING BERLIN - PART 2. REF. BENEFICIARIO: BYLADEM 1001E6F1640072120312. LA OFICINA DE GESTIÓN DE PROYECTOS INTERNACIONALES INFORMA QUE SE TRATA DE UN INGRESO DEL PROYECTO AMICABLE, COORDINADO POR LA PROFESORA SOLEDAD RUÍZ. CORRESPONDE A LOS GASTOS DE VIAJE PARA ASISTIR A LA REUNIÓN DE INICIO DEL PROYECTO.</t>
  </si>
  <si>
    <t>2º Ingreso efectivo Fu Jian en concepto de alojamiento según Convenio entre el Master en Propiedad Intelectual "Magister Lucentinus" y la Oficina de Patentes China.</t>
  </si>
  <si>
    <t>2º Ingreso efectivo Huang Huan en concepto de alojamiento según Convenio entre el Master en Propiedad Intelectual "Magister Lucentinus" y la Oficina de Patentes China.</t>
  </si>
  <si>
    <t>2º Ingreso efectivo Li Hang en concepto de alojamiento según Convenio entre el Master en Propiedad Intelectual "Magister Lucentinus" y la Oficina de Patentes China.</t>
  </si>
  <si>
    <t>2º Ingreso efectivo Liang Yibing en concepto de alojamiento según Convenio entre el Master en Propiedad Intelectual "Magister Lucentinus" y la Oficina de Patentes China.</t>
  </si>
  <si>
    <t>2º Ingreso efectivo Song Chunlei en concepto de alojamiento según Convenio entre el Master en Propiedad Intelectual "Magister Lucentinus" y la Oficina de Patentes China.</t>
  </si>
  <si>
    <t>2º Ingreso efectivo Song Ping en concepto de alojamiento según Convenio entre el Master en Propiedad Intelectual "Magister Lucentinus" y la Oficina de Patentes China.</t>
  </si>
  <si>
    <t>2º Ingreso efectivo Wu Hao en concepto de alojamiento según Convenio entre el Master en Propiedad Intelectual "Magister Lucentinus" y la Oficina de Patentes China.</t>
  </si>
  <si>
    <t>2º ingreso efectivo Yang Jia en concepto de alojamiento según Convenio entre el Master en Propiedad Intelectual "Magister Lucentinus" y la Oficina de Patentes China.</t>
  </si>
  <si>
    <t>2º Ingreso efectivo Zhang Xuguang en concepto de alojamiento según Convenio entre el Master en Propiedad Intelectual "Magister Lucentinus" y la Oficina de Patentes China.</t>
  </si>
  <si>
    <t>2º Ingreso efectivo Zhang Yu en concepto de alojamiento según Convenio entre el Master en Propiedad Intelectual "Magister Lucentinus" y la Oficina de Patentes China.</t>
  </si>
  <si>
    <t>35.20.2T.00.01 P101 226.06</t>
  </si>
  <si>
    <t>3er Ingreso efectivo Fu Jian en concepto de alojamiento según Convenio entre el Master en Propiedad Intelectual "Magister Lucentinus" y la Oficina de Patentes China.</t>
  </si>
  <si>
    <t>3er Ingreso efectivo Huang Huan en concepto de alojamiento según Convenio entre el Master en Propiedad Intelectual "Magister Lucentinus" y la Oficina de Patentes China.</t>
  </si>
  <si>
    <t>3er Ingreso efectivo Li Hang en concepto de alojamiento según Convenio entre el Master en Propiedad Intelectual "Magister Lucentinus" y la Oficina de Patentes China.</t>
  </si>
  <si>
    <t>3er Ingreso efectivo Liang Yibing en concepto de alojamiento según Convenio entre el Master en Propiedad Intelectual "Magister Lucentinus" y la Oficina de Patentes China.</t>
  </si>
  <si>
    <t>3er Ingreso efectivo Song Chunlei en concepto de alojamiento según Convenio entre el Master en Propiedad Intelectual "Magister Lucentinus" y la Oficina de Patentes China.</t>
  </si>
  <si>
    <t>3er Ingreso efectivo Song Ping en concepto de alojamiento según Convenio entre el Master en Propiedad Intelectual "Magister Lucentinus" y la Oficina de Patentes China.</t>
  </si>
  <si>
    <t>3er Ingreso efectivo Wu Hao en concepto de alojamiento según Convenio entre el Master en Propiedad Intelectual "Magister Lucentinus" y la Oficina de Patentes China.</t>
  </si>
  <si>
    <t>3er Ingreso efectivo Yang Jia en concepto de alojamiento según Convenio entre el Master en Propiedad Intelectual "Magister Lucentinus" y la Oficina de Patentes China.</t>
  </si>
  <si>
    <t>3er Ingreso efectivo Zhang Xuguang en concepto de alojamiento según Convenio entre el Master en Propiedad Intelectual "Magister Lucentinus" y la Oficina de Patentes China.</t>
  </si>
  <si>
    <t>3er Ingreso efectivo Zhang Yu en concepto de alojamiento según Convenio entre el Master en Propiedad Intelectual "Magister Lucentinus" y la Oficina de Patentes China.</t>
  </si>
  <si>
    <t>Ingreso efectivo Chunlei Song en concepto de alojamiento según Convenio entre el Master en Propiedad Intelectual "Magister Lucentinus" y la Oficina de Patentes de China</t>
  </si>
  <si>
    <t>Ingreso efectivo Hang Li en concepto de alojamiento según Convenio entre el Master en Propiedad Intelectual "Magister Lucentinus" y la Oficina de Patentes de China</t>
  </si>
  <si>
    <t>Ingreso efectivo Hao Wu en concepto de alojamiento según Convenio entre el Master en Propiedad Intelectual "Magister Lucentinus" y la Oficina de Patentes de China</t>
  </si>
  <si>
    <t>Ingreso efectivo Huan Huang en concepto de alojamiento según Convenio entre el Master en Propiedad Intelectual "Magister Lucentinus" y la Oficina de Patentes de China</t>
  </si>
  <si>
    <t>Ingreso efectivo Jia Yang en concepto de alojamiento según Convenio entre el Master en Propiedad Intelectual "Magister Lucentinus" y la Oficina de Patentes de China</t>
  </si>
  <si>
    <t>Ingreso efectivo Jian Fu en concepto de alojamiento según Convenio entre el Master en Propiedad Intelectual "Magister Lucentinus" y la Oficina de Patentes de China</t>
  </si>
  <si>
    <t>Ingreso efectivo Ping Song en concepto de alojamiento según Convenio entre el Master en Propiedad Intelectual "Magister Lucentinus" y la Oficina de Patentes de China</t>
  </si>
  <si>
    <t>INGRESO EFECTIVO REALIZADO POR FUNCIONARIOS OFICINA DE PATENTES CHINA MATRICULADOS EN MAGISTER LUCENTINUS. PAGO FRA. CENTRO SUPERIOR DE IDIOMAS B-5387 TRADUCCIÓN JURADA</t>
  </si>
  <si>
    <t>Ingreso efectivo Xuguang Zhang en concepto de alojamiento según Convenio entre el Master en Propiedad Intelectual "Magister Lucentinus" y la Oficina de Patentes de China</t>
  </si>
  <si>
    <t>Ingreso efectivo Yibing Liang en concepto de alojamiento según Convenio entre el Master en Propiedad Intelectual "Magister Lucentinus" y la Oficina de Patentes de China</t>
  </si>
  <si>
    <t>Ingreso efectivo Yu Zhang en concepto de alojamiento según Convenio entre el Master en Propiedad Intelectual "Magister Lucentinus" y la Oficina de Patentes de China</t>
  </si>
  <si>
    <t xml:space="preserve">Inscripción CANDELARIA ANDREU SABATÉ III Jornadas Internacionales sobre Denomonaciones de Origen e Indicaciones Geográficas. </t>
  </si>
  <si>
    <t xml:space="preserve">Inscripción JOSE MARIA IGLESIAS MONRAVA a las III Jornadas Internacionales sobre Denominaciones de Origen e Indicaciones Geográficas. </t>
  </si>
  <si>
    <t>Inscripción NADINE TRENKAMP MIRANDA a las III Jornadas Internacionales sobre Denominaciones de Origen e Indicaciones Geográficas</t>
  </si>
  <si>
    <t>Inscripción SOFIA HAMOUDA III Jornadas Internacionales sobre Denominaciones de Origen e Indicaciones Geográficas.</t>
  </si>
  <si>
    <t xml:space="preserve">Inscripciones MARIA PEREZ-CHAO y SUSANA GRANDA SAFONT. III Jornadas Internacionales sobre Denominaciones de Origen e Indicaciones Geográficas. </t>
  </si>
  <si>
    <t>Liquidación  PLAN 9159 curso ''ESPECIALISTA EN MARCAS, DISEÑOS Y DERECHO DE LA COMPETENCIA'' ORDEN 5397</t>
  </si>
  <si>
    <t>Liquidación  PLAN 9160 curso ''LIQUIDACIÓN ESPECIALISTA EN PATENTES Y TRANSFERENCIA DE TECNOLOGÍA 9160'' ORDEN 5321</t>
  </si>
  <si>
    <t>Liquidación  PLAN 9161 curso ''LIQUIDACIÓN MÁSTER EN PROPIEDAD INDUSTRIAL E INTELECTUAL 9161'' ORDEN 5320</t>
  </si>
  <si>
    <t>REINTEGRO CUOTA PATRONAL CORRESPONDIENTE AL MES DE NOVIEMBRE 2019.</t>
  </si>
  <si>
    <t>REINTEGRO CUOTA PATRONAL CORRESPONDIENTE AL MES DE OCTUBRE DE 2019.</t>
  </si>
  <si>
    <t>Reintegro de cuota patronal correspondiente al mes de agosto 2019</t>
  </si>
  <si>
    <t>Reintegro de Cuota Patronal del mes de diciembre 2019</t>
  </si>
  <si>
    <t>Reintegro de cuota patronal del mes de julio 2019</t>
  </si>
  <si>
    <t>Reintegro de cuota patronal por IT mes de mayo</t>
  </si>
  <si>
    <t>Reintegro de Cuota patronal por IT. Mes de junio 2019</t>
  </si>
  <si>
    <t>Reintegro por IT de Cuota Patronal del mes de septiembre de 2019</t>
  </si>
  <si>
    <t>35.20.2T.00.03</t>
  </si>
  <si>
    <t>Campillo Fernandez, Francisca 9322 MÁSTER EN DISEÑO, NUEVAS TECNOLOGÍAS Y GESTIÓN DE LA INNOVACIÓN EN EL SECTOR DEL CALZADO</t>
  </si>
  <si>
    <t>Francisca Campillo Rodríguez. MÁSTER EN DISEÑO, NUEVAS TECNOLOGÍAS Y GESTIÓN DE LA INNOVACIÓN EN EL SECTOR DEL CALZADO.</t>
  </si>
  <si>
    <t>Liquidación  PLAN 9322 curso ''MÁSTER EN DISEÑO, NUEVAS TECNOLOGÍAS Y GESTIÓN DE LA INNOVACIÓN EN EL SECTOR DEL CALZADO'' ORDEN 5456</t>
  </si>
  <si>
    <t>Liquidación  PLAN 9324 curso ''EXPERTO EN NUEVAS TECNOLOGÍAS Y CONTROL DE LA CALIDAD APLICABLE AL SECTOR DEL CALZADO'' ORDEN 5466</t>
  </si>
  <si>
    <t>Lloret Barceló, Fernando. 9324 EXPERTO EN NUEVAS TECNOLOGÍAS Y CONTROL DE LA CALIDAD APLICABLE AL SECTOR DEL CALZADO</t>
  </si>
  <si>
    <t xml:space="preserve">Sebastián Hernández, Adriana.  EXPERTO EN NUEVAS TECNOLOGIAS Y CONTROL DE LA CALIDAD APLICABLE AL SECTOR DEL CALZADO. </t>
  </si>
  <si>
    <t>35.20.2T.00.04</t>
  </si>
  <si>
    <t>Liquidación PLAN 9318 "Máster en propiedad intelectual e innovación digital"</t>
  </si>
  <si>
    <t>Liquidación PLAN 9320 "Especialista en marcas y diseños"</t>
  </si>
  <si>
    <t>35.20.2T.00.05</t>
  </si>
  <si>
    <t>Liquidación PLAN 9322 "Máster en diseño, nuevas tecnologías y gestión de la innovación"</t>
  </si>
  <si>
    <t>Liquidación PLAN 9323 "Especialista en diseño y gestión de la innovación aplicable al sector del calzado"</t>
  </si>
  <si>
    <t>COD DEP</t>
  </si>
  <si>
    <t>vivos</t>
  </si>
  <si>
    <t>Lorca Sánchez, Miguel Angel </t>
  </si>
  <si>
    <t>El derecho al secreto de las comunicaciones. Influencia de la jurisprudencia y análisis de su aplicación en la práctica jurídica. </t>
  </si>
  <si>
    <t>12/03/2021 </t>
  </si>
  <si>
    <t>Antequera Jiménez, Pedro Jesus </t>
  </si>
  <si>
    <t>LA MEDIACIÓN PENAL EN ASUNTOS DE VIOLENCIA DE GÉNERO </t>
  </si>
  <si>
    <t>30/04/2021 </t>
  </si>
  <si>
    <t>García-Cremades Mira, Alejandro </t>
  </si>
  <si>
    <t>Mecanismos de solución del bloqueo societario </t>
  </si>
  <si>
    <t>14/07/2021 </t>
  </si>
  <si>
    <t>25146159Y </t>
  </si>
  <si>
    <t>Rabasa Martínez, Ignacio </t>
  </si>
  <si>
    <t>EL SECRETO EMPRESARIAL EN LA INDUSTRIA DEL FITOMEJORAMIENTO </t>
  </si>
  <si>
    <t>29/01/2021 </t>
  </si>
  <si>
    <t>35.20.6C.00.07</t>
  </si>
  <si>
    <t>Intervención mediadora en el Departamento de Bienestar Social del Ayuntamiento de Torrevieja: actuaciones de la persona mediadora y emisión de informe final, en el marco del expediente de contratación menor AYTOTORREVIEJA1-19T: horas de estudio a pie de unidad</t>
  </si>
  <si>
    <t>REINTEGRO CUOTA PATRONAL CORRESPONDIENTE A DICIEMBRE DE 2020.</t>
  </si>
  <si>
    <t>LIBERADOS EL 06/11/2020. ANUALIDAD 2020 PROYECTOS I+D (PIA1) N EXPEDIENTE PIA12017-1 -3 ANUALIDAD. REFERENCIA. DER2017-87516-P</t>
  </si>
  <si>
    <t>FLIB.18/02/2020 PROYECTOS RETOS INVESTIGACIÓN 2017.ANUAL 2020 PROYECTOS I+D RETOS (PIA 13) N EXPEDIENTE:PIA 132017-1-3 ANUALIDAD REFERENCIA: DER2017-87675-R.</t>
  </si>
  <si>
    <t>REIMBURSEMENT AMICABLE STEERING COMMITTEE TRAVEL COST. REF. BENEFICIARIO: BYLADEM 1001E6F05053080676Q0. LA OFICINA DE GESTION DE PROYECTOS INTERNACIONALES INFORMA QUE CORRESPONDE AL PAGO POR EL VIAJE REALIZADO POR SOLEDAD RUÍZ DE LA CUESTA, PARA UNA REUNIÓN DE CONSORCIO DEL PROYECTO AMICABLE QUE LIDERA.</t>
  </si>
  <si>
    <t>REIMBURSEMENT AMICABLE STEERING COMMITTEE TRAVEL COST. REF. BENEFICIARIO: BYLADEM 1001E6F05053222356K4. LA OFICINA DE GESTIÓN DE PROYECTOS INTERNACIONALES INFORMA QUE CORRESPONDE AL PAGO POR EL VIAJE REALIZADO POR MÓNICA HERRANZ A UNA REUNIÓN DE CONSORCIO DEL PROYECTO AMICABLE. DEPTO. DE DERECHO MERCANTIL Y PROCESAL.</t>
  </si>
  <si>
    <t>Reintegro cuota patronal Abril 2020</t>
  </si>
  <si>
    <t>REINTEGRO CUOTA PATRONAL CORRESPONDIENTE A JUNIO DE 2020.</t>
  </si>
  <si>
    <t>REINTEGRO CUOTA PATRONAL CORRESPONDIENTE A SEPTIEMBRE DE 2020.</t>
  </si>
  <si>
    <t>REINTEGRO CUOTA PATRONAL CORRESPONDIENTE AL MES DE ENERO DE 2020.</t>
  </si>
  <si>
    <t>REINTEGRO CUOTA PATRONAL CORRESPONDIENTE AL MES DE MARZO DE 2020</t>
  </si>
  <si>
    <t>REINTEGRO CUOTA PATRONAL CORRESPONDIENTE AL MES DE MAYO DE 2020.</t>
  </si>
  <si>
    <t>REINTEGRO CUOTA PATRONAL FEBRERO DE 2020.</t>
  </si>
  <si>
    <t>REINTEGRO CUOTA PATRONAL CORRESPONDIENTE A JULIO 2020.</t>
  </si>
  <si>
    <t>REINTEGRO CUOTA PATRONAL CORRESPONDIENTE A OCTUBRE DE 2020.</t>
  </si>
  <si>
    <t>Liquidación PLAN 9319 "Especialista en innovaciones técnicas y digitales"</t>
  </si>
  <si>
    <t xml:space="preserve">Plan 9318 curso 2019/2020 MÁSTER EN PROPIEDAD INTELECTUAL E INNOVACIÓN DIGITAL </t>
  </si>
  <si>
    <t xml:space="preserve">Plan 9318 curso 2020/2021 MÁSTER EN PROPIEDAD INTELECTUAL E INNOVACIÓN DIGITAL </t>
  </si>
  <si>
    <t xml:space="preserve">Plan 9320 curso 2020-21 ESPECIALISTA EN MARCAS Y DISEÑOS. COMPETENCIA Y DERECHOS DE AUTOR </t>
  </si>
  <si>
    <t xml:space="preserve">2ª Liquidación PLAN 9322 ''MÁSTER EN DISEÑO, NUEVAS TECNOLOGÍAS Y GESTIÓN DE LA INNOVACIÓN EN EL SECTOR DEL CALZADO'' </t>
  </si>
  <si>
    <t>2º Ingreso Plan 9322 curso 2019-20  MASTER EN  DISEÑO, NUEVAS TECNOLOGÍAS Y GESTIÓN DE LA INNOVACIÓN EN EL SECTOR DEL CALZADO</t>
  </si>
  <si>
    <t>Liquidación PLAN 9324 "Experto en nuevas tecnologías y control de calidad"</t>
  </si>
  <si>
    <t xml:space="preserve">Plan 9322 Curso 2020-21MÁSTER EN  MASTER EN  DISEÑO, NUEVAS TECNOLOGÍAS Y GESTIÓN DE LA INNOVACIÓN EN EL SECTOR DEL CALZADO </t>
  </si>
  <si>
    <t>Plan 9323 curso 2020-21 ESPECIALISTA EN DISEÑO Y GESTIÓN DE LA INNOVACIÓN APLICABLE AL SECTOR DEL CALZADO</t>
  </si>
  <si>
    <t>35.20.6C.00.12</t>
  </si>
  <si>
    <t>Prestación de servicios de mediación para el Ayuntamiento de Torrevieja en el marco del expediente AYTOTORREVIEJA3-21TPA</t>
  </si>
  <si>
    <t>35.20.6C.00.13</t>
  </si>
  <si>
    <t>UDRA1-21TPA Informe sobre la imposibilidad de supresión del artículo 9 de los estatutos sociales de distrito Castellana Norte, que reconoce, un derecho de adquisición preferente para los socios, sin el consentimiento expreso de otros</t>
  </si>
  <si>
    <t>35.20.6C.00.14</t>
  </si>
  <si>
    <t>SALVADORORLANDO1-21TPA Informe preliminar sobre DO</t>
  </si>
  <si>
    <t>35.20.6M.00.02</t>
  </si>
  <si>
    <t xml:space="preserve">PAGO ANTICIPO 65% CONVENIO CON LAS UNIVERSIDADES PÚBLICAS DE LA COMUNIDAD VALENCIANAS. UNIVERSIDAD DE ALICANTE., SEGÚN INFORMAN DESDE EL DPTO DCHO PROCESAL  </t>
  </si>
  <si>
    <t>35.20.6P.00.11</t>
  </si>
  <si>
    <t>AYUDAS GRUPOS EMERGENTES ANUALIDAD 2021</t>
  </si>
  <si>
    <t>35.20.6P.00.12</t>
  </si>
  <si>
    <t>PID2020-119878GB-I00</t>
  </si>
  <si>
    <t>35.20.6P.00.13</t>
  </si>
  <si>
    <t>PID2020-118006RB-I00</t>
  </si>
  <si>
    <t>PROYECTO AMICABLE (COORDINA LA PROF SOLEDAD RUIZ). SEGUN INFORMAN DESDE OGPI (RETENCIÓN 7%)</t>
  </si>
  <si>
    <t>35.20.2E.00.13</t>
  </si>
  <si>
    <t>Ayuda para la realización de la "Jornada Ocupación ilegal de la vivienda, una perspectiva procesal actual", que se celebrará el 24/09/2021.</t>
  </si>
  <si>
    <t>REINTEGRO CUOTA PATRONAL CORRESPONDIENTE A FEBRERO 2021</t>
  </si>
  <si>
    <t>Carlos Manuel Barrios Barragán. MÁSTER EN ARGUMENTACIÓN JURÍDICA</t>
  </si>
  <si>
    <t>REINTEGRO CUOTA PATRONAL CORRESPONDIENTE A MARZO DE 2021.</t>
  </si>
  <si>
    <t>Plan 9318_Curso 2021-22 MÁSTER EN PROPIEDAD INTELECTUAL E INNOVACIÓN DIGITAL.</t>
  </si>
  <si>
    <t>Plan 9324 Curso 2020-21 EXPERTO/A EN NUEVAS TECNOLOGÍAS Y CONTROL DE LA CALIDAD APLICABLE AL SECTOR DEL CALZADO.</t>
  </si>
  <si>
    <t>Plan 9322 Curso 2020-21 MÁSTER EN  MASTER EN  DISEÑO, NUEVAS TECNOLOGÍAS Y GESTIÓN DE LA INNOVACIÓN EN EL SECTOR DEL CALZADO</t>
  </si>
  <si>
    <t>Plan 9323 curso 2020-21 ESPECIALISTA EN DISEÑO Y GESTIÓN DE LA INNOVACIÓN APLICABLE AL SECTOR DEL CALZADO. COMPLEMENTARIO AL JI2020/4029</t>
  </si>
  <si>
    <t xml:space="preserve">Plan 9323 Curso 2021-22 ESPECIALISTA EN DISEÑO Y GESTIÓN DE LA INNOVACIÓN APLICABLE AL SECTOR DEL CALZADO. 2ª REDISTRIBUCIÓN EN EXPEDIENTE DE INCORPORACIÓN DE REMANENTE EN 2022: 2022EXPADM0104 </t>
  </si>
  <si>
    <t xml:space="preserve">Plan 9322 curso 2021-22, MÁSTER EN DISEÑO, NUEVAS TECNOLOGÍAS Y GESTIÓN DE LA INNOVACIÓN EN EL SECTOR DEL CALZADO </t>
  </si>
  <si>
    <t>García Martínez, Andrea </t>
  </si>
  <si>
    <t>El debilitamiento de la función de garantía del capital social como mecanismo de protección de los acreedores </t>
  </si>
  <si>
    <t>10/12/2021 </t>
  </si>
  <si>
    <t>44878796T</t>
  </si>
  <si>
    <t>DURAN SILVA, CARMEN MARIA</t>
  </si>
  <si>
    <t>48623874B</t>
  </si>
  <si>
    <t>GIMENO BEVIA, JOSE VICENTE</t>
  </si>
  <si>
    <t>Total ingresos investigación 2019, 2020 y 2021</t>
  </si>
  <si>
    <t>Total ingreos formación 2019, 202 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</si>
</sst>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s>
  <fills count="8">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45">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2" borderId="0" xfId="1" applyFont="1" applyFill="1" applyAlignment="1"/>
    <xf numFmtId="0" fontId="3" fillId="2" borderId="0" xfId="1" applyFont="1" applyFill="1" applyAlignment="1">
      <alignment horizontal="right"/>
    </xf>
    <xf numFmtId="164" fontId="4" fillId="2" borderId="1" xfId="1" applyNumberFormat="1" applyFont="1" applyFill="1" applyBorder="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0" fontId="0" fillId="0" borderId="1" xfId="0" applyBorder="1" applyAlignment="1">
      <alignment horizontal="left"/>
    </xf>
    <xf numFmtId="4" fontId="1" fillId="0" borderId="0" xfId="0" applyNumberFormat="1" applyFont="1"/>
    <xf numFmtId="0" fontId="3" fillId="4" borderId="1" xfId="1" applyFill="1" applyBorder="1"/>
    <xf numFmtId="0" fontId="11" fillId="6" borderId="1" xfId="0" applyFont="1" applyFill="1" applyBorder="1" applyAlignment="1">
      <alignment horizontal="left" vertical="center"/>
    </xf>
    <xf numFmtId="0" fontId="11" fillId="6" borderId="2"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0" fontId="3" fillId="0" borderId="1" xfId="1" applyBorder="1"/>
    <xf numFmtId="0" fontId="9" fillId="3" borderId="1" xfId="3" applyFont="1" applyFill="1" applyBorder="1" applyAlignment="1">
      <alignment horizontal="center" wrapText="1"/>
    </xf>
    <xf numFmtId="0" fontId="10" fillId="7" borderId="0" xfId="5" applyFont="1" applyFill="1"/>
    <xf numFmtId="0" fontId="10" fillId="7" borderId="0" xfId="5" applyFont="1" applyFill="1" applyAlignment="1">
      <alignment horizontal="right"/>
    </xf>
    <xf numFmtId="164" fontId="12" fillId="7" borderId="0" xfId="5" applyNumberFormat="1" applyFont="1" applyFill="1"/>
    <xf numFmtId="0" fontId="2" fillId="0" borderId="1" xfId="0" applyFont="1" applyBorder="1" applyAlignment="1">
      <alignment horizontal="right"/>
    </xf>
    <xf numFmtId="4" fontId="4" fillId="0" borderId="1" xfId="0" applyNumberFormat="1" applyFont="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8"/>
  <sheetViews>
    <sheetView showGridLines="0" tabSelected="1" zoomScale="120" zoomScaleNormal="120" workbookViewId="0">
      <pane xSplit="1" ySplit="1" topLeftCell="F5" activePane="bottomRight" state="frozen"/>
      <selection pane="topRight" activeCell="B1" sqref="B1"/>
      <selection pane="bottomLeft" activeCell="A2" sqref="A2"/>
      <selection pane="bottomRight" activeCell="S2" sqref="S2:S18"/>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33.6640625" style="13" customWidth="1"/>
    <col min="11" max="12" width="5.109375" style="13" customWidth="1"/>
    <col min="13" max="13" width="4.44140625" style="13" customWidth="1"/>
    <col min="14" max="14" width="4.88671875" style="13" customWidth="1"/>
    <col min="15" max="15" width="4.88671875" style="17" customWidth="1"/>
    <col min="16" max="16" width="4.88671875" style="13" customWidth="1"/>
    <col min="17" max="17" width="3.5546875" style="17" customWidth="1"/>
    <col min="18" max="18" width="3.5546875" style="13" customWidth="1"/>
    <col min="19" max="21" width="5.109375" style="13" customWidth="1"/>
    <col min="22" max="16384" width="10.33203125" style="13"/>
  </cols>
  <sheetData>
    <row r="1" spans="1:21" ht="40.799999999999997" x14ac:dyDescent="0.2">
      <c r="A1" s="8" t="s">
        <v>9</v>
      </c>
      <c r="B1" s="9" t="s">
        <v>10</v>
      </c>
      <c r="C1" s="9" t="s">
        <v>11</v>
      </c>
      <c r="D1" s="9" t="s">
        <v>12</v>
      </c>
      <c r="E1" s="9" t="s">
        <v>13</v>
      </c>
      <c r="F1" s="9" t="s">
        <v>14</v>
      </c>
      <c r="G1" s="9" t="s">
        <v>15</v>
      </c>
      <c r="H1" s="9" t="s">
        <v>16</v>
      </c>
      <c r="I1" s="8" t="s">
        <v>17</v>
      </c>
      <c r="J1" s="9" t="s">
        <v>18</v>
      </c>
      <c r="K1" s="8" t="s">
        <v>19</v>
      </c>
      <c r="L1" s="9" t="s">
        <v>20</v>
      </c>
      <c r="M1" s="10" t="s">
        <v>21</v>
      </c>
      <c r="N1" s="11" t="s">
        <v>22</v>
      </c>
      <c r="O1" s="12" t="s">
        <v>23</v>
      </c>
      <c r="P1" s="11" t="s">
        <v>24</v>
      </c>
      <c r="Q1" s="12" t="s">
        <v>25</v>
      </c>
      <c r="R1" s="11" t="s">
        <v>26</v>
      </c>
      <c r="S1" s="11" t="s">
        <v>27</v>
      </c>
      <c r="T1" s="11" t="s">
        <v>28</v>
      </c>
      <c r="U1" s="11" t="s">
        <v>29</v>
      </c>
    </row>
    <row r="2" spans="1:21" x14ac:dyDescent="0.2">
      <c r="A2" s="29" t="s">
        <v>37</v>
      </c>
      <c r="B2" s="29" t="s">
        <v>38</v>
      </c>
      <c r="C2" s="29" t="s">
        <v>39</v>
      </c>
      <c r="D2" s="29" t="s">
        <v>55</v>
      </c>
      <c r="E2" s="29" t="s">
        <v>56</v>
      </c>
      <c r="F2" s="29" t="s">
        <v>57</v>
      </c>
      <c r="G2" s="29" t="s">
        <v>58</v>
      </c>
      <c r="H2" s="29" t="s">
        <v>30</v>
      </c>
      <c r="I2" s="29" t="s">
        <v>50</v>
      </c>
      <c r="J2" s="29" t="s">
        <v>51</v>
      </c>
      <c r="K2" s="34">
        <v>0.5</v>
      </c>
      <c r="L2" s="29" t="s">
        <v>52</v>
      </c>
      <c r="M2" s="29">
        <v>2016</v>
      </c>
      <c r="N2" s="29" t="s">
        <v>32</v>
      </c>
      <c r="O2" s="35" t="s">
        <v>32</v>
      </c>
      <c r="P2" s="29" t="s">
        <v>32</v>
      </c>
      <c r="Q2" s="35" t="s">
        <v>32</v>
      </c>
      <c r="R2" s="36">
        <v>100</v>
      </c>
      <c r="S2" s="34">
        <v>0.5</v>
      </c>
      <c r="T2" s="34">
        <v>0</v>
      </c>
      <c r="U2" s="34">
        <v>0</v>
      </c>
    </row>
    <row r="3" spans="1:21" x14ac:dyDescent="0.2">
      <c r="A3" s="29" t="s">
        <v>37</v>
      </c>
      <c r="B3" s="29" t="s">
        <v>38</v>
      </c>
      <c r="C3" s="29" t="s">
        <v>39</v>
      </c>
      <c r="D3" s="29" t="s">
        <v>55</v>
      </c>
      <c r="E3" s="29" t="s">
        <v>56</v>
      </c>
      <c r="F3" s="29" t="s">
        <v>57</v>
      </c>
      <c r="G3" s="29" t="s">
        <v>59</v>
      </c>
      <c r="H3" s="29" t="s">
        <v>30</v>
      </c>
      <c r="I3" s="29" t="s">
        <v>50</v>
      </c>
      <c r="J3" s="29" t="s">
        <v>51</v>
      </c>
      <c r="K3" s="34">
        <v>0.5</v>
      </c>
      <c r="L3" s="29" t="s">
        <v>52</v>
      </c>
      <c r="M3" s="29">
        <v>2016</v>
      </c>
      <c r="N3" s="29" t="s">
        <v>32</v>
      </c>
      <c r="O3" s="35" t="s">
        <v>32</v>
      </c>
      <c r="P3" s="29" t="s">
        <v>32</v>
      </c>
      <c r="Q3" s="35" t="s">
        <v>32</v>
      </c>
      <c r="R3" s="36">
        <v>100</v>
      </c>
      <c r="S3" s="34">
        <v>0.5</v>
      </c>
      <c r="T3" s="34">
        <v>0</v>
      </c>
      <c r="U3" s="34">
        <v>0</v>
      </c>
    </row>
    <row r="4" spans="1:21" x14ac:dyDescent="0.2">
      <c r="A4" s="29" t="s">
        <v>37</v>
      </c>
      <c r="B4" s="29" t="s">
        <v>38</v>
      </c>
      <c r="C4" s="29" t="s">
        <v>39</v>
      </c>
      <c r="D4" s="29" t="s">
        <v>60</v>
      </c>
      <c r="E4" s="29" t="s">
        <v>61</v>
      </c>
      <c r="F4" s="29" t="s">
        <v>43</v>
      </c>
      <c r="G4" s="29" t="s">
        <v>54</v>
      </c>
      <c r="H4" s="29" t="s">
        <v>30</v>
      </c>
      <c r="I4" s="29" t="s">
        <v>50</v>
      </c>
      <c r="J4" s="29" t="s">
        <v>51</v>
      </c>
      <c r="K4" s="34">
        <v>0.5</v>
      </c>
      <c r="L4" s="29" t="s">
        <v>52</v>
      </c>
      <c r="M4" s="29">
        <v>2016</v>
      </c>
      <c r="N4" s="29" t="s">
        <v>41</v>
      </c>
      <c r="O4" s="35" t="s">
        <v>31</v>
      </c>
      <c r="P4" s="29" t="s">
        <v>32</v>
      </c>
      <c r="Q4" s="35" t="s">
        <v>32</v>
      </c>
      <c r="R4" s="36">
        <v>50</v>
      </c>
      <c r="S4" s="34">
        <v>0.25</v>
      </c>
      <c r="T4" s="34">
        <v>0.25</v>
      </c>
      <c r="U4" s="34">
        <v>0</v>
      </c>
    </row>
    <row r="5" spans="1:21" x14ac:dyDescent="0.2">
      <c r="A5" s="29" t="s">
        <v>37</v>
      </c>
      <c r="B5" s="29" t="s">
        <v>38</v>
      </c>
      <c r="C5" s="29" t="s">
        <v>39</v>
      </c>
      <c r="D5" s="29" t="s">
        <v>60</v>
      </c>
      <c r="E5" s="29" t="s">
        <v>61</v>
      </c>
      <c r="F5" s="29" t="s">
        <v>43</v>
      </c>
      <c r="G5" s="29" t="s">
        <v>53</v>
      </c>
      <c r="H5" s="29" t="s">
        <v>30</v>
      </c>
      <c r="I5" s="29" t="s">
        <v>50</v>
      </c>
      <c r="J5" s="29" t="s">
        <v>51</v>
      </c>
      <c r="K5" s="34">
        <v>0.5</v>
      </c>
      <c r="L5" s="29" t="s">
        <v>52</v>
      </c>
      <c r="M5" s="29">
        <v>2016</v>
      </c>
      <c r="N5" s="29" t="s">
        <v>41</v>
      </c>
      <c r="O5" s="35" t="s">
        <v>34</v>
      </c>
      <c r="P5" s="29" t="s">
        <v>32</v>
      </c>
      <c r="Q5" s="35" t="s">
        <v>32</v>
      </c>
      <c r="R5" s="36">
        <v>90</v>
      </c>
      <c r="S5" s="34">
        <v>0.45</v>
      </c>
      <c r="T5" s="34">
        <v>0.05</v>
      </c>
      <c r="U5" s="34">
        <v>0</v>
      </c>
    </row>
    <row r="6" spans="1:21" x14ac:dyDescent="0.2">
      <c r="A6" s="29" t="s">
        <v>37</v>
      </c>
      <c r="B6" s="29" t="s">
        <v>38</v>
      </c>
      <c r="C6" s="29" t="s">
        <v>39</v>
      </c>
      <c r="D6" s="29" t="s">
        <v>46</v>
      </c>
      <c r="E6" s="29" t="s">
        <v>47</v>
      </c>
      <c r="F6" s="29" t="s">
        <v>48</v>
      </c>
      <c r="G6" s="29" t="s">
        <v>54</v>
      </c>
      <c r="H6" s="29" t="s">
        <v>30</v>
      </c>
      <c r="I6" s="29" t="s">
        <v>50</v>
      </c>
      <c r="J6" s="29" t="s">
        <v>51</v>
      </c>
      <c r="K6" s="34">
        <v>0.5</v>
      </c>
      <c r="L6" s="29" t="s">
        <v>52</v>
      </c>
      <c r="M6" s="29">
        <v>2017</v>
      </c>
      <c r="N6" s="29" t="s">
        <v>41</v>
      </c>
      <c r="O6" s="35" t="s">
        <v>31</v>
      </c>
      <c r="P6" s="29" t="s">
        <v>32</v>
      </c>
      <c r="Q6" s="35" t="s">
        <v>32</v>
      </c>
      <c r="R6" s="36">
        <v>50</v>
      </c>
      <c r="S6" s="34">
        <v>0.25</v>
      </c>
      <c r="T6" s="34">
        <v>0.25</v>
      </c>
      <c r="U6" s="34">
        <v>0</v>
      </c>
    </row>
    <row r="7" spans="1:21" x14ac:dyDescent="0.2">
      <c r="A7" s="29" t="s">
        <v>37</v>
      </c>
      <c r="B7" s="29" t="s">
        <v>38</v>
      </c>
      <c r="C7" s="29" t="s">
        <v>39</v>
      </c>
      <c r="D7" s="29" t="s">
        <v>64</v>
      </c>
      <c r="E7" s="29" t="s">
        <v>65</v>
      </c>
      <c r="F7" s="29" t="s">
        <v>40</v>
      </c>
      <c r="G7" s="29" t="s">
        <v>66</v>
      </c>
      <c r="H7" s="29" t="s">
        <v>30</v>
      </c>
      <c r="I7" s="29" t="s">
        <v>50</v>
      </c>
      <c r="J7" s="29" t="s">
        <v>51</v>
      </c>
      <c r="K7" s="37">
        <v>0.5</v>
      </c>
      <c r="L7" s="29" t="s">
        <v>52</v>
      </c>
      <c r="M7" s="29">
        <v>2018</v>
      </c>
      <c r="N7" s="29" t="s">
        <v>32</v>
      </c>
      <c r="O7" s="35" t="s">
        <v>32</v>
      </c>
      <c r="P7" s="29" t="s">
        <v>32</v>
      </c>
      <c r="Q7" s="35" t="s">
        <v>32</v>
      </c>
      <c r="R7" s="36">
        <v>100</v>
      </c>
      <c r="S7" s="34">
        <v>0.5</v>
      </c>
      <c r="T7" s="34">
        <v>0</v>
      </c>
      <c r="U7" s="34">
        <v>0</v>
      </c>
    </row>
    <row r="8" spans="1:21" x14ac:dyDescent="0.2">
      <c r="A8" s="29" t="s">
        <v>37</v>
      </c>
      <c r="B8" s="29" t="s">
        <v>38</v>
      </c>
      <c r="C8" s="29" t="s">
        <v>39</v>
      </c>
      <c r="D8" s="29" t="s">
        <v>64</v>
      </c>
      <c r="E8" s="29" t="s">
        <v>65</v>
      </c>
      <c r="F8" s="29" t="s">
        <v>40</v>
      </c>
      <c r="G8" s="29" t="s">
        <v>53</v>
      </c>
      <c r="H8" s="29" t="s">
        <v>30</v>
      </c>
      <c r="I8" s="29" t="s">
        <v>50</v>
      </c>
      <c r="J8" s="29" t="s">
        <v>51</v>
      </c>
      <c r="K8" s="37">
        <v>0.5</v>
      </c>
      <c r="L8" s="29" t="s">
        <v>52</v>
      </c>
      <c r="M8" s="29">
        <v>2018</v>
      </c>
      <c r="N8" s="29" t="s">
        <v>41</v>
      </c>
      <c r="O8" s="35" t="s">
        <v>34</v>
      </c>
      <c r="P8" s="29" t="s">
        <v>32</v>
      </c>
      <c r="Q8" s="35" t="s">
        <v>32</v>
      </c>
      <c r="R8" s="36">
        <v>90</v>
      </c>
      <c r="S8" s="34">
        <v>0.45</v>
      </c>
      <c r="T8" s="34">
        <v>0.05</v>
      </c>
      <c r="U8" s="34">
        <v>0</v>
      </c>
    </row>
    <row r="9" spans="1:21" ht="10.8" thickBot="1" x14ac:dyDescent="0.25">
      <c r="A9" s="29" t="s">
        <v>37</v>
      </c>
      <c r="B9" s="29" t="s">
        <v>38</v>
      </c>
      <c r="C9" s="29" t="s">
        <v>39</v>
      </c>
      <c r="D9" s="29" t="s">
        <v>62</v>
      </c>
      <c r="E9" s="29" t="s">
        <v>63</v>
      </c>
      <c r="F9" s="29" t="s">
        <v>35</v>
      </c>
      <c r="G9" s="29" t="s">
        <v>49</v>
      </c>
      <c r="H9" s="29" t="s">
        <v>30</v>
      </c>
      <c r="I9" s="29" t="s">
        <v>50</v>
      </c>
      <c r="J9" s="29" t="s">
        <v>51</v>
      </c>
      <c r="K9" s="37">
        <v>0.5</v>
      </c>
      <c r="L9" s="29" t="s">
        <v>52</v>
      </c>
      <c r="M9" s="29">
        <v>2018</v>
      </c>
      <c r="N9" s="29" t="s">
        <v>32</v>
      </c>
      <c r="O9" s="35" t="s">
        <v>32</v>
      </c>
      <c r="P9" s="29" t="s">
        <v>32</v>
      </c>
      <c r="Q9" s="35" t="s">
        <v>32</v>
      </c>
      <c r="R9" s="36">
        <v>100</v>
      </c>
      <c r="S9" s="34">
        <v>0.5</v>
      </c>
      <c r="T9" s="34">
        <v>0</v>
      </c>
      <c r="U9" s="34">
        <v>0</v>
      </c>
    </row>
    <row r="10" spans="1:21" ht="10.8" thickBot="1" x14ac:dyDescent="0.25">
      <c r="A10" s="30" t="s">
        <v>37</v>
      </c>
      <c r="B10" s="30" t="s">
        <v>38</v>
      </c>
      <c r="C10" s="30" t="s">
        <v>39</v>
      </c>
      <c r="D10" s="30" t="s">
        <v>189</v>
      </c>
      <c r="E10" s="30" t="s">
        <v>190</v>
      </c>
      <c r="F10" s="30" t="s">
        <v>191</v>
      </c>
      <c r="G10" s="31" t="s">
        <v>58</v>
      </c>
      <c r="H10" s="32" t="s">
        <v>30</v>
      </c>
      <c r="I10" s="32" t="s">
        <v>50</v>
      </c>
      <c r="J10" s="33" t="s">
        <v>51</v>
      </c>
      <c r="K10" s="38">
        <v>0.5</v>
      </c>
      <c r="L10" s="38" t="s">
        <v>52</v>
      </c>
      <c r="M10" s="29">
        <v>2020</v>
      </c>
      <c r="N10" s="29" t="s">
        <v>32</v>
      </c>
      <c r="O10" s="35" t="s">
        <v>32</v>
      </c>
      <c r="P10" s="29" t="s">
        <v>32</v>
      </c>
      <c r="Q10" s="35" t="s">
        <v>32</v>
      </c>
      <c r="R10" s="29">
        <v>100</v>
      </c>
      <c r="S10" s="29">
        <v>0.5</v>
      </c>
      <c r="T10" s="29">
        <v>0</v>
      </c>
      <c r="U10" s="29">
        <v>0</v>
      </c>
    </row>
    <row r="11" spans="1:21" ht="10.8" thickBot="1" x14ac:dyDescent="0.25">
      <c r="A11" s="30" t="s">
        <v>37</v>
      </c>
      <c r="B11" s="30" t="s">
        <v>38</v>
      </c>
      <c r="C11" s="30" t="s">
        <v>39</v>
      </c>
      <c r="D11" s="30" t="s">
        <v>189</v>
      </c>
      <c r="E11" s="30" t="s">
        <v>190</v>
      </c>
      <c r="F11" s="30" t="s">
        <v>191</v>
      </c>
      <c r="G11" s="31" t="s">
        <v>49</v>
      </c>
      <c r="H11" s="32" t="s">
        <v>30</v>
      </c>
      <c r="I11" s="32" t="s">
        <v>50</v>
      </c>
      <c r="J11" s="33" t="s">
        <v>51</v>
      </c>
      <c r="K11" s="38">
        <v>0.5</v>
      </c>
      <c r="L11" s="38" t="s">
        <v>52</v>
      </c>
      <c r="M11" s="29">
        <v>2020</v>
      </c>
      <c r="N11" s="29" t="s">
        <v>32</v>
      </c>
      <c r="O11" s="35" t="s">
        <v>32</v>
      </c>
      <c r="P11" s="29" t="s">
        <v>32</v>
      </c>
      <c r="Q11" s="35" t="s">
        <v>32</v>
      </c>
      <c r="R11" s="29">
        <v>100</v>
      </c>
      <c r="S11" s="29">
        <v>0.5</v>
      </c>
      <c r="T11" s="29">
        <v>0</v>
      </c>
      <c r="U11" s="29">
        <v>0</v>
      </c>
    </row>
    <row r="12" spans="1:21" ht="10.8" thickBot="1" x14ac:dyDescent="0.25">
      <c r="A12" s="30" t="s">
        <v>37</v>
      </c>
      <c r="B12" s="30" t="s">
        <v>38</v>
      </c>
      <c r="C12" s="30" t="s">
        <v>39</v>
      </c>
      <c r="D12" s="30" t="s">
        <v>192</v>
      </c>
      <c r="E12" s="30" t="s">
        <v>193</v>
      </c>
      <c r="F12" s="30" t="s">
        <v>194</v>
      </c>
      <c r="G12" s="31" t="s">
        <v>49</v>
      </c>
      <c r="H12" s="32" t="s">
        <v>30</v>
      </c>
      <c r="I12" s="32" t="s">
        <v>50</v>
      </c>
      <c r="J12" s="33" t="s">
        <v>51</v>
      </c>
      <c r="K12" s="38">
        <v>0.5</v>
      </c>
      <c r="L12" s="38" t="s">
        <v>52</v>
      </c>
      <c r="M12" s="29">
        <v>2020</v>
      </c>
      <c r="N12" s="29" t="s">
        <v>32</v>
      </c>
      <c r="O12" s="35" t="s">
        <v>32</v>
      </c>
      <c r="P12" s="29" t="s">
        <v>32</v>
      </c>
      <c r="Q12" s="35" t="s">
        <v>32</v>
      </c>
      <c r="R12" s="29">
        <v>100</v>
      </c>
      <c r="S12" s="29">
        <v>0.5</v>
      </c>
      <c r="T12" s="29">
        <v>0</v>
      </c>
      <c r="U12" s="29">
        <v>0</v>
      </c>
    </row>
    <row r="13" spans="1:21" ht="10.8" thickBot="1" x14ac:dyDescent="0.25">
      <c r="A13" s="30" t="s">
        <v>37</v>
      </c>
      <c r="B13" s="30" t="s">
        <v>38</v>
      </c>
      <c r="C13" s="30" t="s">
        <v>39</v>
      </c>
      <c r="D13" s="30" t="s">
        <v>192</v>
      </c>
      <c r="E13" s="30" t="s">
        <v>193</v>
      </c>
      <c r="F13" s="30" t="s">
        <v>194</v>
      </c>
      <c r="G13" s="31" t="s">
        <v>59</v>
      </c>
      <c r="H13" s="32" t="s">
        <v>30</v>
      </c>
      <c r="I13" s="32" t="s">
        <v>50</v>
      </c>
      <c r="J13" s="33" t="s">
        <v>51</v>
      </c>
      <c r="K13" s="38">
        <v>0.5</v>
      </c>
      <c r="L13" s="38" t="s">
        <v>52</v>
      </c>
      <c r="M13" s="29">
        <v>2020</v>
      </c>
      <c r="N13" s="29" t="s">
        <v>32</v>
      </c>
      <c r="O13" s="35" t="s">
        <v>32</v>
      </c>
      <c r="P13" s="29" t="s">
        <v>32</v>
      </c>
      <c r="Q13" s="35" t="s">
        <v>32</v>
      </c>
      <c r="R13" s="29">
        <v>100</v>
      </c>
      <c r="S13" s="29">
        <v>0.5</v>
      </c>
      <c r="T13" s="29">
        <v>0</v>
      </c>
      <c r="U13" s="29">
        <v>0</v>
      </c>
    </row>
    <row r="14" spans="1:21" ht="10.8" thickBot="1" x14ac:dyDescent="0.25">
      <c r="A14" s="30" t="s">
        <v>37</v>
      </c>
      <c r="B14" s="30" t="s">
        <v>38</v>
      </c>
      <c r="C14" s="30" t="s">
        <v>39</v>
      </c>
      <c r="D14" s="30" t="s">
        <v>195</v>
      </c>
      <c r="E14" s="30" t="s">
        <v>196</v>
      </c>
      <c r="F14" s="30" t="s">
        <v>197</v>
      </c>
      <c r="G14" s="31" t="s">
        <v>198</v>
      </c>
      <c r="H14" s="32" t="s">
        <v>30</v>
      </c>
      <c r="I14" s="32" t="s">
        <v>50</v>
      </c>
      <c r="J14" s="33" t="s">
        <v>51</v>
      </c>
      <c r="K14" s="38">
        <v>0.5</v>
      </c>
      <c r="L14" s="38" t="s">
        <v>52</v>
      </c>
      <c r="M14" s="29">
        <v>2020</v>
      </c>
      <c r="N14" s="29" t="s">
        <v>41</v>
      </c>
      <c r="O14" s="35" t="s">
        <v>45</v>
      </c>
      <c r="P14" s="29" t="s">
        <v>32</v>
      </c>
      <c r="Q14" s="35" t="s">
        <v>32</v>
      </c>
      <c r="R14" s="29">
        <v>75</v>
      </c>
      <c r="S14" s="29">
        <v>0.375</v>
      </c>
      <c r="T14" s="29">
        <v>0.125</v>
      </c>
      <c r="U14" s="29">
        <v>0</v>
      </c>
    </row>
    <row r="15" spans="1:21" ht="10.8" thickBot="1" x14ac:dyDescent="0.25">
      <c r="A15" s="30" t="s">
        <v>37</v>
      </c>
      <c r="B15" s="30" t="s">
        <v>38</v>
      </c>
      <c r="C15" s="30" t="s">
        <v>39</v>
      </c>
      <c r="D15" s="30" t="s">
        <v>195</v>
      </c>
      <c r="E15" s="30" t="s">
        <v>196</v>
      </c>
      <c r="F15" s="30" t="s">
        <v>197</v>
      </c>
      <c r="G15" s="31" t="s">
        <v>53</v>
      </c>
      <c r="H15" s="32" t="s">
        <v>30</v>
      </c>
      <c r="I15" s="32" t="s">
        <v>50</v>
      </c>
      <c r="J15" s="33" t="s">
        <v>51</v>
      </c>
      <c r="K15" s="38">
        <v>0.5</v>
      </c>
      <c r="L15" s="38" t="s">
        <v>52</v>
      </c>
      <c r="M15" s="29">
        <v>2020</v>
      </c>
      <c r="N15" s="29" t="s">
        <v>41</v>
      </c>
      <c r="O15" s="35" t="s">
        <v>34</v>
      </c>
      <c r="P15" s="29" t="s">
        <v>32</v>
      </c>
      <c r="Q15" s="35" t="s">
        <v>32</v>
      </c>
      <c r="R15" s="29">
        <v>90</v>
      </c>
      <c r="S15" s="29">
        <v>0.45</v>
      </c>
      <c r="T15" s="29">
        <v>0.05</v>
      </c>
      <c r="U15" s="29">
        <v>0</v>
      </c>
    </row>
    <row r="16" spans="1:21" ht="10.8" thickBot="1" x14ac:dyDescent="0.25">
      <c r="A16" s="30" t="s">
        <v>37</v>
      </c>
      <c r="B16" s="30" t="s">
        <v>38</v>
      </c>
      <c r="C16" s="30" t="s">
        <v>39</v>
      </c>
      <c r="D16" s="30" t="s">
        <v>199</v>
      </c>
      <c r="E16" s="30" t="s">
        <v>200</v>
      </c>
      <c r="F16" s="30" t="s">
        <v>201</v>
      </c>
      <c r="G16" s="31" t="s">
        <v>53</v>
      </c>
      <c r="H16" s="32" t="s">
        <v>33</v>
      </c>
      <c r="I16" s="32" t="s">
        <v>50</v>
      </c>
      <c r="J16" s="33" t="s">
        <v>51</v>
      </c>
      <c r="K16" s="38">
        <v>1</v>
      </c>
      <c r="L16" s="38" t="s">
        <v>52</v>
      </c>
      <c r="M16" s="29">
        <v>2020</v>
      </c>
      <c r="N16" s="29" t="s">
        <v>41</v>
      </c>
      <c r="O16" s="35" t="s">
        <v>34</v>
      </c>
      <c r="P16" s="29" t="s">
        <v>32</v>
      </c>
      <c r="Q16" s="35" t="s">
        <v>32</v>
      </c>
      <c r="R16" s="29">
        <v>90</v>
      </c>
      <c r="S16" s="29">
        <v>0.9</v>
      </c>
      <c r="T16" s="29">
        <v>0.1</v>
      </c>
      <c r="U16" s="29">
        <v>0</v>
      </c>
    </row>
    <row r="17" spans="1:21" x14ac:dyDescent="0.2">
      <c r="A17" s="29" t="s">
        <v>37</v>
      </c>
      <c r="B17" s="29" t="s">
        <v>38</v>
      </c>
      <c r="C17" s="29" t="s">
        <v>39</v>
      </c>
      <c r="D17" s="29" t="s">
        <v>253</v>
      </c>
      <c r="E17" s="29" t="s">
        <v>254</v>
      </c>
      <c r="F17" s="29" t="s">
        <v>255</v>
      </c>
      <c r="G17" s="29" t="s">
        <v>53</v>
      </c>
      <c r="H17" s="29" t="s">
        <v>33</v>
      </c>
      <c r="I17" s="29" t="s">
        <v>50</v>
      </c>
      <c r="J17" s="29" t="s">
        <v>51</v>
      </c>
      <c r="K17" s="38">
        <v>1</v>
      </c>
      <c r="L17" s="38" t="s">
        <v>52</v>
      </c>
      <c r="M17" s="29">
        <v>2021</v>
      </c>
      <c r="N17" s="29" t="s">
        <v>41</v>
      </c>
      <c r="O17" s="35" t="s">
        <v>34</v>
      </c>
      <c r="P17" s="29" t="s">
        <v>32</v>
      </c>
      <c r="Q17" s="35" t="s">
        <v>32</v>
      </c>
      <c r="R17" s="29">
        <v>90</v>
      </c>
      <c r="S17" s="29">
        <v>0.9</v>
      </c>
      <c r="T17" s="29">
        <v>0.1</v>
      </c>
      <c r="U17" s="29">
        <v>0</v>
      </c>
    </row>
    <row r="18" spans="1:21" x14ac:dyDescent="0.2">
      <c r="A18" s="14"/>
      <c r="B18" s="14"/>
      <c r="C18" s="14"/>
      <c r="D18" s="14"/>
      <c r="E18" s="14"/>
      <c r="F18" s="14"/>
      <c r="G18" s="14"/>
      <c r="H18" s="14"/>
      <c r="I18" s="14"/>
      <c r="J18" s="14"/>
      <c r="K18" s="14"/>
      <c r="L18" s="14"/>
      <c r="M18" s="14"/>
      <c r="N18" s="14"/>
      <c r="O18" s="15"/>
      <c r="P18" s="14"/>
      <c r="Q18" s="15"/>
      <c r="R18" s="14"/>
      <c r="S18" s="16">
        <f>SUM(S2:S17)</f>
        <v>8.0250000000000004</v>
      </c>
      <c r="T18" s="14"/>
      <c r="U18" s="14"/>
    </row>
  </sheetData>
  <autoFilter ref="A1:U17" xr:uid="{00000000-0009-0000-0000-000000000000}">
    <sortState xmlns:xlrd2="http://schemas.microsoft.com/office/spreadsheetml/2017/richdata2" ref="A2:U1911">
      <sortCondition ref="L2:L1911"/>
      <sortCondition ref="M2:M1911"/>
      <sortCondition ref="D2:D1911"/>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8"/>
  <sheetViews>
    <sheetView zoomScaleNormal="100" workbookViewId="0">
      <selection activeCell="A18" sqref="A18:S18"/>
    </sheetView>
  </sheetViews>
  <sheetFormatPr baseColWidth="10" defaultColWidth="11.44140625" defaultRowHeight="13.2" x14ac:dyDescent="0.25"/>
  <cols>
    <col min="1" max="1" width="10.88671875" style="21" bestFit="1" customWidth="1"/>
    <col min="2" max="2" width="48.109375" style="21" bestFit="1" customWidth="1"/>
    <col min="3" max="3" width="17" style="21" bestFit="1" customWidth="1"/>
    <col min="4" max="9" width="3.33203125" style="21" bestFit="1" customWidth="1"/>
    <col min="10" max="10" width="13.109375" style="21" bestFit="1" customWidth="1"/>
    <col min="11" max="11" width="5.33203125" style="21" bestFit="1" customWidth="1"/>
    <col min="12" max="13" width="5.6640625" style="21" bestFit="1" customWidth="1"/>
    <col min="14" max="14" width="5.6640625" style="22" bestFit="1" customWidth="1"/>
    <col min="15" max="15" width="5.6640625" style="21" bestFit="1" customWidth="1"/>
    <col min="16" max="16" width="5.6640625" style="22" bestFit="1" customWidth="1"/>
    <col min="17" max="19" width="5.6640625" style="21" bestFit="1" customWidth="1"/>
    <col min="20" max="16384" width="11.44140625" style="21"/>
  </cols>
  <sheetData>
    <row r="1" spans="1:19" s="20" customFormat="1" ht="60" customHeight="1" x14ac:dyDescent="0.25">
      <c r="A1" s="23" t="s">
        <v>67</v>
      </c>
      <c r="B1" s="23" t="s">
        <v>68</v>
      </c>
      <c r="C1" s="23" t="s">
        <v>69</v>
      </c>
      <c r="D1" s="24">
        <v>2017</v>
      </c>
      <c r="E1" s="24">
        <v>2018</v>
      </c>
      <c r="F1" s="24">
        <v>2019</v>
      </c>
      <c r="G1" s="24">
        <v>2020</v>
      </c>
      <c r="H1" s="24">
        <v>2021</v>
      </c>
      <c r="I1" s="24">
        <v>2022</v>
      </c>
      <c r="J1" s="23" t="s">
        <v>70</v>
      </c>
      <c r="K1" s="39" t="s">
        <v>187</v>
      </c>
      <c r="L1" s="18" t="s">
        <v>71</v>
      </c>
      <c r="M1" s="18" t="s">
        <v>72</v>
      </c>
      <c r="N1" s="18" t="s">
        <v>73</v>
      </c>
      <c r="O1" s="18" t="s">
        <v>74</v>
      </c>
      <c r="P1" s="19" t="s">
        <v>75</v>
      </c>
      <c r="Q1" s="19" t="s">
        <v>76</v>
      </c>
      <c r="R1" s="19" t="s">
        <v>77</v>
      </c>
      <c r="S1" s="19" t="s">
        <v>78</v>
      </c>
    </row>
    <row r="2" spans="1:19" ht="14.4" x14ac:dyDescent="0.3">
      <c r="A2" s="25" t="s">
        <v>89</v>
      </c>
      <c r="B2" s="25" t="s">
        <v>90</v>
      </c>
      <c r="C2" s="25" t="s">
        <v>79</v>
      </c>
      <c r="D2" s="25"/>
      <c r="E2" s="25"/>
      <c r="F2" s="25">
        <v>1</v>
      </c>
      <c r="G2" s="25"/>
      <c r="H2" s="25"/>
      <c r="I2" s="25">
        <v>1</v>
      </c>
      <c r="J2" s="25">
        <v>2</v>
      </c>
      <c r="K2" s="25" t="s">
        <v>52</v>
      </c>
      <c r="L2" s="26" t="s">
        <v>41</v>
      </c>
      <c r="M2" s="26" t="s">
        <v>31</v>
      </c>
      <c r="N2" s="26" t="s">
        <v>32</v>
      </c>
      <c r="O2" s="26" t="s">
        <v>32</v>
      </c>
      <c r="P2" s="26">
        <v>50</v>
      </c>
      <c r="Q2" s="26">
        <v>1</v>
      </c>
      <c r="R2" s="26">
        <v>0</v>
      </c>
      <c r="S2" s="26">
        <v>1</v>
      </c>
    </row>
    <row r="3" spans="1:19" ht="14.4" x14ac:dyDescent="0.3">
      <c r="A3" s="25" t="s">
        <v>81</v>
      </c>
      <c r="B3" s="25" t="s">
        <v>82</v>
      </c>
      <c r="C3" s="25">
        <v>6</v>
      </c>
      <c r="D3" s="25"/>
      <c r="E3" s="25">
        <v>1</v>
      </c>
      <c r="F3" s="25">
        <v>1</v>
      </c>
      <c r="G3" s="25"/>
      <c r="H3" s="25"/>
      <c r="I3" s="25"/>
      <c r="J3" s="25">
        <v>2</v>
      </c>
      <c r="K3" s="25" t="s">
        <v>52</v>
      </c>
      <c r="L3" s="26">
        <v>0</v>
      </c>
      <c r="M3" s="26">
        <v>0</v>
      </c>
      <c r="N3" s="26" t="s">
        <v>32</v>
      </c>
      <c r="O3" s="26" t="s">
        <v>32</v>
      </c>
      <c r="P3" s="26">
        <v>100</v>
      </c>
      <c r="Q3" s="26">
        <v>0</v>
      </c>
      <c r="R3" s="26">
        <v>0</v>
      </c>
      <c r="S3" s="26">
        <v>2</v>
      </c>
    </row>
    <row r="4" spans="1:19" ht="14.4" x14ac:dyDescent="0.3">
      <c r="A4" s="25" t="s">
        <v>85</v>
      </c>
      <c r="B4" s="25" t="s">
        <v>86</v>
      </c>
      <c r="C4" s="25" t="s">
        <v>80</v>
      </c>
      <c r="D4" s="25"/>
      <c r="E4" s="25"/>
      <c r="F4" s="25"/>
      <c r="G4" s="25"/>
      <c r="H4" s="25"/>
      <c r="I4" s="25">
        <v>1</v>
      </c>
      <c r="J4" s="25">
        <v>1</v>
      </c>
      <c r="K4" s="25" t="s">
        <v>52</v>
      </c>
      <c r="L4" s="26">
        <v>0</v>
      </c>
      <c r="M4" s="26">
        <v>0</v>
      </c>
      <c r="N4" s="26" t="s">
        <v>32</v>
      </c>
      <c r="O4" s="26" t="s">
        <v>32</v>
      </c>
      <c r="P4" s="26">
        <v>100</v>
      </c>
      <c r="Q4" s="26">
        <v>0</v>
      </c>
      <c r="R4" s="26">
        <v>0</v>
      </c>
      <c r="S4" s="26">
        <v>1</v>
      </c>
    </row>
    <row r="5" spans="1:19" ht="14.4" x14ac:dyDescent="0.3">
      <c r="A5" s="25" t="s">
        <v>103</v>
      </c>
      <c r="B5" s="25" t="s">
        <v>104</v>
      </c>
      <c r="C5" s="25" t="s">
        <v>79</v>
      </c>
      <c r="D5" s="25">
        <v>1</v>
      </c>
      <c r="E5" s="25"/>
      <c r="F5" s="25">
        <v>1</v>
      </c>
      <c r="G5" s="25"/>
      <c r="H5" s="25"/>
      <c r="I5" s="25"/>
      <c r="J5" s="25">
        <v>2</v>
      </c>
      <c r="K5" s="25" t="s">
        <v>52</v>
      </c>
      <c r="L5" s="26" t="s">
        <v>44</v>
      </c>
      <c r="M5" s="26" t="s">
        <v>36</v>
      </c>
      <c r="N5" s="26" t="s">
        <v>32</v>
      </c>
      <c r="O5" s="26" t="s">
        <v>32</v>
      </c>
      <c r="P5" s="26">
        <v>10</v>
      </c>
      <c r="Q5" s="26">
        <v>1.8</v>
      </c>
      <c r="R5" s="26">
        <v>0</v>
      </c>
      <c r="S5" s="26">
        <v>0.2</v>
      </c>
    </row>
    <row r="6" spans="1:19" ht="14.4" x14ac:dyDescent="0.3">
      <c r="A6" s="25" t="s">
        <v>91</v>
      </c>
      <c r="B6" s="25" t="s">
        <v>92</v>
      </c>
      <c r="C6" s="25">
        <v>6</v>
      </c>
      <c r="D6" s="25"/>
      <c r="E6" s="25"/>
      <c r="F6" s="25">
        <v>1</v>
      </c>
      <c r="G6" s="25"/>
      <c r="H6" s="25"/>
      <c r="I6" s="25">
        <v>1</v>
      </c>
      <c r="J6" s="25">
        <v>2</v>
      </c>
      <c r="K6" s="25" t="s">
        <v>52</v>
      </c>
      <c r="L6" s="26" t="s">
        <v>41</v>
      </c>
      <c r="M6" s="26" t="s">
        <v>34</v>
      </c>
      <c r="N6" s="26" t="s">
        <v>32</v>
      </c>
      <c r="O6" s="26" t="s">
        <v>32</v>
      </c>
      <c r="P6" s="26">
        <v>90</v>
      </c>
      <c r="Q6" s="26">
        <v>0.2</v>
      </c>
      <c r="R6" s="26">
        <v>0</v>
      </c>
      <c r="S6" s="26">
        <v>1.8</v>
      </c>
    </row>
    <row r="7" spans="1:19" ht="14.4" x14ac:dyDescent="0.3">
      <c r="A7" s="25" t="s">
        <v>95</v>
      </c>
      <c r="B7" s="25" t="s">
        <v>96</v>
      </c>
      <c r="C7" s="27" t="s">
        <v>79</v>
      </c>
      <c r="D7" s="25"/>
      <c r="E7" s="25">
        <v>1</v>
      </c>
      <c r="F7" s="25">
        <v>1</v>
      </c>
      <c r="G7" s="25"/>
      <c r="H7" s="25"/>
      <c r="I7" s="25"/>
      <c r="J7" s="25">
        <v>2</v>
      </c>
      <c r="K7" s="25" t="s">
        <v>52</v>
      </c>
      <c r="L7" s="26">
        <v>0</v>
      </c>
      <c r="M7" s="26">
        <v>0</v>
      </c>
      <c r="N7" s="26" t="s">
        <v>32</v>
      </c>
      <c r="O7" s="26" t="s">
        <v>32</v>
      </c>
      <c r="P7" s="26">
        <v>100</v>
      </c>
      <c r="Q7" s="26">
        <v>0</v>
      </c>
      <c r="R7" s="26">
        <v>0</v>
      </c>
      <c r="S7" s="26">
        <v>2</v>
      </c>
    </row>
    <row r="8" spans="1:19" ht="14.4" x14ac:dyDescent="0.3">
      <c r="A8" s="25" t="s">
        <v>93</v>
      </c>
      <c r="B8" s="25" t="s">
        <v>94</v>
      </c>
      <c r="C8" s="25" t="s">
        <v>79</v>
      </c>
      <c r="D8" s="25"/>
      <c r="E8" s="25"/>
      <c r="F8" s="25">
        <v>2</v>
      </c>
      <c r="G8" s="25"/>
      <c r="H8" s="25">
        <v>1</v>
      </c>
      <c r="I8" s="25"/>
      <c r="J8" s="25">
        <v>3</v>
      </c>
      <c r="K8" s="25" t="s">
        <v>52</v>
      </c>
      <c r="L8" s="26" t="s">
        <v>41</v>
      </c>
      <c r="M8" s="26" t="s">
        <v>45</v>
      </c>
      <c r="N8" s="26" t="s">
        <v>32</v>
      </c>
      <c r="O8" s="26" t="s">
        <v>32</v>
      </c>
      <c r="P8" s="26">
        <v>75</v>
      </c>
      <c r="Q8" s="26">
        <v>0.75</v>
      </c>
      <c r="R8" s="26">
        <v>0</v>
      </c>
      <c r="S8" s="26">
        <v>2.25</v>
      </c>
    </row>
    <row r="9" spans="1:19" ht="14.4" x14ac:dyDescent="0.3">
      <c r="A9" s="25" t="s">
        <v>97</v>
      </c>
      <c r="B9" s="25" t="s">
        <v>98</v>
      </c>
      <c r="C9" s="25" t="s">
        <v>79</v>
      </c>
      <c r="D9" s="25"/>
      <c r="E9" s="25"/>
      <c r="F9" s="25">
        <v>1</v>
      </c>
      <c r="G9" s="25">
        <v>1</v>
      </c>
      <c r="H9" s="25"/>
      <c r="I9" s="25"/>
      <c r="J9" s="25">
        <v>2</v>
      </c>
      <c r="K9" s="25" t="s">
        <v>52</v>
      </c>
      <c r="L9" s="26">
        <v>0</v>
      </c>
      <c r="M9" s="26">
        <v>0</v>
      </c>
      <c r="N9" s="26" t="s">
        <v>32</v>
      </c>
      <c r="O9" s="26" t="s">
        <v>32</v>
      </c>
      <c r="P9" s="26">
        <v>100</v>
      </c>
      <c r="Q9" s="26">
        <v>0</v>
      </c>
      <c r="R9" s="26">
        <v>0</v>
      </c>
      <c r="S9" s="26">
        <v>2</v>
      </c>
    </row>
    <row r="10" spans="1:19" ht="14.4" x14ac:dyDescent="0.3">
      <c r="A10" s="25" t="s">
        <v>256</v>
      </c>
      <c r="B10" s="25" t="s">
        <v>257</v>
      </c>
      <c r="C10" s="25" t="s">
        <v>80</v>
      </c>
      <c r="D10" s="25"/>
      <c r="E10" s="25"/>
      <c r="F10" s="25"/>
      <c r="G10" s="25"/>
      <c r="H10" s="25"/>
      <c r="I10" s="25">
        <v>1</v>
      </c>
      <c r="J10" s="25">
        <v>1</v>
      </c>
      <c r="K10" s="25" t="s">
        <v>52</v>
      </c>
      <c r="L10" s="26">
        <v>0</v>
      </c>
      <c r="M10" s="26">
        <v>0</v>
      </c>
      <c r="N10" s="26" t="s">
        <v>32</v>
      </c>
      <c r="O10" s="26" t="s">
        <v>32</v>
      </c>
      <c r="P10" s="26">
        <v>100</v>
      </c>
      <c r="Q10" s="26">
        <v>0</v>
      </c>
      <c r="R10" s="26">
        <v>0</v>
      </c>
      <c r="S10" s="26">
        <v>1</v>
      </c>
    </row>
    <row r="11" spans="1:19" ht="14.4" x14ac:dyDescent="0.3">
      <c r="A11" s="25" t="s">
        <v>87</v>
      </c>
      <c r="B11" s="25" t="s">
        <v>88</v>
      </c>
      <c r="C11" s="25" t="s">
        <v>79</v>
      </c>
      <c r="D11" s="25"/>
      <c r="E11" s="25">
        <v>1</v>
      </c>
      <c r="F11" s="25">
        <v>1</v>
      </c>
      <c r="G11" s="25"/>
      <c r="H11" s="25"/>
      <c r="I11" s="25"/>
      <c r="J11" s="25">
        <v>2</v>
      </c>
      <c r="K11" s="25" t="s">
        <v>52</v>
      </c>
      <c r="L11" s="26">
        <v>0</v>
      </c>
      <c r="M11" s="26">
        <v>0</v>
      </c>
      <c r="N11" s="26" t="s">
        <v>32</v>
      </c>
      <c r="O11" s="26" t="s">
        <v>32</v>
      </c>
      <c r="P11" s="26">
        <v>100</v>
      </c>
      <c r="Q11" s="26">
        <v>0</v>
      </c>
      <c r="R11" s="26">
        <v>0</v>
      </c>
      <c r="S11" s="26">
        <v>2</v>
      </c>
    </row>
    <row r="12" spans="1:19" ht="14.4" x14ac:dyDescent="0.3">
      <c r="A12" s="25" t="s">
        <v>83</v>
      </c>
      <c r="B12" s="25" t="s">
        <v>84</v>
      </c>
      <c r="C12" s="25" t="s">
        <v>80</v>
      </c>
      <c r="D12" s="25">
        <v>1</v>
      </c>
      <c r="E12" s="25"/>
      <c r="F12" s="25"/>
      <c r="G12" s="25"/>
      <c r="H12" s="25"/>
      <c r="I12" s="25">
        <v>1</v>
      </c>
      <c r="J12" s="25">
        <v>2</v>
      </c>
      <c r="K12" s="25" t="s">
        <v>52</v>
      </c>
      <c r="L12" s="26" t="s">
        <v>41</v>
      </c>
      <c r="M12" s="26" t="s">
        <v>42</v>
      </c>
      <c r="N12" s="26" t="s">
        <v>32</v>
      </c>
      <c r="O12" s="26" t="s">
        <v>32</v>
      </c>
      <c r="P12" s="26">
        <v>85</v>
      </c>
      <c r="Q12" s="26">
        <v>0.3</v>
      </c>
      <c r="R12" s="26">
        <v>0</v>
      </c>
      <c r="S12" s="26">
        <v>1.7</v>
      </c>
    </row>
    <row r="13" spans="1:19" ht="14.4" x14ac:dyDescent="0.3">
      <c r="A13" s="25" t="s">
        <v>99</v>
      </c>
      <c r="B13" s="25" t="s">
        <v>100</v>
      </c>
      <c r="C13" s="25" t="s">
        <v>79</v>
      </c>
      <c r="D13" s="25"/>
      <c r="E13" s="25">
        <v>2</v>
      </c>
      <c r="F13" s="25"/>
      <c r="G13" s="25"/>
      <c r="H13" s="25"/>
      <c r="I13" s="25"/>
      <c r="J13" s="25">
        <v>2</v>
      </c>
      <c r="K13" s="25" t="s">
        <v>52</v>
      </c>
      <c r="L13" s="26">
        <v>0</v>
      </c>
      <c r="M13" s="26">
        <v>0</v>
      </c>
      <c r="N13" s="26" t="s">
        <v>32</v>
      </c>
      <c r="O13" s="26" t="s">
        <v>32</v>
      </c>
      <c r="P13" s="26">
        <v>100</v>
      </c>
      <c r="Q13" s="26">
        <v>0</v>
      </c>
      <c r="R13" s="26">
        <v>0</v>
      </c>
      <c r="S13" s="26">
        <v>2</v>
      </c>
    </row>
    <row r="14" spans="1:19" ht="14.4" x14ac:dyDescent="0.3">
      <c r="A14" s="25" t="s">
        <v>258</v>
      </c>
      <c r="B14" s="25" t="s">
        <v>259</v>
      </c>
      <c r="C14" s="25" t="s">
        <v>80</v>
      </c>
      <c r="D14" s="25"/>
      <c r="E14" s="25"/>
      <c r="F14" s="25"/>
      <c r="G14" s="25"/>
      <c r="H14" s="25"/>
      <c r="I14" s="25">
        <v>1</v>
      </c>
      <c r="J14" s="25">
        <v>1</v>
      </c>
      <c r="K14" s="25" t="s">
        <v>52</v>
      </c>
      <c r="L14" s="26">
        <v>0</v>
      </c>
      <c r="M14" s="26">
        <v>0</v>
      </c>
      <c r="N14" s="26" t="s">
        <v>32</v>
      </c>
      <c r="O14" s="26" t="s">
        <v>32</v>
      </c>
      <c r="P14" s="26">
        <v>100</v>
      </c>
      <c r="Q14" s="26">
        <v>0</v>
      </c>
      <c r="R14" s="26">
        <v>0</v>
      </c>
      <c r="S14" s="26">
        <v>1</v>
      </c>
    </row>
    <row r="15" spans="1:19" ht="14.4" x14ac:dyDescent="0.3">
      <c r="A15" s="25" t="s">
        <v>105</v>
      </c>
      <c r="B15" s="25" t="s">
        <v>106</v>
      </c>
      <c r="C15" s="25" t="s">
        <v>79</v>
      </c>
      <c r="D15" s="25"/>
      <c r="E15" s="25"/>
      <c r="F15" s="25">
        <v>1</v>
      </c>
      <c r="G15" s="25"/>
      <c r="H15" s="25">
        <v>1</v>
      </c>
      <c r="I15" s="25"/>
      <c r="J15" s="25">
        <v>2</v>
      </c>
      <c r="K15" s="25" t="s">
        <v>52</v>
      </c>
      <c r="L15" s="26">
        <v>0</v>
      </c>
      <c r="M15" s="26">
        <v>0</v>
      </c>
      <c r="N15" s="26" t="s">
        <v>32</v>
      </c>
      <c r="O15" s="26" t="s">
        <v>32</v>
      </c>
      <c r="P15" s="26">
        <v>100</v>
      </c>
      <c r="Q15" s="26">
        <v>0</v>
      </c>
      <c r="R15" s="26">
        <v>0</v>
      </c>
      <c r="S15" s="26">
        <v>2</v>
      </c>
    </row>
    <row r="16" spans="1:19" ht="14.4" x14ac:dyDescent="0.3">
      <c r="A16" s="25" t="s">
        <v>101</v>
      </c>
      <c r="B16" s="25" t="s">
        <v>102</v>
      </c>
      <c r="C16" s="25" t="s">
        <v>79</v>
      </c>
      <c r="D16" s="25">
        <v>1</v>
      </c>
      <c r="E16" s="25"/>
      <c r="F16" s="25"/>
      <c r="G16" s="25"/>
      <c r="H16" s="25"/>
      <c r="I16" s="25"/>
      <c r="J16" s="25">
        <v>1</v>
      </c>
      <c r="K16" s="25" t="s">
        <v>52</v>
      </c>
      <c r="L16" s="26">
        <v>0</v>
      </c>
      <c r="M16" s="26">
        <v>0</v>
      </c>
      <c r="N16" s="26" t="s">
        <v>32</v>
      </c>
      <c r="O16" s="26" t="s">
        <v>32</v>
      </c>
      <c r="P16" s="26">
        <v>100</v>
      </c>
      <c r="Q16" s="26">
        <v>0</v>
      </c>
      <c r="R16" s="26">
        <v>0</v>
      </c>
      <c r="S16" s="26">
        <v>1</v>
      </c>
    </row>
    <row r="17" spans="1:19" ht="14.4" x14ac:dyDescent="0.3">
      <c r="A17" s="25" t="s">
        <v>107</v>
      </c>
      <c r="B17" s="25" t="s">
        <v>108</v>
      </c>
      <c r="C17" s="27" t="s">
        <v>188</v>
      </c>
      <c r="D17" s="25"/>
      <c r="E17" s="25"/>
      <c r="F17" s="25"/>
      <c r="G17" s="25"/>
      <c r="H17" s="25"/>
      <c r="I17" s="25">
        <v>1</v>
      </c>
      <c r="J17" s="25">
        <v>1</v>
      </c>
      <c r="K17" s="25" t="s">
        <v>52</v>
      </c>
      <c r="L17" s="26">
        <v>0</v>
      </c>
      <c r="M17" s="26">
        <v>0</v>
      </c>
      <c r="N17" s="26" t="s">
        <v>32</v>
      </c>
      <c r="O17" s="26" t="s">
        <v>32</v>
      </c>
      <c r="P17" s="26">
        <v>100</v>
      </c>
      <c r="Q17" s="26">
        <v>0</v>
      </c>
      <c r="R17" s="26">
        <v>0</v>
      </c>
      <c r="S17" s="26">
        <v>1</v>
      </c>
    </row>
    <row r="18" spans="1:19" x14ac:dyDescent="0.25">
      <c r="A18" s="40"/>
      <c r="B18" s="40"/>
      <c r="C18" s="40"/>
      <c r="D18" s="40"/>
      <c r="E18" s="40"/>
      <c r="F18" s="40"/>
      <c r="G18" s="40"/>
      <c r="H18" s="40"/>
      <c r="I18" s="40"/>
      <c r="J18" s="40"/>
      <c r="K18" s="40"/>
      <c r="L18" s="40"/>
      <c r="M18" s="40"/>
      <c r="N18" s="41"/>
      <c r="O18" s="40"/>
      <c r="P18" s="41"/>
      <c r="Q18" s="40"/>
      <c r="R18" s="40"/>
      <c r="S18" s="42">
        <f>SUM(S2:S17)</f>
        <v>23.95</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3"/>
  <sheetViews>
    <sheetView zoomScaleNormal="100" workbookViewId="0">
      <selection activeCell="A23" sqref="A23:XFD26"/>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109</v>
      </c>
      <c r="B2" s="5"/>
    </row>
    <row r="3" spans="1:2" x14ac:dyDescent="0.2">
      <c r="A3" s="4" t="s">
        <v>110</v>
      </c>
      <c r="B3" s="5">
        <v>5800</v>
      </c>
    </row>
    <row r="4" spans="1:2" x14ac:dyDescent="0.2">
      <c r="A4" s="4" t="s">
        <v>111</v>
      </c>
      <c r="B4" s="5"/>
    </row>
    <row r="5" spans="1:2" x14ac:dyDescent="0.2">
      <c r="A5" s="4" t="s">
        <v>112</v>
      </c>
      <c r="B5" s="5">
        <v>3000</v>
      </c>
    </row>
    <row r="6" spans="1:2" x14ac:dyDescent="0.2">
      <c r="A6" s="4" t="s">
        <v>113</v>
      </c>
      <c r="B6" s="5"/>
    </row>
    <row r="7" spans="1:2" x14ac:dyDescent="0.2">
      <c r="A7" s="4" t="s">
        <v>114</v>
      </c>
      <c r="B7" s="5">
        <v>6000</v>
      </c>
    </row>
    <row r="8" spans="1:2" x14ac:dyDescent="0.2">
      <c r="A8" s="4" t="s">
        <v>115</v>
      </c>
      <c r="B8" s="5"/>
    </row>
    <row r="9" spans="1:2" x14ac:dyDescent="0.2">
      <c r="A9" s="4" t="s">
        <v>116</v>
      </c>
      <c r="B9" s="5">
        <v>7500</v>
      </c>
    </row>
    <row r="10" spans="1:2" x14ac:dyDescent="0.2">
      <c r="A10" s="4" t="s">
        <v>117</v>
      </c>
      <c r="B10" s="5">
        <v>7500</v>
      </c>
    </row>
    <row r="11" spans="1:2" x14ac:dyDescent="0.2">
      <c r="A11" s="4" t="s">
        <v>3</v>
      </c>
      <c r="B11" s="5"/>
    </row>
    <row r="12" spans="1:2" x14ac:dyDescent="0.2">
      <c r="A12" s="4" t="s">
        <v>118</v>
      </c>
      <c r="B12" s="5">
        <v>1600</v>
      </c>
    </row>
    <row r="13" spans="1:2" x14ac:dyDescent="0.2">
      <c r="A13" s="4" t="s">
        <v>4</v>
      </c>
      <c r="B13" s="5"/>
    </row>
    <row r="14" spans="1:2" x14ac:dyDescent="0.2">
      <c r="A14" s="4" t="s">
        <v>119</v>
      </c>
      <c r="B14" s="5">
        <v>16000</v>
      </c>
    </row>
    <row r="15" spans="1:2" x14ac:dyDescent="0.2">
      <c r="A15" s="4" t="s">
        <v>5</v>
      </c>
      <c r="B15" s="5"/>
    </row>
    <row r="16" spans="1:2" x14ac:dyDescent="0.2">
      <c r="A16" s="4" t="s">
        <v>120</v>
      </c>
      <c r="B16" s="5">
        <v>1750</v>
      </c>
    </row>
    <row r="17" spans="1:2" x14ac:dyDescent="0.2">
      <c r="A17" s="4" t="s">
        <v>6</v>
      </c>
      <c r="B17" s="5"/>
    </row>
    <row r="18" spans="1:2" x14ac:dyDescent="0.2">
      <c r="A18" s="4" t="s">
        <v>121</v>
      </c>
      <c r="B18" s="5">
        <v>1500</v>
      </c>
    </row>
    <row r="19" spans="1:2" x14ac:dyDescent="0.2">
      <c r="A19" s="4" t="s">
        <v>122</v>
      </c>
      <c r="B19" s="5"/>
    </row>
    <row r="20" spans="1:2" x14ac:dyDescent="0.2">
      <c r="A20" s="4" t="s">
        <v>123</v>
      </c>
      <c r="B20" s="5">
        <v>26631.25</v>
      </c>
    </row>
    <row r="21" spans="1:2" x14ac:dyDescent="0.2">
      <c r="A21" s="4" t="s">
        <v>124</v>
      </c>
      <c r="B21" s="5">
        <v>248.2</v>
      </c>
    </row>
    <row r="22" spans="1:2" x14ac:dyDescent="0.2">
      <c r="A22" s="4" t="s">
        <v>125</v>
      </c>
      <c r="B22" s="5">
        <v>50</v>
      </c>
    </row>
    <row r="23" spans="1:2" x14ac:dyDescent="0.2">
      <c r="A23" s="6" t="s">
        <v>2</v>
      </c>
      <c r="B23" s="7">
        <f>SUM(B3:B22)</f>
        <v>77579.45</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00B0-22F8-4557-8021-6988E0A2A317}">
  <dimension ref="A1:B17"/>
  <sheetViews>
    <sheetView zoomScaleNormal="100" workbookViewId="0">
      <selection activeCell="A31" sqref="A3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202</v>
      </c>
      <c r="B2" s="5"/>
    </row>
    <row r="3" spans="1:2" x14ac:dyDescent="0.2">
      <c r="A3" s="4" t="s">
        <v>203</v>
      </c>
      <c r="B3" s="5">
        <v>1855.2</v>
      </c>
    </row>
    <row r="4" spans="1:2" x14ac:dyDescent="0.2">
      <c r="A4" s="4" t="s">
        <v>109</v>
      </c>
      <c r="B4" s="5"/>
    </row>
    <row r="5" spans="1:2" x14ac:dyDescent="0.2">
      <c r="A5" s="4" t="s">
        <v>204</v>
      </c>
      <c r="B5" s="5">
        <v>16.440000000000001</v>
      </c>
    </row>
    <row r="6" spans="1:2" x14ac:dyDescent="0.2">
      <c r="A6" s="4" t="s">
        <v>111</v>
      </c>
      <c r="B6" s="5"/>
    </row>
    <row r="7" spans="1:2" x14ac:dyDescent="0.2">
      <c r="A7" s="4" t="s">
        <v>204</v>
      </c>
      <c r="B7" s="5">
        <v>8.43</v>
      </c>
    </row>
    <row r="8" spans="1:2" x14ac:dyDescent="0.2">
      <c r="A8" s="4" t="s">
        <v>113</v>
      </c>
      <c r="B8" s="5"/>
    </row>
    <row r="9" spans="1:2" x14ac:dyDescent="0.2">
      <c r="A9" s="4" t="s">
        <v>204</v>
      </c>
      <c r="B9" s="5">
        <v>17.16</v>
      </c>
    </row>
    <row r="10" spans="1:2" x14ac:dyDescent="0.2">
      <c r="A10" s="4" t="s">
        <v>5</v>
      </c>
      <c r="B10" s="5"/>
    </row>
    <row r="11" spans="1:2" x14ac:dyDescent="0.2">
      <c r="A11" s="4" t="s">
        <v>205</v>
      </c>
      <c r="B11" s="5">
        <v>3500</v>
      </c>
    </row>
    <row r="12" spans="1:2" x14ac:dyDescent="0.2">
      <c r="A12" s="4" t="s">
        <v>6</v>
      </c>
      <c r="B12" s="5"/>
    </row>
    <row r="13" spans="1:2" x14ac:dyDescent="0.2">
      <c r="A13" s="4" t="s">
        <v>206</v>
      </c>
      <c r="B13" s="5">
        <v>3000</v>
      </c>
    </row>
    <row r="14" spans="1:2" x14ac:dyDescent="0.2">
      <c r="A14" s="4" t="s">
        <v>122</v>
      </c>
      <c r="B14" s="5"/>
    </row>
    <row r="15" spans="1:2" x14ac:dyDescent="0.2">
      <c r="A15" s="4" t="s">
        <v>207</v>
      </c>
      <c r="B15" s="5">
        <v>250</v>
      </c>
    </row>
    <row r="16" spans="1:2" x14ac:dyDescent="0.2">
      <c r="A16" s="4" t="s">
        <v>208</v>
      </c>
      <c r="B16" s="5">
        <v>197.38</v>
      </c>
    </row>
    <row r="17" spans="1:2" x14ac:dyDescent="0.2">
      <c r="A17" s="6" t="s">
        <v>2</v>
      </c>
      <c r="B17" s="7">
        <f>SUM(B3:B16)</f>
        <v>8844.6099999999988</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3575-595D-4FEE-929B-3DDE53BDCFE8}">
  <dimension ref="A1:B22"/>
  <sheetViews>
    <sheetView zoomScaleNormal="100" workbookViewId="0">
      <selection activeCell="A21" sqref="A21:B2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227</v>
      </c>
      <c r="B2" s="5"/>
    </row>
    <row r="3" spans="1:2" x14ac:dyDescent="0.2">
      <c r="A3" s="4" t="s">
        <v>228</v>
      </c>
      <c r="B3" s="5">
        <v>349.36</v>
      </c>
    </row>
    <row r="4" spans="1:2" x14ac:dyDescent="0.2">
      <c r="A4" s="4" t="s">
        <v>229</v>
      </c>
      <c r="B4" s="5"/>
    </row>
    <row r="5" spans="1:2" x14ac:dyDescent="0.2">
      <c r="A5" s="4" t="s">
        <v>230</v>
      </c>
      <c r="B5" s="5">
        <v>5280</v>
      </c>
    </row>
    <row r="6" spans="1:2" x14ac:dyDescent="0.2">
      <c r="A6" s="4" t="s">
        <v>231</v>
      </c>
      <c r="B6" s="5"/>
    </row>
    <row r="7" spans="1:2" x14ac:dyDescent="0.2">
      <c r="A7" s="4" t="s">
        <v>232</v>
      </c>
      <c r="B7" s="5">
        <v>3520</v>
      </c>
    </row>
    <row r="8" spans="1:2" x14ac:dyDescent="0.2">
      <c r="A8" s="4" t="s">
        <v>233</v>
      </c>
      <c r="B8" s="5"/>
    </row>
    <row r="9" spans="1:2" x14ac:dyDescent="0.2">
      <c r="A9" s="4" t="s">
        <v>234</v>
      </c>
      <c r="B9" s="5">
        <v>48750</v>
      </c>
    </row>
    <row r="10" spans="1:2" x14ac:dyDescent="0.2">
      <c r="A10" s="4" t="s">
        <v>235</v>
      </c>
      <c r="B10" s="5"/>
    </row>
    <row r="11" spans="1:2" x14ac:dyDescent="0.2">
      <c r="A11" s="4" t="s">
        <v>236</v>
      </c>
      <c r="B11" s="5">
        <v>10000</v>
      </c>
    </row>
    <row r="12" spans="1:2" x14ac:dyDescent="0.2">
      <c r="A12" s="4" t="s">
        <v>237</v>
      </c>
      <c r="B12" s="5"/>
    </row>
    <row r="13" spans="1:2" x14ac:dyDescent="0.2">
      <c r="A13" s="4" t="s">
        <v>238</v>
      </c>
      <c r="B13" s="5">
        <v>5360</v>
      </c>
    </row>
    <row r="14" spans="1:2" x14ac:dyDescent="0.2">
      <c r="A14" s="4" t="s">
        <v>239</v>
      </c>
      <c r="B14" s="5"/>
    </row>
    <row r="15" spans="1:2" x14ac:dyDescent="0.2">
      <c r="A15" s="4" t="s">
        <v>240</v>
      </c>
      <c r="B15" s="5">
        <v>5360</v>
      </c>
    </row>
    <row r="16" spans="1:2" x14ac:dyDescent="0.2">
      <c r="A16" s="4" t="s">
        <v>122</v>
      </c>
      <c r="B16" s="5"/>
    </row>
    <row r="17" spans="1:2" x14ac:dyDescent="0.2">
      <c r="A17" s="4" t="s">
        <v>241</v>
      </c>
      <c r="B17" s="5">
        <v>24767.07</v>
      </c>
    </row>
    <row r="18" spans="1:2" x14ac:dyDescent="0.2">
      <c r="A18" s="4" t="s">
        <v>2</v>
      </c>
      <c r="B18" s="5">
        <f>SUM(B2:B17)</f>
        <v>103386.43</v>
      </c>
    </row>
    <row r="21" spans="1:2" x14ac:dyDescent="0.2">
      <c r="A21" s="43" t="s">
        <v>260</v>
      </c>
      <c r="B21" s="7">
        <f>B18+'Ingresos investigación 2020'!B17+'Ingresos investigación 2019'!B23</f>
        <v>189810.49</v>
      </c>
    </row>
    <row r="22" spans="1:2" x14ac:dyDescent="0.2">
      <c r="B22" s="28"/>
    </row>
  </sheetData>
  <pageMargins left="0.39370078740157483" right="0.39370078740157483"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6"/>
  <sheetViews>
    <sheetView topLeftCell="A22" zoomScaleNormal="100" workbookViewId="0">
      <selection activeCell="A9" sqref="A9:B66"/>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7</v>
      </c>
      <c r="B2" s="5"/>
    </row>
    <row r="3" spans="1:2" x14ac:dyDescent="0.2">
      <c r="A3" s="4" t="s">
        <v>126</v>
      </c>
      <c r="B3" s="5">
        <v>295</v>
      </c>
    </row>
    <row r="4" spans="1:2" x14ac:dyDescent="0.2">
      <c r="A4" s="4" t="s">
        <v>127</v>
      </c>
      <c r="B4" s="5">
        <v>295</v>
      </c>
    </row>
    <row r="5" spans="1:2" x14ac:dyDescent="0.2">
      <c r="A5" s="4" t="s">
        <v>128</v>
      </c>
      <c r="B5" s="5">
        <v>295</v>
      </c>
    </row>
    <row r="6" spans="1:2" x14ac:dyDescent="0.2">
      <c r="A6" s="4" t="s">
        <v>129</v>
      </c>
      <c r="B6" s="5">
        <v>295</v>
      </c>
    </row>
    <row r="7" spans="1:2" x14ac:dyDescent="0.2">
      <c r="A7" s="4" t="s">
        <v>130</v>
      </c>
      <c r="B7" s="5">
        <v>295</v>
      </c>
    </row>
    <row r="8" spans="1:2" x14ac:dyDescent="0.2">
      <c r="A8" s="4" t="s">
        <v>131</v>
      </c>
      <c r="B8" s="5">
        <v>295</v>
      </c>
    </row>
    <row r="9" spans="1:2" x14ac:dyDescent="0.2">
      <c r="A9" s="4" t="s">
        <v>132</v>
      </c>
      <c r="B9" s="5">
        <v>295</v>
      </c>
    </row>
    <row r="10" spans="1:2" x14ac:dyDescent="0.2">
      <c r="A10" s="4" t="s">
        <v>133</v>
      </c>
      <c r="B10" s="5">
        <v>295</v>
      </c>
    </row>
    <row r="11" spans="1:2" x14ac:dyDescent="0.2">
      <c r="A11" s="4" t="s">
        <v>134</v>
      </c>
      <c r="B11" s="5">
        <v>295</v>
      </c>
    </row>
    <row r="12" spans="1:2" x14ac:dyDescent="0.2">
      <c r="A12" s="4" t="s">
        <v>135</v>
      </c>
      <c r="B12" s="5">
        <v>295</v>
      </c>
    </row>
    <row r="13" spans="1:2" x14ac:dyDescent="0.2">
      <c r="A13" s="4" t="s">
        <v>136</v>
      </c>
      <c r="B13" s="5">
        <v>160</v>
      </c>
    </row>
    <row r="14" spans="1:2" x14ac:dyDescent="0.2">
      <c r="A14" s="4" t="s">
        <v>137</v>
      </c>
      <c r="B14" s="5">
        <v>295</v>
      </c>
    </row>
    <row r="15" spans="1:2" x14ac:dyDescent="0.2">
      <c r="A15" s="4" t="s">
        <v>138</v>
      </c>
      <c r="B15" s="5">
        <v>295</v>
      </c>
    </row>
    <row r="16" spans="1:2" x14ac:dyDescent="0.2">
      <c r="A16" s="4" t="s">
        <v>139</v>
      </c>
      <c r="B16" s="5">
        <v>295</v>
      </c>
    </row>
    <row r="17" spans="1:2" x14ac:dyDescent="0.2">
      <c r="A17" s="4" t="s">
        <v>140</v>
      </c>
      <c r="B17" s="5">
        <v>295</v>
      </c>
    </row>
    <row r="18" spans="1:2" x14ac:dyDescent="0.2">
      <c r="A18" s="4" t="s">
        <v>141</v>
      </c>
      <c r="B18" s="5">
        <v>295</v>
      </c>
    </row>
    <row r="19" spans="1:2" x14ac:dyDescent="0.2">
      <c r="A19" s="4" t="s">
        <v>142</v>
      </c>
      <c r="B19" s="5">
        <v>295</v>
      </c>
    </row>
    <row r="20" spans="1:2" x14ac:dyDescent="0.2">
      <c r="A20" s="4" t="s">
        <v>143</v>
      </c>
      <c r="B20" s="5">
        <v>295</v>
      </c>
    </row>
    <row r="21" spans="1:2" x14ac:dyDescent="0.2">
      <c r="A21" s="4" t="s">
        <v>144</v>
      </c>
      <c r="B21" s="5">
        <v>295</v>
      </c>
    </row>
    <row r="22" spans="1:2" x14ac:dyDescent="0.2">
      <c r="A22" s="4" t="s">
        <v>145</v>
      </c>
      <c r="B22" s="5">
        <v>295</v>
      </c>
    </row>
    <row r="23" spans="1:2" x14ac:dyDescent="0.2">
      <c r="A23" s="4" t="s">
        <v>146</v>
      </c>
      <c r="B23" s="5">
        <v>295</v>
      </c>
    </row>
    <row r="24" spans="1:2" x14ac:dyDescent="0.2">
      <c r="A24" s="4" t="s">
        <v>147</v>
      </c>
      <c r="B24" s="5">
        <v>295</v>
      </c>
    </row>
    <row r="25" spans="1:2" x14ac:dyDescent="0.2">
      <c r="A25" s="4" t="s">
        <v>148</v>
      </c>
      <c r="B25" s="5">
        <v>295</v>
      </c>
    </row>
    <row r="26" spans="1:2" x14ac:dyDescent="0.2">
      <c r="A26" s="4" t="s">
        <v>149</v>
      </c>
      <c r="B26" s="5">
        <v>295</v>
      </c>
    </row>
    <row r="27" spans="1:2" x14ac:dyDescent="0.2">
      <c r="A27" s="4" t="s">
        <v>150</v>
      </c>
      <c r="B27" s="5">
        <v>295</v>
      </c>
    </row>
    <row r="28" spans="1:2" x14ac:dyDescent="0.2">
      <c r="A28" s="4" t="s">
        <v>151</v>
      </c>
      <c r="B28" s="5">
        <v>295</v>
      </c>
    </row>
    <row r="29" spans="1:2" x14ac:dyDescent="0.2">
      <c r="A29" s="4" t="s">
        <v>152</v>
      </c>
      <c r="B29" s="5">
        <v>295</v>
      </c>
    </row>
    <row r="30" spans="1:2" x14ac:dyDescent="0.2">
      <c r="A30" s="4" t="s">
        <v>153</v>
      </c>
      <c r="B30" s="5">
        <v>295</v>
      </c>
    </row>
    <row r="31" spans="1:2" x14ac:dyDescent="0.2">
      <c r="A31" s="4" t="s">
        <v>154</v>
      </c>
      <c r="B31" s="5">
        <v>1185</v>
      </c>
    </row>
    <row r="32" spans="1:2" x14ac:dyDescent="0.2">
      <c r="A32" s="4" t="s">
        <v>155</v>
      </c>
      <c r="B32" s="5">
        <v>295</v>
      </c>
    </row>
    <row r="33" spans="1:2" x14ac:dyDescent="0.2">
      <c r="A33" s="4" t="s">
        <v>156</v>
      </c>
      <c r="B33" s="5">
        <v>295</v>
      </c>
    </row>
    <row r="34" spans="1:2" x14ac:dyDescent="0.2">
      <c r="A34" s="4" t="s">
        <v>157</v>
      </c>
      <c r="B34" s="5">
        <v>295</v>
      </c>
    </row>
    <row r="35" spans="1:2" x14ac:dyDescent="0.2">
      <c r="A35" s="4" t="s">
        <v>158</v>
      </c>
      <c r="B35" s="5">
        <v>160</v>
      </c>
    </row>
    <row r="36" spans="1:2" x14ac:dyDescent="0.2">
      <c r="A36" s="4" t="s">
        <v>159</v>
      </c>
      <c r="B36" s="5">
        <v>160</v>
      </c>
    </row>
    <row r="37" spans="1:2" x14ac:dyDescent="0.2">
      <c r="A37" s="4" t="s">
        <v>160</v>
      </c>
      <c r="B37" s="5">
        <v>160</v>
      </c>
    </row>
    <row r="38" spans="1:2" x14ac:dyDescent="0.2">
      <c r="A38" s="4" t="s">
        <v>161</v>
      </c>
      <c r="B38" s="5">
        <v>160</v>
      </c>
    </row>
    <row r="39" spans="1:2" x14ac:dyDescent="0.2">
      <c r="A39" s="4" t="s">
        <v>162</v>
      </c>
      <c r="B39" s="5">
        <v>320</v>
      </c>
    </row>
    <row r="40" spans="1:2" x14ac:dyDescent="0.2">
      <c r="A40" s="4" t="s">
        <v>163</v>
      </c>
      <c r="B40" s="5">
        <v>5520</v>
      </c>
    </row>
    <row r="41" spans="1:2" x14ac:dyDescent="0.2">
      <c r="A41" s="4" t="s">
        <v>164</v>
      </c>
      <c r="B41" s="5">
        <v>77160.14</v>
      </c>
    </row>
    <row r="42" spans="1:2" x14ac:dyDescent="0.2">
      <c r="A42" s="4" t="s">
        <v>165</v>
      </c>
      <c r="B42" s="5">
        <v>152719.4</v>
      </c>
    </row>
    <row r="43" spans="1:2" x14ac:dyDescent="0.2">
      <c r="A43" s="4" t="s">
        <v>166</v>
      </c>
      <c r="B43" s="5">
        <v>827.93</v>
      </c>
    </row>
    <row r="44" spans="1:2" x14ac:dyDescent="0.2">
      <c r="A44" s="4" t="s">
        <v>167</v>
      </c>
      <c r="B44" s="5">
        <v>1464.93</v>
      </c>
    </row>
    <row r="45" spans="1:2" x14ac:dyDescent="0.2">
      <c r="A45" s="4" t="s">
        <v>168</v>
      </c>
      <c r="B45" s="5">
        <v>875.18</v>
      </c>
    </row>
    <row r="46" spans="1:2" x14ac:dyDescent="0.2">
      <c r="A46" s="4" t="s">
        <v>169</v>
      </c>
      <c r="B46" s="5">
        <v>1260.22</v>
      </c>
    </row>
    <row r="47" spans="1:2" x14ac:dyDescent="0.2">
      <c r="A47" s="4" t="s">
        <v>170</v>
      </c>
      <c r="B47" s="5">
        <v>875.18</v>
      </c>
    </row>
    <row r="48" spans="1:2" x14ac:dyDescent="0.2">
      <c r="A48" s="4" t="s">
        <v>171</v>
      </c>
      <c r="B48" s="5">
        <v>777</v>
      </c>
    </row>
    <row r="49" spans="1:2" x14ac:dyDescent="0.2">
      <c r="A49" s="4" t="s">
        <v>172</v>
      </c>
      <c r="B49" s="5">
        <v>827.93</v>
      </c>
    </row>
    <row r="50" spans="1:2" x14ac:dyDescent="0.2">
      <c r="A50" s="4" t="s">
        <v>173</v>
      </c>
      <c r="B50" s="5">
        <v>827.93</v>
      </c>
    </row>
    <row r="51" spans="1:2" x14ac:dyDescent="0.2">
      <c r="A51" s="4" t="s">
        <v>8</v>
      </c>
      <c r="B51" s="5"/>
    </row>
    <row r="52" spans="1:2" x14ac:dyDescent="0.2">
      <c r="A52" s="4" t="s">
        <v>169</v>
      </c>
      <c r="B52" s="5">
        <v>0.01</v>
      </c>
    </row>
    <row r="53" spans="1:2" x14ac:dyDescent="0.2">
      <c r="A53" s="4" t="s">
        <v>174</v>
      </c>
      <c r="B53" s="5"/>
    </row>
    <row r="54" spans="1:2" x14ac:dyDescent="0.2">
      <c r="A54" s="4" t="s">
        <v>175</v>
      </c>
      <c r="B54" s="5">
        <v>1333.21</v>
      </c>
    </row>
    <row r="55" spans="1:2" x14ac:dyDescent="0.2">
      <c r="A55" s="4" t="s">
        <v>176</v>
      </c>
      <c r="B55" s="5">
        <v>2605.87</v>
      </c>
    </row>
    <row r="56" spans="1:2" x14ac:dyDescent="0.2">
      <c r="A56" s="4" t="s">
        <v>177</v>
      </c>
      <c r="B56" s="5">
        <v>3900</v>
      </c>
    </row>
    <row r="57" spans="1:2" x14ac:dyDescent="0.2">
      <c r="A57" s="4" t="s">
        <v>178</v>
      </c>
      <c r="B57" s="5">
        <v>9916.7599999999984</v>
      </c>
    </row>
    <row r="58" spans="1:2" x14ac:dyDescent="0.2">
      <c r="A58" s="4" t="s">
        <v>179</v>
      </c>
      <c r="B58" s="5">
        <v>1528.21</v>
      </c>
    </row>
    <row r="59" spans="1:2" x14ac:dyDescent="0.2">
      <c r="A59" s="4" t="s">
        <v>180</v>
      </c>
      <c r="B59" s="5">
        <v>1528.21</v>
      </c>
    </row>
    <row r="60" spans="1:2" x14ac:dyDescent="0.2">
      <c r="A60" s="4" t="s">
        <v>181</v>
      </c>
      <c r="B60" s="5"/>
    </row>
    <row r="61" spans="1:2" x14ac:dyDescent="0.2">
      <c r="A61" s="4" t="s">
        <v>182</v>
      </c>
      <c r="B61" s="5">
        <v>182670.05000000002</v>
      </c>
    </row>
    <row r="62" spans="1:2" x14ac:dyDescent="0.2">
      <c r="A62" s="4" t="s">
        <v>183</v>
      </c>
      <c r="B62" s="5">
        <v>10141.83</v>
      </c>
    </row>
    <row r="63" spans="1:2" x14ac:dyDescent="0.2">
      <c r="A63" s="4" t="s">
        <v>184</v>
      </c>
      <c r="B63" s="5"/>
    </row>
    <row r="64" spans="1:2" x14ac:dyDescent="0.2">
      <c r="A64" s="4" t="s">
        <v>185</v>
      </c>
      <c r="B64" s="5">
        <v>5190</v>
      </c>
    </row>
    <row r="65" spans="1:2" x14ac:dyDescent="0.2">
      <c r="A65" s="4" t="s">
        <v>186</v>
      </c>
      <c r="B65" s="5">
        <v>15672.5</v>
      </c>
    </row>
    <row r="66" spans="1:2" x14ac:dyDescent="0.2">
      <c r="A66" s="6" t="s">
        <v>2</v>
      </c>
      <c r="B66" s="7">
        <f>SUM(B3:B65)</f>
        <v>488777.49000000005</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13721-667A-43EA-B749-97235834F76C}">
  <dimension ref="A1:B24"/>
  <sheetViews>
    <sheetView zoomScaleNormal="100" workbookViewId="0">
      <selection activeCell="A37" sqref="A3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7</v>
      </c>
      <c r="B2" s="5"/>
    </row>
    <row r="3" spans="1:2" x14ac:dyDescent="0.2">
      <c r="A3" s="4" t="s">
        <v>209</v>
      </c>
      <c r="B3" s="5">
        <v>827.93</v>
      </c>
    </row>
    <row r="4" spans="1:2" x14ac:dyDescent="0.2">
      <c r="A4" s="4" t="s">
        <v>210</v>
      </c>
      <c r="B4" s="5">
        <v>827.93</v>
      </c>
    </row>
    <row r="5" spans="1:2" x14ac:dyDescent="0.2">
      <c r="A5" s="4" t="s">
        <v>211</v>
      </c>
      <c r="B5" s="5">
        <v>85.31</v>
      </c>
    </row>
    <row r="6" spans="1:2" x14ac:dyDescent="0.2">
      <c r="A6" s="4" t="s">
        <v>212</v>
      </c>
      <c r="B6" s="5">
        <v>875.18</v>
      </c>
    </row>
    <row r="7" spans="1:2" x14ac:dyDescent="0.2">
      <c r="A7" s="4" t="s">
        <v>213</v>
      </c>
      <c r="B7" s="5">
        <v>875.18</v>
      </c>
    </row>
    <row r="8" spans="1:2" x14ac:dyDescent="0.2">
      <c r="A8" s="4" t="s">
        <v>214</v>
      </c>
      <c r="B8" s="5">
        <v>875.18</v>
      </c>
    </row>
    <row r="9" spans="1:2" x14ac:dyDescent="0.2">
      <c r="A9" s="4" t="s">
        <v>215</v>
      </c>
      <c r="B9" s="5">
        <v>780.67</v>
      </c>
    </row>
    <row r="10" spans="1:2" x14ac:dyDescent="0.2">
      <c r="A10" s="4" t="s">
        <v>174</v>
      </c>
      <c r="B10" s="5"/>
    </row>
    <row r="11" spans="1:2" x14ac:dyDescent="0.2">
      <c r="A11" s="4" t="s">
        <v>216</v>
      </c>
      <c r="B11" s="5">
        <v>43.37</v>
      </c>
    </row>
    <row r="12" spans="1:2" x14ac:dyDescent="0.2">
      <c r="A12" s="4" t="s">
        <v>217</v>
      </c>
      <c r="B12" s="5">
        <v>42.17</v>
      </c>
    </row>
    <row r="13" spans="1:2" x14ac:dyDescent="0.2">
      <c r="A13" s="4" t="s">
        <v>181</v>
      </c>
      <c r="B13" s="5"/>
    </row>
    <row r="14" spans="1:2" x14ac:dyDescent="0.2">
      <c r="A14" s="4" t="s">
        <v>218</v>
      </c>
      <c r="B14" s="5">
        <v>34473.96</v>
      </c>
    </row>
    <row r="15" spans="1:2" x14ac:dyDescent="0.2">
      <c r="A15" s="4" t="s">
        <v>219</v>
      </c>
      <c r="B15" s="5">
        <v>95197.73</v>
      </c>
    </row>
    <row r="16" spans="1:2" x14ac:dyDescent="0.2">
      <c r="A16" s="4" t="s">
        <v>220</v>
      </c>
      <c r="B16" s="5">
        <v>128599.39</v>
      </c>
    </row>
    <row r="17" spans="1:2" x14ac:dyDescent="0.2">
      <c r="A17" s="4" t="s">
        <v>221</v>
      </c>
      <c r="B17" s="5">
        <v>4688.4299999999994</v>
      </c>
    </row>
    <row r="18" spans="1:2" x14ac:dyDescent="0.2">
      <c r="A18" s="4" t="s">
        <v>184</v>
      </c>
      <c r="B18" s="5"/>
    </row>
    <row r="19" spans="1:2" x14ac:dyDescent="0.2">
      <c r="A19" s="4" t="s">
        <v>222</v>
      </c>
      <c r="B19" s="5">
        <v>5116.41</v>
      </c>
    </row>
    <row r="20" spans="1:2" x14ac:dyDescent="0.2">
      <c r="A20" s="4" t="s">
        <v>223</v>
      </c>
      <c r="B20" s="5">
        <v>552.5</v>
      </c>
    </row>
    <row r="21" spans="1:2" x14ac:dyDescent="0.2">
      <c r="A21" s="4" t="s">
        <v>224</v>
      </c>
      <c r="B21" s="5">
        <v>5053.99</v>
      </c>
    </row>
    <row r="22" spans="1:2" x14ac:dyDescent="0.2">
      <c r="A22" s="4" t="s">
        <v>225</v>
      </c>
      <c r="B22" s="5">
        <v>8919.3000000000011</v>
      </c>
    </row>
    <row r="23" spans="1:2" x14ac:dyDescent="0.2">
      <c r="A23" s="4" t="s">
        <v>226</v>
      </c>
      <c r="B23" s="5">
        <v>2188.41</v>
      </c>
    </row>
    <row r="24" spans="1:2" x14ac:dyDescent="0.2">
      <c r="A24" s="6" t="s">
        <v>2</v>
      </c>
      <c r="B24" s="7">
        <f>SUM(B3:B23)</f>
        <v>290023.03999999992</v>
      </c>
    </row>
  </sheetData>
  <pageMargins left="0.39370078740157483" right="0.39370078740157483"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9456-FD50-47BA-96D7-6759AAB94626}">
  <dimension ref="A1:B19"/>
  <sheetViews>
    <sheetView zoomScaleNormal="100" workbookViewId="0">
      <selection activeCell="A24" sqref="A24"/>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242</v>
      </c>
      <c r="B2" s="5"/>
    </row>
    <row r="3" spans="1:2" x14ac:dyDescent="0.2">
      <c r="A3" s="4" t="s">
        <v>243</v>
      </c>
      <c r="B3" s="5">
        <v>3000</v>
      </c>
    </row>
    <row r="4" spans="1:2" x14ac:dyDescent="0.2">
      <c r="A4" s="4" t="s">
        <v>7</v>
      </c>
      <c r="B4" s="5"/>
    </row>
    <row r="5" spans="1:2" x14ac:dyDescent="0.2">
      <c r="A5" s="4" t="s">
        <v>244</v>
      </c>
      <c r="B5" s="5">
        <v>780.67</v>
      </c>
    </row>
    <row r="6" spans="1:2" x14ac:dyDescent="0.2">
      <c r="A6" s="4" t="s">
        <v>181</v>
      </c>
      <c r="B6" s="5"/>
    </row>
    <row r="7" spans="1:2" x14ac:dyDescent="0.2">
      <c r="A7" s="4" t="s">
        <v>245</v>
      </c>
      <c r="B7" s="5">
        <v>2100</v>
      </c>
    </row>
    <row r="8" spans="1:2" x14ac:dyDescent="0.2">
      <c r="A8" s="4" t="s">
        <v>246</v>
      </c>
      <c r="B8" s="5">
        <v>27.37</v>
      </c>
    </row>
    <row r="9" spans="1:2" x14ac:dyDescent="0.2">
      <c r="A9" s="4" t="s">
        <v>247</v>
      </c>
      <c r="B9" s="5">
        <v>254986.63</v>
      </c>
    </row>
    <row r="10" spans="1:2" x14ac:dyDescent="0.2">
      <c r="A10" s="4" t="s">
        <v>184</v>
      </c>
      <c r="B10" s="5"/>
    </row>
    <row r="11" spans="1:2" x14ac:dyDescent="0.2">
      <c r="A11" s="4" t="s">
        <v>248</v>
      </c>
      <c r="B11" s="5">
        <v>7306.6</v>
      </c>
    </row>
    <row r="12" spans="1:2" x14ac:dyDescent="0.2">
      <c r="A12" s="4" t="s">
        <v>249</v>
      </c>
      <c r="B12" s="5">
        <v>3780.04</v>
      </c>
    </row>
    <row r="13" spans="1:2" x14ac:dyDescent="0.2">
      <c r="A13" s="4" t="s">
        <v>250</v>
      </c>
      <c r="B13" s="5">
        <v>282.29000000000002</v>
      </c>
    </row>
    <row r="14" spans="1:2" x14ac:dyDescent="0.2">
      <c r="A14" s="4" t="s">
        <v>251</v>
      </c>
      <c r="B14" s="5">
        <v>7608.97</v>
      </c>
    </row>
    <row r="15" spans="1:2" x14ac:dyDescent="0.2">
      <c r="A15" s="4" t="s">
        <v>252</v>
      </c>
      <c r="B15" s="5">
        <v>3913.7299999999996</v>
      </c>
    </row>
    <row r="16" spans="1:2" x14ac:dyDescent="0.2">
      <c r="A16" s="6" t="s">
        <v>2</v>
      </c>
      <c r="B16" s="7">
        <f>SUM(B3:B15)</f>
        <v>283786.29999999993</v>
      </c>
    </row>
    <row r="19" spans="1:2" x14ac:dyDescent="0.2">
      <c r="A19" s="43" t="s">
        <v>261</v>
      </c>
      <c r="B19" s="44">
        <f>B16+'Ingresos formación 2020'!B24+'Ingresos formación 2019'!B66</f>
        <v>1062586.8299999998</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2022-10-18T10:13:56Z</dcterms:modified>
</cp:coreProperties>
</file>