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Institutos\"/>
    </mc:Choice>
  </mc:AlternateContent>
  <xr:revisionPtr revIDLastSave="0" documentId="13_ncr:1_{409289D6-4042-4A57-8747-9942CA60E095}" xr6:coauthVersionLast="47" xr6:coauthVersionMax="47" xr10:uidLastSave="{00000000-0000-0000-0000-000000000000}"/>
  <bookViews>
    <workbookView xWindow="22932" yWindow="-108" windowWidth="23256" windowHeight="12456" firstSheet="4" activeTab="7" xr2:uid="{00000000-000D-0000-FFFF-FFFF00000000}"/>
  </bookViews>
  <sheets>
    <sheet name="Tesis" sheetId="6" r:id="rId1"/>
    <sheet name="Sexenios" sheetId="7" r:id="rId2"/>
    <sheet name="Ingresos investigación 2019" sheetId="10" r:id="rId3"/>
    <sheet name="Ingresos investigación 2020" sheetId="14" r:id="rId4"/>
    <sheet name="Ingresos investigación 2021" sheetId="15" r:id="rId5"/>
    <sheet name="Ingresos formación 2019" sheetId="11" r:id="rId6"/>
    <sheet name="ingresos formación 2020 " sheetId="12" r:id="rId7"/>
    <sheet name="ingresos formación 2021" sheetId="16" r:id="rId8"/>
  </sheets>
  <definedNames>
    <definedName name="_xlnm._FilterDatabase" localSheetId="1" hidden="1">Sexenios!$A$1:$S$56</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10" l="1"/>
  <c r="B16" i="14"/>
  <c r="Q69" i="7" l="1"/>
  <c r="S81" i="6" l="1"/>
  <c r="B11" i="14" l="1"/>
  <c r="D16" i="15" s="1"/>
  <c r="B5" i="12" l="1"/>
  <c r="B14" i="11" l="1"/>
  <c r="D8" i="16" s="1"/>
</calcChain>
</file>

<file path=xl/sharedStrings.xml><?xml version="1.0" encoding="utf-8"?>
<sst xmlns="http://schemas.openxmlformats.org/spreadsheetml/2006/main" count="1927" uniqueCount="576">
  <si>
    <t>Orgánica
Descripción justificante</t>
  </si>
  <si>
    <t>Importe</t>
  </si>
  <si>
    <t>Total</t>
  </si>
  <si>
    <t>41.90.6P.00.01</t>
  </si>
  <si>
    <t>41.90.6P.00.03</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</si>
  <si>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</si>
  <si>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</si>
  <si>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</si>
  <si>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</si>
  <si>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</si>
  <si>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</si>
  <si>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</si>
  <si>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</si>
  <si>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</si>
  <si>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</si>
  <si>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</si>
  <si>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</si>
  <si>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</si>
  <si>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</si>
  <si>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</si>
  <si>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</si>
  <si>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</si>
  <si>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</si>
  <si>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</si>
  <si>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</si>
  <si>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</si>
  <si>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</si>
  <si>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</si>
  <si>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</si>
  <si>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28/09/2018 </t>
  </si>
  <si>
    <t>14/07/2017 </t>
  </si>
  <si>
    <t>23/09/2019 </t>
  </si>
  <si>
    <t>B112 </t>
  </si>
  <si>
    <t>DIDACTICA GENERAL Y DIDÁCTICAS ESPECÍFICAS </t>
  </si>
  <si>
    <t>B104</t>
  </si>
  <si>
    <t>50</t>
  </si>
  <si>
    <t>19/07/2017 </t>
  </si>
  <si>
    <t>B113</t>
  </si>
  <si>
    <t>20</t>
  </si>
  <si>
    <t>60</t>
  </si>
  <si>
    <t>90</t>
  </si>
  <si>
    <t>B147 </t>
  </si>
  <si>
    <t>CONSTRUCCIONES ARQUITECTONICAS </t>
  </si>
  <si>
    <t>10</t>
  </si>
  <si>
    <t>U044 </t>
  </si>
  <si>
    <t>ADM. FACULTAD DE CIENCIAS DE LA SALUD </t>
  </si>
  <si>
    <t>DOCTORADO EN CIENCIAS DE LA SALUD </t>
  </si>
  <si>
    <t>DOCTORADO EN INVESTIG. EN ARQUITECTURA Y URBANISMO SOSTENIBLES </t>
  </si>
  <si>
    <t>B185 </t>
  </si>
  <si>
    <t>INGENIERÍA CIVIL </t>
  </si>
  <si>
    <t>DOCTORADO EN INGENIERÍA DE MATERIALES, ESTRUCTURAS Y TERRENO: CONSTR. SOST. </t>
  </si>
  <si>
    <t>20/12/2018 </t>
  </si>
  <si>
    <t>B146 </t>
  </si>
  <si>
    <t>EXPRESION GRAFICA Y CARTOGRAFIA </t>
  </si>
  <si>
    <t>B187</t>
  </si>
  <si>
    <t>10.06</t>
  </si>
  <si>
    <t>25</t>
  </si>
  <si>
    <t>31/10/2018 </t>
  </si>
  <si>
    <t>B179 </t>
  </si>
  <si>
    <t>SOCIOLOGÍA I </t>
  </si>
  <si>
    <t>B179</t>
  </si>
  <si>
    <t>U036 </t>
  </si>
  <si>
    <t>ADM. FACULTAD DE CIENCIAS ECONÓMICAS </t>
  </si>
  <si>
    <t>DOCTORADO EN EMPRESA, ECONOMÍA Y SOCIEDAD </t>
  </si>
  <si>
    <t>30</t>
  </si>
  <si>
    <t>B174 </t>
  </si>
  <si>
    <t>HISTORIA MEDIEVAL, HISTORIA MODERNA Y CIENCIAS Y TÉCNICAS HISTORIOGRÀFICAS </t>
  </si>
  <si>
    <t>B122 </t>
  </si>
  <si>
    <t>HUMANIDADES CONTEMPORANEAS </t>
  </si>
  <si>
    <t>B122</t>
  </si>
  <si>
    <t>U023 </t>
  </si>
  <si>
    <t>ADM. FACULTAD DE FILOSOFIA Y LETRAS </t>
  </si>
  <si>
    <t>DOCTORADO EN FILOSOFÍA Y LETRAS </t>
  </si>
  <si>
    <t>28/07/2017 </t>
  </si>
  <si>
    <t>B170 </t>
  </si>
  <si>
    <t>ENFERMERÍA COMUNITARIA, MEDICINA PREVENTIVA Y SALUD PÚBLICA </t>
  </si>
  <si>
    <t>B170</t>
  </si>
  <si>
    <t>B175 </t>
  </si>
  <si>
    <t>COMUNICACIÓN Y PSICOLOGÍA SOCIAL </t>
  </si>
  <si>
    <t>B175</t>
  </si>
  <si>
    <t>B176</t>
  </si>
  <si>
    <t>10.22</t>
  </si>
  <si>
    <t>Mateos García, José Tomás </t>
  </si>
  <si>
    <t>MODELO DE SUSTENTADOR MASCULINO: APROXIMACIÓN CONCEPTUAL Y EMPÍRICA PARA LA SALUD </t>
  </si>
  <si>
    <t>16/09/2019 </t>
  </si>
  <si>
    <t>33492987L </t>
  </si>
  <si>
    <t>10.23</t>
  </si>
  <si>
    <t>17/06/2019 </t>
  </si>
  <si>
    <t>12/07/2017 </t>
  </si>
  <si>
    <t>B115 </t>
  </si>
  <si>
    <t>FILOL. ESPAÑOLA, LINGÜÍSTICA GENERAL Y TEORIA DE LA LITERATURA </t>
  </si>
  <si>
    <t>B115</t>
  </si>
  <si>
    <t>10.15</t>
  </si>
  <si>
    <t>DOCTORADO EN ESPAÑOL E INGLÉS COMO SEGUNDAS LEN. (L2) / LEN. EXTRANJ. (LE) </t>
  </si>
  <si>
    <t>B116 </t>
  </si>
  <si>
    <t>FILOLOGÍA INGLESA </t>
  </si>
  <si>
    <t>B116</t>
  </si>
  <si>
    <t>24/05/2018 </t>
  </si>
  <si>
    <t>26/09/2019 </t>
  </si>
  <si>
    <t>B114 </t>
  </si>
  <si>
    <t>FILOLOGIAS INTEGRADAS </t>
  </si>
  <si>
    <t>B114</t>
  </si>
  <si>
    <t>48392661V </t>
  </si>
  <si>
    <t>U073 </t>
  </si>
  <si>
    <t>ADM. I.U. INVESTIGACIÓN DE ESTUDIOS DE GÉNERO </t>
  </si>
  <si>
    <t>DOCTORADO EN ESTUDIOS INTERDISCIPLINARES DE GÉNERO </t>
  </si>
  <si>
    <t>21442493F </t>
  </si>
  <si>
    <t>Dida Nopogwo, Baudelaire </t>
  </si>
  <si>
    <t>ANÁLISIS DE ERRORES EN LA ADQUISICIÓN DEL MODO SUBJUNTIVO POR LOS ESTUDIANTES FRANCÓFONOS DE ESPAÑOL COMO LENGUA EXTRANJERA </t>
  </si>
  <si>
    <t>18/07/2019 </t>
  </si>
  <si>
    <t>Moreno Sánchez, José Javier </t>
  </si>
  <si>
    <t>ANÁLISIS (CRÍTICO) DEL DISCURSO LEGISLATIVO EN MATERIA DE EDUCACIÓN EN EL ESTADO ESPAÑOL DESDE UNA PERSPECTIVA QUEER </t>
  </si>
  <si>
    <t>28/11/2018 </t>
  </si>
  <si>
    <t>24/02/2017 </t>
  </si>
  <si>
    <t>10.25</t>
  </si>
  <si>
    <t>19/12/2016 </t>
  </si>
  <si>
    <t>B177 </t>
  </si>
  <si>
    <t>PSICOLOGÍA EVOLUTIVA Y DIDÁCTICA </t>
  </si>
  <si>
    <t>B112</t>
  </si>
  <si>
    <t>DOCTORADO EN INVESTIGACIÓN EDUCATIVA: ENSEÑANZA Y APRENDIZAJE </t>
  </si>
  <si>
    <t>19/12/2018 </t>
  </si>
  <si>
    <t>B159</t>
  </si>
  <si>
    <t>48345463S </t>
  </si>
  <si>
    <t>Serrano Bailen, Ariadna </t>
  </si>
  <si>
    <t>LA REESCRITURA DEL VICTORIANISMO Y LA SIGNIFICACIÓN DE LA LOCURA EN TIPPING THE VELVET,, AFFINITY Y FINGERSMITH DE SARAH WATERS </t>
  </si>
  <si>
    <t>Benaicha Ziani, Mekkia Naima </t>
  </si>
  <si>
    <t>"ABDELKADER ALLOULA Y SU TRILOGÍA: UN TEATRO, UNA LENGUA, UN ESTILO Y UNA IDEOLOGÍA" </t>
  </si>
  <si>
    <t>21474507M </t>
  </si>
  <si>
    <t>DOCTORADO EN ESTUDIOS LITERARIOS </t>
  </si>
  <si>
    <t>74084767L </t>
  </si>
  <si>
    <t>Quirante Amores, Gabriela </t>
  </si>
  <si>
    <t>LA NOVELA HISTÓRICA ESCRITA POR MUJERES EN CENTROAMÉRICA DURANTE LA PRIMERA MITAD DEL SIGLO XX </t>
  </si>
  <si>
    <t>21473357M </t>
  </si>
  <si>
    <t>Ballester Pardo, Ignacio </t>
  </si>
  <si>
    <t>LA DIMENSIÓN CÍVICA EN LA POESÍA MEXICANA DESDE 1960: HERENCIA, TRADICIÓN Y RENOVACIÓN EN LA OBRA DE VICENTE QUIRARTE </t>
  </si>
  <si>
    <t>Cacciola , Anna </t>
  </si>
  <si>
    <t>LENGUAJES BÍBLICO E IDENTIDAD DE MUJER EN CARMEN CONDE. MIENTRAS LOS HOMBRES MUEREN Y MUJER SIN EDÉN EN LA POESÍA FEMENINA ESPAÑOLA DE LA PRIMERA MITAD DEL SIGLO XX </t>
  </si>
  <si>
    <t>21622874E </t>
  </si>
  <si>
    <t>B132 </t>
  </si>
  <si>
    <t>PSICOLOGIA DE LA SALUD </t>
  </si>
  <si>
    <t>B132</t>
  </si>
  <si>
    <t>López Ruiz, Elisa Teresa </t>
  </si>
  <si>
    <t>CONOCIMIENTO PROFESIONAL, COMPETENCIA Y PERCEPCIONES DEL PROFESORADO DE EDUCACIÓN SECUNDARIA, ORIENTADORES Y EQUIPOS DIRECTIVOS ACERCA DE LA INCLUSIÓN DEL ALUMNADO CON NECESIDADES ESPECÍFICAS DE APOYO EDUCATIVO (NEAE): ESTUDIO COMPARADO </t>
  </si>
  <si>
    <t>26/06/2017 </t>
  </si>
  <si>
    <t>28996290Y </t>
  </si>
  <si>
    <t>48296836X </t>
  </si>
  <si>
    <t>28555357Y </t>
  </si>
  <si>
    <t>26186611F </t>
  </si>
  <si>
    <t>21487726E </t>
  </si>
  <si>
    <t>Tobarra López, Ana </t>
  </si>
  <si>
    <t>MAPA DE ACTIVOS: CIUDADANÍA, PROFESIONALES Y RESPONSABLES DE POLÍTICA LOCAL, IDENTIFICANDO ESPACIOS DE OPORTUNIDAD PARA MEJORAR LA SALUD DE LA POBLACIÓN </t>
  </si>
  <si>
    <t>Iruzubieta Barragán, Francisco </t>
  </si>
  <si>
    <t>ENFERMERÍA Y GÉNERO EN LA ATENCIÓN SOCIO-SANITARIA MUNICIPAL DE LOGROÑO: CASA DE SOCORRO Y GOTA DE LECHE </t>
  </si>
  <si>
    <t>Jovaní Casano, Vega </t>
  </si>
  <si>
    <t>SESGOS DE GÉNERO EN EL DIAGNÓSTICO DE LAS ESPONDILOARTRITIS </t>
  </si>
  <si>
    <t>03/04/2019 </t>
  </si>
  <si>
    <t>PEIRÓ PÉREZ, ROSA ANA </t>
  </si>
  <si>
    <t>FACTORES REPRODUCTIVOS Y NIVEL EDUCATIVO EN LAS MUJERES PARTICIPANTES EN EL PROGRAMA DE CRIBADO DE CÁNCER DE MAMA DE LA COMUNICAD VALENCIANA </t>
  </si>
  <si>
    <t>Blasco Blasco, María Del Mar </t>
  </si>
  <si>
    <t>INNOVACIONES DE GÉNERO EN LA ESPONDILOARTRITIS. APORTACIÓN A LA CONTEXTUALIZACIÓN Y RE-CONCEPTUALIZACIÓN DE LA ENFERMEDAD A PARTIR DE LA INTERACCIÓN SEXO-GÉNERO </t>
  </si>
  <si>
    <t>DOCTORADO EN HISTORIA MODERNA </t>
  </si>
  <si>
    <t>50283950Q </t>
  </si>
  <si>
    <t>B174</t>
  </si>
  <si>
    <t>Tribaldos Soriano, Rosa </t>
  </si>
  <si>
    <t>LAS MUJERES GUARANÍES DE LOS TREINTA PUEBLOS MISIONEROS DE LA COMPAÑÍA DE JESÚS (SIGLOS XVII-XVIII) </t>
  </si>
  <si>
    <t>11/11/2016 </t>
  </si>
  <si>
    <t>Echaniz Martínez, Berta Maria </t>
  </si>
  <si>
    <t>LAS MONJAS DE LA SANGRE. HISTORIAS DE VIDA EN LA MODERNIDAD ALICANTINA </t>
  </si>
  <si>
    <t>Delicado Moratalla, Lidia </t>
  </si>
  <si>
    <t>DESDE LA ESCLAVITUD DE MUJERES NEGRO AFRICANAS A LA PROSTITUCIÓN NIGERIANA EN ALICANTE. UNA GEOGRAFÍA FEMINISTA (SS. XVI-XXI) </t>
  </si>
  <si>
    <t>19/05/2017 </t>
  </si>
  <si>
    <t>Díaz Mejías, Laura </t>
  </si>
  <si>
    <t>MAQUILLAR LA ENFERMEDAD O ENFERMAR POR MAQUILLARSE: MODA E HIGIENE EN LA MODERNIDAD DE LA MONARQUÍA HISPÁNICA </t>
  </si>
  <si>
    <t>33485113B </t>
  </si>
  <si>
    <t>21499146B </t>
  </si>
  <si>
    <t>Vilaplana Aparicio, María José </t>
  </si>
  <si>
    <t>LA COMUNICACIÓN DE LA INNOVACIÓN REALIZADA POR EMPRESAS ESPAÑOLAS QUE HAN RECIBIDO AYUDAS PÚBLICAS DE I+D+I </t>
  </si>
  <si>
    <t>B177</t>
  </si>
  <si>
    <t>25128440C </t>
  </si>
  <si>
    <t>El Habib Draoui, Brahim </t>
  </si>
  <si>
    <t>EL BINOMIO "SEGREGACIÓN RESIDENCIAL-SEGREGACIÓN ESCOLAR" FRENTE A LAS LIMITACIONES DE LAS ESTADÍSTICAS OFICIALES. APLICACIONES DESDE LA MORFOLOGÍA SOCIAL A LA CIUDAD DE ALICANTE </t>
  </si>
  <si>
    <t>21475002V </t>
  </si>
  <si>
    <t>13300077M </t>
  </si>
  <si>
    <t>Reus Martínez, Patricia </t>
  </si>
  <si>
    <t>LA FORMA EN LA CIUDAD CÍVICA. EVOLUCIÓN DEL BARRIO DE VISTABELLA, MURCIA, ESPAÑA (1941-2016). DE LA ALDEA PERIFÉRICA A LA ALDEA EXPANDIDA </t>
  </si>
  <si>
    <t>01/12/2016 </t>
  </si>
  <si>
    <t>Blancafort Sansó, Jaume </t>
  </si>
  <si>
    <t>PARTICIPACIÓN Y CREACIÓN COLECTIVA EN LA ARQUITECTURA DE LAWRENCE HALPRIN. LA METODOLOGÍA TAKE PART EN LOS PROCESOS PARTICIPATIVOS DEL PROYECTO URBANO </t>
  </si>
  <si>
    <t>11/09/2017 </t>
  </si>
  <si>
    <t>Seoane Lugli, Verónica Beatriz </t>
  </si>
  <si>
    <t>URBANIZACIÓN DE ASENTAMIENTOS INFORMALES EN SAO PAULO DE 2005 A 2012. PARTICIPACIÓN COMUNITARIA Y RESULTADOS </t>
  </si>
  <si>
    <t>10/05/2017 </t>
  </si>
  <si>
    <t>Laidouni , Nouhad </t>
  </si>
  <si>
    <t>APROXIMACIÓN AL PAPEL DEL SISTEMA SANITARIO Y LOS FACTORES SOCIOCULTURALES EN EL FUNCIONAMIENTO DE LA DONACIÓN Y TRASPLANTE DE ÓRGANOS EN ARGELIA. </t>
  </si>
  <si>
    <t>Lomas López, Enrique </t>
  </si>
  <si>
    <t>LAS LITERATURAS HISPÁNICAS DEL MAGREB. DEL CONTEXTO FRANCÓFONO A LA REALIDAD HISPANO-CATALANA </t>
  </si>
  <si>
    <t>06/07/2017 </t>
  </si>
  <si>
    <t>Paquet , Pierre-Luc </t>
  </si>
  <si>
    <t>INFLUENCIA DE LAS PROPIEDADES DE LA L1 Y DEL NIVEL DE COMPETENCIA EN LA ADQUISICIÓN DE LA CONCORDANCIA DE GÉNERO: UNA COMPARACIÓN ENTRE ESTUDIANTES FRANCÓFONOS Y ANGLÓFONOS DE ESPAÑOL L2 </t>
  </si>
  <si>
    <t>Li , Hui </t>
  </si>
  <si>
    <t>ANÁLISIS DE EXPRESIÓN ESCRITA DE LOS ESTUDIANTES CHINOS EN SU APRENDIZAJE DE ELE BASADO EN LA TEORÍA DE GÉNERO: ACTUALIDAD Y FUTURO </t>
  </si>
  <si>
    <t>76414567B </t>
  </si>
  <si>
    <t>26226014B </t>
  </si>
  <si>
    <t>Mykytka , Iryna </t>
  </si>
  <si>
    <t>UNA APROXIMACIÓN LEXICOLÓGICA AL INGLÉS DE LA FOTOGRAFÍA </t>
  </si>
  <si>
    <t>15/11/2018 </t>
  </si>
  <si>
    <t>21436046T </t>
  </si>
  <si>
    <t>NIF</t>
  </si>
  <si>
    <t>NOMBRE_COMPLETO</t>
  </si>
  <si>
    <t>TIPO_SEXENIO</t>
  </si>
  <si>
    <t>Total general</t>
  </si>
  <si>
    <t>INS
1</t>
  </si>
  <si>
    <t>DED
INS 1</t>
  </si>
  <si>
    <t>INS
2</t>
  </si>
  <si>
    <t>DED
INS 2</t>
  </si>
  <si>
    <t>DED
DEP</t>
  </si>
  <si>
    <t>SEX
INS 1</t>
  </si>
  <si>
    <t>SEX
INS 2</t>
  </si>
  <si>
    <t>SEX
DEP</t>
  </si>
  <si>
    <t>FUNCIONARIO</t>
  </si>
  <si>
    <t>NO FUNCIONARIO</t>
  </si>
  <si>
    <t>33492987L</t>
  </si>
  <si>
    <t>GIL GONZALEZ, DIANA MARIA</t>
  </si>
  <si>
    <t>21499146B</t>
  </si>
  <si>
    <t>PAPI GALVEZ, NATALIA</t>
  </si>
  <si>
    <t>22128337Z</t>
  </si>
  <si>
    <t>CORBI SAEZ, MARIA ISABEL</t>
  </si>
  <si>
    <t>21442493F</t>
  </si>
  <si>
    <t>MARIMON LLORCA, MARIA DEL CARMEN</t>
  </si>
  <si>
    <t>26226014B</t>
  </si>
  <si>
    <t>MARTINEZ LIROLA, MARIA DOLORES</t>
  </si>
  <si>
    <t>52747327R</t>
  </si>
  <si>
    <t>RUIZ GURILLO, LEONOR</t>
  </si>
  <si>
    <t>21417486R</t>
  </si>
  <si>
    <t>SIRVENT RAMOS, ANGELES</t>
  </si>
  <si>
    <t>48345463S</t>
  </si>
  <si>
    <t>CAPORALE BIZZINI, SILVIA JULIA</t>
  </si>
  <si>
    <t>21516771H</t>
  </si>
  <si>
    <t>ESPINAR RUIZ, EVA</t>
  </si>
  <si>
    <t>74084767L</t>
  </si>
  <si>
    <t>ALEMANY BAY, CARMEN</t>
  </si>
  <si>
    <t>28555357Y</t>
  </si>
  <si>
    <t>ALVAREZ-DARDET DIAZ, CARLOS</t>
  </si>
  <si>
    <t>21471389S</t>
  </si>
  <si>
    <t>ARRAEZ LLOBREGAT, JOSE LUIS</t>
  </si>
  <si>
    <t>29019785H</t>
  </si>
  <si>
    <t>BAJO GARCIA, IRENE</t>
  </si>
  <si>
    <t>B140</t>
  </si>
  <si>
    <t>21622874E</t>
  </si>
  <si>
    <t>CARDONA MOLTO, MARIA CRISTINA</t>
  </si>
  <si>
    <t>28996290Y</t>
  </si>
  <si>
    <t>CHINER SANZ, ESTHER</t>
  </si>
  <si>
    <t>33487725R</t>
  </si>
  <si>
    <t>ESQUEMBRE CERDA, MARIA DEL MAR</t>
  </si>
  <si>
    <t>21473357M</t>
  </si>
  <si>
    <t>ESTABLIER PEREZ, HELENA</t>
  </si>
  <si>
    <t>50283950Q</t>
  </si>
  <si>
    <t>FERNANDEZ ARRILLAGA, MARIA INMACULADA CONCEPCION</t>
  </si>
  <si>
    <t>21487726E</t>
  </si>
  <si>
    <t>GALIANA SANCHEZ, MARIA EUGENIA</t>
  </si>
  <si>
    <t>53145504W</t>
  </si>
  <si>
    <t>GALINDO MERINO, MARIA DEL MAR</t>
  </si>
  <si>
    <t>21418660W</t>
  </si>
  <si>
    <t>GUTIERREZ LLORET, ROSA ANA</t>
  </si>
  <si>
    <t>13300077M</t>
  </si>
  <si>
    <t>GUTIERREZ MOZO, MARIA ELIA</t>
  </si>
  <si>
    <t>48358432N</t>
  </si>
  <si>
    <t>HERNANDEZ RUIZ, ALEJANDRA</t>
  </si>
  <si>
    <t>21474507M</t>
  </si>
  <si>
    <t>LAPIEDRA GUTIERREZ, EVA</t>
  </si>
  <si>
    <t>52781763Y</t>
  </si>
  <si>
    <t>LLORCA TONDA, MARIA DE LOS ANGELES</t>
  </si>
  <si>
    <t>07860559X</t>
  </si>
  <si>
    <t>MANCHADO LOPEZ, MARIA DEL CARMEN</t>
  </si>
  <si>
    <t>21466262V</t>
  </si>
  <si>
    <t>MATEO RIPOLL, VERONICA</t>
  </si>
  <si>
    <t>21648517C</t>
  </si>
  <si>
    <t>MIRA ABAD, ALICIA VICTORIA</t>
  </si>
  <si>
    <t>21481385Y</t>
  </si>
  <si>
    <t>MORENO SECO, MONICA</t>
  </si>
  <si>
    <t>22146116Z</t>
  </si>
  <si>
    <t>NAJERA PEREZ, ELENA</t>
  </si>
  <si>
    <t>29013572S</t>
  </si>
  <si>
    <t>PEÑALVER VICEA, MARIA ISABEL</t>
  </si>
  <si>
    <t>33484860B</t>
  </si>
  <si>
    <t>PERAL CRESPO, AMELIA</t>
  </si>
  <si>
    <t>71661231Q</t>
  </si>
  <si>
    <t>PRIETO GARCIA-CAÑEDO, SARA</t>
  </si>
  <si>
    <t>25128440C</t>
  </si>
  <si>
    <t>RODRIGUEZ JAUME, MARIA JOSE</t>
  </si>
  <si>
    <t>26186611F</t>
  </si>
  <si>
    <t>RUIZ CANTERO, MARIA TERESA</t>
  </si>
  <si>
    <t>52987571X</t>
  </si>
  <si>
    <t>SOUTO GALVAN, BEATRIZ</t>
  </si>
  <si>
    <t>52777601F</t>
  </si>
  <si>
    <t>SURIA MARTINEZ, RAQUEL</t>
  </si>
  <si>
    <t>21490870S</t>
  </si>
  <si>
    <t>TORRES VALDES, ROSA MARIA</t>
  </si>
  <si>
    <t>48296836X</t>
  </si>
  <si>
    <t>VIVES CASES, MARIA DEL CARMEN</t>
  </si>
  <si>
    <t>76414567B</t>
  </si>
  <si>
    <t>BALTEIRO FERNANDEZ, MARIA ISABEL</t>
  </si>
  <si>
    <t>46085014Y</t>
  </si>
  <si>
    <t>TIMOFEEVA TIMOFEEV, LARISSA</t>
  </si>
  <si>
    <t>44752168X</t>
  </si>
  <si>
    <t>ALVARADO ORTEGA, MARIA BELEN</t>
  </si>
  <si>
    <t>21436046T</t>
  </si>
  <si>
    <t>BARRIO BARRIO, JUAN ANTONIO</t>
  </si>
  <si>
    <t>48769418B</t>
  </si>
  <si>
    <t>MERMA MOLINA, GLADYS</t>
  </si>
  <si>
    <t>76941801Q</t>
  </si>
  <si>
    <t>IGLESIAS MARTINEZ, MARCOS JESUS</t>
  </si>
  <si>
    <t>48379979P</t>
  </si>
  <si>
    <t>LOZANO CABEZAS, INES</t>
  </si>
  <si>
    <t>41.90.2T.00.01</t>
  </si>
  <si>
    <t>41.90.6G.00.02</t>
  </si>
  <si>
    <t>II LIQUIDACIÓN CONGRESO HUMOR VERBAL</t>
  </si>
  <si>
    <t>INSCRIPCIÓN AL CONGRESO INTENACIONAL SOBRE EL HUMOR VERBAL (CIHV2019) DE MIGUEL ÁNGEL ALBÚJER LAX</t>
  </si>
  <si>
    <t>Inscripción al Congreso Internacional sobre el Humor Verbal (CIHV2019) de AGNIESZKA SOLSKA</t>
  </si>
  <si>
    <t>Inscripción al Congreso Internacional sobre el Humor Verbal (CIHV2019) de ARTUR SKWERES</t>
  </si>
  <si>
    <t>INSCRIPCIÓN AL CONGRESO INTERNACIONAL SOBRE EL HUMOR VERBAL (CIHV2019) DE JAVIER HERRERO RUIZ</t>
  </si>
  <si>
    <t>INSCRIPCIÓN AL CONGRESO INTERNACIONAL SOBRE EL HUMOR VERBAL (CIHV2019) DE Mª ISABEL GONZÁLEZ CRUZ. UGA 254. Departamento de Filología Moderna, Traducción e Interpretación.</t>
  </si>
  <si>
    <t>INSCRIPCIÓN CIHV Mª JESÚS VERA CAZORLA. UGA 254.-DIR U02600060. Departamento de Filología Moderna, Traducción e Interpretación.</t>
  </si>
  <si>
    <t>INSCRIPCIÓN CONGRESO INTERNACIONAL SOBRE EL HUMOR VERBAL (CIHV2019) DE AGNIESZKA PISKORSKA</t>
  </si>
  <si>
    <t>LIQUIDACIÓN CONGRESO INTERNACIONAL SOBRE EL HUMOR VERBAL, CELEBRADO LOS DÍAS 23,24,25 DE OCTUBRE DE 2019</t>
  </si>
  <si>
    <t>Liquidación PLAN GE32 "Congreso Internacional sobre el humor verbal"</t>
  </si>
  <si>
    <t>41.90.6G.00.03</t>
  </si>
  <si>
    <t>CONGRESO LO PÚBLICO Y LO PRIVADO. GÉNERO, COMPROMISO Y TRANSGRESIÓN ENTRE EL SIGLO XIX Y S. XXI</t>
  </si>
  <si>
    <t>Inscripción Congreso Internacional "Lo Público y Lo Privado. Género, Compromiso y Trangresión entre el siglo XIX y el XXI" de DAVID MOTA ZURDO</t>
  </si>
  <si>
    <t>Inscripción Congreso Internacional "Lo Público y Lo Privado. Género, compromiso y transgresión entre el siglo XIX y el XXI" de María Isabel Tejeda Martín</t>
  </si>
  <si>
    <t>LIBERADOS EL 23/04/2019, ANUALIDAD 2019 PROYECTOS I+D (PIA1) N EXPEDIENTE: PIA12015-1 -4 ANUALIDAD REFERENCIA: FFI2015-64540-C2-1-P. REF. DEL ORDENANTE PARA EL BENEFICIARIO: 27402219310017417.</t>
  </si>
  <si>
    <t>41.90.6P.00.02</t>
  </si>
  <si>
    <t xml:space="preserve">PROMETEO 2016 EN 2019 </t>
  </si>
  <si>
    <t>LIBERADOS EL 23/04/2019, ANUALIDAD 2019 PROYECTOS I+D (PIA 1) N EXPEDIENTE: PIA12016-1 - 4 ANUALIDAD REFERENCIA: FEM2016-76675-P. REF. DEL ORDENANTE PARA EL BENFICIARIO: 27402219310018245.</t>
  </si>
  <si>
    <t>41.90.6P.00.07</t>
  </si>
  <si>
    <t>2-PI18/00590 - Anualidad 2019 / 1-PI18/00590 26203219310007930-2019/003281</t>
  </si>
  <si>
    <t>41.90.6P.00.09</t>
  </si>
  <si>
    <t>PARA EL PAGO DE LA ANUALIDAD 2019. PROYECTOS I+D (PIA 1) N EXPEDIENTE : PIA 12018 - 1 -1 ANUALIDAD REFERENCIA: PGC2018 - 096926 - B - I00. REFERENCIA DEL ORDENANTE PARA EL BENEFICIARIO:00173219310010736 - 2019/009191</t>
  </si>
  <si>
    <t>PARA PAGO ANUALIDAD 2019 CONVOCATORIA PGC 2018 PROYECTOS I+D (PIA 1) N EXPEDIENTE: PIA 12018-1-1 ANUALIDAD REFERENCIA: PGC2018 - 096926- B-10. REFERENCIA DEL ORDENANTE PARA EL BENEFICIARIO: 27402219310025427</t>
  </si>
  <si>
    <t>41.90.6Q.00.01</t>
  </si>
  <si>
    <t xml:space="preserve">1180.S8306.CONVENIO CON UNIVERSITAT D'ALACANT PARA EL MANTENIMIENTO DE LA CATEDRA DE RESPONSABILIDAD SOCIAL. (TRANSPARENCIA RESPONSAB.SOCIAL,PART.Y CO) </t>
  </si>
  <si>
    <t>41.90.2G.00.01</t>
  </si>
  <si>
    <t>Abono parcial de la fra 09380522451C del  JG 47502 /2018 y ADO 56831/2018 pagado y abonado por Diners</t>
  </si>
  <si>
    <t>Liquidación PLAN GE61 "Géneros, cuerpos y sexualidades"</t>
  </si>
  <si>
    <t>Liquidación  PLAN GD09 curso ''GD09 FORO DEL IUIEG EN MASCULINO PLURAL. LA UTILIDAD DEL CONCEPTO MASCULINIDAD'' ORDEN 5309</t>
  </si>
  <si>
    <t>Liquidación  PLAN GD14 curso ''PARA QUÉ Y CÓMO INVESTIGAR CON PERSPECTIVA DE GÉNERO EN EDUCACIÓN'' ORDEN 5391</t>
  </si>
  <si>
    <t>Liquidación  PLAN GD15 curso ''INVESTIGACIÓN DESDE LA PERSPECTIVA DE GÉNERO EN CIENCIAS DE LA SALUD'' ORDEN 5385</t>
  </si>
  <si>
    <t>Matrícula de Anna Giné March en curso online "Investigación desde la perspectiva de género en Ciencias de la Salud"</t>
  </si>
  <si>
    <t>REINTEGRO CUOTA PATRONAL CORRESPONDIENTE AL MES DE DICIEMBRE 2019.</t>
  </si>
  <si>
    <t>REINTEGRO CUOTA PATRONAL CORRESPONDIENTE AL MES DE OCTUBRE DE 2019.</t>
  </si>
  <si>
    <t>41.90.2T.00.02</t>
  </si>
  <si>
    <t>Liquidación PLAN 9332 "Experto en violencia de género: un enfoque interdisciplinar"</t>
  </si>
  <si>
    <t>Pérez Pérez, Lucía Del Mar </t>
  </si>
  <si>
    <t>LA VOZ DE LA PROFECÍA FEMENINA DE LOS JESUITAS ESPAÑOLES (1767-1814) </t>
  </si>
  <si>
    <t>28/11/2019 </t>
  </si>
  <si>
    <t>- </t>
  </si>
  <si>
    <t>Riesgo Martínez, Ferran </t>
  </si>
  <si>
    <t>Música y narrativa en el Río de la Plata: Felisberto Hernández, Daniel Moyano y el surco del tango en las letras argentinas </t>
  </si>
  <si>
    <t>27/11/2019 </t>
  </si>
  <si>
    <t>Aliaga Aguza, Laura María </t>
  </si>
  <si>
    <t>ANÁLISIS LINGÜÍSTICO DEL HUMOR EN EL MEDIO AUDIOVISUAL: LAS ESTRATEGIAS HUMORÍSTICAS DE LA COMEDIA DE SITUACIÓN </t>
  </si>
  <si>
    <t>29/01/2020 </t>
  </si>
  <si>
    <t>52747327R </t>
  </si>
  <si>
    <t>Linares Bernabeu, Esther </t>
  </si>
  <si>
    <t>La construcción discursiva de la identidad de género femenina en el monólogo humorístico subversivo </t>
  </si>
  <si>
    <t>05/02/2020 </t>
  </si>
  <si>
    <t>44752168X </t>
  </si>
  <si>
    <t>21475002V</t>
  </si>
  <si>
    <t>JIMENEZ DELGADO, MARIA</t>
  </si>
  <si>
    <t>53626562S</t>
  </si>
  <si>
    <t>KERSLAKE YOUNG, LORRAINE JOANNA</t>
  </si>
  <si>
    <t>51091750X</t>
  </si>
  <si>
    <t>RAMOS FEIJOO, CLARISA</t>
  </si>
  <si>
    <t>21456802X</t>
  </si>
  <si>
    <t>GINER PEREZ, JOSE MIGUEL</t>
  </si>
  <si>
    <t>B139</t>
  </si>
  <si>
    <t>25128914B</t>
  </si>
  <si>
    <t>SANTAMARIA PEREZ, MARIA ISABEL</t>
  </si>
  <si>
    <t>52773764B</t>
  </si>
  <si>
    <t>GOMEZ TRIGUEROS, ISABEL MARIA</t>
  </si>
  <si>
    <t>COD DEP</t>
  </si>
  <si>
    <t>18011412C</t>
  </si>
  <si>
    <t>MAÑAS VIEJO, CARMEN ROSA</t>
  </si>
  <si>
    <t>vivos</t>
  </si>
  <si>
    <t>21626813M</t>
  </si>
  <si>
    <t>GOMEZ REUS, MARIA TERESA</t>
  </si>
  <si>
    <t>33485113B</t>
  </si>
  <si>
    <t>MARTIN LLAGUNO, MARTA</t>
  </si>
  <si>
    <t>34819244G</t>
  </si>
  <si>
    <t>PARRA MARTINEZ, JOSE</t>
  </si>
  <si>
    <t>77706785C</t>
  </si>
  <si>
    <t>PERNI LLORENTE, REMEDIOS</t>
  </si>
  <si>
    <t>Ríos Pérez, Manuel </t>
  </si>
  <si>
    <t>Concesiones de transporte público regular de viajeros por carretera y su dependencia territorial. Evolución, contexto socioeconómico y modelo desarrollado en la provincia de Alicante </t>
  </si>
  <si>
    <t>05/11/2020 </t>
  </si>
  <si>
    <t>21490870S </t>
  </si>
  <si>
    <t>Segura Martínez, Vicente </t>
  </si>
  <si>
    <t>Cultura industrial, ludismo y proyección literaria </t>
  </si>
  <si>
    <t>23/10/2020 </t>
  </si>
  <si>
    <t>21418660W </t>
  </si>
  <si>
    <t>Usera Clavero, María Luisa </t>
  </si>
  <si>
    <t>DESIGUALDADES EN SALUD Y DE GÉNERO EN LA POBLACIÓN GITANA. UN ABORDAJE DESDE LA SALUD PÚBLICA. </t>
  </si>
  <si>
    <t>24/11/2020 </t>
  </si>
  <si>
    <t>Miralles Cardona, Cristina </t>
  </si>
  <si>
    <t>Estudio exploratorio de las percepciones, competencias y actitudes de docentes en formación hacia la igualdad de género / Student teachers' perceptions, competencies and attitudes towards gender equality: an exploratory study </t>
  </si>
  <si>
    <t>23/11/2020 </t>
  </si>
  <si>
    <t>Guzmán Raya, Nancy </t>
  </si>
  <si>
    <t>FUGA DE CEREBROS DE LAS MUJERES AL HOGAR: ANÁLISIS Y PROPUESTA DE INTERVENCIÓN DESDE LAS POLÍTICAS PÚBLICAS LABORALES MEXICANAS </t>
  </si>
  <si>
    <t>30/11/2020 </t>
  </si>
  <si>
    <t>DOCTORADO EN INVESTIGACIÓN EDUCATIVA </t>
  </si>
  <si>
    <t>Urrea Solano, María Encarnación </t>
  </si>
  <si>
    <t>El liderazgo de las académicas en la Educación Superior: un estudio de caso </t>
  </si>
  <si>
    <t>22/02/2021 </t>
  </si>
  <si>
    <t>48769418B </t>
  </si>
  <si>
    <t>Mussó Mujica, Luis Carlos </t>
  </si>
  <si>
    <t>LA POESÍA ECUATORIANA ENTRE FINALES DEL SIGLO XX Y EL SIGLO XXI </t>
  </si>
  <si>
    <t>14/06/2021 </t>
  </si>
  <si>
    <t>Monzó Jiménez, Luis Antonio </t>
  </si>
  <si>
    <t>EDUCACIÓN LITERARIA EN LOS ESTUDIOS UNIVERSITARIOS DE ESPAÑOL POR PARTE DE ALUMNADO NO NATIVO </t>
  </si>
  <si>
    <t>Beneyto Gómez, Elisa </t>
  </si>
  <si>
    <t>ELS CEMENTERIS COM A REFLEX DE LA SOCIETAT INDUSTRIAL: EL CEMENTERI D'ALCOI </t>
  </si>
  <si>
    <t>23/07/2021 </t>
  </si>
  <si>
    <t>21648517C </t>
  </si>
  <si>
    <t>Izquierdo Morales, Alexis Alfonso </t>
  </si>
  <si>
    <t>SCÈNE D¿ÉNONCIATION DANS LA RELATION ÉPISTOLAIRE ENTRE MÈRE MARIE DE LA CROIX ODIOT DE LA PAILLONNE, FONDATRICE ET PREMIÈRE ABBESSE DE SAINTEANNE DE BONLIEU ET MÈRE CÉCILE BRUYÈRE, FONDATRICE ET PREMIÈRE ABBESSE </t>
  </si>
  <si>
    <t>05/02/2021 </t>
  </si>
  <si>
    <t>29013572S </t>
  </si>
  <si>
    <t>Santa Soriano, Alba </t>
  </si>
  <si>
    <t>Relaciones públicas e inteligencia estratégica en la era digital: contexto, convergencia y aplicaciones desde el engagement para maximizar el impacto de los proyectos europeos </t>
  </si>
  <si>
    <t>22/06/2021 </t>
  </si>
  <si>
    <t>Garro Sánchez, Inmaculada Teresa </t>
  </si>
  <si>
    <t>ESPACIOS Y GÉNERO. TRADICIÓN Y MODERNIDAD EN MARRUECOS </t>
  </si>
  <si>
    <t>19/07/2021 </t>
  </si>
  <si>
    <t>U025 </t>
  </si>
  <si>
    <t>ADM. FACULTAD DE DERECHO </t>
  </si>
  <si>
    <t>DOCTORADO EN DERECHO </t>
  </si>
  <si>
    <t>Torres Díaz, María Concepción </t>
  </si>
  <si>
    <t>El sexo de la Constitución. El discurso jurídico frente a la realidad socio-sexual de las mujeres. Un análisis crítico sobre las categorías "sexo" y "género" como categorías de relevancia constitucional </t>
  </si>
  <si>
    <t>29/06/2021 </t>
  </si>
  <si>
    <t>33487725R </t>
  </si>
  <si>
    <t>B113 </t>
  </si>
  <si>
    <t>ESTUDIOS JURIDICOS DEL ESTADO </t>
  </si>
  <si>
    <t>Infesta Domínguez, Graciela </t>
  </si>
  <si>
    <t>Salud sexual y reproductiva desde una perspectiva de género: problemáticas, logros y desafíos en Argentina </t>
  </si>
  <si>
    <t>21/04/2021 </t>
  </si>
  <si>
    <t>Rico Sapena, Nuria </t>
  </si>
  <si>
    <t>Nuevas estrategias de promoción y educación en alimentación y nutrición a escolares </t>
  </si>
  <si>
    <t>26/02/2021 </t>
  </si>
  <si>
    <t>Danza contemporánea como medio de liberación de la tensión emocional y expresión en mujeres maltratadas </t>
  </si>
  <si>
    <t>13/09/2021 </t>
  </si>
  <si>
    <t>Blanco Fernández, Marta Susana </t>
  </si>
  <si>
    <t>Origen, demonización y pervivencia de lo divino femenino en la península ibérica. Una aproximación desde la tealogía y el ecofeminismo </t>
  </si>
  <si>
    <t>28/05/2021 </t>
  </si>
  <si>
    <t>Aragonés González, María </t>
  </si>
  <si>
    <t>La coeducación como metodología transformadora hacia la igualdad de género </t>
  </si>
  <si>
    <t>22/09/2021 </t>
  </si>
  <si>
    <t>21449137G </t>
  </si>
  <si>
    <t>Blanco Reyes, Lidia </t>
  </si>
  <si>
    <t>EL DESARROLLO PROFESIONAL DOCENTE A TRAVÉS DEL PROGRAMA ERASMUS+: UN ESTUDIO DE CASOS </t>
  </si>
  <si>
    <t>15/12/2020 </t>
  </si>
  <si>
    <t>48379979P </t>
  </si>
  <si>
    <t>Escandell Poveda, Raquel </t>
  </si>
  <si>
    <t>28/07/2021 </t>
  </si>
  <si>
    <t>¿Efectos de la transición demográfica en España como prototipo de la Europa del Sur¿ </t>
  </si>
  <si>
    <t>28/09/2021 </t>
  </si>
  <si>
    <t>Rodríguez Rodríguez, Ignacio </t>
  </si>
  <si>
    <t>Transversality of information and communication technologies in the prevention of gender-based violence from a multilevel approach proposals of application / Transversalidad de las tecnologías de la información y las comunicaciones en la prevención d </t>
  </si>
  <si>
    <t>24/03/2021 </t>
  </si>
  <si>
    <t>41.90.6C.00.03</t>
  </si>
  <si>
    <t>Primer pago, 50% del total de la actividad "MODERNAS, LUCHADORAS Y PIONERAS. MUJERES ALICANTINAS DE LA EDAD DE PLATA".</t>
  </si>
  <si>
    <t>Segundo pago, 50% del total de la actividad "MODERNAS, LUCHADORAS Y PIONERAS. MUJERES ALICANTINAS DE LA EDAD DE PLATA".</t>
  </si>
  <si>
    <t>41.90.6C.00.04</t>
  </si>
  <si>
    <t>Elaboración  de un estudio sobre el anteproyecto de la nueva Ley de Igualdad Valenciana. CNME20/04-4/46</t>
  </si>
  <si>
    <t>Inscripción al Congreso Internacional sobre el Humor Verbal (CIHV 2019) de DOROTA BRZOZOWSKA.</t>
  </si>
  <si>
    <t>INSCRIPCIÓN DE JUAN MORALES ORDÓÑEZ- CONGRESO CIHV2019- CONGRESO HUMOR VERBAL</t>
  </si>
  <si>
    <t>4-PI18/00590 - ANUALIDAD 2020 / 1-PI18/00590, INGRESO INSTITUTO SALUD CARLOS III</t>
  </si>
  <si>
    <t xml:space="preserve">LIBERADOS EL 30/06/2020, ANUALIDAD 2020 PROYECTOS / I+D (PIA1) N EXPEDIENTE: PIA12018-1 - 2 ANUAL / IDAD REFERENCIA: PGC2018-096926-B-I00 / GOVT / </t>
  </si>
  <si>
    <t>41.90.6P.00.11</t>
  </si>
  <si>
    <t>RESOLUCIÓN CONCESIÓN DE FECHA 8 DE OCTUBRE DE 2020 SUBVENCIÓN AICO 2020 (INNOVACIÓN,UNIVERSIDADES,CIENCIA SOC.DIG)</t>
  </si>
  <si>
    <t>Plan 9332 Curso 2020-21 Experto/a en violencia de género: Un enfoque interdisciplinar</t>
  </si>
  <si>
    <t>33% a enfermería comunitaria, 33% a psicología de la salud y 33% a estudios de género según email 05/11/2021 Carmen Vives Cases</t>
  </si>
  <si>
    <t>De los 6500€ del proyecto PI18/00590 41.90.6P.00.07 33% a enfermería comunitaria, 33% a psicología de la salud y 33% a estudios de género según email 05/11/2021 Carmen Vives Cases</t>
  </si>
  <si>
    <t>Unidad</t>
  </si>
  <si>
    <t>Cód. org. aplic.</t>
  </si>
  <si>
    <t>Descripción justificante</t>
  </si>
  <si>
    <t>41.90</t>
  </si>
  <si>
    <t>41.90.6G.00.04</t>
  </si>
  <si>
    <t>Liqidación nº3: Devolución inscipción: Congreso Internacional "Las puertas de mi reino" Instituto Univ. Invest. Estudios de Género. JI 2021-4971, DI 2021-xxxx, 2021EXPADM1907</t>
  </si>
  <si>
    <t>Liqidación nº2: Devolución inscipción: Congreso Internacional "Las puertas de mi reino" Instituto Univ. Invest. Estudios de Género. JI 2021-4965, DI 2021-xxxx, 2021EXPADM1907</t>
  </si>
  <si>
    <t>Liqidación nºX : Instituto Univ. Invest. Estudios de Género: Congreso Internacional "Las puertas de mi reino". Escrituras del cuerpo en las poetas españolas contemporáneas (1900-1968) 2021. JI 2021-xxx, 2021ExpAdm1907</t>
  </si>
  <si>
    <t>Liqidación:  Instituto Univ. Invest. Estudios de Género: Congreso Internacional "Las puertas de mi reino". Escrituras del cuerpo en las poetas españolas contemporáneas (1900-1968) 2021. JI 2021-4795, 2021EXPADMxxxx</t>
  </si>
  <si>
    <t>PGC2018-096926-B-100 PIA1218- 3ANUALIDAD</t>
  </si>
  <si>
    <t xml:space="preserve">PGC2018-096926-B-I00 </t>
  </si>
  <si>
    <t>RES. CONCESIÓN SUBVENCIONES PARA GRUPOSINVESTIGACIÓN CONSOLIDABLES AICO 2020 EN2021</t>
  </si>
  <si>
    <t>41.90.6P.00.12</t>
  </si>
  <si>
    <t>PID2020-113343GB-I00</t>
  </si>
  <si>
    <t>41.90.6P.00.13</t>
  </si>
  <si>
    <t>PID2020-118574GB-I00</t>
  </si>
  <si>
    <t>Plan 9332_Curso 2021-22_EXPERTO EN VIOLENCIA DE GÉNERO: UN ENFOQUE INTERDISCIPLINAR</t>
  </si>
  <si>
    <t>41.90.2T.00.03</t>
  </si>
  <si>
    <t>PALOMA MARTIN MARTIN HA ABONADO LAS TASAS DE MATRÍCULA DEL "SEMINARIO  DE METODOLOGÍAS DE INVESTIGACIÓN Y GESTIÓN DE INFORMACIÓN CIENTÍFICIA EN ESTUDIOS DE LAS MUJERES Y DE GÉNERO", ORGANIZADO POR EL IUIEG LOS DÍAS 24 DE FEBRERO, 1 Y 3 DE MARZO DE 2021.</t>
  </si>
  <si>
    <t>Plan GF78_SEMINARIO DE METODOLOGÍAS DE INVESTIGACIÓN Y GESTIÓN DE INFORMACIÓN CIENTÍFICA EN ESTUDIOS DE LAS MUJERES Y DE GÉNERO</t>
  </si>
  <si>
    <t>S</t>
  </si>
  <si>
    <t>Martínez Verdú, Remedios </t>
  </si>
  <si>
    <t>Cañizares Gómez, María José </t>
  </si>
  <si>
    <t>Iglesia, frontera y poder: el pleito del obispado de Orihuela entre la Corona de Castilla y la Corona de Aragón (siglos XIII y XVI) </t>
  </si>
  <si>
    <t>29/09/2021 </t>
  </si>
  <si>
    <t>Vera Esteban, María del Carmen </t>
  </si>
  <si>
    <t>Gavilán Martín, Diego </t>
  </si>
  <si>
    <t>La integración de la igualdad de género en la formación de los futuros docentes de Educación Primaria: los espacios de género </t>
  </si>
  <si>
    <t>18/10/2021 </t>
  </si>
  <si>
    <t>Gómez Soriano, Miguel Ángel </t>
  </si>
  <si>
    <t>El viaje épico-lírico en Los cuadernos de la Tierra de Jorge Enrique Adoum. Génesis y caracterización de una poesía histórica </t>
  </si>
  <si>
    <t>04/07/2022 </t>
  </si>
  <si>
    <t>Beltrá Navarro, Luis </t>
  </si>
  <si>
    <t>El francés en Luisiana: reflejos de diferentes identidades lingüísticas a través de la literatura del siglo xix: el caso de L'Habitation Saint-Ybars ou Maîtres et Esclaves en Louisiane (1881) de Alfred Mercier. Propuesta traductológica. </t>
  </si>
  <si>
    <t>21/07/2022 </t>
  </si>
  <si>
    <t>Espinosa Zaragoza, Isabel </t>
  </si>
  <si>
    <t>A STUDY OF COLOUR NAMES IN THE COSMETIC INDUSTRY </t>
  </si>
  <si>
    <t>04/04/2022 </t>
  </si>
  <si>
    <t>Lima Dos Santos, Daiane </t>
  </si>
  <si>
    <t>Prisión, trabajo, derechos fundamentales y políticas públicas: Un enfoque sociojurídico de género en Brasil </t>
  </si>
  <si>
    <t>14/01/2022 </t>
  </si>
  <si>
    <t>Sancha Vidal, Maria Jose </t>
  </si>
  <si>
    <t>Las familias adoptivas transraciales en España: un estudio sociológico con documentos personales </t>
  </si>
  <si>
    <t>09/06/2022 </t>
  </si>
  <si>
    <t>Boonekamp , Gwendolijn Margaretha Maria </t>
  </si>
  <si>
    <t>¿What moves us? Fostering the capability for lifelong physical activity by developing agency in students in secondary pre-vocational education schools in the Netherlands. </t>
  </si>
  <si>
    <t>01/04/2022 </t>
  </si>
  <si>
    <t>Pérez Wilson, Patricia Andrea </t>
  </si>
  <si>
    <t>Salutogénesis y activos en salud: ventanas de oportunidad para el fortalecimiento de la estrategia de universidades promotoras de salud. </t>
  </si>
  <si>
    <t>11/03/2022 </t>
  </si>
  <si>
    <t>Ávila Martínez, María Teresa </t>
  </si>
  <si>
    <t>Una viajera con nombre propio: Lady Elizabeth Holland y sus cuadernos hispanos </t>
  </si>
  <si>
    <t>27/05/2022 </t>
  </si>
  <si>
    <t>Corona Verdú, Rafael </t>
  </si>
  <si>
    <t>Viri ac mulieres ludentes. Los hábitos higiénicos y los juegos recreativos como elementos articuladores del hecho deportivo en la España Moderna (1700-1812) </t>
  </si>
  <si>
    <t>25/07/2022 </t>
  </si>
  <si>
    <t>Kitta , Ioanna </t>
  </si>
  <si>
    <t>La formación inicial docente en igualdad de género en Grecia: percepciones y competencias del alumnado para una práctica profesional sostenible sensible al género </t>
  </si>
  <si>
    <t>06/07/2022 </t>
  </si>
  <si>
    <t>76941801Q </t>
  </si>
  <si>
    <t>Brenes Maltez, Perla Mayela </t>
  </si>
  <si>
    <t>Diseño y evaluación de un programa para el desarrollo de la competencia investigadora en la formación inicial de docentes: percepción de alumnado y profesorado </t>
  </si>
  <si>
    <t>30/09/2021 </t>
  </si>
  <si>
    <t>Silva Martínez, Gardenia </t>
  </si>
  <si>
    <t>Análisis de las dificultades de los estudiantes para desarrollar su carrera en al Universidad UTE Santo Domingo (Ecuador) </t>
  </si>
  <si>
    <t>19/02/2021 </t>
  </si>
  <si>
    <t>Radiografía del Seo en España: demanda laboral, sector empresarial y perfil profesional del posicionamiento web </t>
  </si>
  <si>
    <t>Ráez Domínguez, María </t>
  </si>
  <si>
    <t>"Análisis discursivo y violencias simbólicas en torno a la mujer subsahariana. Una comparación de los discursos de violencia en servicios públicos y organizaciones no gubernamentales". </t>
  </si>
  <si>
    <t>04/05/2022 </t>
  </si>
  <si>
    <t>21484456H</t>
  </si>
  <si>
    <t>GAVILAN MARTIN, DIEGO</t>
  </si>
  <si>
    <t>21485458P</t>
  </si>
  <si>
    <t>MURTULA LAFUENTE, VIRGINIA</t>
  </si>
  <si>
    <t>B107</t>
  </si>
  <si>
    <t>21511105X</t>
  </si>
  <si>
    <t>DIEZ ROS, ROCIO</t>
  </si>
  <si>
    <t>22146053C</t>
  </si>
  <si>
    <t>MAESTRE BROTONS, ANTONI</t>
  </si>
  <si>
    <t>B142</t>
  </si>
  <si>
    <t>29075312T</t>
  </si>
  <si>
    <t>TORRES DÍAZ, MARÍA CONCEPCIÓN</t>
  </si>
  <si>
    <t>36565677R</t>
  </si>
  <si>
    <t>MARCILLAS PIQUER, ISABEL</t>
  </si>
  <si>
    <t>44769550G</t>
  </si>
  <si>
    <t>ORTUÑO MARTINEZ, BARBARA</t>
  </si>
  <si>
    <t>48496100W</t>
  </si>
  <si>
    <t>URREA SOLANO, MARIA ENCARNACION</t>
  </si>
  <si>
    <t>48574813D</t>
  </si>
  <si>
    <t>PALOMO ALEPUZ, LAURA CRISTINA</t>
  </si>
  <si>
    <t>48675459F</t>
  </si>
  <si>
    <t>BENAICHA ZIANI, M. NAIMA</t>
  </si>
  <si>
    <t>Total ingresos investigación 2019-2020-2021</t>
  </si>
  <si>
    <t>Total ingresos formación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</si>
</sst>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0.0"/>
    <numFmt numFmtId="166" formatCode="#,##0.0"/>
  </numFmts>
  <fonts count="17"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8"/>
      <color rgb="FF000000"/>
      <name val="Arial"/>
      <family val="2"/>
    </font>
    <font>
      <b/>
      <sz val="11"/>
      <color theme="1"/>
      <name val="Calibri"/>
      <family val="2"/>
      <scheme val="minor"/>
    </font>
    <font>
      <b/>
      <sz val="10"/>
      <color theme="1"/>
      <name val="Arial"/>
      <family val="2"/>
    </font>
    <font>
      <sz val="11"/>
      <color theme="1"/>
      <name val="Calibri"/>
      <family val="2"/>
      <scheme val="minor"/>
    </font>
    <font>
      <b/>
      <sz val="11"/>
      <color theme="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s>
  <cellStyleXfs count="7">
    <xf numFmtId="0" fontId="0" fillId="0" borderId="0"/>
    <xf numFmtId="0" fontId="3" fillId="0" borderId="0"/>
    <xf numFmtId="0" fontId="6" fillId="0" borderId="0"/>
    <xf numFmtId="0" fontId="6" fillId="0" borderId="0"/>
    <xf numFmtId="0" fontId="7" fillId="0" borderId="0"/>
    <xf numFmtId="0" fontId="1" fillId="0" borderId="0"/>
    <xf numFmtId="164" fontId="15" fillId="0" borderId="0" applyFont="0" applyFill="0" applyBorder="0" applyAlignment="0" applyProtection="0"/>
  </cellStyleXfs>
  <cellXfs count="104">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textRotation="90" wrapText="1"/>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NumberFormat="1" applyBorder="1"/>
    <xf numFmtId="0" fontId="0" fillId="0" borderId="1" xfId="0" applyBorder="1" applyAlignment="1">
      <alignment horizontal="center"/>
    </xf>
    <xf numFmtId="0" fontId="0" fillId="0" borderId="1" xfId="0" applyBorder="1" applyAlignment="1">
      <alignment horizontal="left"/>
    </xf>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5" fontId="3" fillId="4" borderId="1" xfId="1" applyNumberFormat="1" applyFill="1" applyBorder="1"/>
    <xf numFmtId="0" fontId="3" fillId="4" borderId="2" xfId="1" applyFill="1" applyBorder="1"/>
    <xf numFmtId="0" fontId="3" fillId="4" borderId="2" xfId="1" applyFill="1" applyBorder="1" applyAlignment="1">
      <alignment horizontal="right"/>
    </xf>
    <xf numFmtId="1" fontId="3" fillId="4" borderId="2" xfId="1" applyNumberFormat="1" applyFill="1" applyBorder="1"/>
    <xf numFmtId="165" fontId="3" fillId="4" borderId="2" xfId="1" applyNumberFormat="1" applyFill="1" applyBorder="1"/>
    <xf numFmtId="0" fontId="3" fillId="0" borderId="1" xfId="1" applyBorder="1"/>
    <xf numFmtId="0" fontId="3" fillId="4" borderId="3" xfId="1" applyFill="1" applyBorder="1"/>
    <xf numFmtId="0" fontId="12" fillId="6" borderId="1"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2" fillId="6" borderId="6" xfId="0" applyFont="1" applyFill="1" applyBorder="1" applyAlignment="1">
      <alignment horizontal="left" vertical="center"/>
    </xf>
    <xf numFmtId="0" fontId="11" fillId="0" borderId="7" xfId="0" applyFont="1" applyBorder="1" applyAlignment="1">
      <alignment horizontal="left"/>
    </xf>
    <xf numFmtId="0" fontId="11" fillId="7" borderId="8" xfId="0" applyFont="1" applyFill="1" applyBorder="1" applyAlignment="1">
      <alignment horizontal="left"/>
    </xf>
    <xf numFmtId="0" fontId="11" fillId="0" borderId="7" xfId="0" applyNumberFormat="1" applyFont="1" applyBorder="1"/>
    <xf numFmtId="0" fontId="0" fillId="0" borderId="0" xfId="0" applyAlignment="1">
      <alignment horizontal="left" indent="1"/>
    </xf>
    <xf numFmtId="0" fontId="0" fillId="0" borderId="0" xfId="0" applyNumberFormat="1"/>
    <xf numFmtId="0" fontId="14" fillId="0" borderId="1" xfId="0" applyFont="1" applyBorder="1" applyAlignment="1">
      <alignment horizontal="left"/>
    </xf>
    <xf numFmtId="0" fontId="14" fillId="0" borderId="1" xfId="0" applyNumberFormat="1" applyFont="1" applyBorder="1"/>
    <xf numFmtId="0" fontId="0" fillId="0" borderId="1" xfId="0" applyBorder="1" applyAlignment="1">
      <alignment horizontal="left" indent="1"/>
    </xf>
    <xf numFmtId="0" fontId="13" fillId="0" borderId="1" xfId="0" applyFont="1" applyBorder="1"/>
    <xf numFmtId="164" fontId="11" fillId="7" borderId="8" xfId="6" applyFont="1" applyFill="1" applyBorder="1" applyAlignment="1"/>
    <xf numFmtId="0" fontId="1" fillId="8" borderId="1" xfId="0" applyFont="1" applyFill="1" applyBorder="1"/>
    <xf numFmtId="4" fontId="1" fillId="8" borderId="1" xfId="0" applyNumberFormat="1" applyFont="1" applyFill="1" applyBorder="1"/>
    <xf numFmtId="0" fontId="11" fillId="8" borderId="7" xfId="0" applyFont="1" applyFill="1" applyBorder="1" applyAlignment="1">
      <alignment horizontal="left"/>
    </xf>
    <xf numFmtId="0" fontId="11" fillId="8" borderId="7" xfId="0" applyNumberFormat="1" applyFont="1" applyFill="1" applyBorder="1"/>
    <xf numFmtId="0" fontId="0" fillId="8" borderId="0" xfId="0" applyFill="1" applyAlignment="1">
      <alignment horizontal="left" indent="1"/>
    </xf>
    <xf numFmtId="2" fontId="0" fillId="8" borderId="0" xfId="0" applyNumberFormat="1" applyFill="1"/>
    <xf numFmtId="0" fontId="16" fillId="9" borderId="9" xfId="0" applyNumberFormat="1" applyFont="1" applyFill="1" applyBorder="1"/>
    <xf numFmtId="0" fontId="16" fillId="9" borderId="10" xfId="0" applyNumberFormat="1" applyFont="1" applyFill="1" applyBorder="1"/>
    <xf numFmtId="0" fontId="16" fillId="9" borderId="11" xfId="0" applyFont="1" applyFill="1" applyBorder="1" applyAlignment="1">
      <alignment horizontal="right"/>
    </xf>
    <xf numFmtId="0" fontId="0" fillId="10" borderId="12" xfId="0" applyNumberFormat="1" applyFont="1" applyFill="1" applyBorder="1"/>
    <xf numFmtId="0" fontId="0" fillId="10" borderId="13" xfId="0" applyFont="1" applyFill="1" applyBorder="1"/>
    <xf numFmtId="4" fontId="0" fillId="10" borderId="14" xfId="0" applyNumberFormat="1" applyFont="1" applyFill="1" applyBorder="1"/>
    <xf numFmtId="0" fontId="0" fillId="7" borderId="12" xfId="0" applyNumberFormat="1" applyFont="1" applyFill="1" applyBorder="1"/>
    <xf numFmtId="0" fontId="0" fillId="7" borderId="13" xfId="0" applyFont="1" applyFill="1" applyBorder="1"/>
    <xf numFmtId="4" fontId="0" fillId="7" borderId="14" xfId="0" applyNumberFormat="1" applyFont="1" applyFill="1" applyBorder="1"/>
    <xf numFmtId="0" fontId="16" fillId="9" borderId="15" xfId="0" applyFont="1" applyFill="1" applyBorder="1"/>
    <xf numFmtId="0" fontId="16" fillId="9" borderId="16" xfId="0" applyFont="1" applyFill="1" applyBorder="1"/>
    <xf numFmtId="4" fontId="16" fillId="9" borderId="17" xfId="0" applyNumberFormat="1" applyFont="1" applyFill="1" applyBorder="1"/>
    <xf numFmtId="0" fontId="16" fillId="9" borderId="18" xfId="0" applyNumberFormat="1" applyFont="1" applyFill="1" applyBorder="1"/>
    <xf numFmtId="0" fontId="16" fillId="9" borderId="19" xfId="0" applyNumberFormat="1" applyFont="1" applyFill="1" applyBorder="1"/>
    <xf numFmtId="0" fontId="16" fillId="9" borderId="20" xfId="0" applyNumberFormat="1" applyFont="1" applyFill="1" applyBorder="1"/>
    <xf numFmtId="0" fontId="0" fillId="7" borderId="18" xfId="0" applyNumberFormat="1" applyFont="1" applyFill="1" applyBorder="1"/>
    <xf numFmtId="0" fontId="0" fillId="7" borderId="19" xfId="0" applyFont="1" applyFill="1" applyBorder="1"/>
    <xf numFmtId="4" fontId="0" fillId="7" borderId="20" xfId="0" applyNumberFormat="1" applyFont="1" applyFill="1" applyBorder="1"/>
    <xf numFmtId="0" fontId="0" fillId="0" borderId="18" xfId="0" applyNumberFormat="1" applyFont="1" applyBorder="1"/>
    <xf numFmtId="0" fontId="0" fillId="0" borderId="19" xfId="0" applyFont="1" applyBorder="1"/>
    <xf numFmtId="4" fontId="0" fillId="0" borderId="20" xfId="0" applyNumberFormat="1" applyFont="1" applyBorder="1"/>
    <xf numFmtId="0" fontId="13" fillId="0" borderId="21" xfId="0" applyFont="1" applyBorder="1"/>
    <xf numFmtId="0" fontId="13" fillId="0" borderId="22" xfId="0" applyFont="1" applyBorder="1"/>
    <xf numFmtId="4" fontId="13" fillId="0" borderId="23" xfId="0" applyNumberFormat="1" applyFont="1" applyBorder="1"/>
    <xf numFmtId="166" fontId="3" fillId="4" borderId="2" xfId="1" applyNumberFormat="1" applyFill="1" applyBorder="1"/>
    <xf numFmtId="0" fontId="3" fillId="4" borderId="0" xfId="1" applyFill="1"/>
    <xf numFmtId="166" fontId="3" fillId="4" borderId="1" xfId="1" applyNumberFormat="1" applyFill="1" applyBorder="1"/>
    <xf numFmtId="165" fontId="3" fillId="11" borderId="1" xfId="1" applyNumberFormat="1" applyFill="1" applyBorder="1"/>
    <xf numFmtId="165" fontId="3" fillId="11" borderId="2" xfId="1" applyNumberFormat="1" applyFill="1" applyBorder="1"/>
    <xf numFmtId="0" fontId="3" fillId="11" borderId="1" xfId="1" applyFill="1" applyBorder="1"/>
    <xf numFmtId="165" fontId="3" fillId="12" borderId="1" xfId="1" applyNumberFormat="1" applyFill="1" applyBorder="1"/>
    <xf numFmtId="165" fontId="3" fillId="12" borderId="2" xfId="1" applyNumberFormat="1" applyFill="1" applyBorder="1"/>
    <xf numFmtId="0" fontId="3" fillId="12" borderId="1" xfId="1" applyFill="1" applyBorder="1"/>
    <xf numFmtId="0" fontId="0" fillId="11" borderId="1" xfId="0" applyFill="1" applyBorder="1" applyAlignment="1">
      <alignment horizontal="center"/>
    </xf>
    <xf numFmtId="0" fontId="0" fillId="11" borderId="1" xfId="0" applyFill="1" applyBorder="1" applyAlignment="1">
      <alignment horizontal="right"/>
    </xf>
    <xf numFmtId="4" fontId="0" fillId="11" borderId="1" xfId="0" applyNumberFormat="1" applyFill="1" applyBorder="1"/>
    <xf numFmtId="164" fontId="0" fillId="0" borderId="0" xfId="0" applyNumberFormat="1"/>
    <xf numFmtId="4" fontId="1" fillId="0" borderId="0" xfId="0" applyNumberFormat="1" applyFont="1"/>
    <xf numFmtId="0" fontId="13" fillId="0" borderId="1" xfId="0" applyFont="1" applyFill="1" applyBorder="1" applyAlignment="1">
      <alignment horizontal="right"/>
    </xf>
    <xf numFmtId="164" fontId="13" fillId="0" borderId="1" xfId="0" applyNumberFormat="1" applyFont="1" applyFill="1" applyBorder="1"/>
    <xf numFmtId="0" fontId="10" fillId="13" borderId="0" xfId="5" applyFont="1" applyFill="1"/>
    <xf numFmtId="0" fontId="10" fillId="13" borderId="0" xfId="5" applyFont="1" applyFill="1" applyAlignment="1">
      <alignment horizontal="right"/>
    </xf>
    <xf numFmtId="0" fontId="3" fillId="13" borderId="0" xfId="1" applyFont="1" applyFill="1" applyAlignment="1"/>
    <xf numFmtId="0" fontId="3" fillId="13" borderId="0" xfId="1" applyFont="1" applyFill="1" applyAlignment="1">
      <alignment horizontal="right"/>
    </xf>
    <xf numFmtId="165" fontId="4" fillId="13" borderId="0" xfId="1" applyNumberFormat="1" applyFont="1" applyFill="1" applyBorder="1" applyAlignment="1">
      <alignment horizontal="center"/>
    </xf>
    <xf numFmtId="0" fontId="4" fillId="13" borderId="0" xfId="1" applyFont="1" applyFill="1" applyBorder="1" applyAlignment="1">
      <alignment horizontal="center"/>
    </xf>
    <xf numFmtId="165" fontId="11" fillId="13" borderId="0" xfId="5" applyNumberFormat="1" applyFont="1" applyFill="1" applyBorder="1" applyAlignment="1">
      <alignment horizontal="center"/>
    </xf>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81"/>
  <sheetViews>
    <sheetView showGridLines="0" topLeftCell="H55" zoomScale="120" zoomScaleNormal="120" workbookViewId="0">
      <selection activeCell="J87" sqref="J87"/>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5.33203125" style="14" customWidth="1"/>
    <col min="14" max="14" width="4.88671875" style="13" customWidth="1"/>
    <col min="15" max="15" width="5.3320312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2" ht="45" x14ac:dyDescent="0.2">
      <c r="A1" s="8" t="s">
        <v>5</v>
      </c>
      <c r="B1" s="9" t="s">
        <v>6</v>
      </c>
      <c r="C1" s="9" t="s">
        <v>7</v>
      </c>
      <c r="D1" s="9" t="s">
        <v>8</v>
      </c>
      <c r="E1" s="9" t="s">
        <v>9</v>
      </c>
      <c r="F1" s="9" t="s">
        <v>10</v>
      </c>
      <c r="G1" s="9" t="s">
        <v>11</v>
      </c>
      <c r="H1" s="9" t="s">
        <v>12</v>
      </c>
      <c r="I1" s="8" t="s">
        <v>13</v>
      </c>
      <c r="J1" s="9" t="s">
        <v>14</v>
      </c>
      <c r="K1" s="8" t="s">
        <v>15</v>
      </c>
      <c r="L1" s="9" t="s">
        <v>16</v>
      </c>
      <c r="M1" s="10" t="s">
        <v>17</v>
      </c>
      <c r="N1" s="11" t="s">
        <v>18</v>
      </c>
      <c r="O1" s="12" t="s">
        <v>19</v>
      </c>
      <c r="P1" s="11" t="s">
        <v>20</v>
      </c>
      <c r="Q1" s="12" t="s">
        <v>21</v>
      </c>
      <c r="R1" s="11" t="s">
        <v>22</v>
      </c>
      <c r="S1" s="11" t="s">
        <v>23</v>
      </c>
      <c r="T1" s="11" t="s">
        <v>24</v>
      </c>
      <c r="U1" s="11" t="s">
        <v>25</v>
      </c>
    </row>
    <row r="2" spans="1:22" s="82" customFormat="1" x14ac:dyDescent="0.2">
      <c r="A2" s="31" t="s">
        <v>103</v>
      </c>
      <c r="B2" s="31" t="s">
        <v>104</v>
      </c>
      <c r="C2" s="31" t="s">
        <v>105</v>
      </c>
      <c r="D2" s="31" t="s">
        <v>352</v>
      </c>
      <c r="E2" s="31" t="s">
        <v>353</v>
      </c>
      <c r="F2" s="31" t="s">
        <v>354</v>
      </c>
      <c r="G2" s="31" t="s">
        <v>355</v>
      </c>
      <c r="H2" s="31" t="s">
        <v>26</v>
      </c>
      <c r="I2" s="31" t="s">
        <v>103</v>
      </c>
      <c r="J2" s="31" t="s">
        <v>104</v>
      </c>
      <c r="K2" s="81">
        <v>0.5</v>
      </c>
      <c r="L2" s="31" t="s">
        <v>86</v>
      </c>
      <c r="M2" s="31">
        <v>2019</v>
      </c>
      <c r="N2" s="31" t="s">
        <v>27</v>
      </c>
      <c r="O2" s="32" t="s">
        <v>27</v>
      </c>
      <c r="P2" s="31" t="s">
        <v>27</v>
      </c>
      <c r="Q2" s="32" t="s">
        <v>27</v>
      </c>
      <c r="R2" s="33">
        <v>100</v>
      </c>
      <c r="S2" s="85">
        <v>0.5</v>
      </c>
      <c r="T2" s="34">
        <v>0</v>
      </c>
      <c r="U2" s="34">
        <v>0</v>
      </c>
      <c r="V2" s="82" t="s">
        <v>502</v>
      </c>
    </row>
    <row r="3" spans="1:22" s="82" customFormat="1" x14ac:dyDescent="0.2">
      <c r="A3" s="27" t="s">
        <v>103</v>
      </c>
      <c r="B3" s="27" t="s">
        <v>104</v>
      </c>
      <c r="C3" s="27" t="s">
        <v>105</v>
      </c>
      <c r="D3" s="27" t="s">
        <v>406</v>
      </c>
      <c r="E3" s="27" t="s">
        <v>407</v>
      </c>
      <c r="F3" s="27" t="s">
        <v>408</v>
      </c>
      <c r="G3" s="27" t="s">
        <v>355</v>
      </c>
      <c r="H3" s="27" t="s">
        <v>26</v>
      </c>
      <c r="I3" s="27" t="s">
        <v>103</v>
      </c>
      <c r="J3" s="27" t="s">
        <v>104</v>
      </c>
      <c r="K3" s="35">
        <v>0.5</v>
      </c>
      <c r="L3" s="35" t="s">
        <v>86</v>
      </c>
      <c r="M3" s="36">
        <v>2019</v>
      </c>
      <c r="N3" s="27" t="s">
        <v>27</v>
      </c>
      <c r="O3" s="28" t="s">
        <v>27</v>
      </c>
      <c r="P3" s="27" t="s">
        <v>27</v>
      </c>
      <c r="Q3" s="28" t="s">
        <v>27</v>
      </c>
      <c r="R3" s="27">
        <v>100</v>
      </c>
      <c r="S3" s="86">
        <v>0.5</v>
      </c>
      <c r="T3" s="27">
        <v>0</v>
      </c>
      <c r="U3" s="27">
        <v>0</v>
      </c>
      <c r="V3" s="82" t="s">
        <v>502</v>
      </c>
    </row>
    <row r="4" spans="1:22" s="82" customFormat="1" x14ac:dyDescent="0.2">
      <c r="A4" s="27" t="s">
        <v>103</v>
      </c>
      <c r="B4" s="27" t="s">
        <v>104</v>
      </c>
      <c r="C4" s="27" t="s">
        <v>105</v>
      </c>
      <c r="D4" s="27" t="s">
        <v>503</v>
      </c>
      <c r="E4" s="27" t="s">
        <v>463</v>
      </c>
      <c r="F4" s="27" t="s">
        <v>464</v>
      </c>
      <c r="G4" s="27" t="s">
        <v>355</v>
      </c>
      <c r="H4" s="27" t="s">
        <v>26</v>
      </c>
      <c r="I4" s="27" t="s">
        <v>103</v>
      </c>
      <c r="J4" s="27" t="s">
        <v>104</v>
      </c>
      <c r="K4" s="35">
        <v>0.5</v>
      </c>
      <c r="L4" s="35" t="s">
        <v>86</v>
      </c>
      <c r="M4" s="27">
        <v>2020</v>
      </c>
      <c r="N4" s="27" t="s">
        <v>27</v>
      </c>
      <c r="O4" s="28" t="s">
        <v>27</v>
      </c>
      <c r="P4" s="27" t="s">
        <v>27</v>
      </c>
      <c r="Q4" s="28" t="s">
        <v>27</v>
      </c>
      <c r="R4" s="27">
        <v>100</v>
      </c>
      <c r="S4" s="86">
        <v>0.5</v>
      </c>
      <c r="T4" s="27">
        <v>0</v>
      </c>
      <c r="U4" s="27">
        <v>0</v>
      </c>
      <c r="V4" s="82" t="s">
        <v>502</v>
      </c>
    </row>
    <row r="5" spans="1:22" s="82" customFormat="1" x14ac:dyDescent="0.2">
      <c r="A5" s="27" t="s">
        <v>103</v>
      </c>
      <c r="B5" s="27" t="s">
        <v>104</v>
      </c>
      <c r="C5" s="27" t="s">
        <v>105</v>
      </c>
      <c r="D5" s="27" t="s">
        <v>465</v>
      </c>
      <c r="E5" s="27" t="s">
        <v>466</v>
      </c>
      <c r="F5" s="27" t="s">
        <v>467</v>
      </c>
      <c r="G5" s="27" t="s">
        <v>355</v>
      </c>
      <c r="H5" s="27" t="s">
        <v>28</v>
      </c>
      <c r="I5" s="27" t="s">
        <v>103</v>
      </c>
      <c r="J5" s="27" t="s">
        <v>104</v>
      </c>
      <c r="K5" s="35">
        <v>1</v>
      </c>
      <c r="L5" s="35" t="s">
        <v>86</v>
      </c>
      <c r="M5" s="27">
        <v>2020</v>
      </c>
      <c r="N5" s="27" t="s">
        <v>27</v>
      </c>
      <c r="O5" s="28" t="s">
        <v>27</v>
      </c>
      <c r="P5" s="27" t="s">
        <v>27</v>
      </c>
      <c r="Q5" s="28" t="s">
        <v>27</v>
      </c>
      <c r="R5" s="27">
        <v>100</v>
      </c>
      <c r="S5" s="86">
        <v>1</v>
      </c>
      <c r="T5" s="27">
        <v>0</v>
      </c>
      <c r="U5" s="27">
        <v>0</v>
      </c>
      <c r="V5" s="82" t="s">
        <v>502</v>
      </c>
    </row>
    <row r="6" spans="1:22" s="82" customFormat="1" x14ac:dyDescent="0.2">
      <c r="A6" s="27" t="s">
        <v>32</v>
      </c>
      <c r="B6" s="27" t="s">
        <v>33</v>
      </c>
      <c r="C6" s="27" t="s">
        <v>119</v>
      </c>
      <c r="D6" s="27" t="s">
        <v>141</v>
      </c>
      <c r="E6" s="27" t="s">
        <v>142</v>
      </c>
      <c r="F6" s="27" t="s">
        <v>143</v>
      </c>
      <c r="G6" s="27" t="s">
        <v>144</v>
      </c>
      <c r="H6" s="27" t="s">
        <v>26</v>
      </c>
      <c r="I6" s="27" t="s">
        <v>138</v>
      </c>
      <c r="J6" s="27" t="s">
        <v>139</v>
      </c>
      <c r="K6" s="30">
        <v>0.5</v>
      </c>
      <c r="L6" s="27" t="s">
        <v>140</v>
      </c>
      <c r="M6" s="27">
        <v>2016</v>
      </c>
      <c r="N6" s="27" t="s">
        <v>86</v>
      </c>
      <c r="O6" s="28" t="s">
        <v>64</v>
      </c>
      <c r="P6" s="27" t="s">
        <v>27</v>
      </c>
      <c r="Q6" s="28" t="s">
        <v>27</v>
      </c>
      <c r="R6" s="29">
        <v>70</v>
      </c>
      <c r="S6" s="87">
        <v>0.35</v>
      </c>
      <c r="T6" s="84">
        <v>0.15</v>
      </c>
      <c r="U6" s="30">
        <v>0</v>
      </c>
    </row>
    <row r="7" spans="1:22" s="82" customFormat="1" x14ac:dyDescent="0.2">
      <c r="A7" s="27" t="s">
        <v>32</v>
      </c>
      <c r="B7" s="27" t="s">
        <v>33</v>
      </c>
      <c r="C7" s="27" t="s">
        <v>119</v>
      </c>
      <c r="D7" s="27" t="s">
        <v>141</v>
      </c>
      <c r="E7" s="27" t="s">
        <v>142</v>
      </c>
      <c r="F7" s="27" t="s">
        <v>143</v>
      </c>
      <c r="G7" s="27" t="s">
        <v>137</v>
      </c>
      <c r="H7" s="27" t="s">
        <v>26</v>
      </c>
      <c r="I7" s="27" t="s">
        <v>138</v>
      </c>
      <c r="J7" s="27" t="s">
        <v>139</v>
      </c>
      <c r="K7" s="30">
        <v>0.5</v>
      </c>
      <c r="L7" s="27" t="s">
        <v>140</v>
      </c>
      <c r="M7" s="27">
        <v>2016</v>
      </c>
      <c r="N7" s="27" t="s">
        <v>86</v>
      </c>
      <c r="O7" s="28" t="s">
        <v>64</v>
      </c>
      <c r="P7" s="27" t="s">
        <v>27</v>
      </c>
      <c r="Q7" s="28" t="s">
        <v>27</v>
      </c>
      <c r="R7" s="29">
        <v>70</v>
      </c>
      <c r="S7" s="87">
        <v>0.35</v>
      </c>
      <c r="T7" s="84">
        <v>0.15</v>
      </c>
      <c r="U7" s="30">
        <v>0</v>
      </c>
    </row>
    <row r="8" spans="1:22" s="82" customFormat="1" x14ac:dyDescent="0.2">
      <c r="A8" s="27" t="s">
        <v>89</v>
      </c>
      <c r="B8" s="27" t="s">
        <v>90</v>
      </c>
      <c r="C8" s="27" t="s">
        <v>93</v>
      </c>
      <c r="D8" s="27" t="s">
        <v>197</v>
      </c>
      <c r="E8" s="27" t="s">
        <v>198</v>
      </c>
      <c r="F8" s="27" t="s">
        <v>88</v>
      </c>
      <c r="G8" s="27" t="s">
        <v>106</v>
      </c>
      <c r="H8" s="27" t="s">
        <v>26</v>
      </c>
      <c r="I8" s="27" t="s">
        <v>89</v>
      </c>
      <c r="J8" s="27" t="s">
        <v>90</v>
      </c>
      <c r="K8" s="30">
        <v>0.5</v>
      </c>
      <c r="L8" s="27" t="s">
        <v>91</v>
      </c>
      <c r="M8" s="27">
        <v>2016</v>
      </c>
      <c r="N8" s="27" t="s">
        <v>86</v>
      </c>
      <c r="O8" s="28" t="s">
        <v>43</v>
      </c>
      <c r="P8" s="27" t="s">
        <v>92</v>
      </c>
      <c r="Q8" s="28" t="s">
        <v>43</v>
      </c>
      <c r="R8" s="29">
        <v>80</v>
      </c>
      <c r="S8" s="87">
        <v>0.4</v>
      </c>
      <c r="T8" s="84">
        <v>0.05</v>
      </c>
      <c r="U8" s="30">
        <v>0.05</v>
      </c>
    </row>
    <row r="9" spans="1:22" s="82" customFormat="1" x14ac:dyDescent="0.2">
      <c r="A9" s="27" t="s">
        <v>89</v>
      </c>
      <c r="B9" s="27" t="s">
        <v>90</v>
      </c>
      <c r="C9" s="27" t="s">
        <v>93</v>
      </c>
      <c r="D9" s="27" t="s">
        <v>199</v>
      </c>
      <c r="E9" s="27" t="s">
        <v>200</v>
      </c>
      <c r="F9" s="27" t="s">
        <v>115</v>
      </c>
      <c r="G9" s="27" t="s">
        <v>202</v>
      </c>
      <c r="H9" s="27" t="s">
        <v>26</v>
      </c>
      <c r="I9" s="27" t="s">
        <v>94</v>
      </c>
      <c r="J9" s="27" t="s">
        <v>95</v>
      </c>
      <c r="K9" s="30">
        <v>0.5</v>
      </c>
      <c r="L9" s="27" t="s">
        <v>96</v>
      </c>
      <c r="M9" s="27">
        <v>2016</v>
      </c>
      <c r="N9" s="27" t="s">
        <v>86</v>
      </c>
      <c r="O9" s="28" t="s">
        <v>43</v>
      </c>
      <c r="P9" s="27" t="s">
        <v>92</v>
      </c>
      <c r="Q9" s="28" t="s">
        <v>43</v>
      </c>
      <c r="R9" s="29">
        <v>80</v>
      </c>
      <c r="S9" s="87">
        <v>0.4</v>
      </c>
      <c r="T9" s="84">
        <v>0.05</v>
      </c>
      <c r="U9" s="30">
        <v>0.05</v>
      </c>
    </row>
    <row r="10" spans="1:22" s="82" customFormat="1" x14ac:dyDescent="0.2">
      <c r="A10" s="27" t="s">
        <v>89</v>
      </c>
      <c r="B10" s="27" t="s">
        <v>90</v>
      </c>
      <c r="C10" s="27" t="s">
        <v>93</v>
      </c>
      <c r="D10" s="27" t="s">
        <v>199</v>
      </c>
      <c r="E10" s="27" t="s">
        <v>200</v>
      </c>
      <c r="F10" s="27" t="s">
        <v>115</v>
      </c>
      <c r="G10" s="27" t="s">
        <v>106</v>
      </c>
      <c r="H10" s="27" t="s">
        <v>26</v>
      </c>
      <c r="I10" s="27" t="s">
        <v>89</v>
      </c>
      <c r="J10" s="27" t="s">
        <v>90</v>
      </c>
      <c r="K10" s="30">
        <v>0.5</v>
      </c>
      <c r="L10" s="27" t="s">
        <v>91</v>
      </c>
      <c r="M10" s="27">
        <v>2016</v>
      </c>
      <c r="N10" s="27" t="s">
        <v>86</v>
      </c>
      <c r="O10" s="28" t="s">
        <v>43</v>
      </c>
      <c r="P10" s="27" t="s">
        <v>92</v>
      </c>
      <c r="Q10" s="28" t="s">
        <v>43</v>
      </c>
      <c r="R10" s="29">
        <v>80</v>
      </c>
      <c r="S10" s="87">
        <v>0.4</v>
      </c>
      <c r="T10" s="84">
        <v>0.05</v>
      </c>
      <c r="U10" s="30">
        <v>0.05</v>
      </c>
    </row>
    <row r="11" spans="1:22" s="82" customFormat="1" x14ac:dyDescent="0.2">
      <c r="A11" s="27" t="s">
        <v>89</v>
      </c>
      <c r="B11" s="27" t="s">
        <v>90</v>
      </c>
      <c r="C11" s="27" t="s">
        <v>128</v>
      </c>
      <c r="D11" s="27" t="s">
        <v>194</v>
      </c>
      <c r="E11" s="27" t="s">
        <v>195</v>
      </c>
      <c r="F11" s="27" t="s">
        <v>196</v>
      </c>
      <c r="G11" s="27" t="s">
        <v>102</v>
      </c>
      <c r="H11" s="27" t="s">
        <v>28</v>
      </c>
      <c r="I11" s="27" t="s">
        <v>99</v>
      </c>
      <c r="J11" s="27" t="s">
        <v>100</v>
      </c>
      <c r="K11" s="30">
        <v>1</v>
      </c>
      <c r="L11" s="27" t="s">
        <v>101</v>
      </c>
      <c r="M11" s="27">
        <v>2016</v>
      </c>
      <c r="N11" s="27" t="s">
        <v>86</v>
      </c>
      <c r="O11" s="28" t="s">
        <v>43</v>
      </c>
      <c r="P11" s="27" t="s">
        <v>92</v>
      </c>
      <c r="Q11" s="28" t="s">
        <v>43</v>
      </c>
      <c r="R11" s="29">
        <v>80</v>
      </c>
      <c r="S11" s="87">
        <v>0.8</v>
      </c>
      <c r="T11" s="84">
        <v>0.1</v>
      </c>
      <c r="U11" s="30">
        <v>0.1</v>
      </c>
    </row>
    <row r="12" spans="1:22" s="82" customFormat="1" x14ac:dyDescent="0.2">
      <c r="A12" s="27" t="s">
        <v>89</v>
      </c>
      <c r="B12" s="27" t="s">
        <v>90</v>
      </c>
      <c r="C12" s="27" t="s">
        <v>128</v>
      </c>
      <c r="D12" s="27" t="s">
        <v>130</v>
      </c>
      <c r="E12" s="27" t="s">
        <v>131</v>
      </c>
      <c r="F12" s="27" t="s">
        <v>30</v>
      </c>
      <c r="G12" s="27" t="s">
        <v>132</v>
      </c>
      <c r="H12" s="27" t="s">
        <v>26</v>
      </c>
      <c r="I12" s="27" t="s">
        <v>89</v>
      </c>
      <c r="J12" s="27" t="s">
        <v>90</v>
      </c>
      <c r="K12" s="30">
        <v>0.5</v>
      </c>
      <c r="L12" s="27" t="s">
        <v>91</v>
      </c>
      <c r="M12" s="27">
        <v>2016</v>
      </c>
      <c r="N12" s="27" t="s">
        <v>86</v>
      </c>
      <c r="O12" s="28" t="s">
        <v>40</v>
      </c>
      <c r="P12" s="27" t="s">
        <v>27</v>
      </c>
      <c r="Q12" s="28" t="s">
        <v>27</v>
      </c>
      <c r="R12" s="29">
        <v>10</v>
      </c>
      <c r="S12" s="87">
        <v>0.05</v>
      </c>
      <c r="T12" s="84">
        <v>0.45</v>
      </c>
      <c r="U12" s="30">
        <v>0</v>
      </c>
    </row>
    <row r="13" spans="1:22" s="82" customFormat="1" x14ac:dyDescent="0.2">
      <c r="A13" s="27" t="s">
        <v>41</v>
      </c>
      <c r="B13" s="27" t="s">
        <v>42</v>
      </c>
      <c r="C13" s="27" t="s">
        <v>47</v>
      </c>
      <c r="D13" s="27" t="s">
        <v>183</v>
      </c>
      <c r="E13" s="27" t="s">
        <v>184</v>
      </c>
      <c r="F13" s="27" t="s">
        <v>185</v>
      </c>
      <c r="G13" s="27" t="s">
        <v>182</v>
      </c>
      <c r="H13" s="27" t="s">
        <v>26</v>
      </c>
      <c r="I13" s="27" t="s">
        <v>52</v>
      </c>
      <c r="J13" s="27" t="s">
        <v>53</v>
      </c>
      <c r="K13" s="30">
        <v>0.5</v>
      </c>
      <c r="L13" s="27" t="s">
        <v>54</v>
      </c>
      <c r="M13" s="27">
        <v>2016</v>
      </c>
      <c r="N13" s="27" t="s">
        <v>86</v>
      </c>
      <c r="O13" s="28" t="s">
        <v>38</v>
      </c>
      <c r="P13" s="27" t="s">
        <v>27</v>
      </c>
      <c r="Q13" s="28" t="s">
        <v>27</v>
      </c>
      <c r="R13" s="29">
        <v>80</v>
      </c>
      <c r="S13" s="87">
        <v>0.4</v>
      </c>
      <c r="T13" s="84">
        <v>0.1</v>
      </c>
      <c r="U13" s="30">
        <v>0</v>
      </c>
    </row>
    <row r="14" spans="1:22" s="82" customFormat="1" x14ac:dyDescent="0.2">
      <c r="A14" s="27" t="s">
        <v>65</v>
      </c>
      <c r="B14" s="27" t="s">
        <v>66</v>
      </c>
      <c r="C14" s="27" t="s">
        <v>160</v>
      </c>
      <c r="D14" s="27" t="s">
        <v>163</v>
      </c>
      <c r="E14" s="27" t="s">
        <v>164</v>
      </c>
      <c r="F14" s="27" t="s">
        <v>165</v>
      </c>
      <c r="G14" s="27" t="s">
        <v>161</v>
      </c>
      <c r="H14" s="27" t="s">
        <v>28</v>
      </c>
      <c r="I14" s="27" t="s">
        <v>65</v>
      </c>
      <c r="J14" s="27" t="s">
        <v>66</v>
      </c>
      <c r="K14" s="30">
        <v>1</v>
      </c>
      <c r="L14" s="27" t="s">
        <v>162</v>
      </c>
      <c r="M14" s="27">
        <v>2016</v>
      </c>
      <c r="N14" s="27" t="s">
        <v>86</v>
      </c>
      <c r="O14" s="28" t="s">
        <v>39</v>
      </c>
      <c r="P14" s="27" t="s">
        <v>27</v>
      </c>
      <c r="Q14" s="28" t="s">
        <v>27</v>
      </c>
      <c r="R14" s="29">
        <v>40</v>
      </c>
      <c r="S14" s="87">
        <v>0.4</v>
      </c>
      <c r="T14" s="84">
        <v>0.6</v>
      </c>
      <c r="U14" s="30">
        <v>0</v>
      </c>
    </row>
    <row r="15" spans="1:22" s="82" customFormat="1" x14ac:dyDescent="0.2">
      <c r="A15" s="27" t="s">
        <v>65</v>
      </c>
      <c r="B15" s="27" t="s">
        <v>66</v>
      </c>
      <c r="C15" s="27" t="s">
        <v>160</v>
      </c>
      <c r="D15" s="27" t="s">
        <v>166</v>
      </c>
      <c r="E15" s="27" t="s">
        <v>167</v>
      </c>
      <c r="F15" s="27" t="s">
        <v>73</v>
      </c>
      <c r="G15" s="27" t="s">
        <v>161</v>
      </c>
      <c r="H15" s="27" t="s">
        <v>28</v>
      </c>
      <c r="I15" s="27" t="s">
        <v>65</v>
      </c>
      <c r="J15" s="27" t="s">
        <v>66</v>
      </c>
      <c r="K15" s="30">
        <v>1</v>
      </c>
      <c r="L15" s="27" t="s">
        <v>162</v>
      </c>
      <c r="M15" s="27">
        <v>2016</v>
      </c>
      <c r="N15" s="27" t="s">
        <v>86</v>
      </c>
      <c r="O15" s="28" t="s">
        <v>39</v>
      </c>
      <c r="P15" s="27" t="s">
        <v>27</v>
      </c>
      <c r="Q15" s="28" t="s">
        <v>27</v>
      </c>
      <c r="R15" s="29">
        <v>40</v>
      </c>
      <c r="S15" s="87">
        <v>0.4</v>
      </c>
      <c r="T15" s="84">
        <v>0.6</v>
      </c>
      <c r="U15" s="30">
        <v>0</v>
      </c>
    </row>
    <row r="16" spans="1:22" s="82" customFormat="1" x14ac:dyDescent="0.2">
      <c r="A16" s="27" t="s">
        <v>48</v>
      </c>
      <c r="B16" s="27" t="s">
        <v>49</v>
      </c>
      <c r="C16" s="27" t="s">
        <v>50</v>
      </c>
      <c r="D16" s="27" t="s">
        <v>186</v>
      </c>
      <c r="E16" s="27" t="s">
        <v>187</v>
      </c>
      <c r="F16" s="27" t="s">
        <v>188</v>
      </c>
      <c r="G16" s="27" t="s">
        <v>182</v>
      </c>
      <c r="H16" s="27" t="s">
        <v>26</v>
      </c>
      <c r="I16" s="27" t="s">
        <v>52</v>
      </c>
      <c r="J16" s="27" t="s">
        <v>53</v>
      </c>
      <c r="K16" s="30">
        <v>0.5</v>
      </c>
      <c r="L16" s="27" t="s">
        <v>54</v>
      </c>
      <c r="M16" s="27">
        <v>2016</v>
      </c>
      <c r="N16" s="27" t="s">
        <v>86</v>
      </c>
      <c r="O16" s="28" t="s">
        <v>38</v>
      </c>
      <c r="P16" s="27" t="s">
        <v>27</v>
      </c>
      <c r="Q16" s="28" t="s">
        <v>27</v>
      </c>
      <c r="R16" s="29">
        <v>80</v>
      </c>
      <c r="S16" s="87">
        <v>0.4</v>
      </c>
      <c r="T16" s="84">
        <v>0.1</v>
      </c>
      <c r="U16" s="30">
        <v>0</v>
      </c>
    </row>
    <row r="17" spans="1:21" s="82" customFormat="1" x14ac:dyDescent="0.2">
      <c r="A17" s="27" t="s">
        <v>48</v>
      </c>
      <c r="B17" s="27" t="s">
        <v>49</v>
      </c>
      <c r="C17" s="27" t="s">
        <v>50</v>
      </c>
      <c r="D17" s="27" t="s">
        <v>189</v>
      </c>
      <c r="E17" s="27" t="s">
        <v>190</v>
      </c>
      <c r="F17" s="27" t="s">
        <v>191</v>
      </c>
      <c r="G17" s="27" t="s">
        <v>182</v>
      </c>
      <c r="H17" s="27" t="s">
        <v>26</v>
      </c>
      <c r="I17" s="27" t="s">
        <v>52</v>
      </c>
      <c r="J17" s="27" t="s">
        <v>53</v>
      </c>
      <c r="K17" s="30">
        <v>0.5</v>
      </c>
      <c r="L17" s="27" t="s">
        <v>54</v>
      </c>
      <c r="M17" s="27">
        <v>2016</v>
      </c>
      <c r="N17" s="27" t="s">
        <v>86</v>
      </c>
      <c r="O17" s="28" t="s">
        <v>38</v>
      </c>
      <c r="P17" s="27" t="s">
        <v>27</v>
      </c>
      <c r="Q17" s="28" t="s">
        <v>27</v>
      </c>
      <c r="R17" s="29">
        <v>80</v>
      </c>
      <c r="S17" s="87">
        <v>0.4</v>
      </c>
      <c r="T17" s="84">
        <v>0.1</v>
      </c>
      <c r="U17" s="30">
        <v>0</v>
      </c>
    </row>
    <row r="18" spans="1:21" s="82" customFormat="1" x14ac:dyDescent="0.2">
      <c r="A18" s="27" t="s">
        <v>70</v>
      </c>
      <c r="B18" s="27" t="s">
        <v>71</v>
      </c>
      <c r="C18" s="27" t="s">
        <v>72</v>
      </c>
      <c r="D18" s="27" t="s">
        <v>133</v>
      </c>
      <c r="E18" s="27" t="s">
        <v>134</v>
      </c>
      <c r="F18" s="27" t="s">
        <v>36</v>
      </c>
      <c r="G18" s="27" t="s">
        <v>129</v>
      </c>
      <c r="H18" s="27" t="s">
        <v>28</v>
      </c>
      <c r="I18" s="27" t="s">
        <v>89</v>
      </c>
      <c r="J18" s="27" t="s">
        <v>90</v>
      </c>
      <c r="K18" s="30">
        <v>1</v>
      </c>
      <c r="L18" s="27" t="s">
        <v>91</v>
      </c>
      <c r="M18" s="27">
        <v>2016</v>
      </c>
      <c r="N18" s="27" t="s">
        <v>86</v>
      </c>
      <c r="O18" s="28" t="s">
        <v>35</v>
      </c>
      <c r="P18" s="27" t="s">
        <v>27</v>
      </c>
      <c r="Q18" s="28" t="s">
        <v>27</v>
      </c>
      <c r="R18" s="29">
        <v>50</v>
      </c>
      <c r="S18" s="87">
        <v>0.5</v>
      </c>
      <c r="T18" s="84">
        <v>0.5</v>
      </c>
      <c r="U18" s="30">
        <v>0</v>
      </c>
    </row>
    <row r="19" spans="1:21" s="82" customFormat="1" x14ac:dyDescent="0.2">
      <c r="A19" s="27" t="s">
        <v>44</v>
      </c>
      <c r="B19" s="27" t="s">
        <v>45</v>
      </c>
      <c r="C19" s="27" t="s">
        <v>46</v>
      </c>
      <c r="D19" s="27" t="s">
        <v>149</v>
      </c>
      <c r="E19" s="27" t="s">
        <v>150</v>
      </c>
      <c r="F19" s="27" t="s">
        <v>30</v>
      </c>
      <c r="G19" s="27" t="s">
        <v>146</v>
      </c>
      <c r="H19" s="27" t="s">
        <v>28</v>
      </c>
      <c r="I19" s="27" t="s">
        <v>74</v>
      </c>
      <c r="J19" s="27" t="s">
        <v>75</v>
      </c>
      <c r="K19" s="30">
        <v>1</v>
      </c>
      <c r="L19" s="27" t="s">
        <v>76</v>
      </c>
      <c r="M19" s="27">
        <v>2016</v>
      </c>
      <c r="N19" s="27" t="s">
        <v>86</v>
      </c>
      <c r="O19" s="28" t="s">
        <v>43</v>
      </c>
      <c r="P19" s="27" t="s">
        <v>27</v>
      </c>
      <c r="Q19" s="28" t="s">
        <v>27</v>
      </c>
      <c r="R19" s="29">
        <v>90</v>
      </c>
      <c r="S19" s="87">
        <v>0.9</v>
      </c>
      <c r="T19" s="84">
        <v>0.1</v>
      </c>
      <c r="U19" s="30">
        <v>0</v>
      </c>
    </row>
    <row r="20" spans="1:21" s="82" customFormat="1" x14ac:dyDescent="0.2">
      <c r="A20" s="27" t="s">
        <v>44</v>
      </c>
      <c r="B20" s="27" t="s">
        <v>45</v>
      </c>
      <c r="C20" s="27" t="s">
        <v>46</v>
      </c>
      <c r="D20" s="27" t="s">
        <v>151</v>
      </c>
      <c r="E20" s="27" t="s">
        <v>152</v>
      </c>
      <c r="F20" s="27" t="s">
        <v>88</v>
      </c>
      <c r="G20" s="27" t="s">
        <v>147</v>
      </c>
      <c r="H20" s="27" t="s">
        <v>28</v>
      </c>
      <c r="I20" s="27" t="s">
        <v>74</v>
      </c>
      <c r="J20" s="27" t="s">
        <v>75</v>
      </c>
      <c r="K20" s="30">
        <v>1</v>
      </c>
      <c r="L20" s="27" t="s">
        <v>76</v>
      </c>
      <c r="M20" s="27">
        <v>2016</v>
      </c>
      <c r="N20" s="27" t="s">
        <v>86</v>
      </c>
      <c r="O20" s="28" t="s">
        <v>35</v>
      </c>
      <c r="P20" s="27" t="s">
        <v>27</v>
      </c>
      <c r="Q20" s="28" t="s">
        <v>27</v>
      </c>
      <c r="R20" s="29">
        <v>50</v>
      </c>
      <c r="S20" s="87">
        <v>0.5</v>
      </c>
      <c r="T20" s="84">
        <v>0.5</v>
      </c>
      <c r="U20" s="30">
        <v>0</v>
      </c>
    </row>
    <row r="21" spans="1:21" s="82" customFormat="1" x14ac:dyDescent="0.2">
      <c r="A21" s="27" t="s">
        <v>44</v>
      </c>
      <c r="B21" s="27" t="s">
        <v>45</v>
      </c>
      <c r="C21" s="27" t="s">
        <v>46</v>
      </c>
      <c r="D21" s="27" t="s">
        <v>192</v>
      </c>
      <c r="E21" s="27" t="s">
        <v>193</v>
      </c>
      <c r="F21" s="27" t="s">
        <v>113</v>
      </c>
      <c r="G21" s="27" t="s">
        <v>85</v>
      </c>
      <c r="H21" s="27" t="s">
        <v>28</v>
      </c>
      <c r="I21" s="27" t="s">
        <v>74</v>
      </c>
      <c r="J21" s="27" t="s">
        <v>75</v>
      </c>
      <c r="K21" s="30">
        <v>1</v>
      </c>
      <c r="L21" s="27" t="s">
        <v>76</v>
      </c>
      <c r="M21" s="27">
        <v>2016</v>
      </c>
      <c r="N21" s="27" t="s">
        <v>86</v>
      </c>
      <c r="O21" s="28" t="s">
        <v>43</v>
      </c>
      <c r="P21" s="27" t="s">
        <v>55</v>
      </c>
      <c r="Q21" s="28" t="s">
        <v>43</v>
      </c>
      <c r="R21" s="29">
        <v>80</v>
      </c>
      <c r="S21" s="87">
        <v>0.8</v>
      </c>
      <c r="T21" s="84">
        <v>0.1</v>
      </c>
      <c r="U21" s="30">
        <v>0.1</v>
      </c>
    </row>
    <row r="22" spans="1:21" s="82" customFormat="1" x14ac:dyDescent="0.2">
      <c r="A22" s="27" t="s">
        <v>103</v>
      </c>
      <c r="B22" s="27" t="s">
        <v>104</v>
      </c>
      <c r="C22" s="27" t="s">
        <v>105</v>
      </c>
      <c r="D22" s="27" t="s">
        <v>168</v>
      </c>
      <c r="E22" s="27" t="s">
        <v>169</v>
      </c>
      <c r="F22" s="27" t="s">
        <v>170</v>
      </c>
      <c r="G22" s="27" t="s">
        <v>161</v>
      </c>
      <c r="H22" s="27" t="s">
        <v>28</v>
      </c>
      <c r="I22" s="27" t="s">
        <v>65</v>
      </c>
      <c r="J22" s="27" t="s">
        <v>66</v>
      </c>
      <c r="K22" s="30">
        <v>1</v>
      </c>
      <c r="L22" s="27" t="s">
        <v>162</v>
      </c>
      <c r="M22" s="27">
        <v>2016</v>
      </c>
      <c r="N22" s="27" t="s">
        <v>86</v>
      </c>
      <c r="O22" s="28" t="s">
        <v>39</v>
      </c>
      <c r="P22" s="27" t="s">
        <v>27</v>
      </c>
      <c r="Q22" s="28" t="s">
        <v>27</v>
      </c>
      <c r="R22" s="29">
        <v>40</v>
      </c>
      <c r="S22" s="87">
        <v>0.4</v>
      </c>
      <c r="T22" s="84">
        <v>0.6</v>
      </c>
      <c r="U22" s="30">
        <v>0</v>
      </c>
    </row>
    <row r="23" spans="1:21" s="82" customFormat="1" x14ac:dyDescent="0.2">
      <c r="A23" s="27" t="s">
        <v>70</v>
      </c>
      <c r="B23" s="27" t="s">
        <v>71</v>
      </c>
      <c r="C23" s="27" t="s">
        <v>72</v>
      </c>
      <c r="D23" s="27" t="s">
        <v>171</v>
      </c>
      <c r="E23" s="27" t="s">
        <v>172</v>
      </c>
      <c r="F23" s="27" t="s">
        <v>29</v>
      </c>
      <c r="G23" s="27" t="s">
        <v>161</v>
      </c>
      <c r="H23" s="27" t="s">
        <v>28</v>
      </c>
      <c r="I23" s="27" t="s">
        <v>65</v>
      </c>
      <c r="J23" s="27" t="s">
        <v>66</v>
      </c>
      <c r="K23" s="30">
        <v>1</v>
      </c>
      <c r="L23" s="27" t="s">
        <v>162</v>
      </c>
      <c r="M23" s="27">
        <v>2017</v>
      </c>
      <c r="N23" s="27" t="s">
        <v>86</v>
      </c>
      <c r="O23" s="28" t="s">
        <v>39</v>
      </c>
      <c r="P23" s="27" t="s">
        <v>27</v>
      </c>
      <c r="Q23" s="28" t="s">
        <v>27</v>
      </c>
      <c r="R23" s="29">
        <v>40</v>
      </c>
      <c r="S23" s="87">
        <v>0.4</v>
      </c>
      <c r="T23" s="84">
        <v>0.6</v>
      </c>
      <c r="U23" s="30">
        <v>0</v>
      </c>
    </row>
    <row r="24" spans="1:21" s="82" customFormat="1" x14ac:dyDescent="0.2">
      <c r="A24" s="27" t="s">
        <v>61</v>
      </c>
      <c r="B24" s="27" t="s">
        <v>62</v>
      </c>
      <c r="C24" s="27" t="s">
        <v>63</v>
      </c>
      <c r="D24" s="27" t="s">
        <v>179</v>
      </c>
      <c r="E24" s="27" t="s">
        <v>180</v>
      </c>
      <c r="F24" s="27" t="s">
        <v>97</v>
      </c>
      <c r="G24" s="27" t="s">
        <v>181</v>
      </c>
      <c r="H24" s="27" t="s">
        <v>26</v>
      </c>
      <c r="I24" s="27" t="s">
        <v>58</v>
      </c>
      <c r="J24" s="27" t="s">
        <v>59</v>
      </c>
      <c r="K24" s="30">
        <v>0.5</v>
      </c>
      <c r="L24" s="27" t="s">
        <v>60</v>
      </c>
      <c r="M24" s="27">
        <v>2017</v>
      </c>
      <c r="N24" s="27" t="s">
        <v>86</v>
      </c>
      <c r="O24" s="28" t="s">
        <v>38</v>
      </c>
      <c r="P24" s="27" t="s">
        <v>27</v>
      </c>
      <c r="Q24" s="28" t="s">
        <v>27</v>
      </c>
      <c r="R24" s="29">
        <v>80</v>
      </c>
      <c r="S24" s="87">
        <v>0.4</v>
      </c>
      <c r="T24" s="84">
        <v>0.1</v>
      </c>
      <c r="U24" s="30">
        <v>0</v>
      </c>
    </row>
    <row r="25" spans="1:21" s="82" customFormat="1" x14ac:dyDescent="0.2">
      <c r="A25" s="27" t="s">
        <v>70</v>
      </c>
      <c r="B25" s="27" t="s">
        <v>71</v>
      </c>
      <c r="C25" s="27" t="s">
        <v>72</v>
      </c>
      <c r="D25" s="27" t="s">
        <v>125</v>
      </c>
      <c r="E25" s="27" t="s">
        <v>126</v>
      </c>
      <c r="F25" s="27" t="s">
        <v>51</v>
      </c>
      <c r="G25" s="27" t="s">
        <v>127</v>
      </c>
      <c r="H25" s="27" t="s">
        <v>28</v>
      </c>
      <c r="I25" s="27" t="s">
        <v>99</v>
      </c>
      <c r="J25" s="27" t="s">
        <v>100</v>
      </c>
      <c r="K25" s="83">
        <v>1</v>
      </c>
      <c r="L25" s="27" t="s">
        <v>101</v>
      </c>
      <c r="M25" s="27">
        <v>2018</v>
      </c>
      <c r="N25" s="27" t="s">
        <v>86</v>
      </c>
      <c r="O25" s="28" t="s">
        <v>38</v>
      </c>
      <c r="P25" s="27" t="s">
        <v>27</v>
      </c>
      <c r="Q25" s="28" t="s">
        <v>27</v>
      </c>
      <c r="R25" s="29">
        <v>80</v>
      </c>
      <c r="S25" s="87">
        <v>0.8</v>
      </c>
      <c r="T25" s="84">
        <v>0.2</v>
      </c>
      <c r="U25" s="30">
        <v>0</v>
      </c>
    </row>
    <row r="26" spans="1:21" s="82" customFormat="1" x14ac:dyDescent="0.2">
      <c r="A26" s="27" t="s">
        <v>70</v>
      </c>
      <c r="B26" s="27" t="s">
        <v>71</v>
      </c>
      <c r="C26" s="27" t="s">
        <v>72</v>
      </c>
      <c r="D26" s="27" t="s">
        <v>203</v>
      </c>
      <c r="E26" s="27" t="s">
        <v>204</v>
      </c>
      <c r="F26" s="27" t="s">
        <v>205</v>
      </c>
      <c r="G26" s="27" t="s">
        <v>201</v>
      </c>
      <c r="H26" s="27" t="s">
        <v>28</v>
      </c>
      <c r="I26" s="27" t="s">
        <v>94</v>
      </c>
      <c r="J26" s="27" t="s">
        <v>95</v>
      </c>
      <c r="K26" s="83">
        <v>1</v>
      </c>
      <c r="L26" s="27" t="s">
        <v>96</v>
      </c>
      <c r="M26" s="27">
        <v>2018</v>
      </c>
      <c r="N26" s="27" t="s">
        <v>86</v>
      </c>
      <c r="O26" s="28" t="s">
        <v>38</v>
      </c>
      <c r="P26" s="27" t="s">
        <v>92</v>
      </c>
      <c r="Q26" s="28" t="s">
        <v>38</v>
      </c>
      <c r="R26" s="29">
        <v>60</v>
      </c>
      <c r="S26" s="87">
        <v>0.6</v>
      </c>
      <c r="T26" s="84">
        <v>0.2</v>
      </c>
      <c r="U26" s="30">
        <v>0.2</v>
      </c>
    </row>
    <row r="27" spans="1:21" s="82" customFormat="1" x14ac:dyDescent="0.2">
      <c r="A27" s="27" t="s">
        <v>70</v>
      </c>
      <c r="B27" s="27" t="s">
        <v>71</v>
      </c>
      <c r="C27" s="27" t="s">
        <v>72</v>
      </c>
      <c r="D27" s="27" t="s">
        <v>135</v>
      </c>
      <c r="E27" s="27" t="s">
        <v>136</v>
      </c>
      <c r="F27" s="27" t="s">
        <v>98</v>
      </c>
      <c r="G27" s="27" t="s">
        <v>132</v>
      </c>
      <c r="H27" s="27" t="s">
        <v>26</v>
      </c>
      <c r="I27" s="27" t="s">
        <v>89</v>
      </c>
      <c r="J27" s="27" t="s">
        <v>90</v>
      </c>
      <c r="K27" s="83">
        <v>0.5</v>
      </c>
      <c r="L27" s="27" t="s">
        <v>91</v>
      </c>
      <c r="M27" s="27">
        <v>2018</v>
      </c>
      <c r="N27" s="27" t="s">
        <v>86</v>
      </c>
      <c r="O27" s="28" t="s">
        <v>40</v>
      </c>
      <c r="P27" s="27" t="s">
        <v>27</v>
      </c>
      <c r="Q27" s="28" t="s">
        <v>27</v>
      </c>
      <c r="R27" s="29">
        <v>10</v>
      </c>
      <c r="S27" s="87">
        <v>0.05</v>
      </c>
      <c r="T27" s="84">
        <v>0.45</v>
      </c>
      <c r="U27" s="30">
        <v>0</v>
      </c>
    </row>
    <row r="28" spans="1:21" s="82" customFormat="1" x14ac:dyDescent="0.2">
      <c r="A28" s="27" t="s">
        <v>61</v>
      </c>
      <c r="B28" s="27" t="s">
        <v>62</v>
      </c>
      <c r="C28" s="27" t="s">
        <v>63</v>
      </c>
      <c r="D28" s="27" t="s">
        <v>175</v>
      </c>
      <c r="E28" s="27" t="s">
        <v>176</v>
      </c>
      <c r="F28" s="27" t="s">
        <v>87</v>
      </c>
      <c r="G28" s="27" t="s">
        <v>173</v>
      </c>
      <c r="H28" s="27" t="s">
        <v>26</v>
      </c>
      <c r="I28" s="27" t="s">
        <v>77</v>
      </c>
      <c r="J28" s="27" t="s">
        <v>78</v>
      </c>
      <c r="K28" s="83">
        <v>0.5</v>
      </c>
      <c r="L28" s="27" t="s">
        <v>79</v>
      </c>
      <c r="M28" s="27">
        <v>2018</v>
      </c>
      <c r="N28" s="27" t="s">
        <v>86</v>
      </c>
      <c r="O28" s="28" t="s">
        <v>64</v>
      </c>
      <c r="P28" s="27" t="s">
        <v>27</v>
      </c>
      <c r="Q28" s="28" t="s">
        <v>27</v>
      </c>
      <c r="R28" s="29">
        <v>70</v>
      </c>
      <c r="S28" s="87">
        <v>0.35</v>
      </c>
      <c r="T28" s="84">
        <v>0.15</v>
      </c>
      <c r="U28" s="30">
        <v>0</v>
      </c>
    </row>
    <row r="29" spans="1:21" s="82" customFormat="1" x14ac:dyDescent="0.2">
      <c r="A29" s="27" t="s">
        <v>44</v>
      </c>
      <c r="B29" s="27" t="s">
        <v>45</v>
      </c>
      <c r="C29" s="27" t="s">
        <v>46</v>
      </c>
      <c r="D29" s="27" t="s">
        <v>153</v>
      </c>
      <c r="E29" s="27" t="s">
        <v>154</v>
      </c>
      <c r="F29" s="27" t="s">
        <v>155</v>
      </c>
      <c r="G29" s="27" t="s">
        <v>147</v>
      </c>
      <c r="H29" s="27" t="s">
        <v>26</v>
      </c>
      <c r="I29" s="27" t="s">
        <v>74</v>
      </c>
      <c r="J29" s="27" t="s">
        <v>75</v>
      </c>
      <c r="K29" s="83">
        <v>0.5</v>
      </c>
      <c r="L29" s="27" t="s">
        <v>76</v>
      </c>
      <c r="M29" s="27">
        <v>2018</v>
      </c>
      <c r="N29" s="27" t="s">
        <v>86</v>
      </c>
      <c r="O29" s="28" t="s">
        <v>35</v>
      </c>
      <c r="P29" s="27" t="s">
        <v>27</v>
      </c>
      <c r="Q29" s="28" t="s">
        <v>27</v>
      </c>
      <c r="R29" s="29">
        <v>50</v>
      </c>
      <c r="S29" s="87">
        <v>0.25</v>
      </c>
      <c r="T29" s="84">
        <v>0.25</v>
      </c>
      <c r="U29" s="30">
        <v>0</v>
      </c>
    </row>
    <row r="30" spans="1:21" s="82" customFormat="1" x14ac:dyDescent="0.2">
      <c r="A30" s="27" t="s">
        <v>44</v>
      </c>
      <c r="B30" s="27" t="s">
        <v>45</v>
      </c>
      <c r="C30" s="27" t="s">
        <v>46</v>
      </c>
      <c r="D30" s="27" t="s">
        <v>156</v>
      </c>
      <c r="E30" s="27" t="s">
        <v>157</v>
      </c>
      <c r="F30" s="27" t="s">
        <v>31</v>
      </c>
      <c r="G30" s="27" t="s">
        <v>146</v>
      </c>
      <c r="H30" s="27" t="s">
        <v>26</v>
      </c>
      <c r="I30" s="27" t="s">
        <v>74</v>
      </c>
      <c r="J30" s="27" t="s">
        <v>75</v>
      </c>
      <c r="K30" s="83">
        <v>0.5</v>
      </c>
      <c r="L30" s="27" t="s">
        <v>76</v>
      </c>
      <c r="M30" s="27">
        <v>2018</v>
      </c>
      <c r="N30" s="27" t="s">
        <v>86</v>
      </c>
      <c r="O30" s="28" t="s">
        <v>43</v>
      </c>
      <c r="P30" s="27" t="s">
        <v>27</v>
      </c>
      <c r="Q30" s="28" t="s">
        <v>27</v>
      </c>
      <c r="R30" s="29">
        <v>90</v>
      </c>
      <c r="S30" s="87">
        <v>0.45</v>
      </c>
      <c r="T30" s="84">
        <v>0.05</v>
      </c>
      <c r="U30" s="30">
        <v>0</v>
      </c>
    </row>
    <row r="31" spans="1:21" s="82" customFormat="1" x14ac:dyDescent="0.2">
      <c r="A31" s="27" t="s">
        <v>44</v>
      </c>
      <c r="B31" s="27" t="s">
        <v>45</v>
      </c>
      <c r="C31" s="27" t="s">
        <v>46</v>
      </c>
      <c r="D31" s="27" t="s">
        <v>158</v>
      </c>
      <c r="E31" s="27" t="s">
        <v>159</v>
      </c>
      <c r="F31" s="27" t="s">
        <v>120</v>
      </c>
      <c r="G31" s="27" t="s">
        <v>147</v>
      </c>
      <c r="H31" s="27" t="s">
        <v>28</v>
      </c>
      <c r="I31" s="27" t="s">
        <v>74</v>
      </c>
      <c r="J31" s="27" t="s">
        <v>75</v>
      </c>
      <c r="K31" s="83">
        <v>1</v>
      </c>
      <c r="L31" s="27" t="s">
        <v>76</v>
      </c>
      <c r="M31" s="27">
        <v>2018</v>
      </c>
      <c r="N31" s="27" t="s">
        <v>86</v>
      </c>
      <c r="O31" s="28" t="s">
        <v>35</v>
      </c>
      <c r="P31" s="27" t="s">
        <v>27</v>
      </c>
      <c r="Q31" s="28" t="s">
        <v>27</v>
      </c>
      <c r="R31" s="29">
        <v>50</v>
      </c>
      <c r="S31" s="87">
        <v>0.5</v>
      </c>
      <c r="T31" s="84">
        <v>0.5</v>
      </c>
      <c r="U31" s="30">
        <v>0</v>
      </c>
    </row>
    <row r="32" spans="1:21" s="82" customFormat="1" x14ac:dyDescent="0.2">
      <c r="A32" s="27" t="s">
        <v>44</v>
      </c>
      <c r="B32" s="27" t="s">
        <v>45</v>
      </c>
      <c r="C32" s="27" t="s">
        <v>46</v>
      </c>
      <c r="D32" s="27" t="s">
        <v>82</v>
      </c>
      <c r="E32" s="27" t="s">
        <v>83</v>
      </c>
      <c r="F32" s="27" t="s">
        <v>84</v>
      </c>
      <c r="G32" s="27" t="s">
        <v>146</v>
      </c>
      <c r="H32" s="27" t="s">
        <v>26</v>
      </c>
      <c r="I32" s="27" t="s">
        <v>74</v>
      </c>
      <c r="J32" s="27" t="s">
        <v>75</v>
      </c>
      <c r="K32" s="83">
        <v>0.5</v>
      </c>
      <c r="L32" s="27" t="s">
        <v>76</v>
      </c>
      <c r="M32" s="27">
        <v>2018</v>
      </c>
      <c r="N32" s="27" t="s">
        <v>86</v>
      </c>
      <c r="O32" s="28" t="s">
        <v>43</v>
      </c>
      <c r="P32" s="27" t="s">
        <v>27</v>
      </c>
      <c r="Q32" s="28" t="s">
        <v>27</v>
      </c>
      <c r="R32" s="29">
        <v>90</v>
      </c>
      <c r="S32" s="87">
        <v>0.45</v>
      </c>
      <c r="T32" s="84">
        <v>0.05</v>
      </c>
      <c r="U32" s="30">
        <v>0</v>
      </c>
    </row>
    <row r="33" spans="1:22" s="82" customFormat="1" x14ac:dyDescent="0.2">
      <c r="A33" s="31" t="s">
        <v>70</v>
      </c>
      <c r="B33" s="31" t="s">
        <v>71</v>
      </c>
      <c r="C33" s="31" t="s">
        <v>72</v>
      </c>
      <c r="D33" s="31" t="s">
        <v>356</v>
      </c>
      <c r="E33" s="31" t="s">
        <v>357</v>
      </c>
      <c r="F33" s="31" t="s">
        <v>358</v>
      </c>
      <c r="G33" s="31" t="s">
        <v>129</v>
      </c>
      <c r="H33" s="31" t="s">
        <v>28</v>
      </c>
      <c r="I33" s="31" t="s">
        <v>89</v>
      </c>
      <c r="J33" s="31" t="s">
        <v>90</v>
      </c>
      <c r="K33" s="81">
        <v>1</v>
      </c>
      <c r="L33" s="31" t="s">
        <v>91</v>
      </c>
      <c r="M33" s="31">
        <v>2019</v>
      </c>
      <c r="N33" s="31" t="s">
        <v>86</v>
      </c>
      <c r="O33" s="32" t="s">
        <v>35</v>
      </c>
      <c r="P33" s="31" t="s">
        <v>27</v>
      </c>
      <c r="Q33" s="32" t="s">
        <v>27</v>
      </c>
      <c r="R33" s="33">
        <v>50</v>
      </c>
      <c r="S33" s="88">
        <v>0.5</v>
      </c>
      <c r="T33" s="85">
        <v>0.5</v>
      </c>
      <c r="U33" s="34">
        <v>0</v>
      </c>
      <c r="V33" s="82" t="s">
        <v>502</v>
      </c>
    </row>
    <row r="34" spans="1:22" s="82" customFormat="1" x14ac:dyDescent="0.2">
      <c r="A34" s="31" t="s">
        <v>103</v>
      </c>
      <c r="B34" s="31" t="s">
        <v>104</v>
      </c>
      <c r="C34" s="31" t="s">
        <v>105</v>
      </c>
      <c r="D34" s="31" t="s">
        <v>352</v>
      </c>
      <c r="E34" s="31" t="s">
        <v>353</v>
      </c>
      <c r="F34" s="31" t="s">
        <v>354</v>
      </c>
      <c r="G34" s="31" t="s">
        <v>161</v>
      </c>
      <c r="H34" s="31" t="s">
        <v>26</v>
      </c>
      <c r="I34" s="31" t="s">
        <v>65</v>
      </c>
      <c r="J34" s="31" t="s">
        <v>66</v>
      </c>
      <c r="K34" s="81">
        <v>0.5</v>
      </c>
      <c r="L34" s="31" t="s">
        <v>162</v>
      </c>
      <c r="M34" s="31">
        <v>2019</v>
      </c>
      <c r="N34" s="31" t="s">
        <v>86</v>
      </c>
      <c r="O34" s="32" t="s">
        <v>39</v>
      </c>
      <c r="P34" s="31" t="s">
        <v>27</v>
      </c>
      <c r="Q34" s="32" t="s">
        <v>27</v>
      </c>
      <c r="R34" s="33">
        <v>40</v>
      </c>
      <c r="S34" s="88">
        <v>0.2</v>
      </c>
      <c r="T34" s="85">
        <v>0.3</v>
      </c>
      <c r="U34" s="34">
        <v>0</v>
      </c>
      <c r="V34" s="82" t="s">
        <v>502</v>
      </c>
    </row>
    <row r="35" spans="1:22" s="82" customFormat="1" x14ac:dyDescent="0.2">
      <c r="A35" s="27" t="s">
        <v>70</v>
      </c>
      <c r="B35" s="27" t="s">
        <v>71</v>
      </c>
      <c r="C35" s="27" t="s">
        <v>72</v>
      </c>
      <c r="D35" s="27" t="s">
        <v>392</v>
      </c>
      <c r="E35" s="27" t="s">
        <v>393</v>
      </c>
      <c r="F35" s="27" t="s">
        <v>394</v>
      </c>
      <c r="G35" s="27" t="s">
        <v>395</v>
      </c>
      <c r="H35" s="27" t="s">
        <v>26</v>
      </c>
      <c r="I35" s="27" t="s">
        <v>77</v>
      </c>
      <c r="J35" s="27" t="s">
        <v>78</v>
      </c>
      <c r="K35" s="35">
        <v>0.5</v>
      </c>
      <c r="L35" s="35" t="s">
        <v>79</v>
      </c>
      <c r="M35" s="36">
        <v>2019</v>
      </c>
      <c r="N35" s="27" t="s">
        <v>86</v>
      </c>
      <c r="O35" s="28" t="s">
        <v>38</v>
      </c>
      <c r="P35" s="27" t="s">
        <v>27</v>
      </c>
      <c r="Q35" s="28" t="s">
        <v>27</v>
      </c>
      <c r="R35" s="27">
        <v>80</v>
      </c>
      <c r="S35" s="89">
        <v>0.4</v>
      </c>
      <c r="T35" s="86">
        <v>0.1</v>
      </c>
      <c r="U35" s="27">
        <v>0</v>
      </c>
      <c r="V35" s="82" t="s">
        <v>502</v>
      </c>
    </row>
    <row r="36" spans="1:22" s="82" customFormat="1" x14ac:dyDescent="0.2">
      <c r="A36" s="27" t="s">
        <v>70</v>
      </c>
      <c r="B36" s="27" t="s">
        <v>71</v>
      </c>
      <c r="C36" s="27" t="s">
        <v>72</v>
      </c>
      <c r="D36" s="27" t="s">
        <v>396</v>
      </c>
      <c r="E36" s="27" t="s">
        <v>397</v>
      </c>
      <c r="F36" s="27" t="s">
        <v>398</v>
      </c>
      <c r="G36" s="27" t="s">
        <v>399</v>
      </c>
      <c r="H36" s="27" t="s">
        <v>26</v>
      </c>
      <c r="I36" s="27" t="s">
        <v>67</v>
      </c>
      <c r="J36" s="27" t="s">
        <v>68</v>
      </c>
      <c r="K36" s="35">
        <v>0.5</v>
      </c>
      <c r="L36" s="35" t="s">
        <v>69</v>
      </c>
      <c r="M36" s="36">
        <v>2019</v>
      </c>
      <c r="N36" s="27" t="s">
        <v>86</v>
      </c>
      <c r="O36" s="28" t="s">
        <v>38</v>
      </c>
      <c r="P36" s="27" t="s">
        <v>27</v>
      </c>
      <c r="Q36" s="28" t="s">
        <v>27</v>
      </c>
      <c r="R36" s="27">
        <v>80</v>
      </c>
      <c r="S36" s="89">
        <v>0.4</v>
      </c>
      <c r="T36" s="86">
        <v>0.1</v>
      </c>
      <c r="U36" s="27">
        <v>0</v>
      </c>
      <c r="V36" s="82" t="s">
        <v>502</v>
      </c>
    </row>
    <row r="37" spans="1:22" s="82" customFormat="1" x14ac:dyDescent="0.2">
      <c r="A37" s="27" t="s">
        <v>44</v>
      </c>
      <c r="B37" s="27" t="s">
        <v>45</v>
      </c>
      <c r="C37" s="27" t="s">
        <v>46</v>
      </c>
      <c r="D37" s="27" t="s">
        <v>400</v>
      </c>
      <c r="E37" s="27" t="s">
        <v>401</v>
      </c>
      <c r="F37" s="27" t="s">
        <v>402</v>
      </c>
      <c r="G37" s="27" t="s">
        <v>145</v>
      </c>
      <c r="H37" s="27" t="s">
        <v>26</v>
      </c>
      <c r="I37" s="27" t="s">
        <v>74</v>
      </c>
      <c r="J37" s="27" t="s">
        <v>75</v>
      </c>
      <c r="K37" s="35">
        <v>0.5</v>
      </c>
      <c r="L37" s="35" t="s">
        <v>76</v>
      </c>
      <c r="M37" s="36">
        <v>2019</v>
      </c>
      <c r="N37" s="27" t="s">
        <v>86</v>
      </c>
      <c r="O37" s="28" t="s">
        <v>64</v>
      </c>
      <c r="P37" s="27" t="s">
        <v>27</v>
      </c>
      <c r="Q37" s="28" t="s">
        <v>27</v>
      </c>
      <c r="R37" s="27">
        <v>70</v>
      </c>
      <c r="S37" s="89">
        <v>0.35</v>
      </c>
      <c r="T37" s="86">
        <v>0.15</v>
      </c>
      <c r="U37" s="27">
        <v>0</v>
      </c>
      <c r="V37" s="82" t="s">
        <v>502</v>
      </c>
    </row>
    <row r="38" spans="1:22" s="82" customFormat="1" x14ac:dyDescent="0.2">
      <c r="A38" s="27" t="s">
        <v>44</v>
      </c>
      <c r="B38" s="27" t="s">
        <v>45</v>
      </c>
      <c r="C38" s="27" t="s">
        <v>46</v>
      </c>
      <c r="D38" s="27" t="s">
        <v>400</v>
      </c>
      <c r="E38" s="27" t="s">
        <v>401</v>
      </c>
      <c r="F38" s="27" t="s">
        <v>402</v>
      </c>
      <c r="G38" s="27" t="s">
        <v>85</v>
      </c>
      <c r="H38" s="27" t="s">
        <v>26</v>
      </c>
      <c r="I38" s="27" t="s">
        <v>74</v>
      </c>
      <c r="J38" s="27" t="s">
        <v>75</v>
      </c>
      <c r="K38" s="35">
        <v>0.5</v>
      </c>
      <c r="L38" s="35" t="s">
        <v>76</v>
      </c>
      <c r="M38" s="36">
        <v>2019</v>
      </c>
      <c r="N38" s="27" t="s">
        <v>86</v>
      </c>
      <c r="O38" s="28" t="s">
        <v>38</v>
      </c>
      <c r="P38" s="27" t="s">
        <v>27</v>
      </c>
      <c r="Q38" s="28" t="s">
        <v>27</v>
      </c>
      <c r="R38" s="27">
        <v>80</v>
      </c>
      <c r="S38" s="89">
        <v>0.4</v>
      </c>
      <c r="T38" s="86">
        <v>0.1</v>
      </c>
      <c r="U38" s="27">
        <v>0</v>
      </c>
      <c r="V38" s="82" t="s">
        <v>502</v>
      </c>
    </row>
    <row r="39" spans="1:22" s="82" customFormat="1" x14ac:dyDescent="0.2">
      <c r="A39" s="27" t="s">
        <v>103</v>
      </c>
      <c r="B39" s="27" t="s">
        <v>104</v>
      </c>
      <c r="C39" s="27" t="s">
        <v>105</v>
      </c>
      <c r="D39" s="27" t="s">
        <v>403</v>
      </c>
      <c r="E39" s="27" t="s">
        <v>404</v>
      </c>
      <c r="F39" s="27" t="s">
        <v>405</v>
      </c>
      <c r="G39" s="27" t="s">
        <v>144</v>
      </c>
      <c r="H39" s="27" t="s">
        <v>26</v>
      </c>
      <c r="I39" s="27" t="s">
        <v>138</v>
      </c>
      <c r="J39" s="27" t="s">
        <v>139</v>
      </c>
      <c r="K39" s="35">
        <v>0.5</v>
      </c>
      <c r="L39" s="35" t="s">
        <v>140</v>
      </c>
      <c r="M39" s="36">
        <v>2019</v>
      </c>
      <c r="N39" s="27" t="s">
        <v>86</v>
      </c>
      <c r="O39" s="28" t="s">
        <v>64</v>
      </c>
      <c r="P39" s="27" t="s">
        <v>27</v>
      </c>
      <c r="Q39" s="28" t="s">
        <v>27</v>
      </c>
      <c r="R39" s="27">
        <v>70</v>
      </c>
      <c r="S39" s="89">
        <v>0.35</v>
      </c>
      <c r="T39" s="86">
        <v>0.15</v>
      </c>
      <c r="U39" s="27">
        <v>0</v>
      </c>
      <c r="V39" s="82" t="s">
        <v>502</v>
      </c>
    </row>
    <row r="40" spans="1:22" s="82" customFormat="1" x14ac:dyDescent="0.2">
      <c r="A40" s="27" t="s">
        <v>103</v>
      </c>
      <c r="B40" s="27" t="s">
        <v>104</v>
      </c>
      <c r="C40" s="27" t="s">
        <v>105</v>
      </c>
      <c r="D40" s="27" t="s">
        <v>403</v>
      </c>
      <c r="E40" s="27" t="s">
        <v>404</v>
      </c>
      <c r="F40" s="27" t="s">
        <v>405</v>
      </c>
      <c r="G40" s="27" t="s">
        <v>137</v>
      </c>
      <c r="H40" s="27" t="s">
        <v>26</v>
      </c>
      <c r="I40" s="27" t="s">
        <v>138</v>
      </c>
      <c r="J40" s="27" t="s">
        <v>139</v>
      </c>
      <c r="K40" s="35">
        <v>0.5</v>
      </c>
      <c r="L40" s="35" t="s">
        <v>140</v>
      </c>
      <c r="M40" s="36">
        <v>2019</v>
      </c>
      <c r="N40" s="27" t="s">
        <v>86</v>
      </c>
      <c r="O40" s="28" t="s">
        <v>64</v>
      </c>
      <c r="P40" s="27" t="s">
        <v>27</v>
      </c>
      <c r="Q40" s="28" t="s">
        <v>27</v>
      </c>
      <c r="R40" s="27">
        <v>70</v>
      </c>
      <c r="S40" s="89">
        <v>0.35</v>
      </c>
      <c r="T40" s="86">
        <v>0.15</v>
      </c>
      <c r="U40" s="27">
        <v>0</v>
      </c>
      <c r="V40" s="82" t="s">
        <v>502</v>
      </c>
    </row>
    <row r="41" spans="1:22" s="82" customFormat="1" ht="10.8" thickBot="1" x14ac:dyDescent="0.25">
      <c r="A41" s="27" t="s">
        <v>103</v>
      </c>
      <c r="B41" s="27" t="s">
        <v>104</v>
      </c>
      <c r="C41" s="27" t="s">
        <v>105</v>
      </c>
      <c r="D41" s="27" t="s">
        <v>406</v>
      </c>
      <c r="E41" s="27" t="s">
        <v>407</v>
      </c>
      <c r="F41" s="27" t="s">
        <v>408</v>
      </c>
      <c r="G41" s="27" t="s">
        <v>181</v>
      </c>
      <c r="H41" s="27" t="s">
        <v>26</v>
      </c>
      <c r="I41" s="27" t="s">
        <v>58</v>
      </c>
      <c r="J41" s="27" t="s">
        <v>59</v>
      </c>
      <c r="K41" s="35">
        <v>0.5</v>
      </c>
      <c r="L41" s="35" t="s">
        <v>60</v>
      </c>
      <c r="M41" s="36">
        <v>2019</v>
      </c>
      <c r="N41" s="27" t="s">
        <v>86</v>
      </c>
      <c r="O41" s="28" t="s">
        <v>38</v>
      </c>
      <c r="P41" s="27" t="s">
        <v>27</v>
      </c>
      <c r="Q41" s="28" t="s">
        <v>27</v>
      </c>
      <c r="R41" s="27">
        <v>80</v>
      </c>
      <c r="S41" s="89">
        <v>0.4</v>
      </c>
      <c r="T41" s="86">
        <v>0.1</v>
      </c>
      <c r="U41" s="27">
        <v>0</v>
      </c>
      <c r="V41" s="82" t="s">
        <v>502</v>
      </c>
    </row>
    <row r="42" spans="1:22" s="82" customFormat="1" ht="10.8" thickBot="1" x14ac:dyDescent="0.25">
      <c r="A42" s="37" t="s">
        <v>32</v>
      </c>
      <c r="B42" s="37" t="s">
        <v>33</v>
      </c>
      <c r="C42" s="37" t="s">
        <v>409</v>
      </c>
      <c r="D42" s="37" t="s">
        <v>410</v>
      </c>
      <c r="E42" s="37" t="s">
        <v>411</v>
      </c>
      <c r="F42" s="37" t="s">
        <v>412</v>
      </c>
      <c r="G42" s="38" t="s">
        <v>413</v>
      </c>
      <c r="H42" s="39" t="s">
        <v>26</v>
      </c>
      <c r="I42" s="39" t="s">
        <v>32</v>
      </c>
      <c r="J42" s="40" t="s">
        <v>33</v>
      </c>
      <c r="K42" s="35">
        <v>0.5</v>
      </c>
      <c r="L42" s="35" t="s">
        <v>118</v>
      </c>
      <c r="M42" s="27">
        <v>2020</v>
      </c>
      <c r="N42" s="27" t="s">
        <v>86</v>
      </c>
      <c r="O42" s="28" t="s">
        <v>64</v>
      </c>
      <c r="P42" s="27" t="s">
        <v>114</v>
      </c>
      <c r="Q42" s="28" t="s">
        <v>64</v>
      </c>
      <c r="R42" s="27">
        <v>40</v>
      </c>
      <c r="S42" s="89">
        <v>0.2</v>
      </c>
      <c r="T42" s="86">
        <v>0.15</v>
      </c>
      <c r="U42" s="27">
        <v>0.15</v>
      </c>
      <c r="V42" s="82" t="s">
        <v>502</v>
      </c>
    </row>
    <row r="43" spans="1:22" s="82" customFormat="1" ht="10.8" thickBot="1" x14ac:dyDescent="0.25">
      <c r="A43" s="37" t="s">
        <v>70</v>
      </c>
      <c r="B43" s="37" t="s">
        <v>71</v>
      </c>
      <c r="C43" s="37" t="s">
        <v>72</v>
      </c>
      <c r="D43" s="37" t="s">
        <v>414</v>
      </c>
      <c r="E43" s="37" t="s">
        <v>415</v>
      </c>
      <c r="F43" s="37" t="s">
        <v>416</v>
      </c>
      <c r="G43" s="38" t="s">
        <v>129</v>
      </c>
      <c r="H43" s="39" t="s">
        <v>28</v>
      </c>
      <c r="I43" s="39" t="s">
        <v>89</v>
      </c>
      <c r="J43" s="40" t="s">
        <v>90</v>
      </c>
      <c r="K43" s="35">
        <v>1</v>
      </c>
      <c r="L43" s="35" t="s">
        <v>91</v>
      </c>
      <c r="M43" s="27">
        <v>2020</v>
      </c>
      <c r="N43" s="27" t="s">
        <v>86</v>
      </c>
      <c r="O43" s="28" t="s">
        <v>35</v>
      </c>
      <c r="P43" s="27" t="s">
        <v>27</v>
      </c>
      <c r="Q43" s="28" t="s">
        <v>27</v>
      </c>
      <c r="R43" s="27">
        <v>50</v>
      </c>
      <c r="S43" s="89">
        <v>0.5</v>
      </c>
      <c r="T43" s="86">
        <v>0.5</v>
      </c>
      <c r="U43" s="27">
        <v>0</v>
      </c>
      <c r="V43" s="82" t="s">
        <v>502</v>
      </c>
    </row>
    <row r="44" spans="1:22" s="82" customFormat="1" ht="10.8" thickBot="1" x14ac:dyDescent="0.25">
      <c r="A44" s="37" t="s">
        <v>70</v>
      </c>
      <c r="B44" s="37" t="s">
        <v>71</v>
      </c>
      <c r="C44" s="37" t="s">
        <v>72</v>
      </c>
      <c r="D44" s="37" t="s">
        <v>417</v>
      </c>
      <c r="E44" s="37" t="s">
        <v>418</v>
      </c>
      <c r="F44" s="37" t="s">
        <v>412</v>
      </c>
      <c r="G44" s="38" t="s">
        <v>132</v>
      </c>
      <c r="H44" s="39" t="s">
        <v>26</v>
      </c>
      <c r="I44" s="39" t="s">
        <v>89</v>
      </c>
      <c r="J44" s="40" t="s">
        <v>90</v>
      </c>
      <c r="K44" s="35">
        <v>0.5</v>
      </c>
      <c r="L44" s="35" t="s">
        <v>91</v>
      </c>
      <c r="M44" s="27">
        <v>2020</v>
      </c>
      <c r="N44" s="27" t="s">
        <v>86</v>
      </c>
      <c r="O44" s="28" t="s">
        <v>40</v>
      </c>
      <c r="P44" s="27" t="s">
        <v>27</v>
      </c>
      <c r="Q44" s="28" t="s">
        <v>27</v>
      </c>
      <c r="R44" s="27">
        <v>10</v>
      </c>
      <c r="S44" s="89">
        <v>0.05</v>
      </c>
      <c r="T44" s="86">
        <v>0.45</v>
      </c>
      <c r="U44" s="27">
        <v>0</v>
      </c>
      <c r="V44" s="82" t="s">
        <v>502</v>
      </c>
    </row>
    <row r="45" spans="1:22" s="82" customFormat="1" ht="10.8" thickBot="1" x14ac:dyDescent="0.25">
      <c r="A45" s="37" t="s">
        <v>70</v>
      </c>
      <c r="B45" s="37" t="s">
        <v>71</v>
      </c>
      <c r="C45" s="37" t="s">
        <v>72</v>
      </c>
      <c r="D45" s="37" t="s">
        <v>419</v>
      </c>
      <c r="E45" s="37" t="s">
        <v>420</v>
      </c>
      <c r="F45" s="37" t="s">
        <v>421</v>
      </c>
      <c r="G45" s="38" t="s">
        <v>422</v>
      </c>
      <c r="H45" s="39" t="s">
        <v>28</v>
      </c>
      <c r="I45" s="39" t="s">
        <v>67</v>
      </c>
      <c r="J45" s="40" t="s">
        <v>68</v>
      </c>
      <c r="K45" s="35">
        <v>1</v>
      </c>
      <c r="L45" s="35" t="s">
        <v>69</v>
      </c>
      <c r="M45" s="27">
        <v>2020</v>
      </c>
      <c r="N45" s="27" t="s">
        <v>86</v>
      </c>
      <c r="O45" s="28" t="s">
        <v>38</v>
      </c>
      <c r="P45" s="27" t="s">
        <v>27</v>
      </c>
      <c r="Q45" s="28" t="s">
        <v>27</v>
      </c>
      <c r="R45" s="27">
        <v>80</v>
      </c>
      <c r="S45" s="89">
        <v>0.8</v>
      </c>
      <c r="T45" s="86">
        <v>0.2</v>
      </c>
      <c r="U45" s="27">
        <v>0</v>
      </c>
      <c r="V45" s="82" t="s">
        <v>502</v>
      </c>
    </row>
    <row r="46" spans="1:22" s="82" customFormat="1" ht="10.8" thickBot="1" x14ac:dyDescent="0.25">
      <c r="A46" s="37" t="s">
        <v>70</v>
      </c>
      <c r="B46" s="37" t="s">
        <v>71</v>
      </c>
      <c r="C46" s="37" t="s">
        <v>72</v>
      </c>
      <c r="D46" s="37" t="s">
        <v>423</v>
      </c>
      <c r="E46" s="37" t="s">
        <v>424</v>
      </c>
      <c r="F46" s="37" t="s">
        <v>425</v>
      </c>
      <c r="G46" s="38" t="s">
        <v>426</v>
      </c>
      <c r="H46" s="39" t="s">
        <v>28</v>
      </c>
      <c r="I46" s="39" t="s">
        <v>99</v>
      </c>
      <c r="J46" s="40" t="s">
        <v>100</v>
      </c>
      <c r="K46" s="35">
        <v>1</v>
      </c>
      <c r="L46" s="35" t="s">
        <v>101</v>
      </c>
      <c r="M46" s="27">
        <v>2020</v>
      </c>
      <c r="N46" s="27" t="s">
        <v>86</v>
      </c>
      <c r="O46" s="28" t="s">
        <v>35</v>
      </c>
      <c r="P46" s="27" t="s">
        <v>27</v>
      </c>
      <c r="Q46" s="28" t="s">
        <v>27</v>
      </c>
      <c r="R46" s="27">
        <v>50</v>
      </c>
      <c r="S46" s="89">
        <v>0.5</v>
      </c>
      <c r="T46" s="86">
        <v>0.5</v>
      </c>
      <c r="U46" s="27">
        <v>0</v>
      </c>
      <c r="V46" s="82" t="s">
        <v>502</v>
      </c>
    </row>
    <row r="47" spans="1:22" s="82" customFormat="1" ht="10.8" thickBot="1" x14ac:dyDescent="0.25">
      <c r="A47" s="37" t="s">
        <v>70</v>
      </c>
      <c r="B47" s="37" t="s">
        <v>71</v>
      </c>
      <c r="C47" s="37" t="s">
        <v>72</v>
      </c>
      <c r="D47" s="37" t="s">
        <v>427</v>
      </c>
      <c r="E47" s="37" t="s">
        <v>428</v>
      </c>
      <c r="F47" s="37" t="s">
        <v>429</v>
      </c>
      <c r="G47" s="38" t="s">
        <v>395</v>
      </c>
      <c r="H47" s="39" t="s">
        <v>28</v>
      </c>
      <c r="I47" s="39" t="s">
        <v>77</v>
      </c>
      <c r="J47" s="40" t="s">
        <v>78</v>
      </c>
      <c r="K47" s="35">
        <v>1</v>
      </c>
      <c r="L47" s="35" t="s">
        <v>79</v>
      </c>
      <c r="M47" s="27">
        <v>2020</v>
      </c>
      <c r="N47" s="27" t="s">
        <v>86</v>
      </c>
      <c r="O47" s="28" t="s">
        <v>38</v>
      </c>
      <c r="P47" s="27" t="s">
        <v>27</v>
      </c>
      <c r="Q47" s="28" t="s">
        <v>27</v>
      </c>
      <c r="R47" s="27">
        <v>80</v>
      </c>
      <c r="S47" s="89">
        <v>0.8</v>
      </c>
      <c r="T47" s="86">
        <v>0.2</v>
      </c>
      <c r="U47" s="27">
        <v>0</v>
      </c>
      <c r="V47" s="82" t="s">
        <v>502</v>
      </c>
    </row>
    <row r="48" spans="1:22" s="82" customFormat="1" ht="10.8" thickBot="1" x14ac:dyDescent="0.25">
      <c r="A48" s="37" t="s">
        <v>70</v>
      </c>
      <c r="B48" s="37" t="s">
        <v>71</v>
      </c>
      <c r="C48" s="37" t="s">
        <v>72</v>
      </c>
      <c r="D48" s="37" t="s">
        <v>504</v>
      </c>
      <c r="E48" s="37" t="s">
        <v>505</v>
      </c>
      <c r="F48" s="37" t="s">
        <v>506</v>
      </c>
      <c r="G48" s="38" t="s">
        <v>206</v>
      </c>
      <c r="H48" s="39" t="s">
        <v>26</v>
      </c>
      <c r="I48" s="39" t="s">
        <v>65</v>
      </c>
      <c r="J48" s="40" t="s">
        <v>66</v>
      </c>
      <c r="K48" s="35">
        <v>0.5</v>
      </c>
      <c r="L48" s="35" t="s">
        <v>162</v>
      </c>
      <c r="M48" s="27">
        <v>2020</v>
      </c>
      <c r="N48" s="27" t="s">
        <v>86</v>
      </c>
      <c r="O48" s="28" t="s">
        <v>43</v>
      </c>
      <c r="P48" s="27" t="s">
        <v>114</v>
      </c>
      <c r="Q48" s="28" t="s">
        <v>56</v>
      </c>
      <c r="R48" s="27">
        <v>65</v>
      </c>
      <c r="S48" s="89">
        <v>0.32500000000000001</v>
      </c>
      <c r="T48" s="86">
        <v>0.05</v>
      </c>
      <c r="U48" s="27">
        <v>0.125</v>
      </c>
      <c r="V48" s="82" t="s">
        <v>502</v>
      </c>
    </row>
    <row r="49" spans="1:22" s="82" customFormat="1" ht="10.8" thickBot="1" x14ac:dyDescent="0.25">
      <c r="A49" s="37" t="s">
        <v>70</v>
      </c>
      <c r="B49" s="37" t="s">
        <v>71</v>
      </c>
      <c r="C49" s="37" t="s">
        <v>72</v>
      </c>
      <c r="D49" s="37" t="s">
        <v>430</v>
      </c>
      <c r="E49" s="37" t="s">
        <v>431</v>
      </c>
      <c r="F49" s="37" t="s">
        <v>432</v>
      </c>
      <c r="G49" s="38" t="s">
        <v>127</v>
      </c>
      <c r="H49" s="39" t="s">
        <v>28</v>
      </c>
      <c r="I49" s="39" t="s">
        <v>99</v>
      </c>
      <c r="J49" s="40" t="s">
        <v>100</v>
      </c>
      <c r="K49" s="35">
        <v>1</v>
      </c>
      <c r="L49" s="35" t="s">
        <v>101</v>
      </c>
      <c r="M49" s="27">
        <v>2020</v>
      </c>
      <c r="N49" s="27" t="s">
        <v>86</v>
      </c>
      <c r="O49" s="28" t="s">
        <v>38</v>
      </c>
      <c r="P49" s="27" t="s">
        <v>27</v>
      </c>
      <c r="Q49" s="28" t="s">
        <v>27</v>
      </c>
      <c r="R49" s="27">
        <v>80</v>
      </c>
      <c r="S49" s="89">
        <v>0.8</v>
      </c>
      <c r="T49" s="86">
        <v>0.2</v>
      </c>
      <c r="U49" s="27">
        <v>0</v>
      </c>
      <c r="V49" s="82" t="s">
        <v>502</v>
      </c>
    </row>
    <row r="50" spans="1:22" s="82" customFormat="1" ht="10.8" thickBot="1" x14ac:dyDescent="0.25">
      <c r="A50" s="37" t="s">
        <v>433</v>
      </c>
      <c r="B50" s="37" t="s">
        <v>434</v>
      </c>
      <c r="C50" s="37" t="s">
        <v>435</v>
      </c>
      <c r="D50" s="37" t="s">
        <v>436</v>
      </c>
      <c r="E50" s="37" t="s">
        <v>437</v>
      </c>
      <c r="F50" s="37" t="s">
        <v>438</v>
      </c>
      <c r="G50" s="38" t="s">
        <v>439</v>
      </c>
      <c r="H50" s="39" t="s">
        <v>28</v>
      </c>
      <c r="I50" s="39" t="s">
        <v>440</v>
      </c>
      <c r="J50" s="40" t="s">
        <v>441</v>
      </c>
      <c r="K50" s="35">
        <v>1</v>
      </c>
      <c r="L50" s="35" t="s">
        <v>37</v>
      </c>
      <c r="M50" s="27">
        <v>2020</v>
      </c>
      <c r="N50" s="27" t="s">
        <v>86</v>
      </c>
      <c r="O50" s="28" t="s">
        <v>39</v>
      </c>
      <c r="P50" s="27" t="s">
        <v>27</v>
      </c>
      <c r="Q50" s="28" t="s">
        <v>27</v>
      </c>
      <c r="R50" s="27">
        <v>40</v>
      </c>
      <c r="S50" s="89">
        <v>0.4</v>
      </c>
      <c r="T50" s="86">
        <v>0.6</v>
      </c>
      <c r="U50" s="27">
        <v>0</v>
      </c>
      <c r="V50" s="82" t="s">
        <v>502</v>
      </c>
    </row>
    <row r="51" spans="1:22" s="82" customFormat="1" ht="10.8" thickBot="1" x14ac:dyDescent="0.25">
      <c r="A51" s="37" t="s">
        <v>61</v>
      </c>
      <c r="B51" s="37" t="s">
        <v>62</v>
      </c>
      <c r="C51" s="37" t="s">
        <v>63</v>
      </c>
      <c r="D51" s="37" t="s">
        <v>442</v>
      </c>
      <c r="E51" s="37" t="s">
        <v>443</v>
      </c>
      <c r="F51" s="37" t="s">
        <v>444</v>
      </c>
      <c r="G51" s="38" t="s">
        <v>178</v>
      </c>
      <c r="H51" s="39" t="s">
        <v>28</v>
      </c>
      <c r="I51" s="39" t="s">
        <v>58</v>
      </c>
      <c r="J51" s="40" t="s">
        <v>59</v>
      </c>
      <c r="K51" s="35">
        <v>1</v>
      </c>
      <c r="L51" s="35" t="s">
        <v>60</v>
      </c>
      <c r="M51" s="27">
        <v>2020</v>
      </c>
      <c r="N51" s="27" t="s">
        <v>86</v>
      </c>
      <c r="O51" s="28" t="s">
        <v>38</v>
      </c>
      <c r="P51" s="27" t="s">
        <v>27</v>
      </c>
      <c r="Q51" s="28" t="s">
        <v>27</v>
      </c>
      <c r="R51" s="27">
        <v>80</v>
      </c>
      <c r="S51" s="89">
        <v>0.8</v>
      </c>
      <c r="T51" s="86">
        <v>0.2</v>
      </c>
      <c r="U51" s="27">
        <v>0</v>
      </c>
      <c r="V51" s="82" t="s">
        <v>502</v>
      </c>
    </row>
    <row r="52" spans="1:22" s="82" customFormat="1" ht="10.8" thickBot="1" x14ac:dyDescent="0.25">
      <c r="A52" s="37" t="s">
        <v>44</v>
      </c>
      <c r="B52" s="37" t="s">
        <v>45</v>
      </c>
      <c r="C52" s="37" t="s">
        <v>46</v>
      </c>
      <c r="D52" s="37" t="s">
        <v>445</v>
      </c>
      <c r="E52" s="37" t="s">
        <v>446</v>
      </c>
      <c r="F52" s="37" t="s">
        <v>447</v>
      </c>
      <c r="G52" s="38" t="s">
        <v>148</v>
      </c>
      <c r="H52" s="39" t="s">
        <v>26</v>
      </c>
      <c r="I52" s="39" t="s">
        <v>74</v>
      </c>
      <c r="J52" s="40" t="s">
        <v>75</v>
      </c>
      <c r="K52" s="35">
        <v>0.5</v>
      </c>
      <c r="L52" s="35" t="s">
        <v>76</v>
      </c>
      <c r="M52" s="27">
        <v>2020</v>
      </c>
      <c r="N52" s="27" t="s">
        <v>86</v>
      </c>
      <c r="O52" s="28" t="s">
        <v>38</v>
      </c>
      <c r="P52" s="27" t="s">
        <v>27</v>
      </c>
      <c r="Q52" s="28" t="s">
        <v>27</v>
      </c>
      <c r="R52" s="27">
        <v>80</v>
      </c>
      <c r="S52" s="89">
        <v>0.4</v>
      </c>
      <c r="T52" s="86">
        <v>0.1</v>
      </c>
      <c r="U52" s="27">
        <v>0</v>
      </c>
      <c r="V52" s="82" t="s">
        <v>502</v>
      </c>
    </row>
    <row r="53" spans="1:22" s="82" customFormat="1" x14ac:dyDescent="0.2">
      <c r="A53" s="27" t="s">
        <v>103</v>
      </c>
      <c r="B53" s="27" t="s">
        <v>104</v>
      </c>
      <c r="C53" s="27" t="s">
        <v>105</v>
      </c>
      <c r="D53" s="27" t="s">
        <v>507</v>
      </c>
      <c r="E53" s="27" t="s">
        <v>448</v>
      </c>
      <c r="F53" s="27" t="s">
        <v>449</v>
      </c>
      <c r="G53" s="27" t="s">
        <v>137</v>
      </c>
      <c r="H53" s="27" t="s">
        <v>28</v>
      </c>
      <c r="I53" s="27" t="s">
        <v>138</v>
      </c>
      <c r="J53" s="27" t="s">
        <v>139</v>
      </c>
      <c r="K53" s="35">
        <v>1</v>
      </c>
      <c r="L53" s="35" t="s">
        <v>140</v>
      </c>
      <c r="M53" s="27">
        <v>2020</v>
      </c>
      <c r="N53" s="27" t="s">
        <v>86</v>
      </c>
      <c r="O53" s="28" t="s">
        <v>64</v>
      </c>
      <c r="P53" s="27" t="s">
        <v>27</v>
      </c>
      <c r="Q53" s="28" t="s">
        <v>27</v>
      </c>
      <c r="R53" s="27">
        <v>70</v>
      </c>
      <c r="S53" s="89">
        <v>0.7</v>
      </c>
      <c r="T53" s="86">
        <v>0.3</v>
      </c>
      <c r="U53" s="27">
        <v>0</v>
      </c>
      <c r="V53" s="82" t="s">
        <v>502</v>
      </c>
    </row>
    <row r="54" spans="1:22" s="82" customFormat="1" x14ac:dyDescent="0.2">
      <c r="A54" s="27" t="s">
        <v>103</v>
      </c>
      <c r="B54" s="27" t="s">
        <v>104</v>
      </c>
      <c r="C54" s="27" t="s">
        <v>105</v>
      </c>
      <c r="D54" s="27" t="s">
        <v>450</v>
      </c>
      <c r="E54" s="27" t="s">
        <v>451</v>
      </c>
      <c r="F54" s="27" t="s">
        <v>452</v>
      </c>
      <c r="G54" s="27" t="s">
        <v>161</v>
      </c>
      <c r="H54" s="27" t="s">
        <v>28</v>
      </c>
      <c r="I54" s="27" t="s">
        <v>65</v>
      </c>
      <c r="J54" s="27" t="s">
        <v>66</v>
      </c>
      <c r="K54" s="35">
        <v>1</v>
      </c>
      <c r="L54" s="35" t="s">
        <v>162</v>
      </c>
      <c r="M54" s="27">
        <v>2020</v>
      </c>
      <c r="N54" s="27" t="s">
        <v>86</v>
      </c>
      <c r="O54" s="28" t="s">
        <v>39</v>
      </c>
      <c r="P54" s="27" t="s">
        <v>27</v>
      </c>
      <c r="Q54" s="28" t="s">
        <v>27</v>
      </c>
      <c r="R54" s="27">
        <v>40</v>
      </c>
      <c r="S54" s="89">
        <v>0.4</v>
      </c>
      <c r="T54" s="86">
        <v>0.6</v>
      </c>
      <c r="U54" s="27">
        <v>0</v>
      </c>
      <c r="V54" s="82" t="s">
        <v>502</v>
      </c>
    </row>
    <row r="55" spans="1:22" s="82" customFormat="1" x14ac:dyDescent="0.2">
      <c r="A55" s="27" t="s">
        <v>103</v>
      </c>
      <c r="B55" s="27" t="s">
        <v>104</v>
      </c>
      <c r="C55" s="27" t="s">
        <v>105</v>
      </c>
      <c r="D55" s="27" t="s">
        <v>453</v>
      </c>
      <c r="E55" s="27" t="s">
        <v>454</v>
      </c>
      <c r="F55" s="27" t="s">
        <v>455</v>
      </c>
      <c r="G55" s="27" t="s">
        <v>456</v>
      </c>
      <c r="H55" s="27" t="s">
        <v>26</v>
      </c>
      <c r="I55" s="27" t="s">
        <v>77</v>
      </c>
      <c r="J55" s="27" t="s">
        <v>78</v>
      </c>
      <c r="K55" s="35">
        <v>0.5</v>
      </c>
      <c r="L55" s="35" t="s">
        <v>79</v>
      </c>
      <c r="M55" s="27">
        <v>2020</v>
      </c>
      <c r="N55" s="27" t="s">
        <v>86</v>
      </c>
      <c r="O55" s="28" t="s">
        <v>38</v>
      </c>
      <c r="P55" s="27" t="s">
        <v>27</v>
      </c>
      <c r="Q55" s="28" t="s">
        <v>27</v>
      </c>
      <c r="R55" s="27">
        <v>80</v>
      </c>
      <c r="S55" s="89">
        <v>0.4</v>
      </c>
      <c r="T55" s="86">
        <v>0.1</v>
      </c>
      <c r="U55" s="27">
        <v>0</v>
      </c>
      <c r="V55" s="82" t="s">
        <v>502</v>
      </c>
    </row>
    <row r="56" spans="1:22" s="82" customFormat="1" x14ac:dyDescent="0.2">
      <c r="A56" s="27" t="s">
        <v>103</v>
      </c>
      <c r="B56" s="27" t="s">
        <v>104</v>
      </c>
      <c r="C56" s="27" t="s">
        <v>105</v>
      </c>
      <c r="D56" s="27" t="s">
        <v>453</v>
      </c>
      <c r="E56" s="27" t="s">
        <v>454</v>
      </c>
      <c r="F56" s="27" t="s">
        <v>455</v>
      </c>
      <c r="G56" s="27" t="s">
        <v>85</v>
      </c>
      <c r="H56" s="27" t="s">
        <v>26</v>
      </c>
      <c r="I56" s="27" t="s">
        <v>74</v>
      </c>
      <c r="J56" s="27" t="s">
        <v>75</v>
      </c>
      <c r="K56" s="35">
        <v>0.5</v>
      </c>
      <c r="L56" s="35" t="s">
        <v>76</v>
      </c>
      <c r="M56" s="27">
        <v>2020</v>
      </c>
      <c r="N56" s="27" t="s">
        <v>86</v>
      </c>
      <c r="O56" s="28" t="s">
        <v>38</v>
      </c>
      <c r="P56" s="27" t="s">
        <v>27</v>
      </c>
      <c r="Q56" s="28" t="s">
        <v>27</v>
      </c>
      <c r="R56" s="27">
        <v>80</v>
      </c>
      <c r="S56" s="89">
        <v>0.4</v>
      </c>
      <c r="T56" s="86">
        <v>0.1</v>
      </c>
      <c r="U56" s="27">
        <v>0</v>
      </c>
      <c r="V56" s="82" t="s">
        <v>502</v>
      </c>
    </row>
    <row r="57" spans="1:22" s="82" customFormat="1" x14ac:dyDescent="0.2">
      <c r="A57" s="27" t="s">
        <v>116</v>
      </c>
      <c r="B57" s="27" t="s">
        <v>117</v>
      </c>
      <c r="C57" s="27" t="s">
        <v>409</v>
      </c>
      <c r="D57" s="27" t="s">
        <v>508</v>
      </c>
      <c r="E57" s="27" t="s">
        <v>509</v>
      </c>
      <c r="F57" s="27" t="s">
        <v>510</v>
      </c>
      <c r="G57" s="27" t="s">
        <v>413</v>
      </c>
      <c r="H57" s="27" t="s">
        <v>28</v>
      </c>
      <c r="I57" s="27" t="s">
        <v>32</v>
      </c>
      <c r="J57" s="27" t="s">
        <v>33</v>
      </c>
      <c r="K57" s="35">
        <v>1</v>
      </c>
      <c r="L57" s="35" t="s">
        <v>118</v>
      </c>
      <c r="M57" s="27">
        <v>2021</v>
      </c>
      <c r="N57" s="27" t="s">
        <v>86</v>
      </c>
      <c r="O57" s="28" t="s">
        <v>64</v>
      </c>
      <c r="P57" s="27" t="s">
        <v>114</v>
      </c>
      <c r="Q57" s="28" t="s">
        <v>64</v>
      </c>
      <c r="R57" s="27">
        <v>40</v>
      </c>
      <c r="S57" s="89">
        <v>0.4</v>
      </c>
      <c r="T57" s="86">
        <v>0.3</v>
      </c>
      <c r="U57" s="27">
        <v>0.3</v>
      </c>
      <c r="V57" s="82" t="s">
        <v>502</v>
      </c>
    </row>
    <row r="58" spans="1:22" s="82" customFormat="1" x14ac:dyDescent="0.2">
      <c r="A58" s="27" t="s">
        <v>70</v>
      </c>
      <c r="B58" s="27" t="s">
        <v>71</v>
      </c>
      <c r="C58" s="27" t="s">
        <v>72</v>
      </c>
      <c r="D58" s="27" t="s">
        <v>511</v>
      </c>
      <c r="E58" s="27" t="s">
        <v>512</v>
      </c>
      <c r="F58" s="27" t="s">
        <v>513</v>
      </c>
      <c r="G58" s="27" t="s">
        <v>129</v>
      </c>
      <c r="H58" s="27" t="s">
        <v>26</v>
      </c>
      <c r="I58" s="27" t="s">
        <v>89</v>
      </c>
      <c r="J58" s="27" t="s">
        <v>90</v>
      </c>
      <c r="K58" s="35">
        <v>0.5</v>
      </c>
      <c r="L58" s="35" t="s">
        <v>91</v>
      </c>
      <c r="M58" s="27">
        <v>2021</v>
      </c>
      <c r="N58" s="27" t="s">
        <v>86</v>
      </c>
      <c r="O58" s="28" t="s">
        <v>35</v>
      </c>
      <c r="P58" s="27" t="s">
        <v>27</v>
      </c>
      <c r="Q58" s="28" t="s">
        <v>27</v>
      </c>
      <c r="R58" s="27">
        <v>50</v>
      </c>
      <c r="S58" s="89">
        <v>0.25</v>
      </c>
      <c r="T58" s="86">
        <v>0.25</v>
      </c>
      <c r="U58" s="27">
        <v>0</v>
      </c>
      <c r="V58" s="82" t="s">
        <v>502</v>
      </c>
    </row>
    <row r="59" spans="1:22" s="82" customFormat="1" x14ac:dyDescent="0.2">
      <c r="A59" s="27" t="s">
        <v>70</v>
      </c>
      <c r="B59" s="27" t="s">
        <v>71</v>
      </c>
      <c r="C59" s="27" t="s">
        <v>72</v>
      </c>
      <c r="D59" s="27" t="s">
        <v>514</v>
      </c>
      <c r="E59" s="27" t="s">
        <v>515</v>
      </c>
      <c r="F59" s="27" t="s">
        <v>516</v>
      </c>
      <c r="G59" s="27" t="s">
        <v>426</v>
      </c>
      <c r="H59" s="27" t="s">
        <v>28</v>
      </c>
      <c r="I59" s="27" t="s">
        <v>99</v>
      </c>
      <c r="J59" s="27" t="s">
        <v>100</v>
      </c>
      <c r="K59" s="35">
        <v>1</v>
      </c>
      <c r="L59" s="35" t="s">
        <v>101</v>
      </c>
      <c r="M59" s="27">
        <v>2021</v>
      </c>
      <c r="N59" s="27" t="s">
        <v>86</v>
      </c>
      <c r="O59" s="28" t="s">
        <v>35</v>
      </c>
      <c r="P59" s="27" t="s">
        <v>27</v>
      </c>
      <c r="Q59" s="28" t="s">
        <v>27</v>
      </c>
      <c r="R59" s="27">
        <v>50</v>
      </c>
      <c r="S59" s="89">
        <v>0.5</v>
      </c>
      <c r="T59" s="86">
        <v>0.5</v>
      </c>
      <c r="U59" s="27">
        <v>0</v>
      </c>
      <c r="V59" s="82" t="s">
        <v>502</v>
      </c>
    </row>
    <row r="60" spans="1:22" s="82" customFormat="1" x14ac:dyDescent="0.2">
      <c r="A60" s="27" t="s">
        <v>70</v>
      </c>
      <c r="B60" s="27" t="s">
        <v>71</v>
      </c>
      <c r="C60" s="27" t="s">
        <v>72</v>
      </c>
      <c r="D60" s="27" t="s">
        <v>517</v>
      </c>
      <c r="E60" s="27" t="s">
        <v>518</v>
      </c>
      <c r="F60" s="27" t="s">
        <v>519</v>
      </c>
      <c r="G60" s="27" t="s">
        <v>201</v>
      </c>
      <c r="H60" s="27" t="s">
        <v>28</v>
      </c>
      <c r="I60" s="27" t="s">
        <v>94</v>
      </c>
      <c r="J60" s="27" t="s">
        <v>95</v>
      </c>
      <c r="K60" s="35">
        <v>1</v>
      </c>
      <c r="L60" s="35" t="s">
        <v>96</v>
      </c>
      <c r="M60" s="27">
        <v>2021</v>
      </c>
      <c r="N60" s="27" t="s">
        <v>86</v>
      </c>
      <c r="O60" s="28" t="s">
        <v>38</v>
      </c>
      <c r="P60" s="27" t="s">
        <v>92</v>
      </c>
      <c r="Q60" s="28" t="s">
        <v>38</v>
      </c>
      <c r="R60" s="27">
        <v>60</v>
      </c>
      <c r="S60" s="89">
        <v>0.6</v>
      </c>
      <c r="T60" s="86">
        <v>0.2</v>
      </c>
      <c r="U60" s="27">
        <v>0.2</v>
      </c>
      <c r="V60" s="82" t="s">
        <v>502</v>
      </c>
    </row>
    <row r="61" spans="1:22" s="82" customFormat="1" x14ac:dyDescent="0.2">
      <c r="A61" s="27" t="s">
        <v>433</v>
      </c>
      <c r="B61" s="27" t="s">
        <v>434</v>
      </c>
      <c r="C61" s="27" t="s">
        <v>435</v>
      </c>
      <c r="D61" s="27" t="s">
        <v>520</v>
      </c>
      <c r="E61" s="27" t="s">
        <v>521</v>
      </c>
      <c r="F61" s="27" t="s">
        <v>522</v>
      </c>
      <c r="G61" s="27" t="s">
        <v>439</v>
      </c>
      <c r="H61" s="27" t="s">
        <v>28</v>
      </c>
      <c r="I61" s="27" t="s">
        <v>440</v>
      </c>
      <c r="J61" s="27" t="s">
        <v>441</v>
      </c>
      <c r="K61" s="35">
        <v>1</v>
      </c>
      <c r="L61" s="35" t="s">
        <v>37</v>
      </c>
      <c r="M61" s="27">
        <v>2021</v>
      </c>
      <c r="N61" s="27" t="s">
        <v>86</v>
      </c>
      <c r="O61" s="28" t="s">
        <v>39</v>
      </c>
      <c r="P61" s="27" t="s">
        <v>27</v>
      </c>
      <c r="Q61" s="28" t="s">
        <v>27</v>
      </c>
      <c r="R61" s="27">
        <v>40</v>
      </c>
      <c r="S61" s="89">
        <v>0.4</v>
      </c>
      <c r="T61" s="86">
        <v>0.6</v>
      </c>
      <c r="U61" s="27">
        <v>0</v>
      </c>
      <c r="V61" s="82" t="s">
        <v>502</v>
      </c>
    </row>
    <row r="62" spans="1:22" s="82" customFormat="1" x14ac:dyDescent="0.2">
      <c r="A62" s="27" t="s">
        <v>61</v>
      </c>
      <c r="B62" s="27" t="s">
        <v>62</v>
      </c>
      <c r="C62" s="27" t="s">
        <v>63</v>
      </c>
      <c r="D62" s="27" t="s">
        <v>523</v>
      </c>
      <c r="E62" s="27" t="s">
        <v>524</v>
      </c>
      <c r="F62" s="27" t="s">
        <v>525</v>
      </c>
      <c r="G62" s="27" t="s">
        <v>178</v>
      </c>
      <c r="H62" s="27" t="s">
        <v>28</v>
      </c>
      <c r="I62" s="27" t="s">
        <v>58</v>
      </c>
      <c r="J62" s="27" t="s">
        <v>59</v>
      </c>
      <c r="K62" s="35">
        <v>1</v>
      </c>
      <c r="L62" s="35" t="s">
        <v>60</v>
      </c>
      <c r="M62" s="27">
        <v>2021</v>
      </c>
      <c r="N62" s="27" t="s">
        <v>86</v>
      </c>
      <c r="O62" s="28" t="s">
        <v>38</v>
      </c>
      <c r="P62" s="27" t="s">
        <v>27</v>
      </c>
      <c r="Q62" s="28" t="s">
        <v>27</v>
      </c>
      <c r="R62" s="27">
        <v>80</v>
      </c>
      <c r="S62" s="89">
        <v>0.8</v>
      </c>
      <c r="T62" s="86">
        <v>0.2</v>
      </c>
      <c r="U62" s="27">
        <v>0</v>
      </c>
      <c r="V62" s="82" t="s">
        <v>502</v>
      </c>
    </row>
    <row r="63" spans="1:22" s="82" customFormat="1" x14ac:dyDescent="0.2">
      <c r="A63" s="27" t="s">
        <v>44</v>
      </c>
      <c r="B63" s="27" t="s">
        <v>45</v>
      </c>
      <c r="C63" s="27" t="s">
        <v>46</v>
      </c>
      <c r="D63" s="27" t="s">
        <v>526</v>
      </c>
      <c r="E63" s="27" t="s">
        <v>527</v>
      </c>
      <c r="F63" s="27" t="s">
        <v>528</v>
      </c>
      <c r="G63" s="27" t="s">
        <v>146</v>
      </c>
      <c r="H63" s="27" t="s">
        <v>26</v>
      </c>
      <c r="I63" s="27" t="s">
        <v>74</v>
      </c>
      <c r="J63" s="27" t="s">
        <v>75</v>
      </c>
      <c r="K63" s="35">
        <v>0.5</v>
      </c>
      <c r="L63" s="35" t="s">
        <v>76</v>
      </c>
      <c r="M63" s="27">
        <v>2021</v>
      </c>
      <c r="N63" s="27" t="s">
        <v>86</v>
      </c>
      <c r="O63" s="28" t="s">
        <v>38</v>
      </c>
      <c r="P63" s="27" t="s">
        <v>27</v>
      </c>
      <c r="Q63" s="28" t="s">
        <v>27</v>
      </c>
      <c r="R63" s="27">
        <v>80</v>
      </c>
      <c r="S63" s="89">
        <v>0.4</v>
      </c>
      <c r="T63" s="86">
        <v>0.1</v>
      </c>
      <c r="U63" s="27">
        <v>0</v>
      </c>
      <c r="V63" s="82" t="s">
        <v>502</v>
      </c>
    </row>
    <row r="64" spans="1:22" s="82" customFormat="1" x14ac:dyDescent="0.2">
      <c r="A64" s="27" t="s">
        <v>44</v>
      </c>
      <c r="B64" s="27" t="s">
        <v>45</v>
      </c>
      <c r="C64" s="27" t="s">
        <v>46</v>
      </c>
      <c r="D64" s="27" t="s">
        <v>529</v>
      </c>
      <c r="E64" s="27" t="s">
        <v>530</v>
      </c>
      <c r="F64" s="27" t="s">
        <v>531</v>
      </c>
      <c r="G64" s="27" t="s">
        <v>146</v>
      </c>
      <c r="H64" s="27" t="s">
        <v>26</v>
      </c>
      <c r="I64" s="27" t="s">
        <v>74</v>
      </c>
      <c r="J64" s="27" t="s">
        <v>75</v>
      </c>
      <c r="K64" s="35">
        <v>0.5</v>
      </c>
      <c r="L64" s="35" t="s">
        <v>76</v>
      </c>
      <c r="M64" s="27">
        <v>2021</v>
      </c>
      <c r="N64" s="27" t="s">
        <v>86</v>
      </c>
      <c r="O64" s="28" t="s">
        <v>38</v>
      </c>
      <c r="P64" s="27" t="s">
        <v>27</v>
      </c>
      <c r="Q64" s="28" t="s">
        <v>27</v>
      </c>
      <c r="R64" s="27">
        <v>80</v>
      </c>
      <c r="S64" s="89">
        <v>0.4</v>
      </c>
      <c r="T64" s="86">
        <v>0.1</v>
      </c>
      <c r="U64" s="27">
        <v>0</v>
      </c>
      <c r="V64" s="82" t="s">
        <v>502</v>
      </c>
    </row>
    <row r="65" spans="1:22" s="82" customFormat="1" x14ac:dyDescent="0.2">
      <c r="A65" s="27" t="s">
        <v>103</v>
      </c>
      <c r="B65" s="27" t="s">
        <v>104</v>
      </c>
      <c r="C65" s="27" t="s">
        <v>105</v>
      </c>
      <c r="D65" s="27" t="s">
        <v>532</v>
      </c>
      <c r="E65" s="27" t="s">
        <v>533</v>
      </c>
      <c r="F65" s="27" t="s">
        <v>534</v>
      </c>
      <c r="G65" s="27" t="s">
        <v>161</v>
      </c>
      <c r="H65" s="27" t="s">
        <v>28</v>
      </c>
      <c r="I65" s="27" t="s">
        <v>65</v>
      </c>
      <c r="J65" s="27" t="s">
        <v>66</v>
      </c>
      <c r="K65" s="35">
        <v>1</v>
      </c>
      <c r="L65" s="35" t="s">
        <v>162</v>
      </c>
      <c r="M65" s="27">
        <v>2021</v>
      </c>
      <c r="N65" s="27" t="s">
        <v>86</v>
      </c>
      <c r="O65" s="28" t="s">
        <v>39</v>
      </c>
      <c r="P65" s="27" t="s">
        <v>27</v>
      </c>
      <c r="Q65" s="28" t="s">
        <v>27</v>
      </c>
      <c r="R65" s="27">
        <v>40</v>
      </c>
      <c r="S65" s="89">
        <v>0.4</v>
      </c>
      <c r="T65" s="86">
        <v>0.6</v>
      </c>
      <c r="U65" s="27">
        <v>0</v>
      </c>
      <c r="V65" s="82" t="s">
        <v>502</v>
      </c>
    </row>
    <row r="66" spans="1:22" s="82" customFormat="1" x14ac:dyDescent="0.2">
      <c r="A66" s="27" t="s">
        <v>103</v>
      </c>
      <c r="B66" s="27" t="s">
        <v>104</v>
      </c>
      <c r="C66" s="27" t="s">
        <v>105</v>
      </c>
      <c r="D66" s="27" t="s">
        <v>535</v>
      </c>
      <c r="E66" s="27" t="s">
        <v>536</v>
      </c>
      <c r="F66" s="27" t="s">
        <v>537</v>
      </c>
      <c r="G66" s="27" t="s">
        <v>161</v>
      </c>
      <c r="H66" s="27" t="s">
        <v>28</v>
      </c>
      <c r="I66" s="27" t="s">
        <v>65</v>
      </c>
      <c r="J66" s="27" t="s">
        <v>66</v>
      </c>
      <c r="K66" s="35">
        <v>1</v>
      </c>
      <c r="L66" s="35" t="s">
        <v>162</v>
      </c>
      <c r="M66" s="27">
        <v>2021</v>
      </c>
      <c r="N66" s="27" t="s">
        <v>86</v>
      </c>
      <c r="O66" s="28" t="s">
        <v>39</v>
      </c>
      <c r="P66" s="27" t="s">
        <v>27</v>
      </c>
      <c r="Q66" s="28" t="s">
        <v>27</v>
      </c>
      <c r="R66" s="27">
        <v>40</v>
      </c>
      <c r="S66" s="89">
        <v>0.4</v>
      </c>
      <c r="T66" s="86">
        <v>0.6</v>
      </c>
      <c r="U66" s="27">
        <v>0</v>
      </c>
      <c r="V66" s="82" t="s">
        <v>502</v>
      </c>
    </row>
    <row r="67" spans="1:22" s="82" customFormat="1" x14ac:dyDescent="0.2">
      <c r="A67" s="27" t="s">
        <v>103</v>
      </c>
      <c r="B67" s="27" t="s">
        <v>104</v>
      </c>
      <c r="C67" s="27" t="s">
        <v>105</v>
      </c>
      <c r="D67" s="27" t="s">
        <v>538</v>
      </c>
      <c r="E67" s="27" t="s">
        <v>539</v>
      </c>
      <c r="F67" s="27" t="s">
        <v>540</v>
      </c>
      <c r="G67" s="27" t="s">
        <v>137</v>
      </c>
      <c r="H67" s="27" t="s">
        <v>28</v>
      </c>
      <c r="I67" s="27" t="s">
        <v>138</v>
      </c>
      <c r="J67" s="27" t="s">
        <v>139</v>
      </c>
      <c r="K67" s="35">
        <v>1</v>
      </c>
      <c r="L67" s="35" t="s">
        <v>140</v>
      </c>
      <c r="M67" s="27">
        <v>2021</v>
      </c>
      <c r="N67" s="27" t="s">
        <v>86</v>
      </c>
      <c r="O67" s="28" t="s">
        <v>64</v>
      </c>
      <c r="P67" s="27" t="s">
        <v>27</v>
      </c>
      <c r="Q67" s="28" t="s">
        <v>27</v>
      </c>
      <c r="R67" s="27">
        <v>70</v>
      </c>
      <c r="S67" s="89">
        <v>0.7</v>
      </c>
      <c r="T67" s="86">
        <v>0.3</v>
      </c>
      <c r="U67" s="27">
        <v>0</v>
      </c>
      <c r="V67" s="82" t="s">
        <v>502</v>
      </c>
    </row>
    <row r="68" spans="1:22" s="82" customFormat="1" x14ac:dyDescent="0.2">
      <c r="A68" s="27" t="s">
        <v>70</v>
      </c>
      <c r="B68" s="27" t="s">
        <v>71</v>
      </c>
      <c r="C68" s="27" t="s">
        <v>72</v>
      </c>
      <c r="D68" s="27" t="s">
        <v>107</v>
      </c>
      <c r="E68" s="27" t="s">
        <v>108</v>
      </c>
      <c r="F68" s="27" t="s">
        <v>109</v>
      </c>
      <c r="G68" s="27" t="s">
        <v>106</v>
      </c>
      <c r="H68" s="27" t="s">
        <v>28</v>
      </c>
      <c r="I68" s="27" t="s">
        <v>89</v>
      </c>
      <c r="J68" s="27" t="s">
        <v>90</v>
      </c>
      <c r="K68" s="83">
        <v>1</v>
      </c>
      <c r="L68" s="27" t="s">
        <v>91</v>
      </c>
      <c r="M68" s="27">
        <v>2018</v>
      </c>
      <c r="N68" s="27" t="s">
        <v>92</v>
      </c>
      <c r="O68" s="28" t="s">
        <v>43</v>
      </c>
      <c r="P68" s="27" t="s">
        <v>86</v>
      </c>
      <c r="Q68" s="28" t="s">
        <v>43</v>
      </c>
      <c r="R68" s="29">
        <v>80</v>
      </c>
      <c r="S68" s="30">
        <v>0.8</v>
      </c>
      <c r="T68" s="30">
        <v>0.1</v>
      </c>
      <c r="U68" s="84">
        <v>0.1</v>
      </c>
    </row>
    <row r="69" spans="1:22" s="82" customFormat="1" x14ac:dyDescent="0.2">
      <c r="A69" s="27" t="s">
        <v>70</v>
      </c>
      <c r="B69" s="27" t="s">
        <v>71</v>
      </c>
      <c r="C69" s="27" t="s">
        <v>72</v>
      </c>
      <c r="D69" s="27" t="s">
        <v>110</v>
      </c>
      <c r="E69" s="27" t="s">
        <v>111</v>
      </c>
      <c r="F69" s="27" t="s">
        <v>112</v>
      </c>
      <c r="G69" s="27" t="s">
        <v>106</v>
      </c>
      <c r="H69" s="27" t="s">
        <v>28</v>
      </c>
      <c r="I69" s="27" t="s">
        <v>89</v>
      </c>
      <c r="J69" s="27" t="s">
        <v>90</v>
      </c>
      <c r="K69" s="83">
        <v>1</v>
      </c>
      <c r="L69" s="27" t="s">
        <v>91</v>
      </c>
      <c r="M69" s="27">
        <v>2018</v>
      </c>
      <c r="N69" s="27" t="s">
        <v>92</v>
      </c>
      <c r="O69" s="28" t="s">
        <v>43</v>
      </c>
      <c r="P69" s="27" t="s">
        <v>86</v>
      </c>
      <c r="Q69" s="28" t="s">
        <v>43</v>
      </c>
      <c r="R69" s="29">
        <v>80</v>
      </c>
      <c r="S69" s="30">
        <v>0.8</v>
      </c>
      <c r="T69" s="30">
        <v>0.1</v>
      </c>
      <c r="U69" s="84">
        <v>0.1</v>
      </c>
    </row>
    <row r="70" spans="1:22" s="82" customFormat="1" x14ac:dyDescent="0.2">
      <c r="A70" s="27" t="s">
        <v>70</v>
      </c>
      <c r="B70" s="27" t="s">
        <v>71</v>
      </c>
      <c r="C70" s="27" t="s">
        <v>72</v>
      </c>
      <c r="D70" s="27" t="s">
        <v>123</v>
      </c>
      <c r="E70" s="27" t="s">
        <v>124</v>
      </c>
      <c r="F70" s="27" t="s">
        <v>57</v>
      </c>
      <c r="G70" s="27" t="s">
        <v>122</v>
      </c>
      <c r="H70" s="27" t="s">
        <v>28</v>
      </c>
      <c r="I70" s="27" t="s">
        <v>94</v>
      </c>
      <c r="J70" s="27" t="s">
        <v>95</v>
      </c>
      <c r="K70" s="83">
        <v>1</v>
      </c>
      <c r="L70" s="27" t="s">
        <v>96</v>
      </c>
      <c r="M70" s="27">
        <v>2018</v>
      </c>
      <c r="N70" s="27" t="s">
        <v>81</v>
      </c>
      <c r="O70" s="28" t="s">
        <v>43</v>
      </c>
      <c r="P70" s="27" t="s">
        <v>86</v>
      </c>
      <c r="Q70" s="28" t="s">
        <v>38</v>
      </c>
      <c r="R70" s="29">
        <v>70</v>
      </c>
      <c r="S70" s="30">
        <v>0.7</v>
      </c>
      <c r="T70" s="30">
        <v>0.1</v>
      </c>
      <c r="U70" s="84">
        <v>0.2</v>
      </c>
    </row>
    <row r="71" spans="1:22" s="82" customFormat="1" x14ac:dyDescent="0.2">
      <c r="A71" s="31" t="s">
        <v>70</v>
      </c>
      <c r="B71" s="31" t="s">
        <v>71</v>
      </c>
      <c r="C71" s="31" t="s">
        <v>72</v>
      </c>
      <c r="D71" s="31" t="s">
        <v>363</v>
      </c>
      <c r="E71" s="31" t="s">
        <v>364</v>
      </c>
      <c r="F71" s="31" t="s">
        <v>365</v>
      </c>
      <c r="G71" s="31" t="s">
        <v>362</v>
      </c>
      <c r="H71" s="31" t="s">
        <v>28</v>
      </c>
      <c r="I71" s="31" t="s">
        <v>89</v>
      </c>
      <c r="J71" s="31" t="s">
        <v>90</v>
      </c>
      <c r="K71" s="81">
        <v>1</v>
      </c>
      <c r="L71" s="31" t="s">
        <v>91</v>
      </c>
      <c r="M71" s="31">
        <v>2019</v>
      </c>
      <c r="N71" s="31" t="s">
        <v>92</v>
      </c>
      <c r="O71" s="32" t="s">
        <v>43</v>
      </c>
      <c r="P71" s="31" t="s">
        <v>86</v>
      </c>
      <c r="Q71" s="32" t="s">
        <v>38</v>
      </c>
      <c r="R71" s="33">
        <v>70</v>
      </c>
      <c r="S71" s="34">
        <v>0.7</v>
      </c>
      <c r="T71" s="34">
        <v>0.1</v>
      </c>
      <c r="U71" s="85">
        <v>0.2</v>
      </c>
      <c r="V71" s="82" t="s">
        <v>502</v>
      </c>
    </row>
    <row r="72" spans="1:22" s="82" customFormat="1" x14ac:dyDescent="0.2">
      <c r="A72" s="31" t="s">
        <v>70</v>
      </c>
      <c r="B72" s="31" t="s">
        <v>71</v>
      </c>
      <c r="C72" s="31" t="s">
        <v>72</v>
      </c>
      <c r="D72" s="31" t="s">
        <v>359</v>
      </c>
      <c r="E72" s="31" t="s">
        <v>360</v>
      </c>
      <c r="F72" s="31" t="s">
        <v>361</v>
      </c>
      <c r="G72" s="31" t="s">
        <v>362</v>
      </c>
      <c r="H72" s="31" t="s">
        <v>26</v>
      </c>
      <c r="I72" s="31" t="s">
        <v>89</v>
      </c>
      <c r="J72" s="31" t="s">
        <v>90</v>
      </c>
      <c r="K72" s="81">
        <v>0.5</v>
      </c>
      <c r="L72" s="31" t="s">
        <v>91</v>
      </c>
      <c r="M72" s="31">
        <v>2019</v>
      </c>
      <c r="N72" s="31" t="s">
        <v>92</v>
      </c>
      <c r="O72" s="32" t="s">
        <v>43</v>
      </c>
      <c r="P72" s="31" t="s">
        <v>86</v>
      </c>
      <c r="Q72" s="32" t="s">
        <v>38</v>
      </c>
      <c r="R72" s="33">
        <v>70</v>
      </c>
      <c r="S72" s="34">
        <v>0.35</v>
      </c>
      <c r="T72" s="34">
        <v>0.05</v>
      </c>
      <c r="U72" s="85">
        <v>0.1</v>
      </c>
      <c r="V72" s="82" t="s">
        <v>502</v>
      </c>
    </row>
    <row r="73" spans="1:22" s="82" customFormat="1" x14ac:dyDescent="0.2">
      <c r="A73" s="31" t="s">
        <v>70</v>
      </c>
      <c r="B73" s="31" t="s">
        <v>71</v>
      </c>
      <c r="C73" s="31" t="s">
        <v>72</v>
      </c>
      <c r="D73" s="31" t="s">
        <v>359</v>
      </c>
      <c r="E73" s="31" t="s">
        <v>360</v>
      </c>
      <c r="F73" s="31" t="s">
        <v>361</v>
      </c>
      <c r="G73" s="31" t="s">
        <v>366</v>
      </c>
      <c r="H73" s="31" t="s">
        <v>26</v>
      </c>
      <c r="I73" s="31" t="s">
        <v>89</v>
      </c>
      <c r="J73" s="31" t="s">
        <v>90</v>
      </c>
      <c r="K73" s="81">
        <v>0.5</v>
      </c>
      <c r="L73" s="31" t="s">
        <v>91</v>
      </c>
      <c r="M73" s="31">
        <v>2019</v>
      </c>
      <c r="N73" s="31" t="s">
        <v>114</v>
      </c>
      <c r="O73" s="32" t="s">
        <v>43</v>
      </c>
      <c r="P73" s="31" t="s">
        <v>86</v>
      </c>
      <c r="Q73" s="32" t="s">
        <v>38</v>
      </c>
      <c r="R73" s="33">
        <v>70</v>
      </c>
      <c r="S73" s="34">
        <v>0.35</v>
      </c>
      <c r="T73" s="34">
        <v>0.05</v>
      </c>
      <c r="U73" s="85">
        <v>0.1</v>
      </c>
      <c r="V73" s="82" t="s">
        <v>502</v>
      </c>
    </row>
    <row r="74" spans="1:22" s="82" customFormat="1" x14ac:dyDescent="0.2">
      <c r="A74" s="27" t="s">
        <v>116</v>
      </c>
      <c r="B74" s="27" t="s">
        <v>117</v>
      </c>
      <c r="C74" s="27" t="s">
        <v>409</v>
      </c>
      <c r="D74" s="27" t="s">
        <v>457</v>
      </c>
      <c r="E74" s="27" t="s">
        <v>458</v>
      </c>
      <c r="F74" s="27" t="s">
        <v>459</v>
      </c>
      <c r="G74" s="27" t="s">
        <v>541</v>
      </c>
      <c r="H74" s="27" t="s">
        <v>26</v>
      </c>
      <c r="I74" s="27" t="s">
        <v>32</v>
      </c>
      <c r="J74" s="27" t="s">
        <v>33</v>
      </c>
      <c r="K74" s="35">
        <v>0.5</v>
      </c>
      <c r="L74" s="35" t="s">
        <v>118</v>
      </c>
      <c r="M74" s="36">
        <v>2019</v>
      </c>
      <c r="N74" s="27" t="s">
        <v>114</v>
      </c>
      <c r="O74" s="28" t="s">
        <v>64</v>
      </c>
      <c r="P74" s="27" t="s">
        <v>86</v>
      </c>
      <c r="Q74" s="28" t="s">
        <v>38</v>
      </c>
      <c r="R74" s="27">
        <v>50</v>
      </c>
      <c r="S74" s="27">
        <v>0.25</v>
      </c>
      <c r="T74" s="27">
        <v>0.15</v>
      </c>
      <c r="U74" s="86">
        <v>0.1</v>
      </c>
      <c r="V74" s="82" t="s">
        <v>502</v>
      </c>
    </row>
    <row r="75" spans="1:22" s="82" customFormat="1" x14ac:dyDescent="0.2">
      <c r="A75" s="27" t="s">
        <v>116</v>
      </c>
      <c r="B75" s="27" t="s">
        <v>117</v>
      </c>
      <c r="C75" s="27" t="s">
        <v>409</v>
      </c>
      <c r="D75" s="27" t="s">
        <v>457</v>
      </c>
      <c r="E75" s="27" t="s">
        <v>458</v>
      </c>
      <c r="F75" s="27" t="s">
        <v>459</v>
      </c>
      <c r="G75" s="27" t="s">
        <v>460</v>
      </c>
      <c r="H75" s="27" t="s">
        <v>26</v>
      </c>
      <c r="I75" s="27" t="s">
        <v>32</v>
      </c>
      <c r="J75" s="27" t="s">
        <v>33</v>
      </c>
      <c r="K75" s="35">
        <v>0.5</v>
      </c>
      <c r="L75" s="35" t="s">
        <v>118</v>
      </c>
      <c r="M75" s="36">
        <v>2019</v>
      </c>
      <c r="N75" s="27" t="s">
        <v>114</v>
      </c>
      <c r="O75" s="28" t="s">
        <v>64</v>
      </c>
      <c r="P75" s="27" t="s">
        <v>86</v>
      </c>
      <c r="Q75" s="28" t="s">
        <v>38</v>
      </c>
      <c r="R75" s="27">
        <v>50</v>
      </c>
      <c r="S75" s="27">
        <v>0.25</v>
      </c>
      <c r="T75" s="27">
        <v>0.15</v>
      </c>
      <c r="U75" s="86">
        <v>0.1</v>
      </c>
      <c r="V75" s="82" t="s">
        <v>502</v>
      </c>
    </row>
    <row r="76" spans="1:22" s="82" customFormat="1" ht="10.8" thickBot="1" x14ac:dyDescent="0.25">
      <c r="A76" s="27" t="s">
        <v>70</v>
      </c>
      <c r="B76" s="27" t="s">
        <v>71</v>
      </c>
      <c r="C76" s="27" t="s">
        <v>72</v>
      </c>
      <c r="D76" s="27" t="s">
        <v>396</v>
      </c>
      <c r="E76" s="27" t="s">
        <v>397</v>
      </c>
      <c r="F76" s="27" t="s">
        <v>398</v>
      </c>
      <c r="G76" s="27" t="s">
        <v>122</v>
      </c>
      <c r="H76" s="27" t="s">
        <v>26</v>
      </c>
      <c r="I76" s="27" t="s">
        <v>94</v>
      </c>
      <c r="J76" s="27" t="s">
        <v>95</v>
      </c>
      <c r="K76" s="35">
        <v>0.5</v>
      </c>
      <c r="L76" s="35" t="s">
        <v>96</v>
      </c>
      <c r="M76" s="36">
        <v>2019</v>
      </c>
      <c r="N76" s="27" t="s">
        <v>81</v>
      </c>
      <c r="O76" s="28" t="s">
        <v>43</v>
      </c>
      <c r="P76" s="27" t="s">
        <v>86</v>
      </c>
      <c r="Q76" s="28" t="s">
        <v>38</v>
      </c>
      <c r="R76" s="27">
        <v>70</v>
      </c>
      <c r="S76" s="27">
        <v>0.35</v>
      </c>
      <c r="T76" s="27">
        <v>0.05</v>
      </c>
      <c r="U76" s="86">
        <v>0.1</v>
      </c>
      <c r="V76" s="82" t="s">
        <v>502</v>
      </c>
    </row>
    <row r="77" spans="1:22" s="82" customFormat="1" ht="10.8" thickBot="1" x14ac:dyDescent="0.25">
      <c r="A77" s="37" t="s">
        <v>32</v>
      </c>
      <c r="B77" s="37" t="s">
        <v>33</v>
      </c>
      <c r="C77" s="37" t="s">
        <v>409</v>
      </c>
      <c r="D77" s="37" t="s">
        <v>542</v>
      </c>
      <c r="E77" s="37" t="s">
        <v>543</v>
      </c>
      <c r="F77" s="37" t="s">
        <v>544</v>
      </c>
      <c r="G77" s="38" t="s">
        <v>541</v>
      </c>
      <c r="H77" s="39" t="s">
        <v>28</v>
      </c>
      <c r="I77" s="39" t="s">
        <v>32</v>
      </c>
      <c r="J77" s="40" t="s">
        <v>33</v>
      </c>
      <c r="K77" s="35">
        <v>1</v>
      </c>
      <c r="L77" s="35" t="s">
        <v>118</v>
      </c>
      <c r="M77" s="27">
        <v>2020</v>
      </c>
      <c r="N77" s="27" t="s">
        <v>114</v>
      </c>
      <c r="O77" s="28" t="s">
        <v>64</v>
      </c>
      <c r="P77" s="27" t="s">
        <v>86</v>
      </c>
      <c r="Q77" s="28" t="s">
        <v>38</v>
      </c>
      <c r="R77" s="27">
        <v>50</v>
      </c>
      <c r="S77" s="27">
        <v>0.5</v>
      </c>
      <c r="T77" s="27">
        <v>0.3</v>
      </c>
      <c r="U77" s="86">
        <v>0.2</v>
      </c>
      <c r="V77" s="82" t="s">
        <v>502</v>
      </c>
    </row>
    <row r="78" spans="1:22" s="82" customFormat="1" ht="10.8" thickBot="1" x14ac:dyDescent="0.25">
      <c r="A78" s="37" t="s">
        <v>116</v>
      </c>
      <c r="B78" s="37" t="s">
        <v>117</v>
      </c>
      <c r="C78" s="37" t="s">
        <v>409</v>
      </c>
      <c r="D78" s="37" t="s">
        <v>545</v>
      </c>
      <c r="E78" s="37" t="s">
        <v>546</v>
      </c>
      <c r="F78" s="37" t="s">
        <v>547</v>
      </c>
      <c r="G78" s="38" t="s">
        <v>541</v>
      </c>
      <c r="H78" s="39" t="s">
        <v>28</v>
      </c>
      <c r="I78" s="39" t="s">
        <v>32</v>
      </c>
      <c r="J78" s="40" t="s">
        <v>33</v>
      </c>
      <c r="K78" s="35">
        <v>1</v>
      </c>
      <c r="L78" s="35" t="s">
        <v>118</v>
      </c>
      <c r="M78" s="27">
        <v>2020</v>
      </c>
      <c r="N78" s="27" t="s">
        <v>114</v>
      </c>
      <c r="O78" s="28" t="s">
        <v>64</v>
      </c>
      <c r="P78" s="27" t="s">
        <v>86</v>
      </c>
      <c r="Q78" s="28" t="s">
        <v>38</v>
      </c>
      <c r="R78" s="27">
        <v>50</v>
      </c>
      <c r="S78" s="27">
        <v>0.5</v>
      </c>
      <c r="T78" s="27">
        <v>0.3</v>
      </c>
      <c r="U78" s="86">
        <v>0.2</v>
      </c>
      <c r="V78" s="82" t="s">
        <v>502</v>
      </c>
    </row>
    <row r="79" spans="1:22" s="82" customFormat="1" ht="10.8" thickBot="1" x14ac:dyDescent="0.25">
      <c r="A79" s="37" t="s">
        <v>61</v>
      </c>
      <c r="B79" s="37" t="s">
        <v>62</v>
      </c>
      <c r="C79" s="37" t="s">
        <v>63</v>
      </c>
      <c r="D79" s="37" t="s">
        <v>461</v>
      </c>
      <c r="E79" s="37" t="s">
        <v>548</v>
      </c>
      <c r="F79" s="37" t="s">
        <v>462</v>
      </c>
      <c r="G79" s="38" t="s">
        <v>174</v>
      </c>
      <c r="H79" s="39" t="s">
        <v>26</v>
      </c>
      <c r="I79" s="39" t="s">
        <v>77</v>
      </c>
      <c r="J79" s="40" t="s">
        <v>78</v>
      </c>
      <c r="K79" s="35">
        <v>0.5</v>
      </c>
      <c r="L79" s="35" t="s">
        <v>79</v>
      </c>
      <c r="M79" s="27">
        <v>2020</v>
      </c>
      <c r="N79" s="27" t="s">
        <v>55</v>
      </c>
      <c r="O79" s="28" t="s">
        <v>38</v>
      </c>
      <c r="P79" s="27" t="s">
        <v>86</v>
      </c>
      <c r="Q79" s="28" t="s">
        <v>38</v>
      </c>
      <c r="R79" s="27">
        <v>60</v>
      </c>
      <c r="S79" s="27">
        <v>0.3</v>
      </c>
      <c r="T79" s="27">
        <v>0.1</v>
      </c>
      <c r="U79" s="86">
        <v>0.1</v>
      </c>
      <c r="V79" s="82" t="s">
        <v>502</v>
      </c>
    </row>
    <row r="80" spans="1:22" s="82" customFormat="1" x14ac:dyDescent="0.2">
      <c r="A80" s="27" t="s">
        <v>103</v>
      </c>
      <c r="B80" s="27" t="s">
        <v>104</v>
      </c>
      <c r="C80" s="27" t="s">
        <v>105</v>
      </c>
      <c r="D80" s="27" t="s">
        <v>549</v>
      </c>
      <c r="E80" s="27" t="s">
        <v>550</v>
      </c>
      <c r="F80" s="27" t="s">
        <v>551</v>
      </c>
      <c r="G80" s="27" t="s">
        <v>202</v>
      </c>
      <c r="H80" s="27" t="s">
        <v>28</v>
      </c>
      <c r="I80" s="27" t="s">
        <v>94</v>
      </c>
      <c r="J80" s="27" t="s">
        <v>95</v>
      </c>
      <c r="K80" s="35">
        <v>1</v>
      </c>
      <c r="L80" s="35" t="s">
        <v>96</v>
      </c>
      <c r="M80" s="27">
        <v>2021</v>
      </c>
      <c r="N80" s="27" t="s">
        <v>92</v>
      </c>
      <c r="O80" s="28" t="s">
        <v>43</v>
      </c>
      <c r="P80" s="27" t="s">
        <v>86</v>
      </c>
      <c r="Q80" s="28" t="s">
        <v>38</v>
      </c>
      <c r="R80" s="27">
        <v>70</v>
      </c>
      <c r="S80" s="27">
        <v>0.7</v>
      </c>
      <c r="T80" s="27">
        <v>0.1</v>
      </c>
      <c r="U80" s="86">
        <v>0.2</v>
      </c>
      <c r="V80" s="82" t="s">
        <v>502</v>
      </c>
    </row>
    <row r="81" spans="1:21" x14ac:dyDescent="0.2">
      <c r="A81" s="99"/>
      <c r="B81" s="99"/>
      <c r="C81" s="99"/>
      <c r="D81" s="99"/>
      <c r="E81" s="99"/>
      <c r="F81" s="99"/>
      <c r="G81" s="99"/>
      <c r="H81" s="99"/>
      <c r="I81" s="99"/>
      <c r="J81" s="99"/>
      <c r="K81" s="99"/>
      <c r="L81" s="99"/>
      <c r="M81" s="100"/>
      <c r="N81" s="99"/>
      <c r="O81" s="100"/>
      <c r="P81" s="99"/>
      <c r="Q81" s="100"/>
      <c r="R81" s="99"/>
      <c r="S81" s="101">
        <f>SUM(U68:U80,T6:T67,S2:S5)</f>
        <v>20.8</v>
      </c>
      <c r="T81" s="102"/>
      <c r="U81" s="102"/>
    </row>
  </sheetData>
  <autoFilter ref="A1:U1" xr:uid="{00000000-0009-0000-0000-000000000000}"/>
  <mergeCells count="1">
    <mergeCell ref="S81:U81"/>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69"/>
  <sheetViews>
    <sheetView topLeftCell="A46" zoomScaleNormal="100" workbookViewId="0">
      <selection activeCell="Q69" sqref="Q69:R69"/>
    </sheetView>
  </sheetViews>
  <sheetFormatPr baseColWidth="10" defaultColWidth="11.44140625" defaultRowHeight="13.2" x14ac:dyDescent="0.25"/>
  <cols>
    <col min="1" max="1" width="10.88671875" style="18" bestFit="1" customWidth="1"/>
    <col min="2" max="2" width="56.5546875" style="18" bestFit="1" customWidth="1"/>
    <col min="3" max="3" width="17" style="18" bestFit="1" customWidth="1"/>
    <col min="4" max="9" width="3.33203125" style="18" bestFit="1" customWidth="1"/>
    <col min="10" max="10" width="13.109375" style="18" bestFit="1" customWidth="1"/>
    <col min="11" max="11" width="5.33203125" style="18" bestFit="1" customWidth="1"/>
    <col min="12" max="12" width="5.6640625" style="18" bestFit="1" customWidth="1"/>
    <col min="13"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5.099999999999994" customHeight="1" x14ac:dyDescent="0.25">
      <c r="A1" s="20" t="s">
        <v>207</v>
      </c>
      <c r="B1" s="20" t="s">
        <v>208</v>
      </c>
      <c r="C1" s="20" t="s">
        <v>209</v>
      </c>
      <c r="D1" s="21">
        <v>2017</v>
      </c>
      <c r="E1" s="21">
        <v>2018</v>
      </c>
      <c r="F1" s="21">
        <v>2019</v>
      </c>
      <c r="G1" s="21">
        <v>2020</v>
      </c>
      <c r="H1" s="21">
        <v>2021</v>
      </c>
      <c r="I1" s="21">
        <v>2022</v>
      </c>
      <c r="J1" s="20" t="s">
        <v>210</v>
      </c>
      <c r="K1" s="22" t="s">
        <v>380</v>
      </c>
      <c r="L1" s="15" t="s">
        <v>211</v>
      </c>
      <c r="M1" s="15" t="s">
        <v>212</v>
      </c>
      <c r="N1" s="15" t="s">
        <v>213</v>
      </c>
      <c r="O1" s="15" t="s">
        <v>214</v>
      </c>
      <c r="P1" s="16" t="s">
        <v>215</v>
      </c>
      <c r="Q1" s="16" t="s">
        <v>216</v>
      </c>
      <c r="R1" s="16" t="s">
        <v>217</v>
      </c>
      <c r="S1" s="16" t="s">
        <v>218</v>
      </c>
    </row>
    <row r="2" spans="1:19" ht="14.4" x14ac:dyDescent="0.3">
      <c r="A2" s="23" t="s">
        <v>272</v>
      </c>
      <c r="B2" s="23" t="s">
        <v>273</v>
      </c>
      <c r="C2" s="23" t="s">
        <v>219</v>
      </c>
      <c r="D2" s="23"/>
      <c r="E2" s="23"/>
      <c r="F2" s="23">
        <v>1</v>
      </c>
      <c r="G2" s="23">
        <v>1</v>
      </c>
      <c r="H2" s="23"/>
      <c r="I2" s="23"/>
      <c r="J2" s="23">
        <v>2</v>
      </c>
      <c r="K2" s="23" t="s">
        <v>118</v>
      </c>
      <c r="L2" s="25" t="s">
        <v>86</v>
      </c>
      <c r="M2" s="25" t="s">
        <v>38</v>
      </c>
      <c r="N2" s="25" t="s">
        <v>27</v>
      </c>
      <c r="O2" s="25" t="s">
        <v>27</v>
      </c>
      <c r="P2" s="25">
        <v>80</v>
      </c>
      <c r="Q2" s="90">
        <v>0.4</v>
      </c>
      <c r="R2" s="25">
        <v>0</v>
      </c>
      <c r="S2" s="25">
        <v>1.6</v>
      </c>
    </row>
    <row r="3" spans="1:19" ht="14.4" x14ac:dyDescent="0.3">
      <c r="A3" s="23" t="s">
        <v>264</v>
      </c>
      <c r="B3" s="23" t="s">
        <v>265</v>
      </c>
      <c r="C3" s="23" t="s">
        <v>219</v>
      </c>
      <c r="D3" s="23"/>
      <c r="E3" s="23">
        <v>2</v>
      </c>
      <c r="F3" s="23">
        <v>1</v>
      </c>
      <c r="G3" s="23"/>
      <c r="H3" s="23"/>
      <c r="I3" s="23"/>
      <c r="J3" s="23">
        <v>3</v>
      </c>
      <c r="K3" s="23" t="s">
        <v>54</v>
      </c>
      <c r="L3" s="25" t="s">
        <v>86</v>
      </c>
      <c r="M3" s="25" t="s">
        <v>35</v>
      </c>
      <c r="N3" s="25" t="s">
        <v>27</v>
      </c>
      <c r="O3" s="25" t="s">
        <v>27</v>
      </c>
      <c r="P3" s="25">
        <v>50</v>
      </c>
      <c r="Q3" s="90">
        <v>1.5</v>
      </c>
      <c r="R3" s="25">
        <v>0</v>
      </c>
      <c r="S3" s="25">
        <v>1.5</v>
      </c>
    </row>
    <row r="4" spans="1:19" ht="14.4" x14ac:dyDescent="0.3">
      <c r="A4" s="23" t="s">
        <v>381</v>
      </c>
      <c r="B4" s="23" t="s">
        <v>382</v>
      </c>
      <c r="C4" s="23" t="s">
        <v>219</v>
      </c>
      <c r="D4" s="23"/>
      <c r="E4" s="23"/>
      <c r="F4" s="23"/>
      <c r="G4" s="23"/>
      <c r="H4" s="23">
        <v>1</v>
      </c>
      <c r="I4" s="23"/>
      <c r="J4" s="23">
        <v>1</v>
      </c>
      <c r="K4" s="23" t="s">
        <v>177</v>
      </c>
      <c r="L4" s="25" t="s">
        <v>86</v>
      </c>
      <c r="M4" s="25" t="s">
        <v>35</v>
      </c>
      <c r="N4" s="25" t="s">
        <v>27</v>
      </c>
      <c r="O4" s="25" t="s">
        <v>27</v>
      </c>
      <c r="P4" s="25">
        <v>50</v>
      </c>
      <c r="Q4" s="90">
        <v>0.5</v>
      </c>
      <c r="R4" s="25">
        <v>0</v>
      </c>
      <c r="S4" s="25">
        <v>0.5</v>
      </c>
    </row>
    <row r="5" spans="1:19" ht="14.4" x14ac:dyDescent="0.3">
      <c r="A5" s="23" t="s">
        <v>262</v>
      </c>
      <c r="B5" s="23" t="s">
        <v>263</v>
      </c>
      <c r="C5" s="23" t="s">
        <v>219</v>
      </c>
      <c r="D5" s="23"/>
      <c r="E5" s="23"/>
      <c r="F5" s="23">
        <v>1</v>
      </c>
      <c r="G5" s="23"/>
      <c r="H5" s="23"/>
      <c r="I5" s="23"/>
      <c r="J5" s="23">
        <v>1</v>
      </c>
      <c r="K5" s="23" t="s">
        <v>69</v>
      </c>
      <c r="L5" s="25" t="s">
        <v>86</v>
      </c>
      <c r="M5" s="25" t="s">
        <v>38</v>
      </c>
      <c r="N5" s="25" t="s">
        <v>27</v>
      </c>
      <c r="O5" s="25" t="s">
        <v>27</v>
      </c>
      <c r="P5" s="25">
        <v>80</v>
      </c>
      <c r="Q5" s="90">
        <v>0.2</v>
      </c>
      <c r="R5" s="25">
        <v>0</v>
      </c>
      <c r="S5" s="25">
        <v>0.8</v>
      </c>
    </row>
    <row r="6" spans="1:19" ht="14.4" x14ac:dyDescent="0.3">
      <c r="A6" s="23" t="s">
        <v>373</v>
      </c>
      <c r="B6" s="23" t="s">
        <v>374</v>
      </c>
      <c r="C6" s="23" t="s">
        <v>219</v>
      </c>
      <c r="D6" s="23"/>
      <c r="E6" s="23"/>
      <c r="F6" s="23">
        <v>1</v>
      </c>
      <c r="G6" s="23"/>
      <c r="H6" s="23"/>
      <c r="I6" s="23"/>
      <c r="J6" s="23">
        <v>1</v>
      </c>
      <c r="K6" s="23" t="s">
        <v>375</v>
      </c>
      <c r="L6" s="25" t="s">
        <v>86</v>
      </c>
      <c r="M6" s="25" t="s">
        <v>43</v>
      </c>
      <c r="N6" s="25" t="s">
        <v>114</v>
      </c>
      <c r="O6" s="25" t="s">
        <v>38</v>
      </c>
      <c r="P6" s="25">
        <v>70</v>
      </c>
      <c r="Q6" s="90">
        <v>0.1</v>
      </c>
      <c r="R6" s="25">
        <v>0.2</v>
      </c>
      <c r="S6" s="25">
        <v>0.7</v>
      </c>
    </row>
    <row r="7" spans="1:19" ht="14.4" x14ac:dyDescent="0.3">
      <c r="A7" s="23" t="s">
        <v>274</v>
      </c>
      <c r="B7" s="23" t="s">
        <v>275</v>
      </c>
      <c r="C7" s="23" t="s">
        <v>219</v>
      </c>
      <c r="D7" s="23"/>
      <c r="E7" s="23">
        <v>2</v>
      </c>
      <c r="F7" s="23"/>
      <c r="G7" s="23"/>
      <c r="H7" s="23"/>
      <c r="I7" s="23"/>
      <c r="J7" s="23">
        <v>2</v>
      </c>
      <c r="K7" s="23" t="s">
        <v>162</v>
      </c>
      <c r="L7" s="25" t="s">
        <v>86</v>
      </c>
      <c r="M7" s="25" t="s">
        <v>38</v>
      </c>
      <c r="N7" s="25" t="s">
        <v>27</v>
      </c>
      <c r="O7" s="25" t="s">
        <v>27</v>
      </c>
      <c r="P7" s="25">
        <v>80</v>
      </c>
      <c r="Q7" s="90">
        <v>0.4</v>
      </c>
      <c r="R7" s="25">
        <v>0</v>
      </c>
      <c r="S7" s="25">
        <v>1.6</v>
      </c>
    </row>
    <row r="8" spans="1:19" ht="14.4" x14ac:dyDescent="0.3">
      <c r="A8" s="23" t="s">
        <v>243</v>
      </c>
      <c r="B8" s="23" t="s">
        <v>244</v>
      </c>
      <c r="C8" s="23" t="s">
        <v>219</v>
      </c>
      <c r="D8" s="23">
        <v>1</v>
      </c>
      <c r="E8" s="23"/>
      <c r="F8" s="23"/>
      <c r="G8" s="23"/>
      <c r="H8" s="23"/>
      <c r="I8" s="23"/>
      <c r="J8" s="23">
        <v>1</v>
      </c>
      <c r="K8" s="23" t="s">
        <v>101</v>
      </c>
      <c r="L8" s="25" t="s">
        <v>86</v>
      </c>
      <c r="M8" s="25" t="s">
        <v>38</v>
      </c>
      <c r="N8" s="25" t="s">
        <v>27</v>
      </c>
      <c r="O8" s="25" t="s">
        <v>27</v>
      </c>
      <c r="P8" s="25">
        <v>80</v>
      </c>
      <c r="Q8" s="90">
        <v>0.2</v>
      </c>
      <c r="R8" s="25">
        <v>0</v>
      </c>
      <c r="S8" s="25">
        <v>0.8</v>
      </c>
    </row>
    <row r="9" spans="1:19" ht="14.4" x14ac:dyDescent="0.3">
      <c r="A9" s="23" t="s">
        <v>254</v>
      </c>
      <c r="B9" s="23" t="s">
        <v>255</v>
      </c>
      <c r="C9" s="23" t="s">
        <v>219</v>
      </c>
      <c r="D9" s="23"/>
      <c r="E9" s="23"/>
      <c r="F9" s="23">
        <v>1</v>
      </c>
      <c r="G9" s="23"/>
      <c r="H9" s="23"/>
      <c r="I9" s="23">
        <v>1</v>
      </c>
      <c r="J9" s="23">
        <v>2</v>
      </c>
      <c r="K9" s="23" t="s">
        <v>91</v>
      </c>
      <c r="L9" s="25" t="s">
        <v>86</v>
      </c>
      <c r="M9" s="25" t="s">
        <v>40</v>
      </c>
      <c r="N9" s="25" t="s">
        <v>27</v>
      </c>
      <c r="O9" s="25" t="s">
        <v>27</v>
      </c>
      <c r="P9" s="25">
        <v>10</v>
      </c>
      <c r="Q9" s="90">
        <v>1.8</v>
      </c>
      <c r="R9" s="25">
        <v>0</v>
      </c>
      <c r="S9" s="25">
        <v>0.2</v>
      </c>
    </row>
    <row r="10" spans="1:19" ht="14.4" x14ac:dyDescent="0.3">
      <c r="A10" s="23" t="s">
        <v>268</v>
      </c>
      <c r="B10" s="23" t="s">
        <v>269</v>
      </c>
      <c r="C10" s="23" t="s">
        <v>219</v>
      </c>
      <c r="D10" s="23"/>
      <c r="E10" s="23"/>
      <c r="F10" s="23">
        <v>1</v>
      </c>
      <c r="G10" s="23"/>
      <c r="H10" s="23"/>
      <c r="I10" s="23"/>
      <c r="J10" s="23">
        <v>1</v>
      </c>
      <c r="K10" s="23" t="s">
        <v>101</v>
      </c>
      <c r="L10" s="25" t="s">
        <v>86</v>
      </c>
      <c r="M10" s="25" t="s">
        <v>38</v>
      </c>
      <c r="N10" s="25" t="s">
        <v>27</v>
      </c>
      <c r="O10" s="25" t="s">
        <v>27</v>
      </c>
      <c r="P10" s="25">
        <v>80</v>
      </c>
      <c r="Q10" s="90">
        <v>0.2</v>
      </c>
      <c r="R10" s="25">
        <v>0</v>
      </c>
      <c r="S10" s="25">
        <v>0.8</v>
      </c>
    </row>
    <row r="11" spans="1:19" ht="14.4" x14ac:dyDescent="0.3">
      <c r="A11" s="23" t="s">
        <v>367</v>
      </c>
      <c r="B11" s="23" t="s">
        <v>368</v>
      </c>
      <c r="C11" s="23" t="s">
        <v>220</v>
      </c>
      <c r="D11" s="23"/>
      <c r="E11" s="23"/>
      <c r="F11" s="23"/>
      <c r="G11" s="23">
        <v>1</v>
      </c>
      <c r="H11" s="23"/>
      <c r="I11" s="23"/>
      <c r="J11" s="23">
        <v>1</v>
      </c>
      <c r="K11" s="23" t="s">
        <v>60</v>
      </c>
      <c r="L11" s="25" t="s">
        <v>86</v>
      </c>
      <c r="M11" s="25" t="s">
        <v>38</v>
      </c>
      <c r="N11" s="25" t="s">
        <v>27</v>
      </c>
      <c r="O11" s="25" t="s">
        <v>27</v>
      </c>
      <c r="P11" s="25">
        <v>80</v>
      </c>
      <c r="Q11" s="90">
        <v>0.2</v>
      </c>
      <c r="R11" s="25">
        <v>0</v>
      </c>
      <c r="S11" s="25">
        <v>0.8</v>
      </c>
    </row>
    <row r="12" spans="1:19" ht="14.4" x14ac:dyDescent="0.3">
      <c r="A12" s="23" t="s">
        <v>278</v>
      </c>
      <c r="B12" s="23" t="s">
        <v>279</v>
      </c>
      <c r="C12" s="23" t="s">
        <v>219</v>
      </c>
      <c r="D12" s="23"/>
      <c r="E12" s="23"/>
      <c r="F12" s="23"/>
      <c r="G12" s="23">
        <v>1</v>
      </c>
      <c r="H12" s="23"/>
      <c r="I12" s="23"/>
      <c r="J12" s="23">
        <v>1</v>
      </c>
      <c r="K12" s="23" t="s">
        <v>69</v>
      </c>
      <c r="L12" s="25" t="s">
        <v>86</v>
      </c>
      <c r="M12" s="25" t="s">
        <v>40</v>
      </c>
      <c r="N12" s="25" t="s">
        <v>27</v>
      </c>
      <c r="O12" s="25" t="s">
        <v>27</v>
      </c>
      <c r="P12" s="25">
        <v>10</v>
      </c>
      <c r="Q12" s="90">
        <v>0.9</v>
      </c>
      <c r="R12" s="25">
        <v>0</v>
      </c>
      <c r="S12" s="25">
        <v>0.1</v>
      </c>
    </row>
    <row r="13" spans="1:19" ht="14.4" x14ac:dyDescent="0.3">
      <c r="A13" s="23" t="s">
        <v>552</v>
      </c>
      <c r="B13" s="23" t="s">
        <v>553</v>
      </c>
      <c r="C13" s="23" t="s">
        <v>220</v>
      </c>
      <c r="D13" s="23"/>
      <c r="E13" s="23"/>
      <c r="F13" s="23"/>
      <c r="G13" s="23"/>
      <c r="H13" s="23"/>
      <c r="I13" s="23">
        <v>1</v>
      </c>
      <c r="J13" s="23">
        <v>1</v>
      </c>
      <c r="K13" s="23" t="s">
        <v>118</v>
      </c>
      <c r="L13" s="25" t="s">
        <v>86</v>
      </c>
      <c r="M13" s="25" t="s">
        <v>38</v>
      </c>
      <c r="N13" s="25" t="s">
        <v>27</v>
      </c>
      <c r="O13" s="25" t="s">
        <v>27</v>
      </c>
      <c r="P13" s="25">
        <v>80</v>
      </c>
      <c r="Q13" s="90">
        <v>0.2</v>
      </c>
      <c r="R13" s="25">
        <v>0</v>
      </c>
      <c r="S13" s="25">
        <v>0.8</v>
      </c>
    </row>
    <row r="14" spans="1:19" ht="14.4" x14ac:dyDescent="0.3">
      <c r="A14" s="23" t="s">
        <v>554</v>
      </c>
      <c r="B14" s="23" t="s">
        <v>555</v>
      </c>
      <c r="C14" s="23" t="s">
        <v>219</v>
      </c>
      <c r="D14" s="23"/>
      <c r="E14" s="23"/>
      <c r="F14" s="23"/>
      <c r="G14" s="23">
        <v>1</v>
      </c>
      <c r="H14" s="23"/>
      <c r="I14" s="23"/>
      <c r="J14" s="23">
        <v>1</v>
      </c>
      <c r="K14" s="23" t="s">
        <v>556</v>
      </c>
      <c r="L14" s="25" t="s">
        <v>86</v>
      </c>
      <c r="M14" s="25" t="s">
        <v>38</v>
      </c>
      <c r="N14" s="25" t="s">
        <v>27</v>
      </c>
      <c r="O14" s="25" t="s">
        <v>27</v>
      </c>
      <c r="P14" s="25">
        <v>80</v>
      </c>
      <c r="Q14" s="90">
        <v>0.2</v>
      </c>
      <c r="R14" s="25">
        <v>0</v>
      </c>
      <c r="S14" s="25">
        <v>0.8</v>
      </c>
    </row>
    <row r="15" spans="1:19" ht="14.4" x14ac:dyDescent="0.3">
      <c r="A15" s="23" t="s">
        <v>258</v>
      </c>
      <c r="B15" s="23" t="s">
        <v>259</v>
      </c>
      <c r="C15" s="23" t="s">
        <v>219</v>
      </c>
      <c r="D15" s="23">
        <v>1</v>
      </c>
      <c r="E15" s="23"/>
      <c r="F15" s="23">
        <v>1</v>
      </c>
      <c r="G15" s="23"/>
      <c r="H15" s="23"/>
      <c r="I15" s="23"/>
      <c r="J15" s="23">
        <v>2</v>
      </c>
      <c r="K15" s="23" t="s">
        <v>76</v>
      </c>
      <c r="L15" s="25" t="s">
        <v>86</v>
      </c>
      <c r="M15" s="25" t="s">
        <v>38</v>
      </c>
      <c r="N15" s="25" t="s">
        <v>27</v>
      </c>
      <c r="O15" s="25" t="s">
        <v>27</v>
      </c>
      <c r="P15" s="25">
        <v>80</v>
      </c>
      <c r="Q15" s="90">
        <v>0.4</v>
      </c>
      <c r="R15" s="25">
        <v>0</v>
      </c>
      <c r="S15" s="25">
        <v>1.6</v>
      </c>
    </row>
    <row r="16" spans="1:19" ht="14.4" x14ac:dyDescent="0.3">
      <c r="A16" s="23" t="s">
        <v>296</v>
      </c>
      <c r="B16" s="23" t="s">
        <v>297</v>
      </c>
      <c r="C16" s="23" t="s">
        <v>219</v>
      </c>
      <c r="D16" s="23"/>
      <c r="E16" s="23"/>
      <c r="F16" s="23"/>
      <c r="G16" s="23"/>
      <c r="H16" s="23">
        <v>1</v>
      </c>
      <c r="I16" s="23">
        <v>1</v>
      </c>
      <c r="J16" s="23">
        <v>2</v>
      </c>
      <c r="K16" s="23" t="s">
        <v>79</v>
      </c>
      <c r="L16" s="25" t="s">
        <v>86</v>
      </c>
      <c r="M16" s="25" t="s">
        <v>38</v>
      </c>
      <c r="N16" s="25" t="s">
        <v>27</v>
      </c>
      <c r="O16" s="25" t="s">
        <v>27</v>
      </c>
      <c r="P16" s="25">
        <v>80</v>
      </c>
      <c r="Q16" s="90">
        <v>0.4</v>
      </c>
      <c r="R16" s="25">
        <v>0</v>
      </c>
      <c r="S16" s="25">
        <v>1.6</v>
      </c>
    </row>
    <row r="17" spans="1:19" ht="14.4" x14ac:dyDescent="0.3">
      <c r="A17" s="23" t="s">
        <v>557</v>
      </c>
      <c r="B17" s="23" t="s">
        <v>558</v>
      </c>
      <c r="C17" s="23" t="s">
        <v>220</v>
      </c>
      <c r="D17" s="23"/>
      <c r="E17" s="23"/>
      <c r="F17" s="23"/>
      <c r="G17" s="23"/>
      <c r="H17" s="23"/>
      <c r="I17" s="23">
        <v>1</v>
      </c>
      <c r="J17" s="23">
        <v>1</v>
      </c>
      <c r="K17" s="23" t="s">
        <v>118</v>
      </c>
      <c r="L17" s="25" t="s">
        <v>86</v>
      </c>
      <c r="M17" s="25" t="s">
        <v>38</v>
      </c>
      <c r="N17" s="25" t="s">
        <v>114</v>
      </c>
      <c r="O17" s="25" t="s">
        <v>64</v>
      </c>
      <c r="P17" s="25">
        <v>50</v>
      </c>
      <c r="Q17" s="90">
        <v>0.2</v>
      </c>
      <c r="R17" s="25">
        <v>0.3</v>
      </c>
      <c r="S17" s="25">
        <v>0.5</v>
      </c>
    </row>
    <row r="18" spans="1:19" ht="14.4" x14ac:dyDescent="0.3">
      <c r="A18" s="23" t="s">
        <v>248</v>
      </c>
      <c r="B18" s="23" t="s">
        <v>249</v>
      </c>
      <c r="C18" s="23" t="s">
        <v>219</v>
      </c>
      <c r="D18" s="23"/>
      <c r="E18" s="23"/>
      <c r="F18" s="23">
        <v>1</v>
      </c>
      <c r="G18" s="23"/>
      <c r="H18" s="23"/>
      <c r="I18" s="23"/>
      <c r="J18" s="23">
        <v>1</v>
      </c>
      <c r="K18" s="23" t="s">
        <v>140</v>
      </c>
      <c r="L18" s="25" t="s">
        <v>86</v>
      </c>
      <c r="M18" s="25" t="s">
        <v>64</v>
      </c>
      <c r="N18" s="25" t="s">
        <v>27</v>
      </c>
      <c r="O18" s="25" t="s">
        <v>27</v>
      </c>
      <c r="P18" s="25">
        <v>70</v>
      </c>
      <c r="Q18" s="90">
        <v>0.3</v>
      </c>
      <c r="R18" s="25">
        <v>0</v>
      </c>
      <c r="S18" s="25">
        <v>0.7</v>
      </c>
    </row>
    <row r="19" spans="1:19" ht="14.4" x14ac:dyDescent="0.3">
      <c r="A19" s="23" t="s">
        <v>384</v>
      </c>
      <c r="B19" s="23" t="s">
        <v>385</v>
      </c>
      <c r="C19" s="23" t="s">
        <v>219</v>
      </c>
      <c r="D19" s="23"/>
      <c r="E19" s="23"/>
      <c r="F19" s="23"/>
      <c r="G19" s="23"/>
      <c r="H19" s="23">
        <v>1</v>
      </c>
      <c r="I19" s="23"/>
      <c r="J19" s="23">
        <v>1</v>
      </c>
      <c r="K19" s="23" t="s">
        <v>96</v>
      </c>
      <c r="L19" s="25" t="s">
        <v>86</v>
      </c>
      <c r="M19" s="25" t="s">
        <v>38</v>
      </c>
      <c r="N19" s="25" t="s">
        <v>27</v>
      </c>
      <c r="O19" s="25" t="s">
        <v>27</v>
      </c>
      <c r="P19" s="25">
        <v>80</v>
      </c>
      <c r="Q19" s="90">
        <v>0.2</v>
      </c>
      <c r="R19" s="25">
        <v>0</v>
      </c>
      <c r="S19" s="25">
        <v>0.8</v>
      </c>
    </row>
    <row r="20" spans="1:19" ht="14.4" x14ac:dyDescent="0.3">
      <c r="A20" s="23" t="s">
        <v>276</v>
      </c>
      <c r="B20" s="23" t="s">
        <v>277</v>
      </c>
      <c r="C20" s="23" t="s">
        <v>219</v>
      </c>
      <c r="D20" s="23"/>
      <c r="E20" s="23"/>
      <c r="F20" s="23">
        <v>1</v>
      </c>
      <c r="G20" s="23"/>
      <c r="H20" s="23"/>
      <c r="I20" s="23"/>
      <c r="J20" s="23">
        <v>1</v>
      </c>
      <c r="K20" s="23" t="s">
        <v>69</v>
      </c>
      <c r="L20" s="25" t="s">
        <v>86</v>
      </c>
      <c r="M20" s="25" t="s">
        <v>38</v>
      </c>
      <c r="N20" s="25" t="s">
        <v>27</v>
      </c>
      <c r="O20" s="25" t="s">
        <v>27</v>
      </c>
      <c r="P20" s="25">
        <v>80</v>
      </c>
      <c r="Q20" s="90">
        <v>0.2</v>
      </c>
      <c r="R20" s="25">
        <v>0</v>
      </c>
      <c r="S20" s="25">
        <v>0.8</v>
      </c>
    </row>
    <row r="21" spans="1:19" ht="14.4" x14ac:dyDescent="0.3">
      <c r="A21" s="23" t="s">
        <v>559</v>
      </c>
      <c r="B21" s="23" t="s">
        <v>560</v>
      </c>
      <c r="C21" s="23" t="s">
        <v>219</v>
      </c>
      <c r="D21" s="23"/>
      <c r="E21" s="23"/>
      <c r="F21" s="23">
        <v>2</v>
      </c>
      <c r="G21" s="23"/>
      <c r="H21" s="23"/>
      <c r="I21" s="23"/>
      <c r="J21" s="23">
        <v>2</v>
      </c>
      <c r="K21" s="23" t="s">
        <v>561</v>
      </c>
      <c r="L21" s="25" t="s">
        <v>86</v>
      </c>
      <c r="M21" s="25" t="s">
        <v>64</v>
      </c>
      <c r="N21" s="25" t="s">
        <v>27</v>
      </c>
      <c r="O21" s="25" t="s">
        <v>27</v>
      </c>
      <c r="P21" s="25">
        <v>70</v>
      </c>
      <c r="Q21" s="90">
        <v>0.6</v>
      </c>
      <c r="R21" s="25">
        <v>0</v>
      </c>
      <c r="S21" s="25">
        <v>1.4</v>
      </c>
    </row>
    <row r="22" spans="1:19" ht="14.4" x14ac:dyDescent="0.3">
      <c r="A22" s="23" t="s">
        <v>280</v>
      </c>
      <c r="B22" s="23" t="s">
        <v>281</v>
      </c>
      <c r="C22" s="23" t="s">
        <v>219</v>
      </c>
      <c r="D22" s="23"/>
      <c r="E22" s="23"/>
      <c r="F22" s="23">
        <v>1</v>
      </c>
      <c r="G22" s="23"/>
      <c r="H22" s="23"/>
      <c r="I22" s="23"/>
      <c r="J22" s="23">
        <v>1</v>
      </c>
      <c r="K22" s="23" t="s">
        <v>69</v>
      </c>
      <c r="L22" s="25" t="s">
        <v>86</v>
      </c>
      <c r="M22" s="25" t="s">
        <v>38</v>
      </c>
      <c r="N22" s="25" t="s">
        <v>27</v>
      </c>
      <c r="O22" s="25" t="s">
        <v>27</v>
      </c>
      <c r="P22" s="25">
        <v>80</v>
      </c>
      <c r="Q22" s="90">
        <v>0.2</v>
      </c>
      <c r="R22" s="25">
        <v>0</v>
      </c>
      <c r="S22" s="25">
        <v>0.8</v>
      </c>
    </row>
    <row r="23" spans="1:19" ht="14.4" x14ac:dyDescent="0.3">
      <c r="A23" s="23" t="s">
        <v>288</v>
      </c>
      <c r="B23" s="23" t="s">
        <v>289</v>
      </c>
      <c r="C23" s="23" t="s">
        <v>219</v>
      </c>
      <c r="D23" s="23"/>
      <c r="E23" s="23"/>
      <c r="F23" s="23">
        <v>1</v>
      </c>
      <c r="G23" s="23"/>
      <c r="H23" s="23"/>
      <c r="I23" s="23">
        <v>1</v>
      </c>
      <c r="J23" s="23">
        <v>2</v>
      </c>
      <c r="K23" s="23" t="s">
        <v>60</v>
      </c>
      <c r="L23" s="25" t="s">
        <v>86</v>
      </c>
      <c r="M23" s="25" t="s">
        <v>38</v>
      </c>
      <c r="N23" s="25" t="s">
        <v>27</v>
      </c>
      <c r="O23" s="25" t="s">
        <v>27</v>
      </c>
      <c r="P23" s="25">
        <v>80</v>
      </c>
      <c r="Q23" s="90">
        <v>0.4</v>
      </c>
      <c r="R23" s="25">
        <v>0</v>
      </c>
      <c r="S23" s="25">
        <v>1.6</v>
      </c>
    </row>
    <row r="24" spans="1:19" ht="14.4" x14ac:dyDescent="0.3">
      <c r="A24" s="23" t="s">
        <v>290</v>
      </c>
      <c r="B24" s="23" t="s">
        <v>291</v>
      </c>
      <c r="C24" s="23">
        <v>6</v>
      </c>
      <c r="D24" s="23"/>
      <c r="E24" s="23"/>
      <c r="F24" s="23">
        <v>1</v>
      </c>
      <c r="G24" s="23"/>
      <c r="H24" s="23">
        <v>1</v>
      </c>
      <c r="I24" s="23"/>
      <c r="J24" s="23">
        <v>2</v>
      </c>
      <c r="K24" s="23" t="s">
        <v>76</v>
      </c>
      <c r="L24" s="25" t="s">
        <v>86</v>
      </c>
      <c r="M24" s="25" t="s">
        <v>35</v>
      </c>
      <c r="N24" s="25" t="s">
        <v>27</v>
      </c>
      <c r="O24" s="25" t="s">
        <v>27</v>
      </c>
      <c r="P24" s="25">
        <v>50</v>
      </c>
      <c r="Q24" s="90">
        <v>1</v>
      </c>
      <c r="R24" s="25">
        <v>0</v>
      </c>
      <c r="S24" s="25">
        <v>1</v>
      </c>
    </row>
    <row r="25" spans="1:19" ht="14.4" x14ac:dyDescent="0.3">
      <c r="A25" s="23" t="s">
        <v>241</v>
      </c>
      <c r="B25" s="23" t="s">
        <v>242</v>
      </c>
      <c r="C25" s="23">
        <v>6</v>
      </c>
      <c r="D25" s="23"/>
      <c r="E25" s="23"/>
      <c r="F25" s="23"/>
      <c r="G25" s="23">
        <v>1</v>
      </c>
      <c r="H25" s="23"/>
      <c r="I25" s="23"/>
      <c r="J25" s="23">
        <v>1</v>
      </c>
      <c r="K25" s="23" t="s">
        <v>76</v>
      </c>
      <c r="L25" s="25" t="s">
        <v>86</v>
      </c>
      <c r="M25" s="25" t="s">
        <v>38</v>
      </c>
      <c r="N25" s="25" t="s">
        <v>27</v>
      </c>
      <c r="O25" s="25" t="s">
        <v>27</v>
      </c>
      <c r="P25" s="25">
        <v>80</v>
      </c>
      <c r="Q25" s="90">
        <v>0.2</v>
      </c>
      <c r="R25" s="25">
        <v>0</v>
      </c>
      <c r="S25" s="25">
        <v>0.8</v>
      </c>
    </row>
    <row r="26" spans="1:19" ht="14.4" x14ac:dyDescent="0.3">
      <c r="A26" s="23" t="s">
        <v>250</v>
      </c>
      <c r="B26" s="23" t="s">
        <v>251</v>
      </c>
      <c r="C26" s="23" t="s">
        <v>219</v>
      </c>
      <c r="D26" s="23"/>
      <c r="E26" s="23"/>
      <c r="F26" s="23"/>
      <c r="G26" s="23"/>
      <c r="H26" s="23"/>
      <c r="I26" s="23">
        <v>1</v>
      </c>
      <c r="J26" s="23">
        <v>1</v>
      </c>
      <c r="K26" s="23" t="s">
        <v>140</v>
      </c>
      <c r="L26" s="25" t="s">
        <v>86</v>
      </c>
      <c r="M26" s="25" t="s">
        <v>64</v>
      </c>
      <c r="N26" s="25" t="s">
        <v>27</v>
      </c>
      <c r="O26" s="25" t="s">
        <v>27</v>
      </c>
      <c r="P26" s="25">
        <v>70</v>
      </c>
      <c r="Q26" s="90">
        <v>0.3</v>
      </c>
      <c r="R26" s="25">
        <v>0</v>
      </c>
      <c r="S26" s="25">
        <v>0.7</v>
      </c>
    </row>
    <row r="27" spans="1:19" ht="14.4" x14ac:dyDescent="0.3">
      <c r="A27" s="23" t="s">
        <v>282</v>
      </c>
      <c r="B27" s="23" t="s">
        <v>283</v>
      </c>
      <c r="C27" s="23" t="s">
        <v>219</v>
      </c>
      <c r="D27" s="23"/>
      <c r="E27" s="23"/>
      <c r="F27" s="23"/>
      <c r="G27" s="23">
        <v>1</v>
      </c>
      <c r="H27" s="23"/>
      <c r="I27" s="23"/>
      <c r="J27" s="23">
        <v>1</v>
      </c>
      <c r="K27" s="23" t="s">
        <v>101</v>
      </c>
      <c r="L27" s="25" t="s">
        <v>86</v>
      </c>
      <c r="M27" s="25" t="s">
        <v>35</v>
      </c>
      <c r="N27" s="25" t="s">
        <v>27</v>
      </c>
      <c r="O27" s="25" t="s">
        <v>27</v>
      </c>
      <c r="P27" s="25">
        <v>50</v>
      </c>
      <c r="Q27" s="90">
        <v>0.5</v>
      </c>
      <c r="R27" s="25">
        <v>0</v>
      </c>
      <c r="S27" s="25">
        <v>0.5</v>
      </c>
    </row>
    <row r="28" spans="1:19" ht="14.4" x14ac:dyDescent="0.3">
      <c r="A28" s="23" t="s">
        <v>245</v>
      </c>
      <c r="B28" s="23" t="s">
        <v>246</v>
      </c>
      <c r="C28" s="23" t="s">
        <v>219</v>
      </c>
      <c r="D28" s="23"/>
      <c r="E28" s="23"/>
      <c r="F28" s="23">
        <v>1</v>
      </c>
      <c r="G28" s="23"/>
      <c r="H28" s="23"/>
      <c r="I28" s="23"/>
      <c r="J28" s="23">
        <v>1</v>
      </c>
      <c r="K28" s="23" t="s">
        <v>247</v>
      </c>
      <c r="L28" s="25" t="s">
        <v>86</v>
      </c>
      <c r="M28" s="25" t="s">
        <v>38</v>
      </c>
      <c r="N28" s="25" t="s">
        <v>27</v>
      </c>
      <c r="O28" s="25" t="s">
        <v>27</v>
      </c>
      <c r="P28" s="25">
        <v>80</v>
      </c>
      <c r="Q28" s="90">
        <v>0.2</v>
      </c>
      <c r="R28" s="25">
        <v>0</v>
      </c>
      <c r="S28" s="25">
        <v>0.8</v>
      </c>
    </row>
    <row r="29" spans="1:19" ht="14.4" x14ac:dyDescent="0.3">
      <c r="A29" s="23" t="s">
        <v>562</v>
      </c>
      <c r="B29" s="23" t="s">
        <v>563</v>
      </c>
      <c r="C29" s="26" t="s">
        <v>220</v>
      </c>
      <c r="D29" s="23"/>
      <c r="E29" s="23"/>
      <c r="F29" s="23"/>
      <c r="G29" s="23"/>
      <c r="H29" s="23"/>
      <c r="I29" s="23">
        <v>1</v>
      </c>
      <c r="J29" s="23">
        <v>1</v>
      </c>
      <c r="K29" s="23" t="s">
        <v>37</v>
      </c>
      <c r="L29" s="25" t="s">
        <v>86</v>
      </c>
      <c r="M29" s="25" t="s">
        <v>38</v>
      </c>
      <c r="N29" s="25" t="s">
        <v>27</v>
      </c>
      <c r="O29" s="25" t="s">
        <v>27</v>
      </c>
      <c r="P29" s="25">
        <v>80</v>
      </c>
      <c r="Q29" s="90">
        <v>0.2</v>
      </c>
      <c r="R29" s="25">
        <v>0</v>
      </c>
      <c r="S29" s="25">
        <v>0.8</v>
      </c>
    </row>
    <row r="30" spans="1:19" ht="14.4" x14ac:dyDescent="0.3">
      <c r="A30" s="23" t="s">
        <v>284</v>
      </c>
      <c r="B30" s="23" t="s">
        <v>285</v>
      </c>
      <c r="C30" s="23" t="s">
        <v>220</v>
      </c>
      <c r="D30" s="23"/>
      <c r="E30" s="23"/>
      <c r="F30" s="23"/>
      <c r="G30" s="23">
        <v>1</v>
      </c>
      <c r="H30" s="23"/>
      <c r="I30" s="23"/>
      <c r="J30" s="23">
        <v>1</v>
      </c>
      <c r="K30" s="23" t="s">
        <v>101</v>
      </c>
      <c r="L30" s="25" t="s">
        <v>86</v>
      </c>
      <c r="M30" s="25" t="s">
        <v>38</v>
      </c>
      <c r="N30" s="25" t="s">
        <v>27</v>
      </c>
      <c r="O30" s="25" t="s">
        <v>27</v>
      </c>
      <c r="P30" s="25">
        <v>80</v>
      </c>
      <c r="Q30" s="90">
        <v>0.2</v>
      </c>
      <c r="R30" s="25">
        <v>0</v>
      </c>
      <c r="S30" s="25">
        <v>0.8</v>
      </c>
    </row>
    <row r="31" spans="1:19" ht="14.4" x14ac:dyDescent="0.3">
      <c r="A31" s="23" t="s">
        <v>386</v>
      </c>
      <c r="B31" s="23" t="s">
        <v>387</v>
      </c>
      <c r="C31" s="23" t="s">
        <v>219</v>
      </c>
      <c r="D31" s="23">
        <v>1</v>
      </c>
      <c r="E31" s="23"/>
      <c r="F31" s="23">
        <v>1</v>
      </c>
      <c r="G31" s="23"/>
      <c r="H31" s="23"/>
      <c r="I31" s="23"/>
      <c r="J31" s="23">
        <v>2</v>
      </c>
      <c r="K31" s="23" t="s">
        <v>79</v>
      </c>
      <c r="L31" s="25" t="s">
        <v>86</v>
      </c>
      <c r="M31" s="25" t="s">
        <v>64</v>
      </c>
      <c r="N31" s="25" t="s">
        <v>27</v>
      </c>
      <c r="O31" s="25" t="s">
        <v>27</v>
      </c>
      <c r="P31" s="25">
        <v>70</v>
      </c>
      <c r="Q31" s="90">
        <v>0.6</v>
      </c>
      <c r="R31" s="25">
        <v>0</v>
      </c>
      <c r="S31" s="25">
        <v>1.4</v>
      </c>
    </row>
    <row r="32" spans="1:19" ht="14.4" x14ac:dyDescent="0.3">
      <c r="A32" s="23" t="s">
        <v>252</v>
      </c>
      <c r="B32" s="23" t="s">
        <v>253</v>
      </c>
      <c r="C32" s="23" t="s">
        <v>219</v>
      </c>
      <c r="D32" s="23">
        <v>1</v>
      </c>
      <c r="E32" s="23"/>
      <c r="F32" s="23"/>
      <c r="G32" s="23"/>
      <c r="H32" s="23"/>
      <c r="I32" s="23"/>
      <c r="J32" s="23">
        <v>1</v>
      </c>
      <c r="K32" s="23" t="s">
        <v>37</v>
      </c>
      <c r="L32" s="25" t="s">
        <v>86</v>
      </c>
      <c r="M32" s="25" t="s">
        <v>39</v>
      </c>
      <c r="N32" s="25" t="s">
        <v>27</v>
      </c>
      <c r="O32" s="25" t="s">
        <v>27</v>
      </c>
      <c r="P32" s="25">
        <v>40</v>
      </c>
      <c r="Q32" s="90">
        <v>0.6</v>
      </c>
      <c r="R32" s="25">
        <v>0</v>
      </c>
      <c r="S32" s="25">
        <v>0.4</v>
      </c>
    </row>
    <row r="33" spans="1:19" ht="14.4" x14ac:dyDescent="0.3">
      <c r="A33" s="23" t="s">
        <v>221</v>
      </c>
      <c r="B33" s="23" t="s">
        <v>222</v>
      </c>
      <c r="C33" s="23" t="s">
        <v>219</v>
      </c>
      <c r="D33" s="23"/>
      <c r="E33" s="23"/>
      <c r="F33" s="23">
        <v>1</v>
      </c>
      <c r="G33" s="23"/>
      <c r="H33" s="23">
        <v>1</v>
      </c>
      <c r="I33" s="23"/>
      <c r="J33" s="23">
        <v>2</v>
      </c>
      <c r="K33" s="23" t="s">
        <v>76</v>
      </c>
      <c r="L33" s="25" t="s">
        <v>86</v>
      </c>
      <c r="M33" s="25" t="s">
        <v>38</v>
      </c>
      <c r="N33" s="25" t="s">
        <v>27</v>
      </c>
      <c r="O33" s="25" t="s">
        <v>27</v>
      </c>
      <c r="P33" s="25">
        <v>80</v>
      </c>
      <c r="Q33" s="90">
        <v>0.4</v>
      </c>
      <c r="R33" s="25">
        <v>0</v>
      </c>
      <c r="S33" s="25">
        <v>1.6</v>
      </c>
    </row>
    <row r="34" spans="1:19" ht="14.4" x14ac:dyDescent="0.3">
      <c r="A34" s="23" t="s">
        <v>388</v>
      </c>
      <c r="B34" s="23" t="s">
        <v>389</v>
      </c>
      <c r="C34" s="23" t="s">
        <v>220</v>
      </c>
      <c r="D34" s="23"/>
      <c r="E34" s="23"/>
      <c r="F34" s="23"/>
      <c r="G34" s="23"/>
      <c r="H34" s="23">
        <v>1</v>
      </c>
      <c r="I34" s="23"/>
      <c r="J34" s="23">
        <v>1</v>
      </c>
      <c r="K34" s="23" t="s">
        <v>54</v>
      </c>
      <c r="L34" s="25" t="s">
        <v>86</v>
      </c>
      <c r="M34" s="25" t="s">
        <v>35</v>
      </c>
      <c r="N34" s="25" t="s">
        <v>27</v>
      </c>
      <c r="O34" s="25" t="s">
        <v>27</v>
      </c>
      <c r="P34" s="25">
        <v>50</v>
      </c>
      <c r="Q34" s="90">
        <v>0.5</v>
      </c>
      <c r="R34" s="25">
        <v>0</v>
      </c>
      <c r="S34" s="25">
        <v>0.5</v>
      </c>
    </row>
    <row r="35" spans="1:19" ht="14.4" x14ac:dyDescent="0.3">
      <c r="A35" s="23" t="s">
        <v>564</v>
      </c>
      <c r="B35" s="23" t="s">
        <v>565</v>
      </c>
      <c r="C35" s="23" t="s">
        <v>220</v>
      </c>
      <c r="D35" s="23"/>
      <c r="E35" s="23"/>
      <c r="F35" s="23"/>
      <c r="G35" s="23"/>
      <c r="H35" s="23"/>
      <c r="I35" s="23">
        <v>1</v>
      </c>
      <c r="J35" s="23">
        <v>1</v>
      </c>
      <c r="K35" s="23" t="s">
        <v>561</v>
      </c>
      <c r="L35" s="25" t="s">
        <v>86</v>
      </c>
      <c r="M35" s="25" t="s">
        <v>38</v>
      </c>
      <c r="N35" s="25" t="s">
        <v>27</v>
      </c>
      <c r="O35" s="25" t="s">
        <v>27</v>
      </c>
      <c r="P35" s="25">
        <v>80</v>
      </c>
      <c r="Q35" s="90">
        <v>0.2</v>
      </c>
      <c r="R35" s="25">
        <v>0</v>
      </c>
      <c r="S35" s="25">
        <v>0.8</v>
      </c>
    </row>
    <row r="36" spans="1:19" ht="14.4" x14ac:dyDescent="0.3">
      <c r="A36" s="23" t="s">
        <v>566</v>
      </c>
      <c r="B36" s="23" t="s">
        <v>567</v>
      </c>
      <c r="C36" s="23" t="s">
        <v>220</v>
      </c>
      <c r="D36" s="23"/>
      <c r="E36" s="23"/>
      <c r="F36" s="23"/>
      <c r="G36" s="23"/>
      <c r="H36" s="23"/>
      <c r="I36" s="23">
        <v>1</v>
      </c>
      <c r="J36" s="23">
        <v>1</v>
      </c>
      <c r="K36" s="23" t="s">
        <v>118</v>
      </c>
      <c r="L36" s="25" t="s">
        <v>86</v>
      </c>
      <c r="M36" s="25" t="s">
        <v>38</v>
      </c>
      <c r="N36" s="25" t="s">
        <v>114</v>
      </c>
      <c r="O36" s="25" t="s">
        <v>35</v>
      </c>
      <c r="P36" s="25">
        <v>30</v>
      </c>
      <c r="Q36" s="90">
        <v>0.2</v>
      </c>
      <c r="R36" s="25">
        <v>0.5</v>
      </c>
      <c r="S36" s="25">
        <v>0.3</v>
      </c>
    </row>
    <row r="37" spans="1:19" ht="14.4" x14ac:dyDescent="0.3">
      <c r="A37" s="23" t="s">
        <v>302</v>
      </c>
      <c r="B37" s="23" t="s">
        <v>303</v>
      </c>
      <c r="C37" s="23" t="s">
        <v>219</v>
      </c>
      <c r="D37" s="23"/>
      <c r="E37" s="23"/>
      <c r="F37" s="23">
        <v>1</v>
      </c>
      <c r="G37" s="23">
        <v>1</v>
      </c>
      <c r="H37" s="23"/>
      <c r="I37" s="23"/>
      <c r="J37" s="23">
        <v>2</v>
      </c>
      <c r="K37" s="23" t="s">
        <v>91</v>
      </c>
      <c r="L37" s="25" t="s">
        <v>86</v>
      </c>
      <c r="M37" s="25" t="s">
        <v>38</v>
      </c>
      <c r="N37" s="25" t="s">
        <v>92</v>
      </c>
      <c r="O37" s="25" t="s">
        <v>43</v>
      </c>
      <c r="P37" s="25">
        <v>70</v>
      </c>
      <c r="Q37" s="90">
        <v>0.4</v>
      </c>
      <c r="R37" s="25">
        <v>0.2</v>
      </c>
      <c r="S37" s="25">
        <v>1.4</v>
      </c>
    </row>
    <row r="38" spans="1:19" ht="14.4" x14ac:dyDescent="0.3">
      <c r="A38" s="23" t="s">
        <v>298</v>
      </c>
      <c r="B38" s="23" t="s">
        <v>299</v>
      </c>
      <c r="C38" s="23" t="s">
        <v>219</v>
      </c>
      <c r="D38" s="23"/>
      <c r="E38" s="23"/>
      <c r="F38" s="23">
        <v>1</v>
      </c>
      <c r="G38" s="23"/>
      <c r="H38" s="23">
        <v>1</v>
      </c>
      <c r="I38" s="23"/>
      <c r="J38" s="23">
        <v>2</v>
      </c>
      <c r="K38" s="23" t="s">
        <v>76</v>
      </c>
      <c r="L38" s="25" t="s">
        <v>86</v>
      </c>
      <c r="M38" s="25" t="s">
        <v>64</v>
      </c>
      <c r="N38" s="25" t="s">
        <v>27</v>
      </c>
      <c r="O38" s="25" t="s">
        <v>27</v>
      </c>
      <c r="P38" s="25">
        <v>70</v>
      </c>
      <c r="Q38" s="90">
        <v>0.6</v>
      </c>
      <c r="R38" s="25">
        <v>0</v>
      </c>
      <c r="S38" s="25">
        <v>1.4</v>
      </c>
    </row>
    <row r="39" spans="1:19" ht="14.4" x14ac:dyDescent="0.3">
      <c r="A39" s="23" t="s">
        <v>266</v>
      </c>
      <c r="B39" s="23" t="s">
        <v>267</v>
      </c>
      <c r="C39" s="23" t="s">
        <v>219</v>
      </c>
      <c r="D39" s="23"/>
      <c r="E39" s="23">
        <v>1</v>
      </c>
      <c r="F39" s="23">
        <v>1</v>
      </c>
      <c r="G39" s="23"/>
      <c r="H39" s="23"/>
      <c r="I39" s="23"/>
      <c r="J39" s="23">
        <v>2</v>
      </c>
      <c r="K39" s="23" t="s">
        <v>79</v>
      </c>
      <c r="L39" s="25" t="s">
        <v>86</v>
      </c>
      <c r="M39" s="25" t="s">
        <v>64</v>
      </c>
      <c r="N39" s="25" t="s">
        <v>27</v>
      </c>
      <c r="O39" s="25" t="s">
        <v>27</v>
      </c>
      <c r="P39" s="25">
        <v>70</v>
      </c>
      <c r="Q39" s="90">
        <v>0.6</v>
      </c>
      <c r="R39" s="25">
        <v>0</v>
      </c>
      <c r="S39" s="25">
        <v>1.4</v>
      </c>
    </row>
    <row r="40" spans="1:19" ht="14.4" x14ac:dyDescent="0.3">
      <c r="A40" s="23" t="s">
        <v>568</v>
      </c>
      <c r="B40" s="23" t="s">
        <v>569</v>
      </c>
      <c r="C40" s="23" t="s">
        <v>220</v>
      </c>
      <c r="D40" s="23"/>
      <c r="E40" s="23"/>
      <c r="F40" s="23"/>
      <c r="G40" s="23"/>
      <c r="H40" s="23"/>
      <c r="I40" s="23">
        <v>1</v>
      </c>
      <c r="J40" s="23">
        <v>1</v>
      </c>
      <c r="K40" s="23" t="s">
        <v>118</v>
      </c>
      <c r="L40" s="25" t="s">
        <v>86</v>
      </c>
      <c r="M40" s="25" t="s">
        <v>38</v>
      </c>
      <c r="N40" s="25" t="s">
        <v>27</v>
      </c>
      <c r="O40" s="25" t="s">
        <v>27</v>
      </c>
      <c r="P40" s="25">
        <v>80</v>
      </c>
      <c r="Q40" s="90">
        <v>0.2</v>
      </c>
      <c r="R40" s="25">
        <v>0</v>
      </c>
      <c r="S40" s="25">
        <v>0.8</v>
      </c>
    </row>
    <row r="41" spans="1:19" ht="14.4" x14ac:dyDescent="0.3">
      <c r="A41" s="23" t="s">
        <v>570</v>
      </c>
      <c r="B41" s="23" t="s">
        <v>571</v>
      </c>
      <c r="C41" s="23" t="s">
        <v>220</v>
      </c>
      <c r="D41" s="23"/>
      <c r="E41" s="23"/>
      <c r="F41" s="23"/>
      <c r="G41" s="23"/>
      <c r="H41" s="23"/>
      <c r="I41" s="23">
        <v>1</v>
      </c>
      <c r="J41" s="23">
        <v>1</v>
      </c>
      <c r="K41" s="23" t="s">
        <v>91</v>
      </c>
      <c r="L41" s="25" t="s">
        <v>86</v>
      </c>
      <c r="M41" s="25" t="s">
        <v>38</v>
      </c>
      <c r="N41" s="25" t="s">
        <v>27</v>
      </c>
      <c r="O41" s="25" t="s">
        <v>27</v>
      </c>
      <c r="P41" s="25">
        <v>80</v>
      </c>
      <c r="Q41" s="90">
        <v>0.2</v>
      </c>
      <c r="R41" s="25">
        <v>0</v>
      </c>
      <c r="S41" s="25">
        <v>0.8</v>
      </c>
    </row>
    <row r="42" spans="1:19" ht="14.4" x14ac:dyDescent="0.3">
      <c r="A42" s="23" t="s">
        <v>572</v>
      </c>
      <c r="B42" s="23" t="s">
        <v>573</v>
      </c>
      <c r="C42" s="23" t="s">
        <v>220</v>
      </c>
      <c r="D42" s="23"/>
      <c r="E42" s="23"/>
      <c r="F42" s="23"/>
      <c r="G42" s="23"/>
      <c r="H42" s="23"/>
      <c r="I42" s="23">
        <v>1</v>
      </c>
      <c r="J42" s="23">
        <v>1</v>
      </c>
      <c r="K42" s="23" t="s">
        <v>101</v>
      </c>
      <c r="L42" s="25" t="s">
        <v>86</v>
      </c>
      <c r="M42" s="25" t="s">
        <v>38</v>
      </c>
      <c r="N42" s="25" t="s">
        <v>27</v>
      </c>
      <c r="O42" s="25" t="s">
        <v>27</v>
      </c>
      <c r="P42" s="25">
        <v>80</v>
      </c>
      <c r="Q42" s="90">
        <v>0.2</v>
      </c>
      <c r="R42" s="25">
        <v>0</v>
      </c>
      <c r="S42" s="25">
        <v>0.8</v>
      </c>
    </row>
    <row r="43" spans="1:19" ht="14.4" x14ac:dyDescent="0.3">
      <c r="A43" s="23" t="s">
        <v>308</v>
      </c>
      <c r="B43" s="23" t="s">
        <v>309</v>
      </c>
      <c r="C43" s="23" t="s">
        <v>219</v>
      </c>
      <c r="D43" s="23"/>
      <c r="E43" s="23"/>
      <c r="F43" s="23"/>
      <c r="G43" s="23"/>
      <c r="H43" s="23"/>
      <c r="I43" s="23">
        <v>1</v>
      </c>
      <c r="J43" s="23">
        <v>1</v>
      </c>
      <c r="K43" s="23" t="s">
        <v>118</v>
      </c>
      <c r="L43" s="25" t="s">
        <v>86</v>
      </c>
      <c r="M43" s="25" t="s">
        <v>64</v>
      </c>
      <c r="N43" s="25" t="s">
        <v>114</v>
      </c>
      <c r="O43" s="25" t="s">
        <v>64</v>
      </c>
      <c r="P43" s="25">
        <v>40</v>
      </c>
      <c r="Q43" s="90">
        <v>0.3</v>
      </c>
      <c r="R43" s="25">
        <v>0.3</v>
      </c>
      <c r="S43" s="25">
        <v>0.4</v>
      </c>
    </row>
    <row r="44" spans="1:19" ht="14.4" x14ac:dyDescent="0.3">
      <c r="A44" s="23" t="s">
        <v>256</v>
      </c>
      <c r="B44" s="23" t="s">
        <v>257</v>
      </c>
      <c r="C44" s="23" t="s">
        <v>219</v>
      </c>
      <c r="D44" s="23">
        <v>1</v>
      </c>
      <c r="E44" s="23"/>
      <c r="F44" s="23"/>
      <c r="G44" s="23"/>
      <c r="H44" s="23"/>
      <c r="I44" s="23"/>
      <c r="J44" s="23">
        <v>1</v>
      </c>
      <c r="K44" s="23" t="s">
        <v>162</v>
      </c>
      <c r="L44" s="25" t="s">
        <v>86</v>
      </c>
      <c r="M44" s="25" t="s">
        <v>39</v>
      </c>
      <c r="N44" s="25" t="s">
        <v>27</v>
      </c>
      <c r="O44" s="25" t="s">
        <v>27</v>
      </c>
      <c r="P44" s="25">
        <v>40</v>
      </c>
      <c r="Q44" s="90">
        <v>0.6</v>
      </c>
      <c r="R44" s="25">
        <v>0</v>
      </c>
      <c r="S44" s="25">
        <v>0.4</v>
      </c>
    </row>
    <row r="45" spans="1:19" ht="14.4" x14ac:dyDescent="0.3">
      <c r="A45" s="23" t="s">
        <v>371</v>
      </c>
      <c r="B45" s="23" t="s">
        <v>372</v>
      </c>
      <c r="C45" s="23" t="s">
        <v>219</v>
      </c>
      <c r="D45" s="23"/>
      <c r="E45" s="23"/>
      <c r="F45" s="23"/>
      <c r="G45" s="23">
        <v>1</v>
      </c>
      <c r="H45" s="23"/>
      <c r="I45" s="23"/>
      <c r="J45" s="23">
        <v>1</v>
      </c>
      <c r="K45" s="23" t="s">
        <v>121</v>
      </c>
      <c r="L45" s="25" t="s">
        <v>86</v>
      </c>
      <c r="M45" s="25" t="s">
        <v>35</v>
      </c>
      <c r="N45" s="25" t="s">
        <v>27</v>
      </c>
      <c r="O45" s="25" t="s">
        <v>27</v>
      </c>
      <c r="P45" s="25">
        <v>50</v>
      </c>
      <c r="Q45" s="90">
        <v>0.5</v>
      </c>
      <c r="R45" s="25">
        <v>0</v>
      </c>
      <c r="S45" s="25">
        <v>0.5</v>
      </c>
    </row>
    <row r="46" spans="1:19" ht="14.4" x14ac:dyDescent="0.3">
      <c r="A46" s="23" t="s">
        <v>294</v>
      </c>
      <c r="B46" s="23" t="s">
        <v>295</v>
      </c>
      <c r="C46" s="23" t="s">
        <v>219</v>
      </c>
      <c r="D46" s="23"/>
      <c r="E46" s="23">
        <v>1</v>
      </c>
      <c r="F46" s="23"/>
      <c r="G46" s="23"/>
      <c r="H46" s="23"/>
      <c r="I46" s="23">
        <v>1</v>
      </c>
      <c r="J46" s="23">
        <v>2</v>
      </c>
      <c r="K46" s="23" t="s">
        <v>79</v>
      </c>
      <c r="L46" s="25" t="s">
        <v>86</v>
      </c>
      <c r="M46" s="25" t="s">
        <v>38</v>
      </c>
      <c r="N46" s="25" t="s">
        <v>27</v>
      </c>
      <c r="O46" s="25" t="s">
        <v>27</v>
      </c>
      <c r="P46" s="25">
        <v>80</v>
      </c>
      <c r="Q46" s="90">
        <v>0.4</v>
      </c>
      <c r="R46" s="25">
        <v>0</v>
      </c>
      <c r="S46" s="25">
        <v>1.6</v>
      </c>
    </row>
    <row r="47" spans="1:19" ht="14.4" x14ac:dyDescent="0.3">
      <c r="A47" s="23" t="s">
        <v>270</v>
      </c>
      <c r="B47" s="23" t="s">
        <v>271</v>
      </c>
      <c r="C47" s="23" t="s">
        <v>219</v>
      </c>
      <c r="D47" s="23"/>
      <c r="E47" s="23">
        <v>1</v>
      </c>
      <c r="F47" s="23"/>
      <c r="G47" s="23"/>
      <c r="H47" s="23">
        <v>1</v>
      </c>
      <c r="I47" s="23"/>
      <c r="J47" s="23">
        <v>2</v>
      </c>
      <c r="K47" s="23" t="s">
        <v>101</v>
      </c>
      <c r="L47" s="25" t="s">
        <v>86</v>
      </c>
      <c r="M47" s="25" t="s">
        <v>38</v>
      </c>
      <c r="N47" s="25" t="s">
        <v>27</v>
      </c>
      <c r="O47" s="25" t="s">
        <v>27</v>
      </c>
      <c r="P47" s="25">
        <v>80</v>
      </c>
      <c r="Q47" s="90">
        <v>0.4</v>
      </c>
      <c r="R47" s="25">
        <v>0</v>
      </c>
      <c r="S47" s="25">
        <v>1.6</v>
      </c>
    </row>
    <row r="48" spans="1:19" ht="14.4" x14ac:dyDescent="0.3">
      <c r="A48" s="23" t="s">
        <v>260</v>
      </c>
      <c r="B48" s="23" t="s">
        <v>261</v>
      </c>
      <c r="C48" s="23" t="s">
        <v>220</v>
      </c>
      <c r="D48" s="23"/>
      <c r="E48" s="23">
        <v>1</v>
      </c>
      <c r="F48" s="23"/>
      <c r="G48" s="23"/>
      <c r="H48" s="23"/>
      <c r="I48" s="23"/>
      <c r="J48" s="23">
        <v>1</v>
      </c>
      <c r="K48" s="23" t="s">
        <v>91</v>
      </c>
      <c r="L48" s="25" t="s">
        <v>86</v>
      </c>
      <c r="M48" s="25" t="s">
        <v>38</v>
      </c>
      <c r="N48" s="25" t="s">
        <v>27</v>
      </c>
      <c r="O48" s="25" t="s">
        <v>27</v>
      </c>
      <c r="P48" s="25">
        <v>80</v>
      </c>
      <c r="Q48" s="90">
        <v>0.2</v>
      </c>
      <c r="R48" s="25">
        <v>0</v>
      </c>
      <c r="S48" s="25">
        <v>0.8</v>
      </c>
    </row>
    <row r="49" spans="1:19" ht="14.4" x14ac:dyDescent="0.3">
      <c r="A49" s="23" t="s">
        <v>369</v>
      </c>
      <c r="B49" s="23" t="s">
        <v>370</v>
      </c>
      <c r="C49" s="23" t="s">
        <v>220</v>
      </c>
      <c r="D49" s="23"/>
      <c r="E49" s="23"/>
      <c r="F49" s="23"/>
      <c r="G49" s="23"/>
      <c r="H49" s="23"/>
      <c r="I49" s="23">
        <v>1</v>
      </c>
      <c r="J49" s="23">
        <v>1</v>
      </c>
      <c r="K49" s="23" t="s">
        <v>96</v>
      </c>
      <c r="L49" s="25" t="s">
        <v>86</v>
      </c>
      <c r="M49" s="25" t="s">
        <v>38</v>
      </c>
      <c r="N49" s="25" t="s">
        <v>27</v>
      </c>
      <c r="O49" s="25" t="s">
        <v>27</v>
      </c>
      <c r="P49" s="25">
        <v>80</v>
      </c>
      <c r="Q49" s="90">
        <v>0.2</v>
      </c>
      <c r="R49" s="25">
        <v>0</v>
      </c>
      <c r="S49" s="25">
        <v>0.8</v>
      </c>
    </row>
    <row r="50" spans="1:19" ht="14.4" x14ac:dyDescent="0.3">
      <c r="A50" s="23" t="s">
        <v>286</v>
      </c>
      <c r="B50" s="23" t="s">
        <v>287</v>
      </c>
      <c r="C50" s="23" t="s">
        <v>220</v>
      </c>
      <c r="D50" s="23"/>
      <c r="E50" s="23"/>
      <c r="F50" s="23"/>
      <c r="G50" s="23"/>
      <c r="H50" s="23"/>
      <c r="I50" s="23">
        <v>1</v>
      </c>
      <c r="J50" s="23">
        <v>1</v>
      </c>
      <c r="K50" s="23" t="s">
        <v>96</v>
      </c>
      <c r="L50" s="25" t="s">
        <v>86</v>
      </c>
      <c r="M50" s="25" t="s">
        <v>35</v>
      </c>
      <c r="N50" s="25" t="s">
        <v>27</v>
      </c>
      <c r="O50" s="25" t="s">
        <v>27</v>
      </c>
      <c r="P50" s="25">
        <v>50</v>
      </c>
      <c r="Q50" s="90">
        <v>0.5</v>
      </c>
      <c r="R50" s="25">
        <v>0</v>
      </c>
      <c r="S50" s="25">
        <v>0.5</v>
      </c>
    </row>
    <row r="51" spans="1:19" ht="14.4" x14ac:dyDescent="0.3">
      <c r="A51" s="23" t="s">
        <v>239</v>
      </c>
      <c r="B51" s="23" t="s">
        <v>240</v>
      </c>
      <c r="C51" s="23" t="s">
        <v>219</v>
      </c>
      <c r="D51" s="23"/>
      <c r="E51" s="23"/>
      <c r="F51" s="23"/>
      <c r="G51" s="23"/>
      <c r="H51" s="23"/>
      <c r="I51" s="23">
        <v>1</v>
      </c>
      <c r="J51" s="23">
        <v>1</v>
      </c>
      <c r="K51" s="23" t="s">
        <v>91</v>
      </c>
      <c r="L51" s="25" t="s">
        <v>86</v>
      </c>
      <c r="M51" s="25" t="s">
        <v>35</v>
      </c>
      <c r="N51" s="25" t="s">
        <v>27</v>
      </c>
      <c r="O51" s="25" t="s">
        <v>27</v>
      </c>
      <c r="P51" s="25">
        <v>50</v>
      </c>
      <c r="Q51" s="90">
        <v>0.5</v>
      </c>
      <c r="R51" s="25">
        <v>0</v>
      </c>
      <c r="S51" s="25">
        <v>0.5</v>
      </c>
    </row>
    <row r="52" spans="1:19" ht="14.4" x14ac:dyDescent="0.3">
      <c r="A52" s="23" t="s">
        <v>300</v>
      </c>
      <c r="B52" s="23" t="s">
        <v>301</v>
      </c>
      <c r="C52" s="26" t="s">
        <v>219</v>
      </c>
      <c r="D52" s="23"/>
      <c r="E52" s="23"/>
      <c r="F52" s="23"/>
      <c r="G52" s="23">
        <v>1</v>
      </c>
      <c r="H52" s="23"/>
      <c r="I52" s="23"/>
      <c r="J52" s="23">
        <v>1</v>
      </c>
      <c r="K52" s="23" t="s">
        <v>96</v>
      </c>
      <c r="L52" s="25" t="s">
        <v>86</v>
      </c>
      <c r="M52" s="25" t="s">
        <v>38</v>
      </c>
      <c r="N52" s="25" t="s">
        <v>92</v>
      </c>
      <c r="O52" s="25" t="s">
        <v>38</v>
      </c>
      <c r="P52" s="25">
        <v>60</v>
      </c>
      <c r="Q52" s="90">
        <v>0.2</v>
      </c>
      <c r="R52" s="25">
        <v>0.2</v>
      </c>
      <c r="S52" s="25">
        <v>0.6</v>
      </c>
    </row>
    <row r="53" spans="1:19" ht="14.4" x14ac:dyDescent="0.3">
      <c r="A53" s="23" t="s">
        <v>390</v>
      </c>
      <c r="B53" s="23" t="s">
        <v>391</v>
      </c>
      <c r="C53" s="26" t="s">
        <v>220</v>
      </c>
      <c r="D53" s="23"/>
      <c r="E53" s="23"/>
      <c r="F53" s="23"/>
      <c r="G53" s="23"/>
      <c r="H53" s="23"/>
      <c r="I53" s="23">
        <v>1</v>
      </c>
      <c r="J53" s="23">
        <v>1</v>
      </c>
      <c r="K53" s="23" t="s">
        <v>96</v>
      </c>
      <c r="L53" s="25" t="s">
        <v>86</v>
      </c>
      <c r="M53" s="25" t="s">
        <v>56</v>
      </c>
      <c r="N53" s="25" t="s">
        <v>27</v>
      </c>
      <c r="O53" s="25" t="s">
        <v>27</v>
      </c>
      <c r="P53" s="25">
        <v>75</v>
      </c>
      <c r="Q53" s="90">
        <v>0.25</v>
      </c>
      <c r="R53" s="25">
        <v>0</v>
      </c>
      <c r="S53" s="25">
        <v>0.75</v>
      </c>
    </row>
    <row r="54" spans="1:19" ht="14.4" x14ac:dyDescent="0.3">
      <c r="A54" s="23" t="s">
        <v>306</v>
      </c>
      <c r="B54" s="23" t="s">
        <v>307</v>
      </c>
      <c r="C54" s="26" t="s">
        <v>383</v>
      </c>
      <c r="D54" s="23"/>
      <c r="E54" s="23"/>
      <c r="F54" s="23"/>
      <c r="G54" s="23"/>
      <c r="H54" s="23"/>
      <c r="I54" s="23">
        <v>1</v>
      </c>
      <c r="J54" s="23">
        <v>1</v>
      </c>
      <c r="K54" s="23" t="s">
        <v>162</v>
      </c>
      <c r="L54" s="25" t="s">
        <v>86</v>
      </c>
      <c r="M54" s="25" t="s">
        <v>43</v>
      </c>
      <c r="N54" s="25" t="s">
        <v>114</v>
      </c>
      <c r="O54" s="25" t="s">
        <v>56</v>
      </c>
      <c r="P54" s="25">
        <v>65</v>
      </c>
      <c r="Q54" s="90">
        <v>0.1</v>
      </c>
      <c r="R54" s="25">
        <v>0.25</v>
      </c>
      <c r="S54" s="25">
        <v>0.65</v>
      </c>
    </row>
    <row r="55" spans="1:19" ht="14.4" x14ac:dyDescent="0.3">
      <c r="A55" s="23" t="s">
        <v>292</v>
      </c>
      <c r="B55" s="23" t="s">
        <v>293</v>
      </c>
      <c r="C55" s="26" t="s">
        <v>383</v>
      </c>
      <c r="D55" s="23"/>
      <c r="E55" s="23"/>
      <c r="F55" s="23"/>
      <c r="G55" s="23"/>
      <c r="H55" s="23"/>
      <c r="I55" s="23">
        <v>1</v>
      </c>
      <c r="J55" s="23">
        <v>1</v>
      </c>
      <c r="K55" s="23" t="s">
        <v>34</v>
      </c>
      <c r="L55" s="25" t="s">
        <v>86</v>
      </c>
      <c r="M55" s="25" t="s">
        <v>64</v>
      </c>
      <c r="N55" s="25" t="s">
        <v>27</v>
      </c>
      <c r="O55" s="25" t="s">
        <v>27</v>
      </c>
      <c r="P55" s="25">
        <v>70</v>
      </c>
      <c r="Q55" s="90">
        <v>0.3</v>
      </c>
      <c r="R55" s="25">
        <v>0</v>
      </c>
      <c r="S55" s="25">
        <v>0.7</v>
      </c>
    </row>
    <row r="56" spans="1:19" ht="14.4" x14ac:dyDescent="0.3">
      <c r="A56" s="23" t="s">
        <v>233</v>
      </c>
      <c r="B56" s="23" t="s">
        <v>234</v>
      </c>
      <c r="C56" s="23" t="s">
        <v>219</v>
      </c>
      <c r="D56" s="23"/>
      <c r="E56" s="23"/>
      <c r="F56" s="23">
        <v>1</v>
      </c>
      <c r="G56" s="23"/>
      <c r="H56" s="23"/>
      <c r="I56" s="23"/>
      <c r="J56" s="23">
        <v>1</v>
      </c>
      <c r="K56" s="23" t="s">
        <v>101</v>
      </c>
      <c r="L56" s="25" t="s">
        <v>92</v>
      </c>
      <c r="M56" s="25" t="s">
        <v>43</v>
      </c>
      <c r="N56" s="25" t="s">
        <v>86</v>
      </c>
      <c r="O56" s="25" t="s">
        <v>38</v>
      </c>
      <c r="P56" s="25">
        <v>70</v>
      </c>
      <c r="Q56" s="25">
        <v>0.1</v>
      </c>
      <c r="R56" s="90">
        <v>0.2</v>
      </c>
      <c r="S56" s="25">
        <v>0.7</v>
      </c>
    </row>
    <row r="57" spans="1:19" ht="14.4" x14ac:dyDescent="0.3">
      <c r="A57" s="23" t="s">
        <v>227</v>
      </c>
      <c r="B57" s="23" t="s">
        <v>228</v>
      </c>
      <c r="C57" s="23" t="s">
        <v>219</v>
      </c>
      <c r="D57" s="23">
        <v>1</v>
      </c>
      <c r="E57" s="23"/>
      <c r="F57" s="23"/>
      <c r="G57" s="23"/>
      <c r="H57" s="23"/>
      <c r="I57" s="23"/>
      <c r="J57" s="23">
        <v>1</v>
      </c>
      <c r="K57" s="23" t="s">
        <v>91</v>
      </c>
      <c r="L57" s="25" t="s">
        <v>92</v>
      </c>
      <c r="M57" s="25" t="s">
        <v>43</v>
      </c>
      <c r="N57" s="25" t="s">
        <v>86</v>
      </c>
      <c r="O57" s="25" t="s">
        <v>43</v>
      </c>
      <c r="P57" s="25">
        <v>80</v>
      </c>
      <c r="Q57" s="25">
        <v>0.1</v>
      </c>
      <c r="R57" s="90">
        <v>0.1</v>
      </c>
      <c r="S57" s="25">
        <v>0.8</v>
      </c>
    </row>
    <row r="58" spans="1:19" ht="14.4" x14ac:dyDescent="0.3">
      <c r="A58" s="23" t="s">
        <v>223</v>
      </c>
      <c r="B58" s="23" t="s">
        <v>224</v>
      </c>
      <c r="C58" s="23" t="s">
        <v>219</v>
      </c>
      <c r="D58" s="23"/>
      <c r="E58" s="23"/>
      <c r="F58" s="23"/>
      <c r="G58" s="23">
        <v>1</v>
      </c>
      <c r="H58" s="23"/>
      <c r="I58" s="23"/>
      <c r="J58" s="23">
        <v>1</v>
      </c>
      <c r="K58" s="23" t="s">
        <v>79</v>
      </c>
      <c r="L58" s="25" t="s">
        <v>55</v>
      </c>
      <c r="M58" s="25" t="s">
        <v>38</v>
      </c>
      <c r="N58" s="25" t="s">
        <v>86</v>
      </c>
      <c r="O58" s="25" t="s">
        <v>38</v>
      </c>
      <c r="P58" s="25">
        <v>60</v>
      </c>
      <c r="Q58" s="25">
        <v>0.2</v>
      </c>
      <c r="R58" s="90">
        <v>0.2</v>
      </c>
      <c r="S58" s="25">
        <v>0.6</v>
      </c>
    </row>
    <row r="59" spans="1:19" ht="14.4" x14ac:dyDescent="0.3">
      <c r="A59" s="23" t="s">
        <v>237</v>
      </c>
      <c r="B59" s="23" t="s">
        <v>238</v>
      </c>
      <c r="C59" s="23" t="s">
        <v>219</v>
      </c>
      <c r="D59" s="23">
        <v>1</v>
      </c>
      <c r="E59" s="23">
        <v>1</v>
      </c>
      <c r="F59" s="23"/>
      <c r="G59" s="23"/>
      <c r="H59" s="23"/>
      <c r="I59" s="23"/>
      <c r="J59" s="23">
        <v>2</v>
      </c>
      <c r="K59" s="23" t="s">
        <v>80</v>
      </c>
      <c r="L59" s="25" t="s">
        <v>81</v>
      </c>
      <c r="M59" s="25" t="s">
        <v>38</v>
      </c>
      <c r="N59" s="25" t="s">
        <v>86</v>
      </c>
      <c r="O59" s="25" t="s">
        <v>38</v>
      </c>
      <c r="P59" s="25">
        <v>60</v>
      </c>
      <c r="Q59" s="25">
        <v>0.4</v>
      </c>
      <c r="R59" s="90">
        <v>0.4</v>
      </c>
      <c r="S59" s="25">
        <v>1.2</v>
      </c>
    </row>
    <row r="60" spans="1:19" ht="14.4" x14ac:dyDescent="0.3">
      <c r="A60" s="23" t="s">
        <v>225</v>
      </c>
      <c r="B60" s="23" t="s">
        <v>226</v>
      </c>
      <c r="C60" s="23" t="s">
        <v>219</v>
      </c>
      <c r="D60" s="23"/>
      <c r="E60" s="23"/>
      <c r="F60" s="23">
        <v>1</v>
      </c>
      <c r="G60" s="23"/>
      <c r="H60" s="23"/>
      <c r="I60" s="23"/>
      <c r="J60" s="23">
        <v>1</v>
      </c>
      <c r="K60" s="23" t="s">
        <v>101</v>
      </c>
      <c r="L60" s="25" t="s">
        <v>92</v>
      </c>
      <c r="M60" s="25" t="s">
        <v>43</v>
      </c>
      <c r="N60" s="25" t="s">
        <v>86</v>
      </c>
      <c r="O60" s="25" t="s">
        <v>38</v>
      </c>
      <c r="P60" s="25">
        <v>70</v>
      </c>
      <c r="Q60" s="25">
        <v>0.1</v>
      </c>
      <c r="R60" s="90">
        <v>0.2</v>
      </c>
      <c r="S60" s="25">
        <v>0.7</v>
      </c>
    </row>
    <row r="61" spans="1:19" ht="14.4" x14ac:dyDescent="0.3">
      <c r="A61" s="23" t="s">
        <v>376</v>
      </c>
      <c r="B61" s="23" t="s">
        <v>377</v>
      </c>
      <c r="C61" s="23" t="s">
        <v>219</v>
      </c>
      <c r="D61" s="23"/>
      <c r="E61" s="23"/>
      <c r="F61" s="23">
        <v>1</v>
      </c>
      <c r="G61" s="23"/>
      <c r="H61" s="23"/>
      <c r="I61" s="23"/>
      <c r="J61" s="23">
        <v>1</v>
      </c>
      <c r="K61" s="23" t="s">
        <v>91</v>
      </c>
      <c r="L61" s="25" t="s">
        <v>92</v>
      </c>
      <c r="M61" s="25" t="s">
        <v>43</v>
      </c>
      <c r="N61" s="25" t="s">
        <v>86</v>
      </c>
      <c r="O61" s="25" t="s">
        <v>38</v>
      </c>
      <c r="P61" s="25">
        <v>70</v>
      </c>
      <c r="Q61" s="25">
        <v>0.1</v>
      </c>
      <c r="R61" s="90">
        <v>0.2</v>
      </c>
      <c r="S61" s="25">
        <v>0.7</v>
      </c>
    </row>
    <row r="62" spans="1:19" ht="14.4" x14ac:dyDescent="0.3">
      <c r="A62" s="23" t="s">
        <v>229</v>
      </c>
      <c r="B62" s="23" t="s">
        <v>230</v>
      </c>
      <c r="C62" s="23" t="s">
        <v>219</v>
      </c>
      <c r="D62" s="23"/>
      <c r="E62" s="23"/>
      <c r="F62" s="23"/>
      <c r="G62" s="23"/>
      <c r="H62" s="23"/>
      <c r="I62" s="23">
        <v>1</v>
      </c>
      <c r="J62" s="23">
        <v>1</v>
      </c>
      <c r="K62" s="23" t="s">
        <v>96</v>
      </c>
      <c r="L62" s="25" t="s">
        <v>92</v>
      </c>
      <c r="M62" s="25" t="s">
        <v>43</v>
      </c>
      <c r="N62" s="25" t="s">
        <v>86</v>
      </c>
      <c r="O62" s="25" t="s">
        <v>38</v>
      </c>
      <c r="P62" s="25">
        <v>70</v>
      </c>
      <c r="Q62" s="25">
        <v>0.1</v>
      </c>
      <c r="R62" s="90">
        <v>0.2</v>
      </c>
      <c r="S62" s="25">
        <v>0.7</v>
      </c>
    </row>
    <row r="63" spans="1:19" ht="14.4" x14ac:dyDescent="0.3">
      <c r="A63" s="23" t="s">
        <v>304</v>
      </c>
      <c r="B63" s="23" t="s">
        <v>305</v>
      </c>
      <c r="C63" s="23" t="s">
        <v>219</v>
      </c>
      <c r="D63" s="23"/>
      <c r="E63" s="23"/>
      <c r="F63" s="23"/>
      <c r="G63" s="23"/>
      <c r="H63" s="23">
        <v>1</v>
      </c>
      <c r="I63" s="23"/>
      <c r="J63" s="23">
        <v>1</v>
      </c>
      <c r="K63" s="23" t="s">
        <v>91</v>
      </c>
      <c r="L63" s="25" t="s">
        <v>114</v>
      </c>
      <c r="M63" s="25" t="s">
        <v>43</v>
      </c>
      <c r="N63" s="25" t="s">
        <v>86</v>
      </c>
      <c r="O63" s="25" t="s">
        <v>38</v>
      </c>
      <c r="P63" s="25">
        <v>70</v>
      </c>
      <c r="Q63" s="25">
        <v>0.1</v>
      </c>
      <c r="R63" s="90">
        <v>0.2</v>
      </c>
      <c r="S63" s="25">
        <v>0.7</v>
      </c>
    </row>
    <row r="64" spans="1:19" ht="14.4" x14ac:dyDescent="0.3">
      <c r="A64" s="23" t="s">
        <v>235</v>
      </c>
      <c r="B64" s="23" t="s">
        <v>236</v>
      </c>
      <c r="C64" s="23" t="s">
        <v>219</v>
      </c>
      <c r="D64" s="23"/>
      <c r="E64" s="23"/>
      <c r="F64" s="23"/>
      <c r="G64" s="23"/>
      <c r="H64" s="23">
        <v>1</v>
      </c>
      <c r="I64" s="23"/>
      <c r="J64" s="23">
        <v>1</v>
      </c>
      <c r="K64" s="23" t="s">
        <v>96</v>
      </c>
      <c r="L64" s="25" t="s">
        <v>81</v>
      </c>
      <c r="M64" s="25" t="s">
        <v>43</v>
      </c>
      <c r="N64" s="25" t="s">
        <v>86</v>
      </c>
      <c r="O64" s="25" t="s">
        <v>38</v>
      </c>
      <c r="P64" s="25">
        <v>70</v>
      </c>
      <c r="Q64" s="25">
        <v>0.1</v>
      </c>
      <c r="R64" s="90">
        <v>0.2</v>
      </c>
      <c r="S64" s="25">
        <v>0.7</v>
      </c>
    </row>
    <row r="65" spans="1:19" ht="14.4" x14ac:dyDescent="0.3">
      <c r="A65" s="23" t="s">
        <v>312</v>
      </c>
      <c r="B65" s="23" t="s">
        <v>313</v>
      </c>
      <c r="C65" s="23" t="s">
        <v>219</v>
      </c>
      <c r="D65" s="23"/>
      <c r="E65" s="23"/>
      <c r="F65" s="23"/>
      <c r="G65" s="23"/>
      <c r="H65" s="23"/>
      <c r="I65" s="23">
        <v>1</v>
      </c>
      <c r="J65" s="23">
        <v>1</v>
      </c>
      <c r="K65" s="23" t="s">
        <v>118</v>
      </c>
      <c r="L65" s="25" t="s">
        <v>114</v>
      </c>
      <c r="M65" s="25" t="s">
        <v>64</v>
      </c>
      <c r="N65" s="25" t="s">
        <v>86</v>
      </c>
      <c r="O65" s="25" t="s">
        <v>38</v>
      </c>
      <c r="P65" s="25">
        <v>50</v>
      </c>
      <c r="Q65" s="25">
        <v>0.3</v>
      </c>
      <c r="R65" s="90">
        <v>0.2</v>
      </c>
      <c r="S65" s="25">
        <v>0.5</v>
      </c>
    </row>
    <row r="66" spans="1:19" ht="14.4" x14ac:dyDescent="0.3">
      <c r="A66" s="23" t="s">
        <v>231</v>
      </c>
      <c r="B66" s="23" t="s">
        <v>232</v>
      </c>
      <c r="C66" s="23" t="s">
        <v>219</v>
      </c>
      <c r="D66" s="23">
        <v>1</v>
      </c>
      <c r="E66" s="23"/>
      <c r="F66" s="23"/>
      <c r="G66" s="23"/>
      <c r="H66" s="23"/>
      <c r="I66" s="23"/>
      <c r="J66" s="23">
        <v>1</v>
      </c>
      <c r="K66" s="23" t="s">
        <v>91</v>
      </c>
      <c r="L66" s="25" t="s">
        <v>92</v>
      </c>
      <c r="M66" s="25" t="s">
        <v>43</v>
      </c>
      <c r="N66" s="25" t="s">
        <v>86</v>
      </c>
      <c r="O66" s="25" t="s">
        <v>38</v>
      </c>
      <c r="P66" s="25">
        <v>70</v>
      </c>
      <c r="Q66" s="25">
        <v>0.1</v>
      </c>
      <c r="R66" s="90">
        <v>0.2</v>
      </c>
      <c r="S66" s="25">
        <v>0.7</v>
      </c>
    </row>
    <row r="67" spans="1:19" ht="14.4" x14ac:dyDescent="0.3">
      <c r="A67" s="23" t="s">
        <v>378</v>
      </c>
      <c r="B67" s="23" t="s">
        <v>379</v>
      </c>
      <c r="C67" s="23" t="s">
        <v>220</v>
      </c>
      <c r="D67" s="23"/>
      <c r="E67" s="23"/>
      <c r="F67" s="23"/>
      <c r="G67" s="23">
        <v>1</v>
      </c>
      <c r="H67" s="23"/>
      <c r="I67" s="23"/>
      <c r="J67" s="23">
        <v>1</v>
      </c>
      <c r="K67" s="23" t="s">
        <v>118</v>
      </c>
      <c r="L67" s="25" t="s">
        <v>114</v>
      </c>
      <c r="M67" s="25" t="s">
        <v>64</v>
      </c>
      <c r="N67" s="25" t="s">
        <v>86</v>
      </c>
      <c r="O67" s="25" t="s">
        <v>38</v>
      </c>
      <c r="P67" s="25">
        <v>50</v>
      </c>
      <c r="Q67" s="25">
        <v>0.3</v>
      </c>
      <c r="R67" s="90">
        <v>0.2</v>
      </c>
      <c r="S67" s="25">
        <v>0.5</v>
      </c>
    </row>
    <row r="68" spans="1:19" ht="14.4" x14ac:dyDescent="0.3">
      <c r="A68" s="23" t="s">
        <v>310</v>
      </c>
      <c r="B68" s="23" t="s">
        <v>311</v>
      </c>
      <c r="C68" s="26" t="s">
        <v>219</v>
      </c>
      <c r="D68" s="23"/>
      <c r="E68" s="23"/>
      <c r="F68" s="23"/>
      <c r="G68" s="23"/>
      <c r="H68" s="23">
        <v>1</v>
      </c>
      <c r="I68" s="23"/>
      <c r="J68" s="23">
        <v>1</v>
      </c>
      <c r="K68" s="23" t="s">
        <v>118</v>
      </c>
      <c r="L68" s="25" t="s">
        <v>114</v>
      </c>
      <c r="M68" s="25" t="s">
        <v>64</v>
      </c>
      <c r="N68" s="25" t="s">
        <v>86</v>
      </c>
      <c r="O68" s="25" t="s">
        <v>38</v>
      </c>
      <c r="P68" s="25">
        <v>50</v>
      </c>
      <c r="Q68" s="25">
        <v>0.3</v>
      </c>
      <c r="R68" s="90">
        <v>0.2</v>
      </c>
      <c r="S68" s="25">
        <v>0.5</v>
      </c>
    </row>
    <row r="69" spans="1:19" x14ac:dyDescent="0.25">
      <c r="A69" s="97"/>
      <c r="B69" s="97"/>
      <c r="C69" s="97"/>
      <c r="D69" s="97"/>
      <c r="E69" s="97"/>
      <c r="F69" s="97"/>
      <c r="G69" s="97"/>
      <c r="H69" s="97"/>
      <c r="I69" s="97"/>
      <c r="J69" s="97"/>
      <c r="K69" s="97"/>
      <c r="L69" s="97"/>
      <c r="M69" s="98"/>
      <c r="N69" s="98"/>
      <c r="O69" s="97"/>
      <c r="P69" s="98"/>
      <c r="Q69" s="103">
        <f>SUM(R56:R68,Q2:Q55)</f>
        <v>24.149999999999991</v>
      </c>
      <c r="R69" s="103"/>
      <c r="S69" s="97"/>
    </row>
  </sheetData>
  <mergeCells count="1">
    <mergeCell ref="Q69:R69"/>
  </mergeCells>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2"/>
  <sheetViews>
    <sheetView zoomScaleNormal="100" workbookViewId="0">
      <selection activeCell="D32" sqref="D32"/>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315</v>
      </c>
      <c r="B2" s="5"/>
    </row>
    <row r="3" spans="1:2" x14ac:dyDescent="0.2">
      <c r="A3" s="4" t="s">
        <v>316</v>
      </c>
      <c r="B3" s="5">
        <v>190</v>
      </c>
    </row>
    <row r="4" spans="1:2" x14ac:dyDescent="0.2">
      <c r="A4" s="4" t="s">
        <v>317</v>
      </c>
      <c r="B4" s="5">
        <v>40</v>
      </c>
    </row>
    <row r="5" spans="1:2" x14ac:dyDescent="0.2">
      <c r="A5" s="4" t="s">
        <v>318</v>
      </c>
      <c r="B5" s="5">
        <v>150</v>
      </c>
    </row>
    <row r="6" spans="1:2" x14ac:dyDescent="0.2">
      <c r="A6" s="4" t="s">
        <v>319</v>
      </c>
      <c r="B6" s="5">
        <v>170</v>
      </c>
    </row>
    <row r="7" spans="1:2" x14ac:dyDescent="0.2">
      <c r="A7" s="4" t="s">
        <v>320</v>
      </c>
      <c r="B7" s="5">
        <v>150</v>
      </c>
    </row>
    <row r="8" spans="1:2" x14ac:dyDescent="0.2">
      <c r="A8" s="4" t="s">
        <v>321</v>
      </c>
      <c r="B8" s="5">
        <v>150</v>
      </c>
    </row>
    <row r="9" spans="1:2" x14ac:dyDescent="0.2">
      <c r="A9" s="4" t="s">
        <v>322</v>
      </c>
      <c r="B9" s="5">
        <v>150</v>
      </c>
    </row>
    <row r="10" spans="1:2" x14ac:dyDescent="0.2">
      <c r="A10" s="4" t="s">
        <v>323</v>
      </c>
      <c r="B10" s="5">
        <v>150</v>
      </c>
    </row>
    <row r="11" spans="1:2" x14ac:dyDescent="0.2">
      <c r="A11" s="4" t="s">
        <v>324</v>
      </c>
      <c r="B11" s="5">
        <v>9035.35</v>
      </c>
    </row>
    <row r="12" spans="1:2" x14ac:dyDescent="0.2">
      <c r="A12" s="4" t="s">
        <v>325</v>
      </c>
      <c r="B12" s="5">
        <v>1280</v>
      </c>
    </row>
    <row r="13" spans="1:2" x14ac:dyDescent="0.2">
      <c r="A13" s="4" t="s">
        <v>326</v>
      </c>
      <c r="B13" s="5"/>
    </row>
    <row r="14" spans="1:2" x14ac:dyDescent="0.2">
      <c r="A14" s="4" t="s">
        <v>327</v>
      </c>
      <c r="B14" s="5">
        <v>1232</v>
      </c>
    </row>
    <row r="15" spans="1:2" x14ac:dyDescent="0.2">
      <c r="A15" s="4" t="s">
        <v>328</v>
      </c>
      <c r="B15" s="5">
        <v>80</v>
      </c>
    </row>
    <row r="16" spans="1:2" x14ac:dyDescent="0.2">
      <c r="A16" s="4" t="s">
        <v>329</v>
      </c>
      <c r="B16" s="5">
        <v>80</v>
      </c>
    </row>
    <row r="17" spans="1:4" x14ac:dyDescent="0.2">
      <c r="A17" s="4" t="s">
        <v>3</v>
      </c>
      <c r="B17" s="5"/>
    </row>
    <row r="18" spans="1:4" x14ac:dyDescent="0.2">
      <c r="A18" s="4" t="s">
        <v>330</v>
      </c>
      <c r="B18" s="5">
        <v>6464.99</v>
      </c>
    </row>
    <row r="19" spans="1:4" x14ac:dyDescent="0.2">
      <c r="A19" s="4" t="s">
        <v>331</v>
      </c>
      <c r="B19" s="5"/>
    </row>
    <row r="20" spans="1:4" x14ac:dyDescent="0.2">
      <c r="A20" s="4" t="s">
        <v>332</v>
      </c>
      <c r="B20" s="5">
        <v>57920</v>
      </c>
    </row>
    <row r="21" spans="1:4" x14ac:dyDescent="0.2">
      <c r="A21" s="4" t="s">
        <v>4</v>
      </c>
      <c r="B21" s="5"/>
    </row>
    <row r="22" spans="1:4" x14ac:dyDescent="0.2">
      <c r="A22" s="4" t="s">
        <v>333</v>
      </c>
      <c r="B22" s="5">
        <v>6525</v>
      </c>
    </row>
    <row r="23" spans="1:4" x14ac:dyDescent="0.2">
      <c r="A23" s="51" t="s">
        <v>334</v>
      </c>
      <c r="B23" s="52"/>
    </row>
    <row r="24" spans="1:4" x14ac:dyDescent="0.2">
      <c r="A24" s="51" t="s">
        <v>335</v>
      </c>
      <c r="B24" s="52">
        <v>2166.6666666666665</v>
      </c>
      <c r="C24" s="1" t="s">
        <v>481</v>
      </c>
    </row>
    <row r="25" spans="1:4" x14ac:dyDescent="0.2">
      <c r="A25" s="4" t="s">
        <v>336</v>
      </c>
      <c r="B25" s="5"/>
    </row>
    <row r="26" spans="1:4" x14ac:dyDescent="0.2">
      <c r="A26" s="4" t="s">
        <v>337</v>
      </c>
      <c r="B26" s="5">
        <v>12500</v>
      </c>
    </row>
    <row r="27" spans="1:4" x14ac:dyDescent="0.2">
      <c r="A27" s="4" t="s">
        <v>338</v>
      </c>
      <c r="B27" s="5">
        <v>6000</v>
      </c>
    </row>
    <row r="28" spans="1:4" x14ac:dyDescent="0.2">
      <c r="A28" s="4" t="s">
        <v>339</v>
      </c>
      <c r="B28" s="5"/>
    </row>
    <row r="29" spans="1:4" x14ac:dyDescent="0.2">
      <c r="A29" s="4" t="s">
        <v>340</v>
      </c>
      <c r="B29" s="5">
        <v>41107.33</v>
      </c>
    </row>
    <row r="30" spans="1:4" x14ac:dyDescent="0.2">
      <c r="A30" s="6" t="s">
        <v>2</v>
      </c>
      <c r="B30" s="7">
        <f>SUM(B3:B29)</f>
        <v>145541.33666666667</v>
      </c>
    </row>
    <row r="32" spans="1:4" x14ac:dyDescent="0.2">
      <c r="D32" s="94"/>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49F2-01D1-4DD2-9825-5C7498393AB8}">
  <dimension ref="A1:C21"/>
  <sheetViews>
    <sheetView workbookViewId="0">
      <selection activeCell="B21" sqref="B21"/>
    </sheetView>
  </sheetViews>
  <sheetFormatPr baseColWidth="10" defaultRowHeight="14.4" x14ac:dyDescent="0.3"/>
  <cols>
    <col min="1" max="1" width="144" bestFit="1" customWidth="1"/>
    <col min="2" max="2" width="11.88671875" bestFit="1" customWidth="1"/>
  </cols>
  <sheetData>
    <row r="1" spans="1:3" s="1" customFormat="1" ht="20.399999999999999" x14ac:dyDescent="0.2">
      <c r="A1" s="2" t="s">
        <v>0</v>
      </c>
      <c r="B1" s="3" t="s">
        <v>1</v>
      </c>
    </row>
    <row r="2" spans="1:3" x14ac:dyDescent="0.3">
      <c r="A2" s="41" t="s">
        <v>468</v>
      </c>
      <c r="B2" s="43"/>
    </row>
    <row r="3" spans="1:3" x14ac:dyDescent="0.3">
      <c r="A3" s="44" t="s">
        <v>469</v>
      </c>
      <c r="B3" s="45">
        <v>2200</v>
      </c>
    </row>
    <row r="4" spans="1:3" x14ac:dyDescent="0.3">
      <c r="A4" s="44" t="s">
        <v>470</v>
      </c>
      <c r="B4" s="45">
        <v>2200</v>
      </c>
    </row>
    <row r="5" spans="1:3" x14ac:dyDescent="0.3">
      <c r="A5" s="41" t="s">
        <v>471</v>
      </c>
      <c r="B5" s="43"/>
    </row>
    <row r="6" spans="1:3" x14ac:dyDescent="0.3">
      <c r="A6" s="44" t="s">
        <v>472</v>
      </c>
      <c r="B6" s="45">
        <v>13156</v>
      </c>
    </row>
    <row r="7" spans="1:3" x14ac:dyDescent="0.3">
      <c r="A7" s="41" t="s">
        <v>315</v>
      </c>
      <c r="B7" s="43"/>
    </row>
    <row r="8" spans="1:3" x14ac:dyDescent="0.3">
      <c r="A8" s="44" t="s">
        <v>473</v>
      </c>
      <c r="B8" s="45">
        <v>150</v>
      </c>
    </row>
    <row r="9" spans="1:3" x14ac:dyDescent="0.3">
      <c r="A9" s="44" t="s">
        <v>474</v>
      </c>
      <c r="B9" s="45">
        <v>150</v>
      </c>
    </row>
    <row r="10" spans="1:3" x14ac:dyDescent="0.3">
      <c r="A10" s="53" t="s">
        <v>334</v>
      </c>
      <c r="B10" s="54"/>
    </row>
    <row r="11" spans="1:3" x14ac:dyDescent="0.3">
      <c r="A11" s="55" t="s">
        <v>475</v>
      </c>
      <c r="B11" s="56">
        <f>6500/3</f>
        <v>2166.6666666666665</v>
      </c>
      <c r="C11" s="1" t="s">
        <v>480</v>
      </c>
    </row>
    <row r="12" spans="1:3" x14ac:dyDescent="0.3">
      <c r="A12" s="41" t="s">
        <v>336</v>
      </c>
      <c r="B12" s="43"/>
    </row>
    <row r="13" spans="1:3" x14ac:dyDescent="0.3">
      <c r="A13" s="44" t="s">
        <v>476</v>
      </c>
      <c r="B13" s="45">
        <v>1250</v>
      </c>
    </row>
    <row r="14" spans="1:3" x14ac:dyDescent="0.3">
      <c r="A14" s="41" t="s">
        <v>477</v>
      </c>
      <c r="B14" s="43"/>
    </row>
    <row r="15" spans="1:3" x14ac:dyDescent="0.3">
      <c r="A15" s="44" t="s">
        <v>478</v>
      </c>
      <c r="B15" s="45">
        <v>12500</v>
      </c>
    </row>
    <row r="16" spans="1:3" x14ac:dyDescent="0.3">
      <c r="A16" s="42" t="s">
        <v>210</v>
      </c>
      <c r="B16" s="50">
        <f>SUM(B2:B15)</f>
        <v>33772.666666666672</v>
      </c>
    </row>
    <row r="21" spans="2:2" x14ac:dyDescent="0.3">
      <c r="B21" s="9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6A78-B917-430E-8EE0-1C0105BECD9F}">
  <dimension ref="A1:G16"/>
  <sheetViews>
    <sheetView workbookViewId="0">
      <selection activeCell="C20" sqref="C20"/>
    </sheetView>
  </sheetViews>
  <sheetFormatPr baseColWidth="10" defaultRowHeight="14.4" x14ac:dyDescent="0.3"/>
  <cols>
    <col min="2" max="2" width="13" customWidth="1"/>
    <col min="3" max="3" width="68.88671875" customWidth="1"/>
    <col min="4" max="4" width="13" bestFit="1" customWidth="1"/>
  </cols>
  <sheetData>
    <row r="1" spans="1:7" ht="15" thickBot="1" x14ac:dyDescent="0.35">
      <c r="A1" s="57" t="s">
        <v>482</v>
      </c>
      <c r="B1" s="58" t="s">
        <v>483</v>
      </c>
      <c r="C1" s="58" t="s">
        <v>484</v>
      </c>
      <c r="D1" s="59" t="s">
        <v>1</v>
      </c>
    </row>
    <row r="2" spans="1:7" ht="15" thickTop="1" x14ac:dyDescent="0.3">
      <c r="A2" s="60" t="s">
        <v>485</v>
      </c>
      <c r="B2" s="61" t="s">
        <v>486</v>
      </c>
      <c r="C2" s="61" t="s">
        <v>487</v>
      </c>
      <c r="D2" s="62">
        <v>10</v>
      </c>
    </row>
    <row r="3" spans="1:7" x14ac:dyDescent="0.3">
      <c r="A3" s="63" t="s">
        <v>485</v>
      </c>
      <c r="B3" s="64" t="s">
        <v>486</v>
      </c>
      <c r="C3" s="64" t="s">
        <v>488</v>
      </c>
      <c r="D3" s="65">
        <v>10</v>
      </c>
    </row>
    <row r="4" spans="1:7" x14ac:dyDescent="0.3">
      <c r="A4" s="60" t="s">
        <v>485</v>
      </c>
      <c r="B4" s="61" t="s">
        <v>486</v>
      </c>
      <c r="C4" s="61" t="s">
        <v>489</v>
      </c>
      <c r="D4" s="62">
        <v>20</v>
      </c>
    </row>
    <row r="5" spans="1:7" x14ac:dyDescent="0.3">
      <c r="A5" s="63" t="s">
        <v>485</v>
      </c>
      <c r="B5" s="64" t="s">
        <v>486</v>
      </c>
      <c r="C5" s="64" t="s">
        <v>490</v>
      </c>
      <c r="D5" s="65">
        <v>60</v>
      </c>
    </row>
    <row r="6" spans="1:7" x14ac:dyDescent="0.3">
      <c r="A6" s="60" t="s">
        <v>485</v>
      </c>
      <c r="B6" s="61" t="s">
        <v>486</v>
      </c>
      <c r="C6" s="61" t="s">
        <v>490</v>
      </c>
      <c r="D6" s="62">
        <v>100</v>
      </c>
    </row>
    <row r="7" spans="1:7" x14ac:dyDescent="0.3">
      <c r="A7" s="63" t="s">
        <v>485</v>
      </c>
      <c r="B7" s="64" t="s">
        <v>486</v>
      </c>
      <c r="C7" s="64" t="s">
        <v>490</v>
      </c>
      <c r="D7" s="65">
        <v>380</v>
      </c>
    </row>
    <row r="8" spans="1:7" x14ac:dyDescent="0.3">
      <c r="A8" s="60" t="s">
        <v>485</v>
      </c>
      <c r="B8" s="61" t="s">
        <v>336</v>
      </c>
      <c r="C8" s="61" t="s">
        <v>491</v>
      </c>
      <c r="D8" s="62">
        <v>5250</v>
      </c>
    </row>
    <row r="9" spans="1:7" x14ac:dyDescent="0.3">
      <c r="A9" s="63" t="s">
        <v>485</v>
      </c>
      <c r="B9" s="64" t="s">
        <v>336</v>
      </c>
      <c r="C9" s="64" t="s">
        <v>492</v>
      </c>
      <c r="D9" s="65">
        <v>5250</v>
      </c>
    </row>
    <row r="10" spans="1:7" x14ac:dyDescent="0.3">
      <c r="A10" s="60" t="s">
        <v>485</v>
      </c>
      <c r="B10" s="61" t="s">
        <v>477</v>
      </c>
      <c r="C10" s="61" t="s">
        <v>493</v>
      </c>
      <c r="D10" s="62">
        <v>12500</v>
      </c>
    </row>
    <row r="11" spans="1:7" x14ac:dyDescent="0.3">
      <c r="A11" s="63" t="s">
        <v>485</v>
      </c>
      <c r="B11" s="64" t="s">
        <v>494</v>
      </c>
      <c r="C11" s="64" t="s">
        <v>495</v>
      </c>
      <c r="D11" s="65">
        <v>6400</v>
      </c>
    </row>
    <row r="12" spans="1:7" ht="15" thickBot="1" x14ac:dyDescent="0.35">
      <c r="A12" s="60" t="s">
        <v>485</v>
      </c>
      <c r="B12" s="61" t="s">
        <v>496</v>
      </c>
      <c r="C12" s="61" t="s">
        <v>497</v>
      </c>
      <c r="D12" s="62">
        <v>4960</v>
      </c>
    </row>
    <row r="13" spans="1:7" ht="15" thickTop="1" x14ac:dyDescent="0.3">
      <c r="A13" s="66" t="s">
        <v>2</v>
      </c>
      <c r="B13" s="67"/>
      <c r="C13" s="67"/>
      <c r="D13" s="68">
        <v>34940</v>
      </c>
    </row>
    <row r="16" spans="1:7" x14ac:dyDescent="0.3">
      <c r="C16" s="95" t="s">
        <v>574</v>
      </c>
      <c r="D16" s="96">
        <f>D13+'Ingresos investigación 2020'!B16+'Ingresos investigación 2019'!B30</f>
        <v>214254.00333333336</v>
      </c>
      <c r="G16" s="93"/>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zoomScaleNormal="100" workbookViewId="0">
      <selection sqref="A1:B1"/>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341</v>
      </c>
      <c r="B2" s="5"/>
    </row>
    <row r="3" spans="1:2" x14ac:dyDescent="0.2">
      <c r="A3" s="4" t="s">
        <v>342</v>
      </c>
      <c r="B3" s="5">
        <v>8.0500000000000007</v>
      </c>
    </row>
    <row r="4" spans="1:2" x14ac:dyDescent="0.2">
      <c r="A4" s="4" t="s">
        <v>343</v>
      </c>
      <c r="B4" s="5">
        <v>195</v>
      </c>
    </row>
    <row r="5" spans="1:2" x14ac:dyDescent="0.2">
      <c r="A5" s="4" t="s">
        <v>314</v>
      </c>
      <c r="B5" s="5"/>
    </row>
    <row r="6" spans="1:2" x14ac:dyDescent="0.2">
      <c r="A6" s="4" t="s">
        <v>344</v>
      </c>
      <c r="B6" s="5">
        <v>180</v>
      </c>
    </row>
    <row r="7" spans="1:2" x14ac:dyDescent="0.2">
      <c r="A7" s="4" t="s">
        <v>345</v>
      </c>
      <c r="B7" s="5">
        <v>1100</v>
      </c>
    </row>
    <row r="8" spans="1:2" x14ac:dyDescent="0.2">
      <c r="A8" s="4" t="s">
        <v>346</v>
      </c>
      <c r="B8" s="5">
        <v>5159.9999999999991</v>
      </c>
    </row>
    <row r="9" spans="1:2" x14ac:dyDescent="0.2">
      <c r="A9" s="4" t="s">
        <v>347</v>
      </c>
      <c r="B9" s="5">
        <v>100</v>
      </c>
    </row>
    <row r="10" spans="1:2" x14ac:dyDescent="0.2">
      <c r="A10" s="4" t="s">
        <v>348</v>
      </c>
      <c r="B10" s="5">
        <v>0.95</v>
      </c>
    </row>
    <row r="11" spans="1:2" x14ac:dyDescent="0.2">
      <c r="A11" s="4" t="s">
        <v>349</v>
      </c>
      <c r="B11" s="5">
        <v>0.01</v>
      </c>
    </row>
    <row r="12" spans="1:2" x14ac:dyDescent="0.2">
      <c r="A12" s="4" t="s">
        <v>350</v>
      </c>
      <c r="B12" s="5"/>
    </row>
    <row r="13" spans="1:2" x14ac:dyDescent="0.2">
      <c r="A13" s="4" t="s">
        <v>351</v>
      </c>
      <c r="B13" s="5">
        <v>2412.5</v>
      </c>
    </row>
    <row r="14" spans="1:2" x14ac:dyDescent="0.2">
      <c r="A14" s="6" t="s">
        <v>2</v>
      </c>
      <c r="B14" s="7">
        <f>SUM(B3:B13)</f>
        <v>9156.5099999999984</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7242-B61B-4E2A-96AE-3710D1EEEBE9}">
  <dimension ref="A1:B5"/>
  <sheetViews>
    <sheetView workbookViewId="0">
      <selection activeCell="A14" sqref="A14"/>
    </sheetView>
  </sheetViews>
  <sheetFormatPr baseColWidth="10" defaultRowHeight="14.4" x14ac:dyDescent="0.3"/>
  <cols>
    <col min="1" max="1" width="111.6640625" bestFit="1" customWidth="1"/>
  </cols>
  <sheetData>
    <row r="1" spans="1:2" ht="21.6" x14ac:dyDescent="0.3">
      <c r="A1" s="2" t="s">
        <v>0</v>
      </c>
      <c r="B1" s="3" t="s">
        <v>1</v>
      </c>
    </row>
    <row r="2" spans="1:2" x14ac:dyDescent="0.3">
      <c r="A2" s="46" t="s">
        <v>350</v>
      </c>
      <c r="B2" s="47"/>
    </row>
    <row r="3" spans="1:2" x14ac:dyDescent="0.3">
      <c r="A3" s="48" t="s">
        <v>351</v>
      </c>
      <c r="B3" s="24">
        <v>389.25</v>
      </c>
    </row>
    <row r="4" spans="1:2" x14ac:dyDescent="0.3">
      <c r="A4" s="48" t="s">
        <v>479</v>
      </c>
      <c r="B4" s="24">
        <v>9225.75</v>
      </c>
    </row>
    <row r="5" spans="1:2" x14ac:dyDescent="0.3">
      <c r="A5" s="49" t="s">
        <v>2</v>
      </c>
      <c r="B5" s="49">
        <f>SUM(B3:B4)</f>
        <v>9615</v>
      </c>
    </row>
  </sheetData>
  <pageMargins left="0.7" right="0.7" top="0.75" bottom="0.75" header="0.3" footer="0.3"/>
  <pageSetup paperSize="9"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1ADA3-6C54-47BC-AB66-5514C89E7385}">
  <dimension ref="A1:D8"/>
  <sheetViews>
    <sheetView tabSelected="1" workbookViewId="0">
      <selection activeCell="C11" sqref="C11"/>
    </sheetView>
  </sheetViews>
  <sheetFormatPr baseColWidth="10" defaultRowHeight="14.4" x14ac:dyDescent="0.3"/>
  <cols>
    <col min="2" max="2" width="14" bestFit="1" customWidth="1"/>
    <col min="3" max="3" width="60.6640625" customWidth="1"/>
  </cols>
  <sheetData>
    <row r="1" spans="1:4" x14ac:dyDescent="0.3">
      <c r="A1" s="69" t="s">
        <v>482</v>
      </c>
      <c r="B1" s="70" t="s">
        <v>483</v>
      </c>
      <c r="C1" s="70" t="s">
        <v>484</v>
      </c>
      <c r="D1" s="71" t="s">
        <v>1</v>
      </c>
    </row>
    <row r="2" spans="1:4" x14ac:dyDescent="0.3">
      <c r="A2" s="72" t="s">
        <v>485</v>
      </c>
      <c r="B2" s="73" t="s">
        <v>350</v>
      </c>
      <c r="C2" s="73" t="s">
        <v>498</v>
      </c>
      <c r="D2" s="74">
        <v>9031.0400000000009</v>
      </c>
    </row>
    <row r="3" spans="1:4" x14ac:dyDescent="0.3">
      <c r="A3" s="75" t="s">
        <v>485</v>
      </c>
      <c r="B3" s="76" t="s">
        <v>499</v>
      </c>
      <c r="C3" s="76" t="s">
        <v>500</v>
      </c>
      <c r="D3" s="77">
        <v>20</v>
      </c>
    </row>
    <row r="4" spans="1:4" ht="15" thickBot="1" x14ac:dyDescent="0.35">
      <c r="A4" s="72" t="s">
        <v>485</v>
      </c>
      <c r="B4" s="73" t="s">
        <v>499</v>
      </c>
      <c r="C4" s="73" t="s">
        <v>501</v>
      </c>
      <c r="D4" s="74">
        <v>1026</v>
      </c>
    </row>
    <row r="5" spans="1:4" ht="15" thickTop="1" x14ac:dyDescent="0.3">
      <c r="A5" s="78" t="s">
        <v>2</v>
      </c>
      <c r="B5" s="79"/>
      <c r="C5" s="79"/>
      <c r="D5" s="80">
        <v>10077.040000000001</v>
      </c>
    </row>
    <row r="8" spans="1:4" x14ac:dyDescent="0.3">
      <c r="C8" s="91" t="s">
        <v>575</v>
      </c>
      <c r="D8" s="92">
        <f>D5+'ingresos formación 2020 '!B5+'Ingresos formación 2019'!B14</f>
        <v>28848.55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2019</vt:lpstr>
      <vt:lpstr>Ingresos investigación 2020</vt:lpstr>
      <vt:lpstr>Ingresos investigación 2021</vt:lpstr>
      <vt:lpstr>Ingresos formación 2019</vt:lpstr>
      <vt:lpstr>ingresos formación 2020 </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cp:lastPrinted>2019-07-03T07:26:29Z</cp:lastPrinted>
  <dcterms:created xsi:type="dcterms:W3CDTF">2019-07-03T07:15:54Z</dcterms:created>
  <dcterms:modified xsi:type="dcterms:W3CDTF">2022-10-18T12:01:57Z</dcterms:modified>
</cp:coreProperties>
</file>