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H:\Mi unidad\Presupuestación\Presupuesto 2023\Departamentos\Departamentos\"/>
    </mc:Choice>
  </mc:AlternateContent>
  <xr:revisionPtr revIDLastSave="0" documentId="13_ncr:1_{682F79D7-9332-4656-AB02-2C81E35C1F61}" xr6:coauthVersionLast="47" xr6:coauthVersionMax="47" xr10:uidLastSave="{00000000-0000-0000-0000-000000000000}"/>
  <bookViews>
    <workbookView xWindow="22932" yWindow="-108" windowWidth="23256" windowHeight="12456" xr2:uid="{00000000-000D-0000-FFFF-FFFF00000000}"/>
  </bookViews>
  <sheets>
    <sheet name="Tesis" sheetId="2" r:id="rId1"/>
    <sheet name="Sexenios" sheetId="3" r:id="rId2"/>
    <sheet name="Ingresos investigación 2019" sheetId="6" r:id="rId3"/>
    <sheet name="Ingresos investigación 2020" sheetId="7" r:id="rId4"/>
    <sheet name="Ingresos investigación 2021" sheetId="8" r:id="rId5"/>
  </sheets>
  <definedNames>
    <definedName name="_xlnm._FilterDatabase" localSheetId="1" hidden="1">Sexenios!$A$1:$S$1</definedName>
    <definedName name="_xlnm._FilterDatabase" localSheetId="0" hidden="1">Tesis!$A$1:$U$1</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8" i="3" l="1"/>
  <c r="S63" i="2" l="1"/>
  <c r="B40" i="7" l="1"/>
  <c r="B31" i="6" l="1"/>
  <c r="D29" i="8" s="1"/>
</calcChain>
</file>

<file path=xl/sharedStrings.xml><?xml version="1.0" encoding="utf-8"?>
<sst xmlns="http://schemas.openxmlformats.org/spreadsheetml/2006/main" count="1383" uniqueCount="393">
  <si>
    <t>Orgánica
Descripción justificante</t>
  </si>
  <si>
    <t>Importe</t>
  </si>
  <si>
    <t>Total</t>
  </si>
  <si>
    <t>35.70.6C.00.22</t>
  </si>
  <si>
    <t>35.70.6C.00.23</t>
  </si>
  <si>
    <t>35.70.6P.00.10</t>
  </si>
  <si>
    <t>35.70.6X.00.03</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</si>
  <si>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</si>
  <si>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</si>
  <si>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</si>
  <si>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</si>
  <si>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</si>
  <si>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</si>
  <si>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</si>
  <si>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</si>
  <si>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</si>
  <si>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</si>
  <si>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</si>
  <si>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</si>
  <si>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</si>
  <si>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</si>
  <si>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</si>
  <si>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</si>
  <si>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</si>
  <si>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</si>
  <si>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</si>
  <si>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</si>
  <si>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</si>
  <si>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</si>
  <si>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50</t>
  </si>
  <si>
    <t/>
  </si>
  <si>
    <t>Director de tesis </t>
  </si>
  <si>
    <t>10</t>
  </si>
  <si>
    <t>23/09/2019 </t>
  </si>
  <si>
    <t>20</t>
  </si>
  <si>
    <t>10.19</t>
  </si>
  <si>
    <t>11/07/2017 </t>
  </si>
  <si>
    <t>20/07/2017 </t>
  </si>
  <si>
    <t>20/09/2019 </t>
  </si>
  <si>
    <t>ZZ </t>
  </si>
  <si>
    <t>SIN ASIGNAR </t>
  </si>
  <si>
    <t>10.06</t>
  </si>
  <si>
    <t>B158 </t>
  </si>
  <si>
    <t>LENGUAJES Y SISTEMAS INFORMÁTICOS </t>
  </si>
  <si>
    <t>DOCTORADO EN APLICACIONES DE LA INFORMÁTICA </t>
  </si>
  <si>
    <t>29/06/2017 </t>
  </si>
  <si>
    <t>19/07/2018 </t>
  </si>
  <si>
    <t>U062 </t>
  </si>
  <si>
    <t>ADM. I.U. DE INVESTIGACIÓN INFORMÁTICA </t>
  </si>
  <si>
    <t>DOCTORADO EN INFORMÁTICA </t>
  </si>
  <si>
    <t>B158</t>
  </si>
  <si>
    <t>21467137H </t>
  </si>
  <si>
    <t>21494991L </t>
  </si>
  <si>
    <t>21453179K </t>
  </si>
  <si>
    <t>73993969W </t>
  </si>
  <si>
    <t>21473652R </t>
  </si>
  <si>
    <t>21512592W </t>
  </si>
  <si>
    <t>52771535J </t>
  </si>
  <si>
    <t>21488273V </t>
  </si>
  <si>
    <t>73766251F </t>
  </si>
  <si>
    <t>52777349P </t>
  </si>
  <si>
    <t>33481301V </t>
  </si>
  <si>
    <t>21444874L </t>
  </si>
  <si>
    <t>21513360B </t>
  </si>
  <si>
    <t>21439614A </t>
  </si>
  <si>
    <t>44759120Q </t>
  </si>
  <si>
    <t>21645638Q </t>
  </si>
  <si>
    <t>21464202G </t>
  </si>
  <si>
    <t>Bernabeu Briones, Jose Francisco </t>
  </si>
  <si>
    <t>SIMILARITY LEARNING AND STOCHASTIC LANGUAGE MODELS FOR TREE-REPRESENTED MUSIC </t>
  </si>
  <si>
    <t>21417213G </t>
  </si>
  <si>
    <t>Calle Jiménez, Tania Elizabeth </t>
  </si>
  <si>
    <t>APORTACIONES TÉCNICAS Y PEDAGÓGICAS A LA CREACIÓN DE MAPAS DE LÍNEA ACCESIBLES </t>
  </si>
  <si>
    <t>Navarrete Rueda, Rosa del Carmen </t>
  </si>
  <si>
    <t>APLICACIÓN DE LA EXPERIENCIA DE USUARIO ACCESIBLE EN ENTORNOS WEB DE RECURSOS EDUCATIVOS ABIERTOS </t>
  </si>
  <si>
    <t>Sánchez Gordón, Sandra Patricia </t>
  </si>
  <si>
    <t>DESARROLLO DE UN PROCESO DE IMPLEMENTACIÓN DE CURSOS EN LÍNEA MASIVOS Y ABIERTOS ACCESIBLES </t>
  </si>
  <si>
    <t>02/05/2017 </t>
  </si>
  <si>
    <t>Valero Mas, Jose Javier </t>
  </si>
  <si>
    <t>TOWARDS INTERACTIVE MULTIMODAL MUSIC TRANSCRIPTION </t>
  </si>
  <si>
    <t>Canales Zaragoza, Lea </t>
  </si>
  <si>
    <t>TACKLING THE CHALLENGE OF EMOTION ANNOTATION IN TEXT </t>
  </si>
  <si>
    <t>Peñafiel Aguilar, Mirian Guadalupe </t>
  </si>
  <si>
    <t>APORTACIONES PARA LA MEJORA DE LA EDUCACIÓN VIRTUAL EN LA ENSEÑANZA DE LA INGENIERÍA </t>
  </si>
  <si>
    <t>16/02/2018 </t>
  </si>
  <si>
    <t>Torregrosa Rivero, Daniel </t>
  </si>
  <si>
    <t>BLACK-BOX INTERACTIVE TRANSLATION PREDICTION </t>
  </si>
  <si>
    <t>25/05/2018 </t>
  </si>
  <si>
    <t>Barros Catalán, Cristina </t>
  </si>
  <si>
    <t>PROPOSAL OF A HYBRID APPROACH FOR NATURAL LANGUAGE GENERATION AND ITS APPLICATION TO HUMAN LANGUAGE TECHNOLOGIES </t>
  </si>
  <si>
    <t>53232971T </t>
  </si>
  <si>
    <t>Bustos Moreno, Aurelia María </t>
  </si>
  <si>
    <t>EXTRACTION OF MEDICAL KNOWLEDGE FROM CLINICAL REPORTS AND CHEST X-RAYS USING MACHINE LERANING TECHNIQUES </t>
  </si>
  <si>
    <t>01/07/2019 </t>
  </si>
  <si>
    <t>48455569C </t>
  </si>
  <si>
    <t>Candela Romero, Gustavo </t>
  </si>
  <si>
    <t>PUBLICACIÓN Y ENRIQUECIMIENTO SEMÁNTICO DE DATOS ABIERTOS EN BIBLIOTECAS DIGITALES </t>
  </si>
  <si>
    <t>02/07/2019 </t>
  </si>
  <si>
    <t>21395951V </t>
  </si>
  <si>
    <t>21450055W </t>
  </si>
  <si>
    <t>Castro Castro, Daniel </t>
  </si>
  <si>
    <t>VERIFICACIÓN DE AUTORÍA,. MODELOS INTRÍNSECOS BASADOS EN SEMAJANZA </t>
  </si>
  <si>
    <t>28/01/2019 </t>
  </si>
  <si>
    <t>Moscoso Zea, Oswaldo Vicente </t>
  </si>
  <si>
    <t>A HYBRID INFRASTRUCTURE OF ENTREPRISE ARCHITECTURE AND BUSINESS INTELLIGENCE &amp; ANALYTICS TO EMPOWER KNOWLEGDE MANAGEMENT IN EDUCATION </t>
  </si>
  <si>
    <t>Toala Sánchez, Glenda Marilú </t>
  </si>
  <si>
    <t>IMPACTO DEL FACTOR HUMANO EN LA INGENIERÍA DIRIGIDA POR MODELOS </t>
  </si>
  <si>
    <t>NIF</t>
  </si>
  <si>
    <t>NOMBRE_COMPLETO</t>
  </si>
  <si>
    <t>TIPO_SEXENIO</t>
  </si>
  <si>
    <t>Total general</t>
  </si>
  <si>
    <t>INS
1</t>
  </si>
  <si>
    <t>DED
INS 1</t>
  </si>
  <si>
    <t>INS
2</t>
  </si>
  <si>
    <t>DED
INS 2</t>
  </si>
  <si>
    <t>DED
DEP</t>
  </si>
  <si>
    <t>SEX
INS 1</t>
  </si>
  <si>
    <t>SEX
INS 2</t>
  </si>
  <si>
    <t>SEX
DEP</t>
  </si>
  <si>
    <t>FUNCIONARIO</t>
  </si>
  <si>
    <t>NO FUNCIONARIO</t>
  </si>
  <si>
    <t>33481301V</t>
  </si>
  <si>
    <t>CACHERO CASTRO, CRISTINA</t>
  </si>
  <si>
    <t>21450055W</t>
  </si>
  <si>
    <t>CARRASCO JIMENEZ, RAFAEL CARLOS</t>
  </si>
  <si>
    <t>21464202G</t>
  </si>
  <si>
    <t>FERRANDEZ RODRIGUEZ, ANTONIO</t>
  </si>
  <si>
    <t>21444874L</t>
  </si>
  <si>
    <t>FORCADA ZUBIZARRETA, MIKEL LORENZO</t>
  </si>
  <si>
    <t>48351140B</t>
  </si>
  <si>
    <t>GARRIGOS FERNANDEZ, IRENE</t>
  </si>
  <si>
    <t>21475880K</t>
  </si>
  <si>
    <t>GOMEZ ORTEGA, JAIME</t>
  </si>
  <si>
    <t>21439614A</t>
  </si>
  <si>
    <t>IÑESTA QUEREDA, JOSE MANUEL</t>
  </si>
  <si>
    <t>21513360B</t>
  </si>
  <si>
    <t>LUJAN MORA, SERGIO</t>
  </si>
  <si>
    <t>21473652R</t>
  </si>
  <si>
    <t>MARTINEZ BARCO, PATRICIO MANUEL</t>
  </si>
  <si>
    <t>73993969W</t>
  </si>
  <si>
    <t>MAZON LOPEZ, JOSE NORBERTO</t>
  </si>
  <si>
    <t>52777349P</t>
  </si>
  <si>
    <t>MELIA BEIGBEDER, SANTIAGO</t>
  </si>
  <si>
    <t>21453179K</t>
  </si>
  <si>
    <t>MONTOYO GUIJARRO, JUAN ANDRES</t>
  </si>
  <si>
    <t>21482756C</t>
  </si>
  <si>
    <t>MOREDA POZO, MARIA PALOMA</t>
  </si>
  <si>
    <t>21467137H</t>
  </si>
  <si>
    <t>MUÑOZ GUILLENA, RAFAEL</t>
  </si>
  <si>
    <t>53230124M</t>
  </si>
  <si>
    <t>MUÑOZ TEROL, RAFAEL</t>
  </si>
  <si>
    <t>21430250T</t>
  </si>
  <si>
    <t>ONCINA CARRATALA, JOSE MARIA</t>
  </si>
  <si>
    <t>20413324L</t>
  </si>
  <si>
    <t>PALOMAR SANZ, MANUEL JAVIER</t>
  </si>
  <si>
    <t>21488273V</t>
  </si>
  <si>
    <t>PERAL CORTES, JESUS</t>
  </si>
  <si>
    <t>48455569C</t>
  </si>
  <si>
    <t>PERTUSA IBAÑEZ, ANTONIO JORGE</t>
  </si>
  <si>
    <t>73766251F</t>
  </si>
  <si>
    <t>RICO JUAN, JUAN RAMON</t>
  </si>
  <si>
    <t>21512592W</t>
  </si>
  <si>
    <t>SANCHEZ MARTINEZ, FELIPE</t>
  </si>
  <si>
    <t>52778169T</t>
  </si>
  <si>
    <t>44759120Q</t>
  </si>
  <si>
    <t>TOMAS DIAZ, DAVID</t>
  </si>
  <si>
    <t>21494991L</t>
  </si>
  <si>
    <t>TRUJILLO MONDEJAR, JUAN CARLOS</t>
  </si>
  <si>
    <t>74085154S</t>
  </si>
  <si>
    <t>VICEDO GONZALEZ, JOSE LUIS</t>
  </si>
  <si>
    <t>35.70.6X.00.00</t>
  </si>
  <si>
    <t>Responsable</t>
  </si>
  <si>
    <t xml:space="preserve">Tareas de dirección en el marco del proyecto Data Quality for the Internet of Things según los paquetes de trabajo DQIoT 3, 4, 5 y 6, indicados en el convenio con la UA por importe total de 11.762€ </t>
  </si>
  <si>
    <t>Hoja de encargo número 2 por: - Tareas de asesoramiento cientlfico y técnico en el  marco de proyectos de e-learning, cloud computing, analíticas de BIG Data e lo T y Machine learning - Desarrollo de algortimos de análisis - Apoyo a la solicitud de proyectos y becas nacionales e internacionales para empresas  - Dirección de equipos</t>
  </si>
  <si>
    <t>35.70.6M.00.07</t>
  </si>
  <si>
    <t>LUNATICDESIGN1-19FPA. Impartir cursos de programación de Scratch y App Inventor a alumnado de Educación Primaria y Secundaria.</t>
  </si>
  <si>
    <t>35.70.6N.00.01</t>
  </si>
  <si>
    <t>Reintegro de Cuota Patronal del mes de diciembre 2019</t>
  </si>
  <si>
    <t>Reintegro de cuota patronal del mes de julio 2019</t>
  </si>
  <si>
    <t>FLIB 23/04/19. PROYECTOS RETOS I+D+I 2016. ANUAL 2019 PROYECTOS I+D RETOS (PIA13) N EXPEDIENTE: PIA132016-1 - 4 ANUALIDAD REFERENCIA: TIN2. REF. DEL ORDENANTE PARA EL BENEFICIARIO: 27402219310017962.</t>
  </si>
  <si>
    <t>35.70.6P.00.18</t>
  </si>
  <si>
    <t>PAGO 1 ANUALIDAD PROYECTOS RETOS I+D+I 2018. ANUAL 2019 PROYECTOS I+D RETOS (PIA 13) N EXPEDIENTE: PIA 132018 - 1- 1 ANUALIDAD REFERENCIA: R. REFERENCIA DEL ORDENANTE PARA EL BENEFICIARIO: 00173219310010871 - 2019/009686</t>
  </si>
  <si>
    <t>PARA EL PAGO DE LA ANUALIDAD 2019 DE LA CONVOCATORIA RTI 2018 PROYECTOS I+D RETOS (PIA 13) N EXPEDIENTE: PIA 132018-1  - 1 ANUALIDAD REFERENC REFERENCIA DEL ORDENANTE PARA EL BENEFICIARIO: 27402219310027505</t>
  </si>
  <si>
    <t>35.70.6P.00.19</t>
  </si>
  <si>
    <t>PAGO 1 ANUALIDAD PROYECTOS RETOS I+D+I 2018. ANUAL 2019 PROYECTOS I+D RETOS (PIA 13) N EXPEDIENTE: PIA 132018 - 1- 1 ANUALIDAD REFERENCIA: R. REFERENCIA DEL ORDENANTE PARA EL BENEFICIARIO: 00173219310010869 - 2019/009685</t>
  </si>
  <si>
    <t>PARA EL PAGO  DE LA ANUALIDAD 2019 DE LA CONVOCATORIA RTI 2018 PROYECTOS I+D RETOS (PIA 13) N EXPEDIENTE: PIA 132018-1  -1 ANUALIDAD REFERENC REFERENCIA DEL ORDENANTE PARA EL BENEFICIARIO: 27402219310027356</t>
  </si>
  <si>
    <t>35.70.6S.00.19</t>
  </si>
  <si>
    <t>TERCER PAGO PROYECTO EUROPEO E-COM4CHILDREN - AIJU. LA OFICINA DE GESTIÓN DE PR0YECTOS INTERNACIONALES INFORMA QUE SE TRATA DEL TERCER INGRESO DEL PROYECTO "E COM 4 CHILDREN". DEPARTAMENTO DE LENGUAJES Y SISTEMAS INFORMÁTICOS.</t>
  </si>
  <si>
    <t>35.70.6X.00.04</t>
  </si>
  <si>
    <t>H2020 PROJECT GOURMENT GRANT AGREEM. REFERENCIA: 319169060883781. LA OFICINA DE GESTIÓN DE PROYECTOS INTERNACIONALES INFORMA QUE CORRESPONDE CON EL PRIMER PAGO DEL PROYECTO GOURMET. DEPARTANTO DE LENGUAJES Y SISTEMAS INFORMÁTICOS.</t>
  </si>
  <si>
    <t>35.70.6X.00.05</t>
  </si>
  <si>
    <t>EC PROYECT PARACRAWL 3 GRANT AGREEMENT 2018-EU-IA-0063 PREFINANCING PAYMENT. REF. BENEFICIARIO: ELBANK046542343X. LA OFICINA DE GESTIÓN DE PROYECTOS INTERNACIONALES INFORMA QUE SE TRATA DEL PRIMER PAGO DEL PROYECTO PARACRAWL 3.</t>
  </si>
  <si>
    <t>35.70.6X.00.07</t>
  </si>
  <si>
    <t>PRIMER PAGO DEL PROYECTO EDUTECH, COORDINADO POR EL PROFESOR SERGIO LUJÁN.</t>
  </si>
  <si>
    <t>Acosta Vargas, Nelly Patricia </t>
  </si>
  <si>
    <t>EVALUACIÓN DE LA ACCESIBILIDAD WEB CON HERRAMIENTAS AUTOMÁTICAS Y UN MÉTODO HEURÍSTICO ARA USUARIOS CON BAJA VISIÓN </t>
  </si>
  <si>
    <t>11/02/2020 </t>
  </si>
  <si>
    <t>Arroba Rimassa, Jorge </t>
  </si>
  <si>
    <t>EL ANÁLISIS DE OPINIONES EN LA PREDICCIÓN POLÍTICA BASADOS EN TWITTER. UN NUEVO ENFOQUE </t>
  </si>
  <si>
    <t>28/10/2019 </t>
  </si>
  <si>
    <t>Buenaño Fernández, Diego Patricio </t>
  </si>
  <si>
    <t>PROPUESTA DE UN CONJUNTO DE HERRAMIENTAS DE MINERÍA DE DATOS PARA EVALUAR EL DESEMPEÑO DE LOS ESTUDIANTES Y LOS PROCESOS DE ENSEÑANZA-APRENDIZAJE EN EL ÁMBITO DE LA EDUACIÓN EN LA INGENIERÍA </t>
  </si>
  <si>
    <t>19/06/2020 </t>
  </si>
  <si>
    <t>Cadena Vela, Susana Graciela </t>
  </si>
  <si>
    <t>MARCO DE REFERENCIA PARA LA PUBLICACIÓN DE DATOS ABIERTOS COMPRENSIBLES BASADO EN ESTÁNDARES DE CALIDAD </t>
  </si>
  <si>
    <t>20/11/2019 </t>
  </si>
  <si>
    <t>Enríquez Reyes, Robert </t>
  </si>
  <si>
    <t>SELECCIÓN DE CONJUNTOS DE DATOS A PUBLICAR EN ABIERTO BASADA EN EL MÉTODO DELPHI DIFUSO </t>
  </si>
  <si>
    <t>Escobar Esteban, María Pilar </t>
  </si>
  <si>
    <t>UN ENFOQUE MULTIDIMENSIONAL BASADO EN RDF PARA LA PUBLICACIÓN DE LINKED OPEN DATA </t>
  </si>
  <si>
    <t>07/07/2020 </t>
  </si>
  <si>
    <t>Kauffmann Incer, Erick </t>
  </si>
  <si>
    <t>ARQUITECTURA PARA ANALÍTICAS DE DATOS ORIENTADA A LA AYUDA DEL PROCESO DE LA TOMA DE DECISIONES </t>
  </si>
  <si>
    <t>16/01/2020 </t>
  </si>
  <si>
    <t>Villegas Chiliquinga, William Eduardo </t>
  </si>
  <si>
    <t>ARQUITECTURA PARA LA GESTIÓN DE DATOS EN UN CAMPUS INTELIGENTE </t>
  </si>
  <si>
    <t>24/01/2020 </t>
  </si>
  <si>
    <t>GRANT AGREEMENT 2017-EU-IA-0178 PROJECT PARACRAWL FINAL PAYMENT. REF. BENEFICIARIO: ELBANK046507780X. LA OFICINA DE GESTIÓN DE PROYECTOS INTERNACIONALES INFORMA QUE SE TRATA DEL ÚLTIMO PAGO DEL PROYECTO PARACRAWL1.</t>
  </si>
  <si>
    <t>74004743N</t>
  </si>
  <si>
    <t>CALVO ZARAGOZA, JORGE</t>
  </si>
  <si>
    <t>53232971T</t>
  </si>
  <si>
    <t>LLORET PASTOR, ELENA</t>
  </si>
  <si>
    <t>48558539L</t>
  </si>
  <si>
    <t>MATE MORGA, ALEJANDRO</t>
  </si>
  <si>
    <t>52771535J</t>
  </si>
  <si>
    <t>PEREZ ORTIZ, JUAN ANTONIO</t>
  </si>
  <si>
    <t>02380426H</t>
  </si>
  <si>
    <t>GUTIERREZ VAZQUEZ, YOAN</t>
  </si>
  <si>
    <t>47075279Y</t>
  </si>
  <si>
    <t>TERUEL MARTINEZ, MIGUEL ANGEL</t>
  </si>
  <si>
    <t>Ingresado en cuenta de OGPI 51.11.6X.00.13</t>
  </si>
  <si>
    <t>COD DEP</t>
  </si>
  <si>
    <t>vivos</t>
  </si>
  <si>
    <t>44762540D</t>
  </si>
  <si>
    <t>VAZQUEZ PEREZ, SONIA</t>
  </si>
  <si>
    <t>52776534K</t>
  </si>
  <si>
    <t>NAVARRO COLORADO, FRANCISCO DE BORJA</t>
  </si>
  <si>
    <t>U044 </t>
  </si>
  <si>
    <t>ADM. FACULTAD DE CIENCIAS DE LA SALUD </t>
  </si>
  <si>
    <t>DOCTORADO EN CIENCIAS DE LA SALUD </t>
  </si>
  <si>
    <t>Silva Barrera, Blanca Patricia </t>
  </si>
  <si>
    <t>ESTUDIO DESCRIPTIVO SOBRE LOS FACTORES DE VULNERABILIDAD QUE AFECTAN AL INGRESO DE PACIENTES EN UN HOSPITAL PSIQUIÁTRICO ALEMÁN (2001-2014) </t>
  </si>
  <si>
    <t>12/11/2020 </t>
  </si>
  <si>
    <t>Herrera Flores, Boris Enrique </t>
  </si>
  <si>
    <t>Propuesta metodológica para el desarrollo de sistemas automáticos de evaluación </t>
  </si>
  <si>
    <t>26/10/2020 </t>
  </si>
  <si>
    <t>02380426H </t>
  </si>
  <si>
    <t>Acosta Hurtado, Tania Aleyda </t>
  </si>
  <si>
    <t>LINEAMIENTOS PARA EL DISEÑO, PUBLICACIÓN Y EVALUACIÓN DEL CONTENIDO MULTIMEDIA ACCESIBLE EN LA WEB </t>
  </si>
  <si>
    <t>05/11/2020 </t>
  </si>
  <si>
    <t>Startseva , Elena </t>
  </si>
  <si>
    <t>Líneas de investigación cibernética y biótica. Modelado y simulación de sistemas biológicos. Ingeniería de conocimiento para la mejora de la orientación académica. </t>
  </si>
  <si>
    <t>11/02/2021 </t>
  </si>
  <si>
    <t>Hochstetter Diez, Jorge Alberto </t>
  </si>
  <si>
    <t>Impacto de la calidad del documento de requisitos sobre el proceso de licitaciones públicas de proyectos de desarrollo software </t>
  </si>
  <si>
    <t>14/01/2021 </t>
  </si>
  <si>
    <t>Naranjo Zeledón, Luis Carlos </t>
  </si>
  <si>
    <t>¿Arquitectura de componentes de refuerzo del aprendizaje de lengua de señas empleando proximidad fonológica¿ </t>
  </si>
  <si>
    <t>27/09/2021 </t>
  </si>
  <si>
    <t>Salvador Ullauri, Luis Antonio </t>
  </si>
  <si>
    <t>Evaluación de la accesibilidad para personas con deficiencia visual en juegos serios basados en la web </t>
  </si>
  <si>
    <t>25/02/2021 </t>
  </si>
  <si>
    <t>Criollo Caizaguano, Luis </t>
  </si>
  <si>
    <t>Propuesta de un conjunto de herramientas para el análisis y evaluación de prácticas educativas innovadoras en el aprendizaje electrónico móvil </t>
  </si>
  <si>
    <t>08/09/2021 </t>
  </si>
  <si>
    <t>Lavalle López, Ana </t>
  </si>
  <si>
    <t>A methodology for the visual comprehension of Big Data </t>
  </si>
  <si>
    <t>15/07/2021 </t>
  </si>
  <si>
    <t>48558539L </t>
  </si>
  <si>
    <t>Ortega Bastida, Javier </t>
  </si>
  <si>
    <t>Aproximación de soluciones multimodales para aplicaciones Deep Learning. </t>
  </si>
  <si>
    <t>30/09/2021 </t>
  </si>
  <si>
    <t>48531956R </t>
  </si>
  <si>
    <t>Tardio Olmos, Roberto </t>
  </si>
  <si>
    <t>Un método iterativo y alineado con los planes estratégicos para modelar, integrar y analizar datos en escenarios Big Data. </t>
  </si>
  <si>
    <t>19/07/2021 </t>
  </si>
  <si>
    <t>Román García, Miguel Ángel </t>
  </si>
  <si>
    <t>An End-to-End Framework for Audio to Score Music Transcription </t>
  </si>
  <si>
    <t>20/01/2021 </t>
  </si>
  <si>
    <t>74004743N </t>
  </si>
  <si>
    <t>González Mora, César </t>
  </si>
  <si>
    <t>An APIfication Approach to Facilitate the Access and Reuse of Open Data </t>
  </si>
  <si>
    <t>10/09/2021 </t>
  </si>
  <si>
    <t>48351140B </t>
  </si>
  <si>
    <t>Ortega , John Evan </t>
  </si>
  <si>
    <t>Fuzzy-match repair in computer-aided translation using black-box machine translation </t>
  </si>
  <si>
    <t>01/03/2021 </t>
  </si>
  <si>
    <t>REINTEGRO CUOTA PATRONAL CORRESPONDIENTE A DICIEMBRE DE 2020.</t>
  </si>
  <si>
    <t xml:space="preserve">Tareas de dirección en el marco del proyecto Data Quality for the Internet of Things según los paquetes de trabajo DQIoT 5 y 6, indicados en el convenio con la UA por importe total de 8.806 euros (IVA Incluido), correspondiente a las tareas de dirección del año 2020. </t>
  </si>
  <si>
    <t>35.70.6C.00.28</t>
  </si>
  <si>
    <t>Primera aportación , AYUDA PARA CONTRATOS PREDOCTORALES COFINANCIADOS ENTRE LA UNIVERSIDAD DE ALICANTE Y UNA EMPRESA</t>
  </si>
  <si>
    <t>Segunda aportación. AYUDAS PARA CONTRATOS PREDOCTORALES COFINANCIADOS ENTRE LA UNIVERSIDAD DE ALICANTE Y UNA EMPRESA.</t>
  </si>
  <si>
    <t>35.70.6C.00.29</t>
  </si>
  <si>
    <t>Referencia de pedido: 6037446. Proyecto: RUYBSCDAU1 (Anualidad 2018).</t>
  </si>
  <si>
    <t>35.70.6C.00.30</t>
  </si>
  <si>
    <t xml:space="preserve">EVALUACIÓN CIENTÍFICO TÉCNICA PARA VALORAR LA VIABILIDAD DEL PROYECTO DE EBC ID. 45 DE LA UNIVERSIDAD DE JAÉN  Nº Pedido 2020/9096 </t>
  </si>
  <si>
    <t>35.70.6C.00.31</t>
  </si>
  <si>
    <t>Contrato Autorizado 14/2020. Nº de pedido 1230 HOSPITALLAFE2-20I</t>
  </si>
  <si>
    <t xml:space="preserve">Soluciones Científico - Innovadoras para la lucha contra la COVID19 Proyecto 2020-181-1 Número de Contrato 14/2020. Segundo Pago HOSPITALLAFE2-20I  </t>
  </si>
  <si>
    <t>35.70.6C.00.32</t>
  </si>
  <si>
    <t>Asesoramiento en el campo del Procesamaiento del Lenguaje Natural, así como analizar ciertos desarrolos tecnológicos de la UA y ver su aplicabilidad a las actividades de la empresa.</t>
  </si>
  <si>
    <t>35.70.6H.00.03</t>
  </si>
  <si>
    <t>REINTEGRO CUOTA PATRONAL CORRESPONDIENTE AL MES DE ENERO DE 2020.</t>
  </si>
  <si>
    <t>35.70.6M.00.08</t>
  </si>
  <si>
    <t>Realización del trabajo indicado conforme a lo establecido en contrato: Impartir cursos de programación de Scratch y App Inventor a alumnos y alumnas de Educación Primaria y Secundaria.</t>
  </si>
  <si>
    <t xml:space="preserve">FLIB. 13/10/2020. PROYECTOS RETOS INVESTIGACION 2018. ANUAL 2020 PROYECTOS I+D RETOS (PIA13) N EXPEDIENTE: PIA132018-1 - 2 ANUALIDAD REFER   </t>
  </si>
  <si>
    <t>FLIB 30/06/2020. PROYECTOS RETOS INVESTIGACION 201 / 8. ANUAL 2020 PROYECTOS I+D RETOS (PIA13) N E / XPEDIENTE: PIA132018-1 - 2 ANUALIDAD REFERE / GOVT / 27402220310030672</t>
  </si>
  <si>
    <t>35.70.6P.00.21</t>
  </si>
  <si>
    <t xml:space="preserve">PAGO CONVOCATORIA PROYECTOS 2019 1ANUALIDAD 2020 PROYECTOS I+D (PIA 1)N EXPEDIENTE: PIA 1 2019-1-1. ANUALIDAD REFERENCIA: PID2019-111196RB-I00 </t>
  </si>
  <si>
    <t>35.70.6P.00.22</t>
  </si>
  <si>
    <t>SUBVENCIONES PARA LA REALIZACIÓN DE PROYECTOS DE I+D+I DESARROLLADOS POR GRUPOS DE INVESTIGACIÓN EMERGENTES GV/2020 (NNOVACIÓN,UNIVERSIDADES,CIENCIA SOC.DIG)</t>
  </si>
  <si>
    <t>35.70.6P.00.23</t>
  </si>
  <si>
    <t>RESOLUCIÓN CONCESIÓN DE FECHA 8 DE OCTUBRE DE 2020 SUBVENCIÓN AICO 2020 (INNOVACIÓN,UNIVERSIDADES,CIENCIA SOC.DIG)</t>
  </si>
  <si>
    <t>5º PAGO DEL PROYECTO E-COM 4 CHILDREN (INVESTIGADOR PRINCIPAL JUAN CARLOS TRUJILLO).</t>
  </si>
  <si>
    <t>6º PAGO DEL PROYECTO E-COM 4 CHILDREN, INVESTIGADOR PRINCIPAL JUAN CARLOS TRUJILLO</t>
  </si>
  <si>
    <t>CUARTO PAGO PROYECTO EUROPEO ECOMCHILDREN - AIJU. LA OFICINA DE GESTIÓN DE PROYECTOS INTERNACIONALES INFORMA QUE SE TRATA DEL CUARTO INGRESO DEL PROYECTO "E COM 4 CHILDREN". DEPARTAMENTO DE LENGUAJES Y SISTEMAS INFORMÁTICOS.</t>
  </si>
  <si>
    <t>PAGO FINAL DEL PROYECTO E-COM 4 CHILDREN, INVESTIGADOR PRINCIPAL JUAN CARLOS TRUJILLO</t>
  </si>
  <si>
    <t>35.70.6X.00.06</t>
  </si>
  <si>
    <t>First payment multitrain mt project "wf616719" liderado por el profesor Juan Antonio Pérez Ortiz.</t>
  </si>
  <si>
    <t>SEGUNDO PAGO DEL PROYECTO EDUTECH, COORDINADO POR EL PROFESOR SERGIO LUJÁN.</t>
  </si>
  <si>
    <t>Unidad</t>
  </si>
  <si>
    <t>Cód. org. aplic.</t>
  </si>
  <si>
    <t>Descripción justificante</t>
  </si>
  <si>
    <t>35.70</t>
  </si>
  <si>
    <t>35.70.6C.00.26</t>
  </si>
  <si>
    <t>Segunda aportación , AYUDA PARA CONTRATOS PREDOCTORALES COFINANCIADOS ENTRE LA UNIVERSIDAD DE ALICANTE Y UNA EMPRESA. Convenio LUCENTIALAB2-18Y</t>
  </si>
  <si>
    <t>Primera aportación, AYUDA PARA CONTRATOS PREDOCTORALES COFINANCIADOS ENTRE LA UNIVERSIDAD DE ALICANTE Y UNA EMPRESA. Convenio LUCENTIALAB2-18Y</t>
  </si>
  <si>
    <t>Tercera aportación, AYUDA PARA CONTRATOS PREDOCTORALES COFINANCIADOS ENTRE LA UNIVERSIDAD DE ALICANTE Y UNA EMPRESA. Convenio LUCENTIALAB2-18Y</t>
  </si>
  <si>
    <t>Cuarta aportación, AYUDA PARA CONTRATOS PREDOCTORALES COFINANCIADOS ENTRE LA UNIVERSIDAD DE ALICANTE Y UNA EMPRESA. Convenio LUCENTIALAB2-18Y</t>
  </si>
  <si>
    <t>35.70.6C.00.27</t>
  </si>
  <si>
    <t>Scientific Consulting Services from Univesity of Alicante to Smartling from April 2020 to October  (SMARTLING1-20AD)</t>
  </si>
  <si>
    <t>Scientific Consulting Services from University of Alicante to Smartiling from October 2019 to April 2020 (SMARTILING 1-19A)</t>
  </si>
  <si>
    <t>35.70.6C.00.33</t>
  </si>
  <si>
    <t>Contrato de I+D+I con centros tecnológicos o de investigación</t>
  </si>
  <si>
    <t>35.70.6M.00.10</t>
  </si>
  <si>
    <t>Denominación de la acción formativa: "Implementación de la accesibilidad web". Número de acción formativa y grupo: 00014.00001 Descripción del servicio prestado: formación. Fecha: del 02/02/2021 al 05/02/2021. Número de horas: 20 horas. Lugar de impartición: Aula Virtual. Número de participantes: 30 El objetivo de la formación es conseguir los conocimientos necesarios para desarrollar sitios web accesibles que cumplan las Pautas de Accesibilidad al Contenido Web 2.1 (Web Content Accessibility Guidelines) que se aplican en España.</t>
  </si>
  <si>
    <t xml:space="preserve">RTI2018-094653-B-C22 </t>
  </si>
  <si>
    <t>PID2019-111196RB-I00</t>
  </si>
  <si>
    <t>RESOLUCIÓN CONCESIÓN SUBVENCIONESEMERGENTES GV 2020 EN 2021</t>
  </si>
  <si>
    <t>RES. CONCESIÓN SUBVENCIONES PARA GRUPOSINVESTIGACIÓN CONSOLIDABLES AICO 2020 EN2021</t>
  </si>
  <si>
    <t>35.70.6P.00.25</t>
  </si>
  <si>
    <t>AYUDAS GRUPOS EMERGENTES ANUALIDAD 2021</t>
  </si>
  <si>
    <t>35.70.6P.00.26</t>
  </si>
  <si>
    <t>PID2020-112540RB-C43</t>
  </si>
  <si>
    <t>35.70.6S.00.11</t>
  </si>
  <si>
    <t>CORE GROUP MEETING PREPARATION</t>
  </si>
  <si>
    <t>PAGO INTERMEDIO DEL PROYECTO GOURMET, SEGÚN INFORMAN DESDE LA OGPI</t>
  </si>
  <si>
    <t>SECOND PAYMEMT MULTITRAIN MT PROJECT, SEGÚN INFORMAN DESDE LA OGPI</t>
  </si>
  <si>
    <t>4º INGRESO DEL PROYECTO Edu Tech; SEGÚN INFORMAN DESDE LA OGPI</t>
  </si>
  <si>
    <t xml:space="preserve">TERCER PAGO DEL PROYECTO EDuTECH, SEGÚN INFORMAN DESDE LA OGPi </t>
  </si>
  <si>
    <t>35.70.6X.00.08</t>
  </si>
  <si>
    <t>FIRST HALF OF AWARD EAMT CFP 2020</t>
  </si>
  <si>
    <t>SEGUNDO PAGO DEL PROYECTO EAMT -2020. SEGUN INFORMA OGPI</t>
  </si>
  <si>
    <t>35.70.6X.00.09</t>
  </si>
  <si>
    <t>PRIMER PAGO PROYECTO SKOPS, SEGÚN INFORMAN DESDE LA OGPI. (VA AL DEPART LENGUAJES Y SISTEMAS INFORMÁTICOS)</t>
  </si>
  <si>
    <t>Diéguez Rebolledo, Mauricio Rubén </t>
  </si>
  <si>
    <t>Enfoque metodológico para la selección de controles de seguridad de la información </t>
  </si>
  <si>
    <t>18/02/2022 </t>
  </si>
  <si>
    <t>Larco Ampudia, Enrique Andrés </t>
  </si>
  <si>
    <t>Desarrollo de software basado en experiencia de usuario y prototipado para personas con discapacidad </t>
  </si>
  <si>
    <t>23/02/2022 </t>
  </si>
  <si>
    <t>Jaramillo Alcázar, Ángel Gabriel </t>
  </si>
  <si>
    <t>PROPUESTA DE UN MÉTODO PARA EL DESARROLLO DE VIDEOJUEGOS SERIOS </t>
  </si>
  <si>
    <t>08/06/2022 </t>
  </si>
  <si>
    <t>Martínez Mosquera, Silvia Diana </t>
  </si>
  <si>
    <t>Big data-driven optimization for performance management in mobile networks. </t>
  </si>
  <si>
    <t>15/11/2021 </t>
  </si>
  <si>
    <t>Bernabeu Lledó, María Luisa </t>
  </si>
  <si>
    <t>Búsqueda de imágenes similares usando técnicas de aprendizaje automático </t>
  </si>
  <si>
    <t>15/07/2022 </t>
  </si>
  <si>
    <t>Vicente Moreno, Esther Marta </t>
  </si>
  <si>
    <t>A Discourse-aware Macroplanning Approach for Text Generation and Beyond </t>
  </si>
  <si>
    <t>16/12/2021 </t>
  </si>
  <si>
    <t>Piad Morffis, Alejandro </t>
  </si>
  <si>
    <t>Ecosistema para el Descubrimiento de Conocimiento en Lenguaje Natural </t>
  </si>
  <si>
    <t>Estévez Velarde, Suilan </t>
  </si>
  <si>
    <t>Descubrimiento Automático de Flujos de Aprendizaje de Máquina basado en Gramáticas Probabilísticas </t>
  </si>
  <si>
    <t>02/12/2021 </t>
  </si>
  <si>
    <t>Alashhab , Samer Refat Hamzeh </t>
  </si>
  <si>
    <t>Aplicaciones de Visión Artificial para Ayuda a Personas con Dificultades Visuales </t>
  </si>
  <si>
    <t>01/07/2022 </t>
  </si>
  <si>
    <t>Sepúlveda Torres, Robiert </t>
  </si>
  <si>
    <t>¿Detección de información engañosa mediante Tecnologías del Lenguaje Humano e Inteligencia Artificial¿ </t>
  </si>
  <si>
    <t>18/03/2022 </t>
  </si>
  <si>
    <t>52778169T </t>
  </si>
  <si>
    <t>48531956R</t>
  </si>
  <si>
    <t>GALLEGO SANCHEZ, ANTONIO JAVIER</t>
  </si>
  <si>
    <t>48534266B</t>
  </si>
  <si>
    <t>ESPLA GOMIS, MIQUEL</t>
  </si>
  <si>
    <t>48625073Z</t>
  </si>
  <si>
    <t>BERTOMEU MOTOS, ARTURO</t>
  </si>
  <si>
    <t>SAQUETE BORO, MARIA ESTELA</t>
  </si>
  <si>
    <t>Total ingresos investigación 2019-2020-2021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</si>
</sst>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5" x14ac:knownFonts="1">
    <font>
      <sz val="11"/>
      <color theme="1"/>
      <name val="Calibri"/>
      <family val="2"/>
      <scheme val="minor"/>
    </font>
    <font>
      <sz val="8"/>
      <color theme="1"/>
      <name val="Arial"/>
      <family val="2"/>
    </font>
    <font>
      <b/>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sz val="8"/>
      <color rgb="FF000000"/>
      <name val="Arial"/>
      <family val="2"/>
    </font>
    <font>
      <b/>
      <sz val="11"/>
      <color theme="0"/>
      <name val="Calibri"/>
      <family val="2"/>
      <scheme val="minor"/>
    </font>
    <font>
      <sz val="11"/>
      <color rgb="FF000000"/>
      <name val="Calibri"/>
      <family val="2"/>
      <scheme val="minor"/>
    </font>
    <font>
      <b/>
      <sz val="10"/>
      <color theme="1"/>
      <name val="Arial"/>
      <family val="2"/>
    </font>
  </fonts>
  <fills count="12">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rgb="FFFFF2CC"/>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ck">
        <color theme="0"/>
      </top>
      <bottom/>
      <diagonal/>
    </border>
    <border>
      <left style="thin">
        <color theme="0"/>
      </left>
      <right style="thin">
        <color theme="0"/>
      </right>
      <top style="thick">
        <color theme="0"/>
      </top>
      <bottom/>
      <diagonal/>
    </border>
    <border>
      <left style="thin">
        <color theme="0"/>
      </left>
      <right/>
      <top style="thick">
        <color theme="0"/>
      </top>
      <bottom/>
      <diagonal/>
    </border>
    <border>
      <left/>
      <right/>
      <top style="thin">
        <color indexed="64"/>
      </top>
      <bottom style="thin">
        <color indexed="64"/>
      </bottom>
      <diagonal/>
    </border>
  </borders>
  <cellStyleXfs count="6">
    <xf numFmtId="0" fontId="0" fillId="0" borderId="0"/>
    <xf numFmtId="0" fontId="3" fillId="0" borderId="0"/>
    <xf numFmtId="0" fontId="6" fillId="0" borderId="0"/>
    <xf numFmtId="0" fontId="6" fillId="0" borderId="0"/>
    <xf numFmtId="0" fontId="7" fillId="0" borderId="0"/>
    <xf numFmtId="0" fontId="1" fillId="0" borderId="0"/>
  </cellStyleXfs>
  <cellXfs count="72">
    <xf numFmtId="0" fontId="0" fillId="0" borderId="0" xfId="0"/>
    <xf numFmtId="0" fontId="1" fillId="0" borderId="0" xfId="0" applyFont="1"/>
    <xf numFmtId="0" fontId="2" fillId="2" borderId="1" xfId="0" applyFont="1" applyFill="1" applyBorder="1" applyAlignment="1">
      <alignment horizontal="left" wrapText="1"/>
    </xf>
    <xf numFmtId="0" fontId="2" fillId="2" borderId="1" xfId="0" applyFont="1" applyFill="1" applyBorder="1" applyAlignment="1">
      <alignment horizontal="center"/>
    </xf>
    <xf numFmtId="0" fontId="1" fillId="0" borderId="1" xfId="0" applyFont="1" applyBorder="1"/>
    <xf numFmtId="4" fontId="1" fillId="0" borderId="1" xfId="0" applyNumberFormat="1" applyFont="1" applyBorder="1"/>
    <xf numFmtId="0" fontId="2" fillId="0" borderId="1" xfId="0" applyFont="1" applyBorder="1"/>
    <xf numFmtId="4" fontId="2" fillId="0" borderId="1" xfId="0" applyNumberFormat="1" applyFont="1" applyBorder="1"/>
    <xf numFmtId="0" fontId="4" fillId="3" borderId="1" xfId="1" applyFont="1" applyFill="1" applyBorder="1" applyAlignment="1">
      <alignment horizontal="center"/>
    </xf>
    <xf numFmtId="0" fontId="5" fillId="3" borderId="1" xfId="1" applyFont="1" applyFill="1" applyBorder="1" applyAlignment="1">
      <alignment horizontal="center"/>
    </xf>
    <xf numFmtId="0" fontId="5" fillId="3" borderId="1" xfId="2" applyFont="1" applyFill="1" applyBorder="1" applyAlignment="1">
      <alignment horizontal="center"/>
    </xf>
    <xf numFmtId="0" fontId="5" fillId="3" borderId="1" xfId="3" applyFont="1" applyFill="1" applyBorder="1" applyAlignment="1">
      <alignment horizontal="center" wrapText="1"/>
    </xf>
    <xf numFmtId="0" fontId="5" fillId="3" borderId="1" xfId="3" applyFont="1" applyFill="1" applyBorder="1" applyAlignment="1">
      <alignment horizontal="right" wrapText="1"/>
    </xf>
    <xf numFmtId="0" fontId="3" fillId="4" borderId="0" xfId="1" applyFont="1" applyFill="1" applyAlignment="1"/>
    <xf numFmtId="0" fontId="3" fillId="4" borderId="0" xfId="1" applyFont="1" applyFill="1" applyAlignment="1">
      <alignment horizontal="right"/>
    </xf>
    <xf numFmtId="0" fontId="9" fillId="5" borderId="1" xfId="3" applyFont="1" applyFill="1" applyBorder="1" applyAlignment="1">
      <alignment horizontal="center" textRotation="90" wrapText="1"/>
    </xf>
    <xf numFmtId="0" fontId="9" fillId="3" borderId="1" xfId="3" applyFont="1" applyFill="1" applyBorder="1" applyAlignment="1">
      <alignment horizontal="center" textRotation="90" wrapText="1"/>
    </xf>
    <xf numFmtId="0" fontId="6" fillId="0" borderId="0" xfId="5" applyFont="1"/>
    <xf numFmtId="0" fontId="10" fillId="0" borderId="0" xfId="5" applyFont="1"/>
    <xf numFmtId="0" fontId="10" fillId="0" borderId="0" xfId="5" applyFont="1" applyFill="1"/>
    <xf numFmtId="0" fontId="10" fillId="0" borderId="0" xfId="5" applyFont="1" applyAlignment="1">
      <alignment horizontal="right"/>
    </xf>
    <xf numFmtId="0" fontId="1" fillId="0" borderId="2" xfId="0" applyFont="1" applyBorder="1"/>
    <xf numFmtId="4" fontId="1" fillId="0" borderId="2" xfId="0" applyNumberFormat="1" applyFont="1" applyBorder="1"/>
    <xf numFmtId="0" fontId="2" fillId="0" borderId="4" xfId="0" applyFont="1" applyBorder="1"/>
    <xf numFmtId="0" fontId="1" fillId="0" borderId="3" xfId="0" applyFont="1" applyBorder="1"/>
    <xf numFmtId="164" fontId="10" fillId="0" borderId="0" xfId="5" applyNumberFormat="1" applyFont="1"/>
    <xf numFmtId="0" fontId="8" fillId="2" borderId="1" xfId="0" applyFont="1" applyFill="1" applyBorder="1"/>
    <xf numFmtId="0" fontId="8" fillId="2" borderId="1" xfId="0" applyFont="1" applyFill="1" applyBorder="1" applyAlignment="1">
      <alignment textRotation="90"/>
    </xf>
    <xf numFmtId="0" fontId="9" fillId="3" borderId="1" xfId="3" applyFont="1" applyFill="1" applyBorder="1" applyAlignment="1">
      <alignment horizontal="center" wrapText="1"/>
    </xf>
    <xf numFmtId="0" fontId="0" fillId="0" borderId="1" xfId="0" applyBorder="1"/>
    <xf numFmtId="0" fontId="0" fillId="0" borderId="1" xfId="0" applyBorder="1" applyAlignment="1">
      <alignment horizontal="center"/>
    </xf>
    <xf numFmtId="0" fontId="0" fillId="0" borderId="1" xfId="0" applyBorder="1" applyAlignment="1">
      <alignment horizontal="left"/>
    </xf>
    <xf numFmtId="0" fontId="3" fillId="4" borderId="1" xfId="1" applyFill="1" applyBorder="1"/>
    <xf numFmtId="0" fontId="3" fillId="4" borderId="1" xfId="1" applyFill="1" applyBorder="1" applyAlignment="1">
      <alignment horizontal="right"/>
    </xf>
    <xf numFmtId="1" fontId="3" fillId="4" borderId="1" xfId="1" applyNumberFormat="1" applyFill="1" applyBorder="1"/>
    <xf numFmtId="164" fontId="3" fillId="4" borderId="1" xfId="1" applyNumberFormat="1" applyFill="1" applyBorder="1"/>
    <xf numFmtId="0" fontId="3" fillId="4" borderId="2" xfId="1" applyFill="1" applyBorder="1"/>
    <xf numFmtId="0" fontId="3" fillId="4" borderId="2" xfId="1" applyFill="1" applyBorder="1" applyAlignment="1">
      <alignment horizontal="right"/>
    </xf>
    <xf numFmtId="1" fontId="3" fillId="4" borderId="2" xfId="1" applyNumberFormat="1" applyFill="1" applyBorder="1"/>
    <xf numFmtId="164" fontId="3" fillId="4" borderId="2" xfId="1" applyNumberFormat="1" applyFill="1" applyBorder="1"/>
    <xf numFmtId="0" fontId="3" fillId="0" borderId="1" xfId="1" applyBorder="1"/>
    <xf numFmtId="0" fontId="3" fillId="4" borderId="5" xfId="1" applyFill="1" applyBorder="1"/>
    <xf numFmtId="0" fontId="3" fillId="4" borderId="5" xfId="1" applyFill="1" applyBorder="1" applyAlignment="1">
      <alignment horizontal="right"/>
    </xf>
    <xf numFmtId="1" fontId="3" fillId="4" borderId="5" xfId="1" applyNumberFormat="1" applyFill="1" applyBorder="1"/>
    <xf numFmtId="164" fontId="3" fillId="4" borderId="5" xfId="1" applyNumberFormat="1" applyFill="1" applyBorder="1"/>
    <xf numFmtId="0" fontId="3" fillId="4" borderId="6" xfId="1" applyFill="1" applyBorder="1"/>
    <xf numFmtId="0" fontId="11" fillId="6" borderId="1" xfId="0" applyFont="1" applyFill="1" applyBorder="1" applyAlignment="1">
      <alignment horizontal="left" vertical="center"/>
    </xf>
    <xf numFmtId="0" fontId="11" fillId="6" borderId="7" xfId="0" applyFont="1" applyFill="1" applyBorder="1" applyAlignment="1">
      <alignment horizontal="left" vertical="center"/>
    </xf>
    <xf numFmtId="0" fontId="11" fillId="6" borderId="8" xfId="0" applyFont="1" applyFill="1" applyBorder="1" applyAlignment="1">
      <alignment horizontal="left" vertical="center"/>
    </xf>
    <xf numFmtId="0" fontId="11" fillId="6" borderId="9" xfId="0" applyFont="1" applyFill="1" applyBorder="1" applyAlignment="1">
      <alignment horizontal="left" vertical="center"/>
    </xf>
    <xf numFmtId="0" fontId="12" fillId="7" borderId="10" xfId="0" applyNumberFormat="1" applyFont="1" applyFill="1" applyBorder="1"/>
    <xf numFmtId="0" fontId="12" fillId="7" borderId="11" xfId="0" applyNumberFormat="1" applyFont="1" applyFill="1" applyBorder="1"/>
    <xf numFmtId="0" fontId="12" fillId="7" borderId="12" xfId="0" applyFont="1" applyFill="1" applyBorder="1" applyAlignment="1">
      <alignment horizontal="right"/>
    </xf>
    <xf numFmtId="0" fontId="0" fillId="8" borderId="13" xfId="0" applyNumberFormat="1" applyFont="1" applyFill="1" applyBorder="1"/>
    <xf numFmtId="0" fontId="0" fillId="8" borderId="14" xfId="0" applyFont="1" applyFill="1" applyBorder="1"/>
    <xf numFmtId="4" fontId="0" fillId="8" borderId="15" xfId="0" applyNumberFormat="1" applyFont="1" applyFill="1" applyBorder="1"/>
    <xf numFmtId="0" fontId="0" fillId="9" borderId="13" xfId="0" applyNumberFormat="1" applyFont="1" applyFill="1" applyBorder="1"/>
    <xf numFmtId="0" fontId="0" fillId="9" borderId="14" xfId="0" applyFont="1" applyFill="1" applyBorder="1"/>
    <xf numFmtId="4" fontId="0" fillId="9" borderId="15" xfId="0" applyNumberFormat="1" applyFont="1" applyFill="1" applyBorder="1"/>
    <xf numFmtId="0" fontId="12" fillId="7" borderId="16" xfId="0" applyFont="1" applyFill="1" applyBorder="1"/>
    <xf numFmtId="0" fontId="12" fillId="7" borderId="17" xfId="0" applyFont="1" applyFill="1" applyBorder="1"/>
    <xf numFmtId="4" fontId="12" fillId="7" borderId="18" xfId="0" applyNumberFormat="1" applyFont="1" applyFill="1" applyBorder="1"/>
    <xf numFmtId="165" fontId="3" fillId="4" borderId="1" xfId="1" applyNumberFormat="1" applyFill="1" applyBorder="1"/>
    <xf numFmtId="165" fontId="3" fillId="4" borderId="5" xfId="1" applyNumberFormat="1" applyFill="1" applyBorder="1"/>
    <xf numFmtId="0" fontId="3" fillId="10" borderId="19" xfId="1" applyFont="1" applyFill="1" applyBorder="1" applyAlignment="1"/>
    <xf numFmtId="0" fontId="3" fillId="10" borderId="19" xfId="1" applyFont="1" applyFill="1" applyBorder="1" applyAlignment="1">
      <alignment horizontal="right"/>
    </xf>
    <xf numFmtId="0" fontId="10" fillId="10" borderId="19" xfId="5" applyFont="1" applyFill="1" applyBorder="1"/>
    <xf numFmtId="0" fontId="10" fillId="10" borderId="19" xfId="5" applyFont="1" applyFill="1" applyBorder="1" applyAlignment="1">
      <alignment horizontal="right"/>
    </xf>
    <xf numFmtId="0" fontId="13" fillId="11" borderId="1" xfId="0" applyFont="1" applyFill="1" applyBorder="1" applyAlignment="1">
      <alignment horizontal="right"/>
    </xf>
    <xf numFmtId="4" fontId="0" fillId="10" borderId="1" xfId="0" applyNumberFormat="1" applyFill="1" applyBorder="1"/>
    <xf numFmtId="164" fontId="4" fillId="10" borderId="19" xfId="1" applyNumberFormat="1" applyFont="1" applyFill="1" applyBorder="1" applyAlignment="1"/>
    <xf numFmtId="0" fontId="14" fillId="10" borderId="19" xfId="5" applyFont="1" applyFill="1" applyBorder="1"/>
  </cellXfs>
  <cellStyles count="6">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63"/>
  <sheetViews>
    <sheetView showGridLines="0" tabSelected="1" zoomScale="120" zoomScaleNormal="120" workbookViewId="0">
      <pane xSplit="1" ySplit="1" topLeftCell="F41" activePane="bottomRight" state="frozen"/>
      <selection pane="topRight" activeCell="B1" sqref="B1"/>
      <selection pane="bottomLeft" activeCell="A2" sqref="A2"/>
      <selection pane="bottomRight" activeCell="S63" sqref="S63"/>
    </sheetView>
  </sheetViews>
  <sheetFormatPr baseColWidth="10" defaultColWidth="10.33203125" defaultRowHeight="10.199999999999999" x14ac:dyDescent="0.2"/>
  <cols>
    <col min="1" max="1" width="5" style="13" customWidth="1"/>
    <col min="2" max="4" width="29.6640625" style="13" customWidth="1"/>
    <col min="5" max="5" width="40.6640625" style="13" customWidth="1"/>
    <col min="6" max="6" width="9.109375" style="13" customWidth="1"/>
    <col min="7" max="7" width="9.6640625" style="13" customWidth="1"/>
    <col min="8" max="8" width="14.44140625" style="13" customWidth="1"/>
    <col min="9" max="9" width="5.88671875" style="13" customWidth="1"/>
    <col min="10" max="10" width="25.6640625" style="13" customWidth="1"/>
    <col min="11" max="12" width="5.109375" style="13" customWidth="1"/>
    <col min="13" max="13" width="4.44140625" style="13" customWidth="1"/>
    <col min="14" max="14" width="4.88671875" style="13" customWidth="1"/>
    <col min="15" max="15" width="4.88671875" style="14" customWidth="1"/>
    <col min="16" max="16" width="4.88671875" style="13" customWidth="1"/>
    <col min="17" max="17" width="3.5546875" style="14" customWidth="1"/>
    <col min="18" max="18" width="3.5546875" style="13" customWidth="1"/>
    <col min="19" max="21" width="5.109375" style="13" customWidth="1"/>
    <col min="22" max="16384" width="10.33203125" style="13"/>
  </cols>
  <sheetData>
    <row r="1" spans="1:21" ht="40.799999999999997" x14ac:dyDescent="0.2">
      <c r="A1" s="8" t="s">
        <v>7</v>
      </c>
      <c r="B1" s="9" t="s">
        <v>8</v>
      </c>
      <c r="C1" s="9" t="s">
        <v>9</v>
      </c>
      <c r="D1" s="9" t="s">
        <v>10</v>
      </c>
      <c r="E1" s="9" t="s">
        <v>11</v>
      </c>
      <c r="F1" s="9" t="s">
        <v>12</v>
      </c>
      <c r="G1" s="9" t="s">
        <v>13</v>
      </c>
      <c r="H1" s="9" t="s">
        <v>14</v>
      </c>
      <c r="I1" s="8" t="s">
        <v>15</v>
      </c>
      <c r="J1" s="9" t="s">
        <v>16</v>
      </c>
      <c r="K1" s="8" t="s">
        <v>17</v>
      </c>
      <c r="L1" s="9" t="s">
        <v>18</v>
      </c>
      <c r="M1" s="10" t="s">
        <v>19</v>
      </c>
      <c r="N1" s="11" t="s">
        <v>20</v>
      </c>
      <c r="O1" s="12" t="s">
        <v>21</v>
      </c>
      <c r="P1" s="11" t="s">
        <v>22</v>
      </c>
      <c r="Q1" s="12" t="s">
        <v>23</v>
      </c>
      <c r="R1" s="11" t="s">
        <v>24</v>
      </c>
      <c r="S1" s="11" t="s">
        <v>25</v>
      </c>
      <c r="T1" s="11" t="s">
        <v>26</v>
      </c>
      <c r="U1" s="11" t="s">
        <v>27</v>
      </c>
    </row>
    <row r="2" spans="1:21" x14ac:dyDescent="0.2">
      <c r="A2" s="32" t="s">
        <v>42</v>
      </c>
      <c r="B2" s="32" t="s">
        <v>43</v>
      </c>
      <c r="C2" s="32" t="s">
        <v>44</v>
      </c>
      <c r="D2" s="32" t="s">
        <v>75</v>
      </c>
      <c r="E2" s="32" t="s">
        <v>76</v>
      </c>
      <c r="F2" s="32" t="s">
        <v>77</v>
      </c>
      <c r="G2" s="32" t="s">
        <v>63</v>
      </c>
      <c r="H2" s="32" t="s">
        <v>31</v>
      </c>
      <c r="I2" s="32" t="s">
        <v>42</v>
      </c>
      <c r="J2" s="32" t="s">
        <v>43</v>
      </c>
      <c r="K2" s="35">
        <v>1</v>
      </c>
      <c r="L2" s="32" t="s">
        <v>50</v>
      </c>
      <c r="M2" s="32">
        <v>2016</v>
      </c>
      <c r="N2" s="32" t="s">
        <v>41</v>
      </c>
      <c r="O2" s="33" t="s">
        <v>32</v>
      </c>
      <c r="P2" s="32" t="s">
        <v>35</v>
      </c>
      <c r="Q2" s="33" t="s">
        <v>34</v>
      </c>
      <c r="R2" s="34">
        <v>70</v>
      </c>
      <c r="S2" s="35">
        <v>0.7</v>
      </c>
      <c r="T2" s="35">
        <v>0.1</v>
      </c>
      <c r="U2" s="35">
        <v>0.2</v>
      </c>
    </row>
    <row r="3" spans="1:21" x14ac:dyDescent="0.2">
      <c r="A3" s="32" t="s">
        <v>42</v>
      </c>
      <c r="B3" s="32" t="s">
        <v>43</v>
      </c>
      <c r="C3" s="32" t="s">
        <v>44</v>
      </c>
      <c r="D3" s="32" t="s">
        <v>71</v>
      </c>
      <c r="E3" s="32" t="s">
        <v>72</v>
      </c>
      <c r="F3" s="32" t="s">
        <v>45</v>
      </c>
      <c r="G3" s="32" t="s">
        <v>63</v>
      </c>
      <c r="H3" s="32" t="s">
        <v>31</v>
      </c>
      <c r="I3" s="32" t="s">
        <v>42</v>
      </c>
      <c r="J3" s="32" t="s">
        <v>43</v>
      </c>
      <c r="K3" s="35">
        <v>1</v>
      </c>
      <c r="L3" s="32" t="s">
        <v>50</v>
      </c>
      <c r="M3" s="32">
        <v>2016</v>
      </c>
      <c r="N3" s="32" t="s">
        <v>41</v>
      </c>
      <c r="O3" s="33" t="s">
        <v>32</v>
      </c>
      <c r="P3" s="32" t="s">
        <v>35</v>
      </c>
      <c r="Q3" s="33" t="s">
        <v>34</v>
      </c>
      <c r="R3" s="34">
        <v>70</v>
      </c>
      <c r="S3" s="35">
        <v>0.7</v>
      </c>
      <c r="T3" s="35">
        <v>0.1</v>
      </c>
      <c r="U3" s="35">
        <v>0.2</v>
      </c>
    </row>
    <row r="4" spans="1:21" x14ac:dyDescent="0.2">
      <c r="A4" s="32" t="s">
        <v>47</v>
      </c>
      <c r="B4" s="32" t="s">
        <v>48</v>
      </c>
      <c r="C4" s="32" t="s">
        <v>49</v>
      </c>
      <c r="D4" s="32" t="s">
        <v>73</v>
      </c>
      <c r="E4" s="32" t="s">
        <v>74</v>
      </c>
      <c r="F4" s="32" t="s">
        <v>45</v>
      </c>
      <c r="G4" s="32" t="s">
        <v>63</v>
      </c>
      <c r="H4" s="32" t="s">
        <v>31</v>
      </c>
      <c r="I4" s="32" t="s">
        <v>42</v>
      </c>
      <c r="J4" s="32" t="s">
        <v>43</v>
      </c>
      <c r="K4" s="35">
        <v>1</v>
      </c>
      <c r="L4" s="32" t="s">
        <v>50</v>
      </c>
      <c r="M4" s="32">
        <v>2016</v>
      </c>
      <c r="N4" s="32" t="s">
        <v>41</v>
      </c>
      <c r="O4" s="33" t="s">
        <v>32</v>
      </c>
      <c r="P4" s="32" t="s">
        <v>35</v>
      </c>
      <c r="Q4" s="33" t="s">
        <v>34</v>
      </c>
      <c r="R4" s="34">
        <v>70</v>
      </c>
      <c r="S4" s="35">
        <v>0.7</v>
      </c>
      <c r="T4" s="35">
        <v>0.1</v>
      </c>
      <c r="U4" s="35">
        <v>0.2</v>
      </c>
    </row>
    <row r="5" spans="1:21" x14ac:dyDescent="0.2">
      <c r="A5" s="32" t="s">
        <v>47</v>
      </c>
      <c r="B5" s="32" t="s">
        <v>48</v>
      </c>
      <c r="C5" s="32" t="s">
        <v>49</v>
      </c>
      <c r="D5" s="32" t="s">
        <v>68</v>
      </c>
      <c r="E5" s="32" t="s">
        <v>69</v>
      </c>
      <c r="F5" s="32" t="s">
        <v>37</v>
      </c>
      <c r="G5" s="32" t="s">
        <v>70</v>
      </c>
      <c r="H5" s="32" t="s">
        <v>28</v>
      </c>
      <c r="I5" s="32" t="s">
        <v>42</v>
      </c>
      <c r="J5" s="32" t="s">
        <v>43</v>
      </c>
      <c r="K5" s="35">
        <v>0.5</v>
      </c>
      <c r="L5" s="32" t="s">
        <v>50</v>
      </c>
      <c r="M5" s="32">
        <v>2016</v>
      </c>
      <c r="N5" s="32" t="s">
        <v>35</v>
      </c>
      <c r="O5" s="33" t="s">
        <v>34</v>
      </c>
      <c r="P5" s="32" t="s">
        <v>30</v>
      </c>
      <c r="Q5" s="33" t="s">
        <v>30</v>
      </c>
      <c r="R5" s="34">
        <v>80</v>
      </c>
      <c r="S5" s="35">
        <v>0.4</v>
      </c>
      <c r="T5" s="35">
        <v>0.1</v>
      </c>
      <c r="U5" s="35">
        <v>0</v>
      </c>
    </row>
    <row r="6" spans="1:21" x14ac:dyDescent="0.2">
      <c r="A6" s="32" t="s">
        <v>47</v>
      </c>
      <c r="B6" s="32" t="s">
        <v>48</v>
      </c>
      <c r="C6" s="32" t="s">
        <v>49</v>
      </c>
      <c r="D6" s="32" t="s">
        <v>68</v>
      </c>
      <c r="E6" s="32" t="s">
        <v>69</v>
      </c>
      <c r="F6" s="32" t="s">
        <v>37</v>
      </c>
      <c r="G6" s="32" t="s">
        <v>64</v>
      </c>
      <c r="H6" s="32" t="s">
        <v>28</v>
      </c>
      <c r="I6" s="32" t="s">
        <v>42</v>
      </c>
      <c r="J6" s="32" t="s">
        <v>43</v>
      </c>
      <c r="K6" s="35">
        <v>0.5</v>
      </c>
      <c r="L6" s="32" t="s">
        <v>50</v>
      </c>
      <c r="M6" s="32">
        <v>2016</v>
      </c>
      <c r="N6" s="32" t="s">
        <v>35</v>
      </c>
      <c r="O6" s="33" t="s">
        <v>34</v>
      </c>
      <c r="P6" s="32" t="s">
        <v>30</v>
      </c>
      <c r="Q6" s="33" t="s">
        <v>30</v>
      </c>
      <c r="R6" s="34">
        <v>80</v>
      </c>
      <c r="S6" s="35">
        <v>0.4</v>
      </c>
      <c r="T6" s="35">
        <v>0.1</v>
      </c>
      <c r="U6" s="35">
        <v>0</v>
      </c>
    </row>
    <row r="7" spans="1:21" x14ac:dyDescent="0.2">
      <c r="A7" s="32" t="s">
        <v>47</v>
      </c>
      <c r="B7" s="32" t="s">
        <v>48</v>
      </c>
      <c r="C7" s="32" t="s">
        <v>49</v>
      </c>
      <c r="D7" s="32" t="s">
        <v>78</v>
      </c>
      <c r="E7" s="32" t="s">
        <v>79</v>
      </c>
      <c r="F7" s="32" t="s">
        <v>36</v>
      </c>
      <c r="G7" s="32" t="s">
        <v>64</v>
      </c>
      <c r="H7" s="32" t="s">
        <v>31</v>
      </c>
      <c r="I7" s="32" t="s">
        <v>42</v>
      </c>
      <c r="J7" s="32" t="s">
        <v>43</v>
      </c>
      <c r="K7" s="35">
        <v>1</v>
      </c>
      <c r="L7" s="32" t="s">
        <v>50</v>
      </c>
      <c r="M7" s="32">
        <v>2016</v>
      </c>
      <c r="N7" s="32" t="s">
        <v>35</v>
      </c>
      <c r="O7" s="33" t="s">
        <v>34</v>
      </c>
      <c r="P7" s="32" t="s">
        <v>30</v>
      </c>
      <c r="Q7" s="33" t="s">
        <v>30</v>
      </c>
      <c r="R7" s="34">
        <v>80</v>
      </c>
      <c r="S7" s="35">
        <v>0.8</v>
      </c>
      <c r="T7" s="35">
        <v>0.2</v>
      </c>
      <c r="U7" s="35">
        <v>0</v>
      </c>
    </row>
    <row r="8" spans="1:21" x14ac:dyDescent="0.2">
      <c r="A8" s="32" t="s">
        <v>47</v>
      </c>
      <c r="B8" s="32" t="s">
        <v>48</v>
      </c>
      <c r="C8" s="32" t="s">
        <v>49</v>
      </c>
      <c r="D8" s="32" t="s">
        <v>82</v>
      </c>
      <c r="E8" s="32" t="s">
        <v>83</v>
      </c>
      <c r="F8" s="32" t="s">
        <v>84</v>
      </c>
      <c r="G8" s="32" t="s">
        <v>63</v>
      </c>
      <c r="H8" s="32" t="s">
        <v>31</v>
      </c>
      <c r="I8" s="32" t="s">
        <v>42</v>
      </c>
      <c r="J8" s="32" t="s">
        <v>43</v>
      </c>
      <c r="K8" s="35">
        <v>1</v>
      </c>
      <c r="L8" s="32" t="s">
        <v>50</v>
      </c>
      <c r="M8" s="32">
        <v>2017</v>
      </c>
      <c r="N8" s="32" t="s">
        <v>41</v>
      </c>
      <c r="O8" s="33" t="s">
        <v>32</v>
      </c>
      <c r="P8" s="32" t="s">
        <v>35</v>
      </c>
      <c r="Q8" s="33" t="s">
        <v>34</v>
      </c>
      <c r="R8" s="34">
        <v>70</v>
      </c>
      <c r="S8" s="35">
        <v>0.7</v>
      </c>
      <c r="T8" s="35">
        <v>0.1</v>
      </c>
      <c r="U8" s="35">
        <v>0.2</v>
      </c>
    </row>
    <row r="9" spans="1:21" x14ac:dyDescent="0.2">
      <c r="A9" s="32" t="s">
        <v>47</v>
      </c>
      <c r="B9" s="32" t="s">
        <v>48</v>
      </c>
      <c r="C9" s="32" t="s">
        <v>49</v>
      </c>
      <c r="D9" s="32" t="s">
        <v>85</v>
      </c>
      <c r="E9" s="32" t="s">
        <v>86</v>
      </c>
      <c r="F9" s="32" t="s">
        <v>87</v>
      </c>
      <c r="G9" s="32" t="s">
        <v>62</v>
      </c>
      <c r="H9" s="32" t="s">
        <v>28</v>
      </c>
      <c r="I9" s="32" t="s">
        <v>42</v>
      </c>
      <c r="J9" s="32" t="s">
        <v>43</v>
      </c>
      <c r="K9" s="35">
        <v>0.5</v>
      </c>
      <c r="L9" s="32" t="s">
        <v>50</v>
      </c>
      <c r="M9" s="32">
        <v>2017</v>
      </c>
      <c r="N9" s="32" t="s">
        <v>35</v>
      </c>
      <c r="O9" s="33" t="s">
        <v>34</v>
      </c>
      <c r="P9" s="32" t="s">
        <v>30</v>
      </c>
      <c r="Q9" s="33" t="s">
        <v>30</v>
      </c>
      <c r="R9" s="34">
        <v>80</v>
      </c>
      <c r="S9" s="35">
        <v>0.4</v>
      </c>
      <c r="T9" s="35">
        <v>0.1</v>
      </c>
      <c r="U9" s="35">
        <v>0</v>
      </c>
    </row>
    <row r="10" spans="1:21" x14ac:dyDescent="0.2">
      <c r="A10" s="32" t="s">
        <v>47</v>
      </c>
      <c r="B10" s="32" t="s">
        <v>48</v>
      </c>
      <c r="C10" s="32" t="s">
        <v>49</v>
      </c>
      <c r="D10" s="32" t="s">
        <v>85</v>
      </c>
      <c r="E10" s="32" t="s">
        <v>86</v>
      </c>
      <c r="F10" s="32" t="s">
        <v>87</v>
      </c>
      <c r="G10" s="32" t="s">
        <v>57</v>
      </c>
      <c r="H10" s="32" t="s">
        <v>28</v>
      </c>
      <c r="I10" s="32" t="s">
        <v>42</v>
      </c>
      <c r="J10" s="32" t="s">
        <v>43</v>
      </c>
      <c r="K10" s="35">
        <v>0.5</v>
      </c>
      <c r="L10" s="32" t="s">
        <v>50</v>
      </c>
      <c r="M10" s="32">
        <v>2017</v>
      </c>
      <c r="N10" s="32" t="s">
        <v>35</v>
      </c>
      <c r="O10" s="33" t="s">
        <v>34</v>
      </c>
      <c r="P10" s="32" t="s">
        <v>30</v>
      </c>
      <c r="Q10" s="33" t="s">
        <v>30</v>
      </c>
      <c r="R10" s="34">
        <v>80</v>
      </c>
      <c r="S10" s="35">
        <v>0.4</v>
      </c>
      <c r="T10" s="35">
        <v>0.1</v>
      </c>
      <c r="U10" s="35">
        <v>0</v>
      </c>
    </row>
    <row r="11" spans="1:21" x14ac:dyDescent="0.2">
      <c r="A11" s="36" t="s">
        <v>39</v>
      </c>
      <c r="B11" s="36" t="s">
        <v>40</v>
      </c>
      <c r="C11" s="36" t="s">
        <v>49</v>
      </c>
      <c r="D11" s="36" t="s">
        <v>80</v>
      </c>
      <c r="E11" s="36" t="s">
        <v>81</v>
      </c>
      <c r="F11" s="36" t="s">
        <v>46</v>
      </c>
      <c r="G11" s="36" t="s">
        <v>55</v>
      </c>
      <c r="H11" s="36" t="s">
        <v>31</v>
      </c>
      <c r="I11" s="36" t="s">
        <v>42</v>
      </c>
      <c r="J11" s="36" t="s">
        <v>43</v>
      </c>
      <c r="K11" s="39">
        <v>1</v>
      </c>
      <c r="L11" s="36" t="s">
        <v>50</v>
      </c>
      <c r="M11" s="36">
        <v>2017</v>
      </c>
      <c r="N11" s="36" t="s">
        <v>35</v>
      </c>
      <c r="O11" s="37" t="s">
        <v>29</v>
      </c>
      <c r="P11" s="36" t="s">
        <v>30</v>
      </c>
      <c r="Q11" s="37" t="s">
        <v>30</v>
      </c>
      <c r="R11" s="38">
        <v>50</v>
      </c>
      <c r="S11" s="39">
        <v>0.5</v>
      </c>
      <c r="T11" s="39">
        <v>0.5</v>
      </c>
      <c r="U11" s="39">
        <v>0</v>
      </c>
    </row>
    <row r="12" spans="1:21" x14ac:dyDescent="0.2">
      <c r="A12" s="32" t="s">
        <v>47</v>
      </c>
      <c r="B12" s="32" t="s">
        <v>48</v>
      </c>
      <c r="C12" s="32" t="s">
        <v>49</v>
      </c>
      <c r="D12" s="32" t="s">
        <v>105</v>
      </c>
      <c r="E12" s="32" t="s">
        <v>106</v>
      </c>
      <c r="F12" s="32" t="s">
        <v>33</v>
      </c>
      <c r="G12" s="32" t="s">
        <v>60</v>
      </c>
      <c r="H12" s="32" t="s">
        <v>28</v>
      </c>
      <c r="I12" s="32" t="s">
        <v>42</v>
      </c>
      <c r="J12" s="32" t="s">
        <v>43</v>
      </c>
      <c r="K12" s="62">
        <v>0.5</v>
      </c>
      <c r="L12" s="32" t="s">
        <v>50</v>
      </c>
      <c r="M12" s="32">
        <v>2018</v>
      </c>
      <c r="N12" s="32" t="s">
        <v>35</v>
      </c>
      <c r="O12" s="33" t="s">
        <v>34</v>
      </c>
      <c r="P12" s="32" t="s">
        <v>30</v>
      </c>
      <c r="Q12" s="33" t="s">
        <v>30</v>
      </c>
      <c r="R12" s="34">
        <v>80</v>
      </c>
      <c r="S12" s="35">
        <v>0.4</v>
      </c>
      <c r="T12" s="35">
        <v>0.1</v>
      </c>
      <c r="U12" s="35">
        <v>0</v>
      </c>
    </row>
    <row r="13" spans="1:21" x14ac:dyDescent="0.2">
      <c r="A13" s="32" t="s">
        <v>47</v>
      </c>
      <c r="B13" s="32" t="s">
        <v>48</v>
      </c>
      <c r="C13" s="32" t="s">
        <v>49</v>
      </c>
      <c r="D13" s="32" t="s">
        <v>105</v>
      </c>
      <c r="E13" s="32" t="s">
        <v>106</v>
      </c>
      <c r="F13" s="32" t="s">
        <v>33</v>
      </c>
      <c r="G13" s="32" t="s">
        <v>61</v>
      </c>
      <c r="H13" s="32" t="s">
        <v>28</v>
      </c>
      <c r="I13" s="32" t="s">
        <v>42</v>
      </c>
      <c r="J13" s="32" t="s">
        <v>43</v>
      </c>
      <c r="K13" s="62">
        <v>0.5</v>
      </c>
      <c r="L13" s="32" t="s">
        <v>50</v>
      </c>
      <c r="M13" s="32">
        <v>2018</v>
      </c>
      <c r="N13" s="32" t="s">
        <v>35</v>
      </c>
      <c r="O13" s="33" t="s">
        <v>34</v>
      </c>
      <c r="P13" s="32" t="s">
        <v>30</v>
      </c>
      <c r="Q13" s="33" t="s">
        <v>30</v>
      </c>
      <c r="R13" s="34">
        <v>80</v>
      </c>
      <c r="S13" s="35">
        <v>0.4</v>
      </c>
      <c r="T13" s="35">
        <v>0.1</v>
      </c>
      <c r="U13" s="35">
        <v>0</v>
      </c>
    </row>
    <row r="14" spans="1:21" x14ac:dyDescent="0.2">
      <c r="A14" s="32" t="s">
        <v>47</v>
      </c>
      <c r="B14" s="32" t="s">
        <v>48</v>
      </c>
      <c r="C14" s="32" t="s">
        <v>49</v>
      </c>
      <c r="D14" s="32" t="s">
        <v>103</v>
      </c>
      <c r="E14" s="32" t="s">
        <v>104</v>
      </c>
      <c r="F14" s="32" t="s">
        <v>97</v>
      </c>
      <c r="G14" s="32" t="s">
        <v>63</v>
      </c>
      <c r="H14" s="32" t="s">
        <v>31</v>
      </c>
      <c r="I14" s="32" t="s">
        <v>42</v>
      </c>
      <c r="J14" s="32" t="s">
        <v>43</v>
      </c>
      <c r="K14" s="62">
        <v>1</v>
      </c>
      <c r="L14" s="32" t="s">
        <v>50</v>
      </c>
      <c r="M14" s="32">
        <v>2018</v>
      </c>
      <c r="N14" s="32" t="s">
        <v>35</v>
      </c>
      <c r="O14" s="33" t="s">
        <v>34</v>
      </c>
      <c r="P14" s="32" t="s">
        <v>41</v>
      </c>
      <c r="Q14" s="33" t="s">
        <v>32</v>
      </c>
      <c r="R14" s="34">
        <v>70</v>
      </c>
      <c r="S14" s="35">
        <v>0.7</v>
      </c>
      <c r="T14" s="35">
        <v>0.2</v>
      </c>
      <c r="U14" s="35">
        <v>0.1</v>
      </c>
    </row>
    <row r="15" spans="1:21" x14ac:dyDescent="0.2">
      <c r="A15" s="32" t="s">
        <v>47</v>
      </c>
      <c r="B15" s="32" t="s">
        <v>48</v>
      </c>
      <c r="C15" s="32" t="s">
        <v>49</v>
      </c>
      <c r="D15" s="32" t="s">
        <v>91</v>
      </c>
      <c r="E15" s="32" t="s">
        <v>92</v>
      </c>
      <c r="F15" s="32" t="s">
        <v>93</v>
      </c>
      <c r="G15" s="32" t="s">
        <v>94</v>
      </c>
      <c r="H15" s="32" t="s">
        <v>31</v>
      </c>
      <c r="I15" s="32" t="s">
        <v>42</v>
      </c>
      <c r="J15" s="32" t="s">
        <v>43</v>
      </c>
      <c r="K15" s="62">
        <v>1</v>
      </c>
      <c r="L15" s="32" t="s">
        <v>50</v>
      </c>
      <c r="M15" s="32">
        <v>2018</v>
      </c>
      <c r="N15" s="32" t="s">
        <v>35</v>
      </c>
      <c r="O15" s="33" t="s">
        <v>29</v>
      </c>
      <c r="P15" s="32" t="s">
        <v>30</v>
      </c>
      <c r="Q15" s="33" t="s">
        <v>30</v>
      </c>
      <c r="R15" s="34">
        <v>50</v>
      </c>
      <c r="S15" s="35">
        <v>0.5</v>
      </c>
      <c r="T15" s="35">
        <v>0.5</v>
      </c>
      <c r="U15" s="35">
        <v>0</v>
      </c>
    </row>
    <row r="16" spans="1:21" x14ac:dyDescent="0.2">
      <c r="A16" s="32" t="s">
        <v>47</v>
      </c>
      <c r="B16" s="32" t="s">
        <v>48</v>
      </c>
      <c r="C16" s="32" t="s">
        <v>49</v>
      </c>
      <c r="D16" s="32" t="s">
        <v>95</v>
      </c>
      <c r="E16" s="32" t="s">
        <v>96</v>
      </c>
      <c r="F16" s="32" t="s">
        <v>97</v>
      </c>
      <c r="G16" s="32" t="s">
        <v>98</v>
      </c>
      <c r="H16" s="32" t="s">
        <v>28</v>
      </c>
      <c r="I16" s="32" t="s">
        <v>42</v>
      </c>
      <c r="J16" s="32" t="s">
        <v>43</v>
      </c>
      <c r="K16" s="62">
        <v>0.5</v>
      </c>
      <c r="L16" s="32" t="s">
        <v>50</v>
      </c>
      <c r="M16" s="32">
        <v>2018</v>
      </c>
      <c r="N16" s="32" t="s">
        <v>41</v>
      </c>
      <c r="O16" s="33" t="s">
        <v>32</v>
      </c>
      <c r="P16" s="32" t="s">
        <v>35</v>
      </c>
      <c r="Q16" s="33" t="s">
        <v>32</v>
      </c>
      <c r="R16" s="34">
        <v>80</v>
      </c>
      <c r="S16" s="35">
        <v>0.4</v>
      </c>
      <c r="T16" s="35">
        <v>0.05</v>
      </c>
      <c r="U16" s="35">
        <v>0.05</v>
      </c>
    </row>
    <row r="17" spans="1:21" x14ac:dyDescent="0.2">
      <c r="A17" s="32" t="s">
        <v>47</v>
      </c>
      <c r="B17" s="32" t="s">
        <v>48</v>
      </c>
      <c r="C17" s="32" t="s">
        <v>49</v>
      </c>
      <c r="D17" s="32" t="s">
        <v>95</v>
      </c>
      <c r="E17" s="32" t="s">
        <v>96</v>
      </c>
      <c r="F17" s="32" t="s">
        <v>97</v>
      </c>
      <c r="G17" s="32" t="s">
        <v>99</v>
      </c>
      <c r="H17" s="32" t="s">
        <v>28</v>
      </c>
      <c r="I17" s="32" t="s">
        <v>42</v>
      </c>
      <c r="J17" s="32" t="s">
        <v>43</v>
      </c>
      <c r="K17" s="62">
        <v>0.5</v>
      </c>
      <c r="L17" s="32" t="s">
        <v>50</v>
      </c>
      <c r="M17" s="32">
        <v>2018</v>
      </c>
      <c r="N17" s="32" t="s">
        <v>35</v>
      </c>
      <c r="O17" s="33" t="s">
        <v>34</v>
      </c>
      <c r="P17" s="32" t="s">
        <v>30</v>
      </c>
      <c r="Q17" s="33" t="s">
        <v>30</v>
      </c>
      <c r="R17" s="34">
        <v>80</v>
      </c>
      <c r="S17" s="35">
        <v>0.4</v>
      </c>
      <c r="T17" s="35">
        <v>0.1</v>
      </c>
      <c r="U17" s="35">
        <v>0</v>
      </c>
    </row>
    <row r="18" spans="1:21" x14ac:dyDescent="0.2">
      <c r="A18" s="32" t="s">
        <v>47</v>
      </c>
      <c r="B18" s="32" t="s">
        <v>48</v>
      </c>
      <c r="C18" s="32" t="s">
        <v>49</v>
      </c>
      <c r="D18" s="32" t="s">
        <v>88</v>
      </c>
      <c r="E18" s="32" t="s">
        <v>89</v>
      </c>
      <c r="F18" s="32" t="s">
        <v>38</v>
      </c>
      <c r="G18" s="32" t="s">
        <v>90</v>
      </c>
      <c r="H18" s="32" t="s">
        <v>31</v>
      </c>
      <c r="I18" s="32" t="s">
        <v>42</v>
      </c>
      <c r="J18" s="32" t="s">
        <v>43</v>
      </c>
      <c r="K18" s="62">
        <v>1</v>
      </c>
      <c r="L18" s="32" t="s">
        <v>50</v>
      </c>
      <c r="M18" s="32">
        <v>2018</v>
      </c>
      <c r="N18" s="32" t="s">
        <v>35</v>
      </c>
      <c r="O18" s="33" t="s">
        <v>34</v>
      </c>
      <c r="P18" s="32" t="s">
        <v>30</v>
      </c>
      <c r="Q18" s="33" t="s">
        <v>30</v>
      </c>
      <c r="R18" s="34">
        <v>80</v>
      </c>
      <c r="S18" s="35">
        <v>0.8</v>
      </c>
      <c r="T18" s="35">
        <v>0.2</v>
      </c>
      <c r="U18" s="35">
        <v>0</v>
      </c>
    </row>
    <row r="19" spans="1:21" x14ac:dyDescent="0.2">
      <c r="A19" s="32" t="s">
        <v>47</v>
      </c>
      <c r="B19" s="32" t="s">
        <v>48</v>
      </c>
      <c r="C19" s="32" t="s">
        <v>49</v>
      </c>
      <c r="D19" s="32" t="s">
        <v>100</v>
      </c>
      <c r="E19" s="32" t="s">
        <v>101</v>
      </c>
      <c r="F19" s="32" t="s">
        <v>102</v>
      </c>
      <c r="G19" s="32" t="s">
        <v>51</v>
      </c>
      <c r="H19" s="32" t="s">
        <v>31</v>
      </c>
      <c r="I19" s="32" t="s">
        <v>42</v>
      </c>
      <c r="J19" s="32" t="s">
        <v>43</v>
      </c>
      <c r="K19" s="62">
        <v>1</v>
      </c>
      <c r="L19" s="32" t="s">
        <v>50</v>
      </c>
      <c r="M19" s="32">
        <v>2018</v>
      </c>
      <c r="N19" s="32" t="s">
        <v>35</v>
      </c>
      <c r="O19" s="33" t="s">
        <v>34</v>
      </c>
      <c r="P19" s="32" t="s">
        <v>30</v>
      </c>
      <c r="Q19" s="33" t="s">
        <v>30</v>
      </c>
      <c r="R19" s="34">
        <v>80</v>
      </c>
      <c r="S19" s="35">
        <v>0.8</v>
      </c>
      <c r="T19" s="35">
        <v>0.2</v>
      </c>
      <c r="U19" s="35">
        <v>0</v>
      </c>
    </row>
    <row r="20" spans="1:21" x14ac:dyDescent="0.2">
      <c r="A20" s="41" t="s">
        <v>47</v>
      </c>
      <c r="B20" s="41" t="s">
        <v>48</v>
      </c>
      <c r="C20" s="41" t="s">
        <v>49</v>
      </c>
      <c r="D20" s="41" t="s">
        <v>203</v>
      </c>
      <c r="E20" s="41" t="s">
        <v>204</v>
      </c>
      <c r="F20" s="41" t="s">
        <v>205</v>
      </c>
      <c r="G20" s="41" t="s">
        <v>54</v>
      </c>
      <c r="H20" s="41" t="s">
        <v>28</v>
      </c>
      <c r="I20" s="41" t="s">
        <v>42</v>
      </c>
      <c r="J20" s="41" t="s">
        <v>43</v>
      </c>
      <c r="K20" s="63">
        <v>0.5</v>
      </c>
      <c r="L20" s="41" t="s">
        <v>50</v>
      </c>
      <c r="M20" s="41">
        <v>2019</v>
      </c>
      <c r="N20" s="41" t="s">
        <v>35</v>
      </c>
      <c r="O20" s="42" t="s">
        <v>34</v>
      </c>
      <c r="P20" s="41" t="s">
        <v>30</v>
      </c>
      <c r="Q20" s="42" t="s">
        <v>30</v>
      </c>
      <c r="R20" s="43">
        <v>80</v>
      </c>
      <c r="S20" s="44">
        <v>0.4</v>
      </c>
      <c r="T20" s="44">
        <v>0.1</v>
      </c>
      <c r="U20" s="44">
        <v>0</v>
      </c>
    </row>
    <row r="21" spans="1:21" x14ac:dyDescent="0.2">
      <c r="A21" s="41" t="s">
        <v>47</v>
      </c>
      <c r="B21" s="41" t="s">
        <v>48</v>
      </c>
      <c r="C21" s="41" t="s">
        <v>49</v>
      </c>
      <c r="D21" s="41" t="s">
        <v>197</v>
      </c>
      <c r="E21" s="41" t="s">
        <v>198</v>
      </c>
      <c r="F21" s="41" t="s">
        <v>199</v>
      </c>
      <c r="G21" s="41" t="s">
        <v>51</v>
      </c>
      <c r="H21" s="41" t="s">
        <v>28</v>
      </c>
      <c r="I21" s="41" t="s">
        <v>42</v>
      </c>
      <c r="J21" s="41" t="s">
        <v>43</v>
      </c>
      <c r="K21" s="63">
        <v>0.5</v>
      </c>
      <c r="L21" s="41" t="s">
        <v>50</v>
      </c>
      <c r="M21" s="41">
        <v>2019</v>
      </c>
      <c r="N21" s="41" t="s">
        <v>35</v>
      </c>
      <c r="O21" s="42" t="s">
        <v>34</v>
      </c>
      <c r="P21" s="41" t="s">
        <v>30</v>
      </c>
      <c r="Q21" s="42" t="s">
        <v>30</v>
      </c>
      <c r="R21" s="43">
        <v>80</v>
      </c>
      <c r="S21" s="44">
        <v>0.4</v>
      </c>
      <c r="T21" s="44">
        <v>0.1</v>
      </c>
      <c r="U21" s="44">
        <v>0</v>
      </c>
    </row>
    <row r="22" spans="1:21" x14ac:dyDescent="0.2">
      <c r="A22" s="41" t="s">
        <v>47</v>
      </c>
      <c r="B22" s="41" t="s">
        <v>48</v>
      </c>
      <c r="C22" s="41" t="s">
        <v>49</v>
      </c>
      <c r="D22" s="41" t="s">
        <v>197</v>
      </c>
      <c r="E22" s="41" t="s">
        <v>198</v>
      </c>
      <c r="F22" s="41" t="s">
        <v>199</v>
      </c>
      <c r="G22" s="41" t="s">
        <v>66</v>
      </c>
      <c r="H22" s="41" t="s">
        <v>28</v>
      </c>
      <c r="I22" s="41" t="s">
        <v>42</v>
      </c>
      <c r="J22" s="41" t="s">
        <v>43</v>
      </c>
      <c r="K22" s="63">
        <v>0.5</v>
      </c>
      <c r="L22" s="41" t="s">
        <v>50</v>
      </c>
      <c r="M22" s="41">
        <v>2019</v>
      </c>
      <c r="N22" s="41" t="s">
        <v>35</v>
      </c>
      <c r="O22" s="42" t="s">
        <v>34</v>
      </c>
      <c r="P22" s="41" t="s">
        <v>30</v>
      </c>
      <c r="Q22" s="42" t="s">
        <v>30</v>
      </c>
      <c r="R22" s="43">
        <v>80</v>
      </c>
      <c r="S22" s="44">
        <v>0.4</v>
      </c>
      <c r="T22" s="44">
        <v>0.1</v>
      </c>
      <c r="U22" s="44">
        <v>0</v>
      </c>
    </row>
    <row r="23" spans="1:21" x14ac:dyDescent="0.2">
      <c r="A23" s="41" t="s">
        <v>47</v>
      </c>
      <c r="B23" s="41" t="s">
        <v>48</v>
      </c>
      <c r="C23" s="41" t="s">
        <v>49</v>
      </c>
      <c r="D23" s="41" t="s">
        <v>206</v>
      </c>
      <c r="E23" s="41" t="s">
        <v>207</v>
      </c>
      <c r="F23" s="41" t="s">
        <v>205</v>
      </c>
      <c r="G23" s="41" t="s">
        <v>54</v>
      </c>
      <c r="H23" s="41" t="s">
        <v>28</v>
      </c>
      <c r="I23" s="41" t="s">
        <v>42</v>
      </c>
      <c r="J23" s="41" t="s">
        <v>43</v>
      </c>
      <c r="K23" s="63">
        <v>0.5</v>
      </c>
      <c r="L23" s="41" t="s">
        <v>50</v>
      </c>
      <c r="M23" s="41">
        <v>2019</v>
      </c>
      <c r="N23" s="41" t="s">
        <v>35</v>
      </c>
      <c r="O23" s="42" t="s">
        <v>34</v>
      </c>
      <c r="P23" s="41" t="s">
        <v>30</v>
      </c>
      <c r="Q23" s="42" t="s">
        <v>30</v>
      </c>
      <c r="R23" s="43">
        <v>80</v>
      </c>
      <c r="S23" s="44">
        <v>0.4</v>
      </c>
      <c r="T23" s="44">
        <v>0.1</v>
      </c>
      <c r="U23" s="44">
        <v>0</v>
      </c>
    </row>
    <row r="24" spans="1:21" x14ac:dyDescent="0.2">
      <c r="A24" s="41" t="s">
        <v>47</v>
      </c>
      <c r="B24" s="41" t="s">
        <v>48</v>
      </c>
      <c r="C24" s="41" t="s">
        <v>49</v>
      </c>
      <c r="D24" s="41" t="s">
        <v>200</v>
      </c>
      <c r="E24" s="41" t="s">
        <v>201</v>
      </c>
      <c r="F24" s="41" t="s">
        <v>202</v>
      </c>
      <c r="G24" s="41" t="s">
        <v>63</v>
      </c>
      <c r="H24" s="41" t="s">
        <v>28</v>
      </c>
      <c r="I24" s="41" t="s">
        <v>42</v>
      </c>
      <c r="J24" s="41" t="s">
        <v>43</v>
      </c>
      <c r="K24" s="63">
        <v>0.5</v>
      </c>
      <c r="L24" s="41" t="s">
        <v>50</v>
      </c>
      <c r="M24" s="41">
        <v>2019</v>
      </c>
      <c r="N24" s="41" t="s">
        <v>35</v>
      </c>
      <c r="O24" s="42" t="s">
        <v>34</v>
      </c>
      <c r="P24" s="41" t="s">
        <v>30</v>
      </c>
      <c r="Q24" s="42" t="s">
        <v>30</v>
      </c>
      <c r="R24" s="43">
        <v>80</v>
      </c>
      <c r="S24" s="44">
        <v>0.4</v>
      </c>
      <c r="T24" s="44">
        <v>0.1</v>
      </c>
      <c r="U24" s="44">
        <v>0</v>
      </c>
    </row>
    <row r="25" spans="1:21" x14ac:dyDescent="0.2">
      <c r="A25" s="41" t="s">
        <v>47</v>
      </c>
      <c r="B25" s="41" t="s">
        <v>48</v>
      </c>
      <c r="C25" s="41" t="s">
        <v>49</v>
      </c>
      <c r="D25" s="41" t="s">
        <v>214</v>
      </c>
      <c r="E25" s="41" t="s">
        <v>215</v>
      </c>
      <c r="F25" s="41" t="s">
        <v>216</v>
      </c>
      <c r="G25" s="41" t="s">
        <v>63</v>
      </c>
      <c r="H25" s="41" t="s">
        <v>31</v>
      </c>
      <c r="I25" s="41" t="s">
        <v>42</v>
      </c>
      <c r="J25" s="41" t="s">
        <v>43</v>
      </c>
      <c r="K25" s="63">
        <v>1</v>
      </c>
      <c r="L25" s="41" t="s">
        <v>50</v>
      </c>
      <c r="M25" s="41">
        <v>2019</v>
      </c>
      <c r="N25" s="41" t="s">
        <v>35</v>
      </c>
      <c r="O25" s="42" t="s">
        <v>34</v>
      </c>
      <c r="P25" s="41" t="s">
        <v>30</v>
      </c>
      <c r="Q25" s="42" t="s">
        <v>30</v>
      </c>
      <c r="R25" s="43">
        <v>80</v>
      </c>
      <c r="S25" s="44">
        <v>0.8</v>
      </c>
      <c r="T25" s="44">
        <v>0.2</v>
      </c>
      <c r="U25" s="44">
        <v>0</v>
      </c>
    </row>
    <row r="26" spans="1:21" x14ac:dyDescent="0.2">
      <c r="A26" s="41" t="s">
        <v>47</v>
      </c>
      <c r="B26" s="41" t="s">
        <v>48</v>
      </c>
      <c r="C26" s="41" t="s">
        <v>49</v>
      </c>
      <c r="D26" s="41" t="s">
        <v>194</v>
      </c>
      <c r="E26" s="41" t="s">
        <v>195</v>
      </c>
      <c r="F26" s="41" t="s">
        <v>196</v>
      </c>
      <c r="G26" s="41" t="s">
        <v>63</v>
      </c>
      <c r="H26" s="41" t="s">
        <v>31</v>
      </c>
      <c r="I26" s="41" t="s">
        <v>42</v>
      </c>
      <c r="J26" s="41" t="s">
        <v>43</v>
      </c>
      <c r="K26" s="63">
        <v>1</v>
      </c>
      <c r="L26" s="41" t="s">
        <v>50</v>
      </c>
      <c r="M26" s="41">
        <v>2019</v>
      </c>
      <c r="N26" s="41" t="s">
        <v>35</v>
      </c>
      <c r="O26" s="42" t="s">
        <v>34</v>
      </c>
      <c r="P26" s="41" t="s">
        <v>30</v>
      </c>
      <c r="Q26" s="42" t="s">
        <v>30</v>
      </c>
      <c r="R26" s="43">
        <v>80</v>
      </c>
      <c r="S26" s="44">
        <v>0.8</v>
      </c>
      <c r="T26" s="44">
        <v>0.2</v>
      </c>
      <c r="U26" s="44">
        <v>0</v>
      </c>
    </row>
    <row r="27" spans="1:21" x14ac:dyDescent="0.2">
      <c r="A27" s="41" t="s">
        <v>47</v>
      </c>
      <c r="B27" s="41" t="s">
        <v>48</v>
      </c>
      <c r="C27" s="41" t="s">
        <v>49</v>
      </c>
      <c r="D27" s="41" t="s">
        <v>208</v>
      </c>
      <c r="E27" s="41" t="s">
        <v>209</v>
      </c>
      <c r="F27" s="41" t="s">
        <v>210</v>
      </c>
      <c r="G27" s="41" t="s">
        <v>98</v>
      </c>
      <c r="H27" s="41" t="s">
        <v>28</v>
      </c>
      <c r="I27" s="41" t="s">
        <v>42</v>
      </c>
      <c r="J27" s="41" t="s">
        <v>43</v>
      </c>
      <c r="K27" s="63">
        <v>0.5</v>
      </c>
      <c r="L27" s="41" t="s">
        <v>50</v>
      </c>
      <c r="M27" s="41">
        <v>2019</v>
      </c>
      <c r="N27" s="41" t="s">
        <v>41</v>
      </c>
      <c r="O27" s="42" t="s">
        <v>32</v>
      </c>
      <c r="P27" s="41" t="s">
        <v>35</v>
      </c>
      <c r="Q27" s="42" t="s">
        <v>32</v>
      </c>
      <c r="R27" s="43">
        <v>80</v>
      </c>
      <c r="S27" s="44">
        <v>0.4</v>
      </c>
      <c r="T27" s="44">
        <v>0.05</v>
      </c>
      <c r="U27" s="44">
        <v>0.05</v>
      </c>
    </row>
    <row r="28" spans="1:21" x14ac:dyDescent="0.2">
      <c r="A28" s="41" t="s">
        <v>47</v>
      </c>
      <c r="B28" s="41" t="s">
        <v>48</v>
      </c>
      <c r="C28" s="41" t="s">
        <v>49</v>
      </c>
      <c r="D28" s="41" t="s">
        <v>208</v>
      </c>
      <c r="E28" s="41" t="s">
        <v>209</v>
      </c>
      <c r="F28" s="41" t="s">
        <v>210</v>
      </c>
      <c r="G28" s="41" t="s">
        <v>58</v>
      </c>
      <c r="H28" s="41" t="s">
        <v>28</v>
      </c>
      <c r="I28" s="41" t="s">
        <v>42</v>
      </c>
      <c r="J28" s="41" t="s">
        <v>43</v>
      </c>
      <c r="K28" s="63">
        <v>0.5</v>
      </c>
      <c r="L28" s="41" t="s">
        <v>50</v>
      </c>
      <c r="M28" s="41">
        <v>2019</v>
      </c>
      <c r="N28" s="41" t="s">
        <v>35</v>
      </c>
      <c r="O28" s="42" t="s">
        <v>34</v>
      </c>
      <c r="P28" s="41" t="s">
        <v>30</v>
      </c>
      <c r="Q28" s="42" t="s">
        <v>30</v>
      </c>
      <c r="R28" s="43">
        <v>80</v>
      </c>
      <c r="S28" s="44">
        <v>0.4</v>
      </c>
      <c r="T28" s="44">
        <v>0.1</v>
      </c>
      <c r="U28" s="44">
        <v>0</v>
      </c>
    </row>
    <row r="29" spans="1:21" x14ac:dyDescent="0.2">
      <c r="A29" s="41" t="s">
        <v>47</v>
      </c>
      <c r="B29" s="41" t="s">
        <v>48</v>
      </c>
      <c r="C29" s="41" t="s">
        <v>49</v>
      </c>
      <c r="D29" s="41" t="s">
        <v>211</v>
      </c>
      <c r="E29" s="41" t="s">
        <v>212</v>
      </c>
      <c r="F29" s="41" t="s">
        <v>213</v>
      </c>
      <c r="G29" s="41" t="s">
        <v>58</v>
      </c>
      <c r="H29" s="41" t="s">
        <v>28</v>
      </c>
      <c r="I29" s="41" t="s">
        <v>42</v>
      </c>
      <c r="J29" s="41" t="s">
        <v>43</v>
      </c>
      <c r="K29" s="63">
        <v>0.5</v>
      </c>
      <c r="L29" s="41" t="s">
        <v>50</v>
      </c>
      <c r="M29" s="41">
        <v>2019</v>
      </c>
      <c r="N29" s="41" t="s">
        <v>35</v>
      </c>
      <c r="O29" s="42" t="s">
        <v>34</v>
      </c>
      <c r="P29" s="41" t="s">
        <v>30</v>
      </c>
      <c r="Q29" s="42" t="s">
        <v>30</v>
      </c>
      <c r="R29" s="43">
        <v>80</v>
      </c>
      <c r="S29" s="44">
        <v>0.4</v>
      </c>
      <c r="T29" s="44">
        <v>0.1</v>
      </c>
      <c r="U29" s="44">
        <v>0</v>
      </c>
    </row>
    <row r="30" spans="1:21" x14ac:dyDescent="0.2">
      <c r="A30" s="32" t="s">
        <v>237</v>
      </c>
      <c r="B30" s="32" t="s">
        <v>238</v>
      </c>
      <c r="C30" s="32" t="s">
        <v>239</v>
      </c>
      <c r="D30" s="32" t="s">
        <v>240</v>
      </c>
      <c r="E30" s="32" t="s">
        <v>241</v>
      </c>
      <c r="F30" s="32" t="s">
        <v>242</v>
      </c>
      <c r="G30" s="32" t="s">
        <v>53</v>
      </c>
      <c r="H30" s="32" t="s">
        <v>31</v>
      </c>
      <c r="I30" s="32" t="s">
        <v>42</v>
      </c>
      <c r="J30" s="32" t="s">
        <v>43</v>
      </c>
      <c r="K30" s="40">
        <v>1</v>
      </c>
      <c r="L30" s="40" t="s">
        <v>50</v>
      </c>
      <c r="M30" s="45">
        <v>2019</v>
      </c>
      <c r="N30" s="32" t="s">
        <v>35</v>
      </c>
      <c r="O30" s="33" t="s">
        <v>34</v>
      </c>
      <c r="P30" s="32" t="s">
        <v>30</v>
      </c>
      <c r="Q30" s="33" t="s">
        <v>30</v>
      </c>
      <c r="R30" s="32">
        <v>80</v>
      </c>
      <c r="S30" s="32">
        <v>0.8</v>
      </c>
      <c r="T30" s="32">
        <v>0.2</v>
      </c>
      <c r="U30" s="32">
        <v>0</v>
      </c>
    </row>
    <row r="31" spans="1:21" x14ac:dyDescent="0.2">
      <c r="A31" s="32" t="s">
        <v>47</v>
      </c>
      <c r="B31" s="32" t="s">
        <v>48</v>
      </c>
      <c r="C31" s="32" t="s">
        <v>49</v>
      </c>
      <c r="D31" s="32" t="s">
        <v>243</v>
      </c>
      <c r="E31" s="32" t="s">
        <v>244</v>
      </c>
      <c r="F31" s="32" t="s">
        <v>245</v>
      </c>
      <c r="G31" s="32" t="s">
        <v>65</v>
      </c>
      <c r="H31" s="32" t="s">
        <v>28</v>
      </c>
      <c r="I31" s="32" t="s">
        <v>42</v>
      </c>
      <c r="J31" s="32" t="s">
        <v>43</v>
      </c>
      <c r="K31" s="40">
        <v>0.5</v>
      </c>
      <c r="L31" s="40" t="s">
        <v>50</v>
      </c>
      <c r="M31" s="45">
        <v>2019</v>
      </c>
      <c r="N31" s="32" t="s">
        <v>35</v>
      </c>
      <c r="O31" s="33" t="s">
        <v>34</v>
      </c>
      <c r="P31" s="32" t="s">
        <v>30</v>
      </c>
      <c r="Q31" s="33" t="s">
        <v>30</v>
      </c>
      <c r="R31" s="32">
        <v>80</v>
      </c>
      <c r="S31" s="32">
        <v>0.4</v>
      </c>
      <c r="T31" s="32">
        <v>0.1</v>
      </c>
      <c r="U31" s="32">
        <v>0</v>
      </c>
    </row>
    <row r="32" spans="1:21" x14ac:dyDescent="0.2">
      <c r="A32" s="32" t="s">
        <v>47</v>
      </c>
      <c r="B32" s="32" t="s">
        <v>48</v>
      </c>
      <c r="C32" s="32" t="s">
        <v>49</v>
      </c>
      <c r="D32" s="32" t="s">
        <v>243</v>
      </c>
      <c r="E32" s="32" t="s">
        <v>244</v>
      </c>
      <c r="F32" s="32" t="s">
        <v>245</v>
      </c>
      <c r="G32" s="32" t="s">
        <v>246</v>
      </c>
      <c r="H32" s="32" t="s">
        <v>28</v>
      </c>
      <c r="I32" s="32" t="s">
        <v>42</v>
      </c>
      <c r="J32" s="32" t="s">
        <v>43</v>
      </c>
      <c r="K32" s="40">
        <v>0.5</v>
      </c>
      <c r="L32" s="40" t="s">
        <v>50</v>
      </c>
      <c r="M32" s="45">
        <v>2019</v>
      </c>
      <c r="N32" s="32" t="s">
        <v>35</v>
      </c>
      <c r="O32" s="33" t="s">
        <v>34</v>
      </c>
      <c r="P32" s="32" t="s">
        <v>30</v>
      </c>
      <c r="Q32" s="33" t="s">
        <v>30</v>
      </c>
      <c r="R32" s="32">
        <v>80</v>
      </c>
      <c r="S32" s="32">
        <v>0.4</v>
      </c>
      <c r="T32" s="32">
        <v>0.1</v>
      </c>
      <c r="U32" s="32">
        <v>0</v>
      </c>
    </row>
    <row r="33" spans="1:21" ht="10.8" thickBot="1" x14ac:dyDescent="0.25">
      <c r="A33" s="32" t="s">
        <v>47</v>
      </c>
      <c r="B33" s="32" t="s">
        <v>48</v>
      </c>
      <c r="C33" s="32" t="s">
        <v>49</v>
      </c>
      <c r="D33" s="32" t="s">
        <v>247</v>
      </c>
      <c r="E33" s="32" t="s">
        <v>248</v>
      </c>
      <c r="F33" s="32" t="s">
        <v>249</v>
      </c>
      <c r="G33" s="32" t="s">
        <v>63</v>
      </c>
      <c r="H33" s="32" t="s">
        <v>31</v>
      </c>
      <c r="I33" s="32" t="s">
        <v>42</v>
      </c>
      <c r="J33" s="32" t="s">
        <v>43</v>
      </c>
      <c r="K33" s="40">
        <v>1</v>
      </c>
      <c r="L33" s="40" t="s">
        <v>50</v>
      </c>
      <c r="M33" s="45">
        <v>2019</v>
      </c>
      <c r="N33" s="32" t="s">
        <v>35</v>
      </c>
      <c r="O33" s="33" t="s">
        <v>34</v>
      </c>
      <c r="P33" s="32" t="s">
        <v>30</v>
      </c>
      <c r="Q33" s="33" t="s">
        <v>30</v>
      </c>
      <c r="R33" s="32">
        <v>80</v>
      </c>
      <c r="S33" s="32">
        <v>0.8</v>
      </c>
      <c r="T33" s="32">
        <v>0.2</v>
      </c>
      <c r="U33" s="32">
        <v>0</v>
      </c>
    </row>
    <row r="34" spans="1:21" ht="10.8" thickBot="1" x14ac:dyDescent="0.25">
      <c r="A34" s="46" t="s">
        <v>237</v>
      </c>
      <c r="B34" s="46" t="s">
        <v>238</v>
      </c>
      <c r="C34" s="46" t="s">
        <v>239</v>
      </c>
      <c r="D34" s="46" t="s">
        <v>250</v>
      </c>
      <c r="E34" s="46" t="s">
        <v>251</v>
      </c>
      <c r="F34" s="46" t="s">
        <v>252</v>
      </c>
      <c r="G34" s="47" t="s">
        <v>66</v>
      </c>
      <c r="H34" s="48" t="s">
        <v>31</v>
      </c>
      <c r="I34" s="48" t="s">
        <v>42</v>
      </c>
      <c r="J34" s="49" t="s">
        <v>43</v>
      </c>
      <c r="K34" s="40">
        <v>1</v>
      </c>
      <c r="L34" s="40" t="s">
        <v>50</v>
      </c>
      <c r="M34" s="32">
        <v>2020</v>
      </c>
      <c r="N34" s="32" t="s">
        <v>35</v>
      </c>
      <c r="O34" s="33" t="s">
        <v>34</v>
      </c>
      <c r="P34" s="32" t="s">
        <v>30</v>
      </c>
      <c r="Q34" s="33" t="s">
        <v>30</v>
      </c>
      <c r="R34" s="32">
        <v>80</v>
      </c>
      <c r="S34" s="32">
        <v>0.8</v>
      </c>
      <c r="T34" s="32">
        <v>0.2</v>
      </c>
      <c r="U34" s="32">
        <v>0</v>
      </c>
    </row>
    <row r="35" spans="1:21" ht="10.8" thickBot="1" x14ac:dyDescent="0.25">
      <c r="A35" s="46" t="s">
        <v>47</v>
      </c>
      <c r="B35" s="46" t="s">
        <v>48</v>
      </c>
      <c r="C35" s="46" t="s">
        <v>49</v>
      </c>
      <c r="D35" s="46" t="s">
        <v>253</v>
      </c>
      <c r="E35" s="46" t="s">
        <v>254</v>
      </c>
      <c r="F35" s="46" t="s">
        <v>255</v>
      </c>
      <c r="G35" s="47" t="s">
        <v>61</v>
      </c>
      <c r="H35" s="48" t="s">
        <v>28</v>
      </c>
      <c r="I35" s="48" t="s">
        <v>42</v>
      </c>
      <c r="J35" s="49" t="s">
        <v>43</v>
      </c>
      <c r="K35" s="40">
        <v>0.5</v>
      </c>
      <c r="L35" s="40" t="s">
        <v>50</v>
      </c>
      <c r="M35" s="32">
        <v>2020</v>
      </c>
      <c r="N35" s="32" t="s">
        <v>35</v>
      </c>
      <c r="O35" s="33" t="s">
        <v>34</v>
      </c>
      <c r="P35" s="32" t="s">
        <v>30</v>
      </c>
      <c r="Q35" s="33" t="s">
        <v>30</v>
      </c>
      <c r="R35" s="32">
        <v>80</v>
      </c>
      <c r="S35" s="32">
        <v>0.4</v>
      </c>
      <c r="T35" s="32">
        <v>0.1</v>
      </c>
      <c r="U35" s="32">
        <v>0</v>
      </c>
    </row>
    <row r="36" spans="1:21" ht="10.8" thickBot="1" x14ac:dyDescent="0.25">
      <c r="A36" s="46" t="s">
        <v>47</v>
      </c>
      <c r="B36" s="46" t="s">
        <v>48</v>
      </c>
      <c r="C36" s="46" t="s">
        <v>49</v>
      </c>
      <c r="D36" s="46" t="s">
        <v>256</v>
      </c>
      <c r="E36" s="46" t="s">
        <v>257</v>
      </c>
      <c r="F36" s="46" t="s">
        <v>258</v>
      </c>
      <c r="G36" s="47" t="s">
        <v>67</v>
      </c>
      <c r="H36" s="48" t="s">
        <v>28</v>
      </c>
      <c r="I36" s="48" t="s">
        <v>42</v>
      </c>
      <c r="J36" s="49" t="s">
        <v>43</v>
      </c>
      <c r="K36" s="40">
        <v>0.5</v>
      </c>
      <c r="L36" s="40" t="s">
        <v>50</v>
      </c>
      <c r="M36" s="32">
        <v>2020</v>
      </c>
      <c r="N36" s="32" t="s">
        <v>35</v>
      </c>
      <c r="O36" s="33" t="s">
        <v>34</v>
      </c>
      <c r="P36" s="32" t="s">
        <v>30</v>
      </c>
      <c r="Q36" s="33" t="s">
        <v>30</v>
      </c>
      <c r="R36" s="32">
        <v>80</v>
      </c>
      <c r="S36" s="32">
        <v>0.4</v>
      </c>
      <c r="T36" s="32">
        <v>0.1</v>
      </c>
      <c r="U36" s="32">
        <v>0</v>
      </c>
    </row>
    <row r="37" spans="1:21" ht="10.8" thickBot="1" x14ac:dyDescent="0.25">
      <c r="A37" s="46" t="s">
        <v>47</v>
      </c>
      <c r="B37" s="46" t="s">
        <v>48</v>
      </c>
      <c r="C37" s="46" t="s">
        <v>49</v>
      </c>
      <c r="D37" s="46" t="s">
        <v>256</v>
      </c>
      <c r="E37" s="46" t="s">
        <v>257</v>
      </c>
      <c r="F37" s="46" t="s">
        <v>258</v>
      </c>
      <c r="G37" s="47" t="s">
        <v>58</v>
      </c>
      <c r="H37" s="48" t="s">
        <v>28</v>
      </c>
      <c r="I37" s="48" t="s">
        <v>42</v>
      </c>
      <c r="J37" s="49" t="s">
        <v>43</v>
      </c>
      <c r="K37" s="40">
        <v>0.5</v>
      </c>
      <c r="L37" s="40" t="s">
        <v>50</v>
      </c>
      <c r="M37" s="32">
        <v>2020</v>
      </c>
      <c r="N37" s="32" t="s">
        <v>35</v>
      </c>
      <c r="O37" s="33" t="s">
        <v>34</v>
      </c>
      <c r="P37" s="32" t="s">
        <v>30</v>
      </c>
      <c r="Q37" s="33" t="s">
        <v>30</v>
      </c>
      <c r="R37" s="32">
        <v>80</v>
      </c>
      <c r="S37" s="32">
        <v>0.4</v>
      </c>
      <c r="T37" s="32">
        <v>0.1</v>
      </c>
      <c r="U37" s="32">
        <v>0</v>
      </c>
    </row>
    <row r="38" spans="1:21" ht="10.8" thickBot="1" x14ac:dyDescent="0.25">
      <c r="A38" s="46" t="s">
        <v>47</v>
      </c>
      <c r="B38" s="46" t="s">
        <v>48</v>
      </c>
      <c r="C38" s="46" t="s">
        <v>49</v>
      </c>
      <c r="D38" s="46" t="s">
        <v>259</v>
      </c>
      <c r="E38" s="46" t="s">
        <v>260</v>
      </c>
      <c r="F38" s="46" t="s">
        <v>261</v>
      </c>
      <c r="G38" s="47" t="s">
        <v>63</v>
      </c>
      <c r="H38" s="48" t="s">
        <v>31</v>
      </c>
      <c r="I38" s="48" t="s">
        <v>42</v>
      </c>
      <c r="J38" s="49" t="s">
        <v>43</v>
      </c>
      <c r="K38" s="40">
        <v>1</v>
      </c>
      <c r="L38" s="40" t="s">
        <v>50</v>
      </c>
      <c r="M38" s="32">
        <v>2020</v>
      </c>
      <c r="N38" s="32" t="s">
        <v>35</v>
      </c>
      <c r="O38" s="33" t="s">
        <v>34</v>
      </c>
      <c r="P38" s="32" t="s">
        <v>30</v>
      </c>
      <c r="Q38" s="33" t="s">
        <v>30</v>
      </c>
      <c r="R38" s="32">
        <v>80</v>
      </c>
      <c r="S38" s="32">
        <v>0.8</v>
      </c>
      <c r="T38" s="32">
        <v>0.2</v>
      </c>
      <c r="U38" s="32">
        <v>0</v>
      </c>
    </row>
    <row r="39" spans="1:21" ht="10.8" thickBot="1" x14ac:dyDescent="0.25">
      <c r="A39" s="46" t="s">
        <v>47</v>
      </c>
      <c r="B39" s="46" t="s">
        <v>48</v>
      </c>
      <c r="C39" s="46" t="s">
        <v>49</v>
      </c>
      <c r="D39" s="46" t="s">
        <v>262</v>
      </c>
      <c r="E39" s="46" t="s">
        <v>263</v>
      </c>
      <c r="F39" s="46" t="s">
        <v>264</v>
      </c>
      <c r="G39" s="47" t="s">
        <v>63</v>
      </c>
      <c r="H39" s="48" t="s">
        <v>31</v>
      </c>
      <c r="I39" s="48" t="s">
        <v>42</v>
      </c>
      <c r="J39" s="49" t="s">
        <v>43</v>
      </c>
      <c r="K39" s="40">
        <v>1</v>
      </c>
      <c r="L39" s="40" t="s">
        <v>50</v>
      </c>
      <c r="M39" s="32">
        <v>2020</v>
      </c>
      <c r="N39" s="32" t="s">
        <v>35</v>
      </c>
      <c r="O39" s="33" t="s">
        <v>34</v>
      </c>
      <c r="P39" s="32" t="s">
        <v>30</v>
      </c>
      <c r="Q39" s="33" t="s">
        <v>30</v>
      </c>
      <c r="R39" s="32">
        <v>80</v>
      </c>
      <c r="S39" s="32">
        <v>0.8</v>
      </c>
      <c r="T39" s="32">
        <v>0.2</v>
      </c>
      <c r="U39" s="32">
        <v>0</v>
      </c>
    </row>
    <row r="40" spans="1:21" ht="10.8" thickBot="1" x14ac:dyDescent="0.25">
      <c r="A40" s="46" t="s">
        <v>47</v>
      </c>
      <c r="B40" s="46" t="s">
        <v>48</v>
      </c>
      <c r="C40" s="46" t="s">
        <v>49</v>
      </c>
      <c r="D40" s="46" t="s">
        <v>265</v>
      </c>
      <c r="E40" s="46" t="s">
        <v>266</v>
      </c>
      <c r="F40" s="46" t="s">
        <v>267</v>
      </c>
      <c r="G40" s="47" t="s">
        <v>268</v>
      </c>
      <c r="H40" s="48" t="s">
        <v>28</v>
      </c>
      <c r="I40" s="48" t="s">
        <v>42</v>
      </c>
      <c r="J40" s="49" t="s">
        <v>43</v>
      </c>
      <c r="K40" s="40">
        <v>0.5</v>
      </c>
      <c r="L40" s="40" t="s">
        <v>50</v>
      </c>
      <c r="M40" s="32">
        <v>2020</v>
      </c>
      <c r="N40" s="32" t="s">
        <v>35</v>
      </c>
      <c r="O40" s="33" t="s">
        <v>34</v>
      </c>
      <c r="P40" s="32" t="s">
        <v>30</v>
      </c>
      <c r="Q40" s="33" t="s">
        <v>30</v>
      </c>
      <c r="R40" s="32">
        <v>80</v>
      </c>
      <c r="S40" s="32">
        <v>0.4</v>
      </c>
      <c r="T40" s="32">
        <v>0.1</v>
      </c>
      <c r="U40" s="32">
        <v>0</v>
      </c>
    </row>
    <row r="41" spans="1:21" ht="10.8" thickBot="1" x14ac:dyDescent="0.25">
      <c r="A41" s="46" t="s">
        <v>47</v>
      </c>
      <c r="B41" s="46" t="s">
        <v>48</v>
      </c>
      <c r="C41" s="46" t="s">
        <v>49</v>
      </c>
      <c r="D41" s="46" t="s">
        <v>265</v>
      </c>
      <c r="E41" s="46" t="s">
        <v>266</v>
      </c>
      <c r="F41" s="46" t="s">
        <v>267</v>
      </c>
      <c r="G41" s="47" t="s">
        <v>52</v>
      </c>
      <c r="H41" s="48" t="s">
        <v>28</v>
      </c>
      <c r="I41" s="48" t="s">
        <v>42</v>
      </c>
      <c r="J41" s="49" t="s">
        <v>43</v>
      </c>
      <c r="K41" s="40">
        <v>0.5</v>
      </c>
      <c r="L41" s="40" t="s">
        <v>50</v>
      </c>
      <c r="M41" s="32">
        <v>2020</v>
      </c>
      <c r="N41" s="32" t="s">
        <v>35</v>
      </c>
      <c r="O41" s="33" t="s">
        <v>34</v>
      </c>
      <c r="P41" s="32" t="s">
        <v>30</v>
      </c>
      <c r="Q41" s="33" t="s">
        <v>30</v>
      </c>
      <c r="R41" s="32">
        <v>80</v>
      </c>
      <c r="S41" s="32">
        <v>0.4</v>
      </c>
      <c r="T41" s="32">
        <v>0.1</v>
      </c>
      <c r="U41" s="32">
        <v>0</v>
      </c>
    </row>
    <row r="42" spans="1:21" ht="10.8" thickBot="1" x14ac:dyDescent="0.25">
      <c r="A42" s="46" t="s">
        <v>47</v>
      </c>
      <c r="B42" s="46" t="s">
        <v>48</v>
      </c>
      <c r="C42" s="46" t="s">
        <v>49</v>
      </c>
      <c r="D42" s="46" t="s">
        <v>269</v>
      </c>
      <c r="E42" s="46" t="s">
        <v>270</v>
      </c>
      <c r="F42" s="46" t="s">
        <v>271</v>
      </c>
      <c r="G42" s="47" t="s">
        <v>272</v>
      </c>
      <c r="H42" s="48" t="s">
        <v>28</v>
      </c>
      <c r="I42" s="48" t="s">
        <v>42</v>
      </c>
      <c r="J42" s="49" t="s">
        <v>43</v>
      </c>
      <c r="K42" s="40">
        <v>0.5</v>
      </c>
      <c r="L42" s="40" t="s">
        <v>50</v>
      </c>
      <c r="M42" s="32">
        <v>2020</v>
      </c>
      <c r="N42" s="32" t="s">
        <v>35</v>
      </c>
      <c r="O42" s="33" t="s">
        <v>34</v>
      </c>
      <c r="P42" s="32" t="s">
        <v>30</v>
      </c>
      <c r="Q42" s="33" t="s">
        <v>30</v>
      </c>
      <c r="R42" s="32">
        <v>80</v>
      </c>
      <c r="S42" s="32">
        <v>0.4</v>
      </c>
      <c r="T42" s="32">
        <v>0.1</v>
      </c>
      <c r="U42" s="32">
        <v>0</v>
      </c>
    </row>
    <row r="43" spans="1:21" ht="10.8" thickBot="1" x14ac:dyDescent="0.25">
      <c r="A43" s="46" t="s">
        <v>47</v>
      </c>
      <c r="B43" s="46" t="s">
        <v>48</v>
      </c>
      <c r="C43" s="46" t="s">
        <v>49</v>
      </c>
      <c r="D43" s="46" t="s">
        <v>269</v>
      </c>
      <c r="E43" s="46" t="s">
        <v>270</v>
      </c>
      <c r="F43" s="46" t="s">
        <v>271</v>
      </c>
      <c r="G43" s="47" t="s">
        <v>59</v>
      </c>
      <c r="H43" s="48" t="s">
        <v>28</v>
      </c>
      <c r="I43" s="48" t="s">
        <v>42</v>
      </c>
      <c r="J43" s="49" t="s">
        <v>43</v>
      </c>
      <c r="K43" s="40">
        <v>0.5</v>
      </c>
      <c r="L43" s="40" t="s">
        <v>50</v>
      </c>
      <c r="M43" s="32">
        <v>2020</v>
      </c>
      <c r="N43" s="32" t="s">
        <v>35</v>
      </c>
      <c r="O43" s="33" t="s">
        <v>34</v>
      </c>
      <c r="P43" s="32" t="s">
        <v>30</v>
      </c>
      <c r="Q43" s="33" t="s">
        <v>30</v>
      </c>
      <c r="R43" s="32">
        <v>80</v>
      </c>
      <c r="S43" s="32">
        <v>0.4</v>
      </c>
      <c r="T43" s="32">
        <v>0.1</v>
      </c>
      <c r="U43" s="32">
        <v>0</v>
      </c>
    </row>
    <row r="44" spans="1:21" ht="10.8" thickBot="1" x14ac:dyDescent="0.25">
      <c r="A44" s="46" t="s">
        <v>47</v>
      </c>
      <c r="B44" s="46" t="s">
        <v>48</v>
      </c>
      <c r="C44" s="46" t="s">
        <v>49</v>
      </c>
      <c r="D44" s="46" t="s">
        <v>273</v>
      </c>
      <c r="E44" s="46" t="s">
        <v>274</v>
      </c>
      <c r="F44" s="46" t="s">
        <v>275</v>
      </c>
      <c r="G44" s="47" t="s">
        <v>268</v>
      </c>
      <c r="H44" s="48" t="s">
        <v>28</v>
      </c>
      <c r="I44" s="48" t="s">
        <v>42</v>
      </c>
      <c r="J44" s="49" t="s">
        <v>43</v>
      </c>
      <c r="K44" s="40">
        <v>0.5</v>
      </c>
      <c r="L44" s="40" t="s">
        <v>50</v>
      </c>
      <c r="M44" s="32">
        <v>2020</v>
      </c>
      <c r="N44" s="32" t="s">
        <v>35</v>
      </c>
      <c r="O44" s="33" t="s">
        <v>34</v>
      </c>
      <c r="P44" s="32" t="s">
        <v>30</v>
      </c>
      <c r="Q44" s="33" t="s">
        <v>30</v>
      </c>
      <c r="R44" s="32">
        <v>80</v>
      </c>
      <c r="S44" s="32">
        <v>0.4</v>
      </c>
      <c r="T44" s="32">
        <v>0.1</v>
      </c>
      <c r="U44" s="32">
        <v>0</v>
      </c>
    </row>
    <row r="45" spans="1:21" ht="10.8" thickBot="1" x14ac:dyDescent="0.25">
      <c r="A45" s="46" t="s">
        <v>47</v>
      </c>
      <c r="B45" s="46" t="s">
        <v>48</v>
      </c>
      <c r="C45" s="46" t="s">
        <v>49</v>
      </c>
      <c r="D45" s="46" t="s">
        <v>273</v>
      </c>
      <c r="E45" s="46" t="s">
        <v>274</v>
      </c>
      <c r="F45" s="46" t="s">
        <v>275</v>
      </c>
      <c r="G45" s="47" t="s">
        <v>52</v>
      </c>
      <c r="H45" s="48" t="s">
        <v>28</v>
      </c>
      <c r="I45" s="48" t="s">
        <v>42</v>
      </c>
      <c r="J45" s="49" t="s">
        <v>43</v>
      </c>
      <c r="K45" s="40">
        <v>0.5</v>
      </c>
      <c r="L45" s="40" t="s">
        <v>50</v>
      </c>
      <c r="M45" s="32">
        <v>2020</v>
      </c>
      <c r="N45" s="32" t="s">
        <v>35</v>
      </c>
      <c r="O45" s="33" t="s">
        <v>34</v>
      </c>
      <c r="P45" s="32" t="s">
        <v>30</v>
      </c>
      <c r="Q45" s="33" t="s">
        <v>30</v>
      </c>
      <c r="R45" s="32">
        <v>80</v>
      </c>
      <c r="S45" s="32">
        <v>0.4</v>
      </c>
      <c r="T45" s="32">
        <v>0.1</v>
      </c>
      <c r="U45" s="32">
        <v>0</v>
      </c>
    </row>
    <row r="46" spans="1:21" ht="10.8" thickBot="1" x14ac:dyDescent="0.25">
      <c r="A46" s="46" t="s">
        <v>47</v>
      </c>
      <c r="B46" s="46" t="s">
        <v>48</v>
      </c>
      <c r="C46" s="46" t="s">
        <v>49</v>
      </c>
      <c r="D46" s="46" t="s">
        <v>276</v>
      </c>
      <c r="E46" s="46" t="s">
        <v>277</v>
      </c>
      <c r="F46" s="46" t="s">
        <v>278</v>
      </c>
      <c r="G46" s="47" t="s">
        <v>94</v>
      </c>
      <c r="H46" s="48" t="s">
        <v>28</v>
      </c>
      <c r="I46" s="48" t="s">
        <v>42</v>
      </c>
      <c r="J46" s="49" t="s">
        <v>43</v>
      </c>
      <c r="K46" s="40">
        <v>0.5</v>
      </c>
      <c r="L46" s="40" t="s">
        <v>50</v>
      </c>
      <c r="M46" s="32">
        <v>2020</v>
      </c>
      <c r="N46" s="32" t="s">
        <v>35</v>
      </c>
      <c r="O46" s="33" t="s">
        <v>29</v>
      </c>
      <c r="P46" s="32" t="s">
        <v>30</v>
      </c>
      <c r="Q46" s="33" t="s">
        <v>30</v>
      </c>
      <c r="R46" s="32">
        <v>50</v>
      </c>
      <c r="S46" s="32">
        <v>0.25</v>
      </c>
      <c r="T46" s="32">
        <v>0.25</v>
      </c>
      <c r="U46" s="32">
        <v>0</v>
      </c>
    </row>
    <row r="47" spans="1:21" ht="10.8" thickBot="1" x14ac:dyDescent="0.25">
      <c r="A47" s="46" t="s">
        <v>47</v>
      </c>
      <c r="B47" s="46" t="s">
        <v>48</v>
      </c>
      <c r="C47" s="46" t="s">
        <v>49</v>
      </c>
      <c r="D47" s="46" t="s">
        <v>276</v>
      </c>
      <c r="E47" s="46" t="s">
        <v>277</v>
      </c>
      <c r="F47" s="46" t="s">
        <v>278</v>
      </c>
      <c r="G47" s="47" t="s">
        <v>279</v>
      </c>
      <c r="H47" s="48" t="s">
        <v>28</v>
      </c>
      <c r="I47" s="48" t="s">
        <v>42</v>
      </c>
      <c r="J47" s="49" t="s">
        <v>43</v>
      </c>
      <c r="K47" s="40">
        <v>0.5</v>
      </c>
      <c r="L47" s="40" t="s">
        <v>50</v>
      </c>
      <c r="M47" s="32">
        <v>2020</v>
      </c>
      <c r="N47" s="32" t="s">
        <v>35</v>
      </c>
      <c r="O47" s="33" t="s">
        <v>34</v>
      </c>
      <c r="P47" s="32" t="s">
        <v>30</v>
      </c>
      <c r="Q47" s="33" t="s">
        <v>30</v>
      </c>
      <c r="R47" s="32">
        <v>80</v>
      </c>
      <c r="S47" s="32">
        <v>0.4</v>
      </c>
      <c r="T47" s="32">
        <v>0.1</v>
      </c>
      <c r="U47" s="32">
        <v>0</v>
      </c>
    </row>
    <row r="48" spans="1:21" ht="10.8" thickBot="1" x14ac:dyDescent="0.25">
      <c r="A48" s="46" t="s">
        <v>47</v>
      </c>
      <c r="B48" s="46" t="s">
        <v>48</v>
      </c>
      <c r="C48" s="46" t="s">
        <v>49</v>
      </c>
      <c r="D48" s="46" t="s">
        <v>280</v>
      </c>
      <c r="E48" s="46" t="s">
        <v>281</v>
      </c>
      <c r="F48" s="46" t="s">
        <v>282</v>
      </c>
      <c r="G48" s="47" t="s">
        <v>283</v>
      </c>
      <c r="H48" s="48" t="s">
        <v>28</v>
      </c>
      <c r="I48" s="48" t="s">
        <v>42</v>
      </c>
      <c r="J48" s="49" t="s">
        <v>43</v>
      </c>
      <c r="K48" s="40">
        <v>0.5</v>
      </c>
      <c r="L48" s="40" t="s">
        <v>50</v>
      </c>
      <c r="M48" s="32">
        <v>2020</v>
      </c>
      <c r="N48" s="32" t="s">
        <v>35</v>
      </c>
      <c r="O48" s="33" t="s">
        <v>34</v>
      </c>
      <c r="P48" s="32" t="s">
        <v>30</v>
      </c>
      <c r="Q48" s="33" t="s">
        <v>30</v>
      </c>
      <c r="R48" s="32">
        <v>80</v>
      </c>
      <c r="S48" s="32">
        <v>0.4</v>
      </c>
      <c r="T48" s="32">
        <v>0.1</v>
      </c>
      <c r="U48" s="32">
        <v>0</v>
      </c>
    </row>
    <row r="49" spans="1:21" ht="10.8" thickBot="1" x14ac:dyDescent="0.25">
      <c r="A49" s="46" t="s">
        <v>47</v>
      </c>
      <c r="B49" s="46" t="s">
        <v>48</v>
      </c>
      <c r="C49" s="46" t="s">
        <v>49</v>
      </c>
      <c r="D49" s="46" t="s">
        <v>284</v>
      </c>
      <c r="E49" s="46" t="s">
        <v>285</v>
      </c>
      <c r="F49" s="46" t="s">
        <v>286</v>
      </c>
      <c r="G49" s="47" t="s">
        <v>56</v>
      </c>
      <c r="H49" s="48" t="s">
        <v>31</v>
      </c>
      <c r="I49" s="48" t="s">
        <v>42</v>
      </c>
      <c r="J49" s="49" t="s">
        <v>43</v>
      </c>
      <c r="K49" s="40">
        <v>1</v>
      </c>
      <c r="L49" s="40" t="s">
        <v>50</v>
      </c>
      <c r="M49" s="32">
        <v>2020</v>
      </c>
      <c r="N49" s="32" t="s">
        <v>35</v>
      </c>
      <c r="O49" s="33" t="s">
        <v>34</v>
      </c>
      <c r="P49" s="32" t="s">
        <v>30</v>
      </c>
      <c r="Q49" s="33" t="s">
        <v>30</v>
      </c>
      <c r="R49" s="32">
        <v>80</v>
      </c>
      <c r="S49" s="32">
        <v>0.8</v>
      </c>
      <c r="T49" s="32">
        <v>0.2</v>
      </c>
      <c r="U49" s="32">
        <v>0</v>
      </c>
    </row>
    <row r="50" spans="1:21" x14ac:dyDescent="0.2">
      <c r="A50" s="32" t="s">
        <v>47</v>
      </c>
      <c r="B50" s="32" t="s">
        <v>48</v>
      </c>
      <c r="C50" s="32" t="s">
        <v>49</v>
      </c>
      <c r="D50" s="32" t="s">
        <v>355</v>
      </c>
      <c r="E50" s="32" t="s">
        <v>356</v>
      </c>
      <c r="F50" s="32" t="s">
        <v>357</v>
      </c>
      <c r="G50" s="32" t="s">
        <v>61</v>
      </c>
      <c r="H50" s="32" t="s">
        <v>28</v>
      </c>
      <c r="I50" s="32" t="s">
        <v>42</v>
      </c>
      <c r="J50" s="32" t="s">
        <v>43</v>
      </c>
      <c r="K50" s="40">
        <v>0.5</v>
      </c>
      <c r="L50" s="40" t="s">
        <v>50</v>
      </c>
      <c r="M50" s="32">
        <v>2021</v>
      </c>
      <c r="N50" s="32" t="s">
        <v>35</v>
      </c>
      <c r="O50" s="33" t="s">
        <v>34</v>
      </c>
      <c r="P50" s="32" t="s">
        <v>30</v>
      </c>
      <c r="Q50" s="33" t="s">
        <v>30</v>
      </c>
      <c r="R50" s="32">
        <v>80</v>
      </c>
      <c r="S50" s="32">
        <v>0.4</v>
      </c>
      <c r="T50" s="32">
        <v>0.1</v>
      </c>
      <c r="U50" s="32">
        <v>0</v>
      </c>
    </row>
    <row r="51" spans="1:21" x14ac:dyDescent="0.2">
      <c r="A51" s="32" t="s">
        <v>47</v>
      </c>
      <c r="B51" s="32" t="s">
        <v>48</v>
      </c>
      <c r="C51" s="32" t="s">
        <v>49</v>
      </c>
      <c r="D51" s="32" t="s">
        <v>358</v>
      </c>
      <c r="E51" s="32" t="s">
        <v>359</v>
      </c>
      <c r="F51" s="32" t="s">
        <v>360</v>
      </c>
      <c r="G51" s="32" t="s">
        <v>63</v>
      </c>
      <c r="H51" s="32" t="s">
        <v>31</v>
      </c>
      <c r="I51" s="32" t="s">
        <v>42</v>
      </c>
      <c r="J51" s="32" t="s">
        <v>43</v>
      </c>
      <c r="K51" s="40">
        <v>1</v>
      </c>
      <c r="L51" s="40" t="s">
        <v>50</v>
      </c>
      <c r="M51" s="32">
        <v>2021</v>
      </c>
      <c r="N51" s="32" t="s">
        <v>35</v>
      </c>
      <c r="O51" s="33" t="s">
        <v>34</v>
      </c>
      <c r="P51" s="32" t="s">
        <v>30</v>
      </c>
      <c r="Q51" s="33" t="s">
        <v>30</v>
      </c>
      <c r="R51" s="32">
        <v>80</v>
      </c>
      <c r="S51" s="32">
        <v>0.8</v>
      </c>
      <c r="T51" s="32">
        <v>0.2</v>
      </c>
      <c r="U51" s="32">
        <v>0</v>
      </c>
    </row>
    <row r="52" spans="1:21" x14ac:dyDescent="0.2">
      <c r="A52" s="32" t="s">
        <v>47</v>
      </c>
      <c r="B52" s="32" t="s">
        <v>48</v>
      </c>
      <c r="C52" s="32" t="s">
        <v>49</v>
      </c>
      <c r="D52" s="32" t="s">
        <v>361</v>
      </c>
      <c r="E52" s="32" t="s">
        <v>362</v>
      </c>
      <c r="F52" s="32" t="s">
        <v>363</v>
      </c>
      <c r="G52" s="32" t="s">
        <v>63</v>
      </c>
      <c r="H52" s="32" t="s">
        <v>31</v>
      </c>
      <c r="I52" s="32" t="s">
        <v>42</v>
      </c>
      <c r="J52" s="32" t="s">
        <v>43</v>
      </c>
      <c r="K52" s="40">
        <v>1</v>
      </c>
      <c r="L52" s="40" t="s">
        <v>50</v>
      </c>
      <c r="M52" s="32">
        <v>2021</v>
      </c>
      <c r="N52" s="32" t="s">
        <v>35</v>
      </c>
      <c r="O52" s="33" t="s">
        <v>34</v>
      </c>
      <c r="P52" s="32" t="s">
        <v>30</v>
      </c>
      <c r="Q52" s="33" t="s">
        <v>30</v>
      </c>
      <c r="R52" s="32">
        <v>80</v>
      </c>
      <c r="S52" s="32">
        <v>0.8</v>
      </c>
      <c r="T52" s="32">
        <v>0.2</v>
      </c>
      <c r="U52" s="32">
        <v>0</v>
      </c>
    </row>
    <row r="53" spans="1:21" x14ac:dyDescent="0.2">
      <c r="A53" s="32" t="s">
        <v>47</v>
      </c>
      <c r="B53" s="32" t="s">
        <v>48</v>
      </c>
      <c r="C53" s="32" t="s">
        <v>49</v>
      </c>
      <c r="D53" s="32" t="s">
        <v>364</v>
      </c>
      <c r="E53" s="32" t="s">
        <v>365</v>
      </c>
      <c r="F53" s="32" t="s">
        <v>366</v>
      </c>
      <c r="G53" s="32" t="s">
        <v>63</v>
      </c>
      <c r="H53" s="32" t="s">
        <v>31</v>
      </c>
      <c r="I53" s="32" t="s">
        <v>42</v>
      </c>
      <c r="J53" s="32" t="s">
        <v>43</v>
      </c>
      <c r="K53" s="40">
        <v>1</v>
      </c>
      <c r="L53" s="40" t="s">
        <v>50</v>
      </c>
      <c r="M53" s="32">
        <v>2021</v>
      </c>
      <c r="N53" s="32" t="s">
        <v>35</v>
      </c>
      <c r="O53" s="33" t="s">
        <v>34</v>
      </c>
      <c r="P53" s="32" t="s">
        <v>30</v>
      </c>
      <c r="Q53" s="33" t="s">
        <v>30</v>
      </c>
      <c r="R53" s="32">
        <v>80</v>
      </c>
      <c r="S53" s="32">
        <v>0.8</v>
      </c>
      <c r="T53" s="32">
        <v>0.2</v>
      </c>
      <c r="U53" s="32">
        <v>0</v>
      </c>
    </row>
    <row r="54" spans="1:21" x14ac:dyDescent="0.2">
      <c r="A54" s="32" t="s">
        <v>47</v>
      </c>
      <c r="B54" s="32" t="s">
        <v>48</v>
      </c>
      <c r="C54" s="32" t="s">
        <v>49</v>
      </c>
      <c r="D54" s="32" t="s">
        <v>367</v>
      </c>
      <c r="E54" s="32" t="s">
        <v>368</v>
      </c>
      <c r="F54" s="32" t="s">
        <v>369</v>
      </c>
      <c r="G54" s="32" t="s">
        <v>94</v>
      </c>
      <c r="H54" s="32" t="s">
        <v>28</v>
      </c>
      <c r="I54" s="32" t="s">
        <v>42</v>
      </c>
      <c r="J54" s="32" t="s">
        <v>43</v>
      </c>
      <c r="K54" s="40">
        <v>0.5</v>
      </c>
      <c r="L54" s="40" t="s">
        <v>50</v>
      </c>
      <c r="M54" s="32">
        <v>2021</v>
      </c>
      <c r="N54" s="32" t="s">
        <v>35</v>
      </c>
      <c r="O54" s="33" t="s">
        <v>29</v>
      </c>
      <c r="P54" s="32" t="s">
        <v>30</v>
      </c>
      <c r="Q54" s="33" t="s">
        <v>30</v>
      </c>
      <c r="R54" s="32">
        <v>50</v>
      </c>
      <c r="S54" s="32">
        <v>0.25</v>
      </c>
      <c r="T54" s="32">
        <v>0.25</v>
      </c>
      <c r="U54" s="32">
        <v>0</v>
      </c>
    </row>
    <row r="55" spans="1:21" x14ac:dyDescent="0.2">
      <c r="A55" s="32" t="s">
        <v>47</v>
      </c>
      <c r="B55" s="32" t="s">
        <v>48</v>
      </c>
      <c r="C55" s="32" t="s">
        <v>49</v>
      </c>
      <c r="D55" s="32" t="s">
        <v>367</v>
      </c>
      <c r="E55" s="32" t="s">
        <v>368</v>
      </c>
      <c r="F55" s="32" t="s">
        <v>369</v>
      </c>
      <c r="G55" s="32" t="s">
        <v>272</v>
      </c>
      <c r="H55" s="32" t="s">
        <v>28</v>
      </c>
      <c r="I55" s="32" t="s">
        <v>42</v>
      </c>
      <c r="J55" s="32" t="s">
        <v>43</v>
      </c>
      <c r="K55" s="40">
        <v>0.5</v>
      </c>
      <c r="L55" s="40" t="s">
        <v>50</v>
      </c>
      <c r="M55" s="32">
        <v>2021</v>
      </c>
      <c r="N55" s="32" t="s">
        <v>35</v>
      </c>
      <c r="O55" s="33" t="s">
        <v>34</v>
      </c>
      <c r="P55" s="32" t="s">
        <v>30</v>
      </c>
      <c r="Q55" s="33" t="s">
        <v>30</v>
      </c>
      <c r="R55" s="32">
        <v>80</v>
      </c>
      <c r="S55" s="32">
        <v>0.4</v>
      </c>
      <c r="T55" s="32">
        <v>0.1</v>
      </c>
      <c r="U55" s="32">
        <v>0</v>
      </c>
    </row>
    <row r="56" spans="1:21" x14ac:dyDescent="0.2">
      <c r="A56" s="32" t="s">
        <v>47</v>
      </c>
      <c r="B56" s="32" t="s">
        <v>48</v>
      </c>
      <c r="C56" s="32" t="s">
        <v>49</v>
      </c>
      <c r="D56" s="32" t="s">
        <v>370</v>
      </c>
      <c r="E56" s="32" t="s">
        <v>371</v>
      </c>
      <c r="F56" s="32" t="s">
        <v>372</v>
      </c>
      <c r="G56" s="32" t="s">
        <v>90</v>
      </c>
      <c r="H56" s="32" t="s">
        <v>31</v>
      </c>
      <c r="I56" s="32" t="s">
        <v>42</v>
      </c>
      <c r="J56" s="32" t="s">
        <v>43</v>
      </c>
      <c r="K56" s="40">
        <v>1</v>
      </c>
      <c r="L56" s="40" t="s">
        <v>50</v>
      </c>
      <c r="M56" s="32">
        <v>2021</v>
      </c>
      <c r="N56" s="32" t="s">
        <v>35</v>
      </c>
      <c r="O56" s="33" t="s">
        <v>34</v>
      </c>
      <c r="P56" s="32" t="s">
        <v>30</v>
      </c>
      <c r="Q56" s="33" t="s">
        <v>30</v>
      </c>
      <c r="R56" s="32">
        <v>80</v>
      </c>
      <c r="S56" s="32">
        <v>0.8</v>
      </c>
      <c r="T56" s="32">
        <v>0.2</v>
      </c>
      <c r="U56" s="32">
        <v>0</v>
      </c>
    </row>
    <row r="57" spans="1:21" x14ac:dyDescent="0.2">
      <c r="A57" s="32" t="s">
        <v>47</v>
      </c>
      <c r="B57" s="32" t="s">
        <v>48</v>
      </c>
      <c r="C57" s="32" t="s">
        <v>49</v>
      </c>
      <c r="D57" s="32" t="s">
        <v>373</v>
      </c>
      <c r="E57" s="32" t="s">
        <v>374</v>
      </c>
      <c r="F57" s="32" t="s">
        <v>372</v>
      </c>
      <c r="G57" s="32" t="s">
        <v>246</v>
      </c>
      <c r="H57" s="32" t="s">
        <v>28</v>
      </c>
      <c r="I57" s="32" t="s">
        <v>42</v>
      </c>
      <c r="J57" s="32" t="s">
        <v>43</v>
      </c>
      <c r="K57" s="40">
        <v>0.33333333333333331</v>
      </c>
      <c r="L57" s="40" t="s">
        <v>50</v>
      </c>
      <c r="M57" s="32">
        <v>2021</v>
      </c>
      <c r="N57" s="32" t="s">
        <v>35</v>
      </c>
      <c r="O57" s="33" t="s">
        <v>34</v>
      </c>
      <c r="P57" s="32" t="s">
        <v>30</v>
      </c>
      <c r="Q57" s="33" t="s">
        <v>30</v>
      </c>
      <c r="R57" s="32">
        <v>80</v>
      </c>
      <c r="S57" s="32">
        <v>0.26666666666666666</v>
      </c>
      <c r="T57" s="32">
        <v>6.6666666666666666E-2</v>
      </c>
      <c r="U57" s="32">
        <v>0</v>
      </c>
    </row>
    <row r="58" spans="1:21" x14ac:dyDescent="0.2">
      <c r="A58" s="32" t="s">
        <v>47</v>
      </c>
      <c r="B58" s="32" t="s">
        <v>48</v>
      </c>
      <c r="C58" s="32" t="s">
        <v>49</v>
      </c>
      <c r="D58" s="32" t="s">
        <v>373</v>
      </c>
      <c r="E58" s="32" t="s">
        <v>374</v>
      </c>
      <c r="F58" s="32" t="s">
        <v>372</v>
      </c>
      <c r="G58" s="32" t="s">
        <v>51</v>
      </c>
      <c r="H58" s="32" t="s">
        <v>28</v>
      </c>
      <c r="I58" s="32" t="s">
        <v>42</v>
      </c>
      <c r="J58" s="32" t="s">
        <v>43</v>
      </c>
      <c r="K58" s="40">
        <v>0.33333333333333331</v>
      </c>
      <c r="L58" s="40" t="s">
        <v>50</v>
      </c>
      <c r="M58" s="32">
        <v>2021</v>
      </c>
      <c r="N58" s="32" t="s">
        <v>35</v>
      </c>
      <c r="O58" s="33" t="s">
        <v>34</v>
      </c>
      <c r="P58" s="32" t="s">
        <v>30</v>
      </c>
      <c r="Q58" s="33" t="s">
        <v>30</v>
      </c>
      <c r="R58" s="32">
        <v>80</v>
      </c>
      <c r="S58" s="32">
        <v>0.26666666666666666</v>
      </c>
      <c r="T58" s="32">
        <v>6.6666666666666666E-2</v>
      </c>
      <c r="U58" s="32">
        <v>0</v>
      </c>
    </row>
    <row r="59" spans="1:21" x14ac:dyDescent="0.2">
      <c r="A59" s="32" t="s">
        <v>47</v>
      </c>
      <c r="B59" s="32" t="s">
        <v>48</v>
      </c>
      <c r="C59" s="32" t="s">
        <v>49</v>
      </c>
      <c r="D59" s="32" t="s">
        <v>375</v>
      </c>
      <c r="E59" s="32" t="s">
        <v>376</v>
      </c>
      <c r="F59" s="32" t="s">
        <v>377</v>
      </c>
      <c r="G59" s="32" t="s">
        <v>246</v>
      </c>
      <c r="H59" s="32" t="s">
        <v>28</v>
      </c>
      <c r="I59" s="32" t="s">
        <v>42</v>
      </c>
      <c r="J59" s="32" t="s">
        <v>43</v>
      </c>
      <c r="K59" s="40">
        <v>0.33333333333333331</v>
      </c>
      <c r="L59" s="40" t="s">
        <v>50</v>
      </c>
      <c r="M59" s="32">
        <v>2021</v>
      </c>
      <c r="N59" s="32" t="s">
        <v>35</v>
      </c>
      <c r="O59" s="33" t="s">
        <v>34</v>
      </c>
      <c r="P59" s="32" t="s">
        <v>30</v>
      </c>
      <c r="Q59" s="33" t="s">
        <v>30</v>
      </c>
      <c r="R59" s="32">
        <v>80</v>
      </c>
      <c r="S59" s="32">
        <v>0.26666666666666666</v>
      </c>
      <c r="T59" s="32">
        <v>6.6666666666666666E-2</v>
      </c>
      <c r="U59" s="32">
        <v>0</v>
      </c>
    </row>
    <row r="60" spans="1:21" x14ac:dyDescent="0.2">
      <c r="A60" s="32" t="s">
        <v>47</v>
      </c>
      <c r="B60" s="32" t="s">
        <v>48</v>
      </c>
      <c r="C60" s="32" t="s">
        <v>49</v>
      </c>
      <c r="D60" s="32" t="s">
        <v>375</v>
      </c>
      <c r="E60" s="32" t="s">
        <v>376</v>
      </c>
      <c r="F60" s="32" t="s">
        <v>377</v>
      </c>
      <c r="G60" s="32" t="s">
        <v>53</v>
      </c>
      <c r="H60" s="32" t="s">
        <v>28</v>
      </c>
      <c r="I60" s="32" t="s">
        <v>42</v>
      </c>
      <c r="J60" s="32" t="s">
        <v>43</v>
      </c>
      <c r="K60" s="40">
        <v>0.33333333333333331</v>
      </c>
      <c r="L60" s="40" t="s">
        <v>50</v>
      </c>
      <c r="M60" s="32">
        <v>2021</v>
      </c>
      <c r="N60" s="32" t="s">
        <v>35</v>
      </c>
      <c r="O60" s="33" t="s">
        <v>34</v>
      </c>
      <c r="P60" s="32" t="s">
        <v>30</v>
      </c>
      <c r="Q60" s="33" t="s">
        <v>30</v>
      </c>
      <c r="R60" s="32">
        <v>80</v>
      </c>
      <c r="S60" s="32">
        <v>0.26666666666666666</v>
      </c>
      <c r="T60" s="32">
        <v>6.6666666666666666E-2</v>
      </c>
      <c r="U60" s="32">
        <v>0</v>
      </c>
    </row>
    <row r="61" spans="1:21" x14ac:dyDescent="0.2">
      <c r="A61" s="32" t="s">
        <v>47</v>
      </c>
      <c r="B61" s="32" t="s">
        <v>48</v>
      </c>
      <c r="C61" s="32" t="s">
        <v>49</v>
      </c>
      <c r="D61" s="32" t="s">
        <v>378</v>
      </c>
      <c r="E61" s="32" t="s">
        <v>379</v>
      </c>
      <c r="F61" s="32" t="s">
        <v>380</v>
      </c>
      <c r="G61" s="32" t="s">
        <v>272</v>
      </c>
      <c r="H61" s="32" t="s">
        <v>28</v>
      </c>
      <c r="I61" s="32" t="s">
        <v>42</v>
      </c>
      <c r="J61" s="32" t="s">
        <v>43</v>
      </c>
      <c r="K61" s="40">
        <v>0.5</v>
      </c>
      <c r="L61" s="40" t="s">
        <v>50</v>
      </c>
      <c r="M61" s="32">
        <v>2021</v>
      </c>
      <c r="N61" s="32" t="s">
        <v>35</v>
      </c>
      <c r="O61" s="33" t="s">
        <v>34</v>
      </c>
      <c r="P61" s="32" t="s">
        <v>30</v>
      </c>
      <c r="Q61" s="33" t="s">
        <v>30</v>
      </c>
      <c r="R61" s="32">
        <v>80</v>
      </c>
      <c r="S61" s="32">
        <v>0.4</v>
      </c>
      <c r="T61" s="32">
        <v>0.1</v>
      </c>
      <c r="U61" s="32">
        <v>0</v>
      </c>
    </row>
    <row r="62" spans="1:21" x14ac:dyDescent="0.2">
      <c r="A62" s="32" t="s">
        <v>47</v>
      </c>
      <c r="B62" s="32" t="s">
        <v>48</v>
      </c>
      <c r="C62" s="32" t="s">
        <v>49</v>
      </c>
      <c r="D62" s="32" t="s">
        <v>381</v>
      </c>
      <c r="E62" s="32" t="s">
        <v>382</v>
      </c>
      <c r="F62" s="32" t="s">
        <v>383</v>
      </c>
      <c r="G62" s="32" t="s">
        <v>384</v>
      </c>
      <c r="H62" s="32" t="s">
        <v>31</v>
      </c>
      <c r="I62" s="32" t="s">
        <v>42</v>
      </c>
      <c r="J62" s="32" t="s">
        <v>43</v>
      </c>
      <c r="K62" s="40">
        <v>1</v>
      </c>
      <c r="L62" s="40" t="s">
        <v>50</v>
      </c>
      <c r="M62" s="32">
        <v>2021</v>
      </c>
      <c r="N62" s="32" t="s">
        <v>35</v>
      </c>
      <c r="O62" s="33" t="s">
        <v>34</v>
      </c>
      <c r="P62" s="32" t="s">
        <v>30</v>
      </c>
      <c r="Q62" s="33" t="s">
        <v>30</v>
      </c>
      <c r="R62" s="32">
        <v>80</v>
      </c>
      <c r="S62" s="32">
        <v>0.8</v>
      </c>
      <c r="T62" s="32">
        <v>0.2</v>
      </c>
      <c r="U62" s="32">
        <v>0</v>
      </c>
    </row>
    <row r="63" spans="1:21" x14ac:dyDescent="0.2">
      <c r="A63" s="64"/>
      <c r="B63" s="64"/>
      <c r="C63" s="64"/>
      <c r="D63" s="64"/>
      <c r="E63" s="64"/>
      <c r="F63" s="64"/>
      <c r="G63" s="64"/>
      <c r="H63" s="64"/>
      <c r="I63" s="64"/>
      <c r="J63" s="64"/>
      <c r="K63" s="64"/>
      <c r="L63" s="64"/>
      <c r="M63" s="64"/>
      <c r="N63" s="64"/>
      <c r="O63" s="65"/>
      <c r="P63" s="64"/>
      <c r="Q63" s="65"/>
      <c r="R63" s="64"/>
      <c r="S63" s="70">
        <f>SUM(S2:S62)</f>
        <v>31.666666666666657</v>
      </c>
      <c r="T63" s="64"/>
      <c r="U63" s="64"/>
    </row>
  </sheetData>
  <autoFilter ref="A1:U1" xr:uid="{00000000-0009-0000-0000-000000000000}">
    <sortState xmlns:xlrd2="http://schemas.microsoft.com/office/spreadsheetml/2017/richdata2" ref="A2:T1852">
      <sortCondition ref="K2:K1852"/>
      <sortCondition ref="L2:L1852"/>
      <sortCondition ref="D2:D1852"/>
    </sortState>
  </autoFilter>
  <printOptions horizontalCentered="1"/>
  <pageMargins left="0.19685039370078741" right="0.19685039370078741" top="0.39370078740157483" bottom="0.39370078740157483" header="0.78740157480314965" footer="0"/>
  <pageSetup paperSize="9" scale="93" fitToWidth="2" fitToHeight="5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40"/>
  <sheetViews>
    <sheetView topLeftCell="A7" zoomScaleNormal="100" workbookViewId="0">
      <selection activeCell="S38" sqref="S38"/>
    </sheetView>
  </sheetViews>
  <sheetFormatPr baseColWidth="10" defaultColWidth="11.44140625" defaultRowHeight="13.2" x14ac:dyDescent="0.25"/>
  <cols>
    <col min="1" max="1" width="10.88671875" style="18" bestFit="1" customWidth="1"/>
    <col min="2" max="2" width="39.6640625" style="18" bestFit="1" customWidth="1"/>
    <col min="3" max="3" width="17" style="18" bestFit="1" customWidth="1"/>
    <col min="4" max="9" width="3.33203125" style="18" bestFit="1" customWidth="1"/>
    <col min="10" max="10" width="13.109375" style="18" bestFit="1" customWidth="1"/>
    <col min="11" max="11" width="5.33203125" style="18" bestFit="1" customWidth="1"/>
    <col min="12" max="13" width="5.6640625" style="18" bestFit="1" customWidth="1"/>
    <col min="14" max="14" width="5.6640625" style="20" bestFit="1" customWidth="1"/>
    <col min="15" max="15" width="5.6640625" style="18" bestFit="1" customWidth="1"/>
    <col min="16" max="16" width="5.6640625" style="20" bestFit="1" customWidth="1"/>
    <col min="17" max="19" width="5.6640625" style="18" bestFit="1" customWidth="1"/>
    <col min="20" max="16384" width="11.44140625" style="18"/>
  </cols>
  <sheetData>
    <row r="1" spans="1:19" s="17" customFormat="1" ht="60" customHeight="1" x14ac:dyDescent="0.25">
      <c r="A1" s="26" t="s">
        <v>107</v>
      </c>
      <c r="B1" s="26" t="s">
        <v>108</v>
      </c>
      <c r="C1" s="26" t="s">
        <v>109</v>
      </c>
      <c r="D1" s="27">
        <v>2017</v>
      </c>
      <c r="E1" s="27">
        <v>2018</v>
      </c>
      <c r="F1" s="27">
        <v>2019</v>
      </c>
      <c r="G1" s="27">
        <v>2020</v>
      </c>
      <c r="H1" s="27">
        <v>2021</v>
      </c>
      <c r="I1" s="27">
        <v>2022</v>
      </c>
      <c r="J1" s="26" t="s">
        <v>110</v>
      </c>
      <c r="K1" s="28" t="s">
        <v>231</v>
      </c>
      <c r="L1" s="15" t="s">
        <v>111</v>
      </c>
      <c r="M1" s="15" t="s">
        <v>112</v>
      </c>
      <c r="N1" s="15" t="s">
        <v>113</v>
      </c>
      <c r="O1" s="15" t="s">
        <v>114</v>
      </c>
      <c r="P1" s="16" t="s">
        <v>115</v>
      </c>
      <c r="Q1" s="16" t="s">
        <v>116</v>
      </c>
      <c r="R1" s="16" t="s">
        <v>117</v>
      </c>
      <c r="S1" s="16" t="s">
        <v>118</v>
      </c>
    </row>
    <row r="2" spans="1:19" ht="14.4" x14ac:dyDescent="0.3">
      <c r="A2" s="29" t="s">
        <v>226</v>
      </c>
      <c r="B2" s="29" t="s">
        <v>227</v>
      </c>
      <c r="C2" s="29" t="s">
        <v>120</v>
      </c>
      <c r="D2" s="29"/>
      <c r="E2" s="29"/>
      <c r="F2" s="29"/>
      <c r="G2" s="29">
        <v>1</v>
      </c>
      <c r="H2" s="29"/>
      <c r="I2" s="29"/>
      <c r="J2" s="29">
        <v>1</v>
      </c>
      <c r="K2" s="29" t="s">
        <v>50</v>
      </c>
      <c r="L2" s="30" t="s">
        <v>35</v>
      </c>
      <c r="M2" s="30" t="s">
        <v>34</v>
      </c>
      <c r="N2" s="30" t="s">
        <v>30</v>
      </c>
      <c r="O2" s="30" t="s">
        <v>30</v>
      </c>
      <c r="P2" s="30">
        <v>80</v>
      </c>
      <c r="Q2" s="30">
        <v>0.2</v>
      </c>
      <c r="R2" s="30">
        <v>0</v>
      </c>
      <c r="S2" s="30">
        <v>0.8</v>
      </c>
    </row>
    <row r="3" spans="1:19" ht="14.4" x14ac:dyDescent="0.3">
      <c r="A3" s="29" t="s">
        <v>153</v>
      </c>
      <c r="B3" s="29" t="s">
        <v>154</v>
      </c>
      <c r="C3" s="29" t="s">
        <v>119</v>
      </c>
      <c r="D3" s="29"/>
      <c r="E3" s="29"/>
      <c r="F3" s="29">
        <v>2</v>
      </c>
      <c r="G3" s="29"/>
      <c r="H3" s="29"/>
      <c r="I3" s="29"/>
      <c r="J3" s="29">
        <v>2</v>
      </c>
      <c r="K3" s="29" t="s">
        <v>50</v>
      </c>
      <c r="L3" s="30" t="s">
        <v>35</v>
      </c>
      <c r="M3" s="30" t="s">
        <v>29</v>
      </c>
      <c r="N3" s="30" t="s">
        <v>30</v>
      </c>
      <c r="O3" s="30" t="s">
        <v>30</v>
      </c>
      <c r="P3" s="30">
        <v>50</v>
      </c>
      <c r="Q3" s="30">
        <v>1</v>
      </c>
      <c r="R3" s="30">
        <v>0</v>
      </c>
      <c r="S3" s="30">
        <v>1</v>
      </c>
    </row>
    <row r="4" spans="1:19" ht="14.4" x14ac:dyDescent="0.3">
      <c r="A4" s="29" t="s">
        <v>151</v>
      </c>
      <c r="B4" s="29" t="s">
        <v>152</v>
      </c>
      <c r="C4" s="29" t="s">
        <v>119</v>
      </c>
      <c r="D4" s="29"/>
      <c r="E4" s="29"/>
      <c r="F4" s="29">
        <v>1</v>
      </c>
      <c r="G4" s="29"/>
      <c r="H4" s="29"/>
      <c r="I4" s="29"/>
      <c r="J4" s="29">
        <v>1</v>
      </c>
      <c r="K4" s="29" t="s">
        <v>50</v>
      </c>
      <c r="L4" s="30" t="s">
        <v>35</v>
      </c>
      <c r="M4" s="30" t="s">
        <v>34</v>
      </c>
      <c r="N4" s="30" t="s">
        <v>30</v>
      </c>
      <c r="O4" s="30" t="s">
        <v>30</v>
      </c>
      <c r="P4" s="30">
        <v>80</v>
      </c>
      <c r="Q4" s="30">
        <v>0.2</v>
      </c>
      <c r="R4" s="30">
        <v>0</v>
      </c>
      <c r="S4" s="30">
        <v>0.8</v>
      </c>
    </row>
    <row r="5" spans="1:19" ht="14.4" x14ac:dyDescent="0.3">
      <c r="A5" s="29" t="s">
        <v>133</v>
      </c>
      <c r="B5" s="29" t="s">
        <v>134</v>
      </c>
      <c r="C5" s="29" t="s">
        <v>119</v>
      </c>
      <c r="D5" s="29">
        <v>1</v>
      </c>
      <c r="E5" s="29"/>
      <c r="F5" s="29"/>
      <c r="G5" s="29"/>
      <c r="H5" s="29"/>
      <c r="I5" s="29"/>
      <c r="J5" s="29">
        <v>1</v>
      </c>
      <c r="K5" s="29" t="s">
        <v>50</v>
      </c>
      <c r="L5" s="30" t="s">
        <v>35</v>
      </c>
      <c r="M5" s="30" t="s">
        <v>34</v>
      </c>
      <c r="N5" s="30" t="s">
        <v>30</v>
      </c>
      <c r="O5" s="30" t="s">
        <v>30</v>
      </c>
      <c r="P5" s="30">
        <v>80</v>
      </c>
      <c r="Q5" s="30">
        <v>0.2</v>
      </c>
      <c r="R5" s="30">
        <v>0</v>
      </c>
      <c r="S5" s="30">
        <v>0.8</v>
      </c>
    </row>
    <row r="6" spans="1:19" ht="14.4" x14ac:dyDescent="0.3">
      <c r="A6" s="29" t="s">
        <v>127</v>
      </c>
      <c r="B6" s="29" t="s">
        <v>128</v>
      </c>
      <c r="C6" s="29" t="s">
        <v>119</v>
      </c>
      <c r="D6" s="29"/>
      <c r="E6" s="29"/>
      <c r="F6" s="29">
        <v>1</v>
      </c>
      <c r="G6" s="29"/>
      <c r="H6" s="29"/>
      <c r="I6" s="29"/>
      <c r="J6" s="29">
        <v>1</v>
      </c>
      <c r="K6" s="29" t="s">
        <v>50</v>
      </c>
      <c r="L6" s="30" t="s">
        <v>35</v>
      </c>
      <c r="M6" s="30" t="s">
        <v>34</v>
      </c>
      <c r="N6" s="30" t="s">
        <v>30</v>
      </c>
      <c r="O6" s="30" t="s">
        <v>30</v>
      </c>
      <c r="P6" s="30">
        <v>80</v>
      </c>
      <c r="Q6" s="30">
        <v>0.2</v>
      </c>
      <c r="R6" s="30">
        <v>0</v>
      </c>
      <c r="S6" s="30">
        <v>0.8</v>
      </c>
    </row>
    <row r="7" spans="1:19" ht="14.4" x14ac:dyDescent="0.3">
      <c r="A7" s="29" t="s">
        <v>123</v>
      </c>
      <c r="B7" s="29" t="s">
        <v>124</v>
      </c>
      <c r="C7" s="29" t="s">
        <v>119</v>
      </c>
      <c r="D7" s="29"/>
      <c r="E7" s="29"/>
      <c r="F7" s="29">
        <v>1</v>
      </c>
      <c r="G7" s="29"/>
      <c r="H7" s="29"/>
      <c r="I7" s="29"/>
      <c r="J7" s="29">
        <v>1</v>
      </c>
      <c r="K7" s="29" t="s">
        <v>50</v>
      </c>
      <c r="L7" s="30" t="s">
        <v>35</v>
      </c>
      <c r="M7" s="30" t="s">
        <v>34</v>
      </c>
      <c r="N7" s="30" t="s">
        <v>30</v>
      </c>
      <c r="O7" s="30" t="s">
        <v>30</v>
      </c>
      <c r="P7" s="30">
        <v>80</v>
      </c>
      <c r="Q7" s="30">
        <v>0.2</v>
      </c>
      <c r="R7" s="30">
        <v>0</v>
      </c>
      <c r="S7" s="30">
        <v>0.8</v>
      </c>
    </row>
    <row r="8" spans="1:19" ht="14.4" x14ac:dyDescent="0.3">
      <c r="A8" s="29" t="s">
        <v>143</v>
      </c>
      <c r="B8" s="29" t="s">
        <v>144</v>
      </c>
      <c r="C8" s="29" t="s">
        <v>119</v>
      </c>
      <c r="D8" s="29"/>
      <c r="E8" s="29"/>
      <c r="F8" s="29">
        <v>1</v>
      </c>
      <c r="G8" s="29"/>
      <c r="H8" s="29">
        <v>1</v>
      </c>
      <c r="I8" s="29"/>
      <c r="J8" s="29">
        <v>2</v>
      </c>
      <c r="K8" s="29" t="s">
        <v>50</v>
      </c>
      <c r="L8" s="30" t="s">
        <v>35</v>
      </c>
      <c r="M8" s="30" t="s">
        <v>34</v>
      </c>
      <c r="N8" s="30" t="s">
        <v>30</v>
      </c>
      <c r="O8" s="30" t="s">
        <v>30</v>
      </c>
      <c r="P8" s="30">
        <v>80</v>
      </c>
      <c r="Q8" s="30">
        <v>0.4</v>
      </c>
      <c r="R8" s="30">
        <v>0</v>
      </c>
      <c r="S8" s="30">
        <v>1.6</v>
      </c>
    </row>
    <row r="9" spans="1:19" ht="14.4" x14ac:dyDescent="0.3">
      <c r="A9" s="29" t="s">
        <v>125</v>
      </c>
      <c r="B9" s="29" t="s">
        <v>126</v>
      </c>
      <c r="C9" s="29" t="s">
        <v>119</v>
      </c>
      <c r="D9" s="29"/>
      <c r="E9" s="29"/>
      <c r="F9" s="29">
        <v>2</v>
      </c>
      <c r="G9" s="29"/>
      <c r="H9" s="29"/>
      <c r="I9" s="29"/>
      <c r="J9" s="29">
        <v>2</v>
      </c>
      <c r="K9" s="29" t="s">
        <v>50</v>
      </c>
      <c r="L9" s="30" t="s">
        <v>35</v>
      </c>
      <c r="M9" s="30" t="s">
        <v>34</v>
      </c>
      <c r="N9" s="30" t="s">
        <v>30</v>
      </c>
      <c r="O9" s="30" t="s">
        <v>30</v>
      </c>
      <c r="P9" s="30">
        <v>80</v>
      </c>
      <c r="Q9" s="30">
        <v>0.4</v>
      </c>
      <c r="R9" s="30">
        <v>0</v>
      </c>
      <c r="S9" s="30">
        <v>1.6</v>
      </c>
    </row>
    <row r="10" spans="1:19" ht="14.4" x14ac:dyDescent="0.3">
      <c r="A10" s="29" t="s">
        <v>147</v>
      </c>
      <c r="B10" s="29" t="s">
        <v>148</v>
      </c>
      <c r="C10" s="29" t="s">
        <v>119</v>
      </c>
      <c r="D10" s="29"/>
      <c r="E10" s="29"/>
      <c r="F10" s="29"/>
      <c r="G10" s="29">
        <v>1</v>
      </c>
      <c r="H10" s="29"/>
      <c r="I10" s="29"/>
      <c r="J10" s="29">
        <v>1</v>
      </c>
      <c r="K10" s="29" t="s">
        <v>50</v>
      </c>
      <c r="L10" s="30" t="s">
        <v>35</v>
      </c>
      <c r="M10" s="30" t="s">
        <v>34</v>
      </c>
      <c r="N10" s="30" t="s">
        <v>30</v>
      </c>
      <c r="O10" s="30" t="s">
        <v>30</v>
      </c>
      <c r="P10" s="30">
        <v>80</v>
      </c>
      <c r="Q10" s="30">
        <v>0.2</v>
      </c>
      <c r="R10" s="30">
        <v>0</v>
      </c>
      <c r="S10" s="30">
        <v>0.8</v>
      </c>
    </row>
    <row r="11" spans="1:19" ht="14.4" x14ac:dyDescent="0.3">
      <c r="A11" s="29" t="s">
        <v>137</v>
      </c>
      <c r="B11" s="29" t="s">
        <v>138</v>
      </c>
      <c r="C11" s="29" t="s">
        <v>119</v>
      </c>
      <c r="D11" s="29"/>
      <c r="E11" s="29"/>
      <c r="F11" s="29">
        <v>1</v>
      </c>
      <c r="G11" s="29"/>
      <c r="H11" s="29">
        <v>1</v>
      </c>
      <c r="I11" s="29"/>
      <c r="J11" s="29">
        <v>2</v>
      </c>
      <c r="K11" s="29" t="s">
        <v>50</v>
      </c>
      <c r="L11" s="30" t="s">
        <v>35</v>
      </c>
      <c r="M11" s="30" t="s">
        <v>29</v>
      </c>
      <c r="N11" s="30" t="s">
        <v>30</v>
      </c>
      <c r="O11" s="30" t="s">
        <v>30</v>
      </c>
      <c r="P11" s="30">
        <v>50</v>
      </c>
      <c r="Q11" s="30">
        <v>1</v>
      </c>
      <c r="R11" s="30">
        <v>0</v>
      </c>
      <c r="S11" s="30">
        <v>1</v>
      </c>
    </row>
    <row r="12" spans="1:19" ht="14.4" x14ac:dyDescent="0.3">
      <c r="A12" s="29" t="s">
        <v>131</v>
      </c>
      <c r="B12" s="29" t="s">
        <v>132</v>
      </c>
      <c r="C12" s="29" t="s">
        <v>119</v>
      </c>
      <c r="D12" s="29"/>
      <c r="E12" s="29"/>
      <c r="F12" s="29">
        <v>1</v>
      </c>
      <c r="G12" s="29"/>
      <c r="H12" s="29"/>
      <c r="I12" s="29"/>
      <c r="J12" s="29">
        <v>1</v>
      </c>
      <c r="K12" s="29" t="s">
        <v>50</v>
      </c>
      <c r="L12" s="30" t="s">
        <v>35</v>
      </c>
      <c r="M12" s="30" t="s">
        <v>34</v>
      </c>
      <c r="N12" s="30" t="s">
        <v>30</v>
      </c>
      <c r="O12" s="30" t="s">
        <v>30</v>
      </c>
      <c r="P12" s="30">
        <v>80</v>
      </c>
      <c r="Q12" s="30">
        <v>0.2</v>
      </c>
      <c r="R12" s="30">
        <v>0</v>
      </c>
      <c r="S12" s="30">
        <v>0.8</v>
      </c>
    </row>
    <row r="13" spans="1:19" ht="14.4" x14ac:dyDescent="0.3">
      <c r="A13" s="29" t="s">
        <v>145</v>
      </c>
      <c r="B13" s="29" t="s">
        <v>146</v>
      </c>
      <c r="C13" s="29" t="s">
        <v>119</v>
      </c>
      <c r="D13" s="29"/>
      <c r="E13" s="29"/>
      <c r="F13" s="29">
        <v>1</v>
      </c>
      <c r="G13" s="29"/>
      <c r="H13" s="29"/>
      <c r="I13" s="29"/>
      <c r="J13" s="29">
        <v>1</v>
      </c>
      <c r="K13" s="29" t="s">
        <v>50</v>
      </c>
      <c r="L13" s="30" t="s">
        <v>35</v>
      </c>
      <c r="M13" s="30" t="s">
        <v>34</v>
      </c>
      <c r="N13" s="30" t="s">
        <v>30</v>
      </c>
      <c r="O13" s="30" t="s">
        <v>30</v>
      </c>
      <c r="P13" s="30">
        <v>80</v>
      </c>
      <c r="Q13" s="30">
        <v>0.2</v>
      </c>
      <c r="R13" s="30">
        <v>0</v>
      </c>
      <c r="S13" s="30">
        <v>0.8</v>
      </c>
    </row>
    <row r="14" spans="1:19" ht="14.4" x14ac:dyDescent="0.3">
      <c r="A14" s="29" t="s">
        <v>155</v>
      </c>
      <c r="B14" s="29" t="s">
        <v>156</v>
      </c>
      <c r="C14" s="29" t="s">
        <v>119</v>
      </c>
      <c r="D14" s="29">
        <v>1</v>
      </c>
      <c r="E14" s="29"/>
      <c r="F14" s="29"/>
      <c r="G14" s="29"/>
      <c r="H14" s="29"/>
      <c r="I14" s="29"/>
      <c r="J14" s="29">
        <v>1</v>
      </c>
      <c r="K14" s="29" t="s">
        <v>50</v>
      </c>
      <c r="L14" s="30" t="s">
        <v>35</v>
      </c>
      <c r="M14" s="30" t="s">
        <v>34</v>
      </c>
      <c r="N14" s="30" t="s">
        <v>30</v>
      </c>
      <c r="O14" s="30" t="s">
        <v>30</v>
      </c>
      <c r="P14" s="30">
        <v>80</v>
      </c>
      <c r="Q14" s="30">
        <v>0.2</v>
      </c>
      <c r="R14" s="30">
        <v>0</v>
      </c>
      <c r="S14" s="30">
        <v>0.8</v>
      </c>
    </row>
    <row r="15" spans="1:19" ht="14.4" x14ac:dyDescent="0.3">
      <c r="A15" s="29" t="s">
        <v>166</v>
      </c>
      <c r="B15" s="29" t="s">
        <v>167</v>
      </c>
      <c r="C15" s="29" t="s">
        <v>119</v>
      </c>
      <c r="D15" s="29"/>
      <c r="E15" s="29"/>
      <c r="F15" s="29">
        <v>1</v>
      </c>
      <c r="G15" s="29"/>
      <c r="H15" s="29">
        <v>1</v>
      </c>
      <c r="I15" s="29"/>
      <c r="J15" s="29">
        <v>2</v>
      </c>
      <c r="K15" s="29" t="s">
        <v>50</v>
      </c>
      <c r="L15" s="30" t="s">
        <v>35</v>
      </c>
      <c r="M15" s="30" t="s">
        <v>34</v>
      </c>
      <c r="N15" s="30" t="s">
        <v>30</v>
      </c>
      <c r="O15" s="30" t="s">
        <v>30</v>
      </c>
      <c r="P15" s="30">
        <v>80</v>
      </c>
      <c r="Q15" s="30">
        <v>0.4</v>
      </c>
      <c r="R15" s="30">
        <v>0</v>
      </c>
      <c r="S15" s="30">
        <v>1.6</v>
      </c>
    </row>
    <row r="16" spans="1:19" ht="14.4" x14ac:dyDescent="0.3">
      <c r="A16" s="29" t="s">
        <v>161</v>
      </c>
      <c r="B16" s="29" t="s">
        <v>162</v>
      </c>
      <c r="C16" s="29" t="s">
        <v>119</v>
      </c>
      <c r="D16" s="29"/>
      <c r="E16" s="29"/>
      <c r="F16" s="29"/>
      <c r="G16" s="29"/>
      <c r="H16" s="29">
        <v>1</v>
      </c>
      <c r="I16" s="29">
        <v>1</v>
      </c>
      <c r="J16" s="29">
        <v>2</v>
      </c>
      <c r="K16" s="29" t="s">
        <v>50</v>
      </c>
      <c r="L16" s="30" t="s">
        <v>35</v>
      </c>
      <c r="M16" s="30" t="s">
        <v>34</v>
      </c>
      <c r="N16" s="30" t="s">
        <v>30</v>
      </c>
      <c r="O16" s="30" t="s">
        <v>30</v>
      </c>
      <c r="P16" s="30">
        <v>80</v>
      </c>
      <c r="Q16" s="30">
        <v>0.4</v>
      </c>
      <c r="R16" s="30">
        <v>0</v>
      </c>
      <c r="S16" s="30">
        <v>1.6</v>
      </c>
    </row>
    <row r="17" spans="1:19" ht="14.4" x14ac:dyDescent="0.3">
      <c r="A17" s="29" t="s">
        <v>135</v>
      </c>
      <c r="B17" s="29" t="s">
        <v>136</v>
      </c>
      <c r="C17" s="29" t="s">
        <v>119</v>
      </c>
      <c r="D17" s="29"/>
      <c r="E17" s="29"/>
      <c r="F17" s="29">
        <v>2</v>
      </c>
      <c r="G17" s="29"/>
      <c r="H17" s="29"/>
      <c r="I17" s="29"/>
      <c r="J17" s="29">
        <v>2</v>
      </c>
      <c r="K17" s="29" t="s">
        <v>50</v>
      </c>
      <c r="L17" s="30" t="s">
        <v>35</v>
      </c>
      <c r="M17" s="30" t="s">
        <v>34</v>
      </c>
      <c r="N17" s="30" t="s">
        <v>30</v>
      </c>
      <c r="O17" s="30" t="s">
        <v>30</v>
      </c>
      <c r="P17" s="30">
        <v>80</v>
      </c>
      <c r="Q17" s="30">
        <v>0.4</v>
      </c>
      <c r="R17" s="30">
        <v>0</v>
      </c>
      <c r="S17" s="30">
        <v>1.6</v>
      </c>
    </row>
    <row r="18" spans="1:19" ht="14.4" x14ac:dyDescent="0.3">
      <c r="A18" s="29" t="s">
        <v>121</v>
      </c>
      <c r="B18" s="29" t="s">
        <v>122</v>
      </c>
      <c r="C18" s="29" t="s">
        <v>119</v>
      </c>
      <c r="D18" s="29"/>
      <c r="E18" s="29"/>
      <c r="F18" s="29"/>
      <c r="G18" s="29">
        <v>1</v>
      </c>
      <c r="H18" s="29"/>
      <c r="I18" s="29"/>
      <c r="J18" s="29">
        <v>1</v>
      </c>
      <c r="K18" s="29" t="s">
        <v>50</v>
      </c>
      <c r="L18" s="30" t="s">
        <v>35</v>
      </c>
      <c r="M18" s="30" t="s">
        <v>34</v>
      </c>
      <c r="N18" s="30" t="s">
        <v>30</v>
      </c>
      <c r="O18" s="30" t="s">
        <v>30</v>
      </c>
      <c r="P18" s="30">
        <v>80</v>
      </c>
      <c r="Q18" s="30">
        <v>0.2</v>
      </c>
      <c r="R18" s="30">
        <v>0</v>
      </c>
      <c r="S18" s="30">
        <v>0.8</v>
      </c>
    </row>
    <row r="19" spans="1:19" ht="14.4" x14ac:dyDescent="0.3">
      <c r="A19" s="29" t="s">
        <v>164</v>
      </c>
      <c r="B19" s="29" t="s">
        <v>165</v>
      </c>
      <c r="C19" s="29" t="s">
        <v>120</v>
      </c>
      <c r="D19" s="29"/>
      <c r="E19" s="29"/>
      <c r="F19" s="29"/>
      <c r="G19" s="29">
        <v>1</v>
      </c>
      <c r="H19" s="29"/>
      <c r="I19" s="29"/>
      <c r="J19" s="29">
        <v>1</v>
      </c>
      <c r="K19" s="29" t="s">
        <v>50</v>
      </c>
      <c r="L19" s="30" t="s">
        <v>35</v>
      </c>
      <c r="M19" s="30" t="s">
        <v>34</v>
      </c>
      <c r="N19" s="30" t="s">
        <v>30</v>
      </c>
      <c r="O19" s="30" t="s">
        <v>30</v>
      </c>
      <c r="P19" s="30">
        <v>80</v>
      </c>
      <c r="Q19" s="30">
        <v>0.2</v>
      </c>
      <c r="R19" s="30">
        <v>0</v>
      </c>
      <c r="S19" s="30">
        <v>0.8</v>
      </c>
    </row>
    <row r="20" spans="1:19" ht="14.4" x14ac:dyDescent="0.3">
      <c r="A20" s="29" t="s">
        <v>233</v>
      </c>
      <c r="B20" s="29" t="s">
        <v>234</v>
      </c>
      <c r="C20" s="29" t="s">
        <v>120</v>
      </c>
      <c r="D20" s="29"/>
      <c r="E20" s="29"/>
      <c r="F20" s="29"/>
      <c r="G20" s="29">
        <v>1</v>
      </c>
      <c r="H20" s="29"/>
      <c r="I20" s="29"/>
      <c r="J20" s="29">
        <v>1</v>
      </c>
      <c r="K20" s="29" t="s">
        <v>50</v>
      </c>
      <c r="L20" s="30" t="s">
        <v>35</v>
      </c>
      <c r="M20" s="30" t="s">
        <v>34</v>
      </c>
      <c r="N20" s="30" t="s">
        <v>30</v>
      </c>
      <c r="O20" s="30" t="s">
        <v>30</v>
      </c>
      <c r="P20" s="30">
        <v>80</v>
      </c>
      <c r="Q20" s="30">
        <v>0.2</v>
      </c>
      <c r="R20" s="30">
        <v>0</v>
      </c>
      <c r="S20" s="30">
        <v>0.8</v>
      </c>
    </row>
    <row r="21" spans="1:19" ht="14.4" x14ac:dyDescent="0.3">
      <c r="A21" s="29" t="s">
        <v>228</v>
      </c>
      <c r="B21" s="29" t="s">
        <v>229</v>
      </c>
      <c r="C21" s="29" t="s">
        <v>120</v>
      </c>
      <c r="D21" s="29"/>
      <c r="E21" s="29"/>
      <c r="F21" s="29"/>
      <c r="G21" s="29"/>
      <c r="H21" s="29"/>
      <c r="I21" s="29">
        <v>1</v>
      </c>
      <c r="J21" s="29">
        <v>1</v>
      </c>
      <c r="K21" s="29" t="s">
        <v>50</v>
      </c>
      <c r="L21" s="30" t="s">
        <v>35</v>
      </c>
      <c r="M21" s="30" t="s">
        <v>34</v>
      </c>
      <c r="N21" s="30" t="s">
        <v>30</v>
      </c>
      <c r="O21" s="30" t="s">
        <v>30</v>
      </c>
      <c r="P21" s="30">
        <v>80</v>
      </c>
      <c r="Q21" s="30">
        <v>0.2</v>
      </c>
      <c r="R21" s="30">
        <v>0</v>
      </c>
      <c r="S21" s="30">
        <v>0.8</v>
      </c>
    </row>
    <row r="22" spans="1:19" ht="14.4" x14ac:dyDescent="0.3">
      <c r="A22" s="29" t="s">
        <v>129</v>
      </c>
      <c r="B22" s="29" t="s">
        <v>130</v>
      </c>
      <c r="C22" s="29" t="s">
        <v>119</v>
      </c>
      <c r="D22" s="29"/>
      <c r="E22" s="29">
        <v>2</v>
      </c>
      <c r="F22" s="29"/>
      <c r="G22" s="29"/>
      <c r="H22" s="29"/>
      <c r="I22" s="29"/>
      <c r="J22" s="29">
        <v>2</v>
      </c>
      <c r="K22" s="29" t="s">
        <v>50</v>
      </c>
      <c r="L22" s="30" t="s">
        <v>35</v>
      </c>
      <c r="M22" s="30" t="s">
        <v>34</v>
      </c>
      <c r="N22" s="30" t="s">
        <v>30</v>
      </c>
      <c r="O22" s="30" t="s">
        <v>30</v>
      </c>
      <c r="P22" s="30">
        <v>80</v>
      </c>
      <c r="Q22" s="30">
        <v>0.4</v>
      </c>
      <c r="R22" s="30">
        <v>0</v>
      </c>
      <c r="S22" s="30">
        <v>1.6</v>
      </c>
    </row>
    <row r="23" spans="1:19" ht="14.4" x14ac:dyDescent="0.3">
      <c r="A23" s="29" t="s">
        <v>157</v>
      </c>
      <c r="B23" s="29" t="s">
        <v>158</v>
      </c>
      <c r="C23" s="29" t="s">
        <v>119</v>
      </c>
      <c r="D23" s="29"/>
      <c r="E23" s="29"/>
      <c r="F23" s="29"/>
      <c r="G23" s="29">
        <v>2</v>
      </c>
      <c r="H23" s="29"/>
      <c r="I23" s="29"/>
      <c r="J23" s="29">
        <v>2</v>
      </c>
      <c r="K23" s="29" t="s">
        <v>50</v>
      </c>
      <c r="L23" s="30" t="s">
        <v>35</v>
      </c>
      <c r="M23" s="30" t="s">
        <v>29</v>
      </c>
      <c r="N23" s="30" t="s">
        <v>30</v>
      </c>
      <c r="O23" s="30" t="s">
        <v>30</v>
      </c>
      <c r="P23" s="30">
        <v>50</v>
      </c>
      <c r="Q23" s="30">
        <v>1</v>
      </c>
      <c r="R23" s="30">
        <v>0</v>
      </c>
      <c r="S23" s="30">
        <v>1</v>
      </c>
    </row>
    <row r="24" spans="1:19" ht="14.4" x14ac:dyDescent="0.3">
      <c r="A24" s="29" t="s">
        <v>385</v>
      </c>
      <c r="B24" s="29" t="s">
        <v>386</v>
      </c>
      <c r="C24" s="29" t="s">
        <v>119</v>
      </c>
      <c r="D24" s="29"/>
      <c r="E24" s="29"/>
      <c r="F24" s="29"/>
      <c r="G24" s="29"/>
      <c r="H24" s="29"/>
      <c r="I24" s="29">
        <v>1</v>
      </c>
      <c r="J24" s="29">
        <v>1</v>
      </c>
      <c r="K24" s="29" t="s">
        <v>50</v>
      </c>
      <c r="L24" s="30" t="s">
        <v>35</v>
      </c>
      <c r="M24" s="30" t="s">
        <v>34</v>
      </c>
      <c r="N24" s="30" t="s">
        <v>30</v>
      </c>
      <c r="O24" s="30" t="s">
        <v>30</v>
      </c>
      <c r="P24" s="30">
        <v>80</v>
      </c>
      <c r="Q24" s="30">
        <v>0.2</v>
      </c>
      <c r="R24" s="30">
        <v>0</v>
      </c>
      <c r="S24" s="30">
        <v>0.8</v>
      </c>
    </row>
    <row r="25" spans="1:19" ht="14.4" x14ac:dyDescent="0.3">
      <c r="A25" s="29" t="s">
        <v>387</v>
      </c>
      <c r="B25" s="29" t="s">
        <v>388</v>
      </c>
      <c r="C25" s="29" t="s">
        <v>120</v>
      </c>
      <c r="D25" s="29"/>
      <c r="E25" s="29"/>
      <c r="F25" s="29"/>
      <c r="G25" s="29"/>
      <c r="H25" s="29"/>
      <c r="I25" s="29">
        <v>1</v>
      </c>
      <c r="J25" s="29">
        <v>1</v>
      </c>
      <c r="K25" s="29" t="s">
        <v>50</v>
      </c>
      <c r="L25" s="30" t="s">
        <v>35</v>
      </c>
      <c r="M25" s="30" t="s">
        <v>34</v>
      </c>
      <c r="N25" s="30" t="s">
        <v>30</v>
      </c>
      <c r="O25" s="30" t="s">
        <v>30</v>
      </c>
      <c r="P25" s="30">
        <v>80</v>
      </c>
      <c r="Q25" s="30">
        <v>0.2</v>
      </c>
      <c r="R25" s="30">
        <v>0</v>
      </c>
      <c r="S25" s="30">
        <v>0.8</v>
      </c>
    </row>
    <row r="26" spans="1:19" ht="14.4" x14ac:dyDescent="0.3">
      <c r="A26" s="29" t="s">
        <v>222</v>
      </c>
      <c r="B26" s="29" t="s">
        <v>223</v>
      </c>
      <c r="C26" s="29" t="s">
        <v>119</v>
      </c>
      <c r="D26" s="29"/>
      <c r="E26" s="29"/>
      <c r="F26" s="29"/>
      <c r="G26" s="29">
        <v>1</v>
      </c>
      <c r="H26" s="29"/>
      <c r="I26" s="29">
        <v>1</v>
      </c>
      <c r="J26" s="29">
        <v>2</v>
      </c>
      <c r="K26" s="29" t="s">
        <v>50</v>
      </c>
      <c r="L26" s="30" t="s">
        <v>35</v>
      </c>
      <c r="M26" s="30" t="s">
        <v>34</v>
      </c>
      <c r="N26" s="30" t="s">
        <v>30</v>
      </c>
      <c r="O26" s="30" t="s">
        <v>30</v>
      </c>
      <c r="P26" s="30">
        <v>80</v>
      </c>
      <c r="Q26" s="30">
        <v>0.4</v>
      </c>
      <c r="R26" s="30">
        <v>0</v>
      </c>
      <c r="S26" s="30">
        <v>1.6</v>
      </c>
    </row>
    <row r="27" spans="1:19" s="19" customFormat="1" ht="14.4" x14ac:dyDescent="0.3">
      <c r="A27" s="29" t="s">
        <v>389</v>
      </c>
      <c r="B27" s="29" t="s">
        <v>390</v>
      </c>
      <c r="C27" s="29" t="s">
        <v>120</v>
      </c>
      <c r="D27" s="29"/>
      <c r="E27" s="29"/>
      <c r="F27" s="29"/>
      <c r="G27" s="29"/>
      <c r="H27" s="29"/>
      <c r="I27" s="29">
        <v>1</v>
      </c>
      <c r="J27" s="29">
        <v>1</v>
      </c>
      <c r="K27" s="29" t="s">
        <v>50</v>
      </c>
      <c r="L27" s="30">
        <v>0</v>
      </c>
      <c r="M27" s="30">
        <v>0</v>
      </c>
      <c r="N27" s="30" t="s">
        <v>30</v>
      </c>
      <c r="O27" s="30" t="s">
        <v>30</v>
      </c>
      <c r="P27" s="30">
        <v>100</v>
      </c>
      <c r="Q27" s="30">
        <v>0</v>
      </c>
      <c r="R27" s="30">
        <v>0</v>
      </c>
      <c r="S27" s="30">
        <v>1</v>
      </c>
    </row>
    <row r="28" spans="1:19" ht="14.4" x14ac:dyDescent="0.3">
      <c r="A28" s="29" t="s">
        <v>224</v>
      </c>
      <c r="B28" s="29" t="s">
        <v>225</v>
      </c>
      <c r="C28" s="29" t="s">
        <v>119</v>
      </c>
      <c r="D28" s="29"/>
      <c r="E28" s="29"/>
      <c r="F28" s="29">
        <v>1</v>
      </c>
      <c r="G28" s="29"/>
      <c r="H28" s="29"/>
      <c r="I28" s="29">
        <v>1</v>
      </c>
      <c r="J28" s="29">
        <v>2</v>
      </c>
      <c r="K28" s="29" t="s">
        <v>50</v>
      </c>
      <c r="L28" s="30" t="s">
        <v>35</v>
      </c>
      <c r="M28" s="30" t="s">
        <v>34</v>
      </c>
      <c r="N28" s="30" t="s">
        <v>30</v>
      </c>
      <c r="O28" s="30" t="s">
        <v>30</v>
      </c>
      <c r="P28" s="30">
        <v>80</v>
      </c>
      <c r="Q28" s="30">
        <v>0.4</v>
      </c>
      <c r="R28" s="30">
        <v>0</v>
      </c>
      <c r="S28" s="30">
        <v>1.6</v>
      </c>
    </row>
    <row r="29" spans="1:19" ht="14.4" x14ac:dyDescent="0.3">
      <c r="A29" s="29" t="s">
        <v>235</v>
      </c>
      <c r="B29" s="29" t="s">
        <v>236</v>
      </c>
      <c r="C29" s="29" t="s">
        <v>120</v>
      </c>
      <c r="D29" s="29"/>
      <c r="E29" s="29"/>
      <c r="F29" s="29"/>
      <c r="G29" s="29">
        <v>1</v>
      </c>
      <c r="H29" s="29"/>
      <c r="I29" s="29"/>
      <c r="J29" s="29">
        <v>1</v>
      </c>
      <c r="K29" s="29" t="s">
        <v>50</v>
      </c>
      <c r="L29" s="30" t="s">
        <v>35</v>
      </c>
      <c r="M29" s="30" t="s">
        <v>34</v>
      </c>
      <c r="N29" s="30" t="s">
        <v>30</v>
      </c>
      <c r="O29" s="30" t="s">
        <v>30</v>
      </c>
      <c r="P29" s="30">
        <v>80</v>
      </c>
      <c r="Q29" s="30">
        <v>0.2</v>
      </c>
      <c r="R29" s="30">
        <v>0</v>
      </c>
      <c r="S29" s="30">
        <v>0.8</v>
      </c>
    </row>
    <row r="30" spans="1:19" ht="14.4" x14ac:dyDescent="0.3">
      <c r="A30" s="29" t="s">
        <v>141</v>
      </c>
      <c r="B30" s="29" t="s">
        <v>142</v>
      </c>
      <c r="C30" s="29" t="s">
        <v>119</v>
      </c>
      <c r="D30" s="29"/>
      <c r="E30" s="29">
        <v>2</v>
      </c>
      <c r="F30" s="29">
        <v>1</v>
      </c>
      <c r="G30" s="29"/>
      <c r="H30" s="29"/>
      <c r="I30" s="29"/>
      <c r="J30" s="29">
        <v>3</v>
      </c>
      <c r="K30" s="29" t="s">
        <v>50</v>
      </c>
      <c r="L30" s="30" t="s">
        <v>35</v>
      </c>
      <c r="M30" s="30" t="s">
        <v>34</v>
      </c>
      <c r="N30" s="30" t="s">
        <v>30</v>
      </c>
      <c r="O30" s="30" t="s">
        <v>30</v>
      </c>
      <c r="P30" s="30">
        <v>80</v>
      </c>
      <c r="Q30" s="30">
        <v>0.6</v>
      </c>
      <c r="R30" s="30">
        <v>0</v>
      </c>
      <c r="S30" s="30">
        <v>2.4</v>
      </c>
    </row>
    <row r="31" spans="1:19" ht="14.4" x14ac:dyDescent="0.3">
      <c r="A31" s="29" t="s">
        <v>163</v>
      </c>
      <c r="B31" s="29" t="s">
        <v>391</v>
      </c>
      <c r="C31" s="29" t="s">
        <v>119</v>
      </c>
      <c r="D31" s="29"/>
      <c r="E31" s="29"/>
      <c r="F31" s="29">
        <v>1</v>
      </c>
      <c r="G31" s="29"/>
      <c r="H31" s="29"/>
      <c r="I31" s="29">
        <v>1</v>
      </c>
      <c r="J31" s="29">
        <v>2</v>
      </c>
      <c r="K31" s="29" t="s">
        <v>50</v>
      </c>
      <c r="L31" s="30" t="s">
        <v>35</v>
      </c>
      <c r="M31" s="30" t="s">
        <v>34</v>
      </c>
      <c r="N31" s="30" t="s">
        <v>30</v>
      </c>
      <c r="O31" s="30" t="s">
        <v>30</v>
      </c>
      <c r="P31" s="30">
        <v>80</v>
      </c>
      <c r="Q31" s="30">
        <v>0.4</v>
      </c>
      <c r="R31" s="30">
        <v>0</v>
      </c>
      <c r="S31" s="30">
        <v>1.6</v>
      </c>
    </row>
    <row r="32" spans="1:19" ht="14.4" x14ac:dyDescent="0.3">
      <c r="A32" s="29" t="s">
        <v>149</v>
      </c>
      <c r="B32" s="29" t="s">
        <v>150</v>
      </c>
      <c r="C32" s="29" t="s">
        <v>120</v>
      </c>
      <c r="D32" s="29"/>
      <c r="E32" s="29"/>
      <c r="F32" s="29">
        <v>1</v>
      </c>
      <c r="G32" s="29"/>
      <c r="H32" s="29"/>
      <c r="I32" s="29"/>
      <c r="J32" s="29">
        <v>1</v>
      </c>
      <c r="K32" s="29" t="s">
        <v>50</v>
      </c>
      <c r="L32" s="30" t="s">
        <v>35</v>
      </c>
      <c r="M32" s="30" t="s">
        <v>34</v>
      </c>
      <c r="N32" s="30" t="s">
        <v>30</v>
      </c>
      <c r="O32" s="30" t="s">
        <v>30</v>
      </c>
      <c r="P32" s="30">
        <v>80</v>
      </c>
      <c r="Q32" s="30">
        <v>0.2</v>
      </c>
      <c r="R32" s="30">
        <v>0</v>
      </c>
      <c r="S32" s="30">
        <v>0.8</v>
      </c>
    </row>
    <row r="33" spans="1:19" ht="14.4" x14ac:dyDescent="0.3">
      <c r="A33" s="29" t="s">
        <v>220</v>
      </c>
      <c r="B33" s="29" t="s">
        <v>221</v>
      </c>
      <c r="C33" s="29" t="s">
        <v>119</v>
      </c>
      <c r="D33" s="29"/>
      <c r="E33" s="29"/>
      <c r="F33" s="29"/>
      <c r="G33" s="29">
        <v>2</v>
      </c>
      <c r="H33" s="29"/>
      <c r="I33" s="29"/>
      <c r="J33" s="29">
        <v>2</v>
      </c>
      <c r="K33" s="29" t="s">
        <v>50</v>
      </c>
      <c r="L33" s="30" t="s">
        <v>35</v>
      </c>
      <c r="M33" s="30" t="s">
        <v>34</v>
      </c>
      <c r="N33" s="30" t="s">
        <v>30</v>
      </c>
      <c r="O33" s="30" t="s">
        <v>30</v>
      </c>
      <c r="P33" s="30">
        <v>80</v>
      </c>
      <c r="Q33" s="30">
        <v>0.4</v>
      </c>
      <c r="R33" s="30">
        <v>0</v>
      </c>
      <c r="S33" s="30">
        <v>1.6</v>
      </c>
    </row>
    <row r="34" spans="1:19" ht="14.4" x14ac:dyDescent="0.3">
      <c r="A34" s="29" t="s">
        <v>159</v>
      </c>
      <c r="B34" s="29" t="s">
        <v>160</v>
      </c>
      <c r="C34" s="29" t="s">
        <v>119</v>
      </c>
      <c r="D34" s="29"/>
      <c r="E34" s="29">
        <v>1</v>
      </c>
      <c r="F34" s="29"/>
      <c r="G34" s="29"/>
      <c r="H34" s="29"/>
      <c r="I34" s="29"/>
      <c r="J34" s="29">
        <v>1</v>
      </c>
      <c r="K34" s="29" t="s">
        <v>50</v>
      </c>
      <c r="L34" s="30" t="s">
        <v>35</v>
      </c>
      <c r="M34" s="30" t="s">
        <v>34</v>
      </c>
      <c r="N34" s="30" t="s">
        <v>30</v>
      </c>
      <c r="O34" s="30" t="s">
        <v>30</v>
      </c>
      <c r="P34" s="30">
        <v>80</v>
      </c>
      <c r="Q34" s="30">
        <v>0.2</v>
      </c>
      <c r="R34" s="30">
        <v>0</v>
      </c>
      <c r="S34" s="30">
        <v>0.8</v>
      </c>
    </row>
    <row r="35" spans="1:19" ht="14.4" x14ac:dyDescent="0.3">
      <c r="A35" s="29" t="s">
        <v>139</v>
      </c>
      <c r="B35" s="29" t="s">
        <v>140</v>
      </c>
      <c r="C35" s="29" t="s">
        <v>119</v>
      </c>
      <c r="D35" s="29"/>
      <c r="E35" s="29">
        <v>2</v>
      </c>
      <c r="F35" s="29"/>
      <c r="G35" s="29"/>
      <c r="H35" s="29"/>
      <c r="I35" s="29"/>
      <c r="J35" s="29">
        <v>2</v>
      </c>
      <c r="K35" s="29" t="s">
        <v>50</v>
      </c>
      <c r="L35" s="30" t="s">
        <v>35</v>
      </c>
      <c r="M35" s="30" t="s">
        <v>34</v>
      </c>
      <c r="N35" s="30" t="s">
        <v>30</v>
      </c>
      <c r="O35" s="30" t="s">
        <v>30</v>
      </c>
      <c r="P35" s="30">
        <v>80</v>
      </c>
      <c r="Q35" s="30">
        <v>0.4</v>
      </c>
      <c r="R35" s="30">
        <v>0</v>
      </c>
      <c r="S35" s="30">
        <v>1.6</v>
      </c>
    </row>
    <row r="36" spans="1:19" ht="14.4" x14ac:dyDescent="0.3">
      <c r="A36" s="29" t="s">
        <v>218</v>
      </c>
      <c r="B36" s="29" t="s">
        <v>219</v>
      </c>
      <c r="C36" s="29" t="s">
        <v>120</v>
      </c>
      <c r="D36" s="29"/>
      <c r="E36" s="29"/>
      <c r="F36" s="29"/>
      <c r="G36" s="29"/>
      <c r="H36" s="29"/>
      <c r="I36" s="29">
        <v>1</v>
      </c>
      <c r="J36" s="29">
        <v>1</v>
      </c>
      <c r="K36" s="29" t="s">
        <v>50</v>
      </c>
      <c r="L36" s="30" t="s">
        <v>35</v>
      </c>
      <c r="M36" s="30" t="s">
        <v>34</v>
      </c>
      <c r="N36" s="30" t="s">
        <v>30</v>
      </c>
      <c r="O36" s="30" t="s">
        <v>30</v>
      </c>
      <c r="P36" s="30">
        <v>80</v>
      </c>
      <c r="Q36" s="30">
        <v>0.2</v>
      </c>
      <c r="R36" s="30">
        <v>0</v>
      </c>
      <c r="S36" s="30">
        <v>0.8</v>
      </c>
    </row>
    <row r="37" spans="1:19" ht="14.4" x14ac:dyDescent="0.3">
      <c r="A37" s="29" t="s">
        <v>168</v>
      </c>
      <c r="B37" s="29" t="s">
        <v>169</v>
      </c>
      <c r="C37" s="31" t="s">
        <v>232</v>
      </c>
      <c r="D37" s="29"/>
      <c r="E37" s="29"/>
      <c r="F37" s="29"/>
      <c r="G37" s="29"/>
      <c r="H37" s="29"/>
      <c r="I37" s="29">
        <v>1</v>
      </c>
      <c r="J37" s="29">
        <v>1</v>
      </c>
      <c r="K37" s="29" t="s">
        <v>50</v>
      </c>
      <c r="L37" s="30" t="s">
        <v>35</v>
      </c>
      <c r="M37" s="30" t="s">
        <v>34</v>
      </c>
      <c r="N37" s="30" t="s">
        <v>30</v>
      </c>
      <c r="O37" s="30" t="s">
        <v>30</v>
      </c>
      <c r="P37" s="30">
        <v>80</v>
      </c>
      <c r="Q37" s="30">
        <v>0.2</v>
      </c>
      <c r="R37" s="30">
        <v>0</v>
      </c>
      <c r="S37" s="30">
        <v>0.8</v>
      </c>
    </row>
    <row r="38" spans="1:19" x14ac:dyDescent="0.25">
      <c r="A38" s="66"/>
      <c r="B38" s="66"/>
      <c r="C38" s="66"/>
      <c r="D38" s="66"/>
      <c r="E38" s="66"/>
      <c r="F38" s="66"/>
      <c r="G38" s="66"/>
      <c r="H38" s="66"/>
      <c r="I38" s="66"/>
      <c r="J38" s="66"/>
      <c r="K38" s="66"/>
      <c r="L38" s="66"/>
      <c r="M38" s="66"/>
      <c r="N38" s="67"/>
      <c r="O38" s="66"/>
      <c r="P38" s="67"/>
      <c r="Q38" s="66"/>
      <c r="R38" s="66"/>
      <c r="S38" s="71">
        <f>SUM(S2:S37)</f>
        <v>40.000000000000007</v>
      </c>
    </row>
    <row r="40" spans="1:19" x14ac:dyDescent="0.25">
      <c r="M40" s="25"/>
    </row>
  </sheetData>
  <pageMargins left="0.39370078740157483" right="0.39370078740157483" top="0.39370078740157483" bottom="0.39370078740157483" header="0.31496062992125984" footer="0.31496062992125984"/>
  <pageSetup paperSize="9" scale="1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1"/>
  <sheetViews>
    <sheetView zoomScaleNormal="100" workbookViewId="0">
      <selection activeCell="K8" sqref="K8"/>
    </sheetView>
  </sheetViews>
  <sheetFormatPr baseColWidth="10" defaultColWidth="11.44140625" defaultRowHeight="10.199999999999999" x14ac:dyDescent="0.2"/>
  <cols>
    <col min="1" max="1" width="100.6640625" style="1" customWidth="1"/>
    <col min="2" max="2" width="11.44140625" style="1"/>
    <col min="3" max="3" width="32.5546875" style="1" bestFit="1" customWidth="1"/>
    <col min="4" max="16384" width="11.44140625" style="1"/>
  </cols>
  <sheetData>
    <row r="1" spans="1:3" ht="20.399999999999999" x14ac:dyDescent="0.2">
      <c r="A1" s="2" t="s">
        <v>0</v>
      </c>
      <c r="B1" s="3" t="s">
        <v>1</v>
      </c>
      <c r="C1" s="3" t="s">
        <v>171</v>
      </c>
    </row>
    <row r="2" spans="1:3" x14ac:dyDescent="0.2">
      <c r="A2" s="4" t="s">
        <v>3</v>
      </c>
      <c r="B2" s="5"/>
    </row>
    <row r="3" spans="1:3" x14ac:dyDescent="0.2">
      <c r="A3" s="4" t="s">
        <v>172</v>
      </c>
      <c r="B3" s="5">
        <v>9720.66</v>
      </c>
    </row>
    <row r="4" spans="1:3" x14ac:dyDescent="0.2">
      <c r="A4" s="4" t="s">
        <v>4</v>
      </c>
      <c r="B4" s="5"/>
    </row>
    <row r="5" spans="1:3" x14ac:dyDescent="0.2">
      <c r="A5" s="4" t="s">
        <v>173</v>
      </c>
      <c r="B5" s="5">
        <v>37680</v>
      </c>
    </row>
    <row r="6" spans="1:3" x14ac:dyDescent="0.2">
      <c r="A6" s="4" t="s">
        <v>174</v>
      </c>
      <c r="B6" s="5"/>
    </row>
    <row r="7" spans="1:3" x14ac:dyDescent="0.2">
      <c r="A7" s="4" t="s">
        <v>175</v>
      </c>
      <c r="B7" s="5">
        <v>600</v>
      </c>
    </row>
    <row r="8" spans="1:3" x14ac:dyDescent="0.2">
      <c r="A8" s="4" t="s">
        <v>176</v>
      </c>
      <c r="B8" s="5"/>
    </row>
    <row r="9" spans="1:3" x14ac:dyDescent="0.2">
      <c r="A9" s="4" t="s">
        <v>177</v>
      </c>
      <c r="B9" s="5">
        <v>0.11</v>
      </c>
    </row>
    <row r="10" spans="1:3" x14ac:dyDescent="0.2">
      <c r="A10" s="4" t="s">
        <v>178</v>
      </c>
      <c r="B10" s="5">
        <v>85.25</v>
      </c>
    </row>
    <row r="11" spans="1:3" x14ac:dyDescent="0.2">
      <c r="A11" s="4" t="s">
        <v>5</v>
      </c>
      <c r="B11" s="5"/>
    </row>
    <row r="12" spans="1:3" x14ac:dyDescent="0.2">
      <c r="A12" s="4" t="s">
        <v>179</v>
      </c>
      <c r="B12" s="5">
        <v>16335</v>
      </c>
    </row>
    <row r="13" spans="1:3" x14ac:dyDescent="0.2">
      <c r="A13" s="4" t="s">
        <v>180</v>
      </c>
      <c r="B13" s="5"/>
    </row>
    <row r="14" spans="1:3" x14ac:dyDescent="0.2">
      <c r="A14" s="4" t="s">
        <v>181</v>
      </c>
      <c r="B14" s="5">
        <v>37400</v>
      </c>
    </row>
    <row r="15" spans="1:3" x14ac:dyDescent="0.2">
      <c r="A15" s="4" t="s">
        <v>182</v>
      </c>
      <c r="B15" s="5">
        <v>24310</v>
      </c>
    </row>
    <row r="16" spans="1:3" x14ac:dyDescent="0.2">
      <c r="A16" s="4" t="s">
        <v>183</v>
      </c>
      <c r="B16" s="5"/>
    </row>
    <row r="17" spans="1:3" x14ac:dyDescent="0.2">
      <c r="A17" s="4" t="s">
        <v>184</v>
      </c>
      <c r="B17" s="5">
        <v>60750</v>
      </c>
    </row>
    <row r="18" spans="1:3" x14ac:dyDescent="0.2">
      <c r="A18" s="4" t="s">
        <v>185</v>
      </c>
      <c r="B18" s="5">
        <v>35283.599999999999</v>
      </c>
    </row>
    <row r="19" spans="1:3" x14ac:dyDescent="0.2">
      <c r="A19" s="4" t="s">
        <v>186</v>
      </c>
      <c r="B19" s="5"/>
    </row>
    <row r="20" spans="1:3" x14ac:dyDescent="0.2">
      <c r="A20" s="4" t="s">
        <v>178</v>
      </c>
      <c r="B20" s="5">
        <v>20.79</v>
      </c>
    </row>
    <row r="21" spans="1:3" x14ac:dyDescent="0.2">
      <c r="A21" s="4" t="s">
        <v>170</v>
      </c>
      <c r="B21" s="5"/>
    </row>
    <row r="22" spans="1:3" x14ac:dyDescent="0.2">
      <c r="A22" s="21" t="s">
        <v>217</v>
      </c>
      <c r="B22" s="22">
        <v>49402.97</v>
      </c>
      <c r="C22" s="1" t="s">
        <v>230</v>
      </c>
    </row>
    <row r="23" spans="1:3" x14ac:dyDescent="0.2">
      <c r="A23" s="4" t="s">
        <v>6</v>
      </c>
      <c r="B23" s="5"/>
      <c r="C23" s="23"/>
    </row>
    <row r="24" spans="1:3" x14ac:dyDescent="0.2">
      <c r="A24" s="24" t="s">
        <v>187</v>
      </c>
      <c r="B24" s="5">
        <v>3750.3</v>
      </c>
      <c r="C24" s="23"/>
    </row>
    <row r="25" spans="1:3" x14ac:dyDescent="0.2">
      <c r="A25" s="24" t="s">
        <v>188</v>
      </c>
      <c r="B25" s="5"/>
      <c r="C25" s="23"/>
    </row>
    <row r="26" spans="1:3" x14ac:dyDescent="0.2">
      <c r="A26" s="24" t="s">
        <v>189</v>
      </c>
      <c r="B26" s="5">
        <v>367925.63</v>
      </c>
      <c r="C26" s="23"/>
    </row>
    <row r="27" spans="1:3" x14ac:dyDescent="0.2">
      <c r="A27" s="24" t="s">
        <v>190</v>
      </c>
      <c r="B27" s="5"/>
      <c r="C27" s="23"/>
    </row>
    <row r="28" spans="1:3" x14ac:dyDescent="0.2">
      <c r="A28" s="24" t="s">
        <v>191</v>
      </c>
      <c r="B28" s="5">
        <v>77241</v>
      </c>
      <c r="C28" s="23"/>
    </row>
    <row r="29" spans="1:3" x14ac:dyDescent="0.2">
      <c r="A29" s="4" t="s">
        <v>192</v>
      </c>
      <c r="B29" s="5"/>
    </row>
    <row r="30" spans="1:3" x14ac:dyDescent="0.2">
      <c r="A30" s="4" t="s">
        <v>193</v>
      </c>
      <c r="B30" s="5">
        <v>2000</v>
      </c>
    </row>
    <row r="31" spans="1:3" x14ac:dyDescent="0.2">
      <c r="A31" s="6" t="s">
        <v>2</v>
      </c>
      <c r="B31" s="7">
        <f>SUM(B3:B30)</f>
        <v>722505.31</v>
      </c>
    </row>
  </sheetData>
  <pageMargins left="0.39370078740157483" right="0.39370078740157483" top="0.74803149606299213" bottom="0.74803149606299213"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69E7F-09EE-4B55-B6D5-4389293F0E11}">
  <dimension ref="A1:C40"/>
  <sheetViews>
    <sheetView zoomScaleNormal="100" workbookViewId="0">
      <selection activeCell="B41" sqref="B41"/>
    </sheetView>
  </sheetViews>
  <sheetFormatPr baseColWidth="10" defaultColWidth="11.44140625" defaultRowHeight="10.199999999999999" x14ac:dyDescent="0.2"/>
  <cols>
    <col min="1" max="1" width="100.6640625" style="1" customWidth="1"/>
    <col min="2" max="2" width="11.44140625" style="1"/>
    <col min="3" max="3" width="32.5546875" style="1" bestFit="1" customWidth="1"/>
    <col min="4" max="16384" width="11.44140625" style="1"/>
  </cols>
  <sheetData>
    <row r="1" spans="1:3" ht="20.399999999999999" x14ac:dyDescent="0.2">
      <c r="A1" s="2" t="s">
        <v>0</v>
      </c>
      <c r="B1" s="3" t="s">
        <v>1</v>
      </c>
      <c r="C1" s="3" t="s">
        <v>171</v>
      </c>
    </row>
    <row r="2" spans="1:3" x14ac:dyDescent="0.2">
      <c r="A2" s="4" t="s">
        <v>3</v>
      </c>
      <c r="B2" s="5"/>
    </row>
    <row r="3" spans="1:3" x14ac:dyDescent="0.2">
      <c r="A3" s="4" t="s">
        <v>287</v>
      </c>
      <c r="B3" s="5">
        <v>300.10000000000002</v>
      </c>
    </row>
    <row r="4" spans="1:3" x14ac:dyDescent="0.2">
      <c r="A4" s="4" t="s">
        <v>288</v>
      </c>
      <c r="B4" s="5">
        <v>6404.37</v>
      </c>
    </row>
    <row r="5" spans="1:3" x14ac:dyDescent="0.2">
      <c r="A5" s="4" t="s">
        <v>289</v>
      </c>
      <c r="B5" s="5"/>
    </row>
    <row r="6" spans="1:3" x14ac:dyDescent="0.2">
      <c r="A6" s="4" t="s">
        <v>290</v>
      </c>
      <c r="B6" s="5">
        <v>6000</v>
      </c>
    </row>
    <row r="7" spans="1:3" x14ac:dyDescent="0.2">
      <c r="A7" s="4" t="s">
        <v>291</v>
      </c>
      <c r="B7" s="5">
        <v>6000</v>
      </c>
    </row>
    <row r="8" spans="1:3" x14ac:dyDescent="0.2">
      <c r="A8" s="4" t="s">
        <v>292</v>
      </c>
      <c r="B8" s="5"/>
    </row>
    <row r="9" spans="1:3" x14ac:dyDescent="0.2">
      <c r="A9" s="4" t="s">
        <v>293</v>
      </c>
      <c r="B9" s="5">
        <v>378.4</v>
      </c>
    </row>
    <row r="10" spans="1:3" x14ac:dyDescent="0.2">
      <c r="A10" s="4" t="s">
        <v>294</v>
      </c>
      <c r="B10" s="5"/>
    </row>
    <row r="11" spans="1:3" x14ac:dyDescent="0.2">
      <c r="A11" s="4" t="s">
        <v>295</v>
      </c>
      <c r="B11" s="5">
        <v>264</v>
      </c>
    </row>
    <row r="12" spans="1:3" x14ac:dyDescent="0.2">
      <c r="A12" s="4" t="s">
        <v>296</v>
      </c>
      <c r="B12" s="5"/>
    </row>
    <row r="13" spans="1:3" x14ac:dyDescent="0.2">
      <c r="A13" s="4" t="s">
        <v>297</v>
      </c>
      <c r="B13" s="5">
        <v>5999.84</v>
      </c>
    </row>
    <row r="14" spans="1:3" x14ac:dyDescent="0.2">
      <c r="A14" s="4" t="s">
        <v>298</v>
      </c>
      <c r="B14" s="5">
        <v>5999.84</v>
      </c>
    </row>
    <row r="15" spans="1:3" x14ac:dyDescent="0.2">
      <c r="A15" s="4" t="s">
        <v>299</v>
      </c>
      <c r="B15" s="5"/>
    </row>
    <row r="16" spans="1:3" x14ac:dyDescent="0.2">
      <c r="A16" s="4" t="s">
        <v>300</v>
      </c>
      <c r="B16" s="5">
        <v>1500.4</v>
      </c>
    </row>
    <row r="17" spans="1:2" x14ac:dyDescent="0.2">
      <c r="A17" s="4" t="s">
        <v>301</v>
      </c>
      <c r="B17" s="5"/>
    </row>
    <row r="18" spans="1:2" x14ac:dyDescent="0.2">
      <c r="A18" s="4" t="s">
        <v>302</v>
      </c>
      <c r="B18" s="5">
        <v>52.07</v>
      </c>
    </row>
    <row r="19" spans="1:2" x14ac:dyDescent="0.2">
      <c r="A19" s="4" t="s">
        <v>303</v>
      </c>
      <c r="B19" s="5"/>
    </row>
    <row r="20" spans="1:2" x14ac:dyDescent="0.2">
      <c r="A20" s="4" t="s">
        <v>304</v>
      </c>
      <c r="B20" s="5">
        <v>633.6</v>
      </c>
    </row>
    <row r="21" spans="1:2" x14ac:dyDescent="0.2">
      <c r="A21" s="4" t="s">
        <v>180</v>
      </c>
      <c r="B21" s="5"/>
    </row>
    <row r="22" spans="1:2" x14ac:dyDescent="0.2">
      <c r="A22" s="4" t="s">
        <v>305</v>
      </c>
      <c r="B22" s="5">
        <v>13090</v>
      </c>
    </row>
    <row r="23" spans="1:2" x14ac:dyDescent="0.2">
      <c r="A23" s="4" t="s">
        <v>183</v>
      </c>
      <c r="B23" s="5"/>
    </row>
    <row r="24" spans="1:2" x14ac:dyDescent="0.2">
      <c r="A24" s="4" t="s">
        <v>306</v>
      </c>
      <c r="B24" s="5">
        <v>6075</v>
      </c>
    </row>
    <row r="25" spans="1:2" x14ac:dyDescent="0.2">
      <c r="A25" s="4" t="s">
        <v>307</v>
      </c>
      <c r="B25" s="5"/>
    </row>
    <row r="26" spans="1:2" x14ac:dyDescent="0.2">
      <c r="A26" s="4" t="s">
        <v>308</v>
      </c>
      <c r="B26" s="5">
        <v>2720</v>
      </c>
    </row>
    <row r="27" spans="1:2" x14ac:dyDescent="0.2">
      <c r="A27" s="4" t="s">
        <v>309</v>
      </c>
      <c r="B27" s="5"/>
    </row>
    <row r="28" spans="1:2" x14ac:dyDescent="0.2">
      <c r="A28" s="4" t="s">
        <v>310</v>
      </c>
      <c r="B28" s="5">
        <v>3619</v>
      </c>
    </row>
    <row r="29" spans="1:2" x14ac:dyDescent="0.2">
      <c r="A29" s="4" t="s">
        <v>311</v>
      </c>
      <c r="B29" s="5"/>
    </row>
    <row r="30" spans="1:2" x14ac:dyDescent="0.2">
      <c r="A30" s="4" t="s">
        <v>312</v>
      </c>
      <c r="B30" s="5">
        <v>20000</v>
      </c>
    </row>
    <row r="31" spans="1:2" x14ac:dyDescent="0.2">
      <c r="A31" s="4" t="s">
        <v>6</v>
      </c>
      <c r="B31" s="5"/>
    </row>
    <row r="32" spans="1:2" x14ac:dyDescent="0.2">
      <c r="A32" s="4" t="s">
        <v>313</v>
      </c>
      <c r="B32" s="5">
        <v>3750.3</v>
      </c>
    </row>
    <row r="33" spans="1:2" x14ac:dyDescent="0.2">
      <c r="A33" s="4" t="s">
        <v>314</v>
      </c>
      <c r="B33" s="5">
        <v>3750.3</v>
      </c>
    </row>
    <row r="34" spans="1:2" x14ac:dyDescent="0.2">
      <c r="A34" s="4" t="s">
        <v>315</v>
      </c>
      <c r="B34" s="5">
        <v>3750.3</v>
      </c>
    </row>
    <row r="35" spans="1:2" x14ac:dyDescent="0.2">
      <c r="A35" s="4" t="s">
        <v>316</v>
      </c>
      <c r="B35" s="5">
        <v>9300.9</v>
      </c>
    </row>
    <row r="36" spans="1:2" x14ac:dyDescent="0.2">
      <c r="A36" s="4" t="s">
        <v>317</v>
      </c>
      <c r="B36" s="5"/>
    </row>
    <row r="37" spans="1:2" x14ac:dyDescent="0.2">
      <c r="A37" s="4" t="s">
        <v>318</v>
      </c>
      <c r="B37" s="5">
        <v>15214.8</v>
      </c>
    </row>
    <row r="38" spans="1:2" x14ac:dyDescent="0.2">
      <c r="A38" s="4" t="s">
        <v>192</v>
      </c>
      <c r="B38" s="5"/>
    </row>
    <row r="39" spans="1:2" x14ac:dyDescent="0.2">
      <c r="A39" s="4" t="s">
        <v>319</v>
      </c>
      <c r="B39" s="5">
        <v>5684</v>
      </c>
    </row>
    <row r="40" spans="1:2" x14ac:dyDescent="0.2">
      <c r="A40" s="6" t="s">
        <v>2</v>
      </c>
      <c r="B40" s="7">
        <f>SUM(B2:B39)</f>
        <v>120487.22</v>
      </c>
    </row>
  </sheetData>
  <pageMargins left="0.39370078740157483" right="0.39370078740157483"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2355A-71C7-4F04-BCCC-F7C5C9DD43CF}">
  <dimension ref="A1:D29"/>
  <sheetViews>
    <sheetView topLeftCell="A7" zoomScaleNormal="100" workbookViewId="0">
      <selection activeCell="D29" sqref="D29"/>
    </sheetView>
  </sheetViews>
  <sheetFormatPr baseColWidth="10" defaultColWidth="6.44140625" defaultRowHeight="14.4" x14ac:dyDescent="0.3"/>
  <cols>
    <col min="1" max="1" width="7.44140625" bestFit="1" customWidth="1"/>
    <col min="2" max="2" width="14" bestFit="1" customWidth="1"/>
    <col min="3" max="3" width="118.109375" customWidth="1"/>
    <col min="4" max="4" width="11.6640625" bestFit="1" customWidth="1"/>
  </cols>
  <sheetData>
    <row r="1" spans="1:4" ht="15" thickBot="1" x14ac:dyDescent="0.35">
      <c r="A1" s="50" t="s">
        <v>320</v>
      </c>
      <c r="B1" s="51" t="s">
        <v>321</v>
      </c>
      <c r="C1" s="51" t="s">
        <v>322</v>
      </c>
      <c r="D1" s="52" t="s">
        <v>1</v>
      </c>
    </row>
    <row r="2" spans="1:4" ht="15" thickTop="1" x14ac:dyDescent="0.3">
      <c r="A2" s="53" t="s">
        <v>323</v>
      </c>
      <c r="B2" s="54" t="s">
        <v>324</v>
      </c>
      <c r="C2" s="54" t="s">
        <v>325</v>
      </c>
      <c r="D2" s="55">
        <v>4488</v>
      </c>
    </row>
    <row r="3" spans="1:4" x14ac:dyDescent="0.3">
      <c r="A3" s="56" t="s">
        <v>323</v>
      </c>
      <c r="B3" s="57" t="s">
        <v>324</v>
      </c>
      <c r="C3" s="57" t="s">
        <v>326</v>
      </c>
      <c r="D3" s="58">
        <v>4488</v>
      </c>
    </row>
    <row r="4" spans="1:4" x14ac:dyDescent="0.3">
      <c r="A4" s="53" t="s">
        <v>323</v>
      </c>
      <c r="B4" s="54" t="s">
        <v>324</v>
      </c>
      <c r="C4" s="54" t="s">
        <v>327</v>
      </c>
      <c r="D4" s="55">
        <v>4488</v>
      </c>
    </row>
    <row r="5" spans="1:4" x14ac:dyDescent="0.3">
      <c r="A5" s="56" t="s">
        <v>323</v>
      </c>
      <c r="B5" s="57" t="s">
        <v>324</v>
      </c>
      <c r="C5" s="57" t="s">
        <v>328</v>
      </c>
      <c r="D5" s="58">
        <v>4488</v>
      </c>
    </row>
    <row r="6" spans="1:4" x14ac:dyDescent="0.3">
      <c r="A6" s="53" t="s">
        <v>323</v>
      </c>
      <c r="B6" s="54" t="s">
        <v>329</v>
      </c>
      <c r="C6" s="54" t="s">
        <v>330</v>
      </c>
      <c r="D6" s="55">
        <v>2112</v>
      </c>
    </row>
    <row r="7" spans="1:4" x14ac:dyDescent="0.3">
      <c r="A7" s="56" t="s">
        <v>323</v>
      </c>
      <c r="B7" s="57" t="s">
        <v>329</v>
      </c>
      <c r="C7" s="57" t="s">
        <v>331</v>
      </c>
      <c r="D7" s="58">
        <v>2112</v>
      </c>
    </row>
    <row r="8" spans="1:4" x14ac:dyDescent="0.3">
      <c r="A8" s="53" t="s">
        <v>323</v>
      </c>
      <c r="B8" s="54" t="s">
        <v>332</v>
      </c>
      <c r="C8" s="54" t="s">
        <v>333</v>
      </c>
      <c r="D8" s="55">
        <v>4400</v>
      </c>
    </row>
    <row r="9" spans="1:4" x14ac:dyDescent="0.3">
      <c r="A9" s="56" t="s">
        <v>323</v>
      </c>
      <c r="B9" s="57" t="s">
        <v>334</v>
      </c>
      <c r="C9" s="57" t="s">
        <v>335</v>
      </c>
      <c r="D9" s="58">
        <v>3696</v>
      </c>
    </row>
    <row r="10" spans="1:4" x14ac:dyDescent="0.3">
      <c r="A10" s="53" t="s">
        <v>323</v>
      </c>
      <c r="B10" s="54" t="s">
        <v>183</v>
      </c>
      <c r="C10" s="54" t="s">
        <v>336</v>
      </c>
      <c r="D10" s="55">
        <v>25515</v>
      </c>
    </row>
    <row r="11" spans="1:4" x14ac:dyDescent="0.3">
      <c r="A11" s="56" t="s">
        <v>323</v>
      </c>
      <c r="B11" s="57" t="s">
        <v>307</v>
      </c>
      <c r="C11" s="57" t="s">
        <v>337</v>
      </c>
      <c r="D11" s="58">
        <v>13600</v>
      </c>
    </row>
    <row r="12" spans="1:4" x14ac:dyDescent="0.3">
      <c r="A12" s="53" t="s">
        <v>323</v>
      </c>
      <c r="B12" s="54" t="s">
        <v>309</v>
      </c>
      <c r="C12" s="54" t="s">
        <v>338</v>
      </c>
      <c r="D12" s="55">
        <v>3760</v>
      </c>
    </row>
    <row r="13" spans="1:4" x14ac:dyDescent="0.3">
      <c r="A13" s="56" t="s">
        <v>323</v>
      </c>
      <c r="B13" s="57" t="s">
        <v>311</v>
      </c>
      <c r="C13" s="57" t="s">
        <v>339</v>
      </c>
      <c r="D13" s="58">
        <v>20000</v>
      </c>
    </row>
    <row r="14" spans="1:4" x14ac:dyDescent="0.3">
      <c r="A14" s="53" t="s">
        <v>323</v>
      </c>
      <c r="B14" s="54" t="s">
        <v>340</v>
      </c>
      <c r="C14" s="54" t="s">
        <v>341</v>
      </c>
      <c r="D14" s="55">
        <v>4652</v>
      </c>
    </row>
    <row r="15" spans="1:4" x14ac:dyDescent="0.3">
      <c r="A15" s="56" t="s">
        <v>323</v>
      </c>
      <c r="B15" s="57" t="s">
        <v>342</v>
      </c>
      <c r="C15" s="57" t="s">
        <v>343</v>
      </c>
      <c r="D15" s="58">
        <v>35475.599999999999</v>
      </c>
    </row>
    <row r="16" spans="1:4" x14ac:dyDescent="0.3">
      <c r="A16" s="53" t="s">
        <v>323</v>
      </c>
      <c r="B16" s="54" t="s">
        <v>344</v>
      </c>
      <c r="C16" s="54" t="s">
        <v>345</v>
      </c>
      <c r="D16" s="55">
        <v>160</v>
      </c>
    </row>
    <row r="17" spans="1:4" x14ac:dyDescent="0.3">
      <c r="A17" s="56" t="s">
        <v>323</v>
      </c>
      <c r="B17" s="57" t="s">
        <v>188</v>
      </c>
      <c r="C17" s="57" t="s">
        <v>346</v>
      </c>
      <c r="D17" s="58">
        <v>33925.870000000003</v>
      </c>
    </row>
    <row r="18" spans="1:4" x14ac:dyDescent="0.3">
      <c r="A18" s="53" t="s">
        <v>323</v>
      </c>
      <c r="B18" s="54" t="s">
        <v>317</v>
      </c>
      <c r="C18" s="54" t="s">
        <v>347</v>
      </c>
      <c r="D18" s="55">
        <v>11411.1</v>
      </c>
    </row>
    <row r="19" spans="1:4" x14ac:dyDescent="0.3">
      <c r="A19" s="56" t="s">
        <v>323</v>
      </c>
      <c r="B19" s="57" t="s">
        <v>192</v>
      </c>
      <c r="C19" s="57" t="s">
        <v>348</v>
      </c>
      <c r="D19" s="58">
        <v>2716</v>
      </c>
    </row>
    <row r="20" spans="1:4" x14ac:dyDescent="0.3">
      <c r="A20" s="53" t="s">
        <v>323</v>
      </c>
      <c r="B20" s="54" t="s">
        <v>192</v>
      </c>
      <c r="C20" s="54" t="s">
        <v>349</v>
      </c>
      <c r="D20" s="55">
        <v>9160</v>
      </c>
    </row>
    <row r="21" spans="1:4" x14ac:dyDescent="0.3">
      <c r="A21" s="56" t="s">
        <v>323</v>
      </c>
      <c r="B21" s="57" t="s">
        <v>350</v>
      </c>
      <c r="C21" s="57" t="s">
        <v>351</v>
      </c>
      <c r="D21" s="58">
        <v>555</v>
      </c>
    </row>
    <row r="22" spans="1:4" x14ac:dyDescent="0.3">
      <c r="A22" s="53" t="s">
        <v>323</v>
      </c>
      <c r="B22" s="54" t="s">
        <v>350</v>
      </c>
      <c r="C22" s="54" t="s">
        <v>352</v>
      </c>
      <c r="D22" s="55">
        <v>555</v>
      </c>
    </row>
    <row r="23" spans="1:4" ht="15" thickBot="1" x14ac:dyDescent="0.35">
      <c r="A23" s="56" t="s">
        <v>323</v>
      </c>
      <c r="B23" s="57" t="s">
        <v>353</v>
      </c>
      <c r="C23" s="57" t="s">
        <v>354</v>
      </c>
      <c r="D23" s="58">
        <v>39501.599999999999</v>
      </c>
    </row>
    <row r="24" spans="1:4" ht="15" thickTop="1" x14ac:dyDescent="0.3">
      <c r="A24" s="59" t="s">
        <v>2</v>
      </c>
      <c r="B24" s="60"/>
      <c r="C24" s="60"/>
      <c r="D24" s="61">
        <v>231259.17</v>
      </c>
    </row>
    <row r="29" spans="1:4" x14ac:dyDescent="0.3">
      <c r="C29" s="68" t="s">
        <v>392</v>
      </c>
      <c r="D29" s="69">
        <f>D24+'Ingresos investigación 2020'!B40+'Ingresos investigación 2019'!B31</f>
        <v>1074251.7000000002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Tesis</vt:lpstr>
      <vt:lpstr>Sexenios</vt:lpstr>
      <vt:lpstr>Ingresos investigación 2019</vt:lpstr>
      <vt:lpstr>Ingresos investigación 2020</vt:lpstr>
      <vt:lpstr>Ingresos investigación 2021</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21511974M</cp:lastModifiedBy>
  <dcterms:created xsi:type="dcterms:W3CDTF">2019-07-03T07:15:54Z</dcterms:created>
  <dcterms:modified xsi:type="dcterms:W3CDTF">2022-10-18T14:40:35Z</dcterms:modified>
</cp:coreProperties>
</file>