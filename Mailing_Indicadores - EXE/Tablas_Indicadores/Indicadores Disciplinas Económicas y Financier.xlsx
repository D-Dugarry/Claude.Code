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B81F5DBD-3334-4E13-88F6-2CEEEB7F29E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9" r:id="rId5"/>
  </sheets>
  <definedNames>
    <definedName name="_xlnm._FilterDatabase" localSheetId="1" hidden="1">Sexenios!$A$1:$S$9</definedName>
    <definedName name="_xlnm._FilterDatabase" localSheetId="0" hidden="1">Tesis!$A$1:$U$4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9" l="1"/>
  <c r="B6" i="6" l="1"/>
  <c r="S10" i="3"/>
  <c r="B10" i="5" l="1"/>
  <c r="B15" i="9" s="1"/>
  <c r="S5" i="2" l="1"/>
</calcChain>
</file>

<file path=xl/sharedStrings.xml><?xml version="1.0" encoding="utf-8"?>
<sst xmlns="http://schemas.openxmlformats.org/spreadsheetml/2006/main" count="160" uniqueCount="97">
  <si>
    <t>Orgánica
Descripción justificante</t>
  </si>
  <si>
    <t>Importe</t>
  </si>
  <si>
    <t>Total</t>
  </si>
  <si>
    <t>31.80.6P.00.04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</si>
  <si>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</si>
  <si>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</si>
  <si>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</si>
  <si>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</si>
  <si>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</si>
  <si>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</si>
  <si>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</si>
  <si>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</si>
  <si>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</si>
  <si>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</si>
  <si>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</si>
  <si>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</si>
  <si>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</si>
  <si>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</si>
  <si>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</si>
  <si>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</si>
  <si>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</si>
  <si>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</si>
  <si>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</si>
  <si>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</si>
  <si>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</si>
  <si>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/>
  </si>
  <si>
    <t>Director de tesis </t>
  </si>
  <si>
    <t>U025 </t>
  </si>
  <si>
    <t>ADM. FACULTAD DE DERECHO </t>
  </si>
  <si>
    <t>DOCTORADO EN DERECHO </t>
  </si>
  <si>
    <t>B109 </t>
  </si>
  <si>
    <t>DISCIPLINAS ECONÓMICAS Y FINANCIERAS </t>
  </si>
  <si>
    <t>21438816X </t>
  </si>
  <si>
    <t>B109</t>
  </si>
  <si>
    <t>Gil García, Elizabeth </t>
  </si>
  <si>
    <t>LOS INCENTIVOS FISCALES A LA I+D+I </t>
  </si>
  <si>
    <t>14/10/2016 </t>
  </si>
  <si>
    <t>García Martínez, Elena </t>
  </si>
  <si>
    <t>LA ESTABILIDAD PRESUPUESTARIA Y EL PRINCIPIO DE ESPECIALIDAD PRESUPUESTARIA EN EN ÁMBITO DE LAS ENTIDADES LOCALES </t>
  </si>
  <si>
    <t>06/07/2018 </t>
  </si>
  <si>
    <t>Soto Bernabeu, Laura </t>
  </si>
  <si>
    <t>LOS PROGRAMAS DE CUMPLIMIENTO VOLUNTARIO COMO MEDIDAS DE ESTÍMULO AL CUMPLIMIENTO ESPONTÁNEO DE LAS OBLIGACIONES TRIBUTARIAS </t>
  </si>
  <si>
    <t>12/07/2019 </t>
  </si>
  <si>
    <t>21468574Y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</si>
  <si>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</si>
  <si>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</si>
  <si>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</si>
  <si>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</si>
  <si>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</si>
  <si>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</si>
  <si>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</si>
  <si>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</si>
  <si>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</si>
  <si>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</si>
  <si>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</si>
  <si>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</si>
  <si>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</si>
  <si>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21468574Y</t>
  </si>
  <si>
    <t>CENCERRADO MILLAN, EMILIO</t>
  </si>
  <si>
    <t>24374589V</t>
  </si>
  <si>
    <t>MARTIN LOPEZ, JORGE</t>
  </si>
  <si>
    <t>33486204K</t>
  </si>
  <si>
    <t>MARTINEZ GINER, LUIS ALFONSO</t>
  </si>
  <si>
    <t>21503855M</t>
  </si>
  <si>
    <t>MARTINEZ MUÑOZ, MARIA YOLANDA</t>
  </si>
  <si>
    <t>21438816X</t>
  </si>
  <si>
    <t>NAVARRO FAURE, AMPARO</t>
  </si>
  <si>
    <t>52769212J</t>
  </si>
  <si>
    <t>PEREZ BERNABEU, BEGOÑA</t>
  </si>
  <si>
    <t>48316179X</t>
  </si>
  <si>
    <t>RIBES RIBES, AURORA</t>
  </si>
  <si>
    <t>31.80.6C.00.03</t>
  </si>
  <si>
    <t>NL5000-33541 Study on the Practical Impact of RDI state aid rules</t>
  </si>
  <si>
    <t>31.80.6N.00.01</t>
  </si>
  <si>
    <t>COLABORACION EN LA REALIZACION DE LAS VI JORNADAS DE INVESTIGACION DE LA RED DE PROFESORES DE DERECHO FINANCIERO Y TRIBUTARIO</t>
  </si>
  <si>
    <t xml:space="preserve">PROMETEO 2016 EN 2019 </t>
  </si>
  <si>
    <t>31.80.6P.00.05</t>
  </si>
  <si>
    <t xml:space="preserve">AORG - ORGANITZACIÓ CONGRESSOS </t>
  </si>
  <si>
    <t>COD DEP</t>
  </si>
  <si>
    <t>10.06</t>
  </si>
  <si>
    <t>25</t>
  </si>
  <si>
    <t>48667486S</t>
  </si>
  <si>
    <t>GIL GARCIA, ELIZABETH</t>
  </si>
  <si>
    <t>NO FUNCIONARIO</t>
  </si>
  <si>
    <t>31.80.6P.00.06</t>
  </si>
  <si>
    <t>RESOLUCIÓN CONCESIÓN SUBVENCIONES DEL PROGRAMA PROMETEO 2020 (INNOVACIÓN,UNIVERSIDADES,CIENCIA SOC.DIG)</t>
  </si>
  <si>
    <t>31.80.6P.00.07</t>
  </si>
  <si>
    <t xml:space="preserve">PAGO CONVOCATORIA PROYECTOS 2019 1ANUALIDAD 2020 PROYECTOS I+D (PIA 1)N EXPEDIENTE: PIA 1 2019-1-1. ANUALIDAD REFERENCIA: PID2019-108963RB-I00 </t>
  </si>
  <si>
    <t>31.80.6C.00.04</t>
  </si>
  <si>
    <t>Entrega parcial de la investigación "Compliance tributario. Los programas de cumplimiento cooperativo en la era post BEPS".</t>
  </si>
  <si>
    <t>31.80.6C.00.05</t>
  </si>
  <si>
    <t>Estudio, análisis y emisión de un informe jurídico sobre la compatibilidad de una subvención recibida en 2020 con la normativa europea sobre ayudas de Estado y sobre la defensa jurídica en procedimiento de reintegro de subvenciones iniciado</t>
  </si>
  <si>
    <t>PROMETEO 2020 EN 2021 (INNOVACIÓN,UNIVERSIDADES,CIENCIA SOC.DIG)</t>
  </si>
  <si>
    <t>PID2019-108963RB-I00</t>
  </si>
  <si>
    <t>31.80.6P.00.08</t>
  </si>
  <si>
    <t>AYUDAS GRUPOS EMERGENTES ANUALIDAD 2021</t>
  </si>
  <si>
    <t>Total ingresos invetigación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</si>
</sst>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4" fontId="1" fillId="0" borderId="0" xfId="0" applyNumberFormat="1" applyFont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164" fontId="11" fillId="2" borderId="0" xfId="0" applyNumberFormat="1" applyFont="1" applyFill="1"/>
    <xf numFmtId="0" fontId="9" fillId="3" borderId="1" xfId="3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T8" sqref="T8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33.10937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1" x14ac:dyDescent="0.2">
      <c r="A2" s="34" t="s">
        <v>27</v>
      </c>
      <c r="B2" s="34" t="s">
        <v>28</v>
      </c>
      <c r="C2" s="34" t="s">
        <v>29</v>
      </c>
      <c r="D2" s="34" t="s">
        <v>34</v>
      </c>
      <c r="E2" s="34" t="s">
        <v>35</v>
      </c>
      <c r="F2" s="34" t="s">
        <v>36</v>
      </c>
      <c r="G2" s="34" t="s">
        <v>32</v>
      </c>
      <c r="H2" s="34" t="s">
        <v>26</v>
      </c>
      <c r="I2" s="34" t="s">
        <v>30</v>
      </c>
      <c r="J2" s="34" t="s">
        <v>31</v>
      </c>
      <c r="K2" s="35">
        <v>1</v>
      </c>
      <c r="L2" s="34" t="s">
        <v>33</v>
      </c>
      <c r="M2" s="34">
        <v>2016</v>
      </c>
      <c r="N2" s="34" t="s">
        <v>25</v>
      </c>
      <c r="O2" s="36" t="s">
        <v>25</v>
      </c>
      <c r="P2" s="34" t="s">
        <v>25</v>
      </c>
      <c r="Q2" s="36" t="s">
        <v>25</v>
      </c>
      <c r="R2" s="37">
        <v>100</v>
      </c>
      <c r="S2" s="35">
        <v>1</v>
      </c>
      <c r="T2" s="35">
        <v>0</v>
      </c>
      <c r="U2" s="35">
        <v>0</v>
      </c>
    </row>
    <row r="3" spans="1:21" x14ac:dyDescent="0.2">
      <c r="A3" s="34" t="s">
        <v>27</v>
      </c>
      <c r="B3" s="34" t="s">
        <v>28</v>
      </c>
      <c r="C3" s="34" t="s">
        <v>29</v>
      </c>
      <c r="D3" s="34" t="s">
        <v>37</v>
      </c>
      <c r="E3" s="34" t="s">
        <v>38</v>
      </c>
      <c r="F3" s="34" t="s">
        <v>39</v>
      </c>
      <c r="G3" s="34" t="s">
        <v>32</v>
      </c>
      <c r="H3" s="34" t="s">
        <v>26</v>
      </c>
      <c r="I3" s="34" t="s">
        <v>30</v>
      </c>
      <c r="J3" s="34" t="s">
        <v>31</v>
      </c>
      <c r="K3" s="35">
        <v>1</v>
      </c>
      <c r="L3" s="34" t="s">
        <v>33</v>
      </c>
      <c r="M3" s="34">
        <v>2017</v>
      </c>
      <c r="N3" s="34" t="s">
        <v>25</v>
      </c>
      <c r="O3" s="36" t="s">
        <v>25</v>
      </c>
      <c r="P3" s="34" t="s">
        <v>25</v>
      </c>
      <c r="Q3" s="36" t="s">
        <v>25</v>
      </c>
      <c r="R3" s="37">
        <v>100</v>
      </c>
      <c r="S3" s="35">
        <v>1</v>
      </c>
      <c r="T3" s="35">
        <v>0</v>
      </c>
      <c r="U3" s="35">
        <v>0</v>
      </c>
    </row>
    <row r="4" spans="1:21" x14ac:dyDescent="0.2">
      <c r="A4" s="34" t="s">
        <v>27</v>
      </c>
      <c r="B4" s="34" t="s">
        <v>28</v>
      </c>
      <c r="C4" s="34" t="s">
        <v>29</v>
      </c>
      <c r="D4" s="34" t="s">
        <v>40</v>
      </c>
      <c r="E4" s="34" t="s">
        <v>41</v>
      </c>
      <c r="F4" s="34" t="s">
        <v>42</v>
      </c>
      <c r="G4" s="34" t="s">
        <v>43</v>
      </c>
      <c r="H4" s="34" t="s">
        <v>26</v>
      </c>
      <c r="I4" s="34" t="s">
        <v>30</v>
      </c>
      <c r="J4" s="34" t="s">
        <v>31</v>
      </c>
      <c r="K4" s="38">
        <v>1</v>
      </c>
      <c r="L4" s="34" t="s">
        <v>33</v>
      </c>
      <c r="M4" s="34">
        <v>2018</v>
      </c>
      <c r="N4" s="34" t="s">
        <v>25</v>
      </c>
      <c r="O4" s="36" t="s">
        <v>25</v>
      </c>
      <c r="P4" s="34" t="s">
        <v>25</v>
      </c>
      <c r="Q4" s="36" t="s">
        <v>25</v>
      </c>
      <c r="R4" s="37">
        <v>100</v>
      </c>
      <c r="S4" s="35">
        <v>1</v>
      </c>
      <c r="T4" s="35">
        <v>0</v>
      </c>
      <c r="U4" s="35">
        <v>0</v>
      </c>
    </row>
    <row r="5" spans="1:2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4"/>
      <c r="Q5" s="15"/>
      <c r="R5" s="14"/>
      <c r="S5" s="16">
        <f>SUM(S2:S4)</f>
        <v>3</v>
      </c>
      <c r="T5" s="14"/>
      <c r="U5" s="14"/>
    </row>
  </sheetData>
  <autoFilter ref="A1:U4" xr:uid="{00000000-0009-0000-0000-000000000000}">
    <sortState xmlns:xlrd2="http://schemas.microsoft.com/office/spreadsheetml/2017/richdata2" ref="A2:U1910">
      <sortCondition ref="L2:L1910"/>
      <sortCondition ref="M2:M1910"/>
      <sortCondition ref="D2:D191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"/>
  <sheetViews>
    <sheetView zoomScaleNormal="100" workbookViewId="0">
      <selection activeCell="K1" sqref="K1"/>
    </sheetView>
  </sheetViews>
  <sheetFormatPr baseColWidth="10" defaultColWidth="11.44140625" defaultRowHeight="13.2" x14ac:dyDescent="0.25"/>
  <cols>
    <col min="1" max="1" width="10.5546875" style="21" bestFit="1" customWidth="1"/>
    <col min="2" max="2" width="34.33203125" style="21" bestFit="1" customWidth="1"/>
    <col min="3" max="3" width="14.5546875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5" t="s">
        <v>44</v>
      </c>
      <c r="B1" s="25" t="s">
        <v>45</v>
      </c>
      <c r="C1" s="25" t="s">
        <v>46</v>
      </c>
      <c r="D1" s="26">
        <v>2017</v>
      </c>
      <c r="E1" s="26">
        <v>2018</v>
      </c>
      <c r="F1" s="26">
        <v>2019</v>
      </c>
      <c r="G1" s="26">
        <v>2020</v>
      </c>
      <c r="H1" s="26">
        <v>2021</v>
      </c>
      <c r="I1" s="26">
        <v>2022</v>
      </c>
      <c r="J1" s="25" t="s">
        <v>47</v>
      </c>
      <c r="K1" s="40" t="s">
        <v>78</v>
      </c>
      <c r="L1" s="18" t="s">
        <v>48</v>
      </c>
      <c r="M1" s="18" t="s">
        <v>49</v>
      </c>
      <c r="N1" s="18" t="s">
        <v>50</v>
      </c>
      <c r="O1" s="18" t="s">
        <v>51</v>
      </c>
      <c r="P1" s="19" t="s">
        <v>52</v>
      </c>
      <c r="Q1" s="19" t="s">
        <v>53</v>
      </c>
      <c r="R1" s="19" t="s">
        <v>54</v>
      </c>
      <c r="S1" s="19" t="s">
        <v>55</v>
      </c>
    </row>
    <row r="2" spans="1:19" ht="14.4" x14ac:dyDescent="0.3">
      <c r="A2" s="27" t="s">
        <v>65</v>
      </c>
      <c r="B2" s="27" t="s">
        <v>66</v>
      </c>
      <c r="C2" s="27">
        <v>6</v>
      </c>
      <c r="D2" s="27"/>
      <c r="E2" s="27"/>
      <c r="F2" s="27">
        <v>1</v>
      </c>
      <c r="G2" s="27"/>
      <c r="H2" s="27">
        <v>1</v>
      </c>
      <c r="I2" s="27"/>
      <c r="J2" s="27">
        <v>2</v>
      </c>
      <c r="K2" s="27" t="s">
        <v>33</v>
      </c>
      <c r="L2" s="28">
        <v>0</v>
      </c>
      <c r="M2" s="28">
        <v>0</v>
      </c>
      <c r="N2" s="28" t="s">
        <v>25</v>
      </c>
      <c r="O2" s="28" t="s">
        <v>25</v>
      </c>
      <c r="P2" s="28">
        <v>100</v>
      </c>
      <c r="Q2" s="28">
        <v>0</v>
      </c>
      <c r="R2" s="28">
        <v>0</v>
      </c>
      <c r="S2" s="28">
        <v>2</v>
      </c>
    </row>
    <row r="3" spans="1:19" ht="14.4" x14ac:dyDescent="0.3">
      <c r="A3" s="27" t="s">
        <v>57</v>
      </c>
      <c r="B3" s="27" t="s">
        <v>58</v>
      </c>
      <c r="C3" s="27" t="s">
        <v>56</v>
      </c>
      <c r="D3" s="27">
        <v>1</v>
      </c>
      <c r="E3" s="27"/>
      <c r="F3" s="27"/>
      <c r="G3" s="27"/>
      <c r="H3" s="27"/>
      <c r="I3" s="27"/>
      <c r="J3" s="27">
        <v>1</v>
      </c>
      <c r="K3" s="27" t="s">
        <v>33</v>
      </c>
      <c r="L3" s="28">
        <v>0</v>
      </c>
      <c r="M3" s="28">
        <v>0</v>
      </c>
      <c r="N3" s="28" t="s">
        <v>25</v>
      </c>
      <c r="O3" s="28" t="s">
        <v>25</v>
      </c>
      <c r="P3" s="28">
        <v>100</v>
      </c>
      <c r="Q3" s="28">
        <v>0</v>
      </c>
      <c r="R3" s="28">
        <v>0</v>
      </c>
      <c r="S3" s="28">
        <v>1</v>
      </c>
    </row>
    <row r="4" spans="1:19" ht="14.4" x14ac:dyDescent="0.3">
      <c r="A4" s="27" t="s">
        <v>63</v>
      </c>
      <c r="B4" s="27" t="s">
        <v>64</v>
      </c>
      <c r="C4" s="27" t="s">
        <v>56</v>
      </c>
      <c r="D4" s="27"/>
      <c r="E4" s="27"/>
      <c r="F4" s="27"/>
      <c r="G4" s="27"/>
      <c r="H4" s="27"/>
      <c r="I4" s="27">
        <v>1</v>
      </c>
      <c r="J4" s="27">
        <v>1</v>
      </c>
      <c r="K4" s="27" t="s">
        <v>33</v>
      </c>
      <c r="L4" s="28">
        <v>0</v>
      </c>
      <c r="M4" s="28">
        <v>0</v>
      </c>
      <c r="N4" s="28" t="s">
        <v>25</v>
      </c>
      <c r="O4" s="28" t="s">
        <v>25</v>
      </c>
      <c r="P4" s="28">
        <v>100</v>
      </c>
      <c r="Q4" s="28">
        <v>0</v>
      </c>
      <c r="R4" s="28">
        <v>0</v>
      </c>
      <c r="S4" s="28">
        <v>1</v>
      </c>
    </row>
    <row r="5" spans="1:19" ht="14.4" x14ac:dyDescent="0.3">
      <c r="A5" s="23" t="s">
        <v>59</v>
      </c>
      <c r="B5" s="23" t="s">
        <v>60</v>
      </c>
      <c r="C5" s="24" t="s">
        <v>56</v>
      </c>
      <c r="D5" s="23">
        <v>2</v>
      </c>
      <c r="E5" s="23"/>
      <c r="F5" s="23"/>
      <c r="G5" s="23"/>
      <c r="H5" s="23"/>
      <c r="I5" s="23"/>
      <c r="J5" s="27">
        <v>2</v>
      </c>
      <c r="K5" s="27" t="s">
        <v>33</v>
      </c>
      <c r="L5" s="28">
        <v>0</v>
      </c>
      <c r="M5" s="28">
        <v>0</v>
      </c>
      <c r="N5" s="28" t="s">
        <v>25</v>
      </c>
      <c r="O5" s="28" t="s">
        <v>25</v>
      </c>
      <c r="P5" s="28">
        <v>100</v>
      </c>
      <c r="Q5" s="28">
        <v>0</v>
      </c>
      <c r="R5" s="28">
        <v>0</v>
      </c>
      <c r="S5" s="28">
        <v>2</v>
      </c>
    </row>
    <row r="6" spans="1:19" ht="14.4" x14ac:dyDescent="0.3">
      <c r="A6" s="27" t="s">
        <v>61</v>
      </c>
      <c r="B6" s="27" t="s">
        <v>62</v>
      </c>
      <c r="C6" s="27" t="s">
        <v>56</v>
      </c>
      <c r="D6" s="27"/>
      <c r="E6" s="27"/>
      <c r="F6" s="27"/>
      <c r="G6" s="27"/>
      <c r="H6" s="27"/>
      <c r="I6" s="27">
        <v>1</v>
      </c>
      <c r="J6" s="27">
        <v>1</v>
      </c>
      <c r="K6" s="27" t="s">
        <v>33</v>
      </c>
      <c r="L6" s="28" t="s">
        <v>79</v>
      </c>
      <c r="M6" s="28" t="s">
        <v>80</v>
      </c>
      <c r="N6" s="28" t="s">
        <v>25</v>
      </c>
      <c r="O6" s="28" t="s">
        <v>25</v>
      </c>
      <c r="P6" s="28">
        <v>75</v>
      </c>
      <c r="Q6" s="28">
        <v>0.25</v>
      </c>
      <c r="R6" s="28">
        <v>0</v>
      </c>
      <c r="S6" s="28">
        <v>0.75</v>
      </c>
    </row>
    <row r="7" spans="1:19" ht="14.4" x14ac:dyDescent="0.3">
      <c r="A7" s="27" t="s">
        <v>69</v>
      </c>
      <c r="B7" s="27" t="s">
        <v>70</v>
      </c>
      <c r="C7" s="27" t="s">
        <v>56</v>
      </c>
      <c r="D7" s="27">
        <v>1</v>
      </c>
      <c r="E7" s="27"/>
      <c r="F7" s="27"/>
      <c r="G7" s="27"/>
      <c r="H7" s="27"/>
      <c r="I7" s="27"/>
      <c r="J7" s="27">
        <v>1</v>
      </c>
      <c r="K7" s="27" t="s">
        <v>33</v>
      </c>
      <c r="L7" s="28">
        <v>0</v>
      </c>
      <c r="M7" s="28">
        <v>0</v>
      </c>
      <c r="N7" s="28" t="s">
        <v>25</v>
      </c>
      <c r="O7" s="28" t="s">
        <v>25</v>
      </c>
      <c r="P7" s="28">
        <v>100</v>
      </c>
      <c r="Q7" s="28">
        <v>0</v>
      </c>
      <c r="R7" s="28">
        <v>0</v>
      </c>
      <c r="S7" s="28">
        <v>1</v>
      </c>
    </row>
    <row r="8" spans="1:19" ht="14.4" x14ac:dyDescent="0.3">
      <c r="A8" s="27" t="s">
        <v>81</v>
      </c>
      <c r="B8" s="27" t="s">
        <v>82</v>
      </c>
      <c r="C8" s="27" t="s">
        <v>83</v>
      </c>
      <c r="D8" s="27"/>
      <c r="E8" s="27"/>
      <c r="F8" s="27"/>
      <c r="G8" s="27"/>
      <c r="H8" s="27"/>
      <c r="I8" s="27">
        <v>1</v>
      </c>
      <c r="J8" s="27">
        <v>1</v>
      </c>
      <c r="K8" s="27" t="s">
        <v>33</v>
      </c>
      <c r="L8" s="28">
        <v>0</v>
      </c>
      <c r="M8" s="28">
        <v>0</v>
      </c>
      <c r="N8" s="28" t="s">
        <v>25</v>
      </c>
      <c r="O8" s="28" t="s">
        <v>25</v>
      </c>
      <c r="P8" s="28">
        <v>100</v>
      </c>
      <c r="Q8" s="28">
        <v>0</v>
      </c>
      <c r="R8" s="28">
        <v>0</v>
      </c>
      <c r="S8" s="28">
        <v>1</v>
      </c>
    </row>
    <row r="9" spans="1:19" ht="14.4" x14ac:dyDescent="0.3">
      <c r="A9" s="27" t="s">
        <v>67</v>
      </c>
      <c r="B9" s="27" t="s">
        <v>68</v>
      </c>
      <c r="C9" s="27" t="s">
        <v>56</v>
      </c>
      <c r="D9" s="27"/>
      <c r="E9" s="27"/>
      <c r="F9" s="27"/>
      <c r="G9" s="27"/>
      <c r="H9" s="27">
        <v>1</v>
      </c>
      <c r="I9" s="27"/>
      <c r="J9" s="27">
        <v>1</v>
      </c>
      <c r="K9" s="27" t="s">
        <v>33</v>
      </c>
      <c r="L9" s="28">
        <v>0</v>
      </c>
      <c r="M9" s="28">
        <v>0</v>
      </c>
      <c r="N9" s="28" t="s">
        <v>25</v>
      </c>
      <c r="O9" s="28" t="s">
        <v>25</v>
      </c>
      <c r="P9" s="28">
        <v>100</v>
      </c>
      <c r="Q9" s="28">
        <v>0</v>
      </c>
      <c r="R9" s="28">
        <v>0</v>
      </c>
      <c r="S9" s="28">
        <v>1</v>
      </c>
    </row>
    <row r="10" spans="1:19" ht="14.4" x14ac:dyDescent="0.3">
      <c r="A10" s="29"/>
      <c r="B10" s="29"/>
      <c r="C10" s="30"/>
      <c r="D10" s="29"/>
      <c r="E10" s="29"/>
      <c r="F10" s="29"/>
      <c r="G10" s="29"/>
      <c r="H10" s="29"/>
      <c r="I10" s="29"/>
      <c r="J10" s="31"/>
      <c r="K10" s="32"/>
      <c r="L10" s="32"/>
      <c r="M10" s="32"/>
      <c r="N10" s="32"/>
      <c r="O10" s="32"/>
      <c r="P10" s="32"/>
      <c r="Q10" s="32"/>
      <c r="R10" s="32"/>
      <c r="S10" s="39">
        <f>SUM(S2:S9)</f>
        <v>9.75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Normal="100" workbookViewId="0">
      <selection activeCell="B11" sqref="B1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71</v>
      </c>
      <c r="B2" s="5"/>
    </row>
    <row r="3" spans="1:2" x14ac:dyDescent="0.2">
      <c r="A3" s="4" t="s">
        <v>72</v>
      </c>
      <c r="B3" s="5">
        <v>6000</v>
      </c>
    </row>
    <row r="4" spans="1:2" x14ac:dyDescent="0.2">
      <c r="A4" s="4" t="s">
        <v>73</v>
      </c>
      <c r="B4" s="7"/>
    </row>
    <row r="5" spans="1:2" x14ac:dyDescent="0.2">
      <c r="A5" s="4" t="s">
        <v>74</v>
      </c>
      <c r="B5" s="5">
        <v>1500</v>
      </c>
    </row>
    <row r="6" spans="1:2" x14ac:dyDescent="0.2">
      <c r="A6" s="4" t="s">
        <v>3</v>
      </c>
      <c r="B6" s="5"/>
    </row>
    <row r="7" spans="1:2" x14ac:dyDescent="0.2">
      <c r="A7" s="4" t="s">
        <v>75</v>
      </c>
      <c r="B7" s="5">
        <v>24516</v>
      </c>
    </row>
    <row r="8" spans="1:2" x14ac:dyDescent="0.2">
      <c r="A8" s="4" t="s">
        <v>76</v>
      </c>
      <c r="B8" s="5"/>
    </row>
    <row r="9" spans="1:2" x14ac:dyDescent="0.2">
      <c r="A9" s="4" t="s">
        <v>77</v>
      </c>
      <c r="B9" s="5">
        <v>9000</v>
      </c>
    </row>
    <row r="10" spans="1:2" x14ac:dyDescent="0.2">
      <c r="A10" s="6" t="s">
        <v>2</v>
      </c>
      <c r="B10" s="7">
        <f>SUM(B3:B9)</f>
        <v>41016</v>
      </c>
    </row>
    <row r="11" spans="1:2" x14ac:dyDescent="0.2">
      <c r="B11" s="33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8D7A-5A40-4D00-BA9C-5D4BF9E542B8}">
  <dimension ref="A1:B6"/>
  <sheetViews>
    <sheetView zoomScaleNormal="100" workbookViewId="0">
      <selection activeCell="B14" sqref="B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84</v>
      </c>
      <c r="B2" s="5"/>
    </row>
    <row r="3" spans="1:2" x14ac:dyDescent="0.2">
      <c r="A3" s="4" t="s">
        <v>85</v>
      </c>
      <c r="B3" s="5">
        <v>21509.200000000001</v>
      </c>
    </row>
    <row r="4" spans="1:2" x14ac:dyDescent="0.2">
      <c r="A4" s="4" t="s">
        <v>86</v>
      </c>
      <c r="B4" s="7"/>
    </row>
    <row r="5" spans="1:2" x14ac:dyDescent="0.2">
      <c r="A5" s="4" t="s">
        <v>87</v>
      </c>
      <c r="B5" s="5">
        <v>2500</v>
      </c>
    </row>
    <row r="6" spans="1:2" x14ac:dyDescent="0.2">
      <c r="A6" s="6" t="s">
        <v>2</v>
      </c>
      <c r="B6" s="7">
        <f>SUM(B3:B5)</f>
        <v>24009.200000000001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1DE3-5B6F-4F62-90B5-DF0594CDC9F0}">
  <dimension ref="A1:B15"/>
  <sheetViews>
    <sheetView zoomScaleNormal="100" workbookViewId="0">
      <selection activeCell="A15" sqref="A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88</v>
      </c>
      <c r="B2" s="5"/>
    </row>
    <row r="3" spans="1:2" x14ac:dyDescent="0.2">
      <c r="A3" s="4" t="s">
        <v>89</v>
      </c>
      <c r="B3" s="5">
        <v>1745.45</v>
      </c>
    </row>
    <row r="4" spans="1:2" x14ac:dyDescent="0.2">
      <c r="A4" s="4" t="s">
        <v>90</v>
      </c>
      <c r="B4" s="7"/>
    </row>
    <row r="5" spans="1:2" x14ac:dyDescent="0.2">
      <c r="A5" s="4" t="s">
        <v>91</v>
      </c>
      <c r="B5" s="5">
        <v>3080</v>
      </c>
    </row>
    <row r="6" spans="1:2" x14ac:dyDescent="0.2">
      <c r="A6" s="4" t="s">
        <v>84</v>
      </c>
      <c r="B6" s="7"/>
    </row>
    <row r="7" spans="1:2" x14ac:dyDescent="0.2">
      <c r="A7" s="4" t="s">
        <v>92</v>
      </c>
      <c r="B7" s="4">
        <v>26568.720000000001</v>
      </c>
    </row>
    <row r="8" spans="1:2" x14ac:dyDescent="0.2">
      <c r="A8" s="4" t="s">
        <v>86</v>
      </c>
      <c r="B8" s="4"/>
    </row>
    <row r="9" spans="1:2" x14ac:dyDescent="0.2">
      <c r="A9" s="4" t="s">
        <v>93</v>
      </c>
      <c r="B9" s="4">
        <v>12500</v>
      </c>
    </row>
    <row r="10" spans="1:2" x14ac:dyDescent="0.2">
      <c r="A10" s="4" t="s">
        <v>94</v>
      </c>
      <c r="B10" s="4"/>
    </row>
    <row r="11" spans="1:2" x14ac:dyDescent="0.2">
      <c r="A11" s="4" t="s">
        <v>95</v>
      </c>
      <c r="B11" s="4">
        <v>8500</v>
      </c>
    </row>
    <row r="12" spans="1:2" x14ac:dyDescent="0.2">
      <c r="A12" s="6" t="s">
        <v>2</v>
      </c>
      <c r="B12" s="7">
        <f>SUM(B2:B11)</f>
        <v>52394.17</v>
      </c>
    </row>
    <row r="15" spans="1:2" x14ac:dyDescent="0.2">
      <c r="A15" s="41" t="s">
        <v>96</v>
      </c>
      <c r="B15" s="7">
        <f>B12+'Ingresos investigación 2020'!B6+'Ingresos investigación 2019'!B10</f>
        <v>117419.37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2022-10-18T10:17:30Z</dcterms:modified>
</cp:coreProperties>
</file>