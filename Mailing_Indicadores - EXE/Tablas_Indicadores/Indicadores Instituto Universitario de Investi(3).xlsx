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Institutos\"/>
    </mc:Choice>
  </mc:AlternateContent>
  <xr:revisionPtr revIDLastSave="0" documentId="13_ncr:1_{D7FFEDEC-C636-46BC-A625-38BF9EC153C9}" xr6:coauthVersionLast="47" xr6:coauthVersionMax="47" xr10:uidLastSave="{00000000-0000-0000-0000-000000000000}"/>
  <bookViews>
    <workbookView xWindow="22932" yWindow="-108" windowWidth="23256" windowHeight="12456" xr2:uid="{00000000-000D-0000-FFFF-FFFF00000000}"/>
  </bookViews>
  <sheets>
    <sheet name="Tesis" sheetId="2" r:id="rId1"/>
    <sheet name="Sexenios" sheetId="3" r:id="rId2"/>
    <sheet name="Ingresos investigación 2019" sheetId="7" r:id="rId3"/>
    <sheet name="ingresos investigación 2020" sheetId="8" r:id="rId4"/>
    <sheet name="ingresos investigación 2021" sheetId="10" r:id="rId5"/>
    <sheet name="Ingresos formación 2019" sheetId="6" r:id="rId6"/>
    <sheet name="Ingresos formación 2020" sheetId="9" r:id="rId7"/>
    <sheet name="ingresos formación 2021" sheetId="11" r:id="rId8"/>
  </sheets>
  <definedNames>
    <definedName name="_xlnm._FilterDatabase" localSheetId="1" hidden="1">Sexenios!$A$1:$S$48</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57" i="3" l="1"/>
  <c r="T105" i="2" l="1"/>
  <c r="B8" i="7" l="1"/>
  <c r="D11" i="10" s="1"/>
  <c r="B4" i="6" l="1"/>
  <c r="D7" i="11" s="1"/>
</calcChain>
</file>

<file path=xl/sharedStrings.xml><?xml version="1.0" encoding="utf-8"?>
<sst xmlns="http://schemas.openxmlformats.org/spreadsheetml/2006/main" count="2080" uniqueCount="580">
  <si>
    <t>Orgánica
Descripción justificante</t>
  </si>
  <si>
    <t>Importe</t>
  </si>
  <si>
    <t>Total</t>
  </si>
  <si>
    <t>42.10.6P.00.01</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</si>
  <si>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</si>
  <si>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</si>
  <si>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</si>
  <si>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</si>
  <si>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</si>
  <si>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</si>
  <si>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</si>
  <si>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</si>
  <si>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</si>
  <si>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</si>
  <si>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</si>
  <si>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</si>
  <si>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</si>
  <si>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</si>
  <si>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</si>
  <si>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</si>
  <si>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</si>
  <si>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</si>
  <si>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</si>
  <si>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</si>
  <si>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</si>
  <si>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</si>
  <si>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</si>
  <si>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Director de tesis </t>
  </si>
  <si>
    <t>28/09/2018 </t>
  </si>
  <si>
    <t>29/09/2017 </t>
  </si>
  <si>
    <t>10.17</t>
  </si>
  <si>
    <t>U062 </t>
  </si>
  <si>
    <t>ADM. I.U. DE INVESTIGACIÓN INFORMÁTICA </t>
  </si>
  <si>
    <t>DOCTORADO EN INFORMÁTICA </t>
  </si>
  <si>
    <t>10.19</t>
  </si>
  <si>
    <t>15/09/2017 </t>
  </si>
  <si>
    <t>B112 </t>
  </si>
  <si>
    <t>DIDACTICA GENERAL Y DIDÁCTICAS ESPECÍFICAS </t>
  </si>
  <si>
    <t>DOCTORADO EN INVESTIGACIÓN EDUCATIVA </t>
  </si>
  <si>
    <t>50</t>
  </si>
  <si>
    <t>B113 </t>
  </si>
  <si>
    <t>ESTUDIOS JURIDICOS DEL ESTADO </t>
  </si>
  <si>
    <t>U025 </t>
  </si>
  <si>
    <t>ADM. FACULTAD DE DERECHO </t>
  </si>
  <si>
    <t>DOCTORADO EN DERECHO </t>
  </si>
  <si>
    <t>B113</t>
  </si>
  <si>
    <t>20</t>
  </si>
  <si>
    <t>ZZ </t>
  </si>
  <si>
    <t>SIN ASIGNAR </t>
  </si>
  <si>
    <t>27/09/2017 </t>
  </si>
  <si>
    <t>B138</t>
  </si>
  <si>
    <t>13/09/2018 </t>
  </si>
  <si>
    <t>10</t>
  </si>
  <si>
    <t>B184 </t>
  </si>
  <si>
    <t>EDIFICACIÓN Y URBANISMO </t>
  </si>
  <si>
    <t>80</t>
  </si>
  <si>
    <t>10.06</t>
  </si>
  <si>
    <t>25</t>
  </si>
  <si>
    <t>75</t>
  </si>
  <si>
    <t>U036 </t>
  </si>
  <si>
    <t>ADM. FACULTAD DE CIENCIAS ECONÓMICAS </t>
  </si>
  <si>
    <t>DOCTORADO EN EMPRESA, ECONOMÍA Y SOCIEDAD </t>
  </si>
  <si>
    <t>30</t>
  </si>
  <si>
    <t>B174 </t>
  </si>
  <si>
    <t>HISTORIA MEDIEVAL, HISTORIA MODERNA Y CIENCIAS Y TÉCNICAS HISTORIOGRÀFICAS </t>
  </si>
  <si>
    <t>B122 </t>
  </si>
  <si>
    <t>HUMANIDADES CONTEMPORANEAS </t>
  </si>
  <si>
    <t>B122</t>
  </si>
  <si>
    <t>U023 </t>
  </si>
  <si>
    <t>ADM. FACULTAD DE FILOSOFIA Y LETRAS </t>
  </si>
  <si>
    <t>DOCTORADO EN FILOSOFÍA Y LETRAS </t>
  </si>
  <si>
    <t>B134</t>
  </si>
  <si>
    <t>11/07/2017 </t>
  </si>
  <si>
    <t>B175 </t>
  </si>
  <si>
    <t>COMUNICACIÓN Y PSICOLOGÍA SOCIAL </t>
  </si>
  <si>
    <t>B175</t>
  </si>
  <si>
    <t>10.23</t>
  </si>
  <si>
    <t>B142 </t>
  </si>
  <si>
    <t>FILOLOGÍA CATALANA </t>
  </si>
  <si>
    <t>DOCTORADO EN FILOLOGÍA CATALANA </t>
  </si>
  <si>
    <t>Cruz Morente, Miquel Antoni </t>
  </si>
  <si>
    <t>LA REVISTA CANIGÓ (1954-1983), UN REFERENT CULTURAL I LITERARI DELS PAÏSOS CATALANS </t>
  </si>
  <si>
    <t>12/06/2017 </t>
  </si>
  <si>
    <t>17/07/2017 </t>
  </si>
  <si>
    <t>25/09/2017 </t>
  </si>
  <si>
    <t>17/01/2019 </t>
  </si>
  <si>
    <t>28/09/2017 </t>
  </si>
  <si>
    <t>19/09/2017 </t>
  </si>
  <si>
    <t>12/04/2019 </t>
  </si>
  <si>
    <t>B115 </t>
  </si>
  <si>
    <t>FILOL. ESPAÑOLA, LINGÜÍSTICA GENERAL Y TEORIA DE LA LITERATURA </t>
  </si>
  <si>
    <t>B115</t>
  </si>
  <si>
    <t>10.15</t>
  </si>
  <si>
    <t>B116</t>
  </si>
  <si>
    <t>B172 </t>
  </si>
  <si>
    <t>TRADUCCIÓN E INTERPRETACIÓN </t>
  </si>
  <si>
    <t>B172</t>
  </si>
  <si>
    <t>10.25</t>
  </si>
  <si>
    <t>03/11/2016 </t>
  </si>
  <si>
    <t>B177 </t>
  </si>
  <si>
    <t>PSICOLOGÍA EVOLUTIVA Y DIDÁCTICA </t>
  </si>
  <si>
    <t>B112</t>
  </si>
  <si>
    <t>B148 </t>
  </si>
  <si>
    <t>TECNOLOGÍA INFORMÁTICA Y COMPUTACIÓN </t>
  </si>
  <si>
    <t>DOCTORADO EN TECNOLOGÍAS DE LA SOCIEDAD DE LA INFORMACIÓN </t>
  </si>
  <si>
    <t>B148</t>
  </si>
  <si>
    <t>21964202F </t>
  </si>
  <si>
    <t>Albentosa Mora, Jose Luis </t>
  </si>
  <si>
    <t>MODELO Y ARQUITECTURA PARA LAPROVISIÓN EN LA NUBE DE SERVICIOS Y APLICACIONES HETEROGÉNEAS </t>
  </si>
  <si>
    <t>19/12/2018 </t>
  </si>
  <si>
    <t>03/03/2017 </t>
  </si>
  <si>
    <t>B120 </t>
  </si>
  <si>
    <t>GEOGRAFIA HUMANA </t>
  </si>
  <si>
    <t>DOCTORADO EN DESARROLLO LOCAL E INNOVACIÓN TERRITORIAL </t>
  </si>
  <si>
    <t>B120</t>
  </si>
  <si>
    <t>B174</t>
  </si>
  <si>
    <t>B177</t>
  </si>
  <si>
    <t>Soler García, Carolina </t>
  </si>
  <si>
    <t>LA EXPULSIÓN DE EXTRANJEROS EN LA JURISPRUDENCIA DE LOS TRIBUNALES REGIONALES EUROPEOS </t>
  </si>
  <si>
    <t>25126587F </t>
  </si>
  <si>
    <t>B108 </t>
  </si>
  <si>
    <t>DCHO. INTERNACIONAL PÚBLICO Y DCHO. PENAL </t>
  </si>
  <si>
    <t>B108</t>
  </si>
  <si>
    <t>25126858W </t>
  </si>
  <si>
    <t>Cobos Velasco, Juan Carlos </t>
  </si>
  <si>
    <t>ANÁLISIS, EVALUACIÓN E INTEGRACIÓN DE MOODLE CON HERRAMIENTAS DE LA WEB 2.0 EN LA UNIVERSIDAD CENTRAL DEL ECUADOR 2014-15 </t>
  </si>
  <si>
    <t>Pérez Narváez, Hamilton Omar </t>
  </si>
  <si>
    <t>USO DE SCRATCH COMO HERRAMIENTA PARA EL DESARROLLO DEL PENSAMIENTO COMPUTACIONAL EN PROGRAMACIÓN I DE LA CARRERA DE INFORMÁTICA DE LA UNIVERSIDAD CENTRAL DEL ECUADOR </t>
  </si>
  <si>
    <t>Guerrero Gallardo, Héctor Iván </t>
  </si>
  <si>
    <t>EL DESARROLLO PROFESIONAL DE LOS DOCENTES NOVELES DE LA UNIVERSIDAD CENTRAL DEL ECUADOR DESDE LA NARRATIVA DE SUS PROTAGONISTAS </t>
  </si>
  <si>
    <t>21362631R </t>
  </si>
  <si>
    <t>Mañas Pérez, Antonio Francisco </t>
  </si>
  <si>
    <t>DE LA AUDICIÓN MUSICAL ACTIVA A LA AUDICIÓN MUSICAL INTERACTIVA </t>
  </si>
  <si>
    <t>Logroño , Mercy Julieta </t>
  </si>
  <si>
    <t>GÉNERO Y EDUCACIÓN SUPERIOR DESDE LAS VOCES DE LAS ACADÉMICAS: CASO UNIVERSIDAD CENTRAL DEL ECUADOR </t>
  </si>
  <si>
    <t>León Ravina, Gemma María del Rosario </t>
  </si>
  <si>
    <t>LA ÓPERA EN CÁDIZ EN EL SIGLO XIX, UN ESTUDIO CUALITATIVO </t>
  </si>
  <si>
    <t>11/04/2018 </t>
  </si>
  <si>
    <t>73536751R </t>
  </si>
  <si>
    <t>Candela Sevila, Virgilio Francisco </t>
  </si>
  <si>
    <t>LA TRANSICIÓN POLÍTICA A LA DEMOCRACIA EN LA PROVINCIA DE ALICANTE: HISTORIA DE LA UNIÓN DE CENTRO DEMOCRÁTICO (1973-1983) </t>
  </si>
  <si>
    <t>10/09/2018 </t>
  </si>
  <si>
    <t>21457927P </t>
  </si>
  <si>
    <t>Martin ., Tania Josephine </t>
  </si>
  <si>
    <t>PROTEST MUSIC, SOCIETY AND SOCIAL CHANGE </t>
  </si>
  <si>
    <t>Martínez Benítez, Jenny Esmeralda </t>
  </si>
  <si>
    <t>DIFERENCIALES DE GÉNERO Y ACTIVIDAD FÍSICA EN LOS ESTUDIANTES DE LA UNIVERSIDAD CENTRAL DEL ECUADOR </t>
  </si>
  <si>
    <t>18/10/2018 </t>
  </si>
  <si>
    <t>Lorenzo Lledó, Alejandro </t>
  </si>
  <si>
    <t>PERCEPCIONES DEL ALUMNADO DEL GRADO DE MAESTRO EN UNIVERSIDADES ESPAÑOLAS SOBRE EL CINE COMO RECURSO DIDÁCTICO EN EDUCACIÓN INFANTIL Y PRIMARIA </t>
  </si>
  <si>
    <t>22/05/2019 </t>
  </si>
  <si>
    <t>Ramirez Cruz, Yanira Mesalina </t>
  </si>
  <si>
    <t>APRENDIZAJE BASADO EN EL USO DE MOODLE. EVALUACIÓN Y DISEÑO DE UN PLAN DE MEJORA CONTINUA EN LA ASIGNATURA DE ADMINISTRACIÓN II DE LA LICENCIATURA EN ADMINISTRACIÓN DE EMPRESAS DE LA FACULTAD DE CIENCIAS EMPRESARIALES DE LA UNIVERSIDAD TECNOLÓGICA DE </t>
  </si>
  <si>
    <t>29/07/2019 </t>
  </si>
  <si>
    <t>21362441H </t>
  </si>
  <si>
    <t>DOCTORADO EN ESTUDIOS POLÍTICOS Y CONSTITUCIONALES </t>
  </si>
  <si>
    <t>21357027D </t>
  </si>
  <si>
    <t>Habjouqa Hanqeer, Dina </t>
  </si>
  <si>
    <t>LOS PARTIDOS POLÍTICOS EN JORDANIA (1921-2015). CREACIÓN, EVOLUCIÓN Y RETOS DE UN MODELO DEMOCRÁTICO CONTEMPORÁNEO. </t>
  </si>
  <si>
    <t>21445733G </t>
  </si>
  <si>
    <t>Ruiz Guerrero, Manuel Francisco </t>
  </si>
  <si>
    <t>LA CONSTITUCIÓN Y LA INSTITUCIONALIZACIÓN DEL PROCESO POLÍTICO NICARAGÜENSE </t>
  </si>
  <si>
    <t>25/10/2016 </t>
  </si>
  <si>
    <t>Leszczyna , Dorota Maria </t>
  </si>
  <si>
    <t>DEL IDEALISMO AL REALISMO CRÍTICO. LA POLÍTICA COMO REALIZACIÓN EN JOSÉ ORTEGA Y GASSET </t>
  </si>
  <si>
    <t>Gutiérrez Gómez, Jesus Eduardo </t>
  </si>
  <si>
    <t>LA DEFENSA DE LOS DERECHOS FUNDAMENTALES Y LIBERTADES PÚBLICAS EN EL CONTROL DE LA ACTIVIDAD DEPORTIVA </t>
  </si>
  <si>
    <t>05/05/2017 </t>
  </si>
  <si>
    <t>Molina Picazo, Miguel Antonio </t>
  </si>
  <si>
    <t>EL LIDERAZGO POLÍTICO LOCAL. UN ESTUDIO DE CASOS DE LA PROVINCIA DE ALICANTE (1979-2015) </t>
  </si>
  <si>
    <t>Pardo Beneyto, Gonzalo </t>
  </si>
  <si>
    <t>"LA MODERNIZACIÓN DE LA ADMINISTRACIÓN LOCAL MUNICIPAL: LA INNOVACIÓN Y LA REINGENIERÍA DE PROCESOS EN LOS AYUNTAMIENTOS DE ALICANTE Y VALÈNCIA (2001-2016)" </t>
  </si>
  <si>
    <t>12/11/2018 </t>
  </si>
  <si>
    <t>Sadeikaite , Giedre </t>
  </si>
  <si>
    <t>SUPPORTING SUSTAINABLE TOURISM DEVELOPMENT THROUGH IMPROVED MEASUREMENT: A CASE STUDY OF EUROPEAN TOURISM DESTINATIONS </t>
  </si>
  <si>
    <t>21985529J </t>
  </si>
  <si>
    <t>21489543E </t>
  </si>
  <si>
    <t>DOCTORADO EN TRADUCTOLOGÍA, TRADUCCIÓN PROFESIONAL Y AUDIOVISUAL </t>
  </si>
  <si>
    <t>Alemán , Vanessa </t>
  </si>
  <si>
    <t>ANÁLISIS Y ESTUDIO FRASEOLÓGICO, TRADUCTOLÓGICO Y TERMINOLÓGICO DEL VOCABULARIO DE LA PROPIEDAD INTELECTUAL E INDUSTRIAL EN ESPAÑOL, FRANCÉS E INGLÉS </t>
  </si>
  <si>
    <t>19851817B </t>
  </si>
  <si>
    <t>Laraiche Ferrag, Karima </t>
  </si>
  <si>
    <t>PRESENCIA DEL ESPAÑOL Y DEL VALENCIANO EN EL HABLA COTIDIANA DE ORÁN: ANÁLISIS LINGÜÍSTICO DEL LÉXICO A TRAVÉS DEL USO ORAL Y ESCRITO </t>
  </si>
  <si>
    <t>Juárez Varón, David </t>
  </si>
  <si>
    <t>NEUROMARKETING APLICADO AL PACKAGING DE JUGUETES EDUCATIVOS. EDTUDIO DE CASO DEL JUEGO APRENDO INGLÉS (EDUCA) </t>
  </si>
  <si>
    <t>11/01/2018 </t>
  </si>
  <si>
    <t>21463378P </t>
  </si>
  <si>
    <t>Mengual Recuerda, Ana </t>
  </si>
  <si>
    <t>NEUROMARKETING APLICADO AL SECTOR RESTAURACIÓN. EL CASO DEL RESTAURANTE L'ESCALETA </t>
  </si>
  <si>
    <t>18/09/2019 </t>
  </si>
  <si>
    <t>Andrade Torres, Marco Xavier </t>
  </si>
  <si>
    <t>LA INTELIGENCIA EMOCIONAL, LA RESOLUCIÓN DE CONFLICTOS EN EL AULA Y SU RELACIÓN CON EL DESEMPEÑO DEL PROFESORADO DE LA UNIVERSIDAD CENTRAL DEL ECUADOR </t>
  </si>
  <si>
    <t>28/06/2017 </t>
  </si>
  <si>
    <t>22929043K </t>
  </si>
  <si>
    <t>Martí Quiles, Lucía </t>
  </si>
  <si>
    <t>APLICACIÓN DE LA TEORÍA DE LAS INTELIGENCIAS MÚLTIPLES Y SUS EFECTOS SOBRE EL RENDIMIENTO Y LA MOTIVACIÓN EN ALUMNOS DE 4º Y 5º DE EDUCACIÓN PRIMARIA </t>
  </si>
  <si>
    <t>12/09/2017 </t>
  </si>
  <si>
    <t>Morales Aguilar, Paulina Liliana </t>
  </si>
  <si>
    <t>COMPETENCIAS TRANSVERSALES EN LA INSERCIÓN Y DESEMPEÑO LABORAL DE LAS Y LOS GRADUADOS DE LA UNIVERSIDAD TECNOLÓGICA EQUINOCCIAL SEDE SANTO DOMINGO </t>
  </si>
  <si>
    <t>01/10/2016 </t>
  </si>
  <si>
    <t>Veas Iniesta, Alejandro </t>
  </si>
  <si>
    <t>ALUMNADO CON RENDIMIENTO ACADÉMICO MENOR AL ESPERADO (UNDERACHIEVEMENT): ANÁLISIS DE PROCESOS METODOLÓGICOS PARA SU DETECCIÓN </t>
  </si>
  <si>
    <t>Haro Jácome, Oswaldo Fabián </t>
  </si>
  <si>
    <t>RELACIÓN DEL EXAMEN NACIONAL PARA LA EDUCACIÓN SUPERIOR -ENES- Y LA VOCACIÓN DOCENTE CON EL RENDIMIENTO ACADÉMICO DEL ALUMNADO DE LA FACULTAD DE FILOSOÍA, LETRAS Y CIENCIAS DE LA EDUCACIÓN DE LA UNIVERSIDAD CENTRAL DEL ECUADOR. </t>
  </si>
  <si>
    <t>Martínez Blasco, Sergio </t>
  </si>
  <si>
    <t>LA PIZARRA DIGITAL EN EL AULA DE MÚSICA DE EDUCACIÓN PRIMARIA. EVALUACIÓN DE SU EFICACIA COMO RECURSO EDUCATIVO </t>
  </si>
  <si>
    <t>09/04/2019 </t>
  </si>
  <si>
    <t>Albert Pla, David </t>
  </si>
  <si>
    <t>CARACTERÍSTICAS DIFERENCIALES DE ALUMNOS CON RENDIMIENTO MAYOR, IGUAL O MENOR AL ESPERADO EN EDUCACIÓN SECUNDARIA OBLIGATORIA </t>
  </si>
  <si>
    <t>74218386P </t>
  </si>
  <si>
    <t>Ciro Calderón, Nini Johana </t>
  </si>
  <si>
    <t>ESTRATEGIA PARA EL EMPODERAMIENTO DIFERENCIAL DESDE LA IDENTIDAD CULTURAL Y EL DESARROLLO LOCAL. ESTUDIO DE CASO DE LAS MUJERES INDÍGENAS NASA DEL MUNICIPIO SANTIAGO DE CALI, (COLOMBIA) </t>
  </si>
  <si>
    <t>20/09/2017 </t>
  </si>
  <si>
    <t>Nieto Hidalgo, Mario </t>
  </si>
  <si>
    <t>"GAIT ANALYSIS USING COMPUTER VISION FOR THE EARLY DETECTION OF ELDERLY SYNDROMES. A FORMAL PROPOSAL" </t>
  </si>
  <si>
    <t>33475167R </t>
  </si>
  <si>
    <t>NIF</t>
  </si>
  <si>
    <t>NOMBRE_COMPLETO</t>
  </si>
  <si>
    <t>TIPO_SEXENIO</t>
  </si>
  <si>
    <t>Total general</t>
  </si>
  <si>
    <t>INS
1</t>
  </si>
  <si>
    <t>DED
INS 1</t>
  </si>
  <si>
    <t>INS
2</t>
  </si>
  <si>
    <t>DED
INS 2</t>
  </si>
  <si>
    <t>DED
DEP</t>
  </si>
  <si>
    <t>SEX
INS 1</t>
  </si>
  <si>
    <t>SEX
INS 2</t>
  </si>
  <si>
    <t>SEX
DEP</t>
  </si>
  <si>
    <t>FUNCIONARIO</t>
  </si>
  <si>
    <t>NO FUNCIONARIO</t>
  </si>
  <si>
    <t>05150725J</t>
  </si>
  <si>
    <t>CIFUENTES HONRUBIA, JOSE LUIS</t>
  </si>
  <si>
    <t>74218386P</t>
  </si>
  <si>
    <t>MARTINEZ PUCHE, ANTONIO</t>
  </si>
  <si>
    <t>21964202F</t>
  </si>
  <si>
    <t>GARCIA CHAMIZO, JUAN MANUEL</t>
  </si>
  <si>
    <t>33475167R</t>
  </si>
  <si>
    <t>MORA PASCUAL, JERONIMO MANUEL</t>
  </si>
  <si>
    <t>44752168X</t>
  </si>
  <si>
    <t>ALVARADO ORTEGA, MARIA BELEN</t>
  </si>
  <si>
    <t>21436046T</t>
  </si>
  <si>
    <t>BARRIO BARRIO, JUAN ANTONIO</t>
  </si>
  <si>
    <t>48769418B</t>
  </si>
  <si>
    <t>MERMA MOLINA, GLADYS</t>
  </si>
  <si>
    <t>48341145K</t>
  </si>
  <si>
    <t>BARRAJON LOPEZ, ELISA</t>
  </si>
  <si>
    <t>27461670S</t>
  </si>
  <si>
    <t>BAYONA FERNANDEZ, GLORIA</t>
  </si>
  <si>
    <t>22929043K</t>
  </si>
  <si>
    <t>CASTEJON COSTA, JUAN LUIS</t>
  </si>
  <si>
    <t>73536751R</t>
  </si>
  <si>
    <t>ESTEVE FAUBEL, JOSE MARIA</t>
  </si>
  <si>
    <t>33496411Q</t>
  </si>
  <si>
    <t>25126587F</t>
  </si>
  <si>
    <t>FERRER LLORET, JAUME</t>
  </si>
  <si>
    <t>48561783C</t>
  </si>
  <si>
    <t>LAVALE ORTIZ, RUTH MARIA</t>
  </si>
  <si>
    <t>22455996S</t>
  </si>
  <si>
    <t>LOPEZ SANCHEZ, MARIA DEL CARMEN</t>
  </si>
  <si>
    <t>21406895J</t>
  </si>
  <si>
    <t>MACIA SOLER, MARIA LORETO</t>
  </si>
  <si>
    <t>22133724L</t>
  </si>
  <si>
    <t>PAYA LOPEZ, PEDRO</t>
  </si>
  <si>
    <t>33486240B</t>
  </si>
  <si>
    <t>REQUENA CASANOVA, MILLAN</t>
  </si>
  <si>
    <t>21686601Q</t>
  </si>
  <si>
    <t>RICO GOMEZ, MARIA LUISA</t>
  </si>
  <si>
    <t>45568488Z</t>
  </si>
  <si>
    <t>RODRIGUEZ ROSIQUE, SUSANA</t>
  </si>
  <si>
    <t>25126858W</t>
  </si>
  <si>
    <t>ROIG VILA, ROSABEL</t>
  </si>
  <si>
    <t>21450008R</t>
  </si>
  <si>
    <t>ROSA MORENO, JUAN</t>
  </si>
  <si>
    <t>21489543E</t>
  </si>
  <si>
    <t>SEVILLANO CALERO, FRANCISCO</t>
  </si>
  <si>
    <t>21474106H</t>
  </si>
  <si>
    <t>TEROL GOMEZ, RAMON</t>
  </si>
  <si>
    <t>21463378P</t>
  </si>
  <si>
    <t>TUR VIÑES, VICTORIA</t>
  </si>
  <si>
    <t>21417350A</t>
  </si>
  <si>
    <t>VIDAL OLIVARES, FRANCISCO JAVIER</t>
  </si>
  <si>
    <t>15852799A</t>
  </si>
  <si>
    <t>ZABALZA ARBIZU, JUAN ANGEL</t>
  </si>
  <si>
    <t>21643754H</t>
  </si>
  <si>
    <t>TORRO GIL, LLUIS</t>
  </si>
  <si>
    <t>76941801Q</t>
  </si>
  <si>
    <t>IGLESIAS MARTINEZ, MARCOS JESUS</t>
  </si>
  <si>
    <t>48379979P</t>
  </si>
  <si>
    <t>LOZANO CABEZAS, INES</t>
  </si>
  <si>
    <t>42.10.2E.00.01</t>
  </si>
  <si>
    <t xml:space="preserve">Convenio específico de colaboración académica y científica internacional para la formación doctoral firmado el 16/10/18 entre la UA y el Tecnológico de Antioquia-IU </t>
  </si>
  <si>
    <t>42.10.6C.00.02</t>
  </si>
  <si>
    <t>ASISTENCIA TECNICA CON FUNCIONES DE ASESORAMIENTO QUE TIENE POR OBJETO INDAGAR EN LA ACTUAL ESTRUCTURA DE LA PLANTILLA DEL AYUNTAMIENTO PARA OBTENER UN ESTADO DE LA SITUACION ACERCA DE LA DETERMINACION Y ORDENACION APROPIADA DE LOS EMPLEADOS PUBLICOS AL SERVICIO DEL AYUNTAMIENTO DE LA NUCIA</t>
  </si>
  <si>
    <t>42.10.6M.00.01</t>
  </si>
  <si>
    <t xml:space="preserve">MECENAZGO DE LAS ACTIVIDADES DE ORGANIZACIÓN Y REALIZACIÓN DEL IV SEMINARIO DE EMPRENDIMIENTO E INNOVACIÓN TERRITORIAL COMO ACTIVIDAD DE DESARROLLO LOCAL </t>
  </si>
  <si>
    <t xml:space="preserve">SUBVENCIONES PARA GRUPOS DE INVESTIGACIÓN CONSOLIDABLES AICO/2017-3ª ANUALIDAD </t>
  </si>
  <si>
    <t>Fernández Álvaro, Alfonso </t>
  </si>
  <si>
    <t>EL TRATAMIENTO DE LA RELACIÓN BILATERAL ENTRE ESPAÑA Y ESTADOS UNIDOS POR EL PERIODISMO ESPAÑOL DURANTE EL PERIODO 1975-2005 (LOS CASOS DE LOS PERIÓDICOS, ABD, LA VANGUARDIA Y EL PAÍS) </t>
  </si>
  <si>
    <t>02/03/2020 </t>
  </si>
  <si>
    <t>Aliaga Aguza, Laura María </t>
  </si>
  <si>
    <t>ANÁLISIS LINGÜÍSTICO DEL HUMOR EN EL MEDIO AUDIOVISUAL: LAS ESTRATEGIAS HUMORÍSTICAS DE LA COMEDIA DE SITUACIÓN </t>
  </si>
  <si>
    <t>29/01/2020 </t>
  </si>
  <si>
    <t>44752168X </t>
  </si>
  <si>
    <t>Pin Figueroa, Walter Jesus </t>
  </si>
  <si>
    <t>Turismo rural en áreas cafetaleras en la zona sur de Manabí, Ecuador </t>
  </si>
  <si>
    <t>28/02/2020 </t>
  </si>
  <si>
    <t>21457927P</t>
  </si>
  <si>
    <t>MORENO FONSERET, ROQUE</t>
  </si>
  <si>
    <t>21495354Z</t>
  </si>
  <si>
    <t>RAMOS SOLER, IRENE</t>
  </si>
  <si>
    <t>B139</t>
  </si>
  <si>
    <t>09371918Q</t>
  </si>
  <si>
    <t>FERRANDEZ PASTOR, FRANCISCO JAVIER</t>
  </si>
  <si>
    <t>52773764B</t>
  </si>
  <si>
    <t>GOMEZ TRIGUEROS, ISABEL MARIA</t>
  </si>
  <si>
    <t>21456802X</t>
  </si>
  <si>
    <t>GINER PEREZ, JOSE MIGUEL</t>
  </si>
  <si>
    <t>COD DEP</t>
  </si>
  <si>
    <t>21455665T</t>
  </si>
  <si>
    <t>RIVERA SANCHEZ, JUAN RAMON</t>
  </si>
  <si>
    <t>B140</t>
  </si>
  <si>
    <t>21491812Z</t>
  </si>
  <si>
    <t>MARTINEZ SALA, ALBA MARIA</t>
  </si>
  <si>
    <t>21985529J</t>
  </si>
  <si>
    <t>PALAZON FERRANDO, SALVADOR</t>
  </si>
  <si>
    <t>vivos</t>
  </si>
  <si>
    <t>22002559T</t>
  </si>
  <si>
    <t>PEREZ SANCHEZ, VICENTE RAUL</t>
  </si>
  <si>
    <t>B184</t>
  </si>
  <si>
    <t>22126836P</t>
  </si>
  <si>
    <t>CABEZUELO PLIEGO, JOSE VICENTE</t>
  </si>
  <si>
    <t>33485422K</t>
  </si>
  <si>
    <t>PEREZ SANCHEZ, JUAN CARLOS</t>
  </si>
  <si>
    <t>FERNANDEZ JAEN, JORGE</t>
  </si>
  <si>
    <t>48375773B</t>
  </si>
  <si>
    <t>MORA GARCIA, RAUL TOMAS</t>
  </si>
  <si>
    <t>48525115Z</t>
  </si>
  <si>
    <t>ROMERO TARIN, ADELA</t>
  </si>
  <si>
    <t>74192819V</t>
  </si>
  <si>
    <t>LILLO BUADES, ANTONIO</t>
  </si>
  <si>
    <t>10.21</t>
  </si>
  <si>
    <t>22529387J</t>
  </si>
  <si>
    <t>TALTAVULL DE LA PAZ, PALOMA</t>
  </si>
  <si>
    <t>46336900L</t>
  </si>
  <si>
    <t>MARTI CIRIQUIAN, PABLO</t>
  </si>
  <si>
    <t>10.05</t>
  </si>
  <si>
    <t>U020 </t>
  </si>
  <si>
    <t>ADM. I.U. DEL AGUA Y DE LAS CIENCIAS AMBIENTALES </t>
  </si>
  <si>
    <t>DOCTORADO EN AGUA Y DESARROLLO SOSTENIBLE </t>
  </si>
  <si>
    <t>Céspedes López, María Francisca </t>
  </si>
  <si>
    <t>CALIFICACIÓN ENERGÉTICA Y PRECIO DE LA VIVIENDA. ANÁLISIS DE LOS PRECIOS DE VENTA EN LA PROVINCIA DE ALICANTE (ESPAÑA) </t>
  </si>
  <si>
    <t>10/07/2020 </t>
  </si>
  <si>
    <t>48375773B </t>
  </si>
  <si>
    <t>Castro Carbonell, Ana Isabel </t>
  </si>
  <si>
    <t>MUERTE, ESPIRITUALIDAD Y MATERIALIDAD EN EL SUR DEL REINO DE VALENCIA (SIGLOS XIV-XVI) </t>
  </si>
  <si>
    <t>31/01/2020 </t>
  </si>
  <si>
    <t>22126836P </t>
  </si>
  <si>
    <t>Rojas Viteri, Juan Carlos </t>
  </si>
  <si>
    <t>MODELO FLIPPED LEARNING APLICADO A LA ASIGNATURA DE SISTEMAS OPERATIVOS II DE LA CARRERA DE INFORMÁTICA DE LA UCE: ESTUDIO DE CASO PARA MEDIR EL NIVEL DE MOTIVACIÓN Y SATISFACCIÓN TECNOLÓGICA EN EL USO DE LA PLATAFORMA MOODLE </t>
  </si>
  <si>
    <t>04/11/2020 </t>
  </si>
  <si>
    <t>Blanco Reyes, Lidia </t>
  </si>
  <si>
    <t>EL DESARROLLO PROFESIONAL DOCENTE A TRAVÉS DEL PROGRAMA ERASMUS+: UN ESTUDIO DE CASOS </t>
  </si>
  <si>
    <t>15/12/2020 </t>
  </si>
  <si>
    <t>76941801Q </t>
  </si>
  <si>
    <t>48379979P </t>
  </si>
  <si>
    <t>Blanes Mora, Ruben </t>
  </si>
  <si>
    <t>EL GRUPO FOTOGRÁFICO AFAL. LA HISTORIA VISUAL DE ESPAÑA (1956-1963) </t>
  </si>
  <si>
    <t>05/10/2020 </t>
  </si>
  <si>
    <t>Grau Barrera, Beatriz </t>
  </si>
  <si>
    <t>"Modelo de gestión para la innovación e integración digital progresiva en un centro educativo basado en la mejora continua y el liderazgo compartido" </t>
  </si>
  <si>
    <t>Ríos Pérez, Manuel </t>
  </si>
  <si>
    <t>Concesiones de transporte público regular de viajeros por carretera y su dependencia territorial. Evolución, contexto socioeconómico y modelo desarrollado en la provincia de Alicante </t>
  </si>
  <si>
    <t>05/11/2020 </t>
  </si>
  <si>
    <t>Latorre Aizaga, Franklin Lenin </t>
  </si>
  <si>
    <t>IMPACTO DE LAS POLÍTICAS ECONOMICAS-LABORALES EN LAS CONDICIONES DE TRABAJO EN ECUADOR (2007-2017) </t>
  </si>
  <si>
    <t>23/10/2020 </t>
  </si>
  <si>
    <t>Martínez Cánovas, Gonzalo José </t>
  </si>
  <si>
    <t>LUIS JIMÉNEZ DE ASÚA. EL PENALISTA DE LA RETAGUARDIA IMPOSIBLE </t>
  </si>
  <si>
    <t>16/10/2020 </t>
  </si>
  <si>
    <t>22133724L </t>
  </si>
  <si>
    <t>Ventura Romero, José Modesto </t>
  </si>
  <si>
    <t>Factores asociados a las causas de deserción estudiantil en instituciones de educación superior de El Salvador </t>
  </si>
  <si>
    <t>31/05/2021 </t>
  </si>
  <si>
    <t>Alas Trujillo, Norman Noel </t>
  </si>
  <si>
    <t>Fotoperiodismo y violencia en la prensa online de El Salvador. Estudio transversal desde una perspectiva profesional y universitaria </t>
  </si>
  <si>
    <t>25/05/2021 </t>
  </si>
  <si>
    <t>22455996S </t>
  </si>
  <si>
    <t>Aparicio Pacheco, Rafael Orlando </t>
  </si>
  <si>
    <t>Las Radios Comunitarias y su influencia en el proceso de desarrollo local en las comunidades salvadoreñas </t>
  </si>
  <si>
    <t>08/07/2021 </t>
  </si>
  <si>
    <t>Diseño y evaluación de un programa para el desarrollo de la competencia investigadora en la formación inicial de docentes: percepción de alumnado y profesorado </t>
  </si>
  <si>
    <t>30/09/2021 </t>
  </si>
  <si>
    <t>Cazarez Valdiviezo, José Luis </t>
  </si>
  <si>
    <t>Competencias del profesorado universitario en relación al uso de Tecnologías de la Información y Comunicación. Un estudio de caso en la Universidad Central de Ecuador </t>
  </si>
  <si>
    <t>18/02/2021 </t>
  </si>
  <si>
    <t>Sánchez Almeida, Tarquino Fabián </t>
  </si>
  <si>
    <t>Validación de la escala de valoración de la docencia de la Escuela Politécnica Nacional del Ecuador. Un análisis de su relación con el rendimiento académico </t>
  </si>
  <si>
    <t>15/07/2021 </t>
  </si>
  <si>
    <t>Silva Martínez, Gardenia </t>
  </si>
  <si>
    <t>Análisis de las dificultades de los estudiantes para desarrollar su carrera en al Universidad UTE Santo Domingo (Ecuador) </t>
  </si>
  <si>
    <t>19/02/2021 </t>
  </si>
  <si>
    <t>Sierra Pazmiño, Diego Xavier </t>
  </si>
  <si>
    <t>Evaluación de las competencias digitales en la formación inicial docente de los y las estudiantes de la Facultad de Filosofía y Letras y Ciencias de la Educación de la Universidad Central de Ecuador </t>
  </si>
  <si>
    <t>25/02/2021 </t>
  </si>
  <si>
    <t>Fabra Brell, Eugenio </t>
  </si>
  <si>
    <t>Flipped Learning y Aprendizaje Musical: Un estudio colectivo de casos con estudiantes de Educación Secundaria Obligatoria en un entorno rural </t>
  </si>
  <si>
    <t>Alfaro Alfaro, Domingo Orlando </t>
  </si>
  <si>
    <t>TELEVISIÓN SALVADOREÑA DIRIGIDA A JÓVENES: EDUCACIÓN VERSUS ENTRETENIMIENTO </t>
  </si>
  <si>
    <t>15/01/2021 </t>
  </si>
  <si>
    <t>Morillo Revelo, Edgardo Javier </t>
  </si>
  <si>
    <t>Reducción de la pobreza en Ecuador (2007-2017). El caso del Cantón Pedro Moncayo </t>
  </si>
  <si>
    <t>27/04/2021 </t>
  </si>
  <si>
    <t>Salinas Salinas, Carlos </t>
  </si>
  <si>
    <t>Pedro Zaragoza Orts, alcalde franquista i desenvolupista de Benidorm, 1951-1967" </t>
  </si>
  <si>
    <t>15/03/2021 </t>
  </si>
  <si>
    <t>DOCTORADO EN TRANSFERENCIAS INTERCULTURALES E HISTÓRICAS EN LA EUROPA MEDIE </t>
  </si>
  <si>
    <t>Soler Molina, Joan Abel </t>
  </si>
  <si>
    <t>Intervenció senyorial i transformacions locals a la baronia de Rebollet-Comtat d'Oliva (segles XIII-XVI). Els Carròs i el Centelles </t>
  </si>
  <si>
    <t>04/03/2021 </t>
  </si>
  <si>
    <t>Canales de Ramírez, Lissette Cristalina </t>
  </si>
  <si>
    <t>Evolución y situación actual de las empresas familiares en El Salvador </t>
  </si>
  <si>
    <t>02/06/2021 </t>
  </si>
  <si>
    <t>21417350A </t>
  </si>
  <si>
    <t>B138 </t>
  </si>
  <si>
    <t>ANALISIS ECONOMICO APLICADO </t>
  </si>
  <si>
    <t>Jiménez Álvarez, Luis Gonzalo </t>
  </si>
  <si>
    <t>Diseño y Especificación del ocio digital con fines de aprendizaje ODFA Subproblema: Ocio digital formativo en competencias ODFC para la UCE </t>
  </si>
  <si>
    <t>21686601Q </t>
  </si>
  <si>
    <t>Bravo Fuentes, Paloma </t>
  </si>
  <si>
    <t>Propuesta metodológica para la enseñanza de la flauta dulce en educación primaria mediante el soporte de complementos tecnológicos para el aprendizaje autónomo. </t>
  </si>
  <si>
    <t>29/07/2021 </t>
  </si>
  <si>
    <t>09371918Q </t>
  </si>
  <si>
    <t>U075 </t>
  </si>
  <si>
    <t>ADM. I.U.INVESTIGACIÓN DE ESTUDIOS SOCIALES DE AMÉRICA LATINA </t>
  </si>
  <si>
    <t>DOCTORADO EN HUMANIDADES Y ESTUDIOS SOCIALES DE AMÉRICA LATINA </t>
  </si>
  <si>
    <t>Hoyos Londoño, María Carmenza </t>
  </si>
  <si>
    <t>Vida y obra del poeta colombiano Raúl Gómez Jattin: su indiscutible propensión a la poesía </t>
  </si>
  <si>
    <t>02/07/2021 </t>
  </si>
  <si>
    <t>Rosa de Rivera, Verónica Idalia </t>
  </si>
  <si>
    <t>21/07/2021 </t>
  </si>
  <si>
    <t>Aguirre Ayala, Carlos Antonio </t>
  </si>
  <si>
    <t>"Diseño causal de sistema piramidal para aprendizaje colaborativo sobre la ingeniería web". </t>
  </si>
  <si>
    <t>22/07/2021 </t>
  </si>
  <si>
    <t>42.10.6C.00.03</t>
  </si>
  <si>
    <t>ELABORACIÓN DE INFORME JURÍDICO SOBRE DIRECCIÓN ESTRATÉGICA ENEL MARCO DE LA GESTIÓN DEPORTIVA EN EL MUNICIPIO DE ALICANTE AYTOALICANTE4-20TPA</t>
  </si>
  <si>
    <t> Numero
de tesis</t>
  </si>
  <si>
    <t>21436046T </t>
  </si>
  <si>
    <t>DOCTORADO EN ESPAÑOL E INGLÉS COMO SEGUNDAS LEN. (L2) / LEN. EXTRANJ. (LE) </t>
  </si>
  <si>
    <t>Pomata García, Anna </t>
  </si>
  <si>
    <t>"LA PRONUNCIACIÓN DE LOS GRUPOS CONSONÁNTICOS DEL INGLÉS: ERRORES FONÉTICO-FONOLÓGICOS EN EL HABLA DE LOS ESTUDIANTES ESPAÑOLES" </t>
  </si>
  <si>
    <t>24/02/2017 </t>
  </si>
  <si>
    <t>74192819V </t>
  </si>
  <si>
    <t>B116 </t>
  </si>
  <si>
    <t>FILOLOGÍA INGLESA </t>
  </si>
  <si>
    <t>Ruiz García, MarÍa Isabel </t>
  </si>
  <si>
    <t>WORD STRESS PATTERNS IN THE ENGLISH OF SPANISH SPEAKERS: A PERCEPTUAL ANALYSIS </t>
  </si>
  <si>
    <t>DOCTORADO EN ECONOMÍA </t>
  </si>
  <si>
    <t>Quishpe Sinailin, Pablo David </t>
  </si>
  <si>
    <t>POBREZA Y VIVIENDA EN ECUADOR: TRES ANÁLISIS DESDE LA ECONOMÍA </t>
  </si>
  <si>
    <t>30/09/2019 </t>
  </si>
  <si>
    <t>21653610F </t>
  </si>
  <si>
    <t>22529387J </t>
  </si>
  <si>
    <t>46336900L </t>
  </si>
  <si>
    <t>López Baeza, Jesús </t>
  </si>
  <si>
    <t>Unveiling urban dynamics: An exploration of tools and methods using crowd-sourced data for the study of urban space </t>
  </si>
  <si>
    <t>17/02/2020 </t>
  </si>
  <si>
    <t>Su , Zhenyu </t>
  </si>
  <si>
    <t>REAL ESTATE INVESTMENTS: PRINCIPLES AND EVIDENCE -- THE CASES OF SPAIN AND CHINA </t>
  </si>
  <si>
    <t>30/09/2020 </t>
  </si>
  <si>
    <t>Urrea Solano, María Encarnación </t>
  </si>
  <si>
    <t>El liderazgo de las académicas en la Educación Superior: un estudio de caso </t>
  </si>
  <si>
    <t>22/02/2021 </t>
  </si>
  <si>
    <t>48769418B </t>
  </si>
  <si>
    <t>CONVENIO ESPECÍFICO COLABORACIÓN TDEA. Convenio específico de colaboración académica y científica internacional para la formación doctoral firmado el 16/10/2018 entre la UA y el TdeA. Centro de gasto: Instituto Universitario de Estudios Sociales de Ámerica Latina.</t>
  </si>
  <si>
    <t>REINTEGRO CUOTA PATRONAL CORRESPONDIENTE A DICIEMBRE DE 2020.</t>
  </si>
  <si>
    <t>Unidad</t>
  </si>
  <si>
    <t>Cód. org. aplic.</t>
  </si>
  <si>
    <t>Descripción justificante</t>
  </si>
  <si>
    <t>42.10</t>
  </si>
  <si>
    <t>42.10.6C.00.04</t>
  </si>
  <si>
    <t>ELABORACIÓN DE INFORMES SOBRE LA SITUACIÓN DEL MERCADO INMOBILIARIO (2º PAGO)</t>
  </si>
  <si>
    <t>ELABORACIÓN DE INFORMES SOBRE LA SITUACIÓN DEL MERCADO INMOBILIARIO (1º PAGO)</t>
  </si>
  <si>
    <t>42.10.6C.00.05</t>
  </si>
  <si>
    <t>Elaboración de informe jurídico sobre la consideración de la empresa CODERE como empresa estratégica a los efectos de la aplicación del Real Decreto-ley 25/2020, de 3 de julio, de medidas urgentes para apoyar la reactivación económica y el empleo</t>
  </si>
  <si>
    <t>42.10.6G.00.02</t>
  </si>
  <si>
    <t>REINTEGRO CUOTA PATRONAL CORRESPONDIENTE A OCTUBRE DE 2021.</t>
  </si>
  <si>
    <t>42.10.6Q.00.02</t>
  </si>
  <si>
    <t xml:space="preserve">REINTEGRO CUOTA PATRONAL CORRESPONDIENTE A DICIEMBRE DE 2021. </t>
  </si>
  <si>
    <t>PAGO 50% ANTICIPADO CONVENIO CÁTEDRA TRANSFORMACIÓN MODELO ECONÓMICO (HACIENDA Y MODELO ECONÓMICO     ), SEGÚN INFORMA SERVICIO DE LA GESTIÓN ECONÓMICA DE LA INVESTIGACIÓN</t>
  </si>
  <si>
    <t>Solís Calvo, Ana Magdalena </t>
  </si>
  <si>
    <t>Mujeres docentes, formación profesional y condición laboral. Análisis interseccional en la Universidad Pedagógica Nacional </t>
  </si>
  <si>
    <t>30/11/2021 </t>
  </si>
  <si>
    <t>39104667K </t>
  </si>
  <si>
    <t>S</t>
  </si>
  <si>
    <t>- </t>
  </si>
  <si>
    <t>Martínez Ortega, Juan Iván </t>
  </si>
  <si>
    <t>La construcción de las mujeres como sujetos políticos: militantes partidistas, integrantes de Asociaciones Civiles y activistas </t>
  </si>
  <si>
    <t>03/06/2022 </t>
  </si>
  <si>
    <t>Cosh Pale, Manuel </t>
  </si>
  <si>
    <t>Contrademocracia en los Altos de Chiapas, México. Crisis de representación y respuestas sociales emergentes </t>
  </si>
  <si>
    <t>23/05/2022 </t>
  </si>
  <si>
    <t>Brenes Maltez, Perla Mayela </t>
  </si>
  <si>
    <t>García Serrano, Irma </t>
  </si>
  <si>
    <t>FACTORES SOCIOECONÓMICOS Y CULTURALES QUE EXPLICAN EL DESARROLLO COMUNITARIO EN ECUADOR. Incidencia de la cooperación internacional en comunidades de la parroquia de Cangahua, Cantón Cayambe, Provincia de Pichincha </t>
  </si>
  <si>
    <t>29/09/2021 </t>
  </si>
  <si>
    <t>Crespo Amat, Carlos </t>
  </si>
  <si>
    <t>Entre Castilla, la Corona de Aragón y el Mediterráneo: la formación de un mercado transnacional en el reino de Valencia durante la Baja Edad Media (1370-1430) </t>
  </si>
  <si>
    <t>Cañizares Gómez, María José </t>
  </si>
  <si>
    <t>Iglesia, frontera y poder: el pleito del obispado de Orihuela entre la Corona de Castilla y la Corona de Aragón (siglos XIII y XVI) </t>
  </si>
  <si>
    <t>García del Castillo López, Fernando </t>
  </si>
  <si>
    <t>Estilos de vida, comportamiento digital, estado emocional y actividad física en situación de confinamiento por la COVID-19, en una muestra de estudiantes universitarios </t>
  </si>
  <si>
    <t>11/03/2022 </t>
  </si>
  <si>
    <t>21495354Z </t>
  </si>
  <si>
    <t>B119 </t>
  </si>
  <si>
    <t>FUNDAMENTOS DEL ANÁLISIS ECONÓMICO </t>
  </si>
  <si>
    <t>Torres García de las Bayonas, Sonia María </t>
  </si>
  <si>
    <t>El crédito en los procesos de crecimiento y desarrollo económico. La experiencia española en las situaciones de crisis financieras. El papel de las instituciones y de los reguladores del sistema financiero. ¿Ha tenido efectos la desaparición de las c </t>
  </si>
  <si>
    <t>14/07/2022 </t>
  </si>
  <si>
    <t>Pastor Pomares, Francisco </t>
  </si>
  <si>
    <t>Acuerdos comerciales regionales (Estudio de caso sobre sus impactos y efectos bajo un modelo gravitacional) </t>
  </si>
  <si>
    <t>18/07/2022 </t>
  </si>
  <si>
    <t>Olmedo Rodriguez, Carmen Marcela </t>
  </si>
  <si>
    <t>Evaluación de la eficiencia docente. Relaciones entre la nota ser bachiller, la evaluación de la docencia y el rendimiento académico de los estudiantes de la Universidad Central de Ecuador </t>
  </si>
  <si>
    <t>02/03/2022 </t>
  </si>
  <si>
    <t>Martínez Rivera, Julio César </t>
  </si>
  <si>
    <t>LA FIESTA DE MOROS Y CRISTIANOS O "LOS HISTORIANTES" DE EL SALVADOR. UN CASO DE SINCRETISMO CULTURAL </t>
  </si>
  <si>
    <t>12/01/2022 </t>
  </si>
  <si>
    <t>López Davó, Joaquín Antonio </t>
  </si>
  <si>
    <t>La evolución del concepto de confort: el confort ambiental en edificios docentes y administrativos </t>
  </si>
  <si>
    <t>25/03/2022 </t>
  </si>
  <si>
    <t>22002559T </t>
  </si>
  <si>
    <t>Ayón Villafuerte, Libia Soledad </t>
  </si>
  <si>
    <t>El ecoturismo en el perfil costero de Manabí (Ecuador). Estudio de caso Puerto López </t>
  </si>
  <si>
    <t>09/06/2022 </t>
  </si>
  <si>
    <t>Silva Castillo, Vicente Xavier </t>
  </si>
  <si>
    <t>Los programas de posgrado en especialidad médica de Ecuador en el contexto andino y su relación con la economía El caso de la Universidad Central del Ecuador, 2000-2016 </t>
  </si>
  <si>
    <t>27/06/2022 </t>
  </si>
  <si>
    <t>Lázaro Pérez, Miguel Ángel </t>
  </si>
  <si>
    <t>Imperialismo y Teoría marxista de la dependencia </t>
  </si>
  <si>
    <t>22/03/2022 </t>
  </si>
  <si>
    <t>10078923R </t>
  </si>
  <si>
    <t>Igual Anton, Diego </t>
  </si>
  <si>
    <t>Modelo de gestión y comunicación de la RSC en las cooperativas eléctricas </t>
  </si>
  <si>
    <t>04/02/2022 </t>
  </si>
  <si>
    <t>33480107L </t>
  </si>
  <si>
    <t>Arrebola Moreno, Clara </t>
  </si>
  <si>
    <t>Tecnologías aplicadas al proceso de enseñanza-aprendizaje del repertorio del Canto Lírico </t>
  </si>
  <si>
    <t>19/11/2021 </t>
  </si>
  <si>
    <t>Demarchi Sánchez, Geydi Dahiana </t>
  </si>
  <si>
    <t>Gestión educativa y curricular en la educación superior. reflexiones desde las pruebas saber pro en Medellín ¿Colombia </t>
  </si>
  <si>
    <t>12/09/2022 </t>
  </si>
  <si>
    <t>21419805C </t>
  </si>
  <si>
    <t>Diseño causal de sistema piramidal para aprendizaje colaborativo de los lenguajes de programación </t>
  </si>
  <si>
    <t>Gavilán Martín, Diego </t>
  </si>
  <si>
    <t>La integración de la igualdad de género en la formación de los futuros docentes de Educación Primaria: los espacios de género </t>
  </si>
  <si>
    <t>18/10/2021 </t>
  </si>
  <si>
    <t>Gariano , Elvira </t>
  </si>
  <si>
    <t>La transposición legislativa europea en materia de enseñanza de idiomas en Italia y su repercusión en el español como lengua extanjera </t>
  </si>
  <si>
    <t>11/05/2022 </t>
  </si>
  <si>
    <t>05150725J </t>
  </si>
  <si>
    <t>21445733G</t>
  </si>
  <si>
    <t>MENENDEZ ALZAMORA, MANUEL</t>
  </si>
  <si>
    <t>21480784A</t>
  </si>
  <si>
    <t>JIMENEZ DELGADO, ANTONIO</t>
  </si>
  <si>
    <t>28959284F</t>
  </si>
  <si>
    <t>URBANEJA CILLAN, JORGE</t>
  </si>
  <si>
    <t>33480107L</t>
  </si>
  <si>
    <t>CAMPILLO ALHAMA, CONCEPCION</t>
  </si>
  <si>
    <t>44757440S</t>
  </si>
  <si>
    <t>PONSODA LOPEZ DE ATALAYA, SANTIAGO</t>
  </si>
  <si>
    <t>44765640G</t>
  </si>
  <si>
    <t>SOLER MILLA, JUAN LEONARDO</t>
  </si>
  <si>
    <t>21511105X</t>
  </si>
  <si>
    <t>DIEZ ROS, ROCIO</t>
  </si>
  <si>
    <t>44769550G</t>
  </si>
  <si>
    <t>ORTUÑO MARTINEZ, BARBARA</t>
  </si>
  <si>
    <t>49625619Z</t>
  </si>
  <si>
    <t>SANCHEZ FAJARDO, JOSE ANTONIO</t>
  </si>
  <si>
    <t>Total ingresos investigación 2019-2020-2021</t>
  </si>
  <si>
    <t>Total ingresos formación 2019-2020-2021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</si>
</sst>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
      <sz val="8"/>
      <color rgb="FF000000"/>
      <name val="Arial"/>
      <family val="2"/>
    </font>
    <font>
      <b/>
      <sz val="11"/>
      <color theme="0"/>
      <name val="Calibri"/>
      <family val="2"/>
      <scheme val="minor"/>
    </font>
    <font>
      <b/>
      <sz val="11"/>
      <color theme="1"/>
      <name val="Calibri"/>
      <family val="2"/>
      <scheme val="minor"/>
    </font>
    <font>
      <sz val="11"/>
      <color rgb="FF000000"/>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5" tint="0.79998168889431442"/>
        <bgColor indexed="64"/>
      </patternFill>
    </fill>
    <fill>
      <patternFill patternType="solid">
        <fgColor theme="5" tint="0.79998168889431442"/>
        <bgColor rgb="FF000000"/>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ck">
        <color theme="0"/>
      </top>
      <bottom/>
      <diagonal/>
    </border>
    <border>
      <left style="thin">
        <color theme="0"/>
      </left>
      <right style="thin">
        <color theme="0"/>
      </right>
      <top style="thick">
        <color theme="0"/>
      </top>
      <bottom/>
      <diagonal/>
    </border>
    <border>
      <left style="thin">
        <color theme="0"/>
      </left>
      <right/>
      <top style="thick">
        <color theme="0"/>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right style="thin">
        <color theme="4" tint="0.39997558519241921"/>
      </right>
      <top style="double">
        <color theme="4"/>
      </top>
      <bottom style="thin">
        <color theme="4" tint="0.39997558519241921"/>
      </bottom>
      <diagonal/>
    </border>
    <border>
      <left/>
      <right/>
      <top style="thin">
        <color indexed="64"/>
      </top>
      <bottom style="thin">
        <color indexed="64"/>
      </bottom>
      <diagonal/>
    </border>
    <border>
      <left style="thin">
        <color indexed="64"/>
      </left>
      <right/>
      <top/>
      <bottom/>
      <diagonal/>
    </border>
    <border>
      <left style="thin">
        <color theme="1"/>
      </left>
      <right style="thin">
        <color theme="1"/>
      </right>
      <top style="thin">
        <color auto="1"/>
      </top>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107">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Fill="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12" fillId="6" borderId="1" xfId="0" applyFont="1" applyFill="1" applyBorder="1" applyAlignment="1">
      <alignment horizontal="lef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0" fontId="12" fillId="6" borderId="6" xfId="0" applyFont="1" applyFill="1" applyBorder="1" applyAlignment="1">
      <alignment horizontal="left" vertical="center"/>
    </xf>
    <xf numFmtId="0" fontId="11" fillId="0" borderId="7" xfId="0" applyFont="1" applyBorder="1" applyAlignment="1">
      <alignment horizontal="left"/>
    </xf>
    <xf numFmtId="0" fontId="11" fillId="0" borderId="7" xfId="0" applyFont="1" applyBorder="1"/>
    <xf numFmtId="0" fontId="0" fillId="0" borderId="0" xfId="0" applyAlignment="1">
      <alignment horizontal="left" indent="1"/>
    </xf>
    <xf numFmtId="0" fontId="11" fillId="7" borderId="8" xfId="0" applyFont="1" applyFill="1" applyBorder="1" applyAlignment="1">
      <alignment horizontal="left"/>
    </xf>
    <xf numFmtId="0" fontId="11" fillId="7" borderId="8" xfId="0" applyFont="1" applyFill="1" applyBorder="1"/>
    <xf numFmtId="0" fontId="5" fillId="3" borderId="1" xfId="1" applyFont="1" applyFill="1" applyBorder="1" applyAlignment="1">
      <alignment horizontal="center" vertical="top" wrapText="1"/>
    </xf>
    <xf numFmtId="0" fontId="5" fillId="3" borderId="1" xfId="2" applyFont="1" applyFill="1" applyBorder="1" applyAlignment="1">
      <alignment horizontal="center"/>
    </xf>
    <xf numFmtId="0" fontId="11" fillId="0" borderId="7" xfId="0" applyNumberFormat="1" applyFont="1" applyBorder="1"/>
    <xf numFmtId="0" fontId="0" fillId="0" borderId="0" xfId="0" applyNumberFormat="1"/>
    <xf numFmtId="0" fontId="11" fillId="7" borderId="8" xfId="0" applyNumberFormat="1" applyFont="1" applyFill="1" applyBorder="1"/>
    <xf numFmtId="0" fontId="13" fillId="8" borderId="11" xfId="0" applyNumberFormat="1" applyFont="1" applyFill="1" applyBorder="1"/>
    <xf numFmtId="0" fontId="13" fillId="8" borderId="12" xfId="0" applyNumberFormat="1" applyFont="1" applyFill="1" applyBorder="1"/>
    <xf numFmtId="0" fontId="13" fillId="8" borderId="13" xfId="0" applyFont="1" applyFill="1" applyBorder="1" applyAlignment="1">
      <alignment horizontal="right"/>
    </xf>
    <xf numFmtId="0" fontId="0" fillId="9" borderId="14" xfId="0" applyNumberFormat="1" applyFont="1" applyFill="1" applyBorder="1"/>
    <xf numFmtId="0" fontId="0" fillId="9" borderId="15" xfId="0" applyFont="1" applyFill="1" applyBorder="1"/>
    <xf numFmtId="4" fontId="0" fillId="9" borderId="16" xfId="0" applyNumberFormat="1" applyFont="1" applyFill="1" applyBorder="1"/>
    <xf numFmtId="0" fontId="0" fillId="7" borderId="14" xfId="0" applyNumberFormat="1" applyFont="1" applyFill="1" applyBorder="1"/>
    <xf numFmtId="0" fontId="0" fillId="7" borderId="15" xfId="0" applyFont="1" applyFill="1" applyBorder="1"/>
    <xf numFmtId="4" fontId="0" fillId="7" borderId="16" xfId="0" applyNumberFormat="1" applyFont="1" applyFill="1" applyBorder="1"/>
    <xf numFmtId="0" fontId="13" fillId="8" borderId="17" xfId="0" applyFont="1" applyFill="1" applyBorder="1"/>
    <xf numFmtId="0" fontId="13" fillId="8" borderId="18" xfId="0" applyFont="1" applyFill="1" applyBorder="1"/>
    <xf numFmtId="4" fontId="13" fillId="8" borderId="19" xfId="0" applyNumberFormat="1" applyFont="1" applyFill="1" applyBorder="1"/>
    <xf numFmtId="0" fontId="13" fillId="8" borderId="20" xfId="0" applyNumberFormat="1" applyFont="1" applyFill="1" applyBorder="1"/>
    <xf numFmtId="0" fontId="13" fillId="8" borderId="21" xfId="0" applyNumberFormat="1" applyFont="1" applyFill="1" applyBorder="1"/>
    <xf numFmtId="0" fontId="13" fillId="8" borderId="22" xfId="0" applyNumberFormat="1" applyFont="1" applyFill="1" applyBorder="1"/>
    <xf numFmtId="0" fontId="0" fillId="7" borderId="20" xfId="0" applyNumberFormat="1" applyFont="1" applyFill="1" applyBorder="1"/>
    <xf numFmtId="0" fontId="0" fillId="7" borderId="21" xfId="0" applyFont="1" applyFill="1" applyBorder="1"/>
    <xf numFmtId="4" fontId="0" fillId="7" borderId="22" xfId="0" applyNumberFormat="1" applyFont="1" applyFill="1" applyBorder="1"/>
    <xf numFmtId="0" fontId="14" fillId="0" borderId="23" xfId="0" applyFont="1" applyBorder="1"/>
    <xf numFmtId="0" fontId="14" fillId="0" borderId="24" xfId="0" applyFont="1" applyBorder="1"/>
    <xf numFmtId="4" fontId="14" fillId="0" borderId="25" xfId="0" applyNumberFormat="1" applyFont="1" applyBorder="1"/>
    <xf numFmtId="0" fontId="3" fillId="4" borderId="1" xfId="1" applyFill="1" applyBorder="1"/>
    <xf numFmtId="0" fontId="3" fillId="0" borderId="1" xfId="1" applyBorder="1"/>
    <xf numFmtId="0" fontId="3" fillId="4" borderId="1" xfId="1" applyFill="1" applyBorder="1" applyAlignment="1">
      <alignment horizontal="right"/>
    </xf>
    <xf numFmtId="0" fontId="3" fillId="4" borderId="0" xfId="1" applyFill="1"/>
    <xf numFmtId="164" fontId="3" fillId="4" borderId="1" xfId="1" applyNumberFormat="1" applyFill="1" applyBorder="1"/>
    <xf numFmtId="1" fontId="3" fillId="4" borderId="1" xfId="1" applyNumberFormat="1" applyFill="1" applyBorder="1"/>
    <xf numFmtId="0" fontId="3" fillId="4" borderId="9" xfId="1" applyFill="1" applyBorder="1"/>
    <xf numFmtId="164" fontId="3" fillId="4" borderId="9" xfId="1" applyNumberFormat="1" applyFill="1" applyBorder="1"/>
    <xf numFmtId="0" fontId="3" fillId="4" borderId="9" xfId="1" applyFill="1" applyBorder="1" applyAlignment="1">
      <alignment horizontal="right"/>
    </xf>
    <xf numFmtId="1" fontId="3" fillId="4" borderId="9" xfId="1" applyNumberFormat="1" applyFill="1" applyBorder="1"/>
    <xf numFmtId="165" fontId="3" fillId="4" borderId="1" xfId="1" applyNumberFormat="1" applyFill="1" applyBorder="1"/>
    <xf numFmtId="0" fontId="3" fillId="4" borderId="2" xfId="1" applyFill="1" applyBorder="1"/>
    <xf numFmtId="165" fontId="3" fillId="4" borderId="2" xfId="1" applyNumberFormat="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3" fillId="0" borderId="0" xfId="1"/>
    <xf numFmtId="0" fontId="3" fillId="4" borderId="3" xfId="1" applyFill="1" applyBorder="1"/>
    <xf numFmtId="2" fontId="3" fillId="4" borderId="1" xfId="1" applyNumberFormat="1" applyFill="1" applyBorder="1"/>
    <xf numFmtId="0" fontId="3" fillId="10" borderId="1" xfId="1" applyFill="1" applyBorder="1"/>
    <xf numFmtId="164" fontId="3" fillId="10" borderId="1" xfId="1" applyNumberFormat="1" applyFill="1" applyBorder="1"/>
    <xf numFmtId="164" fontId="3" fillId="10" borderId="9" xfId="1" applyNumberFormat="1" applyFill="1" applyBorder="1"/>
    <xf numFmtId="164" fontId="3" fillId="10" borderId="2" xfId="1" applyNumberFormat="1" applyFill="1" applyBorder="1"/>
    <xf numFmtId="0" fontId="3" fillId="4" borderId="10" xfId="1" applyFill="1" applyBorder="1"/>
    <xf numFmtId="165" fontId="3" fillId="4" borderId="10" xfId="1" applyNumberFormat="1" applyFill="1" applyBorder="1"/>
    <xf numFmtId="0" fontId="3" fillId="4" borderId="10" xfId="1" applyFill="1" applyBorder="1" applyAlignment="1">
      <alignment horizontal="right"/>
    </xf>
    <xf numFmtId="1" fontId="3" fillId="4" borderId="10" xfId="1" applyNumberFormat="1" applyFill="1" applyBorder="1"/>
    <xf numFmtId="164" fontId="3" fillId="4" borderId="10" xfId="1" applyNumberFormat="1" applyFill="1" applyBorder="1"/>
    <xf numFmtId="164" fontId="3" fillId="10" borderId="10" xfId="1" applyNumberFormat="1" applyFill="1" applyBorder="1"/>
    <xf numFmtId="0" fontId="7" fillId="0" borderId="1" xfId="0" applyFont="1" applyBorder="1"/>
    <xf numFmtId="0" fontId="7" fillId="0" borderId="1" xfId="0" applyFont="1" applyBorder="1" applyAlignment="1">
      <alignment horizontal="left"/>
    </xf>
    <xf numFmtId="0" fontId="0" fillId="10" borderId="1" xfId="0" applyFill="1" applyBorder="1" applyAlignment="1">
      <alignment horizontal="center"/>
    </xf>
    <xf numFmtId="0" fontId="15" fillId="11" borderId="1" xfId="0" applyFont="1" applyFill="1" applyBorder="1" applyAlignment="1">
      <alignment horizontal="right"/>
    </xf>
    <xf numFmtId="4" fontId="0" fillId="10" borderId="1" xfId="0" applyNumberFormat="1" applyFill="1" applyBorder="1"/>
    <xf numFmtId="0" fontId="0" fillId="10" borderId="1" xfId="0" applyFill="1" applyBorder="1" applyAlignment="1">
      <alignment horizontal="right"/>
    </xf>
    <xf numFmtId="164" fontId="4" fillId="10" borderId="26" xfId="1" applyNumberFormat="1" applyFont="1" applyFill="1" applyBorder="1" applyAlignment="1">
      <alignment horizontal="center"/>
    </xf>
    <xf numFmtId="0" fontId="4" fillId="10" borderId="26" xfId="1" applyFont="1" applyFill="1" applyBorder="1" applyAlignment="1">
      <alignment horizontal="center"/>
    </xf>
    <xf numFmtId="164" fontId="11" fillId="10" borderId="26" xfId="5" applyNumberFormat="1" applyFont="1" applyFill="1" applyBorder="1" applyAlignment="1">
      <alignment horizontal="center"/>
    </xf>
    <xf numFmtId="0" fontId="3" fillId="4" borderId="27" xfId="1" applyFill="1" applyBorder="1"/>
    <xf numFmtId="165" fontId="3" fillId="4" borderId="3" xfId="1" applyNumberFormat="1" applyFill="1" applyBorder="1"/>
    <xf numFmtId="0" fontId="3" fillId="4" borderId="3" xfId="1" applyFill="1" applyBorder="1" applyAlignment="1">
      <alignment horizontal="right"/>
    </xf>
    <xf numFmtId="1" fontId="3" fillId="4" borderId="3" xfId="1" applyNumberFormat="1" applyFill="1" applyBorder="1"/>
    <xf numFmtId="164" fontId="3" fillId="4" borderId="3" xfId="1" applyNumberFormat="1" applyFill="1" applyBorder="1"/>
    <xf numFmtId="164" fontId="3" fillId="10" borderId="3" xfId="1" applyNumberFormat="1" applyFill="1" applyBorder="1"/>
    <xf numFmtId="0" fontId="3" fillId="0" borderId="28" xfId="1" applyBorder="1"/>
    <xf numFmtId="0" fontId="3" fillId="0" borderId="1" xfId="1" applyBorder="1" applyAlignment="1">
      <alignment horizontal="right"/>
    </xf>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105"/>
  <sheetViews>
    <sheetView showGridLines="0" tabSelected="1" zoomScale="120" zoomScaleNormal="120" workbookViewId="0">
      <selection activeCell="Q62" sqref="Q62"/>
    </sheetView>
  </sheetViews>
  <sheetFormatPr baseColWidth="10" defaultColWidth="10.33203125" defaultRowHeight="10.199999999999999" x14ac:dyDescent="0.2"/>
  <cols>
    <col min="1" max="1" width="5" style="12" customWidth="1"/>
    <col min="2" max="4" width="29.6640625" style="12" customWidth="1"/>
    <col min="5" max="5" width="40.6640625" style="12" customWidth="1"/>
    <col min="6" max="6" width="9.109375" style="12" customWidth="1"/>
    <col min="7" max="7" width="9.6640625" style="12" customWidth="1"/>
    <col min="8" max="8" width="14.44140625" style="12" customWidth="1"/>
    <col min="9" max="9" width="5.88671875" style="12" customWidth="1"/>
    <col min="10" max="10" width="25.6640625" style="12" customWidth="1"/>
    <col min="11" max="12" width="5.109375" style="12" customWidth="1"/>
    <col min="13" max="13" width="5.33203125" style="13" customWidth="1"/>
    <col min="14" max="14" width="4.88671875" style="12" customWidth="1"/>
    <col min="15" max="15" width="5.33203125" style="13" customWidth="1"/>
    <col min="16" max="16" width="4.88671875" style="12" customWidth="1"/>
    <col min="17" max="17" width="3.5546875" style="13" customWidth="1"/>
    <col min="18" max="18" width="3.5546875" style="12" customWidth="1"/>
    <col min="19" max="21" width="5.109375" style="12" customWidth="1"/>
    <col min="22" max="16384" width="10.33203125" style="12"/>
  </cols>
  <sheetData>
    <row r="1" spans="1:23" ht="40.799999999999997" x14ac:dyDescent="0.2">
      <c r="A1" s="8" t="s">
        <v>4</v>
      </c>
      <c r="B1" s="9" t="s">
        <v>5</v>
      </c>
      <c r="C1" s="9" t="s">
        <v>6</v>
      </c>
      <c r="D1" s="9" t="s">
        <v>7</v>
      </c>
      <c r="E1" s="9" t="s">
        <v>8</v>
      </c>
      <c r="F1" s="9" t="s">
        <v>9</v>
      </c>
      <c r="G1" s="9" t="s">
        <v>10</v>
      </c>
      <c r="H1" s="9" t="s">
        <v>11</v>
      </c>
      <c r="I1" s="8" t="s">
        <v>12</v>
      </c>
      <c r="J1" s="9" t="s">
        <v>13</v>
      </c>
      <c r="K1" s="35" t="s">
        <v>445</v>
      </c>
      <c r="L1" s="8" t="s">
        <v>14</v>
      </c>
      <c r="M1" s="9" t="s">
        <v>15</v>
      </c>
      <c r="N1" s="36" t="s">
        <v>16</v>
      </c>
      <c r="O1" s="10" t="s">
        <v>17</v>
      </c>
      <c r="P1" s="11" t="s">
        <v>18</v>
      </c>
      <c r="Q1" s="10" t="s">
        <v>19</v>
      </c>
      <c r="R1" s="11" t="s">
        <v>20</v>
      </c>
      <c r="S1" s="10" t="s">
        <v>21</v>
      </c>
      <c r="T1" s="10" t="s">
        <v>22</v>
      </c>
      <c r="U1" s="10" t="s">
        <v>23</v>
      </c>
      <c r="V1" s="10" t="s">
        <v>24</v>
      </c>
    </row>
    <row r="2" spans="1:23" s="64" customFormat="1" x14ac:dyDescent="0.2">
      <c r="A2" s="61" t="s">
        <v>432</v>
      </c>
      <c r="B2" s="61" t="s">
        <v>433</v>
      </c>
      <c r="C2" s="61" t="s">
        <v>434</v>
      </c>
      <c r="D2" s="61" t="s">
        <v>489</v>
      </c>
      <c r="E2" s="61" t="s">
        <v>490</v>
      </c>
      <c r="F2" s="61" t="s">
        <v>491</v>
      </c>
      <c r="G2" s="61" t="s">
        <v>492</v>
      </c>
      <c r="H2" s="61" t="s">
        <v>25</v>
      </c>
      <c r="I2" s="61" t="s">
        <v>432</v>
      </c>
      <c r="J2" s="61" t="s">
        <v>433</v>
      </c>
      <c r="K2" s="61">
        <v>265</v>
      </c>
      <c r="L2" s="62">
        <v>0.5</v>
      </c>
      <c r="M2" s="62" t="s">
        <v>97</v>
      </c>
      <c r="N2" s="61">
        <v>2021</v>
      </c>
      <c r="O2" s="61" t="s">
        <v>26</v>
      </c>
      <c r="P2" s="63" t="s">
        <v>26</v>
      </c>
      <c r="Q2" s="61" t="s">
        <v>26</v>
      </c>
      <c r="R2" s="63" t="s">
        <v>26</v>
      </c>
      <c r="S2" s="61">
        <v>100</v>
      </c>
      <c r="T2" s="80">
        <v>0.5</v>
      </c>
      <c r="U2" s="61">
        <v>0</v>
      </c>
      <c r="V2" s="61">
        <v>0</v>
      </c>
      <c r="W2" s="64" t="s">
        <v>493</v>
      </c>
    </row>
    <row r="3" spans="1:23" s="64" customFormat="1" x14ac:dyDescent="0.2">
      <c r="A3" s="61" t="s">
        <v>432</v>
      </c>
      <c r="B3" s="61" t="s">
        <v>433</v>
      </c>
      <c r="C3" s="61" t="s">
        <v>434</v>
      </c>
      <c r="D3" s="61" t="s">
        <v>489</v>
      </c>
      <c r="E3" s="61" t="s">
        <v>490</v>
      </c>
      <c r="F3" s="61" t="s">
        <v>491</v>
      </c>
      <c r="G3" s="61" t="s">
        <v>494</v>
      </c>
      <c r="H3" s="61" t="s">
        <v>25</v>
      </c>
      <c r="I3" s="61" t="s">
        <v>432</v>
      </c>
      <c r="J3" s="61" t="s">
        <v>433</v>
      </c>
      <c r="K3" s="61">
        <v>266</v>
      </c>
      <c r="L3" s="62">
        <v>0.5</v>
      </c>
      <c r="M3" s="62" t="s">
        <v>97</v>
      </c>
      <c r="N3" s="61">
        <v>2021</v>
      </c>
      <c r="O3" s="61" t="s">
        <v>26</v>
      </c>
      <c r="P3" s="63" t="s">
        <v>26</v>
      </c>
      <c r="Q3" s="61" t="s">
        <v>26</v>
      </c>
      <c r="R3" s="63" t="s">
        <v>26</v>
      </c>
      <c r="S3" s="61">
        <v>100</v>
      </c>
      <c r="T3" s="80">
        <v>0.5</v>
      </c>
      <c r="U3" s="61">
        <v>0</v>
      </c>
      <c r="V3" s="61">
        <v>0</v>
      </c>
      <c r="W3" s="64" t="s">
        <v>493</v>
      </c>
    </row>
    <row r="4" spans="1:23" s="64" customFormat="1" x14ac:dyDescent="0.2">
      <c r="A4" s="61" t="s">
        <v>432</v>
      </c>
      <c r="B4" s="61" t="s">
        <v>433</v>
      </c>
      <c r="C4" s="61" t="s">
        <v>434</v>
      </c>
      <c r="D4" s="61" t="s">
        <v>495</v>
      </c>
      <c r="E4" s="61" t="s">
        <v>496</v>
      </c>
      <c r="F4" s="61" t="s">
        <v>497</v>
      </c>
      <c r="G4" s="61" t="s">
        <v>494</v>
      </c>
      <c r="H4" s="61" t="s">
        <v>25</v>
      </c>
      <c r="I4" s="61" t="s">
        <v>432</v>
      </c>
      <c r="J4" s="61" t="s">
        <v>433</v>
      </c>
      <c r="K4" s="61">
        <v>268</v>
      </c>
      <c r="L4" s="62">
        <v>0.5</v>
      </c>
      <c r="M4" s="62" t="s">
        <v>97</v>
      </c>
      <c r="N4" s="61">
        <v>2021</v>
      </c>
      <c r="O4" s="61" t="s">
        <v>26</v>
      </c>
      <c r="P4" s="63" t="s">
        <v>26</v>
      </c>
      <c r="Q4" s="61" t="s">
        <v>26</v>
      </c>
      <c r="R4" s="63" t="s">
        <v>26</v>
      </c>
      <c r="S4" s="61">
        <v>100</v>
      </c>
      <c r="T4" s="80">
        <v>0.5</v>
      </c>
      <c r="U4" s="61">
        <v>0</v>
      </c>
      <c r="V4" s="61">
        <v>0</v>
      </c>
      <c r="W4" s="64" t="s">
        <v>493</v>
      </c>
    </row>
    <row r="5" spans="1:23" s="64" customFormat="1" x14ac:dyDescent="0.2">
      <c r="A5" s="61" t="s">
        <v>432</v>
      </c>
      <c r="B5" s="61" t="s">
        <v>433</v>
      </c>
      <c r="C5" s="61" t="s">
        <v>434</v>
      </c>
      <c r="D5" s="61" t="s">
        <v>498</v>
      </c>
      <c r="E5" s="61" t="s">
        <v>499</v>
      </c>
      <c r="F5" s="61" t="s">
        <v>500</v>
      </c>
      <c r="G5" s="61" t="s">
        <v>494</v>
      </c>
      <c r="H5" s="61" t="s">
        <v>25</v>
      </c>
      <c r="I5" s="61" t="s">
        <v>432</v>
      </c>
      <c r="J5" s="61" t="s">
        <v>433</v>
      </c>
      <c r="K5" s="61">
        <v>270</v>
      </c>
      <c r="L5" s="62">
        <v>0.5</v>
      </c>
      <c r="M5" s="62" t="s">
        <v>97</v>
      </c>
      <c r="N5" s="61">
        <v>2021</v>
      </c>
      <c r="O5" s="61" t="s">
        <v>26</v>
      </c>
      <c r="P5" s="63" t="s">
        <v>26</v>
      </c>
      <c r="Q5" s="61" t="s">
        <v>26</v>
      </c>
      <c r="R5" s="63" t="s">
        <v>26</v>
      </c>
      <c r="S5" s="61">
        <v>100</v>
      </c>
      <c r="T5" s="80">
        <v>0.5</v>
      </c>
      <c r="U5" s="61">
        <v>0</v>
      </c>
      <c r="V5" s="61">
        <v>0</v>
      </c>
      <c r="W5" s="64" t="s">
        <v>493</v>
      </c>
    </row>
    <row r="6" spans="1:23" s="64" customFormat="1" x14ac:dyDescent="0.2">
      <c r="A6" s="61" t="s">
        <v>36</v>
      </c>
      <c r="B6" s="61" t="s">
        <v>37</v>
      </c>
      <c r="C6" s="61" t="s">
        <v>38</v>
      </c>
      <c r="D6" s="61" t="s">
        <v>124</v>
      </c>
      <c r="E6" s="61" t="s">
        <v>125</v>
      </c>
      <c r="F6" s="61" t="s">
        <v>72</v>
      </c>
      <c r="G6" s="61" t="s">
        <v>123</v>
      </c>
      <c r="H6" s="61" t="s">
        <v>27</v>
      </c>
      <c r="I6" s="61" t="s">
        <v>36</v>
      </c>
      <c r="J6" s="61" t="s">
        <v>37</v>
      </c>
      <c r="K6" s="61">
        <v>1</v>
      </c>
      <c r="L6" s="65">
        <v>1</v>
      </c>
      <c r="M6" s="61" t="s">
        <v>101</v>
      </c>
      <c r="N6" s="61">
        <v>2016</v>
      </c>
      <c r="O6" s="61" t="s">
        <v>97</v>
      </c>
      <c r="P6" s="63" t="s">
        <v>62</v>
      </c>
      <c r="Q6" s="61" t="s">
        <v>26</v>
      </c>
      <c r="R6" s="63" t="s">
        <v>26</v>
      </c>
      <c r="S6" s="66">
        <v>70</v>
      </c>
      <c r="T6" s="65">
        <v>0.7</v>
      </c>
      <c r="U6" s="81">
        <v>0.3</v>
      </c>
      <c r="V6" s="65">
        <v>0</v>
      </c>
    </row>
    <row r="7" spans="1:23" s="64" customFormat="1" x14ac:dyDescent="0.2">
      <c r="A7" s="61" t="s">
        <v>36</v>
      </c>
      <c r="B7" s="61" t="s">
        <v>37</v>
      </c>
      <c r="C7" s="61" t="s">
        <v>38</v>
      </c>
      <c r="D7" s="61" t="s">
        <v>126</v>
      </c>
      <c r="E7" s="61" t="s">
        <v>127</v>
      </c>
      <c r="F7" s="61" t="s">
        <v>72</v>
      </c>
      <c r="G7" s="61" t="s">
        <v>123</v>
      </c>
      <c r="H7" s="61" t="s">
        <v>27</v>
      </c>
      <c r="I7" s="61" t="s">
        <v>36</v>
      </c>
      <c r="J7" s="61" t="s">
        <v>37</v>
      </c>
      <c r="K7" s="61">
        <v>1</v>
      </c>
      <c r="L7" s="65">
        <v>1</v>
      </c>
      <c r="M7" s="61" t="s">
        <v>101</v>
      </c>
      <c r="N7" s="61">
        <v>2016</v>
      </c>
      <c r="O7" s="61" t="s">
        <v>97</v>
      </c>
      <c r="P7" s="63" t="s">
        <v>62</v>
      </c>
      <c r="Q7" s="61" t="s">
        <v>26</v>
      </c>
      <c r="R7" s="63" t="s">
        <v>26</v>
      </c>
      <c r="S7" s="66">
        <v>70</v>
      </c>
      <c r="T7" s="65">
        <v>0.7</v>
      </c>
      <c r="U7" s="81">
        <v>0.3</v>
      </c>
      <c r="V7" s="65">
        <v>0</v>
      </c>
    </row>
    <row r="8" spans="1:23" s="64" customFormat="1" x14ac:dyDescent="0.2">
      <c r="A8" s="61" t="s">
        <v>40</v>
      </c>
      <c r="B8" s="61" t="s">
        <v>41</v>
      </c>
      <c r="C8" s="61" t="s">
        <v>155</v>
      </c>
      <c r="D8" s="61" t="s">
        <v>157</v>
      </c>
      <c r="E8" s="61" t="s">
        <v>158</v>
      </c>
      <c r="F8" s="61" t="s">
        <v>49</v>
      </c>
      <c r="G8" s="61" t="s">
        <v>159</v>
      </c>
      <c r="H8" s="61" t="s">
        <v>27</v>
      </c>
      <c r="I8" s="61" t="s">
        <v>40</v>
      </c>
      <c r="J8" s="61" t="s">
        <v>41</v>
      </c>
      <c r="K8" s="61">
        <v>1</v>
      </c>
      <c r="L8" s="65">
        <v>1</v>
      </c>
      <c r="M8" s="61" t="s">
        <v>45</v>
      </c>
      <c r="N8" s="61">
        <v>2016</v>
      </c>
      <c r="O8" s="61" t="s">
        <v>97</v>
      </c>
      <c r="P8" s="63" t="s">
        <v>58</v>
      </c>
      <c r="Q8" s="61" t="s">
        <v>26</v>
      </c>
      <c r="R8" s="63" t="s">
        <v>26</v>
      </c>
      <c r="S8" s="66">
        <v>25</v>
      </c>
      <c r="T8" s="65">
        <v>0.25</v>
      </c>
      <c r="U8" s="81">
        <v>0.75</v>
      </c>
      <c r="V8" s="65">
        <v>0</v>
      </c>
    </row>
    <row r="9" spans="1:23" s="64" customFormat="1" x14ac:dyDescent="0.2">
      <c r="A9" s="61" t="s">
        <v>40</v>
      </c>
      <c r="B9" s="61" t="s">
        <v>41</v>
      </c>
      <c r="C9" s="61" t="s">
        <v>155</v>
      </c>
      <c r="D9" s="61" t="s">
        <v>160</v>
      </c>
      <c r="E9" s="61" t="s">
        <v>161</v>
      </c>
      <c r="F9" s="61" t="s">
        <v>162</v>
      </c>
      <c r="G9" s="61" t="s">
        <v>154</v>
      </c>
      <c r="H9" s="61" t="s">
        <v>27</v>
      </c>
      <c r="I9" s="61" t="s">
        <v>40</v>
      </c>
      <c r="J9" s="61" t="s">
        <v>41</v>
      </c>
      <c r="K9" s="61">
        <v>1</v>
      </c>
      <c r="L9" s="65">
        <v>1</v>
      </c>
      <c r="M9" s="61" t="s">
        <v>45</v>
      </c>
      <c r="N9" s="61">
        <v>2016</v>
      </c>
      <c r="O9" s="61" t="s">
        <v>97</v>
      </c>
      <c r="P9" s="63" t="s">
        <v>39</v>
      </c>
      <c r="Q9" s="61" t="s">
        <v>26</v>
      </c>
      <c r="R9" s="63" t="s">
        <v>26</v>
      </c>
      <c r="S9" s="66">
        <v>50</v>
      </c>
      <c r="T9" s="65">
        <v>0.5</v>
      </c>
      <c r="U9" s="81">
        <v>0.5</v>
      </c>
      <c r="V9" s="65">
        <v>0</v>
      </c>
    </row>
    <row r="10" spans="1:23" s="64" customFormat="1" x14ac:dyDescent="0.2">
      <c r="A10" s="61" t="s">
        <v>40</v>
      </c>
      <c r="B10" s="61" t="s">
        <v>41</v>
      </c>
      <c r="C10" s="61" t="s">
        <v>155</v>
      </c>
      <c r="D10" s="61" t="s">
        <v>163</v>
      </c>
      <c r="E10" s="61" t="s">
        <v>164</v>
      </c>
      <c r="F10" s="61" t="s">
        <v>29</v>
      </c>
      <c r="G10" s="61" t="s">
        <v>159</v>
      </c>
      <c r="H10" s="61" t="s">
        <v>27</v>
      </c>
      <c r="I10" s="61" t="s">
        <v>40</v>
      </c>
      <c r="J10" s="61" t="s">
        <v>41</v>
      </c>
      <c r="K10" s="61">
        <v>1</v>
      </c>
      <c r="L10" s="65">
        <v>1</v>
      </c>
      <c r="M10" s="61" t="s">
        <v>45</v>
      </c>
      <c r="N10" s="61">
        <v>2016</v>
      </c>
      <c r="O10" s="61" t="s">
        <v>97</v>
      </c>
      <c r="P10" s="63" t="s">
        <v>58</v>
      </c>
      <c r="Q10" s="61" t="s">
        <v>26</v>
      </c>
      <c r="R10" s="63" t="s">
        <v>26</v>
      </c>
      <c r="S10" s="66">
        <v>25</v>
      </c>
      <c r="T10" s="65">
        <v>0.25</v>
      </c>
      <c r="U10" s="81">
        <v>0.75</v>
      </c>
      <c r="V10" s="65">
        <v>0</v>
      </c>
    </row>
    <row r="11" spans="1:23" s="64" customFormat="1" x14ac:dyDescent="0.2">
      <c r="A11" s="61" t="s">
        <v>111</v>
      </c>
      <c r="B11" s="61" t="s">
        <v>112</v>
      </c>
      <c r="C11" s="61" t="s">
        <v>113</v>
      </c>
      <c r="D11" s="61" t="s">
        <v>173</v>
      </c>
      <c r="E11" s="61" t="s">
        <v>174</v>
      </c>
      <c r="F11" s="61" t="s">
        <v>49</v>
      </c>
      <c r="G11" s="61" t="s">
        <v>175</v>
      </c>
      <c r="H11" s="61" t="s">
        <v>25</v>
      </c>
      <c r="I11" s="61" t="s">
        <v>111</v>
      </c>
      <c r="J11" s="61" t="s">
        <v>112</v>
      </c>
      <c r="K11" s="61">
        <v>1</v>
      </c>
      <c r="L11" s="65">
        <v>0.5</v>
      </c>
      <c r="M11" s="61" t="s">
        <v>114</v>
      </c>
      <c r="N11" s="61">
        <v>2016</v>
      </c>
      <c r="O11" s="61" t="s">
        <v>97</v>
      </c>
      <c r="P11" s="63" t="s">
        <v>52</v>
      </c>
      <c r="Q11" s="61" t="s">
        <v>26</v>
      </c>
      <c r="R11" s="63" t="s">
        <v>26</v>
      </c>
      <c r="S11" s="66">
        <v>90</v>
      </c>
      <c r="T11" s="65">
        <v>0.45</v>
      </c>
      <c r="U11" s="81">
        <v>0.05</v>
      </c>
      <c r="V11" s="65">
        <v>0</v>
      </c>
    </row>
    <row r="12" spans="1:23" s="64" customFormat="1" x14ac:dyDescent="0.2">
      <c r="A12" s="61" t="s">
        <v>111</v>
      </c>
      <c r="B12" s="61" t="s">
        <v>112</v>
      </c>
      <c r="C12" s="61" t="s">
        <v>113</v>
      </c>
      <c r="D12" s="61" t="s">
        <v>173</v>
      </c>
      <c r="E12" s="61" t="s">
        <v>174</v>
      </c>
      <c r="F12" s="61" t="s">
        <v>49</v>
      </c>
      <c r="G12" s="61" t="s">
        <v>209</v>
      </c>
      <c r="H12" s="61" t="s">
        <v>25</v>
      </c>
      <c r="I12" s="61" t="s">
        <v>111</v>
      </c>
      <c r="J12" s="61" t="s">
        <v>112</v>
      </c>
      <c r="K12" s="61">
        <v>1</v>
      </c>
      <c r="L12" s="65">
        <v>0.5</v>
      </c>
      <c r="M12" s="61" t="s">
        <v>114</v>
      </c>
      <c r="N12" s="61">
        <v>2016</v>
      </c>
      <c r="O12" s="61" t="s">
        <v>97</v>
      </c>
      <c r="P12" s="63" t="s">
        <v>62</v>
      </c>
      <c r="Q12" s="61" t="s">
        <v>30</v>
      </c>
      <c r="R12" s="63" t="s">
        <v>52</v>
      </c>
      <c r="S12" s="66">
        <v>60</v>
      </c>
      <c r="T12" s="65">
        <v>0.3</v>
      </c>
      <c r="U12" s="81">
        <v>0.15</v>
      </c>
      <c r="V12" s="65">
        <v>0.05</v>
      </c>
    </row>
    <row r="13" spans="1:23" s="64" customFormat="1" x14ac:dyDescent="0.2">
      <c r="A13" s="61" t="s">
        <v>111</v>
      </c>
      <c r="B13" s="61" t="s">
        <v>112</v>
      </c>
      <c r="C13" s="61" t="s">
        <v>113</v>
      </c>
      <c r="D13" s="61" t="s">
        <v>210</v>
      </c>
      <c r="E13" s="61" t="s">
        <v>211</v>
      </c>
      <c r="F13" s="61" t="s">
        <v>212</v>
      </c>
      <c r="G13" s="61" t="s">
        <v>209</v>
      </c>
      <c r="H13" s="61" t="s">
        <v>27</v>
      </c>
      <c r="I13" s="61" t="s">
        <v>111</v>
      </c>
      <c r="J13" s="61" t="s">
        <v>112</v>
      </c>
      <c r="K13" s="61">
        <v>1</v>
      </c>
      <c r="L13" s="65">
        <v>1</v>
      </c>
      <c r="M13" s="61" t="s">
        <v>114</v>
      </c>
      <c r="N13" s="61">
        <v>2016</v>
      </c>
      <c r="O13" s="61" t="s">
        <v>97</v>
      </c>
      <c r="P13" s="63" t="s">
        <v>62</v>
      </c>
      <c r="Q13" s="61" t="s">
        <v>30</v>
      </c>
      <c r="R13" s="63" t="s">
        <v>52</v>
      </c>
      <c r="S13" s="66">
        <v>60</v>
      </c>
      <c r="T13" s="65">
        <v>0.6</v>
      </c>
      <c r="U13" s="81">
        <v>0.3</v>
      </c>
      <c r="V13" s="65">
        <v>0.1</v>
      </c>
    </row>
    <row r="14" spans="1:23" s="64" customFormat="1" x14ac:dyDescent="0.2">
      <c r="A14" s="61" t="s">
        <v>77</v>
      </c>
      <c r="B14" s="61" t="s">
        <v>78</v>
      </c>
      <c r="C14" s="61" t="s">
        <v>79</v>
      </c>
      <c r="D14" s="61" t="s">
        <v>80</v>
      </c>
      <c r="E14" s="61" t="s">
        <v>81</v>
      </c>
      <c r="F14" s="61" t="s">
        <v>82</v>
      </c>
      <c r="G14" s="61" t="s">
        <v>176</v>
      </c>
      <c r="H14" s="61" t="s">
        <v>25</v>
      </c>
      <c r="I14" s="61" t="s">
        <v>65</v>
      </c>
      <c r="J14" s="61" t="s">
        <v>66</v>
      </c>
      <c r="K14" s="61">
        <v>1</v>
      </c>
      <c r="L14" s="65">
        <v>0.5</v>
      </c>
      <c r="M14" s="61" t="s">
        <v>67</v>
      </c>
      <c r="N14" s="61">
        <v>2016</v>
      </c>
      <c r="O14" s="61" t="s">
        <v>97</v>
      </c>
      <c r="P14" s="63" t="s">
        <v>55</v>
      </c>
      <c r="Q14" s="61" t="s">
        <v>26</v>
      </c>
      <c r="R14" s="63" t="s">
        <v>26</v>
      </c>
      <c r="S14" s="66">
        <v>20</v>
      </c>
      <c r="T14" s="65">
        <v>0.1</v>
      </c>
      <c r="U14" s="81">
        <v>0.4</v>
      </c>
      <c r="V14" s="65">
        <v>0</v>
      </c>
    </row>
    <row r="15" spans="1:23" s="64" customFormat="1" x14ac:dyDescent="0.2">
      <c r="A15" s="61" t="s">
        <v>102</v>
      </c>
      <c r="B15" s="61" t="s">
        <v>103</v>
      </c>
      <c r="C15" s="61" t="s">
        <v>104</v>
      </c>
      <c r="D15" s="61" t="s">
        <v>213</v>
      </c>
      <c r="E15" s="61" t="s">
        <v>214</v>
      </c>
      <c r="F15" s="61" t="s">
        <v>110</v>
      </c>
      <c r="G15" s="61" t="s">
        <v>106</v>
      </c>
      <c r="H15" s="61" t="s">
        <v>27</v>
      </c>
      <c r="I15" s="61" t="s">
        <v>102</v>
      </c>
      <c r="J15" s="61" t="s">
        <v>103</v>
      </c>
      <c r="K15" s="61">
        <v>1</v>
      </c>
      <c r="L15" s="65">
        <v>1</v>
      </c>
      <c r="M15" s="61" t="s">
        <v>105</v>
      </c>
      <c r="N15" s="61">
        <v>2016</v>
      </c>
      <c r="O15" s="61" t="s">
        <v>97</v>
      </c>
      <c r="P15" s="63" t="s">
        <v>52</v>
      </c>
      <c r="Q15" s="61" t="s">
        <v>34</v>
      </c>
      <c r="R15" s="63" t="s">
        <v>46</v>
      </c>
      <c r="S15" s="66">
        <v>70</v>
      </c>
      <c r="T15" s="65">
        <v>0.7</v>
      </c>
      <c r="U15" s="81">
        <v>0.1</v>
      </c>
      <c r="V15" s="65">
        <v>0.2</v>
      </c>
    </row>
    <row r="16" spans="1:23" s="64" customFormat="1" x14ac:dyDescent="0.2">
      <c r="A16" s="61" t="s">
        <v>99</v>
      </c>
      <c r="B16" s="61" t="s">
        <v>100</v>
      </c>
      <c r="C16" s="61" t="s">
        <v>38</v>
      </c>
      <c r="D16" s="61" t="s">
        <v>128</v>
      </c>
      <c r="E16" s="61" t="s">
        <v>129</v>
      </c>
      <c r="F16" s="61" t="s">
        <v>83</v>
      </c>
      <c r="G16" s="61" t="s">
        <v>130</v>
      </c>
      <c r="H16" s="61" t="s">
        <v>27</v>
      </c>
      <c r="I16" s="61" t="s">
        <v>36</v>
      </c>
      <c r="J16" s="61" t="s">
        <v>37</v>
      </c>
      <c r="K16" s="61">
        <v>1</v>
      </c>
      <c r="L16" s="65">
        <v>1</v>
      </c>
      <c r="M16" s="61" t="s">
        <v>101</v>
      </c>
      <c r="N16" s="61">
        <v>2016</v>
      </c>
      <c r="O16" s="61" t="s">
        <v>97</v>
      </c>
      <c r="P16" s="63" t="s">
        <v>39</v>
      </c>
      <c r="Q16" s="61" t="s">
        <v>26</v>
      </c>
      <c r="R16" s="63" t="s">
        <v>26</v>
      </c>
      <c r="S16" s="66">
        <v>50</v>
      </c>
      <c r="T16" s="65">
        <v>0.5</v>
      </c>
      <c r="U16" s="81">
        <v>0.5</v>
      </c>
      <c r="V16" s="65">
        <v>0</v>
      </c>
    </row>
    <row r="17" spans="1:22" s="64" customFormat="1" x14ac:dyDescent="0.2">
      <c r="A17" s="61" t="s">
        <v>99</v>
      </c>
      <c r="B17" s="61" t="s">
        <v>100</v>
      </c>
      <c r="C17" s="61" t="s">
        <v>38</v>
      </c>
      <c r="D17" s="61" t="s">
        <v>190</v>
      </c>
      <c r="E17" s="61" t="s">
        <v>191</v>
      </c>
      <c r="F17" s="61" t="s">
        <v>192</v>
      </c>
      <c r="G17" s="61" t="s">
        <v>193</v>
      </c>
      <c r="H17" s="61" t="s">
        <v>27</v>
      </c>
      <c r="I17" s="61" t="s">
        <v>99</v>
      </c>
      <c r="J17" s="61" t="s">
        <v>100</v>
      </c>
      <c r="K17" s="61">
        <v>1</v>
      </c>
      <c r="L17" s="65">
        <v>1</v>
      </c>
      <c r="M17" s="61" t="s">
        <v>116</v>
      </c>
      <c r="N17" s="61">
        <v>2016</v>
      </c>
      <c r="O17" s="61" t="s">
        <v>97</v>
      </c>
      <c r="P17" s="63" t="s">
        <v>52</v>
      </c>
      <c r="Q17" s="61" t="s">
        <v>26</v>
      </c>
      <c r="R17" s="63" t="s">
        <v>26</v>
      </c>
      <c r="S17" s="66">
        <v>90</v>
      </c>
      <c r="T17" s="65">
        <v>0.9</v>
      </c>
      <c r="U17" s="81">
        <v>0.1</v>
      </c>
      <c r="V17" s="65">
        <v>0</v>
      </c>
    </row>
    <row r="18" spans="1:22" s="64" customFormat="1" x14ac:dyDescent="0.2">
      <c r="A18" s="61" t="s">
        <v>99</v>
      </c>
      <c r="B18" s="61" t="s">
        <v>100</v>
      </c>
      <c r="C18" s="61" t="s">
        <v>38</v>
      </c>
      <c r="D18" s="61" t="s">
        <v>131</v>
      </c>
      <c r="E18" s="61" t="s">
        <v>132</v>
      </c>
      <c r="F18" s="61" t="s">
        <v>87</v>
      </c>
      <c r="G18" s="61" t="s">
        <v>123</v>
      </c>
      <c r="H18" s="61" t="s">
        <v>27</v>
      </c>
      <c r="I18" s="61" t="s">
        <v>36</v>
      </c>
      <c r="J18" s="61" t="s">
        <v>37</v>
      </c>
      <c r="K18" s="61">
        <v>1</v>
      </c>
      <c r="L18" s="65">
        <v>1</v>
      </c>
      <c r="M18" s="61" t="s">
        <v>101</v>
      </c>
      <c r="N18" s="61">
        <v>2016</v>
      </c>
      <c r="O18" s="61" t="s">
        <v>97</v>
      </c>
      <c r="P18" s="63" t="s">
        <v>62</v>
      </c>
      <c r="Q18" s="61" t="s">
        <v>26</v>
      </c>
      <c r="R18" s="63" t="s">
        <v>26</v>
      </c>
      <c r="S18" s="66">
        <v>70</v>
      </c>
      <c r="T18" s="65">
        <v>0.7</v>
      </c>
      <c r="U18" s="81">
        <v>0.3</v>
      </c>
      <c r="V18" s="65">
        <v>0</v>
      </c>
    </row>
    <row r="19" spans="1:22" s="64" customFormat="1" x14ac:dyDescent="0.2">
      <c r="A19" s="61" t="s">
        <v>99</v>
      </c>
      <c r="B19" s="61" t="s">
        <v>100</v>
      </c>
      <c r="C19" s="61" t="s">
        <v>38</v>
      </c>
      <c r="D19" s="61" t="s">
        <v>194</v>
      </c>
      <c r="E19" s="61" t="s">
        <v>195</v>
      </c>
      <c r="F19" s="61" t="s">
        <v>196</v>
      </c>
      <c r="G19" s="61" t="s">
        <v>193</v>
      </c>
      <c r="H19" s="61" t="s">
        <v>27</v>
      </c>
      <c r="I19" s="61" t="s">
        <v>99</v>
      </c>
      <c r="J19" s="61" t="s">
        <v>100</v>
      </c>
      <c r="K19" s="61">
        <v>1</v>
      </c>
      <c r="L19" s="65">
        <v>1</v>
      </c>
      <c r="M19" s="61" t="s">
        <v>116</v>
      </c>
      <c r="N19" s="61">
        <v>2016</v>
      </c>
      <c r="O19" s="61" t="s">
        <v>97</v>
      </c>
      <c r="P19" s="63" t="s">
        <v>52</v>
      </c>
      <c r="Q19" s="61" t="s">
        <v>26</v>
      </c>
      <c r="R19" s="63" t="s">
        <v>26</v>
      </c>
      <c r="S19" s="66">
        <v>90</v>
      </c>
      <c r="T19" s="65">
        <v>0.9</v>
      </c>
      <c r="U19" s="81">
        <v>0.1</v>
      </c>
      <c r="V19" s="65">
        <v>0</v>
      </c>
    </row>
    <row r="20" spans="1:22" s="64" customFormat="1" x14ac:dyDescent="0.2">
      <c r="A20" s="61" t="s">
        <v>99</v>
      </c>
      <c r="B20" s="61" t="s">
        <v>100</v>
      </c>
      <c r="C20" s="61" t="s">
        <v>38</v>
      </c>
      <c r="D20" s="61" t="s">
        <v>133</v>
      </c>
      <c r="E20" s="61" t="s">
        <v>134</v>
      </c>
      <c r="F20" s="61" t="s">
        <v>86</v>
      </c>
      <c r="G20" s="61" t="s">
        <v>130</v>
      </c>
      <c r="H20" s="61" t="s">
        <v>27</v>
      </c>
      <c r="I20" s="61" t="s">
        <v>36</v>
      </c>
      <c r="J20" s="61" t="s">
        <v>37</v>
      </c>
      <c r="K20" s="61">
        <v>1</v>
      </c>
      <c r="L20" s="65">
        <v>1</v>
      </c>
      <c r="M20" s="61" t="s">
        <v>101</v>
      </c>
      <c r="N20" s="61">
        <v>2016</v>
      </c>
      <c r="O20" s="61" t="s">
        <v>97</v>
      </c>
      <c r="P20" s="63" t="s">
        <v>39</v>
      </c>
      <c r="Q20" s="61" t="s">
        <v>26</v>
      </c>
      <c r="R20" s="63" t="s">
        <v>26</v>
      </c>
      <c r="S20" s="66">
        <v>50</v>
      </c>
      <c r="T20" s="65">
        <v>0.5</v>
      </c>
      <c r="U20" s="81">
        <v>0.5</v>
      </c>
      <c r="V20" s="65">
        <v>0</v>
      </c>
    </row>
    <row r="21" spans="1:22" s="64" customFormat="1" x14ac:dyDescent="0.2">
      <c r="A21" s="61" t="s">
        <v>99</v>
      </c>
      <c r="B21" s="61" t="s">
        <v>100</v>
      </c>
      <c r="C21" s="61" t="s">
        <v>38</v>
      </c>
      <c r="D21" s="61" t="s">
        <v>197</v>
      </c>
      <c r="E21" s="61" t="s">
        <v>198</v>
      </c>
      <c r="F21" s="61" t="s">
        <v>199</v>
      </c>
      <c r="G21" s="61" t="s">
        <v>193</v>
      </c>
      <c r="H21" s="61" t="s">
        <v>27</v>
      </c>
      <c r="I21" s="61" t="s">
        <v>99</v>
      </c>
      <c r="J21" s="61" t="s">
        <v>100</v>
      </c>
      <c r="K21" s="61">
        <v>1</v>
      </c>
      <c r="L21" s="65">
        <v>1</v>
      </c>
      <c r="M21" s="61" t="s">
        <v>116</v>
      </c>
      <c r="N21" s="61">
        <v>2016</v>
      </c>
      <c r="O21" s="61" t="s">
        <v>97</v>
      </c>
      <c r="P21" s="63" t="s">
        <v>52</v>
      </c>
      <c r="Q21" s="61" t="s">
        <v>26</v>
      </c>
      <c r="R21" s="63" t="s">
        <v>26</v>
      </c>
      <c r="S21" s="66">
        <v>90</v>
      </c>
      <c r="T21" s="65">
        <v>0.9</v>
      </c>
      <c r="U21" s="81">
        <v>0.1</v>
      </c>
      <c r="V21" s="65">
        <v>0</v>
      </c>
    </row>
    <row r="22" spans="1:22" s="64" customFormat="1" x14ac:dyDescent="0.2">
      <c r="A22" s="61" t="s">
        <v>42</v>
      </c>
      <c r="B22" s="61" t="s">
        <v>43</v>
      </c>
      <c r="C22" s="61" t="s">
        <v>44</v>
      </c>
      <c r="D22" s="61" t="s">
        <v>165</v>
      </c>
      <c r="E22" s="61" t="s">
        <v>166</v>
      </c>
      <c r="F22" s="61" t="s">
        <v>167</v>
      </c>
      <c r="G22" s="61" t="s">
        <v>154</v>
      </c>
      <c r="H22" s="61" t="s">
        <v>27</v>
      </c>
      <c r="I22" s="61" t="s">
        <v>40</v>
      </c>
      <c r="J22" s="61" t="s">
        <v>41</v>
      </c>
      <c r="K22" s="61">
        <v>1</v>
      </c>
      <c r="L22" s="65">
        <v>1</v>
      </c>
      <c r="M22" s="61" t="s">
        <v>45</v>
      </c>
      <c r="N22" s="61">
        <v>2016</v>
      </c>
      <c r="O22" s="61" t="s">
        <v>97</v>
      </c>
      <c r="P22" s="63" t="s">
        <v>39</v>
      </c>
      <c r="Q22" s="61" t="s">
        <v>26</v>
      </c>
      <c r="R22" s="63" t="s">
        <v>26</v>
      </c>
      <c r="S22" s="66">
        <v>50</v>
      </c>
      <c r="T22" s="65">
        <v>0.5</v>
      </c>
      <c r="U22" s="81">
        <v>0.5</v>
      </c>
      <c r="V22" s="65">
        <v>0</v>
      </c>
    </row>
    <row r="23" spans="1:22" s="64" customFormat="1" x14ac:dyDescent="0.2">
      <c r="A23" s="61" t="s">
        <v>42</v>
      </c>
      <c r="B23" s="61" t="s">
        <v>43</v>
      </c>
      <c r="C23" s="61" t="s">
        <v>44</v>
      </c>
      <c r="D23" s="61" t="s">
        <v>168</v>
      </c>
      <c r="E23" s="61" t="s">
        <v>169</v>
      </c>
      <c r="F23" s="61" t="s">
        <v>35</v>
      </c>
      <c r="G23" s="61" t="s">
        <v>156</v>
      </c>
      <c r="H23" s="61" t="s">
        <v>27</v>
      </c>
      <c r="I23" s="61" t="s">
        <v>40</v>
      </c>
      <c r="J23" s="61" t="s">
        <v>41</v>
      </c>
      <c r="K23" s="61">
        <v>1</v>
      </c>
      <c r="L23" s="65">
        <v>1</v>
      </c>
      <c r="M23" s="61" t="s">
        <v>45</v>
      </c>
      <c r="N23" s="61">
        <v>2016</v>
      </c>
      <c r="O23" s="61" t="s">
        <v>97</v>
      </c>
      <c r="P23" s="63" t="s">
        <v>62</v>
      </c>
      <c r="Q23" s="61" t="s">
        <v>26</v>
      </c>
      <c r="R23" s="63" t="s">
        <v>26</v>
      </c>
      <c r="S23" s="66">
        <v>70</v>
      </c>
      <c r="T23" s="65">
        <v>0.7</v>
      </c>
      <c r="U23" s="81">
        <v>0.3</v>
      </c>
      <c r="V23" s="65">
        <v>0</v>
      </c>
    </row>
    <row r="24" spans="1:22" s="64" customFormat="1" x14ac:dyDescent="0.2">
      <c r="A24" s="61" t="s">
        <v>31</v>
      </c>
      <c r="B24" s="61" t="s">
        <v>32</v>
      </c>
      <c r="C24" s="61" t="s">
        <v>33</v>
      </c>
      <c r="D24" s="61" t="s">
        <v>107</v>
      </c>
      <c r="E24" s="61" t="s">
        <v>108</v>
      </c>
      <c r="F24" s="61" t="s">
        <v>84</v>
      </c>
      <c r="G24" s="61" t="s">
        <v>215</v>
      </c>
      <c r="H24" s="61" t="s">
        <v>25</v>
      </c>
      <c r="I24" s="61" t="s">
        <v>102</v>
      </c>
      <c r="J24" s="61" t="s">
        <v>103</v>
      </c>
      <c r="K24" s="61">
        <v>1</v>
      </c>
      <c r="L24" s="65">
        <v>0.5</v>
      </c>
      <c r="M24" s="61" t="s">
        <v>105</v>
      </c>
      <c r="N24" s="61">
        <v>2016</v>
      </c>
      <c r="O24" s="61" t="s">
        <v>97</v>
      </c>
      <c r="P24" s="63" t="s">
        <v>52</v>
      </c>
      <c r="Q24" s="61" t="s">
        <v>34</v>
      </c>
      <c r="R24" s="63" t="s">
        <v>46</v>
      </c>
      <c r="S24" s="66">
        <v>70</v>
      </c>
      <c r="T24" s="65">
        <v>0.35</v>
      </c>
      <c r="U24" s="81">
        <v>0.05</v>
      </c>
      <c r="V24" s="65">
        <v>0.1</v>
      </c>
    </row>
    <row r="25" spans="1:22" s="64" customFormat="1" x14ac:dyDescent="0.2">
      <c r="A25" s="67" t="s">
        <v>47</v>
      </c>
      <c r="B25" s="67" t="s">
        <v>48</v>
      </c>
      <c r="C25" s="67" t="s">
        <v>38</v>
      </c>
      <c r="D25" s="67" t="s">
        <v>200</v>
      </c>
      <c r="E25" s="67" t="s">
        <v>201</v>
      </c>
      <c r="F25" s="67" t="s">
        <v>98</v>
      </c>
      <c r="G25" s="67" t="s">
        <v>193</v>
      </c>
      <c r="H25" s="67" t="s">
        <v>27</v>
      </c>
      <c r="I25" s="67" t="s">
        <v>99</v>
      </c>
      <c r="J25" s="67" t="s">
        <v>100</v>
      </c>
      <c r="K25" s="67">
        <v>1</v>
      </c>
      <c r="L25" s="68">
        <v>1</v>
      </c>
      <c r="M25" s="67" t="s">
        <v>116</v>
      </c>
      <c r="N25" s="67">
        <v>2016</v>
      </c>
      <c r="O25" s="67" t="s">
        <v>97</v>
      </c>
      <c r="P25" s="69" t="s">
        <v>52</v>
      </c>
      <c r="Q25" s="67" t="s">
        <v>26</v>
      </c>
      <c r="R25" s="69" t="s">
        <v>26</v>
      </c>
      <c r="S25" s="70">
        <v>90</v>
      </c>
      <c r="T25" s="68">
        <v>0.9</v>
      </c>
      <c r="U25" s="82">
        <v>0.1</v>
      </c>
      <c r="V25" s="68">
        <v>0</v>
      </c>
    </row>
    <row r="26" spans="1:22" s="64" customFormat="1" x14ac:dyDescent="0.2">
      <c r="A26" s="61" t="s">
        <v>94</v>
      </c>
      <c r="B26" s="61" t="s">
        <v>95</v>
      </c>
      <c r="C26" s="61" t="s">
        <v>177</v>
      </c>
      <c r="D26" s="61" t="s">
        <v>178</v>
      </c>
      <c r="E26" s="61" t="s">
        <v>179</v>
      </c>
      <c r="F26" s="61" t="s">
        <v>51</v>
      </c>
      <c r="G26" s="61" t="s">
        <v>180</v>
      </c>
      <c r="H26" s="61" t="s">
        <v>25</v>
      </c>
      <c r="I26" s="61" t="s">
        <v>94</v>
      </c>
      <c r="J26" s="61" t="s">
        <v>95</v>
      </c>
      <c r="K26" s="61">
        <v>1</v>
      </c>
      <c r="L26" s="65">
        <v>0.5</v>
      </c>
      <c r="M26" s="61" t="s">
        <v>96</v>
      </c>
      <c r="N26" s="61">
        <v>2017</v>
      </c>
      <c r="O26" s="61" t="s">
        <v>97</v>
      </c>
      <c r="P26" s="63" t="s">
        <v>62</v>
      </c>
      <c r="Q26" s="61" t="s">
        <v>26</v>
      </c>
      <c r="R26" s="63" t="s">
        <v>26</v>
      </c>
      <c r="S26" s="66">
        <v>70</v>
      </c>
      <c r="T26" s="65">
        <v>0.35</v>
      </c>
      <c r="U26" s="81">
        <v>0.15</v>
      </c>
      <c r="V26" s="65">
        <v>0</v>
      </c>
    </row>
    <row r="27" spans="1:22" s="64" customFormat="1" x14ac:dyDescent="0.2">
      <c r="A27" s="61" t="s">
        <v>99</v>
      </c>
      <c r="B27" s="61" t="s">
        <v>100</v>
      </c>
      <c r="C27" s="61" t="s">
        <v>38</v>
      </c>
      <c r="D27" s="61" t="s">
        <v>135</v>
      </c>
      <c r="E27" s="61" t="s">
        <v>136</v>
      </c>
      <c r="F27" s="61" t="s">
        <v>137</v>
      </c>
      <c r="G27" s="61" t="s">
        <v>138</v>
      </c>
      <c r="H27" s="61" t="s">
        <v>27</v>
      </c>
      <c r="I27" s="61" t="s">
        <v>36</v>
      </c>
      <c r="J27" s="61" t="s">
        <v>37</v>
      </c>
      <c r="K27" s="61">
        <v>1</v>
      </c>
      <c r="L27" s="65">
        <v>1</v>
      </c>
      <c r="M27" s="61" t="s">
        <v>101</v>
      </c>
      <c r="N27" s="61">
        <v>2017</v>
      </c>
      <c r="O27" s="61" t="s">
        <v>97</v>
      </c>
      <c r="P27" s="63" t="s">
        <v>39</v>
      </c>
      <c r="Q27" s="61" t="s">
        <v>26</v>
      </c>
      <c r="R27" s="63" t="s">
        <v>26</v>
      </c>
      <c r="S27" s="66">
        <v>50</v>
      </c>
      <c r="T27" s="65">
        <v>0.5</v>
      </c>
      <c r="U27" s="81">
        <v>0.5</v>
      </c>
      <c r="V27" s="65">
        <v>0</v>
      </c>
    </row>
    <row r="28" spans="1:22" s="64" customFormat="1" x14ac:dyDescent="0.2">
      <c r="A28" s="61" t="s">
        <v>42</v>
      </c>
      <c r="B28" s="61" t="s">
        <v>43</v>
      </c>
      <c r="C28" s="61" t="s">
        <v>44</v>
      </c>
      <c r="D28" s="61" t="s">
        <v>139</v>
      </c>
      <c r="E28" s="61" t="s">
        <v>140</v>
      </c>
      <c r="F28" s="61" t="s">
        <v>141</v>
      </c>
      <c r="G28" s="61" t="s">
        <v>156</v>
      </c>
      <c r="H28" s="61" t="s">
        <v>25</v>
      </c>
      <c r="I28" s="61" t="s">
        <v>40</v>
      </c>
      <c r="J28" s="61" t="s">
        <v>41</v>
      </c>
      <c r="K28" s="61">
        <v>1</v>
      </c>
      <c r="L28" s="65">
        <v>0.5</v>
      </c>
      <c r="M28" s="61" t="s">
        <v>45</v>
      </c>
      <c r="N28" s="61">
        <v>2017</v>
      </c>
      <c r="O28" s="61" t="s">
        <v>97</v>
      </c>
      <c r="P28" s="63" t="s">
        <v>62</v>
      </c>
      <c r="Q28" s="61" t="s">
        <v>26</v>
      </c>
      <c r="R28" s="63" t="s">
        <v>26</v>
      </c>
      <c r="S28" s="66">
        <v>70</v>
      </c>
      <c r="T28" s="65">
        <v>0.35</v>
      </c>
      <c r="U28" s="81">
        <v>0.15</v>
      </c>
      <c r="V28" s="65">
        <v>0</v>
      </c>
    </row>
    <row r="29" spans="1:22" s="64" customFormat="1" x14ac:dyDescent="0.2">
      <c r="A29" s="61" t="s">
        <v>42</v>
      </c>
      <c r="B29" s="61" t="s">
        <v>43</v>
      </c>
      <c r="C29" s="61" t="s">
        <v>44</v>
      </c>
      <c r="D29" s="61" t="s">
        <v>139</v>
      </c>
      <c r="E29" s="61" t="s">
        <v>140</v>
      </c>
      <c r="F29" s="61" t="s">
        <v>141</v>
      </c>
      <c r="G29" s="61" t="s">
        <v>142</v>
      </c>
      <c r="H29" s="61" t="s">
        <v>25</v>
      </c>
      <c r="I29" s="61" t="s">
        <v>36</v>
      </c>
      <c r="J29" s="61" t="s">
        <v>37</v>
      </c>
      <c r="K29" s="61">
        <v>1</v>
      </c>
      <c r="L29" s="65">
        <v>0.5</v>
      </c>
      <c r="M29" s="61" t="s">
        <v>101</v>
      </c>
      <c r="N29" s="61">
        <v>2017</v>
      </c>
      <c r="O29" s="61" t="s">
        <v>97</v>
      </c>
      <c r="P29" s="63" t="s">
        <v>55</v>
      </c>
      <c r="Q29" s="61" t="s">
        <v>26</v>
      </c>
      <c r="R29" s="63" t="s">
        <v>26</v>
      </c>
      <c r="S29" s="66">
        <v>20</v>
      </c>
      <c r="T29" s="65">
        <v>0.1</v>
      </c>
      <c r="U29" s="81">
        <v>0.4</v>
      </c>
      <c r="V29" s="65">
        <v>0</v>
      </c>
    </row>
    <row r="30" spans="1:22" s="64" customFormat="1" x14ac:dyDescent="0.2">
      <c r="A30" s="61" t="s">
        <v>59</v>
      </c>
      <c r="B30" s="61" t="s">
        <v>60</v>
      </c>
      <c r="C30" s="61" t="s">
        <v>61</v>
      </c>
      <c r="D30" s="61" t="s">
        <v>183</v>
      </c>
      <c r="E30" s="61" t="s">
        <v>184</v>
      </c>
      <c r="F30" s="61" t="s">
        <v>185</v>
      </c>
      <c r="G30" s="61" t="s">
        <v>186</v>
      </c>
      <c r="H30" s="61" t="s">
        <v>27</v>
      </c>
      <c r="I30" s="61" t="s">
        <v>73</v>
      </c>
      <c r="J30" s="61" t="s">
        <v>74</v>
      </c>
      <c r="K30" s="61">
        <v>1</v>
      </c>
      <c r="L30" s="65">
        <v>1</v>
      </c>
      <c r="M30" s="61" t="s">
        <v>75</v>
      </c>
      <c r="N30" s="61">
        <v>2017</v>
      </c>
      <c r="O30" s="61" t="s">
        <v>97</v>
      </c>
      <c r="P30" s="63" t="s">
        <v>62</v>
      </c>
      <c r="Q30" s="61" t="s">
        <v>26</v>
      </c>
      <c r="R30" s="63" t="s">
        <v>26</v>
      </c>
      <c r="S30" s="66">
        <v>70</v>
      </c>
      <c r="T30" s="65">
        <v>0.7</v>
      </c>
      <c r="U30" s="81">
        <v>0.3</v>
      </c>
      <c r="V30" s="65">
        <v>0</v>
      </c>
    </row>
    <row r="31" spans="1:22" s="64" customFormat="1" x14ac:dyDescent="0.2">
      <c r="A31" s="61" t="s">
        <v>99</v>
      </c>
      <c r="B31" s="61" t="s">
        <v>100</v>
      </c>
      <c r="C31" s="61" t="s">
        <v>38</v>
      </c>
      <c r="D31" s="61" t="s">
        <v>143</v>
      </c>
      <c r="E31" s="61" t="s">
        <v>144</v>
      </c>
      <c r="F31" s="61" t="s">
        <v>28</v>
      </c>
      <c r="G31" s="61" t="s">
        <v>138</v>
      </c>
      <c r="H31" s="61" t="s">
        <v>27</v>
      </c>
      <c r="I31" s="61" t="s">
        <v>36</v>
      </c>
      <c r="J31" s="61" t="s">
        <v>37</v>
      </c>
      <c r="K31" s="61">
        <v>1</v>
      </c>
      <c r="L31" s="71">
        <v>1</v>
      </c>
      <c r="M31" s="61" t="s">
        <v>101</v>
      </c>
      <c r="N31" s="61">
        <v>2017</v>
      </c>
      <c r="O31" s="61" t="s">
        <v>97</v>
      </c>
      <c r="P31" s="63" t="s">
        <v>39</v>
      </c>
      <c r="Q31" s="61" t="s">
        <v>26</v>
      </c>
      <c r="R31" s="63" t="s">
        <v>26</v>
      </c>
      <c r="S31" s="66">
        <v>50</v>
      </c>
      <c r="T31" s="65">
        <v>0.5</v>
      </c>
      <c r="U31" s="81">
        <v>0.5</v>
      </c>
      <c r="V31" s="65">
        <v>0</v>
      </c>
    </row>
    <row r="32" spans="1:22" s="64" customFormat="1" x14ac:dyDescent="0.2">
      <c r="A32" s="61" t="s">
        <v>94</v>
      </c>
      <c r="B32" s="61" t="s">
        <v>95</v>
      </c>
      <c r="C32" s="61" t="s">
        <v>177</v>
      </c>
      <c r="D32" s="61" t="s">
        <v>181</v>
      </c>
      <c r="E32" s="61" t="s">
        <v>182</v>
      </c>
      <c r="F32" s="61" t="s">
        <v>85</v>
      </c>
      <c r="G32" s="61" t="s">
        <v>180</v>
      </c>
      <c r="H32" s="61" t="s">
        <v>27</v>
      </c>
      <c r="I32" s="61" t="s">
        <v>94</v>
      </c>
      <c r="J32" s="61" t="s">
        <v>95</v>
      </c>
      <c r="K32" s="61">
        <v>1</v>
      </c>
      <c r="L32" s="71">
        <v>1</v>
      </c>
      <c r="M32" s="61" t="s">
        <v>96</v>
      </c>
      <c r="N32" s="61">
        <v>2018</v>
      </c>
      <c r="O32" s="61" t="s">
        <v>97</v>
      </c>
      <c r="P32" s="63" t="s">
        <v>62</v>
      </c>
      <c r="Q32" s="61" t="s">
        <v>26</v>
      </c>
      <c r="R32" s="63" t="s">
        <v>26</v>
      </c>
      <c r="S32" s="66">
        <v>70</v>
      </c>
      <c r="T32" s="65">
        <v>0.7</v>
      </c>
      <c r="U32" s="81">
        <v>0.3</v>
      </c>
      <c r="V32" s="65">
        <v>0</v>
      </c>
    </row>
    <row r="33" spans="1:22" s="64" customFormat="1" x14ac:dyDescent="0.2">
      <c r="A33" s="61" t="s">
        <v>99</v>
      </c>
      <c r="B33" s="61" t="s">
        <v>100</v>
      </c>
      <c r="C33" s="61" t="s">
        <v>38</v>
      </c>
      <c r="D33" s="61" t="s">
        <v>202</v>
      </c>
      <c r="E33" s="61" t="s">
        <v>203</v>
      </c>
      <c r="F33" s="61" t="s">
        <v>147</v>
      </c>
      <c r="G33" s="61" t="s">
        <v>193</v>
      </c>
      <c r="H33" s="61" t="s">
        <v>27</v>
      </c>
      <c r="I33" s="61" t="s">
        <v>99</v>
      </c>
      <c r="J33" s="61" t="s">
        <v>100</v>
      </c>
      <c r="K33" s="61">
        <v>1</v>
      </c>
      <c r="L33" s="71">
        <v>1</v>
      </c>
      <c r="M33" s="61" t="s">
        <v>116</v>
      </c>
      <c r="N33" s="61">
        <v>2018</v>
      </c>
      <c r="O33" s="61" t="s">
        <v>97</v>
      </c>
      <c r="P33" s="63" t="s">
        <v>52</v>
      </c>
      <c r="Q33" s="61" t="s">
        <v>26</v>
      </c>
      <c r="R33" s="63" t="s">
        <v>26</v>
      </c>
      <c r="S33" s="66">
        <v>90</v>
      </c>
      <c r="T33" s="65">
        <v>0.9</v>
      </c>
      <c r="U33" s="81">
        <v>0.1</v>
      </c>
      <c r="V33" s="65">
        <v>0</v>
      </c>
    </row>
    <row r="34" spans="1:22" s="64" customFormat="1" x14ac:dyDescent="0.2">
      <c r="A34" s="61" t="s">
        <v>99</v>
      </c>
      <c r="B34" s="61" t="s">
        <v>100</v>
      </c>
      <c r="C34" s="61" t="s">
        <v>38</v>
      </c>
      <c r="D34" s="61" t="s">
        <v>145</v>
      </c>
      <c r="E34" s="61" t="s">
        <v>146</v>
      </c>
      <c r="F34" s="61" t="s">
        <v>147</v>
      </c>
      <c r="G34" s="61" t="s">
        <v>130</v>
      </c>
      <c r="H34" s="61" t="s">
        <v>27</v>
      </c>
      <c r="I34" s="61" t="s">
        <v>36</v>
      </c>
      <c r="J34" s="61" t="s">
        <v>37</v>
      </c>
      <c r="K34" s="61">
        <v>1</v>
      </c>
      <c r="L34" s="71">
        <v>1</v>
      </c>
      <c r="M34" s="61" t="s">
        <v>101</v>
      </c>
      <c r="N34" s="61">
        <v>2018</v>
      </c>
      <c r="O34" s="61" t="s">
        <v>97</v>
      </c>
      <c r="P34" s="63" t="s">
        <v>39</v>
      </c>
      <c r="Q34" s="61" t="s">
        <v>26</v>
      </c>
      <c r="R34" s="63" t="s">
        <v>26</v>
      </c>
      <c r="S34" s="66">
        <v>50</v>
      </c>
      <c r="T34" s="65">
        <v>0.5</v>
      </c>
      <c r="U34" s="81">
        <v>0.5</v>
      </c>
      <c r="V34" s="65">
        <v>0</v>
      </c>
    </row>
    <row r="35" spans="1:22" s="64" customFormat="1" x14ac:dyDescent="0.2">
      <c r="A35" s="61" t="s">
        <v>99</v>
      </c>
      <c r="B35" s="61" t="s">
        <v>100</v>
      </c>
      <c r="C35" s="61" t="s">
        <v>38</v>
      </c>
      <c r="D35" s="61" t="s">
        <v>204</v>
      </c>
      <c r="E35" s="61" t="s">
        <v>205</v>
      </c>
      <c r="F35" s="61" t="s">
        <v>206</v>
      </c>
      <c r="G35" s="61" t="s">
        <v>193</v>
      </c>
      <c r="H35" s="61" t="s">
        <v>27</v>
      </c>
      <c r="I35" s="61" t="s">
        <v>99</v>
      </c>
      <c r="J35" s="61" t="s">
        <v>100</v>
      </c>
      <c r="K35" s="61">
        <v>1</v>
      </c>
      <c r="L35" s="71">
        <v>1</v>
      </c>
      <c r="M35" s="61" t="s">
        <v>116</v>
      </c>
      <c r="N35" s="61">
        <v>2018</v>
      </c>
      <c r="O35" s="61" t="s">
        <v>97</v>
      </c>
      <c r="P35" s="63" t="s">
        <v>52</v>
      </c>
      <c r="Q35" s="61" t="s">
        <v>26</v>
      </c>
      <c r="R35" s="63" t="s">
        <v>26</v>
      </c>
      <c r="S35" s="66">
        <v>90</v>
      </c>
      <c r="T35" s="65">
        <v>0.9</v>
      </c>
      <c r="U35" s="81">
        <v>0.1</v>
      </c>
      <c r="V35" s="65">
        <v>0</v>
      </c>
    </row>
    <row r="36" spans="1:22" s="64" customFormat="1" x14ac:dyDescent="0.2">
      <c r="A36" s="61" t="s">
        <v>99</v>
      </c>
      <c r="B36" s="61" t="s">
        <v>100</v>
      </c>
      <c r="C36" s="61" t="s">
        <v>38</v>
      </c>
      <c r="D36" s="61" t="s">
        <v>207</v>
      </c>
      <c r="E36" s="61" t="s">
        <v>208</v>
      </c>
      <c r="F36" s="61" t="s">
        <v>109</v>
      </c>
      <c r="G36" s="61" t="s">
        <v>193</v>
      </c>
      <c r="H36" s="61" t="s">
        <v>27</v>
      </c>
      <c r="I36" s="61" t="s">
        <v>99</v>
      </c>
      <c r="J36" s="61" t="s">
        <v>100</v>
      </c>
      <c r="K36" s="61">
        <v>1</v>
      </c>
      <c r="L36" s="71">
        <v>1</v>
      </c>
      <c r="M36" s="61" t="s">
        <v>116</v>
      </c>
      <c r="N36" s="61">
        <v>2018</v>
      </c>
      <c r="O36" s="61" t="s">
        <v>97</v>
      </c>
      <c r="P36" s="63" t="s">
        <v>52</v>
      </c>
      <c r="Q36" s="61" t="s">
        <v>26</v>
      </c>
      <c r="R36" s="63" t="s">
        <v>26</v>
      </c>
      <c r="S36" s="66">
        <v>90</v>
      </c>
      <c r="T36" s="65">
        <v>0.9</v>
      </c>
      <c r="U36" s="81">
        <v>0.1</v>
      </c>
      <c r="V36" s="65">
        <v>0</v>
      </c>
    </row>
    <row r="37" spans="1:22" s="64" customFormat="1" x14ac:dyDescent="0.2">
      <c r="A37" s="61" t="s">
        <v>99</v>
      </c>
      <c r="B37" s="61" t="s">
        <v>100</v>
      </c>
      <c r="C37" s="61" t="s">
        <v>38</v>
      </c>
      <c r="D37" s="61" t="s">
        <v>148</v>
      </c>
      <c r="E37" s="61" t="s">
        <v>149</v>
      </c>
      <c r="F37" s="61" t="s">
        <v>150</v>
      </c>
      <c r="G37" s="61" t="s">
        <v>123</v>
      </c>
      <c r="H37" s="61" t="s">
        <v>27</v>
      </c>
      <c r="I37" s="61" t="s">
        <v>36</v>
      </c>
      <c r="J37" s="61" t="s">
        <v>37</v>
      </c>
      <c r="K37" s="61">
        <v>1</v>
      </c>
      <c r="L37" s="71">
        <v>1</v>
      </c>
      <c r="M37" s="61" t="s">
        <v>101</v>
      </c>
      <c r="N37" s="61">
        <v>2018</v>
      </c>
      <c r="O37" s="61" t="s">
        <v>97</v>
      </c>
      <c r="P37" s="63" t="s">
        <v>62</v>
      </c>
      <c r="Q37" s="61" t="s">
        <v>26</v>
      </c>
      <c r="R37" s="63" t="s">
        <v>26</v>
      </c>
      <c r="S37" s="66">
        <v>70</v>
      </c>
      <c r="T37" s="65">
        <v>0.7</v>
      </c>
      <c r="U37" s="81">
        <v>0.3</v>
      </c>
      <c r="V37" s="65">
        <v>0</v>
      </c>
    </row>
    <row r="38" spans="1:22" s="64" customFormat="1" x14ac:dyDescent="0.2">
      <c r="A38" s="61" t="s">
        <v>99</v>
      </c>
      <c r="B38" s="61" t="s">
        <v>100</v>
      </c>
      <c r="C38" s="61" t="s">
        <v>38</v>
      </c>
      <c r="D38" s="61" t="s">
        <v>151</v>
      </c>
      <c r="E38" s="61" t="s">
        <v>152</v>
      </c>
      <c r="F38" s="61" t="s">
        <v>153</v>
      </c>
      <c r="G38" s="61" t="s">
        <v>123</v>
      </c>
      <c r="H38" s="61" t="s">
        <v>27</v>
      </c>
      <c r="I38" s="61" t="s">
        <v>36</v>
      </c>
      <c r="J38" s="61" t="s">
        <v>37</v>
      </c>
      <c r="K38" s="61">
        <v>1</v>
      </c>
      <c r="L38" s="71">
        <v>1</v>
      </c>
      <c r="M38" s="61" t="s">
        <v>101</v>
      </c>
      <c r="N38" s="61">
        <v>2018</v>
      </c>
      <c r="O38" s="61" t="s">
        <v>97</v>
      </c>
      <c r="P38" s="63" t="s">
        <v>62</v>
      </c>
      <c r="Q38" s="61" t="s">
        <v>26</v>
      </c>
      <c r="R38" s="63" t="s">
        <v>26</v>
      </c>
      <c r="S38" s="66">
        <v>70</v>
      </c>
      <c r="T38" s="65">
        <v>0.7</v>
      </c>
      <c r="U38" s="81">
        <v>0.3</v>
      </c>
      <c r="V38" s="65">
        <v>0</v>
      </c>
    </row>
    <row r="39" spans="1:22" s="64" customFormat="1" x14ac:dyDescent="0.2">
      <c r="A39" s="61" t="s">
        <v>68</v>
      </c>
      <c r="B39" s="61" t="s">
        <v>69</v>
      </c>
      <c r="C39" s="61" t="s">
        <v>70</v>
      </c>
      <c r="D39" s="61" t="s">
        <v>187</v>
      </c>
      <c r="E39" s="61" t="s">
        <v>188</v>
      </c>
      <c r="F39" s="61" t="s">
        <v>189</v>
      </c>
      <c r="G39" s="61" t="s">
        <v>186</v>
      </c>
      <c r="H39" s="61" t="s">
        <v>25</v>
      </c>
      <c r="I39" s="61" t="s">
        <v>73</v>
      </c>
      <c r="J39" s="61" t="s">
        <v>74</v>
      </c>
      <c r="K39" s="61">
        <v>1</v>
      </c>
      <c r="L39" s="71">
        <v>0.5</v>
      </c>
      <c r="M39" s="61" t="s">
        <v>75</v>
      </c>
      <c r="N39" s="61">
        <v>2018</v>
      </c>
      <c r="O39" s="61" t="s">
        <v>97</v>
      </c>
      <c r="P39" s="63" t="s">
        <v>62</v>
      </c>
      <c r="Q39" s="61" t="s">
        <v>26</v>
      </c>
      <c r="R39" s="63" t="s">
        <v>26</v>
      </c>
      <c r="S39" s="66">
        <v>70</v>
      </c>
      <c r="T39" s="65">
        <v>0.35</v>
      </c>
      <c r="U39" s="81">
        <v>0.15</v>
      </c>
      <c r="V39" s="65">
        <v>0</v>
      </c>
    </row>
    <row r="40" spans="1:22" s="64" customFormat="1" x14ac:dyDescent="0.2">
      <c r="A40" s="61" t="s">
        <v>42</v>
      </c>
      <c r="B40" s="61" t="s">
        <v>43</v>
      </c>
      <c r="C40" s="61" t="s">
        <v>44</v>
      </c>
      <c r="D40" s="61" t="s">
        <v>170</v>
      </c>
      <c r="E40" s="61" t="s">
        <v>171</v>
      </c>
      <c r="F40" s="61" t="s">
        <v>172</v>
      </c>
      <c r="G40" s="61" t="s">
        <v>156</v>
      </c>
      <c r="H40" s="61" t="s">
        <v>27</v>
      </c>
      <c r="I40" s="61" t="s">
        <v>40</v>
      </c>
      <c r="J40" s="61" t="s">
        <v>41</v>
      </c>
      <c r="K40" s="61">
        <v>1</v>
      </c>
      <c r="L40" s="71">
        <v>1</v>
      </c>
      <c r="M40" s="61" t="s">
        <v>45</v>
      </c>
      <c r="N40" s="61">
        <v>2018</v>
      </c>
      <c r="O40" s="61" t="s">
        <v>97</v>
      </c>
      <c r="P40" s="63" t="s">
        <v>62</v>
      </c>
      <c r="Q40" s="61" t="s">
        <v>26</v>
      </c>
      <c r="R40" s="63" t="s">
        <v>26</v>
      </c>
      <c r="S40" s="66">
        <v>70</v>
      </c>
      <c r="T40" s="65">
        <v>0.7</v>
      </c>
      <c r="U40" s="81">
        <v>0.3</v>
      </c>
      <c r="V40" s="65">
        <v>0</v>
      </c>
    </row>
    <row r="41" spans="1:22" s="64" customFormat="1" x14ac:dyDescent="0.2">
      <c r="A41" s="61" t="s">
        <v>42</v>
      </c>
      <c r="B41" s="61" t="s">
        <v>43</v>
      </c>
      <c r="C41" s="61" t="s">
        <v>44</v>
      </c>
      <c r="D41" s="61" t="s">
        <v>117</v>
      </c>
      <c r="E41" s="61" t="s">
        <v>118</v>
      </c>
      <c r="F41" s="61" t="s">
        <v>88</v>
      </c>
      <c r="G41" s="61" t="s">
        <v>119</v>
      </c>
      <c r="H41" s="61" t="s">
        <v>25</v>
      </c>
      <c r="I41" s="61" t="s">
        <v>120</v>
      </c>
      <c r="J41" s="61" t="s">
        <v>121</v>
      </c>
      <c r="K41" s="61">
        <v>1</v>
      </c>
      <c r="L41" s="71">
        <v>0.5</v>
      </c>
      <c r="M41" s="61" t="s">
        <v>122</v>
      </c>
      <c r="N41" s="61">
        <v>2018</v>
      </c>
      <c r="O41" s="61" t="s">
        <v>97</v>
      </c>
      <c r="P41" s="63" t="s">
        <v>39</v>
      </c>
      <c r="Q41" s="61" t="s">
        <v>26</v>
      </c>
      <c r="R41" s="63" t="s">
        <v>26</v>
      </c>
      <c r="S41" s="66">
        <v>100</v>
      </c>
      <c r="T41" s="65">
        <v>0.5</v>
      </c>
      <c r="U41" s="81">
        <v>0</v>
      </c>
      <c r="V41" s="65">
        <v>0</v>
      </c>
    </row>
    <row r="42" spans="1:22" s="64" customFormat="1" x14ac:dyDescent="0.2">
      <c r="A42" s="72" t="s">
        <v>346</v>
      </c>
      <c r="B42" s="72" t="s">
        <v>347</v>
      </c>
      <c r="C42" s="72" t="s">
        <v>348</v>
      </c>
      <c r="D42" s="72" t="s">
        <v>349</v>
      </c>
      <c r="E42" s="72" t="s">
        <v>350</v>
      </c>
      <c r="F42" s="72" t="s">
        <v>351</v>
      </c>
      <c r="G42" s="72" t="s">
        <v>352</v>
      </c>
      <c r="H42" s="72" t="s">
        <v>25</v>
      </c>
      <c r="I42" s="72" t="s">
        <v>53</v>
      </c>
      <c r="J42" s="72" t="s">
        <v>54</v>
      </c>
      <c r="K42" s="72">
        <v>1</v>
      </c>
      <c r="L42" s="73">
        <v>0.5</v>
      </c>
      <c r="M42" s="72" t="s">
        <v>328</v>
      </c>
      <c r="N42" s="72">
        <v>2019</v>
      </c>
      <c r="O42" s="72" t="s">
        <v>97</v>
      </c>
      <c r="P42" s="74" t="s">
        <v>52</v>
      </c>
      <c r="Q42" s="72" t="s">
        <v>26</v>
      </c>
      <c r="R42" s="74" t="s">
        <v>26</v>
      </c>
      <c r="S42" s="75">
        <v>90</v>
      </c>
      <c r="T42" s="76">
        <v>0.45</v>
      </c>
      <c r="U42" s="83">
        <v>0.05</v>
      </c>
      <c r="V42" s="76">
        <v>0</v>
      </c>
    </row>
    <row r="43" spans="1:22" s="64" customFormat="1" x14ac:dyDescent="0.2">
      <c r="A43" s="72" t="s">
        <v>68</v>
      </c>
      <c r="B43" s="72" t="s">
        <v>69</v>
      </c>
      <c r="C43" s="72" t="s">
        <v>70</v>
      </c>
      <c r="D43" s="72" t="s">
        <v>303</v>
      </c>
      <c r="E43" s="72" t="s">
        <v>304</v>
      </c>
      <c r="F43" s="72" t="s">
        <v>305</v>
      </c>
      <c r="G43" s="72" t="s">
        <v>209</v>
      </c>
      <c r="H43" s="72" t="s">
        <v>27</v>
      </c>
      <c r="I43" s="72" t="s">
        <v>111</v>
      </c>
      <c r="J43" s="72" t="s">
        <v>112</v>
      </c>
      <c r="K43" s="72">
        <v>1</v>
      </c>
      <c r="L43" s="73">
        <v>1</v>
      </c>
      <c r="M43" s="72" t="s">
        <v>114</v>
      </c>
      <c r="N43" s="72">
        <v>2019</v>
      </c>
      <c r="O43" s="72" t="s">
        <v>97</v>
      </c>
      <c r="P43" s="74" t="s">
        <v>62</v>
      </c>
      <c r="Q43" s="72" t="s">
        <v>26</v>
      </c>
      <c r="R43" s="74" t="s">
        <v>26</v>
      </c>
      <c r="S43" s="75">
        <v>70</v>
      </c>
      <c r="T43" s="76">
        <v>0.7</v>
      </c>
      <c r="U43" s="83">
        <v>0.3</v>
      </c>
      <c r="V43" s="76">
        <v>0</v>
      </c>
    </row>
    <row r="44" spans="1:22" s="64" customFormat="1" x14ac:dyDescent="0.2">
      <c r="A44" s="72" t="s">
        <v>68</v>
      </c>
      <c r="B44" s="72" t="s">
        <v>69</v>
      </c>
      <c r="C44" s="72" t="s">
        <v>70</v>
      </c>
      <c r="D44" s="72" t="s">
        <v>299</v>
      </c>
      <c r="E44" s="72" t="s">
        <v>300</v>
      </c>
      <c r="F44" s="72" t="s">
        <v>301</v>
      </c>
      <c r="G44" s="72" t="s">
        <v>302</v>
      </c>
      <c r="H44" s="72" t="s">
        <v>25</v>
      </c>
      <c r="I44" s="72" t="s">
        <v>89</v>
      </c>
      <c r="J44" s="72" t="s">
        <v>90</v>
      </c>
      <c r="K44" s="72">
        <v>1</v>
      </c>
      <c r="L44" s="73">
        <v>0.5</v>
      </c>
      <c r="M44" s="72" t="s">
        <v>91</v>
      </c>
      <c r="N44" s="72">
        <v>2019</v>
      </c>
      <c r="O44" s="72" t="s">
        <v>97</v>
      </c>
      <c r="P44" s="74" t="s">
        <v>52</v>
      </c>
      <c r="Q44" s="72" t="s">
        <v>76</v>
      </c>
      <c r="R44" s="74" t="s">
        <v>46</v>
      </c>
      <c r="S44" s="75">
        <v>70</v>
      </c>
      <c r="T44" s="76">
        <v>0.35</v>
      </c>
      <c r="U44" s="83">
        <v>0.05</v>
      </c>
      <c r="V44" s="76">
        <v>0.1</v>
      </c>
    </row>
    <row r="45" spans="1:22" s="64" customFormat="1" x14ac:dyDescent="0.2">
      <c r="A45" s="72" t="s">
        <v>68</v>
      </c>
      <c r="B45" s="72" t="s">
        <v>69</v>
      </c>
      <c r="C45" s="72" t="s">
        <v>70</v>
      </c>
      <c r="D45" s="72" t="s">
        <v>353</v>
      </c>
      <c r="E45" s="72" t="s">
        <v>354</v>
      </c>
      <c r="F45" s="72" t="s">
        <v>355</v>
      </c>
      <c r="G45" s="72" t="s">
        <v>356</v>
      </c>
      <c r="H45" s="72" t="s">
        <v>27</v>
      </c>
      <c r="I45" s="72" t="s">
        <v>63</v>
      </c>
      <c r="J45" s="72" t="s">
        <v>64</v>
      </c>
      <c r="K45" s="72">
        <v>1</v>
      </c>
      <c r="L45" s="73">
        <v>1</v>
      </c>
      <c r="M45" s="72" t="s">
        <v>115</v>
      </c>
      <c r="N45" s="72">
        <v>2019</v>
      </c>
      <c r="O45" s="72" t="s">
        <v>97</v>
      </c>
      <c r="P45" s="74" t="s">
        <v>39</v>
      </c>
      <c r="Q45" s="72" t="s">
        <v>26</v>
      </c>
      <c r="R45" s="74" t="s">
        <v>26</v>
      </c>
      <c r="S45" s="75">
        <v>50</v>
      </c>
      <c r="T45" s="76">
        <v>0.5</v>
      </c>
      <c r="U45" s="83">
        <v>0.5</v>
      </c>
      <c r="V45" s="76">
        <v>0</v>
      </c>
    </row>
    <row r="46" spans="1:22" s="64" customFormat="1" x14ac:dyDescent="0.2">
      <c r="A46" s="78" t="s">
        <v>42</v>
      </c>
      <c r="B46" s="78" t="s">
        <v>43</v>
      </c>
      <c r="C46" s="78" t="s">
        <v>44</v>
      </c>
      <c r="D46" s="78" t="s">
        <v>296</v>
      </c>
      <c r="E46" s="78" t="s">
        <v>297</v>
      </c>
      <c r="F46" s="78" t="s">
        <v>298</v>
      </c>
      <c r="G46" s="78" t="s">
        <v>159</v>
      </c>
      <c r="H46" s="78" t="s">
        <v>27</v>
      </c>
      <c r="I46" s="78" t="s">
        <v>40</v>
      </c>
      <c r="J46" s="78" t="s">
        <v>41</v>
      </c>
      <c r="K46" s="78">
        <v>1</v>
      </c>
      <c r="L46" s="100">
        <v>1</v>
      </c>
      <c r="M46" s="78" t="s">
        <v>45</v>
      </c>
      <c r="N46" s="78">
        <v>2019</v>
      </c>
      <c r="O46" s="78" t="s">
        <v>97</v>
      </c>
      <c r="P46" s="101" t="s">
        <v>52</v>
      </c>
      <c r="Q46" s="78" t="s">
        <v>26</v>
      </c>
      <c r="R46" s="101" t="s">
        <v>26</v>
      </c>
      <c r="S46" s="102">
        <v>90</v>
      </c>
      <c r="T46" s="103">
        <v>0.9</v>
      </c>
      <c r="U46" s="104">
        <v>0.1</v>
      </c>
      <c r="V46" s="103">
        <v>0</v>
      </c>
    </row>
    <row r="47" spans="1:22" s="77" customFormat="1" x14ac:dyDescent="0.2">
      <c r="A47" s="62" t="s">
        <v>423</v>
      </c>
      <c r="B47" s="62" t="s">
        <v>424</v>
      </c>
      <c r="C47" s="62" t="s">
        <v>456</v>
      </c>
      <c r="D47" s="62" t="s">
        <v>466</v>
      </c>
      <c r="E47" s="62" t="s">
        <v>467</v>
      </c>
      <c r="F47" s="62" t="s">
        <v>468</v>
      </c>
      <c r="G47" s="62" t="s">
        <v>461</v>
      </c>
      <c r="H47" s="62" t="s">
        <v>27</v>
      </c>
      <c r="I47" s="62" t="s">
        <v>423</v>
      </c>
      <c r="J47" s="62" t="s">
        <v>424</v>
      </c>
      <c r="K47" s="62">
        <v>1</v>
      </c>
      <c r="L47" s="62">
        <v>1</v>
      </c>
      <c r="M47" s="62" t="s">
        <v>50</v>
      </c>
      <c r="N47" s="105">
        <v>2019</v>
      </c>
      <c r="O47" s="62" t="s">
        <v>97</v>
      </c>
      <c r="P47" s="106" t="s">
        <v>39</v>
      </c>
      <c r="Q47" s="62" t="s">
        <v>30</v>
      </c>
      <c r="R47" s="106" t="s">
        <v>52</v>
      </c>
      <c r="S47" s="62">
        <v>40</v>
      </c>
      <c r="T47" s="62">
        <v>0.4</v>
      </c>
      <c r="U47" s="80">
        <v>0.5</v>
      </c>
      <c r="V47" s="62">
        <v>0.1</v>
      </c>
    </row>
    <row r="48" spans="1:22" s="64" customFormat="1" x14ac:dyDescent="0.2">
      <c r="A48" s="61" t="s">
        <v>99</v>
      </c>
      <c r="B48" s="61" t="s">
        <v>100</v>
      </c>
      <c r="C48" s="61" t="s">
        <v>38</v>
      </c>
      <c r="D48" s="61" t="s">
        <v>357</v>
      </c>
      <c r="E48" s="61" t="s">
        <v>358</v>
      </c>
      <c r="F48" s="61" t="s">
        <v>359</v>
      </c>
      <c r="G48" s="61" t="s">
        <v>123</v>
      </c>
      <c r="H48" s="61" t="s">
        <v>27</v>
      </c>
      <c r="I48" s="61" t="s">
        <v>36</v>
      </c>
      <c r="J48" s="61" t="s">
        <v>37</v>
      </c>
      <c r="K48" s="61">
        <v>1</v>
      </c>
      <c r="L48" s="62">
        <v>1</v>
      </c>
      <c r="M48" s="62" t="s">
        <v>101</v>
      </c>
      <c r="N48" s="78">
        <v>2019</v>
      </c>
      <c r="O48" s="61" t="s">
        <v>97</v>
      </c>
      <c r="P48" s="63" t="s">
        <v>62</v>
      </c>
      <c r="Q48" s="61" t="s">
        <v>26</v>
      </c>
      <c r="R48" s="63" t="s">
        <v>26</v>
      </c>
      <c r="S48" s="61">
        <v>70</v>
      </c>
      <c r="T48" s="61">
        <v>0.7</v>
      </c>
      <c r="U48" s="80">
        <v>0.3</v>
      </c>
      <c r="V48" s="61">
        <v>0</v>
      </c>
    </row>
    <row r="49" spans="1:22" s="64" customFormat="1" x14ac:dyDescent="0.2">
      <c r="A49" s="61" t="s">
        <v>99</v>
      </c>
      <c r="B49" s="61" t="s">
        <v>100</v>
      </c>
      <c r="C49" s="61" t="s">
        <v>38</v>
      </c>
      <c r="D49" s="61" t="s">
        <v>360</v>
      </c>
      <c r="E49" s="61" t="s">
        <v>361</v>
      </c>
      <c r="F49" s="61" t="s">
        <v>362</v>
      </c>
      <c r="G49" s="61" t="s">
        <v>363</v>
      </c>
      <c r="H49" s="61" t="s">
        <v>25</v>
      </c>
      <c r="I49" s="61" t="s">
        <v>36</v>
      </c>
      <c r="J49" s="61" t="s">
        <v>37</v>
      </c>
      <c r="K49" s="61">
        <v>1</v>
      </c>
      <c r="L49" s="62">
        <v>0.5</v>
      </c>
      <c r="M49" s="62" t="s">
        <v>101</v>
      </c>
      <c r="N49" s="78">
        <v>2019</v>
      </c>
      <c r="O49" s="61" t="s">
        <v>97</v>
      </c>
      <c r="P49" s="63" t="s">
        <v>62</v>
      </c>
      <c r="Q49" s="61" t="s">
        <v>76</v>
      </c>
      <c r="R49" s="63" t="s">
        <v>46</v>
      </c>
      <c r="S49" s="61">
        <v>50</v>
      </c>
      <c r="T49" s="61">
        <v>0.25</v>
      </c>
      <c r="U49" s="80">
        <v>0.15</v>
      </c>
      <c r="V49" s="61">
        <v>0.1</v>
      </c>
    </row>
    <row r="50" spans="1:22" s="64" customFormat="1" x14ac:dyDescent="0.2">
      <c r="A50" s="61" t="s">
        <v>99</v>
      </c>
      <c r="B50" s="61" t="s">
        <v>100</v>
      </c>
      <c r="C50" s="61" t="s">
        <v>38</v>
      </c>
      <c r="D50" s="61" t="s">
        <v>360</v>
      </c>
      <c r="E50" s="61" t="s">
        <v>361</v>
      </c>
      <c r="F50" s="61" t="s">
        <v>362</v>
      </c>
      <c r="G50" s="61" t="s">
        <v>364</v>
      </c>
      <c r="H50" s="61" t="s">
        <v>25</v>
      </c>
      <c r="I50" s="61" t="s">
        <v>36</v>
      </c>
      <c r="J50" s="61" t="s">
        <v>37</v>
      </c>
      <c r="K50" s="61">
        <v>1</v>
      </c>
      <c r="L50" s="62">
        <v>0.5</v>
      </c>
      <c r="M50" s="62" t="s">
        <v>101</v>
      </c>
      <c r="N50" s="78">
        <v>2019</v>
      </c>
      <c r="O50" s="61" t="s">
        <v>97</v>
      </c>
      <c r="P50" s="63" t="s">
        <v>62</v>
      </c>
      <c r="Q50" s="61" t="s">
        <v>76</v>
      </c>
      <c r="R50" s="63" t="s">
        <v>46</v>
      </c>
      <c r="S50" s="61">
        <v>50</v>
      </c>
      <c r="T50" s="61">
        <v>0.25</v>
      </c>
      <c r="U50" s="80">
        <v>0.15</v>
      </c>
      <c r="V50" s="61">
        <v>0.1</v>
      </c>
    </row>
    <row r="51" spans="1:22" s="64" customFormat="1" x14ac:dyDescent="0.2">
      <c r="A51" s="61" t="s">
        <v>99</v>
      </c>
      <c r="B51" s="61" t="s">
        <v>100</v>
      </c>
      <c r="C51" s="61" t="s">
        <v>38</v>
      </c>
      <c r="D51" s="61" t="s">
        <v>365</v>
      </c>
      <c r="E51" s="61" t="s">
        <v>366</v>
      </c>
      <c r="F51" s="61" t="s">
        <v>367</v>
      </c>
      <c r="G51" s="61" t="s">
        <v>142</v>
      </c>
      <c r="H51" s="61" t="s">
        <v>27</v>
      </c>
      <c r="I51" s="61" t="s">
        <v>36</v>
      </c>
      <c r="J51" s="61" t="s">
        <v>37</v>
      </c>
      <c r="K51" s="61">
        <v>1</v>
      </c>
      <c r="L51" s="62">
        <v>1</v>
      </c>
      <c r="M51" s="62" t="s">
        <v>101</v>
      </c>
      <c r="N51" s="78">
        <v>2019</v>
      </c>
      <c r="O51" s="61" t="s">
        <v>97</v>
      </c>
      <c r="P51" s="63" t="s">
        <v>55</v>
      </c>
      <c r="Q51" s="61" t="s">
        <v>26</v>
      </c>
      <c r="R51" s="63" t="s">
        <v>26</v>
      </c>
      <c r="S51" s="61">
        <v>20</v>
      </c>
      <c r="T51" s="61">
        <v>0.2</v>
      </c>
      <c r="U51" s="80">
        <v>0.8</v>
      </c>
      <c r="V51" s="61">
        <v>0</v>
      </c>
    </row>
    <row r="52" spans="1:22" s="64" customFormat="1" x14ac:dyDescent="0.2">
      <c r="A52" s="61" t="s">
        <v>99</v>
      </c>
      <c r="B52" s="61" t="s">
        <v>100</v>
      </c>
      <c r="C52" s="61" t="s">
        <v>38</v>
      </c>
      <c r="D52" s="61" t="s">
        <v>368</v>
      </c>
      <c r="E52" s="61" t="s">
        <v>369</v>
      </c>
      <c r="F52" s="61" t="s">
        <v>359</v>
      </c>
      <c r="G52" s="61" t="s">
        <v>123</v>
      </c>
      <c r="H52" s="61" t="s">
        <v>27</v>
      </c>
      <c r="I52" s="61" t="s">
        <v>36</v>
      </c>
      <c r="J52" s="61" t="s">
        <v>37</v>
      </c>
      <c r="K52" s="61">
        <v>1</v>
      </c>
      <c r="L52" s="62">
        <v>1</v>
      </c>
      <c r="M52" s="62" t="s">
        <v>101</v>
      </c>
      <c r="N52" s="78">
        <v>2019</v>
      </c>
      <c r="O52" s="61" t="s">
        <v>97</v>
      </c>
      <c r="P52" s="63" t="s">
        <v>62</v>
      </c>
      <c r="Q52" s="61" t="s">
        <v>26</v>
      </c>
      <c r="R52" s="63" t="s">
        <v>26</v>
      </c>
      <c r="S52" s="61">
        <v>70</v>
      </c>
      <c r="T52" s="61">
        <v>0.7</v>
      </c>
      <c r="U52" s="80">
        <v>0.3</v>
      </c>
      <c r="V52" s="61">
        <v>0</v>
      </c>
    </row>
    <row r="53" spans="1:22" s="64" customFormat="1" x14ac:dyDescent="0.2">
      <c r="A53" s="61" t="s">
        <v>68</v>
      </c>
      <c r="B53" s="61" t="s">
        <v>69</v>
      </c>
      <c r="C53" s="61" t="s">
        <v>70</v>
      </c>
      <c r="D53" s="61" t="s">
        <v>370</v>
      </c>
      <c r="E53" s="61" t="s">
        <v>371</v>
      </c>
      <c r="F53" s="61" t="s">
        <v>372</v>
      </c>
      <c r="G53" s="61" t="s">
        <v>209</v>
      </c>
      <c r="H53" s="61" t="s">
        <v>25</v>
      </c>
      <c r="I53" s="61" t="s">
        <v>111</v>
      </c>
      <c r="J53" s="61" t="s">
        <v>112</v>
      </c>
      <c r="K53" s="61">
        <v>1</v>
      </c>
      <c r="L53" s="62">
        <v>0.5</v>
      </c>
      <c r="M53" s="62" t="s">
        <v>114</v>
      </c>
      <c r="N53" s="78">
        <v>2019</v>
      </c>
      <c r="O53" s="61" t="s">
        <v>97</v>
      </c>
      <c r="P53" s="63" t="s">
        <v>62</v>
      </c>
      <c r="Q53" s="61" t="s">
        <v>340</v>
      </c>
      <c r="R53" s="63" t="s">
        <v>62</v>
      </c>
      <c r="S53" s="61">
        <v>40</v>
      </c>
      <c r="T53" s="61">
        <v>0.2</v>
      </c>
      <c r="U53" s="80">
        <v>0.15</v>
      </c>
      <c r="V53" s="61">
        <v>0.15</v>
      </c>
    </row>
    <row r="54" spans="1:22" s="64" customFormat="1" x14ac:dyDescent="0.2">
      <c r="A54" s="61" t="s">
        <v>68</v>
      </c>
      <c r="B54" s="61" t="s">
        <v>69</v>
      </c>
      <c r="C54" s="61" t="s">
        <v>70</v>
      </c>
      <c r="D54" s="61" t="s">
        <v>373</v>
      </c>
      <c r="E54" s="61" t="s">
        <v>374</v>
      </c>
      <c r="F54" s="61" t="s">
        <v>375</v>
      </c>
      <c r="G54" s="61" t="s">
        <v>142</v>
      </c>
      <c r="H54" s="61" t="s">
        <v>25</v>
      </c>
      <c r="I54" s="61" t="s">
        <v>36</v>
      </c>
      <c r="J54" s="61" t="s">
        <v>37</v>
      </c>
      <c r="K54" s="61">
        <v>1</v>
      </c>
      <c r="L54" s="62">
        <v>0.5</v>
      </c>
      <c r="M54" s="62" t="s">
        <v>101</v>
      </c>
      <c r="N54" s="78">
        <v>2019</v>
      </c>
      <c r="O54" s="61" t="s">
        <v>97</v>
      </c>
      <c r="P54" s="63" t="s">
        <v>55</v>
      </c>
      <c r="Q54" s="61" t="s">
        <v>26</v>
      </c>
      <c r="R54" s="63" t="s">
        <v>26</v>
      </c>
      <c r="S54" s="61">
        <v>20</v>
      </c>
      <c r="T54" s="61">
        <v>0.1</v>
      </c>
      <c r="U54" s="80">
        <v>0.4</v>
      </c>
      <c r="V54" s="61">
        <v>0</v>
      </c>
    </row>
    <row r="55" spans="1:22" s="64" customFormat="1" x14ac:dyDescent="0.2">
      <c r="A55" s="61" t="s">
        <v>68</v>
      </c>
      <c r="B55" s="61" t="s">
        <v>69</v>
      </c>
      <c r="C55" s="61" t="s">
        <v>70</v>
      </c>
      <c r="D55" s="61" t="s">
        <v>373</v>
      </c>
      <c r="E55" s="61" t="s">
        <v>374</v>
      </c>
      <c r="F55" s="61" t="s">
        <v>375</v>
      </c>
      <c r="G55" s="61" t="s">
        <v>209</v>
      </c>
      <c r="H55" s="61" t="s">
        <v>25</v>
      </c>
      <c r="I55" s="61" t="s">
        <v>111</v>
      </c>
      <c r="J55" s="61" t="s">
        <v>112</v>
      </c>
      <c r="K55" s="61">
        <v>1</v>
      </c>
      <c r="L55" s="62">
        <v>0.5</v>
      </c>
      <c r="M55" s="62" t="s">
        <v>114</v>
      </c>
      <c r="N55" s="78">
        <v>2019</v>
      </c>
      <c r="O55" s="61" t="s">
        <v>97</v>
      </c>
      <c r="P55" s="63" t="s">
        <v>62</v>
      </c>
      <c r="Q55" s="61" t="s">
        <v>340</v>
      </c>
      <c r="R55" s="63" t="s">
        <v>62</v>
      </c>
      <c r="S55" s="61">
        <v>40</v>
      </c>
      <c r="T55" s="61">
        <v>0.2</v>
      </c>
      <c r="U55" s="80">
        <v>0.15</v>
      </c>
      <c r="V55" s="61">
        <v>0.15</v>
      </c>
    </row>
    <row r="56" spans="1:22" s="64" customFormat="1" ht="10.8" thickBot="1" x14ac:dyDescent="0.25">
      <c r="A56" s="61" t="s">
        <v>68</v>
      </c>
      <c r="B56" s="61" t="s">
        <v>69</v>
      </c>
      <c r="C56" s="61" t="s">
        <v>70</v>
      </c>
      <c r="D56" s="61" t="s">
        <v>376</v>
      </c>
      <c r="E56" s="61" t="s">
        <v>377</v>
      </c>
      <c r="F56" s="61" t="s">
        <v>378</v>
      </c>
      <c r="G56" s="61" t="s">
        <v>379</v>
      </c>
      <c r="H56" s="61" t="s">
        <v>27</v>
      </c>
      <c r="I56" s="61" t="s">
        <v>65</v>
      </c>
      <c r="J56" s="61" t="s">
        <v>66</v>
      </c>
      <c r="K56" s="61">
        <v>1</v>
      </c>
      <c r="L56" s="62">
        <v>1</v>
      </c>
      <c r="M56" s="62" t="s">
        <v>67</v>
      </c>
      <c r="N56" s="78">
        <v>2019</v>
      </c>
      <c r="O56" s="61" t="s">
        <v>97</v>
      </c>
      <c r="P56" s="63" t="s">
        <v>39</v>
      </c>
      <c r="Q56" s="61" t="s">
        <v>26</v>
      </c>
      <c r="R56" s="63" t="s">
        <v>26</v>
      </c>
      <c r="S56" s="61">
        <v>50</v>
      </c>
      <c r="T56" s="61">
        <v>0.5</v>
      </c>
      <c r="U56" s="80">
        <v>0.5</v>
      </c>
      <c r="V56" s="61">
        <v>0</v>
      </c>
    </row>
    <row r="57" spans="1:22" s="64" customFormat="1" ht="10.8" thickBot="1" x14ac:dyDescent="0.25">
      <c r="A57" s="26" t="s">
        <v>36</v>
      </c>
      <c r="B57" s="26" t="s">
        <v>37</v>
      </c>
      <c r="C57" s="26" t="s">
        <v>38</v>
      </c>
      <c r="D57" s="26" t="s">
        <v>380</v>
      </c>
      <c r="E57" s="26" t="s">
        <v>381</v>
      </c>
      <c r="F57" s="26" t="s">
        <v>382</v>
      </c>
      <c r="G57" s="27" t="s">
        <v>356</v>
      </c>
      <c r="H57" s="28" t="s">
        <v>27</v>
      </c>
      <c r="I57" s="28" t="s">
        <v>63</v>
      </c>
      <c r="J57" s="29" t="s">
        <v>64</v>
      </c>
      <c r="K57" s="61">
        <v>1</v>
      </c>
      <c r="L57" s="62">
        <v>1</v>
      </c>
      <c r="M57" s="62" t="s">
        <v>115</v>
      </c>
      <c r="N57" s="61">
        <v>2020</v>
      </c>
      <c r="O57" s="61" t="s">
        <v>97</v>
      </c>
      <c r="P57" s="63" t="s">
        <v>39</v>
      </c>
      <c r="Q57" s="61" t="s">
        <v>26</v>
      </c>
      <c r="R57" s="63" t="s">
        <v>26</v>
      </c>
      <c r="S57" s="61">
        <v>50</v>
      </c>
      <c r="T57" s="61">
        <v>0.5</v>
      </c>
      <c r="U57" s="80">
        <v>0.5</v>
      </c>
      <c r="V57" s="61">
        <v>0</v>
      </c>
    </row>
    <row r="58" spans="1:22" s="64" customFormat="1" ht="10.8" thickBot="1" x14ac:dyDescent="0.25">
      <c r="A58" s="26" t="s">
        <v>36</v>
      </c>
      <c r="B58" s="26" t="s">
        <v>37</v>
      </c>
      <c r="C58" s="26" t="s">
        <v>38</v>
      </c>
      <c r="D58" s="26" t="s">
        <v>383</v>
      </c>
      <c r="E58" s="26" t="s">
        <v>384</v>
      </c>
      <c r="F58" s="26" t="s">
        <v>385</v>
      </c>
      <c r="G58" s="27" t="s">
        <v>386</v>
      </c>
      <c r="H58" s="28" t="s">
        <v>27</v>
      </c>
      <c r="I58" s="28" t="s">
        <v>73</v>
      </c>
      <c r="J58" s="29" t="s">
        <v>74</v>
      </c>
      <c r="K58" s="61">
        <v>1</v>
      </c>
      <c r="L58" s="62">
        <v>1</v>
      </c>
      <c r="M58" s="62" t="s">
        <v>75</v>
      </c>
      <c r="N58" s="61">
        <v>2020</v>
      </c>
      <c r="O58" s="61" t="s">
        <v>97</v>
      </c>
      <c r="P58" s="63" t="s">
        <v>39</v>
      </c>
      <c r="Q58" s="61" t="s">
        <v>26</v>
      </c>
      <c r="R58" s="63" t="s">
        <v>26</v>
      </c>
      <c r="S58" s="61">
        <v>50</v>
      </c>
      <c r="T58" s="61">
        <v>0.5</v>
      </c>
      <c r="U58" s="80">
        <v>0.5</v>
      </c>
      <c r="V58" s="61">
        <v>0</v>
      </c>
    </row>
    <row r="59" spans="1:22" s="64" customFormat="1" ht="10.8" thickBot="1" x14ac:dyDescent="0.25">
      <c r="A59" s="26" t="s">
        <v>36</v>
      </c>
      <c r="B59" s="26" t="s">
        <v>37</v>
      </c>
      <c r="C59" s="26" t="s">
        <v>38</v>
      </c>
      <c r="D59" s="26" t="s">
        <v>387</v>
      </c>
      <c r="E59" s="26" t="s">
        <v>388</v>
      </c>
      <c r="F59" s="26" t="s">
        <v>389</v>
      </c>
      <c r="G59" s="27" t="s">
        <v>386</v>
      </c>
      <c r="H59" s="28" t="s">
        <v>27</v>
      </c>
      <c r="I59" s="28" t="s">
        <v>73</v>
      </c>
      <c r="J59" s="29" t="s">
        <v>74</v>
      </c>
      <c r="K59" s="61">
        <v>1</v>
      </c>
      <c r="L59" s="62">
        <v>1</v>
      </c>
      <c r="M59" s="62" t="s">
        <v>75</v>
      </c>
      <c r="N59" s="61">
        <v>2020</v>
      </c>
      <c r="O59" s="61" t="s">
        <v>97</v>
      </c>
      <c r="P59" s="63" t="s">
        <v>39</v>
      </c>
      <c r="Q59" s="61" t="s">
        <v>26</v>
      </c>
      <c r="R59" s="63" t="s">
        <v>26</v>
      </c>
      <c r="S59" s="61">
        <v>50</v>
      </c>
      <c r="T59" s="61">
        <v>0.5</v>
      </c>
      <c r="U59" s="80">
        <v>0.5</v>
      </c>
      <c r="V59" s="61">
        <v>0</v>
      </c>
    </row>
    <row r="60" spans="1:22" s="64" customFormat="1" ht="10.8" thickBot="1" x14ac:dyDescent="0.25">
      <c r="A60" s="26" t="s">
        <v>36</v>
      </c>
      <c r="B60" s="26" t="s">
        <v>37</v>
      </c>
      <c r="C60" s="26" t="s">
        <v>38</v>
      </c>
      <c r="D60" s="26" t="s">
        <v>501</v>
      </c>
      <c r="E60" s="26" t="s">
        <v>390</v>
      </c>
      <c r="F60" s="26" t="s">
        <v>391</v>
      </c>
      <c r="G60" s="27" t="s">
        <v>363</v>
      </c>
      <c r="H60" s="28" t="s">
        <v>27</v>
      </c>
      <c r="I60" s="28" t="s">
        <v>36</v>
      </c>
      <c r="J60" s="29" t="s">
        <v>37</v>
      </c>
      <c r="K60" s="61">
        <v>1</v>
      </c>
      <c r="L60" s="62">
        <v>1</v>
      </c>
      <c r="M60" s="62" t="s">
        <v>101</v>
      </c>
      <c r="N60" s="61">
        <v>2020</v>
      </c>
      <c r="O60" s="61" t="s">
        <v>97</v>
      </c>
      <c r="P60" s="63" t="s">
        <v>62</v>
      </c>
      <c r="Q60" s="61" t="s">
        <v>76</v>
      </c>
      <c r="R60" s="63" t="s">
        <v>46</v>
      </c>
      <c r="S60" s="61">
        <v>50</v>
      </c>
      <c r="T60" s="61">
        <v>0.5</v>
      </c>
      <c r="U60" s="80">
        <v>0.3</v>
      </c>
      <c r="V60" s="61">
        <v>0.2</v>
      </c>
    </row>
    <row r="61" spans="1:22" s="64" customFormat="1" ht="10.8" thickBot="1" x14ac:dyDescent="0.25">
      <c r="A61" s="26" t="s">
        <v>99</v>
      </c>
      <c r="B61" s="26" t="s">
        <v>100</v>
      </c>
      <c r="C61" s="26" t="s">
        <v>38</v>
      </c>
      <c r="D61" s="26" t="s">
        <v>392</v>
      </c>
      <c r="E61" s="26" t="s">
        <v>393</v>
      </c>
      <c r="F61" s="26" t="s">
        <v>394</v>
      </c>
      <c r="G61" s="27" t="s">
        <v>123</v>
      </c>
      <c r="H61" s="28" t="s">
        <v>27</v>
      </c>
      <c r="I61" s="28" t="s">
        <v>36</v>
      </c>
      <c r="J61" s="29" t="s">
        <v>37</v>
      </c>
      <c r="K61" s="61">
        <v>1</v>
      </c>
      <c r="L61" s="62">
        <v>1</v>
      </c>
      <c r="M61" s="62" t="s">
        <v>101</v>
      </c>
      <c r="N61" s="61">
        <v>2020</v>
      </c>
      <c r="O61" s="61" t="s">
        <v>97</v>
      </c>
      <c r="P61" s="63" t="s">
        <v>62</v>
      </c>
      <c r="Q61" s="61" t="s">
        <v>26</v>
      </c>
      <c r="R61" s="63" t="s">
        <v>26</v>
      </c>
      <c r="S61" s="61">
        <v>70</v>
      </c>
      <c r="T61" s="61">
        <v>0.7</v>
      </c>
      <c r="U61" s="80">
        <v>0.3</v>
      </c>
      <c r="V61" s="61">
        <v>0</v>
      </c>
    </row>
    <row r="62" spans="1:22" s="64" customFormat="1" ht="10.8" thickBot="1" x14ac:dyDescent="0.25">
      <c r="A62" s="26" t="s">
        <v>99</v>
      </c>
      <c r="B62" s="26" t="s">
        <v>100</v>
      </c>
      <c r="C62" s="26" t="s">
        <v>38</v>
      </c>
      <c r="D62" s="26" t="s">
        <v>395</v>
      </c>
      <c r="E62" s="26" t="s">
        <v>396</v>
      </c>
      <c r="F62" s="26" t="s">
        <v>397</v>
      </c>
      <c r="G62" s="27" t="s">
        <v>193</v>
      </c>
      <c r="H62" s="28" t="s">
        <v>25</v>
      </c>
      <c r="I62" s="28" t="s">
        <v>99</v>
      </c>
      <c r="J62" s="29" t="s">
        <v>100</v>
      </c>
      <c r="K62" s="61">
        <v>1</v>
      </c>
      <c r="L62" s="62">
        <v>0.5</v>
      </c>
      <c r="M62" s="62" t="s">
        <v>116</v>
      </c>
      <c r="N62" s="61">
        <v>2020</v>
      </c>
      <c r="O62" s="61" t="s">
        <v>97</v>
      </c>
      <c r="P62" s="63" t="s">
        <v>52</v>
      </c>
      <c r="Q62" s="61" t="s">
        <v>26</v>
      </c>
      <c r="R62" s="63" t="s">
        <v>26</v>
      </c>
      <c r="S62" s="61">
        <v>90</v>
      </c>
      <c r="T62" s="61">
        <v>0.45</v>
      </c>
      <c r="U62" s="80">
        <v>0.05</v>
      </c>
      <c r="V62" s="61">
        <v>0</v>
      </c>
    </row>
    <row r="63" spans="1:22" s="64" customFormat="1" ht="10.8" thickBot="1" x14ac:dyDescent="0.25">
      <c r="A63" s="26" t="s">
        <v>99</v>
      </c>
      <c r="B63" s="26" t="s">
        <v>100</v>
      </c>
      <c r="C63" s="26" t="s">
        <v>38</v>
      </c>
      <c r="D63" s="26" t="s">
        <v>398</v>
      </c>
      <c r="E63" s="26" t="s">
        <v>399</v>
      </c>
      <c r="F63" s="26" t="s">
        <v>400</v>
      </c>
      <c r="G63" s="27" t="s">
        <v>363</v>
      </c>
      <c r="H63" s="28" t="s">
        <v>27</v>
      </c>
      <c r="I63" s="28" t="s">
        <v>36</v>
      </c>
      <c r="J63" s="29" t="s">
        <v>37</v>
      </c>
      <c r="K63" s="61">
        <v>1</v>
      </c>
      <c r="L63" s="62">
        <v>1</v>
      </c>
      <c r="M63" s="62" t="s">
        <v>101</v>
      </c>
      <c r="N63" s="61">
        <v>2020</v>
      </c>
      <c r="O63" s="61" t="s">
        <v>97</v>
      </c>
      <c r="P63" s="63" t="s">
        <v>62</v>
      </c>
      <c r="Q63" s="61" t="s">
        <v>76</v>
      </c>
      <c r="R63" s="63" t="s">
        <v>46</v>
      </c>
      <c r="S63" s="61">
        <v>50</v>
      </c>
      <c r="T63" s="61">
        <v>0.5</v>
      </c>
      <c r="U63" s="80">
        <v>0.3</v>
      </c>
      <c r="V63" s="61">
        <v>0.2</v>
      </c>
    </row>
    <row r="64" spans="1:22" s="64" customFormat="1" ht="10.8" thickBot="1" x14ac:dyDescent="0.25">
      <c r="A64" s="26" t="s">
        <v>99</v>
      </c>
      <c r="B64" s="26" t="s">
        <v>100</v>
      </c>
      <c r="C64" s="26" t="s">
        <v>38</v>
      </c>
      <c r="D64" s="26" t="s">
        <v>401</v>
      </c>
      <c r="E64" s="26" t="s">
        <v>402</v>
      </c>
      <c r="F64" s="26" t="s">
        <v>403</v>
      </c>
      <c r="G64" s="27" t="s">
        <v>123</v>
      </c>
      <c r="H64" s="28" t="s">
        <v>27</v>
      </c>
      <c r="I64" s="28" t="s">
        <v>36</v>
      </c>
      <c r="J64" s="29" t="s">
        <v>37</v>
      </c>
      <c r="K64" s="61">
        <v>1</v>
      </c>
      <c r="L64" s="62">
        <v>1</v>
      </c>
      <c r="M64" s="62" t="s">
        <v>101</v>
      </c>
      <c r="N64" s="61">
        <v>2020</v>
      </c>
      <c r="O64" s="61" t="s">
        <v>97</v>
      </c>
      <c r="P64" s="63" t="s">
        <v>62</v>
      </c>
      <c r="Q64" s="61" t="s">
        <v>26</v>
      </c>
      <c r="R64" s="63" t="s">
        <v>26</v>
      </c>
      <c r="S64" s="61">
        <v>70</v>
      </c>
      <c r="T64" s="61">
        <v>0.7</v>
      </c>
      <c r="U64" s="80">
        <v>0.3</v>
      </c>
      <c r="V64" s="61">
        <v>0</v>
      </c>
    </row>
    <row r="65" spans="1:22" s="64" customFormat="1" ht="10.8" thickBot="1" x14ac:dyDescent="0.25">
      <c r="A65" s="26" t="s">
        <v>99</v>
      </c>
      <c r="B65" s="26" t="s">
        <v>100</v>
      </c>
      <c r="C65" s="26" t="s">
        <v>38</v>
      </c>
      <c r="D65" s="26" t="s">
        <v>404</v>
      </c>
      <c r="E65" s="26" t="s">
        <v>405</v>
      </c>
      <c r="F65" s="26" t="s">
        <v>394</v>
      </c>
      <c r="G65" s="27" t="s">
        <v>123</v>
      </c>
      <c r="H65" s="28" t="s">
        <v>27</v>
      </c>
      <c r="I65" s="28" t="s">
        <v>36</v>
      </c>
      <c r="J65" s="29" t="s">
        <v>37</v>
      </c>
      <c r="K65" s="61">
        <v>1</v>
      </c>
      <c r="L65" s="62">
        <v>1</v>
      </c>
      <c r="M65" s="62" t="s">
        <v>101</v>
      </c>
      <c r="N65" s="61">
        <v>2020</v>
      </c>
      <c r="O65" s="61" t="s">
        <v>97</v>
      </c>
      <c r="P65" s="63" t="s">
        <v>62</v>
      </c>
      <c r="Q65" s="61" t="s">
        <v>26</v>
      </c>
      <c r="R65" s="63" t="s">
        <v>26</v>
      </c>
      <c r="S65" s="61">
        <v>70</v>
      </c>
      <c r="T65" s="61">
        <v>0.7</v>
      </c>
      <c r="U65" s="80">
        <v>0.3</v>
      </c>
      <c r="V65" s="61">
        <v>0</v>
      </c>
    </row>
    <row r="66" spans="1:22" s="64" customFormat="1" ht="10.8" thickBot="1" x14ac:dyDescent="0.25">
      <c r="A66" s="26" t="s">
        <v>99</v>
      </c>
      <c r="B66" s="26" t="s">
        <v>100</v>
      </c>
      <c r="C66" s="26" t="s">
        <v>38</v>
      </c>
      <c r="D66" s="26" t="s">
        <v>406</v>
      </c>
      <c r="E66" s="26" t="s">
        <v>407</v>
      </c>
      <c r="F66" s="26" t="s">
        <v>408</v>
      </c>
      <c r="G66" s="27" t="s">
        <v>186</v>
      </c>
      <c r="H66" s="28" t="s">
        <v>27</v>
      </c>
      <c r="I66" s="28" t="s">
        <v>73</v>
      </c>
      <c r="J66" s="29" t="s">
        <v>74</v>
      </c>
      <c r="K66" s="61">
        <v>1</v>
      </c>
      <c r="L66" s="62">
        <v>1</v>
      </c>
      <c r="M66" s="62" t="s">
        <v>75</v>
      </c>
      <c r="N66" s="61">
        <v>2020</v>
      </c>
      <c r="O66" s="61" t="s">
        <v>97</v>
      </c>
      <c r="P66" s="63" t="s">
        <v>62</v>
      </c>
      <c r="Q66" s="61" t="s">
        <v>26</v>
      </c>
      <c r="R66" s="63" t="s">
        <v>26</v>
      </c>
      <c r="S66" s="61">
        <v>70</v>
      </c>
      <c r="T66" s="61">
        <v>0.7</v>
      </c>
      <c r="U66" s="80">
        <v>0.3</v>
      </c>
      <c r="V66" s="61">
        <v>0</v>
      </c>
    </row>
    <row r="67" spans="1:22" s="64" customFormat="1" ht="10.8" thickBot="1" x14ac:dyDescent="0.25">
      <c r="A67" s="26" t="s">
        <v>68</v>
      </c>
      <c r="B67" s="26" t="s">
        <v>69</v>
      </c>
      <c r="C67" s="26" t="s">
        <v>70</v>
      </c>
      <c r="D67" s="26" t="s">
        <v>502</v>
      </c>
      <c r="E67" s="26" t="s">
        <v>503</v>
      </c>
      <c r="F67" s="26" t="s">
        <v>504</v>
      </c>
      <c r="G67" s="27" t="s">
        <v>209</v>
      </c>
      <c r="H67" s="28" t="s">
        <v>27</v>
      </c>
      <c r="I67" s="28" t="s">
        <v>111</v>
      </c>
      <c r="J67" s="29" t="s">
        <v>112</v>
      </c>
      <c r="K67" s="61">
        <v>1</v>
      </c>
      <c r="L67" s="62">
        <v>1</v>
      </c>
      <c r="M67" s="62" t="s">
        <v>114</v>
      </c>
      <c r="N67" s="61">
        <v>2020</v>
      </c>
      <c r="O67" s="61" t="s">
        <v>97</v>
      </c>
      <c r="P67" s="63" t="s">
        <v>62</v>
      </c>
      <c r="Q67" s="61" t="s">
        <v>340</v>
      </c>
      <c r="R67" s="63" t="s">
        <v>62</v>
      </c>
      <c r="S67" s="61">
        <v>40</v>
      </c>
      <c r="T67" s="61">
        <v>0.4</v>
      </c>
      <c r="U67" s="80">
        <v>0.3</v>
      </c>
      <c r="V67" s="61">
        <v>0.3</v>
      </c>
    </row>
    <row r="68" spans="1:22" s="64" customFormat="1" ht="10.8" thickBot="1" x14ac:dyDescent="0.25">
      <c r="A68" s="26" t="s">
        <v>68</v>
      </c>
      <c r="B68" s="26" t="s">
        <v>69</v>
      </c>
      <c r="C68" s="26" t="s">
        <v>70</v>
      </c>
      <c r="D68" s="26" t="s">
        <v>409</v>
      </c>
      <c r="E68" s="26" t="s">
        <v>410</v>
      </c>
      <c r="F68" s="26" t="s">
        <v>411</v>
      </c>
      <c r="G68" s="27" t="s">
        <v>142</v>
      </c>
      <c r="H68" s="28" t="s">
        <v>27</v>
      </c>
      <c r="I68" s="28" t="s">
        <v>36</v>
      </c>
      <c r="J68" s="29" t="s">
        <v>37</v>
      </c>
      <c r="K68" s="61">
        <v>1</v>
      </c>
      <c r="L68" s="62">
        <v>1</v>
      </c>
      <c r="M68" s="62" t="s">
        <v>101</v>
      </c>
      <c r="N68" s="61">
        <v>2020</v>
      </c>
      <c r="O68" s="61" t="s">
        <v>97</v>
      </c>
      <c r="P68" s="63" t="s">
        <v>55</v>
      </c>
      <c r="Q68" s="61" t="s">
        <v>26</v>
      </c>
      <c r="R68" s="63" t="s">
        <v>26</v>
      </c>
      <c r="S68" s="61">
        <v>20</v>
      </c>
      <c r="T68" s="61">
        <v>0.2</v>
      </c>
      <c r="U68" s="80">
        <v>0.8</v>
      </c>
      <c r="V68" s="61">
        <v>0</v>
      </c>
    </row>
    <row r="69" spans="1:22" s="64" customFormat="1" ht="10.8" thickBot="1" x14ac:dyDescent="0.25">
      <c r="A69" s="26" t="s">
        <v>68</v>
      </c>
      <c r="B69" s="26" t="s">
        <v>69</v>
      </c>
      <c r="C69" s="26" t="s">
        <v>70</v>
      </c>
      <c r="D69" s="26" t="s">
        <v>412</v>
      </c>
      <c r="E69" s="26" t="s">
        <v>413</v>
      </c>
      <c r="F69" s="26" t="s">
        <v>414</v>
      </c>
      <c r="G69" s="27" t="s">
        <v>176</v>
      </c>
      <c r="H69" s="28" t="s">
        <v>27</v>
      </c>
      <c r="I69" s="28" t="s">
        <v>65</v>
      </c>
      <c r="J69" s="29" t="s">
        <v>66</v>
      </c>
      <c r="K69" s="61">
        <v>1</v>
      </c>
      <c r="L69" s="62">
        <v>1</v>
      </c>
      <c r="M69" s="62" t="s">
        <v>67</v>
      </c>
      <c r="N69" s="61">
        <v>2020</v>
      </c>
      <c r="O69" s="61" t="s">
        <v>97</v>
      </c>
      <c r="P69" s="63" t="s">
        <v>55</v>
      </c>
      <c r="Q69" s="61" t="s">
        <v>26</v>
      </c>
      <c r="R69" s="63" t="s">
        <v>26</v>
      </c>
      <c r="S69" s="61">
        <v>20</v>
      </c>
      <c r="T69" s="61">
        <v>0.2</v>
      </c>
      <c r="U69" s="80">
        <v>0.8</v>
      </c>
      <c r="V69" s="61">
        <v>0</v>
      </c>
    </row>
    <row r="70" spans="1:22" s="64" customFormat="1" ht="10.8" thickBot="1" x14ac:dyDescent="0.25">
      <c r="A70" s="26" t="s">
        <v>68</v>
      </c>
      <c r="B70" s="26" t="s">
        <v>69</v>
      </c>
      <c r="C70" s="26" t="s">
        <v>70</v>
      </c>
      <c r="D70" s="26" t="s">
        <v>505</v>
      </c>
      <c r="E70" s="26" t="s">
        <v>506</v>
      </c>
      <c r="F70" s="26" t="s">
        <v>391</v>
      </c>
      <c r="G70" s="27" t="s">
        <v>356</v>
      </c>
      <c r="H70" s="28" t="s">
        <v>25</v>
      </c>
      <c r="I70" s="28" t="s">
        <v>63</v>
      </c>
      <c r="J70" s="29" t="s">
        <v>64</v>
      </c>
      <c r="K70" s="61">
        <v>1</v>
      </c>
      <c r="L70" s="62">
        <v>0.5</v>
      </c>
      <c r="M70" s="62" t="s">
        <v>115</v>
      </c>
      <c r="N70" s="61">
        <v>2020</v>
      </c>
      <c r="O70" s="61" t="s">
        <v>97</v>
      </c>
      <c r="P70" s="63" t="s">
        <v>39</v>
      </c>
      <c r="Q70" s="61" t="s">
        <v>26</v>
      </c>
      <c r="R70" s="63" t="s">
        <v>26</v>
      </c>
      <c r="S70" s="61">
        <v>50</v>
      </c>
      <c r="T70" s="79">
        <v>0.25</v>
      </c>
      <c r="U70" s="80">
        <v>0.25</v>
      </c>
      <c r="V70" s="61">
        <v>0</v>
      </c>
    </row>
    <row r="71" spans="1:22" s="64" customFormat="1" ht="10.8" thickBot="1" x14ac:dyDescent="0.25">
      <c r="A71" s="26" t="s">
        <v>68</v>
      </c>
      <c r="B71" s="26" t="s">
        <v>69</v>
      </c>
      <c r="C71" s="26" t="s">
        <v>70</v>
      </c>
      <c r="D71" s="26" t="s">
        <v>507</v>
      </c>
      <c r="E71" s="26" t="s">
        <v>508</v>
      </c>
      <c r="F71" s="26" t="s">
        <v>504</v>
      </c>
      <c r="G71" s="27" t="s">
        <v>356</v>
      </c>
      <c r="H71" s="28" t="s">
        <v>25</v>
      </c>
      <c r="I71" s="28" t="s">
        <v>63</v>
      </c>
      <c r="J71" s="29" t="s">
        <v>64</v>
      </c>
      <c r="K71" s="61">
        <v>1</v>
      </c>
      <c r="L71" s="62">
        <v>0.5</v>
      </c>
      <c r="M71" s="62" t="s">
        <v>115</v>
      </c>
      <c r="N71" s="61">
        <v>2020</v>
      </c>
      <c r="O71" s="61" t="s">
        <v>97</v>
      </c>
      <c r="P71" s="63" t="s">
        <v>39</v>
      </c>
      <c r="Q71" s="61" t="s">
        <v>26</v>
      </c>
      <c r="R71" s="63" t="s">
        <v>26</v>
      </c>
      <c r="S71" s="61">
        <v>50</v>
      </c>
      <c r="T71" s="61">
        <v>0.25</v>
      </c>
      <c r="U71" s="80">
        <v>0.25</v>
      </c>
      <c r="V71" s="61">
        <v>0</v>
      </c>
    </row>
    <row r="72" spans="1:22" s="64" customFormat="1" ht="10.8" thickBot="1" x14ac:dyDescent="0.25">
      <c r="A72" s="26" t="s">
        <v>68</v>
      </c>
      <c r="B72" s="26" t="s">
        <v>69</v>
      </c>
      <c r="C72" s="26" t="s">
        <v>415</v>
      </c>
      <c r="D72" s="26" t="s">
        <v>416</v>
      </c>
      <c r="E72" s="26" t="s">
        <v>417</v>
      </c>
      <c r="F72" s="26" t="s">
        <v>418</v>
      </c>
      <c r="G72" s="27" t="s">
        <v>356</v>
      </c>
      <c r="H72" s="28" t="s">
        <v>25</v>
      </c>
      <c r="I72" s="28" t="s">
        <v>63</v>
      </c>
      <c r="J72" s="29" t="s">
        <v>64</v>
      </c>
      <c r="K72" s="61">
        <v>1</v>
      </c>
      <c r="L72" s="62">
        <v>0.5</v>
      </c>
      <c r="M72" s="62" t="s">
        <v>115</v>
      </c>
      <c r="N72" s="61">
        <v>2020</v>
      </c>
      <c r="O72" s="61" t="s">
        <v>97</v>
      </c>
      <c r="P72" s="63" t="s">
        <v>39</v>
      </c>
      <c r="Q72" s="61" t="s">
        <v>26</v>
      </c>
      <c r="R72" s="63" t="s">
        <v>26</v>
      </c>
      <c r="S72" s="61">
        <v>50</v>
      </c>
      <c r="T72" s="61">
        <v>0.25</v>
      </c>
      <c r="U72" s="80">
        <v>0.25</v>
      </c>
      <c r="V72" s="61">
        <v>0</v>
      </c>
    </row>
    <row r="73" spans="1:22" s="64" customFormat="1" ht="10.8" thickBot="1" x14ac:dyDescent="0.25">
      <c r="A73" s="26" t="s">
        <v>59</v>
      </c>
      <c r="B73" s="26" t="s">
        <v>60</v>
      </c>
      <c r="C73" s="26" t="s">
        <v>61</v>
      </c>
      <c r="D73" s="26" t="s">
        <v>419</v>
      </c>
      <c r="E73" s="26" t="s">
        <v>420</v>
      </c>
      <c r="F73" s="26" t="s">
        <v>421</v>
      </c>
      <c r="G73" s="27" t="s">
        <v>422</v>
      </c>
      <c r="H73" s="28" t="s">
        <v>27</v>
      </c>
      <c r="I73" s="28" t="s">
        <v>423</v>
      </c>
      <c r="J73" s="29" t="s">
        <v>424</v>
      </c>
      <c r="K73" s="61">
        <v>1</v>
      </c>
      <c r="L73" s="62">
        <v>1</v>
      </c>
      <c r="M73" s="62" t="s">
        <v>50</v>
      </c>
      <c r="N73" s="61">
        <v>2020</v>
      </c>
      <c r="O73" s="61" t="s">
        <v>97</v>
      </c>
      <c r="P73" s="63" t="s">
        <v>55</v>
      </c>
      <c r="Q73" s="61" t="s">
        <v>26</v>
      </c>
      <c r="R73" s="63" t="s">
        <v>26</v>
      </c>
      <c r="S73" s="61">
        <v>20</v>
      </c>
      <c r="T73" s="61">
        <v>0.2</v>
      </c>
      <c r="U73" s="80">
        <v>0.8</v>
      </c>
      <c r="V73" s="61">
        <v>0</v>
      </c>
    </row>
    <row r="74" spans="1:22" s="64" customFormat="1" ht="10.8" thickBot="1" x14ac:dyDescent="0.25">
      <c r="A74" s="26" t="s">
        <v>31</v>
      </c>
      <c r="B74" s="26" t="s">
        <v>32</v>
      </c>
      <c r="C74" s="26" t="s">
        <v>33</v>
      </c>
      <c r="D74" s="26" t="s">
        <v>425</v>
      </c>
      <c r="E74" s="26" t="s">
        <v>426</v>
      </c>
      <c r="F74" s="26" t="s">
        <v>403</v>
      </c>
      <c r="G74" s="27" t="s">
        <v>427</v>
      </c>
      <c r="H74" s="28" t="s">
        <v>25</v>
      </c>
      <c r="I74" s="28" t="s">
        <v>36</v>
      </c>
      <c r="J74" s="29" t="s">
        <v>37</v>
      </c>
      <c r="K74" s="61">
        <v>1</v>
      </c>
      <c r="L74" s="62">
        <v>0.5</v>
      </c>
      <c r="M74" s="62" t="s">
        <v>101</v>
      </c>
      <c r="N74" s="61">
        <v>2020</v>
      </c>
      <c r="O74" s="61" t="s">
        <v>97</v>
      </c>
      <c r="P74" s="63" t="s">
        <v>39</v>
      </c>
      <c r="Q74" s="61" t="s">
        <v>26</v>
      </c>
      <c r="R74" s="63" t="s">
        <v>26</v>
      </c>
      <c r="S74" s="61">
        <v>50</v>
      </c>
      <c r="T74" s="61">
        <v>0.25</v>
      </c>
      <c r="U74" s="80">
        <v>0.25</v>
      </c>
      <c r="V74" s="61">
        <v>0</v>
      </c>
    </row>
    <row r="75" spans="1:22" s="64" customFormat="1" ht="10.8" thickBot="1" x14ac:dyDescent="0.25">
      <c r="A75" s="26" t="s">
        <v>31</v>
      </c>
      <c r="B75" s="26" t="s">
        <v>32</v>
      </c>
      <c r="C75" s="26" t="s">
        <v>33</v>
      </c>
      <c r="D75" s="26" t="s">
        <v>428</v>
      </c>
      <c r="E75" s="26" t="s">
        <v>429</v>
      </c>
      <c r="F75" s="26" t="s">
        <v>430</v>
      </c>
      <c r="G75" s="27" t="s">
        <v>431</v>
      </c>
      <c r="H75" s="28" t="s">
        <v>25</v>
      </c>
      <c r="I75" s="28" t="s">
        <v>102</v>
      </c>
      <c r="J75" s="29" t="s">
        <v>103</v>
      </c>
      <c r="K75" s="61">
        <v>1</v>
      </c>
      <c r="L75" s="62">
        <v>0.5</v>
      </c>
      <c r="M75" s="62" t="s">
        <v>105</v>
      </c>
      <c r="N75" s="61">
        <v>2020</v>
      </c>
      <c r="O75" s="61" t="s">
        <v>97</v>
      </c>
      <c r="P75" s="63" t="s">
        <v>52</v>
      </c>
      <c r="Q75" s="61" t="s">
        <v>34</v>
      </c>
      <c r="R75" s="63" t="s">
        <v>52</v>
      </c>
      <c r="S75" s="61">
        <v>80</v>
      </c>
      <c r="T75" s="61">
        <v>0.4</v>
      </c>
      <c r="U75" s="80">
        <v>0.05</v>
      </c>
      <c r="V75" s="61">
        <v>0.05</v>
      </c>
    </row>
    <row r="76" spans="1:22" s="64" customFormat="1" x14ac:dyDescent="0.2">
      <c r="A76" s="61" t="s">
        <v>432</v>
      </c>
      <c r="B76" s="61" t="s">
        <v>433</v>
      </c>
      <c r="C76" s="61" t="s">
        <v>434</v>
      </c>
      <c r="D76" s="61" t="s">
        <v>435</v>
      </c>
      <c r="E76" s="61" t="s">
        <v>436</v>
      </c>
      <c r="F76" s="61" t="s">
        <v>437</v>
      </c>
      <c r="G76" s="61" t="s">
        <v>142</v>
      </c>
      <c r="H76" s="61" t="s">
        <v>27</v>
      </c>
      <c r="I76" s="61" t="s">
        <v>36</v>
      </c>
      <c r="J76" s="61" t="s">
        <v>37</v>
      </c>
      <c r="K76" s="61">
        <v>1</v>
      </c>
      <c r="L76" s="62">
        <v>1</v>
      </c>
      <c r="M76" s="62" t="s">
        <v>101</v>
      </c>
      <c r="N76" s="61">
        <v>2020</v>
      </c>
      <c r="O76" s="61" t="s">
        <v>97</v>
      </c>
      <c r="P76" s="63" t="s">
        <v>55</v>
      </c>
      <c r="Q76" s="61" t="s">
        <v>26</v>
      </c>
      <c r="R76" s="63" t="s">
        <v>26</v>
      </c>
      <c r="S76" s="61">
        <v>20</v>
      </c>
      <c r="T76" s="61">
        <v>0.2</v>
      </c>
      <c r="U76" s="80">
        <v>0.8</v>
      </c>
      <c r="V76" s="61">
        <v>0</v>
      </c>
    </row>
    <row r="77" spans="1:22" s="64" customFormat="1" x14ac:dyDescent="0.2">
      <c r="A77" s="61" t="s">
        <v>36</v>
      </c>
      <c r="B77" s="61" t="s">
        <v>37</v>
      </c>
      <c r="C77" s="61" t="s">
        <v>38</v>
      </c>
      <c r="D77" s="61" t="s">
        <v>509</v>
      </c>
      <c r="E77" s="61" t="s">
        <v>510</v>
      </c>
      <c r="F77" s="61" t="s">
        <v>511</v>
      </c>
      <c r="G77" s="61" t="s">
        <v>512</v>
      </c>
      <c r="H77" s="61" t="s">
        <v>25</v>
      </c>
      <c r="I77" s="61" t="s">
        <v>73</v>
      </c>
      <c r="J77" s="61" t="s">
        <v>74</v>
      </c>
      <c r="K77" s="61">
        <v>5</v>
      </c>
      <c r="L77" s="62">
        <v>0.5</v>
      </c>
      <c r="M77" s="62" t="s">
        <v>75</v>
      </c>
      <c r="N77" s="61">
        <v>2021</v>
      </c>
      <c r="O77" s="61" t="s">
        <v>97</v>
      </c>
      <c r="P77" s="63" t="s">
        <v>62</v>
      </c>
      <c r="Q77" s="61" t="s">
        <v>26</v>
      </c>
      <c r="R77" s="63" t="s">
        <v>26</v>
      </c>
      <c r="S77" s="61">
        <v>70</v>
      </c>
      <c r="T77" s="61">
        <v>0.35</v>
      </c>
      <c r="U77" s="80">
        <v>0.15</v>
      </c>
      <c r="V77" s="61">
        <v>0</v>
      </c>
    </row>
    <row r="78" spans="1:22" s="64" customFormat="1" x14ac:dyDescent="0.2">
      <c r="A78" s="61" t="s">
        <v>513</v>
      </c>
      <c r="B78" s="61" t="s">
        <v>514</v>
      </c>
      <c r="C78" s="61" t="s">
        <v>456</v>
      </c>
      <c r="D78" s="61" t="s">
        <v>515</v>
      </c>
      <c r="E78" s="61" t="s">
        <v>516</v>
      </c>
      <c r="F78" s="61" t="s">
        <v>517</v>
      </c>
      <c r="G78" s="61" t="s">
        <v>461</v>
      </c>
      <c r="H78" s="61" t="s">
        <v>25</v>
      </c>
      <c r="I78" s="61" t="s">
        <v>423</v>
      </c>
      <c r="J78" s="61" t="s">
        <v>424</v>
      </c>
      <c r="K78" s="61">
        <v>11</v>
      </c>
      <c r="L78" s="62">
        <v>0.5</v>
      </c>
      <c r="M78" s="62" t="s">
        <v>50</v>
      </c>
      <c r="N78" s="61">
        <v>2021</v>
      </c>
      <c r="O78" s="61" t="s">
        <v>97</v>
      </c>
      <c r="P78" s="63" t="s">
        <v>39</v>
      </c>
      <c r="Q78" s="61" t="s">
        <v>30</v>
      </c>
      <c r="R78" s="63" t="s">
        <v>52</v>
      </c>
      <c r="S78" s="61">
        <v>40</v>
      </c>
      <c r="T78" s="61">
        <v>0.2</v>
      </c>
      <c r="U78" s="80">
        <v>0.25</v>
      </c>
      <c r="V78" s="61">
        <v>0.05</v>
      </c>
    </row>
    <row r="79" spans="1:22" s="64" customFormat="1" x14ac:dyDescent="0.2">
      <c r="A79" s="61" t="s">
        <v>423</v>
      </c>
      <c r="B79" s="61" t="s">
        <v>424</v>
      </c>
      <c r="C79" s="61" t="s">
        <v>456</v>
      </c>
      <c r="D79" s="61" t="s">
        <v>518</v>
      </c>
      <c r="E79" s="61" t="s">
        <v>519</v>
      </c>
      <c r="F79" s="61" t="s">
        <v>520</v>
      </c>
      <c r="G79" s="61" t="s">
        <v>461</v>
      </c>
      <c r="H79" s="61" t="s">
        <v>25</v>
      </c>
      <c r="I79" s="61" t="s">
        <v>423</v>
      </c>
      <c r="J79" s="61" t="s">
        <v>424</v>
      </c>
      <c r="K79" s="61">
        <v>18</v>
      </c>
      <c r="L79" s="62">
        <v>0.5</v>
      </c>
      <c r="M79" s="62" t="s">
        <v>50</v>
      </c>
      <c r="N79" s="61">
        <v>2021</v>
      </c>
      <c r="O79" s="61" t="s">
        <v>97</v>
      </c>
      <c r="P79" s="63" t="s">
        <v>39</v>
      </c>
      <c r="Q79" s="61" t="s">
        <v>30</v>
      </c>
      <c r="R79" s="63" t="s">
        <v>52</v>
      </c>
      <c r="S79" s="61">
        <v>40</v>
      </c>
      <c r="T79" s="61">
        <v>0.2</v>
      </c>
      <c r="U79" s="80">
        <v>0.25</v>
      </c>
      <c r="V79" s="61">
        <v>0.05</v>
      </c>
    </row>
    <row r="80" spans="1:22" s="64" customFormat="1" x14ac:dyDescent="0.2">
      <c r="A80" s="61" t="s">
        <v>99</v>
      </c>
      <c r="B80" s="61" t="s">
        <v>100</v>
      </c>
      <c r="C80" s="61" t="s">
        <v>38</v>
      </c>
      <c r="D80" s="61" t="s">
        <v>521</v>
      </c>
      <c r="E80" s="61" t="s">
        <v>522</v>
      </c>
      <c r="F80" s="61" t="s">
        <v>523</v>
      </c>
      <c r="G80" s="61" t="s">
        <v>193</v>
      </c>
      <c r="H80" s="61" t="s">
        <v>27</v>
      </c>
      <c r="I80" s="61" t="s">
        <v>99</v>
      </c>
      <c r="J80" s="61" t="s">
        <v>100</v>
      </c>
      <c r="K80" s="61">
        <v>59</v>
      </c>
      <c r="L80" s="62">
        <v>1</v>
      </c>
      <c r="M80" s="62" t="s">
        <v>116</v>
      </c>
      <c r="N80" s="61">
        <v>2021</v>
      </c>
      <c r="O80" s="61" t="s">
        <v>97</v>
      </c>
      <c r="P80" s="63" t="s">
        <v>52</v>
      </c>
      <c r="Q80" s="61" t="s">
        <v>26</v>
      </c>
      <c r="R80" s="63" t="s">
        <v>26</v>
      </c>
      <c r="S80" s="61">
        <v>90</v>
      </c>
      <c r="T80" s="61">
        <v>0.9</v>
      </c>
      <c r="U80" s="80">
        <v>0.1</v>
      </c>
      <c r="V80" s="61">
        <v>0</v>
      </c>
    </row>
    <row r="81" spans="1:23" s="64" customFormat="1" x14ac:dyDescent="0.2">
      <c r="A81" s="61" t="s">
        <v>99</v>
      </c>
      <c r="B81" s="61" t="s">
        <v>100</v>
      </c>
      <c r="C81" s="61" t="s">
        <v>38</v>
      </c>
      <c r="D81" s="61" t="s">
        <v>524</v>
      </c>
      <c r="E81" s="61" t="s">
        <v>525</v>
      </c>
      <c r="F81" s="61" t="s">
        <v>526</v>
      </c>
      <c r="G81" s="61" t="s">
        <v>142</v>
      </c>
      <c r="H81" s="61" t="s">
        <v>27</v>
      </c>
      <c r="I81" s="61" t="s">
        <v>65</v>
      </c>
      <c r="J81" s="61" t="s">
        <v>66</v>
      </c>
      <c r="K81" s="61">
        <v>71</v>
      </c>
      <c r="L81" s="62">
        <v>1</v>
      </c>
      <c r="M81" s="62" t="s">
        <v>67</v>
      </c>
      <c r="N81" s="61">
        <v>2021</v>
      </c>
      <c r="O81" s="61" t="s">
        <v>97</v>
      </c>
      <c r="P81" s="63" t="s">
        <v>55</v>
      </c>
      <c r="Q81" s="61" t="s">
        <v>26</v>
      </c>
      <c r="R81" s="63" t="s">
        <v>26</v>
      </c>
      <c r="S81" s="61">
        <v>20</v>
      </c>
      <c r="T81" s="61">
        <v>0.2</v>
      </c>
      <c r="U81" s="80">
        <v>0.8</v>
      </c>
      <c r="V81" s="61">
        <v>0</v>
      </c>
    </row>
    <row r="82" spans="1:23" s="64" customFormat="1" x14ac:dyDescent="0.2">
      <c r="A82" s="61" t="s">
        <v>346</v>
      </c>
      <c r="B82" s="61" t="s">
        <v>347</v>
      </c>
      <c r="C82" s="61" t="s">
        <v>348</v>
      </c>
      <c r="D82" s="61" t="s">
        <v>527</v>
      </c>
      <c r="E82" s="61" t="s">
        <v>528</v>
      </c>
      <c r="F82" s="61" t="s">
        <v>529</v>
      </c>
      <c r="G82" s="61" t="s">
        <v>530</v>
      </c>
      <c r="H82" s="61" t="s">
        <v>25</v>
      </c>
      <c r="I82" s="61" t="s">
        <v>53</v>
      </c>
      <c r="J82" s="61" t="s">
        <v>54</v>
      </c>
      <c r="K82" s="61">
        <v>86</v>
      </c>
      <c r="L82" s="62">
        <v>0.5</v>
      </c>
      <c r="M82" s="62" t="s">
        <v>328</v>
      </c>
      <c r="N82" s="61">
        <v>2021</v>
      </c>
      <c r="O82" s="61" t="s">
        <v>97</v>
      </c>
      <c r="P82" s="63" t="s">
        <v>52</v>
      </c>
      <c r="Q82" s="61" t="s">
        <v>26</v>
      </c>
      <c r="R82" s="63" t="s">
        <v>26</v>
      </c>
      <c r="S82" s="61">
        <v>90</v>
      </c>
      <c r="T82" s="61">
        <v>0.45</v>
      </c>
      <c r="U82" s="80">
        <v>0.05</v>
      </c>
      <c r="V82" s="61">
        <v>0</v>
      </c>
    </row>
    <row r="83" spans="1:23" s="64" customFormat="1" x14ac:dyDescent="0.2">
      <c r="A83" s="61" t="s">
        <v>68</v>
      </c>
      <c r="B83" s="61" t="s">
        <v>69</v>
      </c>
      <c r="C83" s="61" t="s">
        <v>70</v>
      </c>
      <c r="D83" s="61" t="s">
        <v>531</v>
      </c>
      <c r="E83" s="61" t="s">
        <v>532</v>
      </c>
      <c r="F83" s="61" t="s">
        <v>533</v>
      </c>
      <c r="G83" s="61" t="s">
        <v>209</v>
      </c>
      <c r="H83" s="61" t="s">
        <v>27</v>
      </c>
      <c r="I83" s="61" t="s">
        <v>111</v>
      </c>
      <c r="J83" s="61" t="s">
        <v>112</v>
      </c>
      <c r="K83" s="61">
        <v>112</v>
      </c>
      <c r="L83" s="62">
        <v>1</v>
      </c>
      <c r="M83" s="62" t="s">
        <v>114</v>
      </c>
      <c r="N83" s="61">
        <v>2021</v>
      </c>
      <c r="O83" s="61" t="s">
        <v>97</v>
      </c>
      <c r="P83" s="63" t="s">
        <v>62</v>
      </c>
      <c r="Q83" s="61" t="s">
        <v>340</v>
      </c>
      <c r="R83" s="63" t="s">
        <v>62</v>
      </c>
      <c r="S83" s="61">
        <v>40</v>
      </c>
      <c r="T83" s="61">
        <v>0.4</v>
      </c>
      <c r="U83" s="80">
        <v>0.3</v>
      </c>
      <c r="V83" s="61">
        <v>0.3</v>
      </c>
    </row>
    <row r="84" spans="1:23" s="64" customFormat="1" x14ac:dyDescent="0.2">
      <c r="A84" s="61" t="s">
        <v>68</v>
      </c>
      <c r="B84" s="61" t="s">
        <v>69</v>
      </c>
      <c r="C84" s="61" t="s">
        <v>70</v>
      </c>
      <c r="D84" s="61" t="s">
        <v>534</v>
      </c>
      <c r="E84" s="61" t="s">
        <v>535</v>
      </c>
      <c r="F84" s="61" t="s">
        <v>536</v>
      </c>
      <c r="G84" s="61" t="s">
        <v>422</v>
      </c>
      <c r="H84" s="61" t="s">
        <v>27</v>
      </c>
      <c r="I84" s="61" t="s">
        <v>423</v>
      </c>
      <c r="J84" s="61" t="s">
        <v>424</v>
      </c>
      <c r="K84" s="61">
        <v>113</v>
      </c>
      <c r="L84" s="62">
        <v>1</v>
      </c>
      <c r="M84" s="62" t="s">
        <v>50</v>
      </c>
      <c r="N84" s="61">
        <v>2021</v>
      </c>
      <c r="O84" s="61" t="s">
        <v>97</v>
      </c>
      <c r="P84" s="63" t="s">
        <v>55</v>
      </c>
      <c r="Q84" s="61" t="s">
        <v>26</v>
      </c>
      <c r="R84" s="63" t="s">
        <v>26</v>
      </c>
      <c r="S84" s="61">
        <v>20</v>
      </c>
      <c r="T84" s="61">
        <v>0.2</v>
      </c>
      <c r="U84" s="80">
        <v>0.8</v>
      </c>
      <c r="V84" s="61">
        <v>0</v>
      </c>
    </row>
    <row r="85" spans="1:23" s="64" customFormat="1" x14ac:dyDescent="0.2">
      <c r="A85" s="61" t="s">
        <v>68</v>
      </c>
      <c r="B85" s="61" t="s">
        <v>69</v>
      </c>
      <c r="C85" s="61" t="s">
        <v>70</v>
      </c>
      <c r="D85" s="61" t="s">
        <v>537</v>
      </c>
      <c r="E85" s="61" t="s">
        <v>538</v>
      </c>
      <c r="F85" s="61" t="s">
        <v>539</v>
      </c>
      <c r="G85" s="61" t="s">
        <v>540</v>
      </c>
      <c r="H85" s="61" t="s">
        <v>27</v>
      </c>
      <c r="I85" s="61" t="s">
        <v>111</v>
      </c>
      <c r="J85" s="61" t="s">
        <v>112</v>
      </c>
      <c r="K85" s="61">
        <v>132</v>
      </c>
      <c r="L85" s="62">
        <v>1</v>
      </c>
      <c r="M85" s="62" t="s">
        <v>114</v>
      </c>
      <c r="N85" s="61">
        <v>2021</v>
      </c>
      <c r="O85" s="61" t="s">
        <v>97</v>
      </c>
      <c r="P85" s="63" t="s">
        <v>62</v>
      </c>
      <c r="Q85" s="61" t="s">
        <v>26</v>
      </c>
      <c r="R85" s="63" t="s">
        <v>26</v>
      </c>
      <c r="S85" s="61">
        <v>70</v>
      </c>
      <c r="T85" s="61">
        <v>0.7</v>
      </c>
      <c r="U85" s="80">
        <v>0.3</v>
      </c>
      <c r="V85" s="61">
        <v>0</v>
      </c>
    </row>
    <row r="86" spans="1:23" s="64" customFormat="1" x14ac:dyDescent="0.2">
      <c r="A86" s="61" t="s">
        <v>59</v>
      </c>
      <c r="B86" s="61" t="s">
        <v>60</v>
      </c>
      <c r="C86" s="61" t="s">
        <v>61</v>
      </c>
      <c r="D86" s="61" t="s">
        <v>541</v>
      </c>
      <c r="E86" s="61" t="s">
        <v>542</v>
      </c>
      <c r="F86" s="61" t="s">
        <v>543</v>
      </c>
      <c r="G86" s="61" t="s">
        <v>544</v>
      </c>
      <c r="H86" s="61" t="s">
        <v>27</v>
      </c>
      <c r="I86" s="61" t="s">
        <v>73</v>
      </c>
      <c r="J86" s="61" t="s">
        <v>74</v>
      </c>
      <c r="K86" s="61">
        <v>165</v>
      </c>
      <c r="L86" s="62">
        <v>1</v>
      </c>
      <c r="M86" s="62" t="s">
        <v>75</v>
      </c>
      <c r="N86" s="61">
        <v>2021</v>
      </c>
      <c r="O86" s="61" t="s">
        <v>97</v>
      </c>
      <c r="P86" s="63" t="s">
        <v>62</v>
      </c>
      <c r="Q86" s="61" t="s">
        <v>26</v>
      </c>
      <c r="R86" s="63" t="s">
        <v>26</v>
      </c>
      <c r="S86" s="61">
        <v>70</v>
      </c>
      <c r="T86" s="61">
        <v>0.7</v>
      </c>
      <c r="U86" s="80">
        <v>0.3</v>
      </c>
      <c r="V86" s="61">
        <v>0</v>
      </c>
    </row>
    <row r="87" spans="1:23" s="64" customFormat="1" x14ac:dyDescent="0.2">
      <c r="A87" s="61" t="s">
        <v>31</v>
      </c>
      <c r="B87" s="61" t="s">
        <v>32</v>
      </c>
      <c r="C87" s="61" t="s">
        <v>33</v>
      </c>
      <c r="D87" s="61" t="s">
        <v>545</v>
      </c>
      <c r="E87" s="61" t="s">
        <v>546</v>
      </c>
      <c r="F87" s="61" t="s">
        <v>547</v>
      </c>
      <c r="G87" s="61" t="s">
        <v>431</v>
      </c>
      <c r="H87" s="61" t="s">
        <v>25</v>
      </c>
      <c r="I87" s="61" t="s">
        <v>102</v>
      </c>
      <c r="J87" s="61" t="s">
        <v>103</v>
      </c>
      <c r="K87" s="61">
        <v>234</v>
      </c>
      <c r="L87" s="62">
        <v>0.5</v>
      </c>
      <c r="M87" s="62" t="s">
        <v>105</v>
      </c>
      <c r="N87" s="61">
        <v>2021</v>
      </c>
      <c r="O87" s="61" t="s">
        <v>97</v>
      </c>
      <c r="P87" s="63" t="s">
        <v>52</v>
      </c>
      <c r="Q87" s="61" t="s">
        <v>34</v>
      </c>
      <c r="R87" s="63" t="s">
        <v>52</v>
      </c>
      <c r="S87" s="61">
        <v>80</v>
      </c>
      <c r="T87" s="61">
        <v>0.4</v>
      </c>
      <c r="U87" s="80">
        <v>0.05</v>
      </c>
      <c r="V87" s="61">
        <v>0.05</v>
      </c>
    </row>
    <row r="88" spans="1:23" s="64" customFormat="1" x14ac:dyDescent="0.2">
      <c r="A88" s="61" t="s">
        <v>432</v>
      </c>
      <c r="B88" s="61" t="s">
        <v>433</v>
      </c>
      <c r="C88" s="61" t="s">
        <v>434</v>
      </c>
      <c r="D88" s="61" t="s">
        <v>548</v>
      </c>
      <c r="E88" s="61" t="s">
        <v>549</v>
      </c>
      <c r="F88" s="61" t="s">
        <v>550</v>
      </c>
      <c r="G88" s="61" t="s">
        <v>209</v>
      </c>
      <c r="H88" s="61" t="s">
        <v>27</v>
      </c>
      <c r="I88" s="61" t="s">
        <v>111</v>
      </c>
      <c r="J88" s="61" t="s">
        <v>112</v>
      </c>
      <c r="K88" s="61">
        <v>264</v>
      </c>
      <c r="L88" s="62">
        <v>1</v>
      </c>
      <c r="M88" s="62" t="s">
        <v>114</v>
      </c>
      <c r="N88" s="61">
        <v>2021</v>
      </c>
      <c r="O88" s="61" t="s">
        <v>97</v>
      </c>
      <c r="P88" s="63" t="s">
        <v>62</v>
      </c>
      <c r="Q88" s="61" t="s">
        <v>340</v>
      </c>
      <c r="R88" s="63" t="s">
        <v>62</v>
      </c>
      <c r="S88" s="61">
        <v>40</v>
      </c>
      <c r="T88" s="61">
        <v>0.4</v>
      </c>
      <c r="U88" s="80">
        <v>0.3</v>
      </c>
      <c r="V88" s="61">
        <v>0.3</v>
      </c>
    </row>
    <row r="89" spans="1:23" s="64" customFormat="1" x14ac:dyDescent="0.2">
      <c r="A89" s="61" t="s">
        <v>432</v>
      </c>
      <c r="B89" s="61" t="s">
        <v>433</v>
      </c>
      <c r="C89" s="61" t="s">
        <v>434</v>
      </c>
      <c r="D89" s="61" t="s">
        <v>495</v>
      </c>
      <c r="E89" s="61" t="s">
        <v>496</v>
      </c>
      <c r="F89" s="61" t="s">
        <v>497</v>
      </c>
      <c r="G89" s="61" t="s">
        <v>551</v>
      </c>
      <c r="H89" s="61" t="s">
        <v>25</v>
      </c>
      <c r="I89" s="61" t="s">
        <v>423</v>
      </c>
      <c r="J89" s="61" t="s">
        <v>424</v>
      </c>
      <c r="K89" s="61">
        <v>267</v>
      </c>
      <c r="L89" s="62">
        <v>0.5</v>
      </c>
      <c r="M89" s="62" t="s">
        <v>50</v>
      </c>
      <c r="N89" s="61">
        <v>2021</v>
      </c>
      <c r="O89" s="61" t="s">
        <v>97</v>
      </c>
      <c r="P89" s="63" t="s">
        <v>55</v>
      </c>
      <c r="Q89" s="61" t="s">
        <v>26</v>
      </c>
      <c r="R89" s="63" t="s">
        <v>26</v>
      </c>
      <c r="S89" s="61">
        <v>20</v>
      </c>
      <c r="T89" s="61">
        <v>0.1</v>
      </c>
      <c r="U89" s="80">
        <v>0.4</v>
      </c>
      <c r="V89" s="61">
        <v>0</v>
      </c>
    </row>
    <row r="90" spans="1:23" s="64" customFormat="1" x14ac:dyDescent="0.2">
      <c r="A90" s="61" t="s">
        <v>432</v>
      </c>
      <c r="B90" s="61" t="s">
        <v>433</v>
      </c>
      <c r="C90" s="61" t="s">
        <v>434</v>
      </c>
      <c r="D90" s="61" t="s">
        <v>498</v>
      </c>
      <c r="E90" s="61" t="s">
        <v>499</v>
      </c>
      <c r="F90" s="61" t="s">
        <v>500</v>
      </c>
      <c r="G90" s="61" t="s">
        <v>176</v>
      </c>
      <c r="H90" s="61" t="s">
        <v>25</v>
      </c>
      <c r="I90" s="61" t="s">
        <v>65</v>
      </c>
      <c r="J90" s="61" t="s">
        <v>66</v>
      </c>
      <c r="K90" s="61">
        <v>269</v>
      </c>
      <c r="L90" s="62">
        <v>0.5</v>
      </c>
      <c r="M90" s="62" t="s">
        <v>67</v>
      </c>
      <c r="N90" s="61">
        <v>2021</v>
      </c>
      <c r="O90" s="61" t="s">
        <v>97</v>
      </c>
      <c r="P90" s="63" t="s">
        <v>55</v>
      </c>
      <c r="Q90" s="61" t="s">
        <v>26</v>
      </c>
      <c r="R90" s="63" t="s">
        <v>26</v>
      </c>
      <c r="S90" s="61">
        <v>20</v>
      </c>
      <c r="T90" s="61">
        <v>0.1</v>
      </c>
      <c r="U90" s="80">
        <v>0.4</v>
      </c>
      <c r="V90" s="61">
        <v>0</v>
      </c>
    </row>
    <row r="91" spans="1:23" s="64" customFormat="1" x14ac:dyDescent="0.2">
      <c r="A91" s="61" t="s">
        <v>89</v>
      </c>
      <c r="B91" s="61" t="s">
        <v>90</v>
      </c>
      <c r="C91" s="61" t="s">
        <v>447</v>
      </c>
      <c r="D91" s="61" t="s">
        <v>448</v>
      </c>
      <c r="E91" s="61" t="s">
        <v>449</v>
      </c>
      <c r="F91" s="61" t="s">
        <v>450</v>
      </c>
      <c r="G91" s="61" t="s">
        <v>451</v>
      </c>
      <c r="H91" s="61" t="s">
        <v>27</v>
      </c>
      <c r="I91" s="61" t="s">
        <v>452</v>
      </c>
      <c r="J91" s="61" t="s">
        <v>453</v>
      </c>
      <c r="K91" s="61">
        <v>1</v>
      </c>
      <c r="L91" s="65">
        <v>1</v>
      </c>
      <c r="M91" s="61" t="s">
        <v>93</v>
      </c>
      <c r="N91" s="61">
        <v>2016</v>
      </c>
      <c r="O91" s="61" t="s">
        <v>92</v>
      </c>
      <c r="P91" s="63" t="s">
        <v>62</v>
      </c>
      <c r="Q91" s="61" t="s">
        <v>97</v>
      </c>
      <c r="R91" s="63" t="s">
        <v>62</v>
      </c>
      <c r="S91" s="66">
        <v>40</v>
      </c>
      <c r="T91" s="65">
        <v>0.4</v>
      </c>
      <c r="U91" s="65">
        <v>0.3</v>
      </c>
      <c r="V91" s="81">
        <v>0.3</v>
      </c>
    </row>
    <row r="92" spans="1:23" s="64" customFormat="1" x14ac:dyDescent="0.2">
      <c r="A92" s="61" t="s">
        <v>68</v>
      </c>
      <c r="B92" s="61" t="s">
        <v>69</v>
      </c>
      <c r="C92" s="61" t="s">
        <v>70</v>
      </c>
      <c r="D92" s="61" t="s">
        <v>454</v>
      </c>
      <c r="E92" s="61" t="s">
        <v>455</v>
      </c>
      <c r="F92" s="61" t="s">
        <v>28</v>
      </c>
      <c r="G92" s="61" t="s">
        <v>451</v>
      </c>
      <c r="H92" s="61" t="s">
        <v>27</v>
      </c>
      <c r="I92" s="61" t="s">
        <v>452</v>
      </c>
      <c r="J92" s="61" t="s">
        <v>453</v>
      </c>
      <c r="K92" s="61">
        <v>1</v>
      </c>
      <c r="L92" s="65">
        <v>1</v>
      </c>
      <c r="M92" s="61" t="s">
        <v>93</v>
      </c>
      <c r="N92" s="61">
        <v>2017</v>
      </c>
      <c r="O92" s="61" t="s">
        <v>92</v>
      </c>
      <c r="P92" s="63" t="s">
        <v>62</v>
      </c>
      <c r="Q92" s="61" t="s">
        <v>97</v>
      </c>
      <c r="R92" s="63" t="s">
        <v>62</v>
      </c>
      <c r="S92" s="66">
        <v>40</v>
      </c>
      <c r="T92" s="65">
        <v>0.4</v>
      </c>
      <c r="U92" s="65">
        <v>0.3</v>
      </c>
      <c r="V92" s="81">
        <v>0.3</v>
      </c>
    </row>
    <row r="93" spans="1:23" s="64" customFormat="1" x14ac:dyDescent="0.2">
      <c r="A93" s="61" t="s">
        <v>423</v>
      </c>
      <c r="B93" s="61" t="s">
        <v>424</v>
      </c>
      <c r="C93" s="61" t="s">
        <v>456</v>
      </c>
      <c r="D93" s="61" t="s">
        <v>457</v>
      </c>
      <c r="E93" s="61" t="s">
        <v>458</v>
      </c>
      <c r="F93" s="61" t="s">
        <v>459</v>
      </c>
      <c r="G93" s="61" t="s">
        <v>460</v>
      </c>
      <c r="H93" s="61" t="s">
        <v>25</v>
      </c>
      <c r="I93" s="61" t="s">
        <v>423</v>
      </c>
      <c r="J93" s="61" t="s">
        <v>424</v>
      </c>
      <c r="K93" s="61">
        <v>1</v>
      </c>
      <c r="L93" s="71">
        <v>0.5</v>
      </c>
      <c r="M93" s="61" t="s">
        <v>50</v>
      </c>
      <c r="N93" s="61">
        <v>2018</v>
      </c>
      <c r="O93" s="61" t="s">
        <v>56</v>
      </c>
      <c r="P93" s="63" t="s">
        <v>52</v>
      </c>
      <c r="Q93" s="61" t="s">
        <v>97</v>
      </c>
      <c r="R93" s="63" t="s">
        <v>39</v>
      </c>
      <c r="S93" s="66">
        <v>40</v>
      </c>
      <c r="T93" s="65">
        <v>0.2</v>
      </c>
      <c r="U93" s="65">
        <v>0.05</v>
      </c>
      <c r="V93" s="81">
        <v>0.25</v>
      </c>
      <c r="W93" s="99"/>
    </row>
    <row r="94" spans="1:23" s="64" customFormat="1" x14ac:dyDescent="0.2">
      <c r="A94" s="84" t="s">
        <v>423</v>
      </c>
      <c r="B94" s="84" t="s">
        <v>424</v>
      </c>
      <c r="C94" s="84" t="s">
        <v>456</v>
      </c>
      <c r="D94" s="84" t="s">
        <v>457</v>
      </c>
      <c r="E94" s="84" t="s">
        <v>458</v>
      </c>
      <c r="F94" s="84" t="s">
        <v>459</v>
      </c>
      <c r="G94" s="84" t="s">
        <v>461</v>
      </c>
      <c r="H94" s="84" t="s">
        <v>25</v>
      </c>
      <c r="I94" s="84" t="s">
        <v>423</v>
      </c>
      <c r="J94" s="84" t="s">
        <v>424</v>
      </c>
      <c r="K94" s="84">
        <v>1</v>
      </c>
      <c r="L94" s="85">
        <v>0.5</v>
      </c>
      <c r="M94" s="84" t="s">
        <v>50</v>
      </c>
      <c r="N94" s="84">
        <v>2018</v>
      </c>
      <c r="O94" s="84" t="s">
        <v>56</v>
      </c>
      <c r="P94" s="86" t="s">
        <v>52</v>
      </c>
      <c r="Q94" s="84" t="s">
        <v>97</v>
      </c>
      <c r="R94" s="86" t="s">
        <v>39</v>
      </c>
      <c r="S94" s="87">
        <v>40</v>
      </c>
      <c r="T94" s="88">
        <v>0.2</v>
      </c>
      <c r="U94" s="88">
        <v>0.05</v>
      </c>
      <c r="V94" s="89">
        <v>0.25</v>
      </c>
    </row>
    <row r="95" spans="1:23" s="64" customFormat="1" x14ac:dyDescent="0.2">
      <c r="A95" s="72" t="s">
        <v>346</v>
      </c>
      <c r="B95" s="72" t="s">
        <v>347</v>
      </c>
      <c r="C95" s="72" t="s">
        <v>348</v>
      </c>
      <c r="D95" s="72" t="s">
        <v>349</v>
      </c>
      <c r="E95" s="72" t="s">
        <v>350</v>
      </c>
      <c r="F95" s="72" t="s">
        <v>351</v>
      </c>
      <c r="G95" s="72" t="s">
        <v>462</v>
      </c>
      <c r="H95" s="72" t="s">
        <v>25</v>
      </c>
      <c r="I95" s="72" t="s">
        <v>53</v>
      </c>
      <c r="J95" s="72" t="s">
        <v>54</v>
      </c>
      <c r="K95" s="72">
        <v>1</v>
      </c>
      <c r="L95" s="73">
        <v>0.5</v>
      </c>
      <c r="M95" s="72" t="s">
        <v>328</v>
      </c>
      <c r="N95" s="72">
        <v>2019</v>
      </c>
      <c r="O95" s="72" t="s">
        <v>345</v>
      </c>
      <c r="P95" s="74" t="s">
        <v>46</v>
      </c>
      <c r="Q95" s="72" t="s">
        <v>97</v>
      </c>
      <c r="R95" s="74" t="s">
        <v>52</v>
      </c>
      <c r="S95" s="75">
        <v>70</v>
      </c>
      <c r="T95" s="76">
        <v>0.35</v>
      </c>
      <c r="U95" s="76">
        <v>0.1</v>
      </c>
      <c r="V95" s="83">
        <v>0.05</v>
      </c>
    </row>
    <row r="96" spans="1:23" s="64" customFormat="1" ht="10.8" thickBot="1" x14ac:dyDescent="0.25">
      <c r="A96" s="72" t="s">
        <v>346</v>
      </c>
      <c r="B96" s="72" t="s">
        <v>347</v>
      </c>
      <c r="C96" s="72" t="s">
        <v>348</v>
      </c>
      <c r="D96" s="72" t="s">
        <v>463</v>
      </c>
      <c r="E96" s="72" t="s">
        <v>464</v>
      </c>
      <c r="F96" s="72" t="s">
        <v>465</v>
      </c>
      <c r="G96" s="72" t="s">
        <v>462</v>
      </c>
      <c r="H96" s="72" t="s">
        <v>27</v>
      </c>
      <c r="I96" s="72" t="s">
        <v>53</v>
      </c>
      <c r="J96" s="72" t="s">
        <v>54</v>
      </c>
      <c r="K96" s="72">
        <v>1</v>
      </c>
      <c r="L96" s="73">
        <v>1</v>
      </c>
      <c r="M96" s="72" t="s">
        <v>328</v>
      </c>
      <c r="N96" s="72">
        <v>2019</v>
      </c>
      <c r="O96" s="72" t="s">
        <v>345</v>
      </c>
      <c r="P96" s="74" t="s">
        <v>46</v>
      </c>
      <c r="Q96" s="72" t="s">
        <v>97</v>
      </c>
      <c r="R96" s="74" t="s">
        <v>52</v>
      </c>
      <c r="S96" s="75">
        <v>70</v>
      </c>
      <c r="T96" s="76">
        <v>0.7</v>
      </c>
      <c r="U96" s="76">
        <v>0.2</v>
      </c>
      <c r="V96" s="83">
        <v>0.1</v>
      </c>
    </row>
    <row r="97" spans="1:22" s="64" customFormat="1" ht="10.8" thickBot="1" x14ac:dyDescent="0.25">
      <c r="A97" s="26" t="s">
        <v>36</v>
      </c>
      <c r="B97" s="26" t="s">
        <v>37</v>
      </c>
      <c r="C97" s="26" t="s">
        <v>38</v>
      </c>
      <c r="D97" s="26" t="s">
        <v>469</v>
      </c>
      <c r="E97" s="26" t="s">
        <v>470</v>
      </c>
      <c r="F97" s="26" t="s">
        <v>471</v>
      </c>
      <c r="G97" s="27" t="s">
        <v>472</v>
      </c>
      <c r="H97" s="28" t="s">
        <v>25</v>
      </c>
      <c r="I97" s="28" t="s">
        <v>36</v>
      </c>
      <c r="J97" s="29" t="s">
        <v>37</v>
      </c>
      <c r="K97" s="61">
        <v>1</v>
      </c>
      <c r="L97" s="62">
        <v>0.5</v>
      </c>
      <c r="M97" s="62" t="s">
        <v>101</v>
      </c>
      <c r="N97" s="61">
        <v>2020</v>
      </c>
      <c r="O97" s="61" t="s">
        <v>76</v>
      </c>
      <c r="P97" s="63" t="s">
        <v>62</v>
      </c>
      <c r="Q97" s="61" t="s">
        <v>97</v>
      </c>
      <c r="R97" s="63" t="s">
        <v>62</v>
      </c>
      <c r="S97" s="61">
        <v>40</v>
      </c>
      <c r="T97" s="61">
        <v>0.2</v>
      </c>
      <c r="U97" s="61">
        <v>0.15</v>
      </c>
      <c r="V97" s="80">
        <v>0.15</v>
      </c>
    </row>
    <row r="98" spans="1:22" s="64" customFormat="1" ht="10.8" thickBot="1" x14ac:dyDescent="0.25">
      <c r="A98" s="26" t="s">
        <v>68</v>
      </c>
      <c r="B98" s="26" t="s">
        <v>69</v>
      </c>
      <c r="C98" s="26" t="s">
        <v>70</v>
      </c>
      <c r="D98" s="26" t="s">
        <v>507</v>
      </c>
      <c r="E98" s="26" t="s">
        <v>508</v>
      </c>
      <c r="F98" s="26" t="s">
        <v>504</v>
      </c>
      <c r="G98" s="27" t="s">
        <v>446</v>
      </c>
      <c r="H98" s="28" t="s">
        <v>25</v>
      </c>
      <c r="I98" s="28" t="s">
        <v>63</v>
      </c>
      <c r="J98" s="29" t="s">
        <v>64</v>
      </c>
      <c r="K98" s="61">
        <v>1</v>
      </c>
      <c r="L98" s="62">
        <v>0.5</v>
      </c>
      <c r="M98" s="62" t="s">
        <v>115</v>
      </c>
      <c r="N98" s="61">
        <v>2020</v>
      </c>
      <c r="O98" s="61" t="s">
        <v>76</v>
      </c>
      <c r="P98" s="63" t="s">
        <v>52</v>
      </c>
      <c r="Q98" s="61" t="s">
        <v>97</v>
      </c>
      <c r="R98" s="63" t="s">
        <v>57</v>
      </c>
      <c r="S98" s="61">
        <v>65</v>
      </c>
      <c r="T98" s="61">
        <v>0.32500000000000001</v>
      </c>
      <c r="U98" s="61">
        <v>0.05</v>
      </c>
      <c r="V98" s="80">
        <v>0.125</v>
      </c>
    </row>
    <row r="99" spans="1:22" s="64" customFormat="1" ht="10.8" thickBot="1" x14ac:dyDescent="0.25">
      <c r="A99" s="26" t="s">
        <v>31</v>
      </c>
      <c r="B99" s="26" t="s">
        <v>32</v>
      </c>
      <c r="C99" s="26" t="s">
        <v>33</v>
      </c>
      <c r="D99" s="26" t="s">
        <v>425</v>
      </c>
      <c r="E99" s="26" t="s">
        <v>426</v>
      </c>
      <c r="F99" s="26" t="s">
        <v>403</v>
      </c>
      <c r="G99" s="27" t="s">
        <v>106</v>
      </c>
      <c r="H99" s="28" t="s">
        <v>25</v>
      </c>
      <c r="I99" s="28" t="s">
        <v>102</v>
      </c>
      <c r="J99" s="29" t="s">
        <v>103</v>
      </c>
      <c r="K99" s="61">
        <v>1</v>
      </c>
      <c r="L99" s="62">
        <v>0.5</v>
      </c>
      <c r="M99" s="62" t="s">
        <v>105</v>
      </c>
      <c r="N99" s="61">
        <v>2020</v>
      </c>
      <c r="O99" s="61" t="s">
        <v>34</v>
      </c>
      <c r="P99" s="63" t="s">
        <v>46</v>
      </c>
      <c r="Q99" s="61" t="s">
        <v>97</v>
      </c>
      <c r="R99" s="63" t="s">
        <v>52</v>
      </c>
      <c r="S99" s="61">
        <v>70</v>
      </c>
      <c r="T99" s="61">
        <v>0.35</v>
      </c>
      <c r="U99" s="61">
        <v>0.1</v>
      </c>
      <c r="V99" s="80">
        <v>0.05</v>
      </c>
    </row>
    <row r="100" spans="1:22" s="64" customFormat="1" ht="10.8" thickBot="1" x14ac:dyDescent="0.25">
      <c r="A100" s="26" t="s">
        <v>31</v>
      </c>
      <c r="B100" s="26" t="s">
        <v>32</v>
      </c>
      <c r="C100" s="26" t="s">
        <v>33</v>
      </c>
      <c r="D100" s="26" t="s">
        <v>438</v>
      </c>
      <c r="E100" s="26" t="s">
        <v>552</v>
      </c>
      <c r="F100" s="26" t="s">
        <v>439</v>
      </c>
      <c r="G100" s="27" t="s">
        <v>106</v>
      </c>
      <c r="H100" s="28" t="s">
        <v>27</v>
      </c>
      <c r="I100" s="28" t="s">
        <v>102</v>
      </c>
      <c r="J100" s="29" t="s">
        <v>103</v>
      </c>
      <c r="K100" s="61">
        <v>1</v>
      </c>
      <c r="L100" s="62">
        <v>1</v>
      </c>
      <c r="M100" s="62" t="s">
        <v>105</v>
      </c>
      <c r="N100" s="61">
        <v>2020</v>
      </c>
      <c r="O100" s="61" t="s">
        <v>34</v>
      </c>
      <c r="P100" s="63" t="s">
        <v>46</v>
      </c>
      <c r="Q100" s="61" t="s">
        <v>97</v>
      </c>
      <c r="R100" s="63" t="s">
        <v>52</v>
      </c>
      <c r="S100" s="61">
        <v>70</v>
      </c>
      <c r="T100" s="61">
        <v>0.7</v>
      </c>
      <c r="U100" s="61">
        <v>0.2</v>
      </c>
      <c r="V100" s="80">
        <v>0.1</v>
      </c>
    </row>
    <row r="101" spans="1:22" s="64" customFormat="1" ht="10.8" thickBot="1" x14ac:dyDescent="0.25">
      <c r="A101" s="26" t="s">
        <v>31</v>
      </c>
      <c r="B101" s="26" t="s">
        <v>32</v>
      </c>
      <c r="C101" s="26" t="s">
        <v>33</v>
      </c>
      <c r="D101" s="26" t="s">
        <v>440</v>
      </c>
      <c r="E101" s="26" t="s">
        <v>441</v>
      </c>
      <c r="F101" s="26" t="s">
        <v>442</v>
      </c>
      <c r="G101" s="27" t="s">
        <v>106</v>
      </c>
      <c r="H101" s="28" t="s">
        <v>27</v>
      </c>
      <c r="I101" s="28" t="s">
        <v>102</v>
      </c>
      <c r="J101" s="29" t="s">
        <v>103</v>
      </c>
      <c r="K101" s="61">
        <v>1</v>
      </c>
      <c r="L101" s="62">
        <v>1</v>
      </c>
      <c r="M101" s="62" t="s">
        <v>105</v>
      </c>
      <c r="N101" s="61">
        <v>2020</v>
      </c>
      <c r="O101" s="61" t="s">
        <v>34</v>
      </c>
      <c r="P101" s="63" t="s">
        <v>46</v>
      </c>
      <c r="Q101" s="61" t="s">
        <v>97</v>
      </c>
      <c r="R101" s="63" t="s">
        <v>52</v>
      </c>
      <c r="S101" s="61">
        <v>70</v>
      </c>
      <c r="T101" s="61">
        <v>0.7</v>
      </c>
      <c r="U101" s="61">
        <v>0.2</v>
      </c>
      <c r="V101" s="80">
        <v>0.1</v>
      </c>
    </row>
    <row r="102" spans="1:22" s="64" customFormat="1" x14ac:dyDescent="0.2">
      <c r="A102" s="61" t="s">
        <v>99</v>
      </c>
      <c r="B102" s="61" t="s">
        <v>100</v>
      </c>
      <c r="C102" s="61" t="s">
        <v>38</v>
      </c>
      <c r="D102" s="61" t="s">
        <v>553</v>
      </c>
      <c r="E102" s="61" t="s">
        <v>554</v>
      </c>
      <c r="F102" s="61" t="s">
        <v>555</v>
      </c>
      <c r="G102" s="61" t="s">
        <v>472</v>
      </c>
      <c r="H102" s="61" t="s">
        <v>27</v>
      </c>
      <c r="I102" s="61" t="s">
        <v>36</v>
      </c>
      <c r="J102" s="61" t="s">
        <v>37</v>
      </c>
      <c r="K102" s="61">
        <v>63</v>
      </c>
      <c r="L102" s="62">
        <v>1</v>
      </c>
      <c r="M102" s="62" t="s">
        <v>101</v>
      </c>
      <c r="N102" s="61">
        <v>2021</v>
      </c>
      <c r="O102" s="61" t="s">
        <v>76</v>
      </c>
      <c r="P102" s="63" t="s">
        <v>62</v>
      </c>
      <c r="Q102" s="61" t="s">
        <v>97</v>
      </c>
      <c r="R102" s="63" t="s">
        <v>62</v>
      </c>
      <c r="S102" s="61">
        <v>40</v>
      </c>
      <c r="T102" s="61">
        <v>0.4</v>
      </c>
      <c r="U102" s="61">
        <v>0.3</v>
      </c>
      <c r="V102" s="80">
        <v>0.3</v>
      </c>
    </row>
    <row r="103" spans="1:22" s="64" customFormat="1" x14ac:dyDescent="0.2">
      <c r="A103" s="61" t="s">
        <v>346</v>
      </c>
      <c r="B103" s="61" t="s">
        <v>347</v>
      </c>
      <c r="C103" s="61" t="s">
        <v>348</v>
      </c>
      <c r="D103" s="61" t="s">
        <v>527</v>
      </c>
      <c r="E103" s="61" t="s">
        <v>528</v>
      </c>
      <c r="F103" s="61" t="s">
        <v>529</v>
      </c>
      <c r="G103" s="61" t="s">
        <v>462</v>
      </c>
      <c r="H103" s="61" t="s">
        <v>25</v>
      </c>
      <c r="I103" s="61" t="s">
        <v>53</v>
      </c>
      <c r="J103" s="61" t="s">
        <v>54</v>
      </c>
      <c r="K103" s="61">
        <v>85</v>
      </c>
      <c r="L103" s="62">
        <v>0.5</v>
      </c>
      <c r="M103" s="62" t="s">
        <v>328</v>
      </c>
      <c r="N103" s="61">
        <v>2021</v>
      </c>
      <c r="O103" s="61" t="s">
        <v>345</v>
      </c>
      <c r="P103" s="63" t="s">
        <v>46</v>
      </c>
      <c r="Q103" s="61" t="s">
        <v>97</v>
      </c>
      <c r="R103" s="63" t="s">
        <v>52</v>
      </c>
      <c r="S103" s="61">
        <v>70</v>
      </c>
      <c r="T103" s="61">
        <v>0.35</v>
      </c>
      <c r="U103" s="61">
        <v>0.1</v>
      </c>
      <c r="V103" s="80">
        <v>0.05</v>
      </c>
    </row>
    <row r="104" spans="1:22" s="64" customFormat="1" x14ac:dyDescent="0.2">
      <c r="A104" s="61" t="s">
        <v>68</v>
      </c>
      <c r="B104" s="61" t="s">
        <v>69</v>
      </c>
      <c r="C104" s="61" t="s">
        <v>70</v>
      </c>
      <c r="D104" s="61" t="s">
        <v>556</v>
      </c>
      <c r="E104" s="61" t="s">
        <v>557</v>
      </c>
      <c r="F104" s="61" t="s">
        <v>558</v>
      </c>
      <c r="G104" s="61" t="s">
        <v>559</v>
      </c>
      <c r="H104" s="61" t="s">
        <v>27</v>
      </c>
      <c r="I104" s="61" t="s">
        <v>89</v>
      </c>
      <c r="J104" s="61" t="s">
        <v>90</v>
      </c>
      <c r="K104" s="61">
        <v>143</v>
      </c>
      <c r="L104" s="62">
        <v>1</v>
      </c>
      <c r="M104" s="62" t="s">
        <v>91</v>
      </c>
      <c r="N104" s="61">
        <v>2021</v>
      </c>
      <c r="O104" s="61" t="s">
        <v>92</v>
      </c>
      <c r="P104" s="63" t="s">
        <v>52</v>
      </c>
      <c r="Q104" s="61" t="s">
        <v>97</v>
      </c>
      <c r="R104" s="63" t="s">
        <v>62</v>
      </c>
      <c r="S104" s="61">
        <v>60</v>
      </c>
      <c r="T104" s="61">
        <v>0.6</v>
      </c>
      <c r="U104" s="61">
        <v>0.1</v>
      </c>
      <c r="V104" s="80">
        <v>0.3</v>
      </c>
    </row>
    <row r="105" spans="1:22" x14ac:dyDescent="0.2">
      <c r="T105" s="96">
        <f>SUM(V91:V104,U6:U90,T2:T5)</f>
        <v>31.475000000000016</v>
      </c>
      <c r="U105" s="97"/>
      <c r="V105" s="97"/>
    </row>
  </sheetData>
  <autoFilter ref="A1:U1" xr:uid="{00000000-0009-0000-0000-000000000000}"/>
  <mergeCells count="1">
    <mergeCell ref="T105:V105"/>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57"/>
  <sheetViews>
    <sheetView topLeftCell="A37" zoomScaleNormal="100" workbookViewId="0">
      <selection activeCell="Q57" sqref="Q57:R57"/>
    </sheetView>
  </sheetViews>
  <sheetFormatPr baseColWidth="10" defaultColWidth="11.44140625" defaultRowHeight="13.2" x14ac:dyDescent="0.25"/>
  <cols>
    <col min="1" max="1" width="10.88671875" style="17" bestFit="1" customWidth="1"/>
    <col min="2" max="2" width="39.88671875" style="17" bestFit="1" customWidth="1"/>
    <col min="3" max="3" width="17" style="17" bestFit="1" customWidth="1"/>
    <col min="4" max="9" width="3.33203125" style="17" bestFit="1" customWidth="1"/>
    <col min="10" max="10" width="13.109375" style="17" bestFit="1" customWidth="1"/>
    <col min="11" max="11" width="5.33203125" style="17" bestFit="1" customWidth="1"/>
    <col min="12" max="12" width="5.6640625" style="17" bestFit="1" customWidth="1"/>
    <col min="13" max="14" width="5.6640625" style="19" bestFit="1" customWidth="1"/>
    <col min="15" max="15" width="5.6640625" style="17" bestFit="1" customWidth="1"/>
    <col min="16" max="16" width="5.6640625" style="19" bestFit="1" customWidth="1"/>
    <col min="17" max="19" width="5.6640625" style="17" bestFit="1" customWidth="1"/>
    <col min="20" max="16384" width="11.44140625" style="17"/>
  </cols>
  <sheetData>
    <row r="1" spans="1:19" s="16" customFormat="1" ht="65.099999999999994" customHeight="1" x14ac:dyDescent="0.25">
      <c r="A1" s="20" t="s">
        <v>216</v>
      </c>
      <c r="B1" s="20" t="s">
        <v>217</v>
      </c>
      <c r="C1" s="20" t="s">
        <v>218</v>
      </c>
      <c r="D1" s="21">
        <v>2017</v>
      </c>
      <c r="E1" s="21">
        <v>2018</v>
      </c>
      <c r="F1" s="21">
        <v>2019</v>
      </c>
      <c r="G1" s="21">
        <v>2020</v>
      </c>
      <c r="H1" s="21">
        <v>2021</v>
      </c>
      <c r="I1" s="21">
        <v>2022</v>
      </c>
      <c r="J1" s="20" t="s">
        <v>219</v>
      </c>
      <c r="K1" s="22" t="s">
        <v>317</v>
      </c>
      <c r="L1" s="14" t="s">
        <v>220</v>
      </c>
      <c r="M1" s="14" t="s">
        <v>221</v>
      </c>
      <c r="N1" s="14" t="s">
        <v>222</v>
      </c>
      <c r="O1" s="14" t="s">
        <v>223</v>
      </c>
      <c r="P1" s="15" t="s">
        <v>224</v>
      </c>
      <c r="Q1" s="15" t="s">
        <v>225</v>
      </c>
      <c r="R1" s="15" t="s">
        <v>226</v>
      </c>
      <c r="S1" s="15" t="s">
        <v>227</v>
      </c>
    </row>
    <row r="2" spans="1:19" ht="14.4" x14ac:dyDescent="0.3">
      <c r="A2" s="23" t="s">
        <v>311</v>
      </c>
      <c r="B2" s="23" t="s">
        <v>312</v>
      </c>
      <c r="C2" s="23" t="s">
        <v>228</v>
      </c>
      <c r="D2" s="23">
        <v>1</v>
      </c>
      <c r="E2" s="23"/>
      <c r="F2" s="23">
        <v>1</v>
      </c>
      <c r="G2" s="23"/>
      <c r="H2" s="23"/>
      <c r="I2" s="23"/>
      <c r="J2" s="23">
        <v>2</v>
      </c>
      <c r="K2" s="23" t="s">
        <v>105</v>
      </c>
      <c r="L2" s="24" t="s">
        <v>97</v>
      </c>
      <c r="M2" s="24" t="s">
        <v>52</v>
      </c>
      <c r="N2" s="24" t="s">
        <v>34</v>
      </c>
      <c r="O2" s="24" t="s">
        <v>52</v>
      </c>
      <c r="P2" s="24">
        <v>80</v>
      </c>
      <c r="Q2" s="92">
        <v>0.2</v>
      </c>
      <c r="R2" s="24">
        <v>0.2</v>
      </c>
      <c r="S2" s="24">
        <v>1.6</v>
      </c>
    </row>
    <row r="3" spans="1:19" ht="14.4" x14ac:dyDescent="0.3">
      <c r="A3" s="23" t="s">
        <v>281</v>
      </c>
      <c r="B3" s="23" t="s">
        <v>282</v>
      </c>
      <c r="C3" s="23" t="s">
        <v>228</v>
      </c>
      <c r="D3" s="23"/>
      <c r="E3" s="23">
        <v>1</v>
      </c>
      <c r="F3" s="23"/>
      <c r="G3" s="23"/>
      <c r="H3" s="23"/>
      <c r="I3" s="23"/>
      <c r="J3" s="23">
        <v>1</v>
      </c>
      <c r="K3" s="23" t="s">
        <v>50</v>
      </c>
      <c r="L3" s="24" t="s">
        <v>97</v>
      </c>
      <c r="M3" s="24" t="s">
        <v>39</v>
      </c>
      <c r="N3" s="24" t="s">
        <v>26</v>
      </c>
      <c r="O3" s="24" t="s">
        <v>26</v>
      </c>
      <c r="P3" s="24">
        <v>50</v>
      </c>
      <c r="Q3" s="92">
        <v>0.5</v>
      </c>
      <c r="R3" s="24">
        <v>0</v>
      </c>
      <c r="S3" s="24">
        <v>0.5</v>
      </c>
    </row>
    <row r="4" spans="1:19" ht="14.4" x14ac:dyDescent="0.3">
      <c r="A4" s="23" t="s">
        <v>259</v>
      </c>
      <c r="B4" s="23" t="s">
        <v>260</v>
      </c>
      <c r="C4" s="23" t="s">
        <v>228</v>
      </c>
      <c r="D4" s="23"/>
      <c r="E4" s="23"/>
      <c r="F4" s="23">
        <v>1</v>
      </c>
      <c r="G4" s="23"/>
      <c r="H4" s="23"/>
      <c r="I4" s="23"/>
      <c r="J4" s="23">
        <v>1</v>
      </c>
      <c r="K4" s="23" t="s">
        <v>71</v>
      </c>
      <c r="L4" s="24" t="s">
        <v>97</v>
      </c>
      <c r="M4" s="24" t="s">
        <v>62</v>
      </c>
      <c r="N4" s="24" t="s">
        <v>26</v>
      </c>
      <c r="O4" s="24" t="s">
        <v>26</v>
      </c>
      <c r="P4" s="24">
        <v>70</v>
      </c>
      <c r="Q4" s="92">
        <v>0.3</v>
      </c>
      <c r="R4" s="24">
        <v>0</v>
      </c>
      <c r="S4" s="24">
        <v>0.7</v>
      </c>
    </row>
    <row r="5" spans="1:19" ht="14.4" x14ac:dyDescent="0.3">
      <c r="A5" s="23" t="s">
        <v>279</v>
      </c>
      <c r="B5" s="23" t="s">
        <v>280</v>
      </c>
      <c r="C5" s="23">
        <v>6</v>
      </c>
      <c r="D5" s="23"/>
      <c r="E5" s="23"/>
      <c r="F5" s="23"/>
      <c r="G5" s="23">
        <v>1</v>
      </c>
      <c r="H5" s="23"/>
      <c r="I5" s="23"/>
      <c r="J5" s="23">
        <v>1</v>
      </c>
      <c r="K5" s="23" t="s">
        <v>50</v>
      </c>
      <c r="L5" s="24" t="s">
        <v>97</v>
      </c>
      <c r="M5" s="24" t="s">
        <v>55</v>
      </c>
      <c r="N5" s="24" t="s">
        <v>26</v>
      </c>
      <c r="O5" s="24" t="s">
        <v>26</v>
      </c>
      <c r="P5" s="24">
        <v>20</v>
      </c>
      <c r="Q5" s="92">
        <v>0.8</v>
      </c>
      <c r="R5" s="24">
        <v>0</v>
      </c>
      <c r="S5" s="24">
        <v>0.2</v>
      </c>
    </row>
    <row r="6" spans="1:19" ht="14.4" x14ac:dyDescent="0.3">
      <c r="A6" s="23" t="s">
        <v>560</v>
      </c>
      <c r="B6" s="23" t="s">
        <v>561</v>
      </c>
      <c r="C6" s="23" t="s">
        <v>228</v>
      </c>
      <c r="D6" s="23">
        <v>1</v>
      </c>
      <c r="E6" s="23"/>
      <c r="F6" s="23"/>
      <c r="G6" s="23"/>
      <c r="H6" s="23"/>
      <c r="I6" s="23"/>
      <c r="J6" s="23">
        <v>1</v>
      </c>
      <c r="K6" s="23" t="s">
        <v>45</v>
      </c>
      <c r="L6" s="24" t="s">
        <v>97</v>
      </c>
      <c r="M6" s="24" t="s">
        <v>52</v>
      </c>
      <c r="N6" s="24" t="s">
        <v>26</v>
      </c>
      <c r="O6" s="24" t="s">
        <v>26</v>
      </c>
      <c r="P6" s="24">
        <v>90</v>
      </c>
      <c r="Q6" s="92">
        <v>0.1</v>
      </c>
      <c r="R6" s="24">
        <v>0</v>
      </c>
      <c r="S6" s="24">
        <v>0.9</v>
      </c>
    </row>
    <row r="7" spans="1:19" ht="14.4" x14ac:dyDescent="0.3">
      <c r="A7" s="23" t="s">
        <v>271</v>
      </c>
      <c r="B7" s="23" t="s">
        <v>272</v>
      </c>
      <c r="C7" s="23" t="s">
        <v>228</v>
      </c>
      <c r="D7" s="23"/>
      <c r="E7" s="23"/>
      <c r="F7" s="23">
        <v>2</v>
      </c>
      <c r="G7" s="23"/>
      <c r="H7" s="23"/>
      <c r="I7" s="23"/>
      <c r="J7" s="23">
        <v>2</v>
      </c>
      <c r="K7" s="23" t="s">
        <v>45</v>
      </c>
      <c r="L7" s="24" t="s">
        <v>97</v>
      </c>
      <c r="M7" s="24" t="s">
        <v>39</v>
      </c>
      <c r="N7" s="24" t="s">
        <v>26</v>
      </c>
      <c r="O7" s="24" t="s">
        <v>26</v>
      </c>
      <c r="P7" s="24">
        <v>50</v>
      </c>
      <c r="Q7" s="92">
        <v>1</v>
      </c>
      <c r="R7" s="24">
        <v>0</v>
      </c>
      <c r="S7" s="24">
        <v>1</v>
      </c>
    </row>
    <row r="8" spans="1:19" ht="14.4" x14ac:dyDescent="0.3">
      <c r="A8" s="23" t="s">
        <v>318</v>
      </c>
      <c r="B8" s="23" t="s">
        <v>319</v>
      </c>
      <c r="C8" s="23" t="s">
        <v>228</v>
      </c>
      <c r="D8" s="23"/>
      <c r="E8" s="23"/>
      <c r="F8" s="23">
        <v>1</v>
      </c>
      <c r="G8" s="23"/>
      <c r="H8" s="23">
        <v>1</v>
      </c>
      <c r="I8" s="23"/>
      <c r="J8" s="23">
        <v>2</v>
      </c>
      <c r="K8" s="23" t="s">
        <v>320</v>
      </c>
      <c r="L8" s="24" t="s">
        <v>97</v>
      </c>
      <c r="M8" s="24" t="s">
        <v>39</v>
      </c>
      <c r="N8" s="24" t="s">
        <v>26</v>
      </c>
      <c r="O8" s="24" t="s">
        <v>26</v>
      </c>
      <c r="P8" s="24">
        <v>50</v>
      </c>
      <c r="Q8" s="92">
        <v>1</v>
      </c>
      <c r="R8" s="24">
        <v>0</v>
      </c>
      <c r="S8" s="24">
        <v>1</v>
      </c>
    </row>
    <row r="9" spans="1:19" ht="14.4" x14ac:dyDescent="0.3">
      <c r="A9" s="23" t="s">
        <v>306</v>
      </c>
      <c r="B9" s="23" t="s">
        <v>307</v>
      </c>
      <c r="C9" s="23" t="s">
        <v>228</v>
      </c>
      <c r="D9" s="23"/>
      <c r="E9" s="23"/>
      <c r="F9" s="23">
        <v>1</v>
      </c>
      <c r="G9" s="23"/>
      <c r="H9" s="23"/>
      <c r="I9" s="23"/>
      <c r="J9" s="23">
        <v>1</v>
      </c>
      <c r="K9" s="23" t="s">
        <v>67</v>
      </c>
      <c r="L9" s="24" t="s">
        <v>97</v>
      </c>
      <c r="M9" s="24" t="s">
        <v>55</v>
      </c>
      <c r="N9" s="24" t="s">
        <v>26</v>
      </c>
      <c r="O9" s="24" t="s">
        <v>26</v>
      </c>
      <c r="P9" s="24">
        <v>20</v>
      </c>
      <c r="Q9" s="92">
        <v>0.8</v>
      </c>
      <c r="R9" s="24">
        <v>0</v>
      </c>
      <c r="S9" s="24">
        <v>0.2</v>
      </c>
    </row>
    <row r="10" spans="1:19" ht="14.4" x14ac:dyDescent="0.3">
      <c r="A10" s="23" t="s">
        <v>277</v>
      </c>
      <c r="B10" s="23" t="s">
        <v>278</v>
      </c>
      <c r="C10" s="23" t="s">
        <v>228</v>
      </c>
      <c r="D10" s="23"/>
      <c r="E10" s="23"/>
      <c r="F10" s="23">
        <v>1</v>
      </c>
      <c r="G10" s="23"/>
      <c r="H10" s="23"/>
      <c r="I10" s="23">
        <v>1</v>
      </c>
      <c r="J10" s="23">
        <v>2</v>
      </c>
      <c r="K10" s="23" t="s">
        <v>75</v>
      </c>
      <c r="L10" s="24" t="s">
        <v>97</v>
      </c>
      <c r="M10" s="24" t="s">
        <v>62</v>
      </c>
      <c r="N10" s="24" t="s">
        <v>26</v>
      </c>
      <c r="O10" s="24" t="s">
        <v>26</v>
      </c>
      <c r="P10" s="24">
        <v>70</v>
      </c>
      <c r="Q10" s="92">
        <v>0.6</v>
      </c>
      <c r="R10" s="24">
        <v>0</v>
      </c>
      <c r="S10" s="24">
        <v>1.4</v>
      </c>
    </row>
    <row r="11" spans="1:19" ht="14.4" x14ac:dyDescent="0.3">
      <c r="A11" s="23" t="s">
        <v>275</v>
      </c>
      <c r="B11" s="23" t="s">
        <v>276</v>
      </c>
      <c r="C11" s="23" t="s">
        <v>228</v>
      </c>
      <c r="D11" s="23"/>
      <c r="E11" s="23"/>
      <c r="F11" s="23">
        <v>2</v>
      </c>
      <c r="G11" s="23"/>
      <c r="H11" s="23"/>
      <c r="I11" s="23"/>
      <c r="J11" s="23">
        <v>2</v>
      </c>
      <c r="K11" s="23" t="s">
        <v>45</v>
      </c>
      <c r="L11" s="24" t="s">
        <v>97</v>
      </c>
      <c r="M11" s="24" t="s">
        <v>39</v>
      </c>
      <c r="N11" s="24" t="s">
        <v>26</v>
      </c>
      <c r="O11" s="24" t="s">
        <v>26</v>
      </c>
      <c r="P11" s="24">
        <v>50</v>
      </c>
      <c r="Q11" s="92">
        <v>1</v>
      </c>
      <c r="R11" s="24">
        <v>0</v>
      </c>
      <c r="S11" s="24">
        <v>1</v>
      </c>
    </row>
    <row r="12" spans="1:19" ht="14.4" x14ac:dyDescent="0.3">
      <c r="A12" s="23" t="s">
        <v>562</v>
      </c>
      <c r="B12" s="23" t="s">
        <v>563</v>
      </c>
      <c r="C12" s="23" t="s">
        <v>228</v>
      </c>
      <c r="D12" s="23">
        <v>2</v>
      </c>
      <c r="E12" s="23"/>
      <c r="F12" s="23"/>
      <c r="G12" s="23"/>
      <c r="H12" s="23"/>
      <c r="I12" s="23"/>
      <c r="J12" s="23">
        <v>2</v>
      </c>
      <c r="K12" s="23" t="s">
        <v>328</v>
      </c>
      <c r="L12" s="24" t="s">
        <v>97</v>
      </c>
      <c r="M12" s="24" t="s">
        <v>52</v>
      </c>
      <c r="N12" s="24" t="s">
        <v>26</v>
      </c>
      <c r="O12" s="24" t="s">
        <v>26</v>
      </c>
      <c r="P12" s="24">
        <v>90</v>
      </c>
      <c r="Q12" s="92">
        <v>0.2</v>
      </c>
      <c r="R12" s="24">
        <v>0</v>
      </c>
      <c r="S12" s="24">
        <v>1.8</v>
      </c>
    </row>
    <row r="13" spans="1:19" ht="14.4" x14ac:dyDescent="0.3">
      <c r="A13" s="23" t="s">
        <v>273</v>
      </c>
      <c r="B13" s="23" t="s">
        <v>274</v>
      </c>
      <c r="C13" s="23" t="s">
        <v>228</v>
      </c>
      <c r="D13" s="23"/>
      <c r="E13" s="23">
        <v>1</v>
      </c>
      <c r="F13" s="23">
        <v>1</v>
      </c>
      <c r="G13" s="23"/>
      <c r="H13" s="23"/>
      <c r="I13" s="23"/>
      <c r="J13" s="23">
        <v>2</v>
      </c>
      <c r="K13" s="23" t="s">
        <v>67</v>
      </c>
      <c r="L13" s="24" t="s">
        <v>97</v>
      </c>
      <c r="M13" s="24" t="s">
        <v>55</v>
      </c>
      <c r="N13" s="24" t="s">
        <v>26</v>
      </c>
      <c r="O13" s="24" t="s">
        <v>26</v>
      </c>
      <c r="P13" s="24">
        <v>20</v>
      </c>
      <c r="Q13" s="92">
        <v>1.6</v>
      </c>
      <c r="R13" s="24">
        <v>0</v>
      </c>
      <c r="S13" s="24">
        <v>0.4</v>
      </c>
    </row>
    <row r="14" spans="1:19" ht="14.4" x14ac:dyDescent="0.3">
      <c r="A14" s="23" t="s">
        <v>321</v>
      </c>
      <c r="B14" s="23" t="s">
        <v>322</v>
      </c>
      <c r="C14" s="23" t="s">
        <v>229</v>
      </c>
      <c r="D14" s="23"/>
      <c r="E14" s="23"/>
      <c r="F14" s="23"/>
      <c r="G14" s="23"/>
      <c r="H14" s="23"/>
      <c r="I14" s="23">
        <v>1</v>
      </c>
      <c r="J14" s="23">
        <v>1</v>
      </c>
      <c r="K14" s="23" t="s">
        <v>75</v>
      </c>
      <c r="L14" s="24" t="s">
        <v>97</v>
      </c>
      <c r="M14" s="24" t="s">
        <v>62</v>
      </c>
      <c r="N14" s="24" t="s">
        <v>26</v>
      </c>
      <c r="O14" s="24" t="s">
        <v>26</v>
      </c>
      <c r="P14" s="24">
        <v>70</v>
      </c>
      <c r="Q14" s="92">
        <v>0.3</v>
      </c>
      <c r="R14" s="24">
        <v>0</v>
      </c>
      <c r="S14" s="24">
        <v>0.7</v>
      </c>
    </row>
    <row r="15" spans="1:19" ht="14.4" x14ac:dyDescent="0.3">
      <c r="A15" s="23" t="s">
        <v>308</v>
      </c>
      <c r="B15" s="23" t="s">
        <v>309</v>
      </c>
      <c r="C15" s="23" t="s">
        <v>228</v>
      </c>
      <c r="D15" s="23"/>
      <c r="E15" s="23">
        <v>1</v>
      </c>
      <c r="F15" s="23"/>
      <c r="G15" s="23">
        <v>1</v>
      </c>
      <c r="H15" s="23"/>
      <c r="I15" s="23"/>
      <c r="J15" s="23">
        <v>2</v>
      </c>
      <c r="K15" s="23" t="s">
        <v>75</v>
      </c>
      <c r="L15" s="24" t="s">
        <v>97</v>
      </c>
      <c r="M15" s="24" t="s">
        <v>62</v>
      </c>
      <c r="N15" s="24" t="s">
        <v>26</v>
      </c>
      <c r="O15" s="24" t="s">
        <v>26</v>
      </c>
      <c r="P15" s="24">
        <v>70</v>
      </c>
      <c r="Q15" s="92">
        <v>0.6</v>
      </c>
      <c r="R15" s="24">
        <v>0</v>
      </c>
      <c r="S15" s="24">
        <v>1.4</v>
      </c>
    </row>
    <row r="16" spans="1:19" ht="14.4" x14ac:dyDescent="0.3">
      <c r="A16" s="23" t="s">
        <v>283</v>
      </c>
      <c r="B16" s="23" t="s">
        <v>284</v>
      </c>
      <c r="C16" s="23" t="s">
        <v>228</v>
      </c>
      <c r="D16" s="23"/>
      <c r="E16" s="23"/>
      <c r="F16" s="23"/>
      <c r="G16" s="23">
        <v>1</v>
      </c>
      <c r="H16" s="23"/>
      <c r="I16" s="23"/>
      <c r="J16" s="23">
        <v>1</v>
      </c>
      <c r="K16" s="23" t="s">
        <v>50</v>
      </c>
      <c r="L16" s="24" t="s">
        <v>97</v>
      </c>
      <c r="M16" s="24" t="s">
        <v>39</v>
      </c>
      <c r="N16" s="24" t="s">
        <v>56</v>
      </c>
      <c r="O16" s="24" t="s">
        <v>52</v>
      </c>
      <c r="P16" s="24">
        <v>40</v>
      </c>
      <c r="Q16" s="92">
        <v>0.5</v>
      </c>
      <c r="R16" s="24">
        <v>0.1</v>
      </c>
      <c r="S16" s="24">
        <v>0.4</v>
      </c>
    </row>
    <row r="17" spans="1:19" ht="14.4" x14ac:dyDescent="0.3">
      <c r="A17" s="23" t="s">
        <v>265</v>
      </c>
      <c r="B17" s="23" t="s">
        <v>266</v>
      </c>
      <c r="C17" s="23" t="s">
        <v>229</v>
      </c>
      <c r="D17" s="23"/>
      <c r="E17" s="23"/>
      <c r="F17" s="23">
        <v>1</v>
      </c>
      <c r="G17" s="23"/>
      <c r="H17" s="23"/>
      <c r="I17" s="23"/>
      <c r="J17" s="23">
        <v>1</v>
      </c>
      <c r="K17" s="23" t="s">
        <v>101</v>
      </c>
      <c r="L17" s="24" t="s">
        <v>97</v>
      </c>
      <c r="M17" s="24" t="s">
        <v>39</v>
      </c>
      <c r="N17" s="24" t="s">
        <v>26</v>
      </c>
      <c r="O17" s="24" t="s">
        <v>26</v>
      </c>
      <c r="P17" s="24">
        <v>50</v>
      </c>
      <c r="Q17" s="92">
        <v>0.5</v>
      </c>
      <c r="R17" s="24">
        <v>0</v>
      </c>
      <c r="S17" s="24">
        <v>0.5</v>
      </c>
    </row>
    <row r="18" spans="1:19" ht="14.4" x14ac:dyDescent="0.3">
      <c r="A18" s="23" t="s">
        <v>323</v>
      </c>
      <c r="B18" s="23" t="s">
        <v>324</v>
      </c>
      <c r="C18" s="23" t="s">
        <v>228</v>
      </c>
      <c r="D18" s="23"/>
      <c r="E18" s="23"/>
      <c r="F18" s="23">
        <v>1</v>
      </c>
      <c r="G18" s="23"/>
      <c r="H18" s="23"/>
      <c r="I18" s="23"/>
      <c r="J18" s="23">
        <v>1</v>
      </c>
      <c r="K18" s="23" t="s">
        <v>114</v>
      </c>
      <c r="L18" s="24" t="s">
        <v>97</v>
      </c>
      <c r="M18" s="24" t="s">
        <v>52</v>
      </c>
      <c r="N18" s="24" t="s">
        <v>26</v>
      </c>
      <c r="O18" s="24" t="s">
        <v>26</v>
      </c>
      <c r="P18" s="24">
        <v>90</v>
      </c>
      <c r="Q18" s="92">
        <v>0.1</v>
      </c>
      <c r="R18" s="24">
        <v>0</v>
      </c>
      <c r="S18" s="24">
        <v>0.9</v>
      </c>
    </row>
    <row r="19" spans="1:19" ht="14.4" x14ac:dyDescent="0.3">
      <c r="A19" s="23" t="s">
        <v>326</v>
      </c>
      <c r="B19" s="23" t="s">
        <v>327</v>
      </c>
      <c r="C19" s="23" t="s">
        <v>228</v>
      </c>
      <c r="D19" s="23"/>
      <c r="E19" s="23"/>
      <c r="F19" s="23"/>
      <c r="G19" s="23"/>
      <c r="H19" s="23">
        <v>1</v>
      </c>
      <c r="I19" s="23"/>
      <c r="J19" s="23">
        <v>1</v>
      </c>
      <c r="K19" s="23" t="s">
        <v>328</v>
      </c>
      <c r="L19" s="24" t="s">
        <v>97</v>
      </c>
      <c r="M19" s="24" t="s">
        <v>52</v>
      </c>
      <c r="N19" s="24" t="s">
        <v>26</v>
      </c>
      <c r="O19" s="24" t="s">
        <v>26</v>
      </c>
      <c r="P19" s="24">
        <v>90</v>
      </c>
      <c r="Q19" s="92">
        <v>0.1</v>
      </c>
      <c r="R19" s="24">
        <v>0</v>
      </c>
      <c r="S19" s="24">
        <v>0.9</v>
      </c>
    </row>
    <row r="20" spans="1:19" ht="14.4" x14ac:dyDescent="0.3">
      <c r="A20" s="23" t="s">
        <v>329</v>
      </c>
      <c r="B20" s="23" t="s">
        <v>330</v>
      </c>
      <c r="C20" s="23">
        <v>6</v>
      </c>
      <c r="D20" s="23"/>
      <c r="E20" s="23"/>
      <c r="F20" s="23">
        <v>1</v>
      </c>
      <c r="G20" s="23">
        <v>1</v>
      </c>
      <c r="H20" s="23"/>
      <c r="I20" s="23"/>
      <c r="J20" s="23">
        <v>2</v>
      </c>
      <c r="K20" s="23" t="s">
        <v>115</v>
      </c>
      <c r="L20" s="24" t="s">
        <v>97</v>
      </c>
      <c r="M20" s="24" t="s">
        <v>39</v>
      </c>
      <c r="N20" s="24" t="s">
        <v>26</v>
      </c>
      <c r="O20" s="24" t="s">
        <v>26</v>
      </c>
      <c r="P20" s="24">
        <v>50</v>
      </c>
      <c r="Q20" s="92">
        <v>1</v>
      </c>
      <c r="R20" s="24">
        <v>0</v>
      </c>
      <c r="S20" s="24">
        <v>1</v>
      </c>
    </row>
    <row r="21" spans="1:19" ht="14.4" x14ac:dyDescent="0.3">
      <c r="A21" s="23" t="s">
        <v>261</v>
      </c>
      <c r="B21" s="23" t="s">
        <v>262</v>
      </c>
      <c r="C21" s="23" t="s">
        <v>229</v>
      </c>
      <c r="D21" s="23"/>
      <c r="E21" s="23">
        <v>1</v>
      </c>
      <c r="F21" s="23"/>
      <c r="G21" s="23"/>
      <c r="H21" s="23"/>
      <c r="I21" s="23"/>
      <c r="J21" s="23">
        <v>1</v>
      </c>
      <c r="K21" s="23" t="s">
        <v>67</v>
      </c>
      <c r="L21" s="24" t="s">
        <v>97</v>
      </c>
      <c r="M21" s="24" t="s">
        <v>39</v>
      </c>
      <c r="N21" s="24" t="s">
        <v>26</v>
      </c>
      <c r="O21" s="24" t="s">
        <v>26</v>
      </c>
      <c r="P21" s="24">
        <v>50</v>
      </c>
      <c r="Q21" s="92">
        <v>0.5</v>
      </c>
      <c r="R21" s="24">
        <v>0</v>
      </c>
      <c r="S21" s="24">
        <v>0.5</v>
      </c>
    </row>
    <row r="22" spans="1:19" ht="14.4" x14ac:dyDescent="0.3">
      <c r="A22" s="23" t="s">
        <v>257</v>
      </c>
      <c r="B22" s="23" t="s">
        <v>258</v>
      </c>
      <c r="C22" s="23" t="s">
        <v>228</v>
      </c>
      <c r="D22" s="23"/>
      <c r="E22" s="23"/>
      <c r="F22" s="23"/>
      <c r="G22" s="23">
        <v>1</v>
      </c>
      <c r="H22" s="23"/>
      <c r="I22" s="23"/>
      <c r="J22" s="23">
        <v>1</v>
      </c>
      <c r="K22" s="23" t="s">
        <v>75</v>
      </c>
      <c r="L22" s="24" t="s">
        <v>97</v>
      </c>
      <c r="M22" s="24" t="s">
        <v>39</v>
      </c>
      <c r="N22" s="24" t="s">
        <v>26</v>
      </c>
      <c r="O22" s="24" t="s">
        <v>26</v>
      </c>
      <c r="P22" s="24">
        <v>50</v>
      </c>
      <c r="Q22" s="92">
        <v>0.5</v>
      </c>
      <c r="R22" s="24">
        <v>0</v>
      </c>
      <c r="S22" s="24">
        <v>0.5</v>
      </c>
    </row>
    <row r="23" spans="1:19" ht="14.4" x14ac:dyDescent="0.3">
      <c r="A23" s="23" t="s">
        <v>341</v>
      </c>
      <c r="B23" s="23" t="s">
        <v>342</v>
      </c>
      <c r="C23" s="23" t="s">
        <v>228</v>
      </c>
      <c r="D23" s="23"/>
      <c r="E23" s="23"/>
      <c r="F23" s="23">
        <v>1</v>
      </c>
      <c r="G23" s="23"/>
      <c r="H23" s="23"/>
      <c r="I23" s="23">
        <v>1</v>
      </c>
      <c r="J23" s="23">
        <v>2</v>
      </c>
      <c r="K23" s="23" t="s">
        <v>50</v>
      </c>
      <c r="L23" s="24" t="s">
        <v>97</v>
      </c>
      <c r="M23" s="24" t="s">
        <v>39</v>
      </c>
      <c r="N23" s="24" t="s">
        <v>30</v>
      </c>
      <c r="O23" s="24" t="s">
        <v>52</v>
      </c>
      <c r="P23" s="24">
        <v>40</v>
      </c>
      <c r="Q23" s="92">
        <v>1</v>
      </c>
      <c r="R23" s="24">
        <v>0.2</v>
      </c>
      <c r="S23" s="24">
        <v>0.8</v>
      </c>
    </row>
    <row r="24" spans="1:19" ht="14.4" x14ac:dyDescent="0.3">
      <c r="A24" s="23" t="s">
        <v>248</v>
      </c>
      <c r="B24" s="23" t="s">
        <v>249</v>
      </c>
      <c r="C24" s="23" t="s">
        <v>228</v>
      </c>
      <c r="D24" s="23">
        <v>1</v>
      </c>
      <c r="E24" s="23"/>
      <c r="F24" s="23"/>
      <c r="G24" s="23"/>
      <c r="H24" s="23"/>
      <c r="I24" s="23"/>
      <c r="J24" s="23">
        <v>1</v>
      </c>
      <c r="K24" s="23" t="s">
        <v>116</v>
      </c>
      <c r="L24" s="24" t="s">
        <v>97</v>
      </c>
      <c r="M24" s="24" t="s">
        <v>52</v>
      </c>
      <c r="N24" s="24" t="s">
        <v>26</v>
      </c>
      <c r="O24" s="24" t="s">
        <v>26</v>
      </c>
      <c r="P24" s="24">
        <v>90</v>
      </c>
      <c r="Q24" s="92">
        <v>0.1</v>
      </c>
      <c r="R24" s="24">
        <v>0</v>
      </c>
      <c r="S24" s="24">
        <v>0.9</v>
      </c>
    </row>
    <row r="25" spans="1:19" ht="14.4" x14ac:dyDescent="0.3">
      <c r="A25" s="23" t="s">
        <v>253</v>
      </c>
      <c r="B25" s="23" t="s">
        <v>254</v>
      </c>
      <c r="C25" s="23" t="s">
        <v>228</v>
      </c>
      <c r="D25" s="23">
        <v>1</v>
      </c>
      <c r="E25" s="23"/>
      <c r="F25" s="23"/>
      <c r="G25" s="23"/>
      <c r="H25" s="23"/>
      <c r="I25" s="23"/>
      <c r="J25" s="23">
        <v>1</v>
      </c>
      <c r="K25" s="23" t="s">
        <v>122</v>
      </c>
      <c r="L25" s="24" t="s">
        <v>97</v>
      </c>
      <c r="M25" s="24" t="s">
        <v>39</v>
      </c>
      <c r="N25" s="24" t="s">
        <v>26</v>
      </c>
      <c r="O25" s="24" t="s">
        <v>26</v>
      </c>
      <c r="P25" s="24">
        <v>50</v>
      </c>
      <c r="Q25" s="92">
        <v>0.5</v>
      </c>
      <c r="R25" s="24">
        <v>0</v>
      </c>
      <c r="S25" s="24">
        <v>0.5</v>
      </c>
    </row>
    <row r="26" spans="1:19" ht="14.4" x14ac:dyDescent="0.3">
      <c r="A26" s="23" t="s">
        <v>269</v>
      </c>
      <c r="B26" s="23" t="s">
        <v>270</v>
      </c>
      <c r="C26" s="23" t="s">
        <v>228</v>
      </c>
      <c r="D26" s="23"/>
      <c r="E26" s="23"/>
      <c r="F26" s="23">
        <v>1</v>
      </c>
      <c r="G26" s="23"/>
      <c r="H26" s="23"/>
      <c r="I26" s="23"/>
      <c r="J26" s="23">
        <v>1</v>
      </c>
      <c r="K26" s="23" t="s">
        <v>101</v>
      </c>
      <c r="L26" s="24" t="s">
        <v>97</v>
      </c>
      <c r="M26" s="24" t="s">
        <v>62</v>
      </c>
      <c r="N26" s="24" t="s">
        <v>26</v>
      </c>
      <c r="O26" s="24" t="s">
        <v>26</v>
      </c>
      <c r="P26" s="24">
        <v>70</v>
      </c>
      <c r="Q26" s="92">
        <v>0.3</v>
      </c>
      <c r="R26" s="24">
        <v>0</v>
      </c>
      <c r="S26" s="24">
        <v>0.7</v>
      </c>
    </row>
    <row r="27" spans="1:19" ht="14.4" x14ac:dyDescent="0.3">
      <c r="A27" s="23" t="s">
        <v>246</v>
      </c>
      <c r="B27" s="23" t="s">
        <v>247</v>
      </c>
      <c r="C27" s="23" t="s">
        <v>228</v>
      </c>
      <c r="D27" s="23"/>
      <c r="E27" s="23">
        <v>1</v>
      </c>
      <c r="F27" s="23"/>
      <c r="G27" s="23"/>
      <c r="H27" s="23"/>
      <c r="I27" s="23"/>
      <c r="J27" s="23">
        <v>1</v>
      </c>
      <c r="K27" s="23" t="s">
        <v>67</v>
      </c>
      <c r="L27" s="24" t="s">
        <v>97</v>
      </c>
      <c r="M27" s="24" t="s">
        <v>39</v>
      </c>
      <c r="N27" s="24" t="s">
        <v>26</v>
      </c>
      <c r="O27" s="24" t="s">
        <v>26</v>
      </c>
      <c r="P27" s="24">
        <v>50</v>
      </c>
      <c r="Q27" s="92">
        <v>0.5</v>
      </c>
      <c r="R27" s="24">
        <v>0</v>
      </c>
      <c r="S27" s="24">
        <v>0.5</v>
      </c>
    </row>
    <row r="28" spans="1:19" ht="14.4" x14ac:dyDescent="0.3">
      <c r="A28" s="23" t="s">
        <v>564</v>
      </c>
      <c r="B28" s="23" t="s">
        <v>565</v>
      </c>
      <c r="C28" s="23" t="s">
        <v>229</v>
      </c>
      <c r="D28" s="23"/>
      <c r="E28" s="23"/>
      <c r="F28" s="23"/>
      <c r="G28" s="23"/>
      <c r="H28" s="23"/>
      <c r="I28" s="23">
        <v>1</v>
      </c>
      <c r="J28" s="23">
        <v>1</v>
      </c>
      <c r="K28" s="23" t="s">
        <v>122</v>
      </c>
      <c r="L28" s="24" t="s">
        <v>97</v>
      </c>
      <c r="M28" s="24" t="s">
        <v>39</v>
      </c>
      <c r="N28" s="24" t="s">
        <v>26</v>
      </c>
      <c r="O28" s="24" t="s">
        <v>26</v>
      </c>
      <c r="P28" s="24">
        <v>50</v>
      </c>
      <c r="Q28" s="92">
        <v>0.5</v>
      </c>
      <c r="R28" s="24">
        <v>0</v>
      </c>
      <c r="S28" s="24">
        <v>0.5</v>
      </c>
    </row>
    <row r="29" spans="1:19" ht="14.4" x14ac:dyDescent="0.3">
      <c r="A29" s="23" t="s">
        <v>566</v>
      </c>
      <c r="B29" s="23" t="s">
        <v>567</v>
      </c>
      <c r="C29" s="23" t="s">
        <v>228</v>
      </c>
      <c r="D29" s="23"/>
      <c r="E29" s="23">
        <v>1</v>
      </c>
      <c r="F29" s="23"/>
      <c r="G29" s="23">
        <v>1</v>
      </c>
      <c r="H29" s="23"/>
      <c r="I29" s="23"/>
      <c r="J29" s="23">
        <v>2</v>
      </c>
      <c r="K29" s="23" t="s">
        <v>75</v>
      </c>
      <c r="L29" s="24" t="s">
        <v>97</v>
      </c>
      <c r="M29" s="24" t="s">
        <v>62</v>
      </c>
      <c r="N29" s="24" t="s">
        <v>26</v>
      </c>
      <c r="O29" s="24" t="s">
        <v>26</v>
      </c>
      <c r="P29" s="24">
        <v>70</v>
      </c>
      <c r="Q29" s="92">
        <v>0.6</v>
      </c>
      <c r="R29" s="24">
        <v>0</v>
      </c>
      <c r="S29" s="24">
        <v>1.4</v>
      </c>
    </row>
    <row r="30" spans="1:19" ht="14.4" x14ac:dyDescent="0.3">
      <c r="A30" s="23" t="s">
        <v>331</v>
      </c>
      <c r="B30" s="23" t="s">
        <v>332</v>
      </c>
      <c r="C30" s="23" t="s">
        <v>228</v>
      </c>
      <c r="D30" s="23"/>
      <c r="E30" s="23"/>
      <c r="F30" s="23"/>
      <c r="G30" s="23"/>
      <c r="H30" s="23">
        <v>1</v>
      </c>
      <c r="I30" s="23"/>
      <c r="J30" s="23">
        <v>1</v>
      </c>
      <c r="K30" s="23" t="s">
        <v>328</v>
      </c>
      <c r="L30" s="24" t="s">
        <v>97</v>
      </c>
      <c r="M30" s="24" t="s">
        <v>52</v>
      </c>
      <c r="N30" s="24" t="s">
        <v>26</v>
      </c>
      <c r="O30" s="24" t="s">
        <v>26</v>
      </c>
      <c r="P30" s="24">
        <v>90</v>
      </c>
      <c r="Q30" s="92">
        <v>0.1</v>
      </c>
      <c r="R30" s="24">
        <v>0</v>
      </c>
      <c r="S30" s="24">
        <v>0.9</v>
      </c>
    </row>
    <row r="31" spans="1:19" ht="14.4" x14ac:dyDescent="0.3">
      <c r="A31" s="23" t="s">
        <v>263</v>
      </c>
      <c r="B31" s="23" t="s">
        <v>264</v>
      </c>
      <c r="C31" s="23" t="s">
        <v>228</v>
      </c>
      <c r="D31" s="23"/>
      <c r="E31" s="23"/>
      <c r="F31" s="23"/>
      <c r="G31" s="23"/>
      <c r="H31" s="23">
        <v>2</v>
      </c>
      <c r="I31" s="23"/>
      <c r="J31" s="23">
        <v>2</v>
      </c>
      <c r="K31" s="23" t="s">
        <v>122</v>
      </c>
      <c r="L31" s="24" t="s">
        <v>97</v>
      </c>
      <c r="M31" s="24" t="s">
        <v>39</v>
      </c>
      <c r="N31" s="24" t="s">
        <v>26</v>
      </c>
      <c r="O31" s="24" t="s">
        <v>26</v>
      </c>
      <c r="P31" s="24">
        <v>50</v>
      </c>
      <c r="Q31" s="92">
        <v>1</v>
      </c>
      <c r="R31" s="24">
        <v>0</v>
      </c>
      <c r="S31" s="24">
        <v>1</v>
      </c>
    </row>
    <row r="32" spans="1:19" ht="14.4" x14ac:dyDescent="0.3">
      <c r="A32" s="23" t="s">
        <v>252</v>
      </c>
      <c r="B32" s="23" t="s">
        <v>333</v>
      </c>
      <c r="C32" s="23" t="s">
        <v>228</v>
      </c>
      <c r="D32" s="23"/>
      <c r="E32" s="23"/>
      <c r="F32" s="23"/>
      <c r="G32" s="23">
        <v>1</v>
      </c>
      <c r="H32" s="23"/>
      <c r="I32" s="23"/>
      <c r="J32" s="23">
        <v>1</v>
      </c>
      <c r="K32" s="23" t="s">
        <v>91</v>
      </c>
      <c r="L32" s="24" t="s">
        <v>97</v>
      </c>
      <c r="M32" s="24" t="s">
        <v>62</v>
      </c>
      <c r="N32" s="24" t="s">
        <v>26</v>
      </c>
      <c r="O32" s="24" t="s">
        <v>26</v>
      </c>
      <c r="P32" s="24">
        <v>70</v>
      </c>
      <c r="Q32" s="92">
        <v>0.3</v>
      </c>
      <c r="R32" s="24">
        <v>0</v>
      </c>
      <c r="S32" s="24">
        <v>0.7</v>
      </c>
    </row>
    <row r="33" spans="1:19" ht="14.4" x14ac:dyDescent="0.3">
      <c r="A33" s="23" t="s">
        <v>238</v>
      </c>
      <c r="B33" s="23" t="s">
        <v>239</v>
      </c>
      <c r="C33" s="23" t="s">
        <v>228</v>
      </c>
      <c r="D33" s="23"/>
      <c r="E33" s="23"/>
      <c r="F33" s="23"/>
      <c r="G33" s="23"/>
      <c r="H33" s="23">
        <v>1</v>
      </c>
      <c r="I33" s="23"/>
      <c r="J33" s="23">
        <v>1</v>
      </c>
      <c r="K33" s="23" t="s">
        <v>91</v>
      </c>
      <c r="L33" s="24" t="s">
        <v>97</v>
      </c>
      <c r="M33" s="24" t="s">
        <v>52</v>
      </c>
      <c r="N33" s="24" t="s">
        <v>76</v>
      </c>
      <c r="O33" s="24" t="s">
        <v>46</v>
      </c>
      <c r="P33" s="24">
        <v>70</v>
      </c>
      <c r="Q33" s="92">
        <v>0.1</v>
      </c>
      <c r="R33" s="24">
        <v>0.2</v>
      </c>
      <c r="S33" s="24">
        <v>0.7</v>
      </c>
    </row>
    <row r="34" spans="1:19" ht="14.4" x14ac:dyDescent="0.3">
      <c r="A34" s="23" t="s">
        <v>568</v>
      </c>
      <c r="B34" s="23" t="s">
        <v>569</v>
      </c>
      <c r="C34" s="23" t="s">
        <v>229</v>
      </c>
      <c r="D34" s="23"/>
      <c r="E34" s="23"/>
      <c r="F34" s="23"/>
      <c r="G34" s="23"/>
      <c r="H34" s="23"/>
      <c r="I34" s="23">
        <v>1</v>
      </c>
      <c r="J34" s="23">
        <v>1</v>
      </c>
      <c r="K34" s="23" t="s">
        <v>101</v>
      </c>
      <c r="L34" s="24" t="s">
        <v>97</v>
      </c>
      <c r="M34" s="24" t="s">
        <v>62</v>
      </c>
      <c r="N34" s="24" t="s">
        <v>26</v>
      </c>
      <c r="O34" s="24" t="s">
        <v>26</v>
      </c>
      <c r="P34" s="24">
        <v>70</v>
      </c>
      <c r="Q34" s="92">
        <v>0.3</v>
      </c>
      <c r="R34" s="24">
        <v>0</v>
      </c>
      <c r="S34" s="24">
        <v>0.7</v>
      </c>
    </row>
    <row r="35" spans="1:19" ht="14.4" x14ac:dyDescent="0.3">
      <c r="A35" s="23" t="s">
        <v>570</v>
      </c>
      <c r="B35" s="23" t="s">
        <v>571</v>
      </c>
      <c r="C35" s="23" t="s">
        <v>229</v>
      </c>
      <c r="D35" s="23"/>
      <c r="E35" s="23"/>
      <c r="F35" s="23"/>
      <c r="G35" s="23"/>
      <c r="H35" s="23"/>
      <c r="I35" s="23">
        <v>1</v>
      </c>
      <c r="J35" s="23">
        <v>1</v>
      </c>
      <c r="K35" s="23" t="s">
        <v>115</v>
      </c>
      <c r="L35" s="24" t="s">
        <v>97</v>
      </c>
      <c r="M35" s="24" t="s">
        <v>62</v>
      </c>
      <c r="N35" s="24" t="s">
        <v>26</v>
      </c>
      <c r="O35" s="24" t="s">
        <v>26</v>
      </c>
      <c r="P35" s="24">
        <v>70</v>
      </c>
      <c r="Q35" s="92">
        <v>0.3</v>
      </c>
      <c r="R35" s="24">
        <v>0</v>
      </c>
      <c r="S35" s="24">
        <v>0.7</v>
      </c>
    </row>
    <row r="36" spans="1:19" ht="14.4" x14ac:dyDescent="0.3">
      <c r="A36" s="23" t="s">
        <v>267</v>
      </c>
      <c r="B36" s="23" t="s">
        <v>268</v>
      </c>
      <c r="C36" s="23" t="s">
        <v>228</v>
      </c>
      <c r="D36" s="23"/>
      <c r="E36" s="23">
        <v>2</v>
      </c>
      <c r="F36" s="23"/>
      <c r="G36" s="23"/>
      <c r="H36" s="23"/>
      <c r="I36" s="23">
        <v>1</v>
      </c>
      <c r="J36" s="23">
        <v>3</v>
      </c>
      <c r="K36" s="23" t="s">
        <v>91</v>
      </c>
      <c r="L36" s="24" t="s">
        <v>97</v>
      </c>
      <c r="M36" s="24" t="s">
        <v>62</v>
      </c>
      <c r="N36" s="24" t="s">
        <v>26</v>
      </c>
      <c r="O36" s="24" t="s">
        <v>26</v>
      </c>
      <c r="P36" s="24">
        <v>70</v>
      </c>
      <c r="Q36" s="92">
        <v>0.9</v>
      </c>
      <c r="R36" s="24">
        <v>0</v>
      </c>
      <c r="S36" s="24">
        <v>2.1</v>
      </c>
    </row>
    <row r="37" spans="1:19" ht="14.4" x14ac:dyDescent="0.3">
      <c r="A37" s="23" t="s">
        <v>244</v>
      </c>
      <c r="B37" s="23" t="s">
        <v>245</v>
      </c>
      <c r="C37" s="23" t="s">
        <v>229</v>
      </c>
      <c r="D37" s="23"/>
      <c r="E37" s="23"/>
      <c r="F37" s="23"/>
      <c r="G37" s="23"/>
      <c r="H37" s="23">
        <v>1</v>
      </c>
      <c r="I37" s="23"/>
      <c r="J37" s="23">
        <v>1</v>
      </c>
      <c r="K37" s="23" t="s">
        <v>91</v>
      </c>
      <c r="L37" s="24" t="s">
        <v>97</v>
      </c>
      <c r="M37" s="24" t="s">
        <v>62</v>
      </c>
      <c r="N37" s="24" t="s">
        <v>26</v>
      </c>
      <c r="O37" s="24" t="s">
        <v>26</v>
      </c>
      <c r="P37" s="24">
        <v>70</v>
      </c>
      <c r="Q37" s="92">
        <v>0.3</v>
      </c>
      <c r="R37" s="24">
        <v>0</v>
      </c>
      <c r="S37" s="24">
        <v>0.7</v>
      </c>
    </row>
    <row r="38" spans="1:19" ht="14.4" x14ac:dyDescent="0.3">
      <c r="A38" s="23" t="s">
        <v>334</v>
      </c>
      <c r="B38" s="23" t="s">
        <v>335</v>
      </c>
      <c r="C38" s="23" t="s">
        <v>229</v>
      </c>
      <c r="D38" s="23"/>
      <c r="E38" s="23"/>
      <c r="F38" s="23"/>
      <c r="G38" s="23"/>
      <c r="H38" s="23">
        <v>1</v>
      </c>
      <c r="I38" s="23"/>
      <c r="J38" s="23">
        <v>1</v>
      </c>
      <c r="K38" s="23" t="s">
        <v>328</v>
      </c>
      <c r="L38" s="24" t="s">
        <v>97</v>
      </c>
      <c r="M38" s="24" t="s">
        <v>52</v>
      </c>
      <c r="N38" s="24" t="s">
        <v>26</v>
      </c>
      <c r="O38" s="24" t="s">
        <v>26</v>
      </c>
      <c r="P38" s="24">
        <v>90</v>
      </c>
      <c r="Q38" s="92">
        <v>0.1</v>
      </c>
      <c r="R38" s="24">
        <v>0</v>
      </c>
      <c r="S38" s="24">
        <v>0.9</v>
      </c>
    </row>
    <row r="39" spans="1:19" ht="14.4" x14ac:dyDescent="0.3">
      <c r="A39" s="23" t="s">
        <v>287</v>
      </c>
      <c r="B39" s="23" t="s">
        <v>288</v>
      </c>
      <c r="C39" s="23" t="s">
        <v>228</v>
      </c>
      <c r="D39" s="23"/>
      <c r="E39" s="23"/>
      <c r="F39" s="23"/>
      <c r="G39" s="23"/>
      <c r="H39" s="23"/>
      <c r="I39" s="23">
        <v>1</v>
      </c>
      <c r="J39" s="23">
        <v>1</v>
      </c>
      <c r="K39" s="23" t="s">
        <v>101</v>
      </c>
      <c r="L39" s="24" t="s">
        <v>97</v>
      </c>
      <c r="M39" s="24" t="s">
        <v>62</v>
      </c>
      <c r="N39" s="24" t="s">
        <v>76</v>
      </c>
      <c r="O39" s="24" t="s">
        <v>46</v>
      </c>
      <c r="P39" s="24">
        <v>50</v>
      </c>
      <c r="Q39" s="92">
        <v>0.3</v>
      </c>
      <c r="R39" s="24">
        <v>0.2</v>
      </c>
      <c r="S39" s="24">
        <v>0.5</v>
      </c>
    </row>
    <row r="40" spans="1:19" ht="14.4" x14ac:dyDescent="0.3">
      <c r="A40" s="23" t="s">
        <v>336</v>
      </c>
      <c r="B40" s="23" t="s">
        <v>337</v>
      </c>
      <c r="C40" s="23" t="s">
        <v>229</v>
      </c>
      <c r="D40" s="23"/>
      <c r="E40" s="23"/>
      <c r="F40" s="23"/>
      <c r="G40" s="23"/>
      <c r="H40" s="23">
        <v>1</v>
      </c>
      <c r="I40" s="23"/>
      <c r="J40" s="23">
        <v>1</v>
      </c>
      <c r="K40" s="23" t="s">
        <v>45</v>
      </c>
      <c r="L40" s="24" t="s">
        <v>97</v>
      </c>
      <c r="M40" s="24" t="s">
        <v>62</v>
      </c>
      <c r="N40" s="24" t="s">
        <v>26</v>
      </c>
      <c r="O40" s="24" t="s">
        <v>26</v>
      </c>
      <c r="P40" s="24">
        <v>70</v>
      </c>
      <c r="Q40" s="92">
        <v>0.3</v>
      </c>
      <c r="R40" s="24">
        <v>0</v>
      </c>
      <c r="S40" s="24">
        <v>0.7</v>
      </c>
    </row>
    <row r="41" spans="1:19" ht="14.4" x14ac:dyDescent="0.3">
      <c r="A41" s="23" t="s">
        <v>255</v>
      </c>
      <c r="B41" s="23" t="s">
        <v>256</v>
      </c>
      <c r="C41" s="23" t="s">
        <v>229</v>
      </c>
      <c r="D41" s="23"/>
      <c r="E41" s="23">
        <v>1</v>
      </c>
      <c r="F41" s="23"/>
      <c r="G41" s="23"/>
      <c r="H41" s="23"/>
      <c r="I41" s="23"/>
      <c r="J41" s="23">
        <v>1</v>
      </c>
      <c r="K41" s="23" t="s">
        <v>91</v>
      </c>
      <c r="L41" s="24" t="s">
        <v>97</v>
      </c>
      <c r="M41" s="24" t="s">
        <v>62</v>
      </c>
      <c r="N41" s="24" t="s">
        <v>26</v>
      </c>
      <c r="O41" s="24" t="s">
        <v>26</v>
      </c>
      <c r="P41" s="24">
        <v>70</v>
      </c>
      <c r="Q41" s="92">
        <v>0.3</v>
      </c>
      <c r="R41" s="24">
        <v>0</v>
      </c>
      <c r="S41" s="24">
        <v>0.7</v>
      </c>
    </row>
    <row r="42" spans="1:19" ht="14.4" x14ac:dyDescent="0.3">
      <c r="A42" s="23" t="s">
        <v>313</v>
      </c>
      <c r="B42" s="23" t="s">
        <v>314</v>
      </c>
      <c r="C42" s="23" t="s">
        <v>229</v>
      </c>
      <c r="D42" s="23"/>
      <c r="E42" s="23"/>
      <c r="F42" s="23"/>
      <c r="G42" s="23">
        <v>1</v>
      </c>
      <c r="H42" s="23"/>
      <c r="I42" s="23"/>
      <c r="J42" s="23">
        <v>1</v>
      </c>
      <c r="K42" s="23" t="s">
        <v>101</v>
      </c>
      <c r="L42" s="24" t="s">
        <v>97</v>
      </c>
      <c r="M42" s="24" t="s">
        <v>62</v>
      </c>
      <c r="N42" s="24" t="s">
        <v>76</v>
      </c>
      <c r="O42" s="24" t="s">
        <v>46</v>
      </c>
      <c r="P42" s="24">
        <v>50</v>
      </c>
      <c r="Q42" s="92">
        <v>0.3</v>
      </c>
      <c r="R42" s="24">
        <v>0.2</v>
      </c>
      <c r="S42" s="24">
        <v>0.5</v>
      </c>
    </row>
    <row r="43" spans="1:19" ht="14.4" x14ac:dyDescent="0.3">
      <c r="A43" s="23" t="s">
        <v>250</v>
      </c>
      <c r="B43" s="23" t="s">
        <v>251</v>
      </c>
      <c r="C43" s="23" t="s">
        <v>228</v>
      </c>
      <c r="D43" s="23"/>
      <c r="E43" s="23"/>
      <c r="F43" s="23"/>
      <c r="G43" s="23"/>
      <c r="H43" s="23"/>
      <c r="I43" s="23">
        <v>1</v>
      </c>
      <c r="J43" s="23">
        <v>1</v>
      </c>
      <c r="K43" s="23" t="s">
        <v>101</v>
      </c>
      <c r="L43" s="24" t="s">
        <v>97</v>
      </c>
      <c r="M43" s="24" t="s">
        <v>39</v>
      </c>
      <c r="N43" s="24" t="s">
        <v>26</v>
      </c>
      <c r="O43" s="24" t="s">
        <v>26</v>
      </c>
      <c r="P43" s="24">
        <v>50</v>
      </c>
      <c r="Q43" s="92">
        <v>0.5</v>
      </c>
      <c r="R43" s="24">
        <v>0</v>
      </c>
      <c r="S43" s="24">
        <v>0.5</v>
      </c>
    </row>
    <row r="44" spans="1:19" ht="14.4" x14ac:dyDescent="0.3">
      <c r="A44" s="23" t="s">
        <v>338</v>
      </c>
      <c r="B44" s="23" t="s">
        <v>339</v>
      </c>
      <c r="C44" s="23" t="s">
        <v>228</v>
      </c>
      <c r="D44" s="23"/>
      <c r="E44" s="23"/>
      <c r="F44" s="23"/>
      <c r="G44" s="23"/>
      <c r="H44" s="23">
        <v>1</v>
      </c>
      <c r="I44" s="23"/>
      <c r="J44" s="23">
        <v>1</v>
      </c>
      <c r="K44" s="23" t="s">
        <v>93</v>
      </c>
      <c r="L44" s="24" t="s">
        <v>97</v>
      </c>
      <c r="M44" s="24" t="s">
        <v>62</v>
      </c>
      <c r="N44" s="24" t="s">
        <v>92</v>
      </c>
      <c r="O44" s="24" t="s">
        <v>62</v>
      </c>
      <c r="P44" s="24">
        <v>40</v>
      </c>
      <c r="Q44" s="92">
        <v>0.3</v>
      </c>
      <c r="R44" s="24">
        <v>0.3</v>
      </c>
      <c r="S44" s="24">
        <v>0.4</v>
      </c>
    </row>
    <row r="45" spans="1:19" ht="14.4" x14ac:dyDescent="0.3">
      <c r="A45" s="23" t="s">
        <v>232</v>
      </c>
      <c r="B45" s="23" t="s">
        <v>233</v>
      </c>
      <c r="C45" s="23" t="s">
        <v>228</v>
      </c>
      <c r="D45" s="23"/>
      <c r="E45" s="23"/>
      <c r="F45" s="23">
        <v>2</v>
      </c>
      <c r="G45" s="23"/>
      <c r="H45" s="23"/>
      <c r="I45" s="23"/>
      <c r="J45" s="23">
        <v>2</v>
      </c>
      <c r="K45" s="23" t="s">
        <v>114</v>
      </c>
      <c r="L45" s="24" t="s">
        <v>97</v>
      </c>
      <c r="M45" s="24" t="s">
        <v>62</v>
      </c>
      <c r="N45" s="24" t="s">
        <v>340</v>
      </c>
      <c r="O45" s="24" t="s">
        <v>62</v>
      </c>
      <c r="P45" s="24">
        <v>40</v>
      </c>
      <c r="Q45" s="92">
        <v>0.6</v>
      </c>
      <c r="R45" s="24">
        <v>0.6</v>
      </c>
      <c r="S45" s="24">
        <v>0.8</v>
      </c>
    </row>
    <row r="46" spans="1:19" ht="14.4" x14ac:dyDescent="0.3">
      <c r="A46" s="23" t="s">
        <v>285</v>
      </c>
      <c r="B46" s="23" t="s">
        <v>286</v>
      </c>
      <c r="C46" s="25" t="s">
        <v>228</v>
      </c>
      <c r="D46" s="23"/>
      <c r="E46" s="23"/>
      <c r="F46" s="23"/>
      <c r="G46" s="23"/>
      <c r="H46" s="23">
        <v>1</v>
      </c>
      <c r="I46" s="23"/>
      <c r="J46" s="23">
        <v>1</v>
      </c>
      <c r="K46" s="23" t="s">
        <v>101</v>
      </c>
      <c r="L46" s="24" t="s">
        <v>97</v>
      </c>
      <c r="M46" s="24" t="s">
        <v>62</v>
      </c>
      <c r="N46" s="24" t="s">
        <v>76</v>
      </c>
      <c r="O46" s="24" t="s">
        <v>46</v>
      </c>
      <c r="P46" s="24">
        <v>50</v>
      </c>
      <c r="Q46" s="92">
        <v>0.3</v>
      </c>
      <c r="R46" s="24">
        <v>0.2</v>
      </c>
      <c r="S46" s="24">
        <v>0.5</v>
      </c>
    </row>
    <row r="47" spans="1:19" ht="14.4" x14ac:dyDescent="0.3">
      <c r="A47" s="23" t="s">
        <v>230</v>
      </c>
      <c r="B47" s="23" t="s">
        <v>231</v>
      </c>
      <c r="C47" s="23" t="s">
        <v>228</v>
      </c>
      <c r="D47" s="23">
        <v>1</v>
      </c>
      <c r="E47" s="23"/>
      <c r="F47" s="23"/>
      <c r="G47" s="23"/>
      <c r="H47" s="23"/>
      <c r="I47" s="23"/>
      <c r="J47" s="23">
        <v>1</v>
      </c>
      <c r="K47" s="23" t="s">
        <v>91</v>
      </c>
      <c r="L47" s="24" t="s">
        <v>92</v>
      </c>
      <c r="M47" s="24" t="s">
        <v>52</v>
      </c>
      <c r="N47" s="24" t="s">
        <v>97</v>
      </c>
      <c r="O47" s="24" t="s">
        <v>62</v>
      </c>
      <c r="P47" s="24">
        <v>60</v>
      </c>
      <c r="Q47" s="24">
        <v>0.1</v>
      </c>
      <c r="R47" s="92">
        <v>0.3</v>
      </c>
      <c r="S47" s="24">
        <v>0.6</v>
      </c>
    </row>
    <row r="48" spans="1:19" s="18" customFormat="1" ht="14.4" x14ac:dyDescent="0.3">
      <c r="A48" s="23" t="s">
        <v>315</v>
      </c>
      <c r="B48" s="23" t="s">
        <v>316</v>
      </c>
      <c r="C48" s="23" t="s">
        <v>228</v>
      </c>
      <c r="D48" s="23"/>
      <c r="E48" s="23"/>
      <c r="F48" s="23">
        <v>1</v>
      </c>
      <c r="G48" s="23"/>
      <c r="H48" s="23"/>
      <c r="I48" s="23"/>
      <c r="J48" s="23">
        <v>1</v>
      </c>
      <c r="K48" s="23" t="s">
        <v>310</v>
      </c>
      <c r="L48" s="24" t="s">
        <v>76</v>
      </c>
      <c r="M48" s="24" t="s">
        <v>52</v>
      </c>
      <c r="N48" s="24" t="s">
        <v>97</v>
      </c>
      <c r="O48" s="24" t="s">
        <v>46</v>
      </c>
      <c r="P48" s="24">
        <v>70</v>
      </c>
      <c r="Q48" s="24">
        <v>0.1</v>
      </c>
      <c r="R48" s="92">
        <v>0.2</v>
      </c>
      <c r="S48" s="24">
        <v>0.7</v>
      </c>
    </row>
    <row r="49" spans="1:19" ht="14.4" x14ac:dyDescent="0.3">
      <c r="A49" s="23" t="s">
        <v>572</v>
      </c>
      <c r="B49" s="23" t="s">
        <v>573</v>
      </c>
      <c r="C49" s="23" t="s">
        <v>229</v>
      </c>
      <c r="D49" s="23"/>
      <c r="E49" s="23"/>
      <c r="F49" s="23"/>
      <c r="G49" s="23"/>
      <c r="H49" s="23"/>
      <c r="I49" s="23">
        <v>1</v>
      </c>
      <c r="J49" s="23">
        <v>1</v>
      </c>
      <c r="K49" s="23" t="s">
        <v>101</v>
      </c>
      <c r="L49" s="24" t="s">
        <v>76</v>
      </c>
      <c r="M49" s="24" t="s">
        <v>46</v>
      </c>
      <c r="N49" s="24" t="s">
        <v>97</v>
      </c>
      <c r="O49" s="24" t="s">
        <v>62</v>
      </c>
      <c r="P49" s="24">
        <v>50</v>
      </c>
      <c r="Q49" s="24">
        <v>0.2</v>
      </c>
      <c r="R49" s="92">
        <v>0.3</v>
      </c>
      <c r="S49" s="24">
        <v>0.5</v>
      </c>
    </row>
    <row r="50" spans="1:19" ht="14.4" x14ac:dyDescent="0.3">
      <c r="A50" s="23" t="s">
        <v>234</v>
      </c>
      <c r="B50" s="23" t="s">
        <v>235</v>
      </c>
      <c r="C50" s="23" t="s">
        <v>228</v>
      </c>
      <c r="D50" s="23"/>
      <c r="E50" s="23"/>
      <c r="F50" s="23"/>
      <c r="G50" s="23">
        <v>1</v>
      </c>
      <c r="H50" s="23"/>
      <c r="I50" s="23"/>
      <c r="J50" s="23">
        <v>1</v>
      </c>
      <c r="K50" s="23" t="s">
        <v>105</v>
      </c>
      <c r="L50" s="24" t="s">
        <v>34</v>
      </c>
      <c r="M50" s="24" t="s">
        <v>46</v>
      </c>
      <c r="N50" s="24" t="s">
        <v>97</v>
      </c>
      <c r="O50" s="24" t="s">
        <v>52</v>
      </c>
      <c r="P50" s="24">
        <v>70</v>
      </c>
      <c r="Q50" s="24">
        <v>0.2</v>
      </c>
      <c r="R50" s="92">
        <v>0.1</v>
      </c>
      <c r="S50" s="24">
        <v>0.7</v>
      </c>
    </row>
    <row r="51" spans="1:19" ht="14.4" x14ac:dyDescent="0.3">
      <c r="A51" s="90" t="s">
        <v>236</v>
      </c>
      <c r="B51" s="90" t="s">
        <v>237</v>
      </c>
      <c r="C51" s="91" t="s">
        <v>228</v>
      </c>
      <c r="D51" s="90"/>
      <c r="E51" s="90"/>
      <c r="F51" s="90">
        <v>2</v>
      </c>
      <c r="G51" s="90"/>
      <c r="H51" s="90"/>
      <c r="I51" s="90"/>
      <c r="J51" s="23">
        <v>2</v>
      </c>
      <c r="K51" s="23" t="s">
        <v>105</v>
      </c>
      <c r="L51" s="24" t="s">
        <v>34</v>
      </c>
      <c r="M51" s="24" t="s">
        <v>46</v>
      </c>
      <c r="N51" s="24" t="s">
        <v>97</v>
      </c>
      <c r="O51" s="24" t="s">
        <v>52</v>
      </c>
      <c r="P51" s="24">
        <v>70</v>
      </c>
      <c r="Q51" s="24">
        <v>0.4</v>
      </c>
      <c r="R51" s="92">
        <v>0.2</v>
      </c>
      <c r="S51" s="24">
        <v>1.4</v>
      </c>
    </row>
    <row r="52" spans="1:19" ht="14.4" x14ac:dyDescent="0.3">
      <c r="A52" s="23" t="s">
        <v>574</v>
      </c>
      <c r="B52" s="23" t="s">
        <v>575</v>
      </c>
      <c r="C52" s="23" t="s">
        <v>229</v>
      </c>
      <c r="D52" s="23"/>
      <c r="E52" s="23"/>
      <c r="F52" s="23"/>
      <c r="G52" s="23"/>
      <c r="H52" s="23"/>
      <c r="I52" s="23">
        <v>1</v>
      </c>
      <c r="J52" s="23">
        <v>1</v>
      </c>
      <c r="K52" s="23" t="s">
        <v>101</v>
      </c>
      <c r="L52" s="24" t="s">
        <v>76</v>
      </c>
      <c r="M52" s="24" t="s">
        <v>46</v>
      </c>
      <c r="N52" s="24" t="s">
        <v>97</v>
      </c>
      <c r="O52" s="24" t="s">
        <v>39</v>
      </c>
      <c r="P52" s="24">
        <v>30</v>
      </c>
      <c r="Q52" s="24">
        <v>0.2</v>
      </c>
      <c r="R52" s="92">
        <v>0.5</v>
      </c>
      <c r="S52" s="24">
        <v>0.3</v>
      </c>
    </row>
    <row r="53" spans="1:19" ht="14.4" x14ac:dyDescent="0.3">
      <c r="A53" s="23" t="s">
        <v>343</v>
      </c>
      <c r="B53" s="23" t="s">
        <v>344</v>
      </c>
      <c r="C53" s="23" t="s">
        <v>228</v>
      </c>
      <c r="D53" s="23"/>
      <c r="E53" s="23"/>
      <c r="F53" s="23"/>
      <c r="G53" s="23">
        <v>1</v>
      </c>
      <c r="H53" s="23"/>
      <c r="I53" s="23"/>
      <c r="J53" s="23">
        <v>1</v>
      </c>
      <c r="K53" s="23" t="s">
        <v>328</v>
      </c>
      <c r="L53" s="24" t="s">
        <v>345</v>
      </c>
      <c r="M53" s="24" t="s">
        <v>46</v>
      </c>
      <c r="N53" s="24" t="s">
        <v>97</v>
      </c>
      <c r="O53" s="24" t="s">
        <v>52</v>
      </c>
      <c r="P53" s="24">
        <v>70</v>
      </c>
      <c r="Q53" s="24">
        <v>0.2</v>
      </c>
      <c r="R53" s="92">
        <v>0.1</v>
      </c>
      <c r="S53" s="24">
        <v>0.7</v>
      </c>
    </row>
    <row r="54" spans="1:19" ht="14.4" x14ac:dyDescent="0.3">
      <c r="A54" s="23" t="s">
        <v>242</v>
      </c>
      <c r="B54" s="23" t="s">
        <v>243</v>
      </c>
      <c r="C54" s="23" t="s">
        <v>228</v>
      </c>
      <c r="D54" s="23"/>
      <c r="E54" s="23"/>
      <c r="F54" s="23"/>
      <c r="G54" s="23"/>
      <c r="H54" s="23"/>
      <c r="I54" s="23">
        <v>1</v>
      </c>
      <c r="J54" s="23">
        <v>1</v>
      </c>
      <c r="K54" s="23" t="s">
        <v>101</v>
      </c>
      <c r="L54" s="24" t="s">
        <v>76</v>
      </c>
      <c r="M54" s="24" t="s">
        <v>62</v>
      </c>
      <c r="N54" s="24" t="s">
        <v>97</v>
      </c>
      <c r="O54" s="24" t="s">
        <v>62</v>
      </c>
      <c r="P54" s="24">
        <v>40</v>
      </c>
      <c r="Q54" s="24">
        <v>0.3</v>
      </c>
      <c r="R54" s="92">
        <v>0.3</v>
      </c>
      <c r="S54" s="24">
        <v>0.4</v>
      </c>
    </row>
    <row r="55" spans="1:19" ht="14.4" x14ac:dyDescent="0.3">
      <c r="A55" s="23" t="s">
        <v>576</v>
      </c>
      <c r="B55" s="23" t="s">
        <v>577</v>
      </c>
      <c r="C55" s="23" t="s">
        <v>229</v>
      </c>
      <c r="D55" s="23"/>
      <c r="E55" s="23"/>
      <c r="F55" s="23"/>
      <c r="G55" s="23"/>
      <c r="H55" s="23"/>
      <c r="I55" s="23">
        <v>1</v>
      </c>
      <c r="J55" s="23">
        <v>1</v>
      </c>
      <c r="K55" s="23" t="s">
        <v>93</v>
      </c>
      <c r="L55" s="24" t="s">
        <v>92</v>
      </c>
      <c r="M55" s="24" t="s">
        <v>46</v>
      </c>
      <c r="N55" s="24" t="s">
        <v>97</v>
      </c>
      <c r="O55" s="24" t="s">
        <v>46</v>
      </c>
      <c r="P55" s="24">
        <v>60</v>
      </c>
      <c r="Q55" s="24">
        <v>0.2</v>
      </c>
      <c r="R55" s="92">
        <v>0.2</v>
      </c>
      <c r="S55" s="24">
        <v>0.6</v>
      </c>
    </row>
    <row r="56" spans="1:19" ht="14.4" x14ac:dyDescent="0.3">
      <c r="A56" s="23" t="s">
        <v>240</v>
      </c>
      <c r="B56" s="23" t="s">
        <v>241</v>
      </c>
      <c r="C56" s="25" t="s">
        <v>325</v>
      </c>
      <c r="D56" s="23"/>
      <c r="E56" s="23"/>
      <c r="F56" s="23"/>
      <c r="G56" s="23"/>
      <c r="H56" s="23"/>
      <c r="I56" s="23">
        <v>1</v>
      </c>
      <c r="J56" s="23">
        <v>1</v>
      </c>
      <c r="K56" s="23" t="s">
        <v>115</v>
      </c>
      <c r="L56" s="24" t="s">
        <v>76</v>
      </c>
      <c r="M56" s="24" t="s">
        <v>52</v>
      </c>
      <c r="N56" s="24" t="s">
        <v>97</v>
      </c>
      <c r="O56" s="24" t="s">
        <v>57</v>
      </c>
      <c r="P56" s="24">
        <v>65</v>
      </c>
      <c r="Q56" s="24">
        <v>0.1</v>
      </c>
      <c r="R56" s="92">
        <v>0.25</v>
      </c>
      <c r="S56" s="24">
        <v>0.65</v>
      </c>
    </row>
    <row r="57" spans="1:19" x14ac:dyDescent="0.25">
      <c r="Q57" s="98">
        <f>SUM(R47:R56,Q2:Q46)</f>
        <v>24.450000000000014</v>
      </c>
      <c r="R57" s="98"/>
    </row>
  </sheetData>
  <mergeCells count="1">
    <mergeCell ref="Q57:R57"/>
  </mergeCells>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zoomScaleNormal="100" workbookViewId="0">
      <selection activeCell="B9" sqref="B9"/>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291</v>
      </c>
      <c r="B2" s="5"/>
    </row>
    <row r="3" spans="1:2" x14ac:dyDescent="0.2">
      <c r="A3" s="4" t="s">
        <v>292</v>
      </c>
      <c r="B3" s="5">
        <v>12000</v>
      </c>
    </row>
    <row r="4" spans="1:2" x14ac:dyDescent="0.2">
      <c r="A4" s="4" t="s">
        <v>293</v>
      </c>
      <c r="B4" s="5"/>
    </row>
    <row r="5" spans="1:2" x14ac:dyDescent="0.2">
      <c r="A5" s="4" t="s">
        <v>294</v>
      </c>
      <c r="B5" s="5">
        <v>400</v>
      </c>
    </row>
    <row r="6" spans="1:2" x14ac:dyDescent="0.2">
      <c r="A6" s="4" t="s">
        <v>3</v>
      </c>
      <c r="B6" s="5"/>
    </row>
    <row r="7" spans="1:2" x14ac:dyDescent="0.2">
      <c r="A7" s="4" t="s">
        <v>295</v>
      </c>
      <c r="B7" s="5">
        <v>7680</v>
      </c>
    </row>
    <row r="8" spans="1:2" x14ac:dyDescent="0.2">
      <c r="A8" s="6" t="s">
        <v>2</v>
      </c>
      <c r="B8" s="7">
        <f>SUM(B3:B7)</f>
        <v>20080</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CEFF6-C8CD-4952-8DD6-300C4477367D}">
  <dimension ref="A1:B4"/>
  <sheetViews>
    <sheetView topLeftCell="B1" workbookViewId="0">
      <selection activeCell="A31" sqref="A31"/>
    </sheetView>
  </sheetViews>
  <sheetFormatPr baseColWidth="10" defaultRowHeight="14.4" x14ac:dyDescent="0.3"/>
  <cols>
    <col min="1" max="1" width="151.109375" bestFit="1" customWidth="1"/>
    <col min="2" max="2" width="7.33203125" bestFit="1" customWidth="1"/>
  </cols>
  <sheetData>
    <row r="1" spans="1:2" ht="21.6" x14ac:dyDescent="0.3">
      <c r="A1" s="2" t="s">
        <v>0</v>
      </c>
      <c r="B1" s="3" t="s">
        <v>1</v>
      </c>
    </row>
    <row r="2" spans="1:2" x14ac:dyDescent="0.3">
      <c r="A2" s="30" t="s">
        <v>443</v>
      </c>
      <c r="B2" s="31"/>
    </row>
    <row r="3" spans="1:2" x14ac:dyDescent="0.3">
      <c r="A3" s="32" t="s">
        <v>444</v>
      </c>
      <c r="B3">
        <v>10560</v>
      </c>
    </row>
    <row r="4" spans="1:2" x14ac:dyDescent="0.3">
      <c r="A4" s="33" t="s">
        <v>219</v>
      </c>
      <c r="B4" s="34">
        <v>10560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4015C-DA09-43E4-B918-16DCA8BB5090}">
  <dimension ref="A1:D11"/>
  <sheetViews>
    <sheetView workbookViewId="0">
      <selection activeCell="F22" sqref="F22"/>
    </sheetView>
  </sheetViews>
  <sheetFormatPr baseColWidth="10" defaultRowHeight="14.4" x14ac:dyDescent="0.3"/>
  <cols>
    <col min="2" max="2" width="14" bestFit="1" customWidth="1"/>
    <col min="3" max="3" width="86.44140625" customWidth="1"/>
  </cols>
  <sheetData>
    <row r="1" spans="1:4" ht="15" thickBot="1" x14ac:dyDescent="0.35">
      <c r="A1" s="40" t="s">
        <v>475</v>
      </c>
      <c r="B1" s="41" t="s">
        <v>476</v>
      </c>
      <c r="C1" s="41" t="s">
        <v>477</v>
      </c>
      <c r="D1" s="42" t="s">
        <v>1</v>
      </c>
    </row>
    <row r="2" spans="1:4" ht="15" thickTop="1" x14ac:dyDescent="0.3">
      <c r="A2" s="43" t="s">
        <v>478</v>
      </c>
      <c r="B2" s="44" t="s">
        <v>479</v>
      </c>
      <c r="C2" s="44" t="s">
        <v>480</v>
      </c>
      <c r="D2" s="45">
        <v>2640</v>
      </c>
    </row>
    <row r="3" spans="1:4" x14ac:dyDescent="0.3">
      <c r="A3" s="46" t="s">
        <v>478</v>
      </c>
      <c r="B3" s="47" t="s">
        <v>479</v>
      </c>
      <c r="C3" s="47" t="s">
        <v>481</v>
      </c>
      <c r="D3" s="48">
        <v>2640</v>
      </c>
    </row>
    <row r="4" spans="1:4" x14ac:dyDescent="0.3">
      <c r="A4" s="43" t="s">
        <v>478</v>
      </c>
      <c r="B4" s="44" t="s">
        <v>482</v>
      </c>
      <c r="C4" s="44" t="s">
        <v>483</v>
      </c>
      <c r="D4" s="45">
        <v>7920</v>
      </c>
    </row>
    <row r="5" spans="1:4" x14ac:dyDescent="0.3">
      <c r="A5" s="46" t="s">
        <v>478</v>
      </c>
      <c r="B5" s="47" t="s">
        <v>484</v>
      </c>
      <c r="C5" s="47" t="s">
        <v>485</v>
      </c>
      <c r="D5" s="48">
        <v>13.39</v>
      </c>
    </row>
    <row r="6" spans="1:4" x14ac:dyDescent="0.3">
      <c r="A6" s="43" t="s">
        <v>478</v>
      </c>
      <c r="B6" s="44" t="s">
        <v>486</v>
      </c>
      <c r="C6" s="44" t="s">
        <v>487</v>
      </c>
      <c r="D6" s="45">
        <v>7.4</v>
      </c>
    </row>
    <row r="7" spans="1:4" ht="15" thickBot="1" x14ac:dyDescent="0.35">
      <c r="A7" s="46" t="s">
        <v>478</v>
      </c>
      <c r="B7" s="47" t="s">
        <v>486</v>
      </c>
      <c r="C7" s="47" t="s">
        <v>488</v>
      </c>
      <c r="D7" s="48">
        <v>18000</v>
      </c>
    </row>
    <row r="8" spans="1:4" ht="15" thickTop="1" x14ac:dyDescent="0.3">
      <c r="A8" s="49" t="s">
        <v>2</v>
      </c>
      <c r="B8" s="50"/>
      <c r="C8" s="50"/>
      <c r="D8" s="51">
        <v>31220.79</v>
      </c>
    </row>
    <row r="11" spans="1:4" x14ac:dyDescent="0.3">
      <c r="C11" s="93" t="s">
        <v>578</v>
      </c>
      <c r="D11" s="94">
        <f>D8+'ingresos investigación 2020'!B4+'Ingresos investigación 2019'!B8</f>
        <v>61860.79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zoomScaleNormal="100" workbookViewId="0">
      <selection activeCell="B5" sqref="B5"/>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289</v>
      </c>
      <c r="B2" s="5"/>
    </row>
    <row r="3" spans="1:2" x14ac:dyDescent="0.2">
      <c r="A3" s="4" t="s">
        <v>290</v>
      </c>
      <c r="B3" s="5">
        <v>20480</v>
      </c>
    </row>
    <row r="4" spans="1:2" x14ac:dyDescent="0.2">
      <c r="A4" s="6" t="s">
        <v>2</v>
      </c>
      <c r="B4" s="7">
        <f>SUM(B3:B3)</f>
        <v>20480</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5A7F4-CBD2-4A31-BEB9-19C66040509A}">
  <dimension ref="A1:B5"/>
  <sheetViews>
    <sheetView topLeftCell="B1" workbookViewId="0">
      <selection activeCell="A21" sqref="A21"/>
    </sheetView>
  </sheetViews>
  <sheetFormatPr baseColWidth="10" defaultRowHeight="14.4" x14ac:dyDescent="0.3"/>
  <cols>
    <col min="1" max="1" width="245.5546875" bestFit="1" customWidth="1"/>
  </cols>
  <sheetData>
    <row r="1" spans="1:2" s="1" customFormat="1" ht="20.399999999999999" x14ac:dyDescent="0.2">
      <c r="A1" s="2" t="s">
        <v>0</v>
      </c>
      <c r="B1" s="3" t="s">
        <v>1</v>
      </c>
    </row>
    <row r="2" spans="1:2" x14ac:dyDescent="0.3">
      <c r="A2" s="30" t="s">
        <v>289</v>
      </c>
      <c r="B2" s="37"/>
    </row>
    <row r="3" spans="1:2" x14ac:dyDescent="0.3">
      <c r="A3" s="32" t="s">
        <v>473</v>
      </c>
      <c r="B3" s="38">
        <v>14000</v>
      </c>
    </row>
    <row r="4" spans="1:2" x14ac:dyDescent="0.3">
      <c r="A4" s="32" t="s">
        <v>474</v>
      </c>
      <c r="B4" s="38">
        <v>85.31</v>
      </c>
    </row>
    <row r="5" spans="1:2" x14ac:dyDescent="0.3">
      <c r="A5" s="33" t="s">
        <v>219</v>
      </c>
      <c r="B5" s="39">
        <v>14085.31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C7747-CE6C-4686-9106-8D490F27FA3A}">
  <dimension ref="A1:D7"/>
  <sheetViews>
    <sheetView workbookViewId="0">
      <selection activeCell="C18" sqref="C18"/>
    </sheetView>
  </sheetViews>
  <sheetFormatPr baseColWidth="10" defaultRowHeight="14.4" x14ac:dyDescent="0.3"/>
  <cols>
    <col min="2" max="2" width="14" bestFit="1" customWidth="1"/>
    <col min="3" max="3" width="73.44140625" customWidth="1"/>
  </cols>
  <sheetData>
    <row r="1" spans="1:4" x14ac:dyDescent="0.3">
      <c r="A1" s="52" t="s">
        <v>475</v>
      </c>
      <c r="B1" s="53" t="s">
        <v>476</v>
      </c>
      <c r="C1" s="53" t="s">
        <v>477</v>
      </c>
      <c r="D1" s="54" t="s">
        <v>1</v>
      </c>
    </row>
    <row r="2" spans="1:4" ht="15" thickBot="1" x14ac:dyDescent="0.35">
      <c r="A2" s="55" t="s">
        <v>478</v>
      </c>
      <c r="B2" s="56" t="s">
        <v>289</v>
      </c>
      <c r="C2" s="56" t="s">
        <v>473</v>
      </c>
      <c r="D2" s="57">
        <v>15247</v>
      </c>
    </row>
    <row r="3" spans="1:4" ht="15" thickTop="1" x14ac:dyDescent="0.3">
      <c r="A3" s="58" t="s">
        <v>2</v>
      </c>
      <c r="B3" s="59"/>
      <c r="C3" s="59"/>
      <c r="D3" s="60">
        <v>15247</v>
      </c>
    </row>
    <row r="7" spans="1:4" x14ac:dyDescent="0.3">
      <c r="C7" s="95" t="s">
        <v>579</v>
      </c>
      <c r="D7" s="94">
        <f>D3+'Ingresos formación 2020'!B5+'Ingresos formación 2019'!B4</f>
        <v>49812.31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2019</vt:lpstr>
      <vt:lpstr>ingresos investigación 2020</vt:lpstr>
      <vt:lpstr>ingresos investigación 2021</vt:lpstr>
      <vt:lpstr>Ingresos formación 2019</vt:lpstr>
      <vt:lpstr>Ingresos formación 2020</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cp:lastPrinted>2019-07-03T07:26:29Z</cp:lastPrinted>
  <dcterms:created xsi:type="dcterms:W3CDTF">2019-07-03T07:15:54Z</dcterms:created>
  <dcterms:modified xsi:type="dcterms:W3CDTF">2022-10-18T15:53:59Z</dcterms:modified>
</cp:coreProperties>
</file>