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025B72CA-228D-4DF3-9385-C63323A6C6FC}" xr6:coauthVersionLast="47" xr6:coauthVersionMax="47" xr10:uidLastSave="{00000000-0000-0000-0000-000000000000}"/>
  <bookViews>
    <workbookView xWindow="22932" yWindow="-108" windowWidth="23256" windowHeight="12456" activeTab="4" xr2:uid="{00000000-000D-0000-FFFF-FFFF00000000}"/>
  </bookViews>
  <sheets>
    <sheet name="Tesis" sheetId="2" r:id="rId1"/>
    <sheet name="Sexenios" sheetId="3" r:id="rId2"/>
    <sheet name="Ingresos investigación 2019" sheetId="6" r:id="rId3"/>
    <sheet name="Ingresos investigación 2020" sheetId="7" r:id="rId4"/>
    <sheet name="Ingresos investigación 2021" sheetId="8" r:id="rId5"/>
  </sheets>
  <definedNames>
    <definedName name="_xlnm._FilterDatabase" localSheetId="1" hidden="1">Sexenios!$A$1:$S$16</definedName>
    <definedName name="_xlnm._FilterDatabase" localSheetId="0" hidden="1">Tesis!$A$1:$U$19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6" i="2" l="1"/>
  <c r="B17" i="8" l="1"/>
  <c r="B12" i="7" l="1"/>
  <c r="S17" i="3"/>
  <c r="B16" i="6" l="1"/>
  <c r="B19" i="8" s="1"/>
</calcChain>
</file>

<file path=xl/sharedStrings.xml><?xml version="1.0" encoding="utf-8"?>
<sst xmlns="http://schemas.openxmlformats.org/spreadsheetml/2006/main" count="692" uniqueCount="202">
  <si>
    <t>Orgánica
Descripción justificante</t>
  </si>
  <si>
    <t>Importe</t>
  </si>
  <si>
    <t>Total</t>
  </si>
  <si>
    <t>35.60.6C.00.03</t>
  </si>
  <si>
    <t>35.60.6C.00.05</t>
  </si>
  <si>
    <t>35.60.6C.00.08</t>
  </si>
  <si>
    <t>35.60.6C.00.10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</si>
  <si>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</si>
  <si>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</si>
  <si>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</si>
  <si>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</si>
  <si>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</si>
  <si>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</si>
  <si>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</si>
  <si>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</si>
  <si>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</si>
  <si>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</si>
  <si>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</si>
  <si>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</si>
  <si>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</si>
  <si>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</si>
  <si>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</si>
  <si>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</si>
  <si>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</si>
  <si>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</si>
  <si>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</si>
  <si>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</si>
  <si>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Codirector de tesis </t>
  </si>
  <si>
    <t>10.13</t>
  </si>
  <si>
    <t/>
  </si>
  <si>
    <t>U022 </t>
  </si>
  <si>
    <t>ADM. FACULTAD DE CIENCIAS </t>
  </si>
  <si>
    <t>DOCTORADO EN CIENCIAS EXPERIMENTALES Y BIOSANITARIAS </t>
  </si>
  <si>
    <t>Director de tesis </t>
  </si>
  <si>
    <t>10</t>
  </si>
  <si>
    <t>U013 </t>
  </si>
  <si>
    <t>ADM. I.U. BIODIVERSIDAD (CIBIO) </t>
  </si>
  <si>
    <t>DOCTOR. BIODIVERSIDAD: CONSERVACIÓN Y GESTIÓN DE LAS ESPECIES Y SUS HÁBITAT </t>
  </si>
  <si>
    <t>18157732Z </t>
  </si>
  <si>
    <t>B103 </t>
  </si>
  <si>
    <t>CIENCIAS AMBIENTALES Y RECURSOS NATURALES </t>
  </si>
  <si>
    <t>B103</t>
  </si>
  <si>
    <t>21501710E </t>
  </si>
  <si>
    <t>DOCTORADO EN BIODIVERSIDAD Y CONSERVACIÓN </t>
  </si>
  <si>
    <t>09288920W </t>
  </si>
  <si>
    <t>44750133E </t>
  </si>
  <si>
    <t>22139388W </t>
  </si>
  <si>
    <t>22682002T </t>
  </si>
  <si>
    <t>29071038G </t>
  </si>
  <si>
    <t>19834950A </t>
  </si>
  <si>
    <t>27456413W </t>
  </si>
  <si>
    <t>100</t>
  </si>
  <si>
    <t>21487975H </t>
  </si>
  <si>
    <t>Berlingeri González, Chiara Alba </t>
  </si>
  <si>
    <t>ESTUDIO SISTEMÁTICO DE PARIENTES SILVESTRES DE CULTIVOS PRIORITARIOS EN VENEZUELA: CASO GÉNEROS PHASEOLUS Y MACROPTILIUM </t>
  </si>
  <si>
    <t>28/09/2017 </t>
  </si>
  <si>
    <t>Boix Pozuelo, Rubén José </t>
  </si>
  <si>
    <t>"FLORA ALÓCTONA DE LA COMARCA DE L'ALACANTÍ - INTRODUCCIÓN, NATURALIZACIÓN E INVASIÓN DE ESPECIES VEGETALES EXÓTICAS EN LA PROVINCIA DE ALICANTE" </t>
  </si>
  <si>
    <t>18/07/2017 </t>
  </si>
  <si>
    <t>GALLEGO PAREDES, BELEN </t>
  </si>
  <si>
    <t>INFLUENCIA DEL NICHO TÉRMICO EN LA DISTRIBUCIÓN GEOGRÁFICA DE LOS SCARABAEOIDEA COPRÓFAGOS EN LA PENÍNSULA IBÉRICA A TRAVÉS DE INFORMACIÓN ECOFISIOLÓGICA, FILOGENÉTICA Y MODELOS DE DISTRIBUCIÓN </t>
  </si>
  <si>
    <t>26/09/2017 </t>
  </si>
  <si>
    <t>González García, Fernando </t>
  </si>
  <si>
    <t>ESTUDIO MULTIDISCIPLINAR DEL AGADIR Y OASIS DE AMTOUDI, PROVINCIA DE GUELMIN (SUR DE MARRUECOS): ASPECTOS GEOTÉCNICOS E HIDROGEOLÓGICOS, TÉCNICAS CONSTRUCTIVAS Y SEGURIDAD ESTRUCTURAL DEL EMPLAZAMIENTO </t>
  </si>
  <si>
    <t>12/07/2017 </t>
  </si>
  <si>
    <t>Sánchez Galván, Ingrid Rosario </t>
  </si>
  <si>
    <t>REDES DE INTERACCIÓN FORMADAS POR COLEÓPTEROS Y DÍPTEROS (SYRPHIDAE) SAPROXÍLICOS EN OQUEDADES ARBÓREAS DEL BOSQUE MEDITERRÁNEO IBÉRICO </t>
  </si>
  <si>
    <t>27/09/2017 </t>
  </si>
  <si>
    <t>12715224L </t>
  </si>
  <si>
    <t>Vicente Caviedes, Alicia </t>
  </si>
  <si>
    <t>EL GÉNERO BISCUTELLA, SER. BISCUTELLA: ASPECTOS TAXONÓMICOS, NOMENCLATURALES Y FILOGENÉTICOS </t>
  </si>
  <si>
    <t>Moreno Compañ, Joaquín </t>
  </si>
  <si>
    <t>ESTRUCTURA ECOLÓGICA Y FUNCIONAL DE LAS COMUNIDADES VEGETALES DE AMBIENTES SALINOS MEDITERRÁNEOS </t>
  </si>
  <si>
    <t>16/03/2018 </t>
  </si>
  <si>
    <t>Paucar Cabrera, Aura </t>
  </si>
  <si>
    <t>SINOPSIS DE LOS PENTODONTINI (COLEOPTERA: SCARABAEIDAE: DYNASTINAE) DE ECUADOR Y LISTA DE ESPECIES DE LOS ESCARABAJOS DYNASTINOS ECUATORIANOS </t>
  </si>
  <si>
    <t>28/09/2018 </t>
  </si>
  <si>
    <t>Ramilo Ríos, Pablo </t>
  </si>
  <si>
    <t>LA COMUNIDAD DE COLEÓPTEROS SAPROXÍLICOS EN BOSQUE MEDITERRÁNEO: FACTORES AMBIENTALES QUE CONDICIONEN SUS ENSAMBLES </t>
  </si>
  <si>
    <t>19/01/2018 </t>
  </si>
  <si>
    <t>Florencio Ortiz, Victoria </t>
  </si>
  <si>
    <t>PHYSIOLOGICAL AND BIOCHEMICAL INSIGHTS INTO PEPPER (CAPSICUM ANNUUM L.) RESPONSES TO GREEN PEACH APHID (MYZUS PERSICAR SULZER) </t>
  </si>
  <si>
    <t>05/04/2019 </t>
  </si>
  <si>
    <t>Romero Gil, Marta </t>
  </si>
  <si>
    <t>"NEW INPUTS FROM MOVEMENT ECOLOGY OF LESSER KESTREL (FALCO NAUMANNI)" </t>
  </si>
  <si>
    <t>30/07/2019 </t>
  </si>
  <si>
    <t>Vaello López, María Teresa </t>
  </si>
  <si>
    <t>INTERACCIONES MULTITRÓFICAS EN EL CULTIVO DEL PIMIENTO </t>
  </si>
  <si>
    <t>22/02/2019 </t>
  </si>
  <si>
    <t>Vidal Mateo, Javier </t>
  </si>
  <si>
    <t>ECOLOGÍA DEL MOVIMIENTO DE AVES RAPACES MIGRADORAS </t>
  </si>
  <si>
    <t>29/07/2019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</si>
  <si>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</si>
  <si>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</si>
  <si>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</si>
  <si>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</si>
  <si>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</si>
  <si>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</si>
  <si>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</si>
  <si>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</si>
  <si>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</si>
  <si>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</si>
  <si>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</si>
  <si>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</si>
  <si>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</si>
  <si>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</si>
  <si>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29071038G</t>
  </si>
  <si>
    <t>ALONSO VARGAS, MARIA ANGELES</t>
  </si>
  <si>
    <t>74083066C</t>
  </si>
  <si>
    <t>BORDERA SANJUAN, SANTIAGO</t>
  </si>
  <si>
    <t>27456413W</t>
  </si>
  <si>
    <t>CASAS MARTINEZ, JOSE LUIS</t>
  </si>
  <si>
    <t>22682002T</t>
  </si>
  <si>
    <t>CRESPO VILLALBA, MANUEL BENITO</t>
  </si>
  <si>
    <t>18157732Z</t>
  </si>
  <si>
    <t>GALANTE PATIÑO, EDUARDO</t>
  </si>
  <si>
    <t>22139388W</t>
  </si>
  <si>
    <t>JUAN GALLARDO, ANA ISABEL</t>
  </si>
  <si>
    <t>12715224L</t>
  </si>
  <si>
    <t>MARCOS GARCIA, MARIA DE LOS ANGELES</t>
  </si>
  <si>
    <t>48351430W</t>
  </si>
  <si>
    <t>MARTINEZ AZORIN, MARIO</t>
  </si>
  <si>
    <t>44750133E</t>
  </si>
  <si>
    <t>MARTINEZ SANCHEZ, ANA ISABEL</t>
  </si>
  <si>
    <t>21501710E</t>
  </si>
  <si>
    <t>MICO BALAGUER, ESTEFANIA</t>
  </si>
  <si>
    <t>22140989Q</t>
  </si>
  <si>
    <t>PEREZ BAÑON, MARIA CELESTE</t>
  </si>
  <si>
    <t>74336031P</t>
  </si>
  <si>
    <t>RIOS RUIZ, SEGUNDO</t>
  </si>
  <si>
    <t>09288920W</t>
  </si>
  <si>
    <t>ROJO VELASCO, SANTOS</t>
  </si>
  <si>
    <t>19834950A</t>
  </si>
  <si>
    <t>URIOS MOLINER, VICENTE</t>
  </si>
  <si>
    <t>21487975H</t>
  </si>
  <si>
    <t>VERDU FARACO, JOSE RAMON</t>
  </si>
  <si>
    <t>PAGO POR CONVENIO-PROYECTO INVESTIGACIÓN (ESTUDIO DE LA INCIDENCIA REAL DE LA ALIMENTACIÓN SUPLEMENTARIA SOBRE LA ECOLOGÍA ESPACIAL Y REPRODUCTORA DEL ÁGUILA-AZOR PERDICERA EN LA COMUNICAD VALENCIANA).Nº PEDIDO 3300007. Nº CERTIFICACIÓN 1000554292. RED ELÉCTRICA 1-18 ID</t>
  </si>
  <si>
    <t>TRANSFERENCIA DE FOOD AND AGR ORG OF THE UNITED NATI VIALE DELLE TER, REFERENCIA : 696 0132379. UNIVERSIDAD DE ALICANTE. ERS 317595 42447 RECEIPT INVOICE AUTOMATICALLY CREATED ON 01 FEB 19. EL DEPARTAMENTO DE CIENCIAS AMBIENTALES Y RECURSOS NATURALES INFORMA QUE CORRESPONDE AL TERCER Y ÚLTIMO PAGO PREVISTO EN EL CONVENIO "LETTER OF AGREEMENT FOR PROVISION OF ASSESSMENT OF CHALLENGES AND POTENCIAL BENEFIT OPPORTUNITIES FOR INTEGRATING LEGUMES INTO MAIZE AND CASSAVA PRODUCTION SYSTEMS IN AFRICA".</t>
  </si>
  <si>
    <t>SEGUNDO PAGO DEL CONTRATO DEL PROYECTO ENERSTAR2-18I.</t>
  </si>
  <si>
    <t>35.60.6C.00.11</t>
  </si>
  <si>
    <t xml:space="preserve">REGALÍAS POR TRANSFERENCIA DE TECNOLOGÍA </t>
  </si>
  <si>
    <t>35.60.6C.00.13</t>
  </si>
  <si>
    <t xml:space="preserve">PRIMER PAGO DEL CONTRATO (REF UICN1-19T) STATUS ASSESSMENT OF EUROPEAN HOVERFLIES (SYRPHIDAE) EUROPEAN RED LIST OF HOVERFLIES (EU AND PAN-EUROPE) (P03074). SIGNED 25/02/2019  "SUBMISSION OF 64 SPECIES ASSESSMENTS TO IUCN" </t>
  </si>
  <si>
    <t>35.60.6P.00.10</t>
  </si>
  <si>
    <t xml:space="preserve">SUBVENCIONES GRUPOS INVESTIGACION CONSOLIDABLES AICO/2019 (EDUCACIÓN,INVESTIGACIÓN,CULTURA Y DEPORT)  </t>
  </si>
  <si>
    <t>35.60.6X.00.01</t>
  </si>
  <si>
    <t>WAYSTUP. 818308 PRE FINANCING PAYMENT. LA OFICINA DE GESTIÓN DE PROYECTOS INTERNACIONALES INFORMA QUE SE TRATA DEL PAGO DE LA PREFINANCIACIÓN DEL PROYECTO WAYSTUP!.</t>
  </si>
  <si>
    <t>COD DEP</t>
  </si>
  <si>
    <t>Murillo Pacheco, Henry </t>
  </si>
  <si>
    <t>Interactions and mechanisms involved in host range expansion of endoparasitoids to native and invasive species of lepidopteran pests in horticultural agroecosystems in southwestern Ontario Canada </t>
  </si>
  <si>
    <t>10/12/2020 </t>
  </si>
  <si>
    <t>Hernández Corral, Jesús </t>
  </si>
  <si>
    <t>"Diversidad y ecología de araneae y pseudoscorpiones en oquedades arbóreas de quercus pyrenaica en bosques mediterráneos" </t>
  </si>
  <si>
    <t>16/11/2020 </t>
  </si>
  <si>
    <t>Pérez Sánchez, Diana </t>
  </si>
  <si>
    <t>Structure and function of the communities of saproxylic beetles in Mediterranean forests </t>
  </si>
  <si>
    <t>11/12/2020 </t>
  </si>
  <si>
    <t>Rubio Silva, Patricia </t>
  </si>
  <si>
    <t>Determinación del contenido elemental de "Hermetia illucens" y otros dípteros descomponedores, como fuentes de proteínas en alimentación animal </t>
  </si>
  <si>
    <t>30/11/2020 </t>
  </si>
  <si>
    <t>Soria Boix, María del Carmen </t>
  </si>
  <si>
    <t>ZOOGEOGRAFIA Y ECOLOGÍA EVOLUTIVA EL JABALÍ (SUS SCROFA) Y LAS LIEBRES (LEPUS SPP.) EN EL NOROESTE DE ÁFRICA </t>
  </si>
  <si>
    <t>14/10/2020 </t>
  </si>
  <si>
    <t>Lillo , Maria Inés </t>
  </si>
  <si>
    <t>Mejora de la cría artificial de dípteros (Diptera: Syrphidae, Stratiomyidae) con potencial para su utilización en servicios ecosistémicos. Bases para su aplicación en Argentina" </t>
  </si>
  <si>
    <t>19/11/2020 </t>
  </si>
  <si>
    <t>22140989Q </t>
  </si>
  <si>
    <t>Thomas , Arianna </t>
  </si>
  <si>
    <t>Rhiniidae (Diptera: Oestroidea) diversity in South Africa. Taxonomic review and phylogenetic advances for the Afrotropical region </t>
  </si>
  <si>
    <t>24/11/2020 </t>
  </si>
  <si>
    <t>Nolasco Soto, Janet </t>
  </si>
  <si>
    <t>Procesos históricos y contemporáneos que influyen en la estructura filogeográfica y diversidad fenotípica del complejo Canthon cyanellus LeConte (Scarabaeidae: Scarabaeinae) en el Neotrópico de México. </t>
  </si>
  <si>
    <t>01/03/2021 </t>
  </si>
  <si>
    <t>Campoy Pomares, Andrés </t>
  </si>
  <si>
    <t>Análisis y mejora de los principales parámetros biológicos relacionados con la cría artificial de Eristalinus aeneus y Eristalis tenax (Diptera, Syrphidae) para su uso como polinizadores </t>
  </si>
  <si>
    <t>19/02/2021 </t>
  </si>
  <si>
    <t>PAGO POR CONVENIO-PROYECTO INVESTIGACIÓN (ESTUDIO DE LA INCIDENCIA REAL DE LA ALIMENTACIÓN SUPLEMENTARIA SOBRE LA ECOLOGÍA ESPACIAL Y REPRODUCTORA DEL ÁGUILA-AZOR PERDICERA EN LA COMUNIDAD VALENCINA. RED ELÉCTRICA 1-18 ID. NºPEDIDO 33000075, Nº CERTIFICACIÓN 1000589700</t>
  </si>
  <si>
    <t xml:space="preserve">QUINTO PAGO DEL CONTRATO PROYECTO "ARTIFICIAL MASSIVE REARNING PROJECT OF ERISTALINE HOVER FLAIES FOR POLLINATION OF VEGETABLE SEED CROPS".   </t>
  </si>
  <si>
    <t>TERCER PAGO DEL CONTRATO DEL PROYECTO ENERSTAR2-18I.</t>
  </si>
  <si>
    <t>35.60.6C.00.14</t>
  </si>
  <si>
    <t>Trabajos de muestreo en campo y recolección de hojas en las poblaciones de Populus euphratica; extracción de ADN en laboratorio y detección de marcadores moleculares para análisis de la diversidad genética poblacional de la especie en la Península Ibérica.</t>
  </si>
  <si>
    <t>SUBVENCIONES GRUPOS INVESTIGACION CONSOLIDABLES AICO/2019.2ª (INNOVACIÓN,UNIVERSIDADES,CIENCIA SOC.DIG)</t>
  </si>
  <si>
    <t> Numero
de tesis</t>
  </si>
  <si>
    <t>Regalías por transferencia de tecnología año 3 parte proporcional (julio-diciembre 2020) de acuerdo con Adenda firmada el 1 de marzo de 2021 que modifica el contrato de 29 de junio de 2018.  (Ref. contrato: BIOFLYTECH(EBT)1-18O)</t>
  </si>
  <si>
    <t>SEGUNDO PAGO DEL CONTRATO (REF. UICN1-19T) STATUS ASSESSMENT OF EUROPEAN HOVERFLIES (SYRPHIDAE) EUROPEAN RED LIST OF HOVERFLIES (EU AND PAN-EUROPE) (P03074). SIGNED 25/02/2019 "COMPLETION TASKS 1 TO 6 FROM ANNEX I"  "COMPLETION TASKS 1 TO 6 FROM ANNEX I"</t>
  </si>
  <si>
    <t>35.60.6C.00.15</t>
  </si>
  <si>
    <t>Estudio vegetación saladar d'Aigua Amarga Proyecto: 213105 - Adjudicación nº: 4500020539 - Responsable de Ineco: Marina Elsa Chao López</t>
  </si>
  <si>
    <t>Estudio vegetación saladar d'Aigua Amarga - Proyecto: 213105  Adjudicación nº: 4500020539 Responsable de Ineco: Marina Elsa Chao López</t>
  </si>
  <si>
    <t>35.60.6C.00.16</t>
  </si>
  <si>
    <t>PRIMER PAGO DEL CONTRATO PROYECTO ENERSTAR1-21I.</t>
  </si>
  <si>
    <t>35.60.6C.00.17</t>
  </si>
  <si>
    <t>ASISTENCIA CIENTIFICO-TECNICA Y ASESORAMIENTO EN LA EFECTIVIDAD DE PLAGUICIDAS PARA DIPTEROS</t>
  </si>
  <si>
    <t>35.60.6C.00.18</t>
  </si>
  <si>
    <t xml:space="preserve">-Shipment of live pupae to the locations indicated by the Company on the specific dates related to the flowering of the target greenhouse crops. Specifically, the following shipments were made:      -Supply of a total of 40.000 pupae of Eristalis tenax, Eristalinus aeneus, and Protophormia terraenovae       during 2018 season.      -Supply of a total of 100.000 pupae of Eristalis arbustorum, Eristalinus aeneus, Myathropa florea and Protophormia terraenovae during 2019 season. -Advising on the transport and optimization of the emergence of adults from the pupae shipped as well as their release into commercial greenhouses when required.  Contract reference: RIJK1-21T </t>
  </si>
  <si>
    <t>PRIMER PAGO INTERMEDIO DEL PROYECTO WAYSTUP, SEGUN INFORMAN DESDE LA OGPI</t>
  </si>
  <si>
    <t>Cruz González, Carlos Antonio </t>
  </si>
  <si>
    <t>Ecología del movimiento del jaguar a distintas escalas espaciales </t>
  </si>
  <si>
    <t>03/06/2021 </t>
  </si>
  <si>
    <t>Sáez Forcada, Lidia </t>
  </si>
  <si>
    <t>Effectiveness and management of eristaline hoverflies (Diptera: Syrphidae) as pollinators of protected crops. </t>
  </si>
  <si>
    <t>01/03/2022 </t>
  </si>
  <si>
    <t>Total ingresos investigación 2019, 2020 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</si>
</sst>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4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2" borderId="0" xfId="5" applyFont="1" applyFill="1"/>
    <xf numFmtId="0" fontId="10" fillId="2" borderId="0" xfId="5" applyFont="1" applyFill="1" applyAlignment="1">
      <alignment horizontal="right"/>
    </xf>
    <xf numFmtId="0" fontId="10" fillId="0" borderId="0" xfId="5" applyFont="1" applyAlignment="1">
      <alignment horizontal="right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164" fontId="11" fillId="2" borderId="1" xfId="5" applyNumberFormat="1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5" fillId="3" borderId="1" xfId="1" applyFont="1" applyFill="1" applyBorder="1" applyAlignment="1">
      <alignment horizontal="center" vertical="top" wrapText="1"/>
    </xf>
    <xf numFmtId="0" fontId="3" fillId="4" borderId="1" xfId="1" applyFill="1" applyBorder="1"/>
    <xf numFmtId="164" fontId="3" fillId="4" borderId="1" xfId="1" applyNumberFormat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5" fontId="3" fillId="4" borderId="1" xfId="1" applyNumberForma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9" fillId="3" borderId="1" xfId="3" applyFont="1" applyFill="1" applyBorder="1" applyAlignment="1">
      <alignment horizontal="center" wrapText="1"/>
    </xf>
    <xf numFmtId="0" fontId="3" fillId="6" borderId="0" xfId="1" applyFont="1" applyFill="1" applyAlignment="1"/>
    <xf numFmtId="164" fontId="3" fillId="6" borderId="0" xfId="1" applyNumberFormat="1" applyFont="1" applyFill="1" applyAlignment="1"/>
    <xf numFmtId="0" fontId="3" fillId="6" borderId="0" xfId="1" applyFont="1" applyFill="1" applyAlignment="1">
      <alignment horizontal="right"/>
    </xf>
    <xf numFmtId="164" fontId="4" fillId="6" borderId="0" xfId="1" applyNumberFormat="1" applyFont="1" applyFill="1" applyAlignment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right"/>
    </xf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6"/>
  <sheetViews>
    <sheetView showGridLines="0" zoomScale="120" zoomScaleNormal="12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N37" sqref="N37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39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4" customWidth="1"/>
    <col min="16" max="16" width="4.88671875" style="13" customWidth="1"/>
    <col min="17" max="17" width="3.5546875" style="14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8" t="s">
        <v>15</v>
      </c>
      <c r="J1" s="9" t="s">
        <v>16</v>
      </c>
      <c r="K1" s="27" t="s">
        <v>182</v>
      </c>
      <c r="L1" s="8" t="s">
        <v>17</v>
      </c>
      <c r="M1" s="9" t="s">
        <v>18</v>
      </c>
      <c r="N1" s="10" t="s">
        <v>19</v>
      </c>
      <c r="O1" s="11" t="s">
        <v>20</v>
      </c>
      <c r="P1" s="12" t="s">
        <v>21</v>
      </c>
      <c r="Q1" s="11" t="s">
        <v>22</v>
      </c>
      <c r="R1" s="12" t="s">
        <v>23</v>
      </c>
      <c r="S1" s="11" t="s">
        <v>24</v>
      </c>
      <c r="T1" s="11" t="s">
        <v>25</v>
      </c>
      <c r="U1" s="11" t="s">
        <v>26</v>
      </c>
    </row>
    <row r="2" spans="1:21" x14ac:dyDescent="0.2">
      <c r="A2" s="28" t="s">
        <v>35</v>
      </c>
      <c r="B2" s="28" t="s">
        <v>36</v>
      </c>
      <c r="C2" s="28" t="s">
        <v>37</v>
      </c>
      <c r="D2" s="28" t="s">
        <v>59</v>
      </c>
      <c r="E2" s="28" t="s">
        <v>60</v>
      </c>
      <c r="F2" s="28" t="s">
        <v>61</v>
      </c>
      <c r="G2" s="28" t="s">
        <v>52</v>
      </c>
      <c r="H2" s="28" t="s">
        <v>27</v>
      </c>
      <c r="I2" s="28" t="s">
        <v>39</v>
      </c>
      <c r="J2" s="28" t="s">
        <v>40</v>
      </c>
      <c r="K2" s="28">
        <v>1</v>
      </c>
      <c r="L2" s="29">
        <v>0.5</v>
      </c>
      <c r="M2" s="28" t="s">
        <v>41</v>
      </c>
      <c r="N2" s="28">
        <v>2016</v>
      </c>
      <c r="O2" s="28" t="s">
        <v>28</v>
      </c>
      <c r="P2" s="30" t="s">
        <v>51</v>
      </c>
      <c r="Q2" s="28" t="s">
        <v>29</v>
      </c>
      <c r="R2" s="30" t="s">
        <v>29</v>
      </c>
      <c r="S2" s="31">
        <v>0</v>
      </c>
      <c r="T2" s="29">
        <v>0</v>
      </c>
      <c r="U2" s="29">
        <v>0.5</v>
      </c>
    </row>
    <row r="3" spans="1:21" x14ac:dyDescent="0.2">
      <c r="A3" s="28" t="s">
        <v>35</v>
      </c>
      <c r="B3" s="28" t="s">
        <v>36</v>
      </c>
      <c r="C3" s="28" t="s">
        <v>43</v>
      </c>
      <c r="D3" s="28" t="s">
        <v>69</v>
      </c>
      <c r="E3" s="28" t="s">
        <v>70</v>
      </c>
      <c r="F3" s="28" t="s">
        <v>67</v>
      </c>
      <c r="G3" s="28" t="s">
        <v>47</v>
      </c>
      <c r="H3" s="28" t="s">
        <v>27</v>
      </c>
      <c r="I3" s="28" t="s">
        <v>39</v>
      </c>
      <c r="J3" s="28" t="s">
        <v>40</v>
      </c>
      <c r="K3" s="28">
        <v>1</v>
      </c>
      <c r="L3" s="29">
        <v>0.5</v>
      </c>
      <c r="M3" s="28" t="s">
        <v>41</v>
      </c>
      <c r="N3" s="28">
        <v>2016</v>
      </c>
      <c r="O3" s="28" t="s">
        <v>28</v>
      </c>
      <c r="P3" s="30" t="s">
        <v>34</v>
      </c>
      <c r="Q3" s="28" t="s">
        <v>29</v>
      </c>
      <c r="R3" s="30" t="s">
        <v>29</v>
      </c>
      <c r="S3" s="31">
        <v>90</v>
      </c>
      <c r="T3" s="29">
        <v>0.45</v>
      </c>
      <c r="U3" s="29">
        <v>0.05</v>
      </c>
    </row>
    <row r="4" spans="1:21" x14ac:dyDescent="0.2">
      <c r="A4" s="28" t="s">
        <v>35</v>
      </c>
      <c r="B4" s="28" t="s">
        <v>36</v>
      </c>
      <c r="C4" s="28" t="s">
        <v>43</v>
      </c>
      <c r="D4" s="28" t="s">
        <v>69</v>
      </c>
      <c r="E4" s="28" t="s">
        <v>70</v>
      </c>
      <c r="F4" s="28" t="s">
        <v>67</v>
      </c>
      <c r="G4" s="28" t="s">
        <v>48</v>
      </c>
      <c r="H4" s="28" t="s">
        <v>27</v>
      </c>
      <c r="I4" s="28" t="s">
        <v>39</v>
      </c>
      <c r="J4" s="28" t="s">
        <v>40</v>
      </c>
      <c r="K4" s="28">
        <v>1</v>
      </c>
      <c r="L4" s="29">
        <v>0.5</v>
      </c>
      <c r="M4" s="28" t="s">
        <v>41</v>
      </c>
      <c r="N4" s="28">
        <v>2016</v>
      </c>
      <c r="O4" s="28" t="s">
        <v>28</v>
      </c>
      <c r="P4" s="30" t="s">
        <v>34</v>
      </c>
      <c r="Q4" s="28" t="s">
        <v>29</v>
      </c>
      <c r="R4" s="30" t="s">
        <v>29</v>
      </c>
      <c r="S4" s="31">
        <v>90</v>
      </c>
      <c r="T4" s="29">
        <v>0.45</v>
      </c>
      <c r="U4" s="29">
        <v>0.05</v>
      </c>
    </row>
    <row r="5" spans="1:21" x14ac:dyDescent="0.2">
      <c r="A5" s="28" t="s">
        <v>35</v>
      </c>
      <c r="B5" s="28" t="s">
        <v>36</v>
      </c>
      <c r="C5" s="28" t="s">
        <v>43</v>
      </c>
      <c r="D5" s="28" t="s">
        <v>65</v>
      </c>
      <c r="E5" s="28" t="s">
        <v>66</v>
      </c>
      <c r="F5" s="28" t="s">
        <v>67</v>
      </c>
      <c r="G5" s="28" t="s">
        <v>68</v>
      </c>
      <c r="H5" s="28" t="s">
        <v>27</v>
      </c>
      <c r="I5" s="28" t="s">
        <v>39</v>
      </c>
      <c r="J5" s="28" t="s">
        <v>40</v>
      </c>
      <c r="K5" s="28">
        <v>1</v>
      </c>
      <c r="L5" s="29">
        <v>0.5</v>
      </c>
      <c r="M5" s="28" t="s">
        <v>41</v>
      </c>
      <c r="N5" s="28">
        <v>2016</v>
      </c>
      <c r="O5" s="28" t="s">
        <v>28</v>
      </c>
      <c r="P5" s="30" t="s">
        <v>51</v>
      </c>
      <c r="Q5" s="28" t="s">
        <v>29</v>
      </c>
      <c r="R5" s="30" t="s">
        <v>29</v>
      </c>
      <c r="S5" s="31">
        <v>0</v>
      </c>
      <c r="T5" s="29">
        <v>0</v>
      </c>
      <c r="U5" s="29">
        <v>0.5</v>
      </c>
    </row>
    <row r="6" spans="1:21" x14ac:dyDescent="0.2">
      <c r="A6" s="28" t="s">
        <v>35</v>
      </c>
      <c r="B6" s="28" t="s">
        <v>36</v>
      </c>
      <c r="C6" s="28" t="s">
        <v>43</v>
      </c>
      <c r="D6" s="28" t="s">
        <v>65</v>
      </c>
      <c r="E6" s="28" t="s">
        <v>66</v>
      </c>
      <c r="F6" s="28" t="s">
        <v>67</v>
      </c>
      <c r="G6" s="28" t="s">
        <v>38</v>
      </c>
      <c r="H6" s="28" t="s">
        <v>27</v>
      </c>
      <c r="I6" s="28" t="s">
        <v>39</v>
      </c>
      <c r="J6" s="28" t="s">
        <v>40</v>
      </c>
      <c r="K6" s="28">
        <v>1</v>
      </c>
      <c r="L6" s="29">
        <v>0.5</v>
      </c>
      <c r="M6" s="28" t="s">
        <v>41</v>
      </c>
      <c r="N6" s="28">
        <v>2016</v>
      </c>
      <c r="O6" s="28" t="s">
        <v>28</v>
      </c>
      <c r="P6" s="30" t="s">
        <v>51</v>
      </c>
      <c r="Q6" s="28" t="s">
        <v>29</v>
      </c>
      <c r="R6" s="30" t="s">
        <v>29</v>
      </c>
      <c r="S6" s="31">
        <v>0</v>
      </c>
      <c r="T6" s="29">
        <v>0</v>
      </c>
      <c r="U6" s="29">
        <v>0.5</v>
      </c>
    </row>
    <row r="7" spans="1:21" x14ac:dyDescent="0.2">
      <c r="A7" s="28" t="s">
        <v>35</v>
      </c>
      <c r="B7" s="28" t="s">
        <v>36</v>
      </c>
      <c r="C7" s="28" t="s">
        <v>43</v>
      </c>
      <c r="D7" s="28" t="s">
        <v>53</v>
      </c>
      <c r="E7" s="28" t="s">
        <v>54</v>
      </c>
      <c r="F7" s="28" t="s">
        <v>55</v>
      </c>
      <c r="G7" s="28" t="s">
        <v>47</v>
      </c>
      <c r="H7" s="28" t="s">
        <v>33</v>
      </c>
      <c r="I7" s="28" t="s">
        <v>39</v>
      </c>
      <c r="J7" s="28" t="s">
        <v>40</v>
      </c>
      <c r="K7" s="28">
        <v>1</v>
      </c>
      <c r="L7" s="29">
        <v>1</v>
      </c>
      <c r="M7" s="28" t="s">
        <v>41</v>
      </c>
      <c r="N7" s="28">
        <v>2016</v>
      </c>
      <c r="O7" s="28" t="s">
        <v>28</v>
      </c>
      <c r="P7" s="30" t="s">
        <v>34</v>
      </c>
      <c r="Q7" s="28" t="s">
        <v>29</v>
      </c>
      <c r="R7" s="30" t="s">
        <v>29</v>
      </c>
      <c r="S7" s="31">
        <v>90</v>
      </c>
      <c r="T7" s="29">
        <v>0.9</v>
      </c>
      <c r="U7" s="29">
        <v>0.1</v>
      </c>
    </row>
    <row r="8" spans="1:21" x14ac:dyDescent="0.2">
      <c r="A8" s="28" t="s">
        <v>30</v>
      </c>
      <c r="B8" s="28" t="s">
        <v>31</v>
      </c>
      <c r="C8" s="28" t="s">
        <v>32</v>
      </c>
      <c r="D8" s="28" t="s">
        <v>56</v>
      </c>
      <c r="E8" s="28" t="s">
        <v>57</v>
      </c>
      <c r="F8" s="28" t="s">
        <v>58</v>
      </c>
      <c r="G8" s="28" t="s">
        <v>48</v>
      </c>
      <c r="H8" s="28" t="s">
        <v>33</v>
      </c>
      <c r="I8" s="28" t="s">
        <v>39</v>
      </c>
      <c r="J8" s="28" t="s">
        <v>40</v>
      </c>
      <c r="K8" s="28">
        <v>1</v>
      </c>
      <c r="L8" s="29">
        <v>1</v>
      </c>
      <c r="M8" s="28" t="s">
        <v>41</v>
      </c>
      <c r="N8" s="28">
        <v>2016</v>
      </c>
      <c r="O8" s="28" t="s">
        <v>28</v>
      </c>
      <c r="P8" s="30" t="s">
        <v>34</v>
      </c>
      <c r="Q8" s="28" t="s">
        <v>29</v>
      </c>
      <c r="R8" s="30" t="s">
        <v>29</v>
      </c>
      <c r="S8" s="31">
        <v>90</v>
      </c>
      <c r="T8" s="29">
        <v>0.9</v>
      </c>
      <c r="U8" s="29">
        <v>0.1</v>
      </c>
    </row>
    <row r="9" spans="1:21" x14ac:dyDescent="0.2">
      <c r="A9" s="28" t="s">
        <v>30</v>
      </c>
      <c r="B9" s="28" t="s">
        <v>31</v>
      </c>
      <c r="C9" s="28" t="s">
        <v>32</v>
      </c>
      <c r="D9" s="28" t="s">
        <v>62</v>
      </c>
      <c r="E9" s="28" t="s">
        <v>63</v>
      </c>
      <c r="F9" s="28" t="s">
        <v>64</v>
      </c>
      <c r="G9" s="28" t="s">
        <v>49</v>
      </c>
      <c r="H9" s="28" t="s">
        <v>33</v>
      </c>
      <c r="I9" s="28" t="s">
        <v>39</v>
      </c>
      <c r="J9" s="28" t="s">
        <v>40</v>
      </c>
      <c r="K9" s="28">
        <v>1</v>
      </c>
      <c r="L9" s="29">
        <v>1</v>
      </c>
      <c r="M9" s="28" t="s">
        <v>41</v>
      </c>
      <c r="N9" s="28">
        <v>2016</v>
      </c>
      <c r="O9" s="28" t="s">
        <v>28</v>
      </c>
      <c r="P9" s="30" t="s">
        <v>34</v>
      </c>
      <c r="Q9" s="28" t="s">
        <v>29</v>
      </c>
      <c r="R9" s="30" t="s">
        <v>29</v>
      </c>
      <c r="S9" s="31">
        <v>90</v>
      </c>
      <c r="T9" s="29">
        <v>0.9</v>
      </c>
      <c r="U9" s="29">
        <v>0.1</v>
      </c>
    </row>
    <row r="10" spans="1:21" x14ac:dyDescent="0.2">
      <c r="A10" s="28" t="s">
        <v>35</v>
      </c>
      <c r="B10" s="28" t="s">
        <v>36</v>
      </c>
      <c r="C10" s="28" t="s">
        <v>43</v>
      </c>
      <c r="D10" s="28" t="s">
        <v>74</v>
      </c>
      <c r="E10" s="28" t="s">
        <v>75</v>
      </c>
      <c r="F10" s="28" t="s">
        <v>76</v>
      </c>
      <c r="G10" s="28" t="s">
        <v>42</v>
      </c>
      <c r="H10" s="28" t="s">
        <v>27</v>
      </c>
      <c r="I10" s="28" t="s">
        <v>39</v>
      </c>
      <c r="J10" s="28" t="s">
        <v>40</v>
      </c>
      <c r="K10" s="28">
        <v>1</v>
      </c>
      <c r="L10" s="29">
        <v>0.5</v>
      </c>
      <c r="M10" s="28" t="s">
        <v>41</v>
      </c>
      <c r="N10" s="28">
        <v>2017</v>
      </c>
      <c r="O10" s="28" t="s">
        <v>28</v>
      </c>
      <c r="P10" s="30" t="s">
        <v>51</v>
      </c>
      <c r="Q10" s="28" t="s">
        <v>29</v>
      </c>
      <c r="R10" s="30" t="s">
        <v>29</v>
      </c>
      <c r="S10" s="31">
        <v>0</v>
      </c>
      <c r="T10" s="29">
        <v>0</v>
      </c>
      <c r="U10" s="29">
        <v>0.5</v>
      </c>
    </row>
    <row r="11" spans="1:21" x14ac:dyDescent="0.2">
      <c r="A11" s="28" t="s">
        <v>35</v>
      </c>
      <c r="B11" s="28" t="s">
        <v>36</v>
      </c>
      <c r="C11" s="28" t="s">
        <v>43</v>
      </c>
      <c r="D11" s="28" t="s">
        <v>77</v>
      </c>
      <c r="E11" s="28" t="s">
        <v>78</v>
      </c>
      <c r="F11" s="28" t="s">
        <v>79</v>
      </c>
      <c r="G11" s="28" t="s">
        <v>38</v>
      </c>
      <c r="H11" s="28" t="s">
        <v>27</v>
      </c>
      <c r="I11" s="28" t="s">
        <v>39</v>
      </c>
      <c r="J11" s="28" t="s">
        <v>40</v>
      </c>
      <c r="K11" s="28">
        <v>1</v>
      </c>
      <c r="L11" s="29">
        <v>0.5</v>
      </c>
      <c r="M11" s="28" t="s">
        <v>41</v>
      </c>
      <c r="N11" s="28">
        <v>2017</v>
      </c>
      <c r="O11" s="28" t="s">
        <v>28</v>
      </c>
      <c r="P11" s="30" t="s">
        <v>51</v>
      </c>
      <c r="Q11" s="28" t="s">
        <v>29</v>
      </c>
      <c r="R11" s="30" t="s">
        <v>29</v>
      </c>
      <c r="S11" s="31">
        <v>0</v>
      </c>
      <c r="T11" s="29">
        <v>0</v>
      </c>
      <c r="U11" s="29">
        <v>0.5</v>
      </c>
    </row>
    <row r="12" spans="1:21" x14ac:dyDescent="0.2">
      <c r="A12" s="28" t="s">
        <v>35</v>
      </c>
      <c r="B12" s="28" t="s">
        <v>36</v>
      </c>
      <c r="C12" s="28" t="s">
        <v>43</v>
      </c>
      <c r="D12" s="28" t="s">
        <v>77</v>
      </c>
      <c r="E12" s="28" t="s">
        <v>78</v>
      </c>
      <c r="F12" s="28" t="s">
        <v>79</v>
      </c>
      <c r="G12" s="28" t="s">
        <v>42</v>
      </c>
      <c r="H12" s="28" t="s">
        <v>27</v>
      </c>
      <c r="I12" s="28" t="s">
        <v>39</v>
      </c>
      <c r="J12" s="28" t="s">
        <v>40</v>
      </c>
      <c r="K12" s="28">
        <v>1</v>
      </c>
      <c r="L12" s="29">
        <v>0.5</v>
      </c>
      <c r="M12" s="28" t="s">
        <v>41</v>
      </c>
      <c r="N12" s="28">
        <v>2017</v>
      </c>
      <c r="O12" s="28" t="s">
        <v>28</v>
      </c>
      <c r="P12" s="30" t="s">
        <v>51</v>
      </c>
      <c r="Q12" s="28" t="s">
        <v>29</v>
      </c>
      <c r="R12" s="30" t="s">
        <v>29</v>
      </c>
      <c r="S12" s="31">
        <v>0</v>
      </c>
      <c r="T12" s="29">
        <v>0</v>
      </c>
      <c r="U12" s="29">
        <v>0.5</v>
      </c>
    </row>
    <row r="13" spans="1:21" x14ac:dyDescent="0.2">
      <c r="A13" s="28" t="s">
        <v>35</v>
      </c>
      <c r="B13" s="28" t="s">
        <v>36</v>
      </c>
      <c r="C13" s="28" t="s">
        <v>43</v>
      </c>
      <c r="D13" s="28" t="s">
        <v>71</v>
      </c>
      <c r="E13" s="28" t="s">
        <v>72</v>
      </c>
      <c r="F13" s="28" t="s">
        <v>73</v>
      </c>
      <c r="G13" s="28" t="s">
        <v>46</v>
      </c>
      <c r="H13" s="28" t="s">
        <v>27</v>
      </c>
      <c r="I13" s="28" t="s">
        <v>39</v>
      </c>
      <c r="J13" s="28" t="s">
        <v>40</v>
      </c>
      <c r="K13" s="28">
        <v>1</v>
      </c>
      <c r="L13" s="29">
        <v>0.5</v>
      </c>
      <c r="M13" s="28" t="s">
        <v>41</v>
      </c>
      <c r="N13" s="28">
        <v>2017</v>
      </c>
      <c r="O13" s="28" t="s">
        <v>28</v>
      </c>
      <c r="P13" s="30" t="s">
        <v>34</v>
      </c>
      <c r="Q13" s="28" t="s">
        <v>29</v>
      </c>
      <c r="R13" s="30" t="s">
        <v>29</v>
      </c>
      <c r="S13" s="31">
        <v>90</v>
      </c>
      <c r="T13" s="29">
        <v>0.45</v>
      </c>
      <c r="U13" s="29">
        <v>0.05</v>
      </c>
    </row>
    <row r="14" spans="1:21" x14ac:dyDescent="0.2">
      <c r="A14" s="28" t="s">
        <v>35</v>
      </c>
      <c r="B14" s="28" t="s">
        <v>36</v>
      </c>
      <c r="C14" s="28" t="s">
        <v>43</v>
      </c>
      <c r="D14" s="28" t="s">
        <v>71</v>
      </c>
      <c r="E14" s="28" t="s">
        <v>72</v>
      </c>
      <c r="F14" s="28" t="s">
        <v>73</v>
      </c>
      <c r="G14" s="28" t="s">
        <v>48</v>
      </c>
      <c r="H14" s="28" t="s">
        <v>27</v>
      </c>
      <c r="I14" s="28" t="s">
        <v>39</v>
      </c>
      <c r="J14" s="28" t="s">
        <v>40</v>
      </c>
      <c r="K14" s="28">
        <v>1</v>
      </c>
      <c r="L14" s="29">
        <v>0.5</v>
      </c>
      <c r="M14" s="28" t="s">
        <v>41</v>
      </c>
      <c r="N14" s="28">
        <v>2017</v>
      </c>
      <c r="O14" s="28" t="s">
        <v>28</v>
      </c>
      <c r="P14" s="30" t="s">
        <v>34</v>
      </c>
      <c r="Q14" s="28" t="s">
        <v>29</v>
      </c>
      <c r="R14" s="30" t="s">
        <v>29</v>
      </c>
      <c r="S14" s="31">
        <v>90</v>
      </c>
      <c r="T14" s="29">
        <v>0.45</v>
      </c>
      <c r="U14" s="29">
        <v>0.05</v>
      </c>
    </row>
    <row r="15" spans="1:21" x14ac:dyDescent="0.2">
      <c r="A15" s="28" t="s">
        <v>35</v>
      </c>
      <c r="B15" s="28" t="s">
        <v>36</v>
      </c>
      <c r="C15" s="28" t="s">
        <v>43</v>
      </c>
      <c r="D15" s="28" t="s">
        <v>86</v>
      </c>
      <c r="E15" s="28" t="s">
        <v>87</v>
      </c>
      <c r="F15" s="28" t="s">
        <v>88</v>
      </c>
      <c r="G15" s="28" t="s">
        <v>68</v>
      </c>
      <c r="H15" s="28" t="s">
        <v>27</v>
      </c>
      <c r="I15" s="28" t="s">
        <v>39</v>
      </c>
      <c r="J15" s="28" t="s">
        <v>40</v>
      </c>
      <c r="K15" s="28">
        <v>1</v>
      </c>
      <c r="L15" s="29">
        <v>0.5</v>
      </c>
      <c r="M15" s="28" t="s">
        <v>41</v>
      </c>
      <c r="N15" s="28">
        <v>2018</v>
      </c>
      <c r="O15" s="28" t="s">
        <v>28</v>
      </c>
      <c r="P15" s="30" t="s">
        <v>51</v>
      </c>
      <c r="Q15" s="28" t="s">
        <v>29</v>
      </c>
      <c r="R15" s="30" t="s">
        <v>29</v>
      </c>
      <c r="S15" s="31">
        <v>0</v>
      </c>
      <c r="T15" s="29">
        <v>0</v>
      </c>
      <c r="U15" s="29">
        <v>0.5</v>
      </c>
    </row>
    <row r="16" spans="1:21" x14ac:dyDescent="0.2">
      <c r="A16" s="28" t="s">
        <v>35</v>
      </c>
      <c r="B16" s="28" t="s">
        <v>36</v>
      </c>
      <c r="C16" s="28" t="s">
        <v>43</v>
      </c>
      <c r="D16" s="28" t="s">
        <v>80</v>
      </c>
      <c r="E16" s="28" t="s">
        <v>81</v>
      </c>
      <c r="F16" s="28" t="s">
        <v>82</v>
      </c>
      <c r="G16" s="28" t="s">
        <v>50</v>
      </c>
      <c r="H16" s="28" t="s">
        <v>33</v>
      </c>
      <c r="I16" s="28" t="s">
        <v>39</v>
      </c>
      <c r="J16" s="28" t="s">
        <v>40</v>
      </c>
      <c r="K16" s="28">
        <v>1</v>
      </c>
      <c r="L16" s="29">
        <v>1</v>
      </c>
      <c r="M16" s="28" t="s">
        <v>41</v>
      </c>
      <c r="N16" s="28">
        <v>2018</v>
      </c>
      <c r="O16" s="28" t="s">
        <v>28</v>
      </c>
      <c r="P16" s="30" t="s">
        <v>51</v>
      </c>
      <c r="Q16" s="28" t="s">
        <v>29</v>
      </c>
      <c r="R16" s="30" t="s">
        <v>29</v>
      </c>
      <c r="S16" s="31">
        <v>0</v>
      </c>
      <c r="T16" s="29">
        <v>0</v>
      </c>
      <c r="U16" s="29">
        <v>1</v>
      </c>
    </row>
    <row r="17" spans="1:21" x14ac:dyDescent="0.2">
      <c r="A17" s="28" t="s">
        <v>30</v>
      </c>
      <c r="B17" s="28" t="s">
        <v>31</v>
      </c>
      <c r="C17" s="28" t="s">
        <v>32</v>
      </c>
      <c r="D17" s="28" t="s">
        <v>83</v>
      </c>
      <c r="E17" s="28" t="s">
        <v>84</v>
      </c>
      <c r="F17" s="28" t="s">
        <v>85</v>
      </c>
      <c r="G17" s="28" t="s">
        <v>49</v>
      </c>
      <c r="H17" s="28" t="s">
        <v>33</v>
      </c>
      <c r="I17" s="28" t="s">
        <v>39</v>
      </c>
      <c r="J17" s="28" t="s">
        <v>40</v>
      </c>
      <c r="K17" s="28">
        <v>1</v>
      </c>
      <c r="L17" s="29">
        <v>1</v>
      </c>
      <c r="M17" s="28" t="s">
        <v>41</v>
      </c>
      <c r="N17" s="28">
        <v>2018</v>
      </c>
      <c r="O17" s="28" t="s">
        <v>29</v>
      </c>
      <c r="P17" s="30" t="s">
        <v>29</v>
      </c>
      <c r="Q17" s="28" t="s">
        <v>29</v>
      </c>
      <c r="R17" s="30" t="s">
        <v>29</v>
      </c>
      <c r="S17" s="31">
        <v>100</v>
      </c>
      <c r="T17" s="29">
        <v>1</v>
      </c>
      <c r="U17" s="29">
        <v>0</v>
      </c>
    </row>
    <row r="18" spans="1:21" x14ac:dyDescent="0.2">
      <c r="A18" s="28" t="s">
        <v>30</v>
      </c>
      <c r="B18" s="28" t="s">
        <v>31</v>
      </c>
      <c r="C18" s="28" t="s">
        <v>32</v>
      </c>
      <c r="D18" s="28" t="s">
        <v>89</v>
      </c>
      <c r="E18" s="28" t="s">
        <v>90</v>
      </c>
      <c r="F18" s="28" t="s">
        <v>91</v>
      </c>
      <c r="G18" s="28" t="s">
        <v>49</v>
      </c>
      <c r="H18" s="28" t="s">
        <v>33</v>
      </c>
      <c r="I18" s="28" t="s">
        <v>39</v>
      </c>
      <c r="J18" s="28" t="s">
        <v>40</v>
      </c>
      <c r="K18" s="28">
        <v>1</v>
      </c>
      <c r="L18" s="29">
        <v>1</v>
      </c>
      <c r="M18" s="28" t="s">
        <v>41</v>
      </c>
      <c r="N18" s="28">
        <v>2018</v>
      </c>
      <c r="O18" s="28" t="s">
        <v>29</v>
      </c>
      <c r="P18" s="30" t="s">
        <v>29</v>
      </c>
      <c r="Q18" s="28" t="s">
        <v>29</v>
      </c>
      <c r="R18" s="30" t="s">
        <v>29</v>
      </c>
      <c r="S18" s="31">
        <v>100</v>
      </c>
      <c r="T18" s="29">
        <v>1</v>
      </c>
      <c r="U18" s="29">
        <v>0</v>
      </c>
    </row>
    <row r="19" spans="1:21" x14ac:dyDescent="0.2">
      <c r="A19" s="28" t="s">
        <v>35</v>
      </c>
      <c r="B19" s="28" t="s">
        <v>36</v>
      </c>
      <c r="C19" s="28" t="s">
        <v>43</v>
      </c>
      <c r="D19" s="28" t="s">
        <v>148</v>
      </c>
      <c r="E19" s="28" t="s">
        <v>149</v>
      </c>
      <c r="F19" s="28" t="s">
        <v>150</v>
      </c>
      <c r="G19" s="28" t="s">
        <v>68</v>
      </c>
      <c r="H19" s="28" t="s">
        <v>27</v>
      </c>
      <c r="I19" s="28" t="s">
        <v>39</v>
      </c>
      <c r="J19" s="28" t="s">
        <v>40</v>
      </c>
      <c r="K19" s="28">
        <v>1</v>
      </c>
      <c r="L19" s="29">
        <v>0.5</v>
      </c>
      <c r="M19" s="28" t="s">
        <v>41</v>
      </c>
      <c r="N19" s="28">
        <v>2019</v>
      </c>
      <c r="O19" s="28" t="s">
        <v>28</v>
      </c>
      <c r="P19" s="30" t="s">
        <v>51</v>
      </c>
      <c r="Q19" s="28" t="s">
        <v>29</v>
      </c>
      <c r="R19" s="30" t="s">
        <v>29</v>
      </c>
      <c r="S19" s="31">
        <v>0</v>
      </c>
      <c r="T19" s="29">
        <v>0</v>
      </c>
      <c r="U19" s="29">
        <v>0.5</v>
      </c>
    </row>
    <row r="20" spans="1:21" x14ac:dyDescent="0.2">
      <c r="A20" s="28" t="s">
        <v>35</v>
      </c>
      <c r="B20" s="28" t="s">
        <v>36</v>
      </c>
      <c r="C20" s="28" t="s">
        <v>43</v>
      </c>
      <c r="D20" s="28" t="s">
        <v>151</v>
      </c>
      <c r="E20" s="28" t="s">
        <v>152</v>
      </c>
      <c r="F20" s="28" t="s">
        <v>153</v>
      </c>
      <c r="G20" s="28" t="s">
        <v>42</v>
      </c>
      <c r="H20" s="28" t="s">
        <v>27</v>
      </c>
      <c r="I20" s="28" t="s">
        <v>39</v>
      </c>
      <c r="J20" s="28" t="s">
        <v>40</v>
      </c>
      <c r="K20" s="29">
        <v>1</v>
      </c>
      <c r="L20" s="28">
        <v>0.5</v>
      </c>
      <c r="M20" s="28" t="s">
        <v>41</v>
      </c>
      <c r="N20" s="28">
        <v>2019</v>
      </c>
      <c r="O20" s="30" t="s">
        <v>28</v>
      </c>
      <c r="P20" s="28" t="s">
        <v>51</v>
      </c>
      <c r="Q20" s="30" t="s">
        <v>29</v>
      </c>
      <c r="R20" s="31" t="s">
        <v>29</v>
      </c>
      <c r="S20" s="29">
        <v>0</v>
      </c>
      <c r="T20" s="29">
        <v>0</v>
      </c>
      <c r="U20" s="29">
        <v>0.5</v>
      </c>
    </row>
    <row r="21" spans="1:21" x14ac:dyDescent="0.2">
      <c r="A21" s="28" t="s">
        <v>35</v>
      </c>
      <c r="B21" s="28" t="s">
        <v>36</v>
      </c>
      <c r="C21" s="28" t="s">
        <v>43</v>
      </c>
      <c r="D21" s="28" t="s">
        <v>154</v>
      </c>
      <c r="E21" s="28" t="s">
        <v>155</v>
      </c>
      <c r="F21" s="28" t="s">
        <v>156</v>
      </c>
      <c r="G21" s="28" t="s">
        <v>38</v>
      </c>
      <c r="H21" s="28" t="s">
        <v>27</v>
      </c>
      <c r="I21" s="28" t="s">
        <v>39</v>
      </c>
      <c r="J21" s="28" t="s">
        <v>40</v>
      </c>
      <c r="K21" s="29">
        <v>1</v>
      </c>
      <c r="L21" s="28">
        <v>0.5</v>
      </c>
      <c r="M21" s="28" t="s">
        <v>41</v>
      </c>
      <c r="N21" s="28">
        <v>2019</v>
      </c>
      <c r="O21" s="30" t="s">
        <v>28</v>
      </c>
      <c r="P21" s="28" t="s">
        <v>51</v>
      </c>
      <c r="Q21" s="30" t="s">
        <v>29</v>
      </c>
      <c r="R21" s="31" t="s">
        <v>29</v>
      </c>
      <c r="S21" s="29">
        <v>0</v>
      </c>
      <c r="T21" s="29">
        <v>0</v>
      </c>
      <c r="U21" s="29">
        <v>0.5</v>
      </c>
    </row>
    <row r="22" spans="1:21" x14ac:dyDescent="0.2">
      <c r="A22" s="28" t="s">
        <v>35</v>
      </c>
      <c r="B22" s="28" t="s">
        <v>36</v>
      </c>
      <c r="C22" s="28" t="s">
        <v>43</v>
      </c>
      <c r="D22" s="28" t="s">
        <v>154</v>
      </c>
      <c r="E22" s="28" t="s">
        <v>155</v>
      </c>
      <c r="F22" s="28" t="s">
        <v>156</v>
      </c>
      <c r="G22" s="28" t="s">
        <v>42</v>
      </c>
      <c r="H22" s="28" t="s">
        <v>27</v>
      </c>
      <c r="I22" s="28" t="s">
        <v>39</v>
      </c>
      <c r="J22" s="28" t="s">
        <v>40</v>
      </c>
      <c r="K22" s="29">
        <v>1</v>
      </c>
      <c r="L22" s="28">
        <v>0.5</v>
      </c>
      <c r="M22" s="28" t="s">
        <v>41</v>
      </c>
      <c r="N22" s="28">
        <v>2019</v>
      </c>
      <c r="O22" s="30" t="s">
        <v>28</v>
      </c>
      <c r="P22" s="28" t="s">
        <v>51</v>
      </c>
      <c r="Q22" s="30" t="s">
        <v>29</v>
      </c>
      <c r="R22" s="31" t="s">
        <v>29</v>
      </c>
      <c r="S22" s="29">
        <v>0</v>
      </c>
      <c r="T22" s="29">
        <v>0</v>
      </c>
      <c r="U22" s="29">
        <v>0.5</v>
      </c>
    </row>
    <row r="23" spans="1:21" x14ac:dyDescent="0.2">
      <c r="A23" s="28" t="s">
        <v>30</v>
      </c>
      <c r="B23" s="28" t="s">
        <v>31</v>
      </c>
      <c r="C23" s="28" t="s">
        <v>32</v>
      </c>
      <c r="D23" s="28" t="s">
        <v>157</v>
      </c>
      <c r="E23" s="28" t="s">
        <v>158</v>
      </c>
      <c r="F23" s="28" t="s">
        <v>159</v>
      </c>
      <c r="G23" s="28" t="s">
        <v>44</v>
      </c>
      <c r="H23" s="28" t="s">
        <v>27</v>
      </c>
      <c r="I23" s="28" t="s">
        <v>39</v>
      </c>
      <c r="J23" s="28" t="s">
        <v>40</v>
      </c>
      <c r="K23" s="29">
        <v>1</v>
      </c>
      <c r="L23" s="28">
        <v>0.33333333333333331</v>
      </c>
      <c r="M23" s="28" t="s">
        <v>41</v>
      </c>
      <c r="N23" s="28">
        <v>2019</v>
      </c>
      <c r="O23" s="30" t="s">
        <v>29</v>
      </c>
      <c r="P23" s="28" t="s">
        <v>29</v>
      </c>
      <c r="Q23" s="30" t="s">
        <v>29</v>
      </c>
      <c r="R23" s="31" t="s">
        <v>29</v>
      </c>
      <c r="S23" s="29">
        <v>100</v>
      </c>
      <c r="T23" s="29">
        <v>0.33333333333333326</v>
      </c>
      <c r="U23" s="29">
        <v>0</v>
      </c>
    </row>
    <row r="24" spans="1:21" x14ac:dyDescent="0.2">
      <c r="A24" s="28" t="s">
        <v>30</v>
      </c>
      <c r="B24" s="28" t="s">
        <v>31</v>
      </c>
      <c r="C24" s="28" t="s">
        <v>32</v>
      </c>
      <c r="D24" s="28" t="s">
        <v>157</v>
      </c>
      <c r="E24" s="28" t="s">
        <v>158</v>
      </c>
      <c r="F24" s="28" t="s">
        <v>159</v>
      </c>
      <c r="G24" s="28" t="s">
        <v>45</v>
      </c>
      <c r="H24" s="28" t="s">
        <v>27</v>
      </c>
      <c r="I24" s="28" t="s">
        <v>39</v>
      </c>
      <c r="J24" s="28" t="s">
        <v>40</v>
      </c>
      <c r="K24" s="29">
        <v>1</v>
      </c>
      <c r="L24" s="28">
        <v>0.33333333333333331</v>
      </c>
      <c r="M24" s="28" t="s">
        <v>41</v>
      </c>
      <c r="N24" s="28">
        <v>2019</v>
      </c>
      <c r="O24" s="30" t="s">
        <v>29</v>
      </c>
      <c r="P24" s="28" t="s">
        <v>29</v>
      </c>
      <c r="Q24" s="30" t="s">
        <v>29</v>
      </c>
      <c r="R24" s="31" t="s">
        <v>29</v>
      </c>
      <c r="S24" s="29">
        <v>100</v>
      </c>
      <c r="T24" s="29">
        <v>0.33333333333333326</v>
      </c>
      <c r="U24" s="29">
        <v>0</v>
      </c>
    </row>
    <row r="25" spans="1:21" x14ac:dyDescent="0.2">
      <c r="A25" s="28" t="s">
        <v>30</v>
      </c>
      <c r="B25" s="28" t="s">
        <v>31</v>
      </c>
      <c r="C25" s="28" t="s">
        <v>32</v>
      </c>
      <c r="D25" s="28" t="s">
        <v>160</v>
      </c>
      <c r="E25" s="28" t="s">
        <v>161</v>
      </c>
      <c r="F25" s="28" t="s">
        <v>162</v>
      </c>
      <c r="G25" s="28" t="s">
        <v>49</v>
      </c>
      <c r="H25" s="28" t="s">
        <v>27</v>
      </c>
      <c r="I25" s="28" t="s">
        <v>39</v>
      </c>
      <c r="J25" s="28" t="s">
        <v>40</v>
      </c>
      <c r="K25" s="29">
        <v>1</v>
      </c>
      <c r="L25" s="28">
        <v>0.5</v>
      </c>
      <c r="M25" s="28" t="s">
        <v>41</v>
      </c>
      <c r="N25" s="28">
        <v>2019</v>
      </c>
      <c r="O25" s="30" t="s">
        <v>29</v>
      </c>
      <c r="P25" s="28" t="s">
        <v>29</v>
      </c>
      <c r="Q25" s="30" t="s">
        <v>29</v>
      </c>
      <c r="R25" s="31" t="s">
        <v>29</v>
      </c>
      <c r="S25" s="29">
        <v>100</v>
      </c>
      <c r="T25" s="29">
        <v>0.5</v>
      </c>
      <c r="U25" s="29">
        <v>0</v>
      </c>
    </row>
    <row r="26" spans="1:21" x14ac:dyDescent="0.2">
      <c r="A26" s="28" t="s">
        <v>30</v>
      </c>
      <c r="B26" s="28" t="s">
        <v>31</v>
      </c>
      <c r="C26" s="28" t="s">
        <v>32</v>
      </c>
      <c r="D26" s="28" t="s">
        <v>163</v>
      </c>
      <c r="E26" s="28" t="s">
        <v>164</v>
      </c>
      <c r="F26" s="28" t="s">
        <v>165</v>
      </c>
      <c r="G26" s="28" t="s">
        <v>44</v>
      </c>
      <c r="H26" s="28" t="s">
        <v>27</v>
      </c>
      <c r="I26" s="28" t="s">
        <v>39</v>
      </c>
      <c r="J26" s="28" t="s">
        <v>40</v>
      </c>
      <c r="K26" s="29">
        <v>1</v>
      </c>
      <c r="L26" s="28">
        <v>0.5</v>
      </c>
      <c r="M26" s="28" t="s">
        <v>41</v>
      </c>
      <c r="N26" s="28">
        <v>2019</v>
      </c>
      <c r="O26" s="30" t="s">
        <v>29</v>
      </c>
      <c r="P26" s="28" t="s">
        <v>29</v>
      </c>
      <c r="Q26" s="30" t="s">
        <v>29</v>
      </c>
      <c r="R26" s="31" t="s">
        <v>29</v>
      </c>
      <c r="S26" s="29">
        <v>100</v>
      </c>
      <c r="T26" s="29">
        <v>0.5</v>
      </c>
      <c r="U26" s="29">
        <v>0</v>
      </c>
    </row>
    <row r="27" spans="1:21" x14ac:dyDescent="0.2">
      <c r="A27" s="28" t="s">
        <v>30</v>
      </c>
      <c r="B27" s="28" t="s">
        <v>31</v>
      </c>
      <c r="C27" s="28" t="s">
        <v>32</v>
      </c>
      <c r="D27" s="28" t="s">
        <v>163</v>
      </c>
      <c r="E27" s="28" t="s">
        <v>164</v>
      </c>
      <c r="F27" s="28" t="s">
        <v>165</v>
      </c>
      <c r="G27" s="28" t="s">
        <v>166</v>
      </c>
      <c r="H27" s="28" t="s">
        <v>27</v>
      </c>
      <c r="I27" s="28" t="s">
        <v>39</v>
      </c>
      <c r="J27" s="28" t="s">
        <v>40</v>
      </c>
      <c r="K27" s="29">
        <v>1</v>
      </c>
      <c r="L27" s="28">
        <v>0.5</v>
      </c>
      <c r="M27" s="28" t="s">
        <v>41</v>
      </c>
      <c r="N27" s="28">
        <v>2019</v>
      </c>
      <c r="O27" s="30" t="s">
        <v>29</v>
      </c>
      <c r="P27" s="28" t="s">
        <v>29</v>
      </c>
      <c r="Q27" s="30" t="s">
        <v>29</v>
      </c>
      <c r="R27" s="31" t="s">
        <v>29</v>
      </c>
      <c r="S27" s="29">
        <v>100</v>
      </c>
      <c r="T27" s="29">
        <v>0.5</v>
      </c>
      <c r="U27" s="29">
        <v>0</v>
      </c>
    </row>
    <row r="28" spans="1:21" x14ac:dyDescent="0.2">
      <c r="A28" s="28" t="s">
        <v>30</v>
      </c>
      <c r="B28" s="28" t="s">
        <v>31</v>
      </c>
      <c r="C28" s="28" t="s">
        <v>32</v>
      </c>
      <c r="D28" s="28" t="s">
        <v>167</v>
      </c>
      <c r="E28" s="28" t="s">
        <v>168</v>
      </c>
      <c r="F28" s="28" t="s">
        <v>169</v>
      </c>
      <c r="G28" s="28" t="s">
        <v>44</v>
      </c>
      <c r="H28" s="28" t="s">
        <v>27</v>
      </c>
      <c r="I28" s="28" t="s">
        <v>39</v>
      </c>
      <c r="J28" s="28" t="s">
        <v>40</v>
      </c>
      <c r="K28" s="29">
        <v>1</v>
      </c>
      <c r="L28" s="28">
        <v>0.5</v>
      </c>
      <c r="M28" s="28" t="s">
        <v>41</v>
      </c>
      <c r="N28" s="28">
        <v>2019</v>
      </c>
      <c r="O28" s="30" t="s">
        <v>29</v>
      </c>
      <c r="P28" s="28" t="s">
        <v>29</v>
      </c>
      <c r="Q28" s="30" t="s">
        <v>29</v>
      </c>
      <c r="R28" s="31" t="s">
        <v>29</v>
      </c>
      <c r="S28" s="29">
        <v>100</v>
      </c>
      <c r="T28" s="29">
        <v>0.5</v>
      </c>
      <c r="U28" s="29">
        <v>0</v>
      </c>
    </row>
    <row r="29" spans="1:21" x14ac:dyDescent="0.2">
      <c r="A29" s="28" t="s">
        <v>30</v>
      </c>
      <c r="B29" s="28" t="s">
        <v>31</v>
      </c>
      <c r="C29" s="28" t="s">
        <v>32</v>
      </c>
      <c r="D29" s="28" t="s">
        <v>167</v>
      </c>
      <c r="E29" s="28" t="s">
        <v>168</v>
      </c>
      <c r="F29" s="28" t="s">
        <v>169</v>
      </c>
      <c r="G29" s="28" t="s">
        <v>45</v>
      </c>
      <c r="H29" s="28" t="s">
        <v>27</v>
      </c>
      <c r="I29" s="28" t="s">
        <v>39</v>
      </c>
      <c r="J29" s="28" t="s">
        <v>40</v>
      </c>
      <c r="K29" s="29">
        <v>1</v>
      </c>
      <c r="L29" s="28">
        <v>0.5</v>
      </c>
      <c r="M29" s="28" t="s">
        <v>41</v>
      </c>
      <c r="N29" s="28">
        <v>2019</v>
      </c>
      <c r="O29" s="30" t="s">
        <v>29</v>
      </c>
      <c r="P29" s="28" t="s">
        <v>29</v>
      </c>
      <c r="Q29" s="30" t="s">
        <v>29</v>
      </c>
      <c r="R29" s="31" t="s">
        <v>29</v>
      </c>
      <c r="S29" s="29">
        <v>100</v>
      </c>
      <c r="T29" s="29">
        <v>0.5</v>
      </c>
      <c r="U29" s="29">
        <v>0</v>
      </c>
    </row>
    <row r="30" spans="1:21" x14ac:dyDescent="0.2">
      <c r="A30" s="28" t="s">
        <v>35</v>
      </c>
      <c r="B30" s="28" t="s">
        <v>36</v>
      </c>
      <c r="C30" s="28" t="s">
        <v>43</v>
      </c>
      <c r="D30" s="28" t="s">
        <v>170</v>
      </c>
      <c r="E30" s="28" t="s">
        <v>171</v>
      </c>
      <c r="F30" s="28" t="s">
        <v>172</v>
      </c>
      <c r="G30" s="28" t="s">
        <v>38</v>
      </c>
      <c r="H30" s="28" t="s">
        <v>27</v>
      </c>
      <c r="I30" s="28" t="s">
        <v>39</v>
      </c>
      <c r="J30" s="28" t="s">
        <v>40</v>
      </c>
      <c r="K30" s="29">
        <v>1</v>
      </c>
      <c r="L30" s="28">
        <v>0.5</v>
      </c>
      <c r="M30" s="28" t="s">
        <v>41</v>
      </c>
      <c r="N30" s="28">
        <v>2020</v>
      </c>
      <c r="O30" s="30" t="s">
        <v>28</v>
      </c>
      <c r="P30" s="28" t="s">
        <v>51</v>
      </c>
      <c r="Q30" s="30" t="s">
        <v>29</v>
      </c>
      <c r="R30" s="31" t="s">
        <v>29</v>
      </c>
      <c r="S30" s="29">
        <v>0</v>
      </c>
      <c r="T30" s="29">
        <v>0</v>
      </c>
      <c r="U30" s="29">
        <v>0.5</v>
      </c>
    </row>
    <row r="31" spans="1:21" x14ac:dyDescent="0.2">
      <c r="A31" s="28" t="s">
        <v>30</v>
      </c>
      <c r="B31" s="28" t="s">
        <v>31</v>
      </c>
      <c r="C31" s="28" t="s">
        <v>32</v>
      </c>
      <c r="D31" s="28" t="s">
        <v>173</v>
      </c>
      <c r="E31" s="28" t="s">
        <v>174</v>
      </c>
      <c r="F31" s="28" t="s">
        <v>175</v>
      </c>
      <c r="G31" s="28" t="s">
        <v>44</v>
      </c>
      <c r="H31" s="28" t="s">
        <v>27</v>
      </c>
      <c r="I31" s="28" t="s">
        <v>39</v>
      </c>
      <c r="J31" s="28" t="s">
        <v>40</v>
      </c>
      <c r="K31" s="29">
        <v>1</v>
      </c>
      <c r="L31" s="28">
        <v>0.5</v>
      </c>
      <c r="M31" s="28" t="s">
        <v>41</v>
      </c>
      <c r="N31" s="28">
        <v>2020</v>
      </c>
      <c r="O31" s="30" t="s">
        <v>29</v>
      </c>
      <c r="P31" s="28" t="s">
        <v>29</v>
      </c>
      <c r="Q31" s="30" t="s">
        <v>29</v>
      </c>
      <c r="R31" s="31" t="s">
        <v>29</v>
      </c>
      <c r="S31" s="29">
        <v>100</v>
      </c>
      <c r="T31" s="29">
        <v>0.5</v>
      </c>
      <c r="U31" s="29">
        <v>0</v>
      </c>
    </row>
    <row r="32" spans="1:21" x14ac:dyDescent="0.2">
      <c r="A32" s="28" t="s">
        <v>30</v>
      </c>
      <c r="B32" s="28" t="s">
        <v>31</v>
      </c>
      <c r="C32" s="28" t="s">
        <v>32</v>
      </c>
      <c r="D32" s="28" t="s">
        <v>173</v>
      </c>
      <c r="E32" s="28" t="s">
        <v>174</v>
      </c>
      <c r="F32" s="28" t="s">
        <v>175</v>
      </c>
      <c r="G32" s="28" t="s">
        <v>166</v>
      </c>
      <c r="H32" s="28" t="s">
        <v>27</v>
      </c>
      <c r="I32" s="28" t="s">
        <v>39</v>
      </c>
      <c r="J32" s="28" t="s">
        <v>40</v>
      </c>
      <c r="K32" s="29">
        <v>1</v>
      </c>
      <c r="L32" s="28">
        <v>0.5</v>
      </c>
      <c r="M32" s="28" t="s">
        <v>41</v>
      </c>
      <c r="N32" s="28">
        <v>2020</v>
      </c>
      <c r="O32" s="30" t="s">
        <v>29</v>
      </c>
      <c r="P32" s="28" t="s">
        <v>29</v>
      </c>
      <c r="Q32" s="30" t="s">
        <v>29</v>
      </c>
      <c r="R32" s="31" t="s">
        <v>29</v>
      </c>
      <c r="S32" s="29">
        <v>100</v>
      </c>
      <c r="T32" s="29">
        <v>0.5</v>
      </c>
      <c r="U32" s="29">
        <v>0</v>
      </c>
    </row>
    <row r="33" spans="1:21" x14ac:dyDescent="0.2">
      <c r="A33" s="28" t="s">
        <v>30</v>
      </c>
      <c r="B33" s="28" t="s">
        <v>31</v>
      </c>
      <c r="C33" s="28" t="s">
        <v>32</v>
      </c>
      <c r="D33" s="28" t="s">
        <v>195</v>
      </c>
      <c r="E33" s="28" t="s">
        <v>196</v>
      </c>
      <c r="F33" s="28" t="s">
        <v>197</v>
      </c>
      <c r="G33" s="28" t="s">
        <v>49</v>
      </c>
      <c r="H33" s="28" t="s">
        <v>27</v>
      </c>
      <c r="I33" s="28" t="s">
        <v>39</v>
      </c>
      <c r="J33" s="28" t="s">
        <v>40</v>
      </c>
      <c r="K33" s="32">
        <v>1</v>
      </c>
      <c r="L33" s="28">
        <v>0.5</v>
      </c>
      <c r="M33" s="28" t="s">
        <v>41</v>
      </c>
      <c r="N33" s="28">
        <v>2020</v>
      </c>
      <c r="O33" s="30" t="s">
        <v>29</v>
      </c>
      <c r="P33" s="28" t="s">
        <v>29</v>
      </c>
      <c r="Q33" s="30" t="s">
        <v>29</v>
      </c>
      <c r="R33" s="31" t="s">
        <v>29</v>
      </c>
      <c r="S33" s="29">
        <v>100</v>
      </c>
      <c r="T33" s="29">
        <v>0.5</v>
      </c>
      <c r="U33" s="29">
        <v>0</v>
      </c>
    </row>
    <row r="34" spans="1:21" x14ac:dyDescent="0.2">
      <c r="A34" s="28" t="s">
        <v>30</v>
      </c>
      <c r="B34" s="28" t="s">
        <v>31</v>
      </c>
      <c r="C34" s="28" t="s">
        <v>32</v>
      </c>
      <c r="D34" s="28" t="s">
        <v>198</v>
      </c>
      <c r="E34" s="28" t="s">
        <v>199</v>
      </c>
      <c r="F34" s="28" t="s">
        <v>200</v>
      </c>
      <c r="G34" s="28" t="s">
        <v>44</v>
      </c>
      <c r="H34" s="28" t="s">
        <v>27</v>
      </c>
      <c r="I34" s="28" t="s">
        <v>39</v>
      </c>
      <c r="J34" s="28" t="s">
        <v>40</v>
      </c>
      <c r="K34" s="32">
        <v>99</v>
      </c>
      <c r="L34" s="28">
        <v>0.5</v>
      </c>
      <c r="M34" s="28" t="s">
        <v>41</v>
      </c>
      <c r="N34" s="28">
        <v>2021</v>
      </c>
      <c r="O34" s="30" t="s">
        <v>29</v>
      </c>
      <c r="P34" s="28" t="s">
        <v>29</v>
      </c>
      <c r="Q34" s="30" t="s">
        <v>29</v>
      </c>
      <c r="R34" s="31" t="s">
        <v>29</v>
      </c>
      <c r="S34" s="29">
        <v>100</v>
      </c>
      <c r="T34" s="29">
        <v>0.5</v>
      </c>
      <c r="U34" s="29">
        <v>0</v>
      </c>
    </row>
    <row r="35" spans="1:21" x14ac:dyDescent="0.2">
      <c r="A35" s="28" t="s">
        <v>30</v>
      </c>
      <c r="B35" s="28" t="s">
        <v>31</v>
      </c>
      <c r="C35" s="28" t="s">
        <v>32</v>
      </c>
      <c r="D35" s="28" t="s">
        <v>198</v>
      </c>
      <c r="E35" s="28" t="s">
        <v>199</v>
      </c>
      <c r="F35" s="28" t="s">
        <v>200</v>
      </c>
      <c r="G35" s="28" t="s">
        <v>166</v>
      </c>
      <c r="H35" s="28" t="s">
        <v>27</v>
      </c>
      <c r="I35" s="28" t="s">
        <v>39</v>
      </c>
      <c r="J35" s="28" t="s">
        <v>40</v>
      </c>
      <c r="K35" s="32">
        <v>100</v>
      </c>
      <c r="L35" s="28">
        <v>0.5</v>
      </c>
      <c r="M35" s="28" t="s">
        <v>41</v>
      </c>
      <c r="N35" s="28">
        <v>2021</v>
      </c>
      <c r="O35" s="30" t="s">
        <v>29</v>
      </c>
      <c r="P35" s="28" t="s">
        <v>29</v>
      </c>
      <c r="Q35" s="30" t="s">
        <v>29</v>
      </c>
      <c r="R35" s="31" t="s">
        <v>29</v>
      </c>
      <c r="S35" s="29">
        <v>100</v>
      </c>
      <c r="T35" s="29">
        <v>0.5</v>
      </c>
      <c r="U35" s="29">
        <v>0</v>
      </c>
    </row>
    <row r="36" spans="1:21" x14ac:dyDescent="0.2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7"/>
      <c r="L36" s="36"/>
      <c r="M36" s="36"/>
      <c r="N36" s="36"/>
      <c r="O36" s="38"/>
      <c r="P36" s="36"/>
      <c r="Q36" s="38"/>
      <c r="R36" s="36"/>
      <c r="S36" s="37"/>
      <c r="T36" s="39">
        <f>SUM(T2:T35)</f>
        <v>12.166666666666666</v>
      </c>
      <c r="U36" s="36"/>
    </row>
  </sheetData>
  <autoFilter ref="A1:U19" xr:uid="{00000000-0009-0000-0000-000000000000}">
    <sortState xmlns:xlrd2="http://schemas.microsoft.com/office/spreadsheetml/2017/richdata2" ref="A2:U1884">
      <sortCondition ref="L2:L1884"/>
      <sortCondition ref="M2:M1884"/>
      <sortCondition ref="D2:D1884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7"/>
  <sheetViews>
    <sheetView zoomScaleNormal="100" workbookViewId="0">
      <selection activeCell="C4" sqref="C4"/>
    </sheetView>
  </sheetViews>
  <sheetFormatPr baseColWidth="10" defaultColWidth="11.44140625" defaultRowHeight="13.2" x14ac:dyDescent="0.25"/>
  <cols>
    <col min="1" max="1" width="10.88671875" style="18" bestFit="1" customWidth="1"/>
    <col min="2" max="2" width="41.33203125" style="18" bestFit="1" customWidth="1"/>
    <col min="3" max="3" width="17" style="18" bestFit="1" customWidth="1"/>
    <col min="4" max="9" width="3.33203125" style="18" bestFit="1" customWidth="1"/>
    <col min="10" max="10" width="13.109375" style="18" bestFit="1" customWidth="1"/>
    <col min="11" max="11" width="5.33203125" style="18" bestFit="1" customWidth="1"/>
    <col min="12" max="13" width="5.6640625" style="18" bestFit="1" customWidth="1"/>
    <col min="14" max="14" width="5.6640625" style="21" bestFit="1" customWidth="1"/>
    <col min="15" max="15" width="5.6640625" style="18" bestFit="1" customWidth="1"/>
    <col min="16" max="16" width="5.6640625" style="21" bestFit="1" customWidth="1"/>
    <col min="17" max="19" width="5.6640625" style="18" bestFit="1" customWidth="1"/>
    <col min="20" max="16384" width="11.44140625" style="18"/>
  </cols>
  <sheetData>
    <row r="1" spans="1:19" s="17" customFormat="1" ht="30" x14ac:dyDescent="0.25">
      <c r="A1" s="25" t="s">
        <v>92</v>
      </c>
      <c r="B1" s="25" t="s">
        <v>93</v>
      </c>
      <c r="C1" s="25" t="s">
        <v>94</v>
      </c>
      <c r="D1" s="26">
        <v>2017</v>
      </c>
      <c r="E1" s="26">
        <v>2018</v>
      </c>
      <c r="F1" s="26">
        <v>2019</v>
      </c>
      <c r="G1" s="26">
        <v>2020</v>
      </c>
      <c r="H1" s="26">
        <v>2021</v>
      </c>
      <c r="I1" s="26">
        <v>2022</v>
      </c>
      <c r="J1" s="25" t="s">
        <v>95</v>
      </c>
      <c r="K1" s="35" t="s">
        <v>147</v>
      </c>
      <c r="L1" s="15" t="s">
        <v>96</v>
      </c>
      <c r="M1" s="15" t="s">
        <v>97</v>
      </c>
      <c r="N1" s="15" t="s">
        <v>98</v>
      </c>
      <c r="O1" s="15" t="s">
        <v>99</v>
      </c>
      <c r="P1" s="16" t="s">
        <v>100</v>
      </c>
      <c r="Q1" s="16" t="s">
        <v>101</v>
      </c>
      <c r="R1" s="16" t="s">
        <v>102</v>
      </c>
      <c r="S1" s="16" t="s">
        <v>103</v>
      </c>
    </row>
    <row r="2" spans="1:19" ht="14.4" x14ac:dyDescent="0.3">
      <c r="A2" s="33" t="s">
        <v>130</v>
      </c>
      <c r="B2" s="33" t="s">
        <v>131</v>
      </c>
      <c r="C2" s="33" t="s">
        <v>104</v>
      </c>
      <c r="D2" s="33"/>
      <c r="E2" s="33"/>
      <c r="F2" s="33">
        <v>1</v>
      </c>
      <c r="G2" s="33">
        <v>1</v>
      </c>
      <c r="H2" s="33"/>
      <c r="I2" s="33"/>
      <c r="J2" s="33">
        <v>2</v>
      </c>
      <c r="K2" s="33" t="s">
        <v>41</v>
      </c>
      <c r="L2" s="34">
        <v>0</v>
      </c>
      <c r="M2" s="34">
        <v>0</v>
      </c>
      <c r="N2" s="34" t="s">
        <v>29</v>
      </c>
      <c r="O2" s="34" t="s">
        <v>29</v>
      </c>
      <c r="P2" s="34">
        <v>100</v>
      </c>
      <c r="Q2" s="34">
        <v>0</v>
      </c>
      <c r="R2" s="34">
        <v>0</v>
      </c>
      <c r="S2" s="34">
        <v>2</v>
      </c>
    </row>
    <row r="3" spans="1:19" ht="14.4" x14ac:dyDescent="0.3">
      <c r="A3" s="22" t="s">
        <v>118</v>
      </c>
      <c r="B3" s="22" t="s">
        <v>119</v>
      </c>
      <c r="C3" s="23">
        <v>6</v>
      </c>
      <c r="D3" s="22"/>
      <c r="E3" s="22"/>
      <c r="F3" s="22">
        <v>1</v>
      </c>
      <c r="G3" s="22"/>
      <c r="H3" s="22"/>
      <c r="I3" s="22">
        <v>1</v>
      </c>
      <c r="J3" s="33">
        <v>2</v>
      </c>
      <c r="K3" s="33" t="s">
        <v>41</v>
      </c>
      <c r="L3" s="34" t="s">
        <v>28</v>
      </c>
      <c r="M3" s="34" t="s">
        <v>51</v>
      </c>
      <c r="N3" s="34" t="s">
        <v>29</v>
      </c>
      <c r="O3" s="34" t="s">
        <v>29</v>
      </c>
      <c r="P3" s="34">
        <v>0</v>
      </c>
      <c r="Q3" s="34">
        <v>2</v>
      </c>
      <c r="R3" s="34">
        <v>0</v>
      </c>
      <c r="S3" s="34">
        <v>0</v>
      </c>
    </row>
    <row r="4" spans="1:19" ht="14.4" x14ac:dyDescent="0.3">
      <c r="A4" s="33" t="s">
        <v>114</v>
      </c>
      <c r="B4" s="33" t="s">
        <v>115</v>
      </c>
      <c r="C4" s="40">
        <v>6</v>
      </c>
      <c r="D4" s="33"/>
      <c r="E4" s="33"/>
      <c r="F4" s="33">
        <v>2</v>
      </c>
      <c r="G4" s="33"/>
      <c r="H4" s="33"/>
      <c r="I4" s="33"/>
      <c r="J4" s="33">
        <v>2</v>
      </c>
      <c r="K4" s="33" t="s">
        <v>41</v>
      </c>
      <c r="L4" s="34" t="s">
        <v>28</v>
      </c>
      <c r="M4" s="34" t="s">
        <v>51</v>
      </c>
      <c r="N4" s="34" t="s">
        <v>29</v>
      </c>
      <c r="O4" s="34" t="s">
        <v>29</v>
      </c>
      <c r="P4" s="34">
        <v>0</v>
      </c>
      <c r="Q4" s="34">
        <v>2</v>
      </c>
      <c r="R4" s="34">
        <v>0</v>
      </c>
      <c r="S4" s="34">
        <v>0</v>
      </c>
    </row>
    <row r="5" spans="1:19" ht="14.4" x14ac:dyDescent="0.3">
      <c r="A5" s="33" t="s">
        <v>132</v>
      </c>
      <c r="B5" s="33" t="s">
        <v>133</v>
      </c>
      <c r="C5" s="33" t="s">
        <v>104</v>
      </c>
      <c r="D5" s="33"/>
      <c r="E5" s="33"/>
      <c r="F5" s="33">
        <v>2</v>
      </c>
      <c r="G5" s="33"/>
      <c r="H5" s="33"/>
      <c r="I5" s="33"/>
      <c r="J5" s="33">
        <v>2</v>
      </c>
      <c r="K5" s="33" t="s">
        <v>41</v>
      </c>
      <c r="L5" s="34">
        <v>0</v>
      </c>
      <c r="M5" s="34">
        <v>0</v>
      </c>
      <c r="N5" s="34" t="s">
        <v>29</v>
      </c>
      <c r="O5" s="34" t="s">
        <v>29</v>
      </c>
      <c r="P5" s="34">
        <v>100</v>
      </c>
      <c r="Q5" s="34">
        <v>0</v>
      </c>
      <c r="R5" s="34">
        <v>0</v>
      </c>
      <c r="S5" s="34">
        <v>2</v>
      </c>
    </row>
    <row r="6" spans="1:19" ht="14.4" x14ac:dyDescent="0.3">
      <c r="A6" s="33" t="s">
        <v>134</v>
      </c>
      <c r="B6" s="33" t="s">
        <v>135</v>
      </c>
      <c r="C6" s="33" t="s">
        <v>104</v>
      </c>
      <c r="D6" s="33"/>
      <c r="E6" s="33"/>
      <c r="F6" s="33"/>
      <c r="G6" s="33"/>
      <c r="H6" s="33">
        <v>1</v>
      </c>
      <c r="I6" s="33"/>
      <c r="J6" s="33">
        <v>1</v>
      </c>
      <c r="K6" s="33" t="s">
        <v>41</v>
      </c>
      <c r="L6" s="34" t="s">
        <v>28</v>
      </c>
      <c r="M6" s="34" t="s">
        <v>51</v>
      </c>
      <c r="N6" s="34" t="s">
        <v>29</v>
      </c>
      <c r="O6" s="34" t="s">
        <v>29</v>
      </c>
      <c r="P6" s="34">
        <v>0</v>
      </c>
      <c r="Q6" s="34">
        <v>1</v>
      </c>
      <c r="R6" s="34">
        <v>0</v>
      </c>
      <c r="S6" s="34">
        <v>0</v>
      </c>
    </row>
    <row r="7" spans="1:19" ht="14.4" x14ac:dyDescent="0.3">
      <c r="A7" s="33" t="s">
        <v>124</v>
      </c>
      <c r="B7" s="33" t="s">
        <v>125</v>
      </c>
      <c r="C7" s="33" t="s">
        <v>104</v>
      </c>
      <c r="D7" s="33"/>
      <c r="E7" s="33"/>
      <c r="F7" s="33"/>
      <c r="G7" s="33"/>
      <c r="H7" s="33"/>
      <c r="I7" s="33">
        <v>1</v>
      </c>
      <c r="J7" s="33">
        <v>1</v>
      </c>
      <c r="K7" s="33" t="s">
        <v>41</v>
      </c>
      <c r="L7" s="34" t="s">
        <v>28</v>
      </c>
      <c r="M7" s="34" t="s">
        <v>51</v>
      </c>
      <c r="N7" s="34" t="s">
        <v>29</v>
      </c>
      <c r="O7" s="34" t="s">
        <v>29</v>
      </c>
      <c r="P7" s="34">
        <v>0</v>
      </c>
      <c r="Q7" s="34">
        <v>1</v>
      </c>
      <c r="R7" s="34">
        <v>0</v>
      </c>
      <c r="S7" s="34">
        <v>0</v>
      </c>
    </row>
    <row r="8" spans="1:19" ht="14.4" x14ac:dyDescent="0.3">
      <c r="A8" s="33" t="s">
        <v>116</v>
      </c>
      <c r="B8" s="33" t="s">
        <v>117</v>
      </c>
      <c r="C8" s="33" t="s">
        <v>104</v>
      </c>
      <c r="D8" s="33"/>
      <c r="E8" s="33">
        <v>1</v>
      </c>
      <c r="F8" s="33"/>
      <c r="G8" s="33"/>
      <c r="H8" s="33"/>
      <c r="I8" s="33"/>
      <c r="J8" s="33">
        <v>1</v>
      </c>
      <c r="K8" s="33" t="s">
        <v>41</v>
      </c>
      <c r="L8" s="34">
        <v>0</v>
      </c>
      <c r="M8" s="34">
        <v>0</v>
      </c>
      <c r="N8" s="34" t="s">
        <v>29</v>
      </c>
      <c r="O8" s="34" t="s">
        <v>29</v>
      </c>
      <c r="P8" s="34">
        <v>100</v>
      </c>
      <c r="Q8" s="34">
        <v>0</v>
      </c>
      <c r="R8" s="34">
        <v>0</v>
      </c>
      <c r="S8" s="34">
        <v>1</v>
      </c>
    </row>
    <row r="9" spans="1:19" ht="14.4" x14ac:dyDescent="0.3">
      <c r="A9" s="33" t="s">
        <v>126</v>
      </c>
      <c r="B9" s="33" t="s">
        <v>127</v>
      </c>
      <c r="C9" s="33" t="s">
        <v>104</v>
      </c>
      <c r="D9" s="33">
        <v>3</v>
      </c>
      <c r="E9" s="33"/>
      <c r="F9" s="33"/>
      <c r="G9" s="33"/>
      <c r="H9" s="33"/>
      <c r="I9" s="33">
        <v>1</v>
      </c>
      <c r="J9" s="33">
        <v>4</v>
      </c>
      <c r="K9" s="33" t="s">
        <v>41</v>
      </c>
      <c r="L9" s="34">
        <v>0</v>
      </c>
      <c r="M9" s="34">
        <v>0</v>
      </c>
      <c r="N9" s="34" t="s">
        <v>29</v>
      </c>
      <c r="O9" s="34" t="s">
        <v>29</v>
      </c>
      <c r="P9" s="34">
        <v>100</v>
      </c>
      <c r="Q9" s="34">
        <v>0</v>
      </c>
      <c r="R9" s="34">
        <v>0</v>
      </c>
      <c r="S9" s="34">
        <v>4</v>
      </c>
    </row>
    <row r="10" spans="1:19" ht="14.4" x14ac:dyDescent="0.3">
      <c r="A10" s="22" t="s">
        <v>112</v>
      </c>
      <c r="B10" s="22" t="s">
        <v>113</v>
      </c>
      <c r="C10" s="23">
        <v>6</v>
      </c>
      <c r="D10" s="22"/>
      <c r="E10" s="22"/>
      <c r="F10" s="22">
        <v>1</v>
      </c>
      <c r="G10" s="22"/>
      <c r="H10" s="22">
        <v>1</v>
      </c>
      <c r="I10" s="22"/>
      <c r="J10" s="33">
        <v>2</v>
      </c>
      <c r="K10" s="33" t="s">
        <v>41</v>
      </c>
      <c r="L10" s="34">
        <v>0</v>
      </c>
      <c r="M10" s="34">
        <v>0</v>
      </c>
      <c r="N10" s="34" t="s">
        <v>29</v>
      </c>
      <c r="O10" s="34" t="s">
        <v>29</v>
      </c>
      <c r="P10" s="34">
        <v>100</v>
      </c>
      <c r="Q10" s="34">
        <v>0</v>
      </c>
      <c r="R10" s="34">
        <v>0</v>
      </c>
      <c r="S10" s="34">
        <v>2</v>
      </c>
    </row>
    <row r="11" spans="1:19" ht="14.4" x14ac:dyDescent="0.3">
      <c r="A11" s="33" t="s">
        <v>110</v>
      </c>
      <c r="B11" s="33" t="s">
        <v>111</v>
      </c>
      <c r="C11" s="33" t="s">
        <v>104</v>
      </c>
      <c r="D11" s="33">
        <v>1</v>
      </c>
      <c r="E11" s="33"/>
      <c r="F11" s="33"/>
      <c r="G11" s="33"/>
      <c r="H11" s="33"/>
      <c r="I11" s="33"/>
      <c r="J11" s="33">
        <v>1</v>
      </c>
      <c r="K11" s="33" t="s">
        <v>41</v>
      </c>
      <c r="L11" s="34" t="s">
        <v>28</v>
      </c>
      <c r="M11" s="34" t="s">
        <v>51</v>
      </c>
      <c r="N11" s="34" t="s">
        <v>29</v>
      </c>
      <c r="O11" s="34" t="s">
        <v>29</v>
      </c>
      <c r="P11" s="34">
        <v>0</v>
      </c>
      <c r="Q11" s="34">
        <v>1</v>
      </c>
      <c r="R11" s="34">
        <v>0</v>
      </c>
      <c r="S11" s="34">
        <v>0</v>
      </c>
    </row>
    <row r="12" spans="1:19" ht="14.4" x14ac:dyDescent="0.3">
      <c r="A12" s="33" t="s">
        <v>106</v>
      </c>
      <c r="B12" s="33" t="s">
        <v>107</v>
      </c>
      <c r="C12" s="33" t="s">
        <v>104</v>
      </c>
      <c r="D12" s="33"/>
      <c r="E12" s="33">
        <v>1</v>
      </c>
      <c r="F12" s="33"/>
      <c r="G12" s="33">
        <v>1</v>
      </c>
      <c r="H12" s="33"/>
      <c r="I12" s="33"/>
      <c r="J12" s="33">
        <v>2</v>
      </c>
      <c r="K12" s="33" t="s">
        <v>41</v>
      </c>
      <c r="L12" s="34">
        <v>0</v>
      </c>
      <c r="M12" s="34">
        <v>0</v>
      </c>
      <c r="N12" s="34" t="s">
        <v>29</v>
      </c>
      <c r="O12" s="34" t="s">
        <v>29</v>
      </c>
      <c r="P12" s="34">
        <v>100</v>
      </c>
      <c r="Q12" s="34">
        <v>0</v>
      </c>
      <c r="R12" s="34">
        <v>0</v>
      </c>
      <c r="S12" s="34">
        <v>2</v>
      </c>
    </row>
    <row r="13" spans="1:19" ht="14.4" x14ac:dyDescent="0.3">
      <c r="A13" s="33" t="s">
        <v>122</v>
      </c>
      <c r="B13" s="33" t="s">
        <v>123</v>
      </c>
      <c r="C13" s="33" t="s">
        <v>104</v>
      </c>
      <c r="D13" s="33"/>
      <c r="E13" s="33">
        <v>2</v>
      </c>
      <c r="F13" s="33"/>
      <c r="G13" s="33"/>
      <c r="H13" s="33"/>
      <c r="I13" s="33"/>
      <c r="J13" s="33">
        <v>2</v>
      </c>
      <c r="K13" s="33" t="s">
        <v>41</v>
      </c>
      <c r="L13" s="34">
        <v>0</v>
      </c>
      <c r="M13" s="34">
        <v>0</v>
      </c>
      <c r="N13" s="34" t="s">
        <v>29</v>
      </c>
      <c r="O13" s="34" t="s">
        <v>29</v>
      </c>
      <c r="P13" s="34">
        <v>100</v>
      </c>
      <c r="Q13" s="34">
        <v>0</v>
      </c>
      <c r="R13" s="34">
        <v>0</v>
      </c>
      <c r="S13" s="34">
        <v>2</v>
      </c>
    </row>
    <row r="14" spans="1:19" ht="14.4" x14ac:dyDescent="0.3">
      <c r="A14" s="33" t="s">
        <v>120</v>
      </c>
      <c r="B14" s="33" t="s">
        <v>121</v>
      </c>
      <c r="C14" s="33" t="s">
        <v>105</v>
      </c>
      <c r="D14" s="33">
        <v>1</v>
      </c>
      <c r="E14" s="33"/>
      <c r="F14" s="33">
        <v>1</v>
      </c>
      <c r="G14" s="33"/>
      <c r="H14" s="33"/>
      <c r="I14" s="33"/>
      <c r="J14" s="33">
        <v>2</v>
      </c>
      <c r="K14" s="33" t="s">
        <v>41</v>
      </c>
      <c r="L14" s="34">
        <v>0</v>
      </c>
      <c r="M14" s="34">
        <v>0</v>
      </c>
      <c r="N14" s="34" t="s">
        <v>29</v>
      </c>
      <c r="O14" s="34" t="s">
        <v>29</v>
      </c>
      <c r="P14" s="34">
        <v>100</v>
      </c>
      <c r="Q14" s="34">
        <v>0</v>
      </c>
      <c r="R14" s="34">
        <v>0</v>
      </c>
      <c r="S14" s="34">
        <v>2</v>
      </c>
    </row>
    <row r="15" spans="1:19" ht="14.4" x14ac:dyDescent="0.3">
      <c r="A15" s="33" t="s">
        <v>108</v>
      </c>
      <c r="B15" s="33" t="s">
        <v>109</v>
      </c>
      <c r="C15" s="33" t="s">
        <v>104</v>
      </c>
      <c r="D15" s="33"/>
      <c r="E15" s="33"/>
      <c r="F15" s="33"/>
      <c r="G15" s="33"/>
      <c r="H15" s="33">
        <v>1</v>
      </c>
      <c r="I15" s="33"/>
      <c r="J15" s="33">
        <v>1</v>
      </c>
      <c r="K15" s="33" t="s">
        <v>41</v>
      </c>
      <c r="L15" s="34">
        <v>0</v>
      </c>
      <c r="M15" s="34">
        <v>0</v>
      </c>
      <c r="N15" s="34" t="s">
        <v>29</v>
      </c>
      <c r="O15" s="34" t="s">
        <v>29</v>
      </c>
      <c r="P15" s="34">
        <v>100</v>
      </c>
      <c r="Q15" s="34">
        <v>0</v>
      </c>
      <c r="R15" s="34">
        <v>0</v>
      </c>
      <c r="S15" s="34">
        <v>1</v>
      </c>
    </row>
    <row r="16" spans="1:19" ht="14.4" x14ac:dyDescent="0.3">
      <c r="A16" s="33" t="s">
        <v>128</v>
      </c>
      <c r="B16" s="33" t="s">
        <v>129</v>
      </c>
      <c r="C16" s="33" t="s">
        <v>104</v>
      </c>
      <c r="D16" s="33"/>
      <c r="E16" s="33"/>
      <c r="F16" s="33">
        <v>1</v>
      </c>
      <c r="G16" s="33">
        <v>1</v>
      </c>
      <c r="H16" s="33"/>
      <c r="I16" s="33"/>
      <c r="J16" s="33">
        <v>2</v>
      </c>
      <c r="K16" s="33" t="s">
        <v>41</v>
      </c>
      <c r="L16" s="34" t="s">
        <v>28</v>
      </c>
      <c r="M16" s="34" t="s">
        <v>51</v>
      </c>
      <c r="N16" s="34" t="s">
        <v>29</v>
      </c>
      <c r="O16" s="34" t="s">
        <v>29</v>
      </c>
      <c r="P16" s="34">
        <v>0</v>
      </c>
      <c r="Q16" s="34">
        <v>2</v>
      </c>
      <c r="R16" s="34">
        <v>0</v>
      </c>
      <c r="S16" s="34">
        <v>0</v>
      </c>
    </row>
    <row r="17" spans="1:19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20"/>
      <c r="O17" s="19"/>
      <c r="P17" s="20"/>
      <c r="Q17" s="19"/>
      <c r="R17" s="19"/>
      <c r="S17" s="24">
        <f>SUM(S2:S16)</f>
        <v>18</v>
      </c>
    </row>
  </sheetData>
  <pageMargins left="0.39370078740157483" right="0.39370078740157483" top="0.39370078740157483" bottom="0.3937007874015748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zoomScaleNormal="100" workbookViewId="0">
      <selection activeCell="B48" sqref="B48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136</v>
      </c>
      <c r="B3" s="5">
        <v>16581.82</v>
      </c>
    </row>
    <row r="4" spans="1:2" x14ac:dyDescent="0.2">
      <c r="A4" s="4" t="s">
        <v>5</v>
      </c>
      <c r="B4" s="5"/>
    </row>
    <row r="5" spans="1:2" x14ac:dyDescent="0.2">
      <c r="A5" s="4" t="s">
        <v>137</v>
      </c>
      <c r="B5" s="5">
        <v>10599.61</v>
      </c>
    </row>
    <row r="6" spans="1:2" x14ac:dyDescent="0.2">
      <c r="A6" s="4" t="s">
        <v>6</v>
      </c>
      <c r="B6" s="5"/>
    </row>
    <row r="7" spans="1:2" x14ac:dyDescent="0.2">
      <c r="A7" s="4" t="s">
        <v>138</v>
      </c>
      <c r="B7" s="5">
        <v>12376</v>
      </c>
    </row>
    <row r="8" spans="1:2" x14ac:dyDescent="0.2">
      <c r="A8" s="4" t="s">
        <v>139</v>
      </c>
      <c r="B8" s="5"/>
    </row>
    <row r="9" spans="1:2" x14ac:dyDescent="0.2">
      <c r="A9" s="4" t="s">
        <v>140</v>
      </c>
      <c r="B9" s="5">
        <v>25000</v>
      </c>
    </row>
    <row r="10" spans="1:2" x14ac:dyDescent="0.2">
      <c r="A10" s="4" t="s">
        <v>141</v>
      </c>
      <c r="B10" s="5"/>
    </row>
    <row r="11" spans="1:2" x14ac:dyDescent="0.2">
      <c r="A11" s="4" t="s">
        <v>142</v>
      </c>
      <c r="B11" s="5">
        <v>1200</v>
      </c>
    </row>
    <row r="12" spans="1:2" x14ac:dyDescent="0.2">
      <c r="A12" s="4" t="s">
        <v>143</v>
      </c>
      <c r="B12" s="5"/>
    </row>
    <row r="13" spans="1:2" x14ac:dyDescent="0.2">
      <c r="A13" s="4" t="s">
        <v>144</v>
      </c>
      <c r="B13" s="5">
        <v>20000</v>
      </c>
    </row>
    <row r="14" spans="1:2" x14ac:dyDescent="0.2">
      <c r="A14" s="4" t="s">
        <v>145</v>
      </c>
      <c r="B14" s="5"/>
    </row>
    <row r="15" spans="1:2" x14ac:dyDescent="0.2">
      <c r="A15" s="4" t="s">
        <v>146</v>
      </c>
      <c r="B15" s="5">
        <v>103070.83</v>
      </c>
    </row>
    <row r="16" spans="1:2" x14ac:dyDescent="0.2">
      <c r="A16" s="6" t="s">
        <v>2</v>
      </c>
      <c r="B16" s="7">
        <f>SUM(B3:B15)</f>
        <v>188828.26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CF0B-1296-4BE8-9DA5-1578BCB5394E}">
  <dimension ref="A1:B12"/>
  <sheetViews>
    <sheetView zoomScaleNormal="100" workbookViewId="0">
      <selection activeCell="A12" sqref="A12:XFD15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176</v>
      </c>
      <c r="B3" s="5">
        <v>12592</v>
      </c>
    </row>
    <row r="4" spans="1:2" x14ac:dyDescent="0.2">
      <c r="A4" s="4" t="s">
        <v>4</v>
      </c>
      <c r="B4" s="5"/>
    </row>
    <row r="5" spans="1:2" x14ac:dyDescent="0.2">
      <c r="A5" s="4" t="s">
        <v>177</v>
      </c>
      <c r="B5" s="5">
        <v>17978.400000000001</v>
      </c>
    </row>
    <row r="6" spans="1:2" x14ac:dyDescent="0.2">
      <c r="A6" s="4" t="s">
        <v>6</v>
      </c>
      <c r="B6" s="5"/>
    </row>
    <row r="7" spans="1:2" x14ac:dyDescent="0.2">
      <c r="A7" s="4" t="s">
        <v>178</v>
      </c>
      <c r="B7" s="5">
        <v>10890.88</v>
      </c>
    </row>
    <row r="8" spans="1:2" x14ac:dyDescent="0.2">
      <c r="A8" s="4" t="s">
        <v>179</v>
      </c>
      <c r="B8" s="5"/>
    </row>
    <row r="9" spans="1:2" x14ac:dyDescent="0.2">
      <c r="A9" s="4" t="s">
        <v>180</v>
      </c>
      <c r="B9" s="5">
        <v>5808</v>
      </c>
    </row>
    <row r="10" spans="1:2" x14ac:dyDescent="0.2">
      <c r="A10" s="4" t="s">
        <v>143</v>
      </c>
      <c r="B10" s="5"/>
    </row>
    <row r="11" spans="1:2" x14ac:dyDescent="0.2">
      <c r="A11" s="4" t="s">
        <v>181</v>
      </c>
      <c r="B11" s="5">
        <v>19000</v>
      </c>
    </row>
    <row r="12" spans="1:2" x14ac:dyDescent="0.2">
      <c r="A12" s="6" t="s">
        <v>2</v>
      </c>
      <c r="B12" s="7">
        <f>SUM(B3:B11)</f>
        <v>66269.279999999999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D7F2-F252-4D65-B56A-C8A7BC0AA9AC}">
  <dimension ref="A1:B19"/>
  <sheetViews>
    <sheetView tabSelected="1" zoomScaleNormal="100" workbookViewId="0">
      <selection activeCell="A24" sqref="A24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139</v>
      </c>
      <c r="B2" s="5"/>
    </row>
    <row r="3" spans="1:2" x14ac:dyDescent="0.2">
      <c r="A3" s="4" t="s">
        <v>183</v>
      </c>
      <c r="B3" s="5">
        <v>11129.24</v>
      </c>
    </row>
    <row r="4" spans="1:2" x14ac:dyDescent="0.2">
      <c r="A4" s="4" t="s">
        <v>141</v>
      </c>
      <c r="B4" s="5"/>
    </row>
    <row r="5" spans="1:2" x14ac:dyDescent="0.2">
      <c r="A5" s="4" t="s">
        <v>184</v>
      </c>
      <c r="B5" s="5">
        <v>1056</v>
      </c>
    </row>
    <row r="6" spans="1:2" x14ac:dyDescent="0.2">
      <c r="A6" s="4" t="s">
        <v>185</v>
      </c>
      <c r="B6" s="5"/>
    </row>
    <row r="7" spans="1:2" x14ac:dyDescent="0.2">
      <c r="A7" s="4" t="s">
        <v>186</v>
      </c>
      <c r="B7" s="5">
        <v>9049.07</v>
      </c>
    </row>
    <row r="8" spans="1:2" x14ac:dyDescent="0.2">
      <c r="A8" s="4" t="s">
        <v>187</v>
      </c>
      <c r="B8" s="5">
        <v>3016.35</v>
      </c>
    </row>
    <row r="9" spans="1:2" x14ac:dyDescent="0.2">
      <c r="A9" s="4" t="s">
        <v>188</v>
      </c>
      <c r="B9" s="5"/>
    </row>
    <row r="10" spans="1:2" x14ac:dyDescent="0.2">
      <c r="A10" s="4" t="s">
        <v>189</v>
      </c>
      <c r="B10" s="5">
        <v>15050</v>
      </c>
    </row>
    <row r="11" spans="1:2" x14ac:dyDescent="0.2">
      <c r="A11" s="4" t="s">
        <v>190</v>
      </c>
      <c r="B11" s="5"/>
    </row>
    <row r="12" spans="1:2" x14ac:dyDescent="0.2">
      <c r="A12" s="4" t="s">
        <v>191</v>
      </c>
      <c r="B12" s="7">
        <v>1426.6</v>
      </c>
    </row>
    <row r="13" spans="1:2" x14ac:dyDescent="0.2">
      <c r="A13" s="4" t="s">
        <v>192</v>
      </c>
      <c r="B13" s="4"/>
    </row>
    <row r="14" spans="1:2" x14ac:dyDescent="0.2">
      <c r="A14" s="4" t="s">
        <v>193</v>
      </c>
      <c r="B14" s="4">
        <v>24669.919999999998</v>
      </c>
    </row>
    <row r="15" spans="1:2" x14ac:dyDescent="0.2">
      <c r="A15" s="4" t="s">
        <v>145</v>
      </c>
      <c r="B15" s="4"/>
    </row>
    <row r="16" spans="1:2" x14ac:dyDescent="0.2">
      <c r="A16" s="4" t="s">
        <v>194</v>
      </c>
      <c r="B16" s="4">
        <v>53999.83</v>
      </c>
    </row>
    <row r="17" spans="1:2" x14ac:dyDescent="0.2">
      <c r="A17" s="6" t="s">
        <v>2</v>
      </c>
      <c r="B17" s="7">
        <f>SUM(B2:B16)</f>
        <v>119397.01</v>
      </c>
    </row>
    <row r="19" spans="1:2" x14ac:dyDescent="0.2">
      <c r="A19" s="41" t="s">
        <v>201</v>
      </c>
      <c r="B19" s="7">
        <f>+B17+'Ingresos investigación 2020'!B12+'Ingresos investigación 2019'!B16</f>
        <v>374494.55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2019</vt:lpstr>
      <vt:lpstr>Ingresos investigación 2020</vt:lpstr>
      <vt:lpstr>Ingresos investigación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2022-10-18T09:46:16Z</dcterms:modified>
</cp:coreProperties>
</file>