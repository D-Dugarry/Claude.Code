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80C216DD-6808-4505-A7A5-D065530460C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6" r:id="rId3"/>
    <sheet name="Ingresos investigación 2020" sheetId="7" r:id="rId4"/>
    <sheet name="Ingresos investigación 2021" sheetId="8" r:id="rId5"/>
    <sheet name="Ingresos formación 2021" sheetId="9" r:id="rId6"/>
  </sheets>
  <definedNames>
    <definedName name="_xlnm._FilterDatabase" localSheetId="1" hidden="1">Sexenios!$A$1:$S$24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9" l="1"/>
  <c r="S26" i="3"/>
  <c r="S85" i="2" l="1"/>
  <c r="B12" i="7" l="1"/>
  <c r="B9" i="6" l="1"/>
  <c r="D12" i="8" s="1"/>
</calcChain>
</file>

<file path=xl/sharedStrings.xml><?xml version="1.0" encoding="utf-8"?>
<sst xmlns="http://schemas.openxmlformats.org/spreadsheetml/2006/main" count="1483" uniqueCount="329">
  <si>
    <t>Orgánica
Descripción justificante</t>
  </si>
  <si>
    <t>Importe</t>
  </si>
  <si>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</si>
  <si>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</si>
  <si>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</si>
  <si>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</si>
  <si>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</si>
  <si>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</si>
  <si>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</si>
  <si>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</si>
  <si>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</si>
  <si>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</si>
  <si>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</si>
  <si>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</si>
  <si>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</si>
  <si>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</si>
  <si>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</si>
  <si>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</si>
  <si>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</si>
  <si>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</si>
  <si>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</si>
  <si>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</si>
  <si>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</si>
  <si>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</si>
  <si>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</si>
  <si>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</si>
  <si>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</si>
  <si>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15/09/2017 </t>
  </si>
  <si>
    <t>10</t>
  </si>
  <si>
    <t>- </t>
  </si>
  <si>
    <t>18/07/2017 </t>
  </si>
  <si>
    <t>B112 </t>
  </si>
  <si>
    <t>DIDACTICA GENERAL Y DIDÁCTICAS ESPECÍFICAS </t>
  </si>
  <si>
    <t>DOCTORADO EN INVESTIGACIÓN EDUCATIVA </t>
  </si>
  <si>
    <t>10.25</t>
  </si>
  <si>
    <t>DOCTORADO EN INVESTIGACIÓN EDUCATIVA: ENSEÑANZA Y APRENDIZAJE </t>
  </si>
  <si>
    <t>B177 </t>
  </si>
  <si>
    <t>PSICOLOGÍA EVOLUTIVA Y DIDÁCTICA </t>
  </si>
  <si>
    <t>Martínez Canales, Celeste </t>
  </si>
  <si>
    <t>NIVELES DE ACTIVIDAD FÍSICA Y FACTORES QUE INFLUYEN EN EL SEDENTARISMO O EN LA PRÁCTICA DE ACTIVIDAD FÍSICA EN PERSONAS CON DETERIORO COGNITIVO LEVE Y ALZHEIMER LEVE </t>
  </si>
  <si>
    <t>12/09/2018 </t>
  </si>
  <si>
    <t>20/09/2019 </t>
  </si>
  <si>
    <t>18/10/2018 </t>
  </si>
  <si>
    <t>ZZ </t>
  </si>
  <si>
    <t>SIN ASIGNAR </t>
  </si>
  <si>
    <t>10.23</t>
  </si>
  <si>
    <t>11/09/2017 </t>
  </si>
  <si>
    <t>26/09/2019 </t>
  </si>
  <si>
    <t>14/12/2018 </t>
  </si>
  <si>
    <t>24/09/2018 </t>
  </si>
  <si>
    <t>20/12/2016 </t>
  </si>
  <si>
    <t>06/03/2017 </t>
  </si>
  <si>
    <t>19/12/2018 </t>
  </si>
  <si>
    <t>14/03/2019 </t>
  </si>
  <si>
    <t>28/06/2017 </t>
  </si>
  <si>
    <t>03/11/2016 </t>
  </si>
  <si>
    <t>22929043K </t>
  </si>
  <si>
    <t>B177</t>
  </si>
  <si>
    <t>22917333H </t>
  </si>
  <si>
    <t>74487575M </t>
  </si>
  <si>
    <t>48363646M </t>
  </si>
  <si>
    <t>44755791E </t>
  </si>
  <si>
    <t>Alarcón Quiñónez, Antonia Lorena </t>
  </si>
  <si>
    <t>ANALISIS COMPARATIVO EN LA EDUCACIÓN SUPERIOR ENTRE ECUADOR Y ESPAÑA </t>
  </si>
  <si>
    <t>Andrade Torres, Marco Xavier </t>
  </si>
  <si>
    <t>LA INTELIGENCIA EMOCIONAL, LA RESOLUCIÓN DE CONFLICTOS EN EL AULA Y SU RELACIÓN CON EL DESEMPEÑO DEL PROFESORADO DE LA UNIVERSIDAD CENTRAL DEL ECUADOR </t>
  </si>
  <si>
    <t>Caizapanta Puruncajas, Cristoval Geovanny </t>
  </si>
  <si>
    <t>ANÁLISIS DE LA INTELIGENCIA EMOCIONAL Y LA COMPETENCIA SOCIAL Y SU RELACIÓN CON LOS PROBLEMAS DE CONDUCTA Y EL RENDIMIENTO ACADÉMICO EN LOS ESTUDIANTES DEL BACHILLERTAO DEL SECTOR NORTE DEL CANTÓN QUITO </t>
  </si>
  <si>
    <t>Canet Ramia, Emilio </t>
  </si>
  <si>
    <t>ANÁLISIS Y EXPERIENCIA CLÍNICA DEL ESTADO DE ANSIEDAD DENTAL EN LOS PACIENTES ODONTOLÓGICOS CON DISCAPACIDAD INTELECTUAL EN COMPARACIÓN A LOS PACIENTES ODONTOLÓGICOS DE LA POBLACIÓN GENERAL </t>
  </si>
  <si>
    <t>Cargua García, Nancy Isabel </t>
  </si>
  <si>
    <t>VALIDACIÓN DEL INVENTARIO DE ANSIEDAD ESCOLAR PARA EDUCACIÓN SECUNDARIA (IAES) A LA POBLACIÓN ECUATORIANA DE 12 A 18 AÑOS Y ESTUDIO DE LA RELACIÓN ENTRE DICHO CONSTRUCTO Y EL RECHAZO ESCOLAR </t>
  </si>
  <si>
    <t>Escortell Sánchez, Raquel </t>
  </si>
  <si>
    <t>CYBERBULLYNG Y AJUSTE PSICOSOCIAL Y ESCOLAR EN ESTUDIANTES DE 5º Y 6º DE EDUCACIÓN PRIMARIA </t>
  </si>
  <si>
    <t>18/01/2017 </t>
  </si>
  <si>
    <t>Fernández Carrasco, Francisco </t>
  </si>
  <si>
    <t>TDAH: REGISTRO DE MOVIMIENTO OBJETIVO CON EL SENSOR KINECT Y VARIABLES PSICOEDUCATIVAS </t>
  </si>
  <si>
    <t>27/07/2017 </t>
  </si>
  <si>
    <t>Giner Mira, Ismael </t>
  </si>
  <si>
    <t>RELACIÓN ENTRE LA PRÁCTICA DE ACTIVIDAD FÍSICA EXTRAESCOLAR, EL AUTOCONCEPTO FÍSICO, LAS ORIENTACIONES DE META Y EL RENDIMIENTO EN LAS ASIGNATURAS ESCOLARES </t>
  </si>
  <si>
    <t>Granados Alós, Lucía </t>
  </si>
  <si>
    <t>ANÁLISIS DEL ESTRÉS Y BURNOUT EN UNA MUESTRA DE DOCENTES NO UNIVERSITARIOS Y SU RELACIÓN CON LA AUTOEFICACIA GENERAL </t>
  </si>
  <si>
    <t>19/01/2017 </t>
  </si>
  <si>
    <t>Jiménez Ayala, Carlos Edisson </t>
  </si>
  <si>
    <t>ANSIEDAD ESCOLAR Y SU RELACIÓN CON LAS AUTOATRIBUCIONES ACADÉMICAS, EL AUTOCONCEPTO, PERFECCIONISMO Y AGRESIVIDAD EN UNA MUESTRA DE ESTUDIANTES ECUATORIANOS DE 12 A 18 AÑOS </t>
  </si>
  <si>
    <t>Landeta Bejarano, Luis Gonzalo </t>
  </si>
  <si>
    <t>LA MOTIVACIÓN Y EL RENDIMIENTO ACADÉMICO EN LAS MATERIAS DE MATEMÁTICAS Y ESTADÍSTICA </t>
  </si>
  <si>
    <t>12/09/2017 </t>
  </si>
  <si>
    <t>Martí Quiles, Lucía </t>
  </si>
  <si>
    <t>APLICACIÓN DE LA TEORÍA DE LAS INTELIGENCIAS MÚLTIPLES Y SUS EFECTOS SOBRE EL RENDIMIENTO Y LA MOTIVACIÓN EN ALUMNOS DE 4º Y 5º DE EDUCACIÓN PRIMARIA </t>
  </si>
  <si>
    <t>Morales Aguilar, Paulina Liliana </t>
  </si>
  <si>
    <t>COMPETENCIAS TRANSVERSALES EN LA INSERCIÓN Y DESEMPEÑO LABORAL DE LAS Y LOS GRADUADOS DE LA UNIVERSIDAD TECNOLÓGICA EQUINOCCIAL SEDE SANTO DOMINGO </t>
  </si>
  <si>
    <t>01/10/2016 </t>
  </si>
  <si>
    <t>Naranjo Pinto, Jorge Alberto </t>
  </si>
  <si>
    <t>LA INFLUENCIA DE LA CONDUCTA ADICTIVA A INTERNET EN EL DESARROLLO MORAL DE ADOLESCENTES ESCOLARIZADOS DE QUITO - ECUADOR </t>
  </si>
  <si>
    <t>Pozo Rico, Teresa </t>
  </si>
  <si>
    <t>LA INTELIGENCIA EMOCIONAL COMO CLAVE PARA EL DESARROLLO DE COMPETENCIAS EN LA EDUCACIÓN SUPERIOR: UN ENFOQUE TRANSCULTURAL </t>
  </si>
  <si>
    <t>Veas Iniesta, Alejandro </t>
  </si>
  <si>
    <t>ALUMNADO CON RENDIMIENTO ACADÉMICO MENOR AL ESPERADO (UNDERACHIEVEMENT): ANÁLISIS DE PROCESOS METODOLÓGICOS PARA SU DETECCIÓN </t>
  </si>
  <si>
    <t>Vicent Juan, María </t>
  </si>
  <si>
    <t>ESTUDIO DEL PERFECCIONISMO Y SU RELACIÓN CON VARIABLES PSICOEDUCATIVAS EN LA INFANCIA TARDÍA </t>
  </si>
  <si>
    <t>López Gallardo, Carolina </t>
  </si>
  <si>
    <t>COMPORTAMIENTO AGRESIVO Y VARIABLES PSICOEDUCATIVAS EN LA INFANCIA TARDÍA </t>
  </si>
  <si>
    <t>Sanmartín López, Ricardo </t>
  </si>
  <si>
    <t>AFECTO POSITIVO Y NEGATIVO Y SU RELACIÓN CON VARIABLES PSICOEDUCATIVAS </t>
  </si>
  <si>
    <t>18/09/2018 </t>
  </si>
  <si>
    <t>Albert Pla, David </t>
  </si>
  <si>
    <t>CARACTERÍSTICAS DIFERENCIALES DE ALUMNOS CON RENDIMIENTO MAYOR, IGUAL O MENOR AL ESPERADO EN EDUCACIÓN SECUNDARIA OBLIGATORIA </t>
  </si>
  <si>
    <t>Barreno Freire, Segundo Napoleón </t>
  </si>
  <si>
    <t>LA MOTIVACIÓN Y EL RENDIMIENTO ACADÉMICO DE LOS ESTUDIANTES DE LA FACULTAD DE FILOSOFÍA, LETRAS Y CIENCIAS DE LA EDUCACIÓN DE LA UNIVERSIDAD CENTRAL DEL ECUADOR (QUITO) </t>
  </si>
  <si>
    <t>Calderón Guevara, Carlos Manuel </t>
  </si>
  <si>
    <t>PREVALENCIA DEL RECHAZO ESCOLAR EN EDUCACIÓN SECUNDARIA Y SU RELACIÓN CON VARIABLES PSICOEDUCATIVAS </t>
  </si>
  <si>
    <t>24/01/2019 </t>
  </si>
  <si>
    <t>Fernández Herrero, Jorge </t>
  </si>
  <si>
    <t>INTERVENCIÓN CON REALIDAD VIRTUAL INMERSIVA Y ARTETERAPIA EN PERSONAS CON TRASTORNO DEL ESPECTRO AUTISTA (TEA) PARA EL DESARROLLO DE HABILIDADES COMUNICATIVAS Y RESOLUCIÓN DE PROBLEMAS </t>
  </si>
  <si>
    <t>18/12/2018 </t>
  </si>
  <si>
    <t>74227758L </t>
  </si>
  <si>
    <t>Gisbert Ferràndiz, Belén </t>
  </si>
  <si>
    <t>VALIDACIÓN DEL CUESTIONARIO YOUTH LIFE ORIENTATION TEST Y SU RELACIÓN CON VARIABLES PSICOEDUCATIVAS Y DE PERSONALIDAD </t>
  </si>
  <si>
    <t>Haro Jácome, Oswaldo Fabián </t>
  </si>
  <si>
    <t>RELACIÓN DEL EXAMEN NACIONAL PARA LA EDUCACIÓN SUPERIOR -ENES- Y LA VOCACIÓN DOCENTE CON EL RENDIMIENTO ACADÉMICO DEL ALUMNADO DE LA FACULTAD DE FILOSOÍA, LETRAS Y CIENCIAS DE LA EDUCACIÓN DE LA UNIVERSIDAD CENTRAL DEL ECUADOR. </t>
  </si>
  <si>
    <t>Martínez Blasco, Sergio </t>
  </si>
  <si>
    <t>LA PIZARRA DIGITAL EN EL AULA DE MÚSICA DE EDUCACIÓN PRIMARIA. EVALUACIÓN DE SU EFICACIA COMO RECURSO EDUCATIVO </t>
  </si>
  <si>
    <t>09/04/2019 </t>
  </si>
  <si>
    <t>Mira Galvañ, María José </t>
  </si>
  <si>
    <t>DISSENY, IMPLEMENTACIÓ I AVALUACIÓ D'UN PROGRAMA D'EDUCACIÓ EMOCIONAL I MILLORA DEL CLIMA D'AULA, FONAMENTAT EN L'APRENENTATGE COOPERATIU </t>
  </si>
  <si>
    <t>14/11/2018 </t>
  </si>
  <si>
    <t>ORTEGA SANDOVAL, VIRGINIA NARCISA </t>
  </si>
  <si>
    <t>RECHAZO ESCOLAR DEL ALUMNADO DE BACHILLERATO EN LA CIUDAD DE QUITO </t>
  </si>
  <si>
    <t>Pérez García, María Araceli </t>
  </si>
  <si>
    <t>ANSIEDAD ESCOLAR Y SU RELACIÓN CON VARIABLES PSICOEDUCATIVAS Y DE PERSONALIDAD </t>
  </si>
  <si>
    <t>25/01/2019 </t>
  </si>
  <si>
    <t>Reinoso Pacheco, Ramiro Alberto </t>
  </si>
  <si>
    <t>DIFICULTADES INTERPERSONALES EN LA ADOLESCENCIA EN ALUMNADO ECUATORIANO </t>
  </si>
  <si>
    <t>Salinas Martínez, Rosario Isabel </t>
  </si>
  <si>
    <t>VARIABLES COGNITIVO MOTIVACIONALES, INTELIGENCIA EMOCIONAL Y RENDIMIENTO ACADÉMICO </t>
  </si>
  <si>
    <t>Sánchez Sánchez, Bárbara </t>
  </si>
  <si>
    <t>DESARROLLO DE COMPETENCIAS EMOCIONALES. EVIDENCIAS EMPÍRICAS DE EFECTIVIDAD EN DIFERENTES PROPUESTAS METODOLÓGICAS </t>
  </si>
  <si>
    <t>07/05/2019 </t>
  </si>
  <si>
    <t>Valdés Muñoz, María de las Virtudes </t>
  </si>
  <si>
    <t>USO Y ABUSO DE INTERNET EN ADOLESCENTES Y SU RELACIÓN CON LA INTELIGENCIA EMOCIONAL </t>
  </si>
  <si>
    <t>Vignera Meier, Miranda </t>
  </si>
  <si>
    <t>EL SEXO Y LA IDENTIDAD DE GÉNERO Y SU RELACIÓN CON VARIABLES PSICOEDUCATIVAS EN ESTUDIANTES UNIVERSITARIOS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</si>
  <si>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</si>
  <si>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</si>
  <si>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</si>
  <si>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</si>
  <si>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</si>
  <si>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</si>
  <si>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</si>
  <si>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</si>
  <si>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</si>
  <si>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</si>
  <si>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</si>
  <si>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</si>
  <si>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</si>
  <si>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</si>
  <si>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74169900Y</t>
  </si>
  <si>
    <t>ALVAREZ TERUEL, JOSE DANIEL</t>
  </si>
  <si>
    <t>22929043K</t>
  </si>
  <si>
    <t>CASTEJON COSTA, JUAN LUIS</t>
  </si>
  <si>
    <t>48363646M</t>
  </si>
  <si>
    <t>DELGADO DOMENECH, BEATRIZ</t>
  </si>
  <si>
    <t>74487575M</t>
  </si>
  <si>
    <t>GARCIA FERNANDEZ, JOSE MANUEL</t>
  </si>
  <si>
    <t>44755791E</t>
  </si>
  <si>
    <t>GILAR CORBI, RAQUEL</t>
  </si>
  <si>
    <t>21392285P</t>
  </si>
  <si>
    <t>GRAU COMPANY, SALVADOR</t>
  </si>
  <si>
    <t>03452531R</t>
  </si>
  <si>
    <t>GUTIERREZ FRESNEDA, RAUL</t>
  </si>
  <si>
    <t>74164271N</t>
  </si>
  <si>
    <t>LLEDO CARRERES, ASUNCION</t>
  </si>
  <si>
    <t>74227758L</t>
  </si>
  <si>
    <t>LORENZO LLEDO, GONZALO</t>
  </si>
  <si>
    <t>48425241Y</t>
  </si>
  <si>
    <t>MARTINEZ GONZALEZ, AGUSTIN ERNESTO</t>
  </si>
  <si>
    <t>44772176P</t>
  </si>
  <si>
    <t>MARTINEZ MONTEAGUDO, MARIA DEL CARMEN</t>
  </si>
  <si>
    <t>48357170S</t>
  </si>
  <si>
    <t>MIÑANO PEREZ, PABLO</t>
  </si>
  <si>
    <t>21386593C</t>
  </si>
  <si>
    <t>PEREZ SANCHEZ, ANTONIO MIGUEL</t>
  </si>
  <si>
    <t>21453622G</t>
  </si>
  <si>
    <t>SUAREZ LLORCA, CONCEPCION</t>
  </si>
  <si>
    <t>36.70.6P.00.11</t>
  </si>
  <si>
    <t>PAGO 1 ANUALIDAD PROYECTOS RETOS I+D+I 2018. ANUAL 2019 PROYECTOS I+D RETOS (PIA 13) N EXPEDIENTE: PIA 132018 - 1- 1 ANUALIDAD REFERENCIA: R. REFERENCIA DEL ORDENANTE PARA EL BENEFICIARIO: 00173219310010863 - 2019/009681</t>
  </si>
  <si>
    <t>PARA EL PAGO DE LA ANUALIDAD 2019 DE LA CONVOCATORIA RTI 2018 PROYECTOS I+D RETOS (PIA 13) N EXPEDIENTE: PIA 132018-1  -1 ANUALIDAD REFERENC REFERENCIA DEL ORDENANTE PARA EL BENEFICIARIO: 27402219310026844</t>
  </si>
  <si>
    <t>36.70.6P.00.13</t>
  </si>
  <si>
    <t xml:space="preserve">SUBVENCIONES REALIZACION PROYECTOS I+D+IGRUPOS INVESTIGACION EMERGENTES GV/2019 </t>
  </si>
  <si>
    <t>36.70.6X.00.01</t>
  </si>
  <si>
    <t>PRIMER PAGO PROYECTO INSHIP, DIRIGIDO POR LA PROFESORA RAQUEL GILAR.</t>
  </si>
  <si>
    <t>Aparicio Flores, María del Pilar </t>
  </si>
  <si>
    <t>Perfeccionismo en universitarios y perfiles psicoeducativos </t>
  </si>
  <si>
    <t>08/09/2020 </t>
  </si>
  <si>
    <t>Arráez Vera, María Graciela </t>
  </si>
  <si>
    <t>Estudio exploratorio del cuestionario SHQ sobre habilidades auditivas espaciales en personas con prótesis auditivas y su relación con variables personales y audiológicas </t>
  </si>
  <si>
    <t>04/12/2019 </t>
  </si>
  <si>
    <t>Bataller Soler, David </t>
  </si>
  <si>
    <t>CONTRIBUCIÓN DEL CURRÍCULO DE EDUCACIÓN PLÁSTICA, VISUAL Y AUDIOVISUAL AL RENDIMIENTO ACADÉMICO EN MATEMÁTICAS </t>
  </si>
  <si>
    <t>U062 </t>
  </si>
  <si>
    <t>ADM. I.U. DE INVESTIGACIÓN INFORMÁTICA </t>
  </si>
  <si>
    <t>DOCTORADO EN INFORMÁTICA </t>
  </si>
  <si>
    <t>Espín León, Aldrin Marcel </t>
  </si>
  <si>
    <t>06/07/2020 </t>
  </si>
  <si>
    <t>45563110H </t>
  </si>
  <si>
    <t>Rubio Cordoba, Esther </t>
  </si>
  <si>
    <t>CIBERACOSO Y AJUSTE PSICOSOCIAL EN LA ADOLESCENCIA </t>
  </si>
  <si>
    <t>29/07/2020 </t>
  </si>
  <si>
    <t>44772176P </t>
  </si>
  <si>
    <t>Santamaría Villar, María Belén </t>
  </si>
  <si>
    <t>Promoción de la convivencia y prevención de la conducta violenta a partir del desarrollo de habilidades socioemocionales en educación primaria </t>
  </si>
  <si>
    <t>19/12/2019 </t>
  </si>
  <si>
    <t>Taramuel Villacreces, James Alduber </t>
  </si>
  <si>
    <t>Relación de la inteligencia emocional con la adquisición de las competencias docentes y con el bienestar personal en estudiantes de la Universidad Central del Ecuador </t>
  </si>
  <si>
    <t>03/12/2019 </t>
  </si>
  <si>
    <t>21678861G </t>
  </si>
  <si>
    <t>Vila Pérez, Sara </t>
  </si>
  <si>
    <t>LA INTELIGENCIA EMOCIONAL COMO FACTOR DE MEJORA DEL COMPORTAMIENTO DEL ALUMNADO DE E.S.O. RESULTADOS DE UN PROGRAMA DE INTERVENCIÓN </t>
  </si>
  <si>
    <t>74375507Q</t>
  </si>
  <si>
    <t>GONZALVEZ MACIA, CAROLINA</t>
  </si>
  <si>
    <t>02628316Z</t>
  </si>
  <si>
    <t>SCOTT BARRIO, STEVE RICHARD</t>
  </si>
  <si>
    <t>18011412C</t>
  </si>
  <si>
    <t>MAÑAS VIEJO, CARMEN ROSA</t>
  </si>
  <si>
    <t>50</t>
  </si>
  <si>
    <t>21496791W</t>
  </si>
  <si>
    <t>ANDREU CABRERA, ELISEO</t>
  </si>
  <si>
    <t>21678861G</t>
  </si>
  <si>
    <t>POZO RICO, TERESA</t>
  </si>
  <si>
    <t>22917333H</t>
  </si>
  <si>
    <t>NAVAS MARTINEZ, LEANDRO</t>
  </si>
  <si>
    <t>Caracterización y cuantificación de la identidad cultural; aplicación a la cultura indígena amazónica</t>
  </si>
  <si>
    <t>Molines Alcaraz, María </t>
  </si>
  <si>
    <t>ANÁLISIS DE LA VIOLENCIA DE GÉNERO EN LAS RELACIONES DE PAREJA EN JÓVENES UNIVERSITARIOS: IMPLICACIONES EDUCATIVAS </t>
  </si>
  <si>
    <t>23/11/2020 </t>
  </si>
  <si>
    <t>Rodríguez Triviño, José Ramón </t>
  </si>
  <si>
    <t>Factores psicoemocionales y sociales relacionados con el rendimiento académico y la adaptación durante la transición a la universidad. </t>
  </si>
  <si>
    <t>30/10/2020 </t>
  </si>
  <si>
    <t>Sánchez Almeida, Tarquino Fabián </t>
  </si>
  <si>
    <t>Validación de la escala de valoración de la docencia de la Escuela Politécnica Nacional del Ecuador. Un análisis de su relación con el rendimiento académico </t>
  </si>
  <si>
    <t>15/07/2021 </t>
  </si>
  <si>
    <t>48516626N </t>
  </si>
  <si>
    <t>Sandoval Palis, Iván </t>
  </si>
  <si>
    <t>Predicción del rendimiento académico y abandono en las carreras de la Escuela Politécnica Nacional, Ecuador </t>
  </si>
  <si>
    <t>Fernández Sogorb, Aitana </t>
  </si>
  <si>
    <t>Ansiedad y variables psicoeducativas en alumnado de segundo y tercer ciclo de Educación Primaria </t>
  </si>
  <si>
    <t>07/09/2021 </t>
  </si>
  <si>
    <t>Piñero Sirvent, María Elena </t>
  </si>
  <si>
    <t>Personalidad, autoconcepto y rendimiento escolar en estudiantes de educación secundaria obligatoria </t>
  </si>
  <si>
    <t>23/09/2021 </t>
  </si>
  <si>
    <t>Sene , Madieumbe </t>
  </si>
  <si>
    <t>Los factores motivacionales en el aprendizaje del castellano como lengua extranjera en Senegal </t>
  </si>
  <si>
    <t>08/07/2021 </t>
  </si>
  <si>
    <t>Padilla López, Yolanda Lizeth </t>
  </si>
  <si>
    <t>Actitudes hacia la educación inclusiva y competencias socioemocionales del profesorado en España y México </t>
  </si>
  <si>
    <t>30/03/2021 </t>
  </si>
  <si>
    <t>36.70.6C.00.01</t>
  </si>
  <si>
    <t>Asesoramiento y asistencia científico-técnica del profesor D. Juan Luis Castejón Costa de acuerdo con las especificaciones del Comité Echegaray.</t>
  </si>
  <si>
    <t>36.70.6M.00.02</t>
  </si>
  <si>
    <t>ACTIVIDADES DE INVESTIGACIÓN Y DIVULGACIÓN EDUCATIVA Y MATERIAL TECNOLOGICO PARA LA REALIZACIÓN DE ACTIVIDADES CON LOS ALUMNOS DEL CENTRO "COLEGIO EL VALLE DE ALICANTE"</t>
  </si>
  <si>
    <t>FLIB 30/06/2020. PROYECTOS RETOS INVESTIGACION 201 / 8. ANUAL 2020 PROYECTOS I+D RETOS (PIA13) N E / XPEDIENTE: PIA132018-1 - 2 ANUALIDAD REFERE / GOVT / 27402220310030632</t>
  </si>
  <si>
    <t>INSHIP PROJECT, CUARTO PAGO (INVESTIGADORA PRINCIPAL RAQUEL GILAR), SEGÚN INFORMAN DESDE LA OGPI</t>
  </si>
  <si>
    <t>SEGUNDO PAGO PROYECTO INSHIP (INVESTIGADORA PRINCIPAL RAQUEL GILAR)</t>
  </si>
  <si>
    <t>TERCER PAGO PROYECTO INSHIP. INVESTIGADORA PRINCIPAL RAQUEL GILAR</t>
  </si>
  <si>
    <t>Unidad</t>
  </si>
  <si>
    <t>Cód. org. aplic.</t>
  </si>
  <si>
    <t>Descripción justificante</t>
  </si>
  <si>
    <t>36.70</t>
  </si>
  <si>
    <t xml:space="preserve">RTI2018-098197-B-I00 </t>
  </si>
  <si>
    <t>36.70.6P.00.16</t>
  </si>
  <si>
    <t>AYUDAS GRUPOS EMERGENTES ANUALIDAD 2021</t>
  </si>
  <si>
    <t>36.70.6P.00.17</t>
  </si>
  <si>
    <t>PID2020-112611RB-I00</t>
  </si>
  <si>
    <t>36.70.6P.00.18</t>
  </si>
  <si>
    <t>PID2020-115248RA-I00</t>
  </si>
  <si>
    <t>36.70.6Q.00.01</t>
  </si>
  <si>
    <t>Mecenazgo de la Cátedra Institucional de la Marca Corporativa de la Universidad de Alicante. Aportación anual 2021</t>
  </si>
  <si>
    <t>Quinto pago proyecto INSHIP (investigadora ppal. Raquel Gilar)</t>
  </si>
  <si>
    <t>36.70.2G.00.01</t>
  </si>
  <si>
    <t xml:space="preserve">REINTEGRO PARCIAL DE LA INSCRIPCIÓN AL CONGRESO CIPE 2020. ADO:202000004010/JG:20200000003689 </t>
  </si>
  <si>
    <t>29/10/2021 </t>
  </si>
  <si>
    <t>Freire Andino, Roberto Ovidio </t>
  </si>
  <si>
    <t>Dificultades interpersonales y su realción con variables psicoeducativas en alumnado universitario de Ecuador </t>
  </si>
  <si>
    <t>25/02/2022 </t>
  </si>
  <si>
    <t>Barahona Ibarra, Adriana Eugenia </t>
  </si>
  <si>
    <t>Evaluación de la Competencia Curricular y el Rendimiento Académico en la asignatura de Química de estudiantes universitarios y de bachillerato </t>
  </si>
  <si>
    <t>23/11/2021 </t>
  </si>
  <si>
    <t>Olmedo Rodriguez, Carmen Marcela </t>
  </si>
  <si>
    <t>Evaluación de la eficiencia docente. Relaciones entre la nota ser bachiller, la evaluación de la docencia y el rendimiento académico de los estudiantes de la Universidad Central de Ecuador </t>
  </si>
  <si>
    <t>02/03/2022 </t>
  </si>
  <si>
    <t>Pozo Zapata, Raúl Fernando </t>
  </si>
  <si>
    <t>Evaluación de la Competencia Curricular y el Rendimiento Académico en la asignatura de Biología de los estudiantes de bachillerato y universitarios </t>
  </si>
  <si>
    <t>18/03/2022 </t>
  </si>
  <si>
    <t>Paz Alcívar, Katherine Rosa </t>
  </si>
  <si>
    <t>Inclusión educativa en las mallas curriculares de las carreras de educación de la Universidad Central de Ecuador </t>
  </si>
  <si>
    <t>06/05/2022 </t>
  </si>
  <si>
    <t>López López, María de Lourdes </t>
  </si>
  <si>
    <t>Competencias digitales y su relación con variables psicoeducativas </t>
  </si>
  <si>
    <t>20/01/2022 </t>
  </si>
  <si>
    <t>García Martínez, Salvador </t>
  </si>
  <si>
    <t>Modificación del estigma asociado a la enfermedad mental grave mediante la educación física </t>
  </si>
  <si>
    <t>05/04/2022 </t>
  </si>
  <si>
    <t>24344241Y </t>
  </si>
  <si>
    <t>Martín Galán, Miriam </t>
  </si>
  <si>
    <t>Rechazo escolar y su relación con variables psicoeducativas con niños y adolescentes </t>
  </si>
  <si>
    <t>19/05/2022 </t>
  </si>
  <si>
    <t>74375507Q </t>
  </si>
  <si>
    <t>Pérez Vázquez, Elena </t>
  </si>
  <si>
    <t>La aplicación del robot Bee-Bot para el desarrollo de habilidades de comunicación e interacción social del alumnado con Trastorno del Espectro Autista (TEA) </t>
  </si>
  <si>
    <t>74164271N </t>
  </si>
  <si>
    <t>Bas Megías, Belén </t>
  </si>
  <si>
    <t>Ciberacoso en el ámbito universitario. Relación con variables psicosociales. </t>
  </si>
  <si>
    <t>Saorín Villa, Antonio </t>
  </si>
  <si>
    <t>Razonamiento configural y procesos discursivos en la resolución de problemas geométricos </t>
  </si>
  <si>
    <t>21/01/2022 </t>
  </si>
  <si>
    <t>22099909Z </t>
  </si>
  <si>
    <t>COD DEP</t>
  </si>
  <si>
    <t>20051021N</t>
  </si>
  <si>
    <t>VICENT JUAN, MARIA</t>
  </si>
  <si>
    <t>48312481S</t>
  </si>
  <si>
    <t>APARISI SIERRA, DAVID</t>
  </si>
  <si>
    <t>48336986W</t>
  </si>
  <si>
    <t>SANMARTIN LOPEZ, RICARDO</t>
  </si>
  <si>
    <t>48352480V</t>
  </si>
  <si>
    <t>NAVARRO SORIA, IGNACIO JAVIER</t>
  </si>
  <si>
    <t>vivos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</si>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</sst>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2" fillId="7" borderId="7" xfId="0" applyNumberFormat="1" applyFont="1" applyFill="1" applyBorder="1"/>
    <xf numFmtId="0" fontId="12" fillId="7" borderId="8" xfId="0" applyNumberFormat="1" applyFont="1" applyFill="1" applyBorder="1"/>
    <xf numFmtId="0" fontId="12" fillId="7" borderId="9" xfId="0" applyFont="1" applyFill="1" applyBorder="1" applyAlignment="1">
      <alignment horizontal="right"/>
    </xf>
    <xf numFmtId="0" fontId="0" fillId="8" borderId="10" xfId="0" applyNumberFormat="1" applyFont="1" applyFill="1" applyBorder="1"/>
    <xf numFmtId="0" fontId="0" fillId="8" borderId="11" xfId="0" applyFont="1" applyFill="1" applyBorder="1"/>
    <xf numFmtId="4" fontId="0" fillId="8" borderId="12" xfId="0" applyNumberFormat="1" applyFont="1" applyFill="1" applyBorder="1"/>
    <xf numFmtId="0" fontId="0" fillId="9" borderId="10" xfId="0" applyNumberFormat="1" applyFont="1" applyFill="1" applyBorder="1"/>
    <xf numFmtId="0" fontId="0" fillId="9" borderId="11" xfId="0" applyFont="1" applyFill="1" applyBorder="1"/>
    <xf numFmtId="4" fontId="0" fillId="9" borderId="12" xfId="0" applyNumberFormat="1" applyFont="1" applyFill="1" applyBorder="1"/>
    <xf numFmtId="0" fontId="12" fillId="7" borderId="13" xfId="0" applyFont="1" applyFill="1" applyBorder="1"/>
    <xf numFmtId="0" fontId="12" fillId="7" borderId="14" xfId="0" applyFont="1" applyFill="1" applyBorder="1"/>
    <xf numFmtId="4" fontId="12" fillId="7" borderId="15" xfId="0" applyNumberFormat="1" applyFont="1" applyFill="1" applyBorder="1"/>
    <xf numFmtId="0" fontId="12" fillId="7" borderId="16" xfId="0" applyNumberFormat="1" applyFont="1" applyFill="1" applyBorder="1"/>
    <xf numFmtId="0" fontId="12" fillId="7" borderId="17" xfId="0" applyNumberFormat="1" applyFont="1" applyFill="1" applyBorder="1"/>
    <xf numFmtId="0" fontId="12" fillId="7" borderId="18" xfId="0" applyNumberFormat="1" applyFont="1" applyFill="1" applyBorder="1"/>
    <xf numFmtId="0" fontId="0" fillId="9" borderId="16" xfId="0" applyNumberFormat="1" applyFont="1" applyFill="1" applyBorder="1"/>
    <xf numFmtId="0" fontId="0" fillId="9" borderId="17" xfId="0" applyFont="1" applyFill="1" applyBorder="1"/>
    <xf numFmtId="4" fontId="0" fillId="9" borderId="18" xfId="0" applyNumberFormat="1" applyFont="1" applyFill="1" applyBorder="1"/>
    <xf numFmtId="0" fontId="13" fillId="0" borderId="19" xfId="0" applyFont="1" applyBorder="1"/>
    <xf numFmtId="0" fontId="13" fillId="0" borderId="20" xfId="0" applyFont="1" applyBorder="1"/>
    <xf numFmtId="4" fontId="13" fillId="0" borderId="21" xfId="0" applyNumberFormat="1" applyFont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4" borderId="22" xfId="1" applyFill="1" applyBorder="1"/>
    <xf numFmtId="164" fontId="3" fillId="4" borderId="22" xfId="1" applyNumberFormat="1" applyFill="1" applyBorder="1"/>
    <xf numFmtId="0" fontId="3" fillId="4" borderId="22" xfId="1" applyFill="1" applyBorder="1" applyAlignment="1">
      <alignment horizontal="right"/>
    </xf>
    <xf numFmtId="1" fontId="3" fillId="4" borderId="22" xfId="1" applyNumberFormat="1" applyFill="1" applyBorder="1"/>
    <xf numFmtId="0" fontId="3" fillId="10" borderId="23" xfId="1" applyFont="1" applyFill="1" applyBorder="1" applyAlignment="1"/>
    <xf numFmtId="0" fontId="3" fillId="10" borderId="23" xfId="1" applyFont="1" applyFill="1" applyBorder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0" fillId="10" borderId="23" xfId="5" applyFont="1" applyFill="1" applyBorder="1"/>
    <xf numFmtId="0" fontId="10" fillId="10" borderId="23" xfId="5" applyFon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4" fontId="0" fillId="10" borderId="1" xfId="0" applyNumberFormat="1" applyFill="1" applyBorder="1" applyAlignment="1">
      <alignment horizontal="right"/>
    </xf>
    <xf numFmtId="164" fontId="4" fillId="10" borderId="23" xfId="1" applyNumberFormat="1" applyFont="1" applyFill="1" applyBorder="1" applyAlignment="1"/>
    <xf numFmtId="0" fontId="14" fillId="10" borderId="23" xfId="5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5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S85" sqref="S85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8" t="s">
        <v>11</v>
      </c>
      <c r="J1" s="9" t="s">
        <v>12</v>
      </c>
      <c r="K1" s="8" t="s">
        <v>13</v>
      </c>
      <c r="L1" s="9" t="s">
        <v>14</v>
      </c>
      <c r="M1" s="10" t="s">
        <v>15</v>
      </c>
      <c r="N1" s="11" t="s">
        <v>16</v>
      </c>
      <c r="O1" s="12" t="s">
        <v>17</v>
      </c>
      <c r="P1" s="11" t="s">
        <v>18</v>
      </c>
      <c r="Q1" s="12" t="s">
        <v>19</v>
      </c>
      <c r="R1" s="11" t="s">
        <v>20</v>
      </c>
      <c r="S1" s="11" t="s">
        <v>21</v>
      </c>
      <c r="T1" s="11" t="s">
        <v>22</v>
      </c>
      <c r="U1" s="11" t="s">
        <v>23</v>
      </c>
    </row>
    <row r="2" spans="1:21" x14ac:dyDescent="0.2">
      <c r="A2" s="22" t="s">
        <v>31</v>
      </c>
      <c r="B2" s="22" t="s">
        <v>32</v>
      </c>
      <c r="C2" s="22" t="s">
        <v>35</v>
      </c>
      <c r="D2" s="22" t="s">
        <v>80</v>
      </c>
      <c r="E2" s="22" t="s">
        <v>81</v>
      </c>
      <c r="F2" s="22" t="s">
        <v>82</v>
      </c>
      <c r="G2" s="22" t="s">
        <v>59</v>
      </c>
      <c r="H2" s="22" t="s">
        <v>24</v>
      </c>
      <c r="I2" s="22" t="s">
        <v>36</v>
      </c>
      <c r="J2" s="22" t="s">
        <v>37</v>
      </c>
      <c r="K2" s="25">
        <v>0.5</v>
      </c>
      <c r="L2" s="22" t="s">
        <v>57</v>
      </c>
      <c r="M2" s="22">
        <v>2016</v>
      </c>
      <c r="N2" s="22" t="s">
        <v>25</v>
      </c>
      <c r="O2" s="23" t="s">
        <v>25</v>
      </c>
      <c r="P2" s="22" t="s">
        <v>25</v>
      </c>
      <c r="Q2" s="23" t="s">
        <v>25</v>
      </c>
      <c r="R2" s="24">
        <v>100</v>
      </c>
      <c r="S2" s="25">
        <v>0.5</v>
      </c>
      <c r="T2" s="25">
        <v>0</v>
      </c>
      <c r="U2" s="25">
        <v>0</v>
      </c>
    </row>
    <row r="3" spans="1:21" x14ac:dyDescent="0.2">
      <c r="A3" s="22" t="s">
        <v>31</v>
      </c>
      <c r="B3" s="22" t="s">
        <v>32</v>
      </c>
      <c r="C3" s="22" t="s">
        <v>35</v>
      </c>
      <c r="D3" s="22" t="s">
        <v>80</v>
      </c>
      <c r="E3" s="22" t="s">
        <v>81</v>
      </c>
      <c r="F3" s="22" t="s">
        <v>82</v>
      </c>
      <c r="G3" s="22" t="s">
        <v>29</v>
      </c>
      <c r="H3" s="22" t="s">
        <v>24</v>
      </c>
      <c r="I3" s="22" t="s">
        <v>36</v>
      </c>
      <c r="J3" s="22" t="s">
        <v>37</v>
      </c>
      <c r="K3" s="25">
        <v>0.5</v>
      </c>
      <c r="L3" s="22" t="s">
        <v>57</v>
      </c>
      <c r="M3" s="22">
        <v>2016</v>
      </c>
      <c r="N3" s="22" t="s">
        <v>25</v>
      </c>
      <c r="O3" s="23" t="s">
        <v>25</v>
      </c>
      <c r="P3" s="22" t="s">
        <v>25</v>
      </c>
      <c r="Q3" s="23" t="s">
        <v>25</v>
      </c>
      <c r="R3" s="24">
        <v>100</v>
      </c>
      <c r="S3" s="25">
        <v>0.5</v>
      </c>
      <c r="T3" s="25">
        <v>0</v>
      </c>
      <c r="U3" s="25">
        <v>0</v>
      </c>
    </row>
    <row r="4" spans="1:21" x14ac:dyDescent="0.2">
      <c r="A4" s="22" t="s">
        <v>36</v>
      </c>
      <c r="B4" s="22" t="s">
        <v>37</v>
      </c>
      <c r="C4" s="22" t="s">
        <v>33</v>
      </c>
      <c r="D4" s="22" t="s">
        <v>83</v>
      </c>
      <c r="E4" s="22" t="s">
        <v>84</v>
      </c>
      <c r="F4" s="22" t="s">
        <v>27</v>
      </c>
      <c r="G4" s="22" t="s">
        <v>59</v>
      </c>
      <c r="H4" s="22" t="s">
        <v>26</v>
      </c>
      <c r="I4" s="22" t="s">
        <v>36</v>
      </c>
      <c r="J4" s="22" t="s">
        <v>37</v>
      </c>
      <c r="K4" s="25">
        <v>1</v>
      </c>
      <c r="L4" s="22" t="s">
        <v>57</v>
      </c>
      <c r="M4" s="22">
        <v>2016</v>
      </c>
      <c r="N4" s="22" t="s">
        <v>25</v>
      </c>
      <c r="O4" s="23" t="s">
        <v>25</v>
      </c>
      <c r="P4" s="22" t="s">
        <v>25</v>
      </c>
      <c r="Q4" s="23" t="s">
        <v>25</v>
      </c>
      <c r="R4" s="24">
        <v>100</v>
      </c>
      <c r="S4" s="25">
        <v>1</v>
      </c>
      <c r="T4" s="25">
        <v>0</v>
      </c>
      <c r="U4" s="25">
        <v>0</v>
      </c>
    </row>
    <row r="5" spans="1:21" x14ac:dyDescent="0.2">
      <c r="A5" s="22" t="s">
        <v>36</v>
      </c>
      <c r="B5" s="22" t="s">
        <v>37</v>
      </c>
      <c r="C5" s="22" t="s">
        <v>33</v>
      </c>
      <c r="D5" s="22" t="s">
        <v>66</v>
      </c>
      <c r="E5" s="22" t="s">
        <v>67</v>
      </c>
      <c r="F5" s="22" t="s">
        <v>54</v>
      </c>
      <c r="G5" s="22" t="s">
        <v>61</v>
      </c>
      <c r="H5" s="22" t="s">
        <v>26</v>
      </c>
      <c r="I5" s="22" t="s">
        <v>36</v>
      </c>
      <c r="J5" s="22" t="s">
        <v>37</v>
      </c>
      <c r="K5" s="25">
        <v>1</v>
      </c>
      <c r="L5" s="22" t="s">
        <v>57</v>
      </c>
      <c r="M5" s="22">
        <v>2016</v>
      </c>
      <c r="N5" s="22" t="s">
        <v>25</v>
      </c>
      <c r="O5" s="23" t="s">
        <v>25</v>
      </c>
      <c r="P5" s="22" t="s">
        <v>25</v>
      </c>
      <c r="Q5" s="23" t="s">
        <v>25</v>
      </c>
      <c r="R5" s="24">
        <v>100</v>
      </c>
      <c r="S5" s="25">
        <v>1</v>
      </c>
      <c r="T5" s="25">
        <v>0</v>
      </c>
      <c r="U5" s="25">
        <v>0</v>
      </c>
    </row>
    <row r="6" spans="1:21" x14ac:dyDescent="0.2">
      <c r="A6" s="22" t="s">
        <v>36</v>
      </c>
      <c r="B6" s="22" t="s">
        <v>37</v>
      </c>
      <c r="C6" s="22" t="s">
        <v>33</v>
      </c>
      <c r="D6" s="22" t="s">
        <v>85</v>
      </c>
      <c r="E6" s="22" t="s">
        <v>86</v>
      </c>
      <c r="F6" s="22" t="s">
        <v>87</v>
      </c>
      <c r="G6" s="22" t="s">
        <v>58</v>
      </c>
      <c r="H6" s="22" t="s">
        <v>26</v>
      </c>
      <c r="I6" s="22" t="s">
        <v>36</v>
      </c>
      <c r="J6" s="22" t="s">
        <v>37</v>
      </c>
      <c r="K6" s="25">
        <v>1</v>
      </c>
      <c r="L6" s="22" t="s">
        <v>57</v>
      </c>
      <c r="M6" s="22">
        <v>2016</v>
      </c>
      <c r="N6" s="22" t="s">
        <v>25</v>
      </c>
      <c r="O6" s="23" t="s">
        <v>25</v>
      </c>
      <c r="P6" s="22" t="s">
        <v>25</v>
      </c>
      <c r="Q6" s="23" t="s">
        <v>25</v>
      </c>
      <c r="R6" s="24">
        <v>100</v>
      </c>
      <c r="S6" s="25">
        <v>1</v>
      </c>
      <c r="T6" s="25">
        <v>0</v>
      </c>
      <c r="U6" s="25">
        <v>0</v>
      </c>
    </row>
    <row r="7" spans="1:21" x14ac:dyDescent="0.2">
      <c r="A7" s="22" t="s">
        <v>36</v>
      </c>
      <c r="B7" s="22" t="s">
        <v>37</v>
      </c>
      <c r="C7" s="22" t="s">
        <v>33</v>
      </c>
      <c r="D7" s="22" t="s">
        <v>70</v>
      </c>
      <c r="E7" s="22" t="s">
        <v>71</v>
      </c>
      <c r="F7" s="22" t="s">
        <v>27</v>
      </c>
      <c r="G7" s="22" t="s">
        <v>59</v>
      </c>
      <c r="H7" s="22" t="s">
        <v>26</v>
      </c>
      <c r="I7" s="22" t="s">
        <v>36</v>
      </c>
      <c r="J7" s="22" t="s">
        <v>37</v>
      </c>
      <c r="K7" s="25">
        <v>1</v>
      </c>
      <c r="L7" s="22" t="s">
        <v>57</v>
      </c>
      <c r="M7" s="22">
        <v>2016</v>
      </c>
      <c r="N7" s="22" t="s">
        <v>25</v>
      </c>
      <c r="O7" s="23" t="s">
        <v>25</v>
      </c>
      <c r="P7" s="22" t="s">
        <v>25</v>
      </c>
      <c r="Q7" s="23" t="s">
        <v>25</v>
      </c>
      <c r="R7" s="24">
        <v>100</v>
      </c>
      <c r="S7" s="25">
        <v>1</v>
      </c>
      <c r="T7" s="25">
        <v>0</v>
      </c>
      <c r="U7" s="25">
        <v>0</v>
      </c>
    </row>
    <row r="8" spans="1:21" x14ac:dyDescent="0.2">
      <c r="A8" s="22" t="s">
        <v>36</v>
      </c>
      <c r="B8" s="22" t="s">
        <v>37</v>
      </c>
      <c r="C8" s="22" t="s">
        <v>33</v>
      </c>
      <c r="D8" s="22" t="s">
        <v>64</v>
      </c>
      <c r="E8" s="22" t="s">
        <v>65</v>
      </c>
      <c r="F8" s="22" t="s">
        <v>54</v>
      </c>
      <c r="G8" s="22" t="s">
        <v>56</v>
      </c>
      <c r="H8" s="22" t="s">
        <v>26</v>
      </c>
      <c r="I8" s="22" t="s">
        <v>36</v>
      </c>
      <c r="J8" s="22" t="s">
        <v>37</v>
      </c>
      <c r="K8" s="25">
        <v>1</v>
      </c>
      <c r="L8" s="22" t="s">
        <v>57</v>
      </c>
      <c r="M8" s="22">
        <v>2016</v>
      </c>
      <c r="N8" s="22" t="s">
        <v>34</v>
      </c>
      <c r="O8" s="23" t="s">
        <v>28</v>
      </c>
      <c r="P8" s="22" t="s">
        <v>25</v>
      </c>
      <c r="Q8" s="23" t="s">
        <v>25</v>
      </c>
      <c r="R8" s="24">
        <v>90</v>
      </c>
      <c r="S8" s="25">
        <v>0.9</v>
      </c>
      <c r="T8" s="25">
        <v>0.1</v>
      </c>
      <c r="U8" s="25">
        <v>0</v>
      </c>
    </row>
    <row r="9" spans="1:21" x14ac:dyDescent="0.2">
      <c r="A9" s="22" t="s">
        <v>36</v>
      </c>
      <c r="B9" s="22" t="s">
        <v>37</v>
      </c>
      <c r="C9" s="22" t="s">
        <v>33</v>
      </c>
      <c r="D9" s="22" t="s">
        <v>68</v>
      </c>
      <c r="E9" s="22" t="s">
        <v>69</v>
      </c>
      <c r="F9" s="22" t="s">
        <v>30</v>
      </c>
      <c r="G9" s="22" t="s">
        <v>61</v>
      </c>
      <c r="H9" s="22" t="s">
        <v>24</v>
      </c>
      <c r="I9" s="22" t="s">
        <v>36</v>
      </c>
      <c r="J9" s="22" t="s">
        <v>37</v>
      </c>
      <c r="K9" s="25">
        <v>0.5</v>
      </c>
      <c r="L9" s="22" t="s">
        <v>57</v>
      </c>
      <c r="M9" s="22">
        <v>2016</v>
      </c>
      <c r="N9" s="22" t="s">
        <v>25</v>
      </c>
      <c r="O9" s="23" t="s">
        <v>25</v>
      </c>
      <c r="P9" s="22" t="s">
        <v>25</v>
      </c>
      <c r="Q9" s="23" t="s">
        <v>25</v>
      </c>
      <c r="R9" s="24">
        <v>100</v>
      </c>
      <c r="S9" s="25">
        <v>0.5</v>
      </c>
      <c r="T9" s="25">
        <v>0</v>
      </c>
      <c r="U9" s="25">
        <v>0</v>
      </c>
    </row>
    <row r="10" spans="1:21" x14ac:dyDescent="0.2">
      <c r="A10" s="22" t="s">
        <v>36</v>
      </c>
      <c r="B10" s="22" t="s">
        <v>37</v>
      </c>
      <c r="C10" s="22" t="s">
        <v>33</v>
      </c>
      <c r="D10" s="22" t="s">
        <v>68</v>
      </c>
      <c r="E10" s="22" t="s">
        <v>69</v>
      </c>
      <c r="F10" s="22" t="s">
        <v>30</v>
      </c>
      <c r="G10" s="22" t="s">
        <v>29</v>
      </c>
      <c r="H10" s="22" t="s">
        <v>24</v>
      </c>
      <c r="I10" s="22" t="s">
        <v>36</v>
      </c>
      <c r="J10" s="22" t="s">
        <v>37</v>
      </c>
      <c r="K10" s="25">
        <v>0.5</v>
      </c>
      <c r="L10" s="22" t="s">
        <v>57</v>
      </c>
      <c r="M10" s="22">
        <v>2016</v>
      </c>
      <c r="N10" s="22" t="s">
        <v>25</v>
      </c>
      <c r="O10" s="23" t="s">
        <v>25</v>
      </c>
      <c r="P10" s="22" t="s">
        <v>25</v>
      </c>
      <c r="Q10" s="23" t="s">
        <v>25</v>
      </c>
      <c r="R10" s="24">
        <v>100</v>
      </c>
      <c r="S10" s="25">
        <v>0.5</v>
      </c>
      <c r="T10" s="25">
        <v>0</v>
      </c>
      <c r="U10" s="25">
        <v>0</v>
      </c>
    </row>
    <row r="11" spans="1:21" x14ac:dyDescent="0.2">
      <c r="A11" s="22" t="s">
        <v>36</v>
      </c>
      <c r="B11" s="22" t="s">
        <v>37</v>
      </c>
      <c r="C11" s="22" t="s">
        <v>33</v>
      </c>
      <c r="D11" s="22" t="s">
        <v>75</v>
      </c>
      <c r="E11" s="22" t="s">
        <v>76</v>
      </c>
      <c r="F11" s="22" t="s">
        <v>77</v>
      </c>
      <c r="G11" s="22" t="s">
        <v>59</v>
      </c>
      <c r="H11" s="22" t="s">
        <v>24</v>
      </c>
      <c r="I11" s="22" t="s">
        <v>36</v>
      </c>
      <c r="J11" s="22" t="s">
        <v>37</v>
      </c>
      <c r="K11" s="25">
        <v>0.5</v>
      </c>
      <c r="L11" s="22" t="s">
        <v>57</v>
      </c>
      <c r="M11" s="22">
        <v>2016</v>
      </c>
      <c r="N11" s="22" t="s">
        <v>25</v>
      </c>
      <c r="O11" s="23" t="s">
        <v>25</v>
      </c>
      <c r="P11" s="22" t="s">
        <v>25</v>
      </c>
      <c r="Q11" s="23" t="s">
        <v>25</v>
      </c>
      <c r="R11" s="24">
        <v>100</v>
      </c>
      <c r="S11" s="25">
        <v>0.5</v>
      </c>
      <c r="T11" s="25">
        <v>0</v>
      </c>
      <c r="U11" s="25">
        <v>0</v>
      </c>
    </row>
    <row r="12" spans="1:21" x14ac:dyDescent="0.2">
      <c r="A12" s="22" t="s">
        <v>36</v>
      </c>
      <c r="B12" s="22" t="s">
        <v>37</v>
      </c>
      <c r="C12" s="22" t="s">
        <v>33</v>
      </c>
      <c r="D12" s="22" t="s">
        <v>75</v>
      </c>
      <c r="E12" s="22" t="s">
        <v>76</v>
      </c>
      <c r="F12" s="22" t="s">
        <v>77</v>
      </c>
      <c r="G12" s="22" t="s">
        <v>29</v>
      </c>
      <c r="H12" s="22" t="s">
        <v>24</v>
      </c>
      <c r="I12" s="22" t="s">
        <v>36</v>
      </c>
      <c r="J12" s="22" t="s">
        <v>37</v>
      </c>
      <c r="K12" s="25">
        <v>0.5</v>
      </c>
      <c r="L12" s="22" t="s">
        <v>57</v>
      </c>
      <c r="M12" s="22">
        <v>2016</v>
      </c>
      <c r="N12" s="22" t="s">
        <v>25</v>
      </c>
      <c r="O12" s="23" t="s">
        <v>25</v>
      </c>
      <c r="P12" s="22" t="s">
        <v>25</v>
      </c>
      <c r="Q12" s="23" t="s">
        <v>25</v>
      </c>
      <c r="R12" s="24">
        <v>100</v>
      </c>
      <c r="S12" s="25">
        <v>0.5</v>
      </c>
      <c r="T12" s="25">
        <v>0</v>
      </c>
      <c r="U12" s="25">
        <v>0</v>
      </c>
    </row>
    <row r="13" spans="1:21" x14ac:dyDescent="0.2">
      <c r="A13" s="22" t="s">
        <v>36</v>
      </c>
      <c r="B13" s="22" t="s">
        <v>37</v>
      </c>
      <c r="C13" s="22" t="s">
        <v>33</v>
      </c>
      <c r="D13" s="22" t="s">
        <v>95</v>
      </c>
      <c r="E13" s="22" t="s">
        <v>96</v>
      </c>
      <c r="F13" s="22" t="s">
        <v>50</v>
      </c>
      <c r="G13" s="22" t="s">
        <v>61</v>
      </c>
      <c r="H13" s="22" t="s">
        <v>26</v>
      </c>
      <c r="I13" s="22" t="s">
        <v>36</v>
      </c>
      <c r="J13" s="22" t="s">
        <v>37</v>
      </c>
      <c r="K13" s="25">
        <v>1</v>
      </c>
      <c r="L13" s="22" t="s">
        <v>57</v>
      </c>
      <c r="M13" s="22">
        <v>2016</v>
      </c>
      <c r="N13" s="22" t="s">
        <v>25</v>
      </c>
      <c r="O13" s="23" t="s">
        <v>25</v>
      </c>
      <c r="P13" s="22" t="s">
        <v>25</v>
      </c>
      <c r="Q13" s="23" t="s">
        <v>25</v>
      </c>
      <c r="R13" s="24">
        <v>100</v>
      </c>
      <c r="S13" s="25">
        <v>1</v>
      </c>
      <c r="T13" s="25">
        <v>0</v>
      </c>
      <c r="U13" s="25">
        <v>0</v>
      </c>
    </row>
    <row r="14" spans="1:21" x14ac:dyDescent="0.2">
      <c r="A14" s="22" t="s">
        <v>36</v>
      </c>
      <c r="B14" s="22" t="s">
        <v>37</v>
      </c>
      <c r="C14" s="22" t="s">
        <v>33</v>
      </c>
      <c r="D14" s="22" t="s">
        <v>72</v>
      </c>
      <c r="E14" s="22" t="s">
        <v>73</v>
      </c>
      <c r="F14" s="22" t="s">
        <v>74</v>
      </c>
      <c r="G14" s="22" t="s">
        <v>60</v>
      </c>
      <c r="H14" s="22" t="s">
        <v>26</v>
      </c>
      <c r="I14" s="22" t="s">
        <v>36</v>
      </c>
      <c r="J14" s="22" t="s">
        <v>37</v>
      </c>
      <c r="K14" s="25">
        <v>1</v>
      </c>
      <c r="L14" s="22" t="s">
        <v>57</v>
      </c>
      <c r="M14" s="22">
        <v>2016</v>
      </c>
      <c r="N14" s="22" t="s">
        <v>25</v>
      </c>
      <c r="O14" s="23" t="s">
        <v>25</v>
      </c>
      <c r="P14" s="22" t="s">
        <v>25</v>
      </c>
      <c r="Q14" s="23" t="s">
        <v>25</v>
      </c>
      <c r="R14" s="24">
        <v>100</v>
      </c>
      <c r="S14" s="25">
        <v>1</v>
      </c>
      <c r="T14" s="25">
        <v>0</v>
      </c>
      <c r="U14" s="25">
        <v>0</v>
      </c>
    </row>
    <row r="15" spans="1:21" x14ac:dyDescent="0.2">
      <c r="A15" s="22" t="s">
        <v>36</v>
      </c>
      <c r="B15" s="22" t="s">
        <v>37</v>
      </c>
      <c r="C15" s="22" t="s">
        <v>33</v>
      </c>
      <c r="D15" s="22" t="s">
        <v>88</v>
      </c>
      <c r="E15" s="22" t="s">
        <v>89</v>
      </c>
      <c r="F15" s="22" t="s">
        <v>87</v>
      </c>
      <c r="G15" s="22" t="s">
        <v>56</v>
      </c>
      <c r="H15" s="22" t="s">
        <v>26</v>
      </c>
      <c r="I15" s="22" t="s">
        <v>36</v>
      </c>
      <c r="J15" s="22" t="s">
        <v>37</v>
      </c>
      <c r="K15" s="25">
        <v>1</v>
      </c>
      <c r="L15" s="22" t="s">
        <v>57</v>
      </c>
      <c r="M15" s="22">
        <v>2016</v>
      </c>
      <c r="N15" s="22" t="s">
        <v>34</v>
      </c>
      <c r="O15" s="23" t="s">
        <v>28</v>
      </c>
      <c r="P15" s="22" t="s">
        <v>25</v>
      </c>
      <c r="Q15" s="23" t="s">
        <v>25</v>
      </c>
      <c r="R15" s="24">
        <v>90</v>
      </c>
      <c r="S15" s="25">
        <v>0.9</v>
      </c>
      <c r="T15" s="25">
        <v>0.1</v>
      </c>
      <c r="U15" s="25">
        <v>0</v>
      </c>
    </row>
    <row r="16" spans="1:21" x14ac:dyDescent="0.2">
      <c r="A16" s="22" t="s">
        <v>36</v>
      </c>
      <c r="B16" s="22" t="s">
        <v>37</v>
      </c>
      <c r="C16" s="22" t="s">
        <v>33</v>
      </c>
      <c r="D16" s="22" t="s">
        <v>93</v>
      </c>
      <c r="E16" s="22" t="s">
        <v>94</v>
      </c>
      <c r="F16" s="22" t="s">
        <v>87</v>
      </c>
      <c r="G16" s="22" t="s">
        <v>58</v>
      </c>
      <c r="H16" s="22" t="s">
        <v>26</v>
      </c>
      <c r="I16" s="22" t="s">
        <v>36</v>
      </c>
      <c r="J16" s="22" t="s">
        <v>37</v>
      </c>
      <c r="K16" s="25">
        <v>1</v>
      </c>
      <c r="L16" s="22" t="s">
        <v>57</v>
      </c>
      <c r="M16" s="22">
        <v>2016</v>
      </c>
      <c r="N16" s="22" t="s">
        <v>25</v>
      </c>
      <c r="O16" s="23" t="s">
        <v>25</v>
      </c>
      <c r="P16" s="22" t="s">
        <v>25</v>
      </c>
      <c r="Q16" s="23" t="s">
        <v>25</v>
      </c>
      <c r="R16" s="24">
        <v>100</v>
      </c>
      <c r="S16" s="25">
        <v>1</v>
      </c>
      <c r="T16" s="25">
        <v>0</v>
      </c>
      <c r="U16" s="25">
        <v>0</v>
      </c>
    </row>
    <row r="17" spans="1:21" x14ac:dyDescent="0.2">
      <c r="A17" s="22" t="s">
        <v>36</v>
      </c>
      <c r="B17" s="22" t="s">
        <v>37</v>
      </c>
      <c r="C17" s="22" t="s">
        <v>33</v>
      </c>
      <c r="D17" s="22" t="s">
        <v>90</v>
      </c>
      <c r="E17" s="22" t="s">
        <v>91</v>
      </c>
      <c r="F17" s="22" t="s">
        <v>92</v>
      </c>
      <c r="G17" s="22" t="s">
        <v>56</v>
      </c>
      <c r="H17" s="22" t="s">
        <v>26</v>
      </c>
      <c r="I17" s="22" t="s">
        <v>36</v>
      </c>
      <c r="J17" s="22" t="s">
        <v>37</v>
      </c>
      <c r="K17" s="25">
        <v>1</v>
      </c>
      <c r="L17" s="22" t="s">
        <v>57</v>
      </c>
      <c r="M17" s="22">
        <v>2016</v>
      </c>
      <c r="N17" s="22" t="s">
        <v>34</v>
      </c>
      <c r="O17" s="23" t="s">
        <v>28</v>
      </c>
      <c r="P17" s="22" t="s">
        <v>25</v>
      </c>
      <c r="Q17" s="23" t="s">
        <v>25</v>
      </c>
      <c r="R17" s="24">
        <v>90</v>
      </c>
      <c r="S17" s="25">
        <v>0.9</v>
      </c>
      <c r="T17" s="25">
        <v>0.1</v>
      </c>
      <c r="U17" s="25">
        <v>0</v>
      </c>
    </row>
    <row r="18" spans="1:21" x14ac:dyDescent="0.2">
      <c r="A18" s="22" t="s">
        <v>36</v>
      </c>
      <c r="B18" s="22" t="s">
        <v>37</v>
      </c>
      <c r="C18" s="22" t="s">
        <v>35</v>
      </c>
      <c r="D18" s="22" t="s">
        <v>99</v>
      </c>
      <c r="E18" s="22" t="s">
        <v>100</v>
      </c>
      <c r="F18" s="22" t="s">
        <v>74</v>
      </c>
      <c r="G18" s="22" t="s">
        <v>59</v>
      </c>
      <c r="H18" s="22" t="s">
        <v>24</v>
      </c>
      <c r="I18" s="22" t="s">
        <v>36</v>
      </c>
      <c r="J18" s="22" t="s">
        <v>37</v>
      </c>
      <c r="K18" s="25">
        <v>0.5</v>
      </c>
      <c r="L18" s="22" t="s">
        <v>57</v>
      </c>
      <c r="M18" s="22">
        <v>2016</v>
      </c>
      <c r="N18" s="22" t="s">
        <v>25</v>
      </c>
      <c r="O18" s="23" t="s">
        <v>25</v>
      </c>
      <c r="P18" s="22" t="s">
        <v>25</v>
      </c>
      <c r="Q18" s="23" t="s">
        <v>25</v>
      </c>
      <c r="R18" s="24">
        <v>100</v>
      </c>
      <c r="S18" s="25">
        <v>0.5</v>
      </c>
      <c r="T18" s="25">
        <v>0</v>
      </c>
      <c r="U18" s="25">
        <v>0</v>
      </c>
    </row>
    <row r="19" spans="1:21" x14ac:dyDescent="0.2">
      <c r="A19" s="22" t="s">
        <v>36</v>
      </c>
      <c r="B19" s="22" t="s">
        <v>37</v>
      </c>
      <c r="C19" s="22" t="s">
        <v>35</v>
      </c>
      <c r="D19" s="22" t="s">
        <v>99</v>
      </c>
      <c r="E19" s="22" t="s">
        <v>100</v>
      </c>
      <c r="F19" s="22" t="s">
        <v>74</v>
      </c>
      <c r="G19" s="22" t="s">
        <v>29</v>
      </c>
      <c r="H19" s="22" t="s">
        <v>24</v>
      </c>
      <c r="I19" s="22" t="s">
        <v>36</v>
      </c>
      <c r="J19" s="22" t="s">
        <v>37</v>
      </c>
      <c r="K19" s="25">
        <v>0.5</v>
      </c>
      <c r="L19" s="22" t="s">
        <v>57</v>
      </c>
      <c r="M19" s="22">
        <v>2016</v>
      </c>
      <c r="N19" s="22" t="s">
        <v>25</v>
      </c>
      <c r="O19" s="23" t="s">
        <v>25</v>
      </c>
      <c r="P19" s="22" t="s">
        <v>25</v>
      </c>
      <c r="Q19" s="23" t="s">
        <v>25</v>
      </c>
      <c r="R19" s="24">
        <v>100</v>
      </c>
      <c r="S19" s="25">
        <v>0.5</v>
      </c>
      <c r="T19" s="25">
        <v>0</v>
      </c>
      <c r="U19" s="25">
        <v>0</v>
      </c>
    </row>
    <row r="20" spans="1:21" x14ac:dyDescent="0.2">
      <c r="A20" s="22" t="s">
        <v>36</v>
      </c>
      <c r="B20" s="22" t="s">
        <v>37</v>
      </c>
      <c r="C20" s="22" t="s">
        <v>35</v>
      </c>
      <c r="D20" s="22" t="s">
        <v>78</v>
      </c>
      <c r="E20" s="22" t="s">
        <v>79</v>
      </c>
      <c r="F20" s="22" t="s">
        <v>51</v>
      </c>
      <c r="G20" s="22" t="s">
        <v>58</v>
      </c>
      <c r="H20" s="22" t="s">
        <v>24</v>
      </c>
      <c r="I20" s="22" t="s">
        <v>36</v>
      </c>
      <c r="J20" s="22" t="s">
        <v>37</v>
      </c>
      <c r="K20" s="25">
        <v>0.5</v>
      </c>
      <c r="L20" s="22" t="s">
        <v>57</v>
      </c>
      <c r="M20" s="22">
        <v>2016</v>
      </c>
      <c r="N20" s="22" t="s">
        <v>25</v>
      </c>
      <c r="O20" s="23" t="s">
        <v>25</v>
      </c>
      <c r="P20" s="22" t="s">
        <v>25</v>
      </c>
      <c r="Q20" s="23" t="s">
        <v>25</v>
      </c>
      <c r="R20" s="24">
        <v>100</v>
      </c>
      <c r="S20" s="25">
        <v>0.5</v>
      </c>
      <c r="T20" s="25">
        <v>0</v>
      </c>
      <c r="U20" s="25">
        <v>0</v>
      </c>
    </row>
    <row r="21" spans="1:21" x14ac:dyDescent="0.2">
      <c r="A21" s="22" t="s">
        <v>36</v>
      </c>
      <c r="B21" s="22" t="s">
        <v>37</v>
      </c>
      <c r="C21" s="22" t="s">
        <v>35</v>
      </c>
      <c r="D21" s="22" t="s">
        <v>78</v>
      </c>
      <c r="E21" s="22" t="s">
        <v>79</v>
      </c>
      <c r="F21" s="22" t="s">
        <v>51</v>
      </c>
      <c r="G21" s="22" t="s">
        <v>29</v>
      </c>
      <c r="H21" s="22" t="s">
        <v>24</v>
      </c>
      <c r="I21" s="22" t="s">
        <v>36</v>
      </c>
      <c r="J21" s="22" t="s">
        <v>37</v>
      </c>
      <c r="K21" s="25">
        <v>0.5</v>
      </c>
      <c r="L21" s="22" t="s">
        <v>57</v>
      </c>
      <c r="M21" s="22">
        <v>2016</v>
      </c>
      <c r="N21" s="22" t="s">
        <v>25</v>
      </c>
      <c r="O21" s="23" t="s">
        <v>25</v>
      </c>
      <c r="P21" s="22" t="s">
        <v>25</v>
      </c>
      <c r="Q21" s="23" t="s">
        <v>25</v>
      </c>
      <c r="R21" s="24">
        <v>100</v>
      </c>
      <c r="S21" s="25">
        <v>0.5</v>
      </c>
      <c r="T21" s="25">
        <v>0</v>
      </c>
      <c r="U21" s="25">
        <v>0</v>
      </c>
    </row>
    <row r="22" spans="1:21" x14ac:dyDescent="0.2">
      <c r="A22" s="22" t="s">
        <v>36</v>
      </c>
      <c r="B22" s="22" t="s">
        <v>37</v>
      </c>
      <c r="C22" s="22" t="s">
        <v>35</v>
      </c>
      <c r="D22" s="22" t="s">
        <v>62</v>
      </c>
      <c r="E22" s="22" t="s">
        <v>63</v>
      </c>
      <c r="F22" s="22" t="s">
        <v>46</v>
      </c>
      <c r="G22" s="22" t="s">
        <v>58</v>
      </c>
      <c r="H22" s="22" t="s">
        <v>26</v>
      </c>
      <c r="I22" s="22" t="s">
        <v>36</v>
      </c>
      <c r="J22" s="22" t="s">
        <v>37</v>
      </c>
      <c r="K22" s="25">
        <v>1</v>
      </c>
      <c r="L22" s="22" t="s">
        <v>57</v>
      </c>
      <c r="M22" s="22">
        <v>2016</v>
      </c>
      <c r="N22" s="22" t="s">
        <v>25</v>
      </c>
      <c r="O22" s="23" t="s">
        <v>25</v>
      </c>
      <c r="P22" s="22" t="s">
        <v>25</v>
      </c>
      <c r="Q22" s="23" t="s">
        <v>25</v>
      </c>
      <c r="R22" s="24">
        <v>100</v>
      </c>
      <c r="S22" s="25">
        <v>1</v>
      </c>
      <c r="T22" s="25">
        <v>0</v>
      </c>
      <c r="U22" s="25">
        <v>0</v>
      </c>
    </row>
    <row r="23" spans="1:21" x14ac:dyDescent="0.2">
      <c r="A23" s="59" t="s">
        <v>43</v>
      </c>
      <c r="B23" s="59" t="s">
        <v>44</v>
      </c>
      <c r="C23" s="59" t="s">
        <v>33</v>
      </c>
      <c r="D23" s="59" t="s">
        <v>97</v>
      </c>
      <c r="E23" s="59" t="s">
        <v>98</v>
      </c>
      <c r="F23" s="59" t="s">
        <v>55</v>
      </c>
      <c r="G23" s="59" t="s">
        <v>56</v>
      </c>
      <c r="H23" s="59" t="s">
        <v>26</v>
      </c>
      <c r="I23" s="59" t="s">
        <v>36</v>
      </c>
      <c r="J23" s="59" t="s">
        <v>37</v>
      </c>
      <c r="K23" s="60">
        <v>1</v>
      </c>
      <c r="L23" s="59" t="s">
        <v>57</v>
      </c>
      <c r="M23" s="59">
        <v>2016</v>
      </c>
      <c r="N23" s="59" t="s">
        <v>34</v>
      </c>
      <c r="O23" s="61" t="s">
        <v>28</v>
      </c>
      <c r="P23" s="59" t="s">
        <v>25</v>
      </c>
      <c r="Q23" s="61" t="s">
        <v>25</v>
      </c>
      <c r="R23" s="62">
        <v>90</v>
      </c>
      <c r="S23" s="60">
        <v>0.9</v>
      </c>
      <c r="T23" s="60">
        <v>0.1</v>
      </c>
      <c r="U23" s="60">
        <v>0</v>
      </c>
    </row>
    <row r="24" spans="1:21" x14ac:dyDescent="0.2">
      <c r="A24" s="22" t="s">
        <v>36</v>
      </c>
      <c r="B24" s="22" t="s">
        <v>37</v>
      </c>
      <c r="C24" s="22" t="s">
        <v>33</v>
      </c>
      <c r="D24" s="22" t="s">
        <v>38</v>
      </c>
      <c r="E24" s="22" t="s">
        <v>39</v>
      </c>
      <c r="F24" s="22" t="s">
        <v>40</v>
      </c>
      <c r="G24" s="22" t="s">
        <v>29</v>
      </c>
      <c r="H24" s="22" t="s">
        <v>24</v>
      </c>
      <c r="I24" s="22" t="s">
        <v>36</v>
      </c>
      <c r="J24" s="22" t="s">
        <v>37</v>
      </c>
      <c r="K24" s="25">
        <v>0.5</v>
      </c>
      <c r="L24" s="22" t="s">
        <v>57</v>
      </c>
      <c r="M24" s="22">
        <v>2017</v>
      </c>
      <c r="N24" s="22" t="s">
        <v>25</v>
      </c>
      <c r="O24" s="23" t="s">
        <v>25</v>
      </c>
      <c r="P24" s="22" t="s">
        <v>25</v>
      </c>
      <c r="Q24" s="23" t="s">
        <v>25</v>
      </c>
      <c r="R24" s="24">
        <v>100</v>
      </c>
      <c r="S24" s="25">
        <v>0.5</v>
      </c>
      <c r="T24" s="25">
        <v>0</v>
      </c>
      <c r="U24" s="25">
        <v>0</v>
      </c>
    </row>
    <row r="25" spans="1:21" x14ac:dyDescent="0.2">
      <c r="A25" s="22" t="s">
        <v>36</v>
      </c>
      <c r="B25" s="22" t="s">
        <v>37</v>
      </c>
      <c r="C25" s="22" t="s">
        <v>33</v>
      </c>
      <c r="D25" s="22" t="s">
        <v>101</v>
      </c>
      <c r="E25" s="22" t="s">
        <v>102</v>
      </c>
      <c r="F25" s="22" t="s">
        <v>49</v>
      </c>
      <c r="G25" s="22" t="s">
        <v>59</v>
      </c>
      <c r="H25" s="22" t="s">
        <v>24</v>
      </c>
      <c r="I25" s="22" t="s">
        <v>36</v>
      </c>
      <c r="J25" s="22" t="s">
        <v>37</v>
      </c>
      <c r="K25" s="25">
        <v>0.5</v>
      </c>
      <c r="L25" s="22" t="s">
        <v>57</v>
      </c>
      <c r="M25" s="22">
        <v>2017</v>
      </c>
      <c r="N25" s="22" t="s">
        <v>25</v>
      </c>
      <c r="O25" s="23" t="s">
        <v>25</v>
      </c>
      <c r="P25" s="22" t="s">
        <v>25</v>
      </c>
      <c r="Q25" s="23" t="s">
        <v>25</v>
      </c>
      <c r="R25" s="24">
        <v>100</v>
      </c>
      <c r="S25" s="25">
        <v>0.5</v>
      </c>
      <c r="T25" s="25">
        <v>0</v>
      </c>
      <c r="U25" s="25">
        <v>0</v>
      </c>
    </row>
    <row r="26" spans="1:21" x14ac:dyDescent="0.2">
      <c r="A26" s="22" t="s">
        <v>36</v>
      </c>
      <c r="B26" s="22" t="s">
        <v>37</v>
      </c>
      <c r="C26" s="22" t="s">
        <v>33</v>
      </c>
      <c r="D26" s="22" t="s">
        <v>101</v>
      </c>
      <c r="E26" s="22" t="s">
        <v>102</v>
      </c>
      <c r="F26" s="22" t="s">
        <v>49</v>
      </c>
      <c r="G26" s="22" t="s">
        <v>29</v>
      </c>
      <c r="H26" s="22" t="s">
        <v>24</v>
      </c>
      <c r="I26" s="22" t="s">
        <v>36</v>
      </c>
      <c r="J26" s="22" t="s">
        <v>37</v>
      </c>
      <c r="K26" s="25">
        <v>0.5</v>
      </c>
      <c r="L26" s="22" t="s">
        <v>57</v>
      </c>
      <c r="M26" s="22">
        <v>2017</v>
      </c>
      <c r="N26" s="22" t="s">
        <v>25</v>
      </c>
      <c r="O26" s="23" t="s">
        <v>25</v>
      </c>
      <c r="P26" s="22" t="s">
        <v>25</v>
      </c>
      <c r="Q26" s="23" t="s">
        <v>25</v>
      </c>
      <c r="R26" s="24">
        <v>100</v>
      </c>
      <c r="S26" s="25">
        <v>0.5</v>
      </c>
      <c r="T26" s="25">
        <v>0</v>
      </c>
      <c r="U26" s="25">
        <v>0</v>
      </c>
    </row>
    <row r="27" spans="1:21" x14ac:dyDescent="0.2">
      <c r="A27" s="22" t="s">
        <v>36</v>
      </c>
      <c r="B27" s="22" t="s">
        <v>37</v>
      </c>
      <c r="C27" s="22" t="s">
        <v>33</v>
      </c>
      <c r="D27" s="22" t="s">
        <v>103</v>
      </c>
      <c r="E27" s="22" t="s">
        <v>104</v>
      </c>
      <c r="F27" s="22" t="s">
        <v>105</v>
      </c>
      <c r="G27" s="22" t="s">
        <v>59</v>
      </c>
      <c r="H27" s="22" t="s">
        <v>24</v>
      </c>
      <c r="I27" s="22" t="s">
        <v>36</v>
      </c>
      <c r="J27" s="22" t="s">
        <v>37</v>
      </c>
      <c r="K27" s="25">
        <v>0.5</v>
      </c>
      <c r="L27" s="22" t="s">
        <v>57</v>
      </c>
      <c r="M27" s="22">
        <v>2017</v>
      </c>
      <c r="N27" s="22" t="s">
        <v>25</v>
      </c>
      <c r="O27" s="23" t="s">
        <v>25</v>
      </c>
      <c r="P27" s="22" t="s">
        <v>25</v>
      </c>
      <c r="Q27" s="23" t="s">
        <v>25</v>
      </c>
      <c r="R27" s="24">
        <v>100</v>
      </c>
      <c r="S27" s="25">
        <v>0.5</v>
      </c>
      <c r="T27" s="25">
        <v>0</v>
      </c>
      <c r="U27" s="25">
        <v>0</v>
      </c>
    </row>
    <row r="28" spans="1:21" x14ac:dyDescent="0.2">
      <c r="A28" s="22" t="s">
        <v>36</v>
      </c>
      <c r="B28" s="22" t="s">
        <v>37</v>
      </c>
      <c r="C28" s="22" t="s">
        <v>33</v>
      </c>
      <c r="D28" s="22" t="s">
        <v>103</v>
      </c>
      <c r="E28" s="22" t="s">
        <v>104</v>
      </c>
      <c r="F28" s="22" t="s">
        <v>105</v>
      </c>
      <c r="G28" s="22" t="s">
        <v>29</v>
      </c>
      <c r="H28" s="22" t="s">
        <v>24</v>
      </c>
      <c r="I28" s="22" t="s">
        <v>36</v>
      </c>
      <c r="J28" s="22" t="s">
        <v>37</v>
      </c>
      <c r="K28" s="25">
        <v>0.5</v>
      </c>
      <c r="L28" s="22" t="s">
        <v>57</v>
      </c>
      <c r="M28" s="22">
        <v>2017</v>
      </c>
      <c r="N28" s="22" t="s">
        <v>25</v>
      </c>
      <c r="O28" s="23" t="s">
        <v>25</v>
      </c>
      <c r="P28" s="22" t="s">
        <v>25</v>
      </c>
      <c r="Q28" s="23" t="s">
        <v>25</v>
      </c>
      <c r="R28" s="24">
        <v>100</v>
      </c>
      <c r="S28" s="25">
        <v>0.5</v>
      </c>
      <c r="T28" s="25">
        <v>0</v>
      </c>
      <c r="U28" s="25">
        <v>0</v>
      </c>
    </row>
    <row r="29" spans="1:21" x14ac:dyDescent="0.2">
      <c r="A29" s="22" t="s">
        <v>36</v>
      </c>
      <c r="B29" s="22" t="s">
        <v>37</v>
      </c>
      <c r="C29" s="22" t="s">
        <v>33</v>
      </c>
      <c r="D29" s="22" t="s">
        <v>132</v>
      </c>
      <c r="E29" s="22" t="s">
        <v>133</v>
      </c>
      <c r="F29" s="22" t="s">
        <v>112</v>
      </c>
      <c r="G29" s="22" t="s">
        <v>59</v>
      </c>
      <c r="H29" s="22" t="s">
        <v>26</v>
      </c>
      <c r="I29" s="22" t="s">
        <v>36</v>
      </c>
      <c r="J29" s="22" t="s">
        <v>37</v>
      </c>
      <c r="K29" s="57">
        <v>1</v>
      </c>
      <c r="L29" s="22" t="s">
        <v>57</v>
      </c>
      <c r="M29" s="22">
        <v>2018</v>
      </c>
      <c r="N29" s="22" t="s">
        <v>25</v>
      </c>
      <c r="O29" s="23" t="s">
        <v>25</v>
      </c>
      <c r="P29" s="22" t="s">
        <v>25</v>
      </c>
      <c r="Q29" s="23" t="s">
        <v>25</v>
      </c>
      <c r="R29" s="24">
        <v>100</v>
      </c>
      <c r="S29" s="25">
        <v>1</v>
      </c>
      <c r="T29" s="25">
        <v>0</v>
      </c>
      <c r="U29" s="25">
        <v>0</v>
      </c>
    </row>
    <row r="30" spans="1:21" x14ac:dyDescent="0.2">
      <c r="A30" s="22" t="s">
        <v>36</v>
      </c>
      <c r="B30" s="22" t="s">
        <v>37</v>
      </c>
      <c r="C30" s="22" t="s">
        <v>33</v>
      </c>
      <c r="D30" s="22" t="s">
        <v>108</v>
      </c>
      <c r="E30" s="22" t="s">
        <v>109</v>
      </c>
      <c r="F30" s="22" t="s">
        <v>42</v>
      </c>
      <c r="G30" s="22" t="s">
        <v>58</v>
      </c>
      <c r="H30" s="22" t="s">
        <v>26</v>
      </c>
      <c r="I30" s="22" t="s">
        <v>36</v>
      </c>
      <c r="J30" s="22" t="s">
        <v>37</v>
      </c>
      <c r="K30" s="57">
        <v>1</v>
      </c>
      <c r="L30" s="22" t="s">
        <v>57</v>
      </c>
      <c r="M30" s="22">
        <v>2018</v>
      </c>
      <c r="N30" s="22" t="s">
        <v>25</v>
      </c>
      <c r="O30" s="23" t="s">
        <v>25</v>
      </c>
      <c r="P30" s="22" t="s">
        <v>25</v>
      </c>
      <c r="Q30" s="23" t="s">
        <v>25</v>
      </c>
      <c r="R30" s="24">
        <v>100</v>
      </c>
      <c r="S30" s="25">
        <v>1</v>
      </c>
      <c r="T30" s="25">
        <v>0</v>
      </c>
      <c r="U30" s="25">
        <v>0</v>
      </c>
    </row>
    <row r="31" spans="1:21" x14ac:dyDescent="0.2">
      <c r="A31" s="22" t="s">
        <v>36</v>
      </c>
      <c r="B31" s="22" t="s">
        <v>37</v>
      </c>
      <c r="C31" s="22" t="s">
        <v>33</v>
      </c>
      <c r="D31" s="22" t="s">
        <v>127</v>
      </c>
      <c r="E31" s="22" t="s">
        <v>128</v>
      </c>
      <c r="F31" s="22" t="s">
        <v>41</v>
      </c>
      <c r="G31" s="22" t="s">
        <v>59</v>
      </c>
      <c r="H31" s="22" t="s">
        <v>26</v>
      </c>
      <c r="I31" s="22" t="s">
        <v>36</v>
      </c>
      <c r="J31" s="22" t="s">
        <v>37</v>
      </c>
      <c r="K31" s="57">
        <v>1</v>
      </c>
      <c r="L31" s="22" t="s">
        <v>57</v>
      </c>
      <c r="M31" s="22">
        <v>2018</v>
      </c>
      <c r="N31" s="22" t="s">
        <v>25</v>
      </c>
      <c r="O31" s="23" t="s">
        <v>25</v>
      </c>
      <c r="P31" s="22" t="s">
        <v>25</v>
      </c>
      <c r="Q31" s="23" t="s">
        <v>25</v>
      </c>
      <c r="R31" s="24">
        <v>100</v>
      </c>
      <c r="S31" s="25">
        <v>1</v>
      </c>
      <c r="T31" s="25">
        <v>0</v>
      </c>
      <c r="U31" s="25">
        <v>0</v>
      </c>
    </row>
    <row r="32" spans="1:21" x14ac:dyDescent="0.2">
      <c r="A32" s="22" t="s">
        <v>36</v>
      </c>
      <c r="B32" s="22" t="s">
        <v>37</v>
      </c>
      <c r="C32" s="22" t="s">
        <v>33</v>
      </c>
      <c r="D32" s="22" t="s">
        <v>110</v>
      </c>
      <c r="E32" s="22" t="s">
        <v>111</v>
      </c>
      <c r="F32" s="22" t="s">
        <v>112</v>
      </c>
      <c r="G32" s="22" t="s">
        <v>59</v>
      </c>
      <c r="H32" s="22" t="s">
        <v>26</v>
      </c>
      <c r="I32" s="22" t="s">
        <v>36</v>
      </c>
      <c r="J32" s="22" t="s">
        <v>37</v>
      </c>
      <c r="K32" s="57">
        <v>1</v>
      </c>
      <c r="L32" s="22" t="s">
        <v>57</v>
      </c>
      <c r="M32" s="22">
        <v>2018</v>
      </c>
      <c r="N32" s="22" t="s">
        <v>25</v>
      </c>
      <c r="O32" s="23" t="s">
        <v>25</v>
      </c>
      <c r="P32" s="22" t="s">
        <v>25</v>
      </c>
      <c r="Q32" s="23" t="s">
        <v>25</v>
      </c>
      <c r="R32" s="24">
        <v>100</v>
      </c>
      <c r="S32" s="25">
        <v>1</v>
      </c>
      <c r="T32" s="25">
        <v>0</v>
      </c>
      <c r="U32" s="25">
        <v>0</v>
      </c>
    </row>
    <row r="33" spans="1:21" x14ac:dyDescent="0.2">
      <c r="A33" s="22" t="s">
        <v>36</v>
      </c>
      <c r="B33" s="22" t="s">
        <v>37</v>
      </c>
      <c r="C33" s="22" t="s">
        <v>33</v>
      </c>
      <c r="D33" s="22" t="s">
        <v>119</v>
      </c>
      <c r="E33" s="22" t="s">
        <v>120</v>
      </c>
      <c r="F33" s="22" t="s">
        <v>42</v>
      </c>
      <c r="G33" s="22" t="s">
        <v>56</v>
      </c>
      <c r="H33" s="22" t="s">
        <v>26</v>
      </c>
      <c r="I33" s="22" t="s">
        <v>36</v>
      </c>
      <c r="J33" s="22" t="s">
        <v>37</v>
      </c>
      <c r="K33" s="57">
        <v>1</v>
      </c>
      <c r="L33" s="22" t="s">
        <v>57</v>
      </c>
      <c r="M33" s="22">
        <v>2018</v>
      </c>
      <c r="N33" s="22" t="s">
        <v>34</v>
      </c>
      <c r="O33" s="23" t="s">
        <v>28</v>
      </c>
      <c r="P33" s="22" t="s">
        <v>25</v>
      </c>
      <c r="Q33" s="23" t="s">
        <v>25</v>
      </c>
      <c r="R33" s="24">
        <v>90</v>
      </c>
      <c r="S33" s="25">
        <v>0.9</v>
      </c>
      <c r="T33" s="25">
        <v>0.1</v>
      </c>
      <c r="U33" s="25">
        <v>0</v>
      </c>
    </row>
    <row r="34" spans="1:21" x14ac:dyDescent="0.2">
      <c r="A34" s="22" t="s">
        <v>36</v>
      </c>
      <c r="B34" s="22" t="s">
        <v>37</v>
      </c>
      <c r="C34" s="22" t="s">
        <v>33</v>
      </c>
      <c r="D34" s="22" t="s">
        <v>121</v>
      </c>
      <c r="E34" s="22" t="s">
        <v>122</v>
      </c>
      <c r="F34" s="22" t="s">
        <v>123</v>
      </c>
      <c r="G34" s="22" t="s">
        <v>56</v>
      </c>
      <c r="H34" s="22" t="s">
        <v>26</v>
      </c>
      <c r="I34" s="22" t="s">
        <v>36</v>
      </c>
      <c r="J34" s="22" t="s">
        <v>37</v>
      </c>
      <c r="K34" s="57">
        <v>1</v>
      </c>
      <c r="L34" s="22" t="s">
        <v>57</v>
      </c>
      <c r="M34" s="22">
        <v>2018</v>
      </c>
      <c r="N34" s="22" t="s">
        <v>34</v>
      </c>
      <c r="O34" s="23" t="s">
        <v>28</v>
      </c>
      <c r="P34" s="22" t="s">
        <v>25</v>
      </c>
      <c r="Q34" s="23" t="s">
        <v>25</v>
      </c>
      <c r="R34" s="24">
        <v>90</v>
      </c>
      <c r="S34" s="25">
        <v>0.9</v>
      </c>
      <c r="T34" s="25">
        <v>0.1</v>
      </c>
      <c r="U34" s="25">
        <v>0</v>
      </c>
    </row>
    <row r="35" spans="1:21" x14ac:dyDescent="0.2">
      <c r="A35" s="22" t="s">
        <v>36</v>
      </c>
      <c r="B35" s="22" t="s">
        <v>37</v>
      </c>
      <c r="C35" s="22" t="s">
        <v>33</v>
      </c>
      <c r="D35" s="22" t="s">
        <v>106</v>
      </c>
      <c r="E35" s="22" t="s">
        <v>107</v>
      </c>
      <c r="F35" s="22" t="s">
        <v>52</v>
      </c>
      <c r="G35" s="22" t="s">
        <v>56</v>
      </c>
      <c r="H35" s="22" t="s">
        <v>26</v>
      </c>
      <c r="I35" s="22" t="s">
        <v>36</v>
      </c>
      <c r="J35" s="22" t="s">
        <v>37</v>
      </c>
      <c r="K35" s="57">
        <v>1</v>
      </c>
      <c r="L35" s="22" t="s">
        <v>57</v>
      </c>
      <c r="M35" s="22">
        <v>2018</v>
      </c>
      <c r="N35" s="22" t="s">
        <v>34</v>
      </c>
      <c r="O35" s="23" t="s">
        <v>28</v>
      </c>
      <c r="P35" s="22" t="s">
        <v>25</v>
      </c>
      <c r="Q35" s="23" t="s">
        <v>25</v>
      </c>
      <c r="R35" s="24">
        <v>90</v>
      </c>
      <c r="S35" s="25">
        <v>0.9</v>
      </c>
      <c r="T35" s="25">
        <v>0.1</v>
      </c>
      <c r="U35" s="25">
        <v>0</v>
      </c>
    </row>
    <row r="36" spans="1:21" x14ac:dyDescent="0.2">
      <c r="A36" s="22" t="s">
        <v>36</v>
      </c>
      <c r="B36" s="22" t="s">
        <v>37</v>
      </c>
      <c r="C36" s="22" t="s">
        <v>33</v>
      </c>
      <c r="D36" s="22" t="s">
        <v>117</v>
      </c>
      <c r="E36" s="22" t="s">
        <v>118</v>
      </c>
      <c r="F36" s="22" t="s">
        <v>48</v>
      </c>
      <c r="G36" s="22" t="s">
        <v>59</v>
      </c>
      <c r="H36" s="22" t="s">
        <v>24</v>
      </c>
      <c r="I36" s="22" t="s">
        <v>36</v>
      </c>
      <c r="J36" s="22" t="s">
        <v>37</v>
      </c>
      <c r="K36" s="57">
        <v>0.5</v>
      </c>
      <c r="L36" s="22" t="s">
        <v>57</v>
      </c>
      <c r="M36" s="22">
        <v>2018</v>
      </c>
      <c r="N36" s="22" t="s">
        <v>25</v>
      </c>
      <c r="O36" s="23" t="s">
        <v>25</v>
      </c>
      <c r="P36" s="22" t="s">
        <v>25</v>
      </c>
      <c r="Q36" s="23" t="s">
        <v>25</v>
      </c>
      <c r="R36" s="24">
        <v>100</v>
      </c>
      <c r="S36" s="25">
        <v>0.5</v>
      </c>
      <c r="T36" s="25">
        <v>0</v>
      </c>
      <c r="U36" s="25">
        <v>0</v>
      </c>
    </row>
    <row r="37" spans="1:21" x14ac:dyDescent="0.2">
      <c r="A37" s="22" t="s">
        <v>36</v>
      </c>
      <c r="B37" s="22" t="s">
        <v>37</v>
      </c>
      <c r="C37" s="22" t="s">
        <v>33</v>
      </c>
      <c r="D37" s="22" t="s">
        <v>117</v>
      </c>
      <c r="E37" s="22" t="s">
        <v>118</v>
      </c>
      <c r="F37" s="22" t="s">
        <v>48</v>
      </c>
      <c r="G37" s="22" t="s">
        <v>29</v>
      </c>
      <c r="H37" s="22" t="s">
        <v>24</v>
      </c>
      <c r="I37" s="22" t="s">
        <v>36</v>
      </c>
      <c r="J37" s="22" t="s">
        <v>37</v>
      </c>
      <c r="K37" s="57">
        <v>0.5</v>
      </c>
      <c r="L37" s="22" t="s">
        <v>57</v>
      </c>
      <c r="M37" s="22">
        <v>2018</v>
      </c>
      <c r="N37" s="22" t="s">
        <v>25</v>
      </c>
      <c r="O37" s="23" t="s">
        <v>25</v>
      </c>
      <c r="P37" s="22" t="s">
        <v>25</v>
      </c>
      <c r="Q37" s="23" t="s">
        <v>25</v>
      </c>
      <c r="R37" s="24">
        <v>100</v>
      </c>
      <c r="S37" s="25">
        <v>0.5</v>
      </c>
      <c r="T37" s="25">
        <v>0</v>
      </c>
      <c r="U37" s="25">
        <v>0</v>
      </c>
    </row>
    <row r="38" spans="1:21" x14ac:dyDescent="0.2">
      <c r="A38" s="22" t="s">
        <v>36</v>
      </c>
      <c r="B38" s="22" t="s">
        <v>37</v>
      </c>
      <c r="C38" s="22" t="s">
        <v>33</v>
      </c>
      <c r="D38" s="22" t="s">
        <v>139</v>
      </c>
      <c r="E38" s="22" t="s">
        <v>140</v>
      </c>
      <c r="F38" s="22" t="s">
        <v>53</v>
      </c>
      <c r="G38" s="22" t="s">
        <v>58</v>
      </c>
      <c r="H38" s="22" t="s">
        <v>24</v>
      </c>
      <c r="I38" s="22" t="s">
        <v>36</v>
      </c>
      <c r="J38" s="22" t="s">
        <v>37</v>
      </c>
      <c r="K38" s="57">
        <v>0.5</v>
      </c>
      <c r="L38" s="22" t="s">
        <v>57</v>
      </c>
      <c r="M38" s="22">
        <v>2018</v>
      </c>
      <c r="N38" s="22" t="s">
        <v>25</v>
      </c>
      <c r="O38" s="23" t="s">
        <v>25</v>
      </c>
      <c r="P38" s="22" t="s">
        <v>25</v>
      </c>
      <c r="Q38" s="23" t="s">
        <v>25</v>
      </c>
      <c r="R38" s="24">
        <v>100</v>
      </c>
      <c r="S38" s="25">
        <v>0.5</v>
      </c>
      <c r="T38" s="25">
        <v>0</v>
      </c>
      <c r="U38" s="25">
        <v>0</v>
      </c>
    </row>
    <row r="39" spans="1:21" x14ac:dyDescent="0.2">
      <c r="A39" s="22" t="s">
        <v>36</v>
      </c>
      <c r="B39" s="22" t="s">
        <v>37</v>
      </c>
      <c r="C39" s="22" t="s">
        <v>33</v>
      </c>
      <c r="D39" s="22" t="s">
        <v>139</v>
      </c>
      <c r="E39" s="22" t="s">
        <v>140</v>
      </c>
      <c r="F39" s="22" t="s">
        <v>53</v>
      </c>
      <c r="G39" s="22" t="s">
        <v>29</v>
      </c>
      <c r="H39" s="22" t="s">
        <v>24</v>
      </c>
      <c r="I39" s="22" t="s">
        <v>36</v>
      </c>
      <c r="J39" s="22" t="s">
        <v>37</v>
      </c>
      <c r="K39" s="57">
        <v>0.5</v>
      </c>
      <c r="L39" s="22" t="s">
        <v>57</v>
      </c>
      <c r="M39" s="22">
        <v>2018</v>
      </c>
      <c r="N39" s="22" t="s">
        <v>25</v>
      </c>
      <c r="O39" s="23" t="s">
        <v>25</v>
      </c>
      <c r="P39" s="22" t="s">
        <v>25</v>
      </c>
      <c r="Q39" s="23" t="s">
        <v>25</v>
      </c>
      <c r="R39" s="24">
        <v>100</v>
      </c>
      <c r="S39" s="25">
        <v>0.5</v>
      </c>
      <c r="T39" s="25">
        <v>0</v>
      </c>
      <c r="U39" s="25">
        <v>0</v>
      </c>
    </row>
    <row r="40" spans="1:21" x14ac:dyDescent="0.2">
      <c r="A40" s="22" t="s">
        <v>36</v>
      </c>
      <c r="B40" s="22" t="s">
        <v>37</v>
      </c>
      <c r="C40" s="22" t="s">
        <v>33</v>
      </c>
      <c r="D40" s="22" t="s">
        <v>136</v>
      </c>
      <c r="E40" s="22" t="s">
        <v>137</v>
      </c>
      <c r="F40" s="22" t="s">
        <v>138</v>
      </c>
      <c r="G40" s="22" t="s">
        <v>61</v>
      </c>
      <c r="H40" s="22" t="s">
        <v>26</v>
      </c>
      <c r="I40" s="22" t="s">
        <v>36</v>
      </c>
      <c r="J40" s="22" t="s">
        <v>37</v>
      </c>
      <c r="K40" s="57">
        <v>1</v>
      </c>
      <c r="L40" s="22" t="s">
        <v>57</v>
      </c>
      <c r="M40" s="22">
        <v>2018</v>
      </c>
      <c r="N40" s="22" t="s">
        <v>25</v>
      </c>
      <c r="O40" s="23" t="s">
        <v>25</v>
      </c>
      <c r="P40" s="22" t="s">
        <v>25</v>
      </c>
      <c r="Q40" s="23" t="s">
        <v>25</v>
      </c>
      <c r="R40" s="24">
        <v>100</v>
      </c>
      <c r="S40" s="25">
        <v>1</v>
      </c>
      <c r="T40" s="25">
        <v>0</v>
      </c>
      <c r="U40" s="25">
        <v>0</v>
      </c>
    </row>
    <row r="41" spans="1:21" x14ac:dyDescent="0.2">
      <c r="A41" s="22" t="s">
        <v>36</v>
      </c>
      <c r="B41" s="22" t="s">
        <v>37</v>
      </c>
      <c r="C41" s="22" t="s">
        <v>33</v>
      </c>
      <c r="D41" s="22" t="s">
        <v>113</v>
      </c>
      <c r="E41" s="22" t="s">
        <v>114</v>
      </c>
      <c r="F41" s="22" t="s">
        <v>115</v>
      </c>
      <c r="G41" s="22" t="s">
        <v>116</v>
      </c>
      <c r="H41" s="22" t="s">
        <v>26</v>
      </c>
      <c r="I41" s="22" t="s">
        <v>36</v>
      </c>
      <c r="J41" s="22" t="s">
        <v>37</v>
      </c>
      <c r="K41" s="57">
        <v>1</v>
      </c>
      <c r="L41" s="22" t="s">
        <v>57</v>
      </c>
      <c r="M41" s="22">
        <v>2018</v>
      </c>
      <c r="N41" s="22" t="s">
        <v>25</v>
      </c>
      <c r="O41" s="23" t="s">
        <v>25</v>
      </c>
      <c r="P41" s="22" t="s">
        <v>25</v>
      </c>
      <c r="Q41" s="23" t="s">
        <v>25</v>
      </c>
      <c r="R41" s="24">
        <v>100</v>
      </c>
      <c r="S41" s="25">
        <v>1</v>
      </c>
      <c r="T41" s="25">
        <v>0</v>
      </c>
      <c r="U41" s="25">
        <v>0</v>
      </c>
    </row>
    <row r="42" spans="1:21" x14ac:dyDescent="0.2">
      <c r="A42" s="22" t="s">
        <v>36</v>
      </c>
      <c r="B42" s="22" t="s">
        <v>37</v>
      </c>
      <c r="C42" s="22" t="s">
        <v>33</v>
      </c>
      <c r="D42" s="22" t="s">
        <v>134</v>
      </c>
      <c r="E42" s="22" t="s">
        <v>135</v>
      </c>
      <c r="F42" s="22" t="s">
        <v>47</v>
      </c>
      <c r="G42" s="22" t="s">
        <v>58</v>
      </c>
      <c r="H42" s="22" t="s">
        <v>24</v>
      </c>
      <c r="I42" s="22" t="s">
        <v>36</v>
      </c>
      <c r="J42" s="22" t="s">
        <v>37</v>
      </c>
      <c r="K42" s="57">
        <v>0.5</v>
      </c>
      <c r="L42" s="22" t="s">
        <v>57</v>
      </c>
      <c r="M42" s="22">
        <v>2018</v>
      </c>
      <c r="N42" s="22" t="s">
        <v>25</v>
      </c>
      <c r="O42" s="23" t="s">
        <v>25</v>
      </c>
      <c r="P42" s="22" t="s">
        <v>25</v>
      </c>
      <c r="Q42" s="23" t="s">
        <v>25</v>
      </c>
      <c r="R42" s="24">
        <v>100</v>
      </c>
      <c r="S42" s="25">
        <v>0.5</v>
      </c>
      <c r="T42" s="25">
        <v>0</v>
      </c>
      <c r="U42" s="25">
        <v>0</v>
      </c>
    </row>
    <row r="43" spans="1:21" x14ac:dyDescent="0.2">
      <c r="A43" s="22" t="s">
        <v>36</v>
      </c>
      <c r="B43" s="22" t="s">
        <v>37</v>
      </c>
      <c r="C43" s="22" t="s">
        <v>33</v>
      </c>
      <c r="D43" s="22" t="s">
        <v>134</v>
      </c>
      <c r="E43" s="22" t="s">
        <v>135</v>
      </c>
      <c r="F43" s="22" t="s">
        <v>47</v>
      </c>
      <c r="G43" s="22" t="s">
        <v>29</v>
      </c>
      <c r="H43" s="22" t="s">
        <v>24</v>
      </c>
      <c r="I43" s="22" t="s">
        <v>36</v>
      </c>
      <c r="J43" s="22" t="s">
        <v>37</v>
      </c>
      <c r="K43" s="57">
        <v>0.5</v>
      </c>
      <c r="L43" s="22" t="s">
        <v>57</v>
      </c>
      <c r="M43" s="22">
        <v>2018</v>
      </c>
      <c r="N43" s="22" t="s">
        <v>25</v>
      </c>
      <c r="O43" s="23" t="s">
        <v>25</v>
      </c>
      <c r="P43" s="22" t="s">
        <v>25</v>
      </c>
      <c r="Q43" s="23" t="s">
        <v>25</v>
      </c>
      <c r="R43" s="24">
        <v>100</v>
      </c>
      <c r="S43" s="25">
        <v>0.5</v>
      </c>
      <c r="T43" s="25">
        <v>0</v>
      </c>
      <c r="U43" s="25">
        <v>0</v>
      </c>
    </row>
    <row r="44" spans="1:21" x14ac:dyDescent="0.2">
      <c r="A44" s="22" t="s">
        <v>36</v>
      </c>
      <c r="B44" s="22" t="s">
        <v>37</v>
      </c>
      <c r="C44" s="22" t="s">
        <v>33</v>
      </c>
      <c r="D44" s="22" t="s">
        <v>129</v>
      </c>
      <c r="E44" s="22" t="s">
        <v>130</v>
      </c>
      <c r="F44" s="22" t="s">
        <v>131</v>
      </c>
      <c r="G44" s="22" t="s">
        <v>59</v>
      </c>
      <c r="H44" s="22" t="s">
        <v>24</v>
      </c>
      <c r="I44" s="22" t="s">
        <v>36</v>
      </c>
      <c r="J44" s="22" t="s">
        <v>37</v>
      </c>
      <c r="K44" s="57">
        <v>0.5</v>
      </c>
      <c r="L44" s="22" t="s">
        <v>57</v>
      </c>
      <c r="M44" s="22">
        <v>2018</v>
      </c>
      <c r="N44" s="22" t="s">
        <v>25</v>
      </c>
      <c r="O44" s="23" t="s">
        <v>25</v>
      </c>
      <c r="P44" s="22" t="s">
        <v>25</v>
      </c>
      <c r="Q44" s="23" t="s">
        <v>25</v>
      </c>
      <c r="R44" s="24">
        <v>100</v>
      </c>
      <c r="S44" s="25">
        <v>0.5</v>
      </c>
      <c r="T44" s="25">
        <v>0</v>
      </c>
      <c r="U44" s="25">
        <v>0</v>
      </c>
    </row>
    <row r="45" spans="1:21" x14ac:dyDescent="0.2">
      <c r="A45" s="22" t="s">
        <v>36</v>
      </c>
      <c r="B45" s="22" t="s">
        <v>37</v>
      </c>
      <c r="C45" s="22" t="s">
        <v>33</v>
      </c>
      <c r="D45" s="22" t="s">
        <v>129</v>
      </c>
      <c r="E45" s="22" t="s">
        <v>130</v>
      </c>
      <c r="F45" s="22" t="s">
        <v>131</v>
      </c>
      <c r="G45" s="22" t="s">
        <v>29</v>
      </c>
      <c r="H45" s="22" t="s">
        <v>24</v>
      </c>
      <c r="I45" s="22" t="s">
        <v>36</v>
      </c>
      <c r="J45" s="22" t="s">
        <v>37</v>
      </c>
      <c r="K45" s="57">
        <v>0.5</v>
      </c>
      <c r="L45" s="22" t="s">
        <v>57</v>
      </c>
      <c r="M45" s="22">
        <v>2018</v>
      </c>
      <c r="N45" s="22" t="s">
        <v>25</v>
      </c>
      <c r="O45" s="23" t="s">
        <v>25</v>
      </c>
      <c r="P45" s="22" t="s">
        <v>25</v>
      </c>
      <c r="Q45" s="23" t="s">
        <v>25</v>
      </c>
      <c r="R45" s="24">
        <v>100</v>
      </c>
      <c r="S45" s="25">
        <v>0.5</v>
      </c>
      <c r="T45" s="25">
        <v>0</v>
      </c>
      <c r="U45" s="25">
        <v>0</v>
      </c>
    </row>
    <row r="46" spans="1:21" x14ac:dyDescent="0.2">
      <c r="A46" s="22" t="s">
        <v>36</v>
      </c>
      <c r="B46" s="22" t="s">
        <v>37</v>
      </c>
      <c r="C46" s="22" t="s">
        <v>33</v>
      </c>
      <c r="D46" s="22" t="s">
        <v>124</v>
      </c>
      <c r="E46" s="22" t="s">
        <v>125</v>
      </c>
      <c r="F46" s="22" t="s">
        <v>126</v>
      </c>
      <c r="G46" s="22" t="s">
        <v>61</v>
      </c>
      <c r="H46" s="22" t="s">
        <v>26</v>
      </c>
      <c r="I46" s="22" t="s">
        <v>36</v>
      </c>
      <c r="J46" s="22" t="s">
        <v>37</v>
      </c>
      <c r="K46" s="57">
        <v>1</v>
      </c>
      <c r="L46" s="22" t="s">
        <v>57</v>
      </c>
      <c r="M46" s="22">
        <v>2018</v>
      </c>
      <c r="N46" s="22" t="s">
        <v>25</v>
      </c>
      <c r="O46" s="23" t="s">
        <v>25</v>
      </c>
      <c r="P46" s="22" t="s">
        <v>25</v>
      </c>
      <c r="Q46" s="23" t="s">
        <v>25</v>
      </c>
      <c r="R46" s="24">
        <v>100</v>
      </c>
      <c r="S46" s="25">
        <v>1</v>
      </c>
      <c r="T46" s="25">
        <v>0</v>
      </c>
      <c r="U46" s="25">
        <v>0</v>
      </c>
    </row>
    <row r="47" spans="1:21" x14ac:dyDescent="0.2">
      <c r="A47" s="22" t="s">
        <v>36</v>
      </c>
      <c r="B47" s="22" t="s">
        <v>37</v>
      </c>
      <c r="C47" s="22" t="s">
        <v>33</v>
      </c>
      <c r="D47" s="22" t="s">
        <v>141</v>
      </c>
      <c r="E47" s="22" t="s">
        <v>142</v>
      </c>
      <c r="F47" s="22" t="s">
        <v>112</v>
      </c>
      <c r="G47" s="22" t="s">
        <v>60</v>
      </c>
      <c r="H47" s="22" t="s">
        <v>26</v>
      </c>
      <c r="I47" s="22" t="s">
        <v>36</v>
      </c>
      <c r="J47" s="22" t="s">
        <v>37</v>
      </c>
      <c r="K47" s="57">
        <v>1</v>
      </c>
      <c r="L47" s="22" t="s">
        <v>57</v>
      </c>
      <c r="M47" s="22">
        <v>2018</v>
      </c>
      <c r="N47" s="22" t="s">
        <v>25</v>
      </c>
      <c r="O47" s="23" t="s">
        <v>25</v>
      </c>
      <c r="P47" s="22" t="s">
        <v>25</v>
      </c>
      <c r="Q47" s="23" t="s">
        <v>25</v>
      </c>
      <c r="R47" s="24">
        <v>100</v>
      </c>
      <c r="S47" s="25">
        <v>1</v>
      </c>
      <c r="T47" s="25">
        <v>0</v>
      </c>
      <c r="U47" s="25">
        <v>0</v>
      </c>
    </row>
    <row r="48" spans="1:21" x14ac:dyDescent="0.2">
      <c r="A48" s="26" t="s">
        <v>36</v>
      </c>
      <c r="B48" s="26" t="s">
        <v>37</v>
      </c>
      <c r="C48" s="26" t="s">
        <v>33</v>
      </c>
      <c r="D48" s="26" t="s">
        <v>217</v>
      </c>
      <c r="E48" s="26" t="s">
        <v>218</v>
      </c>
      <c r="F48" s="26" t="s">
        <v>212</v>
      </c>
      <c r="G48" s="26" t="s">
        <v>61</v>
      </c>
      <c r="H48" s="26" t="s">
        <v>24</v>
      </c>
      <c r="I48" s="26" t="s">
        <v>36</v>
      </c>
      <c r="J48" s="26" t="s">
        <v>37</v>
      </c>
      <c r="K48" s="58">
        <v>0.5</v>
      </c>
      <c r="L48" s="26" t="s">
        <v>57</v>
      </c>
      <c r="M48" s="26">
        <v>2019</v>
      </c>
      <c r="N48" s="26" t="s">
        <v>25</v>
      </c>
      <c r="O48" s="27" t="s">
        <v>25</v>
      </c>
      <c r="P48" s="26" t="s">
        <v>25</v>
      </c>
      <c r="Q48" s="27" t="s">
        <v>25</v>
      </c>
      <c r="R48" s="28">
        <v>100</v>
      </c>
      <c r="S48" s="29">
        <v>0.5</v>
      </c>
      <c r="T48" s="29">
        <v>0</v>
      </c>
      <c r="U48" s="29">
        <v>0</v>
      </c>
    </row>
    <row r="49" spans="1:21" x14ac:dyDescent="0.2">
      <c r="A49" s="26" t="s">
        <v>36</v>
      </c>
      <c r="B49" s="26" t="s">
        <v>37</v>
      </c>
      <c r="C49" s="26" t="s">
        <v>33</v>
      </c>
      <c r="D49" s="26" t="s">
        <v>217</v>
      </c>
      <c r="E49" s="26" t="s">
        <v>218</v>
      </c>
      <c r="F49" s="26" t="s">
        <v>212</v>
      </c>
      <c r="G49" s="26" t="s">
        <v>216</v>
      </c>
      <c r="H49" s="26" t="s">
        <v>24</v>
      </c>
      <c r="I49" s="26" t="s">
        <v>36</v>
      </c>
      <c r="J49" s="26" t="s">
        <v>37</v>
      </c>
      <c r="K49" s="58">
        <v>0.5</v>
      </c>
      <c r="L49" s="26" t="s">
        <v>57</v>
      </c>
      <c r="M49" s="26">
        <v>2019</v>
      </c>
      <c r="N49" s="26" t="s">
        <v>25</v>
      </c>
      <c r="O49" s="27" t="s">
        <v>25</v>
      </c>
      <c r="P49" s="26" t="s">
        <v>25</v>
      </c>
      <c r="Q49" s="27" t="s">
        <v>25</v>
      </c>
      <c r="R49" s="28">
        <v>100</v>
      </c>
      <c r="S49" s="29">
        <v>0.5</v>
      </c>
      <c r="T49" s="29">
        <v>0</v>
      </c>
      <c r="U49" s="29">
        <v>0</v>
      </c>
    </row>
    <row r="50" spans="1:21" x14ac:dyDescent="0.2">
      <c r="A50" s="26" t="s">
        <v>36</v>
      </c>
      <c r="B50" s="26" t="s">
        <v>37</v>
      </c>
      <c r="C50" s="26" t="s">
        <v>33</v>
      </c>
      <c r="D50" s="26" t="s">
        <v>213</v>
      </c>
      <c r="E50" s="26" t="s">
        <v>214</v>
      </c>
      <c r="F50" s="26" t="s">
        <v>215</v>
      </c>
      <c r="G50" s="26" t="s">
        <v>61</v>
      </c>
      <c r="H50" s="26" t="s">
        <v>24</v>
      </c>
      <c r="I50" s="26" t="s">
        <v>36</v>
      </c>
      <c r="J50" s="26" t="s">
        <v>37</v>
      </c>
      <c r="K50" s="58">
        <v>0.5</v>
      </c>
      <c r="L50" s="26" t="s">
        <v>57</v>
      </c>
      <c r="M50" s="26">
        <v>2019</v>
      </c>
      <c r="N50" s="26" t="s">
        <v>25</v>
      </c>
      <c r="O50" s="27" t="s">
        <v>25</v>
      </c>
      <c r="P50" s="26" t="s">
        <v>25</v>
      </c>
      <c r="Q50" s="27" t="s">
        <v>25</v>
      </c>
      <c r="R50" s="28">
        <v>100</v>
      </c>
      <c r="S50" s="29">
        <v>0.5</v>
      </c>
      <c r="T50" s="29">
        <v>0</v>
      </c>
      <c r="U50" s="29">
        <v>0</v>
      </c>
    </row>
    <row r="51" spans="1:21" x14ac:dyDescent="0.2">
      <c r="A51" s="26" t="s">
        <v>36</v>
      </c>
      <c r="B51" s="26" t="s">
        <v>37</v>
      </c>
      <c r="C51" s="26" t="s">
        <v>33</v>
      </c>
      <c r="D51" s="26" t="s">
        <v>213</v>
      </c>
      <c r="E51" s="26" t="s">
        <v>214</v>
      </c>
      <c r="F51" s="26" t="s">
        <v>215</v>
      </c>
      <c r="G51" s="26" t="s">
        <v>216</v>
      </c>
      <c r="H51" s="26" t="s">
        <v>24</v>
      </c>
      <c r="I51" s="26" t="s">
        <v>36</v>
      </c>
      <c r="J51" s="26" t="s">
        <v>37</v>
      </c>
      <c r="K51" s="58">
        <v>0.5</v>
      </c>
      <c r="L51" s="26" t="s">
        <v>57</v>
      </c>
      <c r="M51" s="26">
        <v>2019</v>
      </c>
      <c r="N51" s="26" t="s">
        <v>25</v>
      </c>
      <c r="O51" s="27" t="s">
        <v>25</v>
      </c>
      <c r="P51" s="26" t="s">
        <v>25</v>
      </c>
      <c r="Q51" s="27" t="s">
        <v>25</v>
      </c>
      <c r="R51" s="28">
        <v>100</v>
      </c>
      <c r="S51" s="29">
        <v>0.5</v>
      </c>
      <c r="T51" s="29">
        <v>0</v>
      </c>
      <c r="U51" s="29">
        <v>0</v>
      </c>
    </row>
    <row r="52" spans="1:21" x14ac:dyDescent="0.2">
      <c r="A52" s="26" t="s">
        <v>36</v>
      </c>
      <c r="B52" s="26" t="s">
        <v>37</v>
      </c>
      <c r="C52" s="26" t="s">
        <v>33</v>
      </c>
      <c r="D52" s="26" t="s">
        <v>198</v>
      </c>
      <c r="E52" s="26" t="s">
        <v>199</v>
      </c>
      <c r="F52" s="26" t="s">
        <v>197</v>
      </c>
      <c r="G52" s="26" t="s">
        <v>61</v>
      </c>
      <c r="H52" s="26" t="s">
        <v>24</v>
      </c>
      <c r="I52" s="26" t="s">
        <v>36</v>
      </c>
      <c r="J52" s="26" t="s">
        <v>37</v>
      </c>
      <c r="K52" s="58">
        <v>0.5</v>
      </c>
      <c r="L52" s="26" t="s">
        <v>57</v>
      </c>
      <c r="M52" s="26">
        <v>2019</v>
      </c>
      <c r="N52" s="26" t="s">
        <v>25</v>
      </c>
      <c r="O52" s="27" t="s">
        <v>25</v>
      </c>
      <c r="P52" s="26" t="s">
        <v>25</v>
      </c>
      <c r="Q52" s="27" t="s">
        <v>25</v>
      </c>
      <c r="R52" s="28">
        <v>100</v>
      </c>
      <c r="S52" s="29">
        <v>0.5</v>
      </c>
      <c r="T52" s="29">
        <v>0</v>
      </c>
      <c r="U52" s="29">
        <v>0</v>
      </c>
    </row>
    <row r="53" spans="1:21" x14ac:dyDescent="0.2">
      <c r="A53" s="26" t="s">
        <v>36</v>
      </c>
      <c r="B53" s="26" t="s">
        <v>37</v>
      </c>
      <c r="C53" s="26" t="s">
        <v>33</v>
      </c>
      <c r="D53" s="26" t="s">
        <v>210</v>
      </c>
      <c r="E53" s="26" t="s">
        <v>211</v>
      </c>
      <c r="F53" s="26" t="s">
        <v>212</v>
      </c>
      <c r="G53" s="26" t="s">
        <v>61</v>
      </c>
      <c r="H53" s="26" t="s">
        <v>26</v>
      </c>
      <c r="I53" s="26" t="s">
        <v>36</v>
      </c>
      <c r="J53" s="26" t="s">
        <v>37</v>
      </c>
      <c r="K53" s="58">
        <v>1</v>
      </c>
      <c r="L53" s="26" t="s">
        <v>57</v>
      </c>
      <c r="M53" s="26">
        <v>2019</v>
      </c>
      <c r="N53" s="26" t="s">
        <v>25</v>
      </c>
      <c r="O53" s="27" t="s">
        <v>25</v>
      </c>
      <c r="P53" s="26" t="s">
        <v>25</v>
      </c>
      <c r="Q53" s="27" t="s">
        <v>25</v>
      </c>
      <c r="R53" s="28">
        <v>100</v>
      </c>
      <c r="S53" s="29">
        <v>1</v>
      </c>
      <c r="T53" s="29">
        <v>0</v>
      </c>
      <c r="U53" s="29">
        <v>0</v>
      </c>
    </row>
    <row r="54" spans="1:21" x14ac:dyDescent="0.2">
      <c r="A54" s="26" t="s">
        <v>36</v>
      </c>
      <c r="B54" s="26" t="s">
        <v>37</v>
      </c>
      <c r="C54" s="26" t="s">
        <v>33</v>
      </c>
      <c r="D54" s="26" t="s">
        <v>192</v>
      </c>
      <c r="E54" s="26" t="s">
        <v>193</v>
      </c>
      <c r="F54" s="26" t="s">
        <v>194</v>
      </c>
      <c r="G54" s="26" t="s">
        <v>59</v>
      </c>
      <c r="H54" s="26" t="s">
        <v>26</v>
      </c>
      <c r="I54" s="26" t="s">
        <v>36</v>
      </c>
      <c r="J54" s="26" t="s">
        <v>37</v>
      </c>
      <c r="K54" s="58">
        <v>1</v>
      </c>
      <c r="L54" s="26" t="s">
        <v>57</v>
      </c>
      <c r="M54" s="26">
        <v>2019</v>
      </c>
      <c r="N54" s="26" t="s">
        <v>25</v>
      </c>
      <c r="O54" s="27" t="s">
        <v>25</v>
      </c>
      <c r="P54" s="26" t="s">
        <v>25</v>
      </c>
      <c r="Q54" s="27" t="s">
        <v>25</v>
      </c>
      <c r="R54" s="28">
        <v>100</v>
      </c>
      <c r="S54" s="29">
        <v>1</v>
      </c>
      <c r="T54" s="29">
        <v>0</v>
      </c>
      <c r="U54" s="29">
        <v>0</v>
      </c>
    </row>
    <row r="55" spans="1:21" x14ac:dyDescent="0.2">
      <c r="A55" s="26" t="s">
        <v>36</v>
      </c>
      <c r="B55" s="26" t="s">
        <v>37</v>
      </c>
      <c r="C55" s="26" t="s">
        <v>33</v>
      </c>
      <c r="D55" s="26" t="s">
        <v>195</v>
      </c>
      <c r="E55" s="26" t="s">
        <v>196</v>
      </c>
      <c r="F55" s="26" t="s">
        <v>197</v>
      </c>
      <c r="G55" s="26" t="s">
        <v>116</v>
      </c>
      <c r="H55" s="26" t="s">
        <v>26</v>
      </c>
      <c r="I55" s="26" t="s">
        <v>36</v>
      </c>
      <c r="J55" s="26" t="s">
        <v>37</v>
      </c>
      <c r="K55" s="58">
        <v>1</v>
      </c>
      <c r="L55" s="26" t="s">
        <v>57</v>
      </c>
      <c r="M55" s="26">
        <v>2019</v>
      </c>
      <c r="N55" s="26" t="s">
        <v>25</v>
      </c>
      <c r="O55" s="27" t="s">
        <v>25</v>
      </c>
      <c r="P55" s="26" t="s">
        <v>25</v>
      </c>
      <c r="Q55" s="27" t="s">
        <v>25</v>
      </c>
      <c r="R55" s="28">
        <v>100</v>
      </c>
      <c r="S55" s="29">
        <v>1</v>
      </c>
      <c r="T55" s="29">
        <v>0</v>
      </c>
      <c r="U55" s="29">
        <v>0</v>
      </c>
    </row>
    <row r="56" spans="1:21" x14ac:dyDescent="0.2">
      <c r="A56" s="26" t="s">
        <v>36</v>
      </c>
      <c r="B56" s="26" t="s">
        <v>37</v>
      </c>
      <c r="C56" s="26" t="s">
        <v>33</v>
      </c>
      <c r="D56" s="26" t="s">
        <v>206</v>
      </c>
      <c r="E56" s="26" t="s">
        <v>207</v>
      </c>
      <c r="F56" s="26" t="s">
        <v>208</v>
      </c>
      <c r="G56" s="26" t="s">
        <v>60</v>
      </c>
      <c r="H56" s="26" t="s">
        <v>24</v>
      </c>
      <c r="I56" s="26" t="s">
        <v>36</v>
      </c>
      <c r="J56" s="26" t="s">
        <v>37</v>
      </c>
      <c r="K56" s="58">
        <v>0.5</v>
      </c>
      <c r="L56" s="26" t="s">
        <v>57</v>
      </c>
      <c r="M56" s="26">
        <v>2019</v>
      </c>
      <c r="N56" s="26" t="s">
        <v>25</v>
      </c>
      <c r="O56" s="27" t="s">
        <v>25</v>
      </c>
      <c r="P56" s="26" t="s">
        <v>25</v>
      </c>
      <c r="Q56" s="27" t="s">
        <v>25</v>
      </c>
      <c r="R56" s="28">
        <v>100</v>
      </c>
      <c r="S56" s="29">
        <v>0.5</v>
      </c>
      <c r="T56" s="29">
        <v>0</v>
      </c>
      <c r="U56" s="29">
        <v>0</v>
      </c>
    </row>
    <row r="57" spans="1:21" x14ac:dyDescent="0.2">
      <c r="A57" s="26" t="s">
        <v>36</v>
      </c>
      <c r="B57" s="26" t="s">
        <v>37</v>
      </c>
      <c r="C57" s="26" t="s">
        <v>33</v>
      </c>
      <c r="D57" s="26" t="s">
        <v>206</v>
      </c>
      <c r="E57" s="26" t="s">
        <v>207</v>
      </c>
      <c r="F57" s="26" t="s">
        <v>208</v>
      </c>
      <c r="G57" s="26" t="s">
        <v>209</v>
      </c>
      <c r="H57" s="26" t="s">
        <v>24</v>
      </c>
      <c r="I57" s="26" t="s">
        <v>36</v>
      </c>
      <c r="J57" s="26" t="s">
        <v>37</v>
      </c>
      <c r="K57" s="58">
        <v>0.5</v>
      </c>
      <c r="L57" s="26" t="s">
        <v>57</v>
      </c>
      <c r="M57" s="26">
        <v>2019</v>
      </c>
      <c r="N57" s="26" t="s">
        <v>25</v>
      </c>
      <c r="O57" s="27" t="s">
        <v>25</v>
      </c>
      <c r="P57" s="26" t="s">
        <v>25</v>
      </c>
      <c r="Q57" s="27" t="s">
        <v>25</v>
      </c>
      <c r="R57" s="28">
        <v>100</v>
      </c>
      <c r="S57" s="29">
        <v>0.5</v>
      </c>
      <c r="T57" s="29">
        <v>0</v>
      </c>
      <c r="U57" s="29">
        <v>0</v>
      </c>
    </row>
    <row r="58" spans="1:21" x14ac:dyDescent="0.2">
      <c r="A58" s="26" t="s">
        <v>200</v>
      </c>
      <c r="B58" s="26" t="s">
        <v>201</v>
      </c>
      <c r="C58" s="26" t="s">
        <v>202</v>
      </c>
      <c r="D58" s="26" t="s">
        <v>203</v>
      </c>
      <c r="E58" s="26" t="s">
        <v>232</v>
      </c>
      <c r="F58" s="26" t="s">
        <v>204</v>
      </c>
      <c r="G58" s="26" t="s">
        <v>205</v>
      </c>
      <c r="H58" s="26" t="s">
        <v>24</v>
      </c>
      <c r="I58" s="26" t="s">
        <v>36</v>
      </c>
      <c r="J58" s="26" t="s">
        <v>37</v>
      </c>
      <c r="K58" s="58">
        <v>0.5</v>
      </c>
      <c r="L58" s="26" t="s">
        <v>57</v>
      </c>
      <c r="M58" s="26">
        <v>2019</v>
      </c>
      <c r="N58" s="26" t="s">
        <v>25</v>
      </c>
      <c r="O58" s="27" t="s">
        <v>25</v>
      </c>
      <c r="P58" s="26" t="s">
        <v>25</v>
      </c>
      <c r="Q58" s="27" t="s">
        <v>25</v>
      </c>
      <c r="R58" s="28">
        <v>100</v>
      </c>
      <c r="S58" s="29">
        <v>0.5</v>
      </c>
      <c r="T58" s="29">
        <v>0</v>
      </c>
      <c r="U58" s="29">
        <v>0</v>
      </c>
    </row>
    <row r="59" spans="1:21" x14ac:dyDescent="0.2">
      <c r="A59" s="22" t="s">
        <v>36</v>
      </c>
      <c r="B59" s="22" t="s">
        <v>37</v>
      </c>
      <c r="C59" s="22" t="s">
        <v>33</v>
      </c>
      <c r="D59" s="22" t="s">
        <v>233</v>
      </c>
      <c r="E59" s="22" t="s">
        <v>234</v>
      </c>
      <c r="F59" s="22" t="s">
        <v>235</v>
      </c>
      <c r="G59" s="22" t="s">
        <v>59</v>
      </c>
      <c r="H59" s="22" t="s">
        <v>26</v>
      </c>
      <c r="I59" s="22" t="s">
        <v>36</v>
      </c>
      <c r="J59" s="22" t="s">
        <v>37</v>
      </c>
      <c r="K59" s="30">
        <v>1</v>
      </c>
      <c r="L59" s="30" t="s">
        <v>57</v>
      </c>
      <c r="M59" s="31">
        <v>2019</v>
      </c>
      <c r="N59" s="22" t="s">
        <v>25</v>
      </c>
      <c r="O59" s="23" t="s">
        <v>25</v>
      </c>
      <c r="P59" s="22" t="s">
        <v>25</v>
      </c>
      <c r="Q59" s="23" t="s">
        <v>25</v>
      </c>
      <c r="R59" s="22">
        <v>100</v>
      </c>
      <c r="S59" s="22">
        <v>1</v>
      </c>
      <c r="T59" s="22">
        <v>0</v>
      </c>
      <c r="U59" s="22">
        <v>0</v>
      </c>
    </row>
    <row r="60" spans="1:21" ht="10.8" thickBot="1" x14ac:dyDescent="0.25">
      <c r="A60" s="22" t="s">
        <v>36</v>
      </c>
      <c r="B60" s="22" t="s">
        <v>37</v>
      </c>
      <c r="C60" s="22" t="s">
        <v>33</v>
      </c>
      <c r="D60" s="22" t="s">
        <v>236</v>
      </c>
      <c r="E60" s="22" t="s">
        <v>237</v>
      </c>
      <c r="F60" s="22" t="s">
        <v>238</v>
      </c>
      <c r="G60" s="22" t="s">
        <v>60</v>
      </c>
      <c r="H60" s="22" t="s">
        <v>26</v>
      </c>
      <c r="I60" s="22" t="s">
        <v>36</v>
      </c>
      <c r="J60" s="22" t="s">
        <v>37</v>
      </c>
      <c r="K60" s="30">
        <v>1</v>
      </c>
      <c r="L60" s="30" t="s">
        <v>57</v>
      </c>
      <c r="M60" s="31">
        <v>2019</v>
      </c>
      <c r="N60" s="22" t="s">
        <v>25</v>
      </c>
      <c r="O60" s="23" t="s">
        <v>25</v>
      </c>
      <c r="P60" s="22" t="s">
        <v>25</v>
      </c>
      <c r="Q60" s="23" t="s">
        <v>25</v>
      </c>
      <c r="R60" s="22">
        <v>100</v>
      </c>
      <c r="S60" s="22">
        <v>1</v>
      </c>
      <c r="T60" s="22">
        <v>0</v>
      </c>
      <c r="U60" s="22">
        <v>0</v>
      </c>
    </row>
    <row r="61" spans="1:21" ht="10.8" thickBot="1" x14ac:dyDescent="0.25">
      <c r="A61" s="32" t="s">
        <v>36</v>
      </c>
      <c r="B61" s="32" t="s">
        <v>37</v>
      </c>
      <c r="C61" s="32" t="s">
        <v>33</v>
      </c>
      <c r="D61" s="32" t="s">
        <v>239</v>
      </c>
      <c r="E61" s="32" t="s">
        <v>240</v>
      </c>
      <c r="F61" s="32" t="s">
        <v>241</v>
      </c>
      <c r="G61" s="33" t="s">
        <v>56</v>
      </c>
      <c r="H61" s="34" t="s">
        <v>24</v>
      </c>
      <c r="I61" s="34" t="s">
        <v>36</v>
      </c>
      <c r="J61" s="35" t="s">
        <v>37</v>
      </c>
      <c r="K61" s="30">
        <v>0.5</v>
      </c>
      <c r="L61" s="30" t="s">
        <v>57</v>
      </c>
      <c r="M61" s="22">
        <v>2020</v>
      </c>
      <c r="N61" s="22" t="s">
        <v>34</v>
      </c>
      <c r="O61" s="23" t="s">
        <v>28</v>
      </c>
      <c r="P61" s="22" t="s">
        <v>25</v>
      </c>
      <c r="Q61" s="23" t="s">
        <v>25</v>
      </c>
      <c r="R61" s="22">
        <v>90</v>
      </c>
      <c r="S61" s="22">
        <v>0.45</v>
      </c>
      <c r="T61" s="22">
        <v>0.05</v>
      </c>
      <c r="U61" s="22">
        <v>0</v>
      </c>
    </row>
    <row r="62" spans="1:21" ht="10.8" thickBot="1" x14ac:dyDescent="0.25">
      <c r="A62" s="32" t="s">
        <v>36</v>
      </c>
      <c r="B62" s="32" t="s">
        <v>37</v>
      </c>
      <c r="C62" s="32" t="s">
        <v>33</v>
      </c>
      <c r="D62" s="32" t="s">
        <v>239</v>
      </c>
      <c r="E62" s="32" t="s">
        <v>240</v>
      </c>
      <c r="F62" s="32" t="s">
        <v>241</v>
      </c>
      <c r="G62" s="33" t="s">
        <v>242</v>
      </c>
      <c r="H62" s="34" t="s">
        <v>24</v>
      </c>
      <c r="I62" s="34" t="s">
        <v>36</v>
      </c>
      <c r="J62" s="35" t="s">
        <v>37</v>
      </c>
      <c r="K62" s="30">
        <v>0.5</v>
      </c>
      <c r="L62" s="30" t="s">
        <v>57</v>
      </c>
      <c r="M62" s="22">
        <v>2020</v>
      </c>
      <c r="N62" s="22" t="s">
        <v>25</v>
      </c>
      <c r="O62" s="23" t="s">
        <v>25</v>
      </c>
      <c r="P62" s="22" t="s">
        <v>25</v>
      </c>
      <c r="Q62" s="23" t="s">
        <v>25</v>
      </c>
      <c r="R62" s="22">
        <v>100</v>
      </c>
      <c r="S62" s="22">
        <v>0.5</v>
      </c>
      <c r="T62" s="22">
        <v>0</v>
      </c>
      <c r="U62" s="22">
        <v>0</v>
      </c>
    </row>
    <row r="63" spans="1:21" ht="10.8" thickBot="1" x14ac:dyDescent="0.25">
      <c r="A63" s="32" t="s">
        <v>36</v>
      </c>
      <c r="B63" s="32" t="s">
        <v>37</v>
      </c>
      <c r="C63" s="32" t="s">
        <v>33</v>
      </c>
      <c r="D63" s="32" t="s">
        <v>243</v>
      </c>
      <c r="E63" s="32" t="s">
        <v>244</v>
      </c>
      <c r="F63" s="32" t="s">
        <v>241</v>
      </c>
      <c r="G63" s="33" t="s">
        <v>61</v>
      </c>
      <c r="H63" s="34" t="s">
        <v>24</v>
      </c>
      <c r="I63" s="34" t="s">
        <v>36</v>
      </c>
      <c r="J63" s="35" t="s">
        <v>37</v>
      </c>
      <c r="K63" s="30">
        <v>0.5</v>
      </c>
      <c r="L63" s="30" t="s">
        <v>57</v>
      </c>
      <c r="M63" s="22">
        <v>2020</v>
      </c>
      <c r="N63" s="22" t="s">
        <v>25</v>
      </c>
      <c r="O63" s="23" t="s">
        <v>25</v>
      </c>
      <c r="P63" s="22" t="s">
        <v>25</v>
      </c>
      <c r="Q63" s="23" t="s">
        <v>25</v>
      </c>
      <c r="R63" s="22">
        <v>100</v>
      </c>
      <c r="S63" s="22">
        <v>0.5</v>
      </c>
      <c r="T63" s="22">
        <v>0</v>
      </c>
      <c r="U63" s="22">
        <v>0</v>
      </c>
    </row>
    <row r="64" spans="1:21" ht="10.8" thickBot="1" x14ac:dyDescent="0.25">
      <c r="A64" s="32" t="s">
        <v>36</v>
      </c>
      <c r="B64" s="32" t="s">
        <v>37</v>
      </c>
      <c r="C64" s="32" t="s">
        <v>33</v>
      </c>
      <c r="D64" s="32" t="s">
        <v>243</v>
      </c>
      <c r="E64" s="32" t="s">
        <v>244</v>
      </c>
      <c r="F64" s="32" t="s">
        <v>241</v>
      </c>
      <c r="G64" s="33" t="s">
        <v>242</v>
      </c>
      <c r="H64" s="34" t="s">
        <v>24</v>
      </c>
      <c r="I64" s="34" t="s">
        <v>36</v>
      </c>
      <c r="J64" s="35" t="s">
        <v>37</v>
      </c>
      <c r="K64" s="30">
        <v>0.5</v>
      </c>
      <c r="L64" s="30" t="s">
        <v>57</v>
      </c>
      <c r="M64" s="22">
        <v>2020</v>
      </c>
      <c r="N64" s="22" t="s">
        <v>25</v>
      </c>
      <c r="O64" s="23" t="s">
        <v>25</v>
      </c>
      <c r="P64" s="22" t="s">
        <v>25</v>
      </c>
      <c r="Q64" s="23" t="s">
        <v>25</v>
      </c>
      <c r="R64" s="22">
        <v>100</v>
      </c>
      <c r="S64" s="22">
        <v>0.5</v>
      </c>
      <c r="T64" s="22">
        <v>0</v>
      </c>
      <c r="U64" s="22">
        <v>0</v>
      </c>
    </row>
    <row r="65" spans="1:21" ht="10.8" thickBot="1" x14ac:dyDescent="0.25">
      <c r="A65" s="32" t="s">
        <v>36</v>
      </c>
      <c r="B65" s="32" t="s">
        <v>37</v>
      </c>
      <c r="C65" s="32" t="s">
        <v>33</v>
      </c>
      <c r="D65" s="32" t="s">
        <v>245</v>
      </c>
      <c r="E65" s="32" t="s">
        <v>246</v>
      </c>
      <c r="F65" s="32" t="s">
        <v>247</v>
      </c>
      <c r="G65" s="33" t="s">
        <v>59</v>
      </c>
      <c r="H65" s="34" t="s">
        <v>26</v>
      </c>
      <c r="I65" s="34" t="s">
        <v>36</v>
      </c>
      <c r="J65" s="35" t="s">
        <v>37</v>
      </c>
      <c r="K65" s="30">
        <v>1</v>
      </c>
      <c r="L65" s="30" t="s">
        <v>57</v>
      </c>
      <c r="M65" s="22">
        <v>2020</v>
      </c>
      <c r="N65" s="22" t="s">
        <v>25</v>
      </c>
      <c r="O65" s="23" t="s">
        <v>25</v>
      </c>
      <c r="P65" s="22" t="s">
        <v>25</v>
      </c>
      <c r="Q65" s="23" t="s">
        <v>25</v>
      </c>
      <c r="R65" s="22">
        <v>100</v>
      </c>
      <c r="S65" s="22">
        <v>1</v>
      </c>
      <c r="T65" s="22">
        <v>0</v>
      </c>
      <c r="U65" s="22">
        <v>0</v>
      </c>
    </row>
    <row r="66" spans="1:21" ht="10.8" thickBot="1" x14ac:dyDescent="0.25">
      <c r="A66" s="32" t="s">
        <v>36</v>
      </c>
      <c r="B66" s="32" t="s">
        <v>37</v>
      </c>
      <c r="C66" s="32" t="s">
        <v>33</v>
      </c>
      <c r="D66" s="32" t="s">
        <v>248</v>
      </c>
      <c r="E66" s="32" t="s">
        <v>249</v>
      </c>
      <c r="F66" s="32" t="s">
        <v>250</v>
      </c>
      <c r="G66" s="33" t="s">
        <v>59</v>
      </c>
      <c r="H66" s="34" t="s">
        <v>24</v>
      </c>
      <c r="I66" s="34" t="s">
        <v>36</v>
      </c>
      <c r="J66" s="35" t="s">
        <v>37</v>
      </c>
      <c r="K66" s="30">
        <v>0.5</v>
      </c>
      <c r="L66" s="30" t="s">
        <v>57</v>
      </c>
      <c r="M66" s="22">
        <v>2020</v>
      </c>
      <c r="N66" s="22" t="s">
        <v>25</v>
      </c>
      <c r="O66" s="23" t="s">
        <v>25</v>
      </c>
      <c r="P66" s="22" t="s">
        <v>25</v>
      </c>
      <c r="Q66" s="23" t="s">
        <v>25</v>
      </c>
      <c r="R66" s="22">
        <v>100</v>
      </c>
      <c r="S66" s="22">
        <v>0.5</v>
      </c>
      <c r="T66" s="22">
        <v>0</v>
      </c>
      <c r="U66" s="22">
        <v>0</v>
      </c>
    </row>
    <row r="67" spans="1:21" ht="10.8" thickBot="1" x14ac:dyDescent="0.25">
      <c r="A67" s="32" t="s">
        <v>36</v>
      </c>
      <c r="B67" s="32" t="s">
        <v>37</v>
      </c>
      <c r="C67" s="32" t="s">
        <v>33</v>
      </c>
      <c r="D67" s="32" t="s">
        <v>248</v>
      </c>
      <c r="E67" s="32" t="s">
        <v>249</v>
      </c>
      <c r="F67" s="32" t="s">
        <v>250</v>
      </c>
      <c r="G67" s="33" t="s">
        <v>29</v>
      </c>
      <c r="H67" s="34" t="s">
        <v>24</v>
      </c>
      <c r="I67" s="34" t="s">
        <v>36</v>
      </c>
      <c r="J67" s="35" t="s">
        <v>37</v>
      </c>
      <c r="K67" s="30">
        <v>0.5</v>
      </c>
      <c r="L67" s="30" t="s">
        <v>57</v>
      </c>
      <c r="M67" s="22">
        <v>2020</v>
      </c>
      <c r="N67" s="22" t="s">
        <v>25</v>
      </c>
      <c r="O67" s="23" t="s">
        <v>25</v>
      </c>
      <c r="P67" s="22" t="s">
        <v>25</v>
      </c>
      <c r="Q67" s="23" t="s">
        <v>25</v>
      </c>
      <c r="R67" s="22">
        <v>100</v>
      </c>
      <c r="S67" s="22">
        <v>0.5</v>
      </c>
      <c r="T67" s="22">
        <v>0</v>
      </c>
      <c r="U67" s="22">
        <v>0</v>
      </c>
    </row>
    <row r="68" spans="1:21" ht="10.8" thickBot="1" x14ac:dyDescent="0.25">
      <c r="A68" s="32" t="s">
        <v>36</v>
      </c>
      <c r="B68" s="32" t="s">
        <v>37</v>
      </c>
      <c r="C68" s="32" t="s">
        <v>33</v>
      </c>
      <c r="D68" s="32" t="s">
        <v>251</v>
      </c>
      <c r="E68" s="32" t="s">
        <v>252</v>
      </c>
      <c r="F68" s="32" t="s">
        <v>253</v>
      </c>
      <c r="G68" s="33" t="s">
        <v>58</v>
      </c>
      <c r="H68" s="34" t="s">
        <v>24</v>
      </c>
      <c r="I68" s="34" t="s">
        <v>36</v>
      </c>
      <c r="J68" s="35" t="s">
        <v>37</v>
      </c>
      <c r="K68" s="30">
        <v>0.5</v>
      </c>
      <c r="L68" s="30" t="s">
        <v>57</v>
      </c>
      <c r="M68" s="22">
        <v>2020</v>
      </c>
      <c r="N68" s="22" t="s">
        <v>25</v>
      </c>
      <c r="O68" s="23" t="s">
        <v>25</v>
      </c>
      <c r="P68" s="22" t="s">
        <v>25</v>
      </c>
      <c r="Q68" s="23" t="s">
        <v>25</v>
      </c>
      <c r="R68" s="22">
        <v>100</v>
      </c>
      <c r="S68" s="22">
        <v>0.5</v>
      </c>
      <c r="T68" s="22">
        <v>0</v>
      </c>
      <c r="U68" s="22">
        <v>0</v>
      </c>
    </row>
    <row r="69" spans="1:21" ht="10.8" thickBot="1" x14ac:dyDescent="0.25">
      <c r="A69" s="32" t="s">
        <v>36</v>
      </c>
      <c r="B69" s="32" t="s">
        <v>37</v>
      </c>
      <c r="C69" s="32" t="s">
        <v>33</v>
      </c>
      <c r="D69" s="32" t="s">
        <v>251</v>
      </c>
      <c r="E69" s="32" t="s">
        <v>252</v>
      </c>
      <c r="F69" s="32" t="s">
        <v>253</v>
      </c>
      <c r="G69" s="33" t="s">
        <v>242</v>
      </c>
      <c r="H69" s="34" t="s">
        <v>24</v>
      </c>
      <c r="I69" s="34" t="s">
        <v>36</v>
      </c>
      <c r="J69" s="35" t="s">
        <v>37</v>
      </c>
      <c r="K69" s="30">
        <v>0.5</v>
      </c>
      <c r="L69" s="30" t="s">
        <v>57</v>
      </c>
      <c r="M69" s="22">
        <v>2020</v>
      </c>
      <c r="N69" s="22" t="s">
        <v>25</v>
      </c>
      <c r="O69" s="23" t="s">
        <v>25</v>
      </c>
      <c r="P69" s="22" t="s">
        <v>25</v>
      </c>
      <c r="Q69" s="23" t="s">
        <v>25</v>
      </c>
      <c r="R69" s="22">
        <v>100</v>
      </c>
      <c r="S69" s="22">
        <v>0.5</v>
      </c>
      <c r="T69" s="22">
        <v>0</v>
      </c>
      <c r="U69" s="22">
        <v>0</v>
      </c>
    </row>
    <row r="70" spans="1:21" ht="10.8" thickBot="1" x14ac:dyDescent="0.25">
      <c r="A70" s="32" t="s">
        <v>36</v>
      </c>
      <c r="B70" s="32" t="s">
        <v>37</v>
      </c>
      <c r="C70" s="32" t="s">
        <v>33</v>
      </c>
      <c r="D70" s="32" t="s">
        <v>254</v>
      </c>
      <c r="E70" s="32" t="s">
        <v>255</v>
      </c>
      <c r="F70" s="32" t="s">
        <v>256</v>
      </c>
      <c r="G70" s="33" t="s">
        <v>61</v>
      </c>
      <c r="H70" s="34" t="s">
        <v>24</v>
      </c>
      <c r="I70" s="34" t="s">
        <v>36</v>
      </c>
      <c r="J70" s="35" t="s">
        <v>37</v>
      </c>
      <c r="K70" s="30">
        <v>0.5</v>
      </c>
      <c r="L70" s="30" t="s">
        <v>57</v>
      </c>
      <c r="M70" s="22">
        <v>2020</v>
      </c>
      <c r="N70" s="22" t="s">
        <v>25</v>
      </c>
      <c r="O70" s="23" t="s">
        <v>25</v>
      </c>
      <c r="P70" s="22" t="s">
        <v>25</v>
      </c>
      <c r="Q70" s="23" t="s">
        <v>25</v>
      </c>
      <c r="R70" s="22">
        <v>100</v>
      </c>
      <c r="S70" s="22">
        <v>0.5</v>
      </c>
      <c r="T70" s="22">
        <v>0</v>
      </c>
      <c r="U70" s="22">
        <v>0</v>
      </c>
    </row>
    <row r="71" spans="1:21" ht="10.8" thickBot="1" x14ac:dyDescent="0.25">
      <c r="A71" s="32" t="s">
        <v>36</v>
      </c>
      <c r="B71" s="32" t="s">
        <v>37</v>
      </c>
      <c r="C71" s="32" t="s">
        <v>33</v>
      </c>
      <c r="D71" s="32" t="s">
        <v>254</v>
      </c>
      <c r="E71" s="32" t="s">
        <v>255</v>
      </c>
      <c r="F71" s="32" t="s">
        <v>256</v>
      </c>
      <c r="G71" s="33" t="s">
        <v>216</v>
      </c>
      <c r="H71" s="34" t="s">
        <v>24</v>
      </c>
      <c r="I71" s="34" t="s">
        <v>36</v>
      </c>
      <c r="J71" s="35" t="s">
        <v>37</v>
      </c>
      <c r="K71" s="30">
        <v>0.5</v>
      </c>
      <c r="L71" s="30" t="s">
        <v>57</v>
      </c>
      <c r="M71" s="22">
        <v>2020</v>
      </c>
      <c r="N71" s="22" t="s">
        <v>25</v>
      </c>
      <c r="O71" s="23" t="s">
        <v>25</v>
      </c>
      <c r="P71" s="22" t="s">
        <v>25</v>
      </c>
      <c r="Q71" s="23" t="s">
        <v>25</v>
      </c>
      <c r="R71" s="22">
        <v>100</v>
      </c>
      <c r="S71" s="22">
        <v>0.5</v>
      </c>
      <c r="T71" s="22">
        <v>0</v>
      </c>
      <c r="U71" s="22">
        <v>0</v>
      </c>
    </row>
    <row r="72" spans="1:21" x14ac:dyDescent="0.2">
      <c r="A72" s="22" t="s">
        <v>36</v>
      </c>
      <c r="B72" s="22" t="s">
        <v>37</v>
      </c>
      <c r="C72" s="22" t="s">
        <v>33</v>
      </c>
      <c r="D72" s="22" t="s">
        <v>282</v>
      </c>
      <c r="E72" s="22" t="s">
        <v>283</v>
      </c>
      <c r="F72" s="22" t="s">
        <v>284</v>
      </c>
      <c r="G72" s="22" t="s">
        <v>59</v>
      </c>
      <c r="H72" s="22" t="s">
        <v>26</v>
      </c>
      <c r="I72" s="22" t="s">
        <v>36</v>
      </c>
      <c r="J72" s="22" t="s">
        <v>37</v>
      </c>
      <c r="K72" s="30">
        <v>1</v>
      </c>
      <c r="L72" s="30" t="s">
        <v>57</v>
      </c>
      <c r="M72" s="22">
        <v>2021</v>
      </c>
      <c r="N72" s="22" t="s">
        <v>25</v>
      </c>
      <c r="O72" s="23" t="s">
        <v>25</v>
      </c>
      <c r="P72" s="22" t="s">
        <v>25</v>
      </c>
      <c r="Q72" s="23" t="s">
        <v>25</v>
      </c>
      <c r="R72" s="22">
        <v>100</v>
      </c>
      <c r="S72" s="22">
        <v>1</v>
      </c>
      <c r="T72" s="22">
        <v>0</v>
      </c>
      <c r="U72" s="22">
        <v>0</v>
      </c>
    </row>
    <row r="73" spans="1:21" x14ac:dyDescent="0.2">
      <c r="A73" s="22" t="s">
        <v>36</v>
      </c>
      <c r="B73" s="22" t="s">
        <v>37</v>
      </c>
      <c r="C73" s="22" t="s">
        <v>33</v>
      </c>
      <c r="D73" s="22" t="s">
        <v>285</v>
      </c>
      <c r="E73" s="22" t="s">
        <v>286</v>
      </c>
      <c r="F73" s="22" t="s">
        <v>287</v>
      </c>
      <c r="G73" s="22" t="s">
        <v>58</v>
      </c>
      <c r="H73" s="22" t="s">
        <v>24</v>
      </c>
      <c r="I73" s="22" t="s">
        <v>36</v>
      </c>
      <c r="J73" s="22" t="s">
        <v>37</v>
      </c>
      <c r="K73" s="30">
        <v>0.5</v>
      </c>
      <c r="L73" s="30" t="s">
        <v>57</v>
      </c>
      <c r="M73" s="22">
        <v>2021</v>
      </c>
      <c r="N73" s="22" t="s">
        <v>25</v>
      </c>
      <c r="O73" s="23" t="s">
        <v>25</v>
      </c>
      <c r="P73" s="22" t="s">
        <v>25</v>
      </c>
      <c r="Q73" s="23" t="s">
        <v>25</v>
      </c>
      <c r="R73" s="22">
        <v>100</v>
      </c>
      <c r="S73" s="22">
        <v>0.5</v>
      </c>
      <c r="T73" s="22">
        <v>0</v>
      </c>
      <c r="U73" s="22">
        <v>0</v>
      </c>
    </row>
    <row r="74" spans="1:21" x14ac:dyDescent="0.2">
      <c r="A74" s="22" t="s">
        <v>36</v>
      </c>
      <c r="B74" s="22" t="s">
        <v>37</v>
      </c>
      <c r="C74" s="22" t="s">
        <v>33</v>
      </c>
      <c r="D74" s="22" t="s">
        <v>285</v>
      </c>
      <c r="E74" s="22" t="s">
        <v>286</v>
      </c>
      <c r="F74" s="22" t="s">
        <v>287</v>
      </c>
      <c r="G74" s="22" t="s">
        <v>242</v>
      </c>
      <c r="H74" s="22" t="s">
        <v>24</v>
      </c>
      <c r="I74" s="22" t="s">
        <v>36</v>
      </c>
      <c r="J74" s="22" t="s">
        <v>37</v>
      </c>
      <c r="K74" s="30">
        <v>0.5</v>
      </c>
      <c r="L74" s="30" t="s">
        <v>57</v>
      </c>
      <c r="M74" s="22">
        <v>2021</v>
      </c>
      <c r="N74" s="22" t="s">
        <v>25</v>
      </c>
      <c r="O74" s="23" t="s">
        <v>25</v>
      </c>
      <c r="P74" s="22" t="s">
        <v>25</v>
      </c>
      <c r="Q74" s="23" t="s">
        <v>25</v>
      </c>
      <c r="R74" s="22">
        <v>100</v>
      </c>
      <c r="S74" s="22">
        <v>0.5</v>
      </c>
      <c r="T74" s="22">
        <v>0</v>
      </c>
      <c r="U74" s="22">
        <v>0</v>
      </c>
    </row>
    <row r="75" spans="1:21" x14ac:dyDescent="0.2">
      <c r="A75" s="22" t="s">
        <v>36</v>
      </c>
      <c r="B75" s="22" t="s">
        <v>37</v>
      </c>
      <c r="C75" s="22" t="s">
        <v>33</v>
      </c>
      <c r="D75" s="22" t="s">
        <v>288</v>
      </c>
      <c r="E75" s="22" t="s">
        <v>289</v>
      </c>
      <c r="F75" s="22" t="s">
        <v>290</v>
      </c>
      <c r="G75" s="22" t="s">
        <v>56</v>
      </c>
      <c r="H75" s="22" t="s">
        <v>26</v>
      </c>
      <c r="I75" s="22" t="s">
        <v>36</v>
      </c>
      <c r="J75" s="22" t="s">
        <v>37</v>
      </c>
      <c r="K75" s="30">
        <v>1</v>
      </c>
      <c r="L75" s="30" t="s">
        <v>57</v>
      </c>
      <c r="M75" s="22">
        <v>2021</v>
      </c>
      <c r="N75" s="22" t="s">
        <v>34</v>
      </c>
      <c r="O75" s="23" t="s">
        <v>28</v>
      </c>
      <c r="P75" s="22" t="s">
        <v>25</v>
      </c>
      <c r="Q75" s="23" t="s">
        <v>25</v>
      </c>
      <c r="R75" s="22">
        <v>90</v>
      </c>
      <c r="S75" s="22">
        <v>0.9</v>
      </c>
      <c r="T75" s="22">
        <v>0.1</v>
      </c>
      <c r="U75" s="22">
        <v>0</v>
      </c>
    </row>
    <row r="76" spans="1:21" x14ac:dyDescent="0.2">
      <c r="A76" s="22" t="s">
        <v>36</v>
      </c>
      <c r="B76" s="22" t="s">
        <v>37</v>
      </c>
      <c r="C76" s="22" t="s">
        <v>33</v>
      </c>
      <c r="D76" s="22" t="s">
        <v>291</v>
      </c>
      <c r="E76" s="22" t="s">
        <v>292</v>
      </c>
      <c r="F76" s="22" t="s">
        <v>293</v>
      </c>
      <c r="G76" s="22" t="s">
        <v>58</v>
      </c>
      <c r="H76" s="22" t="s">
        <v>26</v>
      </c>
      <c r="I76" s="22" t="s">
        <v>36</v>
      </c>
      <c r="J76" s="22" t="s">
        <v>37</v>
      </c>
      <c r="K76" s="30">
        <v>1</v>
      </c>
      <c r="L76" s="30" t="s">
        <v>57</v>
      </c>
      <c r="M76" s="22">
        <v>2021</v>
      </c>
      <c r="N76" s="22" t="s">
        <v>25</v>
      </c>
      <c r="O76" s="23" t="s">
        <v>25</v>
      </c>
      <c r="P76" s="22" t="s">
        <v>25</v>
      </c>
      <c r="Q76" s="23" t="s">
        <v>25</v>
      </c>
      <c r="R76" s="22">
        <v>100</v>
      </c>
      <c r="S76" s="22">
        <v>1</v>
      </c>
      <c r="T76" s="22">
        <v>0</v>
      </c>
      <c r="U76" s="22">
        <v>0</v>
      </c>
    </row>
    <row r="77" spans="1:21" x14ac:dyDescent="0.2">
      <c r="A77" s="22" t="s">
        <v>36</v>
      </c>
      <c r="B77" s="22" t="s">
        <v>37</v>
      </c>
      <c r="C77" s="22" t="s">
        <v>33</v>
      </c>
      <c r="D77" s="22" t="s">
        <v>294</v>
      </c>
      <c r="E77" s="22" t="s">
        <v>295</v>
      </c>
      <c r="F77" s="22" t="s">
        <v>296</v>
      </c>
      <c r="G77" s="22" t="s">
        <v>61</v>
      </c>
      <c r="H77" s="22" t="s">
        <v>26</v>
      </c>
      <c r="I77" s="22" t="s">
        <v>36</v>
      </c>
      <c r="J77" s="22" t="s">
        <v>37</v>
      </c>
      <c r="K77" s="30">
        <v>1</v>
      </c>
      <c r="L77" s="30" t="s">
        <v>57</v>
      </c>
      <c r="M77" s="22">
        <v>2021</v>
      </c>
      <c r="N77" s="22" t="s">
        <v>25</v>
      </c>
      <c r="O77" s="23" t="s">
        <v>25</v>
      </c>
      <c r="P77" s="22" t="s">
        <v>25</v>
      </c>
      <c r="Q77" s="23" t="s">
        <v>25</v>
      </c>
      <c r="R77" s="22">
        <v>100</v>
      </c>
      <c r="S77" s="22">
        <v>1</v>
      </c>
      <c r="T77" s="22">
        <v>0</v>
      </c>
      <c r="U77" s="22">
        <v>0</v>
      </c>
    </row>
    <row r="78" spans="1:21" x14ac:dyDescent="0.2">
      <c r="A78" s="22" t="s">
        <v>36</v>
      </c>
      <c r="B78" s="22" t="s">
        <v>37</v>
      </c>
      <c r="C78" s="22" t="s">
        <v>33</v>
      </c>
      <c r="D78" s="22" t="s">
        <v>297</v>
      </c>
      <c r="E78" s="22" t="s">
        <v>298</v>
      </c>
      <c r="F78" s="22" t="s">
        <v>299</v>
      </c>
      <c r="G78" s="22" t="s">
        <v>59</v>
      </c>
      <c r="H78" s="22" t="s">
        <v>26</v>
      </c>
      <c r="I78" s="22" t="s">
        <v>36</v>
      </c>
      <c r="J78" s="22" t="s">
        <v>37</v>
      </c>
      <c r="K78" s="30">
        <v>1</v>
      </c>
      <c r="L78" s="30" t="s">
        <v>57</v>
      </c>
      <c r="M78" s="22">
        <v>2021</v>
      </c>
      <c r="N78" s="22" t="s">
        <v>25</v>
      </c>
      <c r="O78" s="23" t="s">
        <v>25</v>
      </c>
      <c r="P78" s="22" t="s">
        <v>25</v>
      </c>
      <c r="Q78" s="23" t="s">
        <v>25</v>
      </c>
      <c r="R78" s="22">
        <v>100</v>
      </c>
      <c r="S78" s="22">
        <v>1</v>
      </c>
      <c r="T78" s="22">
        <v>0</v>
      </c>
      <c r="U78" s="22">
        <v>0</v>
      </c>
    </row>
    <row r="79" spans="1:21" x14ac:dyDescent="0.2">
      <c r="A79" s="22" t="s">
        <v>36</v>
      </c>
      <c r="B79" s="22" t="s">
        <v>37</v>
      </c>
      <c r="C79" s="22" t="s">
        <v>33</v>
      </c>
      <c r="D79" s="22" t="s">
        <v>300</v>
      </c>
      <c r="E79" s="22" t="s">
        <v>301</v>
      </c>
      <c r="F79" s="22" t="s">
        <v>302</v>
      </c>
      <c r="G79" s="22" t="s">
        <v>303</v>
      </c>
      <c r="H79" s="22" t="s">
        <v>24</v>
      </c>
      <c r="I79" s="22" t="s">
        <v>36</v>
      </c>
      <c r="J79" s="22" t="s">
        <v>37</v>
      </c>
      <c r="K79" s="30">
        <v>0.5</v>
      </c>
      <c r="L79" s="30" t="s">
        <v>57</v>
      </c>
      <c r="M79" s="22">
        <v>2021</v>
      </c>
      <c r="N79" s="22" t="s">
        <v>25</v>
      </c>
      <c r="O79" s="23" t="s">
        <v>25</v>
      </c>
      <c r="P79" s="22" t="s">
        <v>25</v>
      </c>
      <c r="Q79" s="23" t="s">
        <v>25</v>
      </c>
      <c r="R79" s="22">
        <v>100</v>
      </c>
      <c r="S79" s="22">
        <v>0.5</v>
      </c>
      <c r="T79" s="22">
        <v>0</v>
      </c>
      <c r="U79" s="22">
        <v>0</v>
      </c>
    </row>
    <row r="80" spans="1:21" x14ac:dyDescent="0.2">
      <c r="A80" s="22" t="s">
        <v>36</v>
      </c>
      <c r="B80" s="22" t="s">
        <v>37</v>
      </c>
      <c r="C80" s="22" t="s">
        <v>33</v>
      </c>
      <c r="D80" s="22" t="s">
        <v>304</v>
      </c>
      <c r="E80" s="22" t="s">
        <v>305</v>
      </c>
      <c r="F80" s="22" t="s">
        <v>306</v>
      </c>
      <c r="G80" s="22" t="s">
        <v>307</v>
      </c>
      <c r="H80" s="22" t="s">
        <v>26</v>
      </c>
      <c r="I80" s="22" t="s">
        <v>36</v>
      </c>
      <c r="J80" s="22" t="s">
        <v>37</v>
      </c>
      <c r="K80" s="30">
        <v>1</v>
      </c>
      <c r="L80" s="30" t="s">
        <v>57</v>
      </c>
      <c r="M80" s="22">
        <v>2021</v>
      </c>
      <c r="N80" s="22" t="s">
        <v>25</v>
      </c>
      <c r="O80" s="23" t="s">
        <v>25</v>
      </c>
      <c r="P80" s="22" t="s">
        <v>25</v>
      </c>
      <c r="Q80" s="23" t="s">
        <v>25</v>
      </c>
      <c r="R80" s="22">
        <v>100</v>
      </c>
      <c r="S80" s="22">
        <v>1</v>
      </c>
      <c r="T80" s="22">
        <v>0</v>
      </c>
      <c r="U80" s="22">
        <v>0</v>
      </c>
    </row>
    <row r="81" spans="1:21" x14ac:dyDescent="0.2">
      <c r="A81" s="22" t="s">
        <v>36</v>
      </c>
      <c r="B81" s="22" t="s">
        <v>37</v>
      </c>
      <c r="C81" s="22" t="s">
        <v>33</v>
      </c>
      <c r="D81" s="22" t="s">
        <v>308</v>
      </c>
      <c r="E81" s="22" t="s">
        <v>309</v>
      </c>
      <c r="F81" s="22" t="s">
        <v>281</v>
      </c>
      <c r="G81" s="22" t="s">
        <v>116</v>
      </c>
      <c r="H81" s="22" t="s">
        <v>24</v>
      </c>
      <c r="I81" s="22" t="s">
        <v>36</v>
      </c>
      <c r="J81" s="22" t="s">
        <v>37</v>
      </c>
      <c r="K81" s="30">
        <v>0.5</v>
      </c>
      <c r="L81" s="30" t="s">
        <v>57</v>
      </c>
      <c r="M81" s="22">
        <v>2021</v>
      </c>
      <c r="N81" s="22" t="s">
        <v>25</v>
      </c>
      <c r="O81" s="23" t="s">
        <v>25</v>
      </c>
      <c r="P81" s="22" t="s">
        <v>25</v>
      </c>
      <c r="Q81" s="23" t="s">
        <v>25</v>
      </c>
      <c r="R81" s="22">
        <v>100</v>
      </c>
      <c r="S81" s="22">
        <v>0.5</v>
      </c>
      <c r="T81" s="22">
        <v>0</v>
      </c>
      <c r="U81" s="22">
        <v>0</v>
      </c>
    </row>
    <row r="82" spans="1:21" x14ac:dyDescent="0.2">
      <c r="A82" s="22" t="s">
        <v>36</v>
      </c>
      <c r="B82" s="22" t="s">
        <v>37</v>
      </c>
      <c r="C82" s="22" t="s">
        <v>33</v>
      </c>
      <c r="D82" s="22" t="s">
        <v>308</v>
      </c>
      <c r="E82" s="22" t="s">
        <v>309</v>
      </c>
      <c r="F82" s="22" t="s">
        <v>281</v>
      </c>
      <c r="G82" s="22" t="s">
        <v>310</v>
      </c>
      <c r="H82" s="22" t="s">
        <v>24</v>
      </c>
      <c r="I82" s="22" t="s">
        <v>36</v>
      </c>
      <c r="J82" s="22" t="s">
        <v>37</v>
      </c>
      <c r="K82" s="30">
        <v>0.5</v>
      </c>
      <c r="L82" s="30" t="s">
        <v>57</v>
      </c>
      <c r="M82" s="22">
        <v>2021</v>
      </c>
      <c r="N82" s="22" t="s">
        <v>25</v>
      </c>
      <c r="O82" s="23" t="s">
        <v>25</v>
      </c>
      <c r="P82" s="22" t="s">
        <v>25</v>
      </c>
      <c r="Q82" s="23" t="s">
        <v>25</v>
      </c>
      <c r="R82" s="22">
        <v>100</v>
      </c>
      <c r="S82" s="22">
        <v>0.5</v>
      </c>
      <c r="T82" s="22">
        <v>0</v>
      </c>
      <c r="U82" s="22">
        <v>0</v>
      </c>
    </row>
    <row r="83" spans="1:21" x14ac:dyDescent="0.2">
      <c r="A83" s="22" t="s">
        <v>36</v>
      </c>
      <c r="B83" s="22" t="s">
        <v>37</v>
      </c>
      <c r="C83" s="22" t="s">
        <v>33</v>
      </c>
      <c r="D83" s="22" t="s">
        <v>311</v>
      </c>
      <c r="E83" s="22" t="s">
        <v>312</v>
      </c>
      <c r="F83" s="22" t="s">
        <v>306</v>
      </c>
      <c r="G83" s="22" t="s">
        <v>209</v>
      </c>
      <c r="H83" s="22" t="s">
        <v>26</v>
      </c>
      <c r="I83" s="22" t="s">
        <v>36</v>
      </c>
      <c r="J83" s="22" t="s">
        <v>37</v>
      </c>
      <c r="K83" s="30">
        <v>1</v>
      </c>
      <c r="L83" s="30" t="s">
        <v>57</v>
      </c>
      <c r="M83" s="22">
        <v>2021</v>
      </c>
      <c r="N83" s="22" t="s">
        <v>25</v>
      </c>
      <c r="O83" s="23" t="s">
        <v>25</v>
      </c>
      <c r="P83" s="22" t="s">
        <v>25</v>
      </c>
      <c r="Q83" s="23" t="s">
        <v>25</v>
      </c>
      <c r="R83" s="22">
        <v>100</v>
      </c>
      <c r="S83" s="22">
        <v>1</v>
      </c>
      <c r="T83" s="22">
        <v>0</v>
      </c>
      <c r="U83" s="22">
        <v>0</v>
      </c>
    </row>
    <row r="84" spans="1:21" x14ac:dyDescent="0.2">
      <c r="A84" s="22" t="s">
        <v>36</v>
      </c>
      <c r="B84" s="22" t="s">
        <v>37</v>
      </c>
      <c r="C84" s="22" t="s">
        <v>33</v>
      </c>
      <c r="D84" s="22" t="s">
        <v>313</v>
      </c>
      <c r="E84" s="22" t="s">
        <v>314</v>
      </c>
      <c r="F84" s="22" t="s">
        <v>315</v>
      </c>
      <c r="G84" s="22" t="s">
        <v>316</v>
      </c>
      <c r="H84" s="22" t="s">
        <v>26</v>
      </c>
      <c r="I84" s="22" t="s">
        <v>36</v>
      </c>
      <c r="J84" s="22" t="s">
        <v>37</v>
      </c>
      <c r="K84" s="30">
        <v>1</v>
      </c>
      <c r="L84" s="30" t="s">
        <v>57</v>
      </c>
      <c r="M84" s="22">
        <v>2021</v>
      </c>
      <c r="N84" s="22" t="s">
        <v>25</v>
      </c>
      <c r="O84" s="23" t="s">
        <v>25</v>
      </c>
      <c r="P84" s="22" t="s">
        <v>25</v>
      </c>
      <c r="Q84" s="23" t="s">
        <v>25</v>
      </c>
      <c r="R84" s="22">
        <v>100</v>
      </c>
      <c r="S84" s="22">
        <v>1</v>
      </c>
      <c r="T84" s="22">
        <v>0</v>
      </c>
      <c r="U84" s="22">
        <v>0</v>
      </c>
    </row>
    <row r="85" spans="1:21" x14ac:dyDescent="0.2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4"/>
      <c r="P85" s="63"/>
      <c r="Q85" s="64"/>
      <c r="R85" s="63"/>
      <c r="S85" s="75">
        <f>SUM(S2:S84)</f>
        <v>59.15</v>
      </c>
      <c r="T85" s="63"/>
      <c r="U85" s="63"/>
    </row>
  </sheetData>
  <autoFilter ref="A1:U1" xr:uid="{00000000-0009-0000-0000-000000000000}">
    <sortState xmlns:xlrd2="http://schemas.microsoft.com/office/spreadsheetml/2017/richdata2" ref="A2:S1828">
      <sortCondition ref="K2:K1828"/>
      <sortCondition ref="D2:D1828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6"/>
  <sheetViews>
    <sheetView topLeftCell="A4" zoomScaleNormal="100" workbookViewId="0">
      <selection activeCell="S26" sqref="S26"/>
    </sheetView>
  </sheetViews>
  <sheetFormatPr baseColWidth="10" defaultColWidth="11.44140625" defaultRowHeight="13.2" x14ac:dyDescent="0.25"/>
  <cols>
    <col min="1" max="1" width="10.5546875" style="18" bestFit="1" customWidth="1"/>
    <col min="2" max="2" width="44.554687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65" t="s">
        <v>143</v>
      </c>
      <c r="B1" s="65" t="s">
        <v>144</v>
      </c>
      <c r="C1" s="65" t="s">
        <v>145</v>
      </c>
      <c r="D1" s="66">
        <v>2017</v>
      </c>
      <c r="E1" s="66">
        <v>2018</v>
      </c>
      <c r="F1" s="66">
        <v>2019</v>
      </c>
      <c r="G1" s="66">
        <v>2020</v>
      </c>
      <c r="H1" s="66">
        <v>2021</v>
      </c>
      <c r="I1" s="66">
        <v>2022</v>
      </c>
      <c r="J1" s="65" t="s">
        <v>146</v>
      </c>
      <c r="K1" s="67" t="s">
        <v>317</v>
      </c>
      <c r="L1" s="15" t="s">
        <v>147</v>
      </c>
      <c r="M1" s="15" t="s">
        <v>148</v>
      </c>
      <c r="N1" s="15" t="s">
        <v>149</v>
      </c>
      <c r="O1" s="15" t="s">
        <v>150</v>
      </c>
      <c r="P1" s="16" t="s">
        <v>151</v>
      </c>
      <c r="Q1" s="16" t="s">
        <v>152</v>
      </c>
      <c r="R1" s="16" t="s">
        <v>153</v>
      </c>
      <c r="S1" s="16" t="s">
        <v>154</v>
      </c>
    </row>
    <row r="2" spans="1:19" ht="14.4" x14ac:dyDescent="0.3">
      <c r="A2" s="68" t="s">
        <v>221</v>
      </c>
      <c r="B2" s="68" t="s">
        <v>222</v>
      </c>
      <c r="C2" s="68" t="s">
        <v>156</v>
      </c>
      <c r="D2" s="68"/>
      <c r="E2" s="68"/>
      <c r="F2" s="68"/>
      <c r="G2" s="68"/>
      <c r="H2" s="68">
        <v>2</v>
      </c>
      <c r="I2" s="68"/>
      <c r="J2" s="68">
        <v>2</v>
      </c>
      <c r="K2" s="68" t="s">
        <v>57</v>
      </c>
      <c r="L2" s="69">
        <v>0</v>
      </c>
      <c r="M2" s="69">
        <v>0</v>
      </c>
      <c r="N2" s="69" t="s">
        <v>25</v>
      </c>
      <c r="O2" s="69" t="s">
        <v>25</v>
      </c>
      <c r="P2" s="69">
        <v>100</v>
      </c>
      <c r="Q2" s="69">
        <v>0</v>
      </c>
      <c r="R2" s="69">
        <v>0</v>
      </c>
      <c r="S2" s="69">
        <v>2</v>
      </c>
    </row>
    <row r="3" spans="1:19" ht="14.4" x14ac:dyDescent="0.3">
      <c r="A3" s="20" t="s">
        <v>169</v>
      </c>
      <c r="B3" s="20" t="s">
        <v>170</v>
      </c>
      <c r="C3" s="21" t="s">
        <v>155</v>
      </c>
      <c r="D3" s="20"/>
      <c r="E3" s="20"/>
      <c r="F3" s="20"/>
      <c r="G3" s="20">
        <v>1</v>
      </c>
      <c r="H3" s="20"/>
      <c r="I3" s="20"/>
      <c r="J3" s="68">
        <v>1</v>
      </c>
      <c r="K3" s="68" t="s">
        <v>57</v>
      </c>
      <c r="L3" s="69">
        <v>0</v>
      </c>
      <c r="M3" s="69">
        <v>0</v>
      </c>
      <c r="N3" s="69" t="s">
        <v>25</v>
      </c>
      <c r="O3" s="69" t="s">
        <v>25</v>
      </c>
      <c r="P3" s="69">
        <v>100</v>
      </c>
      <c r="Q3" s="69">
        <v>0</v>
      </c>
      <c r="R3" s="69">
        <v>0</v>
      </c>
      <c r="S3" s="69">
        <v>1</v>
      </c>
    </row>
    <row r="4" spans="1:19" ht="14.4" x14ac:dyDescent="0.3">
      <c r="A4" s="68" t="s">
        <v>223</v>
      </c>
      <c r="B4" s="68" t="s">
        <v>224</v>
      </c>
      <c r="C4" s="68" t="s">
        <v>155</v>
      </c>
      <c r="D4" s="68"/>
      <c r="E4" s="68"/>
      <c r="F4" s="68"/>
      <c r="G4" s="68"/>
      <c r="H4" s="68">
        <v>1</v>
      </c>
      <c r="I4" s="68"/>
      <c r="J4" s="68">
        <v>1</v>
      </c>
      <c r="K4" s="68" t="s">
        <v>57</v>
      </c>
      <c r="L4" s="69" t="s">
        <v>45</v>
      </c>
      <c r="M4" s="69" t="s">
        <v>225</v>
      </c>
      <c r="N4" s="69" t="s">
        <v>25</v>
      </c>
      <c r="O4" s="69" t="s">
        <v>25</v>
      </c>
      <c r="P4" s="69">
        <v>50</v>
      </c>
      <c r="Q4" s="69">
        <v>0.5</v>
      </c>
      <c r="R4" s="69">
        <v>0</v>
      </c>
      <c r="S4" s="69">
        <v>0.5</v>
      </c>
    </row>
    <row r="5" spans="1:19" ht="14.4" x14ac:dyDescent="0.3">
      <c r="A5" s="68" t="s">
        <v>318</v>
      </c>
      <c r="B5" s="68" t="s">
        <v>319</v>
      </c>
      <c r="C5" s="68" t="s">
        <v>156</v>
      </c>
      <c r="D5" s="68"/>
      <c r="E5" s="68"/>
      <c r="F5" s="68"/>
      <c r="G5" s="68"/>
      <c r="H5" s="68"/>
      <c r="I5" s="68">
        <v>1</v>
      </c>
      <c r="J5" s="68">
        <v>1</v>
      </c>
      <c r="K5" s="68" t="s">
        <v>57</v>
      </c>
      <c r="L5" s="69">
        <v>0</v>
      </c>
      <c r="M5" s="69">
        <v>0</v>
      </c>
      <c r="N5" s="69" t="s">
        <v>25</v>
      </c>
      <c r="O5" s="69" t="s">
        <v>25</v>
      </c>
      <c r="P5" s="69">
        <v>100</v>
      </c>
      <c r="Q5" s="69">
        <v>0</v>
      </c>
      <c r="R5" s="69">
        <v>0</v>
      </c>
      <c r="S5" s="69">
        <v>1</v>
      </c>
    </row>
    <row r="6" spans="1:19" ht="14.4" x14ac:dyDescent="0.3">
      <c r="A6" s="68" t="s">
        <v>181</v>
      </c>
      <c r="B6" s="68" t="s">
        <v>182</v>
      </c>
      <c r="C6" s="68" t="s">
        <v>155</v>
      </c>
      <c r="D6" s="68"/>
      <c r="E6" s="68"/>
      <c r="F6" s="68"/>
      <c r="G6" s="68"/>
      <c r="H6" s="68">
        <v>1</v>
      </c>
      <c r="I6" s="68"/>
      <c r="J6" s="68">
        <v>1</v>
      </c>
      <c r="K6" s="68" t="s">
        <v>57</v>
      </c>
      <c r="L6" s="69">
        <v>0</v>
      </c>
      <c r="M6" s="69">
        <v>0</v>
      </c>
      <c r="N6" s="69" t="s">
        <v>25</v>
      </c>
      <c r="O6" s="69" t="s">
        <v>25</v>
      </c>
      <c r="P6" s="69">
        <v>100</v>
      </c>
      <c r="Q6" s="69">
        <v>0</v>
      </c>
      <c r="R6" s="69">
        <v>0</v>
      </c>
      <c r="S6" s="69">
        <v>1</v>
      </c>
    </row>
    <row r="7" spans="1:19" ht="14.4" x14ac:dyDescent="0.3">
      <c r="A7" s="68" t="s">
        <v>167</v>
      </c>
      <c r="B7" s="68" t="s">
        <v>168</v>
      </c>
      <c r="C7" s="68" t="s">
        <v>155</v>
      </c>
      <c r="D7" s="68"/>
      <c r="E7" s="68">
        <v>1</v>
      </c>
      <c r="F7" s="68"/>
      <c r="G7" s="68"/>
      <c r="H7" s="68"/>
      <c r="I7" s="68"/>
      <c r="J7" s="68">
        <v>1</v>
      </c>
      <c r="K7" s="68" t="s">
        <v>57</v>
      </c>
      <c r="L7" s="69">
        <v>0</v>
      </c>
      <c r="M7" s="69">
        <v>0</v>
      </c>
      <c r="N7" s="69" t="s">
        <v>25</v>
      </c>
      <c r="O7" s="69" t="s">
        <v>25</v>
      </c>
      <c r="P7" s="69">
        <v>100</v>
      </c>
      <c r="Q7" s="69">
        <v>0</v>
      </c>
      <c r="R7" s="69">
        <v>0</v>
      </c>
      <c r="S7" s="69">
        <v>1</v>
      </c>
    </row>
    <row r="8" spans="1:19" ht="14.4" x14ac:dyDescent="0.3">
      <c r="A8" s="68" t="s">
        <v>183</v>
      </c>
      <c r="B8" s="68" t="s">
        <v>184</v>
      </c>
      <c r="C8" s="68" t="s">
        <v>155</v>
      </c>
      <c r="D8" s="68"/>
      <c r="E8" s="68"/>
      <c r="F8" s="68"/>
      <c r="G8" s="68">
        <v>2</v>
      </c>
      <c r="H8" s="68"/>
      <c r="I8" s="68"/>
      <c r="J8" s="68">
        <v>2</v>
      </c>
      <c r="K8" s="68" t="s">
        <v>57</v>
      </c>
      <c r="L8" s="69">
        <v>0</v>
      </c>
      <c r="M8" s="69">
        <v>0</v>
      </c>
      <c r="N8" s="69" t="s">
        <v>25</v>
      </c>
      <c r="O8" s="69" t="s">
        <v>25</v>
      </c>
      <c r="P8" s="69">
        <v>100</v>
      </c>
      <c r="Q8" s="69">
        <v>0</v>
      </c>
      <c r="R8" s="69">
        <v>0</v>
      </c>
      <c r="S8" s="69">
        <v>2</v>
      </c>
    </row>
    <row r="9" spans="1:19" ht="14.4" x14ac:dyDescent="0.3">
      <c r="A9" s="68" t="s">
        <v>226</v>
      </c>
      <c r="B9" s="68" t="s">
        <v>227</v>
      </c>
      <c r="C9" s="68" t="s">
        <v>155</v>
      </c>
      <c r="D9" s="68"/>
      <c r="E9" s="68"/>
      <c r="F9" s="68"/>
      <c r="G9" s="68"/>
      <c r="H9" s="68">
        <v>1</v>
      </c>
      <c r="I9" s="68"/>
      <c r="J9" s="68">
        <v>1</v>
      </c>
      <c r="K9" s="68" t="s">
        <v>57</v>
      </c>
      <c r="L9" s="69">
        <v>0</v>
      </c>
      <c r="M9" s="69">
        <v>0</v>
      </c>
      <c r="N9" s="69" t="s">
        <v>25</v>
      </c>
      <c r="O9" s="69" t="s">
        <v>25</v>
      </c>
      <c r="P9" s="69">
        <v>100</v>
      </c>
      <c r="Q9" s="69">
        <v>0</v>
      </c>
      <c r="R9" s="69">
        <v>0</v>
      </c>
      <c r="S9" s="69">
        <v>1</v>
      </c>
    </row>
    <row r="10" spans="1:19" ht="14.4" x14ac:dyDescent="0.3">
      <c r="A10" s="68" t="s">
        <v>228</v>
      </c>
      <c r="B10" s="68" t="s">
        <v>229</v>
      </c>
      <c r="C10" s="68" t="s">
        <v>155</v>
      </c>
      <c r="D10" s="68"/>
      <c r="E10" s="68"/>
      <c r="F10" s="68"/>
      <c r="G10" s="68"/>
      <c r="H10" s="68"/>
      <c r="I10" s="68">
        <v>1</v>
      </c>
      <c r="J10" s="68">
        <v>1</v>
      </c>
      <c r="K10" s="68" t="s">
        <v>57</v>
      </c>
      <c r="L10" s="69">
        <v>0</v>
      </c>
      <c r="M10" s="69">
        <v>0</v>
      </c>
      <c r="N10" s="69" t="s">
        <v>25</v>
      </c>
      <c r="O10" s="69" t="s">
        <v>25</v>
      </c>
      <c r="P10" s="69">
        <v>100</v>
      </c>
      <c r="Q10" s="69">
        <v>0</v>
      </c>
      <c r="R10" s="69">
        <v>0</v>
      </c>
      <c r="S10" s="69">
        <v>1</v>
      </c>
    </row>
    <row r="11" spans="1:19" ht="14.4" x14ac:dyDescent="0.3">
      <c r="A11" s="20" t="s">
        <v>230</v>
      </c>
      <c r="B11" s="20" t="s">
        <v>231</v>
      </c>
      <c r="C11" s="21" t="s">
        <v>155</v>
      </c>
      <c r="D11" s="20"/>
      <c r="E11" s="20"/>
      <c r="F11" s="20"/>
      <c r="G11" s="20"/>
      <c r="H11" s="20">
        <v>1</v>
      </c>
      <c r="I11" s="20"/>
      <c r="J11" s="68">
        <v>1</v>
      </c>
      <c r="K11" s="68" t="s">
        <v>57</v>
      </c>
      <c r="L11" s="69">
        <v>0</v>
      </c>
      <c r="M11" s="69">
        <v>0</v>
      </c>
      <c r="N11" s="69" t="s">
        <v>25</v>
      </c>
      <c r="O11" s="69" t="s">
        <v>25</v>
      </c>
      <c r="P11" s="69">
        <v>100</v>
      </c>
      <c r="Q11" s="69">
        <v>0</v>
      </c>
      <c r="R11" s="69">
        <v>0</v>
      </c>
      <c r="S11" s="69">
        <v>1</v>
      </c>
    </row>
    <row r="12" spans="1:19" ht="14.4" x14ac:dyDescent="0.3">
      <c r="A12" s="68" t="s">
        <v>159</v>
      </c>
      <c r="B12" s="68" t="s">
        <v>160</v>
      </c>
      <c r="C12" s="68" t="s">
        <v>155</v>
      </c>
      <c r="D12" s="68">
        <v>1</v>
      </c>
      <c r="E12" s="68"/>
      <c r="F12" s="68"/>
      <c r="G12" s="68"/>
      <c r="H12" s="68"/>
      <c r="I12" s="68"/>
      <c r="J12" s="68">
        <v>1</v>
      </c>
      <c r="K12" s="68" t="s">
        <v>57</v>
      </c>
      <c r="L12" s="69" t="s">
        <v>34</v>
      </c>
      <c r="M12" s="69" t="s">
        <v>28</v>
      </c>
      <c r="N12" s="69" t="s">
        <v>25</v>
      </c>
      <c r="O12" s="69" t="s">
        <v>25</v>
      </c>
      <c r="P12" s="69">
        <v>90</v>
      </c>
      <c r="Q12" s="69">
        <v>0.1</v>
      </c>
      <c r="R12" s="69">
        <v>0</v>
      </c>
      <c r="S12" s="69">
        <v>0.9</v>
      </c>
    </row>
    <row r="13" spans="1:19" ht="14.4" x14ac:dyDescent="0.3">
      <c r="A13" s="68" t="s">
        <v>165</v>
      </c>
      <c r="B13" s="68" t="s">
        <v>166</v>
      </c>
      <c r="C13" s="68" t="s">
        <v>155</v>
      </c>
      <c r="D13" s="68">
        <v>1</v>
      </c>
      <c r="E13" s="68"/>
      <c r="F13" s="68"/>
      <c r="G13" s="68"/>
      <c r="H13" s="68"/>
      <c r="I13" s="68"/>
      <c r="J13" s="68">
        <v>1</v>
      </c>
      <c r="K13" s="68" t="s">
        <v>57</v>
      </c>
      <c r="L13" s="69">
        <v>0</v>
      </c>
      <c r="M13" s="69">
        <v>0</v>
      </c>
      <c r="N13" s="69" t="s">
        <v>25</v>
      </c>
      <c r="O13" s="69" t="s">
        <v>25</v>
      </c>
      <c r="P13" s="69">
        <v>100</v>
      </c>
      <c r="Q13" s="69">
        <v>0</v>
      </c>
      <c r="R13" s="69">
        <v>0</v>
      </c>
      <c r="S13" s="69">
        <v>1</v>
      </c>
    </row>
    <row r="14" spans="1:19" ht="14.4" x14ac:dyDescent="0.3">
      <c r="A14" s="68" t="s">
        <v>177</v>
      </c>
      <c r="B14" s="68" t="s">
        <v>178</v>
      </c>
      <c r="C14" s="68" t="s">
        <v>155</v>
      </c>
      <c r="D14" s="68"/>
      <c r="E14" s="68"/>
      <c r="F14" s="68"/>
      <c r="G14" s="68"/>
      <c r="H14" s="68">
        <v>1</v>
      </c>
      <c r="I14" s="68">
        <v>1</v>
      </c>
      <c r="J14" s="68">
        <v>2</v>
      </c>
      <c r="K14" s="68" t="s">
        <v>57</v>
      </c>
      <c r="L14" s="69">
        <v>0</v>
      </c>
      <c r="M14" s="69">
        <v>0</v>
      </c>
      <c r="N14" s="69" t="s">
        <v>25</v>
      </c>
      <c r="O14" s="69" t="s">
        <v>25</v>
      </c>
      <c r="P14" s="69">
        <v>100</v>
      </c>
      <c r="Q14" s="69">
        <v>0</v>
      </c>
      <c r="R14" s="69">
        <v>0</v>
      </c>
      <c r="S14" s="69">
        <v>2</v>
      </c>
    </row>
    <row r="15" spans="1:19" ht="14.4" x14ac:dyDescent="0.3">
      <c r="A15" s="68" t="s">
        <v>320</v>
      </c>
      <c r="B15" s="68" t="s">
        <v>321</v>
      </c>
      <c r="C15" s="68" t="s">
        <v>156</v>
      </c>
      <c r="D15" s="68"/>
      <c r="E15" s="68"/>
      <c r="F15" s="68"/>
      <c r="G15" s="68"/>
      <c r="H15" s="68"/>
      <c r="I15" s="68">
        <v>1</v>
      </c>
      <c r="J15" s="68">
        <v>1</v>
      </c>
      <c r="K15" s="68" t="s">
        <v>57</v>
      </c>
      <c r="L15" s="69">
        <v>0</v>
      </c>
      <c r="M15" s="69">
        <v>0</v>
      </c>
      <c r="N15" s="69" t="s">
        <v>25</v>
      </c>
      <c r="O15" s="69" t="s">
        <v>25</v>
      </c>
      <c r="P15" s="69">
        <v>100</v>
      </c>
      <c r="Q15" s="69">
        <v>0</v>
      </c>
      <c r="R15" s="69">
        <v>0</v>
      </c>
      <c r="S15" s="69">
        <v>1</v>
      </c>
    </row>
    <row r="16" spans="1:19" ht="14.4" x14ac:dyDescent="0.3">
      <c r="A16" s="68" t="s">
        <v>322</v>
      </c>
      <c r="B16" s="68" t="s">
        <v>323</v>
      </c>
      <c r="C16" s="68" t="s">
        <v>156</v>
      </c>
      <c r="D16" s="68"/>
      <c r="E16" s="68"/>
      <c r="F16" s="68"/>
      <c r="G16" s="68"/>
      <c r="H16" s="68"/>
      <c r="I16" s="68">
        <v>1</v>
      </c>
      <c r="J16" s="68">
        <v>1</v>
      </c>
      <c r="K16" s="68" t="s">
        <v>57</v>
      </c>
      <c r="L16" s="69">
        <v>0</v>
      </c>
      <c r="M16" s="69">
        <v>0</v>
      </c>
      <c r="N16" s="69" t="s">
        <v>25</v>
      </c>
      <c r="O16" s="69" t="s">
        <v>25</v>
      </c>
      <c r="P16" s="69">
        <v>100</v>
      </c>
      <c r="Q16" s="69">
        <v>0</v>
      </c>
      <c r="R16" s="69">
        <v>0</v>
      </c>
      <c r="S16" s="69">
        <v>1</v>
      </c>
    </row>
    <row r="17" spans="1:19" ht="14.4" x14ac:dyDescent="0.3">
      <c r="A17" s="68" t="s">
        <v>324</v>
      </c>
      <c r="B17" s="68" t="s">
        <v>325</v>
      </c>
      <c r="C17" s="68" t="s">
        <v>156</v>
      </c>
      <c r="D17" s="68"/>
      <c r="E17" s="68"/>
      <c r="F17" s="68"/>
      <c r="G17" s="68"/>
      <c r="H17" s="68"/>
      <c r="I17" s="68">
        <v>1</v>
      </c>
      <c r="J17" s="68">
        <v>1</v>
      </c>
      <c r="K17" s="68" t="s">
        <v>57</v>
      </c>
      <c r="L17" s="69">
        <v>0</v>
      </c>
      <c r="M17" s="69">
        <v>0</v>
      </c>
      <c r="N17" s="69" t="s">
        <v>25</v>
      </c>
      <c r="O17" s="69" t="s">
        <v>25</v>
      </c>
      <c r="P17" s="69">
        <v>100</v>
      </c>
      <c r="Q17" s="69">
        <v>0</v>
      </c>
      <c r="R17" s="69">
        <v>0</v>
      </c>
      <c r="S17" s="69">
        <v>1</v>
      </c>
    </row>
    <row r="18" spans="1:19" ht="14.4" x14ac:dyDescent="0.3">
      <c r="A18" s="68" t="s">
        <v>179</v>
      </c>
      <c r="B18" s="68" t="s">
        <v>180</v>
      </c>
      <c r="C18" s="68" t="s">
        <v>155</v>
      </c>
      <c r="D18" s="68"/>
      <c r="E18" s="68"/>
      <c r="F18" s="68"/>
      <c r="G18" s="68">
        <v>1</v>
      </c>
      <c r="H18" s="68"/>
      <c r="I18" s="68"/>
      <c r="J18" s="68">
        <v>1</v>
      </c>
      <c r="K18" s="68" t="s">
        <v>57</v>
      </c>
      <c r="L18" s="69">
        <v>0</v>
      </c>
      <c r="M18" s="69">
        <v>0</v>
      </c>
      <c r="N18" s="69" t="s">
        <v>25</v>
      </c>
      <c r="O18" s="69" t="s">
        <v>25</v>
      </c>
      <c r="P18" s="69">
        <v>100</v>
      </c>
      <c r="Q18" s="69">
        <v>0</v>
      </c>
      <c r="R18" s="69">
        <v>0</v>
      </c>
      <c r="S18" s="69">
        <v>1</v>
      </c>
    </row>
    <row r="19" spans="1:19" ht="14.4" x14ac:dyDescent="0.3">
      <c r="A19" s="68" t="s">
        <v>161</v>
      </c>
      <c r="B19" s="68" t="s">
        <v>162</v>
      </c>
      <c r="C19" s="68" t="s">
        <v>155</v>
      </c>
      <c r="D19" s="68"/>
      <c r="E19" s="68">
        <v>1</v>
      </c>
      <c r="F19" s="68"/>
      <c r="G19" s="68"/>
      <c r="H19" s="68"/>
      <c r="I19" s="68">
        <v>1</v>
      </c>
      <c r="J19" s="68">
        <v>2</v>
      </c>
      <c r="K19" s="68" t="s">
        <v>57</v>
      </c>
      <c r="L19" s="69">
        <v>0</v>
      </c>
      <c r="M19" s="69">
        <v>0</v>
      </c>
      <c r="N19" s="69" t="s">
        <v>25</v>
      </c>
      <c r="O19" s="69" t="s">
        <v>25</v>
      </c>
      <c r="P19" s="69">
        <v>100</v>
      </c>
      <c r="Q19" s="69">
        <v>0</v>
      </c>
      <c r="R19" s="69">
        <v>0</v>
      </c>
      <c r="S19" s="69">
        <v>2</v>
      </c>
    </row>
    <row r="20" spans="1:19" ht="14.4" x14ac:dyDescent="0.3">
      <c r="A20" s="68" t="s">
        <v>175</v>
      </c>
      <c r="B20" s="68" t="s">
        <v>176</v>
      </c>
      <c r="C20" s="68" t="s">
        <v>156</v>
      </c>
      <c r="D20" s="68"/>
      <c r="E20" s="68"/>
      <c r="F20" s="68">
        <v>1</v>
      </c>
      <c r="G20" s="68"/>
      <c r="H20" s="68"/>
      <c r="I20" s="68"/>
      <c r="J20" s="68">
        <v>1</v>
      </c>
      <c r="K20" s="68" t="s">
        <v>57</v>
      </c>
      <c r="L20" s="69">
        <v>0</v>
      </c>
      <c r="M20" s="69">
        <v>0</v>
      </c>
      <c r="N20" s="69" t="s">
        <v>25</v>
      </c>
      <c r="O20" s="69" t="s">
        <v>25</v>
      </c>
      <c r="P20" s="69">
        <v>100</v>
      </c>
      <c r="Q20" s="69">
        <v>0</v>
      </c>
      <c r="R20" s="69">
        <v>0</v>
      </c>
      <c r="S20" s="69">
        <v>1</v>
      </c>
    </row>
    <row r="21" spans="1:19" ht="14.4" x14ac:dyDescent="0.3">
      <c r="A21" s="68" t="s">
        <v>157</v>
      </c>
      <c r="B21" s="68" t="s">
        <v>158</v>
      </c>
      <c r="C21" s="68" t="s">
        <v>156</v>
      </c>
      <c r="D21" s="68"/>
      <c r="E21" s="68"/>
      <c r="F21" s="68">
        <v>1</v>
      </c>
      <c r="G21" s="68"/>
      <c r="H21" s="68"/>
      <c r="I21" s="68"/>
      <c r="J21" s="68">
        <v>1</v>
      </c>
      <c r="K21" s="68" t="s">
        <v>57</v>
      </c>
      <c r="L21" s="69">
        <v>0</v>
      </c>
      <c r="M21" s="69">
        <v>0</v>
      </c>
      <c r="N21" s="69" t="s">
        <v>25</v>
      </c>
      <c r="O21" s="69" t="s">
        <v>25</v>
      </c>
      <c r="P21" s="69">
        <v>100</v>
      </c>
      <c r="Q21" s="69">
        <v>0</v>
      </c>
      <c r="R21" s="69">
        <v>0</v>
      </c>
      <c r="S21" s="69">
        <v>1</v>
      </c>
    </row>
    <row r="22" spans="1:19" ht="14.4" x14ac:dyDescent="0.3">
      <c r="A22" s="68" t="s">
        <v>173</v>
      </c>
      <c r="B22" s="68" t="s">
        <v>174</v>
      </c>
      <c r="C22" s="68" t="s">
        <v>155</v>
      </c>
      <c r="D22" s="68"/>
      <c r="E22" s="68"/>
      <c r="F22" s="68"/>
      <c r="G22" s="68"/>
      <c r="H22" s="68">
        <v>1</v>
      </c>
      <c r="I22" s="68"/>
      <c r="J22" s="68">
        <v>1</v>
      </c>
      <c r="K22" s="68" t="s">
        <v>57</v>
      </c>
      <c r="L22" s="69">
        <v>0</v>
      </c>
      <c r="M22" s="69">
        <v>0</v>
      </c>
      <c r="N22" s="69" t="s">
        <v>25</v>
      </c>
      <c r="O22" s="69" t="s">
        <v>25</v>
      </c>
      <c r="P22" s="69">
        <v>100</v>
      </c>
      <c r="Q22" s="69">
        <v>0</v>
      </c>
      <c r="R22" s="69">
        <v>0</v>
      </c>
      <c r="S22" s="69">
        <v>1</v>
      </c>
    </row>
    <row r="23" spans="1:19" ht="14.4" x14ac:dyDescent="0.3">
      <c r="A23" s="68" t="s">
        <v>219</v>
      </c>
      <c r="B23" s="68" t="s">
        <v>220</v>
      </c>
      <c r="C23" s="70" t="s">
        <v>155</v>
      </c>
      <c r="D23" s="68"/>
      <c r="E23" s="68"/>
      <c r="F23" s="68"/>
      <c r="G23" s="68"/>
      <c r="H23" s="68">
        <v>1</v>
      </c>
      <c r="I23" s="68"/>
      <c r="J23" s="68">
        <v>1</v>
      </c>
      <c r="K23" s="68" t="s">
        <v>57</v>
      </c>
      <c r="L23" s="69">
        <v>0</v>
      </c>
      <c r="M23" s="69">
        <v>0</v>
      </c>
      <c r="N23" s="69" t="s">
        <v>25</v>
      </c>
      <c r="O23" s="69" t="s">
        <v>25</v>
      </c>
      <c r="P23" s="69">
        <v>100</v>
      </c>
      <c r="Q23" s="69">
        <v>0</v>
      </c>
      <c r="R23" s="69">
        <v>0</v>
      </c>
      <c r="S23" s="69">
        <v>1</v>
      </c>
    </row>
    <row r="24" spans="1:19" ht="14.4" x14ac:dyDescent="0.3">
      <c r="A24" s="68" t="s">
        <v>163</v>
      </c>
      <c r="B24" s="68" t="s">
        <v>164</v>
      </c>
      <c r="C24" s="70" t="s">
        <v>155</v>
      </c>
      <c r="D24" s="68"/>
      <c r="E24" s="68"/>
      <c r="F24" s="68"/>
      <c r="G24" s="68"/>
      <c r="H24" s="68">
        <v>1</v>
      </c>
      <c r="I24" s="68"/>
      <c r="J24" s="68">
        <v>1</v>
      </c>
      <c r="K24" s="68" t="s">
        <v>57</v>
      </c>
      <c r="L24" s="69">
        <v>0</v>
      </c>
      <c r="M24" s="69">
        <v>0</v>
      </c>
      <c r="N24" s="69" t="s">
        <v>25</v>
      </c>
      <c r="O24" s="69" t="s">
        <v>25</v>
      </c>
      <c r="P24" s="69">
        <v>100</v>
      </c>
      <c r="Q24" s="69">
        <v>0</v>
      </c>
      <c r="R24" s="69">
        <v>0</v>
      </c>
      <c r="S24" s="69">
        <v>1</v>
      </c>
    </row>
    <row r="25" spans="1:19" ht="14.4" x14ac:dyDescent="0.3">
      <c r="A25" s="68" t="s">
        <v>171</v>
      </c>
      <c r="B25" s="68" t="s">
        <v>172</v>
      </c>
      <c r="C25" s="70" t="s">
        <v>326</v>
      </c>
      <c r="D25" s="68"/>
      <c r="E25" s="68"/>
      <c r="F25" s="68"/>
      <c r="G25" s="68"/>
      <c r="H25" s="68"/>
      <c r="I25" s="68">
        <v>1</v>
      </c>
      <c r="J25" s="68">
        <v>1</v>
      </c>
      <c r="K25" s="68" t="s">
        <v>57</v>
      </c>
      <c r="L25" s="69">
        <v>0</v>
      </c>
      <c r="M25" s="69">
        <v>0</v>
      </c>
      <c r="N25" s="69" t="s">
        <v>25</v>
      </c>
      <c r="O25" s="69" t="s">
        <v>25</v>
      </c>
      <c r="P25" s="69">
        <v>100</v>
      </c>
      <c r="Q25" s="69">
        <v>0</v>
      </c>
      <c r="R25" s="69">
        <v>0</v>
      </c>
      <c r="S25" s="69">
        <v>1</v>
      </c>
    </row>
    <row r="26" spans="1:19" x14ac:dyDescent="0.2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2"/>
      <c r="O26" s="71"/>
      <c r="P26" s="72"/>
      <c r="Q26" s="71"/>
      <c r="R26" s="71"/>
      <c r="S26" s="76">
        <f>SUM(S2:S25)</f>
        <v>27.4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Normal="100" workbookViewId="0">
      <selection activeCell="A17" sqref="A1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185</v>
      </c>
      <c r="B2" s="5"/>
    </row>
    <row r="3" spans="1:2" x14ac:dyDescent="0.2">
      <c r="A3" s="4" t="s">
        <v>186</v>
      </c>
      <c r="B3" s="5">
        <v>13250</v>
      </c>
    </row>
    <row r="4" spans="1:2" x14ac:dyDescent="0.2">
      <c r="A4" s="4" t="s">
        <v>187</v>
      </c>
      <c r="B4" s="5">
        <v>6360</v>
      </c>
    </row>
    <row r="5" spans="1:2" x14ac:dyDescent="0.2">
      <c r="A5" s="4" t="s">
        <v>188</v>
      </c>
      <c r="B5" s="5"/>
    </row>
    <row r="6" spans="1:2" x14ac:dyDescent="0.2">
      <c r="A6" s="4" t="s">
        <v>189</v>
      </c>
      <c r="B6" s="5">
        <v>6800</v>
      </c>
    </row>
    <row r="7" spans="1:2" x14ac:dyDescent="0.2">
      <c r="A7" s="4" t="s">
        <v>190</v>
      </c>
      <c r="B7" s="5"/>
    </row>
    <row r="8" spans="1:2" x14ac:dyDescent="0.2">
      <c r="A8" s="4" t="s">
        <v>191</v>
      </c>
      <c r="B8" s="5">
        <v>1900</v>
      </c>
    </row>
    <row r="9" spans="1:2" x14ac:dyDescent="0.2">
      <c r="A9" s="6" t="s">
        <v>2</v>
      </c>
      <c r="B9" s="7">
        <f>SUM(B3:B8)</f>
        <v>28310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0F41-9982-4C08-A6D3-A3BCB913C621}">
  <dimension ref="A1:B12"/>
  <sheetViews>
    <sheetView zoomScaleNormal="100" workbookViewId="0">
      <selection activeCell="A2" sqref="A2:B1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257</v>
      </c>
      <c r="B2" s="5"/>
    </row>
    <row r="3" spans="1:2" x14ac:dyDescent="0.2">
      <c r="A3" s="4" t="s">
        <v>258</v>
      </c>
      <c r="B3" s="5">
        <v>5280</v>
      </c>
    </row>
    <row r="4" spans="1:2" x14ac:dyDescent="0.2">
      <c r="A4" s="4" t="s">
        <v>259</v>
      </c>
      <c r="B4" s="5"/>
    </row>
    <row r="5" spans="1:2" x14ac:dyDescent="0.2">
      <c r="A5" s="4" t="s">
        <v>260</v>
      </c>
      <c r="B5" s="5">
        <v>2816</v>
      </c>
    </row>
    <row r="6" spans="1:2" x14ac:dyDescent="0.2">
      <c r="A6" s="4" t="s">
        <v>185</v>
      </c>
      <c r="B6" s="5"/>
    </row>
    <row r="7" spans="1:2" x14ac:dyDescent="0.2">
      <c r="A7" s="4" t="s">
        <v>261</v>
      </c>
      <c r="B7" s="5">
        <v>1325</v>
      </c>
    </row>
    <row r="8" spans="1:2" x14ac:dyDescent="0.2">
      <c r="A8" s="4" t="s">
        <v>190</v>
      </c>
      <c r="B8" s="5"/>
    </row>
    <row r="9" spans="1:2" x14ac:dyDescent="0.2">
      <c r="A9" s="4" t="s">
        <v>262</v>
      </c>
      <c r="B9" s="5">
        <v>3990</v>
      </c>
    </row>
    <row r="10" spans="1:2" x14ac:dyDescent="0.2">
      <c r="A10" s="4" t="s">
        <v>263</v>
      </c>
      <c r="B10" s="5">
        <v>3818</v>
      </c>
    </row>
    <row r="11" spans="1:2" x14ac:dyDescent="0.2">
      <c r="A11" s="4" t="s">
        <v>264</v>
      </c>
      <c r="B11" s="5">
        <v>2096</v>
      </c>
    </row>
    <row r="12" spans="1:2" x14ac:dyDescent="0.2">
      <c r="A12" s="6" t="s">
        <v>2</v>
      </c>
      <c r="B12" s="7">
        <f>SUM(B3:B11)</f>
        <v>19325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0281-EEE4-4FAC-B908-0C65B80C2EC8}">
  <dimension ref="A1:D12"/>
  <sheetViews>
    <sheetView workbookViewId="0">
      <selection activeCell="C17" sqref="C17"/>
    </sheetView>
  </sheetViews>
  <sheetFormatPr baseColWidth="10" defaultRowHeight="14.4" x14ac:dyDescent="0.3"/>
  <cols>
    <col min="2" max="2" width="14" bestFit="1" customWidth="1"/>
    <col min="3" max="3" width="104.6640625" bestFit="1" customWidth="1"/>
  </cols>
  <sheetData>
    <row r="1" spans="1:4" ht="15" thickBot="1" x14ac:dyDescent="0.35">
      <c r="A1" s="36" t="s">
        <v>265</v>
      </c>
      <c r="B1" s="37" t="s">
        <v>266</v>
      </c>
      <c r="C1" s="37" t="s">
        <v>267</v>
      </c>
      <c r="D1" s="38" t="s">
        <v>1</v>
      </c>
    </row>
    <row r="2" spans="1:4" ht="15" thickTop="1" x14ac:dyDescent="0.3">
      <c r="A2" s="39" t="s">
        <v>268</v>
      </c>
      <c r="B2" s="40" t="s">
        <v>185</v>
      </c>
      <c r="C2" s="40" t="s">
        <v>269</v>
      </c>
      <c r="D2" s="41">
        <v>5565</v>
      </c>
    </row>
    <row r="3" spans="1:4" x14ac:dyDescent="0.3">
      <c r="A3" s="42" t="s">
        <v>268</v>
      </c>
      <c r="B3" s="43" t="s">
        <v>270</v>
      </c>
      <c r="C3" s="43" t="s">
        <v>271</v>
      </c>
      <c r="D3" s="44">
        <v>9850</v>
      </c>
    </row>
    <row r="4" spans="1:4" x14ac:dyDescent="0.3">
      <c r="A4" s="39" t="s">
        <v>268</v>
      </c>
      <c r="B4" s="40" t="s">
        <v>272</v>
      </c>
      <c r="C4" s="40" t="s">
        <v>273</v>
      </c>
      <c r="D4" s="41">
        <v>6912</v>
      </c>
    </row>
    <row r="5" spans="1:4" x14ac:dyDescent="0.3">
      <c r="A5" s="42" t="s">
        <v>268</v>
      </c>
      <c r="B5" s="43" t="s">
        <v>274</v>
      </c>
      <c r="C5" s="43" t="s">
        <v>275</v>
      </c>
      <c r="D5" s="44">
        <v>3648</v>
      </c>
    </row>
    <row r="6" spans="1:4" x14ac:dyDescent="0.3">
      <c r="A6" s="39" t="s">
        <v>268</v>
      </c>
      <c r="B6" s="40" t="s">
        <v>276</v>
      </c>
      <c r="C6" s="40" t="s">
        <v>277</v>
      </c>
      <c r="D6" s="41">
        <v>50000</v>
      </c>
    </row>
    <row r="7" spans="1:4" ht="15" thickBot="1" x14ac:dyDescent="0.35">
      <c r="A7" s="42" t="s">
        <v>268</v>
      </c>
      <c r="B7" s="43" t="s">
        <v>190</v>
      </c>
      <c r="C7" s="43" t="s">
        <v>278</v>
      </c>
      <c r="D7" s="44">
        <v>3168</v>
      </c>
    </row>
    <row r="8" spans="1:4" ht="15" thickTop="1" x14ac:dyDescent="0.3">
      <c r="A8" s="45" t="s">
        <v>2</v>
      </c>
      <c r="B8" s="46"/>
      <c r="C8" s="46"/>
      <c r="D8" s="47">
        <v>79143</v>
      </c>
    </row>
    <row r="12" spans="1:4" x14ac:dyDescent="0.3">
      <c r="C12" s="73" t="s">
        <v>327</v>
      </c>
      <c r="D12" s="74">
        <f>'Ingresos investigación 2021'!D8+'Ingresos investigación 2020'!B12+'Ingresos investigación 2019'!B9</f>
        <v>126778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A3FB-17C8-4F62-AA64-CEBE82B67192}">
  <dimension ref="A1:D7"/>
  <sheetViews>
    <sheetView workbookViewId="0">
      <selection activeCell="C19" sqref="C19"/>
    </sheetView>
  </sheetViews>
  <sheetFormatPr baseColWidth="10" defaultRowHeight="14.4" x14ac:dyDescent="0.3"/>
  <cols>
    <col min="2" max="2" width="14" bestFit="1" customWidth="1"/>
    <col min="3" max="3" width="95.44140625" bestFit="1" customWidth="1"/>
  </cols>
  <sheetData>
    <row r="1" spans="1:4" x14ac:dyDescent="0.3">
      <c r="A1" s="48" t="s">
        <v>265</v>
      </c>
      <c r="B1" s="49" t="s">
        <v>266</v>
      </c>
      <c r="C1" s="49" t="s">
        <v>267</v>
      </c>
      <c r="D1" s="50" t="s">
        <v>1</v>
      </c>
    </row>
    <row r="2" spans="1:4" ht="15" thickBot="1" x14ac:dyDescent="0.35">
      <c r="A2" s="51" t="s">
        <v>268</v>
      </c>
      <c r="B2" s="52" t="s">
        <v>279</v>
      </c>
      <c r="C2" s="52" t="s">
        <v>280</v>
      </c>
      <c r="D2" s="53">
        <v>50</v>
      </c>
    </row>
    <row r="3" spans="1:4" ht="15" thickTop="1" x14ac:dyDescent="0.3">
      <c r="A3" s="54" t="s">
        <v>2</v>
      </c>
      <c r="B3" s="55"/>
      <c r="C3" s="55"/>
      <c r="D3" s="56">
        <v>50</v>
      </c>
    </row>
    <row r="7" spans="1:4" x14ac:dyDescent="0.3">
      <c r="C7" s="73" t="s">
        <v>328</v>
      </c>
      <c r="D7" s="74">
        <f>D3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2022-10-18T14:58:02Z</dcterms:modified>
</cp:coreProperties>
</file>