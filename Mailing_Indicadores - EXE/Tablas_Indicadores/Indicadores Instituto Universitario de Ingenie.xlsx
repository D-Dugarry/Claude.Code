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2B98B609-6BC1-456B-9DD9-A5F9C2044962}" xr6:coauthVersionLast="47" xr6:coauthVersionMax="47" xr10:uidLastSave="{00000000-0000-0000-0000-000000000000}"/>
  <bookViews>
    <workbookView xWindow="22932" yWindow="-108" windowWidth="23256" windowHeight="12456" activeTab="4" xr2:uid="{00000000-000D-0000-FFFF-FFFF00000000}"/>
  </bookViews>
  <sheets>
    <sheet name="Tesis" sheetId="2" r:id="rId1"/>
    <sheet name="Sexenios" sheetId="3" r:id="rId2"/>
    <sheet name="Ingresos investigación 2019" sheetId="5" r:id="rId3"/>
    <sheet name="ingresos investigación 2020" sheetId="6" r:id="rId4"/>
    <sheet name="Ingresos investigación 2021" sheetId="7" r:id="rId5"/>
  </sheets>
  <definedNames>
    <definedName name="_xlnm._FilterDatabase" localSheetId="1" hidden="1">Sexenios!$A$1:$S$25</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6" i="3" l="1"/>
  <c r="V2" i="2" l="1"/>
  <c r="U2" i="2"/>
  <c r="S2" i="2"/>
  <c r="T2" i="2" s="1"/>
  <c r="T43" i="2" s="1"/>
  <c r="B81" i="5" l="1"/>
  <c r="D35" i="7" s="1"/>
</calcChain>
</file>

<file path=xl/sharedStrings.xml><?xml version="1.0" encoding="utf-8"?>
<sst xmlns="http://schemas.openxmlformats.org/spreadsheetml/2006/main" count="1083" uniqueCount="399">
  <si>
    <t>Orgánica
Descripción justificante</t>
  </si>
  <si>
    <t>Importe</t>
  </si>
  <si>
    <t>Total</t>
  </si>
  <si>
    <t>40.90.6C.00.03</t>
  </si>
  <si>
    <t>40.90.6C.00.08</t>
  </si>
  <si>
    <t>40.90.6C.00.17</t>
  </si>
  <si>
    <t>40.90.6C.00.32</t>
  </si>
  <si>
    <t>40.90.6C.00.44</t>
  </si>
  <si>
    <t>40.90.6C.00.49</t>
  </si>
  <si>
    <t>40.90.6C.00.55</t>
  </si>
  <si>
    <t>40.90.6M.00.01</t>
  </si>
  <si>
    <t>40.90.6P.00.08</t>
  </si>
  <si>
    <t>40.90.6P.00.11</t>
  </si>
  <si>
    <t>40.90.6P.00.12</t>
  </si>
  <si>
    <t>40.90.6P.00.13</t>
  </si>
  <si>
    <t>40.90.6P.00.14</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</si>
  <si>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</si>
  <si>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</si>
  <si>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</si>
  <si>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</si>
  <si>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</si>
  <si>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</si>
  <si>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</si>
  <si>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</si>
  <si>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</si>
  <si>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</si>
  <si>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</si>
  <si>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</si>
  <si>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</si>
  <si>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</si>
  <si>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</si>
  <si>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</si>
  <si>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</si>
  <si>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</si>
  <si>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</si>
  <si>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</si>
  <si>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</si>
  <si>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U020 </t>
  </si>
  <si>
    <t>ADM. I.U. DEL AGUA Y DE LAS CIENCIAS AMBIENTALES </t>
  </si>
  <si>
    <t>Codirector de tesis </t>
  </si>
  <si>
    <t>10.05</t>
  </si>
  <si>
    <t/>
  </si>
  <si>
    <t>DOCTORADO EN AGUA Y DESARROLLO SOSTENIBLE </t>
  </si>
  <si>
    <t>U040 </t>
  </si>
  <si>
    <t>ADM. I.U. DE INGENIERÍA DE LOS PROCESOS QUÍMICOS </t>
  </si>
  <si>
    <t>DOCTORADO EN INGENIERÍA QUÍMICA </t>
  </si>
  <si>
    <t>10.09</t>
  </si>
  <si>
    <t>Director de tesis </t>
  </si>
  <si>
    <t>28/09/2018 </t>
  </si>
  <si>
    <t>14/07/2017 </t>
  </si>
  <si>
    <t>23/09/2019 </t>
  </si>
  <si>
    <t>26/11/2018 </t>
  </si>
  <si>
    <t>50</t>
  </si>
  <si>
    <t>REPERCUSIONES SOCIOECONÓMICAS DE LA GESTIÓN INTEGRAL DE AGUAS URBANAS: CASO DE LA CIUDAD DE TEGUCIGALPA, HONDURAS </t>
  </si>
  <si>
    <t>90</t>
  </si>
  <si>
    <t>Peña Guzmán, Carlos Andrés </t>
  </si>
  <si>
    <t>29/06/2017 </t>
  </si>
  <si>
    <t>10</t>
  </si>
  <si>
    <t>80</t>
  </si>
  <si>
    <t>Vásquez Rodríguez, Edgardo David </t>
  </si>
  <si>
    <t>"ELIMINACIÓN DE MICROCONTAMINANTES ORGÁNICOS PRESENTES EN AGUAS RESIDUALES URBANAS MEDIANTE MBR COMBINADO CON OXIDACIÓN AVANZADA Y CON FILTRACIÓN POR MEMBRANAS" </t>
  </si>
  <si>
    <t>28/06/2018 </t>
  </si>
  <si>
    <t>Moya Llamas, María José </t>
  </si>
  <si>
    <t>EFECTO DE LA CARGA ORGÁNICA EN LA ELIMINACIÓN DE MICROCONTAMINANTES, MATERIA ORGÁNICA Y NUTRIENTES EN UN SISTEMA UASB-MBR ESCALA PILOTO PARA EL TRATAMIENTO DE AGUAS RESIDUALES DE TIPO URBANO </t>
  </si>
  <si>
    <t>20/12/2018 </t>
  </si>
  <si>
    <t>Mendes Predolin, Lyvia </t>
  </si>
  <si>
    <t>TRATAMIENTO DE AGUAS RESIDUALES MEDIANTE ELECTROCOAGULACIÓN ACOPLADA A UN MBR PARA MINIMIZAR EL ENSUCIAMIENTO DE LA MEMBRANA Y OBTENER EFLUENTES DE ALTA CALIDAD </t>
  </si>
  <si>
    <t>08/02/2019 </t>
  </si>
  <si>
    <t>López Ortiz, Carmen María </t>
  </si>
  <si>
    <t>PRESENCIA DE CONTAMINANTES ORGÁNICOS EMERGENTES EN AGUAS SUPERFICIALES Y SUBTERRÁNEAS. TRANSPORTE EN COLUMNA Y PROCESOS DE ELIMINACIÓN MEDIANTE NANOFILTRACIÓN E INTERCAMBIO IÓNICO </t>
  </si>
  <si>
    <t>05/06/2017 </t>
  </si>
  <si>
    <t>B151 </t>
  </si>
  <si>
    <t>INGENIERÍA QUÍMICA </t>
  </si>
  <si>
    <t>B151</t>
  </si>
  <si>
    <t>19439134V </t>
  </si>
  <si>
    <t>15</t>
  </si>
  <si>
    <t>75</t>
  </si>
  <si>
    <t>Zarzo Martínez, Domingo </t>
  </si>
  <si>
    <t>PROBLEMÁTICA Y SOLUCIONES PARA LA GESTIÓ Y TRATAMIENTO DE SALMUERAS PROCEDENTES DE DESALADORAS </t>
  </si>
  <si>
    <t>13/09/2017 </t>
  </si>
  <si>
    <t>21943946Z </t>
  </si>
  <si>
    <t>Iñiguez Cantos, María Esperanza </t>
  </si>
  <si>
    <t>ESTUDIO DE LA CONTAMINACIÓN MARINA POR PLÁSTICOS Y EVALUACIÓN DE CONTAMINANTES DERIVADOS DE SU TRATAMIENTO </t>
  </si>
  <si>
    <t>01/04/2019 </t>
  </si>
  <si>
    <t>73768475T </t>
  </si>
  <si>
    <t>40</t>
  </si>
  <si>
    <t>16/09/2019 </t>
  </si>
  <si>
    <t>14/12/2018 </t>
  </si>
  <si>
    <t>21401194Q </t>
  </si>
  <si>
    <t>22006135B </t>
  </si>
  <si>
    <t>21511293Z </t>
  </si>
  <si>
    <t>21477495A </t>
  </si>
  <si>
    <t>48352073R </t>
  </si>
  <si>
    <t>21462400L </t>
  </si>
  <si>
    <t>21470517V </t>
  </si>
  <si>
    <t>Calderón Roca, Blanca </t>
  </si>
  <si>
    <t>APLICATION OF IRON-BASED NANOSTRUCTURES TO CONTAMINAT REMEDIATION </t>
  </si>
  <si>
    <t>13/07/2017 </t>
  </si>
  <si>
    <t>Ramos Fernández, Gloria </t>
  </si>
  <si>
    <t>EFECTO DE LA QUÍMICA SUPERFICIAL DEL ÓXIDO DE GRAFENO EN EL DESARROLLO DE APLICACIONES </t>
  </si>
  <si>
    <t>Quirante Arenas, Natalia </t>
  </si>
  <si>
    <t>"RIGOROUS DESIGN OF CHEMICAL PROCESSES: SURROGATE MODELS AND SUSTAINABLE INTEGRATION" </t>
  </si>
  <si>
    <t>18/12/2017 </t>
  </si>
  <si>
    <t>León Bernáldez, María Milagros </t>
  </si>
  <si>
    <t>APROVECHAMIENTO ENERGÉTICO DE SUBPRODUCTOS DE ORIGEN ANIMAL MEDIANTE LICUEFACCIÓN HIDROTÉRMICA. ANÁLISIS DE CICLO DE VIDA </t>
  </si>
  <si>
    <t>Soler Guillén, Aurora </t>
  </si>
  <si>
    <t>REDUCCIÓN DE CONTAMINANTES EN LA DESCOMPOSICIÓN TÉRMICA DE RESIDUOS DE APARATOS ELÉCTRICOS Y ELECTRÓNICOS </t>
  </si>
  <si>
    <t>Carrero Parreño, Alba </t>
  </si>
  <si>
    <t>MODELING AND OPTIMIZATION OF SHALE GAS WATER MANAGEMENT SYSTEMS </t>
  </si>
  <si>
    <t>21488087S </t>
  </si>
  <si>
    <t>Medrano García, Juan Diego </t>
  </si>
  <si>
    <t>GLOBAL WARMING POTENTIAL REDUCTION BY CARBON DIOXIDE UTILIZATION IN THE PRODUCTION OF SYNTHESIS GAS AND ITS DERIVATIVES </t>
  </si>
  <si>
    <t>Juárez Serrano, Nerea </t>
  </si>
  <si>
    <t>"ESTUDIO DE LA INFLUENCIA DE VARIABLES DE SÍNTESIS DE SBA-15 EN SUS PROPIEDADES Y SU EFECTIVIDAD COMO CATALIZADOR PARA REDUCIR LA TOXICIDAD DEL HUMO DEL TABACO. ESCALADO DEL PROCESO DE FABRICACIÓN" </t>
  </si>
  <si>
    <t>22003811X </t>
  </si>
  <si>
    <t>21407034Z </t>
  </si>
  <si>
    <t>45</t>
  </si>
  <si>
    <t>Garrido López, María De Los Ángeles </t>
  </si>
  <si>
    <t>DESCOMPOSICIÓN TÉRMICA Y BRIQUETADO DE RESIDUOS DE ESPUMAS DE POLIURETANO </t>
  </si>
  <si>
    <t>24/03/2017 </t>
  </si>
  <si>
    <t>Benavente Domenech, Verónica </t>
  </si>
  <si>
    <t>LOW TEMPERATURE UPGRADING OF MOIST AGROINDUSTRIAL WASTES FOR SUBSEQUENT ENERGY USES </t>
  </si>
  <si>
    <t>03/07/2017 </t>
  </si>
  <si>
    <t>Juárez Galán, Juan Manuel </t>
  </si>
  <si>
    <t>DISEÑO Y DESARROLLO DE UN SISTEMA AUTOMÁTICO DE TOMA DE MUESTRAS AMBIENTALES DE GASES Y OLORES MEDIANTE CONDENSACIÓN CRIOGÉNICA </t>
  </si>
  <si>
    <t>15/05/2017 </t>
  </si>
  <si>
    <t>NIF</t>
  </si>
  <si>
    <t>NOMBRE_COMPLETO</t>
  </si>
  <si>
    <t>TIPO_SEXENIO</t>
  </si>
  <si>
    <t>Total general</t>
  </si>
  <si>
    <t>INS
1</t>
  </si>
  <si>
    <t>DED
INS 1</t>
  </si>
  <si>
    <t>INS
2</t>
  </si>
  <si>
    <t>DED
INS 2</t>
  </si>
  <si>
    <t>DED
DEP</t>
  </si>
  <si>
    <t>SEX
INS 1</t>
  </si>
  <si>
    <t>SEX
INS 2</t>
  </si>
  <si>
    <t>SEX
DEP</t>
  </si>
  <si>
    <t>FUNCIONARIO</t>
  </si>
  <si>
    <t>21455103J</t>
  </si>
  <si>
    <t>BOLUDA BOTELLA, NURIA</t>
  </si>
  <si>
    <t>21444613B</t>
  </si>
  <si>
    <t>CARRATALA GIMENEZ, ADORACION ASUNCION</t>
  </si>
  <si>
    <t>21482281M</t>
  </si>
  <si>
    <t>FERNANDEZ TORRES, M. JOSE</t>
  </si>
  <si>
    <t>73768475T</t>
  </si>
  <si>
    <t>FULLANA FONT, ANDRES</t>
  </si>
  <si>
    <t>21399719J</t>
  </si>
  <si>
    <t>GOMIS YAGUES, VICENTE R.</t>
  </si>
  <si>
    <t>21513988H</t>
  </si>
  <si>
    <t>MOLTO BERENGUER, JULIA</t>
  </si>
  <si>
    <t>21496269D</t>
  </si>
  <si>
    <t>SAQUETE FERRANDIZ, MARIA DOLORES</t>
  </si>
  <si>
    <t>48352073R</t>
  </si>
  <si>
    <t>ARACIL SAEZ, IGNACIO</t>
  </si>
  <si>
    <t>22003811X</t>
  </si>
  <si>
    <t>BELTRAN RICO, MARIA ISABEL</t>
  </si>
  <si>
    <t>21477495A</t>
  </si>
  <si>
    <t>CABALLERO SUAREZ, JOSE ANTONIO</t>
  </si>
  <si>
    <t>22006135B</t>
  </si>
  <si>
    <t>CONESA FERRER, JUAN ANTONIO</t>
  </si>
  <si>
    <t>48344784A</t>
  </si>
  <si>
    <t>FONT ESCAMILLA, ALICIA</t>
  </si>
  <si>
    <t>21470517V</t>
  </si>
  <si>
    <t>GARCIA CORTES, ANGELA NURIA</t>
  </si>
  <si>
    <t>21494722A</t>
  </si>
  <si>
    <t>GARCIA QUESADA, JUAN CARLOS</t>
  </si>
  <si>
    <t>21420512Z</t>
  </si>
  <si>
    <t>GOMEZ SIURANA, MARIA DE LOS DESAMPARADOS</t>
  </si>
  <si>
    <t>21488087S</t>
  </si>
  <si>
    <t>LABARTA REYES, JUAN ANTONIO</t>
  </si>
  <si>
    <t>21401194Q</t>
  </si>
  <si>
    <t>MARCILLA GOMIS, ANTONIO FRANCISCO</t>
  </si>
  <si>
    <t>21462400L</t>
  </si>
  <si>
    <t>MARTIN GULLON, IGNACIO</t>
  </si>
  <si>
    <t>21489023P</t>
  </si>
  <si>
    <t>OLAYA LOPEZ, MARIA DEL MAR</t>
  </si>
  <si>
    <t>21511293Z</t>
  </si>
  <si>
    <t>RUIZ FEMENIA, JOSE RUBEN</t>
  </si>
  <si>
    <t>21510779Y</t>
  </si>
  <si>
    <t>SALCEDO DIAZ, RAQUEL</t>
  </si>
  <si>
    <t>21474957H</t>
  </si>
  <si>
    <t>ASENSI STEEGMANN, JUAN CARLOS</t>
  </si>
  <si>
    <t>Regalías por transferencia de tecnología</t>
  </si>
  <si>
    <t>ESTUDIO DE UN SISTEMA DE TRATAMIENTO COMBINADO SCRUBBER+MBR PARA LA ELIMINACIÓN DE COVS EN LA INDUSTRIA FLEXOGRÁFICA (5ª aportación, 2ª anualidad, a los veinticuatro meses de la firma del convenio entre las partes</t>
  </si>
  <si>
    <t>Realización, por parte del investigador Andrés Fullana, del contrato "Estudio de un sistema de tratamiento combinado SCRUBBER para la eliminación de COVS en la industria flexográfica" (6ª y última aportación)</t>
  </si>
  <si>
    <t>Realización, por parte del investigador Andrés Fullana, del "Estudio de Métodos de recuperación de materiales plásticos en el sector del envasado. Quinta aportación, a los veinticuatro meses de la entrada en vigor del Convenio entre las partes.</t>
  </si>
  <si>
    <t>Realización, por parte de la investigadora Alicia Font, del contrato:  COLABORACIÓN EN EL DESARROLLO Y APLICACIÓN DE LAS TÉCNICAS DE ANÁLISIS PARA CARACTERIZACIÓN DE MUESTRAS DE HIDRÓXIDO DE MAGNESIO Y MATERIAS PRIMAS EMPLEADAS EN SU OBTENCIÓN. Cuarta y última factura, a los 19 meses de la entrada en vigor del contrato. Referencia CDTI: Proyecto Hidromagne.BRASDELPORT4-17Y</t>
  </si>
  <si>
    <t>Realización, por parte de la investigadora Adoración Carratalá del contrato: "Vigilancia y estudio de las fuentes que contribuyen a los niveles atmosféricos de PM10 para la mejora de la calidad del aire en el entorno del puerto de alicante en 2018"</t>
  </si>
  <si>
    <t>Realización, por parte de la investigadora Adoración Carratalá, del contrato: "Vigilancia y estudio de las fuentes que contribuyen a los niveles atmosféricos de PM10 para la mejora de la calidad del aire en el entorno del puerto de Alicante en 2018" CUARTO PAGO, a la finalización del contrato y contra entrega del informe final.</t>
  </si>
  <si>
    <t>Realización, por parte del investigador Pedro Varó, de 3 informes correspondientes al proyecto UTEALICANTE1-18T: " Control de biofiltro ubicado en las instalaciones del Centro de Tratamiento de Residuos de UTE Alicante, en Partida de Foncalent" FACTURA PRIMER TRIMESTRE DE 2019</t>
  </si>
  <si>
    <t>Realización, por parte del investigador Pedro Varó, de cuatro informes (uno en abril, uno en mayo, otro en junio y uno más en julio) correspondientes al proyecto UTEALICANTE1-18T: "Control de bilfiltro ubicado en las instalaciones el Centro de Tratamiento de Residuos de UTE Alicante, en Partida de Foncalent" CUARTA FACTURA</t>
  </si>
  <si>
    <t xml:space="preserve">Realización, por parte del investigador Pedro Varó, del contrato: "control de biofiltro ubicado en las instalaciones del centro de tratamiento de residuos de UTE Alicante, en partida de Foncalent" PRIMERA FACTURA TRIMESTRAL DE UTELICANTE2-19TD </t>
  </si>
  <si>
    <t>40.90.6C.00.54</t>
  </si>
  <si>
    <t>Realización, por parte del investigador Andrés Fullana, del contrato "Grafeno como agente de barrera en materiales compostables"  SEGUNDO PAGO, a los seis meses tras la firma del contratoGAVIPLAS1-18I</t>
  </si>
  <si>
    <t>Realización, por parte del investigador Andrés Fullana, del contrato "Grafeno como agente de barrera en materiales compostables"  TERCER PAGO, a los doce meses tras la firma del contrato</t>
  </si>
  <si>
    <t>Realización, por parte del investigador Andrés Fullana, del contrato: "Proyecto I+D, Grafeno como agente de barrera en materiales compostables": AsistenciaTtécnica para el desarrollo de formulaciones y estudios de investigación para la dispersión de grafeno. PRIMER PAGO, a la firma del contrato.</t>
  </si>
  <si>
    <t>Realización, por parte de la investigadora Nuria Boluda, del contrato: Tratamiento de agua por electromagnetismo para estudios de dureza, combinación con otras tecnologías avanzadas para eliminación de contaminantes. SEGUNDA APORTACIÓN</t>
  </si>
  <si>
    <t>40.90.6C.00.56</t>
  </si>
  <si>
    <t>Realización, por parte del investigador Vicente Gomis, del contrato: "Análisis por fluorescencia de Rayos X y determinación de pérdida al fuego de dos muestras de yeso"</t>
  </si>
  <si>
    <t>40.90.6C.00.57</t>
  </si>
  <si>
    <t>40.90.6C.00.58</t>
  </si>
  <si>
    <t>Realización, por parte del investigador Andrés Fullana, del contrato: "Análisis de compuestos presentes en una serie de muestras de plástico proporcionadas por la empresa. Para ello se llevará a cabo una extracción sólido-líquido utilizando diclorometano como disovente. Los extractos obtenidos se analizarán por GC/MS. La UA emitirá un informe que contendrá un screening completo de cada muestra, identificación de las sustancias más abundantes y su relación con la lista positiva y semi-cuantificación de las sustancias de interés.</t>
  </si>
  <si>
    <t>40.90.6C.00.59</t>
  </si>
  <si>
    <t>Realización, por parte del investigador Vicente Gomis, del contrato "Análisis por fluorescencia de Rayos X y determinación de pérdida al fuego de TRES muestras de yeso"</t>
  </si>
  <si>
    <t>40.90.6C.00.61</t>
  </si>
  <si>
    <t>Realización por parte del investigador Vicente Gomis del contrato "Análisis por fluorescencia de Rayos X y determinación de pérdida al fuego de dos muestras de yeso</t>
  </si>
  <si>
    <t>40.90.6C.00.62</t>
  </si>
  <si>
    <t>Realización por parte del investigador, Vicente Gomis, del contrato "Análisis por fluiorescencia de Rayos X y determinación de pérdida al fuego de dos muestras de yeso</t>
  </si>
  <si>
    <t>40.90.6C.00.63</t>
  </si>
  <si>
    <t>Realización por parte del investigador Vicente Gomis Yagües del contrato "Análisis de dos muestras por fluorescencia de Rayos X"</t>
  </si>
  <si>
    <t>40.90.6C.00.64</t>
  </si>
  <si>
    <t>Realización, por parte del investigador Juan A. Conesa, del conteo y análisis de los microplásticos contenidos en cuatro muestras de sal. Caracterización por microscopía IR e informe de resultados.</t>
  </si>
  <si>
    <t>40.90.6C.00.65</t>
  </si>
  <si>
    <t>Realización, por parte del investigador Andrés Fullana, del convenio: "Tratamiento de residuos mediante carbonización hidrotermal". Segunda aportación, a los seis meses de la entrada en vigor del convenio entre las partes y contra entrega de un informe parcial.</t>
  </si>
  <si>
    <t>TRATAMIENTO DE RESIDUOS MEDIENTE CARBONIZACIÓN HIDROTERMAL. Primera aportación durante el mes siguiente a la entrada en vigor del convenio entre las partes.</t>
  </si>
  <si>
    <t>40.90.6C.00.66</t>
  </si>
  <si>
    <t>Realización, por parte del investigador Juan A. Reyes, de la evaluación del proyecto: "2016 CTA-1002 "tar" - INVESTIGACIÓN EN ALTERNATIVAS PARA LA GESTIÓN Y APROVECHAMIENTO DEL TAR DE FENOL"AENOR2-19TPA</t>
  </si>
  <si>
    <t>40.90.6C.00.67</t>
  </si>
  <si>
    <t>Realización por parte de las investigadoras María Isabel Beltrán y Adoración Carratalá del contrato "Comparación de volátiles generados a partir de muestras de caucho HTBN" Número de pedido 420-007279</t>
  </si>
  <si>
    <t>40.90.6C.00.68</t>
  </si>
  <si>
    <t>Adoración Carratalá, del contrato: "Comparación de muestras de polioles e identificación de partículas sólidas" Nº de pedido: 420-007784.</t>
  </si>
  <si>
    <t>40.90.6C.00.70</t>
  </si>
  <si>
    <t>Realización, por parte del investigador Antonio Marcilla, del contrato: Diseño y construcción e prototipos piloto de una planta industrial para la producción de espirulina. PRIMERA APORTACIÓN, a la entrada en vigor del convenio.</t>
  </si>
  <si>
    <t>40.90.6C.00.71</t>
  </si>
  <si>
    <t>Realización por parte del investigador Juan A. Conesa, del contrato "Estudio de los contaminantes producidos por la combustión de lignosulfonatos"</t>
  </si>
  <si>
    <t>40.90.6C.00.72</t>
  </si>
  <si>
    <t>Realización, por parte del investigador Vicente Gomis, del contrato Análisis por fluorescencia de rayos X y pérdida al fuego de una muesrta de yeso</t>
  </si>
  <si>
    <t>40.90.6C.00.75</t>
  </si>
  <si>
    <t>Realización, por parte de la investigadora Adoración Carratalá, del proyecto: Vigilancia y estudio de las fuentes que contribuyen a los niveles atmosféricos de PM10 para la mejora de la calidad del aire en el entorno del puerto de Alicante.  Primer pago del 50% del presupuesto a aportar tras el inicio de la anualidad y tras la firma del contrato.</t>
  </si>
  <si>
    <t>40.90.6C.00.77</t>
  </si>
  <si>
    <t>Realización, por parte del investigador Andrés Fullana, del contrato: Realización de ensayos para la recuperación de PA en film de plástico coextruido con poliolefinas.</t>
  </si>
  <si>
    <t>40.90.6C.00.79</t>
  </si>
  <si>
    <t>Realización, por parte de la investigadora, Julia Moltó, del contrato: "Revisión de literatura relevante para la descomposición termal de diferentes compuestos químicos presentes en 5 mezclas de téxtil para identificar los potenciales riesgos asociados con el pirólisis de éstas mezclas"</t>
  </si>
  <si>
    <t>40.90.6H.00.04</t>
  </si>
  <si>
    <t xml:space="preserve">APOTI/2019 SUBV CONTRATACION PERSONAL DEAPOYO VINCULADO A PROYECTO TRANSFERENCIA (RES 10/04/2019)  </t>
  </si>
  <si>
    <t>ROYALTIES BASED ON THE LICENSE AGREEMENT BETWEEN THE UNIVERSIY OF ALICANTE AND ILUDEST DESTILLATIONSANLAGEN GMBH. VAPOUR-LIQUID-LIQUID EQUILIBRIUM DETERMINATIUM APARATUS (MAIN UNIT), 5% PROJECT N. 169181/O/R</t>
  </si>
  <si>
    <t>LIBERADOS EL 23/04/2019, ANUALIDAD 2019 PROYECTOS I+D (PIA1) N EXPEDIENTE: PIA12015-1 -4 ANUALIDAD REFERENCIA: CTQ2015-70726-P. REF. DEL ORDENANTE PARA EL BENEFICIARIO: 27402219310017414.</t>
  </si>
  <si>
    <t xml:space="preserve">PROMETEO 2016 EN 2019 </t>
  </si>
  <si>
    <t>LIBERADOS 23/05/2019, ANUALIDAD 2019 PROYECTOS I+D RETOS (PIA 13) N EXPEDIENTE: PIA132016-1-4 ANUALIDAD REFERENCIA: CTQ2016-76608-R. REF. DEL ORDENANTE PARA EL BENEFICIARIO: 27402219310019219.</t>
  </si>
  <si>
    <t>LIBERADOS 23/05/2019, ANUALIDAD 2019 PROYECTOS I+D RETOS (PIA 13) N EXPEDIENTE: PIA132016-1-4 ANUALIDAD REFERENCIA: CTQ2016-78246-R. REF. DEL ORDENANTE PARA EL BENEFICIARIO: 27402219310019277.</t>
  </si>
  <si>
    <t>Reintegro de abonos indebidos de ejercicio corriente con origen en nóminas del ejercicio 2019</t>
  </si>
  <si>
    <t>LIBERADOS EL 16/05/2019, ANUALIDAD 2019 PROYECTOS I+D (PIA 1) N EXPEDIENTE: PIA12016-1-4 ANUALIDAD REFERENCIA: CTQ2016-77968-C3-2-P. REF. DEL ORDENANTE PARA EL BENEFICIARIO: 27402219310018771.</t>
  </si>
  <si>
    <t>REINTEGRO CUOTA PATRONAL CORRESPONDIENTE AL MES DE DICIEMBRE DE 2019.</t>
  </si>
  <si>
    <t>40.90.6P.00.18</t>
  </si>
  <si>
    <t xml:space="preserve">PAGO AYUDA INVAL 10/18/012 VALORIZACIÓN, TRANSFERENCIA Y EXPLOTACIÓN POR LAS EMPRESAS DE RESULTADOS I+D 2018 </t>
  </si>
  <si>
    <t>40.90.6X.00.01</t>
  </si>
  <si>
    <t>H2020 - SHALEX (634570) P2 FINAL PAYMENT. LA OFICINA DE GESTIÓN DE PROYECTOS INTERNACIONALES INFORMA QUE SE TRATA DEL PAGO FINAL CON FONDO DE GARANTÍA DEL PROYECTO SHALEXENVIRONMENT.</t>
  </si>
  <si>
    <t>Bernal Romero del Hombre Bueno, María de los Ángeles </t>
  </si>
  <si>
    <t>Reducción de microcontaminantes mediante procesos biológicos, tratamiento con membranas y carbón activado </t>
  </si>
  <si>
    <t>27/05/2020 </t>
  </si>
  <si>
    <t>21455103J </t>
  </si>
  <si>
    <t>Horodytska , Oksana </t>
  </si>
  <si>
    <t>PLASTICS RECYCLING: NEW CHALLENGES IN THE AGE OF THE CIRCULAR ECONOMY </t>
  </si>
  <si>
    <t>15/09/2020 </t>
  </si>
  <si>
    <t>COD DEP</t>
  </si>
  <si>
    <t>65</t>
  </si>
  <si>
    <t>20</t>
  </si>
  <si>
    <t>48317347M</t>
  </si>
  <si>
    <t>GOMEZ-RICO NUÑEZ DE ARENAS, MARIA FRANCISCA</t>
  </si>
  <si>
    <t>55</t>
  </si>
  <si>
    <t>Asensio Morant, Javier </t>
  </si>
  <si>
    <t>PIRÓLISIS TÉRMICA Y CATALÍTICA DE LA NICOTINA Y NNK Y NNN, DOS NITROSAMINAS ESPECÍFICAS DEL TABACO </t>
  </si>
  <si>
    <t>04/12/2020 </t>
  </si>
  <si>
    <t>Vázquez Vázquez, Daniel </t>
  </si>
  <si>
    <t>Integrating and modeling multiple objectives in the design of chemical and industrial processes. </t>
  </si>
  <si>
    <t>23/10/2020 </t>
  </si>
  <si>
    <t>Jódar Abellán, Antonio </t>
  </si>
  <si>
    <t>Hydrological impacts of global change. Adaptation alternatives in complex water systems with water resources scarcity and severe natural risks (southeast of Spain) </t>
  </si>
  <si>
    <t>09/07/2021 </t>
  </si>
  <si>
    <t>Tratamiento de aguas residuales mediante UASB + eMBR para eliminación de productos farmacéuticos en aguas residuales urbanas </t>
  </si>
  <si>
    <t>15/09/2021 </t>
  </si>
  <si>
    <t>Domene López, Daniel </t>
  </si>
  <si>
    <t>ALMIDÓN TERMOPLÁSTICO PARA EL DISEÑO DE APLICACIONES MEDIOAMBIENTALES SOSTENIBLES </t>
  </si>
  <si>
    <t>21/12/2020 </t>
  </si>
  <si>
    <t>21494722A </t>
  </si>
  <si>
    <t>Albert Navarro, Elena </t>
  </si>
  <si>
    <t>EVALUACIÓN DEL POTENCIAL SENSIBILIZANTE DEL CR (VI) DURANTE EL USO DEL CALZADO </t>
  </si>
  <si>
    <t>20/07/2017 </t>
  </si>
  <si>
    <t>- </t>
  </si>
  <si>
    <t>Realización, por parte del investigador Pedro Varó Galvañ, del contrato:  Control de biofiltro ubicado en las instalaciones del centro de tratamiento de residuos de UTEALICANTE en Partida de Fontcalent, (Ref.: UTEALICANTE2-20TD)  PRIMERA FACTURA correspondiente a los siguientes informes y referencias: Informes: agosto-2020, septiembre-2020 y octubre-2020 Referencias: UTEALICANTE2-20TD_biofiltro_0025 UTEALICANTE2-20TD_biofiltro_0026 UTEALICANTE2-20TD_biofiltro_0027</t>
  </si>
  <si>
    <t>Realización, por parte del investigador Pedro Varó Galvañ,  de la actividad ¿Control de biofiltro ubicado en las instalaciones del centro de tratamiento de residuos de UTEALICANTE en Partida de Fontcalent¿, Ref.: UTEALICANTE2-19TD tercera factura correspondiente a los siguientes informes y referencias: Informes: Feb-2020, marzo-2020 y mayo 2020 Referencias: UTEALICANTE2-19TD_biofiltro_0020 UTEALICANTE2-19TD_biofiltro_0021 y  UTEALICANTE2-19TD_biofiltro_0022 UTEALICANTE2-19TD</t>
  </si>
  <si>
    <t>Realización, por parte del investigador Pedro Varó, del proyecto: Control de biofiltro ubicado en las instalaciones del centro de tratamiento de residuos de UTE ALICANTE, en Partida de Foncalent. Realización de 3 informes (noviembre de 2019, diciembre de 2019 y enero de 2020) SEGUNDA FACTURA (Referencias UTEALICANTE2-19TD_BIOFILTRO_0017, 0018 Y 0019)</t>
  </si>
  <si>
    <t>Realización, por parte del investigador Andrés fullana, de la actividad: "Grafeno como agente de barrera en materiales compostables" Ref.: GAVIPLAS1-18I. QUINTO y último PAGO,  a los veinticuatro meses, tras la firma del contrato.</t>
  </si>
  <si>
    <t>Realización, por parte del investigador Andrés Fullana, del contrato: Proyecto I+D, grafeno como agente de barrera en materiales compostables. Asistencia técnica para el desarrollo de formulaciones y estudios de investigación para la dispersión de grafeno. CUARTO PAGO a los 18 meses tras la firma del contrato.</t>
  </si>
  <si>
    <t>Realización, por parte del investigador Antonio Marcilla, del proyecto: "Diseño y construcción de prototipos piloto de una planta industrial para la producción de espirulina". Fase 0 y 1.</t>
  </si>
  <si>
    <t>REINTEGRO CUOTA PATRONAL CORRESPONDIENTE A SEPTIEMBRE DE 2020.</t>
  </si>
  <si>
    <t>40.90.6C.00.73</t>
  </si>
  <si>
    <t>Realización por parte del investigador Vicente Gomis, del convenio: Análisis por fluorescencia de rayos X y determinación de pérdida al fuego de 1 muestra de yeso crudo del 09-09-19 a las 10:00 h. (YESOSTORRIQUE9-19TPA)</t>
  </si>
  <si>
    <t>40.90.6C.00.74</t>
  </si>
  <si>
    <t>Realización, por parte del investigador Vicente Gomis, del convenio: Análisis por fluorescencia de rayos X y determinación de pérdida al fuego de 1 muestra de residuo de placa de yeso molido del 26/08/2019 (YESOSTORRIQUE10-19TPA)</t>
  </si>
  <si>
    <t>Realización, por parte de la investigadora Adoración Carratalá del proyecto: Vigilancia y estudio de las fuentes que contribuyen a los niveles atmosféricos de PM10 para la mejora de la calidad del aire en el entorno del puerto de Alicante en 2019-2021. Seguindo pago del 30% del presupuesto a aportar a los seis meses del inicio de cada anualidad de la firma del Contrato.</t>
  </si>
  <si>
    <t>Realización, por parte de la investigadora Adoración Carratalá, del contrato: "Vigilancia y estudio de las fuentes que contribuyen a los niveles atmosféricos de PM10 para la mejora de la calidad del aire en el entorno del Puerto de Alicante en 2019-2021". (Ref.: BERGE1-19I) PAGO DEL SEGUNDO AÑO A REALIZAR EN 2020, SEGÚN ACUERDO AUTORIZADO.</t>
  </si>
  <si>
    <t>Realización, por parte de la investigadora Adoración Carratalá, del proyecto: "Vigilancia y estudio de las fuentes que contribuyen a los niveles atmosféricos de PM10 para la mejora de la calidad del aire en el entorno del Puerto de Alicante en 2019-2021". TERCER PAGO DEL PRIMER AÑO (el informe de éste primer año ya ha sido entregado)</t>
  </si>
  <si>
    <t>40.90.6C.00.80</t>
  </si>
  <si>
    <t>Realización, por parte del investigador Andrés Fullana, del contrato: TESTING/FEASIBILITY STUDI ON THE APPLICATION OF THE MULTILAYER FLEXIBLE PACKAGING DELAMINATION PROCESS DEVELOPED BY THE UNIVERSITY OF ALICANTE IN THE MATERIALS OF INTEREST OF THE COMPANY SIEGWERK¿ Ref.: SIEGWERK2-19I. Primera factura por la realización de la mitad del trabajo solicitado.</t>
  </si>
  <si>
    <t>40.90.6C.00.81</t>
  </si>
  <si>
    <t>Realización, por parte de las investigadoras Mª Isabel Beltrán y Adoración Carratalá, del convenio:" Determinación de la concentración de compuestos volátiles en salas de procesado" (SIMRADSPAIN1-20TPA) Nº de pedido 420-010106.</t>
  </si>
  <si>
    <t>40.90.6C.00.82</t>
  </si>
  <si>
    <t>Realización, por parte del investigador Pedro Varó, del contrato UTEALICANTE4-19T: Control de contaminantes de la instalación de cogeneración del centro de tratamiento de residuos de UTE ALICANTE, en Partida de _Fontcalent.</t>
  </si>
  <si>
    <t>40.90.6C.00.83</t>
  </si>
  <si>
    <t>Realización, por parte del investigador Vicente Gomis, del convenio: Análisis por fluorescencia de rayos X y determinación de pérdida al fuego de 2 muestas de yeso mineral de filtración (residuo químicas) YESOSTORRIQUE1-20TPA</t>
  </si>
  <si>
    <t>40.90.6C.00.85</t>
  </si>
  <si>
    <t>Realización por parte del investigador Andrés Fullana del contrato: Testing the delamination technology developed by the Chemical Engineering Department of the University of Alicante, for disassembling the plastic layers of two samples provided by Siegwerk.(SIEGWERK1-20TPA)</t>
  </si>
  <si>
    <t>40.90.6C.00.86</t>
  </si>
  <si>
    <t>"Pago único por cesión de la titularidad de la patente ES2427019B2 y extensiones PCT/ES2013/070161 (ref. contrato CADEL1-20O)"</t>
  </si>
  <si>
    <t>40.90.6C.00.87</t>
  </si>
  <si>
    <t>Realización, por parte del investigador Vicente Gomis, del contrato: Análisis de DOS muestras por fluorescencia de Rayos X y pérdida de PESO. (YESOSMILLAN1-20TPA)</t>
  </si>
  <si>
    <t>40.90.6C.00.88</t>
  </si>
  <si>
    <t>Realización, por parte de los investigadores Antonio Marcilla y Maribel Beltrán del contrato: "Estudio sobre adhesivos en el secado del corte y de la suela" (PIKOKAIZEN1-20TPA) Segunda y última factura, por el 70% del importe total.</t>
  </si>
  <si>
    <t>Realización, por parte de los investigadores Antonio Marcilla y Maribel Beltrán, del contrato "ESTUDIO SOBRE ADHESIVOS EN EL SECADO DEL CORTE Y DE LA SUELA" (PIKOKAIZEN1-20TPA) Primera factura, del 30% del total al inicio del proyecto.</t>
  </si>
  <si>
    <t>40.90.6C.00.89</t>
  </si>
  <si>
    <t xml:space="preserve">Realización, por parte del investigador D. Pedro  Varó  Galvañ,  de  la  actividad  ¿CONTROL DEL PROCESO DE BIODIGESTIÓN PARA LA MEJORA DE LA PRODUCCIÓN DE BIOGÁS Y ESTABILIDAD DEL DIGESTOR ANAEROBIO¿,  Ref.:  UTEALICANTE1-20T.  PRIMERA factura correspondiente a los  siguientes  informes: Informes: Enero 2020, febrero 2020 y  marzo  2020.               </t>
  </si>
  <si>
    <t>Realización, por parte del invstigador Pedro Varó, del contrato: CONTROL DEL PROCESO DE BIODIGESTIÓN PARA LA MEJORA DE LA PRODUCCIÓN DE BIOGAS Y ESTABILIDAD DEL DIGESTOR ANAEROBIO (UTEALICANTE1-20T) TERCERA factura corrrespondiente a los informes: septiembre 2020 y octubre 2020.</t>
  </si>
  <si>
    <t>40.90.6C.00.90</t>
  </si>
  <si>
    <t>Realización, por parte de la investigadora Julia Moltó Berenguer del contrato: "Caracterización básica inicial de cinco muestras de textiles. Determinación experimental de las siguientes propiedades: humedad, análisis elemental (C, H, N, S), contenido en cenizas, contenido en oxígeno, digestión ácida y análisis de los elementos mediante ICP-MS, pérdida de peso con la temperatura a diferentes atmósferas¿ Ref.: HUSKVENTURES1-20TPA.</t>
  </si>
  <si>
    <t>40.90.6C.00.91</t>
  </si>
  <si>
    <t>Realización, por parte de la investigadora Julia Moltó, del contrato: Análisis e informe de los resultados obtenidos de las muestras aportadas y recomendaciones para las medidas correctivas para una correcta gestión. HUSKVENTURES2-20TPA. PRIMERA FACTURA por el 70% del total, a la firma del contrato.</t>
  </si>
  <si>
    <t>40.90.6C.00.93</t>
  </si>
  <si>
    <t>Realización, por parte de la investigadora Adoración Carratalá, del contrato "Estimación de fuentes que contribuyen a los niveles de PM10 en el entorno del Puerto de Alicante y evolución 2020-2023 (ref.: PUERTOALICANTE1-20Y) TERCERA FACTURA, correspondiente a noviembre-diciembre del 2020 y enero del 2021.</t>
  </si>
  <si>
    <t>Realización, por parte de la investigadora Adoración Carratalá, del contrato: Estimación de fuentes que contribuyen a los niveles de PM10 en el entorno del Puerto de Alicante y evolución 2020-2023 (ref.: PUERTOALICANTE1-20Y). PRIMERA factura, aprobado el calendario de certificación de pagos, correspondiente al Trimestres 1. Mayo-julio 2020</t>
  </si>
  <si>
    <t>Realización, por parte de la invetigadora Adoración Carratalá, del convenio: Estimación de fuentes que contribuyen a los niveles de PM1  en el entorno del Puerto de Alicane y evolución 2020-2023. Ref.: PUERTOALICANTE1-20Y. SEGUNDA factura, tras la reunión de seguimiento trimestral de fecha 02/09/2020. Trimestre 2. Agosto-octubre 2020</t>
  </si>
  <si>
    <t>40.90.6C.00.94</t>
  </si>
  <si>
    <t>Realización, por parte del investigador Andrés Fullana, del convenio: "Realización de ensayos para la recuperación de PA en film de plástico coextruida con otros polímeros en siete muestras de origen post-consumo", (UBE2-20TPA)</t>
  </si>
  <si>
    <t>40.90.6C.00.95</t>
  </si>
  <si>
    <t>Realización, por parte de las investigadoras María Isabel Beltrán y Adoración Carratalá, de la actividad: Determinación e interpretación de FTIR-ATR de muestras de aditivos PU y cauchos. Ref.: SIMRADSPAIN2-20TPA. Factura correspondiente al pedido nº 420-009397.</t>
  </si>
  <si>
    <t>APOTI 2019 EN 2020 (RESOL 10 ABRIL 2019)</t>
  </si>
  <si>
    <t>I-FISCHER1-11O Royalties (2019) BASED ON THE LICENSE AGREEMENT BETWEEN THE UNIVERSITY OF ALICANTE AND ILUDEST DESTILLATIONSANLAGEN GMBH. VAPOUR-LIQUID-LIQUID EQUILIBRIUM DETERMINATIUM APARATUS (MAIN UNIT), 5% PROJECT N. 65181/O/2</t>
  </si>
  <si>
    <t>40.90.6P.00.20</t>
  </si>
  <si>
    <t>COVID-19 CONCESIÓN DIRECTA AYUDASURGENTES SOLUCIONES CIENTIFICO INNOVADORAS DECRETO 63/2020, 15 MAYO 2020 (INNOVACIÓN,UNIVERSIDADES,CIENCIA SOC.DIG)</t>
  </si>
  <si>
    <t>40.90.6P.00.21</t>
  </si>
  <si>
    <t>RESOLUCIÓN CONCESIÓN SUBVENCIONES DEL PROGRAMA PROMETEO 2020 (INNOVACIÓN,UNIVERSIDADES,CIENCIA SOC.DIG)</t>
  </si>
  <si>
    <t>40.90.6P.00.22</t>
  </si>
  <si>
    <t>40.90.6P.00.23</t>
  </si>
  <si>
    <t xml:space="preserve">PAGO CONVOCATORIA PROYECTOS 2019 1ANUALIDAD 2020 PROYECTOS I+D (PIA 1)N EXPEDIENTE: PIA 1 2019-1-1. ANUALIDAD REFERENCIA: PID2019-105359RB-I00 </t>
  </si>
  <si>
    <t>40.90.6P.00.24</t>
  </si>
  <si>
    <t xml:space="preserve">PAGO CONVOCATORIA PROYECTOS 2019 1ANUALIDAD 2020 PROYECTOS I+D (PIA 1)N EXPEDIENTE: PIA 1 2019-1-1. ANUALIDAD REFERENCIA:PID2019-108632RB-I00  </t>
  </si>
  <si>
    <t> Numero
de tesis</t>
  </si>
  <si>
    <t>Unidad</t>
  </si>
  <si>
    <t>Cód. org. aplic.</t>
  </si>
  <si>
    <t>Descripción justificante</t>
  </si>
  <si>
    <t>40.90</t>
  </si>
  <si>
    <t>Realización, por parte del investigador D. Pedro Varó Galvañ, de la actividad "Control de biofiltro ubicado en las instalaciones del centro de tratamiento de residuos de UTE ALICANTE en Partida de Fontcalent",  Ref.: UTEALICANTE2-20TD, correspondiente a los siguientes informes: Informes: Junio 2021, julio 2021 y agosto 2021. Referencias: UTEALICANTE2-20TD_biofiltro_0031 UTEALICANTE2-20TD_biofiltro_0032 UTEALICANTE2-20TD_biofiltro_0033</t>
  </si>
  <si>
    <t>Realización, por parte de la investigadora, Nueria Boluda del contrato: Tratamiento del agua por electromagnetismo, para estudios de dureza, combinación con otras tecnologías avanzadas para eliminación de contaminantes.  ECOTECNIA1-18Y.  TERCERA APORTACIÓN.</t>
  </si>
  <si>
    <t>Realización, por parte de la investigadora Adoración Carratalá, del contrato: VIGILANCIA Y ESTUDIO DE LAS FUENTES QUE CONTRIBUYEN A LOS NIVELES ATMOSFÉRICOS DE PM10 PARA LA MEJORA DE LA CALIDAD DEL AIRE EN EL ENTORNO DELPUERTO DE ALICANTE EN 2019-2021. (BERGE1AnejoResolución-19I) Quinto pago a facturar en marzo de 2021 y contra entrega del informe final anual, según el Anejo de Resolución del contrato.</t>
  </si>
  <si>
    <t>Realización, por parte del investigador D. Pedro Varó Galvañ, de la actividad "CONTROL DEL PROCESO DE BIODIGESTIÓN PARA LA MEJORA DELA PRODUCCIÓN DE BIOGÁS Y ESTABILIDAD DEL DIGESTOR ANAEROBIO", Ref.: UTEALICANTE1-20T. SEGUNDA factura correspondiente a los informes de junio 2020, julio 2020 y agosto 2020.</t>
  </si>
  <si>
    <t xml:space="preserve">REINTEGRO CUOTA PATRONAL CORRESPONDIENTE A DICIEMBRE DE 2021. </t>
  </si>
  <si>
    <t>Realización, por parte de la investigadora Julia Moltó, del contrato: Análisis e informe de los resultados obtenidos de las muestras aportadas y recomendaciones para las medidas correctivas para una correcta gestión. HUSKVENTURES2-20TPA. SEGUNDA FACTURA por e 30% del total.</t>
  </si>
  <si>
    <t>40.90.6C.00.92</t>
  </si>
  <si>
    <t>Realización, por parte del investigador Andrés Fullana, del contrato: " Treatment for deodorization with steam stripping of 3 samples provided by KRONES AG: HDPE, PP and PS flakes. Additionally, VOCs analysis of 9 samples (3 before treatment, 3 after treatment and 3 to compare with KRONES AG technology) by SPME/GC-MS" (PO 4509140774)</t>
  </si>
  <si>
    <t>Realización, por parte de la investigadora Adoración Carratalá, del contrato "Estimación de  fuentes que contribuyen a los niveles de PM10 en el entorno del Puerto de Alicante y  evolución 2020-2023",  (ref.: PUERTOALICANTE1-20Y). SEXTA FACTURA, correspondiente a agosto, septiembre y octubre de 2021.</t>
  </si>
  <si>
    <t>Realización, por parte de la investigadora Adoración Carratalá, del contrato "Estimación de  fuentes que contribuyen a los niveles de PM10 en el entorno del Puerto de Alicante y  evolución 2020-2023",  (ref.: PUERTOALICANTE1-20Y). QUINTA FACTURA, correspondiente a mayo, junio y julio de 2021</t>
  </si>
  <si>
    <t>Realización, por parte de la investigadora Adoración Carratalá, del contrato "Estimación de fuentes que contribuyen a los niveles de PM10 en el entorno del Puerto de Alicante y evolución 2020-2023 (ref.: PUERTOALICANTE1-20Y) CUARTA FACTURA, correspondiente a febrero-marzo y abril del 2021.</t>
  </si>
  <si>
    <t>40.90.6C.00.98</t>
  </si>
  <si>
    <t>Realización, por parte del investigador Antonio Marcilla, del contrato: Planta piloto demostrativa para la extracción y purificación de moléculas y biocompuestos de alto valor añadido de los cultivos de la microalga Arthrospira Platensis para la industria alimentaria y farmacéutica (SPACEFARMER1-20Y) PRIMER PAGO, a la entrada en vigor del contrato.</t>
  </si>
  <si>
    <t>40.90.6C.00.99</t>
  </si>
  <si>
    <t xml:space="preserve">Realización, por parte del investigador Antonio Marcilla, del contrato: PLANTA PILOTO AUTOMATIZADA PARA EL CULTIVO DE ESPIRULINA Y EXTRACCIÓN DE SUS BIOCOMPUETOS DE INTERÉS (SPACEFARMER2-20Y) FASE 1. PRIMER PAGO, a la entrada en vigor del contrato.  </t>
  </si>
  <si>
    <t>40.90.6C.01.00</t>
  </si>
  <si>
    <t>Realización, por parte del investigador Ignacio Martín Gullón, del contrato: ASESORAMIENTO Y ASISTENCIA TÉCNICA EN DESARROLLO DE NUEVOS MATERIALES BASADOS EN ALMIDÓN TERMOPLÁSTICO CON UNA ALTA INTENSIFICACIÓN. Segundo pago del proyecto, según se establece en el contrato</t>
  </si>
  <si>
    <t>Realización, por parte del investigador Ignacio Martín Gullón, del contrato:  ASESORAMIENTO Y ASISTENCIA TÉCNICA EN DESARROLLO DE NUEVOS MATERIALES BASADOS EN ALMIDÓN TERMOPLÁSTICO CON UNA ALTA INTENSIFICACIÓN. Primer pago al inicio del proyecto de asesoramiento y tras la firma de este Contrato.</t>
  </si>
  <si>
    <t>40.90.6C.01.01</t>
  </si>
  <si>
    <t>Realización, por parte del investigador Andrés Fullana, del contrato: SUBCONTRATACIÓN UNIVERSIDAD DE ALICANTE EN EL PROYECTO "DESORECH- DISEÑO Y DESARROLLO DE UN SISTEMA DE DESODORIZACIÓN DE LOS RESIDUOS DE ENVASES RÍGIDOS PLÁSTICOS MEDIANTE VAPOR DE AGUA" (NORDVERT1-21T)  A1. Muestreo y caracterización de diferentes envases plásticos con olor. PRIMER PAGO, A LA FIRMA DEL CONTRATO.</t>
  </si>
  <si>
    <t>Segundo pago correspondiente al contrato: "SUBCONTRATACIÓN UNIVERSIDAD DE ALICANTE EN EL PROYECTO "DESORECH- DISEÑO Y DESARROLLO DE UN SISTEMA DE DESODORIZACIÓN DE LOS RESIDUOS DE  ENVASES RÍGIDOS PLÁSTICOS MEDIANTE VAPOR DE AGUA" (NORDVERT1-21T). A2. Prueba de concepto a escala laboratorio de la tecnología con vapor de agua.  (OT 4067).</t>
  </si>
  <si>
    <t>40.90.6C.01.02</t>
  </si>
  <si>
    <t>Realización, por parte del investigador Vicente Gomis, del contrato: ANÁLISIS DE UNA MUESTRA DE FLUORESCENCIA DE RAYOS X Y PERDIDA DE PESO (YESOSMILLAN1-21TPA )</t>
  </si>
  <si>
    <t>40.90.6C.01.03</t>
  </si>
  <si>
    <t>Realización, por parte del investigador Vicente Gomis, del contrato: Análisis de muestras y realización de informe por Microscopía de Rayos X y Pérdida de peso, para análisis de manchas en yeso.</t>
  </si>
  <si>
    <t>40.90.6C.01.05</t>
  </si>
  <si>
    <t>Evaluación del proyecto Expediente 2021/0955/PIDI/01 ADDITIUS20: Desarrollo de tecnología para la automatización y mejora de la eficiencia del sistema productivo perteneciente a la empresa Additius Santa María, S.L.</t>
  </si>
  <si>
    <t>40.90.6C.01.07</t>
  </si>
  <si>
    <t>SCIENTIFIC ADVISER AGREEMENT BETWEEN THE UNIVERSITY OF ALICANTE AND IFTAG AG: CONSULTING AND SCIENTIFIC ASSISTANCE SERVICES IN A PROJECT OF BASE OIL REFINERY. INITIAL FEE.</t>
  </si>
  <si>
    <t>SCIENTIFIC ADVISER AGREEMENT BETWEEN THE UNIVERSITY OF ALICANTE AND IFTAG AG: CONSULTING AND SCIENTIFIC ASSISTANCE SERVICES IN A PROJECT OF BASE OIL REFINERY. ADDITIONAL FEE.</t>
  </si>
  <si>
    <t>40.90.6C.01.09</t>
  </si>
  <si>
    <t>REALIZACIÓN DE LOS SERVICIOS ESTABLECIDOS EN EL CONTRATO DE I+D+i ENTRE LA UNIVERSIDAD DE ALICANTE (UA) Y LA ASOCIACIÓN DE INVESTIGACIÓN DE LA INDUSTRIA TEXTIL (AITEX), EN EL MARCO DEL PROYECTO "CHEMUP - OBTENCIÓN DE HILO A PARTIR DE BIOPOLÍMEROS Y PET RECICLADO QUÍMICAMENTE"</t>
  </si>
  <si>
    <t>40.90.6H.00.03</t>
  </si>
  <si>
    <t>REINTEGRO CUOTA PATRONAL CORRESPONDIENTE A JULIO DE 2021.</t>
  </si>
  <si>
    <t>40.90.6H.00.05</t>
  </si>
  <si>
    <t>TECNICOS DE APOYO N EXPEDIENTE: PTA-2019-1 - 1 ANUALIDAD REFERENCIA: PTA2019-017641-I</t>
  </si>
  <si>
    <t>PROMETEO 2020 EN 2021 (INNOVACIÓN,UNIVERSIDADES,CIENCIA SOC.DIG)</t>
  </si>
  <si>
    <t>PID2019-105359RB-I00</t>
  </si>
  <si>
    <t>PID2019-108632RB-I00</t>
  </si>
  <si>
    <t>40.90.6P.00.26</t>
  </si>
  <si>
    <t>PID2020-119320GB-I00</t>
  </si>
  <si>
    <t>40.90.6S.00.16</t>
  </si>
  <si>
    <t>21510814Y </t>
  </si>
  <si>
    <t>MORA CABRERA, KAREN VIVIANA </t>
  </si>
  <si>
    <t>Londoño Larrea, Pablo Andrés </t>
  </si>
  <si>
    <t>Obtención y caracterización del biocarbón de cáscara de cacao y su aplicación como enmienda al suelo </t>
  </si>
  <si>
    <t>25/05/2022 </t>
  </si>
  <si>
    <t>Calabuig Belda, Emilio </t>
  </si>
  <si>
    <t>"Pirólisis y descomposición del tabaco, efectos del uso catalizadores mesoporosos SBA-15" </t>
  </si>
  <si>
    <t>17/12/2021 </t>
  </si>
  <si>
    <t>Aldeguer Esquerdo, Alejandro </t>
  </si>
  <si>
    <t>Tratamientos combinados mediante carbón activado y ozono para reducir la presencia de atrazina, simazina, carbamazepina y diclofenaco en medio acuoso. </t>
  </si>
  <si>
    <t>27/05/2022 </t>
  </si>
  <si>
    <t>Total  ingresos investigación 2019, 2020  y 2021</t>
  </si>
  <si>
    <t>48356166T</t>
  </si>
  <si>
    <t>ORTUÑO GARCIA, NURIA</t>
  </si>
  <si>
    <t>NO FUNCIONARIO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</si>
</sst>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0"/>
      <name val="Calibri"/>
      <family val="2"/>
      <scheme val="minor"/>
    </font>
    <font>
      <b/>
      <sz val="11"/>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72">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2" borderId="0" xfId="5" applyFont="1" applyFill="1"/>
    <xf numFmtId="0" fontId="10" fillId="2" borderId="0" xfId="5" applyFont="1" applyFill="1" applyAlignment="1">
      <alignment horizontal="right"/>
    </xf>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3" fillId="4" borderId="3" xfId="1" applyFill="1" applyBorder="1"/>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1" fillId="0" borderId="7" xfId="0" applyFont="1" applyBorder="1" applyAlignment="1">
      <alignment horizontal="left"/>
    </xf>
    <xf numFmtId="0" fontId="11" fillId="0" borderId="7" xfId="0" applyFont="1" applyBorder="1"/>
    <xf numFmtId="0" fontId="0" fillId="0" borderId="0" xfId="0" applyAlignment="1">
      <alignment horizontal="left" indent="1"/>
    </xf>
    <xf numFmtId="0" fontId="11" fillId="7" borderId="8" xfId="0" applyFont="1" applyFill="1" applyBorder="1" applyAlignment="1">
      <alignment horizontal="left"/>
    </xf>
    <xf numFmtId="0" fontId="11" fillId="7" borderId="8" xfId="0" applyFont="1" applyFill="1" applyBorder="1"/>
    <xf numFmtId="0" fontId="5" fillId="3" borderId="1" xfId="1" applyFont="1" applyFill="1" applyBorder="1" applyAlignment="1">
      <alignment horizontal="center" vertical="top" wrapText="1"/>
    </xf>
    <xf numFmtId="0" fontId="5" fillId="3" borderId="1" xfId="2" applyFont="1" applyFill="1" applyBorder="1" applyAlignment="1">
      <alignment horizontal="center"/>
    </xf>
    <xf numFmtId="0" fontId="10" fillId="0" borderId="0" xfId="5" applyFont="1" applyFill="1"/>
    <xf numFmtId="0" fontId="13" fillId="8" borderId="9" xfId="0" applyNumberFormat="1" applyFont="1" applyFill="1" applyBorder="1"/>
    <xf numFmtId="0" fontId="13" fillId="8" borderId="10" xfId="0" applyNumberFormat="1" applyFont="1" applyFill="1" applyBorder="1"/>
    <xf numFmtId="0" fontId="13" fillId="8" borderId="11" xfId="0" applyFont="1" applyFill="1" applyBorder="1" applyAlignment="1">
      <alignment horizontal="right"/>
    </xf>
    <xf numFmtId="0" fontId="0" fillId="9" borderId="12" xfId="0" applyNumberFormat="1" applyFont="1" applyFill="1" applyBorder="1"/>
    <xf numFmtId="0" fontId="0" fillId="9" borderId="13" xfId="0" applyFont="1" applyFill="1" applyBorder="1"/>
    <xf numFmtId="4" fontId="0" fillId="9" borderId="14" xfId="0" applyNumberFormat="1" applyFont="1" applyFill="1" applyBorder="1"/>
    <xf numFmtId="0" fontId="0" fillId="7" borderId="12" xfId="0" applyNumberFormat="1" applyFont="1" applyFill="1" applyBorder="1"/>
    <xf numFmtId="0" fontId="0" fillId="7" borderId="13" xfId="0" applyFont="1" applyFill="1" applyBorder="1"/>
    <xf numFmtId="4" fontId="0" fillId="7" borderId="14" xfId="0" applyNumberFormat="1" applyFont="1" applyFill="1" applyBorder="1"/>
    <xf numFmtId="0" fontId="13" fillId="8" borderId="15" xfId="0" applyFont="1" applyFill="1" applyBorder="1"/>
    <xf numFmtId="0" fontId="13" fillId="8" borderId="16" xfId="0" applyFont="1" applyFill="1" applyBorder="1"/>
    <xf numFmtId="4" fontId="13" fillId="8" borderId="17" xfId="0" applyNumberFormat="1" applyFont="1" applyFill="1" applyBorder="1"/>
    <xf numFmtId="0" fontId="3" fillId="4" borderId="0" xfId="1" applyFill="1"/>
    <xf numFmtId="165" fontId="3" fillId="4" borderId="1" xfId="1" applyNumberFormat="1" applyFill="1" applyBorder="1"/>
    <xf numFmtId="165" fontId="3" fillId="4" borderId="2" xfId="1" applyNumberFormat="1" applyFill="1" applyBorder="1"/>
    <xf numFmtId="164" fontId="3" fillId="10" borderId="1" xfId="1" applyNumberFormat="1" applyFill="1" applyBorder="1"/>
    <xf numFmtId="164" fontId="3" fillId="10" borderId="2" xfId="1" applyNumberFormat="1" applyFill="1" applyBorder="1"/>
    <xf numFmtId="164" fontId="4" fillId="10" borderId="18" xfId="1" applyNumberFormat="1" applyFont="1" applyFill="1" applyBorder="1" applyAlignment="1">
      <alignment horizontal="center"/>
    </xf>
    <xf numFmtId="0" fontId="4" fillId="10" borderId="19" xfId="1" applyFont="1" applyFill="1" applyBorder="1" applyAlignment="1">
      <alignment horizontal="center"/>
    </xf>
    <xf numFmtId="0" fontId="4" fillId="10" borderId="20" xfId="1" applyFont="1" applyFill="1" applyBorder="1" applyAlignment="1">
      <alignment horizontal="center"/>
    </xf>
    <xf numFmtId="164" fontId="11" fillId="2" borderId="1" xfId="5" applyNumberFormat="1" applyFont="1" applyFill="1" applyBorder="1" applyAlignment="1">
      <alignment horizontal="center"/>
    </xf>
    <xf numFmtId="0" fontId="11" fillId="2" borderId="1" xfId="5" applyFont="1" applyFill="1" applyBorder="1" applyAlignment="1">
      <alignment horizontal="center"/>
    </xf>
    <xf numFmtId="0" fontId="14" fillId="0" borderId="1" xfId="0" applyFont="1" applyBorder="1" applyAlignment="1">
      <alignment horizontal="right"/>
    </xf>
    <xf numFmtId="4" fontId="14" fillId="0" borderId="1" xfId="0" applyNumberFormat="1" applyFont="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1"/>
  <sheetViews>
    <sheetView showGridLines="0" topLeftCell="F19" zoomScale="120" zoomScaleNormal="120" workbookViewId="0">
      <selection activeCell="T42" sqref="T42"/>
    </sheetView>
  </sheetViews>
  <sheetFormatPr baseColWidth="10" defaultColWidth="10.33203125" defaultRowHeight="10.199999999999999" x14ac:dyDescent="0.2"/>
  <cols>
    <col min="1" max="1" width="5" style="12" customWidth="1"/>
    <col min="2" max="4" width="29.6640625" style="12" customWidth="1"/>
    <col min="5" max="5" width="40.6640625" style="12" customWidth="1"/>
    <col min="6" max="6" width="9.109375" style="12" customWidth="1"/>
    <col min="7" max="7" width="9.6640625" style="12" customWidth="1"/>
    <col min="8" max="8" width="14.44140625" style="12" customWidth="1"/>
    <col min="9" max="9" width="5.88671875" style="12" customWidth="1"/>
    <col min="10" max="10" width="25.6640625" style="12" customWidth="1"/>
    <col min="11" max="12" width="5.109375" style="12" customWidth="1"/>
    <col min="13" max="13" width="5.33203125" style="13" customWidth="1"/>
    <col min="14" max="14" width="4.88671875" style="12" customWidth="1"/>
    <col min="15" max="15" width="5.33203125" style="13" customWidth="1"/>
    <col min="16" max="16" width="4.88671875" style="12" customWidth="1"/>
    <col min="17" max="17" width="4.88671875" style="13" bestFit="1" customWidth="1"/>
    <col min="18" max="18" width="7.109375" style="12" bestFit="1" customWidth="1"/>
    <col min="19" max="21" width="5.109375" style="12" customWidth="1"/>
    <col min="22" max="22" width="5.88671875" style="12" customWidth="1"/>
    <col min="23" max="16384" width="10.33203125" style="12"/>
  </cols>
  <sheetData>
    <row r="1" spans="1:22" ht="40.799999999999997" x14ac:dyDescent="0.2">
      <c r="A1" s="8" t="s">
        <v>16</v>
      </c>
      <c r="B1" s="9" t="s">
        <v>17</v>
      </c>
      <c r="C1" s="9" t="s">
        <v>18</v>
      </c>
      <c r="D1" s="9" t="s">
        <v>19</v>
      </c>
      <c r="E1" s="9" t="s">
        <v>20</v>
      </c>
      <c r="F1" s="9" t="s">
        <v>21</v>
      </c>
      <c r="G1" s="9" t="s">
        <v>22</v>
      </c>
      <c r="H1" s="9" t="s">
        <v>23</v>
      </c>
      <c r="I1" s="8" t="s">
        <v>24</v>
      </c>
      <c r="J1" s="9" t="s">
        <v>25</v>
      </c>
      <c r="K1" s="45" t="s">
        <v>337</v>
      </c>
      <c r="L1" s="8" t="s">
        <v>26</v>
      </c>
      <c r="M1" s="9" t="s">
        <v>27</v>
      </c>
      <c r="N1" s="46" t="s">
        <v>28</v>
      </c>
      <c r="O1" s="10" t="s">
        <v>29</v>
      </c>
      <c r="P1" s="11" t="s">
        <v>30</v>
      </c>
      <c r="Q1" s="10" t="s">
        <v>31</v>
      </c>
      <c r="R1" s="11" t="s">
        <v>32</v>
      </c>
      <c r="S1" s="10" t="s">
        <v>33</v>
      </c>
      <c r="T1" s="10" t="s">
        <v>34</v>
      </c>
      <c r="U1" s="10" t="s">
        <v>35</v>
      </c>
      <c r="V1" s="10" t="s">
        <v>36</v>
      </c>
    </row>
    <row r="2" spans="1:22" s="60" customFormat="1" x14ac:dyDescent="0.2">
      <c r="A2" s="26" t="s">
        <v>43</v>
      </c>
      <c r="B2" s="26" t="s">
        <v>44</v>
      </c>
      <c r="C2" s="26" t="s">
        <v>45</v>
      </c>
      <c r="D2" s="26" t="s">
        <v>276</v>
      </c>
      <c r="E2" s="26" t="s">
        <v>277</v>
      </c>
      <c r="F2" s="26" t="s">
        <v>278</v>
      </c>
      <c r="G2" s="26" t="s">
        <v>279</v>
      </c>
      <c r="H2" s="26" t="s">
        <v>39</v>
      </c>
      <c r="I2" s="26" t="s">
        <v>43</v>
      </c>
      <c r="J2" s="26" t="s">
        <v>44</v>
      </c>
      <c r="K2" s="26">
        <v>1</v>
      </c>
      <c r="L2" s="29">
        <v>0.5</v>
      </c>
      <c r="M2" s="26" t="s">
        <v>46</v>
      </c>
      <c r="N2" s="26">
        <v>2016</v>
      </c>
      <c r="O2" s="26" t="s">
        <v>41</v>
      </c>
      <c r="P2" s="27" t="s">
        <v>41</v>
      </c>
      <c r="Q2" s="26" t="s">
        <v>41</v>
      </c>
      <c r="R2" s="27" t="s">
        <v>41</v>
      </c>
      <c r="S2" s="28">
        <f t="shared" ref="S2" si="0">IF(R2&lt;&gt;"",100-P2-R2,IF(P2&lt;&gt;"",100-P2,100))</f>
        <v>100</v>
      </c>
      <c r="T2" s="63">
        <f t="shared" ref="T2" si="1">L2*S2/100</f>
        <v>0.5</v>
      </c>
      <c r="U2" s="29">
        <f t="shared" ref="U2" si="2">IF(P2="",0,L2*P2/100)</f>
        <v>0</v>
      </c>
      <c r="V2" s="29">
        <f t="shared" ref="V2" si="3">IF(R2="",0,L2*R2/100)</f>
        <v>0</v>
      </c>
    </row>
    <row r="3" spans="1:22" s="60" customFormat="1" x14ac:dyDescent="0.2">
      <c r="A3" s="26" t="s">
        <v>37</v>
      </c>
      <c r="B3" s="26" t="s">
        <v>38</v>
      </c>
      <c r="C3" s="26" t="s">
        <v>42</v>
      </c>
      <c r="D3" s="26" t="s">
        <v>68</v>
      </c>
      <c r="E3" s="26" t="s">
        <v>69</v>
      </c>
      <c r="F3" s="26" t="s">
        <v>70</v>
      </c>
      <c r="G3" s="26" t="s">
        <v>115</v>
      </c>
      <c r="H3" s="26" t="s">
        <v>39</v>
      </c>
      <c r="I3" s="26" t="s">
        <v>71</v>
      </c>
      <c r="J3" s="26" t="s">
        <v>72</v>
      </c>
      <c r="K3" s="26">
        <v>1</v>
      </c>
      <c r="L3" s="29">
        <v>0.5</v>
      </c>
      <c r="M3" s="26" t="s">
        <v>73</v>
      </c>
      <c r="N3" s="26">
        <v>2016</v>
      </c>
      <c r="O3" s="26" t="s">
        <v>46</v>
      </c>
      <c r="P3" s="27" t="s">
        <v>116</v>
      </c>
      <c r="Q3" s="26" t="s">
        <v>40</v>
      </c>
      <c r="R3" s="27" t="s">
        <v>116</v>
      </c>
      <c r="S3" s="28">
        <v>10</v>
      </c>
      <c r="T3" s="29">
        <v>0.05</v>
      </c>
      <c r="U3" s="63">
        <v>0.22500000000000001</v>
      </c>
      <c r="V3" s="29">
        <v>0.22500000000000001</v>
      </c>
    </row>
    <row r="4" spans="1:22" s="60" customFormat="1" x14ac:dyDescent="0.2">
      <c r="A4" s="26" t="s">
        <v>43</v>
      </c>
      <c r="B4" s="26" t="s">
        <v>44</v>
      </c>
      <c r="C4" s="26" t="s">
        <v>45</v>
      </c>
      <c r="D4" s="26" t="s">
        <v>95</v>
      </c>
      <c r="E4" s="26" t="s">
        <v>96</v>
      </c>
      <c r="F4" s="26" t="s">
        <v>97</v>
      </c>
      <c r="G4" s="26" t="s">
        <v>92</v>
      </c>
      <c r="H4" s="26" t="s">
        <v>39</v>
      </c>
      <c r="I4" s="26" t="s">
        <v>71</v>
      </c>
      <c r="J4" s="26" t="s">
        <v>72</v>
      </c>
      <c r="K4" s="26">
        <v>1</v>
      </c>
      <c r="L4" s="29">
        <v>0.5</v>
      </c>
      <c r="M4" s="26" t="s">
        <v>73</v>
      </c>
      <c r="N4" s="26">
        <v>2016</v>
      </c>
      <c r="O4" s="26" t="s">
        <v>46</v>
      </c>
      <c r="P4" s="27" t="s">
        <v>54</v>
      </c>
      <c r="Q4" s="26" t="s">
        <v>41</v>
      </c>
      <c r="R4" s="27" t="s">
        <v>41</v>
      </c>
      <c r="S4" s="28">
        <v>10</v>
      </c>
      <c r="T4" s="29">
        <v>0.05</v>
      </c>
      <c r="U4" s="63">
        <v>0.45</v>
      </c>
      <c r="V4" s="29">
        <v>0</v>
      </c>
    </row>
    <row r="5" spans="1:22" s="60" customFormat="1" x14ac:dyDescent="0.2">
      <c r="A5" s="26" t="s">
        <v>43</v>
      </c>
      <c r="B5" s="26" t="s">
        <v>44</v>
      </c>
      <c r="C5" s="26" t="s">
        <v>45</v>
      </c>
      <c r="D5" s="26" t="s">
        <v>95</v>
      </c>
      <c r="E5" s="26" t="s">
        <v>96</v>
      </c>
      <c r="F5" s="26" t="s">
        <v>97</v>
      </c>
      <c r="G5" s="26" t="s">
        <v>84</v>
      </c>
      <c r="H5" s="26" t="s">
        <v>39</v>
      </c>
      <c r="I5" s="26" t="s">
        <v>71</v>
      </c>
      <c r="J5" s="26" t="s">
        <v>72</v>
      </c>
      <c r="K5" s="26">
        <v>1</v>
      </c>
      <c r="L5" s="29">
        <v>0.5</v>
      </c>
      <c r="M5" s="26" t="s">
        <v>73</v>
      </c>
      <c r="N5" s="26">
        <v>2016</v>
      </c>
      <c r="O5" s="26" t="s">
        <v>46</v>
      </c>
      <c r="P5" s="27" t="s">
        <v>58</v>
      </c>
      <c r="Q5" s="26" t="s">
        <v>40</v>
      </c>
      <c r="R5" s="27" t="s">
        <v>57</v>
      </c>
      <c r="S5" s="28">
        <v>10</v>
      </c>
      <c r="T5" s="29">
        <v>0.05</v>
      </c>
      <c r="U5" s="63">
        <v>0.4</v>
      </c>
      <c r="V5" s="29">
        <v>0.05</v>
      </c>
    </row>
    <row r="6" spans="1:22" s="60" customFormat="1" x14ac:dyDescent="0.2">
      <c r="A6" s="26" t="s">
        <v>43</v>
      </c>
      <c r="B6" s="26" t="s">
        <v>44</v>
      </c>
      <c r="C6" s="26" t="s">
        <v>45</v>
      </c>
      <c r="D6" s="26" t="s">
        <v>98</v>
      </c>
      <c r="E6" s="26" t="s">
        <v>99</v>
      </c>
      <c r="F6" s="26" t="s">
        <v>49</v>
      </c>
      <c r="G6" s="26" t="s">
        <v>93</v>
      </c>
      <c r="H6" s="26" t="s">
        <v>47</v>
      </c>
      <c r="I6" s="26" t="s">
        <v>71</v>
      </c>
      <c r="J6" s="26" t="s">
        <v>72</v>
      </c>
      <c r="K6" s="26">
        <v>1</v>
      </c>
      <c r="L6" s="29">
        <v>1</v>
      </c>
      <c r="M6" s="26" t="s">
        <v>73</v>
      </c>
      <c r="N6" s="26">
        <v>2016</v>
      </c>
      <c r="O6" s="26" t="s">
        <v>46</v>
      </c>
      <c r="P6" s="27" t="s">
        <v>52</v>
      </c>
      <c r="Q6" s="26" t="s">
        <v>41</v>
      </c>
      <c r="R6" s="27" t="s">
        <v>41</v>
      </c>
      <c r="S6" s="28">
        <v>50</v>
      </c>
      <c r="T6" s="29">
        <v>0.5</v>
      </c>
      <c r="U6" s="63">
        <v>0.5</v>
      </c>
      <c r="V6" s="29">
        <v>0</v>
      </c>
    </row>
    <row r="7" spans="1:22" s="60" customFormat="1" x14ac:dyDescent="0.2">
      <c r="A7" s="26" t="s">
        <v>43</v>
      </c>
      <c r="B7" s="26" t="s">
        <v>44</v>
      </c>
      <c r="C7" s="26" t="s">
        <v>45</v>
      </c>
      <c r="D7" s="26" t="s">
        <v>117</v>
      </c>
      <c r="E7" s="26" t="s">
        <v>118</v>
      </c>
      <c r="F7" s="26" t="s">
        <v>119</v>
      </c>
      <c r="G7" s="26" t="s">
        <v>74</v>
      </c>
      <c r="H7" s="26" t="s">
        <v>47</v>
      </c>
      <c r="I7" s="26" t="s">
        <v>71</v>
      </c>
      <c r="J7" s="26" t="s">
        <v>72</v>
      </c>
      <c r="K7" s="26">
        <v>1</v>
      </c>
      <c r="L7" s="29">
        <v>1</v>
      </c>
      <c r="M7" s="26" t="s">
        <v>73</v>
      </c>
      <c r="N7" s="26">
        <v>2016</v>
      </c>
      <c r="O7" s="26" t="s">
        <v>46</v>
      </c>
      <c r="P7" s="27" t="s">
        <v>76</v>
      </c>
      <c r="Q7" s="26" t="s">
        <v>40</v>
      </c>
      <c r="R7" s="27" t="s">
        <v>75</v>
      </c>
      <c r="S7" s="28">
        <v>10</v>
      </c>
      <c r="T7" s="29">
        <v>0.1</v>
      </c>
      <c r="U7" s="63">
        <v>0.75</v>
      </c>
      <c r="V7" s="29">
        <v>0.15</v>
      </c>
    </row>
    <row r="8" spans="1:22" s="60" customFormat="1" x14ac:dyDescent="0.2">
      <c r="A8" s="26" t="s">
        <v>43</v>
      </c>
      <c r="B8" s="26" t="s">
        <v>44</v>
      </c>
      <c r="C8" s="26" t="s">
        <v>45</v>
      </c>
      <c r="D8" s="26" t="s">
        <v>120</v>
      </c>
      <c r="E8" s="26" t="s">
        <v>121</v>
      </c>
      <c r="F8" s="26" t="s">
        <v>122</v>
      </c>
      <c r="G8" s="26" t="s">
        <v>84</v>
      </c>
      <c r="H8" s="26" t="s">
        <v>47</v>
      </c>
      <c r="I8" s="26" t="s">
        <v>71</v>
      </c>
      <c r="J8" s="26" t="s">
        <v>72</v>
      </c>
      <c r="K8" s="26">
        <v>1</v>
      </c>
      <c r="L8" s="29">
        <v>1</v>
      </c>
      <c r="M8" s="26" t="s">
        <v>73</v>
      </c>
      <c r="N8" s="26">
        <v>2016</v>
      </c>
      <c r="O8" s="26" t="s">
        <v>46</v>
      </c>
      <c r="P8" s="27" t="s">
        <v>58</v>
      </c>
      <c r="Q8" s="26" t="s">
        <v>40</v>
      </c>
      <c r="R8" s="27" t="s">
        <v>57</v>
      </c>
      <c r="S8" s="28">
        <v>10</v>
      </c>
      <c r="T8" s="29">
        <v>0.1</v>
      </c>
      <c r="U8" s="63">
        <v>0.8</v>
      </c>
      <c r="V8" s="29">
        <v>0.1</v>
      </c>
    </row>
    <row r="9" spans="1:22" s="60" customFormat="1" x14ac:dyDescent="0.2">
      <c r="A9" s="26" t="s">
        <v>43</v>
      </c>
      <c r="B9" s="26" t="s">
        <v>44</v>
      </c>
      <c r="C9" s="26" t="s">
        <v>45</v>
      </c>
      <c r="D9" s="26" t="s">
        <v>123</v>
      </c>
      <c r="E9" s="26" t="s">
        <v>124</v>
      </c>
      <c r="F9" s="26" t="s">
        <v>125</v>
      </c>
      <c r="G9" s="26" t="s">
        <v>84</v>
      </c>
      <c r="H9" s="26" t="s">
        <v>47</v>
      </c>
      <c r="I9" s="26" t="s">
        <v>71</v>
      </c>
      <c r="J9" s="26" t="s">
        <v>72</v>
      </c>
      <c r="K9" s="26">
        <v>1</v>
      </c>
      <c r="L9" s="29">
        <v>1</v>
      </c>
      <c r="M9" s="26" t="s">
        <v>73</v>
      </c>
      <c r="N9" s="26">
        <v>2016</v>
      </c>
      <c r="O9" s="26" t="s">
        <v>46</v>
      </c>
      <c r="P9" s="27" t="s">
        <v>58</v>
      </c>
      <c r="Q9" s="26" t="s">
        <v>40</v>
      </c>
      <c r="R9" s="27" t="s">
        <v>57</v>
      </c>
      <c r="S9" s="28">
        <v>10</v>
      </c>
      <c r="T9" s="29">
        <v>0.1</v>
      </c>
      <c r="U9" s="63">
        <v>0.8</v>
      </c>
      <c r="V9" s="29">
        <v>0.1</v>
      </c>
    </row>
    <row r="10" spans="1:22" s="60" customFormat="1" x14ac:dyDescent="0.2">
      <c r="A10" s="26" t="s">
        <v>43</v>
      </c>
      <c r="B10" s="26" t="s">
        <v>44</v>
      </c>
      <c r="C10" s="26" t="s">
        <v>45</v>
      </c>
      <c r="D10" s="26" t="s">
        <v>100</v>
      </c>
      <c r="E10" s="26" t="s">
        <v>101</v>
      </c>
      <c r="F10" s="26" t="s">
        <v>102</v>
      </c>
      <c r="G10" s="26" t="s">
        <v>91</v>
      </c>
      <c r="H10" s="26" t="s">
        <v>47</v>
      </c>
      <c r="I10" s="26" t="s">
        <v>71</v>
      </c>
      <c r="J10" s="26" t="s">
        <v>72</v>
      </c>
      <c r="K10" s="26">
        <v>1</v>
      </c>
      <c r="L10" s="29">
        <v>1</v>
      </c>
      <c r="M10" s="26" t="s">
        <v>73</v>
      </c>
      <c r="N10" s="26">
        <v>2017</v>
      </c>
      <c r="O10" s="26" t="s">
        <v>46</v>
      </c>
      <c r="P10" s="27" t="s">
        <v>54</v>
      </c>
      <c r="Q10" s="26" t="s">
        <v>41</v>
      </c>
      <c r="R10" s="27" t="s">
        <v>41</v>
      </c>
      <c r="S10" s="28">
        <v>10</v>
      </c>
      <c r="T10" s="29">
        <v>0.1</v>
      </c>
      <c r="U10" s="63">
        <v>0.9</v>
      </c>
      <c r="V10" s="29">
        <v>0</v>
      </c>
    </row>
    <row r="11" spans="1:22" s="60" customFormat="1" x14ac:dyDescent="0.2">
      <c r="A11" s="26" t="s">
        <v>43</v>
      </c>
      <c r="B11" s="26" t="s">
        <v>44</v>
      </c>
      <c r="C11" s="26" t="s">
        <v>45</v>
      </c>
      <c r="D11" s="26" t="s">
        <v>103</v>
      </c>
      <c r="E11" s="26" t="s">
        <v>104</v>
      </c>
      <c r="F11" s="26" t="s">
        <v>48</v>
      </c>
      <c r="G11" s="26" t="s">
        <v>88</v>
      </c>
      <c r="H11" s="26" t="s">
        <v>39</v>
      </c>
      <c r="I11" s="26" t="s">
        <v>71</v>
      </c>
      <c r="J11" s="26" t="s">
        <v>72</v>
      </c>
      <c r="K11" s="26">
        <v>1</v>
      </c>
      <c r="L11" s="29">
        <v>0.5</v>
      </c>
      <c r="M11" s="26" t="s">
        <v>73</v>
      </c>
      <c r="N11" s="26">
        <v>2017</v>
      </c>
      <c r="O11" s="26" t="s">
        <v>46</v>
      </c>
      <c r="P11" s="27" t="s">
        <v>54</v>
      </c>
      <c r="Q11" s="26" t="s">
        <v>41</v>
      </c>
      <c r="R11" s="27" t="s">
        <v>41</v>
      </c>
      <c r="S11" s="28">
        <v>10</v>
      </c>
      <c r="T11" s="29">
        <v>0.05</v>
      </c>
      <c r="U11" s="63">
        <v>0.45</v>
      </c>
      <c r="V11" s="29">
        <v>0</v>
      </c>
    </row>
    <row r="12" spans="1:22" s="60" customFormat="1" x14ac:dyDescent="0.2">
      <c r="A12" s="26" t="s">
        <v>43</v>
      </c>
      <c r="B12" s="26" t="s">
        <v>44</v>
      </c>
      <c r="C12" s="26" t="s">
        <v>45</v>
      </c>
      <c r="D12" s="26" t="s">
        <v>103</v>
      </c>
      <c r="E12" s="26" t="s">
        <v>104</v>
      </c>
      <c r="F12" s="26" t="s">
        <v>48</v>
      </c>
      <c r="G12" s="26" t="s">
        <v>94</v>
      </c>
      <c r="H12" s="26" t="s">
        <v>39</v>
      </c>
      <c r="I12" s="26" t="s">
        <v>71</v>
      </c>
      <c r="J12" s="26" t="s">
        <v>72</v>
      </c>
      <c r="K12" s="26">
        <v>1</v>
      </c>
      <c r="L12" s="29">
        <v>0.5</v>
      </c>
      <c r="M12" s="26" t="s">
        <v>73</v>
      </c>
      <c r="N12" s="26">
        <v>2017</v>
      </c>
      <c r="O12" s="26" t="s">
        <v>46</v>
      </c>
      <c r="P12" s="27" t="s">
        <v>54</v>
      </c>
      <c r="Q12" s="26" t="s">
        <v>41</v>
      </c>
      <c r="R12" s="27" t="s">
        <v>41</v>
      </c>
      <c r="S12" s="28">
        <v>10</v>
      </c>
      <c r="T12" s="29">
        <v>0.05</v>
      </c>
      <c r="U12" s="63">
        <v>0.45</v>
      </c>
      <c r="V12" s="29">
        <v>0</v>
      </c>
    </row>
    <row r="13" spans="1:22" s="60" customFormat="1" x14ac:dyDescent="0.2">
      <c r="A13" s="26" t="s">
        <v>71</v>
      </c>
      <c r="B13" s="26" t="s">
        <v>72</v>
      </c>
      <c r="C13" s="26" t="s">
        <v>45</v>
      </c>
      <c r="D13" s="26" t="s">
        <v>105</v>
      </c>
      <c r="E13" s="26" t="s">
        <v>106</v>
      </c>
      <c r="F13" s="26" t="s">
        <v>51</v>
      </c>
      <c r="G13" s="26" t="s">
        <v>89</v>
      </c>
      <c r="H13" s="26" t="s">
        <v>39</v>
      </c>
      <c r="I13" s="26" t="s">
        <v>71</v>
      </c>
      <c r="J13" s="26" t="s">
        <v>72</v>
      </c>
      <c r="K13" s="26">
        <v>1</v>
      </c>
      <c r="L13" s="61">
        <v>0.5</v>
      </c>
      <c r="M13" s="26" t="s">
        <v>73</v>
      </c>
      <c r="N13" s="26">
        <v>2018</v>
      </c>
      <c r="O13" s="26" t="s">
        <v>46</v>
      </c>
      <c r="P13" s="27" t="s">
        <v>54</v>
      </c>
      <c r="Q13" s="26" t="s">
        <v>41</v>
      </c>
      <c r="R13" s="27" t="s">
        <v>41</v>
      </c>
      <c r="S13" s="28">
        <v>10</v>
      </c>
      <c r="T13" s="29">
        <v>0.05</v>
      </c>
      <c r="U13" s="63">
        <v>0.45</v>
      </c>
      <c r="V13" s="29">
        <v>0</v>
      </c>
    </row>
    <row r="14" spans="1:22" s="60" customFormat="1" x14ac:dyDescent="0.2">
      <c r="A14" s="26" t="s">
        <v>37</v>
      </c>
      <c r="B14" s="26" t="s">
        <v>38</v>
      </c>
      <c r="C14" s="26" t="s">
        <v>42</v>
      </c>
      <c r="D14" s="26" t="s">
        <v>62</v>
      </c>
      <c r="E14" s="26" t="s">
        <v>63</v>
      </c>
      <c r="F14" s="26" t="s">
        <v>64</v>
      </c>
      <c r="G14" s="26" t="s">
        <v>80</v>
      </c>
      <c r="H14" s="26" t="s">
        <v>39</v>
      </c>
      <c r="I14" s="26" t="s">
        <v>71</v>
      </c>
      <c r="J14" s="26" t="s">
        <v>72</v>
      </c>
      <c r="K14" s="26">
        <v>1</v>
      </c>
      <c r="L14" s="61">
        <v>0.5</v>
      </c>
      <c r="M14" s="26" t="s">
        <v>73</v>
      </c>
      <c r="N14" s="26">
        <v>2018</v>
      </c>
      <c r="O14" s="26" t="s">
        <v>46</v>
      </c>
      <c r="P14" s="27" t="s">
        <v>57</v>
      </c>
      <c r="Q14" s="26" t="s">
        <v>40</v>
      </c>
      <c r="R14" s="27" t="s">
        <v>58</v>
      </c>
      <c r="S14" s="28">
        <v>10</v>
      </c>
      <c r="T14" s="29">
        <v>0.05</v>
      </c>
      <c r="U14" s="63">
        <v>0.05</v>
      </c>
      <c r="V14" s="29">
        <v>0.4</v>
      </c>
    </row>
    <row r="15" spans="1:22" s="60" customFormat="1" x14ac:dyDescent="0.2">
      <c r="A15" s="26" t="s">
        <v>37</v>
      </c>
      <c r="B15" s="26" t="s">
        <v>38</v>
      </c>
      <c r="C15" s="26" t="s">
        <v>42</v>
      </c>
      <c r="D15" s="26" t="s">
        <v>65</v>
      </c>
      <c r="E15" s="26" t="s">
        <v>66</v>
      </c>
      <c r="F15" s="26" t="s">
        <v>67</v>
      </c>
      <c r="G15" s="26" t="s">
        <v>80</v>
      </c>
      <c r="H15" s="26" t="s">
        <v>39</v>
      </c>
      <c r="I15" s="26" t="s">
        <v>71</v>
      </c>
      <c r="J15" s="26" t="s">
        <v>72</v>
      </c>
      <c r="K15" s="26">
        <v>1</v>
      </c>
      <c r="L15" s="61">
        <v>0.5</v>
      </c>
      <c r="M15" s="26" t="s">
        <v>73</v>
      </c>
      <c r="N15" s="26">
        <v>2018</v>
      </c>
      <c r="O15" s="26" t="s">
        <v>46</v>
      </c>
      <c r="P15" s="27" t="s">
        <v>57</v>
      </c>
      <c r="Q15" s="26" t="s">
        <v>40</v>
      </c>
      <c r="R15" s="27" t="s">
        <v>58</v>
      </c>
      <c r="S15" s="28">
        <v>10</v>
      </c>
      <c r="T15" s="29">
        <v>0.05</v>
      </c>
      <c r="U15" s="63">
        <v>0.05</v>
      </c>
      <c r="V15" s="29">
        <v>0.4</v>
      </c>
    </row>
    <row r="16" spans="1:22" s="60" customFormat="1" x14ac:dyDescent="0.2">
      <c r="A16" s="26" t="s">
        <v>43</v>
      </c>
      <c r="B16" s="26" t="s">
        <v>44</v>
      </c>
      <c r="C16" s="26" t="s">
        <v>45</v>
      </c>
      <c r="D16" s="26" t="s">
        <v>81</v>
      </c>
      <c r="E16" s="26" t="s">
        <v>82</v>
      </c>
      <c r="F16" s="26" t="s">
        <v>83</v>
      </c>
      <c r="G16" s="26" t="s">
        <v>89</v>
      </c>
      <c r="H16" s="26" t="s">
        <v>39</v>
      </c>
      <c r="I16" s="26" t="s">
        <v>71</v>
      </c>
      <c r="J16" s="26" t="s">
        <v>72</v>
      </c>
      <c r="K16" s="26">
        <v>1</v>
      </c>
      <c r="L16" s="61">
        <v>0.5</v>
      </c>
      <c r="M16" s="26" t="s">
        <v>73</v>
      </c>
      <c r="N16" s="26">
        <v>2018</v>
      </c>
      <c r="O16" s="26" t="s">
        <v>46</v>
      </c>
      <c r="P16" s="27" t="s">
        <v>54</v>
      </c>
      <c r="Q16" s="26" t="s">
        <v>41</v>
      </c>
      <c r="R16" s="27" t="s">
        <v>41</v>
      </c>
      <c r="S16" s="28">
        <v>10</v>
      </c>
      <c r="T16" s="29">
        <v>0.05</v>
      </c>
      <c r="U16" s="63">
        <v>0.45</v>
      </c>
      <c r="V16" s="29">
        <v>0</v>
      </c>
    </row>
    <row r="17" spans="1:22" s="60" customFormat="1" x14ac:dyDescent="0.2">
      <c r="A17" s="26" t="s">
        <v>43</v>
      </c>
      <c r="B17" s="26" t="s">
        <v>44</v>
      </c>
      <c r="C17" s="26" t="s">
        <v>45</v>
      </c>
      <c r="D17" s="26" t="s">
        <v>107</v>
      </c>
      <c r="E17" s="26" t="s">
        <v>108</v>
      </c>
      <c r="F17" s="26" t="s">
        <v>87</v>
      </c>
      <c r="G17" s="26" t="s">
        <v>384</v>
      </c>
      <c r="H17" s="26" t="s">
        <v>39</v>
      </c>
      <c r="I17" s="26" t="s">
        <v>71</v>
      </c>
      <c r="J17" s="26" t="s">
        <v>72</v>
      </c>
      <c r="K17" s="26">
        <v>1</v>
      </c>
      <c r="L17" s="61">
        <v>0.5</v>
      </c>
      <c r="M17" s="26" t="s">
        <v>73</v>
      </c>
      <c r="N17" s="26">
        <v>2018</v>
      </c>
      <c r="O17" s="26" t="s">
        <v>46</v>
      </c>
      <c r="P17" s="27" t="s">
        <v>54</v>
      </c>
      <c r="Q17" s="26" t="s">
        <v>41</v>
      </c>
      <c r="R17" s="27" t="s">
        <v>41</v>
      </c>
      <c r="S17" s="28">
        <v>10</v>
      </c>
      <c r="T17" s="29">
        <v>0.05</v>
      </c>
      <c r="U17" s="63">
        <v>0.45</v>
      </c>
      <c r="V17" s="29">
        <v>0</v>
      </c>
    </row>
    <row r="18" spans="1:22" s="60" customFormat="1" x14ac:dyDescent="0.2">
      <c r="A18" s="26" t="s">
        <v>43</v>
      </c>
      <c r="B18" s="26" t="s">
        <v>44</v>
      </c>
      <c r="C18" s="26" t="s">
        <v>45</v>
      </c>
      <c r="D18" s="26" t="s">
        <v>107</v>
      </c>
      <c r="E18" s="26" t="s">
        <v>108</v>
      </c>
      <c r="F18" s="26" t="s">
        <v>87</v>
      </c>
      <c r="G18" s="26" t="s">
        <v>109</v>
      </c>
      <c r="H18" s="26" t="s">
        <v>39</v>
      </c>
      <c r="I18" s="26" t="s">
        <v>71</v>
      </c>
      <c r="J18" s="26" t="s">
        <v>72</v>
      </c>
      <c r="K18" s="26">
        <v>1</v>
      </c>
      <c r="L18" s="61">
        <v>0.5</v>
      </c>
      <c r="M18" s="26" t="s">
        <v>73</v>
      </c>
      <c r="N18" s="26">
        <v>2018</v>
      </c>
      <c r="O18" s="26" t="s">
        <v>46</v>
      </c>
      <c r="P18" s="27" t="s">
        <v>54</v>
      </c>
      <c r="Q18" s="26" t="s">
        <v>41</v>
      </c>
      <c r="R18" s="27" t="s">
        <v>41</v>
      </c>
      <c r="S18" s="28">
        <v>10</v>
      </c>
      <c r="T18" s="29">
        <v>0.05</v>
      </c>
      <c r="U18" s="63">
        <v>0.45</v>
      </c>
      <c r="V18" s="29">
        <v>0</v>
      </c>
    </row>
    <row r="19" spans="1:22" s="60" customFormat="1" x14ac:dyDescent="0.2">
      <c r="A19" s="26" t="s">
        <v>43</v>
      </c>
      <c r="B19" s="26" t="s">
        <v>44</v>
      </c>
      <c r="C19" s="26" t="s">
        <v>45</v>
      </c>
      <c r="D19" s="26" t="s">
        <v>110</v>
      </c>
      <c r="E19" s="26" t="s">
        <v>111</v>
      </c>
      <c r="F19" s="26" t="s">
        <v>86</v>
      </c>
      <c r="G19" s="26" t="s">
        <v>90</v>
      </c>
      <c r="H19" s="26" t="s">
        <v>39</v>
      </c>
      <c r="I19" s="26" t="s">
        <v>71</v>
      </c>
      <c r="J19" s="26" t="s">
        <v>72</v>
      </c>
      <c r="K19" s="26">
        <v>1</v>
      </c>
      <c r="L19" s="61">
        <v>0.5</v>
      </c>
      <c r="M19" s="26" t="s">
        <v>73</v>
      </c>
      <c r="N19" s="26">
        <v>2018</v>
      </c>
      <c r="O19" s="26" t="s">
        <v>46</v>
      </c>
      <c r="P19" s="27" t="s">
        <v>54</v>
      </c>
      <c r="Q19" s="26" t="s">
        <v>41</v>
      </c>
      <c r="R19" s="27" t="s">
        <v>41</v>
      </c>
      <c r="S19" s="28">
        <v>10</v>
      </c>
      <c r="T19" s="29">
        <v>0.05</v>
      </c>
      <c r="U19" s="63">
        <v>0.45</v>
      </c>
      <c r="V19" s="29">
        <v>0</v>
      </c>
    </row>
    <row r="20" spans="1:22" s="60" customFormat="1" x14ac:dyDescent="0.2">
      <c r="A20" s="26" t="s">
        <v>43</v>
      </c>
      <c r="B20" s="26" t="s">
        <v>44</v>
      </c>
      <c r="C20" s="26" t="s">
        <v>45</v>
      </c>
      <c r="D20" s="26" t="s">
        <v>110</v>
      </c>
      <c r="E20" s="26" t="s">
        <v>111</v>
      </c>
      <c r="F20" s="26" t="s">
        <v>86</v>
      </c>
      <c r="G20" s="26" t="s">
        <v>91</v>
      </c>
      <c r="H20" s="26" t="s">
        <v>39</v>
      </c>
      <c r="I20" s="26" t="s">
        <v>71</v>
      </c>
      <c r="J20" s="26" t="s">
        <v>72</v>
      </c>
      <c r="K20" s="26">
        <v>1</v>
      </c>
      <c r="L20" s="61">
        <v>0.5</v>
      </c>
      <c r="M20" s="26" t="s">
        <v>73</v>
      </c>
      <c r="N20" s="26">
        <v>2018</v>
      </c>
      <c r="O20" s="26" t="s">
        <v>46</v>
      </c>
      <c r="P20" s="27" t="s">
        <v>54</v>
      </c>
      <c r="Q20" s="26" t="s">
        <v>41</v>
      </c>
      <c r="R20" s="27" t="s">
        <v>41</v>
      </c>
      <c r="S20" s="28">
        <v>100</v>
      </c>
      <c r="T20" s="29">
        <v>0.5</v>
      </c>
      <c r="U20" s="63">
        <v>0</v>
      </c>
      <c r="V20" s="29">
        <v>0</v>
      </c>
    </row>
    <row r="21" spans="1:22" s="60" customFormat="1" x14ac:dyDescent="0.2">
      <c r="A21" s="26" t="s">
        <v>43</v>
      </c>
      <c r="B21" s="26" t="s">
        <v>44</v>
      </c>
      <c r="C21" s="26" t="s">
        <v>45</v>
      </c>
      <c r="D21" s="26" t="s">
        <v>112</v>
      </c>
      <c r="E21" s="26" t="s">
        <v>113</v>
      </c>
      <c r="F21" s="26" t="s">
        <v>50</v>
      </c>
      <c r="G21" s="26" t="s">
        <v>88</v>
      </c>
      <c r="H21" s="26" t="s">
        <v>39</v>
      </c>
      <c r="I21" s="26" t="s">
        <v>71</v>
      </c>
      <c r="J21" s="26" t="s">
        <v>72</v>
      </c>
      <c r="K21" s="26">
        <v>1</v>
      </c>
      <c r="L21" s="61">
        <v>0.5</v>
      </c>
      <c r="M21" s="26" t="s">
        <v>73</v>
      </c>
      <c r="N21" s="26">
        <v>2018</v>
      </c>
      <c r="O21" s="26" t="s">
        <v>46</v>
      </c>
      <c r="P21" s="27" t="s">
        <v>54</v>
      </c>
      <c r="Q21" s="26" t="s">
        <v>41</v>
      </c>
      <c r="R21" s="27" t="s">
        <v>41</v>
      </c>
      <c r="S21" s="28">
        <v>10</v>
      </c>
      <c r="T21" s="29">
        <v>0.05</v>
      </c>
      <c r="U21" s="63">
        <v>0.45</v>
      </c>
      <c r="V21" s="29">
        <v>0</v>
      </c>
    </row>
    <row r="22" spans="1:22" s="60" customFormat="1" x14ac:dyDescent="0.2">
      <c r="A22" s="26" t="s">
        <v>43</v>
      </c>
      <c r="B22" s="26" t="s">
        <v>44</v>
      </c>
      <c r="C22" s="26" t="s">
        <v>45</v>
      </c>
      <c r="D22" s="26" t="s">
        <v>112</v>
      </c>
      <c r="E22" s="26" t="s">
        <v>113</v>
      </c>
      <c r="F22" s="26" t="s">
        <v>50</v>
      </c>
      <c r="G22" s="26" t="s">
        <v>114</v>
      </c>
      <c r="H22" s="26" t="s">
        <v>39</v>
      </c>
      <c r="I22" s="26" t="s">
        <v>71</v>
      </c>
      <c r="J22" s="26" t="s">
        <v>72</v>
      </c>
      <c r="K22" s="26">
        <v>1</v>
      </c>
      <c r="L22" s="61">
        <v>0.5</v>
      </c>
      <c r="M22" s="26" t="s">
        <v>73</v>
      </c>
      <c r="N22" s="26">
        <v>2018</v>
      </c>
      <c r="O22" s="26" t="s">
        <v>46</v>
      </c>
      <c r="P22" s="27" t="s">
        <v>54</v>
      </c>
      <c r="Q22" s="26" t="s">
        <v>41</v>
      </c>
      <c r="R22" s="27" t="s">
        <v>41</v>
      </c>
      <c r="S22" s="28">
        <v>10</v>
      </c>
      <c r="T22" s="29">
        <v>0.05</v>
      </c>
      <c r="U22" s="63">
        <v>0.45</v>
      </c>
      <c r="V22" s="29">
        <v>0</v>
      </c>
    </row>
    <row r="23" spans="1:22" s="60" customFormat="1" x14ac:dyDescent="0.2">
      <c r="A23" s="30" t="s">
        <v>37</v>
      </c>
      <c r="B23" s="30" t="s">
        <v>38</v>
      </c>
      <c r="C23" s="30" t="s">
        <v>42</v>
      </c>
      <c r="D23" s="30" t="s">
        <v>248</v>
      </c>
      <c r="E23" s="30" t="s">
        <v>249</v>
      </c>
      <c r="F23" s="30" t="s">
        <v>250</v>
      </c>
      <c r="G23" s="30" t="s">
        <v>251</v>
      </c>
      <c r="H23" s="30" t="s">
        <v>39</v>
      </c>
      <c r="I23" s="30" t="s">
        <v>71</v>
      </c>
      <c r="J23" s="30" t="s">
        <v>72</v>
      </c>
      <c r="K23" s="30">
        <v>1</v>
      </c>
      <c r="L23" s="62">
        <v>0.5</v>
      </c>
      <c r="M23" s="30" t="s">
        <v>73</v>
      </c>
      <c r="N23" s="30">
        <v>2019</v>
      </c>
      <c r="O23" s="30" t="s">
        <v>46</v>
      </c>
      <c r="P23" s="31" t="s">
        <v>85</v>
      </c>
      <c r="Q23" s="30" t="s">
        <v>40</v>
      </c>
      <c r="R23" s="31" t="s">
        <v>257</v>
      </c>
      <c r="S23" s="32">
        <v>40</v>
      </c>
      <c r="T23" s="33">
        <v>0.2</v>
      </c>
      <c r="U23" s="64">
        <v>0.2</v>
      </c>
      <c r="V23" s="33">
        <v>0.1</v>
      </c>
    </row>
    <row r="24" spans="1:22" s="60" customFormat="1" x14ac:dyDescent="0.2">
      <c r="A24" s="30" t="s">
        <v>37</v>
      </c>
      <c r="B24" s="30" t="s">
        <v>38</v>
      </c>
      <c r="C24" s="30" t="s">
        <v>42</v>
      </c>
      <c r="D24" s="30" t="s">
        <v>248</v>
      </c>
      <c r="E24" s="30" t="s">
        <v>249</v>
      </c>
      <c r="F24" s="30" t="s">
        <v>250</v>
      </c>
      <c r="G24" s="30" t="s">
        <v>80</v>
      </c>
      <c r="H24" s="30" t="s">
        <v>39</v>
      </c>
      <c r="I24" s="30" t="s">
        <v>71</v>
      </c>
      <c r="J24" s="30" t="s">
        <v>72</v>
      </c>
      <c r="K24" s="30">
        <v>1</v>
      </c>
      <c r="L24" s="62">
        <v>0.5</v>
      </c>
      <c r="M24" s="30" t="s">
        <v>73</v>
      </c>
      <c r="N24" s="30">
        <v>2019</v>
      </c>
      <c r="O24" s="30" t="s">
        <v>46</v>
      </c>
      <c r="P24" s="31" t="s">
        <v>57</v>
      </c>
      <c r="Q24" s="30" t="s">
        <v>40</v>
      </c>
      <c r="R24" s="31" t="s">
        <v>58</v>
      </c>
      <c r="S24" s="32">
        <v>10</v>
      </c>
      <c r="T24" s="33">
        <v>0.05</v>
      </c>
      <c r="U24" s="64">
        <v>0.05</v>
      </c>
      <c r="V24" s="33">
        <v>0.4</v>
      </c>
    </row>
    <row r="25" spans="1:22" s="60" customFormat="1" x14ac:dyDescent="0.2">
      <c r="A25" s="26" t="s">
        <v>43</v>
      </c>
      <c r="B25" s="26" t="s">
        <v>44</v>
      </c>
      <c r="C25" s="26" t="s">
        <v>45</v>
      </c>
      <c r="D25" s="26" t="s">
        <v>261</v>
      </c>
      <c r="E25" s="26" t="s">
        <v>262</v>
      </c>
      <c r="F25" s="26" t="s">
        <v>263</v>
      </c>
      <c r="G25" s="26" t="s">
        <v>88</v>
      </c>
      <c r="H25" s="26" t="s">
        <v>39</v>
      </c>
      <c r="I25" s="26" t="s">
        <v>71</v>
      </c>
      <c r="J25" s="26" t="s">
        <v>72</v>
      </c>
      <c r="K25" s="26">
        <v>1</v>
      </c>
      <c r="L25" s="34">
        <v>0.5</v>
      </c>
      <c r="M25" s="34" t="s">
        <v>73</v>
      </c>
      <c r="N25" s="35">
        <v>2019</v>
      </c>
      <c r="O25" s="26" t="s">
        <v>46</v>
      </c>
      <c r="P25" s="27" t="s">
        <v>256</v>
      </c>
      <c r="Q25" s="26" t="s">
        <v>41</v>
      </c>
      <c r="R25" s="27" t="s">
        <v>41</v>
      </c>
      <c r="S25" s="26">
        <v>35</v>
      </c>
      <c r="T25" s="29">
        <v>0.17499999999999999</v>
      </c>
      <c r="U25" s="63">
        <v>0.32500000000000001</v>
      </c>
      <c r="V25" s="26">
        <v>0</v>
      </c>
    </row>
    <row r="26" spans="1:22" s="60" customFormat="1" x14ac:dyDescent="0.2">
      <c r="A26" s="26" t="s">
        <v>43</v>
      </c>
      <c r="B26" s="26" t="s">
        <v>44</v>
      </c>
      <c r="C26" s="26" t="s">
        <v>45</v>
      </c>
      <c r="D26" s="26" t="s">
        <v>261</v>
      </c>
      <c r="E26" s="26" t="s">
        <v>262</v>
      </c>
      <c r="F26" s="26" t="s">
        <v>263</v>
      </c>
      <c r="G26" s="26" t="s">
        <v>114</v>
      </c>
      <c r="H26" s="26" t="s">
        <v>39</v>
      </c>
      <c r="I26" s="26" t="s">
        <v>71</v>
      </c>
      <c r="J26" s="26" t="s">
        <v>72</v>
      </c>
      <c r="K26" s="26">
        <v>1</v>
      </c>
      <c r="L26" s="34">
        <v>0.5</v>
      </c>
      <c r="M26" s="34" t="s">
        <v>73</v>
      </c>
      <c r="N26" s="35">
        <v>2019</v>
      </c>
      <c r="O26" s="26" t="s">
        <v>46</v>
      </c>
      <c r="P26" s="27" t="s">
        <v>256</v>
      </c>
      <c r="Q26" s="26" t="s">
        <v>41</v>
      </c>
      <c r="R26" s="27" t="s">
        <v>41</v>
      </c>
      <c r="S26" s="26">
        <v>35</v>
      </c>
      <c r="T26" s="29">
        <v>0.17499999999999999</v>
      </c>
      <c r="U26" s="63">
        <v>0.32500000000000001</v>
      </c>
      <c r="V26" s="26">
        <v>0</v>
      </c>
    </row>
    <row r="27" spans="1:22" s="60" customFormat="1" x14ac:dyDescent="0.2">
      <c r="A27" s="26" t="s">
        <v>43</v>
      </c>
      <c r="B27" s="26" t="s">
        <v>44</v>
      </c>
      <c r="C27" s="26" t="s">
        <v>45</v>
      </c>
      <c r="D27" s="26" t="s">
        <v>264</v>
      </c>
      <c r="E27" s="26" t="s">
        <v>265</v>
      </c>
      <c r="F27" s="26" t="s">
        <v>266</v>
      </c>
      <c r="G27" s="26" t="s">
        <v>90</v>
      </c>
      <c r="H27" s="26" t="s">
        <v>39</v>
      </c>
      <c r="I27" s="26" t="s">
        <v>71</v>
      </c>
      <c r="J27" s="26" t="s">
        <v>72</v>
      </c>
      <c r="K27" s="26">
        <v>1</v>
      </c>
      <c r="L27" s="34">
        <v>0.5</v>
      </c>
      <c r="M27" s="34" t="s">
        <v>73</v>
      </c>
      <c r="N27" s="35">
        <v>2019</v>
      </c>
      <c r="O27" s="26" t="s">
        <v>46</v>
      </c>
      <c r="P27" s="27" t="s">
        <v>256</v>
      </c>
      <c r="Q27" s="26" t="s">
        <v>41</v>
      </c>
      <c r="R27" s="27" t="s">
        <v>41</v>
      </c>
      <c r="S27" s="26">
        <v>35</v>
      </c>
      <c r="T27" s="29">
        <v>0.17499999999999999</v>
      </c>
      <c r="U27" s="63">
        <v>0.32500000000000001</v>
      </c>
      <c r="V27" s="26">
        <v>0</v>
      </c>
    </row>
    <row r="28" spans="1:22" s="60" customFormat="1" ht="10.8" thickBot="1" x14ac:dyDescent="0.25">
      <c r="A28" s="26" t="s">
        <v>43</v>
      </c>
      <c r="B28" s="26" t="s">
        <v>44</v>
      </c>
      <c r="C28" s="26" t="s">
        <v>45</v>
      </c>
      <c r="D28" s="26" t="s">
        <v>264</v>
      </c>
      <c r="E28" s="26" t="s">
        <v>265</v>
      </c>
      <c r="F28" s="26" t="s">
        <v>266</v>
      </c>
      <c r="G28" s="26" t="s">
        <v>91</v>
      </c>
      <c r="H28" s="26" t="s">
        <v>39</v>
      </c>
      <c r="I28" s="26" t="s">
        <v>71</v>
      </c>
      <c r="J28" s="26" t="s">
        <v>72</v>
      </c>
      <c r="K28" s="26">
        <v>1</v>
      </c>
      <c r="L28" s="34">
        <v>0.5</v>
      </c>
      <c r="M28" s="34" t="s">
        <v>73</v>
      </c>
      <c r="N28" s="35">
        <v>2019</v>
      </c>
      <c r="O28" s="26" t="s">
        <v>46</v>
      </c>
      <c r="P28" s="27" t="s">
        <v>256</v>
      </c>
      <c r="Q28" s="26" t="s">
        <v>41</v>
      </c>
      <c r="R28" s="27" t="s">
        <v>41</v>
      </c>
      <c r="S28" s="26">
        <v>35</v>
      </c>
      <c r="T28" s="29">
        <v>0.17499999999999999</v>
      </c>
      <c r="U28" s="63">
        <v>0.32500000000000001</v>
      </c>
      <c r="V28" s="26">
        <v>0</v>
      </c>
    </row>
    <row r="29" spans="1:22" s="60" customFormat="1" ht="10.8" thickBot="1" x14ac:dyDescent="0.25">
      <c r="A29" s="36" t="s">
        <v>37</v>
      </c>
      <c r="B29" s="36" t="s">
        <v>38</v>
      </c>
      <c r="C29" s="36" t="s">
        <v>42</v>
      </c>
      <c r="D29" s="36" t="s">
        <v>385</v>
      </c>
      <c r="E29" s="36" t="s">
        <v>270</v>
      </c>
      <c r="F29" s="36" t="s">
        <v>271</v>
      </c>
      <c r="G29" s="37" t="s">
        <v>80</v>
      </c>
      <c r="H29" s="38" t="s">
        <v>39</v>
      </c>
      <c r="I29" s="38" t="s">
        <v>71</v>
      </c>
      <c r="J29" s="39" t="s">
        <v>72</v>
      </c>
      <c r="K29" s="26">
        <v>1</v>
      </c>
      <c r="L29" s="34">
        <v>0.5</v>
      </c>
      <c r="M29" s="34" t="s">
        <v>73</v>
      </c>
      <c r="N29" s="26">
        <v>2020</v>
      </c>
      <c r="O29" s="26" t="s">
        <v>46</v>
      </c>
      <c r="P29" s="27" t="s">
        <v>57</v>
      </c>
      <c r="Q29" s="26" t="s">
        <v>40</v>
      </c>
      <c r="R29" s="27" t="s">
        <v>58</v>
      </c>
      <c r="S29" s="26">
        <v>10</v>
      </c>
      <c r="T29" s="29">
        <v>0.05</v>
      </c>
      <c r="U29" s="63">
        <v>0.05</v>
      </c>
      <c r="V29" s="26">
        <v>0.4</v>
      </c>
    </row>
    <row r="30" spans="1:22" s="60" customFormat="1" ht="10.8" thickBot="1" x14ac:dyDescent="0.25">
      <c r="A30" s="36" t="s">
        <v>37</v>
      </c>
      <c r="B30" s="36" t="s">
        <v>38</v>
      </c>
      <c r="C30" s="36" t="s">
        <v>42</v>
      </c>
      <c r="D30" s="36" t="s">
        <v>267</v>
      </c>
      <c r="E30" s="36" t="s">
        <v>268</v>
      </c>
      <c r="F30" s="36" t="s">
        <v>269</v>
      </c>
      <c r="G30" s="37" t="s">
        <v>80</v>
      </c>
      <c r="H30" s="38" t="s">
        <v>39</v>
      </c>
      <c r="I30" s="38" t="s">
        <v>71</v>
      </c>
      <c r="J30" s="39" t="s">
        <v>72</v>
      </c>
      <c r="K30" s="26">
        <v>1</v>
      </c>
      <c r="L30" s="34">
        <v>0.33333333333333331</v>
      </c>
      <c r="M30" s="34" t="s">
        <v>73</v>
      </c>
      <c r="N30" s="26">
        <v>2020</v>
      </c>
      <c r="O30" s="26" t="s">
        <v>46</v>
      </c>
      <c r="P30" s="27" t="s">
        <v>57</v>
      </c>
      <c r="Q30" s="26" t="s">
        <v>40</v>
      </c>
      <c r="R30" s="27" t="s">
        <v>58</v>
      </c>
      <c r="S30" s="26">
        <v>10</v>
      </c>
      <c r="T30" s="29">
        <v>3.3333333333333333E-2</v>
      </c>
      <c r="U30" s="63">
        <v>3.3333333333333333E-2</v>
      </c>
      <c r="V30" s="29">
        <v>0.26666666666666666</v>
      </c>
    </row>
    <row r="31" spans="1:22" s="60" customFormat="1" ht="10.8" thickBot="1" x14ac:dyDescent="0.25">
      <c r="A31" s="36" t="s">
        <v>43</v>
      </c>
      <c r="B31" s="36" t="s">
        <v>44</v>
      </c>
      <c r="C31" s="36" t="s">
        <v>45</v>
      </c>
      <c r="D31" s="36" t="s">
        <v>272</v>
      </c>
      <c r="E31" s="36" t="s">
        <v>273</v>
      </c>
      <c r="F31" s="36" t="s">
        <v>274</v>
      </c>
      <c r="G31" s="37" t="s">
        <v>93</v>
      </c>
      <c r="H31" s="38" t="s">
        <v>39</v>
      </c>
      <c r="I31" s="38" t="s">
        <v>71</v>
      </c>
      <c r="J31" s="39" t="s">
        <v>72</v>
      </c>
      <c r="K31" s="26">
        <v>1</v>
      </c>
      <c r="L31" s="34">
        <v>0.5</v>
      </c>
      <c r="M31" s="34" t="s">
        <v>73</v>
      </c>
      <c r="N31" s="26">
        <v>2020</v>
      </c>
      <c r="O31" s="26" t="s">
        <v>46</v>
      </c>
      <c r="P31" s="27" t="s">
        <v>256</v>
      </c>
      <c r="Q31" s="26" t="s">
        <v>41</v>
      </c>
      <c r="R31" s="27" t="s">
        <v>41</v>
      </c>
      <c r="S31" s="26">
        <v>35</v>
      </c>
      <c r="T31" s="29">
        <v>0.17499999999999999</v>
      </c>
      <c r="U31" s="63">
        <v>0.32500000000000001</v>
      </c>
      <c r="V31" s="26">
        <v>0</v>
      </c>
    </row>
    <row r="32" spans="1:22" s="60" customFormat="1" ht="10.8" thickBot="1" x14ac:dyDescent="0.25">
      <c r="A32" s="36" t="s">
        <v>43</v>
      </c>
      <c r="B32" s="36" t="s">
        <v>44</v>
      </c>
      <c r="C32" s="36" t="s">
        <v>45</v>
      </c>
      <c r="D32" s="36" t="s">
        <v>272</v>
      </c>
      <c r="E32" s="36" t="s">
        <v>273</v>
      </c>
      <c r="F32" s="36" t="s">
        <v>274</v>
      </c>
      <c r="G32" s="37" t="s">
        <v>275</v>
      </c>
      <c r="H32" s="38" t="s">
        <v>39</v>
      </c>
      <c r="I32" s="38" t="s">
        <v>71</v>
      </c>
      <c r="J32" s="39" t="s">
        <v>72</v>
      </c>
      <c r="K32" s="26">
        <v>1</v>
      </c>
      <c r="L32" s="34">
        <v>0.5</v>
      </c>
      <c r="M32" s="34" t="s">
        <v>73</v>
      </c>
      <c r="N32" s="26">
        <v>2020</v>
      </c>
      <c r="O32" s="26" t="s">
        <v>46</v>
      </c>
      <c r="P32" s="27" t="s">
        <v>256</v>
      </c>
      <c r="Q32" s="26" t="s">
        <v>41</v>
      </c>
      <c r="R32" s="27" t="s">
        <v>41</v>
      </c>
      <c r="S32" s="26">
        <v>35</v>
      </c>
      <c r="T32" s="29">
        <v>0.17499999999999999</v>
      </c>
      <c r="U32" s="63">
        <v>0.32500000000000001</v>
      </c>
      <c r="V32" s="26">
        <v>0</v>
      </c>
    </row>
    <row r="33" spans="1:22" s="60" customFormat="1" x14ac:dyDescent="0.2">
      <c r="A33" s="26" t="s">
        <v>71</v>
      </c>
      <c r="B33" s="26" t="s">
        <v>72</v>
      </c>
      <c r="C33" s="26" t="s">
        <v>45</v>
      </c>
      <c r="D33" s="26" t="s">
        <v>386</v>
      </c>
      <c r="E33" s="26" t="s">
        <v>387</v>
      </c>
      <c r="F33" s="26" t="s">
        <v>388</v>
      </c>
      <c r="G33" s="26" t="s">
        <v>88</v>
      </c>
      <c r="H33" s="26" t="s">
        <v>39</v>
      </c>
      <c r="I33" s="26" t="s">
        <v>71</v>
      </c>
      <c r="J33" s="26" t="s">
        <v>72</v>
      </c>
      <c r="K33" s="26">
        <v>22</v>
      </c>
      <c r="L33" s="34">
        <v>0.5</v>
      </c>
      <c r="M33" s="34" t="s">
        <v>73</v>
      </c>
      <c r="N33" s="26">
        <v>2021</v>
      </c>
      <c r="O33" s="26" t="s">
        <v>46</v>
      </c>
      <c r="P33" s="27" t="s">
        <v>256</v>
      </c>
      <c r="Q33" s="26" t="s">
        <v>41</v>
      </c>
      <c r="R33" s="27" t="s">
        <v>41</v>
      </c>
      <c r="S33" s="26">
        <v>35</v>
      </c>
      <c r="T33" s="29">
        <v>0.17499999999999999</v>
      </c>
      <c r="U33" s="63">
        <v>0.32500000000000001</v>
      </c>
      <c r="V33" s="26">
        <v>0</v>
      </c>
    </row>
    <row r="34" spans="1:22" s="60" customFormat="1" x14ac:dyDescent="0.2">
      <c r="A34" s="26" t="s">
        <v>71</v>
      </c>
      <c r="B34" s="26" t="s">
        <v>72</v>
      </c>
      <c r="C34" s="26" t="s">
        <v>45</v>
      </c>
      <c r="D34" s="26" t="s">
        <v>386</v>
      </c>
      <c r="E34" s="26" t="s">
        <v>387</v>
      </c>
      <c r="F34" s="26" t="s">
        <v>388</v>
      </c>
      <c r="G34" s="26" t="s">
        <v>94</v>
      </c>
      <c r="H34" s="26" t="s">
        <v>39</v>
      </c>
      <c r="I34" s="26" t="s">
        <v>71</v>
      </c>
      <c r="J34" s="26" t="s">
        <v>72</v>
      </c>
      <c r="K34" s="26">
        <v>23</v>
      </c>
      <c r="L34" s="34">
        <v>0.5</v>
      </c>
      <c r="M34" s="34" t="s">
        <v>73</v>
      </c>
      <c r="N34" s="26">
        <v>2021</v>
      </c>
      <c r="O34" s="26" t="s">
        <v>46</v>
      </c>
      <c r="P34" s="27" t="s">
        <v>256</v>
      </c>
      <c r="Q34" s="26" t="s">
        <v>41</v>
      </c>
      <c r="R34" s="27" t="s">
        <v>41</v>
      </c>
      <c r="S34" s="26">
        <v>35</v>
      </c>
      <c r="T34" s="29">
        <v>0.17499999999999999</v>
      </c>
      <c r="U34" s="63">
        <v>0.32500000000000001</v>
      </c>
      <c r="V34" s="26">
        <v>0</v>
      </c>
    </row>
    <row r="35" spans="1:22" s="60" customFormat="1" x14ac:dyDescent="0.2">
      <c r="A35" s="26" t="s">
        <v>43</v>
      </c>
      <c r="B35" s="26" t="s">
        <v>44</v>
      </c>
      <c r="C35" s="26" t="s">
        <v>45</v>
      </c>
      <c r="D35" s="26" t="s">
        <v>389</v>
      </c>
      <c r="E35" s="26" t="s">
        <v>390</v>
      </c>
      <c r="F35" s="26" t="s">
        <v>391</v>
      </c>
      <c r="G35" s="26" t="s">
        <v>88</v>
      </c>
      <c r="H35" s="26" t="s">
        <v>39</v>
      </c>
      <c r="I35" s="26" t="s">
        <v>71</v>
      </c>
      <c r="J35" s="26" t="s">
        <v>72</v>
      </c>
      <c r="K35" s="26">
        <v>178</v>
      </c>
      <c r="L35" s="34">
        <v>0.5</v>
      </c>
      <c r="M35" s="34" t="s">
        <v>73</v>
      </c>
      <c r="N35" s="26">
        <v>2021</v>
      </c>
      <c r="O35" s="26" t="s">
        <v>46</v>
      </c>
      <c r="P35" s="27" t="s">
        <v>256</v>
      </c>
      <c r="Q35" s="26" t="s">
        <v>41</v>
      </c>
      <c r="R35" s="27" t="s">
        <v>41</v>
      </c>
      <c r="S35" s="26">
        <v>35</v>
      </c>
      <c r="T35" s="29">
        <v>0.17499999999999999</v>
      </c>
      <c r="U35" s="63">
        <v>0.32500000000000001</v>
      </c>
      <c r="V35" s="26">
        <v>0</v>
      </c>
    </row>
    <row r="36" spans="1:22" s="60" customFormat="1" x14ac:dyDescent="0.2">
      <c r="A36" s="26" t="s">
        <v>43</v>
      </c>
      <c r="B36" s="26" t="s">
        <v>44</v>
      </c>
      <c r="C36" s="26" t="s">
        <v>45</v>
      </c>
      <c r="D36" s="26" t="s">
        <v>389</v>
      </c>
      <c r="E36" s="26" t="s">
        <v>390</v>
      </c>
      <c r="F36" s="26" t="s">
        <v>391</v>
      </c>
      <c r="G36" s="26" t="s">
        <v>114</v>
      </c>
      <c r="H36" s="26" t="s">
        <v>39</v>
      </c>
      <c r="I36" s="26" t="s">
        <v>71</v>
      </c>
      <c r="J36" s="26" t="s">
        <v>72</v>
      </c>
      <c r="K36" s="26">
        <v>179</v>
      </c>
      <c r="L36" s="34">
        <v>0.5</v>
      </c>
      <c r="M36" s="34" t="s">
        <v>73</v>
      </c>
      <c r="N36" s="26">
        <v>2021</v>
      </c>
      <c r="O36" s="26" t="s">
        <v>46</v>
      </c>
      <c r="P36" s="27" t="s">
        <v>256</v>
      </c>
      <c r="Q36" s="26" t="s">
        <v>41</v>
      </c>
      <c r="R36" s="27" t="s">
        <v>41</v>
      </c>
      <c r="S36" s="26">
        <v>35</v>
      </c>
      <c r="T36" s="29">
        <v>0.17499999999999999</v>
      </c>
      <c r="U36" s="63">
        <v>0.32500000000000001</v>
      </c>
      <c r="V36" s="26">
        <v>0</v>
      </c>
    </row>
    <row r="37" spans="1:22" s="60" customFormat="1" x14ac:dyDescent="0.2">
      <c r="A37" s="26" t="s">
        <v>37</v>
      </c>
      <c r="B37" s="26" t="s">
        <v>38</v>
      </c>
      <c r="C37" s="26" t="s">
        <v>42</v>
      </c>
      <c r="D37" s="26" t="s">
        <v>77</v>
      </c>
      <c r="E37" s="26" t="s">
        <v>78</v>
      </c>
      <c r="F37" s="26" t="s">
        <v>79</v>
      </c>
      <c r="G37" s="26" t="s">
        <v>80</v>
      </c>
      <c r="H37" s="26" t="s">
        <v>47</v>
      </c>
      <c r="I37" s="26" t="s">
        <v>71</v>
      </c>
      <c r="J37" s="26" t="s">
        <v>72</v>
      </c>
      <c r="K37" s="26">
        <v>1</v>
      </c>
      <c r="L37" s="29">
        <v>1</v>
      </c>
      <c r="M37" s="26" t="s">
        <v>73</v>
      </c>
      <c r="N37" s="26">
        <v>2016</v>
      </c>
      <c r="O37" s="26" t="s">
        <v>40</v>
      </c>
      <c r="P37" s="27" t="s">
        <v>58</v>
      </c>
      <c r="Q37" s="26" t="s">
        <v>46</v>
      </c>
      <c r="R37" s="27" t="s">
        <v>57</v>
      </c>
      <c r="S37" s="28">
        <v>10</v>
      </c>
      <c r="T37" s="29">
        <v>0.1</v>
      </c>
      <c r="U37" s="29">
        <v>0.8</v>
      </c>
      <c r="V37" s="63">
        <v>0.1</v>
      </c>
    </row>
    <row r="38" spans="1:22" s="60" customFormat="1" x14ac:dyDescent="0.2">
      <c r="A38" s="26" t="s">
        <v>37</v>
      </c>
      <c r="B38" s="26" t="s">
        <v>38</v>
      </c>
      <c r="C38" s="26" t="s">
        <v>42</v>
      </c>
      <c r="D38" s="26" t="s">
        <v>55</v>
      </c>
      <c r="E38" s="26" t="s">
        <v>53</v>
      </c>
      <c r="F38" s="26" t="s">
        <v>56</v>
      </c>
      <c r="G38" s="26" t="s">
        <v>80</v>
      </c>
      <c r="H38" s="26" t="s">
        <v>39</v>
      </c>
      <c r="I38" s="26" t="s">
        <v>71</v>
      </c>
      <c r="J38" s="26" t="s">
        <v>72</v>
      </c>
      <c r="K38" s="26">
        <v>1</v>
      </c>
      <c r="L38" s="29">
        <v>0.5</v>
      </c>
      <c r="M38" s="26" t="s">
        <v>73</v>
      </c>
      <c r="N38" s="26">
        <v>2016</v>
      </c>
      <c r="O38" s="26" t="s">
        <v>40</v>
      </c>
      <c r="P38" s="27" t="s">
        <v>58</v>
      </c>
      <c r="Q38" s="26" t="s">
        <v>46</v>
      </c>
      <c r="R38" s="27" t="s">
        <v>57</v>
      </c>
      <c r="S38" s="28">
        <v>10</v>
      </c>
      <c r="T38" s="29">
        <v>0.05</v>
      </c>
      <c r="U38" s="29">
        <v>0.4</v>
      </c>
      <c r="V38" s="63">
        <v>0.05</v>
      </c>
    </row>
    <row r="39" spans="1:22" s="60" customFormat="1" x14ac:dyDescent="0.2">
      <c r="A39" s="26" t="s">
        <v>37</v>
      </c>
      <c r="B39" s="26" t="s">
        <v>38</v>
      </c>
      <c r="C39" s="26" t="s">
        <v>42</v>
      </c>
      <c r="D39" s="26" t="s">
        <v>59</v>
      </c>
      <c r="E39" s="26" t="s">
        <v>60</v>
      </c>
      <c r="F39" s="26" t="s">
        <v>61</v>
      </c>
      <c r="G39" s="26" t="s">
        <v>80</v>
      </c>
      <c r="H39" s="26" t="s">
        <v>39</v>
      </c>
      <c r="I39" s="26" t="s">
        <v>71</v>
      </c>
      <c r="J39" s="26" t="s">
        <v>72</v>
      </c>
      <c r="K39" s="26">
        <v>1</v>
      </c>
      <c r="L39" s="29">
        <v>0.5</v>
      </c>
      <c r="M39" s="26" t="s">
        <v>73</v>
      </c>
      <c r="N39" s="26">
        <v>2017</v>
      </c>
      <c r="O39" s="26" t="s">
        <v>40</v>
      </c>
      <c r="P39" s="27" t="s">
        <v>58</v>
      </c>
      <c r="Q39" s="26" t="s">
        <v>46</v>
      </c>
      <c r="R39" s="27" t="s">
        <v>57</v>
      </c>
      <c r="S39" s="28">
        <v>10</v>
      </c>
      <c r="T39" s="29">
        <v>0.05</v>
      </c>
      <c r="U39" s="29">
        <v>0.4</v>
      </c>
      <c r="V39" s="63">
        <v>0.05</v>
      </c>
    </row>
    <row r="40" spans="1:22" s="60" customFormat="1" x14ac:dyDescent="0.2">
      <c r="A40" s="26" t="s">
        <v>43</v>
      </c>
      <c r="B40" s="26" t="s">
        <v>44</v>
      </c>
      <c r="C40" s="26" t="s">
        <v>45</v>
      </c>
      <c r="D40" s="26" t="s">
        <v>81</v>
      </c>
      <c r="E40" s="26" t="s">
        <v>82</v>
      </c>
      <c r="F40" s="26" t="s">
        <v>83</v>
      </c>
      <c r="G40" s="26" t="s">
        <v>84</v>
      </c>
      <c r="H40" s="26" t="s">
        <v>39</v>
      </c>
      <c r="I40" s="26" t="s">
        <v>71</v>
      </c>
      <c r="J40" s="26" t="s">
        <v>72</v>
      </c>
      <c r="K40" s="26">
        <v>1</v>
      </c>
      <c r="L40" s="61">
        <v>0.5</v>
      </c>
      <c r="M40" s="26" t="s">
        <v>73</v>
      </c>
      <c r="N40" s="26">
        <v>2018</v>
      </c>
      <c r="O40" s="26" t="s">
        <v>40</v>
      </c>
      <c r="P40" s="27" t="s">
        <v>57</v>
      </c>
      <c r="Q40" s="26" t="s">
        <v>46</v>
      </c>
      <c r="R40" s="27" t="s">
        <v>58</v>
      </c>
      <c r="S40" s="28">
        <v>10</v>
      </c>
      <c r="T40" s="29">
        <v>0.05</v>
      </c>
      <c r="U40" s="29">
        <v>0.05</v>
      </c>
      <c r="V40" s="63">
        <v>0.4</v>
      </c>
    </row>
    <row r="41" spans="1:22" s="60" customFormat="1" x14ac:dyDescent="0.2">
      <c r="A41" s="30" t="s">
        <v>43</v>
      </c>
      <c r="B41" s="30" t="s">
        <v>44</v>
      </c>
      <c r="C41" s="30" t="s">
        <v>45</v>
      </c>
      <c r="D41" s="30" t="s">
        <v>252</v>
      </c>
      <c r="E41" s="30" t="s">
        <v>253</v>
      </c>
      <c r="F41" s="30" t="s">
        <v>254</v>
      </c>
      <c r="G41" s="30" t="s">
        <v>84</v>
      </c>
      <c r="H41" s="30" t="s">
        <v>47</v>
      </c>
      <c r="I41" s="30" t="s">
        <v>71</v>
      </c>
      <c r="J41" s="30" t="s">
        <v>72</v>
      </c>
      <c r="K41" s="30">
        <v>1</v>
      </c>
      <c r="L41" s="62">
        <v>1</v>
      </c>
      <c r="M41" s="30" t="s">
        <v>73</v>
      </c>
      <c r="N41" s="30">
        <v>2019</v>
      </c>
      <c r="O41" s="30" t="s">
        <v>40</v>
      </c>
      <c r="P41" s="31" t="s">
        <v>57</v>
      </c>
      <c r="Q41" s="30" t="s">
        <v>46</v>
      </c>
      <c r="R41" s="31" t="s">
        <v>260</v>
      </c>
      <c r="S41" s="32">
        <v>35</v>
      </c>
      <c r="T41" s="33">
        <v>0.35</v>
      </c>
      <c r="U41" s="33">
        <v>0.1</v>
      </c>
      <c r="V41" s="64">
        <v>0.55000000000000004</v>
      </c>
    </row>
    <row r="42" spans="1:22" s="60" customFormat="1" ht="10.8" thickBot="1" x14ac:dyDescent="0.25">
      <c r="A42" s="26" t="s">
        <v>37</v>
      </c>
      <c r="B42" s="26" t="s">
        <v>38</v>
      </c>
      <c r="C42" s="26" t="s">
        <v>42</v>
      </c>
      <c r="D42" s="26" t="s">
        <v>392</v>
      </c>
      <c r="E42" s="26" t="s">
        <v>393</v>
      </c>
      <c r="F42" s="26" t="s">
        <v>394</v>
      </c>
      <c r="G42" s="26" t="s">
        <v>115</v>
      </c>
      <c r="H42" s="26" t="s">
        <v>39</v>
      </c>
      <c r="I42" s="26" t="s">
        <v>71</v>
      </c>
      <c r="J42" s="26" t="s">
        <v>72</v>
      </c>
      <c r="K42" s="26">
        <v>88</v>
      </c>
      <c r="L42" s="34">
        <v>0.5</v>
      </c>
      <c r="M42" s="34" t="s">
        <v>73</v>
      </c>
      <c r="N42" s="26">
        <v>2021</v>
      </c>
      <c r="O42" s="26" t="s">
        <v>40</v>
      </c>
      <c r="P42" s="27" t="s">
        <v>116</v>
      </c>
      <c r="Q42" s="26" t="s">
        <v>46</v>
      </c>
      <c r="R42" s="27" t="s">
        <v>116</v>
      </c>
      <c r="S42" s="26">
        <v>10</v>
      </c>
      <c r="T42" s="29">
        <v>0.05</v>
      </c>
      <c r="U42" s="29">
        <v>0.22500000000000001</v>
      </c>
      <c r="V42" s="63">
        <v>0.22500000000000001</v>
      </c>
    </row>
    <row r="43" spans="1:22" ht="10.8" thickBot="1" x14ac:dyDescent="0.25">
      <c r="T43" s="65">
        <f>SUM(V37:V42,U3:U36,T2)</f>
        <v>14.433333333333323</v>
      </c>
      <c r="U43" s="66"/>
      <c r="V43" s="67"/>
    </row>
    <row r="51" ht="11.25" customHeight="1" x14ac:dyDescent="0.2"/>
  </sheetData>
  <mergeCells count="1">
    <mergeCell ref="T43:V43"/>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26"/>
  <sheetViews>
    <sheetView topLeftCell="A13" zoomScaleNormal="100" workbookViewId="0">
      <selection activeCell="Q27" sqref="Q27"/>
    </sheetView>
  </sheetViews>
  <sheetFormatPr baseColWidth="10" defaultColWidth="11.44140625" defaultRowHeight="13.2" x14ac:dyDescent="0.25"/>
  <cols>
    <col min="1" max="1" width="10.5546875" style="17" bestFit="1" customWidth="1"/>
    <col min="2" max="2" width="48.33203125" style="17" bestFit="1" customWidth="1"/>
    <col min="3" max="3" width="14.5546875" style="17" bestFit="1" customWidth="1"/>
    <col min="4" max="9" width="3.33203125" style="17" bestFit="1" customWidth="1"/>
    <col min="10" max="10" width="13.109375" style="17" bestFit="1" customWidth="1"/>
    <col min="11" max="11" width="5.33203125" style="17" bestFit="1" customWidth="1"/>
    <col min="12" max="12" width="5.6640625" style="17" bestFit="1" customWidth="1"/>
    <col min="13" max="14" width="5.6640625" style="20" bestFit="1" customWidth="1"/>
    <col min="15" max="15" width="5.6640625" style="17" bestFit="1" customWidth="1"/>
    <col min="16" max="16" width="5.6640625" style="20" bestFit="1" customWidth="1"/>
    <col min="17" max="19" width="5.6640625" style="17" bestFit="1" customWidth="1"/>
    <col min="20" max="16384" width="11.44140625" style="17"/>
  </cols>
  <sheetData>
    <row r="1" spans="1:19" s="16" customFormat="1" ht="65.099999999999994" customHeight="1" x14ac:dyDescent="0.25">
      <c r="A1" s="21" t="s">
        <v>126</v>
      </c>
      <c r="B1" s="21" t="s">
        <v>127</v>
      </c>
      <c r="C1" s="21" t="s">
        <v>128</v>
      </c>
      <c r="D1" s="22">
        <v>2017</v>
      </c>
      <c r="E1" s="22">
        <v>2018</v>
      </c>
      <c r="F1" s="22">
        <v>2019</v>
      </c>
      <c r="G1" s="22">
        <v>2020</v>
      </c>
      <c r="H1" s="22">
        <v>2021</v>
      </c>
      <c r="I1" s="22">
        <v>2022</v>
      </c>
      <c r="J1" s="21" t="s">
        <v>129</v>
      </c>
      <c r="K1" s="23" t="s">
        <v>255</v>
      </c>
      <c r="L1" s="14" t="s">
        <v>130</v>
      </c>
      <c r="M1" s="14" t="s">
        <v>131</v>
      </c>
      <c r="N1" s="14" t="s">
        <v>132</v>
      </c>
      <c r="O1" s="14" t="s">
        <v>133</v>
      </c>
      <c r="P1" s="15" t="s">
        <v>134</v>
      </c>
      <c r="Q1" s="15" t="s">
        <v>135</v>
      </c>
      <c r="R1" s="15" t="s">
        <v>136</v>
      </c>
      <c r="S1" s="15" t="s">
        <v>137</v>
      </c>
    </row>
    <row r="2" spans="1:19" ht="14.4" x14ac:dyDescent="0.3">
      <c r="A2" s="24" t="s">
        <v>171</v>
      </c>
      <c r="B2" s="24" t="s">
        <v>172</v>
      </c>
      <c r="C2" s="24">
        <v>6</v>
      </c>
      <c r="D2" s="24"/>
      <c r="E2" s="24"/>
      <c r="F2" s="24">
        <v>1</v>
      </c>
      <c r="G2" s="24"/>
      <c r="H2" s="24"/>
      <c r="I2" s="24"/>
      <c r="J2" s="24">
        <v>1</v>
      </c>
      <c r="K2" s="24" t="s">
        <v>73</v>
      </c>
      <c r="L2" s="25" t="s">
        <v>46</v>
      </c>
      <c r="M2" s="25" t="s">
        <v>256</v>
      </c>
      <c r="N2" s="25" t="s">
        <v>41</v>
      </c>
      <c r="O2" s="25" t="s">
        <v>41</v>
      </c>
      <c r="P2" s="25">
        <v>35</v>
      </c>
      <c r="Q2" s="25">
        <v>0.65</v>
      </c>
      <c r="R2" s="25">
        <v>0</v>
      </c>
      <c r="S2" s="25">
        <v>0.35</v>
      </c>
    </row>
    <row r="3" spans="1:19" ht="14.4" x14ac:dyDescent="0.3">
      <c r="A3" s="24" t="s">
        <v>167</v>
      </c>
      <c r="B3" s="24" t="s">
        <v>168</v>
      </c>
      <c r="C3" s="24" t="s">
        <v>138</v>
      </c>
      <c r="D3" s="24"/>
      <c r="E3" s="24">
        <v>1</v>
      </c>
      <c r="F3" s="24"/>
      <c r="G3" s="24"/>
      <c r="H3" s="24"/>
      <c r="I3" s="24"/>
      <c r="J3" s="24">
        <v>1</v>
      </c>
      <c r="K3" s="24" t="s">
        <v>73</v>
      </c>
      <c r="L3" s="25" t="s">
        <v>46</v>
      </c>
      <c r="M3" s="25" t="s">
        <v>256</v>
      </c>
      <c r="N3" s="25" t="s">
        <v>41</v>
      </c>
      <c r="O3" s="25" t="s">
        <v>41</v>
      </c>
      <c r="P3" s="25">
        <v>35</v>
      </c>
      <c r="Q3" s="25">
        <v>0.65</v>
      </c>
      <c r="R3" s="25">
        <v>0</v>
      </c>
      <c r="S3" s="25">
        <v>0.35</v>
      </c>
    </row>
    <row r="4" spans="1:19" ht="14.4" x14ac:dyDescent="0.3">
      <c r="A4" s="24" t="s">
        <v>141</v>
      </c>
      <c r="B4" s="24" t="s">
        <v>142</v>
      </c>
      <c r="C4" s="24" t="s">
        <v>138</v>
      </c>
      <c r="D4" s="24"/>
      <c r="E4" s="24"/>
      <c r="F4" s="24"/>
      <c r="G4" s="24">
        <v>1</v>
      </c>
      <c r="H4" s="24"/>
      <c r="I4" s="24"/>
      <c r="J4" s="24">
        <v>1</v>
      </c>
      <c r="K4" s="24" t="s">
        <v>73</v>
      </c>
      <c r="L4" s="25" t="s">
        <v>46</v>
      </c>
      <c r="M4" s="25" t="s">
        <v>85</v>
      </c>
      <c r="N4" s="25" t="s">
        <v>40</v>
      </c>
      <c r="O4" s="25" t="s">
        <v>257</v>
      </c>
      <c r="P4" s="25">
        <v>40</v>
      </c>
      <c r="Q4" s="25">
        <v>0.4</v>
      </c>
      <c r="R4" s="25">
        <v>0.2</v>
      </c>
      <c r="S4" s="25">
        <v>0.4</v>
      </c>
    </row>
    <row r="5" spans="1:19" ht="14.4" x14ac:dyDescent="0.3">
      <c r="A5" s="24" t="s">
        <v>139</v>
      </c>
      <c r="B5" s="24" t="s">
        <v>140</v>
      </c>
      <c r="C5" s="24" t="s">
        <v>138</v>
      </c>
      <c r="D5" s="24"/>
      <c r="E5" s="24"/>
      <c r="F5" s="24"/>
      <c r="G5" s="24"/>
      <c r="H5" s="24"/>
      <c r="I5" s="24">
        <v>1</v>
      </c>
      <c r="J5" s="24">
        <v>1</v>
      </c>
      <c r="K5" s="24" t="s">
        <v>73</v>
      </c>
      <c r="L5" s="25" t="s">
        <v>46</v>
      </c>
      <c r="M5" s="25" t="s">
        <v>85</v>
      </c>
      <c r="N5" s="25" t="s">
        <v>40</v>
      </c>
      <c r="O5" s="25" t="s">
        <v>257</v>
      </c>
      <c r="P5" s="25">
        <v>40</v>
      </c>
      <c r="Q5" s="25">
        <v>0.4</v>
      </c>
      <c r="R5" s="25">
        <v>0.2</v>
      </c>
      <c r="S5" s="25">
        <v>0.4</v>
      </c>
    </row>
    <row r="6" spans="1:19" ht="14.4" x14ac:dyDescent="0.3">
      <c r="A6" s="24" t="s">
        <v>173</v>
      </c>
      <c r="B6" s="24" t="s">
        <v>174</v>
      </c>
      <c r="C6" s="24">
        <v>6</v>
      </c>
      <c r="D6" s="24">
        <v>1</v>
      </c>
      <c r="E6" s="24"/>
      <c r="F6" s="24">
        <v>1</v>
      </c>
      <c r="G6" s="24"/>
      <c r="H6" s="24"/>
      <c r="I6" s="24">
        <v>1</v>
      </c>
      <c r="J6" s="24">
        <v>3</v>
      </c>
      <c r="K6" s="24" t="s">
        <v>73</v>
      </c>
      <c r="L6" s="25" t="s">
        <v>46</v>
      </c>
      <c r="M6" s="25" t="s">
        <v>256</v>
      </c>
      <c r="N6" s="25" t="s">
        <v>41</v>
      </c>
      <c r="O6" s="25" t="s">
        <v>41</v>
      </c>
      <c r="P6" s="25">
        <v>35</v>
      </c>
      <c r="Q6" s="25">
        <v>1.95</v>
      </c>
      <c r="R6" s="25">
        <v>0</v>
      </c>
      <c r="S6" s="25">
        <v>1.05</v>
      </c>
    </row>
    <row r="7" spans="1:19" ht="14.4" x14ac:dyDescent="0.3">
      <c r="A7" s="24" t="s">
        <v>163</v>
      </c>
      <c r="B7" s="24" t="s">
        <v>164</v>
      </c>
      <c r="C7" s="24">
        <v>6</v>
      </c>
      <c r="D7" s="24"/>
      <c r="E7" s="24"/>
      <c r="F7" s="24">
        <v>1</v>
      </c>
      <c r="G7" s="24">
        <v>1</v>
      </c>
      <c r="H7" s="24"/>
      <c r="I7" s="24"/>
      <c r="J7" s="24">
        <v>2</v>
      </c>
      <c r="K7" s="24" t="s">
        <v>73</v>
      </c>
      <c r="L7" s="25" t="s">
        <v>46</v>
      </c>
      <c r="M7" s="25" t="s">
        <v>256</v>
      </c>
      <c r="N7" s="25" t="s">
        <v>41</v>
      </c>
      <c r="O7" s="25" t="s">
        <v>41</v>
      </c>
      <c r="P7" s="25">
        <v>35</v>
      </c>
      <c r="Q7" s="25">
        <v>1.3</v>
      </c>
      <c r="R7" s="25">
        <v>0</v>
      </c>
      <c r="S7" s="25">
        <v>0.7</v>
      </c>
    </row>
    <row r="8" spans="1:19" ht="14.4" x14ac:dyDescent="0.3">
      <c r="A8" s="24" t="s">
        <v>181</v>
      </c>
      <c r="B8" s="24" t="s">
        <v>182</v>
      </c>
      <c r="C8" s="24" t="s">
        <v>138</v>
      </c>
      <c r="D8" s="24">
        <v>1</v>
      </c>
      <c r="E8" s="24"/>
      <c r="F8" s="24"/>
      <c r="G8" s="24"/>
      <c r="H8" s="24"/>
      <c r="I8" s="24"/>
      <c r="J8" s="24">
        <v>1</v>
      </c>
      <c r="K8" s="24" t="s">
        <v>73</v>
      </c>
      <c r="L8" s="25" t="s">
        <v>46</v>
      </c>
      <c r="M8" s="25" t="s">
        <v>85</v>
      </c>
      <c r="N8" s="25" t="s">
        <v>40</v>
      </c>
      <c r="O8" s="25" t="s">
        <v>57</v>
      </c>
      <c r="P8" s="25">
        <v>50</v>
      </c>
      <c r="Q8" s="25">
        <v>0.4</v>
      </c>
      <c r="R8" s="25">
        <v>0.1</v>
      </c>
      <c r="S8" s="25">
        <v>0.5</v>
      </c>
    </row>
    <row r="9" spans="1:19" ht="14.4" x14ac:dyDescent="0.3">
      <c r="A9" s="24" t="s">
        <v>157</v>
      </c>
      <c r="B9" s="24" t="s">
        <v>158</v>
      </c>
      <c r="C9" s="24" t="s">
        <v>138</v>
      </c>
      <c r="D9" s="24">
        <v>1</v>
      </c>
      <c r="E9" s="24"/>
      <c r="F9" s="24"/>
      <c r="G9" s="24"/>
      <c r="H9" s="24"/>
      <c r="I9" s="24"/>
      <c r="J9" s="24">
        <v>1</v>
      </c>
      <c r="K9" s="24" t="s">
        <v>73</v>
      </c>
      <c r="L9" s="25" t="s">
        <v>46</v>
      </c>
      <c r="M9" s="25" t="s">
        <v>256</v>
      </c>
      <c r="N9" s="25" t="s">
        <v>41</v>
      </c>
      <c r="O9" s="25" t="s">
        <v>41</v>
      </c>
      <c r="P9" s="25">
        <v>35</v>
      </c>
      <c r="Q9" s="25">
        <v>0.65</v>
      </c>
      <c r="R9" s="25">
        <v>0</v>
      </c>
      <c r="S9" s="25">
        <v>0.35</v>
      </c>
    </row>
    <row r="10" spans="1:19" ht="14.4" x14ac:dyDescent="0.3">
      <c r="A10" s="24" t="s">
        <v>143</v>
      </c>
      <c r="B10" s="24" t="s">
        <v>144</v>
      </c>
      <c r="C10" s="24" t="s">
        <v>138</v>
      </c>
      <c r="D10" s="24"/>
      <c r="E10" s="24">
        <v>1</v>
      </c>
      <c r="F10" s="24"/>
      <c r="G10" s="24"/>
      <c r="H10" s="24"/>
      <c r="I10" s="24"/>
      <c r="J10" s="24">
        <v>1</v>
      </c>
      <c r="K10" s="24" t="s">
        <v>73</v>
      </c>
      <c r="L10" s="25" t="s">
        <v>46</v>
      </c>
      <c r="M10" s="25" t="s">
        <v>256</v>
      </c>
      <c r="N10" s="25" t="s">
        <v>41</v>
      </c>
      <c r="O10" s="25" t="s">
        <v>41</v>
      </c>
      <c r="P10" s="25">
        <v>35</v>
      </c>
      <c r="Q10" s="25">
        <v>0.65</v>
      </c>
      <c r="R10" s="25">
        <v>0</v>
      </c>
      <c r="S10" s="25">
        <v>0.35</v>
      </c>
    </row>
    <row r="11" spans="1:19" ht="14.4" x14ac:dyDescent="0.3">
      <c r="A11" s="24" t="s">
        <v>169</v>
      </c>
      <c r="B11" s="24" t="s">
        <v>170</v>
      </c>
      <c r="C11" s="24" t="s">
        <v>138</v>
      </c>
      <c r="D11" s="24"/>
      <c r="E11" s="24"/>
      <c r="F11" s="24"/>
      <c r="G11" s="24">
        <v>1</v>
      </c>
      <c r="H11" s="24"/>
      <c r="I11" s="24"/>
      <c r="J11" s="24">
        <v>1</v>
      </c>
      <c r="K11" s="24" t="s">
        <v>73</v>
      </c>
      <c r="L11" s="25" t="s">
        <v>46</v>
      </c>
      <c r="M11" s="25" t="s">
        <v>256</v>
      </c>
      <c r="N11" s="25" t="s">
        <v>41</v>
      </c>
      <c r="O11" s="25" t="s">
        <v>41</v>
      </c>
      <c r="P11" s="25">
        <v>35</v>
      </c>
      <c r="Q11" s="25">
        <v>0.65</v>
      </c>
      <c r="R11" s="25">
        <v>0</v>
      </c>
      <c r="S11" s="25">
        <v>0.35</v>
      </c>
    </row>
    <row r="12" spans="1:19" ht="14.4" x14ac:dyDescent="0.3">
      <c r="A12" s="24" t="s">
        <v>175</v>
      </c>
      <c r="B12" s="24" t="s">
        <v>176</v>
      </c>
      <c r="C12" s="24" t="s">
        <v>138</v>
      </c>
      <c r="D12" s="24">
        <v>1</v>
      </c>
      <c r="E12" s="24"/>
      <c r="F12" s="24"/>
      <c r="G12" s="24"/>
      <c r="H12" s="24"/>
      <c r="I12" s="24"/>
      <c r="J12" s="24">
        <v>1</v>
      </c>
      <c r="K12" s="24" t="s">
        <v>73</v>
      </c>
      <c r="L12" s="25" t="s">
        <v>46</v>
      </c>
      <c r="M12" s="25" t="s">
        <v>256</v>
      </c>
      <c r="N12" s="25" t="s">
        <v>41</v>
      </c>
      <c r="O12" s="25" t="s">
        <v>41</v>
      </c>
      <c r="P12" s="25">
        <v>35</v>
      </c>
      <c r="Q12" s="25">
        <v>0.65</v>
      </c>
      <c r="R12" s="25">
        <v>0</v>
      </c>
      <c r="S12" s="25">
        <v>0.35</v>
      </c>
    </row>
    <row r="13" spans="1:19" ht="14.4" x14ac:dyDescent="0.3">
      <c r="A13" s="24" t="s">
        <v>165</v>
      </c>
      <c r="B13" s="24" t="s">
        <v>166</v>
      </c>
      <c r="C13" s="24" t="s">
        <v>138</v>
      </c>
      <c r="D13" s="24"/>
      <c r="E13" s="24">
        <v>1</v>
      </c>
      <c r="F13" s="24"/>
      <c r="G13" s="24"/>
      <c r="H13" s="24"/>
      <c r="I13" s="24"/>
      <c r="J13" s="24">
        <v>1</v>
      </c>
      <c r="K13" s="24" t="s">
        <v>73</v>
      </c>
      <c r="L13" s="25" t="s">
        <v>46</v>
      </c>
      <c r="M13" s="25" t="s">
        <v>256</v>
      </c>
      <c r="N13" s="25" t="s">
        <v>41</v>
      </c>
      <c r="O13" s="25" t="s">
        <v>41</v>
      </c>
      <c r="P13" s="25">
        <v>35</v>
      </c>
      <c r="Q13" s="25">
        <v>0.65</v>
      </c>
      <c r="R13" s="25">
        <v>0</v>
      </c>
      <c r="S13" s="25">
        <v>0.35</v>
      </c>
    </row>
    <row r="14" spans="1:19" ht="14.4" x14ac:dyDescent="0.3">
      <c r="A14" s="24" t="s">
        <v>179</v>
      </c>
      <c r="B14" s="24" t="s">
        <v>180</v>
      </c>
      <c r="C14" s="24" t="s">
        <v>138</v>
      </c>
      <c r="D14" s="24"/>
      <c r="E14" s="24">
        <v>2</v>
      </c>
      <c r="F14" s="24"/>
      <c r="G14" s="24"/>
      <c r="H14" s="24">
        <v>1</v>
      </c>
      <c r="I14" s="24"/>
      <c r="J14" s="24">
        <v>3</v>
      </c>
      <c r="K14" s="24" t="s">
        <v>73</v>
      </c>
      <c r="L14" s="25" t="s">
        <v>46</v>
      </c>
      <c r="M14" s="25" t="s">
        <v>256</v>
      </c>
      <c r="N14" s="25" t="s">
        <v>41</v>
      </c>
      <c r="O14" s="25" t="s">
        <v>41</v>
      </c>
      <c r="P14" s="25">
        <v>35</v>
      </c>
      <c r="Q14" s="25">
        <v>1.95</v>
      </c>
      <c r="R14" s="25">
        <v>0</v>
      </c>
      <c r="S14" s="25">
        <v>1.05</v>
      </c>
    </row>
    <row r="15" spans="1:19" ht="14.4" x14ac:dyDescent="0.3">
      <c r="A15" s="24" t="s">
        <v>177</v>
      </c>
      <c r="B15" s="24" t="s">
        <v>178</v>
      </c>
      <c r="C15" s="24" t="s">
        <v>138</v>
      </c>
      <c r="D15" s="24"/>
      <c r="E15" s="24">
        <v>2</v>
      </c>
      <c r="F15" s="24"/>
      <c r="G15" s="24">
        <v>1</v>
      </c>
      <c r="H15" s="24"/>
      <c r="I15" s="24"/>
      <c r="J15" s="24">
        <v>3</v>
      </c>
      <c r="K15" s="24" t="s">
        <v>73</v>
      </c>
      <c r="L15" s="25" t="s">
        <v>46</v>
      </c>
      <c r="M15" s="25" t="s">
        <v>256</v>
      </c>
      <c r="N15" s="25" t="s">
        <v>41</v>
      </c>
      <c r="O15" s="25" t="s">
        <v>41</v>
      </c>
      <c r="P15" s="25">
        <v>35</v>
      </c>
      <c r="Q15" s="25">
        <v>1.95</v>
      </c>
      <c r="R15" s="25">
        <v>0</v>
      </c>
      <c r="S15" s="25">
        <v>1.05</v>
      </c>
    </row>
    <row r="16" spans="1:19" ht="14.4" x14ac:dyDescent="0.3">
      <c r="A16" s="24" t="s">
        <v>155</v>
      </c>
      <c r="B16" s="24" t="s">
        <v>156</v>
      </c>
      <c r="C16" s="24" t="s">
        <v>138</v>
      </c>
      <c r="D16" s="24"/>
      <c r="E16" s="24">
        <v>1</v>
      </c>
      <c r="F16" s="24">
        <v>1</v>
      </c>
      <c r="G16" s="24"/>
      <c r="H16" s="24"/>
      <c r="I16" s="24"/>
      <c r="J16" s="24">
        <v>2</v>
      </c>
      <c r="K16" s="24" t="s">
        <v>73</v>
      </c>
      <c r="L16" s="25" t="s">
        <v>46</v>
      </c>
      <c r="M16" s="25" t="s">
        <v>256</v>
      </c>
      <c r="N16" s="25" t="s">
        <v>41</v>
      </c>
      <c r="O16" s="25" t="s">
        <v>41</v>
      </c>
      <c r="P16" s="25">
        <v>35</v>
      </c>
      <c r="Q16" s="25">
        <v>1.3</v>
      </c>
      <c r="R16" s="25">
        <v>0</v>
      </c>
      <c r="S16" s="25">
        <v>0.7</v>
      </c>
    </row>
    <row r="17" spans="1:24" ht="14.4" x14ac:dyDescent="0.3">
      <c r="A17" s="24" t="s">
        <v>159</v>
      </c>
      <c r="B17" s="24" t="s">
        <v>160</v>
      </c>
      <c r="C17" s="24" t="s">
        <v>138</v>
      </c>
      <c r="D17" s="24">
        <v>1</v>
      </c>
      <c r="E17" s="24"/>
      <c r="F17" s="24">
        <v>1</v>
      </c>
      <c r="G17" s="24"/>
      <c r="H17" s="24"/>
      <c r="I17" s="24"/>
      <c r="J17" s="24">
        <v>2</v>
      </c>
      <c r="K17" s="24" t="s">
        <v>73</v>
      </c>
      <c r="L17" s="25" t="s">
        <v>46</v>
      </c>
      <c r="M17" s="25" t="s">
        <v>256</v>
      </c>
      <c r="N17" s="25" t="s">
        <v>41</v>
      </c>
      <c r="O17" s="25" t="s">
        <v>41</v>
      </c>
      <c r="P17" s="25">
        <v>35</v>
      </c>
      <c r="Q17" s="25">
        <v>1.3</v>
      </c>
      <c r="R17" s="25">
        <v>0</v>
      </c>
      <c r="S17" s="25">
        <v>0.7</v>
      </c>
    </row>
    <row r="18" spans="1:24" ht="14.4" x14ac:dyDescent="0.3">
      <c r="A18" s="24" t="s">
        <v>161</v>
      </c>
      <c r="B18" s="24" t="s">
        <v>162</v>
      </c>
      <c r="C18" s="24" t="s">
        <v>138</v>
      </c>
      <c r="D18" s="24"/>
      <c r="E18" s="24"/>
      <c r="F18" s="24">
        <v>2</v>
      </c>
      <c r="G18" s="24"/>
      <c r="H18" s="24"/>
      <c r="I18" s="24">
        <v>1</v>
      </c>
      <c r="J18" s="24">
        <v>3</v>
      </c>
      <c r="K18" s="24" t="s">
        <v>73</v>
      </c>
      <c r="L18" s="25" t="s">
        <v>46</v>
      </c>
      <c r="M18" s="25" t="s">
        <v>256</v>
      </c>
      <c r="N18" s="25" t="s">
        <v>41</v>
      </c>
      <c r="O18" s="25" t="s">
        <v>41</v>
      </c>
      <c r="P18" s="25">
        <v>35</v>
      </c>
      <c r="Q18" s="25">
        <v>1.95</v>
      </c>
      <c r="R18" s="25">
        <v>0</v>
      </c>
      <c r="S18" s="25">
        <v>1.05</v>
      </c>
    </row>
    <row r="19" spans="1:24" ht="14.4" x14ac:dyDescent="0.3">
      <c r="A19" s="24" t="s">
        <v>153</v>
      </c>
      <c r="B19" s="24" t="s">
        <v>154</v>
      </c>
      <c r="C19" s="24" t="s">
        <v>138</v>
      </c>
      <c r="D19" s="24"/>
      <c r="E19" s="24">
        <v>2</v>
      </c>
      <c r="F19" s="24"/>
      <c r="G19" s="24"/>
      <c r="H19" s="24">
        <v>1</v>
      </c>
      <c r="I19" s="24"/>
      <c r="J19" s="24">
        <v>3</v>
      </c>
      <c r="K19" s="24" t="s">
        <v>73</v>
      </c>
      <c r="L19" s="25" t="s">
        <v>46</v>
      </c>
      <c r="M19" s="25" t="s">
        <v>256</v>
      </c>
      <c r="N19" s="25" t="s">
        <v>41</v>
      </c>
      <c r="O19" s="25" t="s">
        <v>41</v>
      </c>
      <c r="P19" s="25">
        <v>35</v>
      </c>
      <c r="Q19" s="25">
        <v>1.95</v>
      </c>
      <c r="R19" s="25">
        <v>0</v>
      </c>
      <c r="S19" s="25">
        <v>1.05</v>
      </c>
    </row>
    <row r="20" spans="1:24" ht="14.4" x14ac:dyDescent="0.3">
      <c r="A20" s="24" t="s">
        <v>396</v>
      </c>
      <c r="B20" s="24" t="s">
        <v>397</v>
      </c>
      <c r="C20" s="24" t="s">
        <v>398</v>
      </c>
      <c r="D20" s="24"/>
      <c r="E20" s="24"/>
      <c r="F20" s="24"/>
      <c r="G20" s="24"/>
      <c r="H20" s="24">
        <v>1</v>
      </c>
      <c r="I20" s="24">
        <v>1</v>
      </c>
      <c r="J20" s="24">
        <v>2</v>
      </c>
      <c r="K20" s="24" t="s">
        <v>73</v>
      </c>
      <c r="L20" s="25" t="s">
        <v>46</v>
      </c>
      <c r="M20" s="25" t="s">
        <v>54</v>
      </c>
      <c r="N20" s="25" t="s">
        <v>41</v>
      </c>
      <c r="O20" s="25" t="s">
        <v>41</v>
      </c>
      <c r="P20" s="25">
        <v>10</v>
      </c>
      <c r="Q20" s="25">
        <v>1.8</v>
      </c>
      <c r="R20" s="25">
        <v>0</v>
      </c>
      <c r="S20" s="25">
        <v>0.2</v>
      </c>
      <c r="W20" s="47"/>
      <c r="X20" s="47"/>
    </row>
    <row r="21" spans="1:24" ht="14.4" x14ac:dyDescent="0.3">
      <c r="A21" s="24" t="s">
        <v>147</v>
      </c>
      <c r="B21" s="24" t="s">
        <v>148</v>
      </c>
      <c r="C21" s="24">
        <v>6</v>
      </c>
      <c r="D21" s="24"/>
      <c r="E21" s="24"/>
      <c r="F21" s="24">
        <v>1</v>
      </c>
      <c r="G21" s="24"/>
      <c r="H21" s="24"/>
      <c r="I21" s="24">
        <v>1</v>
      </c>
      <c r="J21" s="24">
        <v>2</v>
      </c>
      <c r="K21" s="24" t="s">
        <v>73</v>
      </c>
      <c r="L21" s="25" t="s">
        <v>40</v>
      </c>
      <c r="M21" s="25" t="s">
        <v>57</v>
      </c>
      <c r="N21" s="25" t="s">
        <v>46</v>
      </c>
      <c r="O21" s="25" t="s">
        <v>256</v>
      </c>
      <c r="P21" s="25">
        <v>25</v>
      </c>
      <c r="Q21" s="25">
        <v>0.2</v>
      </c>
      <c r="R21" s="25">
        <v>1.3</v>
      </c>
      <c r="S21" s="25">
        <v>0.5</v>
      </c>
      <c r="W21" s="47"/>
      <c r="X21" s="47"/>
    </row>
    <row r="22" spans="1:24" ht="14.4" x14ac:dyDescent="0.3">
      <c r="A22" s="24" t="s">
        <v>151</v>
      </c>
      <c r="B22" s="24" t="s">
        <v>152</v>
      </c>
      <c r="C22" s="24" t="s">
        <v>138</v>
      </c>
      <c r="D22" s="24"/>
      <c r="E22" s="24"/>
      <c r="F22" s="24"/>
      <c r="G22" s="24"/>
      <c r="H22" s="24">
        <v>1</v>
      </c>
      <c r="I22" s="24"/>
      <c r="J22" s="24">
        <v>1</v>
      </c>
      <c r="K22" s="24" t="s">
        <v>73</v>
      </c>
      <c r="L22" s="25" t="s">
        <v>40</v>
      </c>
      <c r="M22" s="25" t="s">
        <v>57</v>
      </c>
      <c r="N22" s="25" t="s">
        <v>46</v>
      </c>
      <c r="O22" s="25" t="s">
        <v>256</v>
      </c>
      <c r="P22" s="25">
        <v>25</v>
      </c>
      <c r="Q22" s="25">
        <v>0.1</v>
      </c>
      <c r="R22" s="25">
        <v>0.65</v>
      </c>
      <c r="S22" s="25">
        <v>0.25</v>
      </c>
    </row>
    <row r="23" spans="1:24" ht="14.4" x14ac:dyDescent="0.3">
      <c r="A23" s="24" t="s">
        <v>149</v>
      </c>
      <c r="B23" s="24" t="s">
        <v>150</v>
      </c>
      <c r="C23" s="24" t="s">
        <v>138</v>
      </c>
      <c r="D23" s="24">
        <v>2</v>
      </c>
      <c r="E23" s="24"/>
      <c r="F23" s="24"/>
      <c r="G23" s="24"/>
      <c r="H23" s="24"/>
      <c r="I23" s="24"/>
      <c r="J23" s="24">
        <v>2</v>
      </c>
      <c r="K23" s="24" t="s">
        <v>73</v>
      </c>
      <c r="L23" s="25" t="s">
        <v>40</v>
      </c>
      <c r="M23" s="25" t="s">
        <v>57</v>
      </c>
      <c r="N23" s="25" t="s">
        <v>46</v>
      </c>
      <c r="O23" s="25" t="s">
        <v>256</v>
      </c>
      <c r="P23" s="25">
        <v>25</v>
      </c>
      <c r="Q23" s="25">
        <v>0.2</v>
      </c>
      <c r="R23" s="25">
        <v>1.3</v>
      </c>
      <c r="S23" s="25">
        <v>0.5</v>
      </c>
    </row>
    <row r="24" spans="1:24" ht="14.4" x14ac:dyDescent="0.3">
      <c r="A24" s="24" t="s">
        <v>258</v>
      </c>
      <c r="B24" s="24" t="s">
        <v>259</v>
      </c>
      <c r="C24" s="24" t="s">
        <v>138</v>
      </c>
      <c r="D24" s="24"/>
      <c r="E24" s="24"/>
      <c r="F24" s="24">
        <v>2</v>
      </c>
      <c r="G24" s="24">
        <v>1</v>
      </c>
      <c r="H24" s="24"/>
      <c r="I24" s="24"/>
      <c r="J24" s="24">
        <v>3</v>
      </c>
      <c r="K24" s="24" t="s">
        <v>73</v>
      </c>
      <c r="L24" s="25" t="s">
        <v>40</v>
      </c>
      <c r="M24" s="25" t="s">
        <v>57</v>
      </c>
      <c r="N24" s="25" t="s">
        <v>46</v>
      </c>
      <c r="O24" s="25" t="s">
        <v>256</v>
      </c>
      <c r="P24" s="25">
        <v>25</v>
      </c>
      <c r="Q24" s="25">
        <v>0.3</v>
      </c>
      <c r="R24" s="25">
        <v>1.95</v>
      </c>
      <c r="S24" s="25">
        <v>0.75</v>
      </c>
    </row>
    <row r="25" spans="1:24" ht="14.4" x14ac:dyDescent="0.3">
      <c r="A25" s="24" t="s">
        <v>145</v>
      </c>
      <c r="B25" s="24" t="s">
        <v>146</v>
      </c>
      <c r="C25" s="24" t="s">
        <v>138</v>
      </c>
      <c r="D25" s="24"/>
      <c r="E25" s="24"/>
      <c r="F25" s="24">
        <v>1</v>
      </c>
      <c r="G25" s="24"/>
      <c r="H25" s="24"/>
      <c r="I25" s="24">
        <v>1</v>
      </c>
      <c r="J25" s="24">
        <v>2</v>
      </c>
      <c r="K25" s="24" t="s">
        <v>73</v>
      </c>
      <c r="L25" s="25" t="s">
        <v>40</v>
      </c>
      <c r="M25" s="25" t="s">
        <v>57</v>
      </c>
      <c r="N25" s="25" t="s">
        <v>46</v>
      </c>
      <c r="O25" s="25" t="s">
        <v>260</v>
      </c>
      <c r="P25" s="25">
        <v>35</v>
      </c>
      <c r="Q25" s="25">
        <v>0.2</v>
      </c>
      <c r="R25" s="25">
        <v>1.1000000000000001</v>
      </c>
      <c r="S25" s="25">
        <v>0.7</v>
      </c>
    </row>
    <row r="26" spans="1:24" x14ac:dyDescent="0.25">
      <c r="A26" s="18"/>
      <c r="B26" s="18"/>
      <c r="C26" s="18"/>
      <c r="D26" s="18"/>
      <c r="E26" s="18"/>
      <c r="F26" s="18"/>
      <c r="G26" s="18"/>
      <c r="H26" s="18"/>
      <c r="I26" s="18"/>
      <c r="J26" s="18"/>
      <c r="K26" s="18"/>
      <c r="L26" s="18"/>
      <c r="M26" s="19"/>
      <c r="N26" s="19"/>
      <c r="O26" s="18"/>
      <c r="P26" s="19"/>
      <c r="Q26" s="68">
        <f>SUM(R21:R25,Q2:Q20)</f>
        <v>27.500000000000004</v>
      </c>
      <c r="R26" s="69"/>
      <c r="S26" s="18"/>
    </row>
  </sheetData>
  <mergeCells count="1">
    <mergeCell ref="Q26:R26"/>
  </mergeCells>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1"/>
  <sheetViews>
    <sheetView topLeftCell="A55" zoomScaleNormal="100" workbookViewId="0">
      <selection activeCell="B87" sqref="B8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183</v>
      </c>
      <c r="B3" s="5">
        <v>48814.99</v>
      </c>
    </row>
    <row r="4" spans="1:2" x14ac:dyDescent="0.2">
      <c r="A4" s="4" t="s">
        <v>4</v>
      </c>
      <c r="B4" s="5"/>
    </row>
    <row r="5" spans="1:2" x14ac:dyDescent="0.2">
      <c r="A5" s="4" t="s">
        <v>184</v>
      </c>
      <c r="B5" s="5">
        <v>6000</v>
      </c>
    </row>
    <row r="6" spans="1:2" x14ac:dyDescent="0.2">
      <c r="A6" s="4" t="s">
        <v>185</v>
      </c>
      <c r="B6" s="5">
        <v>6000</v>
      </c>
    </row>
    <row r="7" spans="1:2" x14ac:dyDescent="0.2">
      <c r="A7" s="4" t="s">
        <v>5</v>
      </c>
      <c r="B7" s="5"/>
    </row>
    <row r="8" spans="1:2" x14ac:dyDescent="0.2">
      <c r="A8" s="4" t="s">
        <v>186</v>
      </c>
      <c r="B8" s="5">
        <v>6000</v>
      </c>
    </row>
    <row r="9" spans="1:2" x14ac:dyDescent="0.2">
      <c r="A9" s="4" t="s">
        <v>6</v>
      </c>
      <c r="B9" s="5"/>
    </row>
    <row r="10" spans="1:2" x14ac:dyDescent="0.2">
      <c r="A10" s="4" t="s">
        <v>187</v>
      </c>
      <c r="B10" s="5">
        <v>2000</v>
      </c>
    </row>
    <row r="11" spans="1:2" x14ac:dyDescent="0.2">
      <c r="A11" s="4" t="s">
        <v>7</v>
      </c>
      <c r="B11" s="5"/>
    </row>
    <row r="12" spans="1:2" x14ac:dyDescent="0.2">
      <c r="A12" s="4" t="s">
        <v>188</v>
      </c>
      <c r="B12" s="5">
        <v>14204.5</v>
      </c>
    </row>
    <row r="13" spans="1:2" x14ac:dyDescent="0.2">
      <c r="A13" s="4" t="s">
        <v>189</v>
      </c>
      <c r="B13" s="5">
        <v>5681.8</v>
      </c>
    </row>
    <row r="14" spans="1:2" x14ac:dyDescent="0.2">
      <c r="A14" s="4" t="s">
        <v>8</v>
      </c>
      <c r="B14" s="5"/>
    </row>
    <row r="15" spans="1:2" x14ac:dyDescent="0.2">
      <c r="A15" s="4" t="s">
        <v>190</v>
      </c>
      <c r="B15" s="5">
        <v>1056</v>
      </c>
    </row>
    <row r="16" spans="1:2" x14ac:dyDescent="0.2">
      <c r="A16" s="4" t="s">
        <v>191</v>
      </c>
      <c r="B16" s="5">
        <v>1408</v>
      </c>
    </row>
    <row r="17" spans="1:2" x14ac:dyDescent="0.2">
      <c r="A17" s="4" t="s">
        <v>192</v>
      </c>
      <c r="B17" s="5">
        <v>1056</v>
      </c>
    </row>
    <row r="18" spans="1:2" x14ac:dyDescent="0.2">
      <c r="A18" s="4" t="s">
        <v>193</v>
      </c>
      <c r="B18" s="5"/>
    </row>
    <row r="19" spans="1:2" x14ac:dyDescent="0.2">
      <c r="A19" s="4" t="s">
        <v>194</v>
      </c>
      <c r="B19" s="5">
        <v>10000</v>
      </c>
    </row>
    <row r="20" spans="1:2" x14ac:dyDescent="0.2">
      <c r="A20" s="4" t="s">
        <v>195</v>
      </c>
      <c r="B20" s="5">
        <v>10000</v>
      </c>
    </row>
    <row r="21" spans="1:2" x14ac:dyDescent="0.2">
      <c r="A21" s="4" t="s">
        <v>196</v>
      </c>
      <c r="B21" s="5">
        <v>10000</v>
      </c>
    </row>
    <row r="22" spans="1:2" x14ac:dyDescent="0.2">
      <c r="A22" s="4" t="s">
        <v>9</v>
      </c>
      <c r="B22" s="5"/>
    </row>
    <row r="23" spans="1:2" x14ac:dyDescent="0.2">
      <c r="A23" s="4" t="s">
        <v>197</v>
      </c>
      <c r="B23" s="5">
        <v>2000</v>
      </c>
    </row>
    <row r="24" spans="1:2" x14ac:dyDescent="0.2">
      <c r="A24" s="4" t="s">
        <v>198</v>
      </c>
      <c r="B24" s="5"/>
    </row>
    <row r="25" spans="1:2" x14ac:dyDescent="0.2">
      <c r="A25" s="4" t="s">
        <v>199</v>
      </c>
      <c r="B25" s="5">
        <v>200</v>
      </c>
    </row>
    <row r="26" spans="1:2" x14ac:dyDescent="0.2">
      <c r="A26" s="4" t="s">
        <v>200</v>
      </c>
      <c r="B26" s="5"/>
    </row>
    <row r="27" spans="1:2" x14ac:dyDescent="0.2">
      <c r="A27" s="4" t="s">
        <v>199</v>
      </c>
      <c r="B27" s="5">
        <v>200</v>
      </c>
    </row>
    <row r="28" spans="1:2" x14ac:dyDescent="0.2">
      <c r="A28" s="4" t="s">
        <v>201</v>
      </c>
      <c r="B28" s="5"/>
    </row>
    <row r="29" spans="1:2" x14ac:dyDescent="0.2">
      <c r="A29" s="4" t="s">
        <v>202</v>
      </c>
      <c r="B29" s="5">
        <v>2000</v>
      </c>
    </row>
    <row r="30" spans="1:2" x14ac:dyDescent="0.2">
      <c r="A30" s="4" t="s">
        <v>203</v>
      </c>
      <c r="B30" s="5"/>
    </row>
    <row r="31" spans="1:2" x14ac:dyDescent="0.2">
      <c r="A31" s="4" t="s">
        <v>204</v>
      </c>
      <c r="B31" s="5">
        <v>300</v>
      </c>
    </row>
    <row r="32" spans="1:2" x14ac:dyDescent="0.2">
      <c r="A32" s="4" t="s">
        <v>205</v>
      </c>
      <c r="B32" s="5"/>
    </row>
    <row r="33" spans="1:2" x14ac:dyDescent="0.2">
      <c r="A33" s="4" t="s">
        <v>206</v>
      </c>
      <c r="B33" s="5">
        <v>200</v>
      </c>
    </row>
    <row r="34" spans="1:2" x14ac:dyDescent="0.2">
      <c r="A34" s="4" t="s">
        <v>207</v>
      </c>
      <c r="B34" s="5"/>
    </row>
    <row r="35" spans="1:2" x14ac:dyDescent="0.2">
      <c r="A35" s="4" t="s">
        <v>208</v>
      </c>
      <c r="B35" s="5">
        <v>200</v>
      </c>
    </row>
    <row r="36" spans="1:2" x14ac:dyDescent="0.2">
      <c r="A36" s="4" t="s">
        <v>209</v>
      </c>
      <c r="B36" s="5"/>
    </row>
    <row r="37" spans="1:2" x14ac:dyDescent="0.2">
      <c r="A37" s="4" t="s">
        <v>210</v>
      </c>
      <c r="B37" s="5">
        <v>200</v>
      </c>
    </row>
    <row r="38" spans="1:2" x14ac:dyDescent="0.2">
      <c r="A38" s="4" t="s">
        <v>211</v>
      </c>
      <c r="B38" s="5"/>
    </row>
    <row r="39" spans="1:2" x14ac:dyDescent="0.2">
      <c r="A39" s="4" t="s">
        <v>212</v>
      </c>
      <c r="B39" s="5">
        <v>1800</v>
      </c>
    </row>
    <row r="40" spans="1:2" x14ac:dyDescent="0.2">
      <c r="A40" s="4" t="s">
        <v>213</v>
      </c>
      <c r="B40" s="5"/>
    </row>
    <row r="41" spans="1:2" x14ac:dyDescent="0.2">
      <c r="A41" s="4" t="s">
        <v>214</v>
      </c>
      <c r="B41" s="5">
        <v>5100</v>
      </c>
    </row>
    <row r="42" spans="1:2" x14ac:dyDescent="0.2">
      <c r="A42" s="4" t="s">
        <v>215</v>
      </c>
      <c r="B42" s="5">
        <v>5100</v>
      </c>
    </row>
    <row r="43" spans="1:2" x14ac:dyDescent="0.2">
      <c r="A43" s="4" t="s">
        <v>216</v>
      </c>
      <c r="B43" s="5"/>
    </row>
    <row r="44" spans="1:2" x14ac:dyDescent="0.2">
      <c r="A44" s="4" t="s">
        <v>217</v>
      </c>
      <c r="B44" s="5">
        <v>500</v>
      </c>
    </row>
    <row r="45" spans="1:2" x14ac:dyDescent="0.2">
      <c r="A45" s="4" t="s">
        <v>218</v>
      </c>
      <c r="B45" s="5"/>
    </row>
    <row r="46" spans="1:2" x14ac:dyDescent="0.2">
      <c r="A46" s="4" t="s">
        <v>219</v>
      </c>
      <c r="B46" s="5">
        <v>275</v>
      </c>
    </row>
    <row r="47" spans="1:2" x14ac:dyDescent="0.2">
      <c r="A47" s="4" t="s">
        <v>220</v>
      </c>
      <c r="B47" s="5"/>
    </row>
    <row r="48" spans="1:2" x14ac:dyDescent="0.2">
      <c r="A48" s="4" t="s">
        <v>221</v>
      </c>
      <c r="B48" s="5">
        <v>581</v>
      </c>
    </row>
    <row r="49" spans="1:2" x14ac:dyDescent="0.2">
      <c r="A49" s="4" t="s">
        <v>222</v>
      </c>
      <c r="B49" s="5"/>
    </row>
    <row r="50" spans="1:2" x14ac:dyDescent="0.2">
      <c r="A50" s="4" t="s">
        <v>223</v>
      </c>
      <c r="B50" s="5">
        <v>5000</v>
      </c>
    </row>
    <row r="51" spans="1:2" x14ac:dyDescent="0.2">
      <c r="A51" s="4" t="s">
        <v>224</v>
      </c>
      <c r="B51" s="5"/>
    </row>
    <row r="52" spans="1:2" x14ac:dyDescent="0.2">
      <c r="A52" s="4" t="s">
        <v>225</v>
      </c>
      <c r="B52" s="5">
        <v>8100</v>
      </c>
    </row>
    <row r="53" spans="1:2" x14ac:dyDescent="0.2">
      <c r="A53" s="4" t="s">
        <v>226</v>
      </c>
      <c r="B53" s="5"/>
    </row>
    <row r="54" spans="1:2" x14ac:dyDescent="0.2">
      <c r="A54" s="4" t="s">
        <v>227</v>
      </c>
      <c r="B54" s="5">
        <v>100</v>
      </c>
    </row>
    <row r="55" spans="1:2" x14ac:dyDescent="0.2">
      <c r="A55" s="4" t="s">
        <v>228</v>
      </c>
      <c r="B55" s="5"/>
    </row>
    <row r="56" spans="1:2" x14ac:dyDescent="0.2">
      <c r="A56" s="4" t="s">
        <v>229</v>
      </c>
      <c r="B56" s="5">
        <v>12500</v>
      </c>
    </row>
    <row r="57" spans="1:2" x14ac:dyDescent="0.2">
      <c r="A57" s="4" t="s">
        <v>230</v>
      </c>
      <c r="B57" s="5"/>
    </row>
    <row r="58" spans="1:2" x14ac:dyDescent="0.2">
      <c r="A58" s="4" t="s">
        <v>231</v>
      </c>
      <c r="B58" s="5">
        <v>4000</v>
      </c>
    </row>
    <row r="59" spans="1:2" x14ac:dyDescent="0.2">
      <c r="A59" s="4" t="s">
        <v>232</v>
      </c>
      <c r="B59" s="5"/>
    </row>
    <row r="60" spans="1:2" x14ac:dyDescent="0.2">
      <c r="A60" s="4" t="s">
        <v>233</v>
      </c>
      <c r="B60" s="5">
        <v>700</v>
      </c>
    </row>
    <row r="61" spans="1:2" x14ac:dyDescent="0.2">
      <c r="A61" s="4" t="s">
        <v>234</v>
      </c>
      <c r="B61" s="5"/>
    </row>
    <row r="62" spans="1:2" x14ac:dyDescent="0.2">
      <c r="A62" s="4" t="s">
        <v>235</v>
      </c>
      <c r="B62" s="5">
        <v>5750</v>
      </c>
    </row>
    <row r="63" spans="1:2" x14ac:dyDescent="0.2">
      <c r="A63" s="4" t="s">
        <v>10</v>
      </c>
      <c r="B63" s="5"/>
    </row>
    <row r="64" spans="1:2" x14ac:dyDescent="0.2">
      <c r="A64" s="4" t="s">
        <v>236</v>
      </c>
      <c r="B64" s="5">
        <v>866.25</v>
      </c>
    </row>
    <row r="65" spans="1:2" x14ac:dyDescent="0.2">
      <c r="A65" s="4" t="s">
        <v>11</v>
      </c>
      <c r="B65" s="5"/>
    </row>
    <row r="66" spans="1:2" x14ac:dyDescent="0.2">
      <c r="A66" s="4" t="s">
        <v>237</v>
      </c>
      <c r="B66" s="5">
        <v>31604.99</v>
      </c>
    </row>
    <row r="67" spans="1:2" x14ac:dyDescent="0.2">
      <c r="A67" s="4" t="s">
        <v>12</v>
      </c>
      <c r="B67" s="5"/>
    </row>
    <row r="68" spans="1:2" x14ac:dyDescent="0.2">
      <c r="A68" s="4" t="s">
        <v>238</v>
      </c>
      <c r="B68" s="5">
        <v>57256</v>
      </c>
    </row>
    <row r="69" spans="1:2" x14ac:dyDescent="0.2">
      <c r="A69" s="4" t="s">
        <v>13</v>
      </c>
      <c r="B69" s="5"/>
    </row>
    <row r="70" spans="1:2" x14ac:dyDescent="0.2">
      <c r="A70" s="4" t="s">
        <v>239</v>
      </c>
      <c r="B70" s="5">
        <v>54450</v>
      </c>
    </row>
    <row r="71" spans="1:2" x14ac:dyDescent="0.2">
      <c r="A71" s="4" t="s">
        <v>14</v>
      </c>
      <c r="B71" s="5"/>
    </row>
    <row r="72" spans="1:2" x14ac:dyDescent="0.2">
      <c r="A72" s="4" t="s">
        <v>240</v>
      </c>
      <c r="B72" s="5">
        <v>52525</v>
      </c>
    </row>
    <row r="73" spans="1:2" x14ac:dyDescent="0.2">
      <c r="A73" s="4" t="s">
        <v>241</v>
      </c>
      <c r="B73" s="5">
        <v>914.27</v>
      </c>
    </row>
    <row r="74" spans="1:2" x14ac:dyDescent="0.2">
      <c r="A74" s="4" t="s">
        <v>15</v>
      </c>
      <c r="B74" s="5"/>
    </row>
    <row r="75" spans="1:2" x14ac:dyDescent="0.2">
      <c r="A75" s="4" t="s">
        <v>242</v>
      </c>
      <c r="B75" s="5">
        <v>29025</v>
      </c>
    </row>
    <row r="76" spans="1:2" x14ac:dyDescent="0.2">
      <c r="A76" s="4" t="s">
        <v>243</v>
      </c>
      <c r="B76" s="5">
        <v>32.909999999999997</v>
      </c>
    </row>
    <row r="77" spans="1:2" x14ac:dyDescent="0.2">
      <c r="A77" s="4" t="s">
        <v>244</v>
      </c>
      <c r="B77" s="5"/>
    </row>
    <row r="78" spans="1:2" x14ac:dyDescent="0.2">
      <c r="A78" s="4" t="s">
        <v>245</v>
      </c>
      <c r="B78" s="5">
        <v>59266.03</v>
      </c>
    </row>
    <row r="79" spans="1:2" x14ac:dyDescent="0.2">
      <c r="A79" s="4" t="s">
        <v>246</v>
      </c>
      <c r="B79" s="5"/>
    </row>
    <row r="80" spans="1:2" x14ac:dyDescent="0.2">
      <c r="A80" s="4" t="s">
        <v>247</v>
      </c>
      <c r="B80" s="5">
        <v>65919.66</v>
      </c>
    </row>
    <row r="81" spans="1:2" x14ac:dyDescent="0.2">
      <c r="A81" s="6" t="s">
        <v>2</v>
      </c>
      <c r="B81" s="7">
        <f>SUM(B3:B80)</f>
        <v>528887.4</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8AA16-260E-4A1F-B1E8-77F9E1D9EE7E}">
  <dimension ref="A1:B66"/>
  <sheetViews>
    <sheetView topLeftCell="B43" workbookViewId="0">
      <selection activeCell="A6" sqref="A6"/>
    </sheetView>
  </sheetViews>
  <sheetFormatPr baseColWidth="10" defaultRowHeight="14.4" x14ac:dyDescent="0.3"/>
  <cols>
    <col min="1" max="1" width="255.6640625" bestFit="1" customWidth="1"/>
  </cols>
  <sheetData>
    <row r="1" spans="1:2" ht="21.6" x14ac:dyDescent="0.3">
      <c r="A1" s="2" t="s">
        <v>0</v>
      </c>
      <c r="B1" s="3" t="s">
        <v>1</v>
      </c>
    </row>
    <row r="2" spans="1:2" x14ac:dyDescent="0.3">
      <c r="A2" s="40" t="s">
        <v>8</v>
      </c>
      <c r="B2" s="41"/>
    </row>
    <row r="3" spans="1:2" x14ac:dyDescent="0.3">
      <c r="A3" s="42" t="s">
        <v>280</v>
      </c>
      <c r="B3">
        <v>947.76</v>
      </c>
    </row>
    <row r="4" spans="1:2" x14ac:dyDescent="0.3">
      <c r="A4" s="42" t="s">
        <v>281</v>
      </c>
      <c r="B4">
        <v>929.28</v>
      </c>
    </row>
    <row r="5" spans="1:2" x14ac:dyDescent="0.3">
      <c r="A5" s="42" t="s">
        <v>282</v>
      </c>
      <c r="B5">
        <v>929.28</v>
      </c>
    </row>
    <row r="6" spans="1:2" x14ac:dyDescent="0.3">
      <c r="A6" s="40" t="s">
        <v>193</v>
      </c>
      <c r="B6" s="41"/>
    </row>
    <row r="7" spans="1:2" x14ac:dyDescent="0.3">
      <c r="A7" s="42" t="s">
        <v>283</v>
      </c>
      <c r="B7">
        <v>8800</v>
      </c>
    </row>
    <row r="8" spans="1:2" x14ac:dyDescent="0.3">
      <c r="A8" s="42" t="s">
        <v>284</v>
      </c>
      <c r="B8">
        <v>8800</v>
      </c>
    </row>
    <row r="9" spans="1:2" x14ac:dyDescent="0.3">
      <c r="A9" s="40" t="s">
        <v>222</v>
      </c>
      <c r="B9" s="41"/>
    </row>
    <row r="10" spans="1:2" x14ac:dyDescent="0.3">
      <c r="A10" s="42" t="s">
        <v>285</v>
      </c>
      <c r="B10">
        <v>8800</v>
      </c>
    </row>
    <row r="11" spans="1:2" x14ac:dyDescent="0.3">
      <c r="A11" s="42" t="s">
        <v>286</v>
      </c>
      <c r="B11">
        <v>424.21</v>
      </c>
    </row>
    <row r="12" spans="1:2" x14ac:dyDescent="0.3">
      <c r="A12" s="40" t="s">
        <v>287</v>
      </c>
      <c r="B12" s="41"/>
    </row>
    <row r="13" spans="1:2" x14ac:dyDescent="0.3">
      <c r="A13" s="42" t="s">
        <v>288</v>
      </c>
      <c r="B13">
        <v>88</v>
      </c>
    </row>
    <row r="14" spans="1:2" x14ac:dyDescent="0.3">
      <c r="A14" s="40" t="s">
        <v>289</v>
      </c>
      <c r="B14" s="41"/>
    </row>
    <row r="15" spans="1:2" x14ac:dyDescent="0.3">
      <c r="A15" s="42" t="s">
        <v>290</v>
      </c>
      <c r="B15">
        <v>88</v>
      </c>
    </row>
    <row r="16" spans="1:2" x14ac:dyDescent="0.3">
      <c r="A16" s="40" t="s">
        <v>228</v>
      </c>
      <c r="B16" s="41"/>
    </row>
    <row r="17" spans="1:2" x14ac:dyDescent="0.3">
      <c r="A17" s="42" t="s">
        <v>291</v>
      </c>
      <c r="B17">
        <v>6600</v>
      </c>
    </row>
    <row r="18" spans="1:2" x14ac:dyDescent="0.3">
      <c r="A18" s="42" t="s">
        <v>292</v>
      </c>
      <c r="B18">
        <v>15400</v>
      </c>
    </row>
    <row r="19" spans="1:2" x14ac:dyDescent="0.3">
      <c r="A19" s="42" t="s">
        <v>293</v>
      </c>
      <c r="B19">
        <v>2200</v>
      </c>
    </row>
    <row r="20" spans="1:2" x14ac:dyDescent="0.3">
      <c r="A20" s="40" t="s">
        <v>294</v>
      </c>
      <c r="B20" s="41"/>
    </row>
    <row r="21" spans="1:2" x14ac:dyDescent="0.3">
      <c r="A21" s="42" t="s">
        <v>295</v>
      </c>
      <c r="B21">
        <v>6600</v>
      </c>
    </row>
    <row r="22" spans="1:2" x14ac:dyDescent="0.3">
      <c r="A22" s="40" t="s">
        <v>296</v>
      </c>
      <c r="B22" s="41"/>
    </row>
    <row r="23" spans="1:2" x14ac:dyDescent="0.3">
      <c r="A23" s="42" t="s">
        <v>297</v>
      </c>
      <c r="B23">
        <v>1293.5999999999999</v>
      </c>
    </row>
    <row r="24" spans="1:2" x14ac:dyDescent="0.3">
      <c r="A24" s="40" t="s">
        <v>298</v>
      </c>
      <c r="B24" s="41"/>
    </row>
    <row r="25" spans="1:2" x14ac:dyDescent="0.3">
      <c r="A25" s="42" t="s">
        <v>299</v>
      </c>
      <c r="B25">
        <v>2012.56</v>
      </c>
    </row>
    <row r="26" spans="1:2" x14ac:dyDescent="0.3">
      <c r="A26" s="40" t="s">
        <v>300</v>
      </c>
      <c r="B26" s="41"/>
    </row>
    <row r="27" spans="1:2" x14ac:dyDescent="0.3">
      <c r="A27" s="42" t="s">
        <v>301</v>
      </c>
      <c r="B27">
        <v>176</v>
      </c>
    </row>
    <row r="28" spans="1:2" x14ac:dyDescent="0.3">
      <c r="A28" s="40" t="s">
        <v>302</v>
      </c>
      <c r="B28" s="41"/>
    </row>
    <row r="29" spans="1:2" x14ac:dyDescent="0.3">
      <c r="A29" s="42" t="s">
        <v>303</v>
      </c>
      <c r="B29">
        <v>2640</v>
      </c>
    </row>
    <row r="30" spans="1:2" x14ac:dyDescent="0.3">
      <c r="A30" s="40" t="s">
        <v>304</v>
      </c>
      <c r="B30" s="41"/>
    </row>
    <row r="31" spans="1:2" x14ac:dyDescent="0.3">
      <c r="A31" s="42" t="s">
        <v>305</v>
      </c>
      <c r="B31">
        <v>480000</v>
      </c>
    </row>
    <row r="32" spans="1:2" x14ac:dyDescent="0.3">
      <c r="A32" s="40" t="s">
        <v>306</v>
      </c>
      <c r="B32" s="41"/>
    </row>
    <row r="33" spans="1:2" x14ac:dyDescent="0.3">
      <c r="A33" s="42" t="s">
        <v>307</v>
      </c>
      <c r="B33">
        <v>193.6</v>
      </c>
    </row>
    <row r="34" spans="1:2" x14ac:dyDescent="0.3">
      <c r="A34" s="40" t="s">
        <v>308</v>
      </c>
      <c r="B34" s="41"/>
    </row>
    <row r="35" spans="1:2" x14ac:dyDescent="0.3">
      <c r="A35" s="42" t="s">
        <v>309</v>
      </c>
      <c r="B35">
        <v>5544</v>
      </c>
    </row>
    <row r="36" spans="1:2" x14ac:dyDescent="0.3">
      <c r="A36" s="42" t="s">
        <v>310</v>
      </c>
      <c r="B36">
        <v>2376</v>
      </c>
    </row>
    <row r="37" spans="1:2" x14ac:dyDescent="0.3">
      <c r="A37" s="40" t="s">
        <v>311</v>
      </c>
      <c r="B37" s="41"/>
    </row>
    <row r="38" spans="1:2" x14ac:dyDescent="0.3">
      <c r="A38" s="42" t="s">
        <v>312</v>
      </c>
      <c r="B38">
        <v>4506.4799999999996</v>
      </c>
    </row>
    <row r="39" spans="1:2" x14ac:dyDescent="0.3">
      <c r="A39" s="42" t="s">
        <v>313</v>
      </c>
      <c r="B39">
        <v>3004.32</v>
      </c>
    </row>
    <row r="40" spans="1:2" x14ac:dyDescent="0.3">
      <c r="A40" s="40" t="s">
        <v>314</v>
      </c>
      <c r="B40" s="41"/>
    </row>
    <row r="41" spans="1:2" x14ac:dyDescent="0.3">
      <c r="A41" s="42" t="s">
        <v>315</v>
      </c>
      <c r="B41">
        <v>748</v>
      </c>
    </row>
    <row r="42" spans="1:2" x14ac:dyDescent="0.3">
      <c r="A42" s="40" t="s">
        <v>316</v>
      </c>
      <c r="B42" s="41"/>
    </row>
    <row r="43" spans="1:2" x14ac:dyDescent="0.3">
      <c r="A43" s="42" t="s">
        <v>317</v>
      </c>
      <c r="B43">
        <v>5759.6</v>
      </c>
    </row>
    <row r="44" spans="1:2" x14ac:dyDescent="0.3">
      <c r="A44" s="40" t="s">
        <v>318</v>
      </c>
      <c r="B44" s="41"/>
    </row>
    <row r="45" spans="1:2" x14ac:dyDescent="0.3">
      <c r="A45" s="42" t="s">
        <v>319</v>
      </c>
      <c r="B45">
        <v>3960</v>
      </c>
    </row>
    <row r="46" spans="1:2" x14ac:dyDescent="0.3">
      <c r="A46" s="42" t="s">
        <v>320</v>
      </c>
      <c r="B46">
        <v>3960</v>
      </c>
    </row>
    <row r="47" spans="1:2" x14ac:dyDescent="0.3">
      <c r="A47" s="42" t="s">
        <v>321</v>
      </c>
      <c r="B47">
        <v>3960</v>
      </c>
    </row>
    <row r="48" spans="1:2" x14ac:dyDescent="0.3">
      <c r="A48" s="40" t="s">
        <v>322</v>
      </c>
      <c r="B48" s="41"/>
    </row>
    <row r="49" spans="1:2" x14ac:dyDescent="0.3">
      <c r="A49" s="42" t="s">
        <v>323</v>
      </c>
      <c r="B49">
        <v>6160</v>
      </c>
    </row>
    <row r="50" spans="1:2" x14ac:dyDescent="0.3">
      <c r="A50" s="40" t="s">
        <v>324</v>
      </c>
      <c r="B50" s="41"/>
    </row>
    <row r="51" spans="1:2" x14ac:dyDescent="0.3">
      <c r="A51" s="42" t="s">
        <v>325</v>
      </c>
      <c r="B51">
        <v>342.32</v>
      </c>
    </row>
    <row r="52" spans="1:2" x14ac:dyDescent="0.3">
      <c r="A52" s="40" t="s">
        <v>234</v>
      </c>
      <c r="B52" s="41"/>
    </row>
    <row r="53" spans="1:2" x14ac:dyDescent="0.3">
      <c r="A53" s="42" t="s">
        <v>326</v>
      </c>
      <c r="B53">
        <v>11050</v>
      </c>
    </row>
    <row r="54" spans="1:2" x14ac:dyDescent="0.3">
      <c r="A54" s="40" t="s">
        <v>10</v>
      </c>
      <c r="B54" s="41"/>
    </row>
    <row r="55" spans="1:2" x14ac:dyDescent="0.3">
      <c r="A55" s="42" t="s">
        <v>327</v>
      </c>
      <c r="B55">
        <v>770</v>
      </c>
    </row>
    <row r="56" spans="1:2" x14ac:dyDescent="0.3">
      <c r="A56" s="40" t="s">
        <v>328</v>
      </c>
      <c r="B56" s="41"/>
    </row>
    <row r="57" spans="1:2" x14ac:dyDescent="0.3">
      <c r="A57" s="42" t="s">
        <v>329</v>
      </c>
      <c r="B57">
        <v>53300</v>
      </c>
    </row>
    <row r="58" spans="1:2" x14ac:dyDescent="0.3">
      <c r="A58" s="40" t="s">
        <v>330</v>
      </c>
      <c r="B58" s="41"/>
    </row>
    <row r="59" spans="1:2" x14ac:dyDescent="0.3">
      <c r="A59" s="42" t="s">
        <v>331</v>
      </c>
      <c r="B59">
        <v>44589.45</v>
      </c>
    </row>
    <row r="60" spans="1:2" x14ac:dyDescent="0.3">
      <c r="A60" s="40" t="s">
        <v>332</v>
      </c>
      <c r="B60" s="41"/>
    </row>
    <row r="61" spans="1:2" x14ac:dyDescent="0.3">
      <c r="A61" s="42" t="s">
        <v>331</v>
      </c>
      <c r="B61">
        <v>28719</v>
      </c>
    </row>
    <row r="62" spans="1:2" x14ac:dyDescent="0.3">
      <c r="A62" s="40" t="s">
        <v>333</v>
      </c>
      <c r="B62" s="41"/>
    </row>
    <row r="63" spans="1:2" x14ac:dyDescent="0.3">
      <c r="A63" s="42" t="s">
        <v>334</v>
      </c>
      <c r="B63">
        <v>20000</v>
      </c>
    </row>
    <row r="64" spans="1:2" x14ac:dyDescent="0.3">
      <c r="A64" s="40" t="s">
        <v>335</v>
      </c>
      <c r="B64" s="41"/>
    </row>
    <row r="65" spans="1:2" x14ac:dyDescent="0.3">
      <c r="A65" s="42" t="s">
        <v>336</v>
      </c>
      <c r="B65">
        <v>7250</v>
      </c>
    </row>
    <row r="66" spans="1:2" x14ac:dyDescent="0.3">
      <c r="A66" s="43" t="s">
        <v>129</v>
      </c>
      <c r="B66" s="44">
        <v>752921.45999999973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1A4D-0E43-412E-982F-1A66BD91FDD9}">
  <dimension ref="A1:D35"/>
  <sheetViews>
    <sheetView tabSelected="1" topLeftCell="A16" workbookViewId="0">
      <selection activeCell="C38" sqref="C38"/>
    </sheetView>
  </sheetViews>
  <sheetFormatPr baseColWidth="10" defaultRowHeight="14.4" x14ac:dyDescent="0.3"/>
  <cols>
    <col min="2" max="2" width="14" bestFit="1" customWidth="1"/>
    <col min="3" max="3" width="82.5546875" customWidth="1"/>
    <col min="4" max="4" width="11.6640625" bestFit="1" customWidth="1"/>
  </cols>
  <sheetData>
    <row r="1" spans="1:4" ht="15" thickBot="1" x14ac:dyDescent="0.35">
      <c r="A1" s="48" t="s">
        <v>338</v>
      </c>
      <c r="B1" s="49" t="s">
        <v>339</v>
      </c>
      <c r="C1" s="49" t="s">
        <v>340</v>
      </c>
      <c r="D1" s="50" t="s">
        <v>1</v>
      </c>
    </row>
    <row r="2" spans="1:4" ht="15" thickTop="1" x14ac:dyDescent="0.3">
      <c r="A2" s="51" t="s">
        <v>341</v>
      </c>
      <c r="B2" s="52" t="s">
        <v>8</v>
      </c>
      <c r="C2" s="52" t="s">
        <v>342</v>
      </c>
      <c r="D2" s="53">
        <v>947.76</v>
      </c>
    </row>
    <row r="3" spans="1:4" x14ac:dyDescent="0.3">
      <c r="A3" s="54" t="s">
        <v>341</v>
      </c>
      <c r="B3" s="55" t="s">
        <v>9</v>
      </c>
      <c r="C3" s="55" t="s">
        <v>343</v>
      </c>
      <c r="D3" s="56">
        <v>1760</v>
      </c>
    </row>
    <row r="4" spans="1:4" x14ac:dyDescent="0.3">
      <c r="A4" s="51" t="s">
        <v>341</v>
      </c>
      <c r="B4" s="52" t="s">
        <v>228</v>
      </c>
      <c r="C4" s="52" t="s">
        <v>344</v>
      </c>
      <c r="D4" s="53">
        <v>4400</v>
      </c>
    </row>
    <row r="5" spans="1:4" x14ac:dyDescent="0.3">
      <c r="A5" s="54" t="s">
        <v>341</v>
      </c>
      <c r="B5" s="55" t="s">
        <v>311</v>
      </c>
      <c r="C5" s="55" t="s">
        <v>345</v>
      </c>
      <c r="D5" s="56">
        <v>4506.4799999999996</v>
      </c>
    </row>
    <row r="6" spans="1:4" x14ac:dyDescent="0.3">
      <c r="A6" s="51" t="s">
        <v>341</v>
      </c>
      <c r="B6" s="52" t="s">
        <v>316</v>
      </c>
      <c r="C6" s="52" t="s">
        <v>346</v>
      </c>
      <c r="D6" s="53">
        <v>1.45</v>
      </c>
    </row>
    <row r="7" spans="1:4" x14ac:dyDescent="0.3">
      <c r="A7" s="54" t="s">
        <v>341</v>
      </c>
      <c r="B7" s="55" t="s">
        <v>316</v>
      </c>
      <c r="C7" s="55" t="s">
        <v>347</v>
      </c>
      <c r="D7" s="56">
        <v>2468.4</v>
      </c>
    </row>
    <row r="8" spans="1:4" x14ac:dyDescent="0.3">
      <c r="A8" s="51" t="s">
        <v>341</v>
      </c>
      <c r="B8" s="52" t="s">
        <v>348</v>
      </c>
      <c r="C8" s="52" t="s">
        <v>349</v>
      </c>
      <c r="D8" s="53">
        <v>1654.4</v>
      </c>
    </row>
    <row r="9" spans="1:4" x14ac:dyDescent="0.3">
      <c r="A9" s="54" t="s">
        <v>341</v>
      </c>
      <c r="B9" s="55" t="s">
        <v>318</v>
      </c>
      <c r="C9" s="55" t="s">
        <v>350</v>
      </c>
      <c r="D9" s="56">
        <v>4500</v>
      </c>
    </row>
    <row r="10" spans="1:4" x14ac:dyDescent="0.3">
      <c r="A10" s="51" t="s">
        <v>341</v>
      </c>
      <c r="B10" s="52" t="s">
        <v>318</v>
      </c>
      <c r="C10" s="52" t="s">
        <v>351</v>
      </c>
      <c r="D10" s="53">
        <v>4500</v>
      </c>
    </row>
    <row r="11" spans="1:4" x14ac:dyDescent="0.3">
      <c r="A11" s="54" t="s">
        <v>341</v>
      </c>
      <c r="B11" s="55" t="s">
        <v>318</v>
      </c>
      <c r="C11" s="55" t="s">
        <v>352</v>
      </c>
      <c r="D11" s="56">
        <v>4500</v>
      </c>
    </row>
    <row r="12" spans="1:4" x14ac:dyDescent="0.3">
      <c r="A12" s="51" t="s">
        <v>341</v>
      </c>
      <c r="B12" s="52" t="s">
        <v>353</v>
      </c>
      <c r="C12" s="52" t="s">
        <v>354</v>
      </c>
      <c r="D12" s="53">
        <v>10000</v>
      </c>
    </row>
    <row r="13" spans="1:4" x14ac:dyDescent="0.3">
      <c r="A13" s="54" t="s">
        <v>341</v>
      </c>
      <c r="B13" s="55" t="s">
        <v>355</v>
      </c>
      <c r="C13" s="55" t="s">
        <v>356</v>
      </c>
      <c r="D13" s="56">
        <v>13200</v>
      </c>
    </row>
    <row r="14" spans="1:4" x14ac:dyDescent="0.3">
      <c r="A14" s="51" t="s">
        <v>341</v>
      </c>
      <c r="B14" s="52" t="s">
        <v>357</v>
      </c>
      <c r="C14" s="52" t="s">
        <v>358</v>
      </c>
      <c r="D14" s="53">
        <v>9473.9</v>
      </c>
    </row>
    <row r="15" spans="1:4" x14ac:dyDescent="0.3">
      <c r="A15" s="54" t="s">
        <v>341</v>
      </c>
      <c r="B15" s="55" t="s">
        <v>357</v>
      </c>
      <c r="C15" s="55" t="s">
        <v>359</v>
      </c>
      <c r="D15" s="56">
        <v>18947.8</v>
      </c>
    </row>
    <row r="16" spans="1:4" x14ac:dyDescent="0.3">
      <c r="A16" s="51" t="s">
        <v>341</v>
      </c>
      <c r="B16" s="52" t="s">
        <v>360</v>
      </c>
      <c r="C16" s="52" t="s">
        <v>361</v>
      </c>
      <c r="D16" s="53">
        <v>8800</v>
      </c>
    </row>
    <row r="17" spans="1:4" x14ac:dyDescent="0.3">
      <c r="A17" s="54" t="s">
        <v>341</v>
      </c>
      <c r="B17" s="55" t="s">
        <v>360</v>
      </c>
      <c r="C17" s="55" t="s">
        <v>362</v>
      </c>
      <c r="D17" s="56">
        <v>35200</v>
      </c>
    </row>
    <row r="18" spans="1:4" x14ac:dyDescent="0.3">
      <c r="A18" s="51" t="s">
        <v>341</v>
      </c>
      <c r="B18" s="52" t="s">
        <v>363</v>
      </c>
      <c r="C18" s="52" t="s">
        <v>364</v>
      </c>
      <c r="D18" s="53">
        <v>96.8</v>
      </c>
    </row>
    <row r="19" spans="1:4" x14ac:dyDescent="0.3">
      <c r="A19" s="54" t="s">
        <v>341</v>
      </c>
      <c r="B19" s="55" t="s">
        <v>365</v>
      </c>
      <c r="C19" s="55" t="s">
        <v>366</v>
      </c>
      <c r="D19" s="56">
        <v>264</v>
      </c>
    </row>
    <row r="20" spans="1:4" x14ac:dyDescent="0.3">
      <c r="A20" s="51" t="s">
        <v>341</v>
      </c>
      <c r="B20" s="52" t="s">
        <v>367</v>
      </c>
      <c r="C20" s="52" t="s">
        <v>368</v>
      </c>
      <c r="D20" s="53">
        <v>528</v>
      </c>
    </row>
    <row r="21" spans="1:4" x14ac:dyDescent="0.3">
      <c r="A21" s="54" t="s">
        <v>341</v>
      </c>
      <c r="B21" s="55" t="s">
        <v>369</v>
      </c>
      <c r="C21" s="55" t="s">
        <v>370</v>
      </c>
      <c r="D21" s="56">
        <v>880</v>
      </c>
    </row>
    <row r="22" spans="1:4" x14ac:dyDescent="0.3">
      <c r="A22" s="51" t="s">
        <v>341</v>
      </c>
      <c r="B22" s="52" t="s">
        <v>369</v>
      </c>
      <c r="C22" s="52" t="s">
        <v>371</v>
      </c>
      <c r="D22" s="53">
        <v>880</v>
      </c>
    </row>
    <row r="23" spans="1:4" x14ac:dyDescent="0.3">
      <c r="A23" s="54" t="s">
        <v>341</v>
      </c>
      <c r="B23" s="55" t="s">
        <v>372</v>
      </c>
      <c r="C23" s="55" t="s">
        <v>373</v>
      </c>
      <c r="D23" s="56">
        <v>8756</v>
      </c>
    </row>
    <row r="24" spans="1:4" x14ac:dyDescent="0.3">
      <c r="A24" s="51" t="s">
        <v>341</v>
      </c>
      <c r="B24" s="52" t="s">
        <v>374</v>
      </c>
      <c r="C24" s="52" t="s">
        <v>375</v>
      </c>
      <c r="D24" s="53">
        <v>0.49</v>
      </c>
    </row>
    <row r="25" spans="1:4" x14ac:dyDescent="0.3">
      <c r="A25" s="54" t="s">
        <v>341</v>
      </c>
      <c r="B25" s="55" t="s">
        <v>376</v>
      </c>
      <c r="C25" s="55" t="s">
        <v>377</v>
      </c>
      <c r="D25" s="56">
        <v>14000</v>
      </c>
    </row>
    <row r="26" spans="1:4" x14ac:dyDescent="0.3">
      <c r="A26" s="51" t="s">
        <v>341</v>
      </c>
      <c r="B26" s="52" t="s">
        <v>330</v>
      </c>
      <c r="C26" s="52" t="s">
        <v>378</v>
      </c>
      <c r="D26" s="53">
        <v>41661.5</v>
      </c>
    </row>
    <row r="27" spans="1:4" x14ac:dyDescent="0.3">
      <c r="A27" s="54" t="s">
        <v>341</v>
      </c>
      <c r="B27" s="55" t="s">
        <v>332</v>
      </c>
      <c r="C27" s="55" t="s">
        <v>378</v>
      </c>
      <c r="D27" s="56">
        <v>41918.1</v>
      </c>
    </row>
    <row r="28" spans="1:4" x14ac:dyDescent="0.3">
      <c r="A28" s="51" t="s">
        <v>341</v>
      </c>
      <c r="B28" s="52" t="s">
        <v>333</v>
      </c>
      <c r="C28" s="52" t="s">
        <v>379</v>
      </c>
      <c r="D28" s="53">
        <v>100000</v>
      </c>
    </row>
    <row r="29" spans="1:4" x14ac:dyDescent="0.3">
      <c r="A29" s="54" t="s">
        <v>341</v>
      </c>
      <c r="B29" s="55" t="s">
        <v>335</v>
      </c>
      <c r="C29" s="55" t="s">
        <v>380</v>
      </c>
      <c r="D29" s="56">
        <v>36250</v>
      </c>
    </row>
    <row r="30" spans="1:4" x14ac:dyDescent="0.3">
      <c r="A30" s="51" t="s">
        <v>341</v>
      </c>
      <c r="B30" s="52" t="s">
        <v>381</v>
      </c>
      <c r="C30" s="52" t="s">
        <v>382</v>
      </c>
      <c r="D30" s="53">
        <v>10400</v>
      </c>
    </row>
    <row r="31" spans="1:4" ht="15" thickBot="1" x14ac:dyDescent="0.35">
      <c r="A31" s="54" t="s">
        <v>341</v>
      </c>
      <c r="B31" s="55" t="s">
        <v>383</v>
      </c>
      <c r="C31" s="55" t="s">
        <v>375</v>
      </c>
      <c r="D31" s="56">
        <v>345.66</v>
      </c>
    </row>
    <row r="32" spans="1:4" ht="15" thickTop="1" x14ac:dyDescent="0.3">
      <c r="A32" s="57" t="s">
        <v>2</v>
      </c>
      <c r="B32" s="58"/>
      <c r="C32" s="58"/>
      <c r="D32" s="59">
        <v>380840.73999999993</v>
      </c>
    </row>
    <row r="35" spans="3:4" x14ac:dyDescent="0.3">
      <c r="C35" s="70" t="s">
        <v>395</v>
      </c>
      <c r="D35" s="71">
        <f>D32+'ingresos investigación 2020'!B66+'Ingresos investigación 2019'!B81</f>
        <v>1662649.5999999996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2022-10-18T15:49:40Z</dcterms:modified>
</cp:coreProperties>
</file>