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ADBB6514-F026-4477-B553-B86BE17196ED}" xr6:coauthVersionLast="47" xr6:coauthVersionMax="47" xr10:uidLastSave="{00000000-0000-0000-0000-000000000000}"/>
  <bookViews>
    <workbookView xWindow="22932" yWindow="-108" windowWidth="23256" windowHeight="12456" tabRatio="805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2" r:id="rId4"/>
    <sheet name="ingresos investigación 2021" sheetId="13" r:id="rId5"/>
    <sheet name="Ingresos formación 2019" sheetId="10" r:id="rId6"/>
    <sheet name="Ingresos formación 2020" sheetId="11" r:id="rId7"/>
    <sheet name="ingresos formación 2021" sheetId="16" r:id="rId8"/>
  </sheets>
  <definedNames>
    <definedName name="_xlnm._FilterDatabase" localSheetId="1" hidden="1">Sexenios!$A$1:$S$17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6" l="1"/>
  <c r="S7" i="5" l="1"/>
  <c r="B8" i="12" l="1"/>
  <c r="B4" i="11"/>
  <c r="B4" i="10" l="1"/>
  <c r="D8" i="16" s="1"/>
  <c r="B11" i="9"/>
  <c r="D10" i="13" s="1"/>
</calcChain>
</file>

<file path=xl/sharedStrings.xml><?xml version="1.0" encoding="utf-8"?>
<sst xmlns="http://schemas.openxmlformats.org/spreadsheetml/2006/main" count="295" uniqueCount="138">
  <si>
    <t>Orgánica
Descripción justificante</t>
  </si>
  <si>
    <t>Importe</t>
  </si>
  <si>
    <t>Total</t>
  </si>
  <si>
    <t>31.20.6P.00.05</t>
  </si>
  <si>
    <t>31.20.6P.00.06</t>
  </si>
  <si>
    <t>31.20.6P.00.10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</si>
  <si>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</si>
  <si>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</si>
  <si>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</si>
  <si>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</si>
  <si>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</si>
  <si>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</si>
  <si>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</si>
  <si>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</si>
  <si>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</si>
  <si>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</si>
  <si>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</si>
  <si>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</si>
  <si>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</si>
  <si>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</si>
  <si>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</si>
  <si>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</si>
  <si>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</si>
  <si>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</si>
  <si>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</si>
  <si>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</si>
  <si>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</si>
  <si>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</si>
  <si>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</si>
  <si>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25/10/2016 </t>
  </si>
  <si>
    <t>B167 </t>
  </si>
  <si>
    <t>MATEMÁTICA APLICADA </t>
  </si>
  <si>
    <t>DOCTORADO EN MÉTODOS MATEMÁTICOS Y MODELIZACIÓN EN CIENCIAS E INGENIERÍA </t>
  </si>
  <si>
    <t>B186</t>
  </si>
  <si>
    <t>B186 </t>
  </si>
  <si>
    <t>MATEMÁTICAS </t>
  </si>
  <si>
    <t>Vidal Núñez, José </t>
  </si>
  <si>
    <t>ALGUNAS CONTRIBUCIONES A PROBLEMAS DE OPTIMACIÓN EN PROGRAMACIÓN MATEMÁTICA </t>
  </si>
  <si>
    <t>07539679A </t>
  </si>
  <si>
    <t>21615640X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</si>
  <si>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</si>
  <si>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</si>
  <si>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</si>
  <si>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</si>
  <si>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</si>
  <si>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</si>
  <si>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</si>
  <si>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</si>
  <si>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</si>
  <si>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</si>
  <si>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</si>
  <si>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</si>
  <si>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</si>
  <si>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</si>
  <si>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09346811W</t>
  </si>
  <si>
    <t>ALONSO GONZALEZ, CLEMENTA</t>
  </si>
  <si>
    <t>21413623W</t>
  </si>
  <si>
    <t>CLIMENT COLOMA, JOAN JOSEP</t>
  </si>
  <si>
    <t>07539679A</t>
  </si>
  <si>
    <t>FAJARDO GOMEZ, MARIA DOLORES</t>
  </si>
  <si>
    <t>22604086P</t>
  </si>
  <si>
    <t>GOBERNA TORRENT, MIGUEL ANGEL</t>
  </si>
  <si>
    <t>25408156X</t>
  </si>
  <si>
    <t>MOLINA VILA, MARIA DOLORES</t>
  </si>
  <si>
    <t>52772591B</t>
  </si>
  <si>
    <t>NUEDA ROLDAN, MARIA JOSE</t>
  </si>
  <si>
    <t>54795172H</t>
  </si>
  <si>
    <t>PAKHROU PAKHROU, TIJANI</t>
  </si>
  <si>
    <t>35556384V</t>
  </si>
  <si>
    <t>RODRIGUEZ ALVAREZ, MARGARITA</t>
  </si>
  <si>
    <t>70240121F</t>
  </si>
  <si>
    <t>SAN ANTOLIN GIL, ANGEL</t>
  </si>
  <si>
    <t>74229338N</t>
  </si>
  <si>
    <t>SEPULCRE MARTINEZ, JUAN MATIAS</t>
  </si>
  <si>
    <t>52784600Z</t>
  </si>
  <si>
    <t>SOLER ESCRIVA, XARO</t>
  </si>
  <si>
    <t>X3616324B</t>
  </si>
  <si>
    <t xml:space="preserve">SUBVENCIONES PARA LA REALIZACIÓN DE PROYECTOS DE I+D+I DESARROLLADOS POR GRUPOS DE INVESTIGACIÓN EMERGENTES GV/2017-3ªA. </t>
  </si>
  <si>
    <t xml:space="preserve">SUBVENCIONES PARA GRUPOS DE INVESTIGACIÓN CONSOLIDABLES AICO/2017-3ª ANUALIDAD </t>
  </si>
  <si>
    <t>31.20.6P.00.13</t>
  </si>
  <si>
    <t>PARA EL PAGO DE LA ANUALIDAD 2019. PROYECTOS I+D (PIA 1) N EXPEDIENTE: PIA 12018 - 1- 1 ANUALIDAD REFERENCIA : PGC2018 - 097960 - B- C22. REFERENCIA DEL ORDENANTE PARA EL BENEFICIARIO: 00173219310010755 - 2019/009210.</t>
  </si>
  <si>
    <t>PARA PAGO ANUALIDAD 2019 CONVOCATORIA PGC 2018 PROYECTOS I+D (PIA 1) N EXPEDIENTE: PIA 12018- 1- 1 ANUALIDAD REFERENCIA: PGC 2018- 097960 - B-C2. REFERENCIA DEL ORDENANTE PARA EL BENEFICIARIO: 27402219310025648.</t>
  </si>
  <si>
    <t>B177 </t>
  </si>
  <si>
    <t>PSICOLOGÍA EVOLUTIVA Y DIDÁCTICA </t>
  </si>
  <si>
    <t>DOCTORADO EN INVESTIGACIÓN EDUCATIVA </t>
  </si>
  <si>
    <t>Bataller Soler, David </t>
  </si>
  <si>
    <t>CONTRIBUCIÓN DEL CURRÍCULO DE EDUCACIÓN PLÁSTICA, VISUAL Y AUDIOVISUAL AL RENDIMIENTO ACADÉMICO EN MATEMÁTICAS </t>
  </si>
  <si>
    <t>04/12/2019 </t>
  </si>
  <si>
    <t>21382478E </t>
  </si>
  <si>
    <t>23037168T</t>
  </si>
  <si>
    <t>MULERO GONZALEZ, JULIO</t>
  </si>
  <si>
    <t>22136635D</t>
  </si>
  <si>
    <t>SEGURA ABAD, LORENA</t>
  </si>
  <si>
    <t>TROTTINI, MARIO</t>
  </si>
  <si>
    <t>05410769L</t>
  </si>
  <si>
    <t>NAPP AVELLI, DIEGO</t>
  </si>
  <si>
    <t>48463475Z</t>
  </si>
  <si>
    <t>VICENTE PEREZ, JOSE</t>
  </si>
  <si>
    <t>74220020D</t>
  </si>
  <si>
    <t>ARAGON ARTACHO, FRANCISCO JAVIER</t>
  </si>
  <si>
    <t>31.20.6C.00.01</t>
  </si>
  <si>
    <t>INFORME TÉCNICO SOBRE EL ANÁLISIS DE LA METODOLOGÍA EMPÍRICA OBSERVADA EN UNA ENCUESTA DE COMPARACIÓN DE PRODUCTOS Y DE LA VALIDEZ DE LAS CONCLUSIONES DERIVADAS DE LA ENCUESTA, EXPUESTAS EN INFORME PERICIAL.</t>
  </si>
  <si>
    <t>INGRESO AGENCIA ESTATAL INVESTIGACIÓN: PGC2018-097960-B-C22</t>
  </si>
  <si>
    <t>31.20.6P.00.15</t>
  </si>
  <si>
    <t>PAGO CONVOVATORIA PROYECTOS 2019 ANUALIDAD 2020 PROYECTOS I+D (PIA1) EXPEDIENTE PIA12019-1-1 ANUALIDAD REFERENCIA: PID2019-108668G</t>
  </si>
  <si>
    <t>31.20.2T.00.05</t>
  </si>
  <si>
    <t>Liquidación PLAN GE68 "Aspectos matemáticos de la teoría de autómatas"</t>
  </si>
  <si>
    <t>No existen ingresos de formación en 2019</t>
  </si>
  <si>
    <t>Unidad</t>
  </si>
  <si>
    <t>Cód. org. aplic.</t>
  </si>
  <si>
    <t>Descripción justificante</t>
  </si>
  <si>
    <t>31.20</t>
  </si>
  <si>
    <t>31.20.6C.00.02</t>
  </si>
  <si>
    <t>ASESORAMIENTO JURÍDICO PARA LA PREPARACIÓN Y DEFENSA EN SEDE JUDICIAL DEL "INFORME TÉCNICO SOBRE EL ANÁLISIS DE LA METODOLOGÍA EMPÍRICA OBSERVADA EN UNA ENCUESTA DE COMPARACIÓN DE PRODUCTOS"</t>
  </si>
  <si>
    <t xml:space="preserve">PGC2018-097960-B-C22 </t>
  </si>
  <si>
    <t>PID2019-108668GB-I00</t>
  </si>
  <si>
    <t>PLAN GE68- ASPECTOS MATEMÁTICOS DE LA TEORÍA DE AUTÓMATAS. CURSO 2020-2021.</t>
  </si>
  <si>
    <t>U022 </t>
  </si>
  <si>
    <t>ADM. FACULTAD DE CIENCIAS </t>
  </si>
  <si>
    <t>DOCTORADO EN CIENCIAS EXPERIMENTALES Y BIOSANITARIAS </t>
  </si>
  <si>
    <t>Navarro Pérez, Miguel Angel </t>
  </si>
  <si>
    <t>¿NEW INSIGHTS INTO THE STUDY OF FLAG CODES.¿ </t>
  </si>
  <si>
    <t>14/01/2022 </t>
  </si>
  <si>
    <t>52784600Z </t>
  </si>
  <si>
    <t>09346811W </t>
  </si>
  <si>
    <t>COD DEP</t>
  </si>
  <si>
    <t>23062416V</t>
  </si>
  <si>
    <t>MARTINEZ CERVANTES, GONZALO</t>
  </si>
  <si>
    <t>26501640M</t>
  </si>
  <si>
    <t>CASTRO INFANTES, ILDEFONSO</t>
  </si>
  <si>
    <t>48326906L</t>
  </si>
  <si>
    <t>REQUENA AREVALO, VERONICA</t>
  </si>
  <si>
    <t>52770701F</t>
  </si>
  <si>
    <t>NAVARRO CLIMENT, JOSE CARLOS</t>
  </si>
  <si>
    <t>X6060234X</t>
  </si>
  <si>
    <t>HANTOUTE, ABDERRAHIM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</si>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</sst>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Fill="1"/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11" fillId="6" borderId="3" xfId="0" applyNumberFormat="1" applyFont="1" applyFill="1" applyBorder="1"/>
    <xf numFmtId="0" fontId="11" fillId="6" borderId="4" xfId="0" applyNumberFormat="1" applyFont="1" applyFill="1" applyBorder="1"/>
    <xf numFmtId="0" fontId="11" fillId="6" borderId="5" xfId="0" applyFont="1" applyFill="1" applyBorder="1" applyAlignment="1">
      <alignment horizontal="right"/>
    </xf>
    <xf numFmtId="0" fontId="0" fillId="7" borderId="6" xfId="0" applyNumberFormat="1" applyFont="1" applyFill="1" applyBorder="1"/>
    <xf numFmtId="0" fontId="0" fillId="7" borderId="7" xfId="0" applyFont="1" applyFill="1" applyBorder="1"/>
    <xf numFmtId="4" fontId="0" fillId="7" borderId="8" xfId="0" applyNumberFormat="1" applyFont="1" applyFill="1" applyBorder="1"/>
    <xf numFmtId="0" fontId="0" fillId="8" borderId="6" xfId="0" applyNumberFormat="1" applyFont="1" applyFill="1" applyBorder="1"/>
    <xf numFmtId="0" fontId="0" fillId="8" borderId="7" xfId="0" applyFont="1" applyFill="1" applyBorder="1"/>
    <xf numFmtId="4" fontId="0" fillId="8" borderId="8" xfId="0" applyNumberFormat="1" applyFont="1" applyFill="1" applyBorder="1"/>
    <xf numFmtId="0" fontId="11" fillId="6" borderId="9" xfId="0" applyFont="1" applyFill="1" applyBorder="1"/>
    <xf numFmtId="0" fontId="11" fillId="6" borderId="10" xfId="0" applyFont="1" applyFill="1" applyBorder="1"/>
    <xf numFmtId="4" fontId="11" fillId="6" borderId="11" xfId="0" applyNumberFormat="1" applyFont="1" applyFill="1" applyBorder="1"/>
    <xf numFmtId="0" fontId="11" fillId="6" borderId="12" xfId="0" applyNumberFormat="1" applyFont="1" applyFill="1" applyBorder="1"/>
    <xf numFmtId="0" fontId="11" fillId="6" borderId="13" xfId="0" applyNumberFormat="1" applyFont="1" applyFill="1" applyBorder="1"/>
    <xf numFmtId="0" fontId="11" fillId="6" borderId="14" xfId="0" applyNumberFormat="1" applyFont="1" applyFill="1" applyBorder="1"/>
    <xf numFmtId="0" fontId="0" fillId="8" borderId="12" xfId="0" applyNumberFormat="1" applyFont="1" applyFill="1" applyBorder="1"/>
    <xf numFmtId="0" fontId="0" fillId="8" borderId="13" xfId="0" applyNumberFormat="1" applyFont="1" applyFill="1" applyBorder="1"/>
    <xf numFmtId="4" fontId="0" fillId="8" borderId="14" xfId="0" applyNumberFormat="1" applyFont="1" applyFill="1" applyBorder="1"/>
    <xf numFmtId="0" fontId="12" fillId="0" borderId="15" xfId="0" applyFont="1" applyBorder="1"/>
    <xf numFmtId="0" fontId="12" fillId="0" borderId="16" xfId="0" applyFont="1" applyBorder="1"/>
    <xf numFmtId="4" fontId="12" fillId="0" borderId="17" xfId="0" applyNumberFormat="1" applyFont="1" applyBorder="1"/>
    <xf numFmtId="0" fontId="3" fillId="4" borderId="0" xfId="1" applyFill="1"/>
    <xf numFmtId="165" fontId="3" fillId="4" borderId="2" xfId="1" applyNumberFormat="1" applyFill="1" applyBorder="1"/>
    <xf numFmtId="0" fontId="3" fillId="0" borderId="1" xfId="1" applyBorder="1"/>
    <xf numFmtId="0" fontId="3" fillId="9" borderId="18" xfId="1" applyFont="1" applyFill="1" applyBorder="1" applyAlignment="1"/>
    <xf numFmtId="0" fontId="3" fillId="9" borderId="18" xfId="1" applyFont="1" applyFill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9" borderId="18" xfId="5" applyFont="1" applyFill="1" applyBorder="1"/>
    <xf numFmtId="0" fontId="10" fillId="9" borderId="18" xfId="5" applyFont="1" applyFill="1" applyBorder="1" applyAlignment="1">
      <alignment horizontal="right"/>
    </xf>
    <xf numFmtId="0" fontId="13" fillId="10" borderId="1" xfId="0" applyFont="1" applyFill="1" applyBorder="1" applyAlignment="1">
      <alignment horizontal="right"/>
    </xf>
    <xf numFmtId="4" fontId="0" fillId="9" borderId="1" xfId="0" applyNumberFormat="1" applyFill="1" applyBorder="1"/>
    <xf numFmtId="164" fontId="4" fillId="9" borderId="18" xfId="1" applyNumberFormat="1" applyFont="1" applyFill="1" applyBorder="1" applyAlignment="1"/>
    <xf numFmtId="0" fontId="14" fillId="9" borderId="18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"/>
  <sheetViews>
    <sheetView showGridLines="0" tabSelected="1" zoomScale="120" zoomScaleNormal="120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4.664062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s="52" customFormat="1" x14ac:dyDescent="0.2">
      <c r="A2" s="23" t="s">
        <v>30</v>
      </c>
      <c r="B2" s="23" t="s">
        <v>31</v>
      </c>
      <c r="C2" s="23" t="s">
        <v>32</v>
      </c>
      <c r="D2" s="23" t="s">
        <v>36</v>
      </c>
      <c r="E2" s="23" t="s">
        <v>37</v>
      </c>
      <c r="F2" s="23" t="s">
        <v>29</v>
      </c>
      <c r="G2" s="23" t="s">
        <v>38</v>
      </c>
      <c r="H2" s="23" t="s">
        <v>27</v>
      </c>
      <c r="I2" s="23" t="s">
        <v>34</v>
      </c>
      <c r="J2" s="23" t="s">
        <v>35</v>
      </c>
      <c r="K2" s="26">
        <v>0.5</v>
      </c>
      <c r="L2" s="23" t="s">
        <v>33</v>
      </c>
      <c r="M2" s="23">
        <v>2016</v>
      </c>
      <c r="N2" s="23" t="s">
        <v>28</v>
      </c>
      <c r="O2" s="24" t="s">
        <v>28</v>
      </c>
      <c r="P2" s="23" t="s">
        <v>28</v>
      </c>
      <c r="Q2" s="24" t="s">
        <v>28</v>
      </c>
      <c r="R2" s="25">
        <v>100</v>
      </c>
      <c r="S2" s="26">
        <v>0.5</v>
      </c>
      <c r="T2" s="26">
        <v>0</v>
      </c>
      <c r="U2" s="26">
        <v>0</v>
      </c>
    </row>
    <row r="3" spans="1:21" s="52" customFormat="1" x14ac:dyDescent="0.2">
      <c r="A3" s="23" t="s">
        <v>30</v>
      </c>
      <c r="B3" s="23" t="s">
        <v>31</v>
      </c>
      <c r="C3" s="23" t="s">
        <v>32</v>
      </c>
      <c r="D3" s="23" t="s">
        <v>36</v>
      </c>
      <c r="E3" s="23" t="s">
        <v>37</v>
      </c>
      <c r="F3" s="23" t="s">
        <v>29</v>
      </c>
      <c r="G3" s="23" t="s">
        <v>39</v>
      </c>
      <c r="H3" s="23" t="s">
        <v>27</v>
      </c>
      <c r="I3" s="23" t="s">
        <v>34</v>
      </c>
      <c r="J3" s="23" t="s">
        <v>35</v>
      </c>
      <c r="K3" s="26">
        <v>0.5</v>
      </c>
      <c r="L3" s="23" t="s">
        <v>33</v>
      </c>
      <c r="M3" s="23">
        <v>2016</v>
      </c>
      <c r="N3" s="23" t="s">
        <v>28</v>
      </c>
      <c r="O3" s="24" t="s">
        <v>28</v>
      </c>
      <c r="P3" s="23" t="s">
        <v>28</v>
      </c>
      <c r="Q3" s="24" t="s">
        <v>28</v>
      </c>
      <c r="R3" s="25">
        <v>100</v>
      </c>
      <c r="S3" s="26">
        <v>0.5</v>
      </c>
      <c r="T3" s="26">
        <v>0</v>
      </c>
      <c r="U3" s="26">
        <v>0</v>
      </c>
    </row>
    <row r="4" spans="1:21" s="52" customFormat="1" x14ac:dyDescent="0.2">
      <c r="A4" s="27" t="s">
        <v>82</v>
      </c>
      <c r="B4" s="27" t="s">
        <v>83</v>
      </c>
      <c r="C4" s="27" t="s">
        <v>84</v>
      </c>
      <c r="D4" s="27" t="s">
        <v>85</v>
      </c>
      <c r="E4" s="27" t="s">
        <v>86</v>
      </c>
      <c r="F4" s="27" t="s">
        <v>87</v>
      </c>
      <c r="G4" s="27" t="s">
        <v>88</v>
      </c>
      <c r="H4" s="27" t="s">
        <v>27</v>
      </c>
      <c r="I4" s="27" t="s">
        <v>34</v>
      </c>
      <c r="J4" s="27" t="s">
        <v>35</v>
      </c>
      <c r="K4" s="53">
        <v>0.5</v>
      </c>
      <c r="L4" s="27" t="s">
        <v>33</v>
      </c>
      <c r="M4" s="27">
        <v>2019</v>
      </c>
      <c r="N4" s="27" t="s">
        <v>28</v>
      </c>
      <c r="O4" s="28" t="s">
        <v>28</v>
      </c>
      <c r="P4" s="27" t="s">
        <v>28</v>
      </c>
      <c r="Q4" s="28" t="s">
        <v>28</v>
      </c>
      <c r="R4" s="29">
        <v>100</v>
      </c>
      <c r="S4" s="30">
        <v>0.5</v>
      </c>
      <c r="T4" s="30">
        <v>0</v>
      </c>
      <c r="U4" s="30">
        <v>0</v>
      </c>
    </row>
    <row r="5" spans="1:21" s="52" customFormat="1" x14ac:dyDescent="0.2">
      <c r="A5" s="23" t="s">
        <v>117</v>
      </c>
      <c r="B5" s="23" t="s">
        <v>118</v>
      </c>
      <c r="C5" s="23" t="s">
        <v>119</v>
      </c>
      <c r="D5" s="23" t="s">
        <v>120</v>
      </c>
      <c r="E5" s="23" t="s">
        <v>121</v>
      </c>
      <c r="F5" s="23" t="s">
        <v>122</v>
      </c>
      <c r="G5" s="23" t="s">
        <v>123</v>
      </c>
      <c r="H5" s="23" t="s">
        <v>27</v>
      </c>
      <c r="I5" s="23" t="s">
        <v>34</v>
      </c>
      <c r="J5" s="23" t="s">
        <v>35</v>
      </c>
      <c r="K5" s="54">
        <v>0.5</v>
      </c>
      <c r="L5" s="54" t="s">
        <v>33</v>
      </c>
      <c r="M5" s="23">
        <v>2021</v>
      </c>
      <c r="N5" s="23" t="s">
        <v>28</v>
      </c>
      <c r="O5" s="24" t="s">
        <v>28</v>
      </c>
      <c r="P5" s="23" t="s">
        <v>28</v>
      </c>
      <c r="Q5" s="24" t="s">
        <v>28</v>
      </c>
      <c r="R5" s="23">
        <v>100</v>
      </c>
      <c r="S5" s="23">
        <v>0.5</v>
      </c>
      <c r="T5" s="23">
        <v>0</v>
      </c>
      <c r="U5" s="23">
        <v>0</v>
      </c>
    </row>
    <row r="6" spans="1:21" s="52" customFormat="1" x14ac:dyDescent="0.2">
      <c r="A6" s="23" t="s">
        <v>117</v>
      </c>
      <c r="B6" s="23" t="s">
        <v>118</v>
      </c>
      <c r="C6" s="23" t="s">
        <v>119</v>
      </c>
      <c r="D6" s="23" t="s">
        <v>120</v>
      </c>
      <c r="E6" s="23" t="s">
        <v>121</v>
      </c>
      <c r="F6" s="23" t="s">
        <v>122</v>
      </c>
      <c r="G6" s="23" t="s">
        <v>124</v>
      </c>
      <c r="H6" s="23" t="s">
        <v>27</v>
      </c>
      <c r="I6" s="23" t="s">
        <v>34</v>
      </c>
      <c r="J6" s="23" t="s">
        <v>35</v>
      </c>
      <c r="K6" s="54">
        <v>0.5</v>
      </c>
      <c r="L6" s="54" t="s">
        <v>33</v>
      </c>
      <c r="M6" s="23">
        <v>2021</v>
      </c>
      <c r="N6" s="23" t="s">
        <v>28</v>
      </c>
      <c r="O6" s="24" t="s">
        <v>28</v>
      </c>
      <c r="P6" s="23" t="s">
        <v>28</v>
      </c>
      <c r="Q6" s="24" t="s">
        <v>28</v>
      </c>
      <c r="R6" s="23">
        <v>100</v>
      </c>
      <c r="S6" s="23">
        <v>0.5</v>
      </c>
      <c r="T6" s="23">
        <v>0</v>
      </c>
      <c r="U6" s="23">
        <v>0</v>
      </c>
    </row>
    <row r="7" spans="1:21" x14ac:dyDescent="0.2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6"/>
      <c r="P7" s="55"/>
      <c r="Q7" s="56"/>
      <c r="R7" s="55"/>
      <c r="S7" s="67">
        <f>SUM(S2:S6)</f>
        <v>2.5</v>
      </c>
      <c r="T7" s="55"/>
      <c r="U7" s="55"/>
    </row>
  </sheetData>
  <autoFilter ref="A1:U1" xr:uid="{00000000-0009-0000-0000-000000000000}">
    <sortState xmlns:xlrd2="http://schemas.microsoft.com/office/spreadsheetml/2017/richdata2" ref="A2:T1905">
      <sortCondition ref="K2:K1905"/>
      <sortCondition ref="L2:L1905"/>
      <sortCondition ref="D2:D190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4"/>
  <sheetViews>
    <sheetView zoomScaleNormal="100" workbookViewId="0">
      <selection activeCell="S24" sqref="S24"/>
    </sheetView>
  </sheetViews>
  <sheetFormatPr baseColWidth="10" defaultColWidth="11.44140625" defaultRowHeight="13.2" x14ac:dyDescent="0.25"/>
  <cols>
    <col min="1" max="1" width="10.88671875" style="18" bestFit="1" customWidth="1"/>
    <col min="2" max="2" width="3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20" bestFit="1" customWidth="1"/>
    <col min="15" max="15" width="5.6640625" style="18" bestFit="1" customWidth="1"/>
    <col min="16" max="16" width="5.6640625" style="20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57" t="s">
        <v>40</v>
      </c>
      <c r="B1" s="57" t="s">
        <v>41</v>
      </c>
      <c r="C1" s="57" t="s">
        <v>42</v>
      </c>
      <c r="D1" s="58">
        <v>2017</v>
      </c>
      <c r="E1" s="58">
        <v>2018</v>
      </c>
      <c r="F1" s="58">
        <v>2019</v>
      </c>
      <c r="G1" s="58">
        <v>2020</v>
      </c>
      <c r="H1" s="58">
        <v>2021</v>
      </c>
      <c r="I1" s="58">
        <v>2022</v>
      </c>
      <c r="J1" s="57" t="s">
        <v>43</v>
      </c>
      <c r="K1" s="59" t="s">
        <v>125</v>
      </c>
      <c r="L1" s="15" t="s">
        <v>44</v>
      </c>
      <c r="M1" s="15" t="s">
        <v>45</v>
      </c>
      <c r="N1" s="15" t="s">
        <v>46</v>
      </c>
      <c r="O1" s="15" t="s">
        <v>47</v>
      </c>
      <c r="P1" s="16" t="s">
        <v>48</v>
      </c>
      <c r="Q1" s="16" t="s">
        <v>49</v>
      </c>
      <c r="R1" s="16" t="s">
        <v>50</v>
      </c>
      <c r="S1" s="16" t="s">
        <v>51</v>
      </c>
    </row>
    <row r="2" spans="1:19" ht="14.4" x14ac:dyDescent="0.3">
      <c r="A2" s="60" t="s">
        <v>94</v>
      </c>
      <c r="B2" s="60" t="s">
        <v>95</v>
      </c>
      <c r="C2" s="60" t="s">
        <v>52</v>
      </c>
      <c r="D2" s="60"/>
      <c r="E2" s="60"/>
      <c r="F2" s="60"/>
      <c r="G2" s="60"/>
      <c r="H2" s="60">
        <v>2</v>
      </c>
      <c r="I2" s="60"/>
      <c r="J2" s="60">
        <v>2</v>
      </c>
      <c r="K2" s="60" t="s">
        <v>33</v>
      </c>
      <c r="L2" s="61">
        <v>0</v>
      </c>
      <c r="M2" s="61">
        <v>0</v>
      </c>
      <c r="N2" s="61" t="s">
        <v>28</v>
      </c>
      <c r="O2" s="61" t="s">
        <v>28</v>
      </c>
      <c r="P2" s="61">
        <v>100</v>
      </c>
      <c r="Q2" s="61">
        <v>0</v>
      </c>
      <c r="R2" s="61">
        <v>0</v>
      </c>
      <c r="S2" s="61">
        <v>2</v>
      </c>
    </row>
    <row r="3" spans="1:19" ht="14.4" x14ac:dyDescent="0.3">
      <c r="A3" s="60" t="s">
        <v>58</v>
      </c>
      <c r="B3" s="60" t="s">
        <v>59</v>
      </c>
      <c r="C3" s="60" t="s">
        <v>52</v>
      </c>
      <c r="D3" s="60"/>
      <c r="E3" s="60"/>
      <c r="F3" s="60">
        <v>1</v>
      </c>
      <c r="G3" s="60"/>
      <c r="H3" s="60"/>
      <c r="I3" s="60"/>
      <c r="J3" s="60">
        <v>1</v>
      </c>
      <c r="K3" s="60" t="s">
        <v>33</v>
      </c>
      <c r="L3" s="61">
        <v>0</v>
      </c>
      <c r="M3" s="61">
        <v>0</v>
      </c>
      <c r="N3" s="61" t="s">
        <v>28</v>
      </c>
      <c r="O3" s="61" t="s">
        <v>28</v>
      </c>
      <c r="P3" s="61">
        <v>100</v>
      </c>
      <c r="Q3" s="61">
        <v>0</v>
      </c>
      <c r="R3" s="61">
        <v>0</v>
      </c>
      <c r="S3" s="61">
        <v>1</v>
      </c>
    </row>
    <row r="4" spans="1:19" ht="14.4" x14ac:dyDescent="0.3">
      <c r="A4" s="60" t="s">
        <v>54</v>
      </c>
      <c r="B4" s="60" t="s">
        <v>55</v>
      </c>
      <c r="C4" s="60" t="s">
        <v>52</v>
      </c>
      <c r="D4" s="60"/>
      <c r="E4" s="60"/>
      <c r="F4" s="60"/>
      <c r="G4" s="60"/>
      <c r="H4" s="60"/>
      <c r="I4" s="60">
        <v>1</v>
      </c>
      <c r="J4" s="60">
        <v>1</v>
      </c>
      <c r="K4" s="60" t="s">
        <v>33</v>
      </c>
      <c r="L4" s="61">
        <v>0</v>
      </c>
      <c r="M4" s="61">
        <v>0</v>
      </c>
      <c r="N4" s="61" t="s">
        <v>28</v>
      </c>
      <c r="O4" s="61" t="s">
        <v>28</v>
      </c>
      <c r="P4" s="61">
        <v>100</v>
      </c>
      <c r="Q4" s="61">
        <v>0</v>
      </c>
      <c r="R4" s="61">
        <v>0</v>
      </c>
      <c r="S4" s="61">
        <v>1</v>
      </c>
    </row>
    <row r="5" spans="1:19" ht="14.4" x14ac:dyDescent="0.3">
      <c r="A5" s="60" t="s">
        <v>56</v>
      </c>
      <c r="B5" s="60" t="s">
        <v>57</v>
      </c>
      <c r="C5" s="60" t="s">
        <v>52</v>
      </c>
      <c r="D5" s="60"/>
      <c r="E5" s="60">
        <v>1</v>
      </c>
      <c r="F5" s="60"/>
      <c r="G5" s="60"/>
      <c r="H5" s="60"/>
      <c r="I5" s="60"/>
      <c r="J5" s="60">
        <v>1</v>
      </c>
      <c r="K5" s="60" t="s">
        <v>33</v>
      </c>
      <c r="L5" s="61">
        <v>0</v>
      </c>
      <c r="M5" s="61">
        <v>0</v>
      </c>
      <c r="N5" s="61" t="s">
        <v>28</v>
      </c>
      <c r="O5" s="61" t="s">
        <v>28</v>
      </c>
      <c r="P5" s="61">
        <v>100</v>
      </c>
      <c r="Q5" s="61">
        <v>0</v>
      </c>
      <c r="R5" s="61">
        <v>0</v>
      </c>
      <c r="S5" s="61">
        <v>1</v>
      </c>
    </row>
    <row r="6" spans="1:19" ht="14.4" x14ac:dyDescent="0.3">
      <c r="A6" s="60" t="s">
        <v>91</v>
      </c>
      <c r="B6" s="60" t="s">
        <v>92</v>
      </c>
      <c r="C6" s="60" t="s">
        <v>52</v>
      </c>
      <c r="D6" s="60"/>
      <c r="E6" s="60"/>
      <c r="F6" s="60"/>
      <c r="G6" s="60">
        <v>1</v>
      </c>
      <c r="H6" s="60"/>
      <c r="I6" s="60"/>
      <c r="J6" s="60">
        <v>1</v>
      </c>
      <c r="K6" s="60" t="s">
        <v>33</v>
      </c>
      <c r="L6" s="61">
        <v>0</v>
      </c>
      <c r="M6" s="61">
        <v>0</v>
      </c>
      <c r="N6" s="61" t="s">
        <v>28</v>
      </c>
      <c r="O6" s="61" t="s">
        <v>28</v>
      </c>
      <c r="P6" s="61">
        <v>100</v>
      </c>
      <c r="Q6" s="61">
        <v>0</v>
      </c>
      <c r="R6" s="61">
        <v>0</v>
      </c>
      <c r="S6" s="61">
        <v>1</v>
      </c>
    </row>
    <row r="7" spans="1:19" ht="14.4" x14ac:dyDescent="0.3">
      <c r="A7" s="21" t="s">
        <v>60</v>
      </c>
      <c r="B7" s="21" t="s">
        <v>61</v>
      </c>
      <c r="C7" s="22" t="s">
        <v>52</v>
      </c>
      <c r="D7" s="21"/>
      <c r="E7" s="21">
        <v>1</v>
      </c>
      <c r="F7" s="21"/>
      <c r="G7" s="21"/>
      <c r="H7" s="21"/>
      <c r="I7" s="21"/>
      <c r="J7" s="60">
        <v>1</v>
      </c>
      <c r="K7" s="60" t="s">
        <v>33</v>
      </c>
      <c r="L7" s="61">
        <v>0</v>
      </c>
      <c r="M7" s="61">
        <v>0</v>
      </c>
      <c r="N7" s="61" t="s">
        <v>28</v>
      </c>
      <c r="O7" s="61" t="s">
        <v>28</v>
      </c>
      <c r="P7" s="61">
        <v>100</v>
      </c>
      <c r="Q7" s="61">
        <v>0</v>
      </c>
      <c r="R7" s="61">
        <v>0</v>
      </c>
      <c r="S7" s="61">
        <v>1</v>
      </c>
    </row>
    <row r="8" spans="1:19" ht="14.4" x14ac:dyDescent="0.3">
      <c r="A8" s="60" t="s">
        <v>89</v>
      </c>
      <c r="B8" s="60" t="s">
        <v>90</v>
      </c>
      <c r="C8" s="60" t="s">
        <v>53</v>
      </c>
      <c r="D8" s="60"/>
      <c r="E8" s="60"/>
      <c r="F8" s="60"/>
      <c r="G8" s="60">
        <v>1</v>
      </c>
      <c r="H8" s="60"/>
      <c r="I8" s="60"/>
      <c r="J8" s="60">
        <v>1</v>
      </c>
      <c r="K8" s="60" t="s">
        <v>33</v>
      </c>
      <c r="L8" s="61">
        <v>0</v>
      </c>
      <c r="M8" s="61">
        <v>0</v>
      </c>
      <c r="N8" s="61" t="s">
        <v>28</v>
      </c>
      <c r="O8" s="61" t="s">
        <v>28</v>
      </c>
      <c r="P8" s="61">
        <v>100</v>
      </c>
      <c r="Q8" s="61">
        <v>0</v>
      </c>
      <c r="R8" s="61">
        <v>0</v>
      </c>
      <c r="S8" s="61">
        <v>1</v>
      </c>
    </row>
    <row r="9" spans="1:19" ht="14.4" x14ac:dyDescent="0.3">
      <c r="A9" s="60" t="s">
        <v>126</v>
      </c>
      <c r="B9" s="60" t="s">
        <v>127</v>
      </c>
      <c r="C9" s="60" t="s">
        <v>53</v>
      </c>
      <c r="D9" s="60"/>
      <c r="E9" s="60"/>
      <c r="F9" s="60"/>
      <c r="G9" s="60"/>
      <c r="H9" s="60"/>
      <c r="I9" s="60">
        <v>1</v>
      </c>
      <c r="J9" s="60">
        <v>1</v>
      </c>
      <c r="K9" s="60" t="s">
        <v>33</v>
      </c>
      <c r="L9" s="61">
        <v>0</v>
      </c>
      <c r="M9" s="61">
        <v>0</v>
      </c>
      <c r="N9" s="61" t="s">
        <v>28</v>
      </c>
      <c r="O9" s="61" t="s">
        <v>28</v>
      </c>
      <c r="P9" s="61">
        <v>100</v>
      </c>
      <c r="Q9" s="61">
        <v>0</v>
      </c>
      <c r="R9" s="61">
        <v>0</v>
      </c>
      <c r="S9" s="61">
        <v>1</v>
      </c>
    </row>
    <row r="10" spans="1:19" ht="14.4" x14ac:dyDescent="0.3">
      <c r="A10" s="60" t="s">
        <v>62</v>
      </c>
      <c r="B10" s="60" t="s">
        <v>63</v>
      </c>
      <c r="C10" s="60" t="s">
        <v>52</v>
      </c>
      <c r="D10" s="60"/>
      <c r="E10" s="60"/>
      <c r="F10" s="60">
        <v>1</v>
      </c>
      <c r="G10" s="60"/>
      <c r="H10" s="60"/>
      <c r="I10" s="60"/>
      <c r="J10" s="60">
        <v>1</v>
      </c>
      <c r="K10" s="60" t="s">
        <v>33</v>
      </c>
      <c r="L10" s="61">
        <v>0</v>
      </c>
      <c r="M10" s="61">
        <v>0</v>
      </c>
      <c r="N10" s="61" t="s">
        <v>28</v>
      </c>
      <c r="O10" s="61" t="s">
        <v>28</v>
      </c>
      <c r="P10" s="61">
        <v>100</v>
      </c>
      <c r="Q10" s="61">
        <v>0</v>
      </c>
      <c r="R10" s="61">
        <v>0</v>
      </c>
      <c r="S10" s="61">
        <v>1</v>
      </c>
    </row>
    <row r="11" spans="1:19" ht="14.4" x14ac:dyDescent="0.3">
      <c r="A11" s="60" t="s">
        <v>128</v>
      </c>
      <c r="B11" s="60" t="s">
        <v>129</v>
      </c>
      <c r="C11" s="60" t="s">
        <v>53</v>
      </c>
      <c r="D11" s="60"/>
      <c r="E11" s="60"/>
      <c r="F11" s="60"/>
      <c r="G11" s="60"/>
      <c r="H11" s="60"/>
      <c r="I11" s="60">
        <v>1</v>
      </c>
      <c r="J11" s="60">
        <v>1</v>
      </c>
      <c r="K11" s="60" t="s">
        <v>33</v>
      </c>
      <c r="L11" s="61">
        <v>0</v>
      </c>
      <c r="M11" s="61">
        <v>0</v>
      </c>
      <c r="N11" s="61" t="s">
        <v>28</v>
      </c>
      <c r="O11" s="61" t="s">
        <v>28</v>
      </c>
      <c r="P11" s="61">
        <v>100</v>
      </c>
      <c r="Q11" s="61">
        <v>0</v>
      </c>
      <c r="R11" s="61">
        <v>0</v>
      </c>
      <c r="S11" s="61">
        <v>1</v>
      </c>
    </row>
    <row r="12" spans="1:19" ht="14.4" x14ac:dyDescent="0.3">
      <c r="A12" s="60" t="s">
        <v>68</v>
      </c>
      <c r="B12" s="60" t="s">
        <v>69</v>
      </c>
      <c r="C12" s="60" t="s">
        <v>52</v>
      </c>
      <c r="D12" s="60"/>
      <c r="E12" s="60">
        <v>1</v>
      </c>
      <c r="F12" s="60"/>
      <c r="G12" s="60"/>
      <c r="H12" s="60"/>
      <c r="I12" s="60"/>
      <c r="J12" s="60">
        <v>1</v>
      </c>
      <c r="K12" s="60" t="s">
        <v>33</v>
      </c>
      <c r="L12" s="61">
        <v>0</v>
      </c>
      <c r="M12" s="61">
        <v>0</v>
      </c>
      <c r="N12" s="61" t="s">
        <v>28</v>
      </c>
      <c r="O12" s="61" t="s">
        <v>28</v>
      </c>
      <c r="P12" s="61">
        <v>100</v>
      </c>
      <c r="Q12" s="61">
        <v>0</v>
      </c>
      <c r="R12" s="61">
        <v>0</v>
      </c>
      <c r="S12" s="61">
        <v>1</v>
      </c>
    </row>
    <row r="13" spans="1:19" ht="14.4" x14ac:dyDescent="0.3">
      <c r="A13" s="60" t="s">
        <v>130</v>
      </c>
      <c r="B13" s="60" t="s">
        <v>131</v>
      </c>
      <c r="C13" s="60" t="s">
        <v>53</v>
      </c>
      <c r="D13" s="60"/>
      <c r="E13" s="60"/>
      <c r="F13" s="60"/>
      <c r="G13" s="60"/>
      <c r="H13" s="60"/>
      <c r="I13" s="60">
        <v>1</v>
      </c>
      <c r="J13" s="60">
        <v>1</v>
      </c>
      <c r="K13" s="60" t="s">
        <v>33</v>
      </c>
      <c r="L13" s="61">
        <v>0</v>
      </c>
      <c r="M13" s="61">
        <v>0</v>
      </c>
      <c r="N13" s="61" t="s">
        <v>28</v>
      </c>
      <c r="O13" s="61" t="s">
        <v>28</v>
      </c>
      <c r="P13" s="61">
        <v>100</v>
      </c>
      <c r="Q13" s="61">
        <v>0</v>
      </c>
      <c r="R13" s="61">
        <v>0</v>
      </c>
      <c r="S13" s="61">
        <v>1</v>
      </c>
    </row>
    <row r="14" spans="1:19" ht="14.4" x14ac:dyDescent="0.3">
      <c r="A14" s="60" t="s">
        <v>96</v>
      </c>
      <c r="B14" s="60" t="s">
        <v>97</v>
      </c>
      <c r="C14" s="60" t="s">
        <v>52</v>
      </c>
      <c r="D14" s="60"/>
      <c r="E14" s="60"/>
      <c r="F14" s="60"/>
      <c r="G14" s="60"/>
      <c r="H14" s="60">
        <v>1</v>
      </c>
      <c r="I14" s="60">
        <v>1</v>
      </c>
      <c r="J14" s="60">
        <v>2</v>
      </c>
      <c r="K14" s="60" t="s">
        <v>33</v>
      </c>
      <c r="L14" s="61">
        <v>0</v>
      </c>
      <c r="M14" s="61">
        <v>0</v>
      </c>
      <c r="N14" s="61" t="s">
        <v>28</v>
      </c>
      <c r="O14" s="61" t="s">
        <v>28</v>
      </c>
      <c r="P14" s="61">
        <v>100</v>
      </c>
      <c r="Q14" s="61">
        <v>0</v>
      </c>
      <c r="R14" s="61">
        <v>0</v>
      </c>
      <c r="S14" s="61">
        <v>2</v>
      </c>
    </row>
    <row r="15" spans="1:19" ht="14.4" x14ac:dyDescent="0.3">
      <c r="A15" s="60" t="s">
        <v>132</v>
      </c>
      <c r="B15" s="60" t="s">
        <v>133</v>
      </c>
      <c r="C15" s="60" t="s">
        <v>52</v>
      </c>
      <c r="D15" s="60"/>
      <c r="E15" s="60"/>
      <c r="F15" s="60"/>
      <c r="G15" s="60"/>
      <c r="H15" s="60"/>
      <c r="I15" s="60">
        <v>1</v>
      </c>
      <c r="J15" s="60">
        <v>1</v>
      </c>
      <c r="K15" s="60" t="s">
        <v>33</v>
      </c>
      <c r="L15" s="61">
        <v>0</v>
      </c>
      <c r="M15" s="61">
        <v>0</v>
      </c>
      <c r="N15" s="61" t="s">
        <v>28</v>
      </c>
      <c r="O15" s="61" t="s">
        <v>28</v>
      </c>
      <c r="P15" s="61">
        <v>100</v>
      </c>
      <c r="Q15" s="61">
        <v>0</v>
      </c>
      <c r="R15" s="61">
        <v>0</v>
      </c>
      <c r="S15" s="61">
        <v>1</v>
      </c>
    </row>
    <row r="16" spans="1:19" ht="14.4" x14ac:dyDescent="0.3">
      <c r="A16" s="60" t="s">
        <v>64</v>
      </c>
      <c r="B16" s="60" t="s">
        <v>65</v>
      </c>
      <c r="C16" s="60" t="s">
        <v>52</v>
      </c>
      <c r="D16" s="60">
        <v>1</v>
      </c>
      <c r="E16" s="60"/>
      <c r="F16" s="60"/>
      <c r="G16" s="60"/>
      <c r="H16" s="60"/>
      <c r="I16" s="60"/>
      <c r="J16" s="60">
        <v>1</v>
      </c>
      <c r="K16" s="60" t="s">
        <v>33</v>
      </c>
      <c r="L16" s="61">
        <v>0</v>
      </c>
      <c r="M16" s="61">
        <v>0</v>
      </c>
      <c r="N16" s="61" t="s">
        <v>28</v>
      </c>
      <c r="O16" s="61" t="s">
        <v>28</v>
      </c>
      <c r="P16" s="61">
        <v>100</v>
      </c>
      <c r="Q16" s="61">
        <v>0</v>
      </c>
      <c r="R16" s="61">
        <v>0</v>
      </c>
      <c r="S16" s="61">
        <v>1</v>
      </c>
    </row>
    <row r="17" spans="1:19" ht="14.4" x14ac:dyDescent="0.3">
      <c r="A17" s="60" t="s">
        <v>74</v>
      </c>
      <c r="B17" s="60" t="s">
        <v>75</v>
      </c>
      <c r="C17" s="60" t="s">
        <v>52</v>
      </c>
      <c r="D17" s="60"/>
      <c r="E17" s="60"/>
      <c r="F17" s="60"/>
      <c r="G17" s="60"/>
      <c r="H17" s="60"/>
      <c r="I17" s="60">
        <v>1</v>
      </c>
      <c r="J17" s="60">
        <v>1</v>
      </c>
      <c r="K17" s="60" t="s">
        <v>33</v>
      </c>
      <c r="L17" s="61">
        <v>0</v>
      </c>
      <c r="M17" s="61">
        <v>0</v>
      </c>
      <c r="N17" s="61" t="s">
        <v>28</v>
      </c>
      <c r="O17" s="61" t="s">
        <v>28</v>
      </c>
      <c r="P17" s="61">
        <v>100</v>
      </c>
      <c r="Q17" s="61">
        <v>0</v>
      </c>
      <c r="R17" s="61">
        <v>0</v>
      </c>
      <c r="S17" s="61">
        <v>1</v>
      </c>
    </row>
    <row r="18" spans="1:19" s="19" customFormat="1" ht="14.4" x14ac:dyDescent="0.3">
      <c r="A18" s="60" t="s">
        <v>66</v>
      </c>
      <c r="B18" s="60" t="s">
        <v>67</v>
      </c>
      <c r="C18" s="60" t="s">
        <v>53</v>
      </c>
      <c r="D18" s="60"/>
      <c r="E18" s="60">
        <v>1</v>
      </c>
      <c r="F18" s="60"/>
      <c r="G18" s="60"/>
      <c r="H18" s="60"/>
      <c r="I18" s="60"/>
      <c r="J18" s="60">
        <v>1</v>
      </c>
      <c r="K18" s="60" t="s">
        <v>33</v>
      </c>
      <c r="L18" s="61">
        <v>0</v>
      </c>
      <c r="M18" s="61">
        <v>0</v>
      </c>
      <c r="N18" s="61" t="s">
        <v>28</v>
      </c>
      <c r="O18" s="61" t="s">
        <v>28</v>
      </c>
      <c r="P18" s="61">
        <v>100</v>
      </c>
      <c r="Q18" s="61">
        <v>0</v>
      </c>
      <c r="R18" s="61">
        <v>0</v>
      </c>
      <c r="S18" s="61">
        <v>1</v>
      </c>
    </row>
    <row r="19" spans="1:19" ht="14.4" x14ac:dyDescent="0.3">
      <c r="A19" s="60" t="s">
        <v>70</v>
      </c>
      <c r="B19" s="60" t="s">
        <v>71</v>
      </c>
      <c r="C19" s="60" t="s">
        <v>52</v>
      </c>
      <c r="D19" s="60"/>
      <c r="E19" s="60"/>
      <c r="F19" s="60">
        <v>2</v>
      </c>
      <c r="G19" s="60"/>
      <c r="H19" s="60"/>
      <c r="I19" s="60"/>
      <c r="J19" s="60">
        <v>2</v>
      </c>
      <c r="K19" s="60" t="s">
        <v>33</v>
      </c>
      <c r="L19" s="61">
        <v>0</v>
      </c>
      <c r="M19" s="61">
        <v>0</v>
      </c>
      <c r="N19" s="61" t="s">
        <v>28</v>
      </c>
      <c r="O19" s="61" t="s">
        <v>28</v>
      </c>
      <c r="P19" s="61">
        <v>100</v>
      </c>
      <c r="Q19" s="61">
        <v>0</v>
      </c>
      <c r="R19" s="61">
        <v>0</v>
      </c>
      <c r="S19" s="61">
        <v>2</v>
      </c>
    </row>
    <row r="20" spans="1:19" ht="14.4" x14ac:dyDescent="0.3">
      <c r="A20" s="60" t="s">
        <v>98</v>
      </c>
      <c r="B20" s="60" t="s">
        <v>99</v>
      </c>
      <c r="C20" s="60" t="s">
        <v>52</v>
      </c>
      <c r="D20" s="60"/>
      <c r="E20" s="60"/>
      <c r="F20" s="60"/>
      <c r="G20" s="60"/>
      <c r="H20" s="60">
        <v>2</v>
      </c>
      <c r="I20" s="60"/>
      <c r="J20" s="60">
        <v>2</v>
      </c>
      <c r="K20" s="60" t="s">
        <v>33</v>
      </c>
      <c r="L20" s="61">
        <v>0</v>
      </c>
      <c r="M20" s="61">
        <v>0</v>
      </c>
      <c r="N20" s="61" t="s">
        <v>28</v>
      </c>
      <c r="O20" s="61" t="s">
        <v>28</v>
      </c>
      <c r="P20" s="61">
        <v>100</v>
      </c>
      <c r="Q20" s="61">
        <v>0</v>
      </c>
      <c r="R20" s="61">
        <v>0</v>
      </c>
      <c r="S20" s="61">
        <v>2</v>
      </c>
    </row>
    <row r="21" spans="1:19" ht="14.4" x14ac:dyDescent="0.3">
      <c r="A21" s="60" t="s">
        <v>72</v>
      </c>
      <c r="B21" s="60" t="s">
        <v>73</v>
      </c>
      <c r="C21" s="60" t="s">
        <v>52</v>
      </c>
      <c r="D21" s="60"/>
      <c r="E21" s="60">
        <v>1</v>
      </c>
      <c r="F21" s="60"/>
      <c r="G21" s="60">
        <v>1</v>
      </c>
      <c r="H21" s="60"/>
      <c r="I21" s="60"/>
      <c r="J21" s="60">
        <v>2</v>
      </c>
      <c r="K21" s="60" t="s">
        <v>33</v>
      </c>
      <c r="L21" s="61">
        <v>0</v>
      </c>
      <c r="M21" s="61">
        <v>0</v>
      </c>
      <c r="N21" s="61" t="s">
        <v>28</v>
      </c>
      <c r="O21" s="61" t="s">
        <v>28</v>
      </c>
      <c r="P21" s="61">
        <v>100</v>
      </c>
      <c r="Q21" s="61">
        <v>0</v>
      </c>
      <c r="R21" s="61">
        <v>0</v>
      </c>
      <c r="S21" s="61">
        <v>2</v>
      </c>
    </row>
    <row r="22" spans="1:19" ht="14.4" x14ac:dyDescent="0.3">
      <c r="A22" s="60" t="s">
        <v>76</v>
      </c>
      <c r="B22" s="60" t="s">
        <v>93</v>
      </c>
      <c r="C22" s="62" t="s">
        <v>52</v>
      </c>
      <c r="D22" s="60"/>
      <c r="E22" s="60"/>
      <c r="F22" s="60"/>
      <c r="G22" s="60"/>
      <c r="H22" s="60"/>
      <c r="I22" s="60">
        <v>1</v>
      </c>
      <c r="J22" s="60">
        <v>1</v>
      </c>
      <c r="K22" s="60" t="s">
        <v>33</v>
      </c>
      <c r="L22" s="61">
        <v>0</v>
      </c>
      <c r="M22" s="61">
        <v>0</v>
      </c>
      <c r="N22" s="61" t="s">
        <v>28</v>
      </c>
      <c r="O22" s="61" t="s">
        <v>28</v>
      </c>
      <c r="P22" s="61">
        <v>100</v>
      </c>
      <c r="Q22" s="61">
        <v>0</v>
      </c>
      <c r="R22" s="61">
        <v>0</v>
      </c>
      <c r="S22" s="61">
        <v>1</v>
      </c>
    </row>
    <row r="23" spans="1:19" ht="14.4" x14ac:dyDescent="0.3">
      <c r="A23" s="60" t="s">
        <v>134</v>
      </c>
      <c r="B23" s="60" t="s">
        <v>135</v>
      </c>
      <c r="C23" s="62" t="s">
        <v>53</v>
      </c>
      <c r="D23" s="60"/>
      <c r="E23" s="60"/>
      <c r="F23" s="60"/>
      <c r="G23" s="60"/>
      <c r="H23" s="60"/>
      <c r="I23" s="60">
        <v>3</v>
      </c>
      <c r="J23" s="60">
        <v>3</v>
      </c>
      <c r="K23" s="60" t="s">
        <v>33</v>
      </c>
      <c r="L23" s="61">
        <v>0</v>
      </c>
      <c r="M23" s="61">
        <v>0</v>
      </c>
      <c r="N23" s="61" t="s">
        <v>28</v>
      </c>
      <c r="O23" s="61" t="s">
        <v>28</v>
      </c>
      <c r="P23" s="61">
        <v>100</v>
      </c>
      <c r="Q23" s="61">
        <v>0</v>
      </c>
      <c r="R23" s="61">
        <v>0</v>
      </c>
      <c r="S23" s="61">
        <v>3</v>
      </c>
    </row>
    <row r="24" spans="1:19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4"/>
      <c r="O24" s="63"/>
      <c r="P24" s="64"/>
      <c r="Q24" s="63"/>
      <c r="R24" s="63"/>
      <c r="S24" s="68">
        <f>SUM(S2:S23)</f>
        <v>29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Normal="100" workbookViewId="0">
      <selection activeCell="F31" sqref="F3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77</v>
      </c>
      <c r="B3" s="5">
        <v>5200</v>
      </c>
    </row>
    <row r="4" spans="1:2" x14ac:dyDescent="0.2">
      <c r="A4" s="4" t="s">
        <v>4</v>
      </c>
      <c r="B4" s="7"/>
    </row>
    <row r="5" spans="1:2" x14ac:dyDescent="0.2">
      <c r="A5" s="4" t="s">
        <v>77</v>
      </c>
      <c r="B5" s="5">
        <v>6400</v>
      </c>
    </row>
    <row r="6" spans="1:2" x14ac:dyDescent="0.2">
      <c r="A6" s="4" t="s">
        <v>5</v>
      </c>
      <c r="B6" s="5"/>
    </row>
    <row r="7" spans="1:2" x14ac:dyDescent="0.2">
      <c r="A7" s="4" t="s">
        <v>78</v>
      </c>
      <c r="B7" s="5">
        <v>10640</v>
      </c>
    </row>
    <row r="8" spans="1:2" x14ac:dyDescent="0.2">
      <c r="A8" s="4" t="s">
        <v>79</v>
      </c>
      <c r="B8" s="5"/>
    </row>
    <row r="9" spans="1:2" x14ac:dyDescent="0.2">
      <c r="A9" s="4" t="s">
        <v>80</v>
      </c>
      <c r="B9" s="5">
        <v>47350</v>
      </c>
    </row>
    <row r="10" spans="1:2" x14ac:dyDescent="0.2">
      <c r="A10" s="4" t="s">
        <v>81</v>
      </c>
      <c r="B10" s="5">
        <v>18940</v>
      </c>
    </row>
    <row r="11" spans="1:2" x14ac:dyDescent="0.2">
      <c r="A11" s="6" t="s">
        <v>2</v>
      </c>
      <c r="B11" s="7">
        <f>SUM(B3:B10)</f>
        <v>88530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5AFD-B3C8-47A6-BCB5-1F1DBE787E8B}">
  <dimension ref="A1:B8"/>
  <sheetViews>
    <sheetView zoomScaleNormal="100" workbookViewId="0">
      <selection activeCell="A19" sqref="A1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100</v>
      </c>
      <c r="B2" s="5"/>
    </row>
    <row r="3" spans="1:2" x14ac:dyDescent="0.2">
      <c r="A3" s="4" t="s">
        <v>101</v>
      </c>
      <c r="B3" s="5">
        <v>844.8</v>
      </c>
    </row>
    <row r="4" spans="1:2" x14ac:dyDescent="0.2">
      <c r="A4" s="4" t="s">
        <v>79</v>
      </c>
      <c r="B4" s="7"/>
    </row>
    <row r="5" spans="1:2" x14ac:dyDescent="0.2">
      <c r="A5" s="4" t="s">
        <v>102</v>
      </c>
      <c r="B5" s="5">
        <v>7102.5</v>
      </c>
    </row>
    <row r="6" spans="1:2" x14ac:dyDescent="0.2">
      <c r="A6" s="4" t="s">
        <v>103</v>
      </c>
      <c r="B6" s="5"/>
    </row>
    <row r="7" spans="1:2" x14ac:dyDescent="0.2">
      <c r="A7" s="4" t="s">
        <v>104</v>
      </c>
      <c r="B7" s="5">
        <v>2300</v>
      </c>
    </row>
    <row r="8" spans="1:2" x14ac:dyDescent="0.2">
      <c r="A8" s="6" t="s">
        <v>2</v>
      </c>
      <c r="B8" s="7">
        <f>SUM(B3:B7)</f>
        <v>10247.299999999999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FD5F-F58C-4047-8B86-CF43CF28DEEF}">
  <dimension ref="A1:D10"/>
  <sheetViews>
    <sheetView workbookViewId="0">
      <selection activeCell="D10" sqref="D10"/>
    </sheetView>
  </sheetViews>
  <sheetFormatPr baseColWidth="10" defaultRowHeight="14.4" x14ac:dyDescent="0.3"/>
  <cols>
    <col min="2" max="2" width="13.5546875" customWidth="1"/>
    <col min="3" max="3" width="61.109375" customWidth="1"/>
  </cols>
  <sheetData>
    <row r="1" spans="1:4" ht="15" thickBot="1" x14ac:dyDescent="0.35">
      <c r="A1" s="31" t="s">
        <v>108</v>
      </c>
      <c r="B1" s="32" t="s">
        <v>109</v>
      </c>
      <c r="C1" s="32" t="s">
        <v>110</v>
      </c>
      <c r="D1" s="33" t="s">
        <v>1</v>
      </c>
    </row>
    <row r="2" spans="1:4" ht="15" thickTop="1" x14ac:dyDescent="0.3">
      <c r="A2" s="34" t="s">
        <v>111</v>
      </c>
      <c r="B2" s="35" t="s">
        <v>112</v>
      </c>
      <c r="C2" s="35" t="s">
        <v>113</v>
      </c>
      <c r="D2" s="36">
        <v>286</v>
      </c>
    </row>
    <row r="3" spans="1:4" x14ac:dyDescent="0.3">
      <c r="A3" s="37" t="s">
        <v>111</v>
      </c>
      <c r="B3" s="38" t="s">
        <v>79</v>
      </c>
      <c r="C3" s="38" t="s">
        <v>114</v>
      </c>
      <c r="D3" s="39">
        <v>11837.5</v>
      </c>
    </row>
    <row r="4" spans="1:4" ht="15" thickBot="1" x14ac:dyDescent="0.35">
      <c r="A4" s="34" t="s">
        <v>111</v>
      </c>
      <c r="B4" s="35" t="s">
        <v>103</v>
      </c>
      <c r="C4" s="35" t="s">
        <v>115</v>
      </c>
      <c r="D4" s="36">
        <v>11500</v>
      </c>
    </row>
    <row r="5" spans="1:4" ht="15" thickTop="1" x14ac:dyDescent="0.3">
      <c r="A5" s="40" t="s">
        <v>2</v>
      </c>
      <c r="B5" s="41"/>
      <c r="C5" s="41"/>
      <c r="D5" s="42">
        <v>23623.5</v>
      </c>
    </row>
    <row r="10" spans="1:4" x14ac:dyDescent="0.3">
      <c r="C10" s="65" t="s">
        <v>136</v>
      </c>
      <c r="D10" s="66">
        <f>D5+'Ingresos investigación 2020'!B8+'Ingresos investigación 2019'!B11</f>
        <v>122400.8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zoomScaleNormal="100" workbookViewId="0">
      <selection activeCell="A3" sqref="A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107</v>
      </c>
      <c r="B2" s="5"/>
    </row>
    <row r="3" spans="1:2" x14ac:dyDescent="0.2">
      <c r="A3" s="4"/>
      <c r="B3" s="5"/>
    </row>
    <row r="4" spans="1:2" x14ac:dyDescent="0.2">
      <c r="A4" s="6" t="s">
        <v>2</v>
      </c>
      <c r="B4" s="7">
        <f>SUM(B3:B3)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52BF-9BA7-4FEF-A662-7AEC2B7AF38D}">
  <dimension ref="A1:B4"/>
  <sheetViews>
    <sheetView zoomScaleNormal="100" workbookViewId="0">
      <selection activeCell="C24" sqref="C2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105</v>
      </c>
      <c r="B2" s="5"/>
    </row>
    <row r="3" spans="1:2" x14ac:dyDescent="0.2">
      <c r="A3" s="4" t="s">
        <v>106</v>
      </c>
      <c r="B3" s="5">
        <v>495</v>
      </c>
    </row>
    <row r="4" spans="1:2" x14ac:dyDescent="0.2">
      <c r="A4" s="6" t="s">
        <v>2</v>
      </c>
      <c r="B4" s="7">
        <f>SUM(B3:B3)</f>
        <v>495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B411-31EC-40FB-8EA3-748B563211E3}">
  <dimension ref="A1:D8"/>
  <sheetViews>
    <sheetView workbookViewId="0">
      <selection activeCell="D8" sqref="D8"/>
    </sheetView>
  </sheetViews>
  <sheetFormatPr baseColWidth="10" defaultRowHeight="14.4" x14ac:dyDescent="0.3"/>
  <cols>
    <col min="2" max="2" width="14" bestFit="1" customWidth="1"/>
    <col min="3" max="3" width="43.6640625" customWidth="1"/>
  </cols>
  <sheetData>
    <row r="1" spans="1:4" x14ac:dyDescent="0.3">
      <c r="A1" s="43" t="s">
        <v>108</v>
      </c>
      <c r="B1" s="44" t="s">
        <v>109</v>
      </c>
      <c r="C1" s="44" t="s">
        <v>110</v>
      </c>
      <c r="D1" s="45" t="s">
        <v>1</v>
      </c>
    </row>
    <row r="2" spans="1:4" ht="15" thickBot="1" x14ac:dyDescent="0.35">
      <c r="A2" s="46" t="s">
        <v>111</v>
      </c>
      <c r="B2" s="47" t="s">
        <v>105</v>
      </c>
      <c r="C2" s="47" t="s">
        <v>116</v>
      </c>
      <c r="D2" s="48">
        <v>360</v>
      </c>
    </row>
    <row r="3" spans="1:4" ht="15" thickTop="1" x14ac:dyDescent="0.3">
      <c r="A3" s="49" t="s">
        <v>2</v>
      </c>
      <c r="B3" s="50"/>
      <c r="C3" s="50"/>
      <c r="D3" s="51">
        <v>360</v>
      </c>
    </row>
    <row r="8" spans="1:4" x14ac:dyDescent="0.3">
      <c r="C8" s="65" t="s">
        <v>137</v>
      </c>
      <c r="D8" s="66">
        <f>D3+'Ingresos formación 2020'!B4+'Ingresos formación 2019'!B4</f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2022-10-18T14:45:16Z</dcterms:modified>
</cp:coreProperties>
</file>