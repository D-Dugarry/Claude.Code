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Mi unidad\Presupuestación\Presupuesto 2023\Departamentos\Departamentos\"/>
    </mc:Choice>
  </mc:AlternateContent>
  <xr:revisionPtr revIDLastSave="0" documentId="8_{4FF63446-0EDE-4899-ABD6-076106ACBA8B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Tesis" sheetId="12" r:id="rId1"/>
    <sheet name="Sexenios" sheetId="13" r:id="rId2"/>
    <sheet name="Ingresos investigación 2019" sheetId="16" r:id="rId3"/>
    <sheet name="Ingresos investigación 2020" sheetId="18" r:id="rId4"/>
    <sheet name="Ingresos investigación 2021" sheetId="19" r:id="rId5"/>
  </sheets>
  <definedNames>
    <definedName name="_xlnm._FilterDatabase" localSheetId="1" hidden="1">Sexenios!$A$1:$S$20</definedName>
    <definedName name="_xlnm._FilterDatabase" localSheetId="0" hidden="1">Tesis!$A$1:$U$31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" i="19" l="1"/>
  <c r="T32" i="12" l="1"/>
  <c r="B20" i="18" l="1"/>
  <c r="S25" i="13"/>
  <c r="B21" i="16" l="1"/>
  <c r="B29" i="19" s="1"/>
</calcChain>
</file>

<file path=xl/sharedStrings.xml><?xml version="1.0" encoding="utf-8"?>
<sst xmlns="http://schemas.openxmlformats.org/spreadsheetml/2006/main" count="740" uniqueCount="234">
  <si>
    <t>Orgánica
Descripción justificante</t>
  </si>
  <si>
    <t>Importe</t>
  </si>
  <si>
    <t>Total</t>
  </si>
  <si>
    <t>36.00.6O.00.01</t>
  </si>
  <si>
    <t>36.00.6P.00.10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</si>
  <si>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</si>
  <si>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</si>
  <si>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</si>
  <si>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</si>
  <si>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</si>
  <si>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</si>
  <si>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</si>
  <si>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</si>
  <si>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</si>
  <si>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</si>
  <si>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</si>
  <si>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</si>
  <si>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</si>
  <si>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</si>
  <si>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</si>
  <si>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</si>
  <si>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</si>
  <si>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</si>
  <si>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</si>
  <si>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</si>
  <si>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Codirector de tesis </t>
  </si>
  <si>
    <t>50</t>
  </si>
  <si>
    <t/>
  </si>
  <si>
    <t>Director de tesis </t>
  </si>
  <si>
    <t>20</t>
  </si>
  <si>
    <t>10.19</t>
  </si>
  <si>
    <t>26/09/2019 </t>
  </si>
  <si>
    <t>05/09/2017 </t>
  </si>
  <si>
    <t>21/09/2018 </t>
  </si>
  <si>
    <t>B185 </t>
  </si>
  <si>
    <t>INGENIERÍA CIVIL </t>
  </si>
  <si>
    <t>B161 </t>
  </si>
  <si>
    <t>CIENCIA DE LA COMPUTACION E INTELIGENCIA ARTIFICIAL </t>
  </si>
  <si>
    <t>U062 </t>
  </si>
  <si>
    <t>ADM. I.U. DE INVESTIGACIÓN INFORMÁTICA </t>
  </si>
  <si>
    <t>DOCTORADO EN INFORMÁTICA </t>
  </si>
  <si>
    <t>DOCTORADO EN INGENIERÍA DE MATERIALES, ESTRUCTURAS Y TERRENO: CONSTR. SOST. </t>
  </si>
  <si>
    <t>01/07/2019 </t>
  </si>
  <si>
    <t>21461233W </t>
  </si>
  <si>
    <t>B161</t>
  </si>
  <si>
    <t>21489731A </t>
  </si>
  <si>
    <t>22135596M </t>
  </si>
  <si>
    <t>53231432W </t>
  </si>
  <si>
    <t>21637322A </t>
  </si>
  <si>
    <t>03120050P </t>
  </si>
  <si>
    <t>Rangel Ortiz, José Carlos </t>
  </si>
  <si>
    <t>SCENE UNDERSTANDING FOR MOBILE ROBOTS EXPLOITING DEEP LEARNING TECHNIQUES </t>
  </si>
  <si>
    <t>Agryzkov Denysyuk, Taras </t>
  </si>
  <si>
    <t>MEDIDAS DE CENTRALIDAD EN REDES URBANAS CON DATOS </t>
  </si>
  <si>
    <t>27/06/2018 </t>
  </si>
  <si>
    <t>21453332J </t>
  </si>
  <si>
    <t>Curado Navarro, Manuel </t>
  </si>
  <si>
    <t>STRUCTURAL SIMILITARY: APPLICATIONS TO OBJECT RECOGNITION AND CLUSTERING </t>
  </si>
  <si>
    <t>03/09/2018 </t>
  </si>
  <si>
    <t>52805806Z </t>
  </si>
  <si>
    <t>74193699T </t>
  </si>
  <si>
    <t>Guillem Aldave, Carlos </t>
  </si>
  <si>
    <t>TECNOLOGÍAS DE LA INFORMACIÓN PARA MEDIR SOCIALMENTE LA CREATIVIDAD </t>
  </si>
  <si>
    <t>25/09/2018 </t>
  </si>
  <si>
    <t>Vega Pérez, Julio Manuel </t>
  </si>
  <si>
    <t>EDUCATIONAL FRAMEWORK USING ROBOTS WITH VISION FOR CONSTRUCTIVIST TEACHING OF ROBOTICS TO PRE-UNIVERSITY STUDENTS </t>
  </si>
  <si>
    <t>Andrade Bazurto, Alicia Lorena </t>
  </si>
  <si>
    <t>CARACTERÍSTICAS Y APLICACIONES DE LAS FUNCIONES RESUMEN CRIPTOGRÁFICAS EN LA GESTIÓN DE CONTRASEÑAS </t>
  </si>
  <si>
    <t>10/07/2019 </t>
  </si>
  <si>
    <t>Cano Espinosa, Carlos </t>
  </si>
  <si>
    <t>IMAGE-BASED BIOMARKER LOCALIZATION FROM REGRESSION NETWORKS </t>
  </si>
  <si>
    <t>50750696T </t>
  </si>
  <si>
    <t>Domínguez Sánchez, Alejandro </t>
  </si>
  <si>
    <t>RECOGNITION OF DRIVING OBJECTS IN REAL TIME WITH COMPUTER VISION AND DEEP NEURAL NETWORKS </t>
  </si>
  <si>
    <t>19/12/2018 </t>
  </si>
  <si>
    <t>Mejía Madrid, Gina Susana </t>
  </si>
  <si>
    <t>EL PROCESO DE ENSEÑANZA APRENDIZAJE APOYADO EN LAS TECNOLOGÍAS DE LA INFORMACIÓN: MODELO PARA EVALUAR LA CALIDAD DE LOS CURSOS B-LEARNING EN LAS UNIVERSIDADADES </t>
  </si>
  <si>
    <t>08/03/2019 </t>
  </si>
  <si>
    <t>Meza Bolaños, Doris Verónica </t>
  </si>
  <si>
    <t>MODELO PARA ESTIMAR EL IMPACTO SOCIAL DEL USO DE ECOSISTEMAS DE APRENDIZAJE EN LAS UNIVERSIDADES </t>
  </si>
  <si>
    <t>21496149G </t>
  </si>
  <si>
    <t>21649909D </t>
  </si>
  <si>
    <t>Morales Cardoso, Santiago Leonardo </t>
  </si>
  <si>
    <t>METODOLOGÍA PARA PROCESOS DE INTELIGENCIA DE NEGOCIOS CON MEJORAS EN LA EXTRACCIÓN Y TRANSFORMACIÓN DE FUENTES DE DATOS, ORIENTADO A LA TOMA DE DECISIONES </t>
  </si>
  <si>
    <t>14/03/2019 </t>
  </si>
  <si>
    <t>21388068T </t>
  </si>
  <si>
    <t>Valverde Alulema, Francisco Xavier </t>
  </si>
  <si>
    <t>LA CARTERA ESTRATÉGICA DE PROYECTOS DE TI COMO BUENA PRÁCTICA PARA LA GOBERNANZA DE LAS TI EN LAS UNIVERSIDADES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</si>
  <si>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</si>
  <si>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</si>
  <si>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</si>
  <si>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</si>
  <si>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</si>
  <si>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</si>
  <si>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</si>
  <si>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</si>
  <si>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</si>
  <si>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</si>
  <si>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</si>
  <si>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</si>
  <si>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</si>
  <si>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NO FUNCIONARIO</t>
  </si>
  <si>
    <t>53231432W</t>
  </si>
  <si>
    <t>ALVAREZ SANCHEZ, RAFAEL IGNACIO</t>
  </si>
  <si>
    <t>52793369C</t>
  </si>
  <si>
    <t>ARNAL GARCIA, JOSE</t>
  </si>
  <si>
    <t>21672410Q</t>
  </si>
  <si>
    <t>AZNAR GREGORI, FIDEL</t>
  </si>
  <si>
    <t>21489731A</t>
  </si>
  <si>
    <t>CAZORLA QUEVEDO, MIGUEL ANGEL</t>
  </si>
  <si>
    <t>21496149G</t>
  </si>
  <si>
    <t>COMPAÑ ROSIQUE, PATRICIA</t>
  </si>
  <si>
    <t>74193699T</t>
  </si>
  <si>
    <t>ESCOLANO RUIZ, FRANCISCO JAVIER</t>
  </si>
  <si>
    <t>21637322A</t>
  </si>
  <si>
    <t>LLORENS LARGO, FARAON</t>
  </si>
  <si>
    <t>48531413X</t>
  </si>
  <si>
    <t>LOZANO ORTEGA, MIGUEL ANGEL</t>
  </si>
  <si>
    <t>53227471C</t>
  </si>
  <si>
    <t>MARTINEZ MARTIN, ESTER</t>
  </si>
  <si>
    <t>21462550P</t>
  </si>
  <si>
    <t>MIGALLON GOMIS, MARIA VIOLETA</t>
  </si>
  <si>
    <t>22135596M</t>
  </si>
  <si>
    <t>MOLINA CARMONA, RAFAEL</t>
  </si>
  <si>
    <t>21645324R</t>
  </si>
  <si>
    <t>PENADES MARTINEZ, JOSE LEANDRO</t>
  </si>
  <si>
    <t>74213842H</t>
  </si>
  <si>
    <t>PUJOL LOPEZ, MARIA DEL MAR</t>
  </si>
  <si>
    <t>21388068T</t>
  </si>
  <si>
    <t>RIZO ALDEGUER, RAMON LUIS</t>
  </si>
  <si>
    <t>52805806Z</t>
  </si>
  <si>
    <t>SAEZ MARTINEZ, JUAN MANUEL</t>
  </si>
  <si>
    <t>21649909D</t>
  </si>
  <si>
    <t>21461233W</t>
  </si>
  <si>
    <t>TORTOSA GRAU, LEANDRO</t>
  </si>
  <si>
    <t>21453332J</t>
  </si>
  <si>
    <t>VICENT FRANCES, JOSE FRANCISCO</t>
  </si>
  <si>
    <t>03120050P</t>
  </si>
  <si>
    <t>VIEJO HERNANDO, DIEGO</t>
  </si>
  <si>
    <t>21422399S</t>
  </si>
  <si>
    <t>ZAMORA GOMEZ, ANTONIO</t>
  </si>
  <si>
    <t>36.00.6C.00.05</t>
  </si>
  <si>
    <t xml:space="preserve">REGALÍAS POR TRANSFERENCIA DE TECNOLOGÍA 2018 (REF.CONTRATO NEOSISTEC1-70). 3% de 114.974,34€ </t>
  </si>
  <si>
    <t>36.00.6C.00.08</t>
  </si>
  <si>
    <t>CONTRATO UNIVERSIA1-18T. HOJA DE ENCARGO: 1) Diseño de cuestionarios, lógica y arquitectura de encuesta y herramienta de reporting TDU 2) Preparación de RFP Herramienta de Autodiagnóstico TDU</t>
  </si>
  <si>
    <t>CASETES SEGÚN ANEXO FS19/703</t>
  </si>
  <si>
    <t>CASETES SEGÚN ANEXO FS19/773</t>
  </si>
  <si>
    <t>CASETES SEGÚN ANEXO FS19/780</t>
  </si>
  <si>
    <t>CASETES SEGÚN ANEXO FS19/781</t>
  </si>
  <si>
    <t>CASETES SEGÚN ANEXO FS19/845</t>
  </si>
  <si>
    <t>CASETES SEGÚN ANEXO Nº FS19/1183</t>
  </si>
  <si>
    <t>LIBERADOS EL 18/03/19, ANUALIDAD 2019 PROYECTOS I+D (PIA1) N EXPEDIENTE: PIA12017-1 -2 ANUALIDAD  REFERENCIA: TIN2017-84821-P. REF. ORDENANTE: 27402219310015480.</t>
  </si>
  <si>
    <t>36.00.6P.00.11</t>
  </si>
  <si>
    <t>PAGO 1 ANUALIDAD PROYECTOS RETOS I+D+I 2018. ANUAL 2019 PROYECTOS I+D RETOS (PIA 13) N EXPEDIENTE: PIA 132018 - 1- 1 ANUALIDAD REFERENCIA: R. REFERENCIA DEL ORDENANTE PARA EL BENEFICIARIO: 00173219310010862 - 2019/009680</t>
  </si>
  <si>
    <t>PARA EL PAGO DE LA ANUALIDAD 2019 DE LA CONVOCATORIA RTI 2018 PROYECTOS I+D RETOS (PIA 13) N EXPEDIENTE: PIA 132018-1  -1 ANUALIDAD REFERENC REFERENCIA DEL ORDENANTE PARA EL BENEFICIARIO: 27402219310026808</t>
  </si>
  <si>
    <t>36.00.6P.00.12</t>
  </si>
  <si>
    <t>PAGO 1 ANUALIDAD PROYECTOS RETOS I+D+I 2018. ANUAL 2019 PROYECTOS I+D RETOS (PIA 13) N EXPEDIENTE: PIA 132018 - 1- 1 ANUALIDAD REFERENCIA: R. REFERENCIA DEL ORDENANTE PARA EL BENEFICIARIO: 00173219310010864 - 2019/009682</t>
  </si>
  <si>
    <t>PARA EL PAGO DE LA ANUALIDAD 2019 DE LA CONVOCATORIA RTI 2018 PROYECTOS I+D RETOS (PIA13) N EXPEDIENTE: PIA 132018-1  -1 ANUALIDAD REFERENC REFERENCIA DEL ORDENANTE PARA EL BENEFICIARIO: 27402219310026972</t>
  </si>
  <si>
    <t>Caldwell Marín, Eldon Glen </t>
  </si>
  <si>
    <t>ROBÓTICA ASISTENCIAL CIBER-FÍSICA PARA TERAPIA DEL HABLA-LENGUAJE </t>
  </si>
  <si>
    <t>27/04/2020 </t>
  </si>
  <si>
    <t>Cruz , Edmanuel Gaspar </t>
  </si>
  <si>
    <t>Robotics semantic localization using deep learning techniques </t>
  </si>
  <si>
    <t>28/04/2020 </t>
  </si>
  <si>
    <t>García García, Alberto </t>
  </si>
  <si>
    <t>DEEP LEARNING FOR 3D PERCEPTION: COMPUTER VISION AND TACTILE SENSING </t>
  </si>
  <si>
    <t>28/10/2019 </t>
  </si>
  <si>
    <t>53240321J </t>
  </si>
  <si>
    <t>Gómez Donoso, Francisco </t>
  </si>
  <si>
    <t>Contributions to 3D object recognition and 3D hand pose estimation using deep learning techniques </t>
  </si>
  <si>
    <t>18/09/2020 </t>
  </si>
  <si>
    <t>21472011Q</t>
  </si>
  <si>
    <t>VILLAGRA ARNEDO, CARLOS JOSE</t>
  </si>
  <si>
    <t>48363194J</t>
  </si>
  <si>
    <t>GALLEGO DURAN, FRANCISCO JOSE</t>
  </si>
  <si>
    <t>ARAUJO DA SILVA COSTA, ANGELO GONÇALO</t>
  </si>
  <si>
    <t>COD DEP</t>
  </si>
  <si>
    <t>Mora Lizán, Francisco José </t>
  </si>
  <si>
    <t>Avances en modelado de sistemas multiagente. Propuesta de arquitectura híbrida multinivel </t>
  </si>
  <si>
    <t>26/01/2021 </t>
  </si>
  <si>
    <t>21672410Q </t>
  </si>
  <si>
    <t>Nasri Mohammadshahi, Nadia </t>
  </si>
  <si>
    <t>Hand gesture recognition using sEMG and deep learning </t>
  </si>
  <si>
    <t>17/06/2021 </t>
  </si>
  <si>
    <t>Escalona Moncholí, Félix </t>
  </si>
  <si>
    <t>Contributions to 3D data processing and social robotics </t>
  </si>
  <si>
    <t>30/09/2021 </t>
  </si>
  <si>
    <t>Bauer , Zuria </t>
  </si>
  <si>
    <t>Monocular Depth Estimation: Datasets, Methods, and Applications. </t>
  </si>
  <si>
    <t>15/09/2021 </t>
  </si>
  <si>
    <t>REGALÍAS POR TRANSFERENCIAS DE TECNOLOGÍA 2019(Ref. contrato NEOSISTEC1-17O)- 3% de 535.941,53 euros (importe de las ventas netas generadas en el año 2019)</t>
  </si>
  <si>
    <t>36.00.6C.00.09</t>
  </si>
  <si>
    <t>PAGO INICIAL TRAS LA FIRMA DEL DOCUMENTO DEL CONTRATO "ORION1-20I". TÍTULO: ¿DESARROLLO DE UNA APLICACIÓN HÍBRIDA MULTIPLATAFORMA PARA LA GESTIÓN DE ALBARANES?</t>
  </si>
  <si>
    <t>36.00.6C.00.10</t>
  </si>
  <si>
    <t>PAGO POR CONTRAPRESTACIÓN A LA FIRMA DEL CONTRATO NEOSISTEC1-20TPA</t>
  </si>
  <si>
    <t>36.00.6C.00.11</t>
  </si>
  <si>
    <t>Redacción de informe EXTERNAL ASSESSMENT: PROJECT APPROACH para el proyecto europeo IT Governance for Albanian Universities (ITG4AU) con número 585578-EPP-1-2017-1-ES-EPPKA2- CBHE-JP Contrato menor nº: CM/SOL-202222351773-TRA Expediente nº: 6477/20</t>
  </si>
  <si>
    <t>36.00.6C.00.12</t>
  </si>
  <si>
    <t>Primer pago (20%) como contraprestación a la coordinación del estudio y del equipo de trabajo a la firma del contrato CRUE1-20T</t>
  </si>
  <si>
    <t>LIBERADOS EL 23/04/2020, ANUALIDAD 2020 PROYECTOS I+D (PIA1) N EXPEDIENTE: PIA12017-1 - 3 ANUALIDAD REFERENCIA: TIN2017-84821-P</t>
  </si>
  <si>
    <t>FLIB 30/06/2020. PROYECTOS RETOS INVESTIGACION 201 / 8. ANUAL 2020 PROYECTOS I+D RETOS (PIA13) N E / XPEDIENTE: PIA132018-1 - 2 ANUALIDAD REFERE / GOVT / 27402220310030631</t>
  </si>
  <si>
    <t>FLIB 30/06/2020. PROYECTOS RETOS INVESTIGACION 201 / 8. ANUAL 2020 PROYECTOS I+D RETOS (PIA13) N E / XPEDIENTE: PIA132018-1 - 2 ANUALIDAD REFERE / GOVT / 27402220310030642</t>
  </si>
  <si>
    <t>36.00.6P.00.13</t>
  </si>
  <si>
    <t>SUBVENCIONES PARA LA REALIZACIÓN DE PROYECTOS DE I+D+I DESARROLLADOS POR GRUPOS DE INVESTIGACIÓN EMERGENTES GV/2020 (NNOVACIÓN,UNIVERSIDADES,CIENCIA SOC.DIG)</t>
  </si>
  <si>
    <t> Numero
de tesis</t>
  </si>
  <si>
    <t>RESOLUCIÓN CONCESIÓN SUBVENCIONESEMERGENTES GV 2020 EN 2021</t>
  </si>
  <si>
    <t xml:space="preserve">RTI2018-096219-B-I00 </t>
  </si>
  <si>
    <t xml:space="preserve">RTI2018-096223-B-I00 </t>
  </si>
  <si>
    <t>Curso de introducción al motor Unreal Engine 4</t>
  </si>
  <si>
    <t>36.00.6M.00.02</t>
  </si>
  <si>
    <t>PRIMER PARGO POR EL 25% SOBRE EL IMPORTE TOTAL DEL PROYECTO "EMBENTION1-21Y" - DESARROLLO DE ALGORITMOS DE VISIÓN ARTIFICIAL PARA LA VERONTE MISSION COMPUTER</t>
  </si>
  <si>
    <t>36.00.6C.00.14</t>
  </si>
  <si>
    <t>Contraprestación tras recepción del informe de resultados de Hoja de Encargo NEWYPYME1-21TPA</t>
  </si>
  <si>
    <t>36.00.6C.00.13</t>
  </si>
  <si>
    <t>Segundo pago (80%) a la entrega del trabajo final del contrato CRUE1-20T (Análisis estratégico de la madurez digital del sistema universitario).</t>
  </si>
  <si>
    <t>Pago final de 500 euros tras la finalización y entrega del resultado del proyecto ORION2-21ID. Preparado para multiidiomas.</t>
  </si>
  <si>
    <t>Pago final de 1.500,00 euros tras la finalización y entrega del resultado del proyecto REF: ORION1-21ID. Preparado para multiidiomas.</t>
  </si>
  <si>
    <t>PAGO FINAL TRAS LA FINALIZACIÓN Y ENTREGA DEL RESULTADO DEL PROYECTO ORION3-21ID</t>
  </si>
  <si>
    <t>PAGO FINAL TRAS LA FINALIZACIÓN Y ENTREGA DEL RESULTADO DEL PROYECTO ORION1-20I</t>
  </si>
  <si>
    <t>PAGO INICIAL TRAS LA FIRMA DEL CONTRATO ORION3-21ID</t>
  </si>
  <si>
    <t>PAGO INICIAL TRAS LA FIRMA DEL CONTRATO ORION2-21ID</t>
  </si>
  <si>
    <t>PAGO INICIAL TRAS LA FIRMA DEL CONTRATO REF: ORION1-21ID</t>
  </si>
  <si>
    <t>PAGO A LOS TRES MESES DE LA FIRMA DEL CONTRATO ORIONI1-20I: DESARROLLO DE UNA APLICACIÓN HÍBRIDA MULTIPLATAFORMA PARA LA GESTIÓN DE ALBARANES</t>
  </si>
  <si>
    <t>REGALÍAS POR TRANSFERENCIAS DE TECNOLOGÍA 2020 (Ref. contrato NEOSISTEC1-17O). 3% de 272.776,55 EUROS(importe de las ventas netas generadas en al año 2020)</t>
  </si>
  <si>
    <t>Real Fernández, Alberto </t>
  </si>
  <si>
    <t>CALM: un modelo de aprendizaje adaptativo y personalizado </t>
  </si>
  <si>
    <t>18/07/2022 </t>
  </si>
  <si>
    <t>Alashhab , Samer Refat Hamzeh </t>
  </si>
  <si>
    <t>Aplicaciones de Visión Artificial para Ayuda a Personas con Dificultades Visuales </t>
  </si>
  <si>
    <t>01/07/2022 </t>
  </si>
  <si>
    <t>48531413X </t>
  </si>
  <si>
    <t>04296267M</t>
  </si>
  <si>
    <t>SATORRE CUERDA, Rosana</t>
  </si>
  <si>
    <t>Total ingresos investigación 2019, 2020 y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</si>
</sst>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theme="9" tint="-0.24994659260841701"/>
      </left>
      <right/>
      <top style="thin">
        <color indexed="64"/>
      </top>
      <bottom style="thin">
        <color indexed="64"/>
      </bottom>
      <diagonal/>
    </border>
    <border>
      <left style="medium">
        <color theme="9" tint="-0.24994659260841701"/>
      </left>
      <right style="thin">
        <color theme="9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9" tint="-0.24994659260841701"/>
      </left>
      <right style="thin">
        <color theme="9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9" tint="-0.24994659260841701"/>
      </left>
      <right style="medium">
        <color theme="9" tint="-0.2499465926084170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6" fillId="0" borderId="0"/>
    <xf numFmtId="0" fontId="6" fillId="0" borderId="0"/>
    <xf numFmtId="0" fontId="7" fillId="0" borderId="0"/>
    <xf numFmtId="0" fontId="1" fillId="0" borderId="0"/>
  </cellStyleXfs>
  <cellXfs count="6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4" fontId="1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0" fontId="4" fillId="3" borderId="1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0" fontId="5" fillId="3" borderId="1" xfId="2" applyFont="1" applyFill="1" applyBorder="1" applyAlignment="1">
      <alignment horizontal="center"/>
    </xf>
    <xf numFmtId="0" fontId="5" fillId="3" borderId="1" xfId="3" applyFont="1" applyFill="1" applyBorder="1" applyAlignment="1">
      <alignment horizontal="center" wrapText="1"/>
    </xf>
    <xf numFmtId="0" fontId="5" fillId="3" borderId="1" xfId="3" applyFont="1" applyFill="1" applyBorder="1" applyAlignment="1">
      <alignment horizontal="right" wrapText="1"/>
    </xf>
    <xf numFmtId="0" fontId="3" fillId="4" borderId="0" xfId="1" applyFont="1" applyFill="1" applyAlignment="1"/>
    <xf numFmtId="0" fontId="3" fillId="4" borderId="1" xfId="1" applyFont="1" applyFill="1" applyBorder="1" applyAlignment="1"/>
    <xf numFmtId="164" fontId="3" fillId="4" borderId="1" xfId="1" applyNumberFormat="1" applyFont="1" applyFill="1" applyBorder="1" applyAlignment="1"/>
    <xf numFmtId="0" fontId="3" fillId="4" borderId="1" xfId="1" applyFont="1" applyFill="1" applyBorder="1" applyAlignment="1">
      <alignment horizontal="right"/>
    </xf>
    <xf numFmtId="1" fontId="3" fillId="4" borderId="1" xfId="1" applyNumberFormat="1" applyFont="1" applyFill="1" applyBorder="1" applyAlignment="1"/>
    <xf numFmtId="165" fontId="3" fillId="4" borderId="1" xfId="1" applyNumberFormat="1" applyFont="1" applyFill="1" applyBorder="1" applyAlignment="1"/>
    <xf numFmtId="0" fontId="3" fillId="2" borderId="0" xfId="1" applyFont="1" applyFill="1" applyAlignment="1"/>
    <xf numFmtId="0" fontId="3" fillId="2" borderId="0" xfId="1" applyFont="1" applyFill="1" applyAlignment="1">
      <alignment horizontal="right"/>
    </xf>
    <xf numFmtId="0" fontId="3" fillId="4" borderId="0" xfId="1" applyFont="1" applyFill="1" applyAlignment="1">
      <alignment horizontal="right"/>
    </xf>
    <xf numFmtId="0" fontId="9" fillId="5" borderId="1" xfId="3" applyFont="1" applyFill="1" applyBorder="1" applyAlignment="1">
      <alignment horizontal="center" textRotation="90" wrapText="1"/>
    </xf>
    <xf numFmtId="0" fontId="9" fillId="3" borderId="1" xfId="3" applyFont="1" applyFill="1" applyBorder="1" applyAlignment="1">
      <alignment horizontal="center" textRotation="90" wrapText="1"/>
    </xf>
    <xf numFmtId="0" fontId="6" fillId="0" borderId="0" xfId="5" applyFont="1"/>
    <xf numFmtId="0" fontId="10" fillId="0" borderId="1" xfId="5" applyFont="1" applyBorder="1"/>
    <xf numFmtId="0" fontId="10" fillId="0" borderId="2" xfId="5" applyFont="1" applyBorder="1"/>
    <xf numFmtId="0" fontId="10" fillId="0" borderId="3" xfId="5" applyFont="1" applyBorder="1" applyAlignment="1">
      <alignment horizontal="right"/>
    </xf>
    <xf numFmtId="1" fontId="10" fillId="0" borderId="4" xfId="5" applyNumberFormat="1" applyFont="1" applyBorder="1" applyAlignment="1">
      <alignment horizontal="right"/>
    </xf>
    <xf numFmtId="0" fontId="10" fillId="0" borderId="5" xfId="5" applyFont="1" applyBorder="1" applyAlignment="1">
      <alignment horizontal="right"/>
    </xf>
    <xf numFmtId="1" fontId="10" fillId="0" borderId="6" xfId="5" applyNumberFormat="1" applyFont="1" applyBorder="1" applyAlignment="1">
      <alignment horizontal="right"/>
    </xf>
    <xf numFmtId="1" fontId="10" fillId="0" borderId="7" xfId="5" applyNumberFormat="1" applyFont="1" applyBorder="1"/>
    <xf numFmtId="164" fontId="10" fillId="0" borderId="1" xfId="5" applyNumberFormat="1" applyFont="1" applyBorder="1"/>
    <xf numFmtId="0" fontId="10" fillId="0" borderId="0" xfId="5" applyFont="1"/>
    <xf numFmtId="0" fontId="10" fillId="0" borderId="3" xfId="5" applyFont="1" applyBorder="1"/>
    <xf numFmtId="0" fontId="10" fillId="0" borderId="5" xfId="5" applyFont="1" applyBorder="1"/>
    <xf numFmtId="0" fontId="10" fillId="2" borderId="0" xfId="5" applyFont="1" applyFill="1"/>
    <xf numFmtId="0" fontId="10" fillId="2" borderId="0" xfId="5" applyFont="1" applyFill="1" applyAlignment="1">
      <alignment horizontal="right"/>
    </xf>
    <xf numFmtId="0" fontId="10" fillId="0" borderId="0" xfId="5" applyFont="1" applyAlignment="1">
      <alignment horizontal="right"/>
    </xf>
    <xf numFmtId="0" fontId="7" fillId="0" borderId="1" xfId="0" applyFont="1" applyBorder="1"/>
    <xf numFmtId="0" fontId="7" fillId="0" borderId="1" xfId="0" applyFont="1" applyBorder="1" applyAlignment="1">
      <alignment horizontal="left"/>
    </xf>
    <xf numFmtId="0" fontId="6" fillId="0" borderId="1" xfId="0" applyFont="1" applyBorder="1"/>
    <xf numFmtId="0" fontId="10" fillId="0" borderId="1" xfId="5" applyFont="1" applyFill="1" applyBorder="1"/>
    <xf numFmtId="0" fontId="10" fillId="0" borderId="2" xfId="5" applyFont="1" applyFill="1" applyBorder="1"/>
    <xf numFmtId="0" fontId="10" fillId="0" borderId="3" xfId="5" applyFont="1" applyFill="1" applyBorder="1"/>
    <xf numFmtId="1" fontId="10" fillId="0" borderId="4" xfId="5" applyNumberFormat="1" applyFont="1" applyFill="1" applyBorder="1" applyAlignment="1">
      <alignment horizontal="right"/>
    </xf>
    <xf numFmtId="0" fontId="10" fillId="0" borderId="5" xfId="5" applyFont="1" applyFill="1" applyBorder="1"/>
    <xf numFmtId="1" fontId="10" fillId="0" borderId="6" xfId="5" applyNumberFormat="1" applyFont="1" applyFill="1" applyBorder="1" applyAlignment="1">
      <alignment horizontal="right"/>
    </xf>
    <xf numFmtId="1" fontId="10" fillId="0" borderId="7" xfId="5" applyNumberFormat="1" applyFont="1" applyFill="1" applyBorder="1"/>
    <xf numFmtId="164" fontId="10" fillId="0" borderId="1" xfId="5" applyNumberFormat="1" applyFont="1" applyFill="1" applyBorder="1"/>
    <xf numFmtId="164" fontId="11" fillId="2" borderId="8" xfId="5" applyNumberFormat="1" applyFont="1" applyFill="1" applyBorder="1"/>
    <xf numFmtId="0" fontId="10" fillId="0" borderId="1" xfId="5" applyFont="1" applyBorder="1" applyAlignment="1">
      <alignment horizontal="right"/>
    </xf>
    <xf numFmtId="1" fontId="10" fillId="0" borderId="1" xfId="5" applyNumberFormat="1" applyFont="1" applyBorder="1" applyAlignment="1">
      <alignment horizontal="right"/>
    </xf>
    <xf numFmtId="1" fontId="10" fillId="0" borderId="1" xfId="5" applyNumberFormat="1" applyFont="1" applyBorder="1"/>
    <xf numFmtId="0" fontId="8" fillId="2" borderId="1" xfId="0" applyFont="1" applyFill="1" applyBorder="1"/>
    <xf numFmtId="0" fontId="8" fillId="2" borderId="1" xfId="0" applyFont="1" applyFill="1" applyBorder="1" applyAlignment="1">
      <alignment textRotation="90"/>
    </xf>
    <xf numFmtId="0" fontId="9" fillId="3" borderId="1" xfId="3" applyFont="1" applyFill="1" applyBorder="1" applyAlignment="1">
      <alignment horizontal="center" wrapText="1"/>
    </xf>
    <xf numFmtId="0" fontId="5" fillId="3" borderId="1" xfId="1" applyFont="1" applyFill="1" applyBorder="1" applyAlignment="1">
      <alignment horizontal="center" vertical="top" wrapText="1"/>
    </xf>
    <xf numFmtId="164" fontId="3" fillId="2" borderId="0" xfId="1" applyNumberFormat="1" applyFont="1" applyFill="1" applyAlignment="1"/>
    <xf numFmtId="164" fontId="4" fillId="2" borderId="0" xfId="1" applyNumberFormat="1" applyFont="1" applyFill="1" applyAlignment="1"/>
    <xf numFmtId="0" fontId="2" fillId="0" borderId="1" xfId="0" applyFont="1" applyBorder="1" applyAlignment="1">
      <alignment horizontal="right"/>
    </xf>
  </cellXfs>
  <cellStyles count="6"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32"/>
  <sheetViews>
    <sheetView showGridLines="0" tabSelected="1" zoomScale="120" zoomScaleNormal="120" workbookViewId="0">
      <pane xSplit="1" ySplit="1" topLeftCell="F2" activePane="bottomRight" state="frozen"/>
      <selection pane="topRight" activeCell="B1" sqref="B1"/>
      <selection pane="bottomLeft" activeCell="A2" sqref="A2"/>
      <selection pane="bottomRight" activeCell="M37" sqref="M37"/>
    </sheetView>
  </sheetViews>
  <sheetFormatPr baseColWidth="10" defaultColWidth="10.33203125" defaultRowHeight="10.199999999999999" x14ac:dyDescent="0.2"/>
  <cols>
    <col min="1" max="1" width="5" style="13" customWidth="1"/>
    <col min="2" max="4" width="29.6640625" style="13" customWidth="1"/>
    <col min="5" max="5" width="40.6640625" style="13" customWidth="1"/>
    <col min="6" max="6" width="9.109375" style="13" customWidth="1"/>
    <col min="7" max="7" width="9.6640625" style="13" customWidth="1"/>
    <col min="8" max="8" width="14.44140625" style="13" customWidth="1"/>
    <col min="9" max="9" width="5.88671875" style="13" customWidth="1"/>
    <col min="10" max="10" width="25.6640625" style="13" customWidth="1"/>
    <col min="11" max="12" width="5.109375" style="13" customWidth="1"/>
    <col min="13" max="13" width="4.44140625" style="13" customWidth="1"/>
    <col min="14" max="14" width="4.88671875" style="13" customWidth="1"/>
    <col min="15" max="15" width="4.88671875" style="21" customWidth="1"/>
    <col min="16" max="16" width="4.88671875" style="13" customWidth="1"/>
    <col min="17" max="17" width="3.5546875" style="21" customWidth="1"/>
    <col min="18" max="18" width="3.5546875" style="13" customWidth="1"/>
    <col min="19" max="21" width="5.109375" style="13" customWidth="1"/>
    <col min="22" max="16384" width="10.33203125" style="13"/>
  </cols>
  <sheetData>
    <row r="1" spans="1:21" ht="40.799999999999997" x14ac:dyDescent="0.2">
      <c r="A1" s="8" t="s">
        <v>5</v>
      </c>
      <c r="B1" s="9" t="s">
        <v>6</v>
      </c>
      <c r="C1" s="9" t="s">
        <v>7</v>
      </c>
      <c r="D1" s="9" t="s">
        <v>8</v>
      </c>
      <c r="E1" s="9" t="s">
        <v>9</v>
      </c>
      <c r="F1" s="9" t="s">
        <v>10</v>
      </c>
      <c r="G1" s="9" t="s">
        <v>11</v>
      </c>
      <c r="H1" s="9" t="s">
        <v>12</v>
      </c>
      <c r="I1" s="8" t="s">
        <v>13</v>
      </c>
      <c r="J1" s="9" t="s">
        <v>14</v>
      </c>
      <c r="K1" s="57" t="s">
        <v>204</v>
      </c>
      <c r="L1" s="8" t="s">
        <v>15</v>
      </c>
      <c r="M1" s="9" t="s">
        <v>16</v>
      </c>
      <c r="N1" s="10" t="s">
        <v>17</v>
      </c>
      <c r="O1" s="11" t="s">
        <v>18</v>
      </c>
      <c r="P1" s="12" t="s">
        <v>19</v>
      </c>
      <c r="Q1" s="11" t="s">
        <v>20</v>
      </c>
      <c r="R1" s="12" t="s">
        <v>21</v>
      </c>
      <c r="S1" s="11" t="s">
        <v>22</v>
      </c>
      <c r="T1" s="11" t="s">
        <v>23</v>
      </c>
      <c r="U1" s="11" t="s">
        <v>24</v>
      </c>
    </row>
    <row r="2" spans="1:21" x14ac:dyDescent="0.2">
      <c r="A2" s="14" t="s">
        <v>38</v>
      </c>
      <c r="B2" s="14" t="s">
        <v>39</v>
      </c>
      <c r="C2" s="14" t="s">
        <v>40</v>
      </c>
      <c r="D2" s="14" t="s">
        <v>50</v>
      </c>
      <c r="E2" s="14" t="s">
        <v>51</v>
      </c>
      <c r="F2" s="14" t="s">
        <v>32</v>
      </c>
      <c r="G2" s="14" t="s">
        <v>45</v>
      </c>
      <c r="H2" s="14" t="s">
        <v>25</v>
      </c>
      <c r="I2" s="14" t="s">
        <v>36</v>
      </c>
      <c r="J2" s="14" t="s">
        <v>37</v>
      </c>
      <c r="K2" s="15">
        <v>1</v>
      </c>
      <c r="L2" s="14">
        <v>0.5</v>
      </c>
      <c r="M2" s="14" t="s">
        <v>44</v>
      </c>
      <c r="N2" s="14">
        <v>2016</v>
      </c>
      <c r="O2" s="16" t="s">
        <v>30</v>
      </c>
      <c r="P2" s="14" t="s">
        <v>26</v>
      </c>
      <c r="Q2" s="16" t="s">
        <v>27</v>
      </c>
      <c r="R2" s="17" t="s">
        <v>27</v>
      </c>
      <c r="S2" s="15">
        <v>50</v>
      </c>
      <c r="T2" s="15">
        <v>0.25</v>
      </c>
      <c r="U2" s="15">
        <v>0.25</v>
      </c>
    </row>
    <row r="3" spans="1:21" x14ac:dyDescent="0.2">
      <c r="A3" s="14" t="s">
        <v>34</v>
      </c>
      <c r="B3" s="14" t="s">
        <v>35</v>
      </c>
      <c r="C3" s="14" t="s">
        <v>41</v>
      </c>
      <c r="D3" s="14" t="s">
        <v>52</v>
      </c>
      <c r="E3" s="14" t="s">
        <v>53</v>
      </c>
      <c r="F3" s="14" t="s">
        <v>54</v>
      </c>
      <c r="G3" s="14" t="s">
        <v>55</v>
      </c>
      <c r="H3" s="14" t="s">
        <v>25</v>
      </c>
      <c r="I3" s="14" t="s">
        <v>36</v>
      </c>
      <c r="J3" s="14" t="s">
        <v>37</v>
      </c>
      <c r="K3" s="15">
        <v>1</v>
      </c>
      <c r="L3" s="14">
        <v>0.5</v>
      </c>
      <c r="M3" s="14" t="s">
        <v>44</v>
      </c>
      <c r="N3" s="14">
        <v>2017</v>
      </c>
      <c r="O3" s="16" t="s">
        <v>30</v>
      </c>
      <c r="P3" s="14" t="s">
        <v>29</v>
      </c>
      <c r="Q3" s="16" t="s">
        <v>27</v>
      </c>
      <c r="R3" s="17" t="s">
        <v>27</v>
      </c>
      <c r="S3" s="15">
        <v>80</v>
      </c>
      <c r="T3" s="15">
        <v>0.4</v>
      </c>
      <c r="U3" s="15">
        <v>0.1</v>
      </c>
    </row>
    <row r="4" spans="1:21" x14ac:dyDescent="0.2">
      <c r="A4" s="14" t="s">
        <v>34</v>
      </c>
      <c r="B4" s="14" t="s">
        <v>35</v>
      </c>
      <c r="C4" s="14" t="s">
        <v>41</v>
      </c>
      <c r="D4" s="14" t="s">
        <v>52</v>
      </c>
      <c r="E4" s="14" t="s">
        <v>53</v>
      </c>
      <c r="F4" s="14" t="s">
        <v>54</v>
      </c>
      <c r="G4" s="14" t="s">
        <v>43</v>
      </c>
      <c r="H4" s="14" t="s">
        <v>25</v>
      </c>
      <c r="I4" s="14" t="s">
        <v>36</v>
      </c>
      <c r="J4" s="14" t="s">
        <v>37</v>
      </c>
      <c r="K4" s="15">
        <v>1</v>
      </c>
      <c r="L4" s="14">
        <v>0.5</v>
      </c>
      <c r="M4" s="14" t="s">
        <v>44</v>
      </c>
      <c r="N4" s="14">
        <v>2017</v>
      </c>
      <c r="O4" s="16" t="s">
        <v>30</v>
      </c>
      <c r="P4" s="14" t="s">
        <v>29</v>
      </c>
      <c r="Q4" s="16" t="s">
        <v>27</v>
      </c>
      <c r="R4" s="17" t="s">
        <v>27</v>
      </c>
      <c r="S4" s="15">
        <v>80</v>
      </c>
      <c r="T4" s="15">
        <v>0.4</v>
      </c>
      <c r="U4" s="15">
        <v>0.1</v>
      </c>
    </row>
    <row r="5" spans="1:21" x14ac:dyDescent="0.2">
      <c r="A5" s="14" t="s">
        <v>38</v>
      </c>
      <c r="B5" s="14" t="s">
        <v>39</v>
      </c>
      <c r="C5" s="14" t="s">
        <v>40</v>
      </c>
      <c r="D5" s="14" t="s">
        <v>56</v>
      </c>
      <c r="E5" s="14" t="s">
        <v>57</v>
      </c>
      <c r="F5" s="14" t="s">
        <v>58</v>
      </c>
      <c r="G5" s="14" t="s">
        <v>59</v>
      </c>
      <c r="H5" s="14" t="s">
        <v>25</v>
      </c>
      <c r="I5" s="14" t="s">
        <v>36</v>
      </c>
      <c r="J5" s="14" t="s">
        <v>37</v>
      </c>
      <c r="K5" s="15">
        <v>1</v>
      </c>
      <c r="L5" s="14">
        <v>0.5</v>
      </c>
      <c r="M5" s="14" t="s">
        <v>44</v>
      </c>
      <c r="N5" s="14">
        <v>2017</v>
      </c>
      <c r="O5" s="16" t="s">
        <v>30</v>
      </c>
      <c r="P5" s="14" t="s">
        <v>29</v>
      </c>
      <c r="Q5" s="16" t="s">
        <v>27</v>
      </c>
      <c r="R5" s="17" t="s">
        <v>27</v>
      </c>
      <c r="S5" s="15">
        <v>80</v>
      </c>
      <c r="T5" s="15">
        <v>0.4</v>
      </c>
      <c r="U5" s="15">
        <v>0.1</v>
      </c>
    </row>
    <row r="6" spans="1:21" x14ac:dyDescent="0.2">
      <c r="A6" s="14" t="s">
        <v>38</v>
      </c>
      <c r="B6" s="14" t="s">
        <v>39</v>
      </c>
      <c r="C6" s="14" t="s">
        <v>40</v>
      </c>
      <c r="D6" s="14" t="s">
        <v>56</v>
      </c>
      <c r="E6" s="14" t="s">
        <v>57</v>
      </c>
      <c r="F6" s="14" t="s">
        <v>58</v>
      </c>
      <c r="G6" s="14" t="s">
        <v>60</v>
      </c>
      <c r="H6" s="14" t="s">
        <v>25</v>
      </c>
      <c r="I6" s="14" t="s">
        <v>36</v>
      </c>
      <c r="J6" s="14" t="s">
        <v>37</v>
      </c>
      <c r="K6" s="15">
        <v>1</v>
      </c>
      <c r="L6" s="14">
        <v>0.5</v>
      </c>
      <c r="M6" s="14" t="s">
        <v>44</v>
      </c>
      <c r="N6" s="14">
        <v>2017</v>
      </c>
      <c r="O6" s="16" t="s">
        <v>30</v>
      </c>
      <c r="P6" s="14" t="s">
        <v>26</v>
      </c>
      <c r="Q6" s="16" t="s">
        <v>27</v>
      </c>
      <c r="R6" s="17" t="s">
        <v>27</v>
      </c>
      <c r="S6" s="15">
        <v>50</v>
      </c>
      <c r="T6" s="15">
        <v>0.25</v>
      </c>
      <c r="U6" s="15">
        <v>0.25</v>
      </c>
    </row>
    <row r="7" spans="1:21" x14ac:dyDescent="0.2">
      <c r="A7" s="14" t="s">
        <v>38</v>
      </c>
      <c r="B7" s="14" t="s">
        <v>39</v>
      </c>
      <c r="C7" s="14" t="s">
        <v>40</v>
      </c>
      <c r="D7" s="14" t="s">
        <v>61</v>
      </c>
      <c r="E7" s="14" t="s">
        <v>62</v>
      </c>
      <c r="F7" s="14" t="s">
        <v>63</v>
      </c>
      <c r="G7" s="14" t="s">
        <v>46</v>
      </c>
      <c r="H7" s="14" t="s">
        <v>28</v>
      </c>
      <c r="I7" s="14" t="s">
        <v>36</v>
      </c>
      <c r="J7" s="14" t="s">
        <v>37</v>
      </c>
      <c r="K7" s="15">
        <v>1</v>
      </c>
      <c r="L7" s="14">
        <v>1</v>
      </c>
      <c r="M7" s="14" t="s">
        <v>44</v>
      </c>
      <c r="N7" s="14">
        <v>2017</v>
      </c>
      <c r="O7" s="16" t="s">
        <v>30</v>
      </c>
      <c r="P7" s="14" t="s">
        <v>29</v>
      </c>
      <c r="Q7" s="16" t="s">
        <v>27</v>
      </c>
      <c r="R7" s="17" t="s">
        <v>27</v>
      </c>
      <c r="S7" s="15">
        <v>80</v>
      </c>
      <c r="T7" s="15">
        <v>0.8</v>
      </c>
      <c r="U7" s="15">
        <v>0.2</v>
      </c>
    </row>
    <row r="8" spans="1:21" x14ac:dyDescent="0.2">
      <c r="A8" s="14" t="s">
        <v>38</v>
      </c>
      <c r="B8" s="14" t="s">
        <v>39</v>
      </c>
      <c r="C8" s="14" t="s">
        <v>40</v>
      </c>
      <c r="D8" s="14" t="s">
        <v>64</v>
      </c>
      <c r="E8" s="14" t="s">
        <v>65</v>
      </c>
      <c r="F8" s="14" t="s">
        <v>33</v>
      </c>
      <c r="G8" s="14" t="s">
        <v>45</v>
      </c>
      <c r="H8" s="14" t="s">
        <v>25</v>
      </c>
      <c r="I8" s="14" t="s">
        <v>36</v>
      </c>
      <c r="J8" s="14" t="s">
        <v>37</v>
      </c>
      <c r="K8" s="15">
        <v>1</v>
      </c>
      <c r="L8" s="14">
        <v>0.5</v>
      </c>
      <c r="M8" s="14" t="s">
        <v>44</v>
      </c>
      <c r="N8" s="14">
        <v>2017</v>
      </c>
      <c r="O8" s="16" t="s">
        <v>30</v>
      </c>
      <c r="P8" s="14" t="s">
        <v>26</v>
      </c>
      <c r="Q8" s="16" t="s">
        <v>27</v>
      </c>
      <c r="R8" s="17" t="s">
        <v>27</v>
      </c>
      <c r="S8" s="15">
        <v>50</v>
      </c>
      <c r="T8" s="15">
        <v>0.25</v>
      </c>
      <c r="U8" s="15">
        <v>0.25</v>
      </c>
    </row>
    <row r="9" spans="1:21" x14ac:dyDescent="0.2">
      <c r="A9" s="14" t="s">
        <v>38</v>
      </c>
      <c r="B9" s="14" t="s">
        <v>39</v>
      </c>
      <c r="C9" s="14" t="s">
        <v>40</v>
      </c>
      <c r="D9" s="14" t="s">
        <v>66</v>
      </c>
      <c r="E9" s="14" t="s">
        <v>67</v>
      </c>
      <c r="F9" s="14" t="s">
        <v>68</v>
      </c>
      <c r="G9" s="14" t="s">
        <v>47</v>
      </c>
      <c r="H9" s="14" t="s">
        <v>28</v>
      </c>
      <c r="I9" s="14" t="s">
        <v>36</v>
      </c>
      <c r="J9" s="14" t="s">
        <v>37</v>
      </c>
      <c r="K9" s="15">
        <v>1</v>
      </c>
      <c r="L9" s="14">
        <v>1</v>
      </c>
      <c r="M9" s="14" t="s">
        <v>44</v>
      </c>
      <c r="N9" s="14">
        <v>2018</v>
      </c>
      <c r="O9" s="16" t="s">
        <v>30</v>
      </c>
      <c r="P9" s="14" t="s">
        <v>29</v>
      </c>
      <c r="Q9" s="16" t="s">
        <v>27</v>
      </c>
      <c r="R9" s="17" t="s">
        <v>27</v>
      </c>
      <c r="S9" s="15">
        <v>80</v>
      </c>
      <c r="T9" s="15">
        <v>0.8</v>
      </c>
      <c r="U9" s="15">
        <v>0.2</v>
      </c>
    </row>
    <row r="10" spans="1:21" x14ac:dyDescent="0.2">
      <c r="A10" s="14" t="s">
        <v>38</v>
      </c>
      <c r="B10" s="14" t="s">
        <v>39</v>
      </c>
      <c r="C10" s="14" t="s">
        <v>40</v>
      </c>
      <c r="D10" s="14" t="s">
        <v>82</v>
      </c>
      <c r="E10" s="14" t="s">
        <v>83</v>
      </c>
      <c r="F10" s="14" t="s">
        <v>84</v>
      </c>
      <c r="G10" s="14" t="s">
        <v>85</v>
      </c>
      <c r="H10" s="14" t="s">
        <v>28</v>
      </c>
      <c r="I10" s="14" t="s">
        <v>36</v>
      </c>
      <c r="J10" s="14" t="s">
        <v>37</v>
      </c>
      <c r="K10" s="15">
        <v>1</v>
      </c>
      <c r="L10" s="14">
        <v>1</v>
      </c>
      <c r="M10" s="14" t="s">
        <v>44</v>
      </c>
      <c r="N10" s="14">
        <v>2018</v>
      </c>
      <c r="O10" s="16" t="s">
        <v>30</v>
      </c>
      <c r="P10" s="14" t="s">
        <v>29</v>
      </c>
      <c r="Q10" s="16" t="s">
        <v>27</v>
      </c>
      <c r="R10" s="17" t="s">
        <v>27</v>
      </c>
      <c r="S10" s="15">
        <v>80</v>
      </c>
      <c r="T10" s="15">
        <v>0.8</v>
      </c>
      <c r="U10" s="15">
        <v>0.2</v>
      </c>
    </row>
    <row r="11" spans="1:21" x14ac:dyDescent="0.2">
      <c r="A11" s="14" t="s">
        <v>38</v>
      </c>
      <c r="B11" s="14" t="s">
        <v>39</v>
      </c>
      <c r="C11" s="14" t="s">
        <v>40</v>
      </c>
      <c r="D11" s="14" t="s">
        <v>78</v>
      </c>
      <c r="E11" s="14" t="s">
        <v>79</v>
      </c>
      <c r="F11" s="14" t="s">
        <v>42</v>
      </c>
      <c r="G11" s="14" t="s">
        <v>80</v>
      </c>
      <c r="H11" s="14" t="s">
        <v>25</v>
      </c>
      <c r="I11" s="14" t="s">
        <v>36</v>
      </c>
      <c r="J11" s="14" t="s">
        <v>37</v>
      </c>
      <c r="K11" s="15">
        <v>1</v>
      </c>
      <c r="L11" s="14">
        <v>0.5</v>
      </c>
      <c r="M11" s="14" t="s">
        <v>44</v>
      </c>
      <c r="N11" s="14">
        <v>2018</v>
      </c>
      <c r="O11" s="16" t="s">
        <v>30</v>
      </c>
      <c r="P11" s="14" t="s">
        <v>29</v>
      </c>
      <c r="Q11" s="16" t="s">
        <v>27</v>
      </c>
      <c r="R11" s="17" t="s">
        <v>27</v>
      </c>
      <c r="S11" s="15">
        <v>80</v>
      </c>
      <c r="T11" s="15">
        <v>0.4</v>
      </c>
      <c r="U11" s="15">
        <v>0.1</v>
      </c>
    </row>
    <row r="12" spans="1:21" x14ac:dyDescent="0.2">
      <c r="A12" s="14" t="s">
        <v>38</v>
      </c>
      <c r="B12" s="14" t="s">
        <v>39</v>
      </c>
      <c r="C12" s="14" t="s">
        <v>40</v>
      </c>
      <c r="D12" s="14" t="s">
        <v>78</v>
      </c>
      <c r="E12" s="14" t="s">
        <v>79</v>
      </c>
      <c r="F12" s="14" t="s">
        <v>42</v>
      </c>
      <c r="G12" s="14" t="s">
        <v>81</v>
      </c>
      <c r="H12" s="14" t="s">
        <v>25</v>
      </c>
      <c r="I12" s="14" t="s">
        <v>36</v>
      </c>
      <c r="J12" s="14" t="s">
        <v>37</v>
      </c>
      <c r="K12" s="15">
        <v>1</v>
      </c>
      <c r="L12" s="14">
        <v>0.5</v>
      </c>
      <c r="M12" s="14" t="s">
        <v>44</v>
      </c>
      <c r="N12" s="14">
        <v>2018</v>
      </c>
      <c r="O12" s="16" t="s">
        <v>30</v>
      </c>
      <c r="P12" s="14" t="s">
        <v>29</v>
      </c>
      <c r="Q12" s="16" t="s">
        <v>27</v>
      </c>
      <c r="R12" s="17" t="s">
        <v>27</v>
      </c>
      <c r="S12" s="15">
        <v>80</v>
      </c>
      <c r="T12" s="15">
        <v>0.4</v>
      </c>
      <c r="U12" s="15">
        <v>0.1</v>
      </c>
    </row>
    <row r="13" spans="1:21" x14ac:dyDescent="0.2">
      <c r="A13" s="14" t="s">
        <v>38</v>
      </c>
      <c r="B13" s="14" t="s">
        <v>39</v>
      </c>
      <c r="C13" s="14" t="s">
        <v>40</v>
      </c>
      <c r="D13" s="14" t="s">
        <v>86</v>
      </c>
      <c r="E13" s="14" t="s">
        <v>87</v>
      </c>
      <c r="F13" s="14" t="s">
        <v>77</v>
      </c>
      <c r="G13" s="14" t="s">
        <v>48</v>
      </c>
      <c r="H13" s="14" t="s">
        <v>28</v>
      </c>
      <c r="I13" s="14" t="s">
        <v>36</v>
      </c>
      <c r="J13" s="14" t="s">
        <v>37</v>
      </c>
      <c r="K13" s="15">
        <v>1</v>
      </c>
      <c r="L13" s="14">
        <v>1</v>
      </c>
      <c r="M13" s="14" t="s">
        <v>44</v>
      </c>
      <c r="N13" s="14">
        <v>2018</v>
      </c>
      <c r="O13" s="16" t="s">
        <v>30</v>
      </c>
      <c r="P13" s="14" t="s">
        <v>29</v>
      </c>
      <c r="Q13" s="16" t="s">
        <v>27</v>
      </c>
      <c r="R13" s="17" t="s">
        <v>27</v>
      </c>
      <c r="S13" s="15">
        <v>80</v>
      </c>
      <c r="T13" s="15">
        <v>0.8</v>
      </c>
      <c r="U13" s="15">
        <v>0.2</v>
      </c>
    </row>
    <row r="14" spans="1:21" x14ac:dyDescent="0.2">
      <c r="A14" s="14" t="s">
        <v>38</v>
      </c>
      <c r="B14" s="14" t="s">
        <v>39</v>
      </c>
      <c r="C14" s="14" t="s">
        <v>40</v>
      </c>
      <c r="D14" s="14" t="s">
        <v>75</v>
      </c>
      <c r="E14" s="14" t="s">
        <v>76</v>
      </c>
      <c r="F14" s="14" t="s">
        <v>77</v>
      </c>
      <c r="G14" s="14" t="s">
        <v>46</v>
      </c>
      <c r="H14" s="14" t="s">
        <v>28</v>
      </c>
      <c r="I14" s="14" t="s">
        <v>36</v>
      </c>
      <c r="J14" s="14" t="s">
        <v>37</v>
      </c>
      <c r="K14" s="15">
        <v>1</v>
      </c>
      <c r="L14" s="14">
        <v>1</v>
      </c>
      <c r="M14" s="14" t="s">
        <v>44</v>
      </c>
      <c r="N14" s="14">
        <v>2018</v>
      </c>
      <c r="O14" s="16" t="s">
        <v>30</v>
      </c>
      <c r="P14" s="14" t="s">
        <v>29</v>
      </c>
      <c r="Q14" s="16" t="s">
        <v>27</v>
      </c>
      <c r="R14" s="17" t="s">
        <v>27</v>
      </c>
      <c r="S14" s="15">
        <v>80</v>
      </c>
      <c r="T14" s="15">
        <v>0.8</v>
      </c>
      <c r="U14" s="15">
        <v>0.2</v>
      </c>
    </row>
    <row r="15" spans="1:21" x14ac:dyDescent="0.2">
      <c r="A15" s="14" t="s">
        <v>38</v>
      </c>
      <c r="B15" s="14" t="s">
        <v>39</v>
      </c>
      <c r="C15" s="14" t="s">
        <v>40</v>
      </c>
      <c r="D15" s="14" t="s">
        <v>72</v>
      </c>
      <c r="E15" s="14" t="s">
        <v>73</v>
      </c>
      <c r="F15" s="14" t="s">
        <v>74</v>
      </c>
      <c r="G15" s="14" t="s">
        <v>45</v>
      </c>
      <c r="H15" s="14" t="s">
        <v>28</v>
      </c>
      <c r="I15" s="14" t="s">
        <v>36</v>
      </c>
      <c r="J15" s="14" t="s">
        <v>37</v>
      </c>
      <c r="K15" s="15">
        <v>1</v>
      </c>
      <c r="L15" s="14">
        <v>1</v>
      </c>
      <c r="M15" s="14" t="s">
        <v>44</v>
      </c>
      <c r="N15" s="14">
        <v>2018</v>
      </c>
      <c r="O15" s="16" t="s">
        <v>30</v>
      </c>
      <c r="P15" s="14" t="s">
        <v>26</v>
      </c>
      <c r="Q15" s="16" t="s">
        <v>27</v>
      </c>
      <c r="R15" s="17" t="s">
        <v>27</v>
      </c>
      <c r="S15" s="15">
        <v>50</v>
      </c>
      <c r="T15" s="15">
        <v>0.5</v>
      </c>
      <c r="U15" s="15">
        <v>0.5</v>
      </c>
    </row>
    <row r="16" spans="1:21" x14ac:dyDescent="0.2">
      <c r="A16" s="14" t="s">
        <v>38</v>
      </c>
      <c r="B16" s="14" t="s">
        <v>39</v>
      </c>
      <c r="C16" s="14" t="s">
        <v>40</v>
      </c>
      <c r="D16" s="14" t="s">
        <v>69</v>
      </c>
      <c r="E16" s="14" t="s">
        <v>70</v>
      </c>
      <c r="F16" s="14" t="s">
        <v>31</v>
      </c>
      <c r="G16" s="14" t="s">
        <v>45</v>
      </c>
      <c r="H16" s="14" t="s">
        <v>25</v>
      </c>
      <c r="I16" s="14" t="s">
        <v>36</v>
      </c>
      <c r="J16" s="14" t="s">
        <v>37</v>
      </c>
      <c r="K16" s="15">
        <v>1</v>
      </c>
      <c r="L16" s="14">
        <v>0.5</v>
      </c>
      <c r="M16" s="14" t="s">
        <v>44</v>
      </c>
      <c r="N16" s="14">
        <v>2018</v>
      </c>
      <c r="O16" s="16" t="s">
        <v>30</v>
      </c>
      <c r="P16" s="14" t="s">
        <v>26</v>
      </c>
      <c r="Q16" s="16" t="s">
        <v>27</v>
      </c>
      <c r="R16" s="17" t="s">
        <v>27</v>
      </c>
      <c r="S16" s="15">
        <v>50</v>
      </c>
      <c r="T16" s="15">
        <v>0.25</v>
      </c>
      <c r="U16" s="15">
        <v>0.25</v>
      </c>
    </row>
    <row r="17" spans="1:21" x14ac:dyDescent="0.2">
      <c r="A17" s="14" t="s">
        <v>38</v>
      </c>
      <c r="B17" s="14" t="s">
        <v>39</v>
      </c>
      <c r="C17" s="14" t="s">
        <v>40</v>
      </c>
      <c r="D17" s="14" t="s">
        <v>69</v>
      </c>
      <c r="E17" s="14" t="s">
        <v>70</v>
      </c>
      <c r="F17" s="14" t="s">
        <v>31</v>
      </c>
      <c r="G17" s="14" t="s">
        <v>71</v>
      </c>
      <c r="H17" s="14" t="s">
        <v>25</v>
      </c>
      <c r="I17" s="14" t="s">
        <v>36</v>
      </c>
      <c r="J17" s="14" t="s">
        <v>37</v>
      </c>
      <c r="K17" s="15">
        <v>1</v>
      </c>
      <c r="L17" s="14">
        <v>0.5</v>
      </c>
      <c r="M17" s="14" t="s">
        <v>44</v>
      </c>
      <c r="N17" s="14">
        <v>2018</v>
      </c>
      <c r="O17" s="16" t="s">
        <v>27</v>
      </c>
      <c r="P17" s="14" t="s">
        <v>27</v>
      </c>
      <c r="Q17" s="16" t="s">
        <v>27</v>
      </c>
      <c r="R17" s="17" t="s">
        <v>27</v>
      </c>
      <c r="S17" s="15">
        <v>100</v>
      </c>
      <c r="T17" s="15">
        <v>0.5</v>
      </c>
      <c r="U17" s="15">
        <v>0</v>
      </c>
    </row>
    <row r="18" spans="1:21" x14ac:dyDescent="0.2">
      <c r="A18" s="14" t="s">
        <v>38</v>
      </c>
      <c r="B18" s="14" t="s">
        <v>39</v>
      </c>
      <c r="C18" s="14" t="s">
        <v>40</v>
      </c>
      <c r="D18" s="14" t="s">
        <v>161</v>
      </c>
      <c r="E18" s="14" t="s">
        <v>162</v>
      </c>
      <c r="F18" s="14" t="s">
        <v>163</v>
      </c>
      <c r="G18" s="14" t="s">
        <v>45</v>
      </c>
      <c r="H18" s="14" t="s">
        <v>25</v>
      </c>
      <c r="I18" s="14" t="s">
        <v>36</v>
      </c>
      <c r="J18" s="14" t="s">
        <v>37</v>
      </c>
      <c r="K18" s="15">
        <v>1</v>
      </c>
      <c r="L18" s="14">
        <v>0.5</v>
      </c>
      <c r="M18" s="14" t="s">
        <v>44</v>
      </c>
      <c r="N18" s="14">
        <v>2019</v>
      </c>
      <c r="O18" s="16" t="s">
        <v>30</v>
      </c>
      <c r="P18" s="14" t="s">
        <v>26</v>
      </c>
      <c r="Q18" s="16" t="s">
        <v>27</v>
      </c>
      <c r="R18" s="17" t="s">
        <v>27</v>
      </c>
      <c r="S18" s="15">
        <v>50</v>
      </c>
      <c r="T18" s="15">
        <v>0.25</v>
      </c>
      <c r="U18" s="15">
        <v>0.25</v>
      </c>
    </row>
    <row r="19" spans="1:21" x14ac:dyDescent="0.2">
      <c r="A19" s="14" t="s">
        <v>38</v>
      </c>
      <c r="B19" s="14" t="s">
        <v>39</v>
      </c>
      <c r="C19" s="14" t="s">
        <v>40</v>
      </c>
      <c r="D19" s="14" t="s">
        <v>158</v>
      </c>
      <c r="E19" s="14" t="s">
        <v>159</v>
      </c>
      <c r="F19" s="14" t="s">
        <v>160</v>
      </c>
      <c r="G19" s="14" t="s">
        <v>45</v>
      </c>
      <c r="H19" s="14" t="s">
        <v>25</v>
      </c>
      <c r="I19" s="14" t="s">
        <v>36</v>
      </c>
      <c r="J19" s="14" t="s">
        <v>37</v>
      </c>
      <c r="K19" s="15">
        <v>1</v>
      </c>
      <c r="L19" s="14">
        <v>0.5</v>
      </c>
      <c r="M19" s="14" t="s">
        <v>44</v>
      </c>
      <c r="N19" s="14">
        <v>2019</v>
      </c>
      <c r="O19" s="16" t="s">
        <v>30</v>
      </c>
      <c r="P19" s="14" t="s">
        <v>26</v>
      </c>
      <c r="Q19" s="16" t="s">
        <v>27</v>
      </c>
      <c r="R19" s="17" t="s">
        <v>27</v>
      </c>
      <c r="S19" s="15">
        <v>50</v>
      </c>
      <c r="T19" s="15">
        <v>0.25</v>
      </c>
      <c r="U19" s="15">
        <v>0.25</v>
      </c>
    </row>
    <row r="20" spans="1:21" x14ac:dyDescent="0.2">
      <c r="A20" s="14" t="s">
        <v>38</v>
      </c>
      <c r="B20" s="14" t="s">
        <v>39</v>
      </c>
      <c r="C20" s="14" t="s">
        <v>40</v>
      </c>
      <c r="D20" s="14" t="s">
        <v>164</v>
      </c>
      <c r="E20" s="14" t="s">
        <v>165</v>
      </c>
      <c r="F20" s="14" t="s">
        <v>166</v>
      </c>
      <c r="G20" s="14" t="s">
        <v>167</v>
      </c>
      <c r="H20" s="14" t="s">
        <v>25</v>
      </c>
      <c r="I20" s="14" t="s">
        <v>36</v>
      </c>
      <c r="J20" s="14" t="s">
        <v>37</v>
      </c>
      <c r="K20" s="15">
        <v>1</v>
      </c>
      <c r="L20" s="14">
        <v>0.5</v>
      </c>
      <c r="M20" s="14" t="s">
        <v>44</v>
      </c>
      <c r="N20" s="14">
        <v>2019</v>
      </c>
      <c r="O20" s="16" t="s">
        <v>30</v>
      </c>
      <c r="P20" s="14" t="s">
        <v>29</v>
      </c>
      <c r="Q20" s="16" t="s">
        <v>27</v>
      </c>
      <c r="R20" s="17" t="s">
        <v>27</v>
      </c>
      <c r="S20" s="15">
        <v>80</v>
      </c>
      <c r="T20" s="15">
        <v>0.4</v>
      </c>
      <c r="U20" s="15">
        <v>0.1</v>
      </c>
    </row>
    <row r="21" spans="1:21" x14ac:dyDescent="0.2">
      <c r="A21" s="14" t="s">
        <v>38</v>
      </c>
      <c r="B21" s="14" t="s">
        <v>39</v>
      </c>
      <c r="C21" s="14" t="s">
        <v>40</v>
      </c>
      <c r="D21" s="14" t="s">
        <v>168</v>
      </c>
      <c r="E21" s="14" t="s">
        <v>169</v>
      </c>
      <c r="F21" s="14" t="s">
        <v>170</v>
      </c>
      <c r="G21" s="14" t="s">
        <v>45</v>
      </c>
      <c r="H21" s="14" t="s">
        <v>28</v>
      </c>
      <c r="I21" s="14" t="s">
        <v>36</v>
      </c>
      <c r="J21" s="14" t="s">
        <v>37</v>
      </c>
      <c r="K21" s="15">
        <v>1</v>
      </c>
      <c r="L21" s="14">
        <v>1</v>
      </c>
      <c r="M21" s="14" t="s">
        <v>44</v>
      </c>
      <c r="N21" s="14">
        <v>2019</v>
      </c>
      <c r="O21" s="16" t="s">
        <v>30</v>
      </c>
      <c r="P21" s="14" t="s">
        <v>26</v>
      </c>
      <c r="Q21" s="16" t="s">
        <v>27</v>
      </c>
      <c r="R21" s="17" t="s">
        <v>27</v>
      </c>
      <c r="S21" s="15">
        <v>50</v>
      </c>
      <c r="T21" s="15">
        <v>0.5</v>
      </c>
      <c r="U21" s="15">
        <v>0.5</v>
      </c>
    </row>
    <row r="22" spans="1:21" x14ac:dyDescent="0.2">
      <c r="A22" s="14" t="s">
        <v>38</v>
      </c>
      <c r="B22" s="14" t="s">
        <v>39</v>
      </c>
      <c r="C22" s="14" t="s">
        <v>40</v>
      </c>
      <c r="D22" s="14" t="s">
        <v>177</v>
      </c>
      <c r="E22" s="14" t="s">
        <v>178</v>
      </c>
      <c r="F22" s="14" t="s">
        <v>179</v>
      </c>
      <c r="G22" s="14" t="s">
        <v>180</v>
      </c>
      <c r="H22" s="14" t="s">
        <v>25</v>
      </c>
      <c r="I22" s="14" t="s">
        <v>36</v>
      </c>
      <c r="J22" s="14" t="s">
        <v>37</v>
      </c>
      <c r="K22" s="15">
        <v>1</v>
      </c>
      <c r="L22" s="14">
        <v>0.5</v>
      </c>
      <c r="M22" s="14" t="s">
        <v>44</v>
      </c>
      <c r="N22" s="14">
        <v>2020</v>
      </c>
      <c r="O22" s="16" t="s">
        <v>30</v>
      </c>
      <c r="P22" s="14" t="s">
        <v>29</v>
      </c>
      <c r="Q22" s="16" t="s">
        <v>27</v>
      </c>
      <c r="R22" s="17" t="s">
        <v>27</v>
      </c>
      <c r="S22" s="15">
        <v>80</v>
      </c>
      <c r="T22" s="15">
        <v>0.4</v>
      </c>
      <c r="U22" s="15">
        <v>0.1</v>
      </c>
    </row>
    <row r="23" spans="1:21" x14ac:dyDescent="0.2">
      <c r="A23" s="14" t="s">
        <v>38</v>
      </c>
      <c r="B23" s="14" t="s">
        <v>39</v>
      </c>
      <c r="C23" s="14" t="s">
        <v>40</v>
      </c>
      <c r="D23" s="14" t="s">
        <v>181</v>
      </c>
      <c r="E23" s="14" t="s">
        <v>182</v>
      </c>
      <c r="F23" s="14" t="s">
        <v>183</v>
      </c>
      <c r="G23" s="14" t="s">
        <v>167</v>
      </c>
      <c r="H23" s="14" t="s">
        <v>25</v>
      </c>
      <c r="I23" s="14" t="s">
        <v>36</v>
      </c>
      <c r="J23" s="14" t="s">
        <v>37</v>
      </c>
      <c r="K23" s="18">
        <v>1</v>
      </c>
      <c r="L23" s="14">
        <v>0.5</v>
      </c>
      <c r="M23" s="14" t="s">
        <v>44</v>
      </c>
      <c r="N23" s="14">
        <v>2020</v>
      </c>
      <c r="O23" s="16" t="s">
        <v>30</v>
      </c>
      <c r="P23" s="14" t="s">
        <v>29</v>
      </c>
      <c r="Q23" s="16" t="s">
        <v>27</v>
      </c>
      <c r="R23" s="17" t="s">
        <v>27</v>
      </c>
      <c r="S23" s="15">
        <v>80</v>
      </c>
      <c r="T23" s="15">
        <v>0.4</v>
      </c>
      <c r="U23" s="15">
        <v>0.1</v>
      </c>
    </row>
    <row r="24" spans="1:21" x14ac:dyDescent="0.2">
      <c r="A24" s="14" t="s">
        <v>38</v>
      </c>
      <c r="B24" s="14" t="s">
        <v>39</v>
      </c>
      <c r="C24" s="14" t="s">
        <v>40</v>
      </c>
      <c r="D24" s="14" t="s">
        <v>181</v>
      </c>
      <c r="E24" s="14" t="s">
        <v>182</v>
      </c>
      <c r="F24" s="14" t="s">
        <v>183</v>
      </c>
      <c r="G24" s="14" t="s">
        <v>45</v>
      </c>
      <c r="H24" s="14" t="s">
        <v>25</v>
      </c>
      <c r="I24" s="14" t="s">
        <v>36</v>
      </c>
      <c r="J24" s="14" t="s">
        <v>37</v>
      </c>
      <c r="K24" s="18">
        <v>1</v>
      </c>
      <c r="L24" s="14">
        <v>0.5</v>
      </c>
      <c r="M24" s="14" t="s">
        <v>44</v>
      </c>
      <c r="N24" s="14">
        <v>2020</v>
      </c>
      <c r="O24" s="16" t="s">
        <v>30</v>
      </c>
      <c r="P24" s="14" t="s">
        <v>26</v>
      </c>
      <c r="Q24" s="16" t="s">
        <v>27</v>
      </c>
      <c r="R24" s="17" t="s">
        <v>27</v>
      </c>
      <c r="S24" s="15">
        <v>50</v>
      </c>
      <c r="T24" s="15">
        <v>0.25</v>
      </c>
      <c r="U24" s="15">
        <v>0.25</v>
      </c>
    </row>
    <row r="25" spans="1:21" x14ac:dyDescent="0.2">
      <c r="A25" s="14" t="s">
        <v>38</v>
      </c>
      <c r="B25" s="14" t="s">
        <v>39</v>
      </c>
      <c r="C25" s="14" t="s">
        <v>40</v>
      </c>
      <c r="D25" s="14" t="s">
        <v>184</v>
      </c>
      <c r="E25" s="14" t="s">
        <v>185</v>
      </c>
      <c r="F25" s="14" t="s">
        <v>186</v>
      </c>
      <c r="G25" s="14" t="s">
        <v>49</v>
      </c>
      <c r="H25" s="14" t="s">
        <v>25</v>
      </c>
      <c r="I25" s="14" t="s">
        <v>36</v>
      </c>
      <c r="J25" s="14" t="s">
        <v>37</v>
      </c>
      <c r="K25" s="18">
        <v>1</v>
      </c>
      <c r="L25" s="14">
        <v>0.5</v>
      </c>
      <c r="M25" s="14" t="s">
        <v>44</v>
      </c>
      <c r="N25" s="14">
        <v>2020</v>
      </c>
      <c r="O25" s="16" t="s">
        <v>30</v>
      </c>
      <c r="P25" s="14" t="s">
        <v>29</v>
      </c>
      <c r="Q25" s="16" t="s">
        <v>27</v>
      </c>
      <c r="R25" s="17" t="s">
        <v>27</v>
      </c>
      <c r="S25" s="15">
        <v>80</v>
      </c>
      <c r="T25" s="15">
        <v>0.4</v>
      </c>
      <c r="U25" s="15">
        <v>0.1</v>
      </c>
    </row>
    <row r="26" spans="1:21" x14ac:dyDescent="0.2">
      <c r="A26" s="14" t="s">
        <v>38</v>
      </c>
      <c r="B26" s="14" t="s">
        <v>39</v>
      </c>
      <c r="C26" s="14" t="s">
        <v>40</v>
      </c>
      <c r="D26" s="14" t="s">
        <v>184</v>
      </c>
      <c r="E26" s="14" t="s">
        <v>185</v>
      </c>
      <c r="F26" s="14" t="s">
        <v>186</v>
      </c>
      <c r="G26" s="14" t="s">
        <v>45</v>
      </c>
      <c r="H26" s="14" t="s">
        <v>25</v>
      </c>
      <c r="I26" s="14" t="s">
        <v>36</v>
      </c>
      <c r="J26" s="14" t="s">
        <v>37</v>
      </c>
      <c r="K26" s="18">
        <v>1</v>
      </c>
      <c r="L26" s="14">
        <v>0.5</v>
      </c>
      <c r="M26" s="14" t="s">
        <v>44</v>
      </c>
      <c r="N26" s="14">
        <v>2020</v>
      </c>
      <c r="O26" s="16" t="s">
        <v>30</v>
      </c>
      <c r="P26" s="14" t="s">
        <v>26</v>
      </c>
      <c r="Q26" s="16" t="s">
        <v>27</v>
      </c>
      <c r="R26" s="17" t="s">
        <v>27</v>
      </c>
      <c r="S26" s="15">
        <v>50</v>
      </c>
      <c r="T26" s="15">
        <v>0.25</v>
      </c>
      <c r="U26" s="15">
        <v>0.25</v>
      </c>
    </row>
    <row r="27" spans="1:21" x14ac:dyDescent="0.2">
      <c r="A27" s="14" t="s">
        <v>38</v>
      </c>
      <c r="B27" s="14" t="s">
        <v>39</v>
      </c>
      <c r="C27" s="14" t="s">
        <v>40</v>
      </c>
      <c r="D27" s="14" t="s">
        <v>187</v>
      </c>
      <c r="E27" s="14" t="s">
        <v>188</v>
      </c>
      <c r="F27" s="14" t="s">
        <v>189</v>
      </c>
      <c r="G27" s="14" t="s">
        <v>167</v>
      </c>
      <c r="H27" s="14" t="s">
        <v>25</v>
      </c>
      <c r="I27" s="14" t="s">
        <v>36</v>
      </c>
      <c r="J27" s="14" t="s">
        <v>37</v>
      </c>
      <c r="K27" s="18">
        <v>1</v>
      </c>
      <c r="L27" s="14">
        <v>0.5</v>
      </c>
      <c r="M27" s="14" t="s">
        <v>44</v>
      </c>
      <c r="N27" s="14">
        <v>2020</v>
      </c>
      <c r="O27" s="16" t="s">
        <v>30</v>
      </c>
      <c r="P27" s="14" t="s">
        <v>29</v>
      </c>
      <c r="Q27" s="16" t="s">
        <v>27</v>
      </c>
      <c r="R27" s="17" t="s">
        <v>27</v>
      </c>
      <c r="S27" s="15">
        <v>80</v>
      </c>
      <c r="T27" s="15">
        <v>0.4</v>
      </c>
      <c r="U27" s="15">
        <v>0.1</v>
      </c>
    </row>
    <row r="28" spans="1:21" x14ac:dyDescent="0.2">
      <c r="A28" s="14" t="s">
        <v>38</v>
      </c>
      <c r="B28" s="14" t="s">
        <v>39</v>
      </c>
      <c r="C28" s="14" t="s">
        <v>40</v>
      </c>
      <c r="D28" s="14" t="s">
        <v>187</v>
      </c>
      <c r="E28" s="14" t="s">
        <v>188</v>
      </c>
      <c r="F28" s="14" t="s">
        <v>189</v>
      </c>
      <c r="G28" s="14" t="s">
        <v>45</v>
      </c>
      <c r="H28" s="14" t="s">
        <v>25</v>
      </c>
      <c r="I28" s="14" t="s">
        <v>36</v>
      </c>
      <c r="J28" s="14" t="s">
        <v>37</v>
      </c>
      <c r="K28" s="18">
        <v>1</v>
      </c>
      <c r="L28" s="14">
        <v>0.5</v>
      </c>
      <c r="M28" s="14" t="s">
        <v>44</v>
      </c>
      <c r="N28" s="14">
        <v>2020</v>
      </c>
      <c r="O28" s="16" t="s">
        <v>30</v>
      </c>
      <c r="P28" s="14" t="s">
        <v>26</v>
      </c>
      <c r="Q28" s="16" t="s">
        <v>27</v>
      </c>
      <c r="R28" s="17" t="s">
        <v>27</v>
      </c>
      <c r="S28" s="15">
        <v>50</v>
      </c>
      <c r="T28" s="15">
        <v>0.25</v>
      </c>
      <c r="U28" s="15">
        <v>0.25</v>
      </c>
    </row>
    <row r="29" spans="1:21" x14ac:dyDescent="0.2">
      <c r="A29" s="14" t="s">
        <v>38</v>
      </c>
      <c r="B29" s="14" t="s">
        <v>39</v>
      </c>
      <c r="C29" s="14" t="s">
        <v>40</v>
      </c>
      <c r="D29" s="14" t="s">
        <v>224</v>
      </c>
      <c r="E29" s="14" t="s">
        <v>225</v>
      </c>
      <c r="F29" s="14" t="s">
        <v>226</v>
      </c>
      <c r="G29" s="14" t="s">
        <v>48</v>
      </c>
      <c r="H29" s="14" t="s">
        <v>25</v>
      </c>
      <c r="I29" s="14" t="s">
        <v>36</v>
      </c>
      <c r="J29" s="14" t="s">
        <v>37</v>
      </c>
      <c r="K29" s="18">
        <v>1</v>
      </c>
      <c r="L29" s="14">
        <v>0.5</v>
      </c>
      <c r="M29" s="14" t="s">
        <v>44</v>
      </c>
      <c r="N29" s="14">
        <v>2021</v>
      </c>
      <c r="O29" s="16" t="s">
        <v>30</v>
      </c>
      <c r="P29" s="14" t="s">
        <v>29</v>
      </c>
      <c r="Q29" s="16" t="s">
        <v>27</v>
      </c>
      <c r="R29" s="17" t="s">
        <v>27</v>
      </c>
      <c r="S29" s="15">
        <v>80</v>
      </c>
      <c r="T29" s="15">
        <v>0.4</v>
      </c>
      <c r="U29" s="15">
        <v>0.1</v>
      </c>
    </row>
    <row r="30" spans="1:21" x14ac:dyDescent="0.2">
      <c r="A30" s="14" t="s">
        <v>38</v>
      </c>
      <c r="B30" s="14" t="s">
        <v>39</v>
      </c>
      <c r="C30" s="14" t="s">
        <v>40</v>
      </c>
      <c r="D30" s="14" t="s">
        <v>224</v>
      </c>
      <c r="E30" s="14" t="s">
        <v>225</v>
      </c>
      <c r="F30" s="14" t="s">
        <v>226</v>
      </c>
      <c r="G30" s="14" t="s">
        <v>46</v>
      </c>
      <c r="H30" s="14" t="s">
        <v>25</v>
      </c>
      <c r="I30" s="14" t="s">
        <v>36</v>
      </c>
      <c r="J30" s="14" t="s">
        <v>37</v>
      </c>
      <c r="K30" s="18">
        <v>1</v>
      </c>
      <c r="L30" s="14">
        <v>0.5</v>
      </c>
      <c r="M30" s="14" t="s">
        <v>44</v>
      </c>
      <c r="N30" s="14">
        <v>2021</v>
      </c>
      <c r="O30" s="16" t="s">
        <v>30</v>
      </c>
      <c r="P30" s="14" t="s">
        <v>29</v>
      </c>
      <c r="Q30" s="16" t="s">
        <v>27</v>
      </c>
      <c r="R30" s="17" t="s">
        <v>27</v>
      </c>
      <c r="S30" s="15">
        <v>80</v>
      </c>
      <c r="T30" s="15">
        <v>0.4</v>
      </c>
      <c r="U30" s="15">
        <v>0.1</v>
      </c>
    </row>
    <row r="31" spans="1:21" x14ac:dyDescent="0.2">
      <c r="A31" s="14" t="s">
        <v>38</v>
      </c>
      <c r="B31" s="14" t="s">
        <v>39</v>
      </c>
      <c r="C31" s="14" t="s">
        <v>40</v>
      </c>
      <c r="D31" s="14" t="s">
        <v>227</v>
      </c>
      <c r="E31" s="14" t="s">
        <v>228</v>
      </c>
      <c r="F31" s="14" t="s">
        <v>229</v>
      </c>
      <c r="G31" s="14" t="s">
        <v>230</v>
      </c>
      <c r="H31" s="14" t="s">
        <v>25</v>
      </c>
      <c r="I31" s="14" t="s">
        <v>36</v>
      </c>
      <c r="J31" s="14" t="s">
        <v>37</v>
      </c>
      <c r="K31" s="18">
        <v>1</v>
      </c>
      <c r="L31" s="14">
        <v>0.5</v>
      </c>
      <c r="M31" s="14" t="s">
        <v>44</v>
      </c>
      <c r="N31" s="14">
        <v>2021</v>
      </c>
      <c r="O31" s="16" t="s">
        <v>30</v>
      </c>
      <c r="P31" s="14" t="s">
        <v>29</v>
      </c>
      <c r="Q31" s="16" t="s">
        <v>27</v>
      </c>
      <c r="R31" s="17" t="s">
        <v>27</v>
      </c>
      <c r="S31" s="15">
        <v>80</v>
      </c>
      <c r="T31" s="15">
        <v>0.4</v>
      </c>
      <c r="U31" s="15">
        <v>0.1</v>
      </c>
    </row>
    <row r="32" spans="1:21" x14ac:dyDescent="0.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20"/>
      <c r="P32" s="19"/>
      <c r="Q32" s="20"/>
      <c r="R32" s="19"/>
      <c r="S32" s="58"/>
      <c r="T32" s="59">
        <f>SUM(T2:T31)</f>
        <v>12.950000000000003</v>
      </c>
      <c r="U32" s="19"/>
    </row>
  </sheetData>
  <autoFilter ref="A1:U31" xr:uid="{00000000-0009-0000-0000-000000000000}">
    <sortState xmlns:xlrd2="http://schemas.microsoft.com/office/spreadsheetml/2017/richdata2" ref="A2:U1900">
      <sortCondition ref="L2:L1900"/>
      <sortCondition ref="M2:M1900"/>
      <sortCondition ref="D2:D1900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5"/>
  <sheetViews>
    <sheetView zoomScaleNormal="100" workbookViewId="0">
      <selection sqref="A1:S24"/>
    </sheetView>
  </sheetViews>
  <sheetFormatPr baseColWidth="10" defaultColWidth="11.44140625" defaultRowHeight="13.2" x14ac:dyDescent="0.25"/>
  <cols>
    <col min="1" max="1" width="10.88671875" style="33" bestFit="1" customWidth="1"/>
    <col min="2" max="2" width="35.88671875" style="33" bestFit="1" customWidth="1"/>
    <col min="3" max="3" width="17" style="33" bestFit="1" customWidth="1"/>
    <col min="4" max="9" width="3.33203125" style="33" bestFit="1" customWidth="1"/>
    <col min="10" max="10" width="13.109375" style="33" bestFit="1" customWidth="1"/>
    <col min="11" max="11" width="5.33203125" style="33" bestFit="1" customWidth="1"/>
    <col min="12" max="13" width="5.6640625" style="33" bestFit="1" customWidth="1"/>
    <col min="14" max="14" width="5.6640625" style="38" bestFit="1" customWidth="1"/>
    <col min="15" max="15" width="5.6640625" style="33" bestFit="1" customWidth="1"/>
    <col min="16" max="16" width="5.6640625" style="38" bestFit="1" customWidth="1"/>
    <col min="17" max="19" width="5.6640625" style="33" bestFit="1" customWidth="1"/>
    <col min="20" max="16384" width="11.44140625" style="33"/>
  </cols>
  <sheetData>
    <row r="1" spans="1:19" s="24" customFormat="1" ht="30" x14ac:dyDescent="0.25">
      <c r="A1" s="54" t="s">
        <v>88</v>
      </c>
      <c r="B1" s="54" t="s">
        <v>89</v>
      </c>
      <c r="C1" s="54" t="s">
        <v>90</v>
      </c>
      <c r="D1" s="55">
        <v>2017</v>
      </c>
      <c r="E1" s="55">
        <v>2018</v>
      </c>
      <c r="F1" s="55">
        <v>2019</v>
      </c>
      <c r="G1" s="55">
        <v>2020</v>
      </c>
      <c r="H1" s="55">
        <v>2021</v>
      </c>
      <c r="I1" s="55">
        <v>2022</v>
      </c>
      <c r="J1" s="54" t="s">
        <v>91</v>
      </c>
      <c r="K1" s="56" t="s">
        <v>176</v>
      </c>
      <c r="L1" s="22" t="s">
        <v>92</v>
      </c>
      <c r="M1" s="22" t="s">
        <v>93</v>
      </c>
      <c r="N1" s="22" t="s">
        <v>94</v>
      </c>
      <c r="O1" s="22" t="s">
        <v>95</v>
      </c>
      <c r="P1" s="23" t="s">
        <v>96</v>
      </c>
      <c r="Q1" s="23" t="s">
        <v>97</v>
      </c>
      <c r="R1" s="23" t="s">
        <v>98</v>
      </c>
      <c r="S1" s="23" t="s">
        <v>99</v>
      </c>
    </row>
    <row r="2" spans="1:19" x14ac:dyDescent="0.25">
      <c r="A2" s="39" t="s">
        <v>137</v>
      </c>
      <c r="B2" s="39" t="s">
        <v>138</v>
      </c>
      <c r="C2" s="40" t="s">
        <v>100</v>
      </c>
      <c r="D2" s="39"/>
      <c r="E2" s="39"/>
      <c r="F2" s="39"/>
      <c r="G2" s="39">
        <v>1</v>
      </c>
      <c r="H2" s="39">
        <v>1</v>
      </c>
      <c r="I2" s="39"/>
      <c r="J2" s="41">
        <v>2</v>
      </c>
      <c r="K2" s="26" t="s">
        <v>44</v>
      </c>
      <c r="L2" s="34" t="s">
        <v>30</v>
      </c>
      <c r="M2" s="28" t="s">
        <v>29</v>
      </c>
      <c r="N2" s="35" t="s">
        <v>27</v>
      </c>
      <c r="O2" s="30" t="s">
        <v>27</v>
      </c>
      <c r="P2" s="31">
        <v>80</v>
      </c>
      <c r="Q2" s="32">
        <v>0.4</v>
      </c>
      <c r="R2" s="32">
        <v>0</v>
      </c>
      <c r="S2" s="32">
        <v>1.6</v>
      </c>
    </row>
    <row r="3" spans="1:19" x14ac:dyDescent="0.25">
      <c r="A3" s="39" t="s">
        <v>231</v>
      </c>
      <c r="B3" s="39" t="s">
        <v>175</v>
      </c>
      <c r="C3" s="40" t="s">
        <v>101</v>
      </c>
      <c r="D3" s="39"/>
      <c r="E3" s="39"/>
      <c r="F3" s="39"/>
      <c r="G3" s="39">
        <v>1</v>
      </c>
      <c r="H3" s="39"/>
      <c r="I3" s="39"/>
      <c r="J3" s="41">
        <v>1</v>
      </c>
      <c r="K3" s="26" t="s">
        <v>44</v>
      </c>
      <c r="L3" s="34" t="s">
        <v>30</v>
      </c>
      <c r="M3" s="28" t="s">
        <v>29</v>
      </c>
      <c r="N3" s="35" t="s">
        <v>27</v>
      </c>
      <c r="O3" s="30" t="s">
        <v>27</v>
      </c>
      <c r="P3" s="31">
        <v>80</v>
      </c>
      <c r="Q3" s="32">
        <v>0.2</v>
      </c>
      <c r="R3" s="32">
        <v>0</v>
      </c>
      <c r="S3" s="32">
        <v>0.8</v>
      </c>
    </row>
    <row r="4" spans="1:19" x14ac:dyDescent="0.25">
      <c r="A4" s="39" t="s">
        <v>128</v>
      </c>
      <c r="B4" s="39" t="s">
        <v>129</v>
      </c>
      <c r="C4" s="40" t="s">
        <v>100</v>
      </c>
      <c r="D4" s="39">
        <v>1</v>
      </c>
      <c r="E4" s="39"/>
      <c r="F4" s="39"/>
      <c r="G4" s="39"/>
      <c r="H4" s="39"/>
      <c r="I4" s="39"/>
      <c r="J4" s="41">
        <v>1</v>
      </c>
      <c r="K4" s="26" t="s">
        <v>44</v>
      </c>
      <c r="L4" s="27" t="s">
        <v>30</v>
      </c>
      <c r="M4" s="28" t="s">
        <v>29</v>
      </c>
      <c r="N4" s="29" t="s">
        <v>27</v>
      </c>
      <c r="O4" s="30" t="s">
        <v>27</v>
      </c>
      <c r="P4" s="31">
        <v>80</v>
      </c>
      <c r="Q4" s="32">
        <v>0.2</v>
      </c>
      <c r="R4" s="32">
        <v>0</v>
      </c>
      <c r="S4" s="32">
        <v>0.8</v>
      </c>
    </row>
    <row r="5" spans="1:19" x14ac:dyDescent="0.25">
      <c r="A5" s="39" t="s">
        <v>139</v>
      </c>
      <c r="B5" s="39" t="s">
        <v>140</v>
      </c>
      <c r="C5" s="40" t="s">
        <v>100</v>
      </c>
      <c r="D5" s="39"/>
      <c r="E5" s="39">
        <v>1</v>
      </c>
      <c r="F5" s="39"/>
      <c r="G5" s="39"/>
      <c r="H5" s="39"/>
      <c r="I5" s="39"/>
      <c r="J5" s="41">
        <v>1</v>
      </c>
      <c r="K5" s="26" t="s">
        <v>44</v>
      </c>
      <c r="L5" s="27" t="s">
        <v>30</v>
      </c>
      <c r="M5" s="28" t="s">
        <v>29</v>
      </c>
      <c r="N5" s="29" t="s">
        <v>27</v>
      </c>
      <c r="O5" s="30" t="s">
        <v>27</v>
      </c>
      <c r="P5" s="31">
        <v>80</v>
      </c>
      <c r="Q5" s="32">
        <v>0.2</v>
      </c>
      <c r="R5" s="32">
        <v>0</v>
      </c>
      <c r="S5" s="32">
        <v>0.8</v>
      </c>
    </row>
    <row r="6" spans="1:19" x14ac:dyDescent="0.25">
      <c r="A6" s="39" t="s">
        <v>135</v>
      </c>
      <c r="B6" s="39" t="s">
        <v>136</v>
      </c>
      <c r="C6" s="40" t="s">
        <v>100</v>
      </c>
      <c r="D6" s="39"/>
      <c r="E6" s="39">
        <v>2</v>
      </c>
      <c r="F6" s="39"/>
      <c r="G6" s="39"/>
      <c r="H6" s="39"/>
      <c r="I6" s="39">
        <v>1</v>
      </c>
      <c r="J6" s="41">
        <v>3</v>
      </c>
      <c r="K6" s="26" t="s">
        <v>44</v>
      </c>
      <c r="L6" s="27" t="s">
        <v>30</v>
      </c>
      <c r="M6" s="28" t="s">
        <v>29</v>
      </c>
      <c r="N6" s="29" t="s">
        <v>27</v>
      </c>
      <c r="O6" s="30" t="s">
        <v>27</v>
      </c>
      <c r="P6" s="31">
        <v>80</v>
      </c>
      <c r="Q6" s="32">
        <v>0.6</v>
      </c>
      <c r="R6" s="32">
        <v>0</v>
      </c>
      <c r="S6" s="32">
        <v>2.4</v>
      </c>
    </row>
    <row r="7" spans="1:19" x14ac:dyDescent="0.25">
      <c r="A7" s="39" t="s">
        <v>133</v>
      </c>
      <c r="B7" s="39" t="s">
        <v>134</v>
      </c>
      <c r="C7" s="40" t="s">
        <v>100</v>
      </c>
      <c r="D7" s="39"/>
      <c r="E7" s="39"/>
      <c r="F7" s="39"/>
      <c r="G7" s="39"/>
      <c r="H7" s="39"/>
      <c r="I7" s="39">
        <v>1</v>
      </c>
      <c r="J7" s="25">
        <v>1</v>
      </c>
      <c r="K7" s="26" t="s">
        <v>44</v>
      </c>
      <c r="L7" s="34" t="s">
        <v>30</v>
      </c>
      <c r="M7" s="28" t="s">
        <v>29</v>
      </c>
      <c r="N7" s="35" t="s">
        <v>27</v>
      </c>
      <c r="O7" s="30" t="s">
        <v>27</v>
      </c>
      <c r="P7" s="31">
        <v>80</v>
      </c>
      <c r="Q7" s="32">
        <v>0.2</v>
      </c>
      <c r="R7" s="32">
        <v>0</v>
      </c>
      <c r="S7" s="32">
        <v>0.8</v>
      </c>
    </row>
    <row r="8" spans="1:19" x14ac:dyDescent="0.25">
      <c r="A8" s="39" t="s">
        <v>120</v>
      </c>
      <c r="B8" s="39" t="s">
        <v>121</v>
      </c>
      <c r="C8" s="40" t="s">
        <v>100</v>
      </c>
      <c r="D8" s="39"/>
      <c r="E8" s="39"/>
      <c r="F8" s="39"/>
      <c r="G8" s="39"/>
      <c r="H8" s="39">
        <v>1</v>
      </c>
      <c r="I8" s="39"/>
      <c r="J8" s="41">
        <v>1</v>
      </c>
      <c r="K8" s="26" t="s">
        <v>44</v>
      </c>
      <c r="L8" s="27" t="s">
        <v>30</v>
      </c>
      <c r="M8" s="28" t="s">
        <v>29</v>
      </c>
      <c r="N8" s="29" t="s">
        <v>27</v>
      </c>
      <c r="O8" s="30" t="s">
        <v>27</v>
      </c>
      <c r="P8" s="31">
        <v>80</v>
      </c>
      <c r="Q8" s="32">
        <v>0.2</v>
      </c>
      <c r="R8" s="32">
        <v>0</v>
      </c>
      <c r="S8" s="32">
        <v>0.8</v>
      </c>
    </row>
    <row r="9" spans="1:19" x14ac:dyDescent="0.25">
      <c r="A9" s="39" t="s">
        <v>171</v>
      </c>
      <c r="B9" s="39" t="s">
        <v>172</v>
      </c>
      <c r="C9" s="40" t="s">
        <v>100</v>
      </c>
      <c r="D9" s="39"/>
      <c r="E9" s="39"/>
      <c r="F9" s="39"/>
      <c r="G9" s="39"/>
      <c r="H9" s="39">
        <v>1</v>
      </c>
      <c r="I9" s="39"/>
      <c r="J9" s="41">
        <v>1</v>
      </c>
      <c r="K9" s="26" t="s">
        <v>44</v>
      </c>
      <c r="L9" s="34" t="s">
        <v>30</v>
      </c>
      <c r="M9" s="28" t="s">
        <v>29</v>
      </c>
      <c r="N9" s="35" t="s">
        <v>27</v>
      </c>
      <c r="O9" s="30" t="s">
        <v>27</v>
      </c>
      <c r="P9" s="31">
        <v>80</v>
      </c>
      <c r="Q9" s="32">
        <v>0.2</v>
      </c>
      <c r="R9" s="32">
        <v>0</v>
      </c>
      <c r="S9" s="32">
        <v>0.8</v>
      </c>
    </row>
    <row r="10" spans="1:19" x14ac:dyDescent="0.25">
      <c r="A10" s="39" t="s">
        <v>108</v>
      </c>
      <c r="B10" s="39" t="s">
        <v>109</v>
      </c>
      <c r="C10" s="40" t="s">
        <v>100</v>
      </c>
      <c r="D10" s="39"/>
      <c r="E10" s="39"/>
      <c r="F10" s="39">
        <v>1</v>
      </c>
      <c r="G10" s="39"/>
      <c r="H10" s="39"/>
      <c r="I10" s="39">
        <v>1</v>
      </c>
      <c r="J10" s="41">
        <v>2</v>
      </c>
      <c r="K10" s="26" t="s">
        <v>44</v>
      </c>
      <c r="L10" s="34" t="s">
        <v>30</v>
      </c>
      <c r="M10" s="28" t="s">
        <v>26</v>
      </c>
      <c r="N10" s="35" t="s">
        <v>27</v>
      </c>
      <c r="O10" s="30" t="s">
        <v>27</v>
      </c>
      <c r="P10" s="31">
        <v>50</v>
      </c>
      <c r="Q10" s="32">
        <v>1</v>
      </c>
      <c r="R10" s="32">
        <v>0</v>
      </c>
      <c r="S10" s="32">
        <v>1</v>
      </c>
    </row>
    <row r="11" spans="1:19" x14ac:dyDescent="0.25">
      <c r="A11" s="39" t="s">
        <v>110</v>
      </c>
      <c r="B11" s="39" t="s">
        <v>111</v>
      </c>
      <c r="C11" s="40" t="s">
        <v>100</v>
      </c>
      <c r="D11" s="39">
        <v>1</v>
      </c>
      <c r="E11" s="39"/>
      <c r="F11" s="39"/>
      <c r="G11" s="39"/>
      <c r="H11" s="39"/>
      <c r="I11" s="39"/>
      <c r="J11" s="41">
        <v>1</v>
      </c>
      <c r="K11" s="26" t="s">
        <v>44</v>
      </c>
      <c r="L11" s="27" t="s">
        <v>30</v>
      </c>
      <c r="M11" s="28" t="s">
        <v>29</v>
      </c>
      <c r="N11" s="29" t="s">
        <v>27</v>
      </c>
      <c r="O11" s="30" t="s">
        <v>27</v>
      </c>
      <c r="P11" s="31">
        <v>80</v>
      </c>
      <c r="Q11" s="32">
        <v>0.2</v>
      </c>
      <c r="R11" s="32">
        <v>0</v>
      </c>
      <c r="S11" s="32">
        <v>0.8</v>
      </c>
    </row>
    <row r="12" spans="1:19" x14ac:dyDescent="0.25">
      <c r="A12" s="39" t="s">
        <v>114</v>
      </c>
      <c r="B12" s="39" t="s">
        <v>115</v>
      </c>
      <c r="C12" s="40" t="s">
        <v>100</v>
      </c>
      <c r="D12" s="39"/>
      <c r="E12" s="39">
        <v>1</v>
      </c>
      <c r="F12" s="39">
        <v>1</v>
      </c>
      <c r="G12" s="39"/>
      <c r="H12" s="39"/>
      <c r="I12" s="39"/>
      <c r="J12" s="41">
        <v>2</v>
      </c>
      <c r="K12" s="26" t="s">
        <v>44</v>
      </c>
      <c r="L12" s="27" t="s">
        <v>30</v>
      </c>
      <c r="M12" s="28" t="s">
        <v>29</v>
      </c>
      <c r="N12" s="29" t="s">
        <v>27</v>
      </c>
      <c r="O12" s="30" t="s">
        <v>27</v>
      </c>
      <c r="P12" s="31">
        <v>80</v>
      </c>
      <c r="Q12" s="32">
        <v>0.4</v>
      </c>
      <c r="R12" s="32">
        <v>0</v>
      </c>
      <c r="S12" s="32">
        <v>1.6</v>
      </c>
    </row>
    <row r="13" spans="1:19" x14ac:dyDescent="0.25">
      <c r="A13" s="39" t="s">
        <v>124</v>
      </c>
      <c r="B13" s="39" t="s">
        <v>125</v>
      </c>
      <c r="C13" s="40" t="s">
        <v>100</v>
      </c>
      <c r="D13" s="39"/>
      <c r="E13" s="39"/>
      <c r="F13" s="39"/>
      <c r="G13" s="39"/>
      <c r="H13" s="39">
        <v>1</v>
      </c>
      <c r="I13" s="39"/>
      <c r="J13" s="41">
        <v>1</v>
      </c>
      <c r="K13" s="26" t="s">
        <v>44</v>
      </c>
      <c r="L13" s="27" t="s">
        <v>30</v>
      </c>
      <c r="M13" s="28" t="s">
        <v>29</v>
      </c>
      <c r="N13" s="29" t="s">
        <v>27</v>
      </c>
      <c r="O13" s="30" t="s">
        <v>27</v>
      </c>
      <c r="P13" s="31">
        <v>80</v>
      </c>
      <c r="Q13" s="32">
        <v>0.2</v>
      </c>
      <c r="R13" s="32">
        <v>0</v>
      </c>
      <c r="S13" s="32">
        <v>0.8</v>
      </c>
    </row>
    <row r="14" spans="1:19" x14ac:dyDescent="0.25">
      <c r="A14" s="42" t="s">
        <v>132</v>
      </c>
      <c r="B14" s="42" t="s">
        <v>232</v>
      </c>
      <c r="C14" s="42" t="s">
        <v>100</v>
      </c>
      <c r="D14" s="42">
        <v>1</v>
      </c>
      <c r="E14" s="42"/>
      <c r="F14" s="42"/>
      <c r="G14" s="42"/>
      <c r="H14" s="42"/>
      <c r="I14" s="42"/>
      <c r="J14" s="42">
        <v>1</v>
      </c>
      <c r="K14" s="43" t="s">
        <v>44</v>
      </c>
      <c r="L14" s="44" t="s">
        <v>30</v>
      </c>
      <c r="M14" s="45" t="s">
        <v>29</v>
      </c>
      <c r="N14" s="46" t="s">
        <v>27</v>
      </c>
      <c r="O14" s="47" t="s">
        <v>27</v>
      </c>
      <c r="P14" s="48">
        <v>80</v>
      </c>
      <c r="Q14" s="49">
        <v>0.2</v>
      </c>
      <c r="R14" s="49">
        <v>0</v>
      </c>
      <c r="S14" s="49">
        <v>0.8</v>
      </c>
    </row>
    <row r="15" spans="1:19" x14ac:dyDescent="0.25">
      <c r="A15" s="39" t="s">
        <v>106</v>
      </c>
      <c r="B15" s="39" t="s">
        <v>107</v>
      </c>
      <c r="C15" s="40" t="s">
        <v>100</v>
      </c>
      <c r="D15" s="39"/>
      <c r="E15" s="39">
        <v>2</v>
      </c>
      <c r="F15" s="39"/>
      <c r="G15" s="39"/>
      <c r="H15" s="39">
        <v>1</v>
      </c>
      <c r="I15" s="39"/>
      <c r="J15" s="41">
        <v>3</v>
      </c>
      <c r="K15" s="26" t="s">
        <v>44</v>
      </c>
      <c r="L15" s="27" t="s">
        <v>30</v>
      </c>
      <c r="M15" s="28" t="s">
        <v>29</v>
      </c>
      <c r="N15" s="29" t="s">
        <v>27</v>
      </c>
      <c r="O15" s="30" t="s">
        <v>27</v>
      </c>
      <c r="P15" s="31">
        <v>80</v>
      </c>
      <c r="Q15" s="32">
        <v>0.6</v>
      </c>
      <c r="R15" s="32">
        <v>0</v>
      </c>
      <c r="S15" s="32">
        <v>2.4</v>
      </c>
    </row>
    <row r="16" spans="1:19" x14ac:dyDescent="0.25">
      <c r="A16" s="39" t="s">
        <v>122</v>
      </c>
      <c r="B16" s="39" t="s">
        <v>123</v>
      </c>
      <c r="C16" s="40" t="s">
        <v>100</v>
      </c>
      <c r="D16" s="39"/>
      <c r="E16" s="39"/>
      <c r="F16" s="39"/>
      <c r="G16" s="39"/>
      <c r="H16" s="39"/>
      <c r="I16" s="39">
        <v>1</v>
      </c>
      <c r="J16" s="41">
        <v>1</v>
      </c>
      <c r="K16" s="26" t="s">
        <v>44</v>
      </c>
      <c r="L16" s="34" t="s">
        <v>30</v>
      </c>
      <c r="M16" s="28" t="s">
        <v>29</v>
      </c>
      <c r="N16" s="35" t="s">
        <v>27</v>
      </c>
      <c r="O16" s="30" t="s">
        <v>27</v>
      </c>
      <c r="P16" s="31">
        <v>80</v>
      </c>
      <c r="Q16" s="32">
        <v>0.2</v>
      </c>
      <c r="R16" s="32">
        <v>0</v>
      </c>
      <c r="S16" s="32">
        <v>0.8</v>
      </c>
    </row>
    <row r="17" spans="1:19" x14ac:dyDescent="0.25">
      <c r="A17" s="39" t="s">
        <v>173</v>
      </c>
      <c r="B17" s="39" t="s">
        <v>174</v>
      </c>
      <c r="C17" s="40" t="s">
        <v>101</v>
      </c>
      <c r="D17" s="39"/>
      <c r="E17" s="39"/>
      <c r="F17" s="39"/>
      <c r="G17" s="39"/>
      <c r="H17" s="39">
        <v>1</v>
      </c>
      <c r="I17" s="39"/>
      <c r="J17" s="41">
        <v>1</v>
      </c>
      <c r="K17" s="26" t="s">
        <v>44</v>
      </c>
      <c r="L17" s="27" t="s">
        <v>30</v>
      </c>
      <c r="M17" s="28" t="s">
        <v>29</v>
      </c>
      <c r="N17" s="29" t="s">
        <v>27</v>
      </c>
      <c r="O17" s="30" t="s">
        <v>27</v>
      </c>
      <c r="P17" s="31">
        <v>80</v>
      </c>
      <c r="Q17" s="32">
        <v>0.2</v>
      </c>
      <c r="R17" s="32">
        <v>0</v>
      </c>
      <c r="S17" s="32">
        <v>0.8</v>
      </c>
    </row>
    <row r="18" spans="1:19" x14ac:dyDescent="0.25">
      <c r="A18" s="39" t="s">
        <v>116</v>
      </c>
      <c r="B18" s="39" t="s">
        <v>117</v>
      </c>
      <c r="C18" s="40" t="s">
        <v>100</v>
      </c>
      <c r="D18" s="39"/>
      <c r="E18" s="39"/>
      <c r="F18" s="39">
        <v>3</v>
      </c>
      <c r="G18" s="39"/>
      <c r="H18" s="39"/>
      <c r="I18" s="39">
        <v>1</v>
      </c>
      <c r="J18" s="41">
        <v>4</v>
      </c>
      <c r="K18" s="26" t="s">
        <v>44</v>
      </c>
      <c r="L18" s="27" t="s">
        <v>30</v>
      </c>
      <c r="M18" s="28" t="s">
        <v>29</v>
      </c>
      <c r="N18" s="29" t="s">
        <v>27</v>
      </c>
      <c r="O18" s="30" t="s">
        <v>27</v>
      </c>
      <c r="P18" s="31">
        <v>80</v>
      </c>
      <c r="Q18" s="32">
        <v>0.8</v>
      </c>
      <c r="R18" s="32">
        <v>0</v>
      </c>
      <c r="S18" s="32">
        <v>3.2</v>
      </c>
    </row>
    <row r="19" spans="1:19" x14ac:dyDescent="0.25">
      <c r="A19" s="39" t="s">
        <v>104</v>
      </c>
      <c r="B19" s="39" t="s">
        <v>105</v>
      </c>
      <c r="C19" s="40" t="s">
        <v>100</v>
      </c>
      <c r="D19" s="39">
        <v>1</v>
      </c>
      <c r="E19" s="39"/>
      <c r="F19" s="39"/>
      <c r="G19" s="39"/>
      <c r="H19" s="39"/>
      <c r="I19" s="39"/>
      <c r="J19" s="41">
        <v>1</v>
      </c>
      <c r="K19" s="26" t="s">
        <v>44</v>
      </c>
      <c r="L19" s="27" t="s">
        <v>30</v>
      </c>
      <c r="M19" s="28" t="s">
        <v>29</v>
      </c>
      <c r="N19" s="29" t="s">
        <v>27</v>
      </c>
      <c r="O19" s="30" t="s">
        <v>27</v>
      </c>
      <c r="P19" s="31">
        <v>80</v>
      </c>
      <c r="Q19" s="32">
        <v>0.2</v>
      </c>
      <c r="R19" s="32">
        <v>0</v>
      </c>
      <c r="S19" s="32">
        <v>0.8</v>
      </c>
    </row>
    <row r="20" spans="1:19" x14ac:dyDescent="0.25">
      <c r="A20" s="39" t="s">
        <v>130</v>
      </c>
      <c r="B20" s="39" t="s">
        <v>131</v>
      </c>
      <c r="C20" s="40" t="s">
        <v>100</v>
      </c>
      <c r="D20" s="39"/>
      <c r="E20" s="39"/>
      <c r="F20" s="39">
        <v>1</v>
      </c>
      <c r="G20" s="39"/>
      <c r="H20" s="39">
        <v>1</v>
      </c>
      <c r="I20" s="39"/>
      <c r="J20" s="41">
        <v>2</v>
      </c>
      <c r="K20" s="26" t="s">
        <v>44</v>
      </c>
      <c r="L20" s="27" t="s">
        <v>30</v>
      </c>
      <c r="M20" s="28" t="s">
        <v>29</v>
      </c>
      <c r="N20" s="29" t="s">
        <v>27</v>
      </c>
      <c r="O20" s="30" t="s">
        <v>27</v>
      </c>
      <c r="P20" s="31">
        <v>80</v>
      </c>
      <c r="Q20" s="32">
        <v>0.4</v>
      </c>
      <c r="R20" s="32">
        <v>0</v>
      </c>
      <c r="S20" s="32">
        <v>1.6</v>
      </c>
    </row>
    <row r="21" spans="1:19" x14ac:dyDescent="0.25">
      <c r="A21" s="39" t="s">
        <v>118</v>
      </c>
      <c r="B21" s="39" t="s">
        <v>119</v>
      </c>
      <c r="C21" s="40" t="s">
        <v>101</v>
      </c>
      <c r="D21" s="39"/>
      <c r="E21" s="39">
        <v>1</v>
      </c>
      <c r="F21" s="39"/>
      <c r="G21" s="39"/>
      <c r="H21" s="39"/>
      <c r="I21" s="39"/>
      <c r="J21" s="41">
        <v>1</v>
      </c>
      <c r="K21" s="26" t="s">
        <v>44</v>
      </c>
      <c r="L21" s="27" t="s">
        <v>30</v>
      </c>
      <c r="M21" s="28" t="s">
        <v>29</v>
      </c>
      <c r="N21" s="29" t="s">
        <v>27</v>
      </c>
      <c r="O21" s="30" t="s">
        <v>27</v>
      </c>
      <c r="P21" s="31">
        <v>80</v>
      </c>
      <c r="Q21" s="32">
        <v>0.2</v>
      </c>
      <c r="R21" s="32">
        <v>0</v>
      </c>
      <c r="S21" s="32">
        <v>0.8</v>
      </c>
    </row>
    <row r="22" spans="1:19" x14ac:dyDescent="0.25">
      <c r="A22" s="39" t="s">
        <v>102</v>
      </c>
      <c r="B22" s="39" t="s">
        <v>103</v>
      </c>
      <c r="C22" s="40" t="s">
        <v>100</v>
      </c>
      <c r="D22" s="39"/>
      <c r="E22" s="39">
        <v>2</v>
      </c>
      <c r="F22" s="39"/>
      <c r="G22" s="39"/>
      <c r="H22" s="39"/>
      <c r="I22" s="39"/>
      <c r="J22" s="41">
        <v>2</v>
      </c>
      <c r="K22" s="25" t="s">
        <v>44</v>
      </c>
      <c r="L22" s="51" t="s">
        <v>30</v>
      </c>
      <c r="M22" s="52" t="s">
        <v>29</v>
      </c>
      <c r="N22" s="51" t="s">
        <v>27</v>
      </c>
      <c r="O22" s="52" t="s">
        <v>27</v>
      </c>
      <c r="P22" s="53">
        <v>80</v>
      </c>
      <c r="Q22" s="32">
        <v>0.4</v>
      </c>
      <c r="R22" s="32">
        <v>0</v>
      </c>
      <c r="S22" s="32">
        <v>1.6</v>
      </c>
    </row>
    <row r="23" spans="1:19" x14ac:dyDescent="0.25">
      <c r="A23" s="39" t="s">
        <v>112</v>
      </c>
      <c r="B23" s="39" t="s">
        <v>113</v>
      </c>
      <c r="C23" s="40" t="s">
        <v>100</v>
      </c>
      <c r="D23" s="39"/>
      <c r="E23" s="39"/>
      <c r="F23" s="39">
        <v>1</v>
      </c>
      <c r="G23" s="39"/>
      <c r="H23" s="39"/>
      <c r="I23" s="39">
        <v>1</v>
      </c>
      <c r="J23" s="41">
        <v>2</v>
      </c>
      <c r="K23" s="25" t="s">
        <v>44</v>
      </c>
      <c r="L23" s="51" t="s">
        <v>30</v>
      </c>
      <c r="M23" s="52" t="s">
        <v>26</v>
      </c>
      <c r="N23" s="51" t="s">
        <v>27</v>
      </c>
      <c r="O23" s="52" t="s">
        <v>27</v>
      </c>
      <c r="P23" s="53">
        <v>50</v>
      </c>
      <c r="Q23" s="32">
        <v>1</v>
      </c>
      <c r="R23" s="32">
        <v>0</v>
      </c>
      <c r="S23" s="32">
        <v>1</v>
      </c>
    </row>
    <row r="24" spans="1:19" x14ac:dyDescent="0.25">
      <c r="A24" s="39" t="s">
        <v>126</v>
      </c>
      <c r="B24" s="39" t="s">
        <v>127</v>
      </c>
      <c r="C24" s="40" t="s">
        <v>100</v>
      </c>
      <c r="D24" s="39"/>
      <c r="E24" s="39"/>
      <c r="F24" s="39"/>
      <c r="G24" s="39"/>
      <c r="H24" s="39">
        <v>1</v>
      </c>
      <c r="I24" s="39"/>
      <c r="J24" s="41">
        <v>1</v>
      </c>
      <c r="K24" s="25" t="s">
        <v>44</v>
      </c>
      <c r="L24" s="51" t="s">
        <v>30</v>
      </c>
      <c r="M24" s="52" t="s">
        <v>29</v>
      </c>
      <c r="N24" s="51" t="s">
        <v>27</v>
      </c>
      <c r="O24" s="52" t="s">
        <v>27</v>
      </c>
      <c r="P24" s="53">
        <v>80</v>
      </c>
      <c r="Q24" s="32">
        <v>0.2</v>
      </c>
      <c r="R24" s="32">
        <v>0</v>
      </c>
      <c r="S24" s="32">
        <v>0.8</v>
      </c>
    </row>
    <row r="25" spans="1:19" x14ac:dyDescent="0.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7"/>
      <c r="O25" s="36"/>
      <c r="P25" s="37"/>
      <c r="Q25" s="36"/>
      <c r="R25" s="36"/>
      <c r="S25" s="50">
        <f>SUM(S2:S24)</f>
        <v>27.600000000000009</v>
      </c>
    </row>
  </sheetData>
  <pageMargins left="0.39370078740157483" right="0.39370078740157483" top="0.39370078740157483" bottom="0.3937007874015748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1"/>
  <sheetViews>
    <sheetView zoomScaleNormal="100" workbookViewId="0">
      <selection activeCell="E28" sqref="E28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141</v>
      </c>
      <c r="B2" s="5"/>
    </row>
    <row r="3" spans="1:2" x14ac:dyDescent="0.2">
      <c r="A3" s="4" t="s">
        <v>142</v>
      </c>
      <c r="B3" s="5">
        <v>3449.23</v>
      </c>
    </row>
    <row r="4" spans="1:2" x14ac:dyDescent="0.2">
      <c r="A4" s="4" t="s">
        <v>143</v>
      </c>
      <c r="B4" s="5"/>
    </row>
    <row r="5" spans="1:2" x14ac:dyDescent="0.2">
      <c r="A5" s="4" t="s">
        <v>144</v>
      </c>
      <c r="B5" s="5">
        <v>3600</v>
      </c>
    </row>
    <row r="6" spans="1:2" x14ac:dyDescent="0.2">
      <c r="A6" s="4" t="s">
        <v>3</v>
      </c>
      <c r="B6" s="5"/>
    </row>
    <row r="7" spans="1:2" x14ac:dyDescent="0.2">
      <c r="A7" s="4" t="s">
        <v>145</v>
      </c>
      <c r="B7" s="5">
        <v>14.8</v>
      </c>
    </row>
    <row r="8" spans="1:2" x14ac:dyDescent="0.2">
      <c r="A8" s="4" t="s">
        <v>146</v>
      </c>
      <c r="B8" s="5">
        <v>14.8</v>
      </c>
    </row>
    <row r="9" spans="1:2" x14ac:dyDescent="0.2">
      <c r="A9" s="4" t="s">
        <v>147</v>
      </c>
      <c r="B9" s="5">
        <v>7.4</v>
      </c>
    </row>
    <row r="10" spans="1:2" x14ac:dyDescent="0.2">
      <c r="A10" s="4" t="s">
        <v>148</v>
      </c>
      <c r="B10" s="5">
        <v>7.4</v>
      </c>
    </row>
    <row r="11" spans="1:2" x14ac:dyDescent="0.2">
      <c r="A11" s="4" t="s">
        <v>149</v>
      </c>
      <c r="B11" s="5">
        <v>7.4</v>
      </c>
    </row>
    <row r="12" spans="1:2" x14ac:dyDescent="0.2">
      <c r="A12" s="4" t="s">
        <v>150</v>
      </c>
      <c r="B12" s="5">
        <v>7.4</v>
      </c>
    </row>
    <row r="13" spans="1:2" x14ac:dyDescent="0.2">
      <c r="A13" s="4" t="s">
        <v>4</v>
      </c>
      <c r="B13" s="5"/>
    </row>
    <row r="14" spans="1:2" x14ac:dyDescent="0.2">
      <c r="A14" s="4" t="s">
        <v>151</v>
      </c>
      <c r="B14" s="5">
        <v>2575</v>
      </c>
    </row>
    <row r="15" spans="1:2" x14ac:dyDescent="0.2">
      <c r="A15" s="4" t="s">
        <v>152</v>
      </c>
      <c r="B15" s="5"/>
    </row>
    <row r="16" spans="1:2" x14ac:dyDescent="0.2">
      <c r="A16" s="4" t="s">
        <v>153</v>
      </c>
      <c r="B16" s="5">
        <v>22800</v>
      </c>
    </row>
    <row r="17" spans="1:2" x14ac:dyDescent="0.2">
      <c r="A17" s="4" t="s">
        <v>154</v>
      </c>
      <c r="B17" s="5">
        <v>10944</v>
      </c>
    </row>
    <row r="18" spans="1:2" x14ac:dyDescent="0.2">
      <c r="A18" s="4" t="s">
        <v>155</v>
      </c>
      <c r="B18" s="5"/>
    </row>
    <row r="19" spans="1:2" x14ac:dyDescent="0.2">
      <c r="A19" s="4" t="s">
        <v>156</v>
      </c>
      <c r="B19" s="5">
        <v>24700</v>
      </c>
    </row>
    <row r="20" spans="1:2" x14ac:dyDescent="0.2">
      <c r="A20" s="4" t="s">
        <v>157</v>
      </c>
      <c r="B20" s="5">
        <v>11856</v>
      </c>
    </row>
    <row r="21" spans="1:2" x14ac:dyDescent="0.2">
      <c r="A21" s="6" t="s">
        <v>2</v>
      </c>
      <c r="B21" s="7">
        <f>SUM(B3:B20)</f>
        <v>79983.429999999993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5761A-8B9A-49EC-B87B-678FE9651C1C}">
  <dimension ref="A1:B20"/>
  <sheetViews>
    <sheetView zoomScaleNormal="100" workbookViewId="0">
      <selection activeCell="A29" sqref="A29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141</v>
      </c>
      <c r="B2" s="5"/>
    </row>
    <row r="3" spans="1:2" x14ac:dyDescent="0.2">
      <c r="A3" s="4" t="s">
        <v>190</v>
      </c>
      <c r="B3" s="5">
        <v>9646.9500000000007</v>
      </c>
    </row>
    <row r="4" spans="1:2" x14ac:dyDescent="0.2">
      <c r="A4" s="4" t="s">
        <v>191</v>
      </c>
      <c r="B4" s="5"/>
    </row>
    <row r="5" spans="1:2" x14ac:dyDescent="0.2">
      <c r="A5" s="4" t="s">
        <v>192</v>
      </c>
      <c r="B5" s="5">
        <v>2002</v>
      </c>
    </row>
    <row r="6" spans="1:2" x14ac:dyDescent="0.2">
      <c r="A6" s="4" t="s">
        <v>193</v>
      </c>
      <c r="B6" s="5"/>
    </row>
    <row r="7" spans="1:2" x14ac:dyDescent="0.2">
      <c r="A7" s="4" t="s">
        <v>194</v>
      </c>
      <c r="B7" s="5">
        <v>8800</v>
      </c>
    </row>
    <row r="8" spans="1:2" x14ac:dyDescent="0.2">
      <c r="A8" s="4" t="s">
        <v>195</v>
      </c>
      <c r="B8" s="5"/>
    </row>
    <row r="9" spans="1:2" x14ac:dyDescent="0.2">
      <c r="A9" s="4" t="s">
        <v>196</v>
      </c>
      <c r="B9" s="5">
        <v>1936</v>
      </c>
    </row>
    <row r="10" spans="1:2" x14ac:dyDescent="0.2">
      <c r="A10" s="4" t="s">
        <v>197</v>
      </c>
      <c r="B10" s="5"/>
    </row>
    <row r="11" spans="1:2" x14ac:dyDescent="0.2">
      <c r="A11" s="4" t="s">
        <v>198</v>
      </c>
      <c r="B11" s="5">
        <v>3966.94</v>
      </c>
    </row>
    <row r="12" spans="1:2" x14ac:dyDescent="0.2">
      <c r="A12" s="4" t="s">
        <v>4</v>
      </c>
      <c r="B12" s="5"/>
    </row>
    <row r="13" spans="1:2" x14ac:dyDescent="0.2">
      <c r="A13" s="4" t="s">
        <v>199</v>
      </c>
      <c r="B13" s="5">
        <v>5150</v>
      </c>
    </row>
    <row r="14" spans="1:2" x14ac:dyDescent="0.2">
      <c r="A14" s="4" t="s">
        <v>152</v>
      </c>
      <c r="B14" s="5"/>
    </row>
    <row r="15" spans="1:2" x14ac:dyDescent="0.2">
      <c r="A15" s="4" t="s">
        <v>200</v>
      </c>
      <c r="B15" s="5">
        <v>2280</v>
      </c>
    </row>
    <row r="16" spans="1:2" x14ac:dyDescent="0.2">
      <c r="A16" s="4" t="s">
        <v>155</v>
      </c>
      <c r="B16" s="5"/>
    </row>
    <row r="17" spans="1:2" x14ac:dyDescent="0.2">
      <c r="A17" s="4" t="s">
        <v>201</v>
      </c>
      <c r="B17" s="5">
        <v>2470</v>
      </c>
    </row>
    <row r="18" spans="1:2" x14ac:dyDescent="0.2">
      <c r="A18" s="4" t="s">
        <v>202</v>
      </c>
      <c r="B18" s="5"/>
    </row>
    <row r="19" spans="1:2" x14ac:dyDescent="0.2">
      <c r="A19" s="4" t="s">
        <v>203</v>
      </c>
      <c r="B19" s="5">
        <v>8000</v>
      </c>
    </row>
    <row r="20" spans="1:2" x14ac:dyDescent="0.2">
      <c r="A20" s="6" t="s">
        <v>2</v>
      </c>
      <c r="B20" s="7">
        <f>SUM(B3:B19)</f>
        <v>44251.89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D5C9D-993B-4BAB-A5F1-625BD4BF2E4C}">
  <dimension ref="A1:B29"/>
  <sheetViews>
    <sheetView zoomScaleNormal="100" workbookViewId="0">
      <selection activeCell="A32" sqref="A32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141</v>
      </c>
      <c r="B2" s="5"/>
    </row>
    <row r="3" spans="1:2" x14ac:dyDescent="0.2">
      <c r="A3" s="4" t="s">
        <v>223</v>
      </c>
      <c r="B3" s="5">
        <v>4909.9799999999996</v>
      </c>
    </row>
    <row r="4" spans="1:2" x14ac:dyDescent="0.2">
      <c r="A4" s="4" t="s">
        <v>191</v>
      </c>
      <c r="B4" s="5"/>
    </row>
    <row r="5" spans="1:2" x14ac:dyDescent="0.2">
      <c r="A5" s="4" t="s">
        <v>222</v>
      </c>
      <c r="B5" s="5">
        <v>2002</v>
      </c>
    </row>
    <row r="6" spans="1:2" x14ac:dyDescent="0.2">
      <c r="A6" s="4" t="s">
        <v>221</v>
      </c>
      <c r="B6" s="5">
        <v>1760</v>
      </c>
    </row>
    <row r="7" spans="1:2" x14ac:dyDescent="0.2">
      <c r="A7" s="4" t="s">
        <v>220</v>
      </c>
      <c r="B7" s="5">
        <v>3960</v>
      </c>
    </row>
    <row r="8" spans="1:2" x14ac:dyDescent="0.2">
      <c r="A8" s="4" t="s">
        <v>219</v>
      </c>
      <c r="B8" s="5">
        <v>3520</v>
      </c>
    </row>
    <row r="9" spans="1:2" x14ac:dyDescent="0.2">
      <c r="A9" s="4" t="s">
        <v>218</v>
      </c>
      <c r="B9" s="5">
        <v>836</v>
      </c>
    </row>
    <row r="10" spans="1:2" x14ac:dyDescent="0.2">
      <c r="A10" s="4" t="s">
        <v>217</v>
      </c>
      <c r="B10" s="5">
        <v>660</v>
      </c>
    </row>
    <row r="11" spans="1:2" x14ac:dyDescent="0.2">
      <c r="A11" s="4" t="s">
        <v>216</v>
      </c>
      <c r="B11" s="5">
        <v>1320</v>
      </c>
    </row>
    <row r="12" spans="1:2" x14ac:dyDescent="0.2">
      <c r="A12" s="4" t="s">
        <v>215</v>
      </c>
      <c r="B12" s="5">
        <v>440</v>
      </c>
    </row>
    <row r="13" spans="1:2" x14ac:dyDescent="0.2">
      <c r="A13" s="4" t="s">
        <v>197</v>
      </c>
      <c r="B13" s="5"/>
    </row>
    <row r="14" spans="1:2" x14ac:dyDescent="0.2">
      <c r="A14" s="4" t="s">
        <v>214</v>
      </c>
      <c r="B14" s="5">
        <v>15867.77</v>
      </c>
    </row>
    <row r="15" spans="1:2" x14ac:dyDescent="0.2">
      <c r="A15" s="4" t="s">
        <v>213</v>
      </c>
      <c r="B15" s="5"/>
    </row>
    <row r="16" spans="1:2" x14ac:dyDescent="0.2">
      <c r="A16" s="4" t="s">
        <v>212</v>
      </c>
      <c r="B16" s="5">
        <v>1056</v>
      </c>
    </row>
    <row r="17" spans="1:2" x14ac:dyDescent="0.2">
      <c r="A17" s="4" t="s">
        <v>211</v>
      </c>
      <c r="B17" s="5"/>
    </row>
    <row r="18" spans="1:2" x14ac:dyDescent="0.2">
      <c r="A18" s="4" t="s">
        <v>210</v>
      </c>
      <c r="B18" s="5">
        <v>11550</v>
      </c>
    </row>
    <row r="19" spans="1:2" x14ac:dyDescent="0.2">
      <c r="A19" s="4" t="s">
        <v>209</v>
      </c>
      <c r="B19" s="5"/>
    </row>
    <row r="20" spans="1:2" x14ac:dyDescent="0.2">
      <c r="A20" s="4" t="s">
        <v>208</v>
      </c>
      <c r="B20" s="5">
        <v>1584</v>
      </c>
    </row>
    <row r="21" spans="1:2" x14ac:dyDescent="0.2">
      <c r="A21" s="4" t="s">
        <v>152</v>
      </c>
      <c r="B21" s="4"/>
    </row>
    <row r="22" spans="1:2" x14ac:dyDescent="0.2">
      <c r="A22" s="4" t="s">
        <v>207</v>
      </c>
      <c r="B22" s="4">
        <v>9576</v>
      </c>
    </row>
    <row r="23" spans="1:2" x14ac:dyDescent="0.2">
      <c r="A23" s="4" t="s">
        <v>155</v>
      </c>
      <c r="B23" s="4"/>
    </row>
    <row r="24" spans="1:2" x14ac:dyDescent="0.2">
      <c r="A24" s="4" t="s">
        <v>206</v>
      </c>
      <c r="B24" s="4">
        <v>10374</v>
      </c>
    </row>
    <row r="25" spans="1:2" x14ac:dyDescent="0.2">
      <c r="A25" s="4" t="s">
        <v>202</v>
      </c>
      <c r="B25" s="4"/>
    </row>
    <row r="26" spans="1:2" x14ac:dyDescent="0.2">
      <c r="A26" s="4" t="s">
        <v>205</v>
      </c>
      <c r="B26" s="4">
        <v>7500</v>
      </c>
    </row>
    <row r="27" spans="1:2" x14ac:dyDescent="0.2">
      <c r="A27" s="6" t="s">
        <v>2</v>
      </c>
      <c r="B27" s="7">
        <f>SUM(B2:B26)</f>
        <v>76915.75</v>
      </c>
    </row>
    <row r="29" spans="1:2" x14ac:dyDescent="0.2">
      <c r="A29" s="60" t="s">
        <v>233</v>
      </c>
      <c r="B29" s="7">
        <f>+B27+'Ingresos investigación 2020'!B20+'Ingresos investigación 2019'!B21</f>
        <v>201151.07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Tesis</vt:lpstr>
      <vt:lpstr>Sexenios</vt:lpstr>
      <vt:lpstr>Ingresos investigación 2019</vt:lpstr>
      <vt:lpstr>Ingresos investigación 2020</vt:lpstr>
      <vt:lpstr>Ingresos investigación 2021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21511974M</cp:lastModifiedBy>
  <dcterms:created xsi:type="dcterms:W3CDTF">2019-07-03T07:15:54Z</dcterms:created>
  <dcterms:modified xsi:type="dcterms:W3CDTF">2022-10-18T09:40:14Z</dcterms:modified>
</cp:coreProperties>
</file>