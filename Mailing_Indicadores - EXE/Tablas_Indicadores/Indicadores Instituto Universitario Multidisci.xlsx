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F02B8AC7-8EC4-4EF6-A01B-D36D82E74F3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</sheets>
  <definedNames>
    <definedName name="_xlnm._FilterDatabase" localSheetId="1" hidden="1">Sexenios!$A$1:$S$36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3" l="1"/>
  <c r="S59" i="2" l="1"/>
  <c r="B44" i="6" l="1"/>
  <c r="D41" i="8" s="1"/>
</calcChain>
</file>

<file path=xl/sharedStrings.xml><?xml version="1.0" encoding="utf-8"?>
<sst xmlns="http://schemas.openxmlformats.org/spreadsheetml/2006/main" count="1387" uniqueCount="464">
  <si>
    <t>Orgánica
Descripción justificante</t>
  </si>
  <si>
    <t>Importe</t>
  </si>
  <si>
    <t>Total</t>
  </si>
  <si>
    <t>41.30.6C.00.22</t>
  </si>
  <si>
    <t>41.30.6C.00.29</t>
  </si>
  <si>
    <t>41.30.6O.00.01</t>
  </si>
  <si>
    <t>41.30.6P.00.03</t>
  </si>
  <si>
    <t>41.30.6P.00.04</t>
  </si>
  <si>
    <t>41.30.6P.00.08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</si>
  <si>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</si>
  <si>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</si>
  <si>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</si>
  <si>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</si>
  <si>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</si>
  <si>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</si>
  <si>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</si>
  <si>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</si>
  <si>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</si>
  <si>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</si>
  <si>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</si>
  <si>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</si>
  <si>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</si>
  <si>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</si>
  <si>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</si>
  <si>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</si>
  <si>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</si>
  <si>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</si>
  <si>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</si>
  <si>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</si>
  <si>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</si>
  <si>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- </t>
  </si>
  <si>
    <t>Codirector de tesis </t>
  </si>
  <si>
    <t>10.05</t>
  </si>
  <si>
    <t/>
  </si>
  <si>
    <t>24/07/2018 </t>
  </si>
  <si>
    <t>Director de tesis </t>
  </si>
  <si>
    <t>19/07/2019 </t>
  </si>
  <si>
    <t>U061 </t>
  </si>
  <si>
    <t>ADM. I. MULTIDISCIPLINAR PARA EL ESTUDIO DEL MEDIO RAMÓN MARGALEF </t>
  </si>
  <si>
    <t>DOCTORADO EN ANÁLISIS Y GESTIÓN DE ECOSISTEMAS </t>
  </si>
  <si>
    <t>10.16</t>
  </si>
  <si>
    <t>Pla Bru, María de la Concepción </t>
  </si>
  <si>
    <t>MODELIZACIÓN DEL TRANSPORTE DIFUSIVO DE GASES EN EL CONJUNTO SUELO-ROCA. APLICACIÓN AL ANÁLISIS E INTERPRETACIÓN DE DATOS MICROCLIMÁTICOS EN SISTEMAS KÁRSTICOS SOMEROS </t>
  </si>
  <si>
    <t>30/01/2017 </t>
  </si>
  <si>
    <t>52535480F </t>
  </si>
  <si>
    <t>Pastor Beviá, David </t>
  </si>
  <si>
    <t>"ECOLOGÍA TRÓFICA DEL NÓCTULO GRANDE (NYCTALUS LASIPTERUS), UN MURCIÉLAGO DEPREDADOR DE AVES </t>
  </si>
  <si>
    <t>29/09/2017 </t>
  </si>
  <si>
    <t>15/09/2017 </t>
  </si>
  <si>
    <t>10.20</t>
  </si>
  <si>
    <t>50</t>
  </si>
  <si>
    <t>20</t>
  </si>
  <si>
    <t>ZZ </t>
  </si>
  <si>
    <t>SIN ASIGNAR </t>
  </si>
  <si>
    <t>10</t>
  </si>
  <si>
    <t>B157 </t>
  </si>
  <si>
    <t>ECOLOGIA </t>
  </si>
  <si>
    <t>DOCTORADO EN CONSERVACIÓN Y RESTAURACIÓN DE ECOSISTEMAS </t>
  </si>
  <si>
    <t>B156 </t>
  </si>
  <si>
    <t>CIENCIAS DE LA TIERRA Y DEL MEDIO AMBIENTE </t>
  </si>
  <si>
    <t>B156</t>
  </si>
  <si>
    <t>13/09/2017 </t>
  </si>
  <si>
    <t>B171 </t>
  </si>
  <si>
    <t>CIENCIAS DEL MAR Y BIOLOGÍA APLICADA </t>
  </si>
  <si>
    <t>B171</t>
  </si>
  <si>
    <t>40</t>
  </si>
  <si>
    <t>DOCTORADO EN CIENCIAS DEL MAR Y BIOLOGÍA APLICADA </t>
  </si>
  <si>
    <t>48568823E </t>
  </si>
  <si>
    <t>DOCTORADO EN CIENCIAS DEL MAR </t>
  </si>
  <si>
    <t>Loya Fernández, Ángel Luis </t>
  </si>
  <si>
    <t>ANÁLISIS DE LA ZONA DE MEZCLA DE VERTIDOS HIPERSALINOS PROVENIENTES DE PLANTAS DESALINIZADORAS DE ÓSMOSIS INVERSA </t>
  </si>
  <si>
    <t>31/10/2018 </t>
  </si>
  <si>
    <t>Bouchon Corrales, Marilú </t>
  </si>
  <si>
    <t>LA PESQUERÍA DE ANCHOVETA EN PERÚ </t>
  </si>
  <si>
    <t>04/12/2018 </t>
  </si>
  <si>
    <t>García Rivera, Santiago </t>
  </si>
  <si>
    <t>CARACTERIZACIÓN DE LA BASURA MARINA DEL FONDO DEL MAR EN EL MEDITERRÁNEO ESPAÑOL A TRAVÉS DE LA PESCA DE ARRASTRE </t>
  </si>
  <si>
    <t>31/01/2019 </t>
  </si>
  <si>
    <t>05/12/2016 </t>
  </si>
  <si>
    <t>30</t>
  </si>
  <si>
    <t>70</t>
  </si>
  <si>
    <t>15/05/2017 </t>
  </si>
  <si>
    <t>27/09/2019 </t>
  </si>
  <si>
    <t>20/09/2018 </t>
  </si>
  <si>
    <t>B101 </t>
  </si>
  <si>
    <t>AGROQUIMICA Y BIOQUIMICA </t>
  </si>
  <si>
    <t>B101</t>
  </si>
  <si>
    <t>18/07/2017 </t>
  </si>
  <si>
    <t>DOCTORADO EN BIOLOGÍA EXPERIMENTAL Y APLICADA </t>
  </si>
  <si>
    <t>Martínez Márquez, Ascensión </t>
  </si>
  <si>
    <t>DIVERSIFICACIÓN DE LA PRODUCCIÓN DE ESTILBENOS EN CULTIVOS CELULARES DE VID MEDIANTE INGENIERÍA METABÓLICA </t>
  </si>
  <si>
    <t>02/12/2016 </t>
  </si>
  <si>
    <t>74187810E </t>
  </si>
  <si>
    <t>B164 </t>
  </si>
  <si>
    <t>FISIOLOGÍA, GENÉTICA Y MICROBIOLOGÍA </t>
  </si>
  <si>
    <t>Vegara Luque, Anna </t>
  </si>
  <si>
    <t>GLUTAMINAS SINTETASAS RECOMBINANTES DE HALOFERAX MEDITERRANEI. </t>
  </si>
  <si>
    <t>21422350N </t>
  </si>
  <si>
    <t>22106650Q </t>
  </si>
  <si>
    <t>Torregrosa Crespo, Javier </t>
  </si>
  <si>
    <t>DENITRIFICATION IN HALOARCHAEA: FROM GENES TO CLIMATE CHANGE </t>
  </si>
  <si>
    <t>21487724C </t>
  </si>
  <si>
    <t>02608919Y </t>
  </si>
  <si>
    <t>B157</t>
  </si>
  <si>
    <t>31832052Y </t>
  </si>
  <si>
    <t>73376420A </t>
  </si>
  <si>
    <t>22102953E </t>
  </si>
  <si>
    <t>35004437R </t>
  </si>
  <si>
    <t>21432737A </t>
  </si>
  <si>
    <t>Ruiz Yanetti, Samantha </t>
  </si>
  <si>
    <t>RESPUESTA A LA SEQUÍA DE ESPECIES Y COMUNIDADES DE AMBIENTES CONTRASTADOS: COMPARACIÓN DE BALANCES HÍDRICOS </t>
  </si>
  <si>
    <t>Manrique Alba, Angela </t>
  </si>
  <si>
    <t>ECOHYDROLOGICAL RELATIONSHIPS IN PINE FORESTS IN WATER-SCARCE ENVIRONMENTS </t>
  </si>
  <si>
    <t>García Bacallao, Juan Manuel </t>
  </si>
  <si>
    <t>CARACTERIZACIÓN ECOLÓGICA Y APROVECHAMIENTO DE LA PALOMA RABICHE (ZENAIDA MACROURA) EN UN AGROSISTEMA TROPICAL (CIENFUEGOS, CUBA) </t>
  </si>
  <si>
    <t>15/06/2017 </t>
  </si>
  <si>
    <t>Novak , Klemen </t>
  </si>
  <si>
    <t>CARACTERÍSTICAS DE LOS ANILLOS DE CRECIMIENTO DE PINUS HALEPENSIS EN EL MEDITERRANEO. GROWTH CHARACTERISTICS OF TREE RINGS IN PINUS HALEPENSIS IN THE MEDITERRANEAN </t>
  </si>
  <si>
    <t>36918570M </t>
  </si>
  <si>
    <t>ECOLOGIA</t>
  </si>
  <si>
    <t>DOCTORADO EN CONSERVACIÓN Y RESTAURACIÓN DE ECOSISTEMAS</t>
  </si>
  <si>
    <t>DERAK , MCHICH</t>
  </si>
  <si>
    <t>ANALYSE MULTICRITÈRE DES SERVICES ÉCOSYSTÉMIQUES ET RESTAURATION PARTICIPATIVE DES FORÊTS. CAS DU BASSIN DE BÉNI BOUFRAH (RIF CENTRAL MAROCAIN)</t>
  </si>
  <si>
    <t xml:space="preserve">35052669W </t>
  </si>
  <si>
    <t>Morcillo Juliá, Luna </t>
  </si>
  <si>
    <t>PLANT-PLANT INTERACTIONS: BIOTIC AND ABIOTIC CONTROL FACTORS, IMPACTS ON PRODUCTIVITY, AND APPLICATIONS TO CONSERVATION AND RESTORATION </t>
  </si>
  <si>
    <t>Vasallo Rodríguez, Leosveli </t>
  </si>
  <si>
    <t>LA CRISIS DE LA PRODUCCIÓN DEL SISTEMA AGROFORESTAL CAFETALERO EN CUBA Y SU RELACIÓN CON LA CONSERVACIÓN DE LA BIODIVERSIDAD </t>
  </si>
  <si>
    <t>21/06/2019 </t>
  </si>
  <si>
    <t>Barba Díaz, René Alberto </t>
  </si>
  <si>
    <t>PSEUDOSCORPIONES (ARACHNIDA) DE CUBA: TAXONOMÍA DE STERNOPHORIDAE Y OLPIIDAE, DESCRIPCIÓN DE UNA ESPECIE NUEVA DE ANTILLOBISIUM (BOCHICIDAE) Y CONSIDERACIONES PARA LA CONSERVACIÓN DE OLPIIDAE </t>
  </si>
  <si>
    <t>24/06/2019 </t>
  </si>
  <si>
    <t>Alegre Barroso, Aylin </t>
  </si>
  <si>
    <t>SISTEMÁTICA Y CONSERVACIÓN DE LA FAMILIA BIANTIDAE (ARACHNIDA: OPILIONES: LANIATORES) EN CUBA </t>
  </si>
  <si>
    <t>Cabrera Dávila, Grisel de la Caridad </t>
  </si>
  <si>
    <t>EVALUACIÓN DE LA MACROFAUNA EDÁFICA COMO BIOINDICADOR DEL IMPACTO DEL USO Y CALIDAD DEL SUELO EN EL OCCIDENTE DE CUBA </t>
  </si>
  <si>
    <t>09/01/2019 </t>
  </si>
  <si>
    <t>Bignotte Giró, Irelis </t>
  </si>
  <si>
    <t>REPRODUCCIÓN Y VOCALIZACIONES EN ESPECIES DE RANAS DEL GÉNERO ELEUTHERODACTYLUS DEL ORIENTE DE CUBA </t>
  </si>
  <si>
    <t>11/01/2019 </t>
  </si>
  <si>
    <t>27294053E </t>
  </si>
  <si>
    <t>B164</t>
  </si>
  <si>
    <t>85</t>
  </si>
  <si>
    <t>22112038E </t>
  </si>
  <si>
    <t>21441866R </t>
  </si>
  <si>
    <t>Obrebska ., Anna </t>
  </si>
  <si>
    <t>TRANSDUCCIÓN DE SEÑALES MEDIADA POR EL REGULADOR MULTIFINCIONAL PIPX EN SYNECHOCOCCUS SP. PCC 7942 </t>
  </si>
  <si>
    <t>07/07/2017 </t>
  </si>
  <si>
    <t>08791611E </t>
  </si>
  <si>
    <t>Haro Moreno, Carmen </t>
  </si>
  <si>
    <t>EXPRESIÓN DE GENES Y PROTEÍNAS ASOCIADOS A DISTROGLICANOPATÍAS EN FOTORRECEPTORES EN CULTIVO </t>
  </si>
  <si>
    <t>27/01/2017 </t>
  </si>
  <si>
    <t>Molina Martín, Julio César </t>
  </si>
  <si>
    <t>EVALUACIÓN ANATÓMICA, FUNCIONAL E INMUNOHISTOQUÍMICA DE PACIENTES CON MEMBRANAS EPIRRETINALES IDIOPÁTICAS </t>
  </si>
  <si>
    <t>Ortuño Lizarán, Isabel </t>
  </si>
  <si>
    <t>CELLULAR ALTERATIONS OF THE HUMAN RETINA IN PARKINSON'S DISEASE AND THEIR USE AS EARLY BIOMARKERS </t>
  </si>
  <si>
    <t>21414651H </t>
  </si>
  <si>
    <t>48560510N </t>
  </si>
  <si>
    <t>21478607B </t>
  </si>
  <si>
    <t>Ballester Moltó, Mateo </t>
  </si>
  <si>
    <t>DINÁMICA DE LA PRODUCCIÓN DE RESIDUOS PARTICULADOS EN GRANJAS DE PECES MEDITERRÁNEAS: INFLUENCIA DE LA ICTIOFAUNA SALVAJE </t>
  </si>
  <si>
    <t>03/11/2016 </t>
  </si>
  <si>
    <t>Fernández González, Victoria María </t>
  </si>
  <si>
    <t>FOULING AMPHIPODS ON MARINE AQUACULTURE FACILITIES. ECOLOGICAL INTERACTIONS AND POTENTIAL APLLICATIONS </t>
  </si>
  <si>
    <t>Martínez García, Elena </t>
  </si>
  <si>
    <t>EFECTOS ECOLÓGICOS DE LA ACUICULTURA EN EL POBLAMIENTO DE POLIQUETOS ASOCIADOS A FONDOS BLANDOS </t>
  </si>
  <si>
    <t>04/11/2016 </t>
  </si>
  <si>
    <t>Bin Jalinas , Johari </t>
  </si>
  <si>
    <t>EVALUATING BEAUVERIA BASSIANA ON RED PALM WEEVIL FIELD MANAGEMENT AND BEHAVIOUR WITH ACOUSTICS AND GIS </t>
  </si>
  <si>
    <t>Aranda Martínez, Almudena </t>
  </si>
  <si>
    <t>EFFECT OF CHITOSAN ON FUNGAL PHYSIOLOGY: ROLE OF POCHONIA CHLAMYDOSPORIA CHITOSANASES AND CHITIN DEACETYLASES IN NEMATODE PARASITISM AND BIOETHANOL PRODUCTION </t>
  </si>
  <si>
    <t>19/12/2016 </t>
  </si>
  <si>
    <t>Martínez Garrido, José </t>
  </si>
  <si>
    <t>SYSTEMATICS, SPECIATION PROCESSES, REPRODUCTIVE STRATEGIES AND GENETIC STRUCTURE IN RUPPIA. SISTEMÁTICA, PROCESOS DE ESPECIACIÓN, ESTRATEGIAS REPRODUCTIVAS Y ESTRUCTURA GENÉTICA EN RUPPIA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</si>
  <si>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</si>
  <si>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</si>
  <si>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</si>
  <si>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</si>
  <si>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</si>
  <si>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</si>
  <si>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</si>
  <si>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</si>
  <si>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</si>
  <si>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</si>
  <si>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</si>
  <si>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</si>
  <si>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</si>
  <si>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</si>
  <si>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44554016A</t>
  </si>
  <si>
    <t>GARMENDIA LOPEZ, IDOIA</t>
  </si>
  <si>
    <t>48568823E</t>
  </si>
  <si>
    <t>SANCHEZ LIZASO, JOSE LUIS</t>
  </si>
  <si>
    <t>21441866R</t>
  </si>
  <si>
    <t>ANTON BOTELLA, JOSEFA</t>
  </si>
  <si>
    <t>72519052Y</t>
  </si>
  <si>
    <t>BAEZA BERNA, MANUEL JAIME</t>
  </si>
  <si>
    <t>31832052Y</t>
  </si>
  <si>
    <t>BAUTISTA AGUILAR, JOSEFA SUSANA</t>
  </si>
  <si>
    <t>21437211S</t>
  </si>
  <si>
    <t>BAYLE SEMPERE, JUST TOMAS</t>
  </si>
  <si>
    <t>22102953E</t>
  </si>
  <si>
    <t>BELLOT ABAD, JUAN FRANCISCO</t>
  </si>
  <si>
    <t>35004437R</t>
  </si>
  <si>
    <t>BONET JORNET, ANDRES</t>
  </si>
  <si>
    <t>22106650Q</t>
  </si>
  <si>
    <t>BONETE PEREZ, MARIA JOSE</t>
  </si>
  <si>
    <t>74187810E</t>
  </si>
  <si>
    <t>BRU MARTINEZ, ROQUE</t>
  </si>
  <si>
    <t>21422350N</t>
  </si>
  <si>
    <t>CAMACHO CARRASCO, MONICA LOURDES</t>
  </si>
  <si>
    <t>02608919Y</t>
  </si>
  <si>
    <t>CAÑAVERAS JIMENEZ, JUAN CARLOS</t>
  </si>
  <si>
    <t>08791611E</t>
  </si>
  <si>
    <t>CONTRERAS DE VERA, ASUNCION</t>
  </si>
  <si>
    <t>35052669W</t>
  </si>
  <si>
    <t>CORTINA I SEGARRA, JORDI</t>
  </si>
  <si>
    <t>22112038E</t>
  </si>
  <si>
    <t>CUENCA NAVARRO, NICOLAS</t>
  </si>
  <si>
    <t>48316865Y</t>
  </si>
  <si>
    <t>ESCLAPEZ ESPLIEGO, JULIA MARIA</t>
  </si>
  <si>
    <t>21431941N</t>
  </si>
  <si>
    <t>FERRER CASANOVA, JUAN</t>
  </si>
  <si>
    <t>23230314S</t>
  </si>
  <si>
    <t>GIMENEZ CASALDUERO, MARIA FRANCISCA</t>
  </si>
  <si>
    <t>21434080N</t>
  </si>
  <si>
    <t>JORDA GUIJARRO, JUANA DOLORES</t>
  </si>
  <si>
    <t>21432737A</t>
  </si>
  <si>
    <t>LOPEZ IBORRA, GERMAN MANUEL</t>
  </si>
  <si>
    <t>21414651H</t>
  </si>
  <si>
    <t>LOPEZ LLORCA, LUIS VICENTE</t>
  </si>
  <si>
    <t>21463234W</t>
  </si>
  <si>
    <t>MARHUENDA EGEA, FRUTOS CARLOS</t>
  </si>
  <si>
    <t>27294053E</t>
  </si>
  <si>
    <t>MARTIN NIETO, JOSE</t>
  </si>
  <si>
    <t>44754725Z</t>
  </si>
  <si>
    <t>MARTINEZ ESPINOSA, ROSA MARIA</t>
  </si>
  <si>
    <t>21989619D</t>
  </si>
  <si>
    <t>MARTINEZ MOJICA, FRANCISCO JUAN</t>
  </si>
  <si>
    <t>21487724C</t>
  </si>
  <si>
    <t>PIRE GALIANA, CARMEN LUCIA</t>
  </si>
  <si>
    <t>31829328L</t>
  </si>
  <si>
    <t>RODRIGUEZ MATEO, FRANCISCO</t>
  </si>
  <si>
    <t>B167</t>
  </si>
  <si>
    <t>21478607B</t>
  </si>
  <si>
    <t>SANCHEZ JEREZ, PABLO JOSE</t>
  </si>
  <si>
    <t>24161924X</t>
  </si>
  <si>
    <t>SORIA MINGORANCE, JESUS MIGUEL</t>
  </si>
  <si>
    <t>52736134D</t>
  </si>
  <si>
    <t>TENT MANCLUS, JOSE ENRIQUE</t>
  </si>
  <si>
    <t>48560510N</t>
  </si>
  <si>
    <t>ZUBCOFF VALLEJO, JOSE JACOBO</t>
  </si>
  <si>
    <t>52583754G</t>
  </si>
  <si>
    <t>MOLINA PALACIOS, SERGIO</t>
  </si>
  <si>
    <t>TERCER PAGO DEL CONTRATO "ESTRATEGIAS, ELABORACIÓN DE MATERIALES Y PROPUESTAS PARA LA DIFUSIÓN Y VISIBILIZACIÓN DEL SISTEMA DE REGADIO CON LA COMUNIDAD DE REGANTES DE TORREMIGUEL"</t>
  </si>
  <si>
    <t>CUARTO PAGO DEL CONTRATO DE INVESTIGACIÓN Y DESARROLLO ENTRE MUNDOSOL QUALITY S.L. Y LA UNIVERSIDAD DE ALICANTE "DISEÑO APLICACIÓN Y EVALUACIÓN DE ESTRATEGIAS SOSTENIBLES PAR AEL MANEJO DE PLAGAS Y ENFERMEDADES POST-COSECHA DE LIMONES"</t>
  </si>
  <si>
    <t>41.30.6C.00.31</t>
  </si>
  <si>
    <t>ELABORACIÓN DE PROPUESTA DE PLAN DE GESTIÓN PARA LA MODALIDAD DE PESCA DEL PULPO COMÚN QUE INCLUIRÁ VARIOS APARTADOS</t>
  </si>
  <si>
    <t>41.30.6C.00.37</t>
  </si>
  <si>
    <t>ANÁLISIS DE LA GESTIÓN DE LOS RECURSOS HÍDRICOS DE LA CUENCA DEL VINALOPÓ (AÑO 2019) CNME18/030333CONSELLERIAAGRICULTURA3-18T</t>
  </si>
  <si>
    <t>41.30.6C.00.40</t>
  </si>
  <si>
    <t>MONITORIZACIÓN Y CONSERVACIÓN DE POBLACIONES DE ALONDRA RICOTI EN EL ENTORNO DEL MUNICIPIO DE VALLANCA Y RINCÓN DE ADEMUZ LEVANTINARM1-18I</t>
  </si>
  <si>
    <t>41.30.6C.00.41</t>
  </si>
  <si>
    <t>Primer pago del contrato "Diseño, aplicación y evaluación de estrategias sostenibles para el manejo de plagas y enfermedades post-cosecha de limones"MUNDOSOL1-19I</t>
  </si>
  <si>
    <t>SEGUNDO PAGO DEL CONTRATO DISEÑO APLICACIÓN Y EVALUACION DE ESTRATEGIAS SOSTENIBLES PARA EL MANEJO DE PLAGAS Y ENFERMEDADES POST-COSECHA DE LIMONES</t>
  </si>
  <si>
    <t>TERCER PAGO DEL CONTRATO DISEÑO APLICACIÓN Y EVALUACION DE ESTRATEGIAS SOSTENIBLES PARA EL MANEJO DE PLAGAS Y ENFERMEDADES POST-COSECHA DE LIMONES</t>
  </si>
  <si>
    <t>41.30.6C.00.42</t>
  </si>
  <si>
    <t>INFORME DE VALORACIÓN AMBIENTAL EN LA PARCELA D-EQUIPAMIENTO COMERCIAL PLAN PARDIAL ZO-1 DEL PGOU DE GUARDAMAR AYTOGUARDAMAR2-19TPA</t>
  </si>
  <si>
    <t>41.30.6C.00.43</t>
  </si>
  <si>
    <t>REALIZACIÓN DE TRES JORNADAS PARA LA FORMACION DE LOS ARMADORES Y PESCADORES EN LA EFICIENCIA EMPRESARIAL DE LA PESCA DE ARRASTRE</t>
  </si>
  <si>
    <t>41.30.6C.00.44</t>
  </si>
  <si>
    <t>PROPUESTA Y FUNDAMENTACIÓN DE ZONAS DE VEDA ESPACIO-TEMPORALES EN AGUAS DE LA COMUNIDAD VALENCIANA BASADO EN EL CONOCIMIENTO EXPERTO DEL SECTOR PESQUERO Y LAS CIRCUNSTANCIAS ECOSISTEMICAS</t>
  </si>
  <si>
    <t>41.30.6C.00.45</t>
  </si>
  <si>
    <t>Informe plataformas flotantes para castillo fuegos artificiales Virgen Loreto</t>
  </si>
  <si>
    <t>41.30.6M.00.03</t>
  </si>
  <si>
    <t>TRANSFERENCIA DE FUNDACIÓN CIENCIA Y TECNOLOGÍA, CONCEPTO AV/19/069 PRECIPITA/18/088PR238.</t>
  </si>
  <si>
    <t>PAGO 2019 DEL CONVENIO ESPECÍFICO DE COLABORACIÓN ENTRE LA UNIVERSIDAD DE ALICANTE Y EL AJUNTAMENT DE DÉNIA PARA LA CREACIÓN Y GESTIÓN CONJUNTA DE UN CENTRO DE INVESTIGACIÓN AMBIENTAL Y MARINA DENOMINADO ESTACIÓN CIENTÍFICA MONTGO-DÉNIA EN EL MUNICIPIO DE DÉNIA (ALICANTE)</t>
  </si>
  <si>
    <t>REINTEGRO CUOTA PATRONAL CORRESPONDIENTE AL MES DE DICIEMBRE DE 2019.</t>
  </si>
  <si>
    <t>FLIB 23/04/19. PROYECTOS RETOS I+D+I 2016. ANUAL 2019 PROYECTOS I+D RETOS (PIA13) N EXPEDIENTE: PIA132016-1 - 4 ANUALIDAD REFERENCIA: CGL2. REF. DEL ORDENANTE PARA EL BENEFICIARIO: 27402219310017778.</t>
  </si>
  <si>
    <t>FLIB 18/03/19. PROYECTOS I+D+I RETOS 2017. ANUAL 2019. UNIV2 PROYECTOS I+D RETOS (PIA13) N EXPEDIENTE: PIA132017-1 - 2 ANUALIDAD REFERENCI. REF. ORDENANTE: 27402219310014423.</t>
  </si>
  <si>
    <t>Reintegro de abonos indebidos de ejercicio corriente con origen en nóminas del ejercicio 2019</t>
  </si>
  <si>
    <t>41.30.6P.00.10</t>
  </si>
  <si>
    <t>CIDEGENT 2018 ANUALIDAD 2019RESOL 28/12/2018 CONTRATACIÓN INVESTIGA DORES DOCT. EXCELENCIA PROYECTO I+D+I</t>
  </si>
  <si>
    <t>41.30.6P.00.11</t>
  </si>
  <si>
    <t xml:space="preserve">AORG - ORGANITZACIÓ CONGRESSOS </t>
  </si>
  <si>
    <t>41.30.6P.00.12</t>
  </si>
  <si>
    <t>PAGO 1 ANUALIDAD PROYECTOS RETOS I+D+I 2018. ANUAL 2019 PROYECTOS I+D RETOS (PIA 13) N EXPEDIENTE: PIA 132018 - 1- 1 ANUALIDAD REFERENCIA: R. REFERENCIA DEL ORDENANTE PARA EL BENEFICIARIO: 00173219310010856 - 2019/009675</t>
  </si>
  <si>
    <t>PARA EL PAGO DE LA ANUALIDAD 2019 DE LA CONVOCATORIA RTI 2018 PROYECTOS I+D RETOS (PIA 13) N EXPEDIENTE: PIA 132018-1 -1 ANUALIDAD REFERENC REFERENCIA DEL ORDENANTE PARA EL BENEFICIARIO: 27402219310026471</t>
  </si>
  <si>
    <t>41.30.6X.00.03</t>
  </si>
  <si>
    <t>TURNKEY PRE-FINANCING. REF. BENEFICIARIO: 7906N0021737569X. LA OFICINA DE GESTIÓN DE PROYECTOS INTERNACIONALES INFORMA QUE CORRESPONDE A LA PREFINANCIACIÓN DEL PROYECTO TURNKEY. INSTITUTO IMEM.</t>
  </si>
  <si>
    <t>Ramos Barbero, María Dolores </t>
  </si>
  <si>
    <t>ECO-METAGENÓMICA DE VIRUS EN AMBIENTES HIPERSALINOS </t>
  </si>
  <si>
    <t>Kutsyr , Oksana </t>
  </si>
  <si>
    <t>EFFECTS OF ENVIRONMENTAL FACTORS AND NEUROPROTECTIVE COMPOUNDS ON OXIDATIVE STRESS AND INFLAMMATION IN RETINAL NEURODEGENERATIVE DISEASES </t>
  </si>
  <si>
    <t>11/09/2020 </t>
  </si>
  <si>
    <t>Terradas Fernández, Marc </t>
  </si>
  <si>
    <t>"Aspectos ecológicos del fitobentos asociado a las plataformas de algas y mermétidos del SE ibérico" </t>
  </si>
  <si>
    <t>23/09/2020 </t>
  </si>
  <si>
    <t>B117</t>
  </si>
  <si>
    <t>74235633M</t>
  </si>
  <si>
    <t>SANZ LAZARO, CARLOS</t>
  </si>
  <si>
    <t>COD DEP</t>
  </si>
  <si>
    <t>21467282W</t>
  </si>
  <si>
    <t>GARCIA MARTINEZ, JESUS</t>
  </si>
  <si>
    <t>vivos</t>
  </si>
  <si>
    <t>48303841T</t>
  </si>
  <si>
    <t>GOMEZ DOMENECH, IGOR</t>
  </si>
  <si>
    <t>52784140Z</t>
  </si>
  <si>
    <t>BORDEHORE FONTANET, CESAR</t>
  </si>
  <si>
    <t>Hurtado Gaitan, Elias </t>
  </si>
  <si>
    <t>Exploring phosphoenolpyruvate carboxylase kinase as a potential key regulator of carbon flow towards phenylpropanoid - stilbenoid pathways in grapevine (Vitis vinifera L.) </t>
  </si>
  <si>
    <t>26/11/2020 </t>
  </si>
  <si>
    <t>Larsen , Elisabeth Karlstad </t>
  </si>
  <si>
    <t>Transpiration patterns of Pinus halepensis Mill. in response to environmental stresses in a Mediterranean climate </t>
  </si>
  <si>
    <t>24/05/2021 </t>
  </si>
  <si>
    <t>Rodríguez Herrero, Verónica </t>
  </si>
  <si>
    <t>Análisis de los genes glnA y su relación con el metabolismo del nitrógeno en Haloferax mediterranei </t>
  </si>
  <si>
    <t>06/05/2021 </t>
  </si>
  <si>
    <t>48316865Y </t>
  </si>
  <si>
    <t>Labella Sanfrutos, Jose Ignacio </t>
  </si>
  <si>
    <t>Señalización mediada por PIPX en Cianobacterias: Componentes, Interacciones, Dianas y Señales </t>
  </si>
  <si>
    <t>22/02/2021 </t>
  </si>
  <si>
    <t>Villamor Serrano, Judit </t>
  </si>
  <si>
    <t>Estudio de las virosferas de Salinibacter ruber y Haloquadratum walsbyi </t>
  </si>
  <si>
    <t>07/05/2021 </t>
  </si>
  <si>
    <t>Casado Coy, Nuria </t>
  </si>
  <si>
    <t>Effects of fouling and organic matter wastes from marine aquaculture on the macrofauna and biogeochemistry of sediments. </t>
  </si>
  <si>
    <t>09/06/2021 </t>
  </si>
  <si>
    <t>74235633M </t>
  </si>
  <si>
    <t>Suárez Fernández, Marta </t>
  </si>
  <si>
    <t>MULTIOMICS STUDY OF POCHONIA CHLAMYDOSPORIA TRITROPHIC LIFESTYLE </t>
  </si>
  <si>
    <t>29/04/2021 </t>
  </si>
  <si>
    <t>U062 </t>
  </si>
  <si>
    <t>ADM. I.U. DE INVESTIGACIÓN INFORMÁTICA </t>
  </si>
  <si>
    <t>DOCTORADO EN INFORMÁTICA </t>
  </si>
  <si>
    <t>González Mora, César </t>
  </si>
  <si>
    <t>An APIfication Approach to Facilitate the Access and Reuse of Open Data </t>
  </si>
  <si>
    <t>10/09/2021 </t>
  </si>
  <si>
    <t>Sola Maciá, Iván </t>
  </si>
  <si>
    <t>02/09/2021 </t>
  </si>
  <si>
    <t>González Andrés, Cristina </t>
  </si>
  <si>
    <t>¿The role of marine offshore protected areas in protecting large pelagics. Practical case: Cocos Island National Park¿. </t>
  </si>
  <si>
    <t>26/02/2021 </t>
  </si>
  <si>
    <t>41.30.6C.00.19</t>
  </si>
  <si>
    <t>Consultancy of Sergio Molina-Palacios in the development of a PML methodology for Chile</t>
  </si>
  <si>
    <t>CUARTO PAGO DEL CONTRATO "ESTRATEGIAS, ELABORACIÓN DE MATERIALES Y PROPUESTAS PARA LA DIFUSIÓN Y VISIBILIZACIÓN DEL SISTEMA DE REGADÍO CON LA COMUNIDAD DE REGANTES DE TORREMIGUEL"</t>
  </si>
  <si>
    <t>I ADDENDA MONITORIZACION Y CONSERVACION DE LAS POBLACIONES DE ALONDRA RICOTI (CHERSOPHILUS DUPONTI) EN EL ENTORNO DEL MUNICIPIO DE VALLANCA Y RINCON DE ADEMUZ.</t>
  </si>
  <si>
    <t>41.30.6C.00.47</t>
  </si>
  <si>
    <t>Servicio de redacción del Proyecto Fondeo (GALP)</t>
  </si>
  <si>
    <t>41.30.6C.00.48</t>
  </si>
  <si>
    <t>Primer pago estudio de reconocimiento de especies en el Puerto de Valencia dentro del marco del proyecto europeo ODYSSEA financiado por el Programa H2020</t>
  </si>
  <si>
    <t>Segundo pago estudio de reconocimiento de especies en el Puerto de Valencia dentro del marco del proyecto europeo ODYSSEA financiado por el Programa H2020</t>
  </si>
  <si>
    <t>41.30.6C.00.49</t>
  </si>
  <si>
    <t>Redacción Informe Estrategias Marinas, boyas, fondeo, GALP por la empresa UNIVERSIDAD DE ALICANTE</t>
  </si>
  <si>
    <t>41.30.6C.00.50</t>
  </si>
  <si>
    <t>Evaluación de la aplicación del plan de gestión para la pesca del pulpo común, Octopus vulgaris Cuvier 1797, con cadufos en la provincia de Alicante: temporada 2018-19.</t>
  </si>
  <si>
    <t>41.30.6C.00.51</t>
  </si>
  <si>
    <t>CONVENIO CON UNIVERSIDAD ALICANTE PARA PROYECTO DE ESTRATEGIAS MICROBIOLÓGICAS CONTRA LA XYLELLA FASTIDIOSA EN C.V. (AGRICULTURA,DESARR.RURAL,EMERG.CLIMÁTICA)</t>
  </si>
  <si>
    <t>41.30.6C.00.52</t>
  </si>
  <si>
    <t>First payment RESEARCH SERVICE AGREEMENT "BIODEGRADABILITY ASSESSMENT OF MATERIALS IN THE MARINE ENVIRONMENT"</t>
  </si>
  <si>
    <t>PAGO 2020 DEL CONVENIO ESPECÍFICO DE COLABORACIÓN ENTRE LA UNIVERSIDAD DE ALICANTE Y EL AJUNTAMENT DE DÉNIA PARA LA CREACIÓN Y GESTIÓN CONJUNTA DE UN CENTRO DE INVESTIGACIÓN AMBIENTAL Y MARINA DENOMINADO ESTACIÓN CIENTÍFICA MONTGODÉNIA EN EL MUNICIPIO DE DÉNIA (ALICANTE)</t>
  </si>
  <si>
    <t>abono de factura  09400042878A  de Viajes El Corte Inglés del justificante 2019/000000048905</t>
  </si>
  <si>
    <t>REINTEGRO CUOTA PATRONAL CORRESPONDIENTE AL MES DE ENERO DE 2020.</t>
  </si>
  <si>
    <t>FLIB. 9/06/2020. PROYECTOS RETOS INVESTIGACION 2017. ANUAL 2020. PROYECTOS I+D RETOS (PIA13) N EXPEDIENTE: PIA132017-1 - 3 ANUALIDAD REFER</t>
  </si>
  <si>
    <t>CIDEGENT 2018 SUBV.CONTRAC. INVEST. DOCEXCELENCIA DESARR PROYECT I+D+I EN C.V. RESOL 28/12/2020 DGUIC ANUALIDAD 2020 (INNOVACIÓN,UNIVERSIDADES,CIENCIA SOC.DIG)</t>
  </si>
  <si>
    <t>FLIB 30/06/2020. PROYECTOS RETOS INVESTIGACION 201 / 8. ANUAL 2020 PROYECTOS I+D RETOS (PIA13) N E / XPEDIENTE: PIA132018-1 - 2 ANUALIDAD REFERE / GOVT / 27402220310030608</t>
  </si>
  <si>
    <t>41.30.6P.00.15</t>
  </si>
  <si>
    <t>N/P ANTICIPO CA2019. LA UNIDAD DE PROYECTOS PÚBLICOS DE I+D Y BECAS DE INVESTIGACIÓN INFORMA QUE CORRESPONDE A UN ANTICIPO DE UN TOTAL DE AYUDA POR IMPORTE DE 60.000,- EUROS PARA UN PROYECTO, INVESTIGACIÓN Y CIENCIA CIUDADANA PARA MEJORAR LA GESTIÓN DE LA PRESENCIA DE PLÁSTICOS DE LAS ÁREAS MARINAS PROTEGIDAS. REF. EXTERNA: FBIOMARINA 19-01.</t>
  </si>
  <si>
    <t>41.30.6P.00.17</t>
  </si>
  <si>
    <t>PAGO CONVOVATORIA PROYECTOS 2019 ANUALIDAD 2020 PROYECTOS I+D (PIA1) EXPEDIENTE PIA12019-1-1 ANUALIDAD REFERENCIA: PID2019-111332G</t>
  </si>
  <si>
    <t>41.30.6X.00.04</t>
  </si>
  <si>
    <t>PRIMER PAGO PROYECTO BIODESERT</t>
  </si>
  <si>
    <t>41.30.6X.00.05</t>
  </si>
  <si>
    <t>PROYECTO uPPET-T, COORDINADO POR LA PROFESORA ROSA MARÍA MARTÍNEZ, SEGÚN INFORMA LA OGPI.</t>
  </si>
  <si>
    <t>48352264P</t>
  </si>
  <si>
    <t>SOLIVERES CODINA, SANTIAGO</t>
  </si>
  <si>
    <t>Unidad</t>
  </si>
  <si>
    <t>Cód. org. aplic.</t>
  </si>
  <si>
    <t>Descripción justificante</t>
  </si>
  <si>
    <t>41.30</t>
  </si>
  <si>
    <t>II ADDENDA MONITORIZACIÓN Y CONSERVACIÓN DE LAS POBLACIONES DE ALONDRA RICOTI (CHERSOPHILUS DUPONTI) EN EL ENTORNO DEL MUNICIPIO DE VALLANCA Y RINCÓN DE ADEMUZ.</t>
  </si>
  <si>
    <t>Pago 15% informe final. Estudio de reconocimiento de especies en el Puerto de Valencia dentro del marco del proyecto europeo ODYSSEA financiado por el Programa H2020</t>
  </si>
  <si>
    <t>4º pago contrato "Estudio de reconocimiento de especies en el Puerto de Valencia dentro del marco del proyecto europeo ODYSSEA financiado por el Programa H2020"</t>
  </si>
  <si>
    <t>Tercer pago estudio de reconocimiento de especies en el Puerto de Valencia dentro del marco del proyecto europeo ODYSSEA financiado por el Programa H2020</t>
  </si>
  <si>
    <t>Second payment 25% RESEARCH SERVICE AGREEMENT "BIODEGRADABILITY ASSESSMENT OF MATERIALS IN THE MARINE ENVIRONMENT"</t>
  </si>
  <si>
    <t>PHASE 2 RESEARCH SERVICE AGREEMENT "BIODEGRADABILITY ASSESSMENT OF MATERIALS IN THE MARINE ENVIRONMENT"</t>
  </si>
  <si>
    <t>41.30.6C.00.53</t>
  </si>
  <si>
    <t>Segundo pago contratación del estudio de reconocimiento de especies en el Puerto de Valencia, en el marcho del proyecto ODYSSEA (727277), dentro del Programa 2020</t>
  </si>
  <si>
    <t>Primer pago contratación del estudio de reconocimiento de especies en el Puerto de Valencia, en el marco del proyecto ODYSSEA (727277), dentro del Programa H2020</t>
  </si>
  <si>
    <t>Pago 45 %. Entrega informe final contratación del estudio de reconocimiento de especies en la escollera exterior del Puerto de Valencia, en el marcho del proyecto ODYSSEA (727277), dentro del Programa 2020</t>
  </si>
  <si>
    <t>41.30.6C.00.54</t>
  </si>
  <si>
    <t>Primer pago contrato. Consultoría sobre ecología marina aplicada: análisis ambiental, medidas correctoras, seguimiento de las posibles afecciones al medio marino, proyecto para concesión administrativa y emisión de informes para las Administraciones competentes en medio marino en relación a la actividad subacuática la Bodega Submarina del Mediterráneo.</t>
  </si>
  <si>
    <t>41.30.6C.00.56</t>
  </si>
  <si>
    <t>Asistencia Técnica para el asesoramiento de la gerencia del GALP Bahía de Santa Pola, en el desarrollo y aplicación de la Estrategia de Desarrollo Local (EDL) participativo para el desarrollo sostenible de la zona pesquera y Acuícola de la Bahía de Santa Pola</t>
  </si>
  <si>
    <t>41.30.6C.00.57</t>
  </si>
  <si>
    <t>FIRST PAYMENT 80%</t>
  </si>
  <si>
    <t>41.30.6C.00.58</t>
  </si>
  <si>
    <t>Entrega informe preliminar contrato menor REALIZACIÓN ESTUDIO DEL ARTE MICROBIOTA MEDIOS HIPERSALINOS. Nº de expediente 23142-2021</t>
  </si>
  <si>
    <t>ENTREGA DE INFORME INTERMEDIO</t>
  </si>
  <si>
    <t>Entrega de informe final</t>
  </si>
  <si>
    <t>41.30.6C.00.59</t>
  </si>
  <si>
    <t>ANÁLISIS DE RIESGO SÍSMICO PARA EL PLAN DE ACTUACIÓN MUNICIPAL ANTE EL RIESGO SÍSMICO EN BENFERRI</t>
  </si>
  <si>
    <t>41.30.6C.00.60</t>
  </si>
  <si>
    <t>CS0.000002 Impuesto de sociedades. Identificar zonas forestales a restaurar en España según criterio experto. Seleccionar lugares donde sea prioritario realizar acciones de restauración que recuperen servicios ecosistémicos y a su vez, mejoren el estado de conservación de procesos naturales, hábitats y especies. CS0.000002 Impuesto de sociedades</t>
  </si>
  <si>
    <t>41.30.6C.00.61</t>
  </si>
  <si>
    <t>REDACCIÓN DEL PLAN DE ACTUACIÓN MUNICIPAL ANTE EL RIESGO SÍSMICO EN ALCOY</t>
  </si>
  <si>
    <t>41.30.6C.00.62</t>
  </si>
  <si>
    <t>REALIZACIÓN DEL ANÁLISIS DE RIESGO SÍSMICO PARA EL PLAN DE ACTUACIÓN MUNICIPAL (PAM) ANTE EL RIESGO SÍSMICO EN ORIHUELA.    AD 2021.2.0016184.000</t>
  </si>
  <si>
    <t>PAGO ANUAL DEL CONVENIO ESPECÍFICO DE COLABORACIÓN ENTRE LA UNIVERSIDAD DE ALICANTE Y EL AJUNTAMENT DE DÉNIA PARA LA CREACIÓN Y GESTIÓN CONJUNTA DE UN CENTRO DE INVESTIGACIÓN AMBIENTAL Y MARINA DENOMINADO ESTACIÓN CIENTÍFICA MONTGODÉNIA EN EL MUNICIPIO DE DÉNIA (ALICANTE)</t>
  </si>
  <si>
    <t>Reintegro parcial Inscripcion congreso Eurodyn 2020 de Noelia Agea Medina. JG:J2019-51380 ADO 2019-61638.</t>
  </si>
  <si>
    <t>CIDEGENT 2018 ANUALIDAD 2021RESOLUCIÓN DGUIC 25/01/2019</t>
  </si>
  <si>
    <t xml:space="preserve">RTI2018-095954-B-I00 </t>
  </si>
  <si>
    <t xml:space="preserve">PID2019-111332RB-C21 </t>
  </si>
  <si>
    <t>41.30.6P.00.19</t>
  </si>
  <si>
    <t>Investigación para la adaptación: Conociendo los efectos de los eventos de climatología extrema en los arrecifes costeros</t>
  </si>
  <si>
    <t>41.30.6P.00.23</t>
  </si>
  <si>
    <t xml:space="preserve">PROMETEO/2021/055 2021 en 2021 </t>
  </si>
  <si>
    <t>41.30.6P.00.24</t>
  </si>
  <si>
    <t>PCI2021-122103-2B PIA212021-1-1 ANUALIDAD 1ER PAGO CONVOCATORIA PROYECTOS COLABORACIÓN INTERNACIONAL .2. ANUAL 2021 APCIN PLAZO 2(PI/A21)</t>
  </si>
  <si>
    <t>41.30.6S.00.14</t>
  </si>
  <si>
    <t>CUARTO INGRESO DEL PROYECTO BIODESERT, SEGÚN INFORMAN DESDE OGPI</t>
  </si>
  <si>
    <t xml:space="preserve">Reintegro parcial de la Inscripcion congreso Eurodyn 2020 de Alireza Kharazian (Instituto Ramón Margalef). JG 2019-51385 /ADO: 2019-61667 </t>
  </si>
  <si>
    <t>SEGUNDO PAGO PROYECTO TURNKEY, SEGÚN INFORMA LA OGPI</t>
  </si>
  <si>
    <t>REINTEGRO PARCIAL DEL JG:2020/30598. ADO: 2020000037120. EXPRESS WORLDWIDE NONDOC. Envio de muestras a Australia y Estonia BIODESERT 647038.</t>
  </si>
  <si>
    <t>41.30.6X.00.06</t>
  </si>
  <si>
    <t xml:space="preserve">(EASME/H2020/2018/008) </t>
  </si>
  <si>
    <t>PROYECTO MYFUN, INVESTIGADOR PRINCIPAL FERNANDO TOMAS MAESTRE, SEGUN INFORMAN DESDE OGPI</t>
  </si>
  <si>
    <t>41.30.6X.00.07</t>
  </si>
  <si>
    <t>PRIMER INGRESO PROYECTO SOILGUARD PROF SANTIAGO SOLIVERES IMEM, SEGÚN OGPI</t>
  </si>
  <si>
    <t>41.30.6X.00.08</t>
  </si>
  <si>
    <t>PRIMER PAGO DEL PROYECTO  AGRO2CIRCULAR, SEGÚN INFORMA LA OGPI</t>
  </si>
  <si>
    <t>4475475Z </t>
  </si>
  <si>
    <t>10.19</t>
  </si>
  <si>
    <t>Maturano Ruiz, Adrián </t>
  </si>
  <si>
    <t>Impacts of water availability on shrublands: natural and experimental extreme drought in </t>
  </si>
  <si>
    <t>11/03/2022 </t>
  </si>
  <si>
    <t>05655788L </t>
  </si>
  <si>
    <t>Moghli , Aymen </t>
  </si>
  <si>
    <t>Functioning of Mediterranean ecosystems in response to forest fires and post-fire management activities. </t>
  </si>
  <si>
    <t>15/07/2022 </t>
  </si>
  <si>
    <t>72519052Y </t>
  </si>
  <si>
    <t>Aldeguer Riquelme, Borja </t>
  </si>
  <si>
    <t>Caracterización de las comunidades microbianas de los sedimentos del Mar Menor </t>
  </si>
  <si>
    <t>22/07/2022 </t>
  </si>
  <si>
    <t>Payá Cuadra, Gloria </t>
  </si>
  <si>
    <t>Small RNAs y proteínas reguladoras relacionadas con el metabolismo del nitrógeno en </t>
  </si>
  <si>
    <t>25/07/2022 </t>
  </si>
  <si>
    <t>Quereda Galvañ, Cristina </t>
  </si>
  <si>
    <t>Expresión en la retina y células tumorales de genes y proteínas asociados a distrofias neuromusculares congénitas </t>
  </si>
  <si>
    <t>Molina Martín, Luis Alberto </t>
  </si>
  <si>
    <t>Tomografía de coherencia óptica y ecografía orbitaria en el diagnóstico del deterioro cognitivo leve. </t>
  </si>
  <si>
    <t>09/09/2022 </t>
  </si>
  <si>
    <t>ASPECTOS AMBIENTALES DE LA DESALINIZACIÓN DE AGUA DE MAR : REGULACIÓN Y GESTIÓN DE LOS VERTIDOS </t>
  </si>
  <si>
    <t>Muñoz Muñoz, Pamela Tamara </t>
  </si>
  <si>
    <t>Respuestas Fisiológicas y metabólicas de macroalgas expuestas a estrés osmótico por hipersalinidad: mecanismos de tolerancia y herramientas de biomonitoreo </t>
  </si>
  <si>
    <t>26/11/2021 </t>
  </si>
  <si>
    <t>U020 </t>
  </si>
  <si>
    <t>ADM. I.U. DEL AGUA Y DE LAS CIENCIAS AMBIENTALES </t>
  </si>
  <si>
    <t>DOCTORADO EN AGUA Y DESARROLLO SOSTENIBLE </t>
  </si>
  <si>
    <t>Aldaghma , Saleh </t>
  </si>
  <si>
    <t>"The prospects of water sustainability in Gaza, Palestine in light of politics and technical challenges" </t>
  </si>
  <si>
    <t>09/02/2022 </t>
  </si>
  <si>
    <t>05655788L</t>
  </si>
  <si>
    <t>VALDECANTOS DEMA, ALEJANDRO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</si>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</sst>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11" fillId="0" borderId="7" xfId="0" applyFont="1" applyBorder="1"/>
    <xf numFmtId="0" fontId="0" fillId="0" borderId="0" xfId="0" applyAlignment="1">
      <alignment horizontal="left" indent="1"/>
    </xf>
    <xf numFmtId="0" fontId="11" fillId="7" borderId="8" xfId="0" applyFont="1" applyFill="1" applyBorder="1" applyAlignment="1">
      <alignment horizontal="left"/>
    </xf>
    <xf numFmtId="0" fontId="11" fillId="7" borderId="8" xfId="0" applyFont="1" applyFill="1" applyBorder="1"/>
    <xf numFmtId="0" fontId="7" fillId="0" borderId="1" xfId="0" applyFont="1" applyBorder="1"/>
    <xf numFmtId="0" fontId="13" fillId="8" borderId="9" xfId="0" applyNumberFormat="1" applyFont="1" applyFill="1" applyBorder="1"/>
    <xf numFmtId="0" fontId="13" fillId="8" borderId="10" xfId="0" applyNumberFormat="1" applyFont="1" applyFill="1" applyBorder="1"/>
    <xf numFmtId="0" fontId="13" fillId="8" borderId="11" xfId="0" applyFont="1" applyFill="1" applyBorder="1" applyAlignment="1">
      <alignment horizontal="right"/>
    </xf>
    <xf numFmtId="0" fontId="0" fillId="9" borderId="12" xfId="0" applyNumberFormat="1" applyFont="1" applyFill="1" applyBorder="1"/>
    <xf numFmtId="0" fontId="0" fillId="9" borderId="13" xfId="0" applyFont="1" applyFill="1" applyBorder="1"/>
    <xf numFmtId="4" fontId="0" fillId="9" borderId="14" xfId="0" applyNumberFormat="1" applyFont="1" applyFill="1" applyBorder="1"/>
    <xf numFmtId="0" fontId="0" fillId="7" borderId="12" xfId="0" applyNumberFormat="1" applyFont="1" applyFill="1" applyBorder="1"/>
    <xf numFmtId="0" fontId="0" fillId="7" borderId="13" xfId="0" applyFont="1" applyFill="1" applyBorder="1"/>
    <xf numFmtId="4" fontId="0" fillId="7" borderId="14" xfId="0" applyNumberFormat="1" applyFont="1" applyFill="1" applyBorder="1"/>
    <xf numFmtId="0" fontId="13" fillId="8" borderId="15" xfId="0" applyFont="1" applyFill="1" applyBorder="1"/>
    <xf numFmtId="0" fontId="13" fillId="8" borderId="16" xfId="0" applyFont="1" applyFill="1" applyBorder="1"/>
    <xf numFmtId="4" fontId="13" fillId="8" borderId="17" xfId="0" applyNumberFormat="1" applyFont="1" applyFill="1" applyBorder="1"/>
    <xf numFmtId="0" fontId="3" fillId="4" borderId="0" xfId="1" applyFill="1"/>
    <xf numFmtId="14" fontId="3" fillId="4" borderId="1" xfId="1" applyNumberForma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164" fontId="3" fillId="10" borderId="1" xfId="1" applyNumberFormat="1" applyFill="1" applyBorder="1"/>
    <xf numFmtId="0" fontId="3" fillId="10" borderId="1" xfId="1" applyFill="1" applyBorder="1"/>
    <xf numFmtId="164" fontId="3" fillId="10" borderId="2" xfId="1" applyNumberFormat="1" applyFill="1" applyBorder="1"/>
    <xf numFmtId="0" fontId="0" fillId="11" borderId="1" xfId="0" applyFill="1" applyBorder="1" applyAlignment="1">
      <alignment horizontal="center"/>
    </xf>
    <xf numFmtId="0" fontId="14" fillId="12" borderId="1" xfId="0" applyFont="1" applyFill="1" applyBorder="1" applyAlignment="1">
      <alignment horizontal="right"/>
    </xf>
    <xf numFmtId="4" fontId="0" fillId="11" borderId="1" xfId="0" applyNumberFormat="1" applyFill="1" applyBorder="1"/>
    <xf numFmtId="164" fontId="4" fillId="10" borderId="18" xfId="1" applyNumberFormat="1" applyFont="1" applyFill="1" applyBorder="1" applyAlignment="1">
      <alignment horizontal="center"/>
    </xf>
    <xf numFmtId="0" fontId="4" fillId="10" borderId="18" xfId="1" applyFont="1" applyFill="1" applyBorder="1" applyAlignment="1">
      <alignment horizontal="center"/>
    </xf>
    <xf numFmtId="164" fontId="11" fillId="11" borderId="19" xfId="5" applyNumberFormat="1" applyFont="1" applyFill="1" applyBorder="1" applyAlignment="1">
      <alignment horizontal="center"/>
    </xf>
    <xf numFmtId="2" fontId="3" fillId="10" borderId="1" xfId="1" applyNumberForma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9"/>
  <sheetViews>
    <sheetView showGridLines="0" tabSelected="1" topLeftCell="G40" zoomScale="120" zoomScaleNormal="120" workbookViewId="0">
      <selection activeCell="T39" sqref="T3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5.33203125" style="14" customWidth="1"/>
    <col min="14" max="14" width="4.88671875" style="13" customWidth="1"/>
    <col min="15" max="15" width="5.3320312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9" ht="45" x14ac:dyDescent="0.2">
      <c r="A1" s="8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8" t="s">
        <v>17</v>
      </c>
      <c r="J1" s="9" t="s">
        <v>18</v>
      </c>
      <c r="K1" s="8" t="s">
        <v>19</v>
      </c>
      <c r="L1" s="9" t="s">
        <v>20</v>
      </c>
      <c r="M1" s="10" t="s">
        <v>21</v>
      </c>
      <c r="N1" s="11" t="s">
        <v>22</v>
      </c>
      <c r="O1" s="12" t="s">
        <v>23</v>
      </c>
      <c r="P1" s="11" t="s">
        <v>24</v>
      </c>
      <c r="Q1" s="12" t="s">
        <v>25</v>
      </c>
      <c r="R1" s="11" t="s">
        <v>26</v>
      </c>
      <c r="S1" s="11" t="s">
        <v>27</v>
      </c>
      <c r="T1" s="11" t="s">
        <v>28</v>
      </c>
      <c r="U1" s="11" t="s">
        <v>29</v>
      </c>
    </row>
    <row r="2" spans="1:29" s="58" customFormat="1" x14ac:dyDescent="0.2">
      <c r="A2" s="26" t="s">
        <v>37</v>
      </c>
      <c r="B2" s="26" t="s">
        <v>38</v>
      </c>
      <c r="C2" s="26" t="s">
        <v>39</v>
      </c>
      <c r="D2" s="26" t="s">
        <v>41</v>
      </c>
      <c r="E2" s="26" t="s">
        <v>42</v>
      </c>
      <c r="F2" s="26" t="s">
        <v>43</v>
      </c>
      <c r="G2" s="26" t="s">
        <v>44</v>
      </c>
      <c r="H2" s="26" t="s">
        <v>31</v>
      </c>
      <c r="I2" s="26" t="s">
        <v>37</v>
      </c>
      <c r="J2" s="26" t="s">
        <v>38</v>
      </c>
      <c r="K2" s="29">
        <v>0.33333333333333331</v>
      </c>
      <c r="L2" s="26" t="s">
        <v>40</v>
      </c>
      <c r="M2" s="26">
        <v>2016</v>
      </c>
      <c r="N2" s="26" t="s">
        <v>33</v>
      </c>
      <c r="O2" s="27" t="s">
        <v>33</v>
      </c>
      <c r="P2" s="26" t="s">
        <v>33</v>
      </c>
      <c r="Q2" s="27" t="s">
        <v>33</v>
      </c>
      <c r="R2" s="28">
        <v>100</v>
      </c>
      <c r="S2" s="62">
        <v>0.33333333333333326</v>
      </c>
      <c r="T2" s="29">
        <v>0</v>
      </c>
      <c r="U2" s="29">
        <v>0</v>
      </c>
    </row>
    <row r="3" spans="1:29" s="58" customFormat="1" x14ac:dyDescent="0.2">
      <c r="A3" s="26" t="s">
        <v>37</v>
      </c>
      <c r="B3" s="26" t="s">
        <v>38</v>
      </c>
      <c r="C3" s="26" t="s">
        <v>39</v>
      </c>
      <c r="D3" s="26" t="s">
        <v>45</v>
      </c>
      <c r="E3" s="26" t="s">
        <v>46</v>
      </c>
      <c r="F3" s="26" t="s">
        <v>47</v>
      </c>
      <c r="G3" s="26" t="s">
        <v>30</v>
      </c>
      <c r="H3" s="26" t="s">
        <v>31</v>
      </c>
      <c r="I3" s="26" t="s">
        <v>37</v>
      </c>
      <c r="J3" s="26" t="s">
        <v>38</v>
      </c>
      <c r="K3" s="29">
        <v>1</v>
      </c>
      <c r="L3" s="26" t="s">
        <v>40</v>
      </c>
      <c r="M3" s="26">
        <v>2016</v>
      </c>
      <c r="N3" s="26" t="s">
        <v>33</v>
      </c>
      <c r="O3" s="27" t="s">
        <v>33</v>
      </c>
      <c r="P3" s="26" t="s">
        <v>33</v>
      </c>
      <c r="Q3" s="27" t="s">
        <v>33</v>
      </c>
      <c r="R3" s="28">
        <v>100</v>
      </c>
      <c r="S3" s="62">
        <v>1</v>
      </c>
      <c r="T3" s="29">
        <v>0</v>
      </c>
      <c r="U3" s="29">
        <v>0</v>
      </c>
    </row>
    <row r="4" spans="1:29" s="58" customFormat="1" ht="14.4" x14ac:dyDescent="0.3">
      <c r="A4" s="26" t="s">
        <v>84</v>
      </c>
      <c r="B4" s="26" t="s">
        <v>85</v>
      </c>
      <c r="C4" s="26" t="s">
        <v>88</v>
      </c>
      <c r="D4" s="26" t="s">
        <v>89</v>
      </c>
      <c r="E4" s="26" t="s">
        <v>90</v>
      </c>
      <c r="F4" s="26" t="s">
        <v>91</v>
      </c>
      <c r="G4" s="26" t="s">
        <v>92</v>
      </c>
      <c r="H4" s="26" t="s">
        <v>35</v>
      </c>
      <c r="I4" s="26" t="s">
        <v>84</v>
      </c>
      <c r="J4" s="26" t="s">
        <v>85</v>
      </c>
      <c r="K4" s="29">
        <v>1</v>
      </c>
      <c r="L4" s="26" t="s">
        <v>86</v>
      </c>
      <c r="M4" s="26">
        <v>2016</v>
      </c>
      <c r="N4" s="26" t="s">
        <v>40</v>
      </c>
      <c r="O4" s="27" t="s">
        <v>50</v>
      </c>
      <c r="P4" s="26" t="s">
        <v>33</v>
      </c>
      <c r="Q4" s="27" t="s">
        <v>33</v>
      </c>
      <c r="R4" s="28">
        <v>50</v>
      </c>
      <c r="S4" s="29">
        <v>0.5</v>
      </c>
      <c r="T4" s="62">
        <v>0.5</v>
      </c>
      <c r="U4" s="29">
        <v>0</v>
      </c>
      <c r="W4"/>
      <c r="X4"/>
      <c r="Y4"/>
      <c r="Z4"/>
      <c r="AA4"/>
      <c r="AB4"/>
      <c r="AC4"/>
    </row>
    <row r="5" spans="1:29" s="58" customFormat="1" x14ac:dyDescent="0.2">
      <c r="A5" s="26" t="s">
        <v>84</v>
      </c>
      <c r="B5" s="26" t="s">
        <v>85</v>
      </c>
      <c r="C5" s="26" t="s">
        <v>88</v>
      </c>
      <c r="D5" s="26" t="s">
        <v>145</v>
      </c>
      <c r="E5" s="26" t="s">
        <v>146</v>
      </c>
      <c r="F5" s="26" t="s">
        <v>147</v>
      </c>
      <c r="G5" s="26" t="s">
        <v>148</v>
      </c>
      <c r="H5" s="26" t="s">
        <v>31</v>
      </c>
      <c r="I5" s="26" t="s">
        <v>93</v>
      </c>
      <c r="J5" s="26" t="s">
        <v>94</v>
      </c>
      <c r="K5" s="29">
        <v>0.5</v>
      </c>
      <c r="L5" s="26" t="s">
        <v>141</v>
      </c>
      <c r="M5" s="26">
        <v>2016</v>
      </c>
      <c r="N5" s="26" t="s">
        <v>40</v>
      </c>
      <c r="O5" s="27" t="s">
        <v>50</v>
      </c>
      <c r="P5" s="26" t="s">
        <v>33</v>
      </c>
      <c r="Q5" s="27" t="s">
        <v>33</v>
      </c>
      <c r="R5" s="28">
        <v>50</v>
      </c>
      <c r="S5" s="29">
        <v>0.25</v>
      </c>
      <c r="T5" s="62">
        <v>0.25</v>
      </c>
      <c r="U5" s="29">
        <v>0</v>
      </c>
    </row>
    <row r="6" spans="1:29" s="58" customFormat="1" x14ac:dyDescent="0.2">
      <c r="A6" s="26" t="s">
        <v>55</v>
      </c>
      <c r="B6" s="26" t="s">
        <v>56</v>
      </c>
      <c r="C6" s="26" t="s">
        <v>57</v>
      </c>
      <c r="D6" s="26" t="s">
        <v>109</v>
      </c>
      <c r="E6" s="26" t="s">
        <v>110</v>
      </c>
      <c r="F6" s="26" t="s">
        <v>61</v>
      </c>
      <c r="G6" s="26" t="s">
        <v>106</v>
      </c>
      <c r="H6" s="26" t="s">
        <v>31</v>
      </c>
      <c r="I6" s="26" t="s">
        <v>55</v>
      </c>
      <c r="J6" s="26" t="s">
        <v>56</v>
      </c>
      <c r="K6" s="29">
        <v>0.5</v>
      </c>
      <c r="L6" s="26" t="s">
        <v>103</v>
      </c>
      <c r="M6" s="26">
        <v>2016</v>
      </c>
      <c r="N6" s="26" t="s">
        <v>40</v>
      </c>
      <c r="O6" s="27" t="s">
        <v>80</v>
      </c>
      <c r="P6" s="26" t="s">
        <v>33</v>
      </c>
      <c r="Q6" s="27" t="s">
        <v>33</v>
      </c>
      <c r="R6" s="28">
        <v>30</v>
      </c>
      <c r="S6" s="29">
        <v>0.15</v>
      </c>
      <c r="T6" s="62">
        <v>0.35</v>
      </c>
      <c r="U6" s="29">
        <v>0</v>
      </c>
    </row>
    <row r="7" spans="1:29" s="58" customFormat="1" x14ac:dyDescent="0.2">
      <c r="A7" s="26" t="s">
        <v>55</v>
      </c>
      <c r="B7" s="26" t="s">
        <v>56</v>
      </c>
      <c r="C7" s="26" t="s">
        <v>57</v>
      </c>
      <c r="D7" s="26" t="s">
        <v>111</v>
      </c>
      <c r="E7" s="26" t="s">
        <v>112</v>
      </c>
      <c r="F7" s="26" t="s">
        <v>87</v>
      </c>
      <c r="G7" s="26" t="s">
        <v>106</v>
      </c>
      <c r="H7" s="26" t="s">
        <v>35</v>
      </c>
      <c r="I7" s="26" t="s">
        <v>55</v>
      </c>
      <c r="J7" s="26" t="s">
        <v>56</v>
      </c>
      <c r="K7" s="29">
        <v>1</v>
      </c>
      <c r="L7" s="26" t="s">
        <v>103</v>
      </c>
      <c r="M7" s="26">
        <v>2016</v>
      </c>
      <c r="N7" s="26" t="s">
        <v>40</v>
      </c>
      <c r="O7" s="27" t="s">
        <v>80</v>
      </c>
      <c r="P7" s="26" t="s">
        <v>33</v>
      </c>
      <c r="Q7" s="27" t="s">
        <v>33</v>
      </c>
      <c r="R7" s="28">
        <v>30</v>
      </c>
      <c r="S7" s="29">
        <v>0.3</v>
      </c>
      <c r="T7" s="62">
        <v>0.7</v>
      </c>
      <c r="U7" s="29">
        <v>0</v>
      </c>
    </row>
    <row r="8" spans="1:29" s="58" customFormat="1" x14ac:dyDescent="0.2">
      <c r="A8" s="26" t="s">
        <v>55</v>
      </c>
      <c r="B8" s="26" t="s">
        <v>56</v>
      </c>
      <c r="C8" s="26" t="s">
        <v>57</v>
      </c>
      <c r="D8" s="26" t="s">
        <v>113</v>
      </c>
      <c r="E8" s="26" t="s">
        <v>114</v>
      </c>
      <c r="F8" s="26" t="s">
        <v>115</v>
      </c>
      <c r="G8" s="26" t="s">
        <v>105</v>
      </c>
      <c r="H8" s="26" t="s">
        <v>35</v>
      </c>
      <c r="I8" s="26" t="s">
        <v>55</v>
      </c>
      <c r="J8" s="26" t="s">
        <v>56</v>
      </c>
      <c r="K8" s="29">
        <v>1</v>
      </c>
      <c r="L8" s="26" t="s">
        <v>103</v>
      </c>
      <c r="M8" s="26">
        <v>2016</v>
      </c>
      <c r="N8" s="26" t="s">
        <v>40</v>
      </c>
      <c r="O8" s="27" t="s">
        <v>79</v>
      </c>
      <c r="P8" s="26" t="s">
        <v>33</v>
      </c>
      <c r="Q8" s="27" t="s">
        <v>33</v>
      </c>
      <c r="R8" s="28">
        <v>70</v>
      </c>
      <c r="S8" s="29">
        <v>0.7</v>
      </c>
      <c r="T8" s="62">
        <v>0.3</v>
      </c>
      <c r="U8" s="29">
        <v>0</v>
      </c>
    </row>
    <row r="9" spans="1:29" s="58" customFormat="1" x14ac:dyDescent="0.2">
      <c r="A9" s="26" t="s">
        <v>55</v>
      </c>
      <c r="B9" s="26" t="s">
        <v>56</v>
      </c>
      <c r="C9" s="26" t="s">
        <v>57</v>
      </c>
      <c r="D9" s="26" t="s">
        <v>116</v>
      </c>
      <c r="E9" s="26" t="s">
        <v>117</v>
      </c>
      <c r="F9" s="26" t="s">
        <v>81</v>
      </c>
      <c r="G9" s="26" t="s">
        <v>118</v>
      </c>
      <c r="H9" s="26" t="s">
        <v>31</v>
      </c>
      <c r="I9" s="26" t="s">
        <v>55</v>
      </c>
      <c r="J9" s="26" t="s">
        <v>56</v>
      </c>
      <c r="K9" s="29">
        <v>0.5</v>
      </c>
      <c r="L9" s="26" t="s">
        <v>103</v>
      </c>
      <c r="M9" s="26">
        <v>2016</v>
      </c>
      <c r="N9" s="26" t="s">
        <v>40</v>
      </c>
      <c r="O9" s="27" t="s">
        <v>51</v>
      </c>
      <c r="P9" s="26" t="s">
        <v>33</v>
      </c>
      <c r="Q9" s="27" t="s">
        <v>33</v>
      </c>
      <c r="R9" s="28">
        <v>80</v>
      </c>
      <c r="S9" s="29">
        <v>0.4</v>
      </c>
      <c r="T9" s="62">
        <v>0.1</v>
      </c>
      <c r="U9" s="29">
        <v>0</v>
      </c>
    </row>
    <row r="10" spans="1:29" s="58" customFormat="1" x14ac:dyDescent="0.2">
      <c r="A10" s="26" t="s">
        <v>93</v>
      </c>
      <c r="B10" s="26" t="s">
        <v>94</v>
      </c>
      <c r="C10" s="26" t="s">
        <v>88</v>
      </c>
      <c r="D10" s="26" t="s">
        <v>95</v>
      </c>
      <c r="E10" s="26" t="s">
        <v>96</v>
      </c>
      <c r="F10" s="26" t="s">
        <v>48</v>
      </c>
      <c r="G10" s="26" t="s">
        <v>97</v>
      </c>
      <c r="H10" s="26" t="s">
        <v>31</v>
      </c>
      <c r="I10" s="26" t="s">
        <v>84</v>
      </c>
      <c r="J10" s="26" t="s">
        <v>85</v>
      </c>
      <c r="K10" s="29">
        <v>0.5</v>
      </c>
      <c r="L10" s="26" t="s">
        <v>86</v>
      </c>
      <c r="M10" s="26">
        <v>2016</v>
      </c>
      <c r="N10" s="26" t="s">
        <v>40</v>
      </c>
      <c r="O10" s="27" t="s">
        <v>54</v>
      </c>
      <c r="P10" s="26" t="s">
        <v>33</v>
      </c>
      <c r="Q10" s="27" t="s">
        <v>33</v>
      </c>
      <c r="R10" s="28">
        <v>90</v>
      </c>
      <c r="S10" s="29">
        <v>0.45</v>
      </c>
      <c r="T10" s="62">
        <v>0.05</v>
      </c>
      <c r="U10" s="29">
        <v>0</v>
      </c>
    </row>
    <row r="11" spans="1:29" s="58" customFormat="1" x14ac:dyDescent="0.2">
      <c r="A11" s="26" t="s">
        <v>93</v>
      </c>
      <c r="B11" s="26" t="s">
        <v>94</v>
      </c>
      <c r="C11" s="26" t="s">
        <v>88</v>
      </c>
      <c r="D11" s="26" t="s">
        <v>95</v>
      </c>
      <c r="E11" s="26" t="s">
        <v>96</v>
      </c>
      <c r="F11" s="26" t="s">
        <v>48</v>
      </c>
      <c r="G11" s="26" t="s">
        <v>98</v>
      </c>
      <c r="H11" s="26" t="s">
        <v>31</v>
      </c>
      <c r="I11" s="26" t="s">
        <v>84</v>
      </c>
      <c r="J11" s="26" t="s">
        <v>85</v>
      </c>
      <c r="K11" s="29">
        <v>0.5</v>
      </c>
      <c r="L11" s="26" t="s">
        <v>86</v>
      </c>
      <c r="M11" s="26">
        <v>2016</v>
      </c>
      <c r="N11" s="26" t="s">
        <v>40</v>
      </c>
      <c r="O11" s="27" t="s">
        <v>54</v>
      </c>
      <c r="P11" s="26" t="s">
        <v>33</v>
      </c>
      <c r="Q11" s="27" t="s">
        <v>33</v>
      </c>
      <c r="R11" s="28">
        <v>90</v>
      </c>
      <c r="S11" s="29">
        <v>0.45</v>
      </c>
      <c r="T11" s="62">
        <v>0.05</v>
      </c>
      <c r="U11" s="29">
        <v>0</v>
      </c>
    </row>
    <row r="12" spans="1:29" s="58" customFormat="1" x14ac:dyDescent="0.2">
      <c r="A12" s="26" t="s">
        <v>93</v>
      </c>
      <c r="B12" s="26" t="s">
        <v>94</v>
      </c>
      <c r="C12" s="26" t="s">
        <v>88</v>
      </c>
      <c r="D12" s="26" t="s">
        <v>149</v>
      </c>
      <c r="E12" s="26" t="s">
        <v>150</v>
      </c>
      <c r="F12" s="26" t="s">
        <v>151</v>
      </c>
      <c r="G12" s="26" t="s">
        <v>140</v>
      </c>
      <c r="H12" s="26" t="s">
        <v>35</v>
      </c>
      <c r="I12" s="26" t="s">
        <v>93</v>
      </c>
      <c r="J12" s="26" t="s">
        <v>94</v>
      </c>
      <c r="K12" s="29">
        <v>1</v>
      </c>
      <c r="L12" s="26" t="s">
        <v>141</v>
      </c>
      <c r="M12" s="26">
        <v>2016</v>
      </c>
      <c r="N12" s="26" t="s">
        <v>40</v>
      </c>
      <c r="O12" s="27" t="s">
        <v>142</v>
      </c>
      <c r="P12" s="26" t="s">
        <v>33</v>
      </c>
      <c r="Q12" s="27" t="s">
        <v>33</v>
      </c>
      <c r="R12" s="28">
        <v>15</v>
      </c>
      <c r="S12" s="29">
        <v>0.15</v>
      </c>
      <c r="T12" s="62">
        <v>0.85</v>
      </c>
      <c r="U12" s="29">
        <v>0</v>
      </c>
    </row>
    <row r="13" spans="1:29" s="58" customFormat="1" x14ac:dyDescent="0.2">
      <c r="A13" s="26" t="s">
        <v>62</v>
      </c>
      <c r="B13" s="26" t="s">
        <v>63</v>
      </c>
      <c r="C13" s="26" t="s">
        <v>68</v>
      </c>
      <c r="D13" s="26" t="s">
        <v>159</v>
      </c>
      <c r="E13" s="26" t="s">
        <v>160</v>
      </c>
      <c r="F13" s="26" t="s">
        <v>161</v>
      </c>
      <c r="G13" s="26" t="s">
        <v>158</v>
      </c>
      <c r="H13" s="26" t="s">
        <v>31</v>
      </c>
      <c r="I13" s="26" t="s">
        <v>62</v>
      </c>
      <c r="J13" s="26" t="s">
        <v>63</v>
      </c>
      <c r="K13" s="29">
        <v>0.5</v>
      </c>
      <c r="L13" s="26" t="s">
        <v>64</v>
      </c>
      <c r="M13" s="26">
        <v>2016</v>
      </c>
      <c r="N13" s="26" t="s">
        <v>40</v>
      </c>
      <c r="O13" s="27" t="s">
        <v>50</v>
      </c>
      <c r="P13" s="26" t="s">
        <v>33</v>
      </c>
      <c r="Q13" s="27" t="s">
        <v>33</v>
      </c>
      <c r="R13" s="28">
        <v>50</v>
      </c>
      <c r="S13" s="29">
        <v>0.25</v>
      </c>
      <c r="T13" s="62">
        <v>0.25</v>
      </c>
      <c r="U13" s="29">
        <v>0</v>
      </c>
    </row>
    <row r="14" spans="1:29" s="58" customFormat="1" x14ac:dyDescent="0.2">
      <c r="A14" s="26" t="s">
        <v>62</v>
      </c>
      <c r="B14" s="26" t="s">
        <v>63</v>
      </c>
      <c r="C14" s="26" t="s">
        <v>66</v>
      </c>
      <c r="D14" s="26" t="s">
        <v>172</v>
      </c>
      <c r="E14" s="26" t="s">
        <v>173</v>
      </c>
      <c r="F14" s="26" t="s">
        <v>147</v>
      </c>
      <c r="G14" s="26" t="s">
        <v>67</v>
      </c>
      <c r="H14" s="26" t="s">
        <v>31</v>
      </c>
      <c r="I14" s="26" t="s">
        <v>62</v>
      </c>
      <c r="J14" s="26" t="s">
        <v>63</v>
      </c>
      <c r="K14" s="29">
        <v>0.5</v>
      </c>
      <c r="L14" s="26" t="s">
        <v>64</v>
      </c>
      <c r="M14" s="26">
        <v>2016</v>
      </c>
      <c r="N14" s="26" t="s">
        <v>40</v>
      </c>
      <c r="O14" s="27" t="s">
        <v>54</v>
      </c>
      <c r="P14" s="26" t="s">
        <v>32</v>
      </c>
      <c r="Q14" s="27" t="s">
        <v>54</v>
      </c>
      <c r="R14" s="28">
        <v>80</v>
      </c>
      <c r="S14" s="29">
        <v>0.4</v>
      </c>
      <c r="T14" s="62">
        <v>0.05</v>
      </c>
      <c r="U14" s="29">
        <v>0.05</v>
      </c>
    </row>
    <row r="15" spans="1:29" s="58" customFormat="1" x14ac:dyDescent="0.2">
      <c r="A15" s="26" t="s">
        <v>62</v>
      </c>
      <c r="B15" s="26" t="s">
        <v>63</v>
      </c>
      <c r="C15" s="26" t="s">
        <v>66</v>
      </c>
      <c r="D15" s="26" t="s">
        <v>162</v>
      </c>
      <c r="E15" s="26" t="s">
        <v>163</v>
      </c>
      <c r="F15" s="26" t="s">
        <v>151</v>
      </c>
      <c r="G15" s="26" t="s">
        <v>158</v>
      </c>
      <c r="H15" s="26" t="s">
        <v>35</v>
      </c>
      <c r="I15" s="26" t="s">
        <v>62</v>
      </c>
      <c r="J15" s="26" t="s">
        <v>63</v>
      </c>
      <c r="K15" s="29">
        <v>1</v>
      </c>
      <c r="L15" s="26" t="s">
        <v>64</v>
      </c>
      <c r="M15" s="26">
        <v>2016</v>
      </c>
      <c r="N15" s="26" t="s">
        <v>40</v>
      </c>
      <c r="O15" s="27" t="s">
        <v>50</v>
      </c>
      <c r="P15" s="26" t="s">
        <v>33</v>
      </c>
      <c r="Q15" s="27" t="s">
        <v>33</v>
      </c>
      <c r="R15" s="28">
        <v>50</v>
      </c>
      <c r="S15" s="29">
        <v>0.5</v>
      </c>
      <c r="T15" s="62">
        <v>0.5</v>
      </c>
      <c r="U15" s="29">
        <v>0</v>
      </c>
    </row>
    <row r="16" spans="1:29" s="58" customFormat="1" x14ac:dyDescent="0.2">
      <c r="A16" s="26" t="s">
        <v>62</v>
      </c>
      <c r="B16" s="26" t="s">
        <v>63</v>
      </c>
      <c r="C16" s="26" t="s">
        <v>66</v>
      </c>
      <c r="D16" s="26" t="s">
        <v>164</v>
      </c>
      <c r="E16" s="26" t="s">
        <v>165</v>
      </c>
      <c r="F16" s="26" t="s">
        <v>166</v>
      </c>
      <c r="G16" s="26" t="s">
        <v>158</v>
      </c>
      <c r="H16" s="26" t="s">
        <v>31</v>
      </c>
      <c r="I16" s="26" t="s">
        <v>62</v>
      </c>
      <c r="J16" s="26" t="s">
        <v>63</v>
      </c>
      <c r="K16" s="29">
        <v>0.5</v>
      </c>
      <c r="L16" s="26" t="s">
        <v>64</v>
      </c>
      <c r="M16" s="26">
        <v>2016</v>
      </c>
      <c r="N16" s="26" t="s">
        <v>40</v>
      </c>
      <c r="O16" s="27" t="s">
        <v>50</v>
      </c>
      <c r="P16" s="26" t="s">
        <v>33</v>
      </c>
      <c r="Q16" s="27" t="s">
        <v>33</v>
      </c>
      <c r="R16" s="28">
        <v>50</v>
      </c>
      <c r="S16" s="29">
        <v>0.25</v>
      </c>
      <c r="T16" s="62">
        <v>0.25</v>
      </c>
      <c r="U16" s="29">
        <v>0</v>
      </c>
    </row>
    <row r="17" spans="1:21" s="58" customFormat="1" x14ac:dyDescent="0.2">
      <c r="A17" s="26" t="s">
        <v>62</v>
      </c>
      <c r="B17" s="26" t="s">
        <v>63</v>
      </c>
      <c r="C17" s="26" t="s">
        <v>66</v>
      </c>
      <c r="D17" s="26" t="s">
        <v>164</v>
      </c>
      <c r="E17" s="26" t="s">
        <v>165</v>
      </c>
      <c r="F17" s="26" t="s">
        <v>166</v>
      </c>
      <c r="G17" s="26" t="s">
        <v>67</v>
      </c>
      <c r="H17" s="26" t="s">
        <v>31</v>
      </c>
      <c r="I17" s="26" t="s">
        <v>62</v>
      </c>
      <c r="J17" s="26" t="s">
        <v>63</v>
      </c>
      <c r="K17" s="29">
        <v>0.5</v>
      </c>
      <c r="L17" s="26" t="s">
        <v>64</v>
      </c>
      <c r="M17" s="26">
        <v>2016</v>
      </c>
      <c r="N17" s="26" t="s">
        <v>40</v>
      </c>
      <c r="O17" s="27" t="s">
        <v>54</v>
      </c>
      <c r="P17" s="26" t="s">
        <v>32</v>
      </c>
      <c r="Q17" s="27" t="s">
        <v>54</v>
      </c>
      <c r="R17" s="28">
        <v>80</v>
      </c>
      <c r="S17" s="29">
        <v>0.4</v>
      </c>
      <c r="T17" s="62">
        <v>0.05</v>
      </c>
      <c r="U17" s="29">
        <v>0.05</v>
      </c>
    </row>
    <row r="18" spans="1:21" s="58" customFormat="1" x14ac:dyDescent="0.2">
      <c r="A18" s="26" t="s">
        <v>62</v>
      </c>
      <c r="B18" s="26" t="s">
        <v>63</v>
      </c>
      <c r="C18" s="26" t="s">
        <v>66</v>
      </c>
      <c r="D18" s="26" t="s">
        <v>167</v>
      </c>
      <c r="E18" s="26" t="s">
        <v>168</v>
      </c>
      <c r="F18" s="26" t="s">
        <v>78</v>
      </c>
      <c r="G18" s="26" t="s">
        <v>156</v>
      </c>
      <c r="H18" s="26" t="s">
        <v>35</v>
      </c>
      <c r="I18" s="26" t="s">
        <v>62</v>
      </c>
      <c r="J18" s="26" t="s">
        <v>63</v>
      </c>
      <c r="K18" s="29">
        <v>1</v>
      </c>
      <c r="L18" s="26" t="s">
        <v>64</v>
      </c>
      <c r="M18" s="26">
        <v>2016</v>
      </c>
      <c r="N18" s="26" t="s">
        <v>40</v>
      </c>
      <c r="O18" s="27" t="s">
        <v>50</v>
      </c>
      <c r="P18" s="26" t="s">
        <v>33</v>
      </c>
      <c r="Q18" s="27" t="s">
        <v>33</v>
      </c>
      <c r="R18" s="28">
        <v>50</v>
      </c>
      <c r="S18" s="29">
        <v>0.5</v>
      </c>
      <c r="T18" s="62">
        <v>0.5</v>
      </c>
      <c r="U18" s="29">
        <v>0</v>
      </c>
    </row>
    <row r="19" spans="1:21" s="58" customFormat="1" x14ac:dyDescent="0.2">
      <c r="A19" s="26" t="s">
        <v>37</v>
      </c>
      <c r="B19" s="26" t="s">
        <v>38</v>
      </c>
      <c r="C19" s="26" t="s">
        <v>39</v>
      </c>
      <c r="D19" s="26" t="s">
        <v>41</v>
      </c>
      <c r="E19" s="26" t="s">
        <v>42</v>
      </c>
      <c r="F19" s="26" t="s">
        <v>43</v>
      </c>
      <c r="G19" s="26" t="s">
        <v>102</v>
      </c>
      <c r="H19" s="26" t="s">
        <v>31</v>
      </c>
      <c r="I19" s="26" t="s">
        <v>58</v>
      </c>
      <c r="J19" s="26" t="s">
        <v>59</v>
      </c>
      <c r="K19" s="29">
        <v>0.33333333333333331</v>
      </c>
      <c r="L19" s="26" t="s">
        <v>60</v>
      </c>
      <c r="M19" s="26">
        <v>2016</v>
      </c>
      <c r="N19" s="26" t="s">
        <v>40</v>
      </c>
      <c r="O19" s="27" t="s">
        <v>54</v>
      </c>
      <c r="P19" s="26" t="s">
        <v>33</v>
      </c>
      <c r="Q19" s="27" t="s">
        <v>33</v>
      </c>
      <c r="R19" s="28">
        <v>90</v>
      </c>
      <c r="S19" s="29">
        <v>0.3</v>
      </c>
      <c r="T19" s="62">
        <v>3.3333333333333333E-2</v>
      </c>
      <c r="U19" s="29">
        <v>0</v>
      </c>
    </row>
    <row r="20" spans="1:21" s="58" customFormat="1" x14ac:dyDescent="0.2">
      <c r="A20" s="26" t="s">
        <v>52</v>
      </c>
      <c r="B20" s="26" t="s">
        <v>53</v>
      </c>
      <c r="C20" s="26" t="s">
        <v>66</v>
      </c>
      <c r="D20" s="26" t="s">
        <v>169</v>
      </c>
      <c r="E20" s="26" t="s">
        <v>170</v>
      </c>
      <c r="F20" s="26" t="s">
        <v>171</v>
      </c>
      <c r="G20" s="26" t="s">
        <v>156</v>
      </c>
      <c r="H20" s="26" t="s">
        <v>35</v>
      </c>
      <c r="I20" s="26" t="s">
        <v>62</v>
      </c>
      <c r="J20" s="26" t="s">
        <v>63</v>
      </c>
      <c r="K20" s="29">
        <v>1</v>
      </c>
      <c r="L20" s="26" t="s">
        <v>64</v>
      </c>
      <c r="M20" s="26">
        <v>2016</v>
      </c>
      <c r="N20" s="26" t="s">
        <v>40</v>
      </c>
      <c r="O20" s="27" t="s">
        <v>50</v>
      </c>
      <c r="P20" s="26" t="s">
        <v>33</v>
      </c>
      <c r="Q20" s="27" t="s">
        <v>33</v>
      </c>
      <c r="R20" s="28">
        <v>50</v>
      </c>
      <c r="S20" s="29">
        <v>0.5</v>
      </c>
      <c r="T20" s="62">
        <v>0.5</v>
      </c>
      <c r="U20" s="29">
        <v>0</v>
      </c>
    </row>
    <row r="21" spans="1:21" s="58" customFormat="1" x14ac:dyDescent="0.2">
      <c r="A21" s="26" t="s">
        <v>103</v>
      </c>
      <c r="B21" s="26" t="s">
        <v>119</v>
      </c>
      <c r="C21" s="26" t="s">
        <v>120</v>
      </c>
      <c r="D21" s="26" t="s">
        <v>121</v>
      </c>
      <c r="E21" s="26" t="s">
        <v>122</v>
      </c>
      <c r="F21" s="59">
        <v>43001</v>
      </c>
      <c r="G21" s="26" t="s">
        <v>123</v>
      </c>
      <c r="H21" s="26" t="s">
        <v>31</v>
      </c>
      <c r="I21" s="26" t="s">
        <v>103</v>
      </c>
      <c r="J21" s="26" t="s">
        <v>119</v>
      </c>
      <c r="K21" s="29">
        <v>0.5</v>
      </c>
      <c r="L21" s="26" t="s">
        <v>103</v>
      </c>
      <c r="M21" s="26">
        <v>2016</v>
      </c>
      <c r="N21" s="26" t="s">
        <v>40</v>
      </c>
      <c r="O21" s="27" t="s">
        <v>50</v>
      </c>
      <c r="P21" s="26" t="s">
        <v>33</v>
      </c>
      <c r="Q21" s="27" t="s">
        <v>33</v>
      </c>
      <c r="R21" s="28">
        <v>50</v>
      </c>
      <c r="S21" s="29">
        <v>0.25</v>
      </c>
      <c r="T21" s="62">
        <v>0.25</v>
      </c>
      <c r="U21" s="29">
        <v>0</v>
      </c>
    </row>
    <row r="22" spans="1:21" s="58" customFormat="1" x14ac:dyDescent="0.2">
      <c r="A22" s="26" t="s">
        <v>55</v>
      </c>
      <c r="B22" s="26" t="s">
        <v>56</v>
      </c>
      <c r="C22" s="26" t="s">
        <v>57</v>
      </c>
      <c r="D22" s="26" t="s">
        <v>124</v>
      </c>
      <c r="E22" s="26" t="s">
        <v>125</v>
      </c>
      <c r="F22" s="26" t="s">
        <v>83</v>
      </c>
      <c r="G22" s="26" t="s">
        <v>104</v>
      </c>
      <c r="H22" s="26" t="s">
        <v>35</v>
      </c>
      <c r="I22" s="26" t="s">
        <v>55</v>
      </c>
      <c r="J22" s="26" t="s">
        <v>56</v>
      </c>
      <c r="K22" s="29">
        <v>1</v>
      </c>
      <c r="L22" s="26" t="s">
        <v>103</v>
      </c>
      <c r="M22" s="26">
        <v>2017</v>
      </c>
      <c r="N22" s="26" t="s">
        <v>40</v>
      </c>
      <c r="O22" s="27" t="s">
        <v>79</v>
      </c>
      <c r="P22" s="26" t="s">
        <v>33</v>
      </c>
      <c r="Q22" s="27" t="s">
        <v>33</v>
      </c>
      <c r="R22" s="28">
        <v>70</v>
      </c>
      <c r="S22" s="29">
        <v>0.7</v>
      </c>
      <c r="T22" s="62">
        <v>0.3</v>
      </c>
      <c r="U22" s="29">
        <v>0</v>
      </c>
    </row>
    <row r="23" spans="1:21" s="58" customFormat="1" x14ac:dyDescent="0.2">
      <c r="A23" s="26" t="s">
        <v>93</v>
      </c>
      <c r="B23" s="26" t="s">
        <v>94</v>
      </c>
      <c r="C23" s="26" t="s">
        <v>88</v>
      </c>
      <c r="D23" s="26" t="s">
        <v>152</v>
      </c>
      <c r="E23" s="26" t="s">
        <v>153</v>
      </c>
      <c r="F23" s="26" t="s">
        <v>34</v>
      </c>
      <c r="G23" s="26" t="s">
        <v>143</v>
      </c>
      <c r="H23" s="26" t="s">
        <v>31</v>
      </c>
      <c r="I23" s="26" t="s">
        <v>93</v>
      </c>
      <c r="J23" s="26" t="s">
        <v>94</v>
      </c>
      <c r="K23" s="29">
        <v>0.5</v>
      </c>
      <c r="L23" s="26" t="s">
        <v>141</v>
      </c>
      <c r="M23" s="26">
        <v>2017</v>
      </c>
      <c r="N23" s="26" t="s">
        <v>40</v>
      </c>
      <c r="O23" s="27" t="s">
        <v>142</v>
      </c>
      <c r="P23" s="26" t="s">
        <v>33</v>
      </c>
      <c r="Q23" s="27" t="s">
        <v>33</v>
      </c>
      <c r="R23" s="28">
        <v>15</v>
      </c>
      <c r="S23" s="29">
        <v>7.4999999999999997E-2</v>
      </c>
      <c r="T23" s="62">
        <v>0.42499999999999999</v>
      </c>
      <c r="U23" s="29">
        <v>0</v>
      </c>
    </row>
    <row r="24" spans="1:21" s="58" customFormat="1" x14ac:dyDescent="0.2">
      <c r="A24" s="26" t="s">
        <v>55</v>
      </c>
      <c r="B24" s="26" t="s">
        <v>56</v>
      </c>
      <c r="C24" s="26" t="s">
        <v>57</v>
      </c>
      <c r="D24" s="26" t="s">
        <v>126</v>
      </c>
      <c r="E24" s="26" t="s">
        <v>127</v>
      </c>
      <c r="F24" s="26" t="s">
        <v>128</v>
      </c>
      <c r="G24" s="26" t="s">
        <v>107</v>
      </c>
      <c r="H24" s="26" t="s">
        <v>31</v>
      </c>
      <c r="I24" s="26" t="s">
        <v>55</v>
      </c>
      <c r="J24" s="26" t="s">
        <v>56</v>
      </c>
      <c r="K24" s="60">
        <v>0.5</v>
      </c>
      <c r="L24" s="26" t="s">
        <v>103</v>
      </c>
      <c r="M24" s="26">
        <v>2018</v>
      </c>
      <c r="N24" s="26" t="s">
        <v>40</v>
      </c>
      <c r="O24" s="27" t="s">
        <v>51</v>
      </c>
      <c r="P24" s="26" t="s">
        <v>33</v>
      </c>
      <c r="Q24" s="27" t="s">
        <v>33</v>
      </c>
      <c r="R24" s="28">
        <v>80</v>
      </c>
      <c r="S24" s="29">
        <v>0.4</v>
      </c>
      <c r="T24" s="62">
        <v>0.1</v>
      </c>
      <c r="U24" s="29">
        <v>0</v>
      </c>
    </row>
    <row r="25" spans="1:21" s="58" customFormat="1" x14ac:dyDescent="0.2">
      <c r="A25" s="26" t="s">
        <v>55</v>
      </c>
      <c r="B25" s="26" t="s">
        <v>56</v>
      </c>
      <c r="C25" s="26" t="s">
        <v>57</v>
      </c>
      <c r="D25" s="26" t="s">
        <v>129</v>
      </c>
      <c r="E25" s="26" t="s">
        <v>130</v>
      </c>
      <c r="F25" s="26" t="s">
        <v>131</v>
      </c>
      <c r="G25" s="26" t="s">
        <v>108</v>
      </c>
      <c r="H25" s="26" t="s">
        <v>35</v>
      </c>
      <c r="I25" s="26" t="s">
        <v>55</v>
      </c>
      <c r="J25" s="26" t="s">
        <v>56</v>
      </c>
      <c r="K25" s="60">
        <v>1</v>
      </c>
      <c r="L25" s="26" t="s">
        <v>103</v>
      </c>
      <c r="M25" s="26">
        <v>2018</v>
      </c>
      <c r="N25" s="26" t="s">
        <v>40</v>
      </c>
      <c r="O25" s="27" t="s">
        <v>79</v>
      </c>
      <c r="P25" s="26" t="s">
        <v>33</v>
      </c>
      <c r="Q25" s="27" t="s">
        <v>33</v>
      </c>
      <c r="R25" s="28">
        <v>70</v>
      </c>
      <c r="S25" s="29">
        <v>0.7</v>
      </c>
      <c r="T25" s="62">
        <v>0.3</v>
      </c>
      <c r="U25" s="29">
        <v>0</v>
      </c>
    </row>
    <row r="26" spans="1:21" s="58" customFormat="1" x14ac:dyDescent="0.2">
      <c r="A26" s="26" t="s">
        <v>55</v>
      </c>
      <c r="B26" s="26" t="s">
        <v>56</v>
      </c>
      <c r="C26" s="26" t="s">
        <v>57</v>
      </c>
      <c r="D26" s="26" t="s">
        <v>132</v>
      </c>
      <c r="E26" s="26" t="s">
        <v>133</v>
      </c>
      <c r="F26" s="26" t="s">
        <v>131</v>
      </c>
      <c r="G26" s="26" t="s">
        <v>108</v>
      </c>
      <c r="H26" s="26" t="s">
        <v>35</v>
      </c>
      <c r="I26" s="26" t="s">
        <v>55</v>
      </c>
      <c r="J26" s="26" t="s">
        <v>56</v>
      </c>
      <c r="K26" s="60">
        <v>1</v>
      </c>
      <c r="L26" s="26" t="s">
        <v>103</v>
      </c>
      <c r="M26" s="26">
        <v>2018</v>
      </c>
      <c r="N26" s="26" t="s">
        <v>40</v>
      </c>
      <c r="O26" s="27" t="s">
        <v>79</v>
      </c>
      <c r="P26" s="26" t="s">
        <v>33</v>
      </c>
      <c r="Q26" s="27" t="s">
        <v>33</v>
      </c>
      <c r="R26" s="28">
        <v>70</v>
      </c>
      <c r="S26" s="29">
        <v>0.7</v>
      </c>
      <c r="T26" s="62">
        <v>0.3</v>
      </c>
      <c r="U26" s="29">
        <v>0</v>
      </c>
    </row>
    <row r="27" spans="1:21" s="58" customFormat="1" x14ac:dyDescent="0.2">
      <c r="A27" s="26" t="s">
        <v>55</v>
      </c>
      <c r="B27" s="26" t="s">
        <v>56</v>
      </c>
      <c r="C27" s="26" t="s">
        <v>57</v>
      </c>
      <c r="D27" s="26" t="s">
        <v>134</v>
      </c>
      <c r="E27" s="26" t="s">
        <v>135</v>
      </c>
      <c r="F27" s="26" t="s">
        <v>136</v>
      </c>
      <c r="G27" s="26" t="s">
        <v>108</v>
      </c>
      <c r="H27" s="26" t="s">
        <v>31</v>
      </c>
      <c r="I27" s="26" t="s">
        <v>55</v>
      </c>
      <c r="J27" s="26" t="s">
        <v>56</v>
      </c>
      <c r="K27" s="60">
        <v>0.5</v>
      </c>
      <c r="L27" s="26" t="s">
        <v>103</v>
      </c>
      <c r="M27" s="26">
        <v>2018</v>
      </c>
      <c r="N27" s="26" t="s">
        <v>40</v>
      </c>
      <c r="O27" s="27" t="s">
        <v>79</v>
      </c>
      <c r="P27" s="26" t="s">
        <v>33</v>
      </c>
      <c r="Q27" s="27" t="s">
        <v>33</v>
      </c>
      <c r="R27" s="28">
        <v>70</v>
      </c>
      <c r="S27" s="29">
        <v>0.35</v>
      </c>
      <c r="T27" s="62">
        <v>0.15</v>
      </c>
      <c r="U27" s="29">
        <v>0</v>
      </c>
    </row>
    <row r="28" spans="1:21" s="58" customFormat="1" x14ac:dyDescent="0.2">
      <c r="A28" s="26" t="s">
        <v>55</v>
      </c>
      <c r="B28" s="26" t="s">
        <v>56</v>
      </c>
      <c r="C28" s="26" t="s">
        <v>57</v>
      </c>
      <c r="D28" s="26" t="s">
        <v>137</v>
      </c>
      <c r="E28" s="26" t="s">
        <v>138</v>
      </c>
      <c r="F28" s="26" t="s">
        <v>139</v>
      </c>
      <c r="G28" s="26" t="s">
        <v>108</v>
      </c>
      <c r="H28" s="26" t="s">
        <v>31</v>
      </c>
      <c r="I28" s="26" t="s">
        <v>55</v>
      </c>
      <c r="J28" s="26" t="s">
        <v>56</v>
      </c>
      <c r="K28" s="60">
        <v>0.5</v>
      </c>
      <c r="L28" s="26" t="s">
        <v>103</v>
      </c>
      <c r="M28" s="26">
        <v>2018</v>
      </c>
      <c r="N28" s="26" t="s">
        <v>40</v>
      </c>
      <c r="O28" s="27" t="s">
        <v>79</v>
      </c>
      <c r="P28" s="26" t="s">
        <v>33</v>
      </c>
      <c r="Q28" s="27" t="s">
        <v>33</v>
      </c>
      <c r="R28" s="28">
        <v>70</v>
      </c>
      <c r="S28" s="29">
        <v>0.35</v>
      </c>
      <c r="T28" s="62">
        <v>0.15</v>
      </c>
      <c r="U28" s="29">
        <v>0</v>
      </c>
    </row>
    <row r="29" spans="1:21" s="58" customFormat="1" x14ac:dyDescent="0.2">
      <c r="A29" s="26" t="s">
        <v>93</v>
      </c>
      <c r="B29" s="26" t="s">
        <v>94</v>
      </c>
      <c r="C29" s="26" t="s">
        <v>88</v>
      </c>
      <c r="D29" s="26" t="s">
        <v>154</v>
      </c>
      <c r="E29" s="26" t="s">
        <v>155</v>
      </c>
      <c r="F29" s="26" t="s">
        <v>36</v>
      </c>
      <c r="G29" s="26" t="s">
        <v>143</v>
      </c>
      <c r="H29" s="26" t="s">
        <v>31</v>
      </c>
      <c r="I29" s="26" t="s">
        <v>93</v>
      </c>
      <c r="J29" s="26" t="s">
        <v>94</v>
      </c>
      <c r="K29" s="60">
        <v>0.5</v>
      </c>
      <c r="L29" s="26" t="s">
        <v>141</v>
      </c>
      <c r="M29" s="26">
        <v>2018</v>
      </c>
      <c r="N29" s="26" t="s">
        <v>40</v>
      </c>
      <c r="O29" s="27" t="s">
        <v>142</v>
      </c>
      <c r="P29" s="26" t="s">
        <v>33</v>
      </c>
      <c r="Q29" s="27" t="s">
        <v>33</v>
      </c>
      <c r="R29" s="28">
        <v>15</v>
      </c>
      <c r="S29" s="29">
        <v>7.4999999999999997E-2</v>
      </c>
      <c r="T29" s="62">
        <v>0.42499999999999999</v>
      </c>
      <c r="U29" s="29">
        <v>0</v>
      </c>
    </row>
    <row r="30" spans="1:21" s="58" customFormat="1" x14ac:dyDescent="0.2">
      <c r="A30" s="26" t="s">
        <v>93</v>
      </c>
      <c r="B30" s="26" t="s">
        <v>94</v>
      </c>
      <c r="C30" s="26" t="s">
        <v>88</v>
      </c>
      <c r="D30" s="26" t="s">
        <v>99</v>
      </c>
      <c r="E30" s="26" t="s">
        <v>100</v>
      </c>
      <c r="F30" s="26" t="s">
        <v>82</v>
      </c>
      <c r="G30" s="26" t="s">
        <v>430</v>
      </c>
      <c r="H30" s="26" t="s">
        <v>31</v>
      </c>
      <c r="I30" s="26" t="s">
        <v>84</v>
      </c>
      <c r="J30" s="26" t="s">
        <v>85</v>
      </c>
      <c r="K30" s="60">
        <v>0.5</v>
      </c>
      <c r="L30" s="26" t="s">
        <v>86</v>
      </c>
      <c r="M30" s="26">
        <v>2018</v>
      </c>
      <c r="N30" s="26" t="s">
        <v>40</v>
      </c>
      <c r="O30" s="27" t="s">
        <v>54</v>
      </c>
      <c r="P30" s="26" t="s">
        <v>33</v>
      </c>
      <c r="Q30" s="27" t="s">
        <v>33</v>
      </c>
      <c r="R30" s="28">
        <v>90</v>
      </c>
      <c r="S30" s="29">
        <v>0.45</v>
      </c>
      <c r="T30" s="62">
        <v>0.05</v>
      </c>
      <c r="U30" s="29">
        <v>0</v>
      </c>
    </row>
    <row r="31" spans="1:21" s="58" customFormat="1" x14ac:dyDescent="0.2">
      <c r="A31" s="26" t="s">
        <v>93</v>
      </c>
      <c r="B31" s="26" t="s">
        <v>94</v>
      </c>
      <c r="C31" s="26" t="s">
        <v>88</v>
      </c>
      <c r="D31" s="26" t="s">
        <v>99</v>
      </c>
      <c r="E31" s="26" t="s">
        <v>100</v>
      </c>
      <c r="F31" s="26" t="s">
        <v>82</v>
      </c>
      <c r="G31" s="26" t="s">
        <v>101</v>
      </c>
      <c r="H31" s="26" t="s">
        <v>31</v>
      </c>
      <c r="I31" s="26" t="s">
        <v>84</v>
      </c>
      <c r="J31" s="26" t="s">
        <v>85</v>
      </c>
      <c r="K31" s="60">
        <v>0.5</v>
      </c>
      <c r="L31" s="26" t="s">
        <v>86</v>
      </c>
      <c r="M31" s="26">
        <v>2018</v>
      </c>
      <c r="N31" s="26" t="s">
        <v>40</v>
      </c>
      <c r="O31" s="27" t="s">
        <v>54</v>
      </c>
      <c r="P31" s="26" t="s">
        <v>33</v>
      </c>
      <c r="Q31" s="27" t="s">
        <v>33</v>
      </c>
      <c r="R31" s="28">
        <v>90</v>
      </c>
      <c r="S31" s="29">
        <v>0.45</v>
      </c>
      <c r="T31" s="62">
        <v>0.05</v>
      </c>
      <c r="U31" s="29">
        <v>0</v>
      </c>
    </row>
    <row r="32" spans="1:21" s="58" customFormat="1" x14ac:dyDescent="0.2">
      <c r="A32" s="26" t="s">
        <v>62</v>
      </c>
      <c r="B32" s="26" t="s">
        <v>63</v>
      </c>
      <c r="C32" s="26" t="s">
        <v>66</v>
      </c>
      <c r="D32" s="26" t="s">
        <v>69</v>
      </c>
      <c r="E32" s="26" t="s">
        <v>70</v>
      </c>
      <c r="F32" s="26" t="s">
        <v>71</v>
      </c>
      <c r="G32" s="26" t="s">
        <v>157</v>
      </c>
      <c r="H32" s="26" t="s">
        <v>31</v>
      </c>
      <c r="I32" s="26" t="s">
        <v>62</v>
      </c>
      <c r="J32" s="26" t="s">
        <v>63</v>
      </c>
      <c r="K32" s="60">
        <v>0.5</v>
      </c>
      <c r="L32" s="26" t="s">
        <v>64</v>
      </c>
      <c r="M32" s="26">
        <v>2018</v>
      </c>
      <c r="N32" s="26" t="s">
        <v>40</v>
      </c>
      <c r="O32" s="27" t="s">
        <v>54</v>
      </c>
      <c r="P32" s="26" t="s">
        <v>33</v>
      </c>
      <c r="Q32" s="27" t="s">
        <v>33</v>
      </c>
      <c r="R32" s="28">
        <v>90</v>
      </c>
      <c r="S32" s="29">
        <v>0.45</v>
      </c>
      <c r="T32" s="62">
        <v>0.05</v>
      </c>
      <c r="U32" s="29">
        <v>0</v>
      </c>
    </row>
    <row r="33" spans="1:21" s="58" customFormat="1" x14ac:dyDescent="0.2">
      <c r="A33" s="26" t="s">
        <v>93</v>
      </c>
      <c r="B33" s="26" t="s">
        <v>94</v>
      </c>
      <c r="C33" s="26" t="s">
        <v>88</v>
      </c>
      <c r="D33" s="26" t="s">
        <v>289</v>
      </c>
      <c r="E33" s="26" t="s">
        <v>290</v>
      </c>
      <c r="F33" s="26" t="s">
        <v>82</v>
      </c>
      <c r="G33" s="26" t="s">
        <v>144</v>
      </c>
      <c r="H33" s="26" t="s">
        <v>31</v>
      </c>
      <c r="I33" s="26" t="s">
        <v>93</v>
      </c>
      <c r="J33" s="26" t="s">
        <v>94</v>
      </c>
      <c r="K33" s="60">
        <v>0.5</v>
      </c>
      <c r="L33" s="26" t="s">
        <v>141</v>
      </c>
      <c r="M33" s="26">
        <v>2018</v>
      </c>
      <c r="N33" s="26" t="s">
        <v>40</v>
      </c>
      <c r="O33" s="27" t="s">
        <v>50</v>
      </c>
      <c r="P33" s="26" t="s">
        <v>33</v>
      </c>
      <c r="Q33" s="27" t="s">
        <v>33</v>
      </c>
      <c r="R33" s="28">
        <v>50</v>
      </c>
      <c r="S33" s="29">
        <v>0.25</v>
      </c>
      <c r="T33" s="62">
        <v>0.25</v>
      </c>
      <c r="U33" s="29">
        <v>0</v>
      </c>
    </row>
    <row r="34" spans="1:21" s="58" customFormat="1" x14ac:dyDescent="0.2">
      <c r="A34" s="30" t="s">
        <v>93</v>
      </c>
      <c r="B34" s="30" t="s">
        <v>94</v>
      </c>
      <c r="C34" s="30" t="s">
        <v>88</v>
      </c>
      <c r="D34" s="30" t="s">
        <v>291</v>
      </c>
      <c r="E34" s="30" t="s">
        <v>292</v>
      </c>
      <c r="F34" s="30" t="s">
        <v>293</v>
      </c>
      <c r="G34" s="30" t="s">
        <v>143</v>
      </c>
      <c r="H34" s="30" t="s">
        <v>31</v>
      </c>
      <c r="I34" s="30" t="s">
        <v>93</v>
      </c>
      <c r="J34" s="30" t="s">
        <v>94</v>
      </c>
      <c r="K34" s="61">
        <v>0.5</v>
      </c>
      <c r="L34" s="30" t="s">
        <v>141</v>
      </c>
      <c r="M34" s="30">
        <v>2019</v>
      </c>
      <c r="N34" s="30" t="s">
        <v>40</v>
      </c>
      <c r="O34" s="31" t="s">
        <v>142</v>
      </c>
      <c r="P34" s="30" t="s">
        <v>33</v>
      </c>
      <c r="Q34" s="31" t="s">
        <v>33</v>
      </c>
      <c r="R34" s="32">
        <v>15</v>
      </c>
      <c r="S34" s="33">
        <v>7.4999999999999997E-2</v>
      </c>
      <c r="T34" s="64">
        <v>0.42499999999999999</v>
      </c>
      <c r="U34" s="33">
        <v>0</v>
      </c>
    </row>
    <row r="35" spans="1:21" s="58" customFormat="1" x14ac:dyDescent="0.2">
      <c r="A35" s="30" t="s">
        <v>62</v>
      </c>
      <c r="B35" s="30" t="s">
        <v>63</v>
      </c>
      <c r="C35" s="30" t="s">
        <v>66</v>
      </c>
      <c r="D35" s="30" t="s">
        <v>294</v>
      </c>
      <c r="E35" s="30" t="s">
        <v>295</v>
      </c>
      <c r="F35" s="30" t="s">
        <v>296</v>
      </c>
      <c r="G35" s="30" t="s">
        <v>157</v>
      </c>
      <c r="H35" s="30" t="s">
        <v>31</v>
      </c>
      <c r="I35" s="30" t="s">
        <v>62</v>
      </c>
      <c r="J35" s="30" t="s">
        <v>63</v>
      </c>
      <c r="K35" s="61">
        <v>0.5</v>
      </c>
      <c r="L35" s="30" t="s">
        <v>64</v>
      </c>
      <c r="M35" s="30">
        <v>2019</v>
      </c>
      <c r="N35" s="30" t="s">
        <v>40</v>
      </c>
      <c r="O35" s="31" t="s">
        <v>54</v>
      </c>
      <c r="P35" s="30" t="s">
        <v>33</v>
      </c>
      <c r="Q35" s="31" t="s">
        <v>33</v>
      </c>
      <c r="R35" s="32">
        <v>90</v>
      </c>
      <c r="S35" s="33">
        <v>0.45</v>
      </c>
      <c r="T35" s="64">
        <v>0.05</v>
      </c>
      <c r="U35" s="33">
        <v>0</v>
      </c>
    </row>
    <row r="36" spans="1:21" s="58" customFormat="1" ht="10.8" thickBot="1" x14ac:dyDescent="0.25">
      <c r="A36" s="26" t="s">
        <v>93</v>
      </c>
      <c r="B36" s="26" t="s">
        <v>94</v>
      </c>
      <c r="C36" s="26" t="s">
        <v>88</v>
      </c>
      <c r="D36" s="26" t="s">
        <v>308</v>
      </c>
      <c r="E36" s="26" t="s">
        <v>309</v>
      </c>
      <c r="F36" s="26" t="s">
        <v>310</v>
      </c>
      <c r="G36" s="26" t="s">
        <v>92</v>
      </c>
      <c r="H36" s="26" t="s">
        <v>35</v>
      </c>
      <c r="I36" s="26" t="s">
        <v>84</v>
      </c>
      <c r="J36" s="26" t="s">
        <v>85</v>
      </c>
      <c r="K36" s="34">
        <v>1</v>
      </c>
      <c r="L36" s="34" t="s">
        <v>86</v>
      </c>
      <c r="M36" s="35">
        <v>2019</v>
      </c>
      <c r="N36" s="26" t="s">
        <v>40</v>
      </c>
      <c r="O36" s="27" t="s">
        <v>50</v>
      </c>
      <c r="P36" s="26" t="s">
        <v>33</v>
      </c>
      <c r="Q36" s="27" t="s">
        <v>33</v>
      </c>
      <c r="R36" s="26">
        <v>50</v>
      </c>
      <c r="S36" s="26">
        <v>0.5</v>
      </c>
      <c r="T36" s="63">
        <v>0.5</v>
      </c>
      <c r="U36" s="26">
        <v>0</v>
      </c>
    </row>
    <row r="37" spans="1:21" s="58" customFormat="1" ht="10.8" thickBot="1" x14ac:dyDescent="0.25">
      <c r="A37" s="36" t="s">
        <v>55</v>
      </c>
      <c r="B37" s="36" t="s">
        <v>56</v>
      </c>
      <c r="C37" s="36" t="s">
        <v>57</v>
      </c>
      <c r="D37" s="36" t="s">
        <v>311</v>
      </c>
      <c r="E37" s="36" t="s">
        <v>312</v>
      </c>
      <c r="F37" s="36" t="s">
        <v>313</v>
      </c>
      <c r="G37" s="37" t="s">
        <v>106</v>
      </c>
      <c r="H37" s="38" t="s">
        <v>31</v>
      </c>
      <c r="I37" s="38" t="s">
        <v>55</v>
      </c>
      <c r="J37" s="39" t="s">
        <v>56</v>
      </c>
      <c r="K37" s="34">
        <v>0.33333333333333331</v>
      </c>
      <c r="L37" s="34" t="s">
        <v>103</v>
      </c>
      <c r="M37" s="26">
        <v>2020</v>
      </c>
      <c r="N37" s="26" t="s">
        <v>40</v>
      </c>
      <c r="O37" s="27" t="s">
        <v>80</v>
      </c>
      <c r="P37" s="26" t="s">
        <v>33</v>
      </c>
      <c r="Q37" s="27" t="s">
        <v>33</v>
      </c>
      <c r="R37" s="26">
        <v>30</v>
      </c>
      <c r="S37" s="26">
        <v>0.1</v>
      </c>
      <c r="T37" s="62">
        <v>0.23333333333333331</v>
      </c>
      <c r="U37" s="26">
        <v>0</v>
      </c>
    </row>
    <row r="38" spans="1:21" s="58" customFormat="1" ht="10.8" thickBot="1" x14ac:dyDescent="0.25">
      <c r="A38" s="36" t="s">
        <v>93</v>
      </c>
      <c r="B38" s="36" t="s">
        <v>94</v>
      </c>
      <c r="C38" s="36" t="s">
        <v>88</v>
      </c>
      <c r="D38" s="36" t="s">
        <v>314</v>
      </c>
      <c r="E38" s="36" t="s">
        <v>315</v>
      </c>
      <c r="F38" s="36" t="s">
        <v>316</v>
      </c>
      <c r="G38" s="37" t="s">
        <v>317</v>
      </c>
      <c r="H38" s="38" t="s">
        <v>31</v>
      </c>
      <c r="I38" s="38" t="s">
        <v>84</v>
      </c>
      <c r="J38" s="39" t="s">
        <v>85</v>
      </c>
      <c r="K38" s="34">
        <v>0.5</v>
      </c>
      <c r="L38" s="34" t="s">
        <v>86</v>
      </c>
      <c r="M38" s="26">
        <v>2020</v>
      </c>
      <c r="N38" s="26" t="s">
        <v>40</v>
      </c>
      <c r="O38" s="27" t="s">
        <v>51</v>
      </c>
      <c r="P38" s="26" t="s">
        <v>33</v>
      </c>
      <c r="Q38" s="27" t="s">
        <v>33</v>
      </c>
      <c r="R38" s="26">
        <v>80</v>
      </c>
      <c r="S38" s="26">
        <v>0.4</v>
      </c>
      <c r="T38" s="63">
        <v>0.1</v>
      </c>
      <c r="U38" s="26">
        <v>0</v>
      </c>
    </row>
    <row r="39" spans="1:21" s="58" customFormat="1" ht="10.8" thickBot="1" x14ac:dyDescent="0.25">
      <c r="A39" s="36" t="s">
        <v>93</v>
      </c>
      <c r="B39" s="36" t="s">
        <v>94</v>
      </c>
      <c r="C39" s="36" t="s">
        <v>88</v>
      </c>
      <c r="D39" s="36" t="s">
        <v>314</v>
      </c>
      <c r="E39" s="36" t="s">
        <v>315</v>
      </c>
      <c r="F39" s="36" t="s">
        <v>316</v>
      </c>
      <c r="G39" s="37" t="s">
        <v>98</v>
      </c>
      <c r="H39" s="38" t="s">
        <v>31</v>
      </c>
      <c r="I39" s="38" t="s">
        <v>84</v>
      </c>
      <c r="J39" s="39" t="s">
        <v>85</v>
      </c>
      <c r="K39" s="34">
        <v>0.5</v>
      </c>
      <c r="L39" s="34" t="s">
        <v>86</v>
      </c>
      <c r="M39" s="26">
        <v>2020</v>
      </c>
      <c r="N39" s="26" t="s">
        <v>40</v>
      </c>
      <c r="O39" s="27" t="s">
        <v>54</v>
      </c>
      <c r="P39" s="26" t="s">
        <v>33</v>
      </c>
      <c r="Q39" s="27" t="s">
        <v>33</v>
      </c>
      <c r="R39" s="26">
        <v>90</v>
      </c>
      <c r="S39" s="26">
        <v>0.45</v>
      </c>
      <c r="T39" s="62">
        <v>0.05</v>
      </c>
      <c r="U39" s="26">
        <v>0</v>
      </c>
    </row>
    <row r="40" spans="1:21" s="58" customFormat="1" ht="10.8" thickBot="1" x14ac:dyDescent="0.25">
      <c r="A40" s="36" t="s">
        <v>93</v>
      </c>
      <c r="B40" s="36" t="s">
        <v>94</v>
      </c>
      <c r="C40" s="36" t="s">
        <v>88</v>
      </c>
      <c r="D40" s="36" t="s">
        <v>318</v>
      </c>
      <c r="E40" s="36" t="s">
        <v>319</v>
      </c>
      <c r="F40" s="36" t="s">
        <v>320</v>
      </c>
      <c r="G40" s="37" t="s">
        <v>148</v>
      </c>
      <c r="H40" s="38" t="s">
        <v>35</v>
      </c>
      <c r="I40" s="38" t="s">
        <v>93</v>
      </c>
      <c r="J40" s="39" t="s">
        <v>94</v>
      </c>
      <c r="K40" s="34">
        <v>1</v>
      </c>
      <c r="L40" s="34" t="s">
        <v>141</v>
      </c>
      <c r="M40" s="26">
        <v>2020</v>
      </c>
      <c r="N40" s="26" t="s">
        <v>40</v>
      </c>
      <c r="O40" s="27" t="s">
        <v>50</v>
      </c>
      <c r="P40" s="26" t="s">
        <v>33</v>
      </c>
      <c r="Q40" s="27" t="s">
        <v>33</v>
      </c>
      <c r="R40" s="26">
        <v>50</v>
      </c>
      <c r="S40" s="26">
        <v>0.5</v>
      </c>
      <c r="T40" s="63">
        <v>0.5</v>
      </c>
      <c r="U40" s="26">
        <v>0</v>
      </c>
    </row>
    <row r="41" spans="1:21" s="58" customFormat="1" ht="10.8" thickBot="1" x14ac:dyDescent="0.25">
      <c r="A41" s="36" t="s">
        <v>93</v>
      </c>
      <c r="B41" s="36" t="s">
        <v>94</v>
      </c>
      <c r="C41" s="36" t="s">
        <v>88</v>
      </c>
      <c r="D41" s="36" t="s">
        <v>321</v>
      </c>
      <c r="E41" s="36" t="s">
        <v>322</v>
      </c>
      <c r="F41" s="36" t="s">
        <v>323</v>
      </c>
      <c r="G41" s="37" t="s">
        <v>144</v>
      </c>
      <c r="H41" s="38" t="s">
        <v>31</v>
      </c>
      <c r="I41" s="38" t="s">
        <v>93</v>
      </c>
      <c r="J41" s="39" t="s">
        <v>94</v>
      </c>
      <c r="K41" s="34">
        <v>0.5</v>
      </c>
      <c r="L41" s="34" t="s">
        <v>141</v>
      </c>
      <c r="M41" s="26">
        <v>2020</v>
      </c>
      <c r="N41" s="26" t="s">
        <v>40</v>
      </c>
      <c r="O41" s="27" t="s">
        <v>50</v>
      </c>
      <c r="P41" s="26" t="s">
        <v>33</v>
      </c>
      <c r="Q41" s="27" t="s">
        <v>33</v>
      </c>
      <c r="R41" s="26">
        <v>50</v>
      </c>
      <c r="S41" s="26">
        <v>0.25</v>
      </c>
      <c r="T41" s="62">
        <v>0.25</v>
      </c>
      <c r="U41" s="26">
        <v>0</v>
      </c>
    </row>
    <row r="42" spans="1:21" s="58" customFormat="1" ht="10.8" thickBot="1" x14ac:dyDescent="0.25">
      <c r="A42" s="36" t="s">
        <v>62</v>
      </c>
      <c r="B42" s="36" t="s">
        <v>63</v>
      </c>
      <c r="C42" s="36" t="s">
        <v>66</v>
      </c>
      <c r="D42" s="36" t="s">
        <v>324</v>
      </c>
      <c r="E42" s="36" t="s">
        <v>325</v>
      </c>
      <c r="F42" s="36" t="s">
        <v>326</v>
      </c>
      <c r="G42" s="37" t="s">
        <v>158</v>
      </c>
      <c r="H42" s="38" t="s">
        <v>31</v>
      </c>
      <c r="I42" s="38" t="s">
        <v>62</v>
      </c>
      <c r="J42" s="39" t="s">
        <v>63</v>
      </c>
      <c r="K42" s="34">
        <v>0.5</v>
      </c>
      <c r="L42" s="34" t="s">
        <v>64</v>
      </c>
      <c r="M42" s="26">
        <v>2020</v>
      </c>
      <c r="N42" s="26" t="s">
        <v>40</v>
      </c>
      <c r="O42" s="27" t="s">
        <v>50</v>
      </c>
      <c r="P42" s="26" t="s">
        <v>33</v>
      </c>
      <c r="Q42" s="27" t="s">
        <v>33</v>
      </c>
      <c r="R42" s="26">
        <v>50</v>
      </c>
      <c r="S42" s="26">
        <v>0.25</v>
      </c>
      <c r="T42" s="62">
        <v>0.25</v>
      </c>
      <c r="U42" s="26">
        <v>0</v>
      </c>
    </row>
    <row r="43" spans="1:21" s="58" customFormat="1" ht="10.8" thickBot="1" x14ac:dyDescent="0.25">
      <c r="A43" s="36" t="s">
        <v>62</v>
      </c>
      <c r="B43" s="36" t="s">
        <v>63</v>
      </c>
      <c r="C43" s="36" t="s">
        <v>66</v>
      </c>
      <c r="D43" s="36" t="s">
        <v>324</v>
      </c>
      <c r="E43" s="36" t="s">
        <v>325</v>
      </c>
      <c r="F43" s="36" t="s">
        <v>326</v>
      </c>
      <c r="G43" s="37" t="s">
        <v>327</v>
      </c>
      <c r="H43" s="38" t="s">
        <v>31</v>
      </c>
      <c r="I43" s="38" t="s">
        <v>55</v>
      </c>
      <c r="J43" s="39" t="s">
        <v>56</v>
      </c>
      <c r="K43" s="34">
        <v>0.5</v>
      </c>
      <c r="L43" s="34" t="s">
        <v>103</v>
      </c>
      <c r="M43" s="26">
        <v>2020</v>
      </c>
      <c r="N43" s="26" t="s">
        <v>40</v>
      </c>
      <c r="O43" s="27" t="s">
        <v>50</v>
      </c>
      <c r="P43" s="26" t="s">
        <v>33</v>
      </c>
      <c r="Q43" s="27" t="s">
        <v>33</v>
      </c>
      <c r="R43" s="26">
        <v>50</v>
      </c>
      <c r="S43" s="26">
        <v>0.25</v>
      </c>
      <c r="T43" s="62">
        <v>0.25</v>
      </c>
      <c r="U43" s="26">
        <v>0</v>
      </c>
    </row>
    <row r="44" spans="1:21" s="58" customFormat="1" ht="10.8" thickBot="1" x14ac:dyDescent="0.25">
      <c r="A44" s="36" t="s">
        <v>62</v>
      </c>
      <c r="B44" s="36" t="s">
        <v>63</v>
      </c>
      <c r="C44" s="36" t="s">
        <v>66</v>
      </c>
      <c r="D44" s="36" t="s">
        <v>328</v>
      </c>
      <c r="E44" s="36" t="s">
        <v>329</v>
      </c>
      <c r="F44" s="36" t="s">
        <v>330</v>
      </c>
      <c r="G44" s="37" t="s">
        <v>156</v>
      </c>
      <c r="H44" s="38" t="s">
        <v>31</v>
      </c>
      <c r="I44" s="38" t="s">
        <v>62</v>
      </c>
      <c r="J44" s="39" t="s">
        <v>63</v>
      </c>
      <c r="K44" s="34">
        <v>0.5</v>
      </c>
      <c r="L44" s="34" t="s">
        <v>64</v>
      </c>
      <c r="M44" s="26">
        <v>2020</v>
      </c>
      <c r="N44" s="26" t="s">
        <v>40</v>
      </c>
      <c r="O44" s="27" t="s">
        <v>79</v>
      </c>
      <c r="P44" s="26" t="s">
        <v>33</v>
      </c>
      <c r="Q44" s="27" t="s">
        <v>33</v>
      </c>
      <c r="R44" s="26">
        <v>70</v>
      </c>
      <c r="S44" s="26">
        <v>0.35</v>
      </c>
      <c r="T44" s="62">
        <v>0.15</v>
      </c>
      <c r="U44" s="26">
        <v>0</v>
      </c>
    </row>
    <row r="45" spans="1:21" s="58" customFormat="1" ht="10.8" thickBot="1" x14ac:dyDescent="0.25">
      <c r="A45" s="36" t="s">
        <v>331</v>
      </c>
      <c r="B45" s="36" t="s">
        <v>332</v>
      </c>
      <c r="C45" s="36" t="s">
        <v>333</v>
      </c>
      <c r="D45" s="36" t="s">
        <v>334</v>
      </c>
      <c r="E45" s="36" t="s">
        <v>335</v>
      </c>
      <c r="F45" s="36" t="s">
        <v>336</v>
      </c>
      <c r="G45" s="37" t="s">
        <v>157</v>
      </c>
      <c r="H45" s="38" t="s">
        <v>31</v>
      </c>
      <c r="I45" s="38" t="s">
        <v>62</v>
      </c>
      <c r="J45" s="39" t="s">
        <v>63</v>
      </c>
      <c r="K45" s="34">
        <v>0.5</v>
      </c>
      <c r="L45" s="34" t="s">
        <v>64</v>
      </c>
      <c r="M45" s="26">
        <v>2020</v>
      </c>
      <c r="N45" s="26" t="s">
        <v>40</v>
      </c>
      <c r="O45" s="27" t="s">
        <v>54</v>
      </c>
      <c r="P45" s="26" t="s">
        <v>431</v>
      </c>
      <c r="Q45" s="27" t="s">
        <v>54</v>
      </c>
      <c r="R45" s="26">
        <v>80</v>
      </c>
      <c r="S45" s="26">
        <v>0.4</v>
      </c>
      <c r="T45" s="62">
        <v>0.05</v>
      </c>
      <c r="U45" s="26">
        <v>0.05</v>
      </c>
    </row>
    <row r="46" spans="1:21" s="58" customFormat="1" x14ac:dyDescent="0.2">
      <c r="A46" s="26" t="s">
        <v>55</v>
      </c>
      <c r="B46" s="26" t="s">
        <v>56</v>
      </c>
      <c r="C46" s="26" t="s">
        <v>57</v>
      </c>
      <c r="D46" s="26" t="s">
        <v>432</v>
      </c>
      <c r="E46" s="26" t="s">
        <v>433</v>
      </c>
      <c r="F46" s="26" t="s">
        <v>434</v>
      </c>
      <c r="G46" s="26" t="s">
        <v>435</v>
      </c>
      <c r="H46" s="26" t="s">
        <v>35</v>
      </c>
      <c r="I46" s="26" t="s">
        <v>55</v>
      </c>
      <c r="J46" s="26" t="s">
        <v>56</v>
      </c>
      <c r="K46" s="34">
        <v>1</v>
      </c>
      <c r="L46" s="34" t="s">
        <v>103</v>
      </c>
      <c r="M46" s="26">
        <v>2021</v>
      </c>
      <c r="N46" s="26" t="s">
        <v>40</v>
      </c>
      <c r="O46" s="27" t="s">
        <v>50</v>
      </c>
      <c r="P46" s="26" t="s">
        <v>33</v>
      </c>
      <c r="Q46" s="27" t="s">
        <v>33</v>
      </c>
      <c r="R46" s="26">
        <v>50</v>
      </c>
      <c r="S46" s="26">
        <v>0.5</v>
      </c>
      <c r="T46" s="63">
        <v>0.5</v>
      </c>
      <c r="U46" s="26">
        <v>0</v>
      </c>
    </row>
    <row r="47" spans="1:21" s="58" customFormat="1" x14ac:dyDescent="0.2">
      <c r="A47" s="26" t="s">
        <v>55</v>
      </c>
      <c r="B47" s="26" t="s">
        <v>56</v>
      </c>
      <c r="C47" s="26" t="s">
        <v>57</v>
      </c>
      <c r="D47" s="26" t="s">
        <v>436</v>
      </c>
      <c r="E47" s="26" t="s">
        <v>437</v>
      </c>
      <c r="F47" s="26" t="s">
        <v>438</v>
      </c>
      <c r="G47" s="26" t="s">
        <v>439</v>
      </c>
      <c r="H47" s="26" t="s">
        <v>31</v>
      </c>
      <c r="I47" s="26" t="s">
        <v>55</v>
      </c>
      <c r="J47" s="26" t="s">
        <v>56</v>
      </c>
      <c r="K47" s="34">
        <v>0.5</v>
      </c>
      <c r="L47" s="34" t="s">
        <v>103</v>
      </c>
      <c r="M47" s="26">
        <v>2021</v>
      </c>
      <c r="N47" s="26" t="s">
        <v>40</v>
      </c>
      <c r="O47" s="27" t="s">
        <v>50</v>
      </c>
      <c r="P47" s="26" t="s">
        <v>33</v>
      </c>
      <c r="Q47" s="27" t="s">
        <v>33</v>
      </c>
      <c r="R47" s="26">
        <v>50</v>
      </c>
      <c r="S47" s="26">
        <v>0.25</v>
      </c>
      <c r="T47" s="62">
        <v>0.25</v>
      </c>
      <c r="U47" s="26">
        <v>0</v>
      </c>
    </row>
    <row r="48" spans="1:21" s="58" customFormat="1" x14ac:dyDescent="0.2">
      <c r="A48" s="26" t="s">
        <v>93</v>
      </c>
      <c r="B48" s="26" t="s">
        <v>94</v>
      </c>
      <c r="C48" s="26" t="s">
        <v>88</v>
      </c>
      <c r="D48" s="26" t="s">
        <v>440</v>
      </c>
      <c r="E48" s="26" t="s">
        <v>441</v>
      </c>
      <c r="F48" s="26" t="s">
        <v>442</v>
      </c>
      <c r="G48" s="26" t="s">
        <v>144</v>
      </c>
      <c r="H48" s="26" t="s">
        <v>31</v>
      </c>
      <c r="I48" s="26" t="s">
        <v>93</v>
      </c>
      <c r="J48" s="26" t="s">
        <v>94</v>
      </c>
      <c r="K48" s="34">
        <v>0.5</v>
      </c>
      <c r="L48" s="34" t="s">
        <v>141</v>
      </c>
      <c r="M48" s="26">
        <v>2021</v>
      </c>
      <c r="N48" s="26" t="s">
        <v>40</v>
      </c>
      <c r="O48" s="27" t="s">
        <v>50</v>
      </c>
      <c r="P48" s="26" t="s">
        <v>33</v>
      </c>
      <c r="Q48" s="27" t="s">
        <v>33</v>
      </c>
      <c r="R48" s="26">
        <v>50</v>
      </c>
      <c r="S48" s="26">
        <v>0.25</v>
      </c>
      <c r="T48" s="62">
        <v>0.25</v>
      </c>
      <c r="U48" s="26">
        <v>0</v>
      </c>
    </row>
    <row r="49" spans="1:21" s="58" customFormat="1" x14ac:dyDescent="0.2">
      <c r="A49" s="26" t="s">
        <v>93</v>
      </c>
      <c r="B49" s="26" t="s">
        <v>94</v>
      </c>
      <c r="C49" s="26" t="s">
        <v>88</v>
      </c>
      <c r="D49" s="26" t="s">
        <v>443</v>
      </c>
      <c r="E49" s="26" t="s">
        <v>444</v>
      </c>
      <c r="F49" s="26" t="s">
        <v>445</v>
      </c>
      <c r="G49" s="26" t="s">
        <v>98</v>
      </c>
      <c r="H49" s="26" t="s">
        <v>31</v>
      </c>
      <c r="I49" s="26" t="s">
        <v>84</v>
      </c>
      <c r="J49" s="26" t="s">
        <v>85</v>
      </c>
      <c r="K49" s="34">
        <v>0.5</v>
      </c>
      <c r="L49" s="34" t="s">
        <v>86</v>
      </c>
      <c r="M49" s="26">
        <v>2021</v>
      </c>
      <c r="N49" s="26" t="s">
        <v>40</v>
      </c>
      <c r="O49" s="27" t="s">
        <v>54</v>
      </c>
      <c r="P49" s="26" t="s">
        <v>33</v>
      </c>
      <c r="Q49" s="27" t="s">
        <v>33</v>
      </c>
      <c r="R49" s="26">
        <v>90</v>
      </c>
      <c r="S49" s="26">
        <v>0.45</v>
      </c>
      <c r="T49" s="62">
        <v>0.05</v>
      </c>
      <c r="U49" s="26">
        <v>0</v>
      </c>
    </row>
    <row r="50" spans="1:21" s="58" customFormat="1" x14ac:dyDescent="0.2">
      <c r="A50" s="26" t="s">
        <v>93</v>
      </c>
      <c r="B50" s="26" t="s">
        <v>94</v>
      </c>
      <c r="C50" s="26" t="s">
        <v>88</v>
      </c>
      <c r="D50" s="26" t="s">
        <v>446</v>
      </c>
      <c r="E50" s="26" t="s">
        <v>447</v>
      </c>
      <c r="F50" s="26" t="s">
        <v>442</v>
      </c>
      <c r="G50" s="26" t="s">
        <v>140</v>
      </c>
      <c r="H50" s="26" t="s">
        <v>35</v>
      </c>
      <c r="I50" s="26" t="s">
        <v>93</v>
      </c>
      <c r="J50" s="26" t="s">
        <v>94</v>
      </c>
      <c r="K50" s="34">
        <v>1</v>
      </c>
      <c r="L50" s="34" t="s">
        <v>141</v>
      </c>
      <c r="M50" s="26">
        <v>2021</v>
      </c>
      <c r="N50" s="26" t="s">
        <v>40</v>
      </c>
      <c r="O50" s="27" t="s">
        <v>142</v>
      </c>
      <c r="P50" s="26" t="s">
        <v>33</v>
      </c>
      <c r="Q50" s="27" t="s">
        <v>33</v>
      </c>
      <c r="R50" s="26">
        <v>15</v>
      </c>
      <c r="S50" s="26">
        <v>0.15</v>
      </c>
      <c r="T50" s="62">
        <v>0.85</v>
      </c>
      <c r="U50" s="26">
        <v>0</v>
      </c>
    </row>
    <row r="51" spans="1:21" s="58" customFormat="1" x14ac:dyDescent="0.2">
      <c r="A51" s="26" t="s">
        <v>93</v>
      </c>
      <c r="B51" s="26" t="s">
        <v>94</v>
      </c>
      <c r="C51" s="26" t="s">
        <v>88</v>
      </c>
      <c r="D51" s="26" t="s">
        <v>448</v>
      </c>
      <c r="E51" s="26" t="s">
        <v>449</v>
      </c>
      <c r="F51" s="26" t="s">
        <v>450</v>
      </c>
      <c r="G51" s="26" t="s">
        <v>143</v>
      </c>
      <c r="H51" s="26" t="s">
        <v>31</v>
      </c>
      <c r="I51" s="26" t="s">
        <v>93</v>
      </c>
      <c r="J51" s="26" t="s">
        <v>94</v>
      </c>
      <c r="K51" s="34">
        <v>0.5</v>
      </c>
      <c r="L51" s="34" t="s">
        <v>141</v>
      </c>
      <c r="M51" s="26">
        <v>2021</v>
      </c>
      <c r="N51" s="26" t="s">
        <v>40</v>
      </c>
      <c r="O51" s="27" t="s">
        <v>142</v>
      </c>
      <c r="P51" s="26" t="s">
        <v>33</v>
      </c>
      <c r="Q51" s="27" t="s">
        <v>33</v>
      </c>
      <c r="R51" s="26">
        <v>15</v>
      </c>
      <c r="S51" s="26">
        <v>7.4999999999999997E-2</v>
      </c>
      <c r="T51" s="62">
        <v>0.42499999999999999</v>
      </c>
      <c r="U51" s="26">
        <v>0</v>
      </c>
    </row>
    <row r="52" spans="1:21" s="58" customFormat="1" x14ac:dyDescent="0.2">
      <c r="A52" s="26" t="s">
        <v>62</v>
      </c>
      <c r="B52" s="26" t="s">
        <v>63</v>
      </c>
      <c r="C52" s="26" t="s">
        <v>66</v>
      </c>
      <c r="D52" s="26" t="s">
        <v>69</v>
      </c>
      <c r="E52" s="26" t="s">
        <v>70</v>
      </c>
      <c r="F52" s="26" t="s">
        <v>71</v>
      </c>
      <c r="G52" s="26" t="s">
        <v>67</v>
      </c>
      <c r="H52" s="26" t="s">
        <v>31</v>
      </c>
      <c r="I52" s="26" t="s">
        <v>62</v>
      </c>
      <c r="J52" s="26" t="s">
        <v>63</v>
      </c>
      <c r="K52" s="60">
        <v>0.5</v>
      </c>
      <c r="L52" s="26" t="s">
        <v>64</v>
      </c>
      <c r="M52" s="26">
        <v>2018</v>
      </c>
      <c r="N52" s="26" t="s">
        <v>32</v>
      </c>
      <c r="O52" s="27" t="s">
        <v>54</v>
      </c>
      <c r="P52" s="26" t="s">
        <v>40</v>
      </c>
      <c r="Q52" s="27" t="s">
        <v>54</v>
      </c>
      <c r="R52" s="28">
        <v>80</v>
      </c>
      <c r="S52" s="29">
        <v>0.4</v>
      </c>
      <c r="T52" s="29">
        <v>0.05</v>
      </c>
      <c r="U52" s="62">
        <v>0.05</v>
      </c>
    </row>
    <row r="53" spans="1:21" s="58" customFormat="1" x14ac:dyDescent="0.2">
      <c r="A53" s="26" t="s">
        <v>62</v>
      </c>
      <c r="B53" s="26" t="s">
        <v>63</v>
      </c>
      <c r="C53" s="26" t="s">
        <v>66</v>
      </c>
      <c r="D53" s="26" t="s">
        <v>72</v>
      </c>
      <c r="E53" s="26" t="s">
        <v>73</v>
      </c>
      <c r="F53" s="26" t="s">
        <v>74</v>
      </c>
      <c r="G53" s="26" t="s">
        <v>67</v>
      </c>
      <c r="H53" s="26" t="s">
        <v>35</v>
      </c>
      <c r="I53" s="26" t="s">
        <v>62</v>
      </c>
      <c r="J53" s="26" t="s">
        <v>63</v>
      </c>
      <c r="K53" s="60">
        <v>1</v>
      </c>
      <c r="L53" s="26" t="s">
        <v>64</v>
      </c>
      <c r="M53" s="26">
        <v>2018</v>
      </c>
      <c r="N53" s="26" t="s">
        <v>32</v>
      </c>
      <c r="O53" s="27" t="s">
        <v>54</v>
      </c>
      <c r="P53" s="26" t="s">
        <v>40</v>
      </c>
      <c r="Q53" s="27" t="s">
        <v>54</v>
      </c>
      <c r="R53" s="28">
        <v>80</v>
      </c>
      <c r="S53" s="29">
        <v>0.8</v>
      </c>
      <c r="T53" s="29">
        <v>0.1</v>
      </c>
      <c r="U53" s="62">
        <v>0.1</v>
      </c>
    </row>
    <row r="54" spans="1:21" s="58" customFormat="1" ht="10.8" thickBot="1" x14ac:dyDescent="0.25">
      <c r="A54" s="26" t="s">
        <v>62</v>
      </c>
      <c r="B54" s="26" t="s">
        <v>63</v>
      </c>
      <c r="C54" s="26" t="s">
        <v>66</v>
      </c>
      <c r="D54" s="26" t="s">
        <v>75</v>
      </c>
      <c r="E54" s="26" t="s">
        <v>76</v>
      </c>
      <c r="F54" s="26" t="s">
        <v>77</v>
      </c>
      <c r="G54" s="26" t="s">
        <v>67</v>
      </c>
      <c r="H54" s="26" t="s">
        <v>31</v>
      </c>
      <c r="I54" s="26" t="s">
        <v>62</v>
      </c>
      <c r="J54" s="26" t="s">
        <v>63</v>
      </c>
      <c r="K54" s="60">
        <v>0.5</v>
      </c>
      <c r="L54" s="26" t="s">
        <v>64</v>
      </c>
      <c r="M54" s="26">
        <v>2018</v>
      </c>
      <c r="N54" s="26" t="s">
        <v>32</v>
      </c>
      <c r="O54" s="27" t="s">
        <v>54</v>
      </c>
      <c r="P54" s="26" t="s">
        <v>40</v>
      </c>
      <c r="Q54" s="27" t="s">
        <v>54</v>
      </c>
      <c r="R54" s="28">
        <v>80</v>
      </c>
      <c r="S54" s="29">
        <v>0.4</v>
      </c>
      <c r="T54" s="29">
        <v>0.05</v>
      </c>
      <c r="U54" s="62">
        <v>0.05</v>
      </c>
    </row>
    <row r="55" spans="1:21" s="58" customFormat="1" ht="10.8" thickBot="1" x14ac:dyDescent="0.25">
      <c r="A55" s="36" t="s">
        <v>62</v>
      </c>
      <c r="B55" s="36" t="s">
        <v>63</v>
      </c>
      <c r="C55" s="36" t="s">
        <v>66</v>
      </c>
      <c r="D55" s="36" t="s">
        <v>337</v>
      </c>
      <c r="E55" s="36" t="s">
        <v>451</v>
      </c>
      <c r="F55" s="36" t="s">
        <v>338</v>
      </c>
      <c r="G55" s="37" t="s">
        <v>67</v>
      </c>
      <c r="H55" s="38" t="s">
        <v>31</v>
      </c>
      <c r="I55" s="38" t="s">
        <v>62</v>
      </c>
      <c r="J55" s="39" t="s">
        <v>63</v>
      </c>
      <c r="K55" s="34">
        <v>0.33333333333333331</v>
      </c>
      <c r="L55" s="34" t="s">
        <v>64</v>
      </c>
      <c r="M55" s="26">
        <v>2020</v>
      </c>
      <c r="N55" s="26" t="s">
        <v>32</v>
      </c>
      <c r="O55" s="27" t="s">
        <v>54</v>
      </c>
      <c r="P55" s="26" t="s">
        <v>40</v>
      </c>
      <c r="Q55" s="27" t="s">
        <v>54</v>
      </c>
      <c r="R55" s="26">
        <v>80</v>
      </c>
      <c r="S55" s="26">
        <v>0.26666666666666666</v>
      </c>
      <c r="T55" s="26">
        <v>3.3333333333333333E-2</v>
      </c>
      <c r="U55" s="71">
        <v>3.3333333333333333E-2</v>
      </c>
    </row>
    <row r="56" spans="1:21" s="58" customFormat="1" ht="10.8" thickBot="1" x14ac:dyDescent="0.25">
      <c r="A56" s="36" t="s">
        <v>62</v>
      </c>
      <c r="B56" s="36" t="s">
        <v>63</v>
      </c>
      <c r="C56" s="36" t="s">
        <v>66</v>
      </c>
      <c r="D56" s="36" t="s">
        <v>339</v>
      </c>
      <c r="E56" s="36" t="s">
        <v>340</v>
      </c>
      <c r="F56" s="36" t="s">
        <v>341</v>
      </c>
      <c r="G56" s="37" t="s">
        <v>67</v>
      </c>
      <c r="H56" s="38" t="s">
        <v>31</v>
      </c>
      <c r="I56" s="38" t="s">
        <v>62</v>
      </c>
      <c r="J56" s="39" t="s">
        <v>63</v>
      </c>
      <c r="K56" s="34">
        <v>0.5</v>
      </c>
      <c r="L56" s="34" t="s">
        <v>64</v>
      </c>
      <c r="M56" s="26">
        <v>2020</v>
      </c>
      <c r="N56" s="26" t="s">
        <v>32</v>
      </c>
      <c r="O56" s="27" t="s">
        <v>54</v>
      </c>
      <c r="P56" s="26" t="s">
        <v>40</v>
      </c>
      <c r="Q56" s="27" t="s">
        <v>54</v>
      </c>
      <c r="R56" s="26">
        <v>80</v>
      </c>
      <c r="S56" s="26">
        <v>0.4</v>
      </c>
      <c r="T56" s="26">
        <v>0.05</v>
      </c>
      <c r="U56" s="62">
        <v>0.05</v>
      </c>
    </row>
    <row r="57" spans="1:21" s="58" customFormat="1" x14ac:dyDescent="0.2">
      <c r="A57" s="26" t="s">
        <v>62</v>
      </c>
      <c r="B57" s="26" t="s">
        <v>63</v>
      </c>
      <c r="C57" s="26" t="s">
        <v>66</v>
      </c>
      <c r="D57" s="26" t="s">
        <v>452</v>
      </c>
      <c r="E57" s="26" t="s">
        <v>453</v>
      </c>
      <c r="F57" s="26" t="s">
        <v>454</v>
      </c>
      <c r="G57" s="26" t="s">
        <v>67</v>
      </c>
      <c r="H57" s="26" t="s">
        <v>31</v>
      </c>
      <c r="I57" s="26" t="s">
        <v>62</v>
      </c>
      <c r="J57" s="26" t="s">
        <v>63</v>
      </c>
      <c r="K57" s="34">
        <v>0.5</v>
      </c>
      <c r="L57" s="34" t="s">
        <v>64</v>
      </c>
      <c r="M57" s="26">
        <v>2021</v>
      </c>
      <c r="N57" s="26" t="s">
        <v>32</v>
      </c>
      <c r="O57" s="27" t="s">
        <v>54</v>
      </c>
      <c r="P57" s="26" t="s">
        <v>40</v>
      </c>
      <c r="Q57" s="27" t="s">
        <v>54</v>
      </c>
      <c r="R57" s="26">
        <v>80</v>
      </c>
      <c r="S57" s="26">
        <v>0.4</v>
      </c>
      <c r="T57" s="26">
        <v>0.05</v>
      </c>
      <c r="U57" s="62">
        <v>0.05</v>
      </c>
    </row>
    <row r="58" spans="1:21" s="58" customFormat="1" x14ac:dyDescent="0.2">
      <c r="A58" s="26" t="s">
        <v>455</v>
      </c>
      <c r="B58" s="26" t="s">
        <v>456</v>
      </c>
      <c r="C58" s="26" t="s">
        <v>457</v>
      </c>
      <c r="D58" s="26" t="s">
        <v>458</v>
      </c>
      <c r="E58" s="26" t="s">
        <v>459</v>
      </c>
      <c r="F58" s="26" t="s">
        <v>460</v>
      </c>
      <c r="G58" s="26" t="s">
        <v>67</v>
      </c>
      <c r="H58" s="26" t="s">
        <v>35</v>
      </c>
      <c r="I58" s="26" t="s">
        <v>62</v>
      </c>
      <c r="J58" s="26" t="s">
        <v>63</v>
      </c>
      <c r="K58" s="34">
        <v>1</v>
      </c>
      <c r="L58" s="34" t="s">
        <v>64</v>
      </c>
      <c r="M58" s="26">
        <v>2021</v>
      </c>
      <c r="N58" s="26" t="s">
        <v>32</v>
      </c>
      <c r="O58" s="27" t="s">
        <v>54</v>
      </c>
      <c r="P58" s="26" t="s">
        <v>40</v>
      </c>
      <c r="Q58" s="27" t="s">
        <v>54</v>
      </c>
      <c r="R58" s="26">
        <v>80</v>
      </c>
      <c r="S58" s="26">
        <v>0.8</v>
      </c>
      <c r="T58" s="26">
        <v>0.1</v>
      </c>
      <c r="U58" s="63">
        <v>0.1</v>
      </c>
    </row>
    <row r="59" spans="1:21" x14ac:dyDescent="0.2">
      <c r="S59" s="68">
        <f>SUM(U52:U58,T4:T51,S2:S3)</f>
        <v>14.983333333333338</v>
      </c>
      <c r="T59" s="69"/>
      <c r="U59" s="69"/>
    </row>
  </sheetData>
  <autoFilter ref="A1:U1" xr:uid="{00000000-0009-0000-0000-000000000000}"/>
  <mergeCells count="1">
    <mergeCell ref="S59:U59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0"/>
  <sheetViews>
    <sheetView topLeftCell="A19" zoomScaleNormal="100" workbookViewId="0">
      <selection activeCell="Q40" sqref="Q40:R40"/>
    </sheetView>
  </sheetViews>
  <sheetFormatPr baseColWidth="10" defaultColWidth="11.44140625" defaultRowHeight="13.2" x14ac:dyDescent="0.25"/>
  <cols>
    <col min="1" max="1" width="10.88671875" style="18" bestFit="1" customWidth="1"/>
    <col min="2" max="2" width="41.4414062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2" width="5.6640625" style="18" bestFit="1" customWidth="1"/>
    <col min="13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5.099999999999994" customHeight="1" x14ac:dyDescent="0.25">
      <c r="A1" s="20" t="s">
        <v>174</v>
      </c>
      <c r="B1" s="20" t="s">
        <v>175</v>
      </c>
      <c r="C1" s="20" t="s">
        <v>176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177</v>
      </c>
      <c r="K1" s="22" t="s">
        <v>300</v>
      </c>
      <c r="L1" s="15" t="s">
        <v>178</v>
      </c>
      <c r="M1" s="15" t="s">
        <v>179</v>
      </c>
      <c r="N1" s="15" t="s">
        <v>180</v>
      </c>
      <c r="O1" s="15" t="s">
        <v>181</v>
      </c>
      <c r="P1" s="16" t="s">
        <v>182</v>
      </c>
      <c r="Q1" s="16" t="s">
        <v>183</v>
      </c>
      <c r="R1" s="16" t="s">
        <v>184</v>
      </c>
      <c r="S1" s="16" t="s">
        <v>185</v>
      </c>
    </row>
    <row r="2" spans="1:19" ht="14.4" x14ac:dyDescent="0.3">
      <c r="A2" s="23" t="s">
        <v>210</v>
      </c>
      <c r="B2" s="23" t="s">
        <v>211</v>
      </c>
      <c r="C2" s="23" t="s">
        <v>186</v>
      </c>
      <c r="D2" s="23">
        <v>1</v>
      </c>
      <c r="E2" s="23"/>
      <c r="F2" s="23"/>
      <c r="G2" s="23"/>
      <c r="H2" s="23"/>
      <c r="I2" s="23"/>
      <c r="J2" s="23">
        <v>1</v>
      </c>
      <c r="K2" s="23" t="s">
        <v>60</v>
      </c>
      <c r="L2" s="24" t="s">
        <v>40</v>
      </c>
      <c r="M2" s="24" t="s">
        <v>54</v>
      </c>
      <c r="N2" s="24" t="s">
        <v>33</v>
      </c>
      <c r="O2" s="24" t="s">
        <v>33</v>
      </c>
      <c r="P2" s="24">
        <v>90</v>
      </c>
      <c r="Q2" s="65">
        <v>0.1</v>
      </c>
      <c r="R2" s="24">
        <v>0</v>
      </c>
      <c r="S2" s="24">
        <v>0.9</v>
      </c>
    </row>
    <row r="3" spans="1:19" ht="14.4" x14ac:dyDescent="0.3">
      <c r="A3" s="23" t="s">
        <v>461</v>
      </c>
      <c r="B3" s="23" t="s">
        <v>462</v>
      </c>
      <c r="C3" s="23" t="s">
        <v>186</v>
      </c>
      <c r="D3" s="23"/>
      <c r="E3" s="23"/>
      <c r="F3" s="23"/>
      <c r="G3" s="23"/>
      <c r="H3" s="23"/>
      <c r="I3" s="23">
        <v>3</v>
      </c>
      <c r="J3" s="23">
        <v>3</v>
      </c>
      <c r="K3" s="23" t="s">
        <v>103</v>
      </c>
      <c r="L3" s="24" t="s">
        <v>40</v>
      </c>
      <c r="M3" s="24" t="s">
        <v>50</v>
      </c>
      <c r="N3" s="24" t="s">
        <v>33</v>
      </c>
      <c r="O3" s="24" t="s">
        <v>33</v>
      </c>
      <c r="P3" s="24">
        <v>50</v>
      </c>
      <c r="Q3" s="65">
        <v>1.5</v>
      </c>
      <c r="R3" s="24">
        <v>0</v>
      </c>
      <c r="S3" s="24">
        <v>1.5</v>
      </c>
    </row>
    <row r="4" spans="1:19" ht="14.4" x14ac:dyDescent="0.3">
      <c r="A4" s="23" t="s">
        <v>212</v>
      </c>
      <c r="B4" s="23" t="s">
        <v>213</v>
      </c>
      <c r="C4" s="23">
        <v>6</v>
      </c>
      <c r="D4" s="23"/>
      <c r="E4" s="23"/>
      <c r="F4" s="23"/>
      <c r="G4" s="23"/>
      <c r="H4" s="23">
        <v>1</v>
      </c>
      <c r="I4" s="23"/>
      <c r="J4" s="23">
        <v>1</v>
      </c>
      <c r="K4" s="23" t="s">
        <v>141</v>
      </c>
      <c r="L4" s="24" t="s">
        <v>40</v>
      </c>
      <c r="M4" s="24" t="s">
        <v>50</v>
      </c>
      <c r="N4" s="24" t="s">
        <v>33</v>
      </c>
      <c r="O4" s="24" t="s">
        <v>33</v>
      </c>
      <c r="P4" s="24">
        <v>50</v>
      </c>
      <c r="Q4" s="65">
        <v>0.5</v>
      </c>
      <c r="R4" s="24">
        <v>0</v>
      </c>
      <c r="S4" s="24">
        <v>0.5</v>
      </c>
    </row>
    <row r="5" spans="1:19" ht="14.4" x14ac:dyDescent="0.3">
      <c r="A5" s="23" t="s">
        <v>228</v>
      </c>
      <c r="B5" s="23" t="s">
        <v>229</v>
      </c>
      <c r="C5" s="23">
        <v>6</v>
      </c>
      <c r="D5" s="23"/>
      <c r="E5" s="23"/>
      <c r="F5" s="23">
        <v>1</v>
      </c>
      <c r="G5" s="23"/>
      <c r="H5" s="23"/>
      <c r="I5" s="23">
        <v>1</v>
      </c>
      <c r="J5" s="23">
        <v>2</v>
      </c>
      <c r="K5" s="23" t="s">
        <v>64</v>
      </c>
      <c r="L5" s="24" t="s">
        <v>40</v>
      </c>
      <c r="M5" s="24" t="s">
        <v>79</v>
      </c>
      <c r="N5" s="24" t="s">
        <v>33</v>
      </c>
      <c r="O5" s="24" t="s">
        <v>33</v>
      </c>
      <c r="P5" s="24">
        <v>70</v>
      </c>
      <c r="Q5" s="65">
        <v>0.6</v>
      </c>
      <c r="R5" s="24">
        <v>0</v>
      </c>
      <c r="S5" s="24">
        <v>1.4</v>
      </c>
    </row>
    <row r="6" spans="1:19" ht="14.4" x14ac:dyDescent="0.3">
      <c r="A6" s="23" t="s">
        <v>208</v>
      </c>
      <c r="B6" s="23" t="s">
        <v>209</v>
      </c>
      <c r="C6" s="23" t="s">
        <v>186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86</v>
      </c>
      <c r="L6" s="24" t="s">
        <v>40</v>
      </c>
      <c r="M6" s="24" t="s">
        <v>54</v>
      </c>
      <c r="N6" s="24" t="s">
        <v>33</v>
      </c>
      <c r="O6" s="24" t="s">
        <v>33</v>
      </c>
      <c r="P6" s="24">
        <v>90</v>
      </c>
      <c r="Q6" s="65">
        <v>0.1</v>
      </c>
      <c r="R6" s="24">
        <v>0</v>
      </c>
      <c r="S6" s="24">
        <v>0.9</v>
      </c>
    </row>
    <row r="7" spans="1:19" ht="14.4" x14ac:dyDescent="0.3">
      <c r="A7" s="23" t="s">
        <v>220</v>
      </c>
      <c r="B7" s="23" t="s">
        <v>221</v>
      </c>
      <c r="C7" s="23" t="s">
        <v>186</v>
      </c>
      <c r="D7" s="23"/>
      <c r="E7" s="23">
        <v>1</v>
      </c>
      <c r="F7" s="23"/>
      <c r="G7" s="23"/>
      <c r="H7" s="23"/>
      <c r="I7" s="23"/>
      <c r="J7" s="23">
        <v>1</v>
      </c>
      <c r="K7" s="23" t="s">
        <v>86</v>
      </c>
      <c r="L7" s="24" t="s">
        <v>40</v>
      </c>
      <c r="M7" s="24" t="s">
        <v>50</v>
      </c>
      <c r="N7" s="24" t="s">
        <v>33</v>
      </c>
      <c r="O7" s="24" t="s">
        <v>33</v>
      </c>
      <c r="P7" s="24">
        <v>50</v>
      </c>
      <c r="Q7" s="65">
        <v>0.5</v>
      </c>
      <c r="R7" s="24">
        <v>0</v>
      </c>
      <c r="S7" s="24">
        <v>0.5</v>
      </c>
    </row>
    <row r="8" spans="1:19" ht="14.4" x14ac:dyDescent="0.3">
      <c r="A8" s="23" t="s">
        <v>226</v>
      </c>
      <c r="B8" s="23" t="s">
        <v>227</v>
      </c>
      <c r="C8" s="23" t="s">
        <v>186</v>
      </c>
      <c r="D8" s="23"/>
      <c r="E8" s="23"/>
      <c r="F8" s="23">
        <v>2</v>
      </c>
      <c r="G8" s="23"/>
      <c r="H8" s="23"/>
      <c r="I8" s="23"/>
      <c r="J8" s="23">
        <v>2</v>
      </c>
      <c r="K8" s="23" t="s">
        <v>103</v>
      </c>
      <c r="L8" s="24" t="s">
        <v>40</v>
      </c>
      <c r="M8" s="24" t="s">
        <v>79</v>
      </c>
      <c r="N8" s="24" t="s">
        <v>33</v>
      </c>
      <c r="O8" s="24" t="s">
        <v>33</v>
      </c>
      <c r="P8" s="24">
        <v>70</v>
      </c>
      <c r="Q8" s="65">
        <v>0.6</v>
      </c>
      <c r="R8" s="24">
        <v>0</v>
      </c>
      <c r="S8" s="24">
        <v>1.4</v>
      </c>
    </row>
    <row r="9" spans="1:19" ht="14.4" x14ac:dyDescent="0.3">
      <c r="A9" s="23" t="s">
        <v>224</v>
      </c>
      <c r="B9" s="23" t="s">
        <v>225</v>
      </c>
      <c r="C9" s="23" t="s">
        <v>186</v>
      </c>
      <c r="D9" s="23"/>
      <c r="E9" s="23">
        <v>1</v>
      </c>
      <c r="F9" s="23"/>
      <c r="G9" s="23"/>
      <c r="H9" s="23"/>
      <c r="I9" s="23"/>
      <c r="J9" s="23">
        <v>1</v>
      </c>
      <c r="K9" s="23" t="s">
        <v>86</v>
      </c>
      <c r="L9" s="24" t="s">
        <v>40</v>
      </c>
      <c r="M9" s="24" t="s">
        <v>50</v>
      </c>
      <c r="N9" s="24" t="s">
        <v>33</v>
      </c>
      <c r="O9" s="24" t="s">
        <v>33</v>
      </c>
      <c r="P9" s="24">
        <v>50</v>
      </c>
      <c r="Q9" s="65">
        <v>0.5</v>
      </c>
      <c r="R9" s="24">
        <v>0</v>
      </c>
      <c r="S9" s="24">
        <v>0.5</v>
      </c>
    </row>
    <row r="10" spans="1:19" ht="14.4" x14ac:dyDescent="0.3">
      <c r="A10" s="23" t="s">
        <v>198</v>
      </c>
      <c r="B10" s="23" t="s">
        <v>199</v>
      </c>
      <c r="C10" s="23" t="s">
        <v>186</v>
      </c>
      <c r="D10" s="23">
        <v>1</v>
      </c>
      <c r="E10" s="23"/>
      <c r="F10" s="23">
        <v>1</v>
      </c>
      <c r="G10" s="23"/>
      <c r="H10" s="23"/>
      <c r="I10" s="23"/>
      <c r="J10" s="23">
        <v>2</v>
      </c>
      <c r="K10" s="23" t="s">
        <v>64</v>
      </c>
      <c r="L10" s="24" t="s">
        <v>40</v>
      </c>
      <c r="M10" s="24" t="s">
        <v>50</v>
      </c>
      <c r="N10" s="24" t="s">
        <v>33</v>
      </c>
      <c r="O10" s="24" t="s">
        <v>33</v>
      </c>
      <c r="P10" s="24">
        <v>50</v>
      </c>
      <c r="Q10" s="65">
        <v>1</v>
      </c>
      <c r="R10" s="24">
        <v>0</v>
      </c>
      <c r="S10" s="24">
        <v>1</v>
      </c>
    </row>
    <row r="11" spans="1:19" ht="14.4" x14ac:dyDescent="0.3">
      <c r="A11" s="23" t="s">
        <v>192</v>
      </c>
      <c r="B11" s="23" t="s">
        <v>193</v>
      </c>
      <c r="C11" s="23" t="s">
        <v>186</v>
      </c>
      <c r="D11" s="23"/>
      <c r="E11" s="23"/>
      <c r="F11" s="23"/>
      <c r="G11" s="23">
        <v>1</v>
      </c>
      <c r="H11" s="23"/>
      <c r="I11" s="23"/>
      <c r="J11" s="23">
        <v>1</v>
      </c>
      <c r="K11" s="23" t="s">
        <v>141</v>
      </c>
      <c r="L11" s="24" t="s">
        <v>40</v>
      </c>
      <c r="M11" s="24" t="s">
        <v>50</v>
      </c>
      <c r="N11" s="24" t="s">
        <v>33</v>
      </c>
      <c r="O11" s="24" t="s">
        <v>33</v>
      </c>
      <c r="P11" s="24">
        <v>50</v>
      </c>
      <c r="Q11" s="65">
        <v>0.5</v>
      </c>
      <c r="R11" s="24">
        <v>0</v>
      </c>
      <c r="S11" s="24">
        <v>0.5</v>
      </c>
    </row>
    <row r="12" spans="1:19" ht="14.4" x14ac:dyDescent="0.3">
      <c r="A12" s="23" t="s">
        <v>230</v>
      </c>
      <c r="B12" s="23" t="s">
        <v>231</v>
      </c>
      <c r="C12" s="23" t="s">
        <v>186</v>
      </c>
      <c r="D12" s="23">
        <v>1</v>
      </c>
      <c r="E12" s="23"/>
      <c r="F12" s="23"/>
      <c r="G12" s="23"/>
      <c r="H12" s="23"/>
      <c r="I12" s="23"/>
      <c r="J12" s="23">
        <v>1</v>
      </c>
      <c r="K12" s="23" t="s">
        <v>86</v>
      </c>
      <c r="L12" s="24" t="s">
        <v>40</v>
      </c>
      <c r="M12" s="24" t="s">
        <v>50</v>
      </c>
      <c r="N12" s="24" t="s">
        <v>33</v>
      </c>
      <c r="O12" s="24" t="s">
        <v>33</v>
      </c>
      <c r="P12" s="24">
        <v>50</v>
      </c>
      <c r="Q12" s="65">
        <v>0.5</v>
      </c>
      <c r="R12" s="24">
        <v>0</v>
      </c>
      <c r="S12" s="24">
        <v>0.5</v>
      </c>
    </row>
    <row r="13" spans="1:19" ht="14.4" x14ac:dyDescent="0.3">
      <c r="A13" s="23" t="s">
        <v>243</v>
      </c>
      <c r="B13" s="23" t="s">
        <v>244</v>
      </c>
      <c r="C13" s="23" t="s">
        <v>186</v>
      </c>
      <c r="D13" s="23"/>
      <c r="E13" s="23"/>
      <c r="F13" s="23"/>
      <c r="G13" s="23">
        <v>1</v>
      </c>
      <c r="H13" s="23"/>
      <c r="I13" s="23"/>
      <c r="J13" s="23">
        <v>1</v>
      </c>
      <c r="K13" s="23" t="s">
        <v>64</v>
      </c>
      <c r="L13" s="24" t="s">
        <v>40</v>
      </c>
      <c r="M13" s="24" t="s">
        <v>50</v>
      </c>
      <c r="N13" s="24" t="s">
        <v>33</v>
      </c>
      <c r="O13" s="24" t="s">
        <v>33</v>
      </c>
      <c r="P13" s="24">
        <v>50</v>
      </c>
      <c r="Q13" s="65">
        <v>0.5</v>
      </c>
      <c r="R13" s="24">
        <v>0</v>
      </c>
      <c r="S13" s="24">
        <v>0.5</v>
      </c>
    </row>
    <row r="14" spans="1:19" ht="14.4" x14ac:dyDescent="0.3">
      <c r="A14" s="23" t="s">
        <v>238</v>
      </c>
      <c r="B14" s="23" t="s">
        <v>239</v>
      </c>
      <c r="C14" s="23" t="s">
        <v>186</v>
      </c>
      <c r="D14" s="23"/>
      <c r="E14" s="23"/>
      <c r="F14" s="23"/>
      <c r="G14" s="23"/>
      <c r="H14" s="23">
        <v>1</v>
      </c>
      <c r="I14" s="23"/>
      <c r="J14" s="23">
        <v>1</v>
      </c>
      <c r="K14" s="23" t="s">
        <v>86</v>
      </c>
      <c r="L14" s="24" t="s">
        <v>40</v>
      </c>
      <c r="M14" s="24" t="s">
        <v>50</v>
      </c>
      <c r="N14" s="24" t="s">
        <v>33</v>
      </c>
      <c r="O14" s="24" t="s">
        <v>33</v>
      </c>
      <c r="P14" s="24">
        <v>50</v>
      </c>
      <c r="Q14" s="65">
        <v>0.5</v>
      </c>
      <c r="R14" s="24">
        <v>0</v>
      </c>
      <c r="S14" s="24">
        <v>0.5</v>
      </c>
    </row>
    <row r="15" spans="1:19" ht="14.4" x14ac:dyDescent="0.3">
      <c r="A15" s="23" t="s">
        <v>236</v>
      </c>
      <c r="B15" s="23" t="s">
        <v>237</v>
      </c>
      <c r="C15" s="45" t="s">
        <v>186</v>
      </c>
      <c r="D15" s="23">
        <v>1</v>
      </c>
      <c r="E15" s="23"/>
      <c r="F15" s="23">
        <v>1</v>
      </c>
      <c r="G15" s="23"/>
      <c r="H15" s="23"/>
      <c r="I15" s="23"/>
      <c r="J15" s="23">
        <v>2</v>
      </c>
      <c r="K15" s="23" t="s">
        <v>141</v>
      </c>
      <c r="L15" s="24" t="s">
        <v>40</v>
      </c>
      <c r="M15" s="24" t="s">
        <v>50</v>
      </c>
      <c r="N15" s="24" t="s">
        <v>33</v>
      </c>
      <c r="O15" s="24" t="s">
        <v>33</v>
      </c>
      <c r="P15" s="24">
        <v>50</v>
      </c>
      <c r="Q15" s="65">
        <v>1</v>
      </c>
      <c r="R15" s="24">
        <v>0</v>
      </c>
      <c r="S15" s="24">
        <v>1</v>
      </c>
    </row>
    <row r="16" spans="1:19" ht="14.4" x14ac:dyDescent="0.3">
      <c r="A16" s="23" t="s">
        <v>200</v>
      </c>
      <c r="B16" s="23" t="s">
        <v>201</v>
      </c>
      <c r="C16" s="23">
        <v>6</v>
      </c>
      <c r="D16" s="23"/>
      <c r="E16" s="23"/>
      <c r="F16" s="23">
        <v>1</v>
      </c>
      <c r="G16" s="23"/>
      <c r="H16" s="23"/>
      <c r="I16" s="23"/>
      <c r="J16" s="23">
        <v>1</v>
      </c>
      <c r="K16" s="23" t="s">
        <v>103</v>
      </c>
      <c r="L16" s="24" t="s">
        <v>40</v>
      </c>
      <c r="M16" s="24" t="s">
        <v>80</v>
      </c>
      <c r="N16" s="24" t="s">
        <v>33</v>
      </c>
      <c r="O16" s="24" t="s">
        <v>33</v>
      </c>
      <c r="P16" s="24">
        <v>30</v>
      </c>
      <c r="Q16" s="65">
        <v>0.7</v>
      </c>
      <c r="R16" s="24">
        <v>0</v>
      </c>
      <c r="S16" s="24">
        <v>0.3</v>
      </c>
    </row>
    <row r="17" spans="1:19" ht="14.4" x14ac:dyDescent="0.3">
      <c r="A17" s="23" t="s">
        <v>204</v>
      </c>
      <c r="B17" s="23" t="s">
        <v>205</v>
      </c>
      <c r="C17" s="23" t="s">
        <v>186</v>
      </c>
      <c r="D17" s="23">
        <v>1</v>
      </c>
      <c r="E17" s="23"/>
      <c r="F17" s="23"/>
      <c r="G17" s="23"/>
      <c r="H17" s="23"/>
      <c r="I17" s="23"/>
      <c r="J17" s="23">
        <v>1</v>
      </c>
      <c r="K17" s="23" t="s">
        <v>86</v>
      </c>
      <c r="L17" s="24" t="s">
        <v>40</v>
      </c>
      <c r="M17" s="24" t="s">
        <v>54</v>
      </c>
      <c r="N17" s="24" t="s">
        <v>33</v>
      </c>
      <c r="O17" s="24" t="s">
        <v>33</v>
      </c>
      <c r="P17" s="24">
        <v>90</v>
      </c>
      <c r="Q17" s="65">
        <v>0.1</v>
      </c>
      <c r="R17" s="24">
        <v>0</v>
      </c>
      <c r="S17" s="24">
        <v>0.9</v>
      </c>
    </row>
    <row r="18" spans="1:19" ht="14.4" x14ac:dyDescent="0.3">
      <c r="A18" s="23" t="s">
        <v>216</v>
      </c>
      <c r="B18" s="23" t="s">
        <v>217</v>
      </c>
      <c r="C18" s="23">
        <v>6</v>
      </c>
      <c r="D18" s="23"/>
      <c r="E18" s="23"/>
      <c r="F18" s="23">
        <v>1</v>
      </c>
      <c r="G18" s="23"/>
      <c r="H18" s="23">
        <v>1</v>
      </c>
      <c r="I18" s="23"/>
      <c r="J18" s="23">
        <v>2</v>
      </c>
      <c r="K18" s="23" t="s">
        <v>141</v>
      </c>
      <c r="L18" s="24" t="s">
        <v>40</v>
      </c>
      <c r="M18" s="24" t="s">
        <v>142</v>
      </c>
      <c r="N18" s="24" t="s">
        <v>33</v>
      </c>
      <c r="O18" s="24" t="s">
        <v>33</v>
      </c>
      <c r="P18" s="24">
        <v>15</v>
      </c>
      <c r="Q18" s="65">
        <v>1.7</v>
      </c>
      <c r="R18" s="24">
        <v>0</v>
      </c>
      <c r="S18" s="24">
        <v>0.3</v>
      </c>
    </row>
    <row r="19" spans="1:19" ht="14.4" x14ac:dyDescent="0.3">
      <c r="A19" s="23" t="s">
        <v>222</v>
      </c>
      <c r="B19" s="23" t="s">
        <v>223</v>
      </c>
      <c r="C19" s="23" t="s">
        <v>186</v>
      </c>
      <c r="D19" s="23"/>
      <c r="E19" s="23"/>
      <c r="F19" s="23"/>
      <c r="G19" s="23"/>
      <c r="H19" s="23">
        <v>1</v>
      </c>
      <c r="I19" s="23"/>
      <c r="J19" s="23">
        <v>1</v>
      </c>
      <c r="K19" s="23" t="s">
        <v>64</v>
      </c>
      <c r="L19" s="24" t="s">
        <v>40</v>
      </c>
      <c r="M19" s="24" t="s">
        <v>79</v>
      </c>
      <c r="N19" s="24" t="s">
        <v>33</v>
      </c>
      <c r="O19" s="24" t="s">
        <v>33</v>
      </c>
      <c r="P19" s="24">
        <v>70</v>
      </c>
      <c r="Q19" s="65">
        <v>0.3</v>
      </c>
      <c r="R19" s="24">
        <v>0</v>
      </c>
      <c r="S19" s="24">
        <v>0.7</v>
      </c>
    </row>
    <row r="20" spans="1:19" ht="14.4" x14ac:dyDescent="0.3">
      <c r="A20" s="23" t="s">
        <v>245</v>
      </c>
      <c r="B20" s="23" t="s">
        <v>246</v>
      </c>
      <c r="C20" s="23" t="s">
        <v>186</v>
      </c>
      <c r="D20" s="23"/>
      <c r="E20" s="23"/>
      <c r="F20" s="23"/>
      <c r="G20" s="23"/>
      <c r="H20" s="23"/>
      <c r="I20" s="23">
        <v>1</v>
      </c>
      <c r="J20" s="23">
        <v>1</v>
      </c>
      <c r="K20" s="23" t="s">
        <v>60</v>
      </c>
      <c r="L20" s="24" t="s">
        <v>40</v>
      </c>
      <c r="M20" s="24" t="s">
        <v>50</v>
      </c>
      <c r="N20" s="24" t="s">
        <v>33</v>
      </c>
      <c r="O20" s="24" t="s">
        <v>33</v>
      </c>
      <c r="P20" s="24">
        <v>50</v>
      </c>
      <c r="Q20" s="65">
        <v>0.5</v>
      </c>
      <c r="R20" s="24">
        <v>0</v>
      </c>
      <c r="S20" s="24">
        <v>0.5</v>
      </c>
    </row>
    <row r="21" spans="1:19" ht="14.4" x14ac:dyDescent="0.3">
      <c r="A21" s="23" t="s">
        <v>232</v>
      </c>
      <c r="B21" s="23" t="s">
        <v>233</v>
      </c>
      <c r="C21" s="23" t="s">
        <v>186</v>
      </c>
      <c r="D21" s="23"/>
      <c r="E21" s="23">
        <v>1</v>
      </c>
      <c r="F21" s="23"/>
      <c r="G21" s="23"/>
      <c r="H21" s="23"/>
      <c r="I21" s="23"/>
      <c r="J21" s="23">
        <v>1</v>
      </c>
      <c r="K21" s="23" t="s">
        <v>141</v>
      </c>
      <c r="L21" s="24" t="s">
        <v>40</v>
      </c>
      <c r="M21" s="24" t="s">
        <v>142</v>
      </c>
      <c r="N21" s="24" t="s">
        <v>33</v>
      </c>
      <c r="O21" s="24" t="s">
        <v>33</v>
      </c>
      <c r="P21" s="24">
        <v>15</v>
      </c>
      <c r="Q21" s="65">
        <v>0.85</v>
      </c>
      <c r="R21" s="24">
        <v>0</v>
      </c>
      <c r="S21" s="24">
        <v>0.15</v>
      </c>
    </row>
    <row r="22" spans="1:19" ht="14.4" x14ac:dyDescent="0.3">
      <c r="A22" s="23" t="s">
        <v>240</v>
      </c>
      <c r="B22" s="23" t="s">
        <v>241</v>
      </c>
      <c r="C22" s="23" t="s">
        <v>186</v>
      </c>
      <c r="D22" s="23"/>
      <c r="E22" s="23"/>
      <c r="F22" s="23">
        <v>1</v>
      </c>
      <c r="G22" s="23"/>
      <c r="H22" s="23"/>
      <c r="I22" s="23"/>
      <c r="J22" s="23">
        <v>1</v>
      </c>
      <c r="K22" s="23" t="s">
        <v>242</v>
      </c>
      <c r="L22" s="24" t="s">
        <v>40</v>
      </c>
      <c r="M22" s="24" t="s">
        <v>79</v>
      </c>
      <c r="N22" s="24" t="s">
        <v>33</v>
      </c>
      <c r="O22" s="24" t="s">
        <v>33</v>
      </c>
      <c r="P22" s="24">
        <v>70</v>
      </c>
      <c r="Q22" s="65">
        <v>0.3</v>
      </c>
      <c r="R22" s="24">
        <v>0</v>
      </c>
      <c r="S22" s="24">
        <v>0.7</v>
      </c>
    </row>
    <row r="23" spans="1:19" ht="14.4" x14ac:dyDescent="0.3">
      <c r="A23" s="23" t="s">
        <v>196</v>
      </c>
      <c r="B23" s="23" t="s">
        <v>197</v>
      </c>
      <c r="C23" s="23" t="s">
        <v>186</v>
      </c>
      <c r="D23" s="23"/>
      <c r="E23" s="23"/>
      <c r="F23" s="23">
        <v>1</v>
      </c>
      <c r="G23" s="23"/>
      <c r="H23" s="23">
        <v>1</v>
      </c>
      <c r="I23" s="23"/>
      <c r="J23" s="23">
        <v>2</v>
      </c>
      <c r="K23" s="23" t="s">
        <v>103</v>
      </c>
      <c r="L23" s="24" t="s">
        <v>40</v>
      </c>
      <c r="M23" s="24" t="s">
        <v>79</v>
      </c>
      <c r="N23" s="24" t="s">
        <v>33</v>
      </c>
      <c r="O23" s="24" t="s">
        <v>33</v>
      </c>
      <c r="P23" s="24">
        <v>70</v>
      </c>
      <c r="Q23" s="65">
        <v>0.6</v>
      </c>
      <c r="R23" s="24">
        <v>0</v>
      </c>
      <c r="S23" s="24">
        <v>1.4</v>
      </c>
    </row>
    <row r="24" spans="1:19" ht="14.4" x14ac:dyDescent="0.3">
      <c r="A24" s="23" t="s">
        <v>202</v>
      </c>
      <c r="B24" s="23" t="s">
        <v>203</v>
      </c>
      <c r="C24" s="23" t="s">
        <v>186</v>
      </c>
      <c r="D24" s="23"/>
      <c r="E24" s="23">
        <v>1</v>
      </c>
      <c r="F24" s="23"/>
      <c r="G24" s="23"/>
      <c r="H24" s="23"/>
      <c r="I24" s="23"/>
      <c r="J24" s="23">
        <v>1</v>
      </c>
      <c r="K24" s="23" t="s">
        <v>103</v>
      </c>
      <c r="L24" s="24" t="s">
        <v>40</v>
      </c>
      <c r="M24" s="24" t="s">
        <v>51</v>
      </c>
      <c r="N24" s="24" t="s">
        <v>33</v>
      </c>
      <c r="O24" s="24" t="s">
        <v>33</v>
      </c>
      <c r="P24" s="24">
        <v>80</v>
      </c>
      <c r="Q24" s="65">
        <v>0.2</v>
      </c>
      <c r="R24" s="24">
        <v>0</v>
      </c>
      <c r="S24" s="24">
        <v>0.8</v>
      </c>
    </row>
    <row r="25" spans="1:19" ht="14.4" x14ac:dyDescent="0.3">
      <c r="A25" s="23" t="s">
        <v>214</v>
      </c>
      <c r="B25" s="23" t="s">
        <v>215</v>
      </c>
      <c r="C25" s="23">
        <v>6</v>
      </c>
      <c r="D25" s="23"/>
      <c r="E25" s="23"/>
      <c r="F25" s="23">
        <v>1</v>
      </c>
      <c r="G25" s="23"/>
      <c r="H25" s="23"/>
      <c r="I25" s="23">
        <v>1</v>
      </c>
      <c r="J25" s="23">
        <v>2</v>
      </c>
      <c r="K25" s="23" t="s">
        <v>103</v>
      </c>
      <c r="L25" s="24" t="s">
        <v>40</v>
      </c>
      <c r="M25" s="24" t="s">
        <v>50</v>
      </c>
      <c r="N25" s="24" t="s">
        <v>33</v>
      </c>
      <c r="O25" s="24" t="s">
        <v>33</v>
      </c>
      <c r="P25" s="24">
        <v>50</v>
      </c>
      <c r="Q25" s="65">
        <v>1</v>
      </c>
      <c r="R25" s="24">
        <v>0</v>
      </c>
      <c r="S25" s="24">
        <v>1</v>
      </c>
    </row>
    <row r="26" spans="1:19" ht="14.4" x14ac:dyDescent="0.3">
      <c r="A26" s="23" t="s">
        <v>234</v>
      </c>
      <c r="B26" s="23" t="s">
        <v>235</v>
      </c>
      <c r="C26" s="23" t="s">
        <v>186</v>
      </c>
      <c r="D26" s="23"/>
      <c r="E26" s="23">
        <v>1</v>
      </c>
      <c r="F26" s="23"/>
      <c r="G26" s="23"/>
      <c r="H26" s="23"/>
      <c r="I26" s="23"/>
      <c r="J26" s="23">
        <v>1</v>
      </c>
      <c r="K26" s="23" t="s">
        <v>86</v>
      </c>
      <c r="L26" s="24" t="s">
        <v>40</v>
      </c>
      <c r="M26" s="24" t="s">
        <v>50</v>
      </c>
      <c r="N26" s="24" t="s">
        <v>33</v>
      </c>
      <c r="O26" s="24" t="s">
        <v>33</v>
      </c>
      <c r="P26" s="24">
        <v>50</v>
      </c>
      <c r="Q26" s="65">
        <v>0.5</v>
      </c>
      <c r="R26" s="24">
        <v>0</v>
      </c>
      <c r="S26" s="24">
        <v>0.5</v>
      </c>
    </row>
    <row r="27" spans="1:19" ht="14.4" x14ac:dyDescent="0.3">
      <c r="A27" s="23" t="s">
        <v>304</v>
      </c>
      <c r="B27" s="23" t="s">
        <v>305</v>
      </c>
      <c r="C27" s="23" t="s">
        <v>187</v>
      </c>
      <c r="D27" s="23"/>
      <c r="E27" s="23"/>
      <c r="F27" s="23"/>
      <c r="G27" s="23"/>
      <c r="H27" s="23"/>
      <c r="I27" s="23">
        <v>2</v>
      </c>
      <c r="J27" s="23">
        <v>2</v>
      </c>
      <c r="K27" s="23" t="s">
        <v>297</v>
      </c>
      <c r="L27" s="24" t="s">
        <v>40</v>
      </c>
      <c r="M27" s="24" t="s">
        <v>50</v>
      </c>
      <c r="N27" s="24" t="s">
        <v>33</v>
      </c>
      <c r="O27" s="24" t="s">
        <v>33</v>
      </c>
      <c r="P27" s="24">
        <v>50</v>
      </c>
      <c r="Q27" s="65">
        <v>1</v>
      </c>
      <c r="R27" s="24">
        <v>0</v>
      </c>
      <c r="S27" s="24">
        <v>1</v>
      </c>
    </row>
    <row r="28" spans="1:19" ht="14.4" x14ac:dyDescent="0.3">
      <c r="A28" s="23" t="s">
        <v>218</v>
      </c>
      <c r="B28" s="23" t="s">
        <v>219</v>
      </c>
      <c r="C28" s="23" t="s">
        <v>186</v>
      </c>
      <c r="D28" s="23"/>
      <c r="E28" s="23">
        <v>2</v>
      </c>
      <c r="F28" s="23"/>
      <c r="G28" s="23">
        <v>1</v>
      </c>
      <c r="H28" s="23"/>
      <c r="I28" s="23"/>
      <c r="J28" s="23">
        <v>3</v>
      </c>
      <c r="K28" s="23" t="s">
        <v>86</v>
      </c>
      <c r="L28" s="24" t="s">
        <v>40</v>
      </c>
      <c r="M28" s="24" t="s">
        <v>51</v>
      </c>
      <c r="N28" s="24" t="s">
        <v>33</v>
      </c>
      <c r="O28" s="24" t="s">
        <v>33</v>
      </c>
      <c r="P28" s="24">
        <v>80</v>
      </c>
      <c r="Q28" s="65">
        <v>0.6</v>
      </c>
      <c r="R28" s="24">
        <v>0</v>
      </c>
      <c r="S28" s="24">
        <v>2.4</v>
      </c>
    </row>
    <row r="29" spans="1:19" ht="14.4" x14ac:dyDescent="0.3">
      <c r="A29" s="23" t="s">
        <v>373</v>
      </c>
      <c r="B29" s="23" t="s">
        <v>374</v>
      </c>
      <c r="C29" s="23" t="s">
        <v>187</v>
      </c>
      <c r="D29" s="23"/>
      <c r="E29" s="23"/>
      <c r="F29" s="23"/>
      <c r="G29" s="23"/>
      <c r="H29" s="23"/>
      <c r="I29" s="23">
        <v>2</v>
      </c>
      <c r="J29" s="23">
        <v>2</v>
      </c>
      <c r="K29" s="23" t="s">
        <v>103</v>
      </c>
      <c r="L29" s="24" t="s">
        <v>40</v>
      </c>
      <c r="M29" s="24" t="s">
        <v>50</v>
      </c>
      <c r="N29" s="24" t="s">
        <v>33</v>
      </c>
      <c r="O29" s="24" t="s">
        <v>33</v>
      </c>
      <c r="P29" s="24">
        <v>50</v>
      </c>
      <c r="Q29" s="65">
        <v>1</v>
      </c>
      <c r="R29" s="24">
        <v>0</v>
      </c>
      <c r="S29" s="24">
        <v>1</v>
      </c>
    </row>
    <row r="30" spans="1:19" ht="14.4" x14ac:dyDescent="0.3">
      <c r="A30" s="23" t="s">
        <v>249</v>
      </c>
      <c r="B30" s="23" t="s">
        <v>250</v>
      </c>
      <c r="C30" s="23" t="s">
        <v>186</v>
      </c>
      <c r="D30" s="23"/>
      <c r="E30" s="23"/>
      <c r="F30" s="23">
        <v>2</v>
      </c>
      <c r="G30" s="23"/>
      <c r="H30" s="23"/>
      <c r="I30" s="23">
        <v>1</v>
      </c>
      <c r="J30" s="23">
        <v>3</v>
      </c>
      <c r="K30" s="23" t="s">
        <v>64</v>
      </c>
      <c r="L30" s="24" t="s">
        <v>40</v>
      </c>
      <c r="M30" s="24" t="s">
        <v>54</v>
      </c>
      <c r="N30" s="24" t="s">
        <v>431</v>
      </c>
      <c r="O30" s="24" t="s">
        <v>54</v>
      </c>
      <c r="P30" s="24">
        <v>80</v>
      </c>
      <c r="Q30" s="65">
        <v>0.3</v>
      </c>
      <c r="R30" s="24">
        <v>0.3</v>
      </c>
      <c r="S30" s="24">
        <v>2.4</v>
      </c>
    </row>
    <row r="31" spans="1:19" ht="14.4" x14ac:dyDescent="0.3">
      <c r="A31" s="23" t="s">
        <v>247</v>
      </c>
      <c r="B31" s="23" t="s">
        <v>248</v>
      </c>
      <c r="C31" s="23" t="s">
        <v>186</v>
      </c>
      <c r="D31" s="23">
        <v>2</v>
      </c>
      <c r="E31" s="23"/>
      <c r="F31" s="23">
        <v>1</v>
      </c>
      <c r="G31" s="23"/>
      <c r="H31" s="23"/>
      <c r="I31" s="23"/>
      <c r="J31" s="23">
        <v>3</v>
      </c>
      <c r="K31" s="23" t="s">
        <v>60</v>
      </c>
      <c r="L31" s="24" t="s">
        <v>40</v>
      </c>
      <c r="M31" s="24" t="s">
        <v>79</v>
      </c>
      <c r="N31" s="24" t="s">
        <v>33</v>
      </c>
      <c r="O31" s="24" t="s">
        <v>33</v>
      </c>
      <c r="P31" s="24">
        <v>70</v>
      </c>
      <c r="Q31" s="65">
        <v>0.9</v>
      </c>
      <c r="R31" s="24">
        <v>0</v>
      </c>
      <c r="S31" s="24">
        <v>2.1</v>
      </c>
    </row>
    <row r="32" spans="1:19" ht="14.4" x14ac:dyDescent="0.3">
      <c r="A32" s="23" t="s">
        <v>306</v>
      </c>
      <c r="B32" s="23" t="s">
        <v>307</v>
      </c>
      <c r="C32" s="23" t="s">
        <v>187</v>
      </c>
      <c r="D32" s="23"/>
      <c r="E32" s="23"/>
      <c r="F32" s="23"/>
      <c r="G32" s="23"/>
      <c r="H32" s="23"/>
      <c r="I32" s="23">
        <v>2</v>
      </c>
      <c r="J32" s="23">
        <v>2</v>
      </c>
      <c r="K32" s="23" t="s">
        <v>103</v>
      </c>
      <c r="L32" s="24" t="s">
        <v>40</v>
      </c>
      <c r="M32" s="24" t="s">
        <v>50</v>
      </c>
      <c r="N32" s="24" t="s">
        <v>33</v>
      </c>
      <c r="O32" s="24" t="s">
        <v>33</v>
      </c>
      <c r="P32" s="24">
        <v>50</v>
      </c>
      <c r="Q32" s="65">
        <v>1</v>
      </c>
      <c r="R32" s="24">
        <v>0</v>
      </c>
      <c r="S32" s="24">
        <v>1</v>
      </c>
    </row>
    <row r="33" spans="1:19" ht="14.4" x14ac:dyDescent="0.3">
      <c r="A33" s="23" t="s">
        <v>194</v>
      </c>
      <c r="B33" s="23" t="s">
        <v>195</v>
      </c>
      <c r="C33" s="23" t="s">
        <v>186</v>
      </c>
      <c r="D33" s="23"/>
      <c r="E33" s="23"/>
      <c r="F33" s="23">
        <v>3</v>
      </c>
      <c r="G33" s="23"/>
      <c r="H33" s="23"/>
      <c r="I33" s="23"/>
      <c r="J33" s="23">
        <v>3</v>
      </c>
      <c r="K33" s="23" t="s">
        <v>103</v>
      </c>
      <c r="L33" s="24" t="s">
        <v>40</v>
      </c>
      <c r="M33" s="24" t="s">
        <v>50</v>
      </c>
      <c r="N33" s="24" t="s">
        <v>33</v>
      </c>
      <c r="O33" s="24" t="s">
        <v>33</v>
      </c>
      <c r="P33" s="24">
        <v>50</v>
      </c>
      <c r="Q33" s="65">
        <v>1.5</v>
      </c>
      <c r="R33" s="24">
        <v>0</v>
      </c>
      <c r="S33" s="24">
        <v>1.5</v>
      </c>
    </row>
    <row r="34" spans="1:19" ht="14.4" x14ac:dyDescent="0.3">
      <c r="A34" s="23" t="s">
        <v>206</v>
      </c>
      <c r="B34" s="23" t="s">
        <v>207</v>
      </c>
      <c r="C34" s="23" t="s">
        <v>186</v>
      </c>
      <c r="D34" s="23"/>
      <c r="E34" s="23"/>
      <c r="F34" s="23">
        <v>1</v>
      </c>
      <c r="G34" s="23"/>
      <c r="H34" s="23"/>
      <c r="I34" s="23"/>
      <c r="J34" s="23">
        <v>1</v>
      </c>
      <c r="K34" s="23" t="s">
        <v>86</v>
      </c>
      <c r="L34" s="24" t="s">
        <v>40</v>
      </c>
      <c r="M34" s="24" t="s">
        <v>50</v>
      </c>
      <c r="N34" s="24" t="s">
        <v>33</v>
      </c>
      <c r="O34" s="24" t="s">
        <v>33</v>
      </c>
      <c r="P34" s="24">
        <v>50</v>
      </c>
      <c r="Q34" s="65">
        <v>0.5</v>
      </c>
      <c r="R34" s="24">
        <v>0</v>
      </c>
      <c r="S34" s="24">
        <v>0.5</v>
      </c>
    </row>
    <row r="35" spans="1:19" ht="14.4" x14ac:dyDescent="0.3">
      <c r="A35" s="23" t="s">
        <v>298</v>
      </c>
      <c r="B35" s="23" t="s">
        <v>299</v>
      </c>
      <c r="C35" s="23" t="s">
        <v>187</v>
      </c>
      <c r="D35" s="23"/>
      <c r="E35" s="23"/>
      <c r="F35" s="23"/>
      <c r="G35" s="23"/>
      <c r="H35" s="23"/>
      <c r="I35" s="23">
        <v>2</v>
      </c>
      <c r="J35" s="23">
        <v>2</v>
      </c>
      <c r="K35" s="23" t="s">
        <v>103</v>
      </c>
      <c r="L35" s="24" t="s">
        <v>40</v>
      </c>
      <c r="M35" s="24" t="s">
        <v>50</v>
      </c>
      <c r="N35" s="24" t="s">
        <v>33</v>
      </c>
      <c r="O35" s="24" t="s">
        <v>33</v>
      </c>
      <c r="P35" s="24">
        <v>50</v>
      </c>
      <c r="Q35" s="65">
        <v>1</v>
      </c>
      <c r="R35" s="24">
        <v>0</v>
      </c>
      <c r="S35" s="24">
        <v>1</v>
      </c>
    </row>
    <row r="36" spans="1:19" ht="14.4" x14ac:dyDescent="0.3">
      <c r="A36" s="23" t="s">
        <v>301</v>
      </c>
      <c r="B36" s="23" t="s">
        <v>302</v>
      </c>
      <c r="C36" s="25" t="s">
        <v>303</v>
      </c>
      <c r="D36" s="23"/>
      <c r="E36" s="23"/>
      <c r="F36" s="23"/>
      <c r="G36" s="23"/>
      <c r="H36" s="23"/>
      <c r="I36" s="23">
        <v>1</v>
      </c>
      <c r="J36" s="23">
        <v>1</v>
      </c>
      <c r="K36" s="23" t="s">
        <v>141</v>
      </c>
      <c r="L36" s="24" t="s">
        <v>40</v>
      </c>
      <c r="M36" s="24" t="s">
        <v>50</v>
      </c>
      <c r="N36" s="24" t="s">
        <v>33</v>
      </c>
      <c r="O36" s="24" t="s">
        <v>33</v>
      </c>
      <c r="P36" s="24">
        <v>50</v>
      </c>
      <c r="Q36" s="65">
        <v>0.5</v>
      </c>
      <c r="R36" s="24">
        <v>0</v>
      </c>
      <c r="S36" s="24">
        <v>0.5</v>
      </c>
    </row>
    <row r="37" spans="1:19" customFormat="1" ht="14.4" x14ac:dyDescent="0.3">
      <c r="A37" s="23" t="s">
        <v>188</v>
      </c>
      <c r="B37" s="23" t="s">
        <v>189</v>
      </c>
      <c r="C37" s="23" t="s">
        <v>187</v>
      </c>
      <c r="D37" s="23"/>
      <c r="E37" s="23"/>
      <c r="F37" s="23"/>
      <c r="G37" s="23">
        <v>1</v>
      </c>
      <c r="H37" s="23"/>
      <c r="I37" s="23"/>
      <c r="J37" s="23">
        <v>1</v>
      </c>
      <c r="K37" s="23" t="s">
        <v>60</v>
      </c>
      <c r="L37" s="24" t="s">
        <v>32</v>
      </c>
      <c r="M37" s="24" t="s">
        <v>54</v>
      </c>
      <c r="N37" s="24" t="s">
        <v>40</v>
      </c>
      <c r="O37" s="24" t="s">
        <v>51</v>
      </c>
      <c r="P37" s="24">
        <v>70</v>
      </c>
      <c r="Q37" s="24">
        <v>0.1</v>
      </c>
      <c r="R37" s="65">
        <v>0.2</v>
      </c>
      <c r="S37" s="24">
        <v>0.7</v>
      </c>
    </row>
    <row r="38" spans="1:19" customFormat="1" ht="14.4" x14ac:dyDescent="0.3">
      <c r="A38" s="23" t="s">
        <v>190</v>
      </c>
      <c r="B38" s="23" t="s">
        <v>191</v>
      </c>
      <c r="C38" s="23" t="s">
        <v>186</v>
      </c>
      <c r="D38" s="23"/>
      <c r="E38" s="23"/>
      <c r="F38" s="23">
        <v>1</v>
      </c>
      <c r="G38" s="23"/>
      <c r="H38" s="23">
        <v>1</v>
      </c>
      <c r="I38" s="23"/>
      <c r="J38" s="23">
        <v>2</v>
      </c>
      <c r="K38" s="23" t="s">
        <v>64</v>
      </c>
      <c r="L38" s="24" t="s">
        <v>32</v>
      </c>
      <c r="M38" s="24" t="s">
        <v>54</v>
      </c>
      <c r="N38" s="24" t="s">
        <v>40</v>
      </c>
      <c r="O38" s="24" t="s">
        <v>54</v>
      </c>
      <c r="P38" s="24">
        <v>80</v>
      </c>
      <c r="Q38" s="24">
        <v>0.2</v>
      </c>
      <c r="R38" s="65">
        <v>0.2</v>
      </c>
      <c r="S38" s="24">
        <v>1.6</v>
      </c>
    </row>
    <row r="39" spans="1:19" customFormat="1" ht="14.4" x14ac:dyDescent="0.3">
      <c r="A39" s="23" t="s">
        <v>251</v>
      </c>
      <c r="B39" s="23" t="s">
        <v>252</v>
      </c>
      <c r="C39" s="23" t="s">
        <v>186</v>
      </c>
      <c r="D39" s="23">
        <v>1</v>
      </c>
      <c r="E39" s="23"/>
      <c r="F39" s="23"/>
      <c r="G39" s="23"/>
      <c r="H39" s="23"/>
      <c r="I39" s="23"/>
      <c r="J39" s="23">
        <v>1</v>
      </c>
      <c r="K39" s="23" t="s">
        <v>297</v>
      </c>
      <c r="L39" s="24" t="s">
        <v>49</v>
      </c>
      <c r="M39" s="24" t="s">
        <v>51</v>
      </c>
      <c r="N39" s="24" t="s">
        <v>40</v>
      </c>
      <c r="O39" s="24" t="s">
        <v>65</v>
      </c>
      <c r="P39" s="24">
        <v>40</v>
      </c>
      <c r="Q39" s="24">
        <v>0.2</v>
      </c>
      <c r="R39" s="65">
        <v>0.4</v>
      </c>
      <c r="S39" s="24">
        <v>0.4</v>
      </c>
    </row>
    <row r="40" spans="1:19" x14ac:dyDescent="0.25">
      <c r="Q40" s="70">
        <f>SUM(R37:R39,Q2:Q36)</f>
        <v>24.249999999999996</v>
      </c>
      <c r="R40" s="70"/>
    </row>
  </sheetData>
  <mergeCells count="1">
    <mergeCell ref="Q40:R40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4"/>
  <sheetViews>
    <sheetView topLeftCell="A19"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253</v>
      </c>
      <c r="B3" s="5">
        <v>4958.68</v>
      </c>
    </row>
    <row r="4" spans="1:2" x14ac:dyDescent="0.2">
      <c r="A4" s="4" t="s">
        <v>4</v>
      </c>
      <c r="B4" s="5"/>
    </row>
    <row r="5" spans="1:2" x14ac:dyDescent="0.2">
      <c r="A5" s="4" t="s">
        <v>254</v>
      </c>
      <c r="B5" s="5">
        <v>2000</v>
      </c>
    </row>
    <row r="6" spans="1:2" x14ac:dyDescent="0.2">
      <c r="A6" s="4" t="s">
        <v>255</v>
      </c>
      <c r="B6" s="5"/>
    </row>
    <row r="7" spans="1:2" x14ac:dyDescent="0.2">
      <c r="A7" s="4" t="s">
        <v>256</v>
      </c>
      <c r="B7" s="5">
        <v>2250</v>
      </c>
    </row>
    <row r="8" spans="1:2" x14ac:dyDescent="0.2">
      <c r="A8" s="4" t="s">
        <v>257</v>
      </c>
      <c r="B8" s="5"/>
    </row>
    <row r="9" spans="1:2" x14ac:dyDescent="0.2">
      <c r="A9" s="4" t="s">
        <v>258</v>
      </c>
      <c r="B9" s="5">
        <v>7497.49</v>
      </c>
    </row>
    <row r="10" spans="1:2" x14ac:dyDescent="0.2">
      <c r="A10" s="4" t="s">
        <v>259</v>
      </c>
      <c r="B10" s="5"/>
    </row>
    <row r="11" spans="1:2" x14ac:dyDescent="0.2">
      <c r="A11" s="4" t="s">
        <v>260</v>
      </c>
      <c r="B11" s="5">
        <v>19000</v>
      </c>
    </row>
    <row r="12" spans="1:2" x14ac:dyDescent="0.2">
      <c r="A12" s="4" t="s">
        <v>261</v>
      </c>
      <c r="B12" s="5"/>
    </row>
    <row r="13" spans="1:2" x14ac:dyDescent="0.2">
      <c r="A13" s="4" t="s">
        <v>262</v>
      </c>
      <c r="B13" s="5">
        <v>13920</v>
      </c>
    </row>
    <row r="14" spans="1:2" x14ac:dyDescent="0.2">
      <c r="A14" s="4" t="s">
        <v>263</v>
      </c>
      <c r="B14" s="5">
        <v>6960</v>
      </c>
    </row>
    <row r="15" spans="1:2" x14ac:dyDescent="0.2">
      <c r="A15" s="4" t="s">
        <v>264</v>
      </c>
      <c r="B15" s="5">
        <v>11920</v>
      </c>
    </row>
    <row r="16" spans="1:2" x14ac:dyDescent="0.2">
      <c r="A16" s="4" t="s">
        <v>265</v>
      </c>
      <c r="B16" s="5"/>
    </row>
    <row r="17" spans="1:2" x14ac:dyDescent="0.2">
      <c r="A17" s="4" t="s">
        <v>266</v>
      </c>
      <c r="B17" s="5">
        <v>3500</v>
      </c>
    </row>
    <row r="18" spans="1:2" x14ac:dyDescent="0.2">
      <c r="A18" s="4" t="s">
        <v>267</v>
      </c>
      <c r="B18" s="5"/>
    </row>
    <row r="19" spans="1:2" x14ac:dyDescent="0.2">
      <c r="A19" s="4" t="s">
        <v>268</v>
      </c>
      <c r="B19" s="5">
        <v>2700</v>
      </c>
    </row>
    <row r="20" spans="1:2" x14ac:dyDescent="0.2">
      <c r="A20" s="4" t="s">
        <v>269</v>
      </c>
      <c r="B20" s="5"/>
    </row>
    <row r="21" spans="1:2" x14ac:dyDescent="0.2">
      <c r="A21" s="4" t="s">
        <v>270</v>
      </c>
      <c r="B21" s="5">
        <v>2500</v>
      </c>
    </row>
    <row r="22" spans="1:2" x14ac:dyDescent="0.2">
      <c r="A22" s="4" t="s">
        <v>271</v>
      </c>
      <c r="B22" s="5"/>
    </row>
    <row r="23" spans="1:2" x14ac:dyDescent="0.2">
      <c r="A23" s="4" t="s">
        <v>272</v>
      </c>
      <c r="B23" s="5">
        <v>1150</v>
      </c>
    </row>
    <row r="24" spans="1:2" x14ac:dyDescent="0.2">
      <c r="A24" s="4" t="s">
        <v>273</v>
      </c>
      <c r="B24" s="5"/>
    </row>
    <row r="25" spans="1:2" x14ac:dyDescent="0.2">
      <c r="A25" s="4" t="s">
        <v>274</v>
      </c>
      <c r="B25" s="5">
        <v>3000.04</v>
      </c>
    </row>
    <row r="26" spans="1:2" x14ac:dyDescent="0.2">
      <c r="A26" s="4" t="s">
        <v>5</v>
      </c>
      <c r="B26" s="5"/>
    </row>
    <row r="27" spans="1:2" x14ac:dyDescent="0.2">
      <c r="A27" s="4" t="s">
        <v>275</v>
      </c>
      <c r="B27" s="5">
        <v>10000</v>
      </c>
    </row>
    <row r="28" spans="1:2" x14ac:dyDescent="0.2">
      <c r="A28" s="4" t="s">
        <v>6</v>
      </c>
      <c r="B28" s="5"/>
    </row>
    <row r="29" spans="1:2" x14ac:dyDescent="0.2">
      <c r="A29" s="4" t="s">
        <v>276</v>
      </c>
      <c r="B29" s="5">
        <v>442.97</v>
      </c>
    </row>
    <row r="30" spans="1:2" x14ac:dyDescent="0.2">
      <c r="A30" s="4" t="s">
        <v>7</v>
      </c>
      <c r="B30" s="5"/>
    </row>
    <row r="31" spans="1:2" x14ac:dyDescent="0.2">
      <c r="A31" s="4" t="s">
        <v>277</v>
      </c>
      <c r="B31" s="5">
        <v>16500</v>
      </c>
    </row>
    <row r="32" spans="1:2" x14ac:dyDescent="0.2">
      <c r="A32" s="4" t="s">
        <v>8</v>
      </c>
      <c r="B32" s="5"/>
    </row>
    <row r="33" spans="1:2" x14ac:dyDescent="0.2">
      <c r="A33" s="4" t="s">
        <v>278</v>
      </c>
      <c r="B33" s="5">
        <v>15000</v>
      </c>
    </row>
    <row r="34" spans="1:2" x14ac:dyDescent="0.2">
      <c r="A34" s="4" t="s">
        <v>279</v>
      </c>
      <c r="B34" s="5">
        <v>1307.92</v>
      </c>
    </row>
    <row r="35" spans="1:2" x14ac:dyDescent="0.2">
      <c r="A35" s="4" t="s">
        <v>280</v>
      </c>
      <c r="B35" s="5"/>
    </row>
    <row r="36" spans="1:2" x14ac:dyDescent="0.2">
      <c r="A36" s="4" t="s">
        <v>281</v>
      </c>
      <c r="B36" s="5">
        <v>43862</v>
      </c>
    </row>
    <row r="37" spans="1:2" x14ac:dyDescent="0.2">
      <c r="A37" s="4" t="s">
        <v>282</v>
      </c>
      <c r="B37" s="5"/>
    </row>
    <row r="38" spans="1:2" x14ac:dyDescent="0.2">
      <c r="A38" s="4" t="s">
        <v>283</v>
      </c>
      <c r="B38" s="5">
        <v>9000</v>
      </c>
    </row>
    <row r="39" spans="1:2" x14ac:dyDescent="0.2">
      <c r="A39" s="4" t="s">
        <v>284</v>
      </c>
      <c r="B39" s="5"/>
    </row>
    <row r="40" spans="1:2" x14ac:dyDescent="0.2">
      <c r="A40" s="4" t="s">
        <v>285</v>
      </c>
      <c r="B40" s="5">
        <v>43000</v>
      </c>
    </row>
    <row r="41" spans="1:2" x14ac:dyDescent="0.2">
      <c r="A41" s="4" t="s">
        <v>286</v>
      </c>
      <c r="B41" s="5">
        <v>20640</v>
      </c>
    </row>
    <row r="42" spans="1:2" x14ac:dyDescent="0.2">
      <c r="A42" s="4" t="s">
        <v>287</v>
      </c>
      <c r="B42" s="5"/>
    </row>
    <row r="43" spans="1:2" x14ac:dyDescent="0.2">
      <c r="A43" s="4" t="s">
        <v>288</v>
      </c>
      <c r="B43" s="5">
        <v>161845.31</v>
      </c>
    </row>
    <row r="44" spans="1:2" x14ac:dyDescent="0.2">
      <c r="A44" s="6" t="s">
        <v>2</v>
      </c>
      <c r="B44" s="7">
        <f>SUM(B3:B43)</f>
        <v>402954.41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3575-2124-4F10-B274-9A3CAC761117}">
  <dimension ref="A1:B40"/>
  <sheetViews>
    <sheetView topLeftCell="B16" workbookViewId="0">
      <selection activeCell="A5" sqref="A5:A6"/>
    </sheetView>
  </sheetViews>
  <sheetFormatPr baseColWidth="10" defaultRowHeight="14.4" x14ac:dyDescent="0.3"/>
  <cols>
    <col min="1" max="1" width="255.66406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40" t="s">
        <v>342</v>
      </c>
      <c r="B2" s="41"/>
    </row>
    <row r="3" spans="1:2" x14ac:dyDescent="0.3">
      <c r="A3" s="42" t="s">
        <v>343</v>
      </c>
      <c r="B3">
        <v>10648</v>
      </c>
    </row>
    <row r="4" spans="1:2" x14ac:dyDescent="0.3">
      <c r="A4" s="40" t="s">
        <v>3</v>
      </c>
      <c r="B4" s="41"/>
    </row>
    <row r="5" spans="1:2" x14ac:dyDescent="0.3">
      <c r="A5" s="42" t="s">
        <v>344</v>
      </c>
      <c r="B5">
        <v>4363.6400000000003</v>
      </c>
    </row>
    <row r="6" spans="1:2" x14ac:dyDescent="0.3">
      <c r="A6" s="40" t="s">
        <v>259</v>
      </c>
      <c r="B6" s="41"/>
    </row>
    <row r="7" spans="1:2" x14ac:dyDescent="0.3">
      <c r="A7" s="42" t="s">
        <v>345</v>
      </c>
      <c r="B7">
        <v>16720</v>
      </c>
    </row>
    <row r="8" spans="1:2" x14ac:dyDescent="0.3">
      <c r="A8" s="40" t="s">
        <v>346</v>
      </c>
      <c r="B8" s="41"/>
    </row>
    <row r="9" spans="1:2" x14ac:dyDescent="0.3">
      <c r="A9" s="42" t="s">
        <v>347</v>
      </c>
      <c r="B9">
        <v>4149.0200000000004</v>
      </c>
    </row>
    <row r="10" spans="1:2" x14ac:dyDescent="0.3">
      <c r="A10" s="40" t="s">
        <v>348</v>
      </c>
      <c r="B10" s="41"/>
    </row>
    <row r="11" spans="1:2" x14ac:dyDescent="0.3">
      <c r="A11" s="42" t="s">
        <v>349</v>
      </c>
      <c r="B11">
        <v>2089.56</v>
      </c>
    </row>
    <row r="12" spans="1:2" x14ac:dyDescent="0.3">
      <c r="A12" s="42" t="s">
        <v>350</v>
      </c>
      <c r="B12">
        <v>1671.65</v>
      </c>
    </row>
    <row r="13" spans="1:2" x14ac:dyDescent="0.3">
      <c r="A13" s="40" t="s">
        <v>351</v>
      </c>
      <c r="B13" s="41"/>
    </row>
    <row r="14" spans="1:2" x14ac:dyDescent="0.3">
      <c r="A14" s="42" t="s">
        <v>352</v>
      </c>
      <c r="B14">
        <v>3344</v>
      </c>
    </row>
    <row r="15" spans="1:2" x14ac:dyDescent="0.3">
      <c r="A15" s="40" t="s">
        <v>353</v>
      </c>
      <c r="B15" s="41"/>
    </row>
    <row r="16" spans="1:2" x14ac:dyDescent="0.3">
      <c r="A16" s="42" t="s">
        <v>354</v>
      </c>
      <c r="B16">
        <v>792</v>
      </c>
    </row>
    <row r="17" spans="1:2" x14ac:dyDescent="0.3">
      <c r="A17" s="40" t="s">
        <v>355</v>
      </c>
      <c r="B17" s="41"/>
    </row>
    <row r="18" spans="1:2" x14ac:dyDescent="0.3">
      <c r="A18" s="42" t="s">
        <v>356</v>
      </c>
      <c r="B18">
        <v>88001.32</v>
      </c>
    </row>
    <row r="19" spans="1:2" x14ac:dyDescent="0.3">
      <c r="A19" s="40" t="s">
        <v>357</v>
      </c>
      <c r="B19" s="41"/>
    </row>
    <row r="20" spans="1:2" x14ac:dyDescent="0.3">
      <c r="A20" s="42" t="s">
        <v>358</v>
      </c>
      <c r="B20">
        <v>11000</v>
      </c>
    </row>
    <row r="21" spans="1:2" x14ac:dyDescent="0.3">
      <c r="A21" s="40" t="s">
        <v>5</v>
      </c>
      <c r="B21" s="41"/>
    </row>
    <row r="22" spans="1:2" x14ac:dyDescent="0.3">
      <c r="A22" s="42" t="s">
        <v>359</v>
      </c>
      <c r="B22">
        <v>12000</v>
      </c>
    </row>
    <row r="23" spans="1:2" x14ac:dyDescent="0.3">
      <c r="A23" s="40" t="s">
        <v>7</v>
      </c>
      <c r="B23" s="41"/>
    </row>
    <row r="24" spans="1:2" x14ac:dyDescent="0.3">
      <c r="A24" s="42" t="s">
        <v>360</v>
      </c>
      <c r="B24">
        <v>743.13</v>
      </c>
    </row>
    <row r="25" spans="1:2" x14ac:dyDescent="0.3">
      <c r="A25" s="42" t="s">
        <v>361</v>
      </c>
      <c r="B25">
        <v>43.43</v>
      </c>
    </row>
    <row r="26" spans="1:2" x14ac:dyDescent="0.3">
      <c r="A26" s="40" t="s">
        <v>8</v>
      </c>
      <c r="B26" s="41"/>
    </row>
    <row r="27" spans="1:2" x14ac:dyDescent="0.3">
      <c r="A27" s="42" t="s">
        <v>362</v>
      </c>
      <c r="B27">
        <v>30000</v>
      </c>
    </row>
    <row r="28" spans="1:2" x14ac:dyDescent="0.3">
      <c r="A28" s="40" t="s">
        <v>280</v>
      </c>
      <c r="B28" s="41"/>
    </row>
    <row r="29" spans="1:2" x14ac:dyDescent="0.3">
      <c r="A29" s="42" t="s">
        <v>363</v>
      </c>
      <c r="B29">
        <v>43297.08</v>
      </c>
    </row>
    <row r="30" spans="1:2" x14ac:dyDescent="0.3">
      <c r="A30" s="40" t="s">
        <v>284</v>
      </c>
      <c r="B30" s="41"/>
    </row>
    <row r="31" spans="1:2" x14ac:dyDescent="0.3">
      <c r="A31" s="42" t="s">
        <v>364</v>
      </c>
      <c r="B31">
        <v>4300</v>
      </c>
    </row>
    <row r="32" spans="1:2" x14ac:dyDescent="0.3">
      <c r="A32" s="40" t="s">
        <v>365</v>
      </c>
      <c r="B32" s="41"/>
    </row>
    <row r="33" spans="1:2" x14ac:dyDescent="0.3">
      <c r="A33" s="42" t="s">
        <v>366</v>
      </c>
      <c r="B33">
        <v>21818.18</v>
      </c>
    </row>
    <row r="34" spans="1:2" x14ac:dyDescent="0.3">
      <c r="A34" s="40" t="s">
        <v>367</v>
      </c>
      <c r="B34" s="41"/>
    </row>
    <row r="35" spans="1:2" x14ac:dyDescent="0.3">
      <c r="A35" s="42" t="s">
        <v>368</v>
      </c>
      <c r="B35">
        <v>11100</v>
      </c>
    </row>
    <row r="36" spans="1:2" x14ac:dyDescent="0.3">
      <c r="A36" s="40" t="s">
        <v>369</v>
      </c>
      <c r="B36" s="41"/>
    </row>
    <row r="37" spans="1:2" x14ac:dyDescent="0.3">
      <c r="A37" s="42" t="s">
        <v>370</v>
      </c>
      <c r="B37">
        <v>378890</v>
      </c>
    </row>
    <row r="38" spans="1:2" x14ac:dyDescent="0.3">
      <c r="A38" s="40" t="s">
        <v>371</v>
      </c>
      <c r="B38" s="41"/>
    </row>
    <row r="39" spans="1:2" x14ac:dyDescent="0.3">
      <c r="A39" s="42" t="s">
        <v>372</v>
      </c>
      <c r="B39">
        <v>133671.87</v>
      </c>
    </row>
    <row r="40" spans="1:2" x14ac:dyDescent="0.3">
      <c r="A40" s="43" t="s">
        <v>177</v>
      </c>
      <c r="B40" s="44">
        <v>778642.88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2D67-D62E-4B3E-B902-7E97D3F53007}">
  <dimension ref="A1:D41"/>
  <sheetViews>
    <sheetView topLeftCell="A22" zoomScale="70" zoomScaleNormal="70" workbookViewId="0">
      <selection activeCell="C47" sqref="C47"/>
    </sheetView>
  </sheetViews>
  <sheetFormatPr baseColWidth="10" defaultRowHeight="14.4" x14ac:dyDescent="0.3"/>
  <cols>
    <col min="1" max="1" width="7.44140625" bestFit="1" customWidth="1"/>
    <col min="2" max="2" width="14" bestFit="1" customWidth="1"/>
    <col min="3" max="3" width="158.109375" customWidth="1"/>
    <col min="4" max="4" width="16.6640625" bestFit="1" customWidth="1"/>
  </cols>
  <sheetData>
    <row r="1" spans="1:4" ht="15" thickBot="1" x14ac:dyDescent="0.35">
      <c r="A1" s="46" t="s">
        <v>375</v>
      </c>
      <c r="B1" s="47" t="s">
        <v>376</v>
      </c>
      <c r="C1" s="47" t="s">
        <v>377</v>
      </c>
      <c r="D1" s="48" t="s">
        <v>1</v>
      </c>
    </row>
    <row r="2" spans="1:4" ht="15" thickTop="1" x14ac:dyDescent="0.3">
      <c r="A2" s="49" t="s">
        <v>378</v>
      </c>
      <c r="B2" s="50" t="s">
        <v>259</v>
      </c>
      <c r="C2" s="50" t="s">
        <v>379</v>
      </c>
      <c r="D2" s="51">
        <v>16720</v>
      </c>
    </row>
    <row r="3" spans="1:4" x14ac:dyDescent="0.3">
      <c r="A3" s="52" t="s">
        <v>378</v>
      </c>
      <c r="B3" s="53" t="s">
        <v>348</v>
      </c>
      <c r="C3" s="53" t="s">
        <v>380</v>
      </c>
      <c r="D3" s="54">
        <v>1253.74</v>
      </c>
    </row>
    <row r="4" spans="1:4" x14ac:dyDescent="0.3">
      <c r="A4" s="49" t="s">
        <v>378</v>
      </c>
      <c r="B4" s="50" t="s">
        <v>348</v>
      </c>
      <c r="C4" s="50" t="s">
        <v>381</v>
      </c>
      <c r="D4" s="51">
        <v>1671.65</v>
      </c>
    </row>
    <row r="5" spans="1:4" x14ac:dyDescent="0.3">
      <c r="A5" s="52" t="s">
        <v>378</v>
      </c>
      <c r="B5" s="53" t="s">
        <v>348</v>
      </c>
      <c r="C5" s="53" t="s">
        <v>382</v>
      </c>
      <c r="D5" s="54">
        <v>1671.65</v>
      </c>
    </row>
    <row r="6" spans="1:4" x14ac:dyDescent="0.3">
      <c r="A6" s="49" t="s">
        <v>378</v>
      </c>
      <c r="B6" s="50" t="s">
        <v>357</v>
      </c>
      <c r="C6" s="50" t="s">
        <v>383</v>
      </c>
      <c r="D6" s="51">
        <v>5500</v>
      </c>
    </row>
    <row r="7" spans="1:4" x14ac:dyDescent="0.3">
      <c r="A7" s="52" t="s">
        <v>378</v>
      </c>
      <c r="B7" s="53" t="s">
        <v>357</v>
      </c>
      <c r="C7" s="53" t="s">
        <v>384</v>
      </c>
      <c r="D7" s="54">
        <v>13999.92</v>
      </c>
    </row>
    <row r="8" spans="1:4" x14ac:dyDescent="0.3">
      <c r="A8" s="49" t="s">
        <v>378</v>
      </c>
      <c r="B8" s="50" t="s">
        <v>385</v>
      </c>
      <c r="C8" s="50" t="s">
        <v>386</v>
      </c>
      <c r="D8" s="51">
        <v>2156</v>
      </c>
    </row>
    <row r="9" spans="1:4" x14ac:dyDescent="0.3">
      <c r="A9" s="52" t="s">
        <v>378</v>
      </c>
      <c r="B9" s="53" t="s">
        <v>385</v>
      </c>
      <c r="C9" s="53" t="s">
        <v>387</v>
      </c>
      <c r="D9" s="54">
        <v>2587.1999999999998</v>
      </c>
    </row>
    <row r="10" spans="1:4" x14ac:dyDescent="0.3">
      <c r="A10" s="49" t="s">
        <v>378</v>
      </c>
      <c r="B10" s="50" t="s">
        <v>385</v>
      </c>
      <c r="C10" s="50" t="s">
        <v>388</v>
      </c>
      <c r="D10" s="51">
        <v>3880.8</v>
      </c>
    </row>
    <row r="11" spans="1:4" x14ac:dyDescent="0.3">
      <c r="A11" s="52" t="s">
        <v>378</v>
      </c>
      <c r="B11" s="53" t="s">
        <v>389</v>
      </c>
      <c r="C11" s="53" t="s">
        <v>390</v>
      </c>
      <c r="D11" s="54">
        <v>872.73</v>
      </c>
    </row>
    <row r="12" spans="1:4" x14ac:dyDescent="0.3">
      <c r="A12" s="49" t="s">
        <v>378</v>
      </c>
      <c r="B12" s="50" t="s">
        <v>391</v>
      </c>
      <c r="C12" s="50" t="s">
        <v>392</v>
      </c>
      <c r="D12" s="51">
        <v>7040</v>
      </c>
    </row>
    <row r="13" spans="1:4" x14ac:dyDescent="0.3">
      <c r="A13" s="52" t="s">
        <v>378</v>
      </c>
      <c r="B13" s="53" t="s">
        <v>393</v>
      </c>
      <c r="C13" s="53" t="s">
        <v>394</v>
      </c>
      <c r="D13" s="54">
        <v>58889.2</v>
      </c>
    </row>
    <row r="14" spans="1:4" x14ac:dyDescent="0.3">
      <c r="A14" s="49" t="s">
        <v>378</v>
      </c>
      <c r="B14" s="50" t="s">
        <v>395</v>
      </c>
      <c r="C14" s="50" t="s">
        <v>396</v>
      </c>
      <c r="D14" s="51">
        <v>1742.4</v>
      </c>
    </row>
    <row r="15" spans="1:4" x14ac:dyDescent="0.3">
      <c r="A15" s="52" t="s">
        <v>378</v>
      </c>
      <c r="B15" s="53" t="s">
        <v>395</v>
      </c>
      <c r="C15" s="53" t="s">
        <v>397</v>
      </c>
      <c r="D15" s="54">
        <v>1742.4</v>
      </c>
    </row>
    <row r="16" spans="1:4" x14ac:dyDescent="0.3">
      <c r="A16" s="49" t="s">
        <v>378</v>
      </c>
      <c r="B16" s="50" t="s">
        <v>395</v>
      </c>
      <c r="C16" s="50" t="s">
        <v>398</v>
      </c>
      <c r="D16" s="51">
        <v>5227.2</v>
      </c>
    </row>
    <row r="17" spans="1:4" x14ac:dyDescent="0.3">
      <c r="A17" s="52" t="s">
        <v>378</v>
      </c>
      <c r="B17" s="53" t="s">
        <v>399</v>
      </c>
      <c r="C17" s="53" t="s">
        <v>400</v>
      </c>
      <c r="D17" s="54">
        <v>3528.8</v>
      </c>
    </row>
    <row r="18" spans="1:4" x14ac:dyDescent="0.3">
      <c r="A18" s="49" t="s">
        <v>378</v>
      </c>
      <c r="B18" s="50" t="s">
        <v>401</v>
      </c>
      <c r="C18" s="50" t="s">
        <v>402</v>
      </c>
      <c r="D18" s="51">
        <v>4400</v>
      </c>
    </row>
    <row r="19" spans="1:4" x14ac:dyDescent="0.3">
      <c r="A19" s="52" t="s">
        <v>378</v>
      </c>
      <c r="B19" s="53" t="s">
        <v>403</v>
      </c>
      <c r="C19" s="53" t="s">
        <v>404</v>
      </c>
      <c r="D19" s="54">
        <v>6545.44</v>
      </c>
    </row>
    <row r="20" spans="1:4" x14ac:dyDescent="0.3">
      <c r="A20" s="49" t="s">
        <v>378</v>
      </c>
      <c r="B20" s="50" t="s">
        <v>405</v>
      </c>
      <c r="C20" s="50" t="s">
        <v>406</v>
      </c>
      <c r="D20" s="51">
        <v>7920</v>
      </c>
    </row>
    <row r="21" spans="1:4" x14ac:dyDescent="0.3">
      <c r="A21" s="52" t="s">
        <v>378</v>
      </c>
      <c r="B21" s="53" t="s">
        <v>5</v>
      </c>
      <c r="C21" s="53" t="s">
        <v>407</v>
      </c>
      <c r="D21" s="54">
        <v>12000</v>
      </c>
    </row>
    <row r="22" spans="1:4" x14ac:dyDescent="0.3">
      <c r="A22" s="49" t="s">
        <v>378</v>
      </c>
      <c r="B22" s="50" t="s">
        <v>7</v>
      </c>
      <c r="C22" s="50" t="s">
        <v>408</v>
      </c>
      <c r="D22" s="51">
        <v>100</v>
      </c>
    </row>
    <row r="23" spans="1:4" x14ac:dyDescent="0.3">
      <c r="A23" s="52" t="s">
        <v>378</v>
      </c>
      <c r="B23" s="53" t="s">
        <v>280</v>
      </c>
      <c r="C23" s="53" t="s">
        <v>409</v>
      </c>
      <c r="D23" s="54">
        <v>41307.75</v>
      </c>
    </row>
    <row r="24" spans="1:4" x14ac:dyDescent="0.3">
      <c r="A24" s="49" t="s">
        <v>378</v>
      </c>
      <c r="B24" s="50" t="s">
        <v>284</v>
      </c>
      <c r="C24" s="50" t="s">
        <v>410</v>
      </c>
      <c r="D24" s="51">
        <v>18060</v>
      </c>
    </row>
    <row r="25" spans="1:4" x14ac:dyDescent="0.3">
      <c r="A25" s="52" t="s">
        <v>378</v>
      </c>
      <c r="B25" s="53" t="s">
        <v>367</v>
      </c>
      <c r="C25" s="53" t="s">
        <v>411</v>
      </c>
      <c r="D25" s="54">
        <v>55500</v>
      </c>
    </row>
    <row r="26" spans="1:4" x14ac:dyDescent="0.3">
      <c r="A26" s="49" t="s">
        <v>378</v>
      </c>
      <c r="B26" s="50" t="s">
        <v>412</v>
      </c>
      <c r="C26" s="50" t="s">
        <v>413</v>
      </c>
      <c r="D26" s="51">
        <v>25157.94</v>
      </c>
    </row>
    <row r="27" spans="1:4" x14ac:dyDescent="0.3">
      <c r="A27" s="52" t="s">
        <v>378</v>
      </c>
      <c r="B27" s="53" t="s">
        <v>414</v>
      </c>
      <c r="C27" s="53" t="s">
        <v>415</v>
      </c>
      <c r="D27" s="54">
        <v>141578.4</v>
      </c>
    </row>
    <row r="28" spans="1:4" x14ac:dyDescent="0.3">
      <c r="A28" s="49" t="s">
        <v>378</v>
      </c>
      <c r="B28" s="50" t="s">
        <v>416</v>
      </c>
      <c r="C28" s="50" t="s">
        <v>417</v>
      </c>
      <c r="D28" s="51">
        <v>112498.25</v>
      </c>
    </row>
    <row r="29" spans="1:4" x14ac:dyDescent="0.3">
      <c r="A29" s="52" t="s">
        <v>378</v>
      </c>
      <c r="B29" s="53" t="s">
        <v>418</v>
      </c>
      <c r="C29" s="53" t="s">
        <v>419</v>
      </c>
      <c r="D29" s="54">
        <v>27014.91</v>
      </c>
    </row>
    <row r="30" spans="1:4" x14ac:dyDescent="0.3">
      <c r="A30" s="49" t="s">
        <v>378</v>
      </c>
      <c r="B30" s="50" t="s">
        <v>287</v>
      </c>
      <c r="C30" s="50" t="s">
        <v>420</v>
      </c>
      <c r="D30" s="51">
        <v>150</v>
      </c>
    </row>
    <row r="31" spans="1:4" x14ac:dyDescent="0.3">
      <c r="A31" s="52" t="s">
        <v>378</v>
      </c>
      <c r="B31" s="53" t="s">
        <v>287</v>
      </c>
      <c r="C31" s="53" t="s">
        <v>421</v>
      </c>
      <c r="D31" s="54">
        <v>18989.849999999999</v>
      </c>
    </row>
    <row r="32" spans="1:4" x14ac:dyDescent="0.3">
      <c r="A32" s="49" t="s">
        <v>378</v>
      </c>
      <c r="B32" s="50" t="s">
        <v>369</v>
      </c>
      <c r="C32" s="50" t="s">
        <v>422</v>
      </c>
      <c r="D32" s="51">
        <v>84.22</v>
      </c>
    </row>
    <row r="33" spans="1:4" x14ac:dyDescent="0.3">
      <c r="A33" s="52" t="s">
        <v>378</v>
      </c>
      <c r="B33" s="53" t="s">
        <v>369</v>
      </c>
      <c r="C33" s="53" t="s">
        <v>419</v>
      </c>
      <c r="D33" s="54">
        <v>396218.65</v>
      </c>
    </row>
    <row r="34" spans="1:4" x14ac:dyDescent="0.3">
      <c r="A34" s="49" t="s">
        <v>378</v>
      </c>
      <c r="B34" s="50" t="s">
        <v>423</v>
      </c>
      <c r="C34" s="50" t="s">
        <v>424</v>
      </c>
      <c r="D34" s="51">
        <v>496.44</v>
      </c>
    </row>
    <row r="35" spans="1:4" x14ac:dyDescent="0.3">
      <c r="A35" s="52" t="s">
        <v>378</v>
      </c>
      <c r="B35" s="53" t="s">
        <v>423</v>
      </c>
      <c r="C35" s="53" t="s">
        <v>425</v>
      </c>
      <c r="D35" s="54">
        <v>104606.12</v>
      </c>
    </row>
    <row r="36" spans="1:4" x14ac:dyDescent="0.3">
      <c r="A36" s="49" t="s">
        <v>378</v>
      </c>
      <c r="B36" s="50" t="s">
        <v>426</v>
      </c>
      <c r="C36" s="50" t="s">
        <v>427</v>
      </c>
      <c r="D36" s="51">
        <v>64120.33</v>
      </c>
    </row>
    <row r="37" spans="1:4" ht="15" thickBot="1" x14ac:dyDescent="0.35">
      <c r="A37" s="52" t="s">
        <v>378</v>
      </c>
      <c r="B37" s="53" t="s">
        <v>428</v>
      </c>
      <c r="C37" s="53" t="s">
        <v>429</v>
      </c>
      <c r="D37" s="54">
        <v>70702.490000000005</v>
      </c>
    </row>
    <row r="38" spans="1:4" ht="15" thickTop="1" x14ac:dyDescent="0.3">
      <c r="A38" s="55" t="s">
        <v>2</v>
      </c>
      <c r="B38" s="56"/>
      <c r="C38" s="56"/>
      <c r="D38" s="57">
        <v>1235934.48</v>
      </c>
    </row>
    <row r="41" spans="1:4" x14ac:dyDescent="0.3">
      <c r="C41" s="66" t="s">
        <v>463</v>
      </c>
      <c r="D41" s="67">
        <f>D38+'ingresos investigación 2020'!B40+'Ingresos investigación 2019'!B44</f>
        <v>2417531.77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2022-10-18T16:10:59Z</dcterms:modified>
</cp:coreProperties>
</file>