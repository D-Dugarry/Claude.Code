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4A0036CA-B44E-4072-9379-773088A8E891}" xr6:coauthVersionLast="47" xr6:coauthVersionMax="47" xr10:uidLastSave="{00000000-0000-0000-0000-000000000000}"/>
  <bookViews>
    <workbookView xWindow="22932" yWindow="-108" windowWidth="23256" windowHeight="12456" tabRatio="783" xr2:uid="{00000000-000D-0000-FFFF-FFFF00000000}"/>
  </bookViews>
  <sheets>
    <sheet name="Tesis" sheetId="10" r:id="rId1"/>
    <sheet name="Sexenios" sheetId="11" r:id="rId2"/>
    <sheet name="Ingresos investigación 2019" sheetId="14" r:id="rId3"/>
    <sheet name="Ingresos investigación 2020" sheetId="16" r:id="rId4"/>
    <sheet name="Ingresos investigación 2021" sheetId="18" r:id="rId5"/>
    <sheet name="Ingresos formación 2019" sheetId="15" r:id="rId6"/>
    <sheet name="Ingresos formación 2020" sheetId="17" r:id="rId7"/>
    <sheet name="Ingresos formación 2021" sheetId="19" r:id="rId8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11" l="1"/>
  <c r="S27" i="10" l="1"/>
  <c r="B4" i="19" l="1"/>
  <c r="B4" i="17"/>
  <c r="B27" i="16"/>
  <c r="B7" i="17" l="1"/>
  <c r="B6" i="15"/>
  <c r="B40" i="14"/>
  <c r="C24" i="18" s="1"/>
</calcChain>
</file>

<file path=xl/sharedStrings.xml><?xml version="1.0" encoding="utf-8"?>
<sst xmlns="http://schemas.openxmlformats.org/spreadsheetml/2006/main" count="764" uniqueCount="276">
  <si>
    <t>Orgánica
Descripción justificante</t>
  </si>
  <si>
    <t>Importe</t>
  </si>
  <si>
    <t>Total</t>
  </si>
  <si>
    <t>34.20.6C.00.04</t>
  </si>
  <si>
    <t>34.20.6M.00.01</t>
  </si>
  <si>
    <t>34.20.6P.00.12</t>
  </si>
  <si>
    <t>34.20.2T.00.04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</si>
  <si>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</si>
  <si>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</si>
  <si>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</si>
  <si>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</si>
  <si>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</si>
  <si>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</si>
  <si>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</si>
  <si>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</si>
  <si>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</si>
  <si>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</si>
  <si>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</si>
  <si>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</si>
  <si>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</si>
  <si>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</si>
  <si>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</si>
  <si>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</si>
  <si>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</si>
  <si>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</si>
  <si>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</si>
  <si>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</si>
  <si>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</si>
  <si>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</si>
  <si>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</si>
  <si>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</si>
  <si>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</si>
  <si>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- </t>
  </si>
  <si>
    <t>12/07/2019 </t>
  </si>
  <si>
    <t>20/07/2017 </t>
  </si>
  <si>
    <t>U023 </t>
  </si>
  <si>
    <t>ADM. FACULTAD DE FILOSOFIA Y LETRAS </t>
  </si>
  <si>
    <t>DOCTORADO EN TRANSFERENCIAS INTERCULTURALES E HISTÓRICAS EN LA EUROPA MEDIE </t>
  </si>
  <si>
    <t>DOCTORADO EN FILOSOFÍA Y LETRAS </t>
  </si>
  <si>
    <t>12/09/2019 </t>
  </si>
  <si>
    <t>25/07/2017 </t>
  </si>
  <si>
    <t>B142 </t>
  </si>
  <si>
    <t>FILOLOGÍA CATALANA </t>
  </si>
  <si>
    <t>DOCTORADO EN FILOLOGÍA CATALANA </t>
  </si>
  <si>
    <t>Cruz Morente, Miquel Antoni </t>
  </si>
  <si>
    <t>LA REVISTA CANIGÓ (1954-1983), UN REFERENT CULTURAL I LITERARI DELS PAÏSOS CATALANS </t>
  </si>
  <si>
    <t>12/06/2017 </t>
  </si>
  <si>
    <t>14/12/2018 </t>
  </si>
  <si>
    <t>23/11/2016 </t>
  </si>
  <si>
    <t>19/06/2017 </t>
  </si>
  <si>
    <t>21497069G </t>
  </si>
  <si>
    <t>B142</t>
  </si>
  <si>
    <t>10.08</t>
  </si>
  <si>
    <t>25126465T </t>
  </si>
  <si>
    <t>25119289T </t>
  </si>
  <si>
    <t>21439260V </t>
  </si>
  <si>
    <t>21644530N </t>
  </si>
  <si>
    <t>Cambraia Franco, Gustavo </t>
  </si>
  <si>
    <t>A LETRA E O ESPÍRITO. ESTUDO PRÉVIO PARA UMA TRADUÇAO DE SERMOES REPRESENTATIVOS DE SAO VICENTE FERRER (1350-1419) PARA A LÍNGUA PORTUGUESA </t>
  </si>
  <si>
    <t>25122167A </t>
  </si>
  <si>
    <t>21650880Z </t>
  </si>
  <si>
    <t>Gisbert López, Ivan </t>
  </si>
  <si>
    <t>EL CONTE DINS LA TRAJECTÒRIA LITERÀRIA D'ISABEL-CLARA SIMÓ </t>
  </si>
  <si>
    <t>Martines Llinares, Joan De Déu </t>
  </si>
  <si>
    <t>DICCIONARI DE L'OBRA LITERÀRIA D'ENRIC VALOR. LA NATURA (DOLEV-NATURA) </t>
  </si>
  <si>
    <t>Urquidi Díaz, Alicia </t>
  </si>
  <si>
    <t>DE LA MENTE AL DICCIONARIO. INNOVACIÓN CON METÁFORAS Y CAMBIO SEMÁNTICO EN EL DISCURSO ECONÓMICO MEDIÁTICO </t>
  </si>
  <si>
    <t>Vidal Lloret, Vicent </t>
  </si>
  <si>
    <t>AUTORS, INSTITUCIONS I TENDÈNCIES EN LA LITERATURA POPULAR VALENCIANA (1873-1975) </t>
  </si>
  <si>
    <t>Budig , Hanna Magdalena </t>
  </si>
  <si>
    <t>LA LENGUA COMO SÍMBOLO DE LA DIVERGENCIA IDENTITARIA. EL CATALÁN DE VALENCIA ENTRE LENGUA NACIONAL, LENGUA ESTÁNDAR Y DIALECTO / SPRACHE ALS SYMBOL IDENTITÄRER DIVERGENZ-DAS KATALNISCHE IN VALENCIA ZWISCHEN NATIONALSPRACHE, STANDARDSPRACHE UND DIALEK </t>
  </si>
  <si>
    <t>19/07/2018 </t>
  </si>
  <si>
    <t>44762589N </t>
  </si>
  <si>
    <t>Garcia Sebastià, Josep Vicent </t>
  </si>
  <si>
    <t>LES CONSTRUCCIONS DE TEMPS TRANSCORREGUT EN EL CATALÀ DE L'EDAT MODERNA I CONTEMPORÀNIA: ACOSTAMENT SEGONS LA LINGÜÍSTICA DE CORPUS I LA GRAMÀTICA COGNITIVA </t>
  </si>
  <si>
    <t>12/07/2018 </t>
  </si>
  <si>
    <t>21497100N </t>
  </si>
  <si>
    <t>Martínez Martínez, Caterina </t>
  </si>
  <si>
    <t>"LA GRAMATICALITZACIÓ DELS CONNECTORS DE CONTRAST: ESTUDI DE CORPUS I APROXIMACIÓ SEGONS LA TEORIA DE LA INFERÈNCIA INVITADA DEL CANVI SEMÀNTIC </t>
  </si>
  <si>
    <t>52911805Y </t>
  </si>
  <si>
    <t>Oikonomopoulos , Ilías </t>
  </si>
  <si>
    <t>LA TRADICIÓN DEL HUMANISMO MEDITERRÁNEO: "LO SOMNI" EL DIÁLOGO DE BERNAT METGE ESTUDIO Y TRADUCCIÓN ANOTADA AL GRIEGO </t>
  </si>
  <si>
    <t>14/11/2017 </t>
  </si>
  <si>
    <t>Pastor Briones, Vicent </t>
  </si>
  <si>
    <t>EL PIERRES DE PROVENÇA CATALÀ: ESTUDI I EDICIÓ CRÍTICA DE L'IMPRÉS DE 1650 </t>
  </si>
  <si>
    <t>14/09/2018 </t>
  </si>
  <si>
    <t>Pons Conca, Jaume </t>
  </si>
  <si>
    <t>CANVI SEMÀNTIC I GRAMATICALITZACIÓ DELS VERBS "METRE" I "POSAR": UN ACOSTAMENT SEGONS LA SEMÀNTICA COGNITIVA DIACRÒNICA </t>
  </si>
  <si>
    <t>Alexandre Dos Santos, Armando </t>
  </si>
  <si>
    <t>O VÍCIO CAPITAL DA INVEJA, LEITMOTIV E FIO CONDUCTOR DE "CURIAL E GUELFA". ANÁLISE DA TRADUÇAO AO PORTUGUÊS E ESTUDO CULTURAL E SINTÁTICO-SEMÂNTICO </t>
  </si>
  <si>
    <t>de Hoces Lomba, María </t>
  </si>
  <si>
    <t>RETÓRICA FORENSE Y LITERATURA: EL ORATOR PERFECTUS Y LA OBRA LITERARIA COMO INSTRUMENTO DE DEFENSA JURÍDICA </t>
  </si>
  <si>
    <t>17/06/2019 </t>
  </si>
  <si>
    <t>Lozano Sañudo, Belén </t>
  </si>
  <si>
    <t>LA TRADUCCIÓN DE LA LIJ: RETOS CREATIVOS, CONDICIONANTES SOCIOCULTURALES E INFLUENCIA EN LA LIJ NACIONAL Y EL IDIOLECTO AUTORIAL </t>
  </si>
  <si>
    <t>Mira Navarro, Irene </t>
  </si>
  <si>
    <t>TEORIA CRÍTICA DE L'ESPAI EN LA LITERATURA CONTEMPORÀNIA: APLICACIÓ A LA LÍRICA DE VICENT ANDRÉS ESTELLÉS </t>
  </si>
  <si>
    <t>21668026W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</si>
  <si>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</si>
  <si>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</si>
  <si>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</si>
  <si>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</si>
  <si>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</si>
  <si>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</si>
  <si>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</si>
  <si>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</si>
  <si>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</si>
  <si>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</si>
  <si>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</si>
  <si>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</si>
  <si>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</si>
  <si>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</si>
  <si>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21374221E</t>
  </si>
  <si>
    <t>ALEMANY FERRER, RAFAEL</t>
  </si>
  <si>
    <t>74228241L</t>
  </si>
  <si>
    <t>ARRONIS I LLOPIS, CARMEN</t>
  </si>
  <si>
    <t>21632131X</t>
  </si>
  <si>
    <t>BALAGUER PASCUAL, ENRIC</t>
  </si>
  <si>
    <t>21437369N</t>
  </si>
  <si>
    <t>BALDAQUI ESCANDELL, JOSEP MARIA</t>
  </si>
  <si>
    <t>25127439P</t>
  </si>
  <si>
    <t>BELTRAN I CALVO, VICENT</t>
  </si>
  <si>
    <t>25126465T</t>
  </si>
  <si>
    <t>BORJA SANZ, JOAN</t>
  </si>
  <si>
    <t>74231463K</t>
  </si>
  <si>
    <t>CAMARA SEMPERE, HECTOR</t>
  </si>
  <si>
    <t>21650880Z</t>
  </si>
  <si>
    <t>CORTES ORTS, CARLES</t>
  </si>
  <si>
    <t>48364664B</t>
  </si>
  <si>
    <t>ESCANDELL MAESTRE, DARI</t>
  </si>
  <si>
    <t>21640952E</t>
  </si>
  <si>
    <t>ESPINOS FELIPE, JOAQUIM</t>
  </si>
  <si>
    <t>52767687Y</t>
  </si>
  <si>
    <t>ESTEVE GUILLEN, ANNA ISABEL</t>
  </si>
  <si>
    <t>21668026W</t>
  </si>
  <si>
    <t>FRANCES DIEZ, MARIA ANGELS</t>
  </si>
  <si>
    <t>21439260V</t>
  </si>
  <si>
    <t>GARCIA SEMPERE, MARIA MANUELA</t>
  </si>
  <si>
    <t>79101713K</t>
  </si>
  <si>
    <t>GUARDIOLA SAVALL, MARIA ISABEL</t>
  </si>
  <si>
    <t>25122922E</t>
  </si>
  <si>
    <t>LLORCA IBI, FRANCESC XAVIER</t>
  </si>
  <si>
    <t>21644530N</t>
  </si>
  <si>
    <t>MARTIN PASCUAL, LLUCIA</t>
  </si>
  <si>
    <t>25119289T</t>
  </si>
  <si>
    <t>MARTINEZ PEREZ, JOSEP</t>
  </si>
  <si>
    <t>25122167A</t>
  </si>
  <si>
    <t>MARTINEZ PEREZ, VICENT</t>
  </si>
  <si>
    <t>21497069G</t>
  </si>
  <si>
    <t>MARTOS SANCHEZ, JOSEP LLUIS</t>
  </si>
  <si>
    <t>21418561H</t>
  </si>
  <si>
    <t>MAS MIRALLES, ANTONI</t>
  </si>
  <si>
    <t>74209119X</t>
  </si>
  <si>
    <t>MONTOYA ABAT, BRAULI</t>
  </si>
  <si>
    <t>52911805Y</t>
  </si>
  <si>
    <t>MONTSERRAT BUENDIA, SANDRA</t>
  </si>
  <si>
    <t>22009507W</t>
  </si>
  <si>
    <t>PERUJO MELGAR, JOAN MARIA</t>
  </si>
  <si>
    <t>21979558E</t>
  </si>
  <si>
    <t>SANSANO I BELSO, GABRIEL</t>
  </si>
  <si>
    <t>21497100N</t>
  </si>
  <si>
    <t>34.20.6C.00.03</t>
  </si>
  <si>
    <t>DERECHOS DE AUTOR DE LA OBRA COLECTIVA "AUSIAS MARCH" EDICIONESCATEDRA1-16W</t>
  </si>
  <si>
    <t xml:space="preserve">DERECHOS DE AUTOR DE LA OBRA COLECTIVA "AUSIAS MARCH".  </t>
  </si>
  <si>
    <t>CUARTA APORTACIÓN 2019 DE LA ACTIVIDAD DE ASESORAMIENTO DE VICENT MARTINES A LOS ALUMNOS DE DOCTORADO PROPUESTOS POR AGATHON Y ASISTIDOS POR ISIC-IVITRA, AL AMPARO DEL CONTRATO DE REF. AGATHON1-19AD</t>
  </si>
  <si>
    <t xml:space="preserve">DÉCIMA APORTACIÓN 2019 (hasta 27/05/2019) DE LA ACTIVIDAD DE ASESORAMIENTO DE VICENT MARTINES A LOS ALUMNOS DE DOCTORADO PROPUESTOS POR AGATHON Y ASISTIDOS POR ISIC-IVITRA, AL AMPARO DEL CONTRATO DE REF. </t>
  </si>
  <si>
    <t>DUODÉCIMA APORTACIÓN 2019 (hasta 27/05/2019) DE LA ACTIVIDAD DE ASESORAMIENTO DE VICENT MARTINES A LOS ALUMNOS DE DOCTORADO PROPUESTOS POR AGATHON Y ASISTIDOS POR ISIC-IVITRA, AL AMPARO DEL CONTRATO DE REF. AGATHON1-19AD</t>
  </si>
  <si>
    <t>NOVENA APORTACIÓN 2019 (hasta 27/05/2019) DE LA ACTIVIDAD DE ASESORAMIENTO DE VICENT MARTINES A LOS ALUMNOS DE DOCTORADO PROPUESTOS POR AGATHON Y ASISTIDOS POR ISIC-IVITRA, AL AMPARO DEL CONTRATO DE REF. AGATHON1-19AD</t>
  </si>
  <si>
    <t xml:space="preserve">OCTAVA APORTACIÓN 2019 (hasta 27/05/2019) DE LA ACTIVIDAD DE ASESORAMIENTO DE VICENT MARTINES A LOS ALUMNOS DE DOCTORADO PROPUESTOS POR AGATHON Y ASISTIDOS POR ISIC-IVITRA, AL AMPARO DEL CONTRATO DE REF. </t>
  </si>
  <si>
    <t>PRIMERA APORTACIÓN 2019 DE LA ACTIVIDAD DE ASESORAMIENTO DE VICENT MARTINES A LOS ALUMNOS DE DOCTORADO PROPUESTOS POR AGATHON Y ASISTIDOS POR ISIC-IVITRA, AL AMPARO DEL CONTRATO DE REF. AGATHON1-19AD</t>
  </si>
  <si>
    <t>QUINTA APORTACIÓN 2019  DE LA ACTIVIDAD DE ASESORAMIENTO DE VICENT MARTINES A LOS ALUMNOS DE DOCTORADO PROPUESTOS POR AGATHON Y ASISTIDOS POR ISIC-IVITRA, AL AMPARO DEL CONTRATO DE REF. AGATHON1-19AD</t>
  </si>
  <si>
    <t>Reintegro de Nómina del mes de agosto de 2019</t>
  </si>
  <si>
    <t xml:space="preserve">SEGUNDA APORTACIÓN 2019 DE LA ACTIVIDAD DE ASESORAMIENTO DE VICENT MARTINES A LOS ALUMNOS DE DOCTORADO PROPUESTOS POR AGATHON Y ASISTIDOS POR ISIC-IVITRA, AL AMPARO DEL CONTRATO </t>
  </si>
  <si>
    <t>SÉPTIMA APORTACIÓN 2019 (hasta 27/05/2019) DE LA ACTIVIDAD DE ASESORAMIENTO DE VICENT MARTINES A LOS ALUMNOS DE DOCTORADO PROPUESTOS POR AGATHON Y ASISTIDOS POR ISIC-IVITRA, AL AMPARO DEL CONTRATO DE REF. AGATHON1-19AD</t>
  </si>
  <si>
    <t xml:space="preserve">SEXTA APORTACIÓN 2019  DE LA ACTIVIDAD DE ASESORAMIENTO DE VICENT MARTINES A LOS ALUMNOS DE DOCTORADO PROPUESTOS POR AGATHON Y ASISTIDOS POR ISIC-IVITRA, AL AMPARO DEL CONTRATO DE </t>
  </si>
  <si>
    <t>TERCERA APORTACIÓN 2019 (hasta 27/05/2019) DE LA ACTIVIDAD DE ASESORAMIENTO DE VICENT MARTINES A LOS ALUMNOS DE DOCTORADO PROPUESTOS POR AGATHON Y ASISTIDOS POR ISIC-IVITRA, AL AMPARO DEL CONTRATO DE REF. AGATHON1-19AD</t>
  </si>
  <si>
    <t xml:space="preserve">UNDÉCIMA APORTACIÓN 2019 (hasta 27/05/2019) DE LA ACTIVIDAD DE ASESORAMIENTO DE VICENT MARTINES A LOS ALUMNOS DE DOCTORADO PROPUESTOS POR AGATHON Y ASISTIDOS POR ISIC-IVITRA, AL AMPARO DEL CONTRATO DE REF. </t>
  </si>
  <si>
    <t>34.20.6C.00.12</t>
  </si>
  <si>
    <t xml:space="preserve">DESENVOLUPAMENT D'INTERFÍCIE DE PROCESSAMENT INFORMÀTIC DEL WEB DEL CODOLVA PER L'ISIC-IVITRA DE LAUNIVERSITAT D'ALACANT </t>
  </si>
  <si>
    <t>34.20.6C.00.13</t>
  </si>
  <si>
    <t xml:space="preserve">SUBVENCIÓN PARA FINANCIACIÓN DE PROYECTO DENOMINADO: CONSTITUCIÓ D¿UN CORPUS  TEXTUAL PER A UNA GRAMÀTICA  DEL CATALÀ MODERN. </t>
  </si>
  <si>
    <t>Convenio de Colaboración 2016/19(50% gener-setembre).</t>
  </si>
  <si>
    <t>REINTEGRO CUOTA PATRONAL CORRESPONDIENTE AL MES DE DICIEMBRE DE 2019</t>
  </si>
  <si>
    <t>REINTEGRO CUOTA PATRONAL CORRESPONDIENTE AL MES DE NOVIEMBRE 2019.</t>
  </si>
  <si>
    <t>34.20.6M.00.09</t>
  </si>
  <si>
    <t xml:space="preserve">MECENATGE DE LES ACTIVITATS D'ORGANITZACIÓ I REALITZACIÓ DE RECERCA I TRADUCCIONS DE CLÀSSICS VALENCIANS MEDIEVALS I DEL RENAIXEMENT </t>
  </si>
  <si>
    <t>LIBERADOS EL 18/03/19, ANUALIDAD 2019 PROYECTOS I+D (PIA1) N EXPEDIENTE: PIA12017-1 -2 ANUALIDAD REFERENCIA: FFI2017-86248-P. REF. ORDENANTE:  27402219310015467.</t>
  </si>
  <si>
    <t>34.20.6P.00.14</t>
  </si>
  <si>
    <t xml:space="preserve">AORG - ORGANITZACIÓ CONGRESSOS </t>
  </si>
  <si>
    <t>34.20.6P.00.15</t>
  </si>
  <si>
    <t>34.20.6P.00.16</t>
  </si>
  <si>
    <t>34.20.6P.00.17</t>
  </si>
  <si>
    <t>PARA EL PAGO DE LA ANUALIDAD 2019. PROYECTOS I+D (PIA 1) N EXPEDIENTE: PIA 12018 - 1- 1 ANUALIDAD REFERENCIA: PGC2018 - 099399 - B - I00. REFERENCIA DEL ORDENANTE PARA EL BENEFICIARIO:00173219310010718 - 2019/009173</t>
  </si>
  <si>
    <t>PARA PAGO ANUALIDAD 2019 CONVOCATORIA PGC 2018 PROYECTOS I+D (PIA 1) N EXPEDIENTE: PIA 12018-1-1 ANUALIDAD REFERENCIA: PGC2018-099399-B-10 REFERNCIA DEL ORDENANTE PARA EL BENEFICIARIO: 27402219310024687</t>
  </si>
  <si>
    <t>34.20.2E.00.08</t>
  </si>
  <si>
    <t>REINTEGRO CUOTA PATRONAL CORRESPONDIENTE AL MES DE OCTUBRE DE 2019.</t>
  </si>
  <si>
    <t>Liquidación  PLAN GD55 curso ''V CURS DE LITERATURA POPULAR. LITERATURA POPULAR, CIÈNCIA I PENSAMENT MÀGIC'' ORDEN 5435</t>
  </si>
  <si>
    <t>Mangas Navarro, Natalia Anaís </t>
  </si>
  <si>
    <t>La criança y virtuosa dotrina de Pedro de Gracia Dei: estudio y edición crítica </t>
  </si>
  <si>
    <t>22/07/2020 </t>
  </si>
  <si>
    <t>21687362H</t>
  </si>
  <si>
    <t>ANTOLI MARTINEZ, JORDI MANUEL</t>
  </si>
  <si>
    <t>36565677R</t>
  </si>
  <si>
    <t>MARCILLAS PIQUER, ISABEL</t>
  </si>
  <si>
    <t>COD DEP</t>
  </si>
  <si>
    <t>vivos</t>
  </si>
  <si>
    <t>53232706B</t>
  </si>
  <si>
    <t>BAILE LOPEZ, EDUARD</t>
  </si>
  <si>
    <t>Ferrando Morales, Àngel Lluís </t>
  </si>
  <si>
    <t>EL TIRANT LO BLANC FET MÚSICA: LES COMPOSICIONS MUSICALS INSPIRADES EN EL TIRANT LO BLANC </t>
  </si>
  <si>
    <t>04/11/2020 </t>
  </si>
  <si>
    <t>Escolano Marín, Xènia </t>
  </si>
  <si>
    <t>Diccionari electrònic bilingüe català&gt;anglés de locucions referencials idiomàtiques de somatismes </t>
  </si>
  <si>
    <t>22/07/2021 </t>
  </si>
  <si>
    <t xml:space="preserve">Atención durante 1r semestre de 2020 a estudiantes de 4º año. </t>
  </si>
  <si>
    <t>CUARTA APORTACIÓN 2020. DE LA ACTIVIDAD DE ASESORAMIENTO DE VICENT MARTINES A LOS ALUMNOS DE DOCTORADO PROPUESTOS POR AGATHON Y ASISTIDOS POR ISIC-IVITRA, AL AMPARO DEL CONTRATO DE REF. AGATHON1-19AD</t>
  </si>
  <si>
    <t>DÉCIMA APORTACIÓN 2020 (periodo hasta 10 de julio de 2020) DE LA ACTIVIDAD DE ASESORAMIENTO DE VICENT MARTINES A LOS ALUMNOS DE DOCTORADO PROPUESTOS POR AGATHON Y ASISTIDOS POR ISIC-IVITRA, AL AMPARO DEL CONTRATO DE REF. AGATHON1-19AD</t>
  </si>
  <si>
    <t>DUODÉCIMA APORTACIÓN 2020. (periodo hasta 10 de julio de 2020) DE LA ACTIVIDAD DE ASESORAMIENTO DE VICENT MARTINES A LOS ALUMNOS DE DOCTORADO PROPUESTOS POR AGATHON Y ASISTIDOS POR ISIC-IVITRA, AL AMPARO DEL CONTRATO DE REF. AGATHON1-19AD</t>
  </si>
  <si>
    <t>NOVENA APORTACIÓN 2020 (periodo hasta 10 de julio de 2020) DE LA ACTIVIDAD DE ASESORAMIENTO DE VICENT MARTINES A LOS ALUMNOS DE DOCTORADO PROPUESTOS POR AGATHON Y ASISTIDOS POR ISIC-IVITRA, AL AMPARO DEL CONTRATO DE REF. AGATHON1-19AD</t>
  </si>
  <si>
    <t>OCTAVA APORTACIÓN 2020 (periodo hasta 10 de julio de 2020) DE LA ACTIVIDAD DE ASESORAMIENTO DE VICENT MARTINES A LOS ALUMNOS DE DOCTORADO PROPUESTOS POR AGATHON Y ASISTIDOS POR ISIC-IVITRA, AL AMPARO DEL CONTRATO DE REF. AGATHON1-19AD</t>
  </si>
  <si>
    <t xml:space="preserve">PRIMERA APORTACIÓN 2020 DE LA ACTIVIDAD DE ASESORAMIENTO DE VICENT MARTINES A LOS ALUMNOS DE DOCTORADO PROPUESTOS POR AGATHON Y ASISTIDOS POR ISIC-IVITRA, AL AMPARO DEL CONTRATO DE REF. AGATHON1-19AD   </t>
  </si>
  <si>
    <t>QUINTA APORTACIÓN 2020. DE LA ACTIVIDAD DE ASESORAMIENTO DE VICENT MARTINES A LOS ALUMNOS DE DOCTORADO PROPUESTOS POR AGATHON Y ASISTIDOS POR ISIC-IVITRA, AL AMPARO DEL CONTRATO DE REF. AGATHON1-19AD</t>
  </si>
  <si>
    <t>SEGUNDA APORTACIÓN 2020.  DE LA ACTIVIDAD DE ASESORAMIENTO DE VICENT MARTINES A LOS ALUMNOS DE DOCTORADO PROPUESTOS POR AGATHON Y ASISTIDOS POR ISIC-IVITRA, AL AMPARO DEL CONTRATO DE REF. AGATHON1-19AD</t>
  </si>
  <si>
    <t>SÉPTIMA APORTACIÓN 2020 (periodo hasta 10 de julio de 2020) DE LA ACTIVIDAD DE ASESORAMIENTO DE VICENT MARTINES A LOS ALUMNOS DE DOCTORADO PROPUESTOS POR AGATHON Y ASISTIDOS POR ISIC-IVITRA, AL AMPARO DEL CONTRATO DE REF. AGATON1-19AD</t>
  </si>
  <si>
    <t>SEXTA APORTACIÓN 2020 DE LA ACTIVIDAD DE ASESORAMIENTO DE VICENT MARTINES A LOS ALUMNOS DE DOCTORADO PROPUESTOS POR AGATHON Y ASISTIDOS POR ISIC-IVITRA, AL AMPARO DEL CONTRATO DE REF. AGATHON1-19AD</t>
  </si>
  <si>
    <t>TERCERA APORTACIÓN 2020.  DE LA ACTIVIDAD DE ASESORAMIENTO DE VICENT MARTINES A LOS ALUMNOS DE DOCTORADO PROPUESTOS POR AGATHON Y ASISTIDOS POR ISIC-IVITRA, AL AMPARO DEL CONTRATO DE REF. AGATHON1-19AD</t>
  </si>
  <si>
    <t>UNDÉCIMA APORTACIÓN 2020. (periodo hasta 10 de julio de 2020) DE LA ACTIVIDAD DE ASESORAMIENTO DE VICENT MARTINES A LOS ALUMNOS DE DOCTORADO PROPUESTOS POR AGATHON Y ASISTIDOS POR ISIC-IVITRA, AL AMPARO DEL CONTRATO DE REF. AGATHON1-19AD</t>
  </si>
  <si>
    <t>34.20.6C.00.14</t>
  </si>
  <si>
    <t>APORTACIÓ 2020 INSTITUT D'ESTUDIS CATALANS.</t>
  </si>
  <si>
    <t>CONVENIO DE COLABORACIÓN 2016/19  CO A UNIVERSITAT D ALACANT (ESPAÑA). 2 PAGAMENTO  2019 (FIN CONVENIO). 0011720191120007383 Q0332001G 010000.</t>
  </si>
  <si>
    <t>CONVENIO DE COLABORACION 2019/22 CO A UNIVERSITAT D ALACANT. 2 pagamento</t>
  </si>
  <si>
    <t>CONVENIO DE COLABORACIÓN 2019/22 COA UNIVERSITAT D ALACANT (ESPAÑA). PAGAMENTO 2019. 0011720191120006965 Q0332001G 010000. EL DEPTO DE FILOLOGÍA CATALA INFORMA QUE CORRESPONDE AL "SEGON PAGAMENT (OCTUBRE-DESEMBRE 2019) CONVENIO DE COLABORACIÓN ENTRE UNIVERSIDAD DE ALICANTE I XUNTA DE GALICIA (2016-2019).</t>
  </si>
  <si>
    <t>Convenio de colaboración 2019/22 COA Universitat d'Alacant</t>
  </si>
  <si>
    <t xml:space="preserve">LIBERADOS EL 18/02/2020, ANUALIDAD 2020 PROYECTOS I+D (PIA 1) N EXPEDIENTE: PIA12017-1-3 ANUALIDAD REFERENCIA:FFI2017-86248-P. </t>
  </si>
  <si>
    <t>LIBERADOS EL 30/06/2020, ANUALIDAD 2020 PROYECTOS / I+D (PIA1) N EXPEDIENTE: PIA12018-1 - 2 ANUAL / IDAD REFERENCIA: PGC2018-099399-B-I00 / GOVT / 27402220310030696</t>
  </si>
  <si>
    <t xml:space="preserve">Plan GF10- 2020-VI CURS DE LITERATURA POPULAR. «LITERATURA POPULAR, GASTRONOMIA I DIETA </t>
  </si>
  <si>
    <t>Cód. org. aplic.</t>
  </si>
  <si>
    <t>Descripción justificante</t>
  </si>
  <si>
    <t xml:space="preserve">DECIMOCUARTA APORTACIÓN (2021) DE LA ACTIVIDAD DE ASESORAMIENTO DE VICENT MARTINES A LOS ALUMNOS DE DOCTORADO PROPUESTOS POR AGATHON Y ASISTIDOS POR ISIC-IVITRA, AL AMPARO DEL CONTRATO DE REF. AGATHON1-19AD </t>
  </si>
  <si>
    <t xml:space="preserve">DÉCIMA APORTACIÓN (2021) DE LA ACTIVIDAD DE ASESORAMIENTO DE VICENT MARTINES A LOS ALUMNOS DE DOCTORADO PROPUESTOS POR AGATHON Y ASISTIDOS POR ISIC-IVITRA, AL AMPARO DEL CONTRATO DE REF. AGATHON1-19AD </t>
  </si>
  <si>
    <t xml:space="preserve">DECIMOQUINTA APORTACIÓN (2021) DE LA ACTIVIDAD DE ASESORAMIENTO DE VICENT MARTINES A LOS ALUMNOS DE DOCTORADO PROPUESTOS POR AGATHON Y ASISTIDOS POR ISIC-IVITRA, AL AMPARO DEL CONTRATO DE REF. AGATHON1-19AD </t>
  </si>
  <si>
    <t xml:space="preserve">UNDÉCIMA APORTACIÓN (2021) DE LA ACTIVIDAD DE ASESORAMIENTO DE VICENT MARTINES A LOS ALUMNOS DE DOCTORADO PROPUESTOS POR AGATHON Y ASISTIDOS POR ISIC-IVITRA, AL AMPARO DEL CONTRATO DE REF. AGATHON1-19AD </t>
  </si>
  <si>
    <t xml:space="preserve">DECIMOTERCERA APORTACIÓN (2021) DE LA ACTIVIDAD DE ASESORAMIENTO DE VICENT MARTINES A LOS ALUMNOS DE DOCTORADO PROPUESTOS POR AGATHON Y ASISTIDOS POR ISIC-IVITRA, AL AMPARO DEL CONTRATO DE REF. AGATHON1-19AD </t>
  </si>
  <si>
    <t xml:space="preserve">DUODÉCIMA APORTACIÓN (2021) DE LA ACTIVIDAD DE ASESORAMIENTO DE VICENT MARTINES A LOS ALUMNOS DE DOCTORADO PROPUESTOS POR AGATHON Y ASISTIDOS POR ISIC-IVITRA, AL AMPARO DEL CONTRATO DE REF. AGATHON1-19AD </t>
  </si>
  <si>
    <t xml:space="preserve">CUARTA APORTACIÓN (2021) DE LA ACTIVIDAD DE ASESORAMIENTO DE VICENT MARTINES A LOS ALUMNOS DE DOCTORADO PROPUESTOS POR AGATHON Y ASISTIDOS POR ISIC-IVITRA, AL AMPARO DEL CONTRATO DE REF. AGATHON1-19AD </t>
  </si>
  <si>
    <t xml:space="preserve">SEGUNDA APORTACIÓN (2021) DE LA ACTIVIDAD DE ASESORAMIENTO DE VICENT MARTINES A LOS ALUMNOS DE DOCTORADO PROPUESTOS POR AGATHON Y ASISTIDOS POR ISIC-IVITRA, AL AMPARO DEL CONTRATO DE REF. AGATHON1-19AD </t>
  </si>
  <si>
    <t xml:space="preserve">NOVENA APORTACIÓN (2021) DE LA ACTIVIDAD DE ASESORAMIENTO DE VICENT MARTINES A LOS ALUMNOS DE DOCTORADO PROPUESTOS POR AGATHON Y ASISTIDOS POR ISIC-IVITRA, AL AMPARO DEL CONTRATO DE REF. AGATHON1-19AD </t>
  </si>
  <si>
    <t xml:space="preserve">SÉPTIMA APORTACIÓN (2021) DE LA ACTIVIDAD DE ASESORAMIENTO DE VICENT MARTINES A LOS ALUMNOS DE DOCTORADO PROPUESTOS POR AGATHON Y ASISTIDOS POR ISIC-IVITRA, AL AMPARO DEL CONTRATO DE REF. AGATHON1-19AD </t>
  </si>
  <si>
    <t xml:space="preserve">OCTAVA APORTACIÓN (2021) DE LA ACTIVIDAD DE ASESORAMIENTO DE VICENT MARTINES A LOS ALUMNOS DE DOCTORADO PROPUESTOS POR AGATHON Y ASISTIDOS POR ISIC-IVITRA, AL AMPARO DEL CONTRATO DE REF. AGATHON1-19AD </t>
  </si>
  <si>
    <t xml:space="preserve">QUINTA APORTACIÓN (2021) DE LA ACTIVIDAD DE ASESORAMIENTO DE VICENT MARTINES A LOS ALUMNOS DE DOCTORADO PROPUESTOS POR AGATHON Y ASISTIDOS POR ISIC-IVITRA, AL AMPARO DEL CONTRATO DE REF. AGATHON1-19AD </t>
  </si>
  <si>
    <t xml:space="preserve">TERCERA APORTACIÓN (2021) DE LA ACTIVIDAD DE ASESORAMIENTO DE VICENT MARTINES A LOS ALUMNOS DE DOCTORADO PROPUESTOS POR AGATHON Y ASISTIDOS POR ISIC-IVITRA, AL AMPARO DEL CONTRATO DE REF. AGATHON1-19AD </t>
  </si>
  <si>
    <t xml:space="preserve">SEXTA APORTACIÓN (2021) DE LA ACTIVIDAD DE ASESORAMIENTO DE VICENT MARTINES A LOS ALUMNOS DE DOCTORADO PROPUESTOS POR AGATHON Y ASISTIDOS POR ISIC-IVITRA, AL AMPARO DEL CONTRATO DE REF. AGATHON1-19AD </t>
  </si>
  <si>
    <t xml:space="preserve">PRIMERA APORTACIÓN  (2021) DE LA ACTIVIDAD DE ASESORAMIENTO DE VICENT MARTINES A LOS ALUMNOS DE DOCTORADO PROPUESTOS POR AGATHON Y ASISTIDOS POR ISIC-IVITRA, AL AMPARO DEL CONTRATO DE REF. AGATHON1-19AD </t>
  </si>
  <si>
    <t>CONVENIO DE COLABORACIÓN ENTRE LA CONSELLERIA DE CULTURA Y TURISMO DE LA XUNTA DE GALICIA Y LA UA PARA LA DOCENCIA, LA INVESTIGACIÓN Y LA PROMOCIÓN DE LA LENGUA, LA LITERATURA Y LA CULTURA GALLEGAS.</t>
  </si>
  <si>
    <t>34.20.6M.00.10</t>
  </si>
  <si>
    <t>Activitat formativa al voltant de la figura de Carmelina Sánchez-Cutillas amb motiu de la inauguració de l'exposició itinerant que es podrà visitar al Museu Joan Fuster de Sueca.</t>
  </si>
  <si>
    <t>34.20.6M.00.11</t>
  </si>
  <si>
    <t>ANUALITAT 2021 - CONVENI DE COL·LABORACIÓ EN ACTIVITATS D'INTERÉS GENERAL ENTRE L'AJUNTAMENT D'ALTEA I LA UNIVERSITAT D'ALACANT PER A LA COL·LABORACIÓ EN EL PROJECTE "ALTEA, LA LLUNA EN UN COVE: LLIBRES I RECURSOS EDUCATIUS"</t>
  </si>
  <si>
    <t>LIBERADOS EL 14/05/2021 ANUALIDAD 2021 PROYECTOS I+D (PIA1) N EXPEDIENTE: PIA12017-1-4 ANUALIDAD REFERENCIA: FFI2017-86248-P</t>
  </si>
  <si>
    <t xml:space="preserve">PGC2018-099399-B-I00 </t>
  </si>
  <si>
    <t>Sin ingresos de formación en 2021</t>
  </si>
  <si>
    <t>21381421E </t>
  </si>
  <si>
    <t>Antón Álvarez de Cienfuegos, María </t>
  </si>
  <si>
    <t>"LA TRANSMISSIÓ FAMILIAR DEL CATALÀ A LA CATALUNYA DEL NORD" </t>
  </si>
  <si>
    <t>14/12/2021 </t>
  </si>
  <si>
    <t>21418561H </t>
  </si>
  <si>
    <t>SEGURA I LLOPEZ, CARLES</t>
  </si>
  <si>
    <t>22146053C</t>
  </si>
  <si>
    <t>MAESTRE BROTONS, ANTONI</t>
  </si>
  <si>
    <t>10.23</t>
  </si>
  <si>
    <t>30</t>
  </si>
  <si>
    <t>20</t>
  </si>
  <si>
    <t>44762589N</t>
  </si>
  <si>
    <t>SANCHEZ LOPEZ, ELENA</t>
  </si>
  <si>
    <t>Total ingresos investigación 2019, 2020 y 2021</t>
  </si>
  <si>
    <t>Total ingresos formación 2019 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</si>
</sst>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1" fillId="0" borderId="0" xfId="0" applyNumberFormat="1" applyFont="1"/>
    <xf numFmtId="0" fontId="11" fillId="6" borderId="2" xfId="0" applyFont="1" applyFill="1" applyBorder="1"/>
    <xf numFmtId="0" fontId="11" fillId="6" borderId="3" xfId="0" applyFont="1" applyFill="1" applyBorder="1" applyAlignment="1">
      <alignment horizontal="right"/>
    </xf>
    <xf numFmtId="0" fontId="11" fillId="6" borderId="6" xfId="0" applyFont="1" applyFill="1" applyBorder="1"/>
    <xf numFmtId="4" fontId="11" fillId="6" borderId="7" xfId="0" applyNumberFormat="1" applyFont="1" applyFill="1" applyBorder="1"/>
    <xf numFmtId="0" fontId="0" fillId="7" borderId="4" xfId="0" applyFill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4" fontId="0" fillId="7" borderId="5" xfId="0" applyNumberForma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4" xfId="0" applyFill="1" applyBorder="1" applyAlignment="1">
      <alignment vertical="center" wrapText="1"/>
    </xf>
    <xf numFmtId="4" fontId="0" fillId="8" borderId="5" xfId="0" applyNumberFormat="1" applyFill="1" applyBorder="1" applyAlignment="1">
      <alignment vertical="center"/>
    </xf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4" borderId="8" xfId="1" applyFill="1" applyBorder="1"/>
    <xf numFmtId="165" fontId="3" fillId="4" borderId="8" xfId="1" applyNumberFormat="1" applyFill="1" applyBorder="1"/>
    <xf numFmtId="0" fontId="3" fillId="4" borderId="8" xfId="1" applyFill="1" applyBorder="1" applyAlignment="1">
      <alignment horizontal="right"/>
    </xf>
    <xf numFmtId="1" fontId="3" fillId="4" borderId="8" xfId="1" applyNumberFormat="1" applyFill="1" applyBorder="1"/>
    <xf numFmtId="164" fontId="3" fillId="4" borderId="8" xfId="1" applyNumberFormat="1" applyFill="1" applyBorder="1"/>
    <xf numFmtId="0" fontId="3" fillId="0" borderId="1" xfId="1" applyBorder="1"/>
    <xf numFmtId="0" fontId="3" fillId="4" borderId="9" xfId="1" applyFill="1" applyBorder="1"/>
    <xf numFmtId="0" fontId="12" fillId="9" borderId="1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left" vertical="center"/>
    </xf>
    <xf numFmtId="0" fontId="12" fillId="9" borderId="11" xfId="0" applyFont="1" applyFill="1" applyBorder="1" applyAlignment="1">
      <alignment horizontal="left" vertical="center"/>
    </xf>
    <xf numFmtId="0" fontId="12" fillId="9" borderId="12" xfId="0" applyFont="1" applyFill="1" applyBorder="1" applyAlignment="1">
      <alignment horizontal="left" vertic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4" fontId="2" fillId="0" borderId="0" xfId="0" applyNumberFormat="1" applyFont="1"/>
    <xf numFmtId="0" fontId="2" fillId="0" borderId="0" xfId="0" applyFont="1" applyAlignment="1">
      <alignment horizontal="right"/>
    </xf>
    <xf numFmtId="0" fontId="3" fillId="10" borderId="0" xfId="1" applyFont="1" applyFill="1" applyAlignment="1"/>
    <xf numFmtId="0" fontId="3" fillId="10" borderId="0" xfId="1" applyFont="1" applyFill="1" applyAlignment="1">
      <alignment horizontal="right"/>
    </xf>
    <xf numFmtId="164" fontId="4" fillId="10" borderId="0" xfId="1" applyNumberFormat="1" applyFont="1" applyFill="1" applyAlignment="1"/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0" fontId="14" fillId="10" borderId="0" xfId="5" applyFont="1" applyFill="1"/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showGridLines="0" tabSelected="1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27" sqref="A27:U2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8" t="s">
        <v>17</v>
      </c>
      <c r="L1" s="9" t="s">
        <v>18</v>
      </c>
      <c r="M1" s="10" t="s">
        <v>19</v>
      </c>
      <c r="N1" s="11" t="s">
        <v>20</v>
      </c>
      <c r="O1" s="12" t="s">
        <v>21</v>
      </c>
      <c r="P1" s="11" t="s">
        <v>22</v>
      </c>
      <c r="Q1" s="12" t="s">
        <v>23</v>
      </c>
      <c r="R1" s="11" t="s">
        <v>24</v>
      </c>
      <c r="S1" s="11" t="s">
        <v>25</v>
      </c>
      <c r="T1" s="11" t="s">
        <v>26</v>
      </c>
      <c r="U1" s="11" t="s">
        <v>27</v>
      </c>
    </row>
    <row r="2" spans="1:21" x14ac:dyDescent="0.2">
      <c r="A2" s="37" t="s">
        <v>41</v>
      </c>
      <c r="B2" s="37" t="s">
        <v>42</v>
      </c>
      <c r="C2" s="37" t="s">
        <v>43</v>
      </c>
      <c r="D2" s="37" t="s">
        <v>44</v>
      </c>
      <c r="E2" s="37" t="s">
        <v>45</v>
      </c>
      <c r="F2" s="37" t="s">
        <v>46</v>
      </c>
      <c r="G2" s="37" t="s">
        <v>60</v>
      </c>
      <c r="H2" s="37" t="s">
        <v>28</v>
      </c>
      <c r="I2" s="37" t="s">
        <v>41</v>
      </c>
      <c r="J2" s="37" t="s">
        <v>42</v>
      </c>
      <c r="K2" s="38">
        <v>0.5</v>
      </c>
      <c r="L2" s="37" t="s">
        <v>51</v>
      </c>
      <c r="M2" s="37">
        <v>2016</v>
      </c>
      <c r="N2" s="37" t="s">
        <v>52</v>
      </c>
      <c r="O2" s="39" t="s">
        <v>29</v>
      </c>
      <c r="P2" s="37" t="s">
        <v>30</v>
      </c>
      <c r="Q2" s="39" t="s">
        <v>30</v>
      </c>
      <c r="R2" s="40">
        <v>50</v>
      </c>
      <c r="S2" s="38">
        <v>0.25</v>
      </c>
      <c r="T2" s="38">
        <v>0.25</v>
      </c>
      <c r="U2" s="38">
        <v>0</v>
      </c>
    </row>
    <row r="3" spans="1:21" x14ac:dyDescent="0.2">
      <c r="A3" s="37" t="s">
        <v>41</v>
      </c>
      <c r="B3" s="37" t="s">
        <v>42</v>
      </c>
      <c r="C3" s="37" t="s">
        <v>43</v>
      </c>
      <c r="D3" s="37" t="s">
        <v>61</v>
      </c>
      <c r="E3" s="37" t="s">
        <v>62</v>
      </c>
      <c r="F3" s="37" t="s">
        <v>49</v>
      </c>
      <c r="G3" s="37" t="s">
        <v>60</v>
      </c>
      <c r="H3" s="37" t="s">
        <v>31</v>
      </c>
      <c r="I3" s="37" t="s">
        <v>41</v>
      </c>
      <c r="J3" s="37" t="s">
        <v>42</v>
      </c>
      <c r="K3" s="38">
        <v>1</v>
      </c>
      <c r="L3" s="37" t="s">
        <v>51</v>
      </c>
      <c r="M3" s="37">
        <v>2016</v>
      </c>
      <c r="N3" s="37" t="s">
        <v>52</v>
      </c>
      <c r="O3" s="39" t="s">
        <v>29</v>
      </c>
      <c r="P3" s="37" t="s">
        <v>30</v>
      </c>
      <c r="Q3" s="39" t="s">
        <v>30</v>
      </c>
      <c r="R3" s="40">
        <v>50</v>
      </c>
      <c r="S3" s="38">
        <v>0.5</v>
      </c>
      <c r="T3" s="38">
        <v>0.5</v>
      </c>
      <c r="U3" s="38">
        <v>0</v>
      </c>
    </row>
    <row r="4" spans="1:21" x14ac:dyDescent="0.2">
      <c r="A4" s="37" t="s">
        <v>41</v>
      </c>
      <c r="B4" s="37" t="s">
        <v>42</v>
      </c>
      <c r="C4" s="37" t="s">
        <v>43</v>
      </c>
      <c r="D4" s="37" t="s">
        <v>67</v>
      </c>
      <c r="E4" s="37" t="s">
        <v>68</v>
      </c>
      <c r="F4" s="37" t="s">
        <v>48</v>
      </c>
      <c r="G4" s="37" t="s">
        <v>53</v>
      </c>
      <c r="H4" s="37" t="s">
        <v>28</v>
      </c>
      <c r="I4" s="37" t="s">
        <v>41</v>
      </c>
      <c r="J4" s="37" t="s">
        <v>42</v>
      </c>
      <c r="K4" s="38">
        <v>0.5</v>
      </c>
      <c r="L4" s="37" t="s">
        <v>51</v>
      </c>
      <c r="M4" s="37">
        <v>2016</v>
      </c>
      <c r="N4" s="37" t="s">
        <v>52</v>
      </c>
      <c r="O4" s="39" t="s">
        <v>29</v>
      </c>
      <c r="P4" s="37" t="s">
        <v>30</v>
      </c>
      <c r="Q4" s="39" t="s">
        <v>30</v>
      </c>
      <c r="R4" s="40">
        <v>50</v>
      </c>
      <c r="S4" s="38">
        <v>0.25</v>
      </c>
      <c r="T4" s="38">
        <v>0.25</v>
      </c>
      <c r="U4" s="38">
        <v>0</v>
      </c>
    </row>
    <row r="5" spans="1:21" x14ac:dyDescent="0.2">
      <c r="A5" s="37" t="s">
        <v>41</v>
      </c>
      <c r="B5" s="37" t="s">
        <v>42</v>
      </c>
      <c r="C5" s="37" t="s">
        <v>43</v>
      </c>
      <c r="D5" s="37" t="s">
        <v>67</v>
      </c>
      <c r="E5" s="37" t="s">
        <v>68</v>
      </c>
      <c r="F5" s="37" t="s">
        <v>48</v>
      </c>
      <c r="G5" s="37" t="s">
        <v>32</v>
      </c>
      <c r="H5" s="37" t="s">
        <v>28</v>
      </c>
      <c r="I5" s="37" t="s">
        <v>41</v>
      </c>
      <c r="J5" s="37" t="s">
        <v>42</v>
      </c>
      <c r="K5" s="38">
        <v>0.5</v>
      </c>
      <c r="L5" s="37" t="s">
        <v>51</v>
      </c>
      <c r="M5" s="37">
        <v>2016</v>
      </c>
      <c r="N5" s="37" t="s">
        <v>30</v>
      </c>
      <c r="O5" s="39" t="s">
        <v>30</v>
      </c>
      <c r="P5" s="37" t="s">
        <v>30</v>
      </c>
      <c r="Q5" s="39" t="s">
        <v>30</v>
      </c>
      <c r="R5" s="40">
        <v>100</v>
      </c>
      <c r="S5" s="38">
        <v>0.5</v>
      </c>
      <c r="T5" s="38">
        <v>0</v>
      </c>
      <c r="U5" s="38">
        <v>0</v>
      </c>
    </row>
    <row r="6" spans="1:21" x14ac:dyDescent="0.2">
      <c r="A6" s="37" t="s">
        <v>35</v>
      </c>
      <c r="B6" s="37" t="s">
        <v>36</v>
      </c>
      <c r="C6" s="37" t="s">
        <v>37</v>
      </c>
      <c r="D6" s="37" t="s">
        <v>65</v>
      </c>
      <c r="E6" s="37" t="s">
        <v>66</v>
      </c>
      <c r="F6" s="37" t="s">
        <v>40</v>
      </c>
      <c r="G6" s="37" t="s">
        <v>54</v>
      </c>
      <c r="H6" s="37" t="s">
        <v>28</v>
      </c>
      <c r="I6" s="37" t="s">
        <v>41</v>
      </c>
      <c r="J6" s="37" t="s">
        <v>42</v>
      </c>
      <c r="K6" s="38">
        <v>0.5</v>
      </c>
      <c r="L6" s="37" t="s">
        <v>51</v>
      </c>
      <c r="M6" s="37">
        <v>2016</v>
      </c>
      <c r="N6" s="37" t="s">
        <v>52</v>
      </c>
      <c r="O6" s="39" t="s">
        <v>29</v>
      </c>
      <c r="P6" s="37" t="s">
        <v>30</v>
      </c>
      <c r="Q6" s="39" t="s">
        <v>30</v>
      </c>
      <c r="R6" s="40">
        <v>50</v>
      </c>
      <c r="S6" s="38">
        <v>0.25</v>
      </c>
      <c r="T6" s="38">
        <v>0.25</v>
      </c>
      <c r="U6" s="38">
        <v>0</v>
      </c>
    </row>
    <row r="7" spans="1:21" x14ac:dyDescent="0.2">
      <c r="A7" s="37" t="s">
        <v>35</v>
      </c>
      <c r="B7" s="37" t="s">
        <v>36</v>
      </c>
      <c r="C7" s="37" t="s">
        <v>37</v>
      </c>
      <c r="D7" s="37" t="s">
        <v>63</v>
      </c>
      <c r="E7" s="37" t="s">
        <v>64</v>
      </c>
      <c r="F7" s="37" t="s">
        <v>34</v>
      </c>
      <c r="G7" s="37" t="s">
        <v>54</v>
      </c>
      <c r="H7" s="37" t="s">
        <v>31</v>
      </c>
      <c r="I7" s="37" t="s">
        <v>41</v>
      </c>
      <c r="J7" s="37" t="s">
        <v>42</v>
      </c>
      <c r="K7" s="38">
        <v>1</v>
      </c>
      <c r="L7" s="37" t="s">
        <v>51</v>
      </c>
      <c r="M7" s="37">
        <v>2016</v>
      </c>
      <c r="N7" s="37" t="s">
        <v>52</v>
      </c>
      <c r="O7" s="39" t="s">
        <v>29</v>
      </c>
      <c r="P7" s="37" t="s">
        <v>30</v>
      </c>
      <c r="Q7" s="39" t="s">
        <v>30</v>
      </c>
      <c r="R7" s="40">
        <v>50</v>
      </c>
      <c r="S7" s="38">
        <v>0.5</v>
      </c>
      <c r="T7" s="38">
        <v>0.5</v>
      </c>
      <c r="U7" s="38">
        <v>0</v>
      </c>
    </row>
    <row r="8" spans="1:21" x14ac:dyDescent="0.2">
      <c r="A8" s="37" t="s">
        <v>35</v>
      </c>
      <c r="B8" s="37" t="s">
        <v>36</v>
      </c>
      <c r="C8" s="37" t="s">
        <v>37</v>
      </c>
      <c r="D8" s="37" t="s">
        <v>57</v>
      </c>
      <c r="E8" s="37" t="s">
        <v>58</v>
      </c>
      <c r="F8" s="37" t="s">
        <v>34</v>
      </c>
      <c r="G8" s="37" t="s">
        <v>59</v>
      </c>
      <c r="H8" s="37" t="s">
        <v>28</v>
      </c>
      <c r="I8" s="37" t="s">
        <v>41</v>
      </c>
      <c r="J8" s="37" t="s">
        <v>42</v>
      </c>
      <c r="K8" s="38">
        <v>0.5</v>
      </c>
      <c r="L8" s="37" t="s">
        <v>51</v>
      </c>
      <c r="M8" s="37">
        <v>2016</v>
      </c>
      <c r="N8" s="37" t="s">
        <v>52</v>
      </c>
      <c r="O8" s="39" t="s">
        <v>29</v>
      </c>
      <c r="P8" s="37" t="s">
        <v>30</v>
      </c>
      <c r="Q8" s="39" t="s">
        <v>30</v>
      </c>
      <c r="R8" s="40">
        <v>50</v>
      </c>
      <c r="S8" s="38">
        <v>0.25</v>
      </c>
      <c r="T8" s="38">
        <v>0.25</v>
      </c>
      <c r="U8" s="38">
        <v>0</v>
      </c>
    </row>
    <row r="9" spans="1:21" x14ac:dyDescent="0.2">
      <c r="A9" s="37" t="s">
        <v>35</v>
      </c>
      <c r="B9" s="37" t="s">
        <v>36</v>
      </c>
      <c r="C9" s="37" t="s">
        <v>38</v>
      </c>
      <c r="D9" s="37" t="s">
        <v>83</v>
      </c>
      <c r="E9" s="37" t="s">
        <v>84</v>
      </c>
      <c r="F9" s="37" t="s">
        <v>85</v>
      </c>
      <c r="G9" s="37" t="s">
        <v>55</v>
      </c>
      <c r="H9" s="37" t="s">
        <v>31</v>
      </c>
      <c r="I9" s="37" t="s">
        <v>41</v>
      </c>
      <c r="J9" s="37" t="s">
        <v>42</v>
      </c>
      <c r="K9" s="38">
        <v>1</v>
      </c>
      <c r="L9" s="37" t="s">
        <v>51</v>
      </c>
      <c r="M9" s="37">
        <v>2017</v>
      </c>
      <c r="N9" s="37" t="s">
        <v>52</v>
      </c>
      <c r="O9" s="39" t="s">
        <v>29</v>
      </c>
      <c r="P9" s="37" t="s">
        <v>30</v>
      </c>
      <c r="Q9" s="39" t="s">
        <v>30</v>
      </c>
      <c r="R9" s="40">
        <v>50</v>
      </c>
      <c r="S9" s="38">
        <v>0.5</v>
      </c>
      <c r="T9" s="38">
        <v>0.5</v>
      </c>
      <c r="U9" s="38">
        <v>0</v>
      </c>
    </row>
    <row r="10" spans="1:21" x14ac:dyDescent="0.2">
      <c r="A10" s="37" t="s">
        <v>35</v>
      </c>
      <c r="B10" s="37" t="s">
        <v>36</v>
      </c>
      <c r="C10" s="37" t="s">
        <v>37</v>
      </c>
      <c r="D10" s="37" t="s">
        <v>73</v>
      </c>
      <c r="E10" s="37" t="s">
        <v>74</v>
      </c>
      <c r="F10" s="37" t="s">
        <v>75</v>
      </c>
      <c r="G10" s="37" t="s">
        <v>76</v>
      </c>
      <c r="H10" s="37" t="s">
        <v>28</v>
      </c>
      <c r="I10" s="37" t="s">
        <v>41</v>
      </c>
      <c r="J10" s="37" t="s">
        <v>42</v>
      </c>
      <c r="K10" s="38">
        <v>0.5</v>
      </c>
      <c r="L10" s="37" t="s">
        <v>51</v>
      </c>
      <c r="M10" s="37">
        <v>2017</v>
      </c>
      <c r="N10" s="37" t="s">
        <v>52</v>
      </c>
      <c r="O10" s="39" t="s">
        <v>29</v>
      </c>
      <c r="P10" s="37" t="s">
        <v>30</v>
      </c>
      <c r="Q10" s="39" t="s">
        <v>30</v>
      </c>
      <c r="R10" s="40">
        <v>50</v>
      </c>
      <c r="S10" s="38">
        <v>0.25</v>
      </c>
      <c r="T10" s="38">
        <v>0.25</v>
      </c>
      <c r="U10" s="38">
        <v>0</v>
      </c>
    </row>
    <row r="11" spans="1:21" x14ac:dyDescent="0.2">
      <c r="A11" s="37" t="s">
        <v>35</v>
      </c>
      <c r="B11" s="37" t="s">
        <v>36</v>
      </c>
      <c r="C11" s="37" t="s">
        <v>37</v>
      </c>
      <c r="D11" s="37" t="s">
        <v>73</v>
      </c>
      <c r="E11" s="37" t="s">
        <v>74</v>
      </c>
      <c r="F11" s="37" t="s">
        <v>75</v>
      </c>
      <c r="G11" s="37" t="s">
        <v>54</v>
      </c>
      <c r="H11" s="37" t="s">
        <v>28</v>
      </c>
      <c r="I11" s="37" t="s">
        <v>41</v>
      </c>
      <c r="J11" s="37" t="s">
        <v>42</v>
      </c>
      <c r="K11" s="38">
        <v>0.5</v>
      </c>
      <c r="L11" s="37" t="s">
        <v>51</v>
      </c>
      <c r="M11" s="37">
        <v>2017</v>
      </c>
      <c r="N11" s="37" t="s">
        <v>52</v>
      </c>
      <c r="O11" s="39" t="s">
        <v>29</v>
      </c>
      <c r="P11" s="37" t="s">
        <v>30</v>
      </c>
      <c r="Q11" s="39" t="s">
        <v>30</v>
      </c>
      <c r="R11" s="40">
        <v>50</v>
      </c>
      <c r="S11" s="38">
        <v>0.25</v>
      </c>
      <c r="T11" s="38">
        <v>0.25</v>
      </c>
      <c r="U11" s="38">
        <v>0</v>
      </c>
    </row>
    <row r="12" spans="1:21" x14ac:dyDescent="0.2">
      <c r="A12" s="37" t="s">
        <v>35</v>
      </c>
      <c r="B12" s="37" t="s">
        <v>36</v>
      </c>
      <c r="C12" s="37" t="s">
        <v>37</v>
      </c>
      <c r="D12" s="37" t="s">
        <v>86</v>
      </c>
      <c r="E12" s="37" t="s">
        <v>87</v>
      </c>
      <c r="F12" s="37" t="s">
        <v>75</v>
      </c>
      <c r="G12" s="37" t="s">
        <v>54</v>
      </c>
      <c r="H12" s="37" t="s">
        <v>31</v>
      </c>
      <c r="I12" s="37" t="s">
        <v>41</v>
      </c>
      <c r="J12" s="37" t="s">
        <v>42</v>
      </c>
      <c r="K12" s="38">
        <v>1</v>
      </c>
      <c r="L12" s="37" t="s">
        <v>51</v>
      </c>
      <c r="M12" s="37">
        <v>2017</v>
      </c>
      <c r="N12" s="37" t="s">
        <v>52</v>
      </c>
      <c r="O12" s="39" t="s">
        <v>29</v>
      </c>
      <c r="P12" s="37" t="s">
        <v>30</v>
      </c>
      <c r="Q12" s="39" t="s">
        <v>30</v>
      </c>
      <c r="R12" s="40">
        <v>50</v>
      </c>
      <c r="S12" s="38">
        <v>0.5</v>
      </c>
      <c r="T12" s="38">
        <v>0.5</v>
      </c>
      <c r="U12" s="38">
        <v>0</v>
      </c>
    </row>
    <row r="13" spans="1:21" x14ac:dyDescent="0.2">
      <c r="A13" s="37" t="s">
        <v>35</v>
      </c>
      <c r="B13" s="37" t="s">
        <v>36</v>
      </c>
      <c r="C13" s="37" t="s">
        <v>37</v>
      </c>
      <c r="D13" s="37" t="s">
        <v>77</v>
      </c>
      <c r="E13" s="37" t="s">
        <v>78</v>
      </c>
      <c r="F13" s="37" t="s">
        <v>75</v>
      </c>
      <c r="G13" s="37" t="s">
        <v>79</v>
      </c>
      <c r="H13" s="37" t="s">
        <v>31</v>
      </c>
      <c r="I13" s="37" t="s">
        <v>41</v>
      </c>
      <c r="J13" s="37" t="s">
        <v>42</v>
      </c>
      <c r="K13" s="38">
        <v>1</v>
      </c>
      <c r="L13" s="37" t="s">
        <v>51</v>
      </c>
      <c r="M13" s="37">
        <v>2017</v>
      </c>
      <c r="N13" s="37" t="s">
        <v>52</v>
      </c>
      <c r="O13" s="39" t="s">
        <v>29</v>
      </c>
      <c r="P13" s="37" t="s">
        <v>30</v>
      </c>
      <c r="Q13" s="39" t="s">
        <v>30</v>
      </c>
      <c r="R13" s="40">
        <v>50</v>
      </c>
      <c r="S13" s="38">
        <v>0.5</v>
      </c>
      <c r="T13" s="38">
        <v>0.5</v>
      </c>
      <c r="U13" s="38">
        <v>0</v>
      </c>
    </row>
    <row r="14" spans="1:21" x14ac:dyDescent="0.2">
      <c r="A14" s="37" t="s">
        <v>35</v>
      </c>
      <c r="B14" s="37" t="s">
        <v>36</v>
      </c>
      <c r="C14" s="37" t="s">
        <v>37</v>
      </c>
      <c r="D14" s="37" t="s">
        <v>80</v>
      </c>
      <c r="E14" s="37" t="s">
        <v>81</v>
      </c>
      <c r="F14" s="37" t="s">
        <v>82</v>
      </c>
      <c r="G14" s="37" t="s">
        <v>59</v>
      </c>
      <c r="H14" s="37" t="s">
        <v>28</v>
      </c>
      <c r="I14" s="37" t="s">
        <v>41</v>
      </c>
      <c r="J14" s="37" t="s">
        <v>42</v>
      </c>
      <c r="K14" s="38">
        <v>0.5</v>
      </c>
      <c r="L14" s="37" t="s">
        <v>51</v>
      </c>
      <c r="M14" s="37">
        <v>2017</v>
      </c>
      <c r="N14" s="37" t="s">
        <v>52</v>
      </c>
      <c r="O14" s="39" t="s">
        <v>29</v>
      </c>
      <c r="P14" s="37" t="s">
        <v>30</v>
      </c>
      <c r="Q14" s="39" t="s">
        <v>30</v>
      </c>
      <c r="R14" s="40">
        <v>50</v>
      </c>
      <c r="S14" s="38">
        <v>0.25</v>
      </c>
      <c r="T14" s="38">
        <v>0.25</v>
      </c>
      <c r="U14" s="38">
        <v>0</v>
      </c>
    </row>
    <row r="15" spans="1:21" x14ac:dyDescent="0.2">
      <c r="A15" s="37" t="s">
        <v>35</v>
      </c>
      <c r="B15" s="37" t="s">
        <v>36</v>
      </c>
      <c r="C15" s="37" t="s">
        <v>37</v>
      </c>
      <c r="D15" s="37" t="s">
        <v>69</v>
      </c>
      <c r="E15" s="37" t="s">
        <v>70</v>
      </c>
      <c r="F15" s="37" t="s">
        <v>71</v>
      </c>
      <c r="G15" s="37" t="s">
        <v>72</v>
      </c>
      <c r="H15" s="37" t="s">
        <v>28</v>
      </c>
      <c r="I15" s="37" t="s">
        <v>41</v>
      </c>
      <c r="J15" s="37" t="s">
        <v>42</v>
      </c>
      <c r="K15" s="38">
        <v>0.33333333333333331</v>
      </c>
      <c r="L15" s="37" t="s">
        <v>51</v>
      </c>
      <c r="M15" s="37">
        <v>2017</v>
      </c>
      <c r="N15" s="37" t="s">
        <v>30</v>
      </c>
      <c r="O15" s="39" t="s">
        <v>30</v>
      </c>
      <c r="P15" s="37" t="s">
        <v>30</v>
      </c>
      <c r="Q15" s="39" t="s">
        <v>30</v>
      </c>
      <c r="R15" s="40">
        <v>100</v>
      </c>
      <c r="S15" s="38">
        <v>0.33333333333333326</v>
      </c>
      <c r="T15" s="38">
        <v>0</v>
      </c>
      <c r="U15" s="38">
        <v>0</v>
      </c>
    </row>
    <row r="16" spans="1:21" x14ac:dyDescent="0.2">
      <c r="A16" s="37" t="s">
        <v>35</v>
      </c>
      <c r="B16" s="37" t="s">
        <v>36</v>
      </c>
      <c r="C16" s="37" t="s">
        <v>37</v>
      </c>
      <c r="D16" s="37" t="s">
        <v>69</v>
      </c>
      <c r="E16" s="37" t="s">
        <v>70</v>
      </c>
      <c r="F16" s="37" t="s">
        <v>71</v>
      </c>
      <c r="G16" s="37" t="s">
        <v>54</v>
      </c>
      <c r="H16" s="37" t="s">
        <v>28</v>
      </c>
      <c r="I16" s="37" t="s">
        <v>41</v>
      </c>
      <c r="J16" s="37" t="s">
        <v>42</v>
      </c>
      <c r="K16" s="38">
        <v>0.33333333333333331</v>
      </c>
      <c r="L16" s="37" t="s">
        <v>51</v>
      </c>
      <c r="M16" s="37">
        <v>2017</v>
      </c>
      <c r="N16" s="37" t="s">
        <v>52</v>
      </c>
      <c r="O16" s="39" t="s">
        <v>29</v>
      </c>
      <c r="P16" s="37" t="s">
        <v>30</v>
      </c>
      <c r="Q16" s="39" t="s">
        <v>30</v>
      </c>
      <c r="R16" s="40">
        <v>50</v>
      </c>
      <c r="S16" s="38">
        <v>0.16666666666666663</v>
      </c>
      <c r="T16" s="38">
        <v>0.16666666666666663</v>
      </c>
      <c r="U16" s="38">
        <v>0</v>
      </c>
    </row>
    <row r="17" spans="1:21" x14ac:dyDescent="0.2">
      <c r="A17" s="37" t="s">
        <v>35</v>
      </c>
      <c r="B17" s="37" t="s">
        <v>36</v>
      </c>
      <c r="C17" s="37" t="s">
        <v>38</v>
      </c>
      <c r="D17" s="37" t="s">
        <v>95</v>
      </c>
      <c r="E17" s="37" t="s">
        <v>96</v>
      </c>
      <c r="F17" s="37" t="s">
        <v>39</v>
      </c>
      <c r="G17" s="37" t="s">
        <v>97</v>
      </c>
      <c r="H17" s="37" t="s">
        <v>28</v>
      </c>
      <c r="I17" s="37" t="s">
        <v>41</v>
      </c>
      <c r="J17" s="37" t="s">
        <v>42</v>
      </c>
      <c r="K17" s="41">
        <v>0.5</v>
      </c>
      <c r="L17" s="37" t="s">
        <v>51</v>
      </c>
      <c r="M17" s="37">
        <v>2018</v>
      </c>
      <c r="N17" s="37" t="s">
        <v>52</v>
      </c>
      <c r="O17" s="39" t="s">
        <v>29</v>
      </c>
      <c r="P17" s="37" t="s">
        <v>30</v>
      </c>
      <c r="Q17" s="39" t="s">
        <v>30</v>
      </c>
      <c r="R17" s="40">
        <v>50</v>
      </c>
      <c r="S17" s="38">
        <v>0.25</v>
      </c>
      <c r="T17" s="38">
        <v>0.25</v>
      </c>
      <c r="U17" s="38">
        <v>0</v>
      </c>
    </row>
    <row r="18" spans="1:21" x14ac:dyDescent="0.2">
      <c r="A18" s="37" t="s">
        <v>35</v>
      </c>
      <c r="B18" s="37" t="s">
        <v>36</v>
      </c>
      <c r="C18" s="37" t="s">
        <v>37</v>
      </c>
      <c r="D18" s="37" t="s">
        <v>93</v>
      </c>
      <c r="E18" s="37" t="s">
        <v>94</v>
      </c>
      <c r="F18" s="37" t="s">
        <v>33</v>
      </c>
      <c r="G18" s="37" t="s">
        <v>59</v>
      </c>
      <c r="H18" s="37" t="s">
        <v>31</v>
      </c>
      <c r="I18" s="37" t="s">
        <v>41</v>
      </c>
      <c r="J18" s="37" t="s">
        <v>42</v>
      </c>
      <c r="K18" s="41">
        <v>1</v>
      </c>
      <c r="L18" s="37" t="s">
        <v>51</v>
      </c>
      <c r="M18" s="37">
        <v>2018</v>
      </c>
      <c r="N18" s="37" t="s">
        <v>52</v>
      </c>
      <c r="O18" s="39" t="s">
        <v>29</v>
      </c>
      <c r="P18" s="37" t="s">
        <v>30</v>
      </c>
      <c r="Q18" s="39" t="s">
        <v>30</v>
      </c>
      <c r="R18" s="40">
        <v>50</v>
      </c>
      <c r="S18" s="38">
        <v>0.5</v>
      </c>
      <c r="T18" s="38">
        <v>0.5</v>
      </c>
      <c r="U18" s="38">
        <v>0</v>
      </c>
    </row>
    <row r="19" spans="1:21" x14ac:dyDescent="0.2">
      <c r="A19" s="37" t="s">
        <v>35</v>
      </c>
      <c r="B19" s="37" t="s">
        <v>36</v>
      </c>
      <c r="C19" s="37" t="s">
        <v>37</v>
      </c>
      <c r="D19" s="37" t="s">
        <v>90</v>
      </c>
      <c r="E19" s="37" t="s">
        <v>91</v>
      </c>
      <c r="F19" s="37" t="s">
        <v>92</v>
      </c>
      <c r="G19" s="37" t="s">
        <v>59</v>
      </c>
      <c r="H19" s="37" t="s">
        <v>28</v>
      </c>
      <c r="I19" s="37" t="s">
        <v>41</v>
      </c>
      <c r="J19" s="37" t="s">
        <v>42</v>
      </c>
      <c r="K19" s="41">
        <v>0.5</v>
      </c>
      <c r="L19" s="37" t="s">
        <v>51</v>
      </c>
      <c r="M19" s="37">
        <v>2018</v>
      </c>
      <c r="N19" s="37" t="s">
        <v>52</v>
      </c>
      <c r="O19" s="39" t="s">
        <v>29</v>
      </c>
      <c r="P19" s="37" t="s">
        <v>30</v>
      </c>
      <c r="Q19" s="39" t="s">
        <v>30</v>
      </c>
      <c r="R19" s="40">
        <v>50</v>
      </c>
      <c r="S19" s="38">
        <v>0.25</v>
      </c>
      <c r="T19" s="38">
        <v>0.25</v>
      </c>
      <c r="U19" s="38">
        <v>0</v>
      </c>
    </row>
    <row r="20" spans="1:21" x14ac:dyDescent="0.2">
      <c r="A20" s="37" t="s">
        <v>35</v>
      </c>
      <c r="B20" s="37" t="s">
        <v>36</v>
      </c>
      <c r="C20" s="37" t="s">
        <v>37</v>
      </c>
      <c r="D20" s="37" t="s">
        <v>88</v>
      </c>
      <c r="E20" s="37" t="s">
        <v>89</v>
      </c>
      <c r="F20" s="37" t="s">
        <v>47</v>
      </c>
      <c r="G20" s="37" t="s">
        <v>59</v>
      </c>
      <c r="H20" s="37" t="s">
        <v>28</v>
      </c>
      <c r="I20" s="37" t="s">
        <v>41</v>
      </c>
      <c r="J20" s="37" t="s">
        <v>42</v>
      </c>
      <c r="K20" s="41">
        <v>0.5</v>
      </c>
      <c r="L20" s="37" t="s">
        <v>51</v>
      </c>
      <c r="M20" s="37">
        <v>2018</v>
      </c>
      <c r="N20" s="37" t="s">
        <v>52</v>
      </c>
      <c r="O20" s="39" t="s">
        <v>29</v>
      </c>
      <c r="P20" s="37" t="s">
        <v>30</v>
      </c>
      <c r="Q20" s="39" t="s">
        <v>30</v>
      </c>
      <c r="R20" s="40">
        <v>50</v>
      </c>
      <c r="S20" s="38">
        <v>0.25</v>
      </c>
      <c r="T20" s="38">
        <v>0.25</v>
      </c>
      <c r="U20" s="38">
        <v>0</v>
      </c>
    </row>
    <row r="21" spans="1:21" x14ac:dyDescent="0.2">
      <c r="A21" s="42" t="s">
        <v>35</v>
      </c>
      <c r="B21" s="42" t="s">
        <v>36</v>
      </c>
      <c r="C21" s="42" t="s">
        <v>38</v>
      </c>
      <c r="D21" s="42" t="s">
        <v>197</v>
      </c>
      <c r="E21" s="42" t="s">
        <v>198</v>
      </c>
      <c r="F21" s="42" t="s">
        <v>199</v>
      </c>
      <c r="G21" s="42" t="s">
        <v>50</v>
      </c>
      <c r="H21" s="42" t="s">
        <v>28</v>
      </c>
      <c r="I21" s="42" t="s">
        <v>41</v>
      </c>
      <c r="J21" s="42" t="s">
        <v>42</v>
      </c>
      <c r="K21" s="43">
        <v>0.5</v>
      </c>
      <c r="L21" s="42" t="s">
        <v>51</v>
      </c>
      <c r="M21" s="42">
        <v>2019</v>
      </c>
      <c r="N21" s="42" t="s">
        <v>52</v>
      </c>
      <c r="O21" s="44" t="s">
        <v>29</v>
      </c>
      <c r="P21" s="42" t="s">
        <v>30</v>
      </c>
      <c r="Q21" s="44" t="s">
        <v>30</v>
      </c>
      <c r="R21" s="45">
        <v>50</v>
      </c>
      <c r="S21" s="46">
        <v>0.25</v>
      </c>
      <c r="T21" s="46">
        <v>0.25</v>
      </c>
      <c r="U21" s="46">
        <v>0</v>
      </c>
    </row>
    <row r="22" spans="1:21" x14ac:dyDescent="0.2">
      <c r="A22" s="37" t="s">
        <v>35</v>
      </c>
      <c r="B22" s="37" t="s">
        <v>36</v>
      </c>
      <c r="C22" s="37" t="s">
        <v>38</v>
      </c>
      <c r="D22" s="37" t="s">
        <v>208</v>
      </c>
      <c r="E22" s="37" t="s">
        <v>209</v>
      </c>
      <c r="F22" s="37" t="s">
        <v>210</v>
      </c>
      <c r="G22" s="37" t="s">
        <v>261</v>
      </c>
      <c r="H22" s="37" t="s">
        <v>28</v>
      </c>
      <c r="I22" s="37" t="s">
        <v>41</v>
      </c>
      <c r="J22" s="37" t="s">
        <v>42</v>
      </c>
      <c r="K22" s="47">
        <v>0.5</v>
      </c>
      <c r="L22" s="47" t="s">
        <v>51</v>
      </c>
      <c r="M22" s="48">
        <v>2019</v>
      </c>
      <c r="N22" s="37" t="s">
        <v>30</v>
      </c>
      <c r="O22" s="39" t="s">
        <v>30</v>
      </c>
      <c r="P22" s="37" t="s">
        <v>30</v>
      </c>
      <c r="Q22" s="39" t="s">
        <v>30</v>
      </c>
      <c r="R22" s="37">
        <v>100</v>
      </c>
      <c r="S22" s="37">
        <v>0.5</v>
      </c>
      <c r="T22" s="37">
        <v>0</v>
      </c>
      <c r="U22" s="37">
        <v>0</v>
      </c>
    </row>
    <row r="23" spans="1:21" ht="10.8" thickBot="1" x14ac:dyDescent="0.25">
      <c r="A23" s="37" t="s">
        <v>35</v>
      </c>
      <c r="B23" s="37" t="s">
        <v>36</v>
      </c>
      <c r="C23" s="37" t="s">
        <v>38</v>
      </c>
      <c r="D23" s="37" t="s">
        <v>208</v>
      </c>
      <c r="E23" s="37" t="s">
        <v>209</v>
      </c>
      <c r="F23" s="37" t="s">
        <v>210</v>
      </c>
      <c r="G23" s="37" t="s">
        <v>56</v>
      </c>
      <c r="H23" s="37" t="s">
        <v>28</v>
      </c>
      <c r="I23" s="37" t="s">
        <v>41</v>
      </c>
      <c r="J23" s="37" t="s">
        <v>42</v>
      </c>
      <c r="K23" s="47">
        <v>0.5</v>
      </c>
      <c r="L23" s="47" t="s">
        <v>51</v>
      </c>
      <c r="M23" s="48">
        <v>2019</v>
      </c>
      <c r="N23" s="37" t="s">
        <v>52</v>
      </c>
      <c r="O23" s="39" t="s">
        <v>29</v>
      </c>
      <c r="P23" s="37" t="s">
        <v>30</v>
      </c>
      <c r="Q23" s="39" t="s">
        <v>30</v>
      </c>
      <c r="R23" s="37">
        <v>50</v>
      </c>
      <c r="S23" s="37">
        <v>0.25</v>
      </c>
      <c r="T23" s="37">
        <v>0.25</v>
      </c>
      <c r="U23" s="37">
        <v>0</v>
      </c>
    </row>
    <row r="24" spans="1:21" ht="10.8" thickBot="1" x14ac:dyDescent="0.25">
      <c r="A24" s="49" t="s">
        <v>35</v>
      </c>
      <c r="B24" s="49" t="s">
        <v>36</v>
      </c>
      <c r="C24" s="49" t="s">
        <v>37</v>
      </c>
      <c r="D24" s="49" t="s">
        <v>211</v>
      </c>
      <c r="E24" s="49" t="s">
        <v>212</v>
      </c>
      <c r="F24" s="49" t="s">
        <v>213</v>
      </c>
      <c r="G24" s="50" t="s">
        <v>72</v>
      </c>
      <c r="H24" s="51" t="s">
        <v>28</v>
      </c>
      <c r="I24" s="51" t="s">
        <v>41</v>
      </c>
      <c r="J24" s="52" t="s">
        <v>42</v>
      </c>
      <c r="K24" s="47">
        <v>0.5</v>
      </c>
      <c r="L24" s="47" t="s">
        <v>51</v>
      </c>
      <c r="M24" s="37">
        <v>2020</v>
      </c>
      <c r="N24" s="37" t="s">
        <v>30</v>
      </c>
      <c r="O24" s="39" t="s">
        <v>30</v>
      </c>
      <c r="P24" s="37" t="s">
        <v>30</v>
      </c>
      <c r="Q24" s="39" t="s">
        <v>30</v>
      </c>
      <c r="R24" s="37">
        <v>100</v>
      </c>
      <c r="S24" s="37">
        <v>0.5</v>
      </c>
      <c r="T24" s="37">
        <v>0</v>
      </c>
      <c r="U24" s="37">
        <v>0</v>
      </c>
    </row>
    <row r="25" spans="1:21" ht="10.8" thickBot="1" x14ac:dyDescent="0.25">
      <c r="A25" s="49" t="s">
        <v>35</v>
      </c>
      <c r="B25" s="49" t="s">
        <v>36</v>
      </c>
      <c r="C25" s="49" t="s">
        <v>37</v>
      </c>
      <c r="D25" s="49" t="s">
        <v>211</v>
      </c>
      <c r="E25" s="49" t="s">
        <v>212</v>
      </c>
      <c r="F25" s="49" t="s">
        <v>213</v>
      </c>
      <c r="G25" s="50" t="s">
        <v>59</v>
      </c>
      <c r="H25" s="51" t="s">
        <v>28</v>
      </c>
      <c r="I25" s="51" t="s">
        <v>41</v>
      </c>
      <c r="J25" s="52" t="s">
        <v>42</v>
      </c>
      <c r="K25" s="47">
        <v>0.5</v>
      </c>
      <c r="L25" s="47" t="s">
        <v>51</v>
      </c>
      <c r="M25" s="37">
        <v>2020</v>
      </c>
      <c r="N25" s="37" t="s">
        <v>52</v>
      </c>
      <c r="O25" s="39" t="s">
        <v>29</v>
      </c>
      <c r="P25" s="37" t="s">
        <v>30</v>
      </c>
      <c r="Q25" s="39" t="s">
        <v>30</v>
      </c>
      <c r="R25" s="37">
        <v>50</v>
      </c>
      <c r="S25" s="37">
        <v>0.25</v>
      </c>
      <c r="T25" s="37">
        <v>0.25</v>
      </c>
      <c r="U25" s="37">
        <v>0</v>
      </c>
    </row>
    <row r="26" spans="1:21" x14ac:dyDescent="0.2">
      <c r="A26" s="37" t="s">
        <v>35</v>
      </c>
      <c r="B26" s="37" t="s">
        <v>36</v>
      </c>
      <c r="C26" s="37" t="s">
        <v>38</v>
      </c>
      <c r="D26" s="37" t="s">
        <v>262</v>
      </c>
      <c r="E26" s="37" t="s">
        <v>263</v>
      </c>
      <c r="F26" s="37" t="s">
        <v>264</v>
      </c>
      <c r="G26" s="37" t="s">
        <v>265</v>
      </c>
      <c r="H26" s="37" t="s">
        <v>31</v>
      </c>
      <c r="I26" s="37" t="s">
        <v>41</v>
      </c>
      <c r="J26" s="37" t="s">
        <v>42</v>
      </c>
      <c r="K26" s="47">
        <v>1</v>
      </c>
      <c r="L26" s="47" t="s">
        <v>51</v>
      </c>
      <c r="M26" s="37">
        <v>2021</v>
      </c>
      <c r="N26" s="37" t="s">
        <v>52</v>
      </c>
      <c r="O26" s="39" t="s">
        <v>29</v>
      </c>
      <c r="P26" s="37" t="s">
        <v>30</v>
      </c>
      <c r="Q26" s="39" t="s">
        <v>30</v>
      </c>
      <c r="R26" s="37">
        <v>50</v>
      </c>
      <c r="S26" s="37">
        <v>0.5</v>
      </c>
      <c r="T26" s="37">
        <v>0.5</v>
      </c>
      <c r="U26" s="37">
        <v>0</v>
      </c>
    </row>
    <row r="27" spans="1:21" x14ac:dyDescent="0.2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57"/>
      <c r="Q27" s="58"/>
      <c r="R27" s="57"/>
      <c r="S27" s="59">
        <f>SUM(S2:S26)</f>
        <v>8.75</v>
      </c>
      <c r="T27" s="57"/>
      <c r="U27" s="57"/>
    </row>
  </sheetData>
  <autoFilter ref="A1:U1" xr:uid="{00000000-0009-0000-0000-000000000000}">
    <sortState xmlns:xlrd2="http://schemas.microsoft.com/office/spreadsheetml/2017/richdata2" ref="A2:S1882">
      <sortCondition ref="K2:K1882"/>
      <sortCondition ref="D2:D188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2"/>
  <sheetViews>
    <sheetView topLeftCell="A13" zoomScaleNormal="100" workbookViewId="0">
      <selection activeCell="A32" sqref="A32:S32"/>
    </sheetView>
  </sheetViews>
  <sheetFormatPr baseColWidth="10" defaultColWidth="11.44140625" defaultRowHeight="13.2" x14ac:dyDescent="0.25"/>
  <cols>
    <col min="1" max="1" width="10.88671875" style="18" bestFit="1" customWidth="1"/>
    <col min="2" max="2" width="36.1093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98</v>
      </c>
      <c r="B1" s="20" t="s">
        <v>99</v>
      </c>
      <c r="C1" s="20" t="s">
        <v>100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101</v>
      </c>
      <c r="K1" s="22" t="s">
        <v>204</v>
      </c>
      <c r="L1" s="15" t="s">
        <v>102</v>
      </c>
      <c r="M1" s="15" t="s">
        <v>103</v>
      </c>
      <c r="N1" s="15" t="s">
        <v>104</v>
      </c>
      <c r="O1" s="15" t="s">
        <v>105</v>
      </c>
      <c r="P1" s="16" t="s">
        <v>106</v>
      </c>
      <c r="Q1" s="16" t="s">
        <v>107</v>
      </c>
      <c r="R1" s="16" t="s">
        <v>108</v>
      </c>
      <c r="S1" s="16" t="s">
        <v>109</v>
      </c>
    </row>
    <row r="2" spans="1:19" ht="14.4" x14ac:dyDescent="0.3">
      <c r="A2" s="53" t="s">
        <v>112</v>
      </c>
      <c r="B2" s="53" t="s">
        <v>113</v>
      </c>
      <c r="C2" s="54">
        <v>6</v>
      </c>
      <c r="D2" s="53"/>
      <c r="E2" s="53"/>
      <c r="F2" s="53"/>
      <c r="G2" s="53">
        <v>1</v>
      </c>
      <c r="H2" s="53"/>
      <c r="I2" s="53"/>
      <c r="J2" s="23">
        <v>1</v>
      </c>
      <c r="K2" s="23" t="s">
        <v>51</v>
      </c>
      <c r="L2" s="24" t="s">
        <v>52</v>
      </c>
      <c r="M2" s="24" t="s">
        <v>29</v>
      </c>
      <c r="N2" s="24" t="s">
        <v>30</v>
      </c>
      <c r="O2" s="24" t="s">
        <v>30</v>
      </c>
      <c r="P2" s="24">
        <v>50</v>
      </c>
      <c r="Q2" s="24">
        <v>0.5</v>
      </c>
      <c r="R2" s="24">
        <v>0</v>
      </c>
      <c r="S2" s="24">
        <v>0.5</v>
      </c>
    </row>
    <row r="3" spans="1:19" ht="14.4" x14ac:dyDescent="0.3">
      <c r="A3" s="23" t="s">
        <v>150</v>
      </c>
      <c r="B3" s="23" t="s">
        <v>151</v>
      </c>
      <c r="C3" s="23" t="s">
        <v>110</v>
      </c>
      <c r="D3" s="23"/>
      <c r="E3" s="23"/>
      <c r="F3" s="23"/>
      <c r="G3" s="23"/>
      <c r="H3" s="23">
        <v>1</v>
      </c>
      <c r="I3" s="23"/>
      <c r="J3" s="23">
        <v>1</v>
      </c>
      <c r="K3" s="23" t="s">
        <v>51</v>
      </c>
      <c r="L3" s="24" t="s">
        <v>52</v>
      </c>
      <c r="M3" s="24" t="s">
        <v>29</v>
      </c>
      <c r="N3" s="24" t="s">
        <v>30</v>
      </c>
      <c r="O3" s="24" t="s">
        <v>30</v>
      </c>
      <c r="P3" s="24">
        <v>50</v>
      </c>
      <c r="Q3" s="24">
        <v>0.5</v>
      </c>
      <c r="R3" s="24">
        <v>0</v>
      </c>
      <c r="S3" s="24">
        <v>0.5</v>
      </c>
    </row>
    <row r="4" spans="1:19" ht="14.4" x14ac:dyDescent="0.3">
      <c r="A4" s="23" t="s">
        <v>118</v>
      </c>
      <c r="B4" s="23" t="s">
        <v>119</v>
      </c>
      <c r="C4" s="23" t="s">
        <v>110</v>
      </c>
      <c r="D4" s="23"/>
      <c r="E4" s="23"/>
      <c r="F4" s="23"/>
      <c r="G4" s="23"/>
      <c r="H4" s="23">
        <v>1</v>
      </c>
      <c r="I4" s="23"/>
      <c r="J4" s="23">
        <v>1</v>
      </c>
      <c r="K4" s="23" t="s">
        <v>51</v>
      </c>
      <c r="L4" s="24" t="s">
        <v>52</v>
      </c>
      <c r="M4" s="24" t="s">
        <v>29</v>
      </c>
      <c r="N4" s="24" t="s">
        <v>30</v>
      </c>
      <c r="O4" s="24" t="s">
        <v>30</v>
      </c>
      <c r="P4" s="24">
        <v>50</v>
      </c>
      <c r="Q4" s="24">
        <v>0.5</v>
      </c>
      <c r="R4" s="24">
        <v>0</v>
      </c>
      <c r="S4" s="24">
        <v>0.5</v>
      </c>
    </row>
    <row r="5" spans="1:19" ht="14.4" x14ac:dyDescent="0.3">
      <c r="A5" s="23" t="s">
        <v>136</v>
      </c>
      <c r="B5" s="23" t="s">
        <v>137</v>
      </c>
      <c r="C5" s="23" t="s">
        <v>110</v>
      </c>
      <c r="D5" s="23"/>
      <c r="E5" s="23"/>
      <c r="F5" s="23"/>
      <c r="G5" s="23">
        <v>1</v>
      </c>
      <c r="H5" s="23"/>
      <c r="I5" s="23"/>
      <c r="J5" s="23">
        <v>1</v>
      </c>
      <c r="K5" s="23" t="s">
        <v>51</v>
      </c>
      <c r="L5" s="24" t="s">
        <v>52</v>
      </c>
      <c r="M5" s="24" t="s">
        <v>29</v>
      </c>
      <c r="N5" s="24" t="s">
        <v>30</v>
      </c>
      <c r="O5" s="24" t="s">
        <v>30</v>
      </c>
      <c r="P5" s="24">
        <v>50</v>
      </c>
      <c r="Q5" s="24">
        <v>0.5</v>
      </c>
      <c r="R5" s="24">
        <v>0</v>
      </c>
      <c r="S5" s="24">
        <v>0.5</v>
      </c>
    </row>
    <row r="6" spans="1:19" ht="14.4" x14ac:dyDescent="0.3">
      <c r="A6" s="23" t="s">
        <v>148</v>
      </c>
      <c r="B6" s="23" t="s">
        <v>149</v>
      </c>
      <c r="C6" s="23" t="s">
        <v>110</v>
      </c>
      <c r="D6" s="23"/>
      <c r="E6" s="23"/>
      <c r="F6" s="23">
        <v>1</v>
      </c>
      <c r="G6" s="23"/>
      <c r="H6" s="23"/>
      <c r="I6" s="23"/>
      <c r="J6" s="23">
        <v>1</v>
      </c>
      <c r="K6" s="23" t="s">
        <v>51</v>
      </c>
      <c r="L6" s="24" t="s">
        <v>52</v>
      </c>
      <c r="M6" s="24" t="s">
        <v>29</v>
      </c>
      <c r="N6" s="24" t="s">
        <v>30</v>
      </c>
      <c r="O6" s="24" t="s">
        <v>30</v>
      </c>
      <c r="P6" s="24">
        <v>50</v>
      </c>
      <c r="Q6" s="24">
        <v>0.5</v>
      </c>
      <c r="R6" s="24">
        <v>0</v>
      </c>
      <c r="S6" s="24">
        <v>0.5</v>
      </c>
    </row>
    <row r="7" spans="1:19" ht="14.4" x14ac:dyDescent="0.3">
      <c r="A7" s="23" t="s">
        <v>160</v>
      </c>
      <c r="B7" s="23" t="s">
        <v>266</v>
      </c>
      <c r="C7" s="23" t="s">
        <v>110</v>
      </c>
      <c r="D7" s="23">
        <v>1</v>
      </c>
      <c r="E7" s="23"/>
      <c r="F7" s="23"/>
      <c r="G7" s="23"/>
      <c r="H7" s="23"/>
      <c r="I7" s="23"/>
      <c r="J7" s="23">
        <v>1</v>
      </c>
      <c r="K7" s="23" t="s">
        <v>51</v>
      </c>
      <c r="L7" s="24" t="s">
        <v>52</v>
      </c>
      <c r="M7" s="24" t="s">
        <v>29</v>
      </c>
      <c r="N7" s="24" t="s">
        <v>30</v>
      </c>
      <c r="O7" s="24" t="s">
        <v>30</v>
      </c>
      <c r="P7" s="24">
        <v>50</v>
      </c>
      <c r="Q7" s="24">
        <v>0.5</v>
      </c>
      <c r="R7" s="24">
        <v>0</v>
      </c>
      <c r="S7" s="24">
        <v>0.5</v>
      </c>
    </row>
    <row r="8" spans="1:19" ht="14.4" x14ac:dyDescent="0.3">
      <c r="A8" s="23" t="s">
        <v>116</v>
      </c>
      <c r="B8" s="23" t="s">
        <v>117</v>
      </c>
      <c r="C8" s="23" t="s">
        <v>110</v>
      </c>
      <c r="D8" s="23"/>
      <c r="E8" s="23"/>
      <c r="F8" s="23">
        <v>1</v>
      </c>
      <c r="G8" s="23"/>
      <c r="H8" s="23"/>
      <c r="I8" s="23"/>
      <c r="J8" s="23">
        <v>1</v>
      </c>
      <c r="K8" s="23" t="s">
        <v>51</v>
      </c>
      <c r="L8" s="24" t="s">
        <v>52</v>
      </c>
      <c r="M8" s="24" t="s">
        <v>29</v>
      </c>
      <c r="N8" s="24" t="s">
        <v>30</v>
      </c>
      <c r="O8" s="24" t="s">
        <v>30</v>
      </c>
      <c r="P8" s="24">
        <v>50</v>
      </c>
      <c r="Q8" s="24">
        <v>0.5</v>
      </c>
      <c r="R8" s="24">
        <v>0</v>
      </c>
      <c r="S8" s="24">
        <v>0.5</v>
      </c>
    </row>
    <row r="9" spans="1:19" ht="14.4" x14ac:dyDescent="0.3">
      <c r="A9" s="23" t="s">
        <v>130</v>
      </c>
      <c r="B9" s="23" t="s">
        <v>131</v>
      </c>
      <c r="C9" s="23" t="s">
        <v>110</v>
      </c>
      <c r="D9" s="23"/>
      <c r="E9" s="23"/>
      <c r="F9" s="23"/>
      <c r="G9" s="23"/>
      <c r="H9" s="23"/>
      <c r="I9" s="23">
        <v>1</v>
      </c>
      <c r="J9" s="23">
        <v>1</v>
      </c>
      <c r="K9" s="23" t="s">
        <v>51</v>
      </c>
      <c r="L9" s="24" t="s">
        <v>52</v>
      </c>
      <c r="M9" s="24" t="s">
        <v>29</v>
      </c>
      <c r="N9" s="24" t="s">
        <v>30</v>
      </c>
      <c r="O9" s="24" t="s">
        <v>30</v>
      </c>
      <c r="P9" s="24">
        <v>50</v>
      </c>
      <c r="Q9" s="24">
        <v>0.5</v>
      </c>
      <c r="R9" s="24">
        <v>0</v>
      </c>
      <c r="S9" s="24">
        <v>0.5</v>
      </c>
    </row>
    <row r="10" spans="1:19" ht="14.4" x14ac:dyDescent="0.3">
      <c r="A10" s="23" t="s">
        <v>142</v>
      </c>
      <c r="B10" s="23" t="s">
        <v>143</v>
      </c>
      <c r="C10" s="23" t="s">
        <v>110</v>
      </c>
      <c r="D10" s="23"/>
      <c r="E10" s="23"/>
      <c r="F10" s="23">
        <v>2</v>
      </c>
      <c r="G10" s="23"/>
      <c r="H10" s="23"/>
      <c r="I10" s="23"/>
      <c r="J10" s="23">
        <v>2</v>
      </c>
      <c r="K10" s="23" t="s">
        <v>51</v>
      </c>
      <c r="L10" s="24" t="s">
        <v>52</v>
      </c>
      <c r="M10" s="24" t="s">
        <v>29</v>
      </c>
      <c r="N10" s="24" t="s">
        <v>30</v>
      </c>
      <c r="O10" s="24" t="s">
        <v>30</v>
      </c>
      <c r="P10" s="24">
        <v>50</v>
      </c>
      <c r="Q10" s="24">
        <v>1</v>
      </c>
      <c r="R10" s="24">
        <v>0</v>
      </c>
      <c r="S10" s="24">
        <v>1</v>
      </c>
    </row>
    <row r="11" spans="1:19" ht="14.4" x14ac:dyDescent="0.3">
      <c r="A11" s="23" t="s">
        <v>134</v>
      </c>
      <c r="B11" s="23" t="s">
        <v>135</v>
      </c>
      <c r="C11" s="23" t="s">
        <v>110</v>
      </c>
      <c r="D11" s="23"/>
      <c r="E11" s="23">
        <v>1</v>
      </c>
      <c r="F11" s="23">
        <v>1</v>
      </c>
      <c r="G11" s="23"/>
      <c r="H11" s="23"/>
      <c r="I11" s="23"/>
      <c r="J11" s="23">
        <v>2</v>
      </c>
      <c r="K11" s="23" t="s">
        <v>51</v>
      </c>
      <c r="L11" s="24" t="s">
        <v>52</v>
      </c>
      <c r="M11" s="24" t="s">
        <v>29</v>
      </c>
      <c r="N11" s="24" t="s">
        <v>30</v>
      </c>
      <c r="O11" s="24" t="s">
        <v>30</v>
      </c>
      <c r="P11" s="24">
        <v>50</v>
      </c>
      <c r="Q11" s="24">
        <v>1</v>
      </c>
      <c r="R11" s="24">
        <v>0</v>
      </c>
      <c r="S11" s="24">
        <v>1</v>
      </c>
    </row>
    <row r="12" spans="1:19" ht="14.4" x14ac:dyDescent="0.3">
      <c r="A12" s="23" t="s">
        <v>200</v>
      </c>
      <c r="B12" s="23" t="s">
        <v>201</v>
      </c>
      <c r="C12" s="23" t="s">
        <v>111</v>
      </c>
      <c r="D12" s="23"/>
      <c r="E12" s="23"/>
      <c r="F12" s="23"/>
      <c r="G12" s="23"/>
      <c r="H12" s="23"/>
      <c r="I12" s="23">
        <v>1</v>
      </c>
      <c r="J12" s="23">
        <v>1</v>
      </c>
      <c r="K12" s="23" t="s">
        <v>51</v>
      </c>
      <c r="L12" s="24">
        <v>0</v>
      </c>
      <c r="M12" s="24">
        <v>0</v>
      </c>
      <c r="N12" s="24" t="s">
        <v>30</v>
      </c>
      <c r="O12" s="24" t="s">
        <v>30</v>
      </c>
      <c r="P12" s="24">
        <v>100</v>
      </c>
      <c r="Q12" s="24">
        <v>0</v>
      </c>
      <c r="R12" s="24">
        <v>0</v>
      </c>
      <c r="S12" s="24">
        <v>1</v>
      </c>
    </row>
    <row r="13" spans="1:19" ht="14.4" x14ac:dyDescent="0.3">
      <c r="A13" s="23" t="s">
        <v>158</v>
      </c>
      <c r="B13" s="23" t="s">
        <v>159</v>
      </c>
      <c r="C13" s="23" t="s">
        <v>110</v>
      </c>
      <c r="D13" s="23"/>
      <c r="E13" s="23">
        <v>1</v>
      </c>
      <c r="F13" s="23"/>
      <c r="G13" s="23"/>
      <c r="H13" s="23"/>
      <c r="I13" s="23"/>
      <c r="J13" s="23">
        <v>1</v>
      </c>
      <c r="K13" s="23" t="s">
        <v>51</v>
      </c>
      <c r="L13" s="24" t="s">
        <v>52</v>
      </c>
      <c r="M13" s="24" t="s">
        <v>29</v>
      </c>
      <c r="N13" s="24" t="s">
        <v>30</v>
      </c>
      <c r="O13" s="24" t="s">
        <v>30</v>
      </c>
      <c r="P13" s="24">
        <v>50</v>
      </c>
      <c r="Q13" s="24">
        <v>0.5</v>
      </c>
      <c r="R13" s="24">
        <v>0</v>
      </c>
      <c r="S13" s="24">
        <v>0.5</v>
      </c>
    </row>
    <row r="14" spans="1:19" ht="14.4" x14ac:dyDescent="0.3">
      <c r="A14" s="23" t="s">
        <v>156</v>
      </c>
      <c r="B14" s="23" t="s">
        <v>157</v>
      </c>
      <c r="C14" s="23" t="s">
        <v>110</v>
      </c>
      <c r="D14" s="23"/>
      <c r="E14" s="23">
        <v>1</v>
      </c>
      <c r="F14" s="23"/>
      <c r="G14" s="23"/>
      <c r="H14" s="23"/>
      <c r="I14" s="23"/>
      <c r="J14" s="23">
        <v>1</v>
      </c>
      <c r="K14" s="23" t="s">
        <v>51</v>
      </c>
      <c r="L14" s="24" t="s">
        <v>52</v>
      </c>
      <c r="M14" s="24" t="s">
        <v>29</v>
      </c>
      <c r="N14" s="24" t="s">
        <v>30</v>
      </c>
      <c r="O14" s="24" t="s">
        <v>30</v>
      </c>
      <c r="P14" s="24">
        <v>50</v>
      </c>
      <c r="Q14" s="24">
        <v>0.5</v>
      </c>
      <c r="R14" s="24">
        <v>0</v>
      </c>
      <c r="S14" s="24">
        <v>0.5</v>
      </c>
    </row>
    <row r="15" spans="1:19" ht="14.4" x14ac:dyDescent="0.3">
      <c r="A15" s="23" t="s">
        <v>267</v>
      </c>
      <c r="B15" s="23" t="s">
        <v>268</v>
      </c>
      <c r="C15" s="23" t="s">
        <v>110</v>
      </c>
      <c r="D15" s="23"/>
      <c r="E15" s="23"/>
      <c r="F15" s="23">
        <v>2</v>
      </c>
      <c r="G15" s="23"/>
      <c r="H15" s="23"/>
      <c r="I15" s="23"/>
      <c r="J15" s="23">
        <v>2</v>
      </c>
      <c r="K15" s="23" t="s">
        <v>51</v>
      </c>
      <c r="L15" s="24" t="s">
        <v>269</v>
      </c>
      <c r="M15" s="24" t="s">
        <v>270</v>
      </c>
      <c r="N15" s="24" t="s">
        <v>30</v>
      </c>
      <c r="O15" s="24" t="s">
        <v>30</v>
      </c>
      <c r="P15" s="24">
        <v>70</v>
      </c>
      <c r="Q15" s="24">
        <v>0.6</v>
      </c>
      <c r="R15" s="24">
        <v>0</v>
      </c>
      <c r="S15" s="24">
        <v>1.4</v>
      </c>
    </row>
    <row r="16" spans="1:19" ht="14.4" x14ac:dyDescent="0.3">
      <c r="A16" s="23" t="s">
        <v>144</v>
      </c>
      <c r="B16" s="23" t="s">
        <v>145</v>
      </c>
      <c r="C16" s="23" t="s">
        <v>110</v>
      </c>
      <c r="D16" s="23"/>
      <c r="E16" s="23"/>
      <c r="F16" s="23">
        <v>1</v>
      </c>
      <c r="G16" s="23"/>
      <c r="H16" s="23"/>
      <c r="I16" s="23"/>
      <c r="J16" s="23">
        <v>1</v>
      </c>
      <c r="K16" s="23" t="s">
        <v>51</v>
      </c>
      <c r="L16" s="24" t="s">
        <v>52</v>
      </c>
      <c r="M16" s="24" t="s">
        <v>29</v>
      </c>
      <c r="N16" s="24" t="s">
        <v>30</v>
      </c>
      <c r="O16" s="24" t="s">
        <v>30</v>
      </c>
      <c r="P16" s="24">
        <v>50</v>
      </c>
      <c r="Q16" s="24">
        <v>0.5</v>
      </c>
      <c r="R16" s="24">
        <v>0</v>
      </c>
      <c r="S16" s="24">
        <v>0.5</v>
      </c>
    </row>
    <row r="17" spans="1:19" ht="14.4" x14ac:dyDescent="0.3">
      <c r="A17" s="23" t="s">
        <v>146</v>
      </c>
      <c r="B17" s="23" t="s">
        <v>147</v>
      </c>
      <c r="C17" s="23">
        <v>6</v>
      </c>
      <c r="D17" s="23"/>
      <c r="E17" s="23"/>
      <c r="F17" s="23">
        <v>2</v>
      </c>
      <c r="G17" s="23"/>
      <c r="H17" s="23"/>
      <c r="I17" s="23"/>
      <c r="J17" s="23">
        <v>2</v>
      </c>
      <c r="K17" s="23" t="s">
        <v>51</v>
      </c>
      <c r="L17" s="24" t="s">
        <v>52</v>
      </c>
      <c r="M17" s="24" t="s">
        <v>29</v>
      </c>
      <c r="N17" s="24" t="s">
        <v>30</v>
      </c>
      <c r="O17" s="24" t="s">
        <v>30</v>
      </c>
      <c r="P17" s="24">
        <v>50</v>
      </c>
      <c r="Q17" s="24">
        <v>1</v>
      </c>
      <c r="R17" s="24">
        <v>0</v>
      </c>
      <c r="S17" s="24">
        <v>1</v>
      </c>
    </row>
    <row r="18" spans="1:19" ht="14.4" x14ac:dyDescent="0.3">
      <c r="A18" s="23" t="s">
        <v>140</v>
      </c>
      <c r="B18" s="23" t="s">
        <v>141</v>
      </c>
      <c r="C18" s="23" t="s">
        <v>110</v>
      </c>
      <c r="D18" s="23"/>
      <c r="E18" s="23"/>
      <c r="F18" s="23">
        <v>1</v>
      </c>
      <c r="G18" s="23"/>
      <c r="H18" s="23"/>
      <c r="I18" s="23"/>
      <c r="J18" s="23">
        <v>1</v>
      </c>
      <c r="K18" s="23" t="s">
        <v>51</v>
      </c>
      <c r="L18" s="24" t="s">
        <v>52</v>
      </c>
      <c r="M18" s="24" t="s">
        <v>29</v>
      </c>
      <c r="N18" s="24" t="s">
        <v>30</v>
      </c>
      <c r="O18" s="24" t="s">
        <v>30</v>
      </c>
      <c r="P18" s="24">
        <v>50</v>
      </c>
      <c r="Q18" s="24">
        <v>0.5</v>
      </c>
      <c r="R18" s="24">
        <v>0</v>
      </c>
      <c r="S18" s="24">
        <v>0.5</v>
      </c>
    </row>
    <row r="19" spans="1:19" ht="14.4" x14ac:dyDescent="0.3">
      <c r="A19" s="23" t="s">
        <v>122</v>
      </c>
      <c r="B19" s="23" t="s">
        <v>123</v>
      </c>
      <c r="C19" s="23" t="s">
        <v>110</v>
      </c>
      <c r="D19" s="23"/>
      <c r="E19" s="23"/>
      <c r="F19" s="23"/>
      <c r="G19" s="23"/>
      <c r="H19" s="23">
        <v>1</v>
      </c>
      <c r="I19" s="23"/>
      <c r="J19" s="23">
        <v>1</v>
      </c>
      <c r="K19" s="23" t="s">
        <v>51</v>
      </c>
      <c r="L19" s="24" t="s">
        <v>52</v>
      </c>
      <c r="M19" s="24" t="s">
        <v>29</v>
      </c>
      <c r="N19" s="24" t="s">
        <v>30</v>
      </c>
      <c r="O19" s="24" t="s">
        <v>30</v>
      </c>
      <c r="P19" s="24">
        <v>50</v>
      </c>
      <c r="Q19" s="24">
        <v>0.5</v>
      </c>
      <c r="R19" s="24">
        <v>0</v>
      </c>
      <c r="S19" s="24">
        <v>0.5</v>
      </c>
    </row>
    <row r="20" spans="1:19" ht="14.4" x14ac:dyDescent="0.3">
      <c r="A20" s="23" t="s">
        <v>120</v>
      </c>
      <c r="B20" s="23" t="s">
        <v>121</v>
      </c>
      <c r="C20" s="23" t="s">
        <v>110</v>
      </c>
      <c r="D20" s="23"/>
      <c r="E20" s="23">
        <v>1</v>
      </c>
      <c r="F20" s="23"/>
      <c r="G20" s="23"/>
      <c r="H20" s="23"/>
      <c r="I20" s="23"/>
      <c r="J20" s="23">
        <v>1</v>
      </c>
      <c r="K20" s="23" t="s">
        <v>51</v>
      </c>
      <c r="L20" s="24" t="s">
        <v>52</v>
      </c>
      <c r="M20" s="24" t="s">
        <v>29</v>
      </c>
      <c r="N20" s="24" t="s">
        <v>30</v>
      </c>
      <c r="O20" s="24" t="s">
        <v>30</v>
      </c>
      <c r="P20" s="24">
        <v>50</v>
      </c>
      <c r="Q20" s="24">
        <v>0.5</v>
      </c>
      <c r="R20" s="24">
        <v>0</v>
      </c>
      <c r="S20" s="24">
        <v>0.5</v>
      </c>
    </row>
    <row r="21" spans="1:19" ht="14.4" x14ac:dyDescent="0.3">
      <c r="A21" s="23" t="s">
        <v>202</v>
      </c>
      <c r="B21" s="23" t="s">
        <v>203</v>
      </c>
      <c r="C21" s="23" t="s">
        <v>111</v>
      </c>
      <c r="D21" s="23"/>
      <c r="E21" s="23"/>
      <c r="F21" s="23"/>
      <c r="G21" s="23"/>
      <c r="H21" s="23"/>
      <c r="I21" s="23">
        <v>1</v>
      </c>
      <c r="J21" s="23">
        <v>1</v>
      </c>
      <c r="K21" s="23" t="s">
        <v>51</v>
      </c>
      <c r="L21" s="24" t="s">
        <v>269</v>
      </c>
      <c r="M21" s="24" t="s">
        <v>271</v>
      </c>
      <c r="N21" s="24" t="s">
        <v>30</v>
      </c>
      <c r="O21" s="24" t="s">
        <v>30</v>
      </c>
      <c r="P21" s="24">
        <v>80</v>
      </c>
      <c r="Q21" s="24">
        <v>0.2</v>
      </c>
      <c r="R21" s="24">
        <v>0</v>
      </c>
      <c r="S21" s="24">
        <v>0.8</v>
      </c>
    </row>
    <row r="22" spans="1:19" ht="14.4" x14ac:dyDescent="0.3">
      <c r="A22" s="23" t="s">
        <v>272</v>
      </c>
      <c r="B22" s="23" t="s">
        <v>273</v>
      </c>
      <c r="C22" s="23" t="s">
        <v>110</v>
      </c>
      <c r="D22" s="23"/>
      <c r="E22" s="23"/>
      <c r="F22" s="23"/>
      <c r="G22" s="23"/>
      <c r="H22" s="23"/>
      <c r="I22" s="23">
        <v>1</v>
      </c>
      <c r="J22" s="23">
        <v>1</v>
      </c>
      <c r="K22" s="23" t="s">
        <v>51</v>
      </c>
      <c r="L22" s="24">
        <v>0</v>
      </c>
      <c r="M22" s="24">
        <v>0</v>
      </c>
      <c r="N22" s="24" t="s">
        <v>30</v>
      </c>
      <c r="O22" s="24" t="s">
        <v>30</v>
      </c>
      <c r="P22" s="24">
        <v>100</v>
      </c>
      <c r="Q22" s="24">
        <v>0</v>
      </c>
      <c r="R22" s="24">
        <v>0</v>
      </c>
      <c r="S22" s="24">
        <v>1</v>
      </c>
    </row>
    <row r="23" spans="1:19" ht="14.4" x14ac:dyDescent="0.3">
      <c r="A23" s="23" t="s">
        <v>128</v>
      </c>
      <c r="B23" s="23" t="s">
        <v>129</v>
      </c>
      <c r="C23" s="23" t="s">
        <v>111</v>
      </c>
      <c r="D23" s="23"/>
      <c r="E23" s="23">
        <v>1</v>
      </c>
      <c r="F23" s="23"/>
      <c r="G23" s="23"/>
      <c r="H23" s="23"/>
      <c r="I23" s="23"/>
      <c r="J23" s="23">
        <v>1</v>
      </c>
      <c r="K23" s="23" t="s">
        <v>51</v>
      </c>
      <c r="L23" s="24">
        <v>0</v>
      </c>
      <c r="M23" s="24">
        <v>0</v>
      </c>
      <c r="N23" s="24" t="s">
        <v>30</v>
      </c>
      <c r="O23" s="24" t="s">
        <v>30</v>
      </c>
      <c r="P23" s="24">
        <v>100</v>
      </c>
      <c r="Q23" s="24">
        <v>0</v>
      </c>
      <c r="R23" s="24">
        <v>0</v>
      </c>
      <c r="S23" s="24">
        <v>1</v>
      </c>
    </row>
    <row r="24" spans="1:19" ht="14.4" x14ac:dyDescent="0.3">
      <c r="A24" s="23" t="s">
        <v>132</v>
      </c>
      <c r="B24" s="23" t="s">
        <v>133</v>
      </c>
      <c r="C24" s="23" t="s">
        <v>110</v>
      </c>
      <c r="D24" s="23"/>
      <c r="E24" s="23"/>
      <c r="F24" s="23"/>
      <c r="G24" s="23">
        <v>1</v>
      </c>
      <c r="H24" s="23"/>
      <c r="I24" s="23"/>
      <c r="J24" s="23">
        <v>1</v>
      </c>
      <c r="K24" s="23" t="s">
        <v>51</v>
      </c>
      <c r="L24" s="24" t="s">
        <v>52</v>
      </c>
      <c r="M24" s="24" t="s">
        <v>29</v>
      </c>
      <c r="N24" s="24" t="s">
        <v>30</v>
      </c>
      <c r="O24" s="24" t="s">
        <v>30</v>
      </c>
      <c r="P24" s="24">
        <v>50</v>
      </c>
      <c r="Q24" s="24">
        <v>0.5</v>
      </c>
      <c r="R24" s="24">
        <v>0</v>
      </c>
      <c r="S24" s="24">
        <v>0.5</v>
      </c>
    </row>
    <row r="25" spans="1:19" ht="14.4" x14ac:dyDescent="0.3">
      <c r="A25" s="23" t="s">
        <v>154</v>
      </c>
      <c r="B25" s="23" t="s">
        <v>155</v>
      </c>
      <c r="C25" s="23" t="s">
        <v>110</v>
      </c>
      <c r="D25" s="23"/>
      <c r="E25" s="23">
        <v>1</v>
      </c>
      <c r="F25" s="23"/>
      <c r="G25" s="23"/>
      <c r="H25" s="23"/>
      <c r="I25" s="23"/>
      <c r="J25" s="23">
        <v>1</v>
      </c>
      <c r="K25" s="23" t="s">
        <v>51</v>
      </c>
      <c r="L25" s="24" t="s">
        <v>52</v>
      </c>
      <c r="M25" s="24" t="s">
        <v>29</v>
      </c>
      <c r="N25" s="24" t="s">
        <v>30</v>
      </c>
      <c r="O25" s="24" t="s">
        <v>30</v>
      </c>
      <c r="P25" s="24">
        <v>50</v>
      </c>
      <c r="Q25" s="24">
        <v>0.5</v>
      </c>
      <c r="R25" s="24">
        <v>0</v>
      </c>
      <c r="S25" s="24">
        <v>0.5</v>
      </c>
    </row>
    <row r="26" spans="1:19" ht="14.4" x14ac:dyDescent="0.3">
      <c r="A26" s="23" t="s">
        <v>206</v>
      </c>
      <c r="B26" s="23" t="s">
        <v>207</v>
      </c>
      <c r="C26" s="23" t="s">
        <v>111</v>
      </c>
      <c r="D26" s="23"/>
      <c r="E26" s="23"/>
      <c r="F26" s="23"/>
      <c r="G26" s="23"/>
      <c r="H26" s="23">
        <v>1</v>
      </c>
      <c r="I26" s="23"/>
      <c r="J26" s="23">
        <v>1</v>
      </c>
      <c r="K26" s="23" t="s">
        <v>51</v>
      </c>
      <c r="L26" s="24">
        <v>0</v>
      </c>
      <c r="M26" s="24">
        <v>0</v>
      </c>
      <c r="N26" s="24" t="s">
        <v>30</v>
      </c>
      <c r="O26" s="24" t="s">
        <v>30</v>
      </c>
      <c r="P26" s="24">
        <v>100</v>
      </c>
      <c r="Q26" s="24">
        <v>0</v>
      </c>
      <c r="R26" s="24">
        <v>0</v>
      </c>
      <c r="S26" s="24">
        <v>1</v>
      </c>
    </row>
    <row r="27" spans="1:19" ht="14.4" x14ac:dyDescent="0.3">
      <c r="A27" s="23" t="s">
        <v>152</v>
      </c>
      <c r="B27" s="23" t="s">
        <v>153</v>
      </c>
      <c r="C27" s="23">
        <v>6</v>
      </c>
      <c r="D27" s="23"/>
      <c r="E27" s="23"/>
      <c r="F27" s="23"/>
      <c r="G27" s="23"/>
      <c r="H27" s="23"/>
      <c r="I27" s="23">
        <v>1</v>
      </c>
      <c r="J27" s="23">
        <v>1</v>
      </c>
      <c r="K27" s="23" t="s">
        <v>51</v>
      </c>
      <c r="L27" s="24" t="s">
        <v>52</v>
      </c>
      <c r="M27" s="24" t="s">
        <v>29</v>
      </c>
      <c r="N27" s="24" t="s">
        <v>30</v>
      </c>
      <c r="O27" s="24" t="s">
        <v>30</v>
      </c>
      <c r="P27" s="24">
        <v>50</v>
      </c>
      <c r="Q27" s="24">
        <v>0.5</v>
      </c>
      <c r="R27" s="24">
        <v>0</v>
      </c>
      <c r="S27" s="24">
        <v>0.5</v>
      </c>
    </row>
    <row r="28" spans="1:19" ht="14.4" x14ac:dyDescent="0.3">
      <c r="A28" s="23" t="s">
        <v>114</v>
      </c>
      <c r="B28" s="23" t="s">
        <v>115</v>
      </c>
      <c r="C28" s="23" t="s">
        <v>110</v>
      </c>
      <c r="D28" s="23"/>
      <c r="E28" s="23"/>
      <c r="F28" s="23"/>
      <c r="G28" s="23"/>
      <c r="H28" s="23">
        <v>1</v>
      </c>
      <c r="I28" s="23"/>
      <c r="J28" s="23">
        <v>1</v>
      </c>
      <c r="K28" s="23" t="s">
        <v>51</v>
      </c>
      <c r="L28" s="24">
        <v>0</v>
      </c>
      <c r="M28" s="24">
        <v>0</v>
      </c>
      <c r="N28" s="24" t="s">
        <v>30</v>
      </c>
      <c r="O28" s="24" t="s">
        <v>30</v>
      </c>
      <c r="P28" s="24">
        <v>100</v>
      </c>
      <c r="Q28" s="24">
        <v>0</v>
      </c>
      <c r="R28" s="24">
        <v>0</v>
      </c>
      <c r="S28" s="24">
        <v>1</v>
      </c>
    </row>
    <row r="29" spans="1:19" ht="14.4" x14ac:dyDescent="0.3">
      <c r="A29" s="23" t="s">
        <v>124</v>
      </c>
      <c r="B29" s="23" t="s">
        <v>125</v>
      </c>
      <c r="C29" s="23" t="s">
        <v>111</v>
      </c>
      <c r="D29" s="23"/>
      <c r="E29" s="23"/>
      <c r="F29" s="23">
        <v>1</v>
      </c>
      <c r="G29" s="23"/>
      <c r="H29" s="23"/>
      <c r="I29" s="23"/>
      <c r="J29" s="23">
        <v>1</v>
      </c>
      <c r="K29" s="23" t="s">
        <v>51</v>
      </c>
      <c r="L29" s="24">
        <v>0</v>
      </c>
      <c r="M29" s="24">
        <v>0</v>
      </c>
      <c r="N29" s="24" t="s">
        <v>30</v>
      </c>
      <c r="O29" s="24" t="s">
        <v>30</v>
      </c>
      <c r="P29" s="24">
        <v>100</v>
      </c>
      <c r="Q29" s="24">
        <v>0</v>
      </c>
      <c r="R29" s="24">
        <v>0</v>
      </c>
      <c r="S29" s="24">
        <v>1</v>
      </c>
    </row>
    <row r="30" spans="1:19" ht="14.4" x14ac:dyDescent="0.3">
      <c r="A30" s="23" t="s">
        <v>138</v>
      </c>
      <c r="B30" s="23" t="s">
        <v>139</v>
      </c>
      <c r="C30" s="25" t="s">
        <v>110</v>
      </c>
      <c r="D30" s="23">
        <v>1</v>
      </c>
      <c r="E30" s="23"/>
      <c r="F30" s="23"/>
      <c r="G30" s="23"/>
      <c r="H30" s="23"/>
      <c r="I30" s="23"/>
      <c r="J30" s="23">
        <v>1</v>
      </c>
      <c r="K30" s="23" t="s">
        <v>51</v>
      </c>
      <c r="L30" s="24" t="s">
        <v>52</v>
      </c>
      <c r="M30" s="24" t="s">
        <v>29</v>
      </c>
      <c r="N30" s="24" t="s">
        <v>30</v>
      </c>
      <c r="O30" s="24" t="s">
        <v>30</v>
      </c>
      <c r="P30" s="24">
        <v>50</v>
      </c>
      <c r="Q30" s="24">
        <v>0.5</v>
      </c>
      <c r="R30" s="24">
        <v>0</v>
      </c>
      <c r="S30" s="24">
        <v>0.5</v>
      </c>
    </row>
    <row r="31" spans="1:19" ht="14.4" x14ac:dyDescent="0.3">
      <c r="A31" s="23" t="s">
        <v>126</v>
      </c>
      <c r="B31" s="23" t="s">
        <v>127</v>
      </c>
      <c r="C31" s="25" t="s">
        <v>205</v>
      </c>
      <c r="D31" s="23"/>
      <c r="E31" s="23"/>
      <c r="F31" s="23"/>
      <c r="G31" s="23"/>
      <c r="H31" s="23"/>
      <c r="I31" s="23">
        <v>1</v>
      </c>
      <c r="J31" s="23">
        <v>1</v>
      </c>
      <c r="K31" s="23" t="s">
        <v>51</v>
      </c>
      <c r="L31" s="24" t="s">
        <v>52</v>
      </c>
      <c r="M31" s="24" t="s">
        <v>29</v>
      </c>
      <c r="N31" s="24" t="s">
        <v>30</v>
      </c>
      <c r="O31" s="24" t="s">
        <v>30</v>
      </c>
      <c r="P31" s="24">
        <v>50</v>
      </c>
      <c r="Q31" s="24">
        <v>0.5</v>
      </c>
      <c r="R31" s="24">
        <v>0</v>
      </c>
      <c r="S31" s="24">
        <v>0.5</v>
      </c>
    </row>
    <row r="32" spans="1:19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1"/>
      <c r="O32" s="60"/>
      <c r="P32" s="61"/>
      <c r="Q32" s="60"/>
      <c r="R32" s="60"/>
      <c r="S32" s="62">
        <f>SUM(S2:S31)</f>
        <v>20.700000000000003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0"/>
  <sheetViews>
    <sheetView topLeftCell="A13" zoomScaleNormal="100" workbookViewId="0">
      <selection activeCell="A44" sqref="A43:A4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161</v>
      </c>
      <c r="B2" s="5"/>
    </row>
    <row r="3" spans="1:2" x14ac:dyDescent="0.2">
      <c r="A3" s="4" t="s">
        <v>162</v>
      </c>
      <c r="B3" s="5">
        <v>649.41</v>
      </c>
    </row>
    <row r="4" spans="1:2" x14ac:dyDescent="0.2">
      <c r="A4" s="4" t="s">
        <v>163</v>
      </c>
      <c r="B4" s="5">
        <v>220.17</v>
      </c>
    </row>
    <row r="5" spans="1:2" x14ac:dyDescent="0.2">
      <c r="A5" s="4" t="s">
        <v>3</v>
      </c>
      <c r="B5" s="5"/>
    </row>
    <row r="6" spans="1:2" x14ac:dyDescent="0.2">
      <c r="A6" s="4" t="s">
        <v>164</v>
      </c>
      <c r="B6" s="5">
        <v>8000</v>
      </c>
    </row>
    <row r="7" spans="1:2" x14ac:dyDescent="0.2">
      <c r="A7" s="4" t="s">
        <v>165</v>
      </c>
      <c r="B7" s="5">
        <v>4000</v>
      </c>
    </row>
    <row r="8" spans="1:2" x14ac:dyDescent="0.2">
      <c r="A8" s="4" t="s">
        <v>166</v>
      </c>
      <c r="B8" s="5">
        <v>3704</v>
      </c>
    </row>
    <row r="9" spans="1:2" x14ac:dyDescent="0.2">
      <c r="A9" s="4" t="s">
        <v>167</v>
      </c>
      <c r="B9" s="5">
        <v>4000</v>
      </c>
    </row>
    <row r="10" spans="1:2" x14ac:dyDescent="0.2">
      <c r="A10" s="4" t="s">
        <v>168</v>
      </c>
      <c r="B10" s="5">
        <v>4000</v>
      </c>
    </row>
    <row r="11" spans="1:2" x14ac:dyDescent="0.2">
      <c r="A11" s="4" t="s">
        <v>169</v>
      </c>
      <c r="B11" s="5">
        <v>8000</v>
      </c>
    </row>
    <row r="12" spans="1:2" x14ac:dyDescent="0.2">
      <c r="A12" s="4" t="s">
        <v>170</v>
      </c>
      <c r="B12" s="5">
        <v>8000</v>
      </c>
    </row>
    <row r="13" spans="1:2" x14ac:dyDescent="0.2">
      <c r="A13" s="4" t="s">
        <v>171</v>
      </c>
      <c r="B13" s="5">
        <v>285.08999999999997</v>
      </c>
    </row>
    <row r="14" spans="1:2" x14ac:dyDescent="0.2">
      <c r="A14" s="4" t="s">
        <v>172</v>
      </c>
      <c r="B14" s="5">
        <v>8000</v>
      </c>
    </row>
    <row r="15" spans="1:2" x14ac:dyDescent="0.2">
      <c r="A15" s="4" t="s">
        <v>173</v>
      </c>
      <c r="B15" s="5">
        <v>4000</v>
      </c>
    </row>
    <row r="16" spans="1:2" x14ac:dyDescent="0.2">
      <c r="A16" s="4" t="s">
        <v>174</v>
      </c>
      <c r="B16" s="5">
        <v>8000</v>
      </c>
    </row>
    <row r="17" spans="1:2" x14ac:dyDescent="0.2">
      <c r="A17" s="4" t="s">
        <v>175</v>
      </c>
      <c r="B17" s="5">
        <v>8000</v>
      </c>
    </row>
    <row r="18" spans="1:2" x14ac:dyDescent="0.2">
      <c r="A18" s="4" t="s">
        <v>176</v>
      </c>
      <c r="B18" s="5">
        <v>3704</v>
      </c>
    </row>
    <row r="19" spans="1:2" x14ac:dyDescent="0.2">
      <c r="A19" s="4" t="s">
        <v>177</v>
      </c>
      <c r="B19" s="5"/>
    </row>
    <row r="20" spans="1:2" x14ac:dyDescent="0.2">
      <c r="A20" s="4" t="s">
        <v>178</v>
      </c>
      <c r="B20" s="5">
        <v>3305.78</v>
      </c>
    </row>
    <row r="21" spans="1:2" x14ac:dyDescent="0.2">
      <c r="A21" s="4" t="s">
        <v>179</v>
      </c>
      <c r="B21" s="5"/>
    </row>
    <row r="22" spans="1:2" x14ac:dyDescent="0.2">
      <c r="A22" s="4" t="s">
        <v>180</v>
      </c>
      <c r="B22" s="5">
        <v>2000</v>
      </c>
    </row>
    <row r="23" spans="1:2" x14ac:dyDescent="0.2">
      <c r="A23" s="4" t="s">
        <v>4</v>
      </c>
      <c r="B23" s="5"/>
    </row>
    <row r="24" spans="1:2" x14ac:dyDescent="0.2">
      <c r="A24" s="4" t="s">
        <v>181</v>
      </c>
      <c r="B24" s="5">
        <v>610.92999999999995</v>
      </c>
    </row>
    <row r="25" spans="1:2" x14ac:dyDescent="0.2">
      <c r="A25" s="4" t="s">
        <v>182</v>
      </c>
      <c r="B25" s="5">
        <v>0.48</v>
      </c>
    </row>
    <row r="26" spans="1:2" x14ac:dyDescent="0.2">
      <c r="A26" s="4" t="s">
        <v>183</v>
      </c>
      <c r="B26" s="5">
        <v>3.4</v>
      </c>
    </row>
    <row r="27" spans="1:2" x14ac:dyDescent="0.2">
      <c r="A27" s="4" t="s">
        <v>184</v>
      </c>
      <c r="B27" s="5"/>
    </row>
    <row r="28" spans="1:2" x14ac:dyDescent="0.2">
      <c r="A28" s="4" t="s">
        <v>185</v>
      </c>
      <c r="B28" s="5">
        <v>4900</v>
      </c>
    </row>
    <row r="29" spans="1:2" x14ac:dyDescent="0.2">
      <c r="A29" s="4" t="s">
        <v>5</v>
      </c>
      <c r="B29" s="5"/>
    </row>
    <row r="30" spans="1:2" x14ac:dyDescent="0.2">
      <c r="A30" s="4" t="s">
        <v>186</v>
      </c>
      <c r="B30" s="5">
        <v>2437.5</v>
      </c>
    </row>
    <row r="31" spans="1:2" x14ac:dyDescent="0.2">
      <c r="A31" s="4" t="s">
        <v>187</v>
      </c>
      <c r="B31" s="5"/>
    </row>
    <row r="32" spans="1:2" x14ac:dyDescent="0.2">
      <c r="A32" s="4" t="s">
        <v>188</v>
      </c>
      <c r="B32" s="5">
        <v>6700</v>
      </c>
    </row>
    <row r="33" spans="1:2" x14ac:dyDescent="0.2">
      <c r="A33" s="4" t="s">
        <v>189</v>
      </c>
      <c r="B33" s="5"/>
    </row>
    <row r="34" spans="1:2" x14ac:dyDescent="0.2">
      <c r="A34" s="4" t="s">
        <v>188</v>
      </c>
      <c r="B34" s="5">
        <v>3150</v>
      </c>
    </row>
    <row r="35" spans="1:2" x14ac:dyDescent="0.2">
      <c r="A35" s="4" t="s">
        <v>190</v>
      </c>
      <c r="B35" s="5"/>
    </row>
    <row r="36" spans="1:2" x14ac:dyDescent="0.2">
      <c r="A36" s="4" t="s">
        <v>188</v>
      </c>
      <c r="B36" s="5">
        <v>7500</v>
      </c>
    </row>
    <row r="37" spans="1:2" x14ac:dyDescent="0.2">
      <c r="A37" s="4" t="s">
        <v>191</v>
      </c>
      <c r="B37" s="5"/>
    </row>
    <row r="38" spans="1:2" x14ac:dyDescent="0.2">
      <c r="A38" s="4" t="s">
        <v>192</v>
      </c>
      <c r="B38" s="5">
        <v>24500</v>
      </c>
    </row>
    <row r="39" spans="1:2" x14ac:dyDescent="0.2">
      <c r="A39" s="4" t="s">
        <v>193</v>
      </c>
      <c r="B39" s="5">
        <v>11760</v>
      </c>
    </row>
    <row r="40" spans="1:2" x14ac:dyDescent="0.2">
      <c r="A40" s="6" t="s">
        <v>2</v>
      </c>
      <c r="B40" s="7">
        <f>SUM(B3:B39)</f>
        <v>139430.75999999998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E781-76E9-4A65-AB13-5C5A67E8F437}">
  <dimension ref="A1:B27"/>
  <sheetViews>
    <sheetView zoomScaleNormal="100" workbookViewId="0">
      <selection activeCell="A29" sqref="A2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214</v>
      </c>
      <c r="B3" s="5">
        <v>3520</v>
      </c>
    </row>
    <row r="4" spans="1:2" x14ac:dyDescent="0.2">
      <c r="A4" s="4" t="s">
        <v>215</v>
      </c>
      <c r="B4" s="5">
        <v>4400</v>
      </c>
    </row>
    <row r="5" spans="1:2" x14ac:dyDescent="0.2">
      <c r="A5" s="4" t="s">
        <v>216</v>
      </c>
      <c r="B5" s="5">
        <v>4400</v>
      </c>
    </row>
    <row r="6" spans="1:2" x14ac:dyDescent="0.2">
      <c r="A6" s="4" t="s">
        <v>217</v>
      </c>
      <c r="B6" s="5">
        <v>3344</v>
      </c>
    </row>
    <row r="7" spans="1:2" x14ac:dyDescent="0.2">
      <c r="A7" s="4" t="s">
        <v>218</v>
      </c>
      <c r="B7" s="5">
        <v>4400</v>
      </c>
    </row>
    <row r="8" spans="1:2" x14ac:dyDescent="0.2">
      <c r="A8" s="4" t="s">
        <v>219</v>
      </c>
      <c r="B8" s="5">
        <v>4400</v>
      </c>
    </row>
    <row r="9" spans="1:2" x14ac:dyDescent="0.2">
      <c r="A9" s="4" t="s">
        <v>220</v>
      </c>
      <c r="B9" s="5">
        <v>4400</v>
      </c>
    </row>
    <row r="10" spans="1:2" x14ac:dyDescent="0.2">
      <c r="A10" s="4" t="s">
        <v>221</v>
      </c>
      <c r="B10" s="5">
        <v>4400</v>
      </c>
    </row>
    <row r="11" spans="1:2" x14ac:dyDescent="0.2">
      <c r="A11" s="4" t="s">
        <v>222</v>
      </c>
      <c r="B11" s="5">
        <v>4400</v>
      </c>
    </row>
    <row r="12" spans="1:2" x14ac:dyDescent="0.2">
      <c r="A12" s="4" t="s">
        <v>223</v>
      </c>
      <c r="B12" s="5">
        <v>4400</v>
      </c>
    </row>
    <row r="13" spans="1:2" x14ac:dyDescent="0.2">
      <c r="A13" s="4" t="s">
        <v>224</v>
      </c>
      <c r="B13" s="5">
        <v>1232</v>
      </c>
    </row>
    <row r="14" spans="1:2" x14ac:dyDescent="0.2">
      <c r="A14" s="4" t="s">
        <v>225</v>
      </c>
      <c r="B14" s="5">
        <v>4400</v>
      </c>
    </row>
    <row r="15" spans="1:2" x14ac:dyDescent="0.2">
      <c r="A15" s="4" t="s">
        <v>226</v>
      </c>
      <c r="B15" s="5">
        <v>4400</v>
      </c>
    </row>
    <row r="16" spans="1:2" x14ac:dyDescent="0.2">
      <c r="A16" s="4" t="s">
        <v>227</v>
      </c>
      <c r="B16" s="5"/>
    </row>
    <row r="17" spans="1:2" x14ac:dyDescent="0.2">
      <c r="A17" s="4" t="s">
        <v>228</v>
      </c>
      <c r="B17" s="5">
        <v>880</v>
      </c>
    </row>
    <row r="18" spans="1:2" x14ac:dyDescent="0.2">
      <c r="A18" s="4" t="s">
        <v>4</v>
      </c>
      <c r="B18" s="5"/>
    </row>
    <row r="19" spans="1:2" x14ac:dyDescent="0.2">
      <c r="A19" s="4" t="s">
        <v>229</v>
      </c>
      <c r="B19" s="5">
        <v>694.24</v>
      </c>
    </row>
    <row r="20" spans="1:2" x14ac:dyDescent="0.2">
      <c r="A20" s="4" t="s">
        <v>230</v>
      </c>
      <c r="B20" s="5">
        <v>925.66</v>
      </c>
    </row>
    <row r="21" spans="1:2" x14ac:dyDescent="0.2">
      <c r="A21" s="4" t="s">
        <v>231</v>
      </c>
      <c r="B21" s="5">
        <v>462.82</v>
      </c>
    </row>
    <row r="22" spans="1:2" x14ac:dyDescent="0.2">
      <c r="A22" s="4" t="s">
        <v>232</v>
      </c>
      <c r="B22" s="5">
        <v>925.66</v>
      </c>
    </row>
    <row r="23" spans="1:2" x14ac:dyDescent="0.2">
      <c r="A23" s="4" t="s">
        <v>5</v>
      </c>
      <c r="B23" s="5"/>
    </row>
    <row r="24" spans="1:2" x14ac:dyDescent="0.2">
      <c r="A24" s="4" t="s">
        <v>233</v>
      </c>
      <c r="B24" s="5">
        <v>4875</v>
      </c>
    </row>
    <row r="25" spans="1:2" x14ac:dyDescent="0.2">
      <c r="A25" s="4" t="s">
        <v>191</v>
      </c>
      <c r="B25" s="5"/>
    </row>
    <row r="26" spans="1:2" x14ac:dyDescent="0.2">
      <c r="A26" s="4" t="s">
        <v>234</v>
      </c>
      <c r="B26" s="5">
        <v>2450</v>
      </c>
    </row>
    <row r="27" spans="1:2" x14ac:dyDescent="0.2">
      <c r="A27" s="6" t="s">
        <v>2</v>
      </c>
      <c r="B27" s="7">
        <f>SUM(B3:B26)</f>
        <v>63309.380000000005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2700-E37C-4707-AAEE-24025CC9225D}">
  <dimension ref="A1:C24"/>
  <sheetViews>
    <sheetView topLeftCell="A19" zoomScaleNormal="100" workbookViewId="0">
      <selection activeCell="B24" sqref="B24:C24"/>
    </sheetView>
  </sheetViews>
  <sheetFormatPr baseColWidth="10" defaultColWidth="11.44140625" defaultRowHeight="14.4" x14ac:dyDescent="0.3"/>
  <cols>
    <col min="1" max="1" width="13.88671875" bestFit="1" customWidth="1"/>
    <col min="2" max="2" width="67.6640625" customWidth="1"/>
  </cols>
  <sheetData>
    <row r="1" spans="1:3" ht="15" thickBot="1" x14ac:dyDescent="0.35">
      <c r="A1" s="27" t="s">
        <v>236</v>
      </c>
      <c r="B1" s="27" t="s">
        <v>237</v>
      </c>
      <c r="C1" s="28" t="s">
        <v>1</v>
      </c>
    </row>
    <row r="2" spans="1:3" ht="58.2" thickTop="1" x14ac:dyDescent="0.3">
      <c r="A2" s="31" t="s">
        <v>3</v>
      </c>
      <c r="B2" s="32" t="s">
        <v>238</v>
      </c>
      <c r="C2" s="33">
        <v>4400</v>
      </c>
    </row>
    <row r="3" spans="1:3" ht="57.6" x14ac:dyDescent="0.3">
      <c r="A3" s="34" t="s">
        <v>3</v>
      </c>
      <c r="B3" s="35" t="s">
        <v>239</v>
      </c>
      <c r="C3" s="36">
        <v>4400</v>
      </c>
    </row>
    <row r="4" spans="1:3" ht="57.6" x14ac:dyDescent="0.3">
      <c r="A4" s="31" t="s">
        <v>3</v>
      </c>
      <c r="B4" s="32" t="s">
        <v>240</v>
      </c>
      <c r="C4" s="33">
        <v>4400</v>
      </c>
    </row>
    <row r="5" spans="1:3" ht="57.6" x14ac:dyDescent="0.3">
      <c r="A5" s="34" t="s">
        <v>3</v>
      </c>
      <c r="B5" s="35" t="s">
        <v>241</v>
      </c>
      <c r="C5" s="36">
        <v>4400</v>
      </c>
    </row>
    <row r="6" spans="1:3" ht="57.6" x14ac:dyDescent="0.3">
      <c r="A6" s="31" t="s">
        <v>3</v>
      </c>
      <c r="B6" s="32" t="s">
        <v>242</v>
      </c>
      <c r="C6" s="33">
        <v>4400</v>
      </c>
    </row>
    <row r="7" spans="1:3" ht="57.6" x14ac:dyDescent="0.3">
      <c r="A7" s="34" t="s">
        <v>3</v>
      </c>
      <c r="B7" s="35" t="s">
        <v>243</v>
      </c>
      <c r="C7" s="36">
        <v>4400</v>
      </c>
    </row>
    <row r="8" spans="1:3" ht="57.6" x14ac:dyDescent="0.3">
      <c r="A8" s="31" t="s">
        <v>3</v>
      </c>
      <c r="B8" s="32" t="s">
        <v>244</v>
      </c>
      <c r="C8" s="33">
        <v>4400</v>
      </c>
    </row>
    <row r="9" spans="1:3" ht="57.6" x14ac:dyDescent="0.3">
      <c r="A9" s="34" t="s">
        <v>3</v>
      </c>
      <c r="B9" s="35" t="s">
        <v>245</v>
      </c>
      <c r="C9" s="36">
        <v>4400</v>
      </c>
    </row>
    <row r="10" spans="1:3" ht="57.6" x14ac:dyDescent="0.3">
      <c r="A10" s="31" t="s">
        <v>3</v>
      </c>
      <c r="B10" s="32" t="s">
        <v>246</v>
      </c>
      <c r="C10" s="33">
        <v>4400</v>
      </c>
    </row>
    <row r="11" spans="1:3" ht="57.6" x14ac:dyDescent="0.3">
      <c r="A11" s="34" t="s">
        <v>3</v>
      </c>
      <c r="B11" s="35" t="s">
        <v>247</v>
      </c>
      <c r="C11" s="36">
        <v>4400</v>
      </c>
    </row>
    <row r="12" spans="1:3" ht="57.6" x14ac:dyDescent="0.3">
      <c r="A12" s="31" t="s">
        <v>3</v>
      </c>
      <c r="B12" s="32" t="s">
        <v>248</v>
      </c>
      <c r="C12" s="33">
        <v>4400</v>
      </c>
    </row>
    <row r="13" spans="1:3" ht="57.6" x14ac:dyDescent="0.3">
      <c r="A13" s="34" t="s">
        <v>3</v>
      </c>
      <c r="B13" s="35" t="s">
        <v>249</v>
      </c>
      <c r="C13" s="36">
        <v>4400</v>
      </c>
    </row>
    <row r="14" spans="1:3" ht="57.6" x14ac:dyDescent="0.3">
      <c r="A14" s="31" t="s">
        <v>3</v>
      </c>
      <c r="B14" s="32" t="s">
        <v>250</v>
      </c>
      <c r="C14" s="33">
        <v>4400</v>
      </c>
    </row>
    <row r="15" spans="1:3" ht="57.6" x14ac:dyDescent="0.3">
      <c r="A15" s="34" t="s">
        <v>3</v>
      </c>
      <c r="B15" s="35" t="s">
        <v>251</v>
      </c>
      <c r="C15" s="36">
        <v>4400</v>
      </c>
    </row>
    <row r="16" spans="1:3" ht="57.6" x14ac:dyDescent="0.3">
      <c r="A16" s="31" t="s">
        <v>3</v>
      </c>
      <c r="B16" s="32" t="s">
        <v>252</v>
      </c>
      <c r="C16" s="33">
        <v>4400</v>
      </c>
    </row>
    <row r="17" spans="1:3" ht="57.6" x14ac:dyDescent="0.3">
      <c r="A17" s="34" t="s">
        <v>4</v>
      </c>
      <c r="B17" s="35" t="s">
        <v>253</v>
      </c>
      <c r="C17" s="36">
        <v>925.66</v>
      </c>
    </row>
    <row r="18" spans="1:3" ht="43.2" x14ac:dyDescent="0.3">
      <c r="A18" s="31" t="s">
        <v>254</v>
      </c>
      <c r="B18" s="32" t="s">
        <v>255</v>
      </c>
      <c r="C18" s="33">
        <v>132</v>
      </c>
    </row>
    <row r="19" spans="1:3" ht="57.6" x14ac:dyDescent="0.3">
      <c r="A19" s="34" t="s">
        <v>256</v>
      </c>
      <c r="B19" s="35" t="s">
        <v>257</v>
      </c>
      <c r="C19" s="36">
        <v>1760</v>
      </c>
    </row>
    <row r="20" spans="1:3" ht="28.8" x14ac:dyDescent="0.3">
      <c r="A20" s="31" t="s">
        <v>5</v>
      </c>
      <c r="B20" s="32" t="s">
        <v>258</v>
      </c>
      <c r="C20" s="33">
        <v>6499.99</v>
      </c>
    </row>
    <row r="21" spans="1:3" ht="15" thickBot="1" x14ac:dyDescent="0.35">
      <c r="A21" s="34" t="s">
        <v>191</v>
      </c>
      <c r="B21" s="35" t="s">
        <v>259</v>
      </c>
      <c r="C21" s="36">
        <v>10290</v>
      </c>
    </row>
    <row r="22" spans="1:3" ht="15" thickTop="1" x14ac:dyDescent="0.3">
      <c r="A22" s="29"/>
      <c r="B22" s="29"/>
      <c r="C22" s="30">
        <v>85607.650000000009</v>
      </c>
    </row>
    <row r="24" spans="1:3" x14ac:dyDescent="0.3">
      <c r="B24" s="63" t="s">
        <v>274</v>
      </c>
      <c r="C24" s="64">
        <f>C22+'Ingresos investigación 2020'!B27+'Ingresos investigación 2019'!B40</f>
        <v>288347.79000000004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zoomScaleNormal="100" workbookViewId="0">
      <selection activeCell="A23" sqref="A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194</v>
      </c>
      <c r="B2" s="5"/>
    </row>
    <row r="3" spans="1:2" x14ac:dyDescent="0.2">
      <c r="A3" s="4" t="s">
        <v>195</v>
      </c>
      <c r="B3" s="5">
        <v>0.59</v>
      </c>
    </row>
    <row r="4" spans="1:2" x14ac:dyDescent="0.2">
      <c r="A4" s="4" t="s">
        <v>6</v>
      </c>
      <c r="B4" s="5"/>
    </row>
    <row r="5" spans="1:2" x14ac:dyDescent="0.2">
      <c r="A5" s="4" t="s">
        <v>196</v>
      </c>
      <c r="B5" s="5">
        <v>775</v>
      </c>
    </row>
    <row r="6" spans="1:2" x14ac:dyDescent="0.2">
      <c r="A6" s="6" t="s">
        <v>2</v>
      </c>
      <c r="B6" s="7">
        <f>SUM(B3:B5)</f>
        <v>775.59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FCC2-E87E-4530-BAD2-723778463543}">
  <dimension ref="A1:B7"/>
  <sheetViews>
    <sheetView zoomScaleNormal="100" workbookViewId="0">
      <selection activeCell="A7" sqref="A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</v>
      </c>
      <c r="B2" s="5"/>
    </row>
    <row r="3" spans="1:2" x14ac:dyDescent="0.2">
      <c r="A3" s="4" t="s">
        <v>235</v>
      </c>
      <c r="B3" s="5">
        <v>675</v>
      </c>
    </row>
    <row r="4" spans="1:2" x14ac:dyDescent="0.2">
      <c r="A4" s="6" t="s">
        <v>2</v>
      </c>
      <c r="B4" s="7">
        <f>SUM(B3:B3)</f>
        <v>675</v>
      </c>
    </row>
    <row r="7" spans="1:2" x14ac:dyDescent="0.2">
      <c r="A7" s="56" t="s">
        <v>275</v>
      </c>
      <c r="B7" s="55">
        <f>B4+'Ingresos formación 2019'!B6</f>
        <v>1450.5900000000001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355D-68BA-4C86-8699-8ED6A86C1323}">
  <dimension ref="A1:B6"/>
  <sheetViews>
    <sheetView zoomScaleNormal="100" workbookViewId="0">
      <selection activeCell="A3" sqref="A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260</v>
      </c>
      <c r="B2" s="5"/>
    </row>
    <row r="3" spans="1:2" x14ac:dyDescent="0.2">
      <c r="A3" s="4"/>
      <c r="B3" s="5"/>
    </row>
    <row r="4" spans="1:2" x14ac:dyDescent="0.2">
      <c r="A4" s="6" t="s">
        <v>2</v>
      </c>
      <c r="B4" s="7">
        <f>SUM(B3:B3)</f>
        <v>0</v>
      </c>
    </row>
    <row r="6" spans="1:2" x14ac:dyDescent="0.2">
      <c r="B6" s="26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2022-10-18T14:06:58Z</dcterms:modified>
</cp:coreProperties>
</file>