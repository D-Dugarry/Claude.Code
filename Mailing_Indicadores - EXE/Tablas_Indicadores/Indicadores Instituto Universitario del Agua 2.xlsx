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820A6C64-C504-4555-8736-72788361ABBE}" xr6:coauthVersionLast="47" xr6:coauthVersionMax="47" xr10:uidLastSave="{00000000-0000-0000-0000-000000000000}"/>
  <bookViews>
    <workbookView xWindow="22932" yWindow="-108" windowWidth="23256" windowHeight="12456" xr2:uid="{00000000-000D-0000-FFFF-FFFF00000000}"/>
  </bookViews>
  <sheets>
    <sheet name="Tesis" sheetId="3" r:id="rId1"/>
    <sheet name="Sexenios" sheetId="4" r:id="rId2"/>
    <sheet name="Ingresos investigación 2019" sheetId="7" r:id="rId3"/>
    <sheet name="ingresos investigación 2020" sheetId="9" r:id="rId4"/>
    <sheet name="ingresos investigación 2021" sheetId="11" r:id="rId5"/>
    <sheet name="Ingresos formación 2019" sheetId="8" r:id="rId6"/>
    <sheet name="ingresos formación 2020" sheetId="10" r:id="rId7"/>
    <sheet name="ingresos formación 2021" sheetId="12" r:id="rId8"/>
  </sheets>
  <definedNames>
    <definedName name="_xlnm._FilterDatabase" localSheetId="1" hidden="1">Sexenios!$A$1:$S$38</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3" i="4" l="1"/>
  <c r="S104" i="3" l="1"/>
  <c r="B25" i="8" l="1"/>
  <c r="D16" i="12" s="1"/>
  <c r="B51" i="7"/>
  <c r="D37" i="11" s="1"/>
</calcChain>
</file>

<file path=xl/sharedStrings.xml><?xml version="1.0" encoding="utf-8"?>
<sst xmlns="http://schemas.openxmlformats.org/spreadsheetml/2006/main" count="2178" uniqueCount="648">
  <si>
    <t>Orgánica
Descripción justificante</t>
  </si>
  <si>
    <t>Importe</t>
  </si>
  <si>
    <t>Total</t>
  </si>
  <si>
    <t>40.50.6C.00.03</t>
  </si>
  <si>
    <t>40.50.6C.00.32</t>
  </si>
  <si>
    <t>40.50.6C.00.44</t>
  </si>
  <si>
    <t>40.50.6C.00.45</t>
  </si>
  <si>
    <t>40.50.6P.00.02</t>
  </si>
  <si>
    <t>40.50.2M.00.01</t>
  </si>
  <si>
    <t>40.50.2T.00.01</t>
  </si>
  <si>
    <t>40.50.2T.00.04</t>
  </si>
  <si>
    <t>40.50.2T.00.05</t>
  </si>
  <si>
    <t>40.50.6G.00.01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</si>
  <si>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</si>
  <si>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</si>
  <si>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</si>
  <si>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</si>
  <si>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</si>
  <si>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</si>
  <si>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</si>
  <si>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</si>
  <si>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</si>
  <si>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</si>
  <si>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</si>
  <si>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</si>
  <si>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</si>
  <si>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</si>
  <si>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</si>
  <si>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</si>
  <si>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</si>
  <si>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</si>
  <si>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</si>
  <si>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</si>
  <si>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</si>
  <si>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U020 </t>
  </si>
  <si>
    <t>ADM. I.U. DEL AGUA Y DE LAS CIENCIAS AMBIENTALES </t>
  </si>
  <si>
    <t>Codirector de tesis </t>
  </si>
  <si>
    <t>10.05</t>
  </si>
  <si>
    <t/>
  </si>
  <si>
    <t>DOCTORADO EN AGUA Y DESARROLLO SOSTENIBLE </t>
  </si>
  <si>
    <t>Egea Pérez, Ramón </t>
  </si>
  <si>
    <t>INVESTIGACIÓN SOBRE MODELOS DE GESTIÓN DE INFRAESTRUCTURAS HIDRÁULICAS URBANAS RESILIENTES EN RELACIÓN CON LOS RIESGOS HIDROLÓGICOS Y GEOLÓGICOS </t>
  </si>
  <si>
    <t>24/07/2018 </t>
  </si>
  <si>
    <t>Fernandes Augusto, Eryka Eugênia </t>
  </si>
  <si>
    <t>"EL IMPACTO DE LA COLABORACIÓN Y COOPERACIÓN EN LA IMPLEMENTACIÓN DE LOS MODELOS DE LI DE RAEE: LOS CASOS BRASILEÑO Y EUROPEOS / O IMPACTO DA COLABORAÇAO E COOPERAÇAO NA IMPLEMETAÇAO DOS MODELOS DE LOGÍSTICA REVERSA DE REEE: OS CASOS BRASILEIRO E EU </t>
  </si>
  <si>
    <t>23/11/2018 </t>
  </si>
  <si>
    <t>U040 </t>
  </si>
  <si>
    <t>ADM. I.U. DE INGENIERÍA DE LOS PROCESOS QUÍMICOS </t>
  </si>
  <si>
    <t>DOCTORADO EN INGENIERÍA QUÍMICA </t>
  </si>
  <si>
    <t>10.09</t>
  </si>
  <si>
    <t>Director de tesis </t>
  </si>
  <si>
    <t>20/07/2018 </t>
  </si>
  <si>
    <t>10.16</t>
  </si>
  <si>
    <t>U058 </t>
  </si>
  <si>
    <t>ADM. I.U. DE INVESTIGACIONES TURÍSTICAS </t>
  </si>
  <si>
    <t>DOCTORADO EN TURISMO </t>
  </si>
  <si>
    <t>10.17</t>
  </si>
  <si>
    <t>10/04/2018 </t>
  </si>
  <si>
    <t>De Freitas Silva, Marília Natacha </t>
  </si>
  <si>
    <t>"TURISMO E DESENVOLVIMENTO: UMA PROPOSTA PARA MEDIÇAO E AVALIAÇAO DE VULNERABILIDADE SOCIAL NOS TERRITÓRIOS TURÍSTICOS" </t>
  </si>
  <si>
    <t>23/09/2019 </t>
  </si>
  <si>
    <t>10.21</t>
  </si>
  <si>
    <t>21435704A </t>
  </si>
  <si>
    <t>B104 </t>
  </si>
  <si>
    <t>CIENCIAS HISTORICO-JURIDICAS </t>
  </si>
  <si>
    <t>B104</t>
  </si>
  <si>
    <t>50</t>
  </si>
  <si>
    <t>B113 </t>
  </si>
  <si>
    <t>ESTUDIOS JURIDICOS DEL ESTADO </t>
  </si>
  <si>
    <t>U025 </t>
  </si>
  <si>
    <t>ADM. FACULTAD DE DERECHO </t>
  </si>
  <si>
    <t>DOCTORADO EN DERECHO </t>
  </si>
  <si>
    <t>Muñoz Ferrera, José Manuel </t>
  </si>
  <si>
    <t>LA AVENENCIA Y MEDIACIÓN ARBITRAL EN EL DERECHO ANDALUSÍ EJE VERTEBRADOR EN MATERIA DE CONCILIACIÓN Y ARBITRAJE ENTRE COMUNIDADES Y SU CONTEMPORANEIDAD </t>
  </si>
  <si>
    <t>19/07/2017 </t>
  </si>
  <si>
    <t>Paya Selles, Enrique Jorge </t>
  </si>
  <si>
    <t>RÉGIMEN JURÍDICO DE LAS AGUAS DE LA CUENCA DEL RÍO VERDE-MONNEGRE (SS. XIII-XVIII) </t>
  </si>
  <si>
    <t>Abellán Contreras, Francisco José </t>
  </si>
  <si>
    <t>REGULACIÓN NORMATIVA DE LAS ZONAS HÚMEDAS EN EL REINO DE VALENCIA. ESTUDIO HISTÓRICO JURÍDICO SOBRE LA DESECACIÓN Y COLONIZACIÓN DEL "SINUS ILLICITANUS" (XVII-XX) </t>
  </si>
  <si>
    <t>24/04/2018 </t>
  </si>
  <si>
    <t>DE CHIARA , GABRIELLA </t>
  </si>
  <si>
    <t>CUESTIONES JURÍDICAS Y ECONÓMICAS DE LAS COMUNIDADES ISLAMICAS EN ITALIA Y EN ESPAÑA </t>
  </si>
  <si>
    <t>15/07/2019 </t>
  </si>
  <si>
    <t>B113</t>
  </si>
  <si>
    <t>20</t>
  </si>
  <si>
    <t>DOCTORADO EN DERECHO AMBIENTAL Y DE LA SOSTENIBILIDAD </t>
  </si>
  <si>
    <t>Cayotopa Díaz, Jovita Raquel </t>
  </si>
  <si>
    <t>ESTATUTO JURÍDICO INTERNACIONAL DE REFUGIADOS AMBIENTALES EN COMUNIDADES ANCESTRALES </t>
  </si>
  <si>
    <t>07/03/2017 </t>
  </si>
  <si>
    <t>Peña Moreno, Efrain Eduardo </t>
  </si>
  <si>
    <t>HACIA UN RÉGIMEN JURÍDICO DE LOS DESPLAZAMIENTOS HUMANOS POR RAZONES CLIMÁTICAS </t>
  </si>
  <si>
    <t>14/10/2016 </t>
  </si>
  <si>
    <t>Souza Armada, Charles Alexandre </t>
  </si>
  <si>
    <t>"A CONSTRUÇAO DE SENTIDOS EM TORNO DAS VIOLÊNCIAS NAS PRISOES: A VIOLÊNCIA SISTÊMICA DO UNIVERSO INTRAMUROS E O SEU (VIOLENTO) REFLEXO NO MUNDO EXTERNO" </t>
  </si>
  <si>
    <t>08/12/2016 </t>
  </si>
  <si>
    <t>DE CARVALHO , SONIA APARECIDA </t>
  </si>
  <si>
    <t>"A GOVERNANÇA DA POLÍTICA NACIONAL DE RECURSOS NATURAIS: A (IN)SUSTENTABILIDADE DO CASO BRASILEIRO DE REFLORESTAMENTO PARALELO BRASIL E ESPANHA" </t>
  </si>
  <si>
    <t>27/11/2017 </t>
  </si>
  <si>
    <t>Danieli , Adilor </t>
  </si>
  <si>
    <t>"A RESPONSABILIDADE BRASILEIRA EN ÂMBITO GLOBAL PARA COM A SUSTENTABILIDADE E A CONCIENTIZÇAO AMBIENTAL NO QUE TANGE AOS RECURSOS HÍDRICOS" </t>
  </si>
  <si>
    <t>21502998E </t>
  </si>
  <si>
    <t>60</t>
  </si>
  <si>
    <t>Alves Barbosa, Jonismar </t>
  </si>
  <si>
    <t>EL CONVENIO DE AARHUS Y LA POSIBILIDAD DE PARTICIPACIÓN CIUDADANA EN DECISIONES MEDIO AMBIENTALES EN BRASIL EN VIRTUD EL IUS COGENS </t>
  </si>
  <si>
    <t>20/11/2017 </t>
  </si>
  <si>
    <t>Ros McDonnell, Margarita </t>
  </si>
  <si>
    <t>"OCUPACIÓN ARTIFICIAL Y TRANSFORMACIÓN EN EL ENTORNO DEL MAR MENOR. BÚSQUEDA DE PAUTAS PARA UN DESARROLLO EQUILIBRADO" </t>
  </si>
  <si>
    <t>02/11/2018 </t>
  </si>
  <si>
    <t>Cardozo Ferreira, Ximena </t>
  </si>
  <si>
    <t>INUNDACIONES URBANAS: PROPUESTAS PARA UNA GESTIÓN DE RIESGOS CON ENFOQUE EN LA PREVENCIÓN DE DAÑOS </t>
  </si>
  <si>
    <t>09/05/2019 </t>
  </si>
  <si>
    <t>López Peralta, Raúl Ernesto </t>
  </si>
  <si>
    <t>REPERCUSIONES SOCIOECONÓMICAS DE LA GESTIÓN INTEGRAL DE AGUAS URBANAS: CASO DE LA CIUDAD DE TEGUCIGALPA, HONDURAS </t>
  </si>
  <si>
    <t>27/09/2017 </t>
  </si>
  <si>
    <t>74342287P </t>
  </si>
  <si>
    <t>B138 </t>
  </si>
  <si>
    <t>ANALISIS ECONOMICO APLICADO </t>
  </si>
  <si>
    <t>B138</t>
  </si>
  <si>
    <t>90</t>
  </si>
  <si>
    <t>Peña Guzmán, Carlos Andrés </t>
  </si>
  <si>
    <t>29/06/2017 </t>
  </si>
  <si>
    <t>Fernández Aracil, Patricia </t>
  </si>
  <si>
    <t>ANÁLISIS DE LA CIUDAD DISPERSA: REPERCUSIÓN ECONÓMICA, SOCIAL Y MEDIOAMBIENTAL </t>
  </si>
  <si>
    <t>13/09/2018 </t>
  </si>
  <si>
    <t>B147 </t>
  </si>
  <si>
    <t>CONSTRUCCIONES ARQUITECTONICAS </t>
  </si>
  <si>
    <t>B147</t>
  </si>
  <si>
    <t>10</t>
  </si>
  <si>
    <t>B156</t>
  </si>
  <si>
    <t>U022 </t>
  </si>
  <si>
    <t>ADM. FACULTAD DE CIENCIAS </t>
  </si>
  <si>
    <t>DOCTORADO EN CIENCIAS EXPERIMENTALES Y BIOSANITARIAS </t>
  </si>
  <si>
    <t>Serrano Corado, Raquel </t>
  </si>
  <si>
    <t>MATRIX EFFECTS IN PLASMA-BASED SPECTROSCOPIC TECHNIQUES (ICP-AES/MIP-AES): APPLICATION TO THE ANALYSIS OF ENVIRONMENTAL SAMPLES </t>
  </si>
  <si>
    <t>10/06/2019 </t>
  </si>
  <si>
    <t>48348315S </t>
  </si>
  <si>
    <t>B169 </t>
  </si>
  <si>
    <t>QUÍMICA ANALÍTICA, NUTRICIÓN Y BROMATOLOGÍA </t>
  </si>
  <si>
    <t>B169</t>
  </si>
  <si>
    <t>U044 </t>
  </si>
  <si>
    <t>ADM. FACULTAD DE CIENCIAS DE LA SALUD </t>
  </si>
  <si>
    <t>DOCTORADO EN CIENCIAS DE LA SALUD </t>
  </si>
  <si>
    <t>Martínez Rubio, David </t>
  </si>
  <si>
    <t>DESARROLLO DE NUEVOS MÉTODOS DE ANÁLISIS DE ALIMENTOS BASADOS EN LA MIROEXTRACCIÓN DISPERSIVA LÍQUIDO-LÍQUIDO Y DETECCIÓN MEDIANTE TÉCNICAS DE ESPECTROMETRÍA ATÓMICA </t>
  </si>
  <si>
    <t>11/04/2019 </t>
  </si>
  <si>
    <t>46336900L </t>
  </si>
  <si>
    <t>B184 </t>
  </si>
  <si>
    <t>EDIFICACIÓN Y URBANISMO </t>
  </si>
  <si>
    <t>B184</t>
  </si>
  <si>
    <t>DOCTORADO EN INVESTIG. EN ARQUITECTURA Y URBANISMO SOSTENIBLES </t>
  </si>
  <si>
    <t>Arrarte Ayuso, Begoña </t>
  </si>
  <si>
    <t>LOS CATÁLOGOS DE PROTECCIONES. APLICACIÓN PRÁCTICA AL PATRIMONIO URBANO COMÚN DEL MUNICIPIO DE ALICANTE </t>
  </si>
  <si>
    <t>04/07/2017 </t>
  </si>
  <si>
    <t>Grao Gil, Olga </t>
  </si>
  <si>
    <t>GÉNESIS Y EVOLUCIÓN DE LA FACHADA MARÍTIMA URBANA DE ALICANTE: DIÁLOGO CIUDAD Y MAR </t>
  </si>
  <si>
    <t>14/06/2017 </t>
  </si>
  <si>
    <t>Domínguez Martínez, Laura </t>
  </si>
  <si>
    <t>EL DESARROLLO URBANÍSTICO LITORAL Y LA OCUPACIÓN TURÍSTICA EXTRANJERA EN LA COSTA BLANCA </t>
  </si>
  <si>
    <t>22/12/2016 </t>
  </si>
  <si>
    <t>Moreno Vicente, Elisa </t>
  </si>
  <si>
    <t>NUEVOS ASENTAMIENTOS EN LA PERIFERIA METROPOLITANA DE MURCIA. LOS DESARROLLOS EN TORNO A LA AUTOVÍA A-7 EN LA DÉCADA 2001-2010 </t>
  </si>
  <si>
    <t>09/06/2017 </t>
  </si>
  <si>
    <t>B185 </t>
  </si>
  <si>
    <t>INGENIERÍA CIVIL </t>
  </si>
  <si>
    <t>DOCTORADO EN INGENIERÍA DE MATERIALES, ESTRUCTURAS Y TERRENO: CONSTR. SOST. </t>
  </si>
  <si>
    <t>Sánchez Galiano, Juan Carlos </t>
  </si>
  <si>
    <t>BENIDORM: MOVILIDAD, POBLACIÓN Y TURISMO </t>
  </si>
  <si>
    <t>18/09/2017 </t>
  </si>
  <si>
    <t>B185</t>
  </si>
  <si>
    <t>21388652D </t>
  </si>
  <si>
    <t>80</t>
  </si>
  <si>
    <t>Vásquez Rodríguez, Edgardo David </t>
  </si>
  <si>
    <t>"ELIMINACIÓN DE MICROCONTAMINANTES ORGÁNICOS PRESENTES EN AGUAS RESIDUALES URBANAS MEDIANTE MBR COMBINADO CON OXIDACIÓN AVANZADA Y CON FILTRACIÓN POR MEMBRANAS" </t>
  </si>
  <si>
    <t>28/06/2018 </t>
  </si>
  <si>
    <t>Moya Llamas, María José </t>
  </si>
  <si>
    <t>EFECTO DE LA CARGA ORGÁNICA EN LA ELIMINACIÓN DE MICROCONTAMINANTES, MATERIA ORGÁNICA Y NUTRIENTES EN UN SISTEMA UASB-MBR ESCALA PILOTO PARA EL TRATAMIENTO DE AGUAS RESIDUALES DE TIPO URBANO </t>
  </si>
  <si>
    <t>20/12/2018 </t>
  </si>
  <si>
    <t>Mendes Predolin, Lyvia </t>
  </si>
  <si>
    <t>TRATAMIENTO DE AGUAS RESIDUALES MEDIANTE ELECTROCOAGULACIÓN ACOPLADA A UN MBR PARA MINIMIZAR EL ENSUCIAMIENTO DE LA MEMBRANA Y OBTENER EFLUENTES DE ALTA CALIDAD </t>
  </si>
  <si>
    <t>08/02/2019 </t>
  </si>
  <si>
    <t>López Ortiz, Carmen María </t>
  </si>
  <si>
    <t>PRESENCIA DE CONTAMINANTES ORGÁNICOS EMERGENTES EN AGUAS SUPERFICIALES Y SUBTERRÁNEAS. TRANSPORTE EN COLUMNA Y PROCESOS DE ELIMINACIÓN MEDIANTE NANOFILTRACIÓN E INTERCAMBIO IÓNICO </t>
  </si>
  <si>
    <t>05/06/2017 </t>
  </si>
  <si>
    <t>48316901L </t>
  </si>
  <si>
    <t>B146 </t>
  </si>
  <si>
    <t>EXPRESION GRAFICA Y CARTOGRAFIA </t>
  </si>
  <si>
    <t>B187</t>
  </si>
  <si>
    <t>10.06</t>
  </si>
  <si>
    <t>25</t>
  </si>
  <si>
    <t>B151 </t>
  </si>
  <si>
    <t>INGENIERÍA QUÍMICA </t>
  </si>
  <si>
    <t>B151</t>
  </si>
  <si>
    <t>19439134V </t>
  </si>
  <si>
    <t>15</t>
  </si>
  <si>
    <t>75</t>
  </si>
  <si>
    <t>Zarzo Martínez, Domingo </t>
  </si>
  <si>
    <t>PROBLEMÁTICA Y SOLUCIONES PARA LA GESTIÓ Y TRATAMIENTO DE SALMUERAS PROCEDENTES DE DESALADORAS </t>
  </si>
  <si>
    <t>13/09/2017 </t>
  </si>
  <si>
    <t>21943946Z </t>
  </si>
  <si>
    <t>Iñiguez Cantos, María Esperanza </t>
  </si>
  <si>
    <t>ESTUDIO DE LA CONTAMINACIÓN MARINA POR PLÁSTICOS Y EVALUACIÓN DE CONTAMINANTES DERIVADOS DE SU TRATAMIENTO </t>
  </si>
  <si>
    <t>01/04/2019 </t>
  </si>
  <si>
    <t>73768475T </t>
  </si>
  <si>
    <t>21374844R </t>
  </si>
  <si>
    <t>B171 </t>
  </si>
  <si>
    <t>CIENCIAS DEL MAR Y BIOLOGÍA APLICADA </t>
  </si>
  <si>
    <t>B171</t>
  </si>
  <si>
    <t>40</t>
  </si>
  <si>
    <t>DOCTORADO EN CIENCIAS DEL MAR Y BIOLOGÍA APLICADA </t>
  </si>
  <si>
    <t>48568823E </t>
  </si>
  <si>
    <t>Loya Fernández, Ángel Luis </t>
  </si>
  <si>
    <t>ANÁLISIS DE LA ZONA DE MEZCLA DE VERTIDOS HIPERSALINOS PROVENIENTES DE PLANTAS DESALINIZADORAS DE ÓSMOSIS INVERSA </t>
  </si>
  <si>
    <t>31/10/2018 </t>
  </si>
  <si>
    <t>Bouchon Corrales, Marilú </t>
  </si>
  <si>
    <t>LA PESQUERÍA DE ANCHOVETA EN PERÚ </t>
  </si>
  <si>
    <t>04/12/2018 </t>
  </si>
  <si>
    <t>García Rivera, Santiago </t>
  </si>
  <si>
    <t>CARACTERIZACIÓN DE LA BASURA MARINA DEL FONDO DEL MAR EN EL MEDITERRÁNEO ESPAÑOL A TRAVÉS DE LA PESCA DE ARRASTRE </t>
  </si>
  <si>
    <t>31/01/2019 </t>
  </si>
  <si>
    <t>21439172K </t>
  </si>
  <si>
    <t>B179 </t>
  </si>
  <si>
    <t>SOCIOLOGÍA I </t>
  </si>
  <si>
    <t>B179</t>
  </si>
  <si>
    <t>U036 </t>
  </si>
  <si>
    <t>ADM. FACULTAD DE CIENCIAS ECONÓMICAS </t>
  </si>
  <si>
    <t>DOCTORADO EN EMPRESA, ECONOMÍA Y SOCIEDAD </t>
  </si>
  <si>
    <t>Frezzatti Santiago, Ana Lúcia </t>
  </si>
  <si>
    <t>LICENCIA SOCIAL PARA OPERAR. RELACIÓN DE LA EMPRESA CON LA COMUNIDAD SOCIAL. CRITERIOS DE INFLUENCIA PARA LA CONCESIÓN DE LA LSO. UN ESTUDIO DE CASO DE LA MINERÍA BRASILEÑA" </t>
  </si>
  <si>
    <t>05/12/2016 </t>
  </si>
  <si>
    <t>Rios Pérez, Manuel </t>
  </si>
  <si>
    <t>"GASTOS DE PERSONAL, COSTES LABORALES Y FINANCIACIÓN DEL SECTOR DE TRANSPORTE URBANO DE VIAJEROS EN AUTOBÚS EN ESPAÑA EN EL PERIODO 2000-2015" </t>
  </si>
  <si>
    <t>18/01/2018 </t>
  </si>
  <si>
    <t>79108766J </t>
  </si>
  <si>
    <t>21994525Q </t>
  </si>
  <si>
    <t>30</t>
  </si>
  <si>
    <t>27439255W </t>
  </si>
  <si>
    <t>B119 </t>
  </si>
  <si>
    <t>FUNDAMENTOS DEL ANÁLISIS ECONÓMICO </t>
  </si>
  <si>
    <t>DOCTORADO EN ECONOMÍA </t>
  </si>
  <si>
    <t>Núñez Romero, María </t>
  </si>
  <si>
    <t>LA PERCEPCIÓN EMPRESARIAL DEL PROCESO INNOVADOR: EL PAPEL DE LA COOPERACIÓN CON CENTROS TECNOLÓGICOS ESPAÑOLES </t>
  </si>
  <si>
    <t>26/03/2019 </t>
  </si>
  <si>
    <t>74420019T </t>
  </si>
  <si>
    <t>Calderón Roca, Blanca </t>
  </si>
  <si>
    <t>APLICATION OF IRON-BASED NANOSTRUCTURES TO CONTAMINAT REMEDIATION </t>
  </si>
  <si>
    <t>13/07/2017 </t>
  </si>
  <si>
    <t>21407034Z </t>
  </si>
  <si>
    <t>45</t>
  </si>
  <si>
    <t>Garrido López, María De Los Ángeles </t>
  </si>
  <si>
    <t>DESCOMPOSICIÓN TÉRMICA Y BRIQUETADO DE RESIDUOS DE ESPUMAS DE POLIURETANO </t>
  </si>
  <si>
    <t>24/03/2017 </t>
  </si>
  <si>
    <t>Benavente Domenech, Verónica </t>
  </si>
  <si>
    <t>LOW TEMPERATURE UPGRADING OF MOIST AGROINDUSTRIAL WASTES FOR SUBSEQUENT ENERGY USES </t>
  </si>
  <si>
    <t>03/07/2017 </t>
  </si>
  <si>
    <t>Juárez Galán, Juan Manuel </t>
  </si>
  <si>
    <t>DISEÑO Y DESARROLLO DE UN SISTEMA AUTOMÁTICO DE TOMA DE MUESTRAS AMBIENTALES DE GASES Y OLORES MEDIANTE CONDENSACIÓN CRIOGÉNICA </t>
  </si>
  <si>
    <t>15/05/2017 </t>
  </si>
  <si>
    <t>07/07/2017 </t>
  </si>
  <si>
    <t>Martínez García, Elena </t>
  </si>
  <si>
    <t>EFECTOS ECOLÓGICOS DE LA ACUICULTURA EN EL POBLAMIENTO DE POLIQUETOS ASOCIADOS A FONDOS BLANDOS </t>
  </si>
  <si>
    <t>04/11/2016 </t>
  </si>
  <si>
    <t>Martínez Garrido, José </t>
  </si>
  <si>
    <t>SYSTEMATICS, SPECIATION PROCESSES, REPRODUCTIVE STRATEGIES AND GENETIC STRUCTURE IN RUPPIA. SISTEMÁTICA, PROCESOS DE ESPECIACIÓN, ESTRATEGIAS REPRODUCTIVAS Y ESTRUCTURA GENÉTICA EN RUPPIA </t>
  </si>
  <si>
    <t>Rodríguez Carmona, Eduardo-Gabriel </t>
  </si>
  <si>
    <t>ECONOMIA Y SOCIEDAD EN EL BAJO SEGURA, 1975-2015. LA TRAYECTORIA CONTEMPORÁNEA DE UN ÁREA FUNCIONAL METROPOLITANA DE PULSIÓN INFORMAL </t>
  </si>
  <si>
    <t>NIF</t>
  </si>
  <si>
    <t>NOMBRE_COMPLETO</t>
  </si>
  <si>
    <t>TIPO_SEXENIO</t>
  </si>
  <si>
    <t>Total general</t>
  </si>
  <si>
    <t>INS
1</t>
  </si>
  <si>
    <t>DED
INS 1</t>
  </si>
  <si>
    <t>INS
2</t>
  </si>
  <si>
    <t>DED
INS 2</t>
  </si>
  <si>
    <t>DED
DEP</t>
  </si>
  <si>
    <t>SEX
INS 1</t>
  </si>
  <si>
    <t>SEX
INS 2</t>
  </si>
  <si>
    <t>SEX
DEP</t>
  </si>
  <si>
    <t>33490890S</t>
  </si>
  <si>
    <t>ALMODOVAR IÑESTA, MARIA</t>
  </si>
  <si>
    <t>FUNCIONARIO</t>
  </si>
  <si>
    <t>21996111S</t>
  </si>
  <si>
    <t>ANDREU RODES, JOSE MIGUEL</t>
  </si>
  <si>
    <t>21401019W</t>
  </si>
  <si>
    <t>CHOFRE SIRVENT, JOSE FRANCISCO</t>
  </si>
  <si>
    <t>48316575S</t>
  </si>
  <si>
    <t>FERNANDEZ TORQUEMADA, YOLANDA</t>
  </si>
  <si>
    <t>48348315S</t>
  </si>
  <si>
    <t>GRINDLAY LLEDO, GUILLERMO</t>
  </si>
  <si>
    <t>NO FUNCIONARIO</t>
  </si>
  <si>
    <t>46336900L</t>
  </si>
  <si>
    <t>MARTI CIRIQUIAN, PABLO</t>
  </si>
  <si>
    <t>21435704A</t>
  </si>
  <si>
    <t>MARTINEZ ALMIRA, MARIA MAGDALENA</t>
  </si>
  <si>
    <t>74342287P</t>
  </si>
  <si>
    <t>MELGAREJO MORENO, JOAQUIN</t>
  </si>
  <si>
    <t>21502998E</t>
  </si>
  <si>
    <t>MOLINA GIMENEZ, ANDRES</t>
  </si>
  <si>
    <t>21683813B</t>
  </si>
  <si>
    <t>MONTAÑO SANZ, FRANCISCO DE BORJA</t>
  </si>
  <si>
    <t>21497219Q</t>
  </si>
  <si>
    <t>PEREZ DEL HOYO, RAQUEL</t>
  </si>
  <si>
    <t>48316901L</t>
  </si>
  <si>
    <t>SENTANA GADEA, IRENE</t>
  </si>
  <si>
    <t>21388652D</t>
  </si>
  <si>
    <t>TRAPOTE JAUME, ARTURO</t>
  </si>
  <si>
    <t>74002594W</t>
  </si>
  <si>
    <t>VALDES ABELLAN, JAVIER</t>
  </si>
  <si>
    <t>74219671M</t>
  </si>
  <si>
    <t>GIL MACIA, LORENZO</t>
  </si>
  <si>
    <t>21479315Y</t>
  </si>
  <si>
    <t>SANCHEZ SANCHEZ, ANGEL</t>
  </si>
  <si>
    <t>21455103J</t>
  </si>
  <si>
    <t>BOLUDA BOTELLA, NURIA</t>
  </si>
  <si>
    <t>21444613B</t>
  </si>
  <si>
    <t>CARRATALA GIMENEZ, ADORACION ASUNCION</t>
  </si>
  <si>
    <t>73768475T</t>
  </si>
  <si>
    <t>FULLANA FONT, ANDRES</t>
  </si>
  <si>
    <t>21399719J</t>
  </si>
  <si>
    <t>GOMIS YAGUES, VICENTE R.</t>
  </si>
  <si>
    <t>21513988H</t>
  </si>
  <si>
    <t>MOLTO BERENGUER, JULIA</t>
  </si>
  <si>
    <t>21496269D</t>
  </si>
  <si>
    <t>SAQUETE FERRANDIZ, MARIA DOLORES</t>
  </si>
  <si>
    <t>44554016A</t>
  </si>
  <si>
    <t>GARMENDIA LOPEZ, IDOIA</t>
  </si>
  <si>
    <t>21374844R</t>
  </si>
  <si>
    <t>RAMOS ESPLA, ALFONSO ANGEL</t>
  </si>
  <si>
    <t>48568823E</t>
  </si>
  <si>
    <t>SANCHEZ LIZASO, JOSE LUIS</t>
  </si>
  <si>
    <t>21439172K</t>
  </si>
  <si>
    <t>ALEDO TUR, ANTONIO JOSE</t>
  </si>
  <si>
    <t>21994525Q</t>
  </si>
  <si>
    <t>MIRANDA ENCARNACION, JOSE ANTONIO</t>
  </si>
  <si>
    <t>16284755L</t>
  </si>
  <si>
    <t>SAEZ GARCIA, MIGUEL</t>
  </si>
  <si>
    <t>53238057A</t>
  </si>
  <si>
    <t>LOPEZ LLOPIS, ESTEFANIA</t>
  </si>
  <si>
    <t>21474957H</t>
  </si>
  <si>
    <t>ASENSI STEEGMANN, JUAN CARLOS</t>
  </si>
  <si>
    <t>79108766J</t>
  </si>
  <si>
    <t>ORTUÑO PADILLA, ARMANDO</t>
  </si>
  <si>
    <t>27439255W</t>
  </si>
  <si>
    <t>LOPEZ ORTIZ, MARIA INMACULADA</t>
  </si>
  <si>
    <t>47057425T</t>
  </si>
  <si>
    <t>PARDO PICAZO, MIGUEL ANGEL</t>
  </si>
  <si>
    <t>48561476N</t>
  </si>
  <si>
    <t>PLA BRU, MARIA DE LA CONCEPCION</t>
  </si>
  <si>
    <t>12ª Y ÚLTIMA APORTACIÓN. AIADHESA3-17TD.</t>
  </si>
  <si>
    <t>I ADDENDA AL CONTRATO DE ASISTENCIA CIENTÍFICO-TÉCNICA ENTRE CESPA SA, FCC SA, CIVICA, INUSA UTE Y LA UA PARA "CONTROL DEL PROCESO DE BIODIGESTIÓN PARA LA MEJORA DE LA PRODUCCIÓN DE BIOGÁS Y ESTABILIDAD DEL DIGESTOR ANAEROBIO". 2 CONTROLES MES DE MAYO 2019.. REF. UTEALICANTE1-19TD.</t>
  </si>
  <si>
    <t xml:space="preserve">II ADDENDA AL CONTRATO DE ASISTENCIA CIENTÍFICO-TÉCNICA ENTRE CESPA SA, FCC SA, CIVICA, INUSA UTE Y LA UA PARA "CONTROL DEL PROCESO DE BIODIGESTIÓN PARA LA MEJORA DE LA PRODUCCIÓN DE BIOGÁS Y ESTABILIDAD DEL DIGESTOR ANAEROBIO". </t>
  </si>
  <si>
    <t>II ADDENDA AL CONTRATO DE ASISTENCIA CIENTÍFICO-TÉCNICA ENTRE CESPA SA, FCC SA, CIVICA, INUSA UTE Y LA UA PARA "CONTROL DEL PROCESO DE BIODIGESTIÓN PARA LA MEJORA DE LA PRODUCCIÓN DE BIOGÁS Y ESTABILIDAD DEL DIGESTOR ANAEROBIO". 1 CONTROL MES DE JULIO Y 1 CONTROL MES DE AGOSTO DE 2019.</t>
  </si>
  <si>
    <t>II ADDENDA AL CONTRATO DE ASISTENCIA CIENTÍFICO-TÉCNICA ENTRE CESPA SA, FCC SA, CIVICA, INUSA UTE Y LA UA PARA "CONTROL DEL PROCESO DE BIODIGESTIÓN PARA LA MEJORA DE LA PRODUCCIÓN DE BIOGÁS Y ESTABILIDAD DEL DIGESTOR ANAEROBIO". 2 CONTROLES MES DE ABRIL 2019.</t>
  </si>
  <si>
    <t>II ADDENDA AL CONTRATO DE ASISTENCIA CIENTÍFICO-TÉCNICA ENTRE CESPA SA, FCC SA, CIVICA, INUSA UTE Y LA UA PARA "CONTROL DEL PROCESO DE BIODIGESTIÓN PARA LA MEJORA DE LA PRODUCCIÓN DE BIOGÁS Y ESTABILIDAD DEL DIGESTOR ANAEROBIO". 2 CONTROLES MES DE JUNIO 2019.</t>
  </si>
  <si>
    <t>40.50.6C.00.47</t>
  </si>
  <si>
    <t xml:space="preserve">CONTRATO MENOR DE SERVICIOS PARA LA ORGANIZACIÓN CIENTÍFICO ACADÉMICA DEL CONGRESO NACIONAL DEL AGUA A CELEBRAR EN ORIHUELA DURANTE EL MES DE FEBRERO DE 2019. Concejalía de Medio Ambiente --expt.gestiona 13624/2018 nº ref.AD.2018.2.001207.000MD. </t>
  </si>
  <si>
    <t>40.50.6C.00.51</t>
  </si>
  <si>
    <t>CONTRATO DE PRESTACIÓN DE SERVICIOS POR EL PROCEDIMIENTO SIMPLIFICADO ENTRE CSIL Y LA UA PARA ASESORAMIENTO CIENTÍFICO Y TÉCNICO EN EL PROYECTO "FIRST RENEWAL OF THE CONTRACT 2017CE16BAT029 EX POST EVALUATION OF MAJOR PROJECTS SUPPORTED BY ERDF AND COHESION FUND BETWEEN 2000 &amp; 2013" (2º PAGO).</t>
  </si>
  <si>
    <t>CONTRATO DE PRESTACIÓN DE SERVICIOS POR EL PROCEDIMIENTO SIMPLIFICADO ENTRE CSIL Y LA UA PARA ASESORAMIENTO CIENTÍFICO Y TÉCNICO EN EL PROYECTO "FIRST RENEWAL OF THE CONTRACT 2017CE16BAT029 EX POST EVALUATION OF MAJOR PROJECTS SUPPORTED BY ERDF AND COHESION FUND BETWEEN 2000 &amp; 2013".</t>
  </si>
  <si>
    <t>40.50.6C.00.52</t>
  </si>
  <si>
    <t xml:space="preserve">CONTRATO MENOR ENTRE LA CONSELLERÍA DE AGRICULTURA, MEDIO AMBIENTE, CAMBIO CLIMÁTICO Y DESARROLLO RURAL Y LA UA PARA "ESTUDIO SOBRE LA AFECCIÓN DEL VERTIDO DE LA EDAR DE RINCÓN DE LEÓN EN LA ZONA MARÍTIMA LOCALIZADA AL SUR DEL PUERTO DE ALICANTE Y POSIBLES ALTERNATIVAS.  </t>
  </si>
  <si>
    <t>40.50.6C.00.53</t>
  </si>
  <si>
    <t xml:space="preserve">CONVENIO DE COLABORACIÓN ENTRE EDAR MOLINA-ALGUAZAS UTE Y LA UA PARA PRUEBA DE NANOPÁRTICULAS DE HIERRO ENCAPSULADAS PARA LA MEJORA DE LA PRODUCCIÓN DE BIOGÁS. PRIMERA APORTACIÓN. </t>
  </si>
  <si>
    <t>CONVENIO DE COLABORACIÓN ENTRE EDAR MOLINA-ALGUAZAS UTE Y LA UA PARA PRUEBA DE NANOPÁRTICULAS DE HIERRO ENCAPSULADAS PARA LA MEJORA DE LA PRODUCCION DE BIOGÁS. REF. EDARMOLINA2-18Y. SEGUNDA APORTACIÓN.</t>
  </si>
  <si>
    <t>40.50.6C.00.54</t>
  </si>
  <si>
    <t xml:space="preserve">CONTRATO DE PRESTACIÓN DE SERVICIOS PROCEDIMIENTO SIMPLIFICADO ENTRE INECA Y LA UA PARA ESTUDIO SOBRE "NECESIDADES DE INFRAESTRUCTURAS DE LA PROVINCIA DE ALICANTE. HORIZONTE 2020 - HORIZONTE 2029". </t>
  </si>
  <si>
    <t>40.50.6C.00.55</t>
  </si>
  <si>
    <t>CONTRATO DE PRESTACIÓN DE SERVICIOS ENTRE SACYR AGUA SL Y LA UA PARA EL CONTROL PERIÓDICO DE AGUAS Y LODOS DE LA DEPURADORA INDUSTRIAL DE HELADOS ALACANT</t>
  </si>
  <si>
    <t>CONTRATO DE PRESTACIÓN DE SERVICIOS ENTRE SACYR AGUA SL Y LA UA PARA EL CONTROL PERIÓDICO DE AGUAS Y LODOS DE LA DEPURADORA INDUSTRIAL DE HELADOS ALACANT (MENSUALIDAD DE MAYO 2019). REF. SACYRAGUA1-19TPA.</t>
  </si>
  <si>
    <t>CONTRATO DE PRESTACIÓN DE SERVICIOS ENTRE SACYR AGUA SL Y LA UA PARA EL CONTROL PERIÓDICO DE AGUAS Y LODOS DE LA DEPURADORA INDUSTRIAL DE HELADOS ALCANT (MENSUALIDAD JUNIO 2019).</t>
  </si>
  <si>
    <t>40.50.6C.00.56</t>
  </si>
  <si>
    <t>CONTRATO DE PRESTACIÓN DE SERVICIOS ENTRE SACYR AGUA Y LA UA PARA CONTROL PERIÓDICO DE AGUAS Y LODOS DE LA DEPURADORA INDUSTRIAL DE HELADOS ALACANT. SEGUNDA Y ÚLTIMA FACTURA, CONTRATO DE REFERENCIA SACYRAGUA2-19TPA.</t>
  </si>
  <si>
    <t>PRIMERA FACTURA CONTROL PERIÓDICO DE AGUAS Y LODOS DEPURADORA HELADOS ALACANT. REF. SACYRAGUA2-19TPA.</t>
  </si>
  <si>
    <t>40.50.6C.00.57</t>
  </si>
  <si>
    <t>CONTRATO DE ASESORAMIENTO Y ASISTENCIA CIENTÍFICO-TÉCNICA ENTRE INECA Y LA UA EN TRABAJOS SOCIECONÓMICOS Y AMBIENTALES DE LA PROVINCIA DE ALICANTE. SEGUNDO PAGO.</t>
  </si>
  <si>
    <t>CONTRATO DE ASESORAMIENTO Y ASISTENCIA CIENTÍFICO-TÉCNICA ENTRE INECA Y LA UA EN TRABAJOS SOCIOECONÓMICOS Y AMBIENTALES DE LA PROVINCIA DE ALICANTE. REF. ASOCIACIONINSTITUTO2-19T. PRIMER PAGO.</t>
  </si>
  <si>
    <t>40.50.6C.00.58</t>
  </si>
  <si>
    <t>INFORME SOBRE COMPRA PÚBLICA INNOVADORA. ELABORACIÓN DE FICHAS SOBRE IDEAS Y TECNOLOGÍAS INNOVADORAS EN EL CICLO INTEGRAL DEL AGUA DESDE LA PERSPECTIVA DE LA ECONOMÍA CIRCULAR. REF. AGUASALICANTE3-19TPA.</t>
  </si>
  <si>
    <t>40.50.6C.00.59</t>
  </si>
  <si>
    <t>CONTRATO MENOR DE ASISTENCIA TÉCNICA ENTRE EL AYTO DE ALICANTE Y LA UA PARA ELABORACIÓN DE INFORME SOBRE LOS EFECTOS E IMPACTOS DE INTRODUCIR UN NUEVO GESTOR EN EL SISTEMA DE DEPURACIÓN DE LA EDAR DE MONTE ORGEGIA Y LOS RIESGOS PARA EL SERVICIO DEL CICLO INTEGRAL DEL AGUA QUE TENDRÍA PARA LA CIUDAD DE ALICANTE, ASÍ COMO ANÁLISIS COMPARATIVO DE LOS SISTEMAS DE FUNCIONAMIENTO Y GESTIÓN DE LA EDAR MONTE ORGEGIA CON LA EDAR RINCÓN DE LÉON.</t>
  </si>
  <si>
    <t>40.50.6F.00.05</t>
  </si>
  <si>
    <t>REINTEGRO CUOTA PATRONAL CORRESPONDIENTE AL MES DE DICIEMBRE DE 2019.</t>
  </si>
  <si>
    <t>REINTEGRO CUOTA PATRONAL CORRESPONDIENTE AL MES DE NOVIEMBRE 2019.</t>
  </si>
  <si>
    <t>REINTEGRO CUOTA PATRONAL CORRESPONDIENTE AL MES DE OCTUBRE DE 2019.</t>
  </si>
  <si>
    <t>SEMINARIOS DOCTORADO AGUA Y DESARROLLO SOSTENIBLE.</t>
  </si>
  <si>
    <t>VII CONGRESO LUCENTINO- DPTO. DE TRADUCCIÓN E INTERPRETACIÓN</t>
  </si>
  <si>
    <t>40.50.6M.00.02</t>
  </si>
  <si>
    <t>CONVENIO DE COLABORACIÓN EN ACTIVIDADES DE INTERÉS GENERAL ENTRE LA EMPRESA HIDRAQUA Y LA UNIVERSIDAD DE ALICANTE PARA LA COLABORACIÓN EN EL CONGRESO NACIONAL DEL AGUA 2019. INNOVACIÓN Y SOSTENIBILIDAD.  REF. HIDRAQUA1-19X.</t>
  </si>
  <si>
    <t>FLIB 04/06/19 PROYECTO RETOS INVESTIGACIÓN 2016. ANUAL 2019. PROYECTOS I+D RETOS (PIA13) N EXPEDIENTE: PIA132016-1 - 4 ANUALIDAD REFERENCI.   REF. DEL ORDENANTE PARA EL BENEFICIARIO: 27402219310019687.</t>
  </si>
  <si>
    <t>40.50.6Q.00.01</t>
  </si>
  <si>
    <t>DOC: 1B. 18.CAT.001. SUBVENCIÓN UNIVERSIDAD DE ALICANTE PARA FINANCIACIÓN CÁTEDRA DEL AGUA 2018. 6OFTDIACQDEG. EL INSTITUTO DEL AGUA Y CIENCAS AMBIENTALES INFORMA QUE SE TRATA DE UN CONVENIO DE COLABORACIÓN PARA LA FINANCIACIÓN DE LA CÁTEDRA DEL AGUA, Y QUE LA UNIVERSIDAD ADELANTÓ AL INSTITUTO UN IMPORTE MAYOR EN LA ORGÁNICA DE LA CÁTEDRA.</t>
  </si>
  <si>
    <t>DOC: 1B. 18.CAT.001. SUBVENCIÓN UNIVERSIDAD DE ALICANTE PARA FINANCIACIÓN CÁTEDRA DEL AGUA 2018. EL INSTITUTO DEL AGUA Y CIENCIAS AMBIENTALES INFORMA QUE SE TRATA DE UN CONVENIO DE COLABORACIÓN PARA LA FINANCIACIÓN DE LA CÁTEDRA DEL AGUA, Y QUE LA UNIVERSIDAD ADELANTÓ AL INSTITUTO UN IMPORTE MAYOR EN LA ORGÁNICA DE LA CÁTEDRA.</t>
  </si>
  <si>
    <t>40.50.2E.00.01</t>
  </si>
  <si>
    <t>Colaboración en el desarrollo y aplicación de las técnicas de análisis para caracterización de muestras de hidróxido de magnesio y materias primas empleadas en su obtención. TERCERA factura, a los 16 meses de la entrada en vigor del contrato. Referencia CDTI: Proyecto Hidromagne.	Sí	Sí	2019	Q0332001G	UNIVERSIDAD DE ALICANTE  	40.90.6C.00.32	1320.00	3.000,00	_x000D_
20190000000002288 	IC			23/05/2019	H53491015	CDAD PROP SANTA MARIA DE LA CABEZA 4 DE CREVILLENTE	206,61	250	COBRO Fra. 320/2016-I	Sí	Sí	2016			36.90.6C.00.05	1320.00	206,61	_x000D_
20190000000002289 	IC			23/05/2019	R2800395B	UNIVERSIDAD PONTIFICIA COMILLAS	8	8	COBRO Fra. SERIE S/12017039	Sí	Sí	2017			51.33.2G.00.01	1329.00	8	_x000D_
20190000000002290 	JF	N	20190000000000038 	14/06/2019	A03734357	EMPRESA PROVINCIAL DE AGUAS COSTABLANCAPROAGUAS COSTABLANCA, SA	2.000,00	2.000,00	CONVENIO ENTRE PROAGUAS COSTABLANCA Y LA UA PARA AYUDA DE MECENAZGO AL MÁSTER UNIVERSITARIO EN GESTIÓN SOSTENIBLE Y TECNOLOGÍAS DEL AGUA" CURSO 2018/2019.</t>
  </si>
  <si>
    <t>CONVENIO ENTRE HIDRAQUA Y LA UA PARA MECENAZGO MÁSTER GESTIÓN SOSTENIBLE Y TECNOLOGÍAS DEL AGUA. REF. 20190130HIDRAQUA.</t>
  </si>
  <si>
    <t xml:space="preserve">ESPAÑA ALUTIZA, JOSÉ MARIA. 9168 ESPECIALISTA EN DESALINIZACIÓN Y REUTILIZACIÓN DEL AGUA. </t>
  </si>
  <si>
    <t xml:space="preserve">Ferrer Mallén, ESPECIALISTA EN DESALINIZACIÓN Y REUTILIZACIÓN DEL AGUA </t>
  </si>
  <si>
    <t>Liquidación  PLAN 9168 curso ''ESPECIALISTA EN DESALINIZACIÓN Y REUTILIZACIÓN DEL AGUA'' ORDEN 5422</t>
  </si>
  <si>
    <t>Martín González, Miguel. ESPECIALISTA EN DESALINIZACIÓN Y REUTILIZACIÓN DEL AGUA</t>
  </si>
  <si>
    <t xml:space="preserve">Por la impartición de la acción formativa nº 150 grupo 1, denominada Especialista en Desalinización y Reutilización de Agua, celebrada en desde el 14 de enero al 22 de junio de 2019. Modalidad: Teleformación. Duración: 300 horas. 1 participante: DAMIAN AMADOR CABEZALI </t>
  </si>
  <si>
    <t>Liquidación  PLAN  curso ''MÁSTER EN TERRITORIO, URBANISMO Y SOSTENIBILIDAD AMBIENTAL EN EL MARCO DE LA ECONOMÍA CIRCULAR'' ORDEN 5446</t>
  </si>
  <si>
    <t xml:space="preserve">Barranco Mateos, José Luis. ESPECIALISTA EN DESALINIZACIÓN Y REUTILIZACIÓN DEL AGUA. </t>
  </si>
  <si>
    <t>40.50.2T.00.06</t>
  </si>
  <si>
    <t>Liquidación  PLAN 9317 curso ''MÁSTER EN TECNOLOGÍAS Y POLÍTICAS PÚBLICAS SOBRE LA GESTIÓN AMBIENTAN'' ORDEN 5465</t>
  </si>
  <si>
    <t>40.50.2T.00.07</t>
  </si>
  <si>
    <t>Liquidación PLAN 9168 "Especialista en desalinización y reutilización del agua"</t>
  </si>
  <si>
    <t>40.50.2T.00.08</t>
  </si>
  <si>
    <t>Liquidación PLAN 9317 "Máster en tecnologías y políticas públicas sobre la gestión ambiental"</t>
  </si>
  <si>
    <t>40.50.2T.00.09</t>
  </si>
  <si>
    <t>Liquidación PLAN 9289 "Máster en Territorio, urbanismo y sostenibilidad ambiental"</t>
  </si>
  <si>
    <t>Céspedes López, María Francisca </t>
  </si>
  <si>
    <t>CALIFICACIÓN ENERGÉTICA Y PRECIO DE LA VIVIENDA. ANÁLISIS DE LOS PRECIOS DE VENTA EN LA PROVINCIA DE ALICANTE (ESPAÑA) </t>
  </si>
  <si>
    <t>10/07/2020 </t>
  </si>
  <si>
    <t>López Baeza, Jesús </t>
  </si>
  <si>
    <t>Unveiling urban dynamics: An exploration of tools and methods using crowd-sourced data for the study of urban space </t>
  </si>
  <si>
    <t>17/02/2020 </t>
  </si>
  <si>
    <t>Yáñez Pacios, Roberto Tomás </t>
  </si>
  <si>
    <t>Génesis y evolución de las fortificaciones abaluartadas de Fuenterrabía (1496-1638) </t>
  </si>
  <si>
    <t>17/12/2019 </t>
  </si>
  <si>
    <t>18202656L </t>
  </si>
  <si>
    <t>Bernal Romero del Hombre Bueno, María de los Ángeles </t>
  </si>
  <si>
    <t>Reducción de microcontaminantes mediante procesos biológicos, tratamiento con membranas y carbón activado </t>
  </si>
  <si>
    <t>27/05/2020 </t>
  </si>
  <si>
    <t>21455103J </t>
  </si>
  <si>
    <t>Horodytska , Oksana </t>
  </si>
  <si>
    <t>PLASTICS RECYCLING: NEW CHALLENGES IN THE AGE OF THE CIRCULAR ECONOMY </t>
  </si>
  <si>
    <t>15/09/2020 </t>
  </si>
  <si>
    <t>Terradas Fernández, Marc </t>
  </si>
  <si>
    <t>"Aspectos ecológicos del fitobentos asociado a las plataformas de algas y mermétidos del SE ibérico" </t>
  </si>
  <si>
    <t>23/09/2020 </t>
  </si>
  <si>
    <t>52768616S</t>
  </si>
  <si>
    <t>SANABRIA GARCIA, SONIA</t>
  </si>
  <si>
    <t>B182</t>
  </si>
  <si>
    <t>44766559A</t>
  </si>
  <si>
    <t>ORTIZ NOGUERA, GUADALUPE</t>
  </si>
  <si>
    <t>COD DEP</t>
  </si>
  <si>
    <t>15423534X</t>
  </si>
  <si>
    <t>BELTRAN CASTELLANOS, JOSE MIGUEL</t>
  </si>
  <si>
    <t>65</t>
  </si>
  <si>
    <t>10.25</t>
  </si>
  <si>
    <t>48317347M</t>
  </si>
  <si>
    <t>GOMEZ-RICO NUÑEZ DE ARENAS, MARIA FRANCISCA</t>
  </si>
  <si>
    <t>55</t>
  </si>
  <si>
    <t>Jódar Abellán, Antonio </t>
  </si>
  <si>
    <t>Hydrological impacts of global change. Adaptation alternatives in complex water systems with water resources scarcity and severe natural risks (southeast of Spain) </t>
  </si>
  <si>
    <t>09/07/2021 </t>
  </si>
  <si>
    <t>Ribeiro Freyesleben, Luiz Eduardo </t>
  </si>
  <si>
    <t>O RENASCIMENTO DO ULTRANACIONALISMO COMO AMEAÇA À CONSTRUÇÃO DE UMA GOVERNANÇA GLOBAL AMBIENTAL </t>
  </si>
  <si>
    <t>13/05/2021 </t>
  </si>
  <si>
    <t>14/05/2021 </t>
  </si>
  <si>
    <t>Cansi , Francine </t>
  </si>
  <si>
    <t>ÁGUA, ECONOMIA CIRCULAR E SUSTENTABILIDADE: ELEMENTOS TEÓRICOS PARA UM ORDENAMENTO JURÍDICO TRANSNACIONAL </t>
  </si>
  <si>
    <t>02/09/2021 </t>
  </si>
  <si>
    <t>Maas dos Anjos, Rafael </t>
  </si>
  <si>
    <t>ECONOMIA CIRCULAR NA PÓS-MODERNIDADE: GESTÃO SUSTENTÁVEL E RESPONSÁVEL DOS RESÍDUOS SÓLIDOS PÓS-CONSUMO EM TEMPOS DE OBSOLESCÊNCIA PLANEJADA </t>
  </si>
  <si>
    <t>Pérez de la Cruz, Francisco Javier </t>
  </si>
  <si>
    <t>DEFINICIÓN Y CARACTERIZACIÓN DE UNA METODOLOGÍA PARA EL ESTUDIO DE SISTEMAS HIDRÁULICOS ANTIGUOS. APLICACIÓN AL ABASTECIMIENTO DE AGUA A CARTAGENA POR "THE CARTHAGENA MINING &amp; WATER COMPANY" </t>
  </si>
  <si>
    <t>17/12/2020 </t>
  </si>
  <si>
    <t>Climent Gil, Emilio </t>
  </si>
  <si>
    <t>Abordando la complejidad. Vulnerabilidad y riesgo en la gestión de impactos sociales de las intervenciones sobre el medio </t>
  </si>
  <si>
    <t>24/11/2020 </t>
  </si>
  <si>
    <t>44766559A </t>
  </si>
  <si>
    <t>Sola Maciá, Iván </t>
  </si>
  <si>
    <t>González Andrés, Cristina </t>
  </si>
  <si>
    <t>¿The role of marine offshore protected areas in protecting large pelagics. Practical case: Cocos Island National Park¿. </t>
  </si>
  <si>
    <t>26/02/2021 </t>
  </si>
  <si>
    <t>Abad Ortiz, Rubén </t>
  </si>
  <si>
    <t>Las ciudades ante los nuevos usos no planificados del espacio público: análisis del fenómeno "running" a través de datos geolocalizados de redes sociales del deporte </t>
  </si>
  <si>
    <t>26/07/2021 </t>
  </si>
  <si>
    <t>21497219Q </t>
  </si>
  <si>
    <t>Aznar Crespo, Pablo </t>
  </si>
  <si>
    <t>Procesos generativos de vulnerabilidad social ante riesgos ambientales: retos y oportunidades para una nueva gobernanza </t>
  </si>
  <si>
    <t>10/09/2021 </t>
  </si>
  <si>
    <t>74002594W </t>
  </si>
  <si>
    <t>Tratamiento de aguas residuales mediante UASB + eMBR para eliminación de productos farmacéuticos en aguas residuales urbanas </t>
  </si>
  <si>
    <t>15/09/2021 </t>
  </si>
  <si>
    <t>Lledó García, David </t>
  </si>
  <si>
    <t>APPLICATIONS OF IONIC LIQUIDS IN CATALYSIS AND METAL EXTRACTION </t>
  </si>
  <si>
    <t>19/02/2021 </t>
  </si>
  <si>
    <t>U062 </t>
  </si>
  <si>
    <t>ADM. I.U. DE INVESTIGACIÓN INFORMÁTICA </t>
  </si>
  <si>
    <t>DOCTORADO EN INFORMÁTICA </t>
  </si>
  <si>
    <t>Mora Lizán, Francisco José </t>
  </si>
  <si>
    <t>Avances en modelado de sistemas multiagente. Propuesta de arquitectura híbrida multinivel </t>
  </si>
  <si>
    <t>26/01/2021 </t>
  </si>
  <si>
    <t>48624316Q </t>
  </si>
  <si>
    <t>REINTEGRO CUOTA PATRONAL CORRESPONDIENTE A DICIEMBRE DE 2020.</t>
  </si>
  <si>
    <t>REINTEGRO CUOTA PATRONAL CORRESPONDIENTE A JUNIO DE 2020.</t>
  </si>
  <si>
    <t>REINTEGRO CUOTA PATRONAL CORRESPONDIENTE A SEPTIEMBRE DE 2020.</t>
  </si>
  <si>
    <t>40.50.6C.00.60</t>
  </si>
  <si>
    <t>CONTRATO DE PRESTACIÓN DE SERVICIOS ENTRE SACYR AGUA Y LA UA PARA CONTROL PERIÓDICO DE AGUAS Y LODOS DE LA DEPURADORA INDUSTRIAL DE HELADOS ALACANT. REF. SACYRAGUA3-19TPA. PRIMER PLAZO.</t>
  </si>
  <si>
    <t>UA PARA CONTROL PERIÓDICO DE AGUAS Y LODOS DE LA DEPURADORA INDUSTRIAL DE HELADOS ALACANT. REF. SACYRAGUA3-19TPA. SEGUNDO PLAZO.</t>
  </si>
  <si>
    <t>40.50.6C.00.61</t>
  </si>
  <si>
    <t xml:space="preserve">ESTUDIO TÉCNICO-JURÍDICO DE VIABILIDAD PARA LA CONCESIÓN DE AGUAS REGENERADAS PROCEDENTES DE ESTACIÓN DEPURADORA EN RELACIÓN CON EL MANTENIMIENTO DE CAUDALES ECOLÓGICOS EN EL RÍO VINALOPÓ (ALICANTE). </t>
  </si>
  <si>
    <t>40.50.6C.00.62</t>
  </si>
  <si>
    <t>EVALUACIÓN DEL IMPACTO SOCIOECONÓMICO GENERADO POR LA COMUNIDAD DE REGANTES DEL CAMPO DE CARTAGENA. REF. COMUNIDADREGANTESCARTAGENA1-20T.</t>
  </si>
  <si>
    <t>40.50.6C.00.63</t>
  </si>
  <si>
    <t>CONTRATO DE PRESTACIÓN DE SERVICIOS ENTRE INECA Y LA UA PARA COORDINACIÓN Y ELAORACIÓN DEL DOCUMENTO OPORTUNIDADES DE EMPLEO VERDE EN LA PROVINCIA DE ALICANTE. REF. INECA2-20TPA. PAGO ÚNICO.</t>
  </si>
  <si>
    <t>40.50.6C.00.64</t>
  </si>
  <si>
    <t>INFORME PERICIAL CON RELACIÓN AL RECURSO CONTENCIOSO ADMINISTRATIVO (PROCEDIMIENTO INTERPUESTO POR AGUAS MUNICIPALIZADAS DE ALICANTE EMPRESA MIXTA, CONTRA LA CONFEDERACIÓN HIDROGRAFICA DEL JUCAR), POR LA RESOLUCION DE ESTA DE 1 DE JUNIO DE 2020 POR LA QUE IMPONE A AMAEM UNA DERIVACION DE CAUDALES DE SU CONCESION DEMANIAL. REF. AGUASALICANTE2-20TPA.</t>
  </si>
  <si>
    <t>40.50.6C.00.65</t>
  </si>
  <si>
    <t>PREPARACIÓN DE UN FORMULARIO NORMALIZADO PARA LAS COMUNIDADES DE REGANTES. INFORMACIÓN A LAS COMUNIDADES DE REGANTES. COORDINACIÓN Y SEGUIMIENTO DE LA GENERACIÓN DE LOS FORMULARIOS Y COMPILACIÓN DE LOS MISMOS. INFORME FINAL.</t>
  </si>
  <si>
    <t>40.50.6C.00.66</t>
  </si>
  <si>
    <t>PREPARACIÓN PRIMERA CIRCULAR. DIFUSIÓN ENTRE GRUPOS DE INTERÉS. GESTIÓN DE LAS INSCRIPCIONES. RECEPCIÓN Y REVISIÓN DE RESÚMENES. ENVÍO A REVISORES TÉCNICOS INDEPENDIENTES DE RECONOCIDO PRESTIGIO. COORDINACIÓN DE LOS TRABAJOS. COMUNICACIÓN A LOS AUTORES. SELECCIÓN Y CONTACTO CON LOS PONENTES (PONENCIAS MARCO), EN COORDINACIÓN CON LOS RESPONSABLES DE DIPUTACIÓN DE ALICANTE. COORDINACIÓN DE CONTENIDOS DE LAS PONENCIAS. SELECCIÓN Y COORDINACIÓN DE LOS RESPONSABLES DE CADA SESIÓN TÉCNICA.</t>
  </si>
  <si>
    <t>40.50.6C.00.67</t>
  </si>
  <si>
    <t>PREPARACIÓN Y ANÁLISIS DE MUESTRAS LÍQUIDAS MEDIANTE ICP-MS (50 MUESTRAS), MASAS BAJA RESOLUCIÓN (30 MUESTRAS), TG-DSC (15 MUESTRAS), HPLC-MS (15 MUESTRAS), MUESTRAS DE FILM DE PLÁSTICO POR MICROFLUORESCENCIA RAYOS X (20 MUESTRAS), USO DEL CROMATÓGRAFO DE GASES IUACA (20 MUESTRAS). REF. CADEL2-20TPA.</t>
  </si>
  <si>
    <t>40.50.6C.00.68</t>
  </si>
  <si>
    <t>INFORME Y VALIDACIÓN DE PROPUESTAS EN PROCEDIMIENTO DE COMPRA PÚBLICA INNOVADORA SOBRE SISTEMAS AVANZADOS DE VIGILANCIA, SEGURIDAD Y CONTROL DEL AGUA PARA SU REUTILIZACIÓN (nº de pedido: 3200837083). REF. AGUASALICANTE5-20TPA.</t>
  </si>
  <si>
    <t>40.50.6C.00.69</t>
  </si>
  <si>
    <t>EVALUACIÓN DEL ESQUEMA PROVISIONAL DE TEMAS IMPORTANTES DEL PLAN HIDROLÓGICO DEL JÚCAR (CICLO DE PLANIFICACIÓN 2021-2027 Y SUS IMPLICACIONES RELATIVAS AL CAUDAL ECOLÓGICO DEL VINALOPÓ, PARA LA FORMULACIÓN DE ALEGACIONES POR PARTE DE LA COMUNIDAD DE USUARIOS. REF. CGUVINALOPO2-20TPA.</t>
  </si>
  <si>
    <t>40.50.6C.00.70</t>
  </si>
  <si>
    <t>ESTUDIO PARA LA DELIMITACIÓN DEL MARCO COMPETENCIAL DEL SANEAMIENTO DE AGUAS RESIDUALES EN LA COMUNIDAD AUTONOMA DE CATALUÑA, CON ESPECIAL REFERENCIA AL ÁMBITO DE BARCELONA Y SU ÁREA METROPOLITANA. REF. AVELLANO104_1-20TPA.</t>
  </si>
  <si>
    <t>40.50.6C.00.72</t>
  </si>
  <si>
    <t>INFORME SOBRE EL ÁMBITO DE PROTECCIÓN DEL BIEN DE INTERÉS CULTURAL (BIC) EL POBLET EN EL MUNICIPIO DE PETRER (ALICANTE). REF. AYTOPETRER3-20TPA.</t>
  </si>
  <si>
    <t xml:space="preserve">Liquidación Seminarios Agua y Desarrollo Sostenible IUACA. JI 2020-2180, ExpAdm.- 2020EXPADM5346 </t>
  </si>
  <si>
    <t>40.50.6M.00.03</t>
  </si>
  <si>
    <t>CONVENIO ESPECÍFICO DE COLABORACIÓN EN ACTIVIDADES DE INVESTIGACIÓN E INTERÉS GENERAL ENTRE CDAD. DE REGANTES CAMPO DE CARTAGENA Y LA UA PARA VALORACIÓN ECONÓMICA DE LAS ACTIVIDADES AGRARIAS EN EL CAMPO DE CARTAGENA (COMUNIDADREGANTESCARTAGENA2-20I), 1ER PAGO.</t>
  </si>
  <si>
    <t>CONVENIO ESPECÍFICO DE COLABORACIÓN EN ACTIVIDADES DE INVESTIGACIÓN E INTERÉS GENERAL ENTRE CDAD. DE REGANTES CAMPO DE CARTAGENA Y LA UA PARA VALORACIÓN ECONÓMICA DE LAS ACTIVIDADES AGRARIAS EN EL CAMPO DE CARTAGENA. REF. COMUNIDADREGANTESCARTAGENA2-20I). 2º PAGO.</t>
  </si>
  <si>
    <t>40.50.6M.00.04</t>
  </si>
  <si>
    <t>MECENAZGO DE LAS ACTIVIDADES DE ORGANIZACION Y REALIZACION DEL CONGRESO NACIONAL DE INUNDACIONES - ORIHUELA POR LA UA (Nº DE AD 2020.2.0015864.000). REF. AYTOORIHUELA4-20XPA.</t>
  </si>
  <si>
    <t>40.50.6M.00.05</t>
  </si>
  <si>
    <t>CONVENIO DE COLABORACIÓN PARA APOYAR EL CONGRESO NACIONAL DE INUNDACIONES ORIHUELA 2020. REF. CONSORCIOPROVINCIAL1-20Y.</t>
  </si>
  <si>
    <t>DOC: 1B. 19.CAT.001. SUBVENCIÓN UNIVERSIDAD DE ALICANTE PARA FINANCIACIÓN CÁTEDRA DEL AGUA 2019. EL INSTITUTO UNIVERSITARIO DEL AGUA Y CIENCIAS AMBIENTALES CONFIRMA QUE EL INGRESO ES PARA LA FINANCIACIÓN DE LA CÁTEDRA DEL AGUA 2019.</t>
  </si>
  <si>
    <t>CONVENIO DE COLABORACIÓN ENTRE HIDRAQUA, GESTIÓN INTEGRAL DE AGUAS DE LEVANTE SA Y LA UA PARA COLABORACIÓN EN MÁSTER UNIVERSITARIO EN GESTIÓN SOSTENIBLE Y TECNOLOGÍAS DEL AGUA, CURSO 2019-20. REF. 20190130HIDRAQUA.</t>
  </si>
  <si>
    <t>CONVENIO ENTRE PROAGUAS COSTABLANCA Y LA UA PARA AYUDA DE MECENAZGO AL "MÁSTER UNIVERSITARIO EN GESTIÓN SOSTENIBLE Y TECNOLOGÍAS DEL AGUA" CURSO 2019/20. REF. 20140311PROAGUAS1.</t>
  </si>
  <si>
    <t>Benigno Quintero Hernández. ESPECIALISTA EN DESALINIZACIÓN Y REUTILIZACIÓN DEL AGUA</t>
  </si>
  <si>
    <t>Curso PLAN 9168-2019/20 - "Especialista en desalinización y reutilización del agua"</t>
  </si>
  <si>
    <t>Hernández Alonso, Juan. ESPECIALISTA EN DESALINIZACIÓN Y REUTILIZACIÓN DEL AGUA</t>
  </si>
  <si>
    <t>Llopart Aguado, Nil. ESPECIALISTA EN DESALINIZACIÓN Y REUTILIZACIÓN DEL AGUA</t>
  </si>
  <si>
    <t>Morales Martínez, Pablo. ESPECIALISTA EN DESALINIZACIÓN Y REUTILIZACIÓN DEL AGUA</t>
  </si>
  <si>
    <t>Peña García, Nuria. ESPECIALISTA EN DESALINIZACIÓN Y REUTILIZACIÓN DEL AGUA</t>
  </si>
  <si>
    <t>Plan 9168 Curso 2020-21 ESPECIALISTA EN DESALINIZACIÓN Y REUTILIZACIÓN DEL AGUA</t>
  </si>
  <si>
    <t>2ª Liquidación PLAN 9317 "Máster en tecnologías y políticas públicas sobre la gestión ambiental"</t>
  </si>
  <si>
    <t>Plan 9317 2019/20 Master en Tecnologías y políticas sobre la gestión ambiental</t>
  </si>
  <si>
    <t xml:space="preserve">Plan 9317 Curso 2020-21 MASTER EN TECNOLOGÍAS Y POLÍTICAS PÚBLICAS SOBRE LA GESTIÓN AMBIENTAL </t>
  </si>
  <si>
    <t>Plan 9289 2019/20 Master en territorio, urbanismo y sostenibilidad ambiental en el marco de la economía circular</t>
  </si>
  <si>
    <t>Plan 9289 Curso 2020-21 MÁSTER EN TERRITORIO, URBANISMO Y SOSTENIBILIDAD AMBIENTAL EN EL MARCO DE LA ECONOMÍA CIRCULAR. JI-2020-5032</t>
  </si>
  <si>
    <t>48624316Q</t>
  </si>
  <si>
    <t>RIZO MAESTRE, CARLOS</t>
  </si>
  <si>
    <t>Unidad</t>
  </si>
  <si>
    <t>Cód. org. aplic.</t>
  </si>
  <si>
    <t>Descripción justificante</t>
  </si>
  <si>
    <t>40.50</t>
  </si>
  <si>
    <t xml:space="preserve">REINTEGRO CUOTA PATRONAL CORRESPONDIENTE A DICIEMBRE DE 2021. </t>
  </si>
  <si>
    <t xml:space="preserve">(EASME/H2020/2018/008) </t>
  </si>
  <si>
    <t>REINTEGRO CUOTA PATRONAL CORRESPONDIENTE A AGOSTO DE 2021.</t>
  </si>
  <si>
    <t>REINTEGRO CUOTA PATRONAL CORRESPONDIENTE A OCTUBRE DE 2021.</t>
  </si>
  <si>
    <t>40.50.6C.00.71</t>
  </si>
  <si>
    <t>ASISTENCIA TÉCNICA A LA DIRECCIÓN DE OBRA PARA EL DESARROLLO DEL PROYECTO DEL TANQUE DE TORMENTAS DE TORRE PACHECO EN MURCIA (2º PAGO). REF. UTECARRETERAS1-20TPA.</t>
  </si>
  <si>
    <t>ASISTENCIA TÉCNICA A LA DIRECCIÓN DE OBRA PARA EL DESARROLLO DEL PROYECTO DEL TANQUE DE TORMENTAS DE TORRE PACHECO EN MURCIA (5º PAGO). REF. UTECARRETERAS1-20TPA. CERTIFICACIÓN Nº 7 - AGOSTO.</t>
  </si>
  <si>
    <t>ASISTENCIA TÉCNICA A LA DIRECCIÓN DE OBRA PARA EL DESARROLLO DEL PROYECTO DEL TANQUE DE TORMENTAS DE TORRE PACHECO EN MURCIA (6º PAGO). REF. UTECARRETERAS1-20TPA. CERTIFICACIÓN Nº 8 - SEPTIEMBRE.</t>
  </si>
  <si>
    <t>ASISTENCIA TÉCNICA A LA DIRECCIÓN DE OBRA PARA EL DESARROLLO DEL PROYECTO DEL TANQUE DE TORMENTAS DE TORRE PACHECO EN MURCIA (7º PAGO). REF. UTECARRETERAS1-20TPA. CERTIFICACIÓN Nº 9 - OCTUBRE '21.</t>
  </si>
  <si>
    <t>ASISTENCIA TÉCNICA A LA DIRECCIÓN DE OBRA PARA EL DESARROLLO DEL PROYECTO DEL TANQUE DE TORMENTAS DE TORRE PACHECO EN MURCIA (4º PAGO). REF. UTECARRETERAS1-20TPA.</t>
  </si>
  <si>
    <t>ASISTENCIA TÉCNICA A LA DIRECCIÓN DE OBRA PARA EL DESARROLLO DEL PROYECTO DEL TANQUE DE TORMENTAS DE TORRE PACHECO EN MURCIA (3er PAGO). REF. UTECARRETERAS1-20TPA.</t>
  </si>
  <si>
    <t>ASISTENCIA TÉCNICA A LA DIRECCIÓN DE OBRA PARA EL DESARROLLO DEL PROYECTO DEL TANQUE DE TORMENTAS DE TORRE PACHECO EN MURCIA (1er PAGO). REF. UTECARRETERAS1-20TPA.</t>
  </si>
  <si>
    <t>40.50.6C.00.73</t>
  </si>
  <si>
    <t>ASESORAMIENTO Y ASISTENCIA CIENTÍFICO Y TÉCNICA EN TRABAJOS SOCIOECONÓMICOS Y AMBIENTALES DE LA PROVINCIA DE ALICANTE. REF. ASOCIACIONINSTITUTO2-21T.</t>
  </si>
  <si>
    <t>40.50.6C.00.74</t>
  </si>
  <si>
    <t>ASESORAMIENTO PARA LA PREPARACIÓN DE OFERTAS AL CONCURSO DE ESAMUR PARA LA EXPLOTACIÓN DE UNA SERIE DE PLANTAS DEPURADORAS (Nº DE PEDIDO 4500282056). REF. GLOBALOMNIUM1-21TPA. 2º PLAZO.</t>
  </si>
  <si>
    <t>ASESORAMIENTO PARA LA PREPARACIÓN DE OFERTAS AL CONCURSO DE ESAMUR PARA LA EXPLOTACIÓN DE UNA SERIE DE PLANTAS DEPURADORAS (Nº DE PEDIDO 4500282056). REF. GLOBALOMNIUM1-21TPA. 1er PLAZO.</t>
  </si>
  <si>
    <t>40.50.6C.00.75</t>
  </si>
  <si>
    <t>REDACCIÓN DE ANTEPROYECTO PARA EL CORREDOR VERDE DEL RÍO MONNEGRE. FASE PRIMERA (50% DEL IMPORTE DEL CONTRATO). REF. AYTOCAMPELLO1-21T.</t>
  </si>
  <si>
    <t>REDACCIÓN DE ANTEPROYECTO PARA EL CORREDOR VERDE DEL RÍO MONNEGRE. FASE SEGUNDA (50% DEL IMPORTE DEL CONTRATO). REF. AYTOCAMPELLO1-21T.</t>
  </si>
  <si>
    <t>40.50.6C.00.76</t>
  </si>
  <si>
    <t>ASESORAMIENTO Y CONTROL ANALÍTICO DE UN CONJUNTO DE MUESTRAS DE INTERÉS (50-80 MUESTRAS LÍQUIDAS), (15-30 MUESTRAS DE FILM DE PLÁSTICO), EMPLEANDO LAS TÉCNICAS ANALÍTICAS CG, ICP-MS, TG-DSC, HPLC-MS Y MICROFLUORESCENCIA RAYOS X. REF. CADEL1-21TPA. 2º Y ÚLTIMO PLAZO.</t>
  </si>
  <si>
    <t>ASESORAMIENTO Y CONTROL ANALÍTICO DE UN CONJUNTO DE MUESTRAS DE INTERÉS (50-80 MUESTRAS LÍQUIDAS), (15-30 MUESTRAS DE FILM PLÁSTICO) EMPLEANDO LAS TÉCNICAS ANALÍTICAS CG, ICP-MS, TG-DSC, HPLC-MS Y MICROFLUORESCENCIA RAYOS X. REF. CADEL1-21TPA. 1er PLAZO.</t>
  </si>
  <si>
    <t>40.50.6C.00.77</t>
  </si>
  <si>
    <t>CREACIÓN DE BIBLIOTECA DE MENSAJES ANTE EL RIESGO PARA SU INCORPORACIÓN EN LA APP GVA112 AVISOS DEL CENTRO DE COORDINACIÓN DE EMERGENCIAS DE LA GENERALITAT VALENCIANA (CCE-GV) COMO INSTRUMENTO PARA PONTENCIAR LA COMUNICACIÓN DEL RIESGO DE LA CIUDADANÍA USANDO COMO CASO PILOTO LA COMARCA VEGA BAJA DE LA PROVINCIA DE ALICANTE. REF. AVSRE1-21T (PAGO INICIAL).</t>
  </si>
  <si>
    <t>CREACIÓN DE BIBLIOTECA DE MENSAJES ANTE EL RIESGO PARA SU INCORPORACIÓN EN LA APP GVA112 AVISOS DEL CENTRO DE COORDINACIÓN DE EMERGENCIAS DE LA GENERALITAT VALENCIANA (CCE-GV) COMO INSTRUMENTO PARA POTENCIAR LA COMUNICACIÓN DEL RIESGO DE LA CIUDADANÍA USANDO COMO CASO PILOTO LA COMARCA VEGA BAJA DE LA PROVINCIA DE ALICANTE. REF. AVSRE1-21T (PAGO FINAL).</t>
  </si>
  <si>
    <t>40.50.6C.00.78</t>
  </si>
  <si>
    <t xml:space="preserve">COORDINACIÓN PARA LA ELABORACIÓN DEL CUADRO INTEGRAL DE LA PROVINCIA DE ALICANTE (CIPA). REF. INECA1-21TPA. </t>
  </si>
  <si>
    <t>40.50.6C.00.79</t>
  </si>
  <si>
    <t>ELABORACIÓN DE ESTUDIO E INFORMES EN MATERIA AMBIENTAL Y DE AGUAS. REF. HIDRAQUA1-21T. 1ª FACTURA (4 INFORMES). Nº DE HORAS: 168 H, PRECIO/H: 25 EUROS/H. ELABORACIÓN DE ESTUDIO E INFORMES EN MATERIA AMBIENTAL Y DE AGUAS. REF. HIDRAQUA1-21T. 1ª FACTURA (4 INFORMES). Nº DE HORAS: 168 H, PRECIO/H: 25 EUROS/H. Nº DE PEDIDO 3201064000.</t>
  </si>
  <si>
    <t>40.50.6C.00.80</t>
  </si>
  <si>
    <t>ELABORACIÓN DE ESTUDIO E INFORME SOBRE EL IMPACTO SOCIOECONÓMICO DEL PLAN VEGA BAJA NATURE (PROF. ARMANDO ORTUÑO PADILLA). REF. HIDRAQUA2-21T . Nº DE PEDIDO 3200996965.</t>
  </si>
  <si>
    <t>40.50.6C.00.81</t>
  </si>
  <si>
    <t>CONTRATO DE ASESORAMIENTO Y ASISTENCIA CIENTÍFICO-TÉCNICA PARA ESTUDIO SOBRE LA DESALACIÓN PARA RIEGO EN EL ÁREA REGADA POR EL TRASVASE TAJO-SEGURA (TTS). REF. ACCIONAAGUA1-21T, (REF. 28922).</t>
  </si>
  <si>
    <t>40.50.6C.00.83</t>
  </si>
  <si>
    <t>Subvención para la celebración del III Congreso Nacional del Agua. Fenómenos extremos: sequías e inundaciones.</t>
  </si>
  <si>
    <t>40.50.6C.00.84</t>
  </si>
  <si>
    <t>SERVICIO DE SECRETARÍA TÉCNICA DEL III CONGRESO NACIONAL DEL AGUA ORGANIZADO POR DIPUTACIÓN DE ALICANTE, ORIHUELA 2021.  SECRETARÍA TÉCNICA DEL III CONGRESO NACIONAL DEL AGUA ORGANIZADO POR DIPUTACIÓN DE ALICANTE, ORIHUELA 2021. REF. DIPUTACION2-21T.</t>
  </si>
  <si>
    <t>40.50.6C.00.86</t>
  </si>
  <si>
    <t>ASISTENCIA TÉCNICA DE LA REVISIÓN DE LAS CARACTERÍSTICAS TÉCNICAS DEL PLIEGO DE LA "ASOCIACIÓN PARA LA INNOVACIÓN EN ECONOMÍA CIRCULAR Y SOSTENIBILIDAD" DE AGUAS MUNICIPALIZADAS DE ALICANTE. REF. AGUASALICANTE2-21TPA.</t>
  </si>
  <si>
    <t>40.50.6C.00.87</t>
  </si>
  <si>
    <t>ASESORAMIENTO Y ASISTENCIA CIENTÍFICO Y TÉCNICA PARA LA PROMOCIÓN DE SOLUCIONES BASADAS EN LA NATURALEZA EN EL ESTUARIO DEL RÍO GUADALQUIVIR. REF. WWF3-21T. 1er PAGO.</t>
  </si>
  <si>
    <t>40.50.6C.00.89</t>
  </si>
  <si>
    <t>LABORATORY AND PILOT PLANT TESTS TO IDENTIFY THE BEST OXIDIZING AGENT: AIR, OZONE, AND PEROXIDE, THE OPTIMAL CONCENTRATION OF THE OXIDZING AGENT AND STUDY OF CHEMICAL KINTICS FOR REACTOR DESIGN. SOS PO REF. 0758_270721_OTHERS. 1ST PAYMENT. REF. SOHAR1-21TPA.</t>
  </si>
  <si>
    <t>40.50.6F.00.01</t>
  </si>
  <si>
    <t>REINTEGRO CUOTA PATRONAL CORRESPONDIENTE A ENERO DE 2021.</t>
  </si>
  <si>
    <t>SUBVENCIÓN CÁTEDRA DEL AGUA. INFORMA DEL INGRESO EL INSTITUTO UNIVERSITARIO DEL AGUA Y CIENCIAS AMBIENTALES.</t>
  </si>
  <si>
    <t xml:space="preserve">Plan 9168 curso 2021-22, ESPECIALISTA EN DESALINIZACIÓN Y REUTILIZACIÓN DEL AGUA </t>
  </si>
  <si>
    <t>Esperanza Gámez Moreno. ESPECIALISTA EN DESALINIZACIÓN Y REUTILIZACIÓN DEL AGUA</t>
  </si>
  <si>
    <t>Silvia Gómez Salinas. ESPECIALISTA EN DESALINIZACIÓN Y REUTILIZACIÓN DEL AGUA</t>
  </si>
  <si>
    <t>Wendeld Soto Cortez. ESPECIALISTA EN DESALINIZACIÓN Y REUTILIZACIÓN DEL AGUA</t>
  </si>
  <si>
    <t>Plan: 9168 ESPECIALISTA EN DESALINIZACIÓN Y REUTILIZACIÓN DEL AGUA. COMPLEMENTARIO AL JI 2020/5133</t>
  </si>
  <si>
    <t xml:space="preserve">Plan 9317 curso 2021-22, MÁSTER EN TECNOLOGÍAS Y POLÍTICAS PÚBLICAS SOBRE LA GESTIÓN AMBIENTAL </t>
  </si>
  <si>
    <t>Plan 9317 - MÁSTER EN TECNOLOGÍAS Y POLÍTICAS PÚBLICAS SOBRE LA GESTIÓN AMBIENTAL. Curso 2020-21. COMPLEMENTARIO AL JI2020/4968.</t>
  </si>
  <si>
    <t xml:space="preserve">Plan 9289 curso 2021-22, MÁSTER EN TERRITORIO, URBANISMO Y SOSTENIBILIDAD AMBIENTAL EN EL MARCO DE </t>
  </si>
  <si>
    <t>Plan 9289 Curso 2020-21 MÁSTER EN TERRITORIO, URBANISMO Y SOSTENIBILIDAD AMBIENTAL EN EL MARCO DE LA ECONOMÍA CIRCULAR. COMPLEMENTARIO AL  JI2020/5032</t>
  </si>
  <si>
    <t>36481448V </t>
  </si>
  <si>
    <t>ASPECTOS AMBIENTALES DE LA DESALINIZACIÓN DE AGUA DE MAR : REGULACIÓN Y GESTIÓN DE LOS VERTIDOS </t>
  </si>
  <si>
    <t>MORA CABRERA, KAREN VIVIANA </t>
  </si>
  <si>
    <t>García Ortiz, Adrián </t>
  </si>
  <si>
    <t>Orden público y Unión Europea. Una contribución a la construcción constitucional europea </t>
  </si>
  <si>
    <t>30/09/2021 </t>
  </si>
  <si>
    <t>21401019W </t>
  </si>
  <si>
    <t>Izquierdo Muñoz, Andres </t>
  </si>
  <si>
    <t>Contribución al conocimiento de la fauna exótica en el Mar Mediterráneo, con especial atención al Sudeste Ibérico </t>
  </si>
  <si>
    <t>25/03/2022 </t>
  </si>
  <si>
    <t>Muñoz Muñoz, Pamela Tamara </t>
  </si>
  <si>
    <t>Respuestas Fisiológicas y metabólicas de macroalgas expuestas a estrés osmótico por hipersalinidad: mecanismos de tolerancia y herramientas de biomonitoreo </t>
  </si>
  <si>
    <t>26/11/2021 </t>
  </si>
  <si>
    <t>López Davó, Joaquín Antonio </t>
  </si>
  <si>
    <t>La evolución del concepto de confort: el confort ambiental en edificios docentes y administrativos </t>
  </si>
  <si>
    <t>Aldeguer Esquerdo, Alejandro </t>
  </si>
  <si>
    <t>Tratamientos combinados mediante carbón activado y ozono para reducir la presencia de atrazina, simazina, carbamazepina y diclofenaco en medio acuoso. </t>
  </si>
  <si>
    <t>27/05/2022 </t>
  </si>
  <si>
    <t>B187 </t>
  </si>
  <si>
    <t>EXPRESION GRAFICA, COMPOSICIÓN Y PROYECTOS </t>
  </si>
  <si>
    <t>Pisano Motta Gemignani, Viviane </t>
  </si>
  <si>
    <t>MAPAS CAUSAIS COLABORATIVOS COMO FERRAMENTA DA AVALIAÇÃO DE IMPACTO SOCIAL EM TERRITÓRIOS DE MINERAÇÃO: contribuições para a gestão dos impactos sociais </t>
  </si>
  <si>
    <t>06/09/2022 </t>
  </si>
  <si>
    <t>Aldaghma , Saleh </t>
  </si>
  <si>
    <t>"The prospects of water sustainability in Gaza, Palestine in light of politics and technical challenges" </t>
  </si>
  <si>
    <t>09/02/2022 </t>
  </si>
  <si>
    <t>Villalba Clemente, Francisco Gabriel </t>
  </si>
  <si>
    <t>El modelo constitucional de organización y financiación territorial en la República Federal de Alemania: Aportaciones al modelo español </t>
  </si>
  <si>
    <t>17/06/2022 </t>
  </si>
  <si>
    <t>Cordero Cervantes, Felipe Bernardo </t>
  </si>
  <si>
    <t>La nueva perspectiva de la acción de amparo en Bolivia. Referencias al recurso de amparo español </t>
  </si>
  <si>
    <t>04/02/2022 </t>
  </si>
  <si>
    <t>Punset Bannel, Carolina Clara </t>
  </si>
  <si>
    <t>LA TRANSICIÓN ENERGÉTICA HACIA UN MODELO DESCARBONIZADO DESDE LA PERSPECTIVA DE LOS LOBBIES EN LA UNIÓN EUROPEA </t>
  </si>
  <si>
    <t>08/04/2022 </t>
  </si>
  <si>
    <t>- </t>
  </si>
  <si>
    <t>Mendonça Neto, Wilson Paulo </t>
  </si>
  <si>
    <t>STANDARD PROBATÓRIO NA CRIMINALIDADE ORGANIZADA TRANSNACIONAL SOB O VIÉS DA SUSTENTABILIDADE </t>
  </si>
  <si>
    <t>06/05/2021 </t>
  </si>
  <si>
    <t>Franco , Silvio José </t>
  </si>
  <si>
    <t>SOCIEDADE DE RISCO E JUDICIÁRIO: A ATUAÇÃO DO JUIZ COMO UM LOCUS PARA A EFETIVAÇÃO DE UM ESTADO DE DIREITO SUSTENTÁVEL </t>
  </si>
  <si>
    <t>Dexheimer , Marcus Alexsander </t>
  </si>
  <si>
    <t>DANO MULTICAUSAL: INCERTEZA E PROVA NA RESPONSABILIDADE AMBIENTAL </t>
  </si>
  <si>
    <t>48555813F</t>
  </si>
  <si>
    <t>RODRIGUEZ HERNANDEZ, MARIA DEL CARMEN</t>
  </si>
  <si>
    <t>74176967N</t>
  </si>
  <si>
    <t>SAURA GOMEZ, PASCUAL</t>
  </si>
  <si>
    <t>vivos</t>
  </si>
  <si>
    <t>Total ingresos investigación 2019-2020-2021</t>
  </si>
  <si>
    <t>Total ingresos formación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</si>
</sst>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0"/>
      <color theme="1"/>
      <name val="Arial"/>
      <family val="2"/>
    </font>
    <font>
      <b/>
      <sz val="11"/>
      <color theme="0"/>
      <name val="Calibri"/>
      <family val="2"/>
      <scheme val="minor"/>
    </font>
    <font>
      <b/>
      <sz val="11"/>
      <color theme="1"/>
      <name val="Calibri"/>
      <family val="2"/>
      <scheme val="minor"/>
    </font>
    <font>
      <sz val="11"/>
      <color rgb="FF000000"/>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2CC"/>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indexed="64"/>
      </top>
      <bottom style="thin">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83">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11" fillId="6" borderId="1" xfId="0" applyFont="1" applyFill="1" applyBorder="1" applyAlignment="1">
      <alignment horizontal="left" vertical="center"/>
    </xf>
    <xf numFmtId="0" fontId="11" fillId="6" borderId="2"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3" fillId="0" borderId="1" xfId="1" applyBorder="1"/>
    <xf numFmtId="0" fontId="3" fillId="4" borderId="1" xfId="1" applyFill="1" applyBorder="1"/>
    <xf numFmtId="0" fontId="3" fillId="4" borderId="1" xfId="1" applyFill="1" applyBorder="1" applyAlignment="1">
      <alignment horizontal="right"/>
    </xf>
    <xf numFmtId="164" fontId="3" fillId="4" borderId="1" xfId="1" applyNumberFormat="1" applyFill="1" applyBorder="1"/>
    <xf numFmtId="1" fontId="3" fillId="4" borderId="1" xfId="1" applyNumberFormat="1" applyFill="1" applyBorder="1"/>
    <xf numFmtId="0" fontId="3" fillId="4" borderId="5" xfId="1" applyFill="1" applyBorder="1"/>
    <xf numFmtId="0" fontId="3" fillId="4" borderId="5" xfId="1" applyFill="1" applyBorder="1" applyAlignment="1">
      <alignment horizontal="right"/>
    </xf>
    <xf numFmtId="1" fontId="3" fillId="4" borderId="5" xfId="1" applyNumberFormat="1" applyFill="1" applyBorder="1"/>
    <xf numFmtId="164" fontId="3" fillId="4" borderId="5" xfId="1" applyNumberFormat="1" applyFill="1" applyBorder="1"/>
    <xf numFmtId="0" fontId="3" fillId="4" borderId="6" xfId="1" applyFill="1" applyBorder="1"/>
    <xf numFmtId="0" fontId="12" fillId="0" borderId="7" xfId="0" applyFont="1" applyBorder="1" applyAlignment="1">
      <alignment horizontal="left"/>
    </xf>
    <xf numFmtId="0" fontId="12" fillId="0" borderId="7" xfId="0" applyFont="1" applyBorder="1"/>
    <xf numFmtId="0" fontId="0" fillId="0" borderId="0" xfId="0" applyAlignment="1">
      <alignment horizontal="left" indent="1"/>
    </xf>
    <xf numFmtId="0" fontId="12" fillId="7" borderId="8" xfId="0" applyFont="1" applyFill="1" applyBorder="1" applyAlignment="1">
      <alignment horizontal="left"/>
    </xf>
    <xf numFmtId="0" fontId="12" fillId="7" borderId="8" xfId="0" applyFont="1" applyFill="1" applyBorder="1"/>
    <xf numFmtId="165" fontId="3" fillId="4" borderId="1" xfId="1" applyNumberFormat="1" applyFill="1" applyBorder="1"/>
    <xf numFmtId="0" fontId="13" fillId="8" borderId="9" xfId="0" applyNumberFormat="1" applyFont="1" applyFill="1" applyBorder="1"/>
    <xf numFmtId="0" fontId="13" fillId="8" borderId="10" xfId="0" applyNumberFormat="1" applyFont="1" applyFill="1" applyBorder="1"/>
    <xf numFmtId="0" fontId="13" fillId="8" borderId="11" xfId="0" applyFont="1" applyFill="1" applyBorder="1" applyAlignment="1">
      <alignment horizontal="right"/>
    </xf>
    <xf numFmtId="0" fontId="0" fillId="9" borderId="12" xfId="0" applyNumberFormat="1" applyFont="1" applyFill="1" applyBorder="1"/>
    <xf numFmtId="0" fontId="0" fillId="9" borderId="13" xfId="0" applyFont="1" applyFill="1" applyBorder="1"/>
    <xf numFmtId="4" fontId="0" fillId="9"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3" fillId="8" borderId="15" xfId="0" applyFont="1" applyFill="1" applyBorder="1"/>
    <xf numFmtId="0" fontId="13" fillId="8" borderId="16" xfId="0" applyFont="1" applyFill="1" applyBorder="1"/>
    <xf numFmtId="4" fontId="13" fillId="8" borderId="17" xfId="0" applyNumberFormat="1" applyFont="1" applyFill="1" applyBorder="1"/>
    <xf numFmtId="0" fontId="13" fillId="8" borderId="18" xfId="0" applyNumberFormat="1" applyFont="1" applyFill="1" applyBorder="1"/>
    <xf numFmtId="0" fontId="13" fillId="8" borderId="19" xfId="0" applyNumberFormat="1" applyFont="1" applyFill="1" applyBorder="1"/>
    <xf numFmtId="0" fontId="13" fillId="8" borderId="20" xfId="0" applyNumberFormat="1" applyFont="1" applyFill="1" applyBorder="1"/>
    <xf numFmtId="0" fontId="0" fillId="7" borderId="18" xfId="0" applyNumberFormat="1" applyFont="1" applyFill="1" applyBorder="1"/>
    <xf numFmtId="0" fontId="0" fillId="7" borderId="19" xfId="0" applyFont="1" applyFill="1" applyBorder="1"/>
    <xf numFmtId="4" fontId="0" fillId="7" borderId="20" xfId="0" applyNumberFormat="1" applyFont="1" applyFill="1" applyBorder="1"/>
    <xf numFmtId="0" fontId="0" fillId="0" borderId="18" xfId="0" applyNumberFormat="1" applyFont="1" applyBorder="1"/>
    <xf numFmtId="0" fontId="0" fillId="0" borderId="19" xfId="0" applyFont="1" applyBorder="1"/>
    <xf numFmtId="4" fontId="0" fillId="0" borderId="20" xfId="0" applyNumberFormat="1" applyFont="1" applyBorder="1"/>
    <xf numFmtId="0" fontId="14" fillId="0" borderId="21" xfId="0" applyFont="1" applyBorder="1"/>
    <xf numFmtId="0" fontId="14" fillId="0" borderId="22" xfId="0" applyFont="1" applyBorder="1"/>
    <xf numFmtId="4" fontId="14" fillId="0" borderId="23" xfId="0" applyNumberFormat="1" applyFont="1" applyBorder="1"/>
    <xf numFmtId="165" fontId="3" fillId="4" borderId="5" xfId="1" applyNumberFormat="1" applyFill="1" applyBorder="1"/>
    <xf numFmtId="164" fontId="3" fillId="10" borderId="1" xfId="1" applyNumberFormat="1" applyFill="1" applyBorder="1"/>
    <xf numFmtId="164" fontId="3" fillId="10" borderId="5" xfId="1" applyNumberFormat="1" applyFill="1" applyBorder="1"/>
    <xf numFmtId="0" fontId="3" fillId="10" borderId="1" xfId="1" applyFill="1" applyBorder="1"/>
    <xf numFmtId="0" fontId="0" fillId="0" borderId="1" xfId="0" applyBorder="1" applyAlignment="1">
      <alignment horizontal="left"/>
    </xf>
    <xf numFmtId="0" fontId="0" fillId="11" borderId="1" xfId="0" applyFill="1" applyBorder="1" applyAlignment="1">
      <alignment horizontal="center"/>
    </xf>
    <xf numFmtId="0" fontId="15" fillId="12" borderId="1" xfId="0" applyFont="1" applyFill="1" applyBorder="1" applyAlignment="1">
      <alignment horizontal="right"/>
    </xf>
    <xf numFmtId="4" fontId="0" fillId="11" borderId="0" xfId="0" applyNumberFormat="1" applyFill="1"/>
    <xf numFmtId="4" fontId="0" fillId="11" borderId="1" xfId="0" applyNumberFormat="1" applyFill="1" applyBorder="1"/>
    <xf numFmtId="164" fontId="4" fillId="10" borderId="24" xfId="1" applyNumberFormat="1" applyFont="1" applyFill="1" applyBorder="1" applyAlignment="1">
      <alignment horizontal="center"/>
    </xf>
    <xf numFmtId="0" fontId="4" fillId="10" borderId="24" xfId="1" applyFont="1" applyFill="1" applyBorder="1" applyAlignment="1">
      <alignment horizontal="center"/>
    </xf>
    <xf numFmtId="0" fontId="12" fillId="11" borderId="24" xfId="5" applyFont="1" applyFill="1" applyBorder="1" applyAlignment="1">
      <alignment horizontal="center"/>
    </xf>
    <xf numFmtId="2" fontId="3" fillId="10" borderId="1" xfId="1" applyNumberFormat="1" applyFill="1" applyBorder="1"/>
    <xf numFmtId="2" fontId="3" fillId="4" borderId="1" xfId="1" applyNumberFormat="1" applyFill="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04"/>
  <sheetViews>
    <sheetView showGridLines="0" tabSelected="1" topLeftCell="E1" zoomScale="120" zoomScaleNormal="120" workbookViewId="0">
      <selection activeCell="T87" sqref="T87"/>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5.33203125" style="14" customWidth="1"/>
    <col min="14" max="14" width="4.88671875" style="13" customWidth="1"/>
    <col min="15" max="15" width="5.3320312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5" x14ac:dyDescent="0.2">
      <c r="A1" s="8" t="s">
        <v>13</v>
      </c>
      <c r="B1" s="9" t="s">
        <v>14</v>
      </c>
      <c r="C1" s="9" t="s">
        <v>15</v>
      </c>
      <c r="D1" s="9" t="s">
        <v>16</v>
      </c>
      <c r="E1" s="9" t="s">
        <v>17</v>
      </c>
      <c r="F1" s="9" t="s">
        <v>18</v>
      </c>
      <c r="G1" s="9" t="s">
        <v>19</v>
      </c>
      <c r="H1" s="9" t="s">
        <v>20</v>
      </c>
      <c r="I1" s="8" t="s">
        <v>21</v>
      </c>
      <c r="J1" s="9" t="s">
        <v>22</v>
      </c>
      <c r="K1" s="8" t="s">
        <v>23</v>
      </c>
      <c r="L1" s="9" t="s">
        <v>24</v>
      </c>
      <c r="M1" s="10" t="s">
        <v>25</v>
      </c>
      <c r="N1" s="11" t="s">
        <v>26</v>
      </c>
      <c r="O1" s="12" t="s">
        <v>27</v>
      </c>
      <c r="P1" s="11" t="s">
        <v>28</v>
      </c>
      <c r="Q1" s="12" t="s">
        <v>29</v>
      </c>
      <c r="R1" s="11" t="s">
        <v>30</v>
      </c>
      <c r="S1" s="11" t="s">
        <v>31</v>
      </c>
      <c r="T1" s="11" t="s">
        <v>32</v>
      </c>
      <c r="U1" s="11" t="s">
        <v>33</v>
      </c>
    </row>
    <row r="2" spans="1:21" x14ac:dyDescent="0.2">
      <c r="A2" s="30" t="s">
        <v>34</v>
      </c>
      <c r="B2" s="30" t="s">
        <v>35</v>
      </c>
      <c r="C2" s="30" t="s">
        <v>39</v>
      </c>
      <c r="D2" s="30" t="s">
        <v>40</v>
      </c>
      <c r="E2" s="30" t="s">
        <v>41</v>
      </c>
      <c r="F2" s="30" t="s">
        <v>42</v>
      </c>
      <c r="G2" s="30" t="s">
        <v>633</v>
      </c>
      <c r="H2" s="30" t="s">
        <v>36</v>
      </c>
      <c r="I2" s="30" t="s">
        <v>34</v>
      </c>
      <c r="J2" s="30" t="s">
        <v>35</v>
      </c>
      <c r="K2" s="32">
        <v>0.5</v>
      </c>
      <c r="L2" s="30" t="s">
        <v>37</v>
      </c>
      <c r="M2" s="30">
        <v>2017</v>
      </c>
      <c r="N2" s="30" t="s">
        <v>38</v>
      </c>
      <c r="O2" s="31" t="s">
        <v>38</v>
      </c>
      <c r="P2" s="30" t="s">
        <v>38</v>
      </c>
      <c r="Q2" s="31" t="s">
        <v>38</v>
      </c>
      <c r="R2" s="33">
        <v>100</v>
      </c>
      <c r="S2" s="70">
        <v>0.5</v>
      </c>
      <c r="T2" s="32">
        <v>0</v>
      </c>
      <c r="U2" s="32">
        <v>0</v>
      </c>
    </row>
    <row r="3" spans="1:21" ht="10.8" thickBot="1" x14ac:dyDescent="0.25">
      <c r="A3" s="30" t="s">
        <v>34</v>
      </c>
      <c r="B3" s="30" t="s">
        <v>35</v>
      </c>
      <c r="C3" s="30" t="s">
        <v>39</v>
      </c>
      <c r="D3" s="30" t="s">
        <v>43</v>
      </c>
      <c r="E3" s="30" t="s">
        <v>44</v>
      </c>
      <c r="F3" s="30" t="s">
        <v>45</v>
      </c>
      <c r="G3" s="30" t="s">
        <v>633</v>
      </c>
      <c r="H3" s="30" t="s">
        <v>36</v>
      </c>
      <c r="I3" s="30" t="s">
        <v>34</v>
      </c>
      <c r="J3" s="30" t="s">
        <v>35</v>
      </c>
      <c r="K3" s="44">
        <v>0.33333333333333331</v>
      </c>
      <c r="L3" s="30" t="s">
        <v>37</v>
      </c>
      <c r="M3" s="30">
        <v>2018</v>
      </c>
      <c r="N3" s="30" t="s">
        <v>38</v>
      </c>
      <c r="O3" s="31" t="s">
        <v>38</v>
      </c>
      <c r="P3" s="30" t="s">
        <v>38</v>
      </c>
      <c r="Q3" s="31" t="s">
        <v>38</v>
      </c>
      <c r="R3" s="33">
        <v>100</v>
      </c>
      <c r="S3" s="70">
        <v>0.33333333333333326</v>
      </c>
      <c r="T3" s="32">
        <v>0</v>
      </c>
      <c r="U3" s="32">
        <v>0</v>
      </c>
    </row>
    <row r="4" spans="1:21" ht="10.8" thickBot="1" x14ac:dyDescent="0.25">
      <c r="A4" s="25" t="s">
        <v>34</v>
      </c>
      <c r="B4" s="25" t="s">
        <v>35</v>
      </c>
      <c r="C4" s="25" t="s">
        <v>39</v>
      </c>
      <c r="D4" s="25" t="s">
        <v>442</v>
      </c>
      <c r="E4" s="25" t="s">
        <v>443</v>
      </c>
      <c r="F4" s="25" t="s">
        <v>444</v>
      </c>
      <c r="G4" s="26" t="s">
        <v>633</v>
      </c>
      <c r="H4" s="27" t="s">
        <v>36</v>
      </c>
      <c r="I4" s="27" t="s">
        <v>34</v>
      </c>
      <c r="J4" s="28" t="s">
        <v>35</v>
      </c>
      <c r="K4" s="29">
        <v>0.33333333333333331</v>
      </c>
      <c r="L4" s="29" t="s">
        <v>37</v>
      </c>
      <c r="M4" s="30">
        <v>2020</v>
      </c>
      <c r="N4" s="30" t="s">
        <v>38</v>
      </c>
      <c r="O4" s="31" t="s">
        <v>38</v>
      </c>
      <c r="P4" s="30" t="s">
        <v>38</v>
      </c>
      <c r="Q4" s="31" t="s">
        <v>38</v>
      </c>
      <c r="R4" s="30">
        <v>100</v>
      </c>
      <c r="S4" s="70">
        <v>0.33333333333333326</v>
      </c>
      <c r="T4" s="30">
        <v>0</v>
      </c>
      <c r="U4" s="30">
        <v>0</v>
      </c>
    </row>
    <row r="5" spans="1:21" ht="10.8" thickBot="1" x14ac:dyDescent="0.25">
      <c r="A5" s="25" t="s">
        <v>34</v>
      </c>
      <c r="B5" s="25" t="s">
        <v>35</v>
      </c>
      <c r="C5" s="25" t="s">
        <v>39</v>
      </c>
      <c r="D5" s="25" t="s">
        <v>445</v>
      </c>
      <c r="E5" s="25" t="s">
        <v>446</v>
      </c>
      <c r="F5" s="25" t="s">
        <v>447</v>
      </c>
      <c r="G5" s="26" t="s">
        <v>633</v>
      </c>
      <c r="H5" s="27" t="s">
        <v>36</v>
      </c>
      <c r="I5" s="27" t="s">
        <v>34</v>
      </c>
      <c r="J5" s="28" t="s">
        <v>35</v>
      </c>
      <c r="K5" s="29">
        <v>0.5</v>
      </c>
      <c r="L5" s="29" t="s">
        <v>37</v>
      </c>
      <c r="M5" s="30">
        <v>2020</v>
      </c>
      <c r="N5" s="30" t="s">
        <v>38</v>
      </c>
      <c r="O5" s="31" t="s">
        <v>38</v>
      </c>
      <c r="P5" s="30" t="s">
        <v>38</v>
      </c>
      <c r="Q5" s="31" t="s">
        <v>38</v>
      </c>
      <c r="R5" s="30">
        <v>100</v>
      </c>
      <c r="S5" s="72">
        <v>0.5</v>
      </c>
      <c r="T5" s="30">
        <v>0</v>
      </c>
      <c r="U5" s="30">
        <v>0</v>
      </c>
    </row>
    <row r="6" spans="1:21" ht="10.8" thickBot="1" x14ac:dyDescent="0.25">
      <c r="A6" s="25" t="s">
        <v>34</v>
      </c>
      <c r="B6" s="25" t="s">
        <v>35</v>
      </c>
      <c r="C6" s="25" t="s">
        <v>39</v>
      </c>
      <c r="D6" s="25" t="s">
        <v>634</v>
      </c>
      <c r="E6" s="25" t="s">
        <v>635</v>
      </c>
      <c r="F6" s="25" t="s">
        <v>636</v>
      </c>
      <c r="G6" s="26" t="s">
        <v>598</v>
      </c>
      <c r="H6" s="27" t="s">
        <v>36</v>
      </c>
      <c r="I6" s="27" t="s">
        <v>34</v>
      </c>
      <c r="J6" s="28" t="s">
        <v>35</v>
      </c>
      <c r="K6" s="29">
        <v>0.5</v>
      </c>
      <c r="L6" s="29" t="s">
        <v>37</v>
      </c>
      <c r="M6" s="30">
        <v>2020</v>
      </c>
      <c r="N6" s="30" t="s">
        <v>38</v>
      </c>
      <c r="O6" s="31" t="s">
        <v>38</v>
      </c>
      <c r="P6" s="30" t="s">
        <v>38</v>
      </c>
      <c r="Q6" s="31" t="s">
        <v>38</v>
      </c>
      <c r="R6" s="30">
        <v>100</v>
      </c>
      <c r="S6" s="72">
        <v>0.5</v>
      </c>
      <c r="T6" s="30">
        <v>0</v>
      </c>
      <c r="U6" s="30">
        <v>0</v>
      </c>
    </row>
    <row r="7" spans="1:21" ht="10.8" thickBot="1" x14ac:dyDescent="0.25">
      <c r="A7" s="25" t="s">
        <v>34</v>
      </c>
      <c r="B7" s="25" t="s">
        <v>35</v>
      </c>
      <c r="C7" s="25" t="s">
        <v>39</v>
      </c>
      <c r="D7" s="25" t="s">
        <v>634</v>
      </c>
      <c r="E7" s="25" t="s">
        <v>635</v>
      </c>
      <c r="F7" s="25" t="s">
        <v>636</v>
      </c>
      <c r="G7" s="26" t="s">
        <v>633</v>
      </c>
      <c r="H7" s="27" t="s">
        <v>36</v>
      </c>
      <c r="I7" s="27" t="s">
        <v>34</v>
      </c>
      <c r="J7" s="28" t="s">
        <v>35</v>
      </c>
      <c r="K7" s="29">
        <v>0.5</v>
      </c>
      <c r="L7" s="29" t="s">
        <v>37</v>
      </c>
      <c r="M7" s="30">
        <v>2020</v>
      </c>
      <c r="N7" s="30" t="s">
        <v>38</v>
      </c>
      <c r="O7" s="31" t="s">
        <v>38</v>
      </c>
      <c r="P7" s="30" t="s">
        <v>38</v>
      </c>
      <c r="Q7" s="31" t="s">
        <v>38</v>
      </c>
      <c r="R7" s="30">
        <v>100</v>
      </c>
      <c r="S7" s="72">
        <v>0.5</v>
      </c>
      <c r="T7" s="30">
        <v>0</v>
      </c>
      <c r="U7" s="30">
        <v>0</v>
      </c>
    </row>
    <row r="8" spans="1:21" ht="10.8" thickBot="1" x14ac:dyDescent="0.25">
      <c r="A8" s="25" t="s">
        <v>34</v>
      </c>
      <c r="B8" s="25" t="s">
        <v>35</v>
      </c>
      <c r="C8" s="25" t="s">
        <v>39</v>
      </c>
      <c r="D8" s="25" t="s">
        <v>637</v>
      </c>
      <c r="E8" s="25" t="s">
        <v>638</v>
      </c>
      <c r="F8" s="25" t="s">
        <v>448</v>
      </c>
      <c r="G8" s="26" t="s">
        <v>598</v>
      </c>
      <c r="H8" s="27" t="s">
        <v>36</v>
      </c>
      <c r="I8" s="27" t="s">
        <v>34</v>
      </c>
      <c r="J8" s="28" t="s">
        <v>35</v>
      </c>
      <c r="K8" s="29">
        <v>0.5</v>
      </c>
      <c r="L8" s="29" t="s">
        <v>37</v>
      </c>
      <c r="M8" s="30">
        <v>2020</v>
      </c>
      <c r="N8" s="30" t="s">
        <v>38</v>
      </c>
      <c r="O8" s="31" t="s">
        <v>38</v>
      </c>
      <c r="P8" s="30" t="s">
        <v>38</v>
      </c>
      <c r="Q8" s="31" t="s">
        <v>38</v>
      </c>
      <c r="R8" s="30">
        <v>100</v>
      </c>
      <c r="S8" s="72">
        <v>0.5</v>
      </c>
      <c r="T8" s="30">
        <v>0</v>
      </c>
      <c r="U8" s="30">
        <v>0</v>
      </c>
    </row>
    <row r="9" spans="1:21" ht="10.8" thickBot="1" x14ac:dyDescent="0.25">
      <c r="A9" s="25" t="s">
        <v>34</v>
      </c>
      <c r="B9" s="25" t="s">
        <v>35</v>
      </c>
      <c r="C9" s="25" t="s">
        <v>39</v>
      </c>
      <c r="D9" s="25" t="s">
        <v>637</v>
      </c>
      <c r="E9" s="25" t="s">
        <v>638</v>
      </c>
      <c r="F9" s="25" t="s">
        <v>448</v>
      </c>
      <c r="G9" s="26" t="s">
        <v>633</v>
      </c>
      <c r="H9" s="27" t="s">
        <v>36</v>
      </c>
      <c r="I9" s="27" t="s">
        <v>34</v>
      </c>
      <c r="J9" s="28" t="s">
        <v>35</v>
      </c>
      <c r="K9" s="29">
        <v>0.5</v>
      </c>
      <c r="L9" s="29" t="s">
        <v>37</v>
      </c>
      <c r="M9" s="30">
        <v>2020</v>
      </c>
      <c r="N9" s="30" t="s">
        <v>38</v>
      </c>
      <c r="O9" s="31" t="s">
        <v>38</v>
      </c>
      <c r="P9" s="30" t="s">
        <v>38</v>
      </c>
      <c r="Q9" s="31" t="s">
        <v>38</v>
      </c>
      <c r="R9" s="30">
        <v>100</v>
      </c>
      <c r="S9" s="72">
        <v>0.5</v>
      </c>
      <c r="T9" s="30">
        <v>0</v>
      </c>
      <c r="U9" s="30">
        <v>0</v>
      </c>
    </row>
    <row r="10" spans="1:21" ht="10.8" thickBot="1" x14ac:dyDescent="0.25">
      <c r="A10" s="25" t="s">
        <v>34</v>
      </c>
      <c r="B10" s="25" t="s">
        <v>35</v>
      </c>
      <c r="C10" s="25" t="s">
        <v>39</v>
      </c>
      <c r="D10" s="25" t="s">
        <v>639</v>
      </c>
      <c r="E10" s="25" t="s">
        <v>640</v>
      </c>
      <c r="F10" s="25" t="s">
        <v>447</v>
      </c>
      <c r="G10" s="26" t="s">
        <v>633</v>
      </c>
      <c r="H10" s="27" t="s">
        <v>36</v>
      </c>
      <c r="I10" s="27" t="s">
        <v>34</v>
      </c>
      <c r="J10" s="28" t="s">
        <v>35</v>
      </c>
      <c r="K10" s="29">
        <v>1</v>
      </c>
      <c r="L10" s="29" t="s">
        <v>37</v>
      </c>
      <c r="M10" s="30">
        <v>2020</v>
      </c>
      <c r="N10" s="30" t="s">
        <v>38</v>
      </c>
      <c r="O10" s="31" t="s">
        <v>38</v>
      </c>
      <c r="P10" s="30" t="s">
        <v>38</v>
      </c>
      <c r="Q10" s="31" t="s">
        <v>38</v>
      </c>
      <c r="R10" s="30">
        <v>100</v>
      </c>
      <c r="S10" s="72">
        <v>1</v>
      </c>
      <c r="T10" s="30">
        <v>0</v>
      </c>
      <c r="U10" s="30">
        <v>0</v>
      </c>
    </row>
    <row r="11" spans="1:21" ht="10.8" thickBot="1" x14ac:dyDescent="0.25">
      <c r="A11" s="25" t="s">
        <v>34</v>
      </c>
      <c r="B11" s="25" t="s">
        <v>35</v>
      </c>
      <c r="C11" s="25" t="s">
        <v>39</v>
      </c>
      <c r="D11" s="25" t="s">
        <v>449</v>
      </c>
      <c r="E11" s="25" t="s">
        <v>450</v>
      </c>
      <c r="F11" s="25" t="s">
        <v>451</v>
      </c>
      <c r="G11" s="26" t="s">
        <v>633</v>
      </c>
      <c r="H11" s="27" t="s">
        <v>36</v>
      </c>
      <c r="I11" s="27" t="s">
        <v>34</v>
      </c>
      <c r="J11" s="28" t="s">
        <v>35</v>
      </c>
      <c r="K11" s="29">
        <v>0.5</v>
      </c>
      <c r="L11" s="29" t="s">
        <v>37</v>
      </c>
      <c r="M11" s="30">
        <v>2020</v>
      </c>
      <c r="N11" s="30" t="s">
        <v>38</v>
      </c>
      <c r="O11" s="31" t="s">
        <v>38</v>
      </c>
      <c r="P11" s="30" t="s">
        <v>38</v>
      </c>
      <c r="Q11" s="31" t="s">
        <v>38</v>
      </c>
      <c r="R11" s="30">
        <v>100</v>
      </c>
      <c r="S11" s="72">
        <v>0.5</v>
      </c>
      <c r="T11" s="30">
        <v>0</v>
      </c>
      <c r="U11" s="30">
        <v>0</v>
      </c>
    </row>
    <row r="12" spans="1:21" ht="10.8" thickBot="1" x14ac:dyDescent="0.25">
      <c r="A12" s="25" t="s">
        <v>34</v>
      </c>
      <c r="B12" s="25" t="s">
        <v>35</v>
      </c>
      <c r="C12" s="25" t="s">
        <v>39</v>
      </c>
      <c r="D12" s="25" t="s">
        <v>452</v>
      </c>
      <c r="E12" s="25" t="s">
        <v>453</v>
      </c>
      <c r="F12" s="25" t="s">
        <v>448</v>
      </c>
      <c r="G12" s="26" t="s">
        <v>633</v>
      </c>
      <c r="H12" s="27" t="s">
        <v>36</v>
      </c>
      <c r="I12" s="27" t="s">
        <v>34</v>
      </c>
      <c r="J12" s="28" t="s">
        <v>35</v>
      </c>
      <c r="K12" s="29">
        <v>0.5</v>
      </c>
      <c r="L12" s="29" t="s">
        <v>37</v>
      </c>
      <c r="M12" s="30">
        <v>2020</v>
      </c>
      <c r="N12" s="30" t="s">
        <v>38</v>
      </c>
      <c r="O12" s="31" t="s">
        <v>38</v>
      </c>
      <c r="P12" s="30" t="s">
        <v>38</v>
      </c>
      <c r="Q12" s="31" t="s">
        <v>38</v>
      </c>
      <c r="R12" s="30">
        <v>100</v>
      </c>
      <c r="S12" s="72">
        <v>0.5</v>
      </c>
      <c r="T12" s="30">
        <v>0</v>
      </c>
      <c r="U12" s="30">
        <v>0</v>
      </c>
    </row>
    <row r="13" spans="1:21" x14ac:dyDescent="0.2">
      <c r="A13" s="30" t="s">
        <v>34</v>
      </c>
      <c r="B13" s="30" t="s">
        <v>35</v>
      </c>
      <c r="C13" s="30" t="s">
        <v>39</v>
      </c>
      <c r="D13" s="30" t="s">
        <v>618</v>
      </c>
      <c r="E13" s="30" t="s">
        <v>619</v>
      </c>
      <c r="F13" s="30" t="s">
        <v>620</v>
      </c>
      <c r="G13" s="30" t="s">
        <v>633</v>
      </c>
      <c r="H13" s="30" t="s">
        <v>36</v>
      </c>
      <c r="I13" s="30" t="s">
        <v>34</v>
      </c>
      <c r="J13" s="30" t="s">
        <v>35</v>
      </c>
      <c r="K13" s="29">
        <v>0.5</v>
      </c>
      <c r="L13" s="29" t="s">
        <v>37</v>
      </c>
      <c r="M13" s="30">
        <v>2021</v>
      </c>
      <c r="N13" s="30" t="s">
        <v>38</v>
      </c>
      <c r="O13" s="31" t="s">
        <v>38</v>
      </c>
      <c r="P13" s="30" t="s">
        <v>38</v>
      </c>
      <c r="Q13" s="31" t="s">
        <v>38</v>
      </c>
      <c r="R13" s="30">
        <v>100</v>
      </c>
      <c r="S13" s="72">
        <v>0.5</v>
      </c>
      <c r="T13" s="30">
        <v>0</v>
      </c>
      <c r="U13" s="30">
        <v>0</v>
      </c>
    </row>
    <row r="14" spans="1:21" x14ac:dyDescent="0.2">
      <c r="A14" s="30" t="s">
        <v>67</v>
      </c>
      <c r="B14" s="30" t="s">
        <v>68</v>
      </c>
      <c r="C14" s="30" t="s">
        <v>85</v>
      </c>
      <c r="D14" s="30" t="s">
        <v>86</v>
      </c>
      <c r="E14" s="30" t="s">
        <v>87</v>
      </c>
      <c r="F14" s="30" t="s">
        <v>88</v>
      </c>
      <c r="G14" s="30" t="s">
        <v>598</v>
      </c>
      <c r="H14" s="30" t="s">
        <v>36</v>
      </c>
      <c r="I14" s="30" t="s">
        <v>67</v>
      </c>
      <c r="J14" s="30" t="s">
        <v>68</v>
      </c>
      <c r="K14" s="32">
        <v>0.5</v>
      </c>
      <c r="L14" s="30" t="s">
        <v>83</v>
      </c>
      <c r="M14" s="30">
        <v>2016</v>
      </c>
      <c r="N14" s="30" t="s">
        <v>37</v>
      </c>
      <c r="O14" s="31" t="s">
        <v>66</v>
      </c>
      <c r="P14" s="30" t="s">
        <v>38</v>
      </c>
      <c r="Q14" s="31" t="s">
        <v>38</v>
      </c>
      <c r="R14" s="33">
        <v>50</v>
      </c>
      <c r="S14" s="32">
        <v>0.25</v>
      </c>
      <c r="T14" s="70">
        <v>0.25</v>
      </c>
      <c r="U14" s="32">
        <v>0</v>
      </c>
    </row>
    <row r="15" spans="1:21" x14ac:dyDescent="0.2">
      <c r="A15" s="30" t="s">
        <v>67</v>
      </c>
      <c r="B15" s="30" t="s">
        <v>68</v>
      </c>
      <c r="C15" s="30" t="s">
        <v>85</v>
      </c>
      <c r="D15" s="30" t="s">
        <v>89</v>
      </c>
      <c r="E15" s="30" t="s">
        <v>90</v>
      </c>
      <c r="F15" s="30" t="s">
        <v>91</v>
      </c>
      <c r="G15" s="30" t="s">
        <v>598</v>
      </c>
      <c r="H15" s="30" t="s">
        <v>50</v>
      </c>
      <c r="I15" s="30" t="s">
        <v>67</v>
      </c>
      <c r="J15" s="30" t="s">
        <v>68</v>
      </c>
      <c r="K15" s="32">
        <v>1</v>
      </c>
      <c r="L15" s="30" t="s">
        <v>83</v>
      </c>
      <c r="M15" s="30">
        <v>2016</v>
      </c>
      <c r="N15" s="30" t="s">
        <v>37</v>
      </c>
      <c r="O15" s="31" t="s">
        <v>66</v>
      </c>
      <c r="P15" s="30" t="s">
        <v>38</v>
      </c>
      <c r="Q15" s="31" t="s">
        <v>38</v>
      </c>
      <c r="R15" s="33">
        <v>50</v>
      </c>
      <c r="S15" s="32">
        <v>0.5</v>
      </c>
      <c r="T15" s="70">
        <v>0.5</v>
      </c>
      <c r="U15" s="32">
        <v>0</v>
      </c>
    </row>
    <row r="16" spans="1:21" x14ac:dyDescent="0.2">
      <c r="A16" s="30" t="s">
        <v>124</v>
      </c>
      <c r="B16" s="30" t="s">
        <v>125</v>
      </c>
      <c r="C16" s="30" t="s">
        <v>149</v>
      </c>
      <c r="D16" s="30" t="s">
        <v>150</v>
      </c>
      <c r="E16" s="30" t="s">
        <v>151</v>
      </c>
      <c r="F16" s="30" t="s">
        <v>152</v>
      </c>
      <c r="G16" s="30" t="s">
        <v>145</v>
      </c>
      <c r="H16" s="30" t="s">
        <v>50</v>
      </c>
      <c r="I16" s="30" t="s">
        <v>146</v>
      </c>
      <c r="J16" s="30" t="s">
        <v>147</v>
      </c>
      <c r="K16" s="32">
        <v>1</v>
      </c>
      <c r="L16" s="30" t="s">
        <v>148</v>
      </c>
      <c r="M16" s="30">
        <v>2016</v>
      </c>
      <c r="N16" s="30" t="s">
        <v>37</v>
      </c>
      <c r="O16" s="31" t="s">
        <v>84</v>
      </c>
      <c r="P16" s="30" t="s">
        <v>38</v>
      </c>
      <c r="Q16" s="31" t="s">
        <v>38</v>
      </c>
      <c r="R16" s="33">
        <v>80</v>
      </c>
      <c r="S16" s="32">
        <v>0.8</v>
      </c>
      <c r="T16" s="70">
        <v>0.2</v>
      </c>
      <c r="U16" s="32">
        <v>0</v>
      </c>
    </row>
    <row r="17" spans="1:21" x14ac:dyDescent="0.2">
      <c r="A17" s="30" t="s">
        <v>124</v>
      </c>
      <c r="B17" s="30" t="s">
        <v>125</v>
      </c>
      <c r="C17" s="30" t="s">
        <v>149</v>
      </c>
      <c r="D17" s="30" t="s">
        <v>153</v>
      </c>
      <c r="E17" s="30" t="s">
        <v>154</v>
      </c>
      <c r="F17" s="30" t="s">
        <v>155</v>
      </c>
      <c r="G17" s="30" t="s">
        <v>145</v>
      </c>
      <c r="H17" s="30" t="s">
        <v>50</v>
      </c>
      <c r="I17" s="30" t="s">
        <v>146</v>
      </c>
      <c r="J17" s="30" t="s">
        <v>147</v>
      </c>
      <c r="K17" s="32">
        <v>1</v>
      </c>
      <c r="L17" s="30" t="s">
        <v>148</v>
      </c>
      <c r="M17" s="30">
        <v>2016</v>
      </c>
      <c r="N17" s="30" t="s">
        <v>37</v>
      </c>
      <c r="O17" s="31" t="s">
        <v>84</v>
      </c>
      <c r="P17" s="30" t="s">
        <v>38</v>
      </c>
      <c r="Q17" s="31" t="s">
        <v>38</v>
      </c>
      <c r="R17" s="33">
        <v>80</v>
      </c>
      <c r="S17" s="32">
        <v>0.8</v>
      </c>
      <c r="T17" s="70">
        <v>0.2</v>
      </c>
      <c r="U17" s="32">
        <v>0</v>
      </c>
    </row>
    <row r="18" spans="1:21" x14ac:dyDescent="0.2">
      <c r="A18" s="30" t="s">
        <v>124</v>
      </c>
      <c r="B18" s="30" t="s">
        <v>125</v>
      </c>
      <c r="C18" s="30" t="s">
        <v>149</v>
      </c>
      <c r="D18" s="30" t="s">
        <v>156</v>
      </c>
      <c r="E18" s="30" t="s">
        <v>157</v>
      </c>
      <c r="F18" s="30" t="s">
        <v>158</v>
      </c>
      <c r="G18" s="30" t="s">
        <v>145</v>
      </c>
      <c r="H18" s="30" t="s">
        <v>50</v>
      </c>
      <c r="I18" s="30" t="s">
        <v>146</v>
      </c>
      <c r="J18" s="30" t="s">
        <v>147</v>
      </c>
      <c r="K18" s="32">
        <v>1</v>
      </c>
      <c r="L18" s="30" t="s">
        <v>148</v>
      </c>
      <c r="M18" s="30">
        <v>2016</v>
      </c>
      <c r="N18" s="30" t="s">
        <v>37</v>
      </c>
      <c r="O18" s="31" t="s">
        <v>84</v>
      </c>
      <c r="P18" s="30" t="s">
        <v>38</v>
      </c>
      <c r="Q18" s="31" t="s">
        <v>38</v>
      </c>
      <c r="R18" s="33">
        <v>80</v>
      </c>
      <c r="S18" s="32">
        <v>0.8</v>
      </c>
      <c r="T18" s="70">
        <v>0.2</v>
      </c>
      <c r="U18" s="32">
        <v>0</v>
      </c>
    </row>
    <row r="19" spans="1:21" x14ac:dyDescent="0.2">
      <c r="A19" s="30" t="s">
        <v>124</v>
      </c>
      <c r="B19" s="30" t="s">
        <v>125</v>
      </c>
      <c r="C19" s="30" t="s">
        <v>149</v>
      </c>
      <c r="D19" s="30" t="s">
        <v>159</v>
      </c>
      <c r="E19" s="30" t="s">
        <v>160</v>
      </c>
      <c r="F19" s="30" t="s">
        <v>161</v>
      </c>
      <c r="G19" s="30" t="s">
        <v>145</v>
      </c>
      <c r="H19" s="30" t="s">
        <v>50</v>
      </c>
      <c r="I19" s="30" t="s">
        <v>146</v>
      </c>
      <c r="J19" s="30" t="s">
        <v>147</v>
      </c>
      <c r="K19" s="32">
        <v>1</v>
      </c>
      <c r="L19" s="30" t="s">
        <v>148</v>
      </c>
      <c r="M19" s="30">
        <v>2016</v>
      </c>
      <c r="N19" s="30" t="s">
        <v>37</v>
      </c>
      <c r="O19" s="31" t="s">
        <v>84</v>
      </c>
      <c r="P19" s="30" t="s">
        <v>38</v>
      </c>
      <c r="Q19" s="31" t="s">
        <v>38</v>
      </c>
      <c r="R19" s="33">
        <v>80</v>
      </c>
      <c r="S19" s="32">
        <v>0.8</v>
      </c>
      <c r="T19" s="70">
        <v>0.2</v>
      </c>
      <c r="U19" s="32">
        <v>0</v>
      </c>
    </row>
    <row r="20" spans="1:21" x14ac:dyDescent="0.2">
      <c r="A20" s="30" t="s">
        <v>162</v>
      </c>
      <c r="B20" s="30" t="s">
        <v>163</v>
      </c>
      <c r="C20" s="30" t="s">
        <v>164</v>
      </c>
      <c r="D20" s="30" t="s">
        <v>165</v>
      </c>
      <c r="E20" s="30" t="s">
        <v>166</v>
      </c>
      <c r="F20" s="30" t="s">
        <v>167</v>
      </c>
      <c r="G20" s="30" t="s">
        <v>145</v>
      </c>
      <c r="H20" s="30" t="s">
        <v>50</v>
      </c>
      <c r="I20" s="30" t="s">
        <v>146</v>
      </c>
      <c r="J20" s="30" t="s">
        <v>147</v>
      </c>
      <c r="K20" s="32">
        <v>1</v>
      </c>
      <c r="L20" s="30" t="s">
        <v>148</v>
      </c>
      <c r="M20" s="30">
        <v>2016</v>
      </c>
      <c r="N20" s="30" t="s">
        <v>37</v>
      </c>
      <c r="O20" s="31" t="s">
        <v>84</v>
      </c>
      <c r="P20" s="30" t="s">
        <v>38</v>
      </c>
      <c r="Q20" s="31" t="s">
        <v>38</v>
      </c>
      <c r="R20" s="33">
        <v>80</v>
      </c>
      <c r="S20" s="32">
        <v>0.8</v>
      </c>
      <c r="T20" s="70">
        <v>0.2</v>
      </c>
      <c r="U20" s="32">
        <v>0</v>
      </c>
    </row>
    <row r="21" spans="1:21" x14ac:dyDescent="0.2">
      <c r="A21" s="30" t="s">
        <v>34</v>
      </c>
      <c r="B21" s="30" t="s">
        <v>35</v>
      </c>
      <c r="C21" s="30" t="s">
        <v>39</v>
      </c>
      <c r="D21" s="30" t="s">
        <v>195</v>
      </c>
      <c r="E21" s="30" t="s">
        <v>196</v>
      </c>
      <c r="F21" s="30" t="s">
        <v>197</v>
      </c>
      <c r="G21" s="30" t="s">
        <v>198</v>
      </c>
      <c r="H21" s="30" t="s">
        <v>50</v>
      </c>
      <c r="I21" s="30" t="s">
        <v>189</v>
      </c>
      <c r="J21" s="30" t="s">
        <v>190</v>
      </c>
      <c r="K21" s="32">
        <v>1</v>
      </c>
      <c r="L21" s="30" t="s">
        <v>191</v>
      </c>
      <c r="M21" s="30">
        <v>2016</v>
      </c>
      <c r="N21" s="30" t="s">
        <v>37</v>
      </c>
      <c r="O21" s="31" t="s">
        <v>170</v>
      </c>
      <c r="P21" s="30" t="s">
        <v>49</v>
      </c>
      <c r="Q21" s="31" t="s">
        <v>127</v>
      </c>
      <c r="R21" s="33">
        <v>10</v>
      </c>
      <c r="S21" s="32">
        <v>0.1</v>
      </c>
      <c r="T21" s="70">
        <v>0.8</v>
      </c>
      <c r="U21" s="32">
        <v>0.1</v>
      </c>
    </row>
    <row r="22" spans="1:21" x14ac:dyDescent="0.2">
      <c r="A22" s="30" t="s">
        <v>34</v>
      </c>
      <c r="B22" s="30" t="s">
        <v>35</v>
      </c>
      <c r="C22" s="30" t="s">
        <v>39</v>
      </c>
      <c r="D22" s="30" t="s">
        <v>180</v>
      </c>
      <c r="E22" s="30" t="s">
        <v>181</v>
      </c>
      <c r="F22" s="30" t="s">
        <v>182</v>
      </c>
      <c r="G22" s="30" t="s">
        <v>183</v>
      </c>
      <c r="H22" s="30" t="s">
        <v>36</v>
      </c>
      <c r="I22" s="30" t="s">
        <v>184</v>
      </c>
      <c r="J22" s="30" t="s">
        <v>185</v>
      </c>
      <c r="K22" s="32">
        <v>0.5</v>
      </c>
      <c r="L22" s="30" t="s">
        <v>186</v>
      </c>
      <c r="M22" s="30">
        <v>2016</v>
      </c>
      <c r="N22" s="30" t="s">
        <v>37</v>
      </c>
      <c r="O22" s="31" t="s">
        <v>66</v>
      </c>
      <c r="P22" s="30" t="s">
        <v>38</v>
      </c>
      <c r="Q22" s="31" t="s">
        <v>38</v>
      </c>
      <c r="R22" s="33">
        <v>50</v>
      </c>
      <c r="S22" s="32">
        <v>0.25</v>
      </c>
      <c r="T22" s="70">
        <v>0.25</v>
      </c>
      <c r="U22" s="32">
        <v>0</v>
      </c>
    </row>
    <row r="23" spans="1:21" x14ac:dyDescent="0.2">
      <c r="A23" s="30" t="s">
        <v>34</v>
      </c>
      <c r="B23" s="30" t="s">
        <v>35</v>
      </c>
      <c r="C23" s="30" t="s">
        <v>39</v>
      </c>
      <c r="D23" s="30" t="s">
        <v>111</v>
      </c>
      <c r="E23" s="30" t="s">
        <v>112</v>
      </c>
      <c r="F23" s="30" t="s">
        <v>113</v>
      </c>
      <c r="G23" s="30" t="s">
        <v>235</v>
      </c>
      <c r="H23" s="30" t="s">
        <v>36</v>
      </c>
      <c r="I23" s="30" t="s">
        <v>115</v>
      </c>
      <c r="J23" s="30" t="s">
        <v>116</v>
      </c>
      <c r="K23" s="32">
        <v>0.5</v>
      </c>
      <c r="L23" s="30" t="s">
        <v>117</v>
      </c>
      <c r="M23" s="30">
        <v>2016</v>
      </c>
      <c r="N23" s="30" t="s">
        <v>37</v>
      </c>
      <c r="O23" s="31" t="s">
        <v>84</v>
      </c>
      <c r="P23" s="30" t="s">
        <v>61</v>
      </c>
      <c r="Q23" s="31" t="s">
        <v>234</v>
      </c>
      <c r="R23" s="33">
        <v>50</v>
      </c>
      <c r="S23" s="32">
        <v>0.25</v>
      </c>
      <c r="T23" s="70">
        <v>0.1</v>
      </c>
      <c r="U23" s="32">
        <v>0.15</v>
      </c>
    </row>
    <row r="24" spans="1:21" x14ac:dyDescent="0.2">
      <c r="A24" s="30" t="s">
        <v>34</v>
      </c>
      <c r="B24" s="30" t="s">
        <v>35</v>
      </c>
      <c r="C24" s="30" t="s">
        <v>39</v>
      </c>
      <c r="D24" s="30" t="s">
        <v>111</v>
      </c>
      <c r="E24" s="30" t="s">
        <v>112</v>
      </c>
      <c r="F24" s="30" t="s">
        <v>113</v>
      </c>
      <c r="G24" s="30" t="s">
        <v>114</v>
      </c>
      <c r="H24" s="30" t="s">
        <v>36</v>
      </c>
      <c r="I24" s="30" t="s">
        <v>115</v>
      </c>
      <c r="J24" s="30" t="s">
        <v>116</v>
      </c>
      <c r="K24" s="32">
        <v>0.5</v>
      </c>
      <c r="L24" s="30" t="s">
        <v>117</v>
      </c>
      <c r="M24" s="30">
        <v>2016</v>
      </c>
      <c r="N24" s="30" t="s">
        <v>37</v>
      </c>
      <c r="O24" s="31" t="s">
        <v>118</v>
      </c>
      <c r="P24" s="30" t="s">
        <v>38</v>
      </c>
      <c r="Q24" s="31" t="s">
        <v>38</v>
      </c>
      <c r="R24" s="33">
        <v>10</v>
      </c>
      <c r="S24" s="32">
        <v>0.05</v>
      </c>
      <c r="T24" s="70">
        <v>0.45</v>
      </c>
      <c r="U24" s="32">
        <v>0</v>
      </c>
    </row>
    <row r="25" spans="1:21" x14ac:dyDescent="0.2">
      <c r="A25" s="30" t="s">
        <v>34</v>
      </c>
      <c r="B25" s="30" t="s">
        <v>35</v>
      </c>
      <c r="C25" s="30" t="s">
        <v>39</v>
      </c>
      <c r="D25" s="30" t="s">
        <v>119</v>
      </c>
      <c r="E25" s="30" t="s">
        <v>112</v>
      </c>
      <c r="F25" s="30" t="s">
        <v>120</v>
      </c>
      <c r="G25" s="30" t="s">
        <v>198</v>
      </c>
      <c r="H25" s="30" t="s">
        <v>36</v>
      </c>
      <c r="I25" s="30" t="s">
        <v>189</v>
      </c>
      <c r="J25" s="30" t="s">
        <v>190</v>
      </c>
      <c r="K25" s="32">
        <v>0.5</v>
      </c>
      <c r="L25" s="30" t="s">
        <v>191</v>
      </c>
      <c r="M25" s="30">
        <v>2016</v>
      </c>
      <c r="N25" s="30" t="s">
        <v>37</v>
      </c>
      <c r="O25" s="31" t="s">
        <v>170</v>
      </c>
      <c r="P25" s="30" t="s">
        <v>49</v>
      </c>
      <c r="Q25" s="31" t="s">
        <v>127</v>
      </c>
      <c r="R25" s="33">
        <v>10</v>
      </c>
      <c r="S25" s="32">
        <v>0.05</v>
      </c>
      <c r="T25" s="70">
        <v>0.4</v>
      </c>
      <c r="U25" s="32">
        <v>0.05</v>
      </c>
    </row>
    <row r="26" spans="1:21" x14ac:dyDescent="0.2">
      <c r="A26" s="30" t="s">
        <v>34</v>
      </c>
      <c r="B26" s="30" t="s">
        <v>35</v>
      </c>
      <c r="C26" s="30" t="s">
        <v>39</v>
      </c>
      <c r="D26" s="30" t="s">
        <v>119</v>
      </c>
      <c r="E26" s="30" t="s">
        <v>112</v>
      </c>
      <c r="F26" s="30" t="s">
        <v>120</v>
      </c>
      <c r="G26" s="30" t="s">
        <v>114</v>
      </c>
      <c r="H26" s="30" t="s">
        <v>36</v>
      </c>
      <c r="I26" s="30" t="s">
        <v>115</v>
      </c>
      <c r="J26" s="30" t="s">
        <v>116</v>
      </c>
      <c r="K26" s="32">
        <v>0.5</v>
      </c>
      <c r="L26" s="30" t="s">
        <v>117</v>
      </c>
      <c r="M26" s="30">
        <v>2016</v>
      </c>
      <c r="N26" s="30" t="s">
        <v>37</v>
      </c>
      <c r="O26" s="31" t="s">
        <v>118</v>
      </c>
      <c r="P26" s="30" t="s">
        <v>38</v>
      </c>
      <c r="Q26" s="31" t="s">
        <v>38</v>
      </c>
      <c r="R26" s="33">
        <v>10</v>
      </c>
      <c r="S26" s="32">
        <v>0.05</v>
      </c>
      <c r="T26" s="70">
        <v>0.45</v>
      </c>
      <c r="U26" s="32">
        <v>0</v>
      </c>
    </row>
    <row r="27" spans="1:21" x14ac:dyDescent="0.2">
      <c r="A27" s="30" t="s">
        <v>69</v>
      </c>
      <c r="B27" s="30" t="s">
        <v>70</v>
      </c>
      <c r="C27" s="30" t="s">
        <v>71</v>
      </c>
      <c r="D27" s="30" t="s">
        <v>72</v>
      </c>
      <c r="E27" s="30" t="s">
        <v>73</v>
      </c>
      <c r="F27" s="30" t="s">
        <v>74</v>
      </c>
      <c r="G27" s="30" t="s">
        <v>62</v>
      </c>
      <c r="H27" s="30" t="s">
        <v>50</v>
      </c>
      <c r="I27" s="30" t="s">
        <v>63</v>
      </c>
      <c r="J27" s="30" t="s">
        <v>64</v>
      </c>
      <c r="K27" s="32">
        <v>1</v>
      </c>
      <c r="L27" s="30" t="s">
        <v>65</v>
      </c>
      <c r="M27" s="30">
        <v>2016</v>
      </c>
      <c r="N27" s="30" t="s">
        <v>37</v>
      </c>
      <c r="O27" s="31" t="s">
        <v>66</v>
      </c>
      <c r="P27" s="30" t="s">
        <v>38</v>
      </c>
      <c r="Q27" s="31" t="s">
        <v>38</v>
      </c>
      <c r="R27" s="33">
        <v>50</v>
      </c>
      <c r="S27" s="32">
        <v>0.5</v>
      </c>
      <c r="T27" s="70">
        <v>0.5</v>
      </c>
      <c r="U27" s="32">
        <v>0</v>
      </c>
    </row>
    <row r="28" spans="1:21" x14ac:dyDescent="0.2">
      <c r="A28" s="30" t="s">
        <v>69</v>
      </c>
      <c r="B28" s="30" t="s">
        <v>70</v>
      </c>
      <c r="C28" s="30" t="s">
        <v>71</v>
      </c>
      <c r="D28" s="30" t="s">
        <v>92</v>
      </c>
      <c r="E28" s="30" t="s">
        <v>93</v>
      </c>
      <c r="F28" s="30" t="s">
        <v>94</v>
      </c>
      <c r="G28" s="30" t="s">
        <v>598</v>
      </c>
      <c r="H28" s="30" t="s">
        <v>36</v>
      </c>
      <c r="I28" s="30" t="s">
        <v>67</v>
      </c>
      <c r="J28" s="30" t="s">
        <v>68</v>
      </c>
      <c r="K28" s="32">
        <v>0.5</v>
      </c>
      <c r="L28" s="30" t="s">
        <v>83</v>
      </c>
      <c r="M28" s="30">
        <v>2016</v>
      </c>
      <c r="N28" s="30" t="s">
        <v>37</v>
      </c>
      <c r="O28" s="31" t="s">
        <v>66</v>
      </c>
      <c r="P28" s="30" t="s">
        <v>38</v>
      </c>
      <c r="Q28" s="31" t="s">
        <v>38</v>
      </c>
      <c r="R28" s="33">
        <v>50</v>
      </c>
      <c r="S28" s="32">
        <v>0.25</v>
      </c>
      <c r="T28" s="70">
        <v>0.25</v>
      </c>
      <c r="U28" s="32">
        <v>0</v>
      </c>
    </row>
    <row r="29" spans="1:21" x14ac:dyDescent="0.2">
      <c r="A29" s="30" t="s">
        <v>223</v>
      </c>
      <c r="B29" s="30" t="s">
        <v>224</v>
      </c>
      <c r="C29" s="30" t="s">
        <v>225</v>
      </c>
      <c r="D29" s="30" t="s">
        <v>226</v>
      </c>
      <c r="E29" s="30" t="s">
        <v>227</v>
      </c>
      <c r="F29" s="30" t="s">
        <v>228</v>
      </c>
      <c r="G29" s="30" t="s">
        <v>219</v>
      </c>
      <c r="H29" s="30" t="s">
        <v>36</v>
      </c>
      <c r="I29" s="30" t="s">
        <v>220</v>
      </c>
      <c r="J29" s="30" t="s">
        <v>221</v>
      </c>
      <c r="K29" s="32">
        <v>0.33333333333333331</v>
      </c>
      <c r="L29" s="30" t="s">
        <v>222</v>
      </c>
      <c r="M29" s="30">
        <v>2016</v>
      </c>
      <c r="N29" s="30" t="s">
        <v>37</v>
      </c>
      <c r="O29" s="31" t="s">
        <v>66</v>
      </c>
      <c r="P29" s="30" t="s">
        <v>56</v>
      </c>
      <c r="Q29" s="31" t="s">
        <v>84</v>
      </c>
      <c r="R29" s="33">
        <v>30</v>
      </c>
      <c r="S29" s="32">
        <v>0.1</v>
      </c>
      <c r="T29" s="70">
        <v>0.16666666666666663</v>
      </c>
      <c r="U29" s="32">
        <v>6.6666666666666666E-2</v>
      </c>
    </row>
    <row r="30" spans="1:21" x14ac:dyDescent="0.2">
      <c r="A30" s="30" t="s">
        <v>34</v>
      </c>
      <c r="B30" s="30" t="s">
        <v>35</v>
      </c>
      <c r="C30" s="30" t="s">
        <v>39</v>
      </c>
      <c r="D30" s="30" t="s">
        <v>40</v>
      </c>
      <c r="E30" s="30" t="s">
        <v>41</v>
      </c>
      <c r="F30" s="30" t="s">
        <v>42</v>
      </c>
      <c r="G30" s="30" t="s">
        <v>169</v>
      </c>
      <c r="H30" s="30" t="s">
        <v>36</v>
      </c>
      <c r="I30" s="30" t="s">
        <v>162</v>
      </c>
      <c r="J30" s="30" t="s">
        <v>163</v>
      </c>
      <c r="K30" s="32">
        <v>0.5</v>
      </c>
      <c r="L30" s="30" t="s">
        <v>168</v>
      </c>
      <c r="M30" s="30">
        <v>2017</v>
      </c>
      <c r="N30" s="30" t="s">
        <v>37</v>
      </c>
      <c r="O30" s="31" t="s">
        <v>170</v>
      </c>
      <c r="P30" s="30" t="s">
        <v>38</v>
      </c>
      <c r="Q30" s="31" t="s">
        <v>38</v>
      </c>
      <c r="R30" s="33">
        <v>20</v>
      </c>
      <c r="S30" s="32">
        <v>0.1</v>
      </c>
      <c r="T30" s="70">
        <v>0.4</v>
      </c>
      <c r="U30" s="32">
        <v>0</v>
      </c>
    </row>
    <row r="31" spans="1:21" x14ac:dyDescent="0.2">
      <c r="A31" s="30" t="s">
        <v>34</v>
      </c>
      <c r="B31" s="30" t="s">
        <v>35</v>
      </c>
      <c r="C31" s="30" t="s">
        <v>39</v>
      </c>
      <c r="D31" s="30" t="s">
        <v>171</v>
      </c>
      <c r="E31" s="30" t="s">
        <v>172</v>
      </c>
      <c r="F31" s="30" t="s">
        <v>173</v>
      </c>
      <c r="G31" s="30" t="s">
        <v>169</v>
      </c>
      <c r="H31" s="30" t="s">
        <v>36</v>
      </c>
      <c r="I31" s="30" t="s">
        <v>162</v>
      </c>
      <c r="J31" s="30" t="s">
        <v>163</v>
      </c>
      <c r="K31" s="32">
        <v>0.5</v>
      </c>
      <c r="L31" s="30" t="s">
        <v>168</v>
      </c>
      <c r="M31" s="30">
        <v>2017</v>
      </c>
      <c r="N31" s="30" t="s">
        <v>37</v>
      </c>
      <c r="O31" s="31" t="s">
        <v>170</v>
      </c>
      <c r="P31" s="30" t="s">
        <v>38</v>
      </c>
      <c r="Q31" s="31" t="s">
        <v>38</v>
      </c>
      <c r="R31" s="33">
        <v>20</v>
      </c>
      <c r="S31" s="32">
        <v>0.1</v>
      </c>
      <c r="T31" s="70">
        <v>0.4</v>
      </c>
      <c r="U31" s="32">
        <v>0</v>
      </c>
    </row>
    <row r="32" spans="1:21" x14ac:dyDescent="0.2">
      <c r="A32" s="30" t="s">
        <v>34</v>
      </c>
      <c r="B32" s="30" t="s">
        <v>35</v>
      </c>
      <c r="C32" s="30" t="s">
        <v>39</v>
      </c>
      <c r="D32" s="30" t="s">
        <v>171</v>
      </c>
      <c r="E32" s="30" t="s">
        <v>172</v>
      </c>
      <c r="F32" s="30" t="s">
        <v>173</v>
      </c>
      <c r="G32" s="30" t="s">
        <v>198</v>
      </c>
      <c r="H32" s="30" t="s">
        <v>36</v>
      </c>
      <c r="I32" s="30" t="s">
        <v>189</v>
      </c>
      <c r="J32" s="30" t="s">
        <v>190</v>
      </c>
      <c r="K32" s="32">
        <v>0.5</v>
      </c>
      <c r="L32" s="30" t="s">
        <v>191</v>
      </c>
      <c r="M32" s="30">
        <v>2017</v>
      </c>
      <c r="N32" s="30" t="s">
        <v>37</v>
      </c>
      <c r="O32" s="31" t="s">
        <v>170</v>
      </c>
      <c r="P32" s="30" t="s">
        <v>49</v>
      </c>
      <c r="Q32" s="31" t="s">
        <v>127</v>
      </c>
      <c r="R32" s="33">
        <v>10</v>
      </c>
      <c r="S32" s="32">
        <v>0.05</v>
      </c>
      <c r="T32" s="70">
        <v>0.4</v>
      </c>
      <c r="U32" s="32">
        <v>0.05</v>
      </c>
    </row>
    <row r="33" spans="1:21" x14ac:dyDescent="0.2">
      <c r="A33" s="30" t="s">
        <v>69</v>
      </c>
      <c r="B33" s="30" t="s">
        <v>70</v>
      </c>
      <c r="C33" s="30" t="s">
        <v>71</v>
      </c>
      <c r="D33" s="30" t="s">
        <v>75</v>
      </c>
      <c r="E33" s="30" t="s">
        <v>76</v>
      </c>
      <c r="F33" s="30" t="s">
        <v>51</v>
      </c>
      <c r="G33" s="30" t="s">
        <v>62</v>
      </c>
      <c r="H33" s="30" t="s">
        <v>50</v>
      </c>
      <c r="I33" s="30" t="s">
        <v>63</v>
      </c>
      <c r="J33" s="30" t="s">
        <v>64</v>
      </c>
      <c r="K33" s="32">
        <v>1</v>
      </c>
      <c r="L33" s="30" t="s">
        <v>65</v>
      </c>
      <c r="M33" s="30">
        <v>2017</v>
      </c>
      <c r="N33" s="30" t="s">
        <v>37</v>
      </c>
      <c r="O33" s="31" t="s">
        <v>66</v>
      </c>
      <c r="P33" s="30" t="s">
        <v>38</v>
      </c>
      <c r="Q33" s="31" t="s">
        <v>38</v>
      </c>
      <c r="R33" s="33">
        <v>50</v>
      </c>
      <c r="S33" s="32">
        <v>0.5</v>
      </c>
      <c r="T33" s="70">
        <v>0.5</v>
      </c>
      <c r="U33" s="32">
        <v>0</v>
      </c>
    </row>
    <row r="34" spans="1:21" x14ac:dyDescent="0.2">
      <c r="A34" s="30" t="s">
        <v>69</v>
      </c>
      <c r="B34" s="30" t="s">
        <v>70</v>
      </c>
      <c r="C34" s="30" t="s">
        <v>71</v>
      </c>
      <c r="D34" s="30" t="s">
        <v>77</v>
      </c>
      <c r="E34" s="30" t="s">
        <v>78</v>
      </c>
      <c r="F34" s="30" t="s">
        <v>79</v>
      </c>
      <c r="G34" s="30" t="s">
        <v>62</v>
      </c>
      <c r="H34" s="30" t="s">
        <v>50</v>
      </c>
      <c r="I34" s="30" t="s">
        <v>63</v>
      </c>
      <c r="J34" s="30" t="s">
        <v>64</v>
      </c>
      <c r="K34" s="32">
        <v>1</v>
      </c>
      <c r="L34" s="30" t="s">
        <v>65</v>
      </c>
      <c r="M34" s="30">
        <v>2017</v>
      </c>
      <c r="N34" s="30" t="s">
        <v>37</v>
      </c>
      <c r="O34" s="31" t="s">
        <v>66</v>
      </c>
      <c r="P34" s="30" t="s">
        <v>38</v>
      </c>
      <c r="Q34" s="31" t="s">
        <v>38</v>
      </c>
      <c r="R34" s="33">
        <v>50</v>
      </c>
      <c r="S34" s="32">
        <v>0.5</v>
      </c>
      <c r="T34" s="70">
        <v>0.5</v>
      </c>
      <c r="U34" s="32">
        <v>0</v>
      </c>
    </row>
    <row r="35" spans="1:21" x14ac:dyDescent="0.2">
      <c r="A35" s="30" t="s">
        <v>69</v>
      </c>
      <c r="B35" s="30" t="s">
        <v>70</v>
      </c>
      <c r="C35" s="30" t="s">
        <v>71</v>
      </c>
      <c r="D35" s="30" t="s">
        <v>95</v>
      </c>
      <c r="E35" s="30" t="s">
        <v>96</v>
      </c>
      <c r="F35" s="30" t="s">
        <v>97</v>
      </c>
      <c r="G35" s="30" t="s">
        <v>598</v>
      </c>
      <c r="H35" s="30" t="s">
        <v>36</v>
      </c>
      <c r="I35" s="30" t="s">
        <v>67</v>
      </c>
      <c r="J35" s="30" t="s">
        <v>68</v>
      </c>
      <c r="K35" s="32">
        <v>0.5</v>
      </c>
      <c r="L35" s="30" t="s">
        <v>83</v>
      </c>
      <c r="M35" s="30">
        <v>2017</v>
      </c>
      <c r="N35" s="30" t="s">
        <v>37</v>
      </c>
      <c r="O35" s="31" t="s">
        <v>66</v>
      </c>
      <c r="P35" s="30" t="s">
        <v>38</v>
      </c>
      <c r="Q35" s="31" t="s">
        <v>38</v>
      </c>
      <c r="R35" s="33">
        <v>50</v>
      </c>
      <c r="S35" s="32">
        <v>0.25</v>
      </c>
      <c r="T35" s="70">
        <v>0.25</v>
      </c>
      <c r="U35" s="32">
        <v>0</v>
      </c>
    </row>
    <row r="36" spans="1:21" x14ac:dyDescent="0.2">
      <c r="A36" s="30" t="s">
        <v>69</v>
      </c>
      <c r="B36" s="30" t="s">
        <v>70</v>
      </c>
      <c r="C36" s="30" t="s">
        <v>71</v>
      </c>
      <c r="D36" s="30" t="s">
        <v>98</v>
      </c>
      <c r="E36" s="30" t="s">
        <v>99</v>
      </c>
      <c r="F36" s="30" t="s">
        <v>57</v>
      </c>
      <c r="G36" s="30" t="s">
        <v>100</v>
      </c>
      <c r="H36" s="30" t="s">
        <v>36</v>
      </c>
      <c r="I36" s="30" t="s">
        <v>67</v>
      </c>
      <c r="J36" s="30" t="s">
        <v>68</v>
      </c>
      <c r="K36" s="32">
        <v>0.5</v>
      </c>
      <c r="L36" s="30" t="s">
        <v>83</v>
      </c>
      <c r="M36" s="30">
        <v>2017</v>
      </c>
      <c r="N36" s="30" t="s">
        <v>37</v>
      </c>
      <c r="O36" s="31" t="s">
        <v>101</v>
      </c>
      <c r="P36" s="30" t="s">
        <v>38</v>
      </c>
      <c r="Q36" s="31" t="s">
        <v>38</v>
      </c>
      <c r="R36" s="33">
        <v>40</v>
      </c>
      <c r="S36" s="32">
        <v>0.2</v>
      </c>
      <c r="T36" s="70">
        <v>0.3</v>
      </c>
      <c r="U36" s="32">
        <v>0</v>
      </c>
    </row>
    <row r="37" spans="1:21" x14ac:dyDescent="0.2">
      <c r="A37" s="30" t="s">
        <v>69</v>
      </c>
      <c r="B37" s="30" t="s">
        <v>70</v>
      </c>
      <c r="C37" s="30" t="s">
        <v>71</v>
      </c>
      <c r="D37" s="30" t="s">
        <v>102</v>
      </c>
      <c r="E37" s="30" t="s">
        <v>103</v>
      </c>
      <c r="F37" s="30" t="s">
        <v>104</v>
      </c>
      <c r="G37" s="30" t="s">
        <v>598</v>
      </c>
      <c r="H37" s="30" t="s">
        <v>50</v>
      </c>
      <c r="I37" s="30" t="s">
        <v>67</v>
      </c>
      <c r="J37" s="30" t="s">
        <v>68</v>
      </c>
      <c r="K37" s="32">
        <v>1</v>
      </c>
      <c r="L37" s="30" t="s">
        <v>83</v>
      </c>
      <c r="M37" s="30">
        <v>2017</v>
      </c>
      <c r="N37" s="30" t="s">
        <v>37</v>
      </c>
      <c r="O37" s="31" t="s">
        <v>66</v>
      </c>
      <c r="P37" s="30" t="s">
        <v>38</v>
      </c>
      <c r="Q37" s="31" t="s">
        <v>38</v>
      </c>
      <c r="R37" s="33">
        <v>50</v>
      </c>
      <c r="S37" s="32">
        <v>0.5</v>
      </c>
      <c r="T37" s="70">
        <v>0.5</v>
      </c>
      <c r="U37" s="32">
        <v>0</v>
      </c>
    </row>
    <row r="38" spans="1:21" x14ac:dyDescent="0.2">
      <c r="A38" s="30" t="s">
        <v>223</v>
      </c>
      <c r="B38" s="30" t="s">
        <v>224</v>
      </c>
      <c r="C38" s="30" t="s">
        <v>225</v>
      </c>
      <c r="D38" s="30" t="s">
        <v>229</v>
      </c>
      <c r="E38" s="30" t="s">
        <v>230</v>
      </c>
      <c r="F38" s="30" t="s">
        <v>231</v>
      </c>
      <c r="G38" s="30" t="s">
        <v>232</v>
      </c>
      <c r="H38" s="30" t="s">
        <v>36</v>
      </c>
      <c r="I38" s="30" t="s">
        <v>162</v>
      </c>
      <c r="J38" s="30" t="s">
        <v>163</v>
      </c>
      <c r="K38" s="32">
        <v>0.5</v>
      </c>
      <c r="L38" s="30" t="s">
        <v>168</v>
      </c>
      <c r="M38" s="30">
        <v>2017</v>
      </c>
      <c r="N38" s="30" t="s">
        <v>37</v>
      </c>
      <c r="O38" s="31" t="s">
        <v>66</v>
      </c>
      <c r="P38" s="30" t="s">
        <v>56</v>
      </c>
      <c r="Q38" s="31" t="s">
        <v>84</v>
      </c>
      <c r="R38" s="33">
        <v>30</v>
      </c>
      <c r="S38" s="32">
        <v>0.15</v>
      </c>
      <c r="T38" s="70">
        <v>0.25</v>
      </c>
      <c r="U38" s="32">
        <v>0.1</v>
      </c>
    </row>
    <row r="39" spans="1:21" x14ac:dyDescent="0.2">
      <c r="A39" s="30" t="s">
        <v>34</v>
      </c>
      <c r="B39" s="30" t="s">
        <v>35</v>
      </c>
      <c r="C39" s="30" t="s">
        <v>39</v>
      </c>
      <c r="D39" s="30" t="s">
        <v>121</v>
      </c>
      <c r="E39" s="30" t="s">
        <v>122</v>
      </c>
      <c r="F39" s="30" t="s">
        <v>123</v>
      </c>
      <c r="G39" s="30" t="s">
        <v>114</v>
      </c>
      <c r="H39" s="30" t="s">
        <v>36</v>
      </c>
      <c r="I39" s="30" t="s">
        <v>115</v>
      </c>
      <c r="J39" s="30" t="s">
        <v>116</v>
      </c>
      <c r="K39" s="44">
        <v>0.5</v>
      </c>
      <c r="L39" s="30" t="s">
        <v>117</v>
      </c>
      <c r="M39" s="30">
        <v>2017</v>
      </c>
      <c r="N39" s="30" t="s">
        <v>37</v>
      </c>
      <c r="O39" s="31" t="s">
        <v>118</v>
      </c>
      <c r="P39" s="30" t="s">
        <v>38</v>
      </c>
      <c r="Q39" s="31" t="s">
        <v>38</v>
      </c>
      <c r="R39" s="33">
        <v>10</v>
      </c>
      <c r="S39" s="32">
        <v>0.05</v>
      </c>
      <c r="T39" s="70">
        <v>0.45</v>
      </c>
      <c r="U39" s="32">
        <v>0</v>
      </c>
    </row>
    <row r="40" spans="1:21" x14ac:dyDescent="0.2">
      <c r="A40" s="30" t="s">
        <v>204</v>
      </c>
      <c r="B40" s="30" t="s">
        <v>205</v>
      </c>
      <c r="C40" s="30" t="s">
        <v>208</v>
      </c>
      <c r="D40" s="30" t="s">
        <v>210</v>
      </c>
      <c r="E40" s="30" t="s">
        <v>211</v>
      </c>
      <c r="F40" s="30" t="s">
        <v>212</v>
      </c>
      <c r="G40" s="30" t="s">
        <v>209</v>
      </c>
      <c r="H40" s="30" t="s">
        <v>36</v>
      </c>
      <c r="I40" s="30" t="s">
        <v>204</v>
      </c>
      <c r="J40" s="30" t="s">
        <v>205</v>
      </c>
      <c r="K40" s="44">
        <v>0.5</v>
      </c>
      <c r="L40" s="30" t="s">
        <v>206</v>
      </c>
      <c r="M40" s="30">
        <v>2018</v>
      </c>
      <c r="N40" s="30" t="s">
        <v>37</v>
      </c>
      <c r="O40" s="31" t="s">
        <v>127</v>
      </c>
      <c r="P40" s="30" t="s">
        <v>52</v>
      </c>
      <c r="Q40" s="31" t="s">
        <v>127</v>
      </c>
      <c r="R40" s="33">
        <v>80</v>
      </c>
      <c r="S40" s="32">
        <v>0.4</v>
      </c>
      <c r="T40" s="70">
        <v>0.05</v>
      </c>
      <c r="U40" s="32">
        <v>0.05</v>
      </c>
    </row>
    <row r="41" spans="1:21" x14ac:dyDescent="0.2">
      <c r="A41" s="30" t="s">
        <v>204</v>
      </c>
      <c r="B41" s="30" t="s">
        <v>205</v>
      </c>
      <c r="C41" s="30" t="s">
        <v>208</v>
      </c>
      <c r="D41" s="30" t="s">
        <v>213</v>
      </c>
      <c r="E41" s="30" t="s">
        <v>214</v>
      </c>
      <c r="F41" s="30" t="s">
        <v>215</v>
      </c>
      <c r="G41" s="30" t="s">
        <v>209</v>
      </c>
      <c r="H41" s="30" t="s">
        <v>50</v>
      </c>
      <c r="I41" s="30" t="s">
        <v>204</v>
      </c>
      <c r="J41" s="30" t="s">
        <v>205</v>
      </c>
      <c r="K41" s="44">
        <v>1</v>
      </c>
      <c r="L41" s="30" t="s">
        <v>206</v>
      </c>
      <c r="M41" s="30">
        <v>2018</v>
      </c>
      <c r="N41" s="30" t="s">
        <v>37</v>
      </c>
      <c r="O41" s="31" t="s">
        <v>127</v>
      </c>
      <c r="P41" s="30" t="s">
        <v>52</v>
      </c>
      <c r="Q41" s="31" t="s">
        <v>127</v>
      </c>
      <c r="R41" s="33">
        <v>80</v>
      </c>
      <c r="S41" s="32">
        <v>0.8</v>
      </c>
      <c r="T41" s="70">
        <v>0.1</v>
      </c>
      <c r="U41" s="32">
        <v>0.1</v>
      </c>
    </row>
    <row r="42" spans="1:21" x14ac:dyDescent="0.2">
      <c r="A42" s="30" t="s">
        <v>204</v>
      </c>
      <c r="B42" s="30" t="s">
        <v>205</v>
      </c>
      <c r="C42" s="30" t="s">
        <v>208</v>
      </c>
      <c r="D42" s="30" t="s">
        <v>216</v>
      </c>
      <c r="E42" s="30" t="s">
        <v>217</v>
      </c>
      <c r="F42" s="30" t="s">
        <v>218</v>
      </c>
      <c r="G42" s="30" t="s">
        <v>209</v>
      </c>
      <c r="H42" s="30" t="s">
        <v>36</v>
      </c>
      <c r="I42" s="30" t="s">
        <v>204</v>
      </c>
      <c r="J42" s="30" t="s">
        <v>205</v>
      </c>
      <c r="K42" s="44">
        <v>0.5</v>
      </c>
      <c r="L42" s="30" t="s">
        <v>206</v>
      </c>
      <c r="M42" s="30">
        <v>2018</v>
      </c>
      <c r="N42" s="30" t="s">
        <v>37</v>
      </c>
      <c r="O42" s="31" t="s">
        <v>127</v>
      </c>
      <c r="P42" s="30" t="s">
        <v>52</v>
      </c>
      <c r="Q42" s="31" t="s">
        <v>127</v>
      </c>
      <c r="R42" s="33">
        <v>80</v>
      </c>
      <c r="S42" s="32">
        <v>0.4</v>
      </c>
      <c r="T42" s="70">
        <v>0.05</v>
      </c>
      <c r="U42" s="32">
        <v>0.05</v>
      </c>
    </row>
    <row r="43" spans="1:21" x14ac:dyDescent="0.2">
      <c r="A43" s="30" t="s">
        <v>34</v>
      </c>
      <c r="B43" s="30" t="s">
        <v>35</v>
      </c>
      <c r="C43" s="30" t="s">
        <v>39</v>
      </c>
      <c r="D43" s="30" t="s">
        <v>105</v>
      </c>
      <c r="E43" s="30" t="s">
        <v>106</v>
      </c>
      <c r="F43" s="30" t="s">
        <v>107</v>
      </c>
      <c r="G43" s="30" t="s">
        <v>145</v>
      </c>
      <c r="H43" s="30" t="s">
        <v>36</v>
      </c>
      <c r="I43" s="30" t="s">
        <v>146</v>
      </c>
      <c r="J43" s="30" t="s">
        <v>147</v>
      </c>
      <c r="K43" s="44">
        <v>0.5</v>
      </c>
      <c r="L43" s="30" t="s">
        <v>148</v>
      </c>
      <c r="M43" s="30">
        <v>2018</v>
      </c>
      <c r="N43" s="30" t="s">
        <v>37</v>
      </c>
      <c r="O43" s="31" t="s">
        <v>84</v>
      </c>
      <c r="P43" s="30" t="s">
        <v>38</v>
      </c>
      <c r="Q43" s="31" t="s">
        <v>38</v>
      </c>
      <c r="R43" s="33">
        <v>80</v>
      </c>
      <c r="S43" s="32">
        <v>0.4</v>
      </c>
      <c r="T43" s="70">
        <v>0.1</v>
      </c>
      <c r="U43" s="32">
        <v>0</v>
      </c>
    </row>
    <row r="44" spans="1:21" x14ac:dyDescent="0.2">
      <c r="A44" s="30" t="s">
        <v>34</v>
      </c>
      <c r="B44" s="30" t="s">
        <v>35</v>
      </c>
      <c r="C44" s="30" t="s">
        <v>39</v>
      </c>
      <c r="D44" s="30" t="s">
        <v>105</v>
      </c>
      <c r="E44" s="30" t="s">
        <v>106</v>
      </c>
      <c r="F44" s="30" t="s">
        <v>107</v>
      </c>
      <c r="G44" s="30" t="s">
        <v>100</v>
      </c>
      <c r="H44" s="30" t="s">
        <v>36</v>
      </c>
      <c r="I44" s="30" t="s">
        <v>67</v>
      </c>
      <c r="J44" s="30" t="s">
        <v>68</v>
      </c>
      <c r="K44" s="44">
        <v>0.5</v>
      </c>
      <c r="L44" s="30" t="s">
        <v>83</v>
      </c>
      <c r="M44" s="30">
        <v>2018</v>
      </c>
      <c r="N44" s="30" t="s">
        <v>37</v>
      </c>
      <c r="O44" s="31" t="s">
        <v>101</v>
      </c>
      <c r="P44" s="30" t="s">
        <v>38</v>
      </c>
      <c r="Q44" s="31" t="s">
        <v>38</v>
      </c>
      <c r="R44" s="33">
        <v>40</v>
      </c>
      <c r="S44" s="32">
        <v>0.2</v>
      </c>
      <c r="T44" s="70">
        <v>0.3</v>
      </c>
      <c r="U44" s="32">
        <v>0</v>
      </c>
    </row>
    <row r="45" spans="1:21" x14ac:dyDescent="0.2">
      <c r="A45" s="30" t="s">
        <v>34</v>
      </c>
      <c r="B45" s="30" t="s">
        <v>35</v>
      </c>
      <c r="C45" s="30" t="s">
        <v>39</v>
      </c>
      <c r="D45" s="30" t="s">
        <v>174</v>
      </c>
      <c r="E45" s="30" t="s">
        <v>175</v>
      </c>
      <c r="F45" s="30" t="s">
        <v>176</v>
      </c>
      <c r="G45" s="30" t="s">
        <v>169</v>
      </c>
      <c r="H45" s="30" t="s">
        <v>36</v>
      </c>
      <c r="I45" s="30" t="s">
        <v>162</v>
      </c>
      <c r="J45" s="30" t="s">
        <v>163</v>
      </c>
      <c r="K45" s="44">
        <v>0.5</v>
      </c>
      <c r="L45" s="30" t="s">
        <v>168</v>
      </c>
      <c r="M45" s="30">
        <v>2018</v>
      </c>
      <c r="N45" s="30" t="s">
        <v>37</v>
      </c>
      <c r="O45" s="31" t="s">
        <v>170</v>
      </c>
      <c r="P45" s="30" t="s">
        <v>38</v>
      </c>
      <c r="Q45" s="31" t="s">
        <v>38</v>
      </c>
      <c r="R45" s="33">
        <v>20</v>
      </c>
      <c r="S45" s="32">
        <v>0.1</v>
      </c>
      <c r="T45" s="70">
        <v>0.4</v>
      </c>
      <c r="U45" s="32">
        <v>0</v>
      </c>
    </row>
    <row r="46" spans="1:21" x14ac:dyDescent="0.2">
      <c r="A46" s="30" t="s">
        <v>34</v>
      </c>
      <c r="B46" s="30" t="s">
        <v>35</v>
      </c>
      <c r="C46" s="30" t="s">
        <v>39</v>
      </c>
      <c r="D46" s="30" t="s">
        <v>108</v>
      </c>
      <c r="E46" s="30" t="s">
        <v>109</v>
      </c>
      <c r="F46" s="30" t="s">
        <v>110</v>
      </c>
      <c r="G46" s="30" t="s">
        <v>100</v>
      </c>
      <c r="H46" s="30" t="s">
        <v>50</v>
      </c>
      <c r="I46" s="30" t="s">
        <v>67</v>
      </c>
      <c r="J46" s="30" t="s">
        <v>68</v>
      </c>
      <c r="K46" s="44">
        <v>1</v>
      </c>
      <c r="L46" s="30" t="s">
        <v>83</v>
      </c>
      <c r="M46" s="30">
        <v>2018</v>
      </c>
      <c r="N46" s="30" t="s">
        <v>37</v>
      </c>
      <c r="O46" s="31" t="s">
        <v>101</v>
      </c>
      <c r="P46" s="30" t="s">
        <v>38</v>
      </c>
      <c r="Q46" s="31" t="s">
        <v>38</v>
      </c>
      <c r="R46" s="33">
        <v>40</v>
      </c>
      <c r="S46" s="32">
        <v>0.4</v>
      </c>
      <c r="T46" s="70">
        <v>0.6</v>
      </c>
      <c r="U46" s="32">
        <v>0</v>
      </c>
    </row>
    <row r="47" spans="1:21" x14ac:dyDescent="0.2">
      <c r="A47" s="30" t="s">
        <v>34</v>
      </c>
      <c r="B47" s="30" t="s">
        <v>35</v>
      </c>
      <c r="C47" s="30" t="s">
        <v>39</v>
      </c>
      <c r="D47" s="30" t="s">
        <v>43</v>
      </c>
      <c r="E47" s="30" t="s">
        <v>44</v>
      </c>
      <c r="F47" s="30" t="s">
        <v>45</v>
      </c>
      <c r="G47" s="30" t="s">
        <v>219</v>
      </c>
      <c r="H47" s="30" t="s">
        <v>36</v>
      </c>
      <c r="I47" s="30" t="s">
        <v>220</v>
      </c>
      <c r="J47" s="30" t="s">
        <v>221</v>
      </c>
      <c r="K47" s="44">
        <v>0.33333333333333331</v>
      </c>
      <c r="L47" s="30" t="s">
        <v>222</v>
      </c>
      <c r="M47" s="30">
        <v>2018</v>
      </c>
      <c r="N47" s="30" t="s">
        <v>37</v>
      </c>
      <c r="O47" s="31" t="s">
        <v>66</v>
      </c>
      <c r="P47" s="30" t="s">
        <v>56</v>
      </c>
      <c r="Q47" s="31" t="s">
        <v>127</v>
      </c>
      <c r="R47" s="33">
        <v>40</v>
      </c>
      <c r="S47" s="32">
        <v>0.13333333333333333</v>
      </c>
      <c r="T47" s="70">
        <v>0.16666666666666663</v>
      </c>
      <c r="U47" s="32">
        <v>3.3333333333333333E-2</v>
      </c>
    </row>
    <row r="48" spans="1:21" x14ac:dyDescent="0.2">
      <c r="A48" s="30" t="s">
        <v>34</v>
      </c>
      <c r="B48" s="30" t="s">
        <v>35</v>
      </c>
      <c r="C48" s="30" t="s">
        <v>39</v>
      </c>
      <c r="D48" s="30" t="s">
        <v>43</v>
      </c>
      <c r="E48" s="30" t="s">
        <v>44</v>
      </c>
      <c r="F48" s="30" t="s">
        <v>45</v>
      </c>
      <c r="G48" s="30" t="s">
        <v>114</v>
      </c>
      <c r="H48" s="30" t="s">
        <v>36</v>
      </c>
      <c r="I48" s="30" t="s">
        <v>115</v>
      </c>
      <c r="J48" s="30" t="s">
        <v>116</v>
      </c>
      <c r="K48" s="44">
        <v>0.33333333333333331</v>
      </c>
      <c r="L48" s="30" t="s">
        <v>117</v>
      </c>
      <c r="M48" s="30">
        <v>2018</v>
      </c>
      <c r="N48" s="30" t="s">
        <v>37</v>
      </c>
      <c r="O48" s="31" t="s">
        <v>118</v>
      </c>
      <c r="P48" s="30" t="s">
        <v>38</v>
      </c>
      <c r="Q48" s="31" t="s">
        <v>38</v>
      </c>
      <c r="R48" s="33">
        <v>10</v>
      </c>
      <c r="S48" s="32">
        <v>3.3333333333333333E-2</v>
      </c>
      <c r="T48" s="70">
        <v>0.3</v>
      </c>
      <c r="U48" s="32">
        <v>0</v>
      </c>
    </row>
    <row r="49" spans="1:21" x14ac:dyDescent="0.2">
      <c r="A49" s="30" t="s">
        <v>34</v>
      </c>
      <c r="B49" s="30" t="s">
        <v>35</v>
      </c>
      <c r="C49" s="30" t="s">
        <v>39</v>
      </c>
      <c r="D49" s="30" t="s">
        <v>177</v>
      </c>
      <c r="E49" s="30" t="s">
        <v>178</v>
      </c>
      <c r="F49" s="30" t="s">
        <v>179</v>
      </c>
      <c r="G49" s="30" t="s">
        <v>169</v>
      </c>
      <c r="H49" s="30" t="s">
        <v>36</v>
      </c>
      <c r="I49" s="30" t="s">
        <v>162</v>
      </c>
      <c r="J49" s="30" t="s">
        <v>163</v>
      </c>
      <c r="K49" s="44">
        <v>0.5</v>
      </c>
      <c r="L49" s="30" t="s">
        <v>168</v>
      </c>
      <c r="M49" s="30">
        <v>2018</v>
      </c>
      <c r="N49" s="30" t="s">
        <v>37</v>
      </c>
      <c r="O49" s="31" t="s">
        <v>170</v>
      </c>
      <c r="P49" s="30" t="s">
        <v>38</v>
      </c>
      <c r="Q49" s="31" t="s">
        <v>38</v>
      </c>
      <c r="R49" s="33">
        <v>20</v>
      </c>
      <c r="S49" s="32">
        <v>0.1</v>
      </c>
      <c r="T49" s="70">
        <v>0.4</v>
      </c>
      <c r="U49" s="32">
        <v>0</v>
      </c>
    </row>
    <row r="50" spans="1:21" x14ac:dyDescent="0.2">
      <c r="A50" s="30" t="s">
        <v>129</v>
      </c>
      <c r="B50" s="30" t="s">
        <v>130</v>
      </c>
      <c r="C50" s="30" t="s">
        <v>131</v>
      </c>
      <c r="D50" s="30" t="s">
        <v>132</v>
      </c>
      <c r="E50" s="30" t="s">
        <v>133</v>
      </c>
      <c r="F50" s="30" t="s">
        <v>134</v>
      </c>
      <c r="G50" s="30" t="s">
        <v>135</v>
      </c>
      <c r="H50" s="30" t="s">
        <v>36</v>
      </c>
      <c r="I50" s="30" t="s">
        <v>136</v>
      </c>
      <c r="J50" s="30" t="s">
        <v>137</v>
      </c>
      <c r="K50" s="44">
        <v>0.5</v>
      </c>
      <c r="L50" s="30" t="s">
        <v>138</v>
      </c>
      <c r="M50" s="30">
        <v>2018</v>
      </c>
      <c r="N50" s="30" t="s">
        <v>37</v>
      </c>
      <c r="O50" s="31" t="s">
        <v>127</v>
      </c>
      <c r="P50" s="30" t="s">
        <v>38</v>
      </c>
      <c r="Q50" s="31" t="s">
        <v>38</v>
      </c>
      <c r="R50" s="33">
        <v>90</v>
      </c>
      <c r="S50" s="32">
        <v>0.45</v>
      </c>
      <c r="T50" s="70">
        <v>0.05</v>
      </c>
      <c r="U50" s="32">
        <v>0</v>
      </c>
    </row>
    <row r="51" spans="1:21" x14ac:dyDescent="0.2">
      <c r="A51" s="30" t="s">
        <v>69</v>
      </c>
      <c r="B51" s="30" t="s">
        <v>70</v>
      </c>
      <c r="C51" s="30" t="s">
        <v>71</v>
      </c>
      <c r="D51" s="30" t="s">
        <v>80</v>
      </c>
      <c r="E51" s="30" t="s">
        <v>81</v>
      </c>
      <c r="F51" s="30" t="s">
        <v>82</v>
      </c>
      <c r="G51" s="30" t="s">
        <v>62</v>
      </c>
      <c r="H51" s="30" t="s">
        <v>36</v>
      </c>
      <c r="I51" s="30" t="s">
        <v>63</v>
      </c>
      <c r="J51" s="30" t="s">
        <v>64</v>
      </c>
      <c r="K51" s="44">
        <v>0.5</v>
      </c>
      <c r="L51" s="30" t="s">
        <v>65</v>
      </c>
      <c r="M51" s="30">
        <v>2018</v>
      </c>
      <c r="N51" s="30" t="s">
        <v>37</v>
      </c>
      <c r="O51" s="31" t="s">
        <v>66</v>
      </c>
      <c r="P51" s="30" t="s">
        <v>38</v>
      </c>
      <c r="Q51" s="31" t="s">
        <v>38</v>
      </c>
      <c r="R51" s="33">
        <v>50</v>
      </c>
      <c r="S51" s="32">
        <v>0.25</v>
      </c>
      <c r="T51" s="70">
        <v>0.25</v>
      </c>
      <c r="U51" s="32">
        <v>0</v>
      </c>
    </row>
    <row r="52" spans="1:21" x14ac:dyDescent="0.2">
      <c r="A52" s="30" t="s">
        <v>46</v>
      </c>
      <c r="B52" s="30" t="s">
        <v>47</v>
      </c>
      <c r="C52" s="30" t="s">
        <v>48</v>
      </c>
      <c r="D52" s="30" t="s">
        <v>199</v>
      </c>
      <c r="E52" s="30" t="s">
        <v>200</v>
      </c>
      <c r="F52" s="30" t="s">
        <v>201</v>
      </c>
      <c r="G52" s="30" t="s">
        <v>202</v>
      </c>
      <c r="H52" s="30" t="s">
        <v>36</v>
      </c>
      <c r="I52" s="30" t="s">
        <v>189</v>
      </c>
      <c r="J52" s="30" t="s">
        <v>190</v>
      </c>
      <c r="K52" s="44">
        <v>0.5</v>
      </c>
      <c r="L52" s="30" t="s">
        <v>191</v>
      </c>
      <c r="M52" s="30">
        <v>2018</v>
      </c>
      <c r="N52" s="30" t="s">
        <v>37</v>
      </c>
      <c r="O52" s="31" t="s">
        <v>127</v>
      </c>
      <c r="P52" s="30" t="s">
        <v>49</v>
      </c>
      <c r="Q52" s="31" t="s">
        <v>170</v>
      </c>
      <c r="R52" s="33">
        <v>10</v>
      </c>
      <c r="S52" s="32">
        <v>0.05</v>
      </c>
      <c r="T52" s="70">
        <v>0.05</v>
      </c>
      <c r="U52" s="32">
        <v>0.4</v>
      </c>
    </row>
    <row r="53" spans="1:21" x14ac:dyDescent="0.2">
      <c r="A53" s="30" t="s">
        <v>139</v>
      </c>
      <c r="B53" s="30" t="s">
        <v>140</v>
      </c>
      <c r="C53" s="30" t="s">
        <v>141</v>
      </c>
      <c r="D53" s="30" t="s">
        <v>142</v>
      </c>
      <c r="E53" s="30" t="s">
        <v>143</v>
      </c>
      <c r="F53" s="30" t="s">
        <v>144</v>
      </c>
      <c r="G53" s="30" t="s">
        <v>135</v>
      </c>
      <c r="H53" s="30" t="s">
        <v>36</v>
      </c>
      <c r="I53" s="30" t="s">
        <v>136</v>
      </c>
      <c r="J53" s="30" t="s">
        <v>137</v>
      </c>
      <c r="K53" s="44">
        <v>0.5</v>
      </c>
      <c r="L53" s="30" t="s">
        <v>138</v>
      </c>
      <c r="M53" s="30">
        <v>2018</v>
      </c>
      <c r="N53" s="30" t="s">
        <v>37</v>
      </c>
      <c r="O53" s="31" t="s">
        <v>127</v>
      </c>
      <c r="P53" s="30" t="s">
        <v>38</v>
      </c>
      <c r="Q53" s="31" t="s">
        <v>38</v>
      </c>
      <c r="R53" s="33">
        <v>90</v>
      </c>
      <c r="S53" s="32">
        <v>0.45</v>
      </c>
      <c r="T53" s="70">
        <v>0.05</v>
      </c>
      <c r="U53" s="32">
        <v>0</v>
      </c>
    </row>
    <row r="54" spans="1:21" x14ac:dyDescent="0.2">
      <c r="A54" s="30" t="s">
        <v>53</v>
      </c>
      <c r="B54" s="30" t="s">
        <v>54</v>
      </c>
      <c r="C54" s="30" t="s">
        <v>55</v>
      </c>
      <c r="D54" s="30" t="s">
        <v>58</v>
      </c>
      <c r="E54" s="30" t="s">
        <v>59</v>
      </c>
      <c r="F54" s="30" t="s">
        <v>60</v>
      </c>
      <c r="G54" s="30" t="s">
        <v>219</v>
      </c>
      <c r="H54" s="30" t="s">
        <v>36</v>
      </c>
      <c r="I54" s="30" t="s">
        <v>220</v>
      </c>
      <c r="J54" s="30" t="s">
        <v>221</v>
      </c>
      <c r="K54" s="44">
        <v>0.5</v>
      </c>
      <c r="L54" s="30" t="s">
        <v>222</v>
      </c>
      <c r="M54" s="30">
        <v>2018</v>
      </c>
      <c r="N54" s="30" t="s">
        <v>37</v>
      </c>
      <c r="O54" s="31" t="s">
        <v>66</v>
      </c>
      <c r="P54" s="30" t="s">
        <v>56</v>
      </c>
      <c r="Q54" s="31" t="s">
        <v>127</v>
      </c>
      <c r="R54" s="33">
        <v>40</v>
      </c>
      <c r="S54" s="32">
        <v>0.2</v>
      </c>
      <c r="T54" s="70">
        <v>0.25</v>
      </c>
      <c r="U54" s="32">
        <v>0.05</v>
      </c>
    </row>
    <row r="55" spans="1:21" x14ac:dyDescent="0.2">
      <c r="A55" s="34" t="s">
        <v>204</v>
      </c>
      <c r="B55" s="34" t="s">
        <v>205</v>
      </c>
      <c r="C55" s="34" t="s">
        <v>208</v>
      </c>
      <c r="D55" s="34" t="s">
        <v>426</v>
      </c>
      <c r="E55" s="34" t="s">
        <v>427</v>
      </c>
      <c r="F55" s="34" t="s">
        <v>428</v>
      </c>
      <c r="G55" s="34" t="s">
        <v>203</v>
      </c>
      <c r="H55" s="34" t="s">
        <v>36</v>
      </c>
      <c r="I55" s="34" t="s">
        <v>204</v>
      </c>
      <c r="J55" s="34" t="s">
        <v>205</v>
      </c>
      <c r="K55" s="69">
        <v>0.5</v>
      </c>
      <c r="L55" s="34" t="s">
        <v>206</v>
      </c>
      <c r="M55" s="34">
        <v>2019</v>
      </c>
      <c r="N55" s="34" t="s">
        <v>37</v>
      </c>
      <c r="O55" s="35" t="s">
        <v>127</v>
      </c>
      <c r="P55" s="34" t="s">
        <v>38</v>
      </c>
      <c r="Q55" s="35" t="s">
        <v>38</v>
      </c>
      <c r="R55" s="36">
        <v>90</v>
      </c>
      <c r="S55" s="37">
        <v>0.45</v>
      </c>
      <c r="T55" s="71">
        <v>0.05</v>
      </c>
      <c r="U55" s="37">
        <v>0</v>
      </c>
    </row>
    <row r="56" spans="1:21" x14ac:dyDescent="0.2">
      <c r="A56" s="34" t="s">
        <v>162</v>
      </c>
      <c r="B56" s="34" t="s">
        <v>163</v>
      </c>
      <c r="C56" s="34" t="s">
        <v>164</v>
      </c>
      <c r="D56" s="34" t="s">
        <v>415</v>
      </c>
      <c r="E56" s="34" t="s">
        <v>416</v>
      </c>
      <c r="F56" s="34" t="s">
        <v>417</v>
      </c>
      <c r="G56" s="34" t="s">
        <v>418</v>
      </c>
      <c r="H56" s="34" t="s">
        <v>50</v>
      </c>
      <c r="I56" s="34" t="s">
        <v>124</v>
      </c>
      <c r="J56" s="34" t="s">
        <v>125</v>
      </c>
      <c r="K56" s="69">
        <v>1</v>
      </c>
      <c r="L56" s="34" t="s">
        <v>126</v>
      </c>
      <c r="M56" s="34">
        <v>2019</v>
      </c>
      <c r="N56" s="34" t="s">
        <v>37</v>
      </c>
      <c r="O56" s="35" t="s">
        <v>84</v>
      </c>
      <c r="P56" s="34" t="s">
        <v>38</v>
      </c>
      <c r="Q56" s="35" t="s">
        <v>38</v>
      </c>
      <c r="R56" s="36">
        <v>80</v>
      </c>
      <c r="S56" s="37">
        <v>0.8</v>
      </c>
      <c r="T56" s="71">
        <v>0.2</v>
      </c>
      <c r="U56" s="37">
        <v>0</v>
      </c>
    </row>
    <row r="57" spans="1:21" x14ac:dyDescent="0.2">
      <c r="A57" s="34" t="s">
        <v>34</v>
      </c>
      <c r="B57" s="34" t="s">
        <v>35</v>
      </c>
      <c r="C57" s="34" t="s">
        <v>39</v>
      </c>
      <c r="D57" s="34" t="s">
        <v>409</v>
      </c>
      <c r="E57" s="34" t="s">
        <v>410</v>
      </c>
      <c r="F57" s="34" t="s">
        <v>411</v>
      </c>
      <c r="G57" s="34" t="s">
        <v>145</v>
      </c>
      <c r="H57" s="34" t="s">
        <v>36</v>
      </c>
      <c r="I57" s="34" t="s">
        <v>146</v>
      </c>
      <c r="J57" s="34" t="s">
        <v>147</v>
      </c>
      <c r="K57" s="69">
        <v>0.5</v>
      </c>
      <c r="L57" s="34" t="s">
        <v>148</v>
      </c>
      <c r="M57" s="34">
        <v>2019</v>
      </c>
      <c r="N57" s="34" t="s">
        <v>37</v>
      </c>
      <c r="O57" s="35" t="s">
        <v>84</v>
      </c>
      <c r="P57" s="34" t="s">
        <v>438</v>
      </c>
      <c r="Q57" s="35" t="s">
        <v>127</v>
      </c>
      <c r="R57" s="36">
        <v>70</v>
      </c>
      <c r="S57" s="37">
        <v>0.35</v>
      </c>
      <c r="T57" s="71">
        <v>0.1</v>
      </c>
      <c r="U57" s="37">
        <v>0.05</v>
      </c>
    </row>
    <row r="58" spans="1:21" x14ac:dyDescent="0.2">
      <c r="A58" s="34" t="s">
        <v>34</v>
      </c>
      <c r="B58" s="34" t="s">
        <v>35</v>
      </c>
      <c r="C58" s="34" t="s">
        <v>39</v>
      </c>
      <c r="D58" s="34" t="s">
        <v>412</v>
      </c>
      <c r="E58" s="34" t="s">
        <v>413</v>
      </c>
      <c r="F58" s="34" t="s">
        <v>414</v>
      </c>
      <c r="G58" s="34" t="s">
        <v>145</v>
      </c>
      <c r="H58" s="34" t="s">
        <v>50</v>
      </c>
      <c r="I58" s="34" t="s">
        <v>146</v>
      </c>
      <c r="J58" s="34" t="s">
        <v>147</v>
      </c>
      <c r="K58" s="69">
        <v>1</v>
      </c>
      <c r="L58" s="34" t="s">
        <v>148</v>
      </c>
      <c r="M58" s="34">
        <v>2019</v>
      </c>
      <c r="N58" s="34" t="s">
        <v>37</v>
      </c>
      <c r="O58" s="35" t="s">
        <v>84</v>
      </c>
      <c r="P58" s="34" t="s">
        <v>438</v>
      </c>
      <c r="Q58" s="35" t="s">
        <v>127</v>
      </c>
      <c r="R58" s="36">
        <v>70</v>
      </c>
      <c r="S58" s="37">
        <v>0.7</v>
      </c>
      <c r="T58" s="71">
        <v>0.2</v>
      </c>
      <c r="U58" s="37">
        <v>0.1</v>
      </c>
    </row>
    <row r="59" spans="1:21" x14ac:dyDescent="0.2">
      <c r="A59" s="34" t="s">
        <v>46</v>
      </c>
      <c r="B59" s="34" t="s">
        <v>47</v>
      </c>
      <c r="C59" s="34" t="s">
        <v>48</v>
      </c>
      <c r="D59" s="34" t="s">
        <v>423</v>
      </c>
      <c r="E59" s="34" t="s">
        <v>424</v>
      </c>
      <c r="F59" s="34" t="s">
        <v>425</v>
      </c>
      <c r="G59" s="34" t="s">
        <v>202</v>
      </c>
      <c r="H59" s="34" t="s">
        <v>50</v>
      </c>
      <c r="I59" s="34" t="s">
        <v>189</v>
      </c>
      <c r="J59" s="34" t="s">
        <v>190</v>
      </c>
      <c r="K59" s="69">
        <v>1</v>
      </c>
      <c r="L59" s="34" t="s">
        <v>191</v>
      </c>
      <c r="M59" s="34">
        <v>2019</v>
      </c>
      <c r="N59" s="34" t="s">
        <v>37</v>
      </c>
      <c r="O59" s="35" t="s">
        <v>127</v>
      </c>
      <c r="P59" s="34" t="s">
        <v>49</v>
      </c>
      <c r="Q59" s="35" t="s">
        <v>441</v>
      </c>
      <c r="R59" s="36">
        <v>35</v>
      </c>
      <c r="S59" s="37">
        <v>0.35</v>
      </c>
      <c r="T59" s="71">
        <v>0.1</v>
      </c>
      <c r="U59" s="37">
        <v>0.55000000000000004</v>
      </c>
    </row>
    <row r="60" spans="1:21" x14ac:dyDescent="0.2">
      <c r="A60" s="30" t="s">
        <v>34</v>
      </c>
      <c r="B60" s="30" t="s">
        <v>35</v>
      </c>
      <c r="C60" s="30" t="s">
        <v>39</v>
      </c>
      <c r="D60" s="30" t="s">
        <v>454</v>
      </c>
      <c r="E60" s="30" t="s">
        <v>455</v>
      </c>
      <c r="F60" s="30" t="s">
        <v>456</v>
      </c>
      <c r="G60" s="30" t="s">
        <v>169</v>
      </c>
      <c r="H60" s="30" t="s">
        <v>36</v>
      </c>
      <c r="I60" s="30" t="s">
        <v>162</v>
      </c>
      <c r="J60" s="30" t="s">
        <v>163</v>
      </c>
      <c r="K60" s="29">
        <v>0.5</v>
      </c>
      <c r="L60" s="29" t="s">
        <v>168</v>
      </c>
      <c r="M60" s="38">
        <v>2019</v>
      </c>
      <c r="N60" s="30" t="s">
        <v>37</v>
      </c>
      <c r="O60" s="31" t="s">
        <v>170</v>
      </c>
      <c r="P60" s="30" t="s">
        <v>38</v>
      </c>
      <c r="Q60" s="31" t="s">
        <v>38</v>
      </c>
      <c r="R60" s="30">
        <v>20</v>
      </c>
      <c r="S60" s="30">
        <v>0.1</v>
      </c>
      <c r="T60" s="72">
        <v>0.4</v>
      </c>
      <c r="U60" s="30">
        <v>0</v>
      </c>
    </row>
    <row r="61" spans="1:21" x14ac:dyDescent="0.2">
      <c r="A61" s="30" t="s">
        <v>34</v>
      </c>
      <c r="B61" s="30" t="s">
        <v>35</v>
      </c>
      <c r="C61" s="30" t="s">
        <v>39</v>
      </c>
      <c r="D61" s="30" t="s">
        <v>454</v>
      </c>
      <c r="E61" s="30" t="s">
        <v>455</v>
      </c>
      <c r="F61" s="30" t="s">
        <v>456</v>
      </c>
      <c r="G61" s="30" t="s">
        <v>114</v>
      </c>
      <c r="H61" s="30" t="s">
        <v>36</v>
      </c>
      <c r="I61" s="30" t="s">
        <v>115</v>
      </c>
      <c r="J61" s="30" t="s">
        <v>116</v>
      </c>
      <c r="K61" s="29">
        <v>0.5</v>
      </c>
      <c r="L61" s="29" t="s">
        <v>117</v>
      </c>
      <c r="M61" s="38">
        <v>2019</v>
      </c>
      <c r="N61" s="30" t="s">
        <v>37</v>
      </c>
      <c r="O61" s="31" t="s">
        <v>118</v>
      </c>
      <c r="P61" s="30" t="s">
        <v>38</v>
      </c>
      <c r="Q61" s="31" t="s">
        <v>38</v>
      </c>
      <c r="R61" s="30">
        <v>10</v>
      </c>
      <c r="S61" s="32">
        <v>0.05</v>
      </c>
      <c r="T61" s="70">
        <v>0.45</v>
      </c>
      <c r="U61" s="30">
        <v>0</v>
      </c>
    </row>
    <row r="62" spans="1:21" x14ac:dyDescent="0.2">
      <c r="A62" s="30" t="s">
        <v>223</v>
      </c>
      <c r="B62" s="30" t="s">
        <v>224</v>
      </c>
      <c r="C62" s="30" t="s">
        <v>225</v>
      </c>
      <c r="D62" s="30" t="s">
        <v>457</v>
      </c>
      <c r="E62" s="30" t="s">
        <v>458</v>
      </c>
      <c r="F62" s="30" t="s">
        <v>459</v>
      </c>
      <c r="G62" s="30" t="s">
        <v>460</v>
      </c>
      <c r="H62" s="30" t="s">
        <v>36</v>
      </c>
      <c r="I62" s="30" t="s">
        <v>220</v>
      </c>
      <c r="J62" s="30" t="s">
        <v>221</v>
      </c>
      <c r="K62" s="29">
        <v>0.5</v>
      </c>
      <c r="L62" s="29" t="s">
        <v>222</v>
      </c>
      <c r="M62" s="38">
        <v>2019</v>
      </c>
      <c r="N62" s="30" t="s">
        <v>37</v>
      </c>
      <c r="O62" s="31" t="s">
        <v>84</v>
      </c>
      <c r="P62" s="30" t="s">
        <v>56</v>
      </c>
      <c r="Q62" s="31" t="s">
        <v>127</v>
      </c>
      <c r="R62" s="30">
        <v>70</v>
      </c>
      <c r="S62" s="32">
        <v>0.35</v>
      </c>
      <c r="T62" s="72">
        <v>0.1</v>
      </c>
      <c r="U62" s="30">
        <v>0.05</v>
      </c>
    </row>
    <row r="63" spans="1:21" ht="10.8" thickBot="1" x14ac:dyDescent="0.25">
      <c r="A63" s="30" t="s">
        <v>223</v>
      </c>
      <c r="B63" s="30" t="s">
        <v>224</v>
      </c>
      <c r="C63" s="30" t="s">
        <v>225</v>
      </c>
      <c r="D63" s="30" t="s">
        <v>457</v>
      </c>
      <c r="E63" s="30" t="s">
        <v>458</v>
      </c>
      <c r="F63" s="30" t="s">
        <v>459</v>
      </c>
      <c r="G63" s="30" t="s">
        <v>219</v>
      </c>
      <c r="H63" s="30" t="s">
        <v>36</v>
      </c>
      <c r="I63" s="30" t="s">
        <v>220</v>
      </c>
      <c r="J63" s="30" t="s">
        <v>221</v>
      </c>
      <c r="K63" s="29">
        <v>0.5</v>
      </c>
      <c r="L63" s="29" t="s">
        <v>222</v>
      </c>
      <c r="M63" s="38">
        <v>2019</v>
      </c>
      <c r="N63" s="30" t="s">
        <v>37</v>
      </c>
      <c r="O63" s="31" t="s">
        <v>66</v>
      </c>
      <c r="P63" s="30" t="s">
        <v>56</v>
      </c>
      <c r="Q63" s="31" t="s">
        <v>127</v>
      </c>
      <c r="R63" s="30">
        <v>40</v>
      </c>
      <c r="S63" s="30">
        <v>0.2</v>
      </c>
      <c r="T63" s="72">
        <v>0.25</v>
      </c>
      <c r="U63" s="30">
        <v>0.05</v>
      </c>
    </row>
    <row r="64" spans="1:21" ht="10.8" thickBot="1" x14ac:dyDescent="0.25">
      <c r="A64" s="25" t="s">
        <v>204</v>
      </c>
      <c r="B64" s="25" t="s">
        <v>205</v>
      </c>
      <c r="C64" s="25" t="s">
        <v>208</v>
      </c>
      <c r="D64" s="25" t="s">
        <v>461</v>
      </c>
      <c r="E64" s="25" t="s">
        <v>599</v>
      </c>
      <c r="F64" s="25" t="s">
        <v>451</v>
      </c>
      <c r="G64" s="26" t="s">
        <v>209</v>
      </c>
      <c r="H64" s="27" t="s">
        <v>36</v>
      </c>
      <c r="I64" s="27" t="s">
        <v>204</v>
      </c>
      <c r="J64" s="28" t="s">
        <v>205</v>
      </c>
      <c r="K64" s="29">
        <v>0.33333333333333331</v>
      </c>
      <c r="L64" s="29" t="s">
        <v>206</v>
      </c>
      <c r="M64" s="30">
        <v>2020</v>
      </c>
      <c r="N64" s="30" t="s">
        <v>37</v>
      </c>
      <c r="O64" s="31" t="s">
        <v>127</v>
      </c>
      <c r="P64" s="30" t="s">
        <v>52</v>
      </c>
      <c r="Q64" s="31" t="s">
        <v>127</v>
      </c>
      <c r="R64" s="30">
        <v>80</v>
      </c>
      <c r="S64" s="32">
        <v>0.26666666666666666</v>
      </c>
      <c r="T64" s="70">
        <v>3.3333333333333333E-2</v>
      </c>
      <c r="U64" s="30">
        <v>3.3333333333333333E-2</v>
      </c>
    </row>
    <row r="65" spans="1:21" ht="10.8" thickBot="1" x14ac:dyDescent="0.25">
      <c r="A65" s="25" t="s">
        <v>204</v>
      </c>
      <c r="B65" s="25" t="s">
        <v>205</v>
      </c>
      <c r="C65" s="25" t="s">
        <v>208</v>
      </c>
      <c r="D65" s="25" t="s">
        <v>462</v>
      </c>
      <c r="E65" s="25" t="s">
        <v>463</v>
      </c>
      <c r="F65" s="25" t="s">
        <v>464</v>
      </c>
      <c r="G65" s="26" t="s">
        <v>209</v>
      </c>
      <c r="H65" s="27" t="s">
        <v>36</v>
      </c>
      <c r="I65" s="27" t="s">
        <v>204</v>
      </c>
      <c r="J65" s="28" t="s">
        <v>205</v>
      </c>
      <c r="K65" s="29">
        <v>0.5</v>
      </c>
      <c r="L65" s="29" t="s">
        <v>206</v>
      </c>
      <c r="M65" s="30">
        <v>2020</v>
      </c>
      <c r="N65" s="30" t="s">
        <v>37</v>
      </c>
      <c r="O65" s="31" t="s">
        <v>127</v>
      </c>
      <c r="P65" s="30" t="s">
        <v>52</v>
      </c>
      <c r="Q65" s="31" t="s">
        <v>127</v>
      </c>
      <c r="R65" s="30">
        <v>80</v>
      </c>
      <c r="S65" s="30">
        <v>0.4</v>
      </c>
      <c r="T65" s="70">
        <v>0.05</v>
      </c>
      <c r="U65" s="30">
        <v>0.05</v>
      </c>
    </row>
    <row r="66" spans="1:21" ht="10.8" thickBot="1" x14ac:dyDescent="0.25">
      <c r="A66" s="25" t="s">
        <v>162</v>
      </c>
      <c r="B66" s="25" t="s">
        <v>163</v>
      </c>
      <c r="C66" s="25" t="s">
        <v>164</v>
      </c>
      <c r="D66" s="25" t="s">
        <v>465</v>
      </c>
      <c r="E66" s="25" t="s">
        <v>466</v>
      </c>
      <c r="F66" s="25" t="s">
        <v>467</v>
      </c>
      <c r="G66" s="26" t="s">
        <v>468</v>
      </c>
      <c r="H66" s="27" t="s">
        <v>50</v>
      </c>
      <c r="I66" s="27" t="s">
        <v>146</v>
      </c>
      <c r="J66" s="28" t="s">
        <v>147</v>
      </c>
      <c r="K66" s="29">
        <v>1</v>
      </c>
      <c r="L66" s="29" t="s">
        <v>148</v>
      </c>
      <c r="M66" s="30">
        <v>2020</v>
      </c>
      <c r="N66" s="30" t="s">
        <v>37</v>
      </c>
      <c r="O66" s="31" t="s">
        <v>84</v>
      </c>
      <c r="P66" s="30" t="s">
        <v>38</v>
      </c>
      <c r="Q66" s="31" t="s">
        <v>38</v>
      </c>
      <c r="R66" s="30">
        <v>80</v>
      </c>
      <c r="S66" s="30">
        <v>0.8</v>
      </c>
      <c r="T66" s="72">
        <v>0.2</v>
      </c>
      <c r="U66" s="30">
        <v>0</v>
      </c>
    </row>
    <row r="67" spans="1:21" ht="10.8" thickBot="1" x14ac:dyDescent="0.25">
      <c r="A67" s="25" t="s">
        <v>34</v>
      </c>
      <c r="B67" s="25" t="s">
        <v>35</v>
      </c>
      <c r="C67" s="25" t="s">
        <v>39</v>
      </c>
      <c r="D67" s="25" t="s">
        <v>600</v>
      </c>
      <c r="E67" s="25" t="s">
        <v>473</v>
      </c>
      <c r="F67" s="25" t="s">
        <v>474</v>
      </c>
      <c r="G67" s="26" t="s">
        <v>169</v>
      </c>
      <c r="H67" s="27" t="s">
        <v>36</v>
      </c>
      <c r="I67" s="27" t="s">
        <v>162</v>
      </c>
      <c r="J67" s="28" t="s">
        <v>163</v>
      </c>
      <c r="K67" s="29">
        <v>0.5</v>
      </c>
      <c r="L67" s="29" t="s">
        <v>168</v>
      </c>
      <c r="M67" s="30">
        <v>2020</v>
      </c>
      <c r="N67" s="30" t="s">
        <v>37</v>
      </c>
      <c r="O67" s="31" t="s">
        <v>170</v>
      </c>
      <c r="P67" s="30" t="s">
        <v>38</v>
      </c>
      <c r="Q67" s="31" t="s">
        <v>38</v>
      </c>
      <c r="R67" s="30">
        <v>20</v>
      </c>
      <c r="S67" s="30">
        <v>0.1</v>
      </c>
      <c r="T67" s="72">
        <v>0.4</v>
      </c>
      <c r="U67" s="30">
        <v>0</v>
      </c>
    </row>
    <row r="68" spans="1:21" ht="10.8" thickBot="1" x14ac:dyDescent="0.25">
      <c r="A68" s="25" t="s">
        <v>34</v>
      </c>
      <c r="B68" s="25" t="s">
        <v>35</v>
      </c>
      <c r="C68" s="25" t="s">
        <v>39</v>
      </c>
      <c r="D68" s="25" t="s">
        <v>469</v>
      </c>
      <c r="E68" s="25" t="s">
        <v>470</v>
      </c>
      <c r="F68" s="25" t="s">
        <v>471</v>
      </c>
      <c r="G68" s="26" t="s">
        <v>219</v>
      </c>
      <c r="H68" s="27" t="s">
        <v>36</v>
      </c>
      <c r="I68" s="27" t="s">
        <v>220</v>
      </c>
      <c r="J68" s="28" t="s">
        <v>221</v>
      </c>
      <c r="K68" s="29">
        <v>0.5</v>
      </c>
      <c r="L68" s="29" t="s">
        <v>222</v>
      </c>
      <c r="M68" s="30">
        <v>2020</v>
      </c>
      <c r="N68" s="30" t="s">
        <v>37</v>
      </c>
      <c r="O68" s="31" t="s">
        <v>66</v>
      </c>
      <c r="P68" s="30" t="s">
        <v>56</v>
      </c>
      <c r="Q68" s="31" t="s">
        <v>127</v>
      </c>
      <c r="R68" s="30">
        <v>40</v>
      </c>
      <c r="S68" s="30">
        <v>0.2</v>
      </c>
      <c r="T68" s="70">
        <v>0.25</v>
      </c>
      <c r="U68" s="30">
        <v>0.05</v>
      </c>
    </row>
    <row r="69" spans="1:21" ht="10.8" thickBot="1" x14ac:dyDescent="0.25">
      <c r="A69" s="25" t="s">
        <v>34</v>
      </c>
      <c r="B69" s="25" t="s">
        <v>35</v>
      </c>
      <c r="C69" s="25" t="s">
        <v>39</v>
      </c>
      <c r="D69" s="25" t="s">
        <v>469</v>
      </c>
      <c r="E69" s="25" t="s">
        <v>470</v>
      </c>
      <c r="F69" s="25" t="s">
        <v>471</v>
      </c>
      <c r="G69" s="26" t="s">
        <v>114</v>
      </c>
      <c r="H69" s="27" t="s">
        <v>36</v>
      </c>
      <c r="I69" s="27" t="s">
        <v>115</v>
      </c>
      <c r="J69" s="28" t="s">
        <v>116</v>
      </c>
      <c r="K69" s="29">
        <v>0.5</v>
      </c>
      <c r="L69" s="29" t="s">
        <v>117</v>
      </c>
      <c r="M69" s="30">
        <v>2020</v>
      </c>
      <c r="N69" s="30" t="s">
        <v>37</v>
      </c>
      <c r="O69" s="31" t="s">
        <v>118</v>
      </c>
      <c r="P69" s="30" t="s">
        <v>38</v>
      </c>
      <c r="Q69" s="31" t="s">
        <v>38</v>
      </c>
      <c r="R69" s="30">
        <v>10</v>
      </c>
      <c r="S69" s="32">
        <v>0.05</v>
      </c>
      <c r="T69" s="70">
        <v>0.45</v>
      </c>
      <c r="U69" s="30">
        <v>0</v>
      </c>
    </row>
    <row r="70" spans="1:21" ht="10.8" thickBot="1" x14ac:dyDescent="0.25">
      <c r="A70" s="25" t="s">
        <v>34</v>
      </c>
      <c r="B70" s="25" t="s">
        <v>35</v>
      </c>
      <c r="C70" s="25" t="s">
        <v>39</v>
      </c>
      <c r="D70" s="25" t="s">
        <v>442</v>
      </c>
      <c r="E70" s="25" t="s">
        <v>443</v>
      </c>
      <c r="F70" s="25" t="s">
        <v>444</v>
      </c>
      <c r="G70" s="26" t="s">
        <v>472</v>
      </c>
      <c r="H70" s="27" t="s">
        <v>36</v>
      </c>
      <c r="I70" s="27" t="s">
        <v>162</v>
      </c>
      <c r="J70" s="28" t="s">
        <v>163</v>
      </c>
      <c r="K70" s="29">
        <v>0.33333333333333331</v>
      </c>
      <c r="L70" s="29" t="s">
        <v>168</v>
      </c>
      <c r="M70" s="30">
        <v>2020</v>
      </c>
      <c r="N70" s="30" t="s">
        <v>37</v>
      </c>
      <c r="O70" s="31" t="s">
        <v>127</v>
      </c>
      <c r="P70" s="30" t="s">
        <v>38</v>
      </c>
      <c r="Q70" s="31" t="s">
        <v>38</v>
      </c>
      <c r="R70" s="30">
        <v>90</v>
      </c>
      <c r="S70" s="30">
        <v>0.3</v>
      </c>
      <c r="T70" s="81">
        <v>3.3333333333333333E-2</v>
      </c>
      <c r="U70" s="30">
        <v>0</v>
      </c>
    </row>
    <row r="71" spans="1:21" ht="10.8" thickBot="1" x14ac:dyDescent="0.25">
      <c r="A71" s="25" t="s">
        <v>34</v>
      </c>
      <c r="B71" s="25" t="s">
        <v>35</v>
      </c>
      <c r="C71" s="25" t="s">
        <v>39</v>
      </c>
      <c r="D71" s="25" t="s">
        <v>445</v>
      </c>
      <c r="E71" s="25" t="s">
        <v>446</v>
      </c>
      <c r="F71" s="25" t="s">
        <v>447</v>
      </c>
      <c r="G71" s="26" t="s">
        <v>100</v>
      </c>
      <c r="H71" s="27" t="s">
        <v>36</v>
      </c>
      <c r="I71" s="27" t="s">
        <v>67</v>
      </c>
      <c r="J71" s="28" t="s">
        <v>68</v>
      </c>
      <c r="K71" s="29">
        <v>0.5</v>
      </c>
      <c r="L71" s="29" t="s">
        <v>83</v>
      </c>
      <c r="M71" s="30">
        <v>2020</v>
      </c>
      <c r="N71" s="30" t="s">
        <v>37</v>
      </c>
      <c r="O71" s="31" t="s">
        <v>101</v>
      </c>
      <c r="P71" s="30" t="s">
        <v>38</v>
      </c>
      <c r="Q71" s="31" t="s">
        <v>38</v>
      </c>
      <c r="R71" s="30">
        <v>40</v>
      </c>
      <c r="S71" s="30">
        <v>0.2</v>
      </c>
      <c r="T71" s="72">
        <v>0.3</v>
      </c>
      <c r="U71" s="30">
        <v>0</v>
      </c>
    </row>
    <row r="72" spans="1:21" ht="10.8" thickBot="1" x14ac:dyDescent="0.25">
      <c r="A72" s="25" t="s">
        <v>34</v>
      </c>
      <c r="B72" s="25" t="s">
        <v>35</v>
      </c>
      <c r="C72" s="25" t="s">
        <v>39</v>
      </c>
      <c r="D72" s="25" t="s">
        <v>449</v>
      </c>
      <c r="E72" s="25" t="s">
        <v>450</v>
      </c>
      <c r="F72" s="25" t="s">
        <v>451</v>
      </c>
      <c r="G72" s="26" t="s">
        <v>114</v>
      </c>
      <c r="H72" s="27" t="s">
        <v>36</v>
      </c>
      <c r="I72" s="27" t="s">
        <v>115</v>
      </c>
      <c r="J72" s="28" t="s">
        <v>116</v>
      </c>
      <c r="K72" s="29">
        <v>0.5</v>
      </c>
      <c r="L72" s="29" t="s">
        <v>117</v>
      </c>
      <c r="M72" s="30">
        <v>2020</v>
      </c>
      <c r="N72" s="30" t="s">
        <v>37</v>
      </c>
      <c r="O72" s="31" t="s">
        <v>118</v>
      </c>
      <c r="P72" s="30" t="s">
        <v>38</v>
      </c>
      <c r="Q72" s="31" t="s">
        <v>38</v>
      </c>
      <c r="R72" s="30">
        <v>10</v>
      </c>
      <c r="S72" s="32">
        <v>0.05</v>
      </c>
      <c r="T72" s="72">
        <v>0.45</v>
      </c>
      <c r="U72" s="30">
        <v>0</v>
      </c>
    </row>
    <row r="73" spans="1:21" ht="10.8" thickBot="1" x14ac:dyDescent="0.25">
      <c r="A73" s="25" t="s">
        <v>34</v>
      </c>
      <c r="B73" s="25" t="s">
        <v>35</v>
      </c>
      <c r="C73" s="25" t="s">
        <v>39</v>
      </c>
      <c r="D73" s="25" t="s">
        <v>452</v>
      </c>
      <c r="E73" s="25" t="s">
        <v>453</v>
      </c>
      <c r="F73" s="25" t="s">
        <v>448</v>
      </c>
      <c r="G73" s="26" t="s">
        <v>100</v>
      </c>
      <c r="H73" s="27" t="s">
        <v>36</v>
      </c>
      <c r="I73" s="27" t="s">
        <v>67</v>
      </c>
      <c r="J73" s="28" t="s">
        <v>68</v>
      </c>
      <c r="K73" s="29">
        <v>0.5</v>
      </c>
      <c r="L73" s="29" t="s">
        <v>83</v>
      </c>
      <c r="M73" s="30">
        <v>2020</v>
      </c>
      <c r="N73" s="30" t="s">
        <v>37</v>
      </c>
      <c r="O73" s="31" t="s">
        <v>101</v>
      </c>
      <c r="P73" s="30" t="s">
        <v>38</v>
      </c>
      <c r="Q73" s="31" t="s">
        <v>38</v>
      </c>
      <c r="R73" s="30">
        <v>40</v>
      </c>
      <c r="S73" s="30">
        <v>0.2</v>
      </c>
      <c r="T73" s="72">
        <v>0.3</v>
      </c>
      <c r="U73" s="30">
        <v>0</v>
      </c>
    </row>
    <row r="74" spans="1:21" ht="10.8" thickBot="1" x14ac:dyDescent="0.25">
      <c r="A74" s="25" t="s">
        <v>129</v>
      </c>
      <c r="B74" s="25" t="s">
        <v>130</v>
      </c>
      <c r="C74" s="25" t="s">
        <v>131</v>
      </c>
      <c r="D74" s="25" t="s">
        <v>475</v>
      </c>
      <c r="E74" s="25" t="s">
        <v>476</v>
      </c>
      <c r="F74" s="25" t="s">
        <v>477</v>
      </c>
      <c r="G74" s="26" t="s">
        <v>135</v>
      </c>
      <c r="H74" s="27" t="s">
        <v>36</v>
      </c>
      <c r="I74" s="27" t="s">
        <v>136</v>
      </c>
      <c r="J74" s="28" t="s">
        <v>137</v>
      </c>
      <c r="K74" s="29">
        <v>0.5</v>
      </c>
      <c r="L74" s="29" t="s">
        <v>138</v>
      </c>
      <c r="M74" s="30">
        <v>2020</v>
      </c>
      <c r="N74" s="30" t="s">
        <v>37</v>
      </c>
      <c r="O74" s="31" t="s">
        <v>127</v>
      </c>
      <c r="P74" s="30" t="s">
        <v>38</v>
      </c>
      <c r="Q74" s="31" t="s">
        <v>38</v>
      </c>
      <c r="R74" s="30">
        <v>90</v>
      </c>
      <c r="S74" s="32">
        <v>0.45</v>
      </c>
      <c r="T74" s="70">
        <v>0.05</v>
      </c>
      <c r="U74" s="30">
        <v>0</v>
      </c>
    </row>
    <row r="75" spans="1:21" ht="10.8" thickBot="1" x14ac:dyDescent="0.25">
      <c r="A75" s="25" t="s">
        <v>69</v>
      </c>
      <c r="B75" s="25" t="s">
        <v>70</v>
      </c>
      <c r="C75" s="25" t="s">
        <v>71</v>
      </c>
      <c r="D75" s="25" t="s">
        <v>601</v>
      </c>
      <c r="E75" s="25" t="s">
        <v>602</v>
      </c>
      <c r="F75" s="25" t="s">
        <v>603</v>
      </c>
      <c r="G75" s="26" t="s">
        <v>604</v>
      </c>
      <c r="H75" s="27" t="s">
        <v>50</v>
      </c>
      <c r="I75" s="27" t="s">
        <v>67</v>
      </c>
      <c r="J75" s="28" t="s">
        <v>68</v>
      </c>
      <c r="K75" s="29">
        <v>1</v>
      </c>
      <c r="L75" s="29" t="s">
        <v>83</v>
      </c>
      <c r="M75" s="30">
        <v>2020</v>
      </c>
      <c r="N75" s="30" t="s">
        <v>37</v>
      </c>
      <c r="O75" s="31" t="s">
        <v>234</v>
      </c>
      <c r="P75" s="30" t="s">
        <v>38</v>
      </c>
      <c r="Q75" s="31" t="s">
        <v>38</v>
      </c>
      <c r="R75" s="30">
        <v>70</v>
      </c>
      <c r="S75" s="30">
        <v>0.7</v>
      </c>
      <c r="T75" s="72">
        <v>0.3</v>
      </c>
      <c r="U75" s="30">
        <v>0</v>
      </c>
    </row>
    <row r="76" spans="1:21" ht="10.8" thickBot="1" x14ac:dyDescent="0.25">
      <c r="A76" s="25" t="s">
        <v>478</v>
      </c>
      <c r="B76" s="25" t="s">
        <v>479</v>
      </c>
      <c r="C76" s="25" t="s">
        <v>480</v>
      </c>
      <c r="D76" s="25" t="s">
        <v>481</v>
      </c>
      <c r="E76" s="25" t="s">
        <v>482</v>
      </c>
      <c r="F76" s="25" t="s">
        <v>483</v>
      </c>
      <c r="G76" s="26" t="s">
        <v>484</v>
      </c>
      <c r="H76" s="27" t="s">
        <v>36</v>
      </c>
      <c r="I76" s="27" t="s">
        <v>124</v>
      </c>
      <c r="J76" s="28" t="s">
        <v>125</v>
      </c>
      <c r="K76" s="29">
        <v>0.5</v>
      </c>
      <c r="L76" s="29" t="s">
        <v>126</v>
      </c>
      <c r="M76" s="30">
        <v>2020</v>
      </c>
      <c r="N76" s="30" t="s">
        <v>37</v>
      </c>
      <c r="O76" s="31" t="s">
        <v>84</v>
      </c>
      <c r="P76" s="30" t="s">
        <v>38</v>
      </c>
      <c r="Q76" s="31" t="s">
        <v>38</v>
      </c>
      <c r="R76" s="30">
        <v>80</v>
      </c>
      <c r="S76" s="30">
        <v>0.4</v>
      </c>
      <c r="T76" s="72">
        <v>0.1</v>
      </c>
      <c r="U76" s="30">
        <v>0</v>
      </c>
    </row>
    <row r="77" spans="1:21" x14ac:dyDescent="0.2">
      <c r="A77" s="30" t="s">
        <v>204</v>
      </c>
      <c r="B77" s="30" t="s">
        <v>205</v>
      </c>
      <c r="C77" s="30" t="s">
        <v>208</v>
      </c>
      <c r="D77" s="30" t="s">
        <v>605</v>
      </c>
      <c r="E77" s="30" t="s">
        <v>606</v>
      </c>
      <c r="F77" s="30" t="s">
        <v>607</v>
      </c>
      <c r="G77" s="30" t="s">
        <v>203</v>
      </c>
      <c r="H77" s="30" t="s">
        <v>50</v>
      </c>
      <c r="I77" s="30" t="s">
        <v>204</v>
      </c>
      <c r="J77" s="30" t="s">
        <v>205</v>
      </c>
      <c r="K77" s="29">
        <v>1</v>
      </c>
      <c r="L77" s="29" t="s">
        <v>206</v>
      </c>
      <c r="M77" s="30">
        <v>2021</v>
      </c>
      <c r="N77" s="30" t="s">
        <v>37</v>
      </c>
      <c r="O77" s="31" t="s">
        <v>127</v>
      </c>
      <c r="P77" s="30" t="s">
        <v>38</v>
      </c>
      <c r="Q77" s="31" t="s">
        <v>38</v>
      </c>
      <c r="R77" s="30">
        <v>90</v>
      </c>
      <c r="S77" s="30">
        <v>0.9</v>
      </c>
      <c r="T77" s="72">
        <v>0.1</v>
      </c>
      <c r="U77" s="30">
        <v>0</v>
      </c>
    </row>
    <row r="78" spans="1:21" x14ac:dyDescent="0.2">
      <c r="A78" s="30" t="s">
        <v>204</v>
      </c>
      <c r="B78" s="30" t="s">
        <v>205</v>
      </c>
      <c r="C78" s="30" t="s">
        <v>208</v>
      </c>
      <c r="D78" s="30" t="s">
        <v>608</v>
      </c>
      <c r="E78" s="30" t="s">
        <v>609</v>
      </c>
      <c r="F78" s="30" t="s">
        <v>610</v>
      </c>
      <c r="G78" s="30" t="s">
        <v>209</v>
      </c>
      <c r="H78" s="30" t="s">
        <v>36</v>
      </c>
      <c r="I78" s="30" t="s">
        <v>204</v>
      </c>
      <c r="J78" s="30" t="s">
        <v>205</v>
      </c>
      <c r="K78" s="29">
        <v>0.5</v>
      </c>
      <c r="L78" s="29" t="s">
        <v>206</v>
      </c>
      <c r="M78" s="30">
        <v>2021</v>
      </c>
      <c r="N78" s="30" t="s">
        <v>37</v>
      </c>
      <c r="O78" s="31" t="s">
        <v>127</v>
      </c>
      <c r="P78" s="30" t="s">
        <v>52</v>
      </c>
      <c r="Q78" s="31" t="s">
        <v>127</v>
      </c>
      <c r="R78" s="30">
        <v>80</v>
      </c>
      <c r="S78" s="30">
        <v>0.4</v>
      </c>
      <c r="T78" s="72">
        <v>0.05</v>
      </c>
      <c r="U78" s="30">
        <v>0.05</v>
      </c>
    </row>
    <row r="79" spans="1:21" x14ac:dyDescent="0.2">
      <c r="A79" s="30" t="s">
        <v>34</v>
      </c>
      <c r="B79" s="30" t="s">
        <v>35</v>
      </c>
      <c r="C79" s="30" t="s">
        <v>39</v>
      </c>
      <c r="D79" s="30" t="s">
        <v>611</v>
      </c>
      <c r="E79" s="30" t="s">
        <v>612</v>
      </c>
      <c r="F79" s="30" t="s">
        <v>607</v>
      </c>
      <c r="G79" s="30" t="s">
        <v>145</v>
      </c>
      <c r="H79" s="30" t="s">
        <v>36</v>
      </c>
      <c r="I79" s="30" t="s">
        <v>146</v>
      </c>
      <c r="J79" s="30" t="s">
        <v>147</v>
      </c>
      <c r="K79" s="29">
        <v>0.5</v>
      </c>
      <c r="L79" s="29" t="s">
        <v>148</v>
      </c>
      <c r="M79" s="30">
        <v>2021</v>
      </c>
      <c r="N79" s="30" t="s">
        <v>37</v>
      </c>
      <c r="O79" s="31" t="s">
        <v>84</v>
      </c>
      <c r="P79" s="30" t="s">
        <v>438</v>
      </c>
      <c r="Q79" s="31" t="s">
        <v>127</v>
      </c>
      <c r="R79" s="30">
        <v>70</v>
      </c>
      <c r="S79" s="32">
        <v>0.35</v>
      </c>
      <c r="T79" s="72">
        <v>0.1</v>
      </c>
      <c r="U79" s="30">
        <v>0.05</v>
      </c>
    </row>
    <row r="80" spans="1:21" x14ac:dyDescent="0.2">
      <c r="A80" s="30" t="s">
        <v>34</v>
      </c>
      <c r="B80" s="30" t="s">
        <v>35</v>
      </c>
      <c r="C80" s="30" t="s">
        <v>39</v>
      </c>
      <c r="D80" s="30" t="s">
        <v>613</v>
      </c>
      <c r="E80" s="30" t="s">
        <v>614</v>
      </c>
      <c r="F80" s="30" t="s">
        <v>615</v>
      </c>
      <c r="G80" s="30" t="s">
        <v>183</v>
      </c>
      <c r="H80" s="30" t="s">
        <v>36</v>
      </c>
      <c r="I80" s="30" t="s">
        <v>616</v>
      </c>
      <c r="J80" s="30" t="s">
        <v>617</v>
      </c>
      <c r="K80" s="29">
        <v>0.5</v>
      </c>
      <c r="L80" s="29" t="s">
        <v>186</v>
      </c>
      <c r="M80" s="30">
        <v>2021</v>
      </c>
      <c r="N80" s="30" t="s">
        <v>37</v>
      </c>
      <c r="O80" s="31" t="s">
        <v>66</v>
      </c>
      <c r="P80" s="30" t="s">
        <v>38</v>
      </c>
      <c r="Q80" s="31" t="s">
        <v>38</v>
      </c>
      <c r="R80" s="30">
        <v>50</v>
      </c>
      <c r="S80" s="32">
        <v>0.25</v>
      </c>
      <c r="T80" s="70">
        <v>0.25</v>
      </c>
      <c r="U80" s="30">
        <v>0</v>
      </c>
    </row>
    <row r="81" spans="1:21" x14ac:dyDescent="0.2">
      <c r="A81" s="30" t="s">
        <v>34</v>
      </c>
      <c r="B81" s="30" t="s">
        <v>35</v>
      </c>
      <c r="C81" s="30" t="s">
        <v>39</v>
      </c>
      <c r="D81" s="30" t="s">
        <v>613</v>
      </c>
      <c r="E81" s="30" t="s">
        <v>614</v>
      </c>
      <c r="F81" s="30" t="s">
        <v>615</v>
      </c>
      <c r="G81" s="30" t="s">
        <v>246</v>
      </c>
      <c r="H81" s="30" t="s">
        <v>36</v>
      </c>
      <c r="I81" s="30" t="s">
        <v>189</v>
      </c>
      <c r="J81" s="30" t="s">
        <v>190</v>
      </c>
      <c r="K81" s="29">
        <v>0.5</v>
      </c>
      <c r="L81" s="29" t="s">
        <v>191</v>
      </c>
      <c r="M81" s="30">
        <v>2021</v>
      </c>
      <c r="N81" s="30" t="s">
        <v>37</v>
      </c>
      <c r="O81" s="31" t="s">
        <v>247</v>
      </c>
      <c r="P81" s="30" t="s">
        <v>49</v>
      </c>
      <c r="Q81" s="31" t="s">
        <v>247</v>
      </c>
      <c r="R81" s="30">
        <v>10</v>
      </c>
      <c r="S81" s="32">
        <v>0.05</v>
      </c>
      <c r="T81" s="70">
        <v>0.22500000000000001</v>
      </c>
      <c r="U81" s="30">
        <v>0.22500000000000001</v>
      </c>
    </row>
    <row r="82" spans="1:21" x14ac:dyDescent="0.2">
      <c r="A82" s="30" t="s">
        <v>34</v>
      </c>
      <c r="B82" s="30" t="s">
        <v>35</v>
      </c>
      <c r="C82" s="30" t="s">
        <v>39</v>
      </c>
      <c r="D82" s="30" t="s">
        <v>618</v>
      </c>
      <c r="E82" s="30" t="s">
        <v>619</v>
      </c>
      <c r="F82" s="30" t="s">
        <v>620</v>
      </c>
      <c r="G82" s="30" t="s">
        <v>219</v>
      </c>
      <c r="H82" s="30" t="s">
        <v>36</v>
      </c>
      <c r="I82" s="30" t="s">
        <v>220</v>
      </c>
      <c r="J82" s="30" t="s">
        <v>221</v>
      </c>
      <c r="K82" s="29">
        <v>0.5</v>
      </c>
      <c r="L82" s="29" t="s">
        <v>222</v>
      </c>
      <c r="M82" s="30">
        <v>2021</v>
      </c>
      <c r="N82" s="30" t="s">
        <v>37</v>
      </c>
      <c r="O82" s="31" t="s">
        <v>66</v>
      </c>
      <c r="P82" s="30" t="s">
        <v>56</v>
      </c>
      <c r="Q82" s="31" t="s">
        <v>127</v>
      </c>
      <c r="R82" s="30">
        <v>40</v>
      </c>
      <c r="S82" s="30">
        <v>0.2</v>
      </c>
      <c r="T82" s="70">
        <v>0.25</v>
      </c>
      <c r="U82" s="30">
        <v>0.05</v>
      </c>
    </row>
    <row r="83" spans="1:21" x14ac:dyDescent="0.2">
      <c r="A83" s="30" t="s">
        <v>34</v>
      </c>
      <c r="B83" s="30" t="s">
        <v>35</v>
      </c>
      <c r="C83" s="30" t="s">
        <v>39</v>
      </c>
      <c r="D83" s="30" t="s">
        <v>621</v>
      </c>
      <c r="E83" s="30" t="s">
        <v>622</v>
      </c>
      <c r="F83" s="30" t="s">
        <v>623</v>
      </c>
      <c r="G83" s="30" t="s">
        <v>209</v>
      </c>
      <c r="H83" s="30" t="s">
        <v>50</v>
      </c>
      <c r="I83" s="30" t="s">
        <v>204</v>
      </c>
      <c r="J83" s="30" t="s">
        <v>205</v>
      </c>
      <c r="K83" s="29">
        <v>1</v>
      </c>
      <c r="L83" s="29" t="s">
        <v>206</v>
      </c>
      <c r="M83" s="30">
        <v>2021</v>
      </c>
      <c r="N83" s="30" t="s">
        <v>37</v>
      </c>
      <c r="O83" s="31" t="s">
        <v>127</v>
      </c>
      <c r="P83" s="30" t="s">
        <v>52</v>
      </c>
      <c r="Q83" s="31" t="s">
        <v>127</v>
      </c>
      <c r="R83" s="30">
        <v>80</v>
      </c>
      <c r="S83" s="30">
        <v>0.8</v>
      </c>
      <c r="T83" s="72">
        <v>0.1</v>
      </c>
      <c r="U83" s="30">
        <v>0.1</v>
      </c>
    </row>
    <row r="84" spans="1:21" x14ac:dyDescent="0.2">
      <c r="A84" s="30" t="s">
        <v>69</v>
      </c>
      <c r="B84" s="30" t="s">
        <v>70</v>
      </c>
      <c r="C84" s="30" t="s">
        <v>71</v>
      </c>
      <c r="D84" s="30" t="s">
        <v>624</v>
      </c>
      <c r="E84" s="30" t="s">
        <v>625</v>
      </c>
      <c r="F84" s="30" t="s">
        <v>626</v>
      </c>
      <c r="G84" s="30" t="s">
        <v>604</v>
      </c>
      <c r="H84" s="30" t="s">
        <v>36</v>
      </c>
      <c r="I84" s="30" t="s">
        <v>67</v>
      </c>
      <c r="J84" s="30" t="s">
        <v>68</v>
      </c>
      <c r="K84" s="29">
        <v>0.5</v>
      </c>
      <c r="L84" s="29" t="s">
        <v>83</v>
      </c>
      <c r="M84" s="30">
        <v>2021</v>
      </c>
      <c r="N84" s="30" t="s">
        <v>37</v>
      </c>
      <c r="O84" s="31" t="s">
        <v>234</v>
      </c>
      <c r="P84" s="30" t="s">
        <v>38</v>
      </c>
      <c r="Q84" s="31" t="s">
        <v>38</v>
      </c>
      <c r="R84" s="30">
        <v>70</v>
      </c>
      <c r="S84" s="32">
        <v>0.35</v>
      </c>
      <c r="T84" s="70">
        <v>0.15</v>
      </c>
      <c r="U84" s="30">
        <v>0</v>
      </c>
    </row>
    <row r="85" spans="1:21" x14ac:dyDescent="0.2">
      <c r="A85" s="30" t="s">
        <v>69</v>
      </c>
      <c r="B85" s="30" t="s">
        <v>70</v>
      </c>
      <c r="C85" s="30" t="s">
        <v>71</v>
      </c>
      <c r="D85" s="30" t="s">
        <v>627</v>
      </c>
      <c r="E85" s="30" t="s">
        <v>628</v>
      </c>
      <c r="F85" s="30" t="s">
        <v>629</v>
      </c>
      <c r="G85" s="30" t="s">
        <v>604</v>
      </c>
      <c r="H85" s="30" t="s">
        <v>50</v>
      </c>
      <c r="I85" s="30" t="s">
        <v>67</v>
      </c>
      <c r="J85" s="30" t="s">
        <v>68</v>
      </c>
      <c r="K85" s="29">
        <v>1</v>
      </c>
      <c r="L85" s="29" t="s">
        <v>83</v>
      </c>
      <c r="M85" s="30">
        <v>2021</v>
      </c>
      <c r="N85" s="30" t="s">
        <v>37</v>
      </c>
      <c r="O85" s="31" t="s">
        <v>234</v>
      </c>
      <c r="P85" s="30" t="s">
        <v>38</v>
      </c>
      <c r="Q85" s="31" t="s">
        <v>38</v>
      </c>
      <c r="R85" s="30">
        <v>70</v>
      </c>
      <c r="S85" s="30">
        <v>0.7</v>
      </c>
      <c r="T85" s="72">
        <v>0.3</v>
      </c>
      <c r="U85" s="30">
        <v>0</v>
      </c>
    </row>
    <row r="86" spans="1:21" x14ac:dyDescent="0.2">
      <c r="A86" s="30" t="s">
        <v>223</v>
      </c>
      <c r="B86" s="30" t="s">
        <v>224</v>
      </c>
      <c r="C86" s="30" t="s">
        <v>225</v>
      </c>
      <c r="D86" s="30" t="s">
        <v>630</v>
      </c>
      <c r="E86" s="30" t="s">
        <v>631</v>
      </c>
      <c r="F86" s="30" t="s">
        <v>632</v>
      </c>
      <c r="G86" s="30" t="s">
        <v>460</v>
      </c>
      <c r="H86" s="30" t="s">
        <v>36</v>
      </c>
      <c r="I86" s="30" t="s">
        <v>220</v>
      </c>
      <c r="J86" s="30" t="s">
        <v>221</v>
      </c>
      <c r="K86" s="29">
        <v>0.5</v>
      </c>
      <c r="L86" s="29" t="s">
        <v>222</v>
      </c>
      <c r="M86" s="30">
        <v>2021</v>
      </c>
      <c r="N86" s="30" t="s">
        <v>37</v>
      </c>
      <c r="O86" s="31" t="s">
        <v>84</v>
      </c>
      <c r="P86" s="30" t="s">
        <v>56</v>
      </c>
      <c r="Q86" s="31" t="s">
        <v>127</v>
      </c>
      <c r="R86" s="30">
        <v>70</v>
      </c>
      <c r="S86" s="32">
        <v>0.35</v>
      </c>
      <c r="T86" s="72">
        <v>0.1</v>
      </c>
      <c r="U86" s="30">
        <v>0.05</v>
      </c>
    </row>
    <row r="87" spans="1:21" x14ac:dyDescent="0.2">
      <c r="A87" s="30" t="s">
        <v>223</v>
      </c>
      <c r="B87" s="30" t="s">
        <v>224</v>
      </c>
      <c r="C87" s="30" t="s">
        <v>225</v>
      </c>
      <c r="D87" s="30" t="s">
        <v>630</v>
      </c>
      <c r="E87" s="30" t="s">
        <v>631</v>
      </c>
      <c r="F87" s="30" t="s">
        <v>632</v>
      </c>
      <c r="G87" s="30" t="s">
        <v>219</v>
      </c>
      <c r="H87" s="30" t="s">
        <v>36</v>
      </c>
      <c r="I87" s="30" t="s">
        <v>220</v>
      </c>
      <c r="J87" s="30" t="s">
        <v>221</v>
      </c>
      <c r="K87" s="29">
        <v>0.5</v>
      </c>
      <c r="L87" s="29" t="s">
        <v>222</v>
      </c>
      <c r="M87" s="30">
        <v>2021</v>
      </c>
      <c r="N87" s="30" t="s">
        <v>37</v>
      </c>
      <c r="O87" s="31" t="s">
        <v>66</v>
      </c>
      <c r="P87" s="30" t="s">
        <v>56</v>
      </c>
      <c r="Q87" s="31" t="s">
        <v>127</v>
      </c>
      <c r="R87" s="30">
        <v>40</v>
      </c>
      <c r="S87" s="30">
        <v>0.2</v>
      </c>
      <c r="T87" s="70">
        <v>0.25</v>
      </c>
      <c r="U87" s="30">
        <v>0.05</v>
      </c>
    </row>
    <row r="88" spans="1:21" x14ac:dyDescent="0.2">
      <c r="A88" s="30" t="s">
        <v>204</v>
      </c>
      <c r="B88" s="30" t="s">
        <v>205</v>
      </c>
      <c r="C88" s="30" t="s">
        <v>208</v>
      </c>
      <c r="D88" s="30" t="s">
        <v>261</v>
      </c>
      <c r="E88" s="30" t="s">
        <v>262</v>
      </c>
      <c r="F88" s="30" t="s">
        <v>257</v>
      </c>
      <c r="G88" s="30" t="s">
        <v>209</v>
      </c>
      <c r="H88" s="30" t="s">
        <v>36</v>
      </c>
      <c r="I88" s="30" t="s">
        <v>204</v>
      </c>
      <c r="J88" s="30" t="s">
        <v>205</v>
      </c>
      <c r="K88" s="32">
        <v>0.5</v>
      </c>
      <c r="L88" s="30" t="s">
        <v>206</v>
      </c>
      <c r="M88" s="30">
        <v>2016</v>
      </c>
      <c r="N88" s="30" t="s">
        <v>52</v>
      </c>
      <c r="O88" s="31" t="s">
        <v>127</v>
      </c>
      <c r="P88" s="30" t="s">
        <v>37</v>
      </c>
      <c r="Q88" s="31" t="s">
        <v>127</v>
      </c>
      <c r="R88" s="33">
        <v>80</v>
      </c>
      <c r="S88" s="32">
        <v>0.4</v>
      </c>
      <c r="T88" s="32">
        <v>0.05</v>
      </c>
      <c r="U88" s="70">
        <v>0.05</v>
      </c>
    </row>
    <row r="89" spans="1:21" x14ac:dyDescent="0.2">
      <c r="A89" s="30" t="s">
        <v>204</v>
      </c>
      <c r="B89" s="30" t="s">
        <v>205</v>
      </c>
      <c r="C89" s="30" t="s">
        <v>208</v>
      </c>
      <c r="D89" s="30" t="s">
        <v>258</v>
      </c>
      <c r="E89" s="30" t="s">
        <v>259</v>
      </c>
      <c r="F89" s="30" t="s">
        <v>260</v>
      </c>
      <c r="G89" s="30" t="s">
        <v>209</v>
      </c>
      <c r="H89" s="30" t="s">
        <v>36</v>
      </c>
      <c r="I89" s="30" t="s">
        <v>204</v>
      </c>
      <c r="J89" s="30" t="s">
        <v>205</v>
      </c>
      <c r="K89" s="32">
        <v>0.5</v>
      </c>
      <c r="L89" s="30" t="s">
        <v>206</v>
      </c>
      <c r="M89" s="30">
        <v>2016</v>
      </c>
      <c r="N89" s="30" t="s">
        <v>52</v>
      </c>
      <c r="O89" s="31" t="s">
        <v>127</v>
      </c>
      <c r="P89" s="30" t="s">
        <v>37</v>
      </c>
      <c r="Q89" s="31" t="s">
        <v>127</v>
      </c>
      <c r="R89" s="33">
        <v>80</v>
      </c>
      <c r="S89" s="32">
        <v>0.4</v>
      </c>
      <c r="T89" s="32">
        <v>0.05</v>
      </c>
      <c r="U89" s="70">
        <v>0.05</v>
      </c>
    </row>
    <row r="90" spans="1:21" x14ac:dyDescent="0.2">
      <c r="A90" s="30" t="s">
        <v>34</v>
      </c>
      <c r="B90" s="30" t="s">
        <v>35</v>
      </c>
      <c r="C90" s="30" t="s">
        <v>39</v>
      </c>
      <c r="D90" s="30" t="s">
        <v>180</v>
      </c>
      <c r="E90" s="30" t="s">
        <v>181</v>
      </c>
      <c r="F90" s="30" t="s">
        <v>182</v>
      </c>
      <c r="G90" s="30" t="s">
        <v>246</v>
      </c>
      <c r="H90" s="30" t="s">
        <v>36</v>
      </c>
      <c r="I90" s="30" t="s">
        <v>189</v>
      </c>
      <c r="J90" s="30" t="s">
        <v>190</v>
      </c>
      <c r="K90" s="32">
        <v>0.5</v>
      </c>
      <c r="L90" s="30" t="s">
        <v>191</v>
      </c>
      <c r="M90" s="30">
        <v>2016</v>
      </c>
      <c r="N90" s="30" t="s">
        <v>49</v>
      </c>
      <c r="O90" s="31" t="s">
        <v>247</v>
      </c>
      <c r="P90" s="30" t="s">
        <v>37</v>
      </c>
      <c r="Q90" s="31" t="s">
        <v>247</v>
      </c>
      <c r="R90" s="33">
        <v>10</v>
      </c>
      <c r="S90" s="32">
        <v>0.05</v>
      </c>
      <c r="T90" s="32">
        <v>0.22500000000000001</v>
      </c>
      <c r="U90" s="70">
        <v>0.22500000000000001</v>
      </c>
    </row>
    <row r="91" spans="1:21" x14ac:dyDescent="0.2">
      <c r="A91" s="30" t="s">
        <v>223</v>
      </c>
      <c r="B91" s="30" t="s">
        <v>224</v>
      </c>
      <c r="C91" s="30" t="s">
        <v>225</v>
      </c>
      <c r="D91" s="30" t="s">
        <v>263</v>
      </c>
      <c r="E91" s="30" t="s">
        <v>264</v>
      </c>
      <c r="F91" s="30" t="s">
        <v>113</v>
      </c>
      <c r="G91" s="30" t="s">
        <v>233</v>
      </c>
      <c r="H91" s="30" t="s">
        <v>50</v>
      </c>
      <c r="I91" s="30" t="s">
        <v>115</v>
      </c>
      <c r="J91" s="30" t="s">
        <v>116</v>
      </c>
      <c r="K91" s="32">
        <v>1</v>
      </c>
      <c r="L91" s="30" t="s">
        <v>117</v>
      </c>
      <c r="M91" s="30">
        <v>2016</v>
      </c>
      <c r="N91" s="30" t="s">
        <v>61</v>
      </c>
      <c r="O91" s="31" t="s">
        <v>234</v>
      </c>
      <c r="P91" s="30" t="s">
        <v>37</v>
      </c>
      <c r="Q91" s="31" t="s">
        <v>84</v>
      </c>
      <c r="R91" s="33">
        <v>50</v>
      </c>
      <c r="S91" s="32">
        <v>0.5</v>
      </c>
      <c r="T91" s="32">
        <v>0.3</v>
      </c>
      <c r="U91" s="70">
        <v>0.2</v>
      </c>
    </row>
    <row r="92" spans="1:21" x14ac:dyDescent="0.2">
      <c r="A92" s="30" t="s">
        <v>46</v>
      </c>
      <c r="B92" s="30" t="s">
        <v>47</v>
      </c>
      <c r="C92" s="30" t="s">
        <v>48</v>
      </c>
      <c r="D92" s="30" t="s">
        <v>243</v>
      </c>
      <c r="E92" s="30" t="s">
        <v>244</v>
      </c>
      <c r="F92" s="30" t="s">
        <v>245</v>
      </c>
      <c r="G92" s="30" t="s">
        <v>202</v>
      </c>
      <c r="H92" s="30" t="s">
        <v>36</v>
      </c>
      <c r="I92" s="30" t="s">
        <v>189</v>
      </c>
      <c r="J92" s="30" t="s">
        <v>190</v>
      </c>
      <c r="K92" s="32">
        <v>0.5</v>
      </c>
      <c r="L92" s="30" t="s">
        <v>191</v>
      </c>
      <c r="M92" s="30">
        <v>2016</v>
      </c>
      <c r="N92" s="30" t="s">
        <v>49</v>
      </c>
      <c r="O92" s="31" t="s">
        <v>170</v>
      </c>
      <c r="P92" s="30" t="s">
        <v>37</v>
      </c>
      <c r="Q92" s="31" t="s">
        <v>127</v>
      </c>
      <c r="R92" s="33">
        <v>10</v>
      </c>
      <c r="S92" s="32">
        <v>0.05</v>
      </c>
      <c r="T92" s="32">
        <v>0.4</v>
      </c>
      <c r="U92" s="70">
        <v>0.05</v>
      </c>
    </row>
    <row r="93" spans="1:21" x14ac:dyDescent="0.2">
      <c r="A93" s="30" t="s">
        <v>46</v>
      </c>
      <c r="B93" s="30" t="s">
        <v>47</v>
      </c>
      <c r="C93" s="30" t="s">
        <v>48</v>
      </c>
      <c r="D93" s="30" t="s">
        <v>248</v>
      </c>
      <c r="E93" s="30" t="s">
        <v>249</v>
      </c>
      <c r="F93" s="30" t="s">
        <v>250</v>
      </c>
      <c r="G93" s="30" t="s">
        <v>192</v>
      </c>
      <c r="H93" s="30" t="s">
        <v>50</v>
      </c>
      <c r="I93" s="30" t="s">
        <v>189</v>
      </c>
      <c r="J93" s="30" t="s">
        <v>190</v>
      </c>
      <c r="K93" s="32">
        <v>1</v>
      </c>
      <c r="L93" s="30" t="s">
        <v>191</v>
      </c>
      <c r="M93" s="30">
        <v>2016</v>
      </c>
      <c r="N93" s="30" t="s">
        <v>49</v>
      </c>
      <c r="O93" s="31" t="s">
        <v>194</v>
      </c>
      <c r="P93" s="30" t="s">
        <v>37</v>
      </c>
      <c r="Q93" s="31" t="s">
        <v>193</v>
      </c>
      <c r="R93" s="33">
        <v>10</v>
      </c>
      <c r="S93" s="32">
        <v>0.1</v>
      </c>
      <c r="T93" s="32">
        <v>0.75</v>
      </c>
      <c r="U93" s="70">
        <v>0.15</v>
      </c>
    </row>
    <row r="94" spans="1:21" x14ac:dyDescent="0.2">
      <c r="A94" s="30" t="s">
        <v>46</v>
      </c>
      <c r="B94" s="30" t="s">
        <v>47</v>
      </c>
      <c r="C94" s="30" t="s">
        <v>48</v>
      </c>
      <c r="D94" s="30" t="s">
        <v>251</v>
      </c>
      <c r="E94" s="30" t="s">
        <v>252</v>
      </c>
      <c r="F94" s="30" t="s">
        <v>253</v>
      </c>
      <c r="G94" s="30" t="s">
        <v>202</v>
      </c>
      <c r="H94" s="30" t="s">
        <v>50</v>
      </c>
      <c r="I94" s="30" t="s">
        <v>189</v>
      </c>
      <c r="J94" s="30" t="s">
        <v>190</v>
      </c>
      <c r="K94" s="32">
        <v>1</v>
      </c>
      <c r="L94" s="30" t="s">
        <v>191</v>
      </c>
      <c r="M94" s="30">
        <v>2016</v>
      </c>
      <c r="N94" s="30" t="s">
        <v>49</v>
      </c>
      <c r="O94" s="31" t="s">
        <v>170</v>
      </c>
      <c r="P94" s="30" t="s">
        <v>37</v>
      </c>
      <c r="Q94" s="31" t="s">
        <v>127</v>
      </c>
      <c r="R94" s="33">
        <v>10</v>
      </c>
      <c r="S94" s="32">
        <v>0.1</v>
      </c>
      <c r="T94" s="32">
        <v>0.8</v>
      </c>
      <c r="U94" s="70">
        <v>0.1</v>
      </c>
    </row>
    <row r="95" spans="1:21" x14ac:dyDescent="0.2">
      <c r="A95" s="30" t="s">
        <v>46</v>
      </c>
      <c r="B95" s="30" t="s">
        <v>47</v>
      </c>
      <c r="C95" s="30" t="s">
        <v>48</v>
      </c>
      <c r="D95" s="30" t="s">
        <v>254</v>
      </c>
      <c r="E95" s="30" t="s">
        <v>255</v>
      </c>
      <c r="F95" s="30" t="s">
        <v>256</v>
      </c>
      <c r="G95" s="30" t="s">
        <v>202</v>
      </c>
      <c r="H95" s="30" t="s">
        <v>50</v>
      </c>
      <c r="I95" s="30" t="s">
        <v>189</v>
      </c>
      <c r="J95" s="30" t="s">
        <v>190</v>
      </c>
      <c r="K95" s="32">
        <v>1</v>
      </c>
      <c r="L95" s="30" t="s">
        <v>191</v>
      </c>
      <c r="M95" s="30">
        <v>2016</v>
      </c>
      <c r="N95" s="30" t="s">
        <v>49</v>
      </c>
      <c r="O95" s="31" t="s">
        <v>170</v>
      </c>
      <c r="P95" s="30" t="s">
        <v>37</v>
      </c>
      <c r="Q95" s="31" t="s">
        <v>127</v>
      </c>
      <c r="R95" s="33">
        <v>10</v>
      </c>
      <c r="S95" s="32">
        <v>0.1</v>
      </c>
      <c r="T95" s="32">
        <v>0.8</v>
      </c>
      <c r="U95" s="70">
        <v>0.1</v>
      </c>
    </row>
    <row r="96" spans="1:21" x14ac:dyDescent="0.2">
      <c r="A96" s="30" t="s">
        <v>34</v>
      </c>
      <c r="B96" s="30" t="s">
        <v>35</v>
      </c>
      <c r="C96" s="30" t="s">
        <v>39</v>
      </c>
      <c r="D96" s="30" t="s">
        <v>121</v>
      </c>
      <c r="E96" s="30" t="s">
        <v>122</v>
      </c>
      <c r="F96" s="30" t="s">
        <v>123</v>
      </c>
      <c r="G96" s="30" t="s">
        <v>232</v>
      </c>
      <c r="H96" s="30" t="s">
        <v>36</v>
      </c>
      <c r="I96" s="30" t="s">
        <v>162</v>
      </c>
      <c r="J96" s="30" t="s">
        <v>163</v>
      </c>
      <c r="K96" s="44">
        <v>0.5</v>
      </c>
      <c r="L96" s="30" t="s">
        <v>168</v>
      </c>
      <c r="M96" s="30">
        <v>2017</v>
      </c>
      <c r="N96" s="30" t="s">
        <v>56</v>
      </c>
      <c r="O96" s="31" t="s">
        <v>84</v>
      </c>
      <c r="P96" s="30" t="s">
        <v>37</v>
      </c>
      <c r="Q96" s="31" t="s">
        <v>66</v>
      </c>
      <c r="R96" s="33">
        <v>30</v>
      </c>
      <c r="S96" s="32">
        <v>0.15</v>
      </c>
      <c r="T96" s="32">
        <v>0.1</v>
      </c>
      <c r="U96" s="70">
        <v>0.25</v>
      </c>
    </row>
    <row r="97" spans="1:21" x14ac:dyDescent="0.2">
      <c r="A97" s="30" t="s">
        <v>236</v>
      </c>
      <c r="B97" s="30" t="s">
        <v>237</v>
      </c>
      <c r="C97" s="30" t="s">
        <v>238</v>
      </c>
      <c r="D97" s="30" t="s">
        <v>239</v>
      </c>
      <c r="E97" s="30" t="s">
        <v>240</v>
      </c>
      <c r="F97" s="30" t="s">
        <v>241</v>
      </c>
      <c r="G97" s="30" t="s">
        <v>242</v>
      </c>
      <c r="H97" s="30" t="s">
        <v>36</v>
      </c>
      <c r="I97" s="30" t="s">
        <v>115</v>
      </c>
      <c r="J97" s="30" t="s">
        <v>116</v>
      </c>
      <c r="K97" s="44">
        <v>0.5</v>
      </c>
      <c r="L97" s="30" t="s">
        <v>117</v>
      </c>
      <c r="M97" s="30">
        <v>2018</v>
      </c>
      <c r="N97" s="30" t="s">
        <v>187</v>
      </c>
      <c r="O97" s="31" t="s">
        <v>193</v>
      </c>
      <c r="P97" s="30" t="s">
        <v>37</v>
      </c>
      <c r="Q97" s="31" t="s">
        <v>66</v>
      </c>
      <c r="R97" s="33">
        <v>35</v>
      </c>
      <c r="S97" s="32">
        <v>0.17499999999999999</v>
      </c>
      <c r="T97" s="32">
        <v>7.4999999999999997E-2</v>
      </c>
      <c r="U97" s="70">
        <v>0.25</v>
      </c>
    </row>
    <row r="98" spans="1:21" x14ac:dyDescent="0.2">
      <c r="A98" s="30" t="s">
        <v>34</v>
      </c>
      <c r="B98" s="30" t="s">
        <v>35</v>
      </c>
      <c r="C98" s="30" t="s">
        <v>39</v>
      </c>
      <c r="D98" s="30" t="s">
        <v>174</v>
      </c>
      <c r="E98" s="30" t="s">
        <v>175</v>
      </c>
      <c r="F98" s="30" t="s">
        <v>176</v>
      </c>
      <c r="G98" s="30" t="s">
        <v>198</v>
      </c>
      <c r="H98" s="30" t="s">
        <v>36</v>
      </c>
      <c r="I98" s="30" t="s">
        <v>189</v>
      </c>
      <c r="J98" s="30" t="s">
        <v>190</v>
      </c>
      <c r="K98" s="44">
        <v>0.5</v>
      </c>
      <c r="L98" s="30" t="s">
        <v>191</v>
      </c>
      <c r="M98" s="30">
        <v>2018</v>
      </c>
      <c r="N98" s="30" t="s">
        <v>49</v>
      </c>
      <c r="O98" s="31" t="s">
        <v>127</v>
      </c>
      <c r="P98" s="30" t="s">
        <v>37</v>
      </c>
      <c r="Q98" s="31" t="s">
        <v>170</v>
      </c>
      <c r="R98" s="33">
        <v>10</v>
      </c>
      <c r="S98" s="32">
        <v>0.05</v>
      </c>
      <c r="T98" s="32">
        <v>0.05</v>
      </c>
      <c r="U98" s="70">
        <v>0.4</v>
      </c>
    </row>
    <row r="99" spans="1:21" x14ac:dyDescent="0.2">
      <c r="A99" s="30" t="s">
        <v>34</v>
      </c>
      <c r="B99" s="30" t="s">
        <v>35</v>
      </c>
      <c r="C99" s="30" t="s">
        <v>39</v>
      </c>
      <c r="D99" s="30" t="s">
        <v>177</v>
      </c>
      <c r="E99" s="30" t="s">
        <v>178</v>
      </c>
      <c r="F99" s="30" t="s">
        <v>179</v>
      </c>
      <c r="G99" s="30" t="s">
        <v>198</v>
      </c>
      <c r="H99" s="30" t="s">
        <v>36</v>
      </c>
      <c r="I99" s="30" t="s">
        <v>189</v>
      </c>
      <c r="J99" s="30" t="s">
        <v>190</v>
      </c>
      <c r="K99" s="44">
        <v>0.5</v>
      </c>
      <c r="L99" s="30" t="s">
        <v>191</v>
      </c>
      <c r="M99" s="30">
        <v>2018</v>
      </c>
      <c r="N99" s="30" t="s">
        <v>49</v>
      </c>
      <c r="O99" s="31" t="s">
        <v>127</v>
      </c>
      <c r="P99" s="30" t="s">
        <v>37</v>
      </c>
      <c r="Q99" s="31" t="s">
        <v>170</v>
      </c>
      <c r="R99" s="33">
        <v>10</v>
      </c>
      <c r="S99" s="32">
        <v>0.05</v>
      </c>
      <c r="T99" s="32">
        <v>0.05</v>
      </c>
      <c r="U99" s="70">
        <v>0.4</v>
      </c>
    </row>
    <row r="100" spans="1:21" x14ac:dyDescent="0.2">
      <c r="A100" s="34" t="s">
        <v>34</v>
      </c>
      <c r="B100" s="34" t="s">
        <v>35</v>
      </c>
      <c r="C100" s="34" t="s">
        <v>39</v>
      </c>
      <c r="D100" s="34" t="s">
        <v>419</v>
      </c>
      <c r="E100" s="34" t="s">
        <v>420</v>
      </c>
      <c r="F100" s="34" t="s">
        <v>421</v>
      </c>
      <c r="G100" s="34" t="s">
        <v>422</v>
      </c>
      <c r="H100" s="34" t="s">
        <v>36</v>
      </c>
      <c r="I100" s="34" t="s">
        <v>189</v>
      </c>
      <c r="J100" s="34" t="s">
        <v>190</v>
      </c>
      <c r="K100" s="69">
        <v>0.5</v>
      </c>
      <c r="L100" s="34" t="s">
        <v>191</v>
      </c>
      <c r="M100" s="34">
        <v>2019</v>
      </c>
      <c r="N100" s="34" t="s">
        <v>49</v>
      </c>
      <c r="O100" s="35" t="s">
        <v>207</v>
      </c>
      <c r="P100" s="34" t="s">
        <v>37</v>
      </c>
      <c r="Q100" s="35" t="s">
        <v>84</v>
      </c>
      <c r="R100" s="36">
        <v>40</v>
      </c>
      <c r="S100" s="37">
        <v>0.2</v>
      </c>
      <c r="T100" s="37">
        <v>0.2</v>
      </c>
      <c r="U100" s="71">
        <v>0.1</v>
      </c>
    </row>
    <row r="101" spans="1:21" ht="10.8" thickBot="1" x14ac:dyDescent="0.25">
      <c r="A101" s="34" t="s">
        <v>34</v>
      </c>
      <c r="B101" s="34" t="s">
        <v>35</v>
      </c>
      <c r="C101" s="34" t="s">
        <v>39</v>
      </c>
      <c r="D101" s="34" t="s">
        <v>419</v>
      </c>
      <c r="E101" s="34" t="s">
        <v>420</v>
      </c>
      <c r="F101" s="34" t="s">
        <v>421</v>
      </c>
      <c r="G101" s="34" t="s">
        <v>198</v>
      </c>
      <c r="H101" s="34" t="s">
        <v>36</v>
      </c>
      <c r="I101" s="34" t="s">
        <v>189</v>
      </c>
      <c r="J101" s="34" t="s">
        <v>190</v>
      </c>
      <c r="K101" s="69">
        <v>0.5</v>
      </c>
      <c r="L101" s="34" t="s">
        <v>191</v>
      </c>
      <c r="M101" s="34">
        <v>2019</v>
      </c>
      <c r="N101" s="34" t="s">
        <v>49</v>
      </c>
      <c r="O101" s="35" t="s">
        <v>127</v>
      </c>
      <c r="P101" s="34" t="s">
        <v>37</v>
      </c>
      <c r="Q101" s="35" t="s">
        <v>170</v>
      </c>
      <c r="R101" s="36">
        <v>10</v>
      </c>
      <c r="S101" s="37">
        <v>0.05</v>
      </c>
      <c r="T101" s="37">
        <v>0.05</v>
      </c>
      <c r="U101" s="71">
        <v>0.4</v>
      </c>
    </row>
    <row r="102" spans="1:21" ht="10.8" thickBot="1" x14ac:dyDescent="0.25">
      <c r="A102" s="25" t="s">
        <v>34</v>
      </c>
      <c r="B102" s="25" t="s">
        <v>35</v>
      </c>
      <c r="C102" s="25" t="s">
        <v>39</v>
      </c>
      <c r="D102" s="25" t="s">
        <v>600</v>
      </c>
      <c r="E102" s="25" t="s">
        <v>473</v>
      </c>
      <c r="F102" s="25" t="s">
        <v>474</v>
      </c>
      <c r="G102" s="26" t="s">
        <v>198</v>
      </c>
      <c r="H102" s="27" t="s">
        <v>36</v>
      </c>
      <c r="I102" s="27" t="s">
        <v>189</v>
      </c>
      <c r="J102" s="28" t="s">
        <v>190</v>
      </c>
      <c r="K102" s="29">
        <v>0.5</v>
      </c>
      <c r="L102" s="29" t="s">
        <v>191</v>
      </c>
      <c r="M102" s="30">
        <v>2020</v>
      </c>
      <c r="N102" s="30" t="s">
        <v>49</v>
      </c>
      <c r="O102" s="31" t="s">
        <v>127</v>
      </c>
      <c r="P102" s="30" t="s">
        <v>37</v>
      </c>
      <c r="Q102" s="31" t="s">
        <v>170</v>
      </c>
      <c r="R102" s="30">
        <v>10</v>
      </c>
      <c r="S102" s="32">
        <v>0.05</v>
      </c>
      <c r="T102" s="32">
        <v>0.05</v>
      </c>
      <c r="U102" s="72">
        <v>0.4</v>
      </c>
    </row>
    <row r="103" spans="1:21" ht="10.8" thickBot="1" x14ac:dyDescent="0.25">
      <c r="A103" s="25" t="s">
        <v>34</v>
      </c>
      <c r="B103" s="25" t="s">
        <v>35</v>
      </c>
      <c r="C103" s="25" t="s">
        <v>39</v>
      </c>
      <c r="D103" s="25" t="s">
        <v>442</v>
      </c>
      <c r="E103" s="25" t="s">
        <v>443</v>
      </c>
      <c r="F103" s="25" t="s">
        <v>444</v>
      </c>
      <c r="G103" s="26" t="s">
        <v>198</v>
      </c>
      <c r="H103" s="27" t="s">
        <v>36</v>
      </c>
      <c r="I103" s="27" t="s">
        <v>189</v>
      </c>
      <c r="J103" s="28" t="s">
        <v>190</v>
      </c>
      <c r="K103" s="29">
        <v>0.33333333333333331</v>
      </c>
      <c r="L103" s="29" t="s">
        <v>191</v>
      </c>
      <c r="M103" s="30">
        <v>2020</v>
      </c>
      <c r="N103" s="30" t="s">
        <v>49</v>
      </c>
      <c r="O103" s="31" t="s">
        <v>127</v>
      </c>
      <c r="P103" s="30" t="s">
        <v>37</v>
      </c>
      <c r="Q103" s="31" t="s">
        <v>170</v>
      </c>
      <c r="R103" s="30">
        <v>10</v>
      </c>
      <c r="S103" s="82">
        <v>3.3333333333333333E-2</v>
      </c>
      <c r="T103" s="82">
        <v>3.3333333333333333E-2</v>
      </c>
      <c r="U103" s="70">
        <v>0.26666666666666666</v>
      </c>
    </row>
    <row r="104" spans="1:21" x14ac:dyDescent="0.2">
      <c r="S104" s="78">
        <f>SUM(U88:U103,T14:T87,S2:S13)</f>
        <v>28.383333333333351</v>
      </c>
      <c r="T104" s="79"/>
      <c r="U104" s="79"/>
    </row>
  </sheetData>
  <autoFilter ref="A1:U1" xr:uid="{00000000-0009-0000-0000-000000000000}"/>
  <mergeCells count="1">
    <mergeCell ref="S104:U104"/>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3"/>
  <sheetViews>
    <sheetView topLeftCell="A22" zoomScaleNormal="100" workbookViewId="0">
      <selection activeCell="Q43" sqref="Q43:R43"/>
    </sheetView>
  </sheetViews>
  <sheetFormatPr baseColWidth="10" defaultColWidth="11.44140625" defaultRowHeight="13.2" x14ac:dyDescent="0.25"/>
  <cols>
    <col min="1" max="1" width="10.88671875" style="18" bestFit="1" customWidth="1"/>
    <col min="2" max="2" width="44" style="18" bestFit="1" customWidth="1"/>
    <col min="3" max="3" width="17"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5.099999999999994" customHeight="1" x14ac:dyDescent="0.25">
      <c r="A1" s="20" t="s">
        <v>265</v>
      </c>
      <c r="B1" s="20" t="s">
        <v>266</v>
      </c>
      <c r="C1" s="20" t="s">
        <v>267</v>
      </c>
      <c r="D1" s="21">
        <v>2017</v>
      </c>
      <c r="E1" s="21">
        <v>2018</v>
      </c>
      <c r="F1" s="21">
        <v>2019</v>
      </c>
      <c r="G1" s="21">
        <v>2020</v>
      </c>
      <c r="H1" s="21">
        <v>2021</v>
      </c>
      <c r="I1" s="21">
        <v>2022</v>
      </c>
      <c r="J1" s="20" t="s">
        <v>268</v>
      </c>
      <c r="K1" s="22" t="s">
        <v>434</v>
      </c>
      <c r="L1" s="15" t="s">
        <v>269</v>
      </c>
      <c r="M1" s="15" t="s">
        <v>270</v>
      </c>
      <c r="N1" s="15" t="s">
        <v>271</v>
      </c>
      <c r="O1" s="15" t="s">
        <v>272</v>
      </c>
      <c r="P1" s="16" t="s">
        <v>273</v>
      </c>
      <c r="Q1" s="16" t="s">
        <v>274</v>
      </c>
      <c r="R1" s="16" t="s">
        <v>275</v>
      </c>
      <c r="S1" s="16" t="s">
        <v>276</v>
      </c>
    </row>
    <row r="2" spans="1:19" ht="14.4" x14ac:dyDescent="0.3">
      <c r="A2" s="23" t="s">
        <v>435</v>
      </c>
      <c r="B2" s="23" t="s">
        <v>436</v>
      </c>
      <c r="C2" s="23" t="s">
        <v>288</v>
      </c>
      <c r="D2" s="23"/>
      <c r="E2" s="23"/>
      <c r="F2" s="23"/>
      <c r="G2" s="23"/>
      <c r="H2" s="23"/>
      <c r="I2" s="23">
        <v>1</v>
      </c>
      <c r="J2" s="23">
        <v>1</v>
      </c>
      <c r="K2" s="23" t="s">
        <v>83</v>
      </c>
      <c r="L2" s="24" t="s">
        <v>37</v>
      </c>
      <c r="M2" s="24" t="s">
        <v>127</v>
      </c>
      <c r="N2" s="24" t="s">
        <v>38</v>
      </c>
      <c r="O2" s="24" t="s">
        <v>38</v>
      </c>
      <c r="P2" s="24">
        <v>90</v>
      </c>
      <c r="Q2" s="74">
        <v>0.1</v>
      </c>
      <c r="R2" s="24">
        <v>0</v>
      </c>
      <c r="S2" s="24">
        <v>0.9</v>
      </c>
    </row>
    <row r="3" spans="1:19" ht="14.4" x14ac:dyDescent="0.3">
      <c r="A3" s="23" t="s">
        <v>333</v>
      </c>
      <c r="B3" s="23" t="s">
        <v>334</v>
      </c>
      <c r="C3" s="23" t="s">
        <v>279</v>
      </c>
      <c r="D3" s="23"/>
      <c r="E3" s="23">
        <v>1</v>
      </c>
      <c r="F3" s="23"/>
      <c r="G3" s="23"/>
      <c r="H3" s="23"/>
      <c r="I3" s="23"/>
      <c r="J3" s="23">
        <v>1</v>
      </c>
      <c r="K3" s="23" t="s">
        <v>117</v>
      </c>
      <c r="L3" s="24" t="s">
        <v>37</v>
      </c>
      <c r="M3" s="24" t="s">
        <v>127</v>
      </c>
      <c r="N3" s="24" t="s">
        <v>61</v>
      </c>
      <c r="O3" s="24" t="s">
        <v>84</v>
      </c>
      <c r="P3" s="24">
        <v>70</v>
      </c>
      <c r="Q3" s="74">
        <v>0.1</v>
      </c>
      <c r="R3" s="24">
        <v>0.2</v>
      </c>
      <c r="S3" s="24">
        <v>0.7</v>
      </c>
    </row>
    <row r="4" spans="1:19" ht="14.4" x14ac:dyDescent="0.3">
      <c r="A4" s="23" t="s">
        <v>325</v>
      </c>
      <c r="B4" s="23" t="s">
        <v>326</v>
      </c>
      <c r="C4" s="23" t="s">
        <v>279</v>
      </c>
      <c r="D4" s="23"/>
      <c r="E4" s="23"/>
      <c r="F4" s="23">
        <v>1</v>
      </c>
      <c r="G4" s="23"/>
      <c r="H4" s="23"/>
      <c r="I4" s="23"/>
      <c r="J4" s="23">
        <v>1</v>
      </c>
      <c r="K4" s="23" t="s">
        <v>206</v>
      </c>
      <c r="L4" s="24" t="s">
        <v>37</v>
      </c>
      <c r="M4" s="24" t="s">
        <v>127</v>
      </c>
      <c r="N4" s="24" t="s">
        <v>38</v>
      </c>
      <c r="O4" s="24" t="s">
        <v>38</v>
      </c>
      <c r="P4" s="24">
        <v>90</v>
      </c>
      <c r="Q4" s="74">
        <v>0.1</v>
      </c>
      <c r="R4" s="24">
        <v>0</v>
      </c>
      <c r="S4" s="24">
        <v>0.9</v>
      </c>
    </row>
    <row r="5" spans="1:19" ht="14.4" x14ac:dyDescent="0.3">
      <c r="A5" s="23" t="s">
        <v>303</v>
      </c>
      <c r="B5" s="23" t="s">
        <v>304</v>
      </c>
      <c r="C5" s="23" t="s">
        <v>279</v>
      </c>
      <c r="D5" s="23"/>
      <c r="E5" s="23"/>
      <c r="F5" s="23"/>
      <c r="G5" s="23"/>
      <c r="H5" s="23">
        <v>1</v>
      </c>
      <c r="I5" s="23"/>
      <c r="J5" s="23">
        <v>1</v>
      </c>
      <c r="K5" s="23" t="s">
        <v>168</v>
      </c>
      <c r="L5" s="24" t="s">
        <v>37</v>
      </c>
      <c r="M5" s="24" t="s">
        <v>170</v>
      </c>
      <c r="N5" s="24" t="s">
        <v>38</v>
      </c>
      <c r="O5" s="24" t="s">
        <v>38</v>
      </c>
      <c r="P5" s="24">
        <v>20</v>
      </c>
      <c r="Q5" s="74">
        <v>0.8</v>
      </c>
      <c r="R5" s="24">
        <v>0</v>
      </c>
      <c r="S5" s="24">
        <v>0.2</v>
      </c>
    </row>
    <row r="6" spans="1:19" ht="14.4" x14ac:dyDescent="0.3">
      <c r="A6" s="23" t="s">
        <v>317</v>
      </c>
      <c r="B6" s="23" t="s">
        <v>318</v>
      </c>
      <c r="C6" s="23">
        <v>6</v>
      </c>
      <c r="D6" s="23"/>
      <c r="E6" s="23"/>
      <c r="F6" s="23">
        <v>1</v>
      </c>
      <c r="G6" s="23"/>
      <c r="H6" s="23"/>
      <c r="I6" s="23">
        <v>1</v>
      </c>
      <c r="J6" s="23">
        <v>2</v>
      </c>
      <c r="K6" s="23" t="s">
        <v>191</v>
      </c>
      <c r="L6" s="24" t="s">
        <v>37</v>
      </c>
      <c r="M6" s="24" t="s">
        <v>127</v>
      </c>
      <c r="N6" s="24" t="s">
        <v>49</v>
      </c>
      <c r="O6" s="24" t="s">
        <v>437</v>
      </c>
      <c r="P6" s="24">
        <v>25</v>
      </c>
      <c r="Q6" s="74">
        <v>0.2</v>
      </c>
      <c r="R6" s="24">
        <v>1.3</v>
      </c>
      <c r="S6" s="24">
        <v>0.5</v>
      </c>
    </row>
    <row r="7" spans="1:19" ht="14.4" x14ac:dyDescent="0.3">
      <c r="A7" s="23" t="s">
        <v>282</v>
      </c>
      <c r="B7" s="23" t="s">
        <v>283</v>
      </c>
      <c r="C7" s="73" t="s">
        <v>279</v>
      </c>
      <c r="D7" s="23"/>
      <c r="E7" s="23"/>
      <c r="F7" s="23">
        <v>2</v>
      </c>
      <c r="G7" s="23"/>
      <c r="H7" s="23"/>
      <c r="I7" s="23"/>
      <c r="J7" s="23">
        <v>2</v>
      </c>
      <c r="K7" s="23" t="s">
        <v>83</v>
      </c>
      <c r="L7" s="24" t="s">
        <v>37</v>
      </c>
      <c r="M7" s="24" t="s">
        <v>234</v>
      </c>
      <c r="N7" s="24" t="s">
        <v>38</v>
      </c>
      <c r="O7" s="24" t="s">
        <v>38</v>
      </c>
      <c r="P7" s="24">
        <v>70</v>
      </c>
      <c r="Q7" s="74">
        <v>0.6</v>
      </c>
      <c r="R7" s="24">
        <v>0</v>
      </c>
      <c r="S7" s="24">
        <v>1.4</v>
      </c>
    </row>
    <row r="8" spans="1:19" ht="14.4" x14ac:dyDescent="0.3">
      <c r="A8" s="23" t="s">
        <v>291</v>
      </c>
      <c r="B8" s="23" t="s">
        <v>292</v>
      </c>
      <c r="C8" s="23" t="s">
        <v>279</v>
      </c>
      <c r="D8" s="23"/>
      <c r="E8" s="23"/>
      <c r="F8" s="23">
        <v>1</v>
      </c>
      <c r="G8" s="23"/>
      <c r="H8" s="23"/>
      <c r="I8" s="23"/>
      <c r="J8" s="23">
        <v>1</v>
      </c>
      <c r="K8" s="23" t="s">
        <v>65</v>
      </c>
      <c r="L8" s="24" t="s">
        <v>37</v>
      </c>
      <c r="M8" s="24" t="s">
        <v>66</v>
      </c>
      <c r="N8" s="24" t="s">
        <v>38</v>
      </c>
      <c r="O8" s="24" t="s">
        <v>38</v>
      </c>
      <c r="P8" s="24">
        <v>50</v>
      </c>
      <c r="Q8" s="74">
        <v>0.5</v>
      </c>
      <c r="R8" s="24">
        <v>0</v>
      </c>
      <c r="S8" s="24">
        <v>0.5</v>
      </c>
    </row>
    <row r="9" spans="1:19" ht="14.4" x14ac:dyDescent="0.3">
      <c r="A9" s="23" t="s">
        <v>329</v>
      </c>
      <c r="B9" s="23" t="s">
        <v>330</v>
      </c>
      <c r="C9" s="23" t="s">
        <v>279</v>
      </c>
      <c r="D9" s="23"/>
      <c r="E9" s="23"/>
      <c r="F9" s="23">
        <v>1</v>
      </c>
      <c r="G9" s="23"/>
      <c r="H9" s="23">
        <v>1</v>
      </c>
      <c r="I9" s="23"/>
      <c r="J9" s="23">
        <v>2</v>
      </c>
      <c r="K9" s="23" t="s">
        <v>222</v>
      </c>
      <c r="L9" s="24" t="s">
        <v>37</v>
      </c>
      <c r="M9" s="24" t="s">
        <v>66</v>
      </c>
      <c r="N9" s="24" t="s">
        <v>56</v>
      </c>
      <c r="O9" s="24" t="s">
        <v>127</v>
      </c>
      <c r="P9" s="24">
        <v>40</v>
      </c>
      <c r="Q9" s="74">
        <v>1</v>
      </c>
      <c r="R9" s="24">
        <v>0.2</v>
      </c>
      <c r="S9" s="24">
        <v>0.8</v>
      </c>
    </row>
    <row r="10" spans="1:19" ht="14.4" x14ac:dyDescent="0.3">
      <c r="A10" s="23" t="s">
        <v>309</v>
      </c>
      <c r="B10" s="23" t="s">
        <v>310</v>
      </c>
      <c r="C10" s="23" t="s">
        <v>279</v>
      </c>
      <c r="D10" s="23"/>
      <c r="E10" s="23"/>
      <c r="F10" s="23">
        <v>1</v>
      </c>
      <c r="G10" s="23"/>
      <c r="H10" s="23"/>
      <c r="I10" s="23"/>
      <c r="J10" s="23">
        <v>1</v>
      </c>
      <c r="K10" s="23" t="s">
        <v>117</v>
      </c>
      <c r="L10" s="24" t="s">
        <v>37</v>
      </c>
      <c r="M10" s="24" t="s">
        <v>188</v>
      </c>
      <c r="N10" s="24" t="s">
        <v>187</v>
      </c>
      <c r="O10" s="24" t="s">
        <v>188</v>
      </c>
      <c r="P10" s="24">
        <v>50</v>
      </c>
      <c r="Q10" s="74">
        <v>0.25</v>
      </c>
      <c r="R10" s="24">
        <v>0.25</v>
      </c>
      <c r="S10" s="24">
        <v>0.5</v>
      </c>
    </row>
    <row r="11" spans="1:19" ht="14.4" x14ac:dyDescent="0.3">
      <c r="A11" s="23" t="s">
        <v>321</v>
      </c>
      <c r="B11" s="23" t="s">
        <v>322</v>
      </c>
      <c r="C11" s="23" t="s">
        <v>279</v>
      </c>
      <c r="D11" s="23"/>
      <c r="E11" s="23"/>
      <c r="F11" s="23"/>
      <c r="G11" s="23"/>
      <c r="H11" s="23">
        <v>1</v>
      </c>
      <c r="I11" s="23"/>
      <c r="J11" s="23">
        <v>1</v>
      </c>
      <c r="K11" s="23" t="s">
        <v>191</v>
      </c>
      <c r="L11" s="24" t="s">
        <v>37</v>
      </c>
      <c r="M11" s="24" t="s">
        <v>127</v>
      </c>
      <c r="N11" s="24" t="s">
        <v>49</v>
      </c>
      <c r="O11" s="24" t="s">
        <v>437</v>
      </c>
      <c r="P11" s="24">
        <v>25</v>
      </c>
      <c r="Q11" s="74">
        <v>0.1</v>
      </c>
      <c r="R11" s="24">
        <v>0.65</v>
      </c>
      <c r="S11" s="24">
        <v>0.25</v>
      </c>
    </row>
    <row r="12" spans="1:19" ht="14.4" x14ac:dyDescent="0.3">
      <c r="A12" s="23" t="s">
        <v>299</v>
      </c>
      <c r="B12" s="23" t="s">
        <v>300</v>
      </c>
      <c r="C12" s="23" t="s">
        <v>279</v>
      </c>
      <c r="D12" s="23"/>
      <c r="E12" s="23"/>
      <c r="F12" s="23"/>
      <c r="G12" s="23"/>
      <c r="H12" s="23">
        <v>1</v>
      </c>
      <c r="I12" s="23"/>
      <c r="J12" s="23">
        <v>1</v>
      </c>
      <c r="K12" s="23" t="s">
        <v>148</v>
      </c>
      <c r="L12" s="24" t="s">
        <v>37</v>
      </c>
      <c r="M12" s="24" t="s">
        <v>84</v>
      </c>
      <c r="N12" s="24" t="s">
        <v>38</v>
      </c>
      <c r="O12" s="24" t="s">
        <v>38</v>
      </c>
      <c r="P12" s="24">
        <v>80</v>
      </c>
      <c r="Q12" s="74">
        <v>0.2</v>
      </c>
      <c r="R12" s="24">
        <v>0</v>
      </c>
      <c r="S12" s="24">
        <v>0.8</v>
      </c>
    </row>
    <row r="13" spans="1:19" ht="14.4" x14ac:dyDescent="0.3">
      <c r="A13" s="23" t="s">
        <v>295</v>
      </c>
      <c r="B13" s="23" t="s">
        <v>296</v>
      </c>
      <c r="C13" s="23" t="s">
        <v>279</v>
      </c>
      <c r="D13" s="23">
        <v>1</v>
      </c>
      <c r="E13" s="23"/>
      <c r="F13" s="23">
        <v>1</v>
      </c>
      <c r="G13" s="23"/>
      <c r="H13" s="23"/>
      <c r="I13" s="23"/>
      <c r="J13" s="23">
        <v>2</v>
      </c>
      <c r="K13" s="23" t="s">
        <v>83</v>
      </c>
      <c r="L13" s="24" t="s">
        <v>37</v>
      </c>
      <c r="M13" s="24" t="s">
        <v>101</v>
      </c>
      <c r="N13" s="24" t="s">
        <v>38</v>
      </c>
      <c r="O13" s="24" t="s">
        <v>38</v>
      </c>
      <c r="P13" s="24">
        <v>40</v>
      </c>
      <c r="Q13" s="74">
        <v>1.2</v>
      </c>
      <c r="R13" s="24">
        <v>0</v>
      </c>
      <c r="S13" s="24">
        <v>0.8</v>
      </c>
    </row>
    <row r="14" spans="1:19" ht="14.4" x14ac:dyDescent="0.3">
      <c r="A14" s="23" t="s">
        <v>319</v>
      </c>
      <c r="B14" s="23" t="s">
        <v>320</v>
      </c>
      <c r="C14" s="23" t="s">
        <v>279</v>
      </c>
      <c r="D14" s="23">
        <v>2</v>
      </c>
      <c r="E14" s="23"/>
      <c r="F14" s="23"/>
      <c r="G14" s="23"/>
      <c r="H14" s="23"/>
      <c r="I14" s="23"/>
      <c r="J14" s="23">
        <v>2</v>
      </c>
      <c r="K14" s="23" t="s">
        <v>191</v>
      </c>
      <c r="L14" s="24" t="s">
        <v>37</v>
      </c>
      <c r="M14" s="24" t="s">
        <v>127</v>
      </c>
      <c r="N14" s="24" t="s">
        <v>49</v>
      </c>
      <c r="O14" s="24" t="s">
        <v>437</v>
      </c>
      <c r="P14" s="24">
        <v>25</v>
      </c>
      <c r="Q14" s="74">
        <v>0.2</v>
      </c>
      <c r="R14" s="24">
        <v>1.3</v>
      </c>
      <c r="S14" s="24">
        <v>0.5</v>
      </c>
    </row>
    <row r="15" spans="1:19" ht="14.4" x14ac:dyDescent="0.3">
      <c r="A15" s="23" t="s">
        <v>297</v>
      </c>
      <c r="B15" s="23" t="s">
        <v>298</v>
      </c>
      <c r="C15" s="23" t="s">
        <v>279</v>
      </c>
      <c r="D15" s="23"/>
      <c r="E15" s="23"/>
      <c r="F15" s="23"/>
      <c r="G15" s="23"/>
      <c r="H15" s="23">
        <v>1</v>
      </c>
      <c r="I15" s="23"/>
      <c r="J15" s="23">
        <v>1</v>
      </c>
      <c r="K15" s="23" t="s">
        <v>117</v>
      </c>
      <c r="L15" s="24" t="s">
        <v>37</v>
      </c>
      <c r="M15" s="24" t="s">
        <v>84</v>
      </c>
      <c r="N15" s="24" t="s">
        <v>38</v>
      </c>
      <c r="O15" s="24" t="s">
        <v>38</v>
      </c>
      <c r="P15" s="24">
        <v>80</v>
      </c>
      <c r="Q15" s="74">
        <v>0.2</v>
      </c>
      <c r="R15" s="24">
        <v>0</v>
      </c>
      <c r="S15" s="24">
        <v>0.8</v>
      </c>
    </row>
    <row r="16" spans="1:19" ht="14.4" x14ac:dyDescent="0.3">
      <c r="A16" s="23" t="s">
        <v>331</v>
      </c>
      <c r="B16" s="23" t="s">
        <v>332</v>
      </c>
      <c r="C16" s="73" t="s">
        <v>279</v>
      </c>
      <c r="D16" s="23"/>
      <c r="E16" s="23">
        <v>1</v>
      </c>
      <c r="F16" s="23">
        <v>1</v>
      </c>
      <c r="G16" s="23"/>
      <c r="H16" s="23"/>
      <c r="I16" s="23"/>
      <c r="J16" s="23">
        <v>2</v>
      </c>
      <c r="K16" s="23" t="s">
        <v>117</v>
      </c>
      <c r="L16" s="24" t="s">
        <v>37</v>
      </c>
      <c r="M16" s="24" t="s">
        <v>84</v>
      </c>
      <c r="N16" s="24" t="s">
        <v>61</v>
      </c>
      <c r="O16" s="24" t="s">
        <v>234</v>
      </c>
      <c r="P16" s="24">
        <v>50</v>
      </c>
      <c r="Q16" s="74">
        <v>0.4</v>
      </c>
      <c r="R16" s="24">
        <v>0.6</v>
      </c>
      <c r="S16" s="24">
        <v>1</v>
      </c>
    </row>
    <row r="17" spans="1:19" ht="14.4" x14ac:dyDescent="0.3">
      <c r="A17" s="23" t="s">
        <v>280</v>
      </c>
      <c r="B17" s="23" t="s">
        <v>281</v>
      </c>
      <c r="C17" s="23" t="s">
        <v>279</v>
      </c>
      <c r="D17" s="23">
        <v>1</v>
      </c>
      <c r="E17" s="23"/>
      <c r="F17" s="23"/>
      <c r="G17" s="23"/>
      <c r="H17" s="23"/>
      <c r="I17" s="23"/>
      <c r="J17" s="23">
        <v>1</v>
      </c>
      <c r="K17" s="23" t="s">
        <v>128</v>
      </c>
      <c r="L17" s="24" t="s">
        <v>37</v>
      </c>
      <c r="M17" s="24" t="s">
        <v>127</v>
      </c>
      <c r="N17" s="24" t="s">
        <v>38</v>
      </c>
      <c r="O17" s="24" t="s">
        <v>38</v>
      </c>
      <c r="P17" s="24">
        <v>90</v>
      </c>
      <c r="Q17" s="74">
        <v>0.1</v>
      </c>
      <c r="R17" s="24">
        <v>0</v>
      </c>
      <c r="S17" s="24">
        <v>0.9</v>
      </c>
    </row>
    <row r="18" spans="1:19" ht="14.4" x14ac:dyDescent="0.3">
      <c r="A18" s="23" t="s">
        <v>323</v>
      </c>
      <c r="B18" s="23" t="s">
        <v>324</v>
      </c>
      <c r="C18" s="23" t="s">
        <v>288</v>
      </c>
      <c r="D18" s="23"/>
      <c r="E18" s="23"/>
      <c r="F18" s="23"/>
      <c r="G18" s="23">
        <v>1</v>
      </c>
      <c r="H18" s="23"/>
      <c r="I18" s="23"/>
      <c r="J18" s="23">
        <v>1</v>
      </c>
      <c r="K18" s="23" t="s">
        <v>128</v>
      </c>
      <c r="L18" s="24" t="s">
        <v>37</v>
      </c>
      <c r="M18" s="24" t="s">
        <v>127</v>
      </c>
      <c r="N18" s="24" t="s">
        <v>52</v>
      </c>
      <c r="O18" s="24" t="s">
        <v>84</v>
      </c>
      <c r="P18" s="24">
        <v>70</v>
      </c>
      <c r="Q18" s="74">
        <v>0.1</v>
      </c>
      <c r="R18" s="24">
        <v>0.2</v>
      </c>
      <c r="S18" s="24">
        <v>0.7</v>
      </c>
    </row>
    <row r="19" spans="1:19" ht="14.4" x14ac:dyDescent="0.3">
      <c r="A19" s="23" t="s">
        <v>432</v>
      </c>
      <c r="B19" s="23" t="s">
        <v>433</v>
      </c>
      <c r="C19" s="23" t="s">
        <v>279</v>
      </c>
      <c r="D19" s="23"/>
      <c r="E19" s="23"/>
      <c r="F19" s="23"/>
      <c r="G19" s="23"/>
      <c r="H19" s="23">
        <v>2</v>
      </c>
      <c r="I19" s="23"/>
      <c r="J19" s="23">
        <v>2</v>
      </c>
      <c r="K19" s="23" t="s">
        <v>222</v>
      </c>
      <c r="L19" s="24" t="s">
        <v>37</v>
      </c>
      <c r="M19" s="24" t="s">
        <v>84</v>
      </c>
      <c r="N19" s="24" t="s">
        <v>56</v>
      </c>
      <c r="O19" s="24" t="s">
        <v>127</v>
      </c>
      <c r="P19" s="24">
        <v>70</v>
      </c>
      <c r="Q19" s="74">
        <v>0.4</v>
      </c>
      <c r="R19" s="24">
        <v>0.2</v>
      </c>
      <c r="S19" s="24">
        <v>1.4</v>
      </c>
    </row>
    <row r="20" spans="1:19" ht="14.4" x14ac:dyDescent="0.3">
      <c r="A20" s="23" t="s">
        <v>289</v>
      </c>
      <c r="B20" s="23" t="s">
        <v>290</v>
      </c>
      <c r="C20" s="23" t="s">
        <v>279</v>
      </c>
      <c r="D20" s="23"/>
      <c r="E20" s="23"/>
      <c r="F20" s="23"/>
      <c r="G20" s="23">
        <v>1</v>
      </c>
      <c r="H20" s="23"/>
      <c r="I20" s="23"/>
      <c r="J20" s="23">
        <v>1</v>
      </c>
      <c r="K20" s="23" t="s">
        <v>148</v>
      </c>
      <c r="L20" s="24" t="s">
        <v>37</v>
      </c>
      <c r="M20" s="24" t="s">
        <v>84</v>
      </c>
      <c r="N20" s="24" t="s">
        <v>438</v>
      </c>
      <c r="O20" s="24" t="s">
        <v>127</v>
      </c>
      <c r="P20" s="24">
        <v>70</v>
      </c>
      <c r="Q20" s="74">
        <v>0.2</v>
      </c>
      <c r="R20" s="24">
        <v>0.1</v>
      </c>
      <c r="S20" s="24">
        <v>0.7</v>
      </c>
    </row>
    <row r="21" spans="1:19" ht="14.4" x14ac:dyDescent="0.3">
      <c r="A21" s="23" t="s">
        <v>343</v>
      </c>
      <c r="B21" s="23" t="s">
        <v>344</v>
      </c>
      <c r="C21" s="23" t="s">
        <v>279</v>
      </c>
      <c r="D21" s="23"/>
      <c r="E21" s="23"/>
      <c r="F21" s="23"/>
      <c r="G21" s="23"/>
      <c r="H21" s="23"/>
      <c r="I21" s="23">
        <v>1</v>
      </c>
      <c r="J21" s="23">
        <v>1</v>
      </c>
      <c r="K21" s="23" t="s">
        <v>168</v>
      </c>
      <c r="L21" s="24" t="s">
        <v>37</v>
      </c>
      <c r="M21" s="24" t="s">
        <v>84</v>
      </c>
      <c r="N21" s="24" t="s">
        <v>38</v>
      </c>
      <c r="O21" s="24" t="s">
        <v>38</v>
      </c>
      <c r="P21" s="24">
        <v>80</v>
      </c>
      <c r="Q21" s="74">
        <v>0.2</v>
      </c>
      <c r="R21" s="24">
        <v>0</v>
      </c>
      <c r="S21" s="24">
        <v>0.8</v>
      </c>
    </row>
    <row r="22" spans="1:19" ht="14.4" x14ac:dyDescent="0.3">
      <c r="A22" s="23" t="s">
        <v>284</v>
      </c>
      <c r="B22" s="23" t="s">
        <v>285</v>
      </c>
      <c r="C22" s="23" t="s">
        <v>279</v>
      </c>
      <c r="D22" s="23"/>
      <c r="E22" s="23"/>
      <c r="F22" s="23">
        <v>3</v>
      </c>
      <c r="G22" s="23"/>
      <c r="H22" s="23"/>
      <c r="I22" s="23"/>
      <c r="J22" s="23">
        <v>3</v>
      </c>
      <c r="K22" s="23" t="s">
        <v>206</v>
      </c>
      <c r="L22" s="24" t="s">
        <v>37</v>
      </c>
      <c r="M22" s="24" t="s">
        <v>127</v>
      </c>
      <c r="N22" s="24" t="s">
        <v>38</v>
      </c>
      <c r="O22" s="24" t="s">
        <v>38</v>
      </c>
      <c r="P22" s="24">
        <v>90</v>
      </c>
      <c r="Q22" s="74">
        <v>0.3</v>
      </c>
      <c r="R22" s="24">
        <v>0</v>
      </c>
      <c r="S22" s="24">
        <v>2.7</v>
      </c>
    </row>
    <row r="23" spans="1:19" ht="14.4" x14ac:dyDescent="0.3">
      <c r="A23" s="23" t="s">
        <v>301</v>
      </c>
      <c r="B23" s="23" t="s">
        <v>302</v>
      </c>
      <c r="C23" s="23" t="s">
        <v>279</v>
      </c>
      <c r="D23" s="23"/>
      <c r="E23" s="23"/>
      <c r="F23" s="23">
        <v>1</v>
      </c>
      <c r="G23" s="23"/>
      <c r="H23" s="23"/>
      <c r="I23" s="23"/>
      <c r="J23" s="23">
        <v>1</v>
      </c>
      <c r="K23" s="23" t="s">
        <v>186</v>
      </c>
      <c r="L23" s="24" t="s">
        <v>37</v>
      </c>
      <c r="M23" s="24" t="s">
        <v>66</v>
      </c>
      <c r="N23" s="24" t="s">
        <v>38</v>
      </c>
      <c r="O23" s="24" t="s">
        <v>38</v>
      </c>
      <c r="P23" s="24">
        <v>50</v>
      </c>
      <c r="Q23" s="74">
        <v>0.5</v>
      </c>
      <c r="R23" s="24">
        <v>0</v>
      </c>
      <c r="S23" s="24">
        <v>0.5</v>
      </c>
    </row>
    <row r="24" spans="1:19" ht="14.4" x14ac:dyDescent="0.3">
      <c r="A24" s="23" t="s">
        <v>439</v>
      </c>
      <c r="B24" s="23" t="s">
        <v>440</v>
      </c>
      <c r="C24" s="23" t="s">
        <v>279</v>
      </c>
      <c r="D24" s="23"/>
      <c r="E24" s="23"/>
      <c r="F24" s="23">
        <v>2</v>
      </c>
      <c r="G24" s="23">
        <v>1</v>
      </c>
      <c r="H24" s="23"/>
      <c r="I24" s="23"/>
      <c r="J24" s="23">
        <v>3</v>
      </c>
      <c r="K24" s="23" t="s">
        <v>191</v>
      </c>
      <c r="L24" s="24" t="s">
        <v>37</v>
      </c>
      <c r="M24" s="24" t="s">
        <v>127</v>
      </c>
      <c r="N24" s="24" t="s">
        <v>49</v>
      </c>
      <c r="O24" s="24" t="s">
        <v>437</v>
      </c>
      <c r="P24" s="24">
        <v>25</v>
      </c>
      <c r="Q24" s="74">
        <v>0.3</v>
      </c>
      <c r="R24" s="24">
        <v>1.95</v>
      </c>
      <c r="S24" s="24">
        <v>0.75</v>
      </c>
    </row>
    <row r="25" spans="1:19" ht="14.4" x14ac:dyDescent="0.3">
      <c r="A25" s="23" t="s">
        <v>286</v>
      </c>
      <c r="B25" s="23" t="s">
        <v>287</v>
      </c>
      <c r="C25" s="23" t="s">
        <v>279</v>
      </c>
      <c r="D25" s="23"/>
      <c r="E25" s="23"/>
      <c r="F25" s="23"/>
      <c r="G25" s="23">
        <v>2</v>
      </c>
      <c r="H25" s="23"/>
      <c r="I25" s="23">
        <v>1</v>
      </c>
      <c r="J25" s="23">
        <v>3</v>
      </c>
      <c r="K25" s="23" t="s">
        <v>138</v>
      </c>
      <c r="L25" s="24" t="s">
        <v>37</v>
      </c>
      <c r="M25" s="24" t="s">
        <v>127</v>
      </c>
      <c r="N25" s="24" t="s">
        <v>38</v>
      </c>
      <c r="O25" s="24" t="s">
        <v>38</v>
      </c>
      <c r="P25" s="24">
        <v>90</v>
      </c>
      <c r="Q25" s="74">
        <v>0.3</v>
      </c>
      <c r="R25" s="24">
        <v>0</v>
      </c>
      <c r="S25" s="24">
        <v>2.7</v>
      </c>
    </row>
    <row r="26" spans="1:19" ht="14.4" x14ac:dyDescent="0.3">
      <c r="A26" s="23" t="s">
        <v>641</v>
      </c>
      <c r="B26" s="23" t="s">
        <v>642</v>
      </c>
      <c r="C26" s="23" t="s">
        <v>288</v>
      </c>
      <c r="D26" s="23"/>
      <c r="E26" s="23"/>
      <c r="F26" s="23"/>
      <c r="G26" s="23"/>
      <c r="H26" s="23"/>
      <c r="I26" s="23">
        <v>1</v>
      </c>
      <c r="J26" s="23">
        <v>1</v>
      </c>
      <c r="K26" s="23" t="s">
        <v>128</v>
      </c>
      <c r="L26" s="24" t="s">
        <v>37</v>
      </c>
      <c r="M26" s="24" t="s">
        <v>66</v>
      </c>
      <c r="N26" s="24" t="s">
        <v>38</v>
      </c>
      <c r="O26" s="24" t="s">
        <v>38</v>
      </c>
      <c r="P26" s="24">
        <v>50</v>
      </c>
      <c r="Q26" s="74">
        <v>0.5</v>
      </c>
      <c r="R26" s="24">
        <v>0</v>
      </c>
      <c r="S26" s="24">
        <v>0.5</v>
      </c>
    </row>
    <row r="27" spans="1:19" ht="14.4" x14ac:dyDescent="0.3">
      <c r="A27" s="23" t="s">
        <v>345</v>
      </c>
      <c r="B27" s="23" t="s">
        <v>346</v>
      </c>
      <c r="C27" s="23" t="s">
        <v>279</v>
      </c>
      <c r="D27" s="23"/>
      <c r="E27" s="23"/>
      <c r="F27" s="23"/>
      <c r="G27" s="23"/>
      <c r="H27" s="23"/>
      <c r="I27" s="23">
        <v>1</v>
      </c>
      <c r="J27" s="23">
        <v>1</v>
      </c>
      <c r="K27" s="23" t="s">
        <v>168</v>
      </c>
      <c r="L27" s="24" t="s">
        <v>37</v>
      </c>
      <c r="M27" s="24" t="s">
        <v>84</v>
      </c>
      <c r="N27" s="24" t="s">
        <v>38</v>
      </c>
      <c r="O27" s="24" t="s">
        <v>38</v>
      </c>
      <c r="P27" s="24">
        <v>80</v>
      </c>
      <c r="Q27" s="74">
        <v>0.2</v>
      </c>
      <c r="R27" s="24">
        <v>0</v>
      </c>
      <c r="S27" s="24">
        <v>0.8</v>
      </c>
    </row>
    <row r="28" spans="1:19" ht="14.4" x14ac:dyDescent="0.3">
      <c r="A28" s="23" t="s">
        <v>327</v>
      </c>
      <c r="B28" s="23" t="s">
        <v>328</v>
      </c>
      <c r="C28" s="23" t="s">
        <v>279</v>
      </c>
      <c r="D28" s="23"/>
      <c r="E28" s="23"/>
      <c r="F28" s="23">
        <v>1</v>
      </c>
      <c r="G28" s="23"/>
      <c r="H28" s="23">
        <v>1</v>
      </c>
      <c r="I28" s="23"/>
      <c r="J28" s="23">
        <v>2</v>
      </c>
      <c r="K28" s="23" t="s">
        <v>206</v>
      </c>
      <c r="L28" s="24" t="s">
        <v>37</v>
      </c>
      <c r="M28" s="24" t="s">
        <v>127</v>
      </c>
      <c r="N28" s="24" t="s">
        <v>52</v>
      </c>
      <c r="O28" s="24" t="s">
        <v>127</v>
      </c>
      <c r="P28" s="24">
        <v>80</v>
      </c>
      <c r="Q28" s="74">
        <v>0.2</v>
      </c>
      <c r="R28" s="24">
        <v>0.2</v>
      </c>
      <c r="S28" s="24">
        <v>1.6</v>
      </c>
    </row>
    <row r="29" spans="1:19" ht="14.4" x14ac:dyDescent="0.3">
      <c r="A29" s="23" t="s">
        <v>536</v>
      </c>
      <c r="B29" s="23" t="s">
        <v>537</v>
      </c>
      <c r="C29" s="23" t="s">
        <v>288</v>
      </c>
      <c r="D29" s="23"/>
      <c r="E29" s="23"/>
      <c r="F29" s="23"/>
      <c r="G29" s="23"/>
      <c r="H29" s="23"/>
      <c r="I29" s="23">
        <v>1</v>
      </c>
      <c r="J29" s="23">
        <v>1</v>
      </c>
      <c r="K29" s="23" t="s">
        <v>126</v>
      </c>
      <c r="L29" s="24" t="s">
        <v>37</v>
      </c>
      <c r="M29" s="24" t="s">
        <v>84</v>
      </c>
      <c r="N29" s="24" t="s">
        <v>38</v>
      </c>
      <c r="O29" s="24" t="s">
        <v>38</v>
      </c>
      <c r="P29" s="24">
        <v>80</v>
      </c>
      <c r="Q29" s="74">
        <v>0.2</v>
      </c>
      <c r="R29" s="24">
        <v>0</v>
      </c>
      <c r="S29" s="24">
        <v>0.8</v>
      </c>
    </row>
    <row r="30" spans="1:19" ht="14.4" x14ac:dyDescent="0.3">
      <c r="A30" s="23" t="s">
        <v>429</v>
      </c>
      <c r="B30" s="23" t="s">
        <v>430</v>
      </c>
      <c r="C30" s="73" t="s">
        <v>279</v>
      </c>
      <c r="D30" s="23"/>
      <c r="E30" s="23">
        <v>1</v>
      </c>
      <c r="F30" s="23">
        <v>1</v>
      </c>
      <c r="G30" s="23"/>
      <c r="H30" s="23"/>
      <c r="I30" s="23"/>
      <c r="J30" s="23">
        <v>2</v>
      </c>
      <c r="K30" s="23" t="s">
        <v>431</v>
      </c>
      <c r="L30" s="24" t="s">
        <v>37</v>
      </c>
      <c r="M30" s="24" t="s">
        <v>84</v>
      </c>
      <c r="N30" s="24" t="s">
        <v>38</v>
      </c>
      <c r="O30" s="24" t="s">
        <v>38</v>
      </c>
      <c r="P30" s="24">
        <v>80</v>
      </c>
      <c r="Q30" s="74">
        <v>0.4</v>
      </c>
      <c r="R30" s="24">
        <v>0</v>
      </c>
      <c r="S30" s="24">
        <v>1.6</v>
      </c>
    </row>
    <row r="31" spans="1:19" ht="14.4" x14ac:dyDescent="0.3">
      <c r="A31" s="23" t="s">
        <v>315</v>
      </c>
      <c r="B31" s="23" t="s">
        <v>316</v>
      </c>
      <c r="C31" s="23" t="s">
        <v>279</v>
      </c>
      <c r="D31" s="23"/>
      <c r="E31" s="23"/>
      <c r="F31" s="23">
        <v>1</v>
      </c>
      <c r="G31" s="23"/>
      <c r="H31" s="23"/>
      <c r="I31" s="23">
        <v>1</v>
      </c>
      <c r="J31" s="23">
        <v>2</v>
      </c>
      <c r="K31" s="23" t="s">
        <v>191</v>
      </c>
      <c r="L31" s="24" t="s">
        <v>37</v>
      </c>
      <c r="M31" s="24" t="s">
        <v>127</v>
      </c>
      <c r="N31" s="24" t="s">
        <v>49</v>
      </c>
      <c r="O31" s="24" t="s">
        <v>441</v>
      </c>
      <c r="P31" s="24">
        <v>35</v>
      </c>
      <c r="Q31" s="74">
        <v>0.2</v>
      </c>
      <c r="R31" s="24">
        <v>1.1000000000000001</v>
      </c>
      <c r="S31" s="24">
        <v>0.7</v>
      </c>
    </row>
    <row r="32" spans="1:19" ht="14.4" x14ac:dyDescent="0.3">
      <c r="A32" s="23" t="s">
        <v>305</v>
      </c>
      <c r="B32" s="23" t="s">
        <v>306</v>
      </c>
      <c r="C32" s="73" t="s">
        <v>279</v>
      </c>
      <c r="D32" s="23"/>
      <c r="E32" s="23"/>
      <c r="F32" s="23"/>
      <c r="G32" s="23">
        <v>1</v>
      </c>
      <c r="H32" s="23"/>
      <c r="I32" s="23">
        <v>1</v>
      </c>
      <c r="J32" s="23">
        <v>2</v>
      </c>
      <c r="K32" s="23" t="s">
        <v>168</v>
      </c>
      <c r="L32" s="24" t="s">
        <v>37</v>
      </c>
      <c r="M32" s="24" t="s">
        <v>127</v>
      </c>
      <c r="N32" s="24" t="s">
        <v>38</v>
      </c>
      <c r="O32" s="24" t="s">
        <v>38</v>
      </c>
      <c r="P32" s="24">
        <v>90</v>
      </c>
      <c r="Q32" s="74">
        <v>0.2</v>
      </c>
      <c r="R32" s="24">
        <v>0</v>
      </c>
      <c r="S32" s="24">
        <v>1.8</v>
      </c>
    </row>
    <row r="33" spans="1:19" ht="14.4" x14ac:dyDescent="0.3">
      <c r="A33" s="23" t="s">
        <v>643</v>
      </c>
      <c r="B33" s="23" t="s">
        <v>644</v>
      </c>
      <c r="C33" s="23" t="s">
        <v>288</v>
      </c>
      <c r="D33" s="23"/>
      <c r="E33" s="23"/>
      <c r="F33" s="23"/>
      <c r="G33" s="23"/>
      <c r="H33" s="23"/>
      <c r="I33" s="23">
        <v>1</v>
      </c>
      <c r="J33" s="23">
        <v>1</v>
      </c>
      <c r="K33" s="23" t="s">
        <v>126</v>
      </c>
      <c r="L33" s="24" t="s">
        <v>37</v>
      </c>
      <c r="M33" s="24" t="s">
        <v>84</v>
      </c>
      <c r="N33" s="24" t="s">
        <v>38</v>
      </c>
      <c r="O33" s="24" t="s">
        <v>38</v>
      </c>
      <c r="P33" s="24">
        <v>80</v>
      </c>
      <c r="Q33" s="74">
        <v>0.2</v>
      </c>
      <c r="R33" s="24">
        <v>0</v>
      </c>
      <c r="S33" s="24">
        <v>0.8</v>
      </c>
    </row>
    <row r="34" spans="1:19" ht="14.4" x14ac:dyDescent="0.3">
      <c r="A34" s="23" t="s">
        <v>293</v>
      </c>
      <c r="B34" s="23" t="s">
        <v>294</v>
      </c>
      <c r="C34" s="23">
        <v>6</v>
      </c>
      <c r="D34" s="23"/>
      <c r="E34" s="23"/>
      <c r="F34" s="23">
        <v>1</v>
      </c>
      <c r="G34" s="23"/>
      <c r="H34" s="23">
        <v>1</v>
      </c>
      <c r="I34" s="23"/>
      <c r="J34" s="23">
        <v>2</v>
      </c>
      <c r="K34" s="23" t="s">
        <v>117</v>
      </c>
      <c r="L34" s="24" t="s">
        <v>37</v>
      </c>
      <c r="M34" s="24" t="s">
        <v>118</v>
      </c>
      <c r="N34" s="24" t="s">
        <v>38</v>
      </c>
      <c r="O34" s="24" t="s">
        <v>38</v>
      </c>
      <c r="P34" s="24">
        <v>10</v>
      </c>
      <c r="Q34" s="74">
        <v>1.8</v>
      </c>
      <c r="R34" s="24">
        <v>0</v>
      </c>
      <c r="S34" s="24">
        <v>0.2</v>
      </c>
    </row>
    <row r="35" spans="1:19" ht="14.4" x14ac:dyDescent="0.3">
      <c r="A35" s="23" t="s">
        <v>277</v>
      </c>
      <c r="B35" s="23" t="s">
        <v>278</v>
      </c>
      <c r="C35" s="73" t="s">
        <v>645</v>
      </c>
      <c r="D35" s="23"/>
      <c r="E35" s="23"/>
      <c r="F35" s="23"/>
      <c r="G35" s="23"/>
      <c r="H35" s="23"/>
      <c r="I35" s="23">
        <v>1</v>
      </c>
      <c r="J35" s="23">
        <v>1</v>
      </c>
      <c r="K35" s="23" t="s">
        <v>83</v>
      </c>
      <c r="L35" s="24" t="s">
        <v>37</v>
      </c>
      <c r="M35" s="24" t="s">
        <v>127</v>
      </c>
      <c r="N35" s="24" t="s">
        <v>38</v>
      </c>
      <c r="O35" s="24" t="s">
        <v>38</v>
      </c>
      <c r="P35" s="24">
        <v>90</v>
      </c>
      <c r="Q35" s="74">
        <v>0.1</v>
      </c>
      <c r="R35" s="24">
        <v>0</v>
      </c>
      <c r="S35" s="24">
        <v>0.9</v>
      </c>
    </row>
    <row r="36" spans="1:19" ht="14.4" x14ac:dyDescent="0.3">
      <c r="A36" s="23" t="s">
        <v>307</v>
      </c>
      <c r="B36" s="23" t="s">
        <v>308</v>
      </c>
      <c r="C36" s="73" t="s">
        <v>645</v>
      </c>
      <c r="D36" s="23"/>
      <c r="E36" s="23"/>
      <c r="F36" s="23"/>
      <c r="G36" s="23"/>
      <c r="H36" s="23"/>
      <c r="I36" s="23">
        <v>1</v>
      </c>
      <c r="J36" s="23">
        <v>1</v>
      </c>
      <c r="K36" s="23" t="s">
        <v>117</v>
      </c>
      <c r="L36" s="24" t="s">
        <v>37</v>
      </c>
      <c r="M36" s="24" t="s">
        <v>127</v>
      </c>
      <c r="N36" s="24" t="s">
        <v>187</v>
      </c>
      <c r="O36" s="24" t="s">
        <v>188</v>
      </c>
      <c r="P36" s="24">
        <v>65</v>
      </c>
      <c r="Q36" s="74">
        <v>0.1</v>
      </c>
      <c r="R36" s="24">
        <v>0.25</v>
      </c>
      <c r="S36" s="24">
        <v>0.65</v>
      </c>
    </row>
    <row r="37" spans="1:19" customFormat="1" ht="14.4" x14ac:dyDescent="0.3">
      <c r="A37" s="23" t="s">
        <v>313</v>
      </c>
      <c r="B37" s="23" t="s">
        <v>314</v>
      </c>
      <c r="C37" s="23" t="s">
        <v>279</v>
      </c>
      <c r="D37" s="23"/>
      <c r="E37" s="23"/>
      <c r="F37" s="23"/>
      <c r="G37" s="23">
        <v>1</v>
      </c>
      <c r="H37" s="23"/>
      <c r="I37" s="23"/>
      <c r="J37" s="23">
        <v>1</v>
      </c>
      <c r="K37" s="23" t="s">
        <v>191</v>
      </c>
      <c r="L37" s="24" t="s">
        <v>49</v>
      </c>
      <c r="M37" s="24" t="s">
        <v>207</v>
      </c>
      <c r="N37" s="24" t="s">
        <v>37</v>
      </c>
      <c r="O37" s="24" t="s">
        <v>84</v>
      </c>
      <c r="P37" s="24">
        <v>40</v>
      </c>
      <c r="Q37" s="24">
        <v>0.4</v>
      </c>
      <c r="R37" s="74">
        <v>0.2</v>
      </c>
      <c r="S37" s="24">
        <v>0.4</v>
      </c>
    </row>
    <row r="38" spans="1:19" customFormat="1" ht="14.4" x14ac:dyDescent="0.3">
      <c r="A38" s="23" t="s">
        <v>311</v>
      </c>
      <c r="B38" s="23" t="s">
        <v>312</v>
      </c>
      <c r="C38" s="23" t="s">
        <v>279</v>
      </c>
      <c r="D38" s="23"/>
      <c r="E38" s="23"/>
      <c r="F38" s="23"/>
      <c r="G38" s="23"/>
      <c r="H38" s="23"/>
      <c r="I38" s="23">
        <v>1</v>
      </c>
      <c r="J38" s="23">
        <v>1</v>
      </c>
      <c r="K38" s="23" t="s">
        <v>191</v>
      </c>
      <c r="L38" s="24" t="s">
        <v>49</v>
      </c>
      <c r="M38" s="24" t="s">
        <v>207</v>
      </c>
      <c r="N38" s="24" t="s">
        <v>37</v>
      </c>
      <c r="O38" s="24" t="s">
        <v>84</v>
      </c>
      <c r="P38" s="24">
        <v>40</v>
      </c>
      <c r="Q38" s="24">
        <v>0.4</v>
      </c>
      <c r="R38" s="74">
        <v>0.2</v>
      </c>
      <c r="S38" s="24">
        <v>0.4</v>
      </c>
    </row>
    <row r="39" spans="1:19" customFormat="1" ht="14.4" x14ac:dyDescent="0.3">
      <c r="A39" s="23" t="s">
        <v>337</v>
      </c>
      <c r="B39" s="23" t="s">
        <v>338</v>
      </c>
      <c r="C39" s="23" t="s">
        <v>279</v>
      </c>
      <c r="D39" s="23">
        <v>1</v>
      </c>
      <c r="E39" s="23"/>
      <c r="F39" s="23"/>
      <c r="G39" s="23"/>
      <c r="H39" s="23"/>
      <c r="I39" s="23"/>
      <c r="J39" s="23">
        <v>1</v>
      </c>
      <c r="K39" s="23" t="s">
        <v>191</v>
      </c>
      <c r="L39" s="24" t="s">
        <v>49</v>
      </c>
      <c r="M39" s="24" t="s">
        <v>207</v>
      </c>
      <c r="N39" s="24" t="s">
        <v>37</v>
      </c>
      <c r="O39" s="24" t="s">
        <v>127</v>
      </c>
      <c r="P39" s="24">
        <v>50</v>
      </c>
      <c r="Q39" s="24">
        <v>0.4</v>
      </c>
      <c r="R39" s="74">
        <v>0.1</v>
      </c>
      <c r="S39" s="24">
        <v>0.5</v>
      </c>
    </row>
    <row r="40" spans="1:19" customFormat="1" ht="14.4" x14ac:dyDescent="0.3">
      <c r="A40" s="23" t="s">
        <v>341</v>
      </c>
      <c r="B40" s="23" t="s">
        <v>342</v>
      </c>
      <c r="C40" s="23" t="s">
        <v>279</v>
      </c>
      <c r="D40" s="23"/>
      <c r="E40" s="23"/>
      <c r="F40" s="23">
        <v>1</v>
      </c>
      <c r="G40" s="23">
        <v>1</v>
      </c>
      <c r="H40" s="23"/>
      <c r="I40" s="23"/>
      <c r="J40" s="23">
        <v>2</v>
      </c>
      <c r="K40" s="23" t="s">
        <v>117</v>
      </c>
      <c r="L40" s="24" t="s">
        <v>61</v>
      </c>
      <c r="M40" s="24" t="s">
        <v>234</v>
      </c>
      <c r="N40" s="24" t="s">
        <v>37</v>
      </c>
      <c r="O40" s="24" t="s">
        <v>84</v>
      </c>
      <c r="P40" s="24">
        <v>50</v>
      </c>
      <c r="Q40" s="24">
        <v>0.6</v>
      </c>
      <c r="R40" s="74">
        <v>0.4</v>
      </c>
      <c r="S40" s="24">
        <v>1</v>
      </c>
    </row>
    <row r="41" spans="1:19" customFormat="1" ht="14.4" x14ac:dyDescent="0.3">
      <c r="A41" s="23" t="s">
        <v>335</v>
      </c>
      <c r="B41" s="23" t="s">
        <v>336</v>
      </c>
      <c r="C41" s="23" t="s">
        <v>288</v>
      </c>
      <c r="D41" s="23"/>
      <c r="E41" s="23"/>
      <c r="F41" s="23"/>
      <c r="G41" s="23"/>
      <c r="H41" s="23">
        <v>1</v>
      </c>
      <c r="I41" s="23"/>
      <c r="J41" s="23">
        <v>1</v>
      </c>
      <c r="K41" s="23" t="s">
        <v>117</v>
      </c>
      <c r="L41" s="24" t="s">
        <v>187</v>
      </c>
      <c r="M41" s="24" t="s">
        <v>66</v>
      </c>
      <c r="N41" s="24" t="s">
        <v>37</v>
      </c>
      <c r="O41" s="24" t="s">
        <v>188</v>
      </c>
      <c r="P41" s="24">
        <v>25</v>
      </c>
      <c r="Q41" s="24">
        <v>0.5</v>
      </c>
      <c r="R41" s="74">
        <v>0.25</v>
      </c>
      <c r="S41" s="24">
        <v>0.25</v>
      </c>
    </row>
    <row r="42" spans="1:19" customFormat="1" ht="14.4" x14ac:dyDescent="0.3">
      <c r="A42" s="23" t="s">
        <v>339</v>
      </c>
      <c r="B42" s="23" t="s">
        <v>340</v>
      </c>
      <c r="C42" s="73" t="s">
        <v>279</v>
      </c>
      <c r="D42" s="23"/>
      <c r="E42" s="23"/>
      <c r="F42" s="23"/>
      <c r="G42" s="23">
        <v>2</v>
      </c>
      <c r="H42" s="23"/>
      <c r="I42" s="23"/>
      <c r="J42" s="23">
        <v>2</v>
      </c>
      <c r="K42" s="23" t="s">
        <v>168</v>
      </c>
      <c r="L42" s="24" t="s">
        <v>56</v>
      </c>
      <c r="M42" s="24" t="s">
        <v>84</v>
      </c>
      <c r="N42" s="24" t="s">
        <v>37</v>
      </c>
      <c r="O42" s="24" t="s">
        <v>66</v>
      </c>
      <c r="P42" s="24">
        <v>30</v>
      </c>
      <c r="Q42" s="24">
        <v>0.4</v>
      </c>
      <c r="R42" s="74">
        <v>1</v>
      </c>
      <c r="S42" s="24">
        <v>0.6</v>
      </c>
    </row>
    <row r="43" spans="1:19" x14ac:dyDescent="0.25">
      <c r="Q43" s="80">
        <f>SUM(R37:R42,Q2:Q36)</f>
        <v>14.599999999999996</v>
      </c>
      <c r="R43" s="80"/>
    </row>
  </sheetData>
  <mergeCells count="1">
    <mergeCell ref="Q43:R43"/>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topLeftCell="A19" zoomScaleNormal="100" workbookViewId="0">
      <selection activeCell="A51" sqref="A51:XFD58"/>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347</v>
      </c>
      <c r="B3" s="5">
        <v>1575</v>
      </c>
    </row>
    <row r="4" spans="1:2" x14ac:dyDescent="0.2">
      <c r="A4" s="4" t="s">
        <v>4</v>
      </c>
      <c r="B4" s="5"/>
    </row>
    <row r="5" spans="1:2" x14ac:dyDescent="0.2">
      <c r="A5" s="4" t="s">
        <v>348</v>
      </c>
      <c r="B5" s="5">
        <v>3814</v>
      </c>
    </row>
    <row r="6" spans="1:2" x14ac:dyDescent="0.2">
      <c r="A6" s="4" t="s">
        <v>349</v>
      </c>
      <c r="B6" s="7">
        <v>7628</v>
      </c>
    </row>
    <row r="7" spans="1:2" x14ac:dyDescent="0.2">
      <c r="A7" s="4" t="s">
        <v>350</v>
      </c>
      <c r="B7" s="5">
        <v>3814</v>
      </c>
    </row>
    <row r="8" spans="1:2" x14ac:dyDescent="0.2">
      <c r="A8" s="4" t="s">
        <v>351</v>
      </c>
      <c r="B8" s="5">
        <v>3814</v>
      </c>
    </row>
    <row r="9" spans="1:2" x14ac:dyDescent="0.2">
      <c r="A9" s="4" t="s">
        <v>352</v>
      </c>
      <c r="B9" s="5">
        <v>3814</v>
      </c>
    </row>
    <row r="10" spans="1:2" x14ac:dyDescent="0.2">
      <c r="A10" s="4" t="s">
        <v>353</v>
      </c>
      <c r="B10" s="5"/>
    </row>
    <row r="11" spans="1:2" x14ac:dyDescent="0.2">
      <c r="A11" s="4" t="s">
        <v>354</v>
      </c>
      <c r="B11" s="5">
        <v>7000</v>
      </c>
    </row>
    <row r="12" spans="1:2" x14ac:dyDescent="0.2">
      <c r="A12" s="4" t="s">
        <v>355</v>
      </c>
      <c r="B12" s="5"/>
    </row>
    <row r="13" spans="1:2" x14ac:dyDescent="0.2">
      <c r="A13" s="4" t="s">
        <v>356</v>
      </c>
      <c r="B13" s="5">
        <v>4500</v>
      </c>
    </row>
    <row r="14" spans="1:2" x14ac:dyDescent="0.2">
      <c r="A14" s="4" t="s">
        <v>357</v>
      </c>
      <c r="B14" s="5">
        <v>4500</v>
      </c>
    </row>
    <row r="15" spans="1:2" x14ac:dyDescent="0.2">
      <c r="A15" s="4" t="s">
        <v>358</v>
      </c>
      <c r="B15" s="5"/>
    </row>
    <row r="16" spans="1:2" x14ac:dyDescent="0.2">
      <c r="A16" s="4" t="s">
        <v>359</v>
      </c>
      <c r="B16" s="5">
        <v>14900</v>
      </c>
    </row>
    <row r="17" spans="1:2" x14ac:dyDescent="0.2">
      <c r="A17" s="4" t="s">
        <v>360</v>
      </c>
      <c r="B17" s="5"/>
    </row>
    <row r="18" spans="1:2" x14ac:dyDescent="0.2">
      <c r="A18" s="4" t="s">
        <v>361</v>
      </c>
      <c r="B18" s="5">
        <v>10000</v>
      </c>
    </row>
    <row r="19" spans="1:2" x14ac:dyDescent="0.2">
      <c r="A19" s="4" t="s">
        <v>362</v>
      </c>
      <c r="B19" s="5">
        <v>9000</v>
      </c>
    </row>
    <row r="20" spans="1:2" x14ac:dyDescent="0.2">
      <c r="A20" s="4" t="s">
        <v>363</v>
      </c>
      <c r="B20" s="5"/>
    </row>
    <row r="21" spans="1:2" x14ac:dyDescent="0.2">
      <c r="A21" s="4" t="s">
        <v>364</v>
      </c>
      <c r="B21" s="5">
        <v>10800</v>
      </c>
    </row>
    <row r="22" spans="1:2" x14ac:dyDescent="0.2">
      <c r="A22" s="4" t="s">
        <v>365</v>
      </c>
      <c r="B22" s="5"/>
    </row>
    <row r="23" spans="1:2" x14ac:dyDescent="0.2">
      <c r="A23" s="4" t="s">
        <v>366</v>
      </c>
      <c r="B23" s="5">
        <v>6120</v>
      </c>
    </row>
    <row r="24" spans="1:2" x14ac:dyDescent="0.2">
      <c r="A24" s="4" t="s">
        <v>367</v>
      </c>
      <c r="B24" s="5">
        <v>2040</v>
      </c>
    </row>
    <row r="25" spans="1:2" x14ac:dyDescent="0.2">
      <c r="A25" s="4" t="s">
        <v>368</v>
      </c>
      <c r="B25" s="5">
        <v>2040</v>
      </c>
    </row>
    <row r="26" spans="1:2" x14ac:dyDescent="0.2">
      <c r="A26" s="4" t="s">
        <v>369</v>
      </c>
      <c r="B26" s="5"/>
    </row>
    <row r="27" spans="1:2" x14ac:dyDescent="0.2">
      <c r="A27" s="4" t="s">
        <v>370</v>
      </c>
      <c r="B27" s="5">
        <v>2550</v>
      </c>
    </row>
    <row r="28" spans="1:2" x14ac:dyDescent="0.2">
      <c r="A28" s="4" t="s">
        <v>371</v>
      </c>
      <c r="B28" s="5">
        <v>2550</v>
      </c>
    </row>
    <row r="29" spans="1:2" x14ac:dyDescent="0.2">
      <c r="A29" s="4" t="s">
        <v>372</v>
      </c>
      <c r="B29" s="5"/>
    </row>
    <row r="30" spans="1:2" x14ac:dyDescent="0.2">
      <c r="A30" s="4" t="s">
        <v>373</v>
      </c>
      <c r="B30" s="5">
        <v>4000</v>
      </c>
    </row>
    <row r="31" spans="1:2" x14ac:dyDescent="0.2">
      <c r="A31" s="4" t="s">
        <v>374</v>
      </c>
      <c r="B31" s="5">
        <v>4000</v>
      </c>
    </row>
    <row r="32" spans="1:2" x14ac:dyDescent="0.2">
      <c r="A32" s="4" t="s">
        <v>375</v>
      </c>
      <c r="B32" s="5"/>
    </row>
    <row r="33" spans="1:2" x14ac:dyDescent="0.2">
      <c r="A33" s="4" t="s">
        <v>376</v>
      </c>
      <c r="B33" s="5">
        <v>7500</v>
      </c>
    </row>
    <row r="34" spans="1:2" x14ac:dyDescent="0.2">
      <c r="A34" s="4" t="s">
        <v>377</v>
      </c>
      <c r="B34" s="5"/>
    </row>
    <row r="35" spans="1:2" x14ac:dyDescent="0.2">
      <c r="A35" s="4" t="s">
        <v>378</v>
      </c>
      <c r="B35" s="5">
        <v>7000</v>
      </c>
    </row>
    <row r="36" spans="1:2" x14ac:dyDescent="0.2">
      <c r="A36" s="4" t="s">
        <v>379</v>
      </c>
      <c r="B36" s="5"/>
    </row>
    <row r="37" spans="1:2" x14ac:dyDescent="0.2">
      <c r="A37" s="4" t="s">
        <v>380</v>
      </c>
      <c r="B37" s="5">
        <v>6.02</v>
      </c>
    </row>
    <row r="38" spans="1:2" x14ac:dyDescent="0.2">
      <c r="A38" s="4" t="s">
        <v>381</v>
      </c>
      <c r="B38" s="5">
        <v>2.2200000000000002</v>
      </c>
    </row>
    <row r="39" spans="1:2" x14ac:dyDescent="0.2">
      <c r="A39" s="4" t="s">
        <v>382</v>
      </c>
      <c r="B39" s="5">
        <v>3.65</v>
      </c>
    </row>
    <row r="40" spans="1:2" x14ac:dyDescent="0.2">
      <c r="A40" s="4" t="s">
        <v>12</v>
      </c>
      <c r="B40" s="5"/>
    </row>
    <row r="41" spans="1:2" x14ac:dyDescent="0.2">
      <c r="A41" s="4" t="s">
        <v>383</v>
      </c>
      <c r="B41" s="5">
        <v>12987</v>
      </c>
    </row>
    <row r="42" spans="1:2" x14ac:dyDescent="0.2">
      <c r="A42" s="4" t="s">
        <v>384</v>
      </c>
      <c r="B42" s="5">
        <v>12987</v>
      </c>
    </row>
    <row r="43" spans="1:2" x14ac:dyDescent="0.2">
      <c r="A43" s="4" t="s">
        <v>385</v>
      </c>
      <c r="B43" s="5"/>
    </row>
    <row r="44" spans="1:2" x14ac:dyDescent="0.2">
      <c r="A44" s="4" t="s">
        <v>386</v>
      </c>
      <c r="B44" s="5">
        <v>15000</v>
      </c>
    </row>
    <row r="45" spans="1:2" x14ac:dyDescent="0.2">
      <c r="A45" s="4" t="s">
        <v>7</v>
      </c>
      <c r="B45" s="5"/>
    </row>
    <row r="46" spans="1:2" x14ac:dyDescent="0.2">
      <c r="A46" s="4" t="s">
        <v>387</v>
      </c>
      <c r="B46" s="5">
        <v>22000</v>
      </c>
    </row>
    <row r="47" spans="1:2" x14ac:dyDescent="0.2">
      <c r="A47" s="4" t="s">
        <v>388</v>
      </c>
      <c r="B47" s="5"/>
    </row>
    <row r="48" spans="1:2" x14ac:dyDescent="0.2">
      <c r="A48" s="4" t="s">
        <v>389</v>
      </c>
      <c r="B48" s="5">
        <v>16622.75</v>
      </c>
    </row>
    <row r="49" spans="1:2" x14ac:dyDescent="0.2">
      <c r="A49" s="4" t="s">
        <v>390</v>
      </c>
      <c r="B49" s="5">
        <v>23300</v>
      </c>
    </row>
    <row r="50" spans="1:2" x14ac:dyDescent="0.2">
      <c r="A50" s="4" t="s">
        <v>380</v>
      </c>
      <c r="B50" s="5">
        <v>2.21</v>
      </c>
    </row>
    <row r="51" spans="1:2" x14ac:dyDescent="0.2">
      <c r="A51" s="6" t="s">
        <v>2</v>
      </c>
      <c r="B51" s="7">
        <f>SUM(B3:B50)</f>
        <v>225869.85</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370F0-E669-465B-B7FB-DD1F1560A344}">
  <dimension ref="A1:B46"/>
  <sheetViews>
    <sheetView topLeftCell="B28" workbookViewId="0">
      <selection sqref="A1:B1"/>
    </sheetView>
  </sheetViews>
  <sheetFormatPr baseColWidth="10" defaultRowHeight="14.4" x14ac:dyDescent="0.3"/>
  <cols>
    <col min="1" max="1" width="255.6640625" bestFit="1" customWidth="1"/>
  </cols>
  <sheetData>
    <row r="1" spans="1:2" ht="21.6" x14ac:dyDescent="0.3">
      <c r="A1" s="2" t="s">
        <v>0</v>
      </c>
      <c r="B1" s="3" t="s">
        <v>1</v>
      </c>
    </row>
    <row r="2" spans="1:2" x14ac:dyDescent="0.3">
      <c r="A2" s="39" t="s">
        <v>5</v>
      </c>
      <c r="B2" s="40"/>
    </row>
    <row r="3" spans="1:2" x14ac:dyDescent="0.3">
      <c r="A3" s="41" t="s">
        <v>485</v>
      </c>
      <c r="B3">
        <v>1.37</v>
      </c>
    </row>
    <row r="4" spans="1:2" x14ac:dyDescent="0.3">
      <c r="A4" s="39" t="s">
        <v>6</v>
      </c>
      <c r="B4" s="40"/>
    </row>
    <row r="5" spans="1:2" x14ac:dyDescent="0.3">
      <c r="A5" s="41" t="s">
        <v>485</v>
      </c>
      <c r="B5">
        <v>1.18</v>
      </c>
    </row>
    <row r="6" spans="1:2" x14ac:dyDescent="0.3">
      <c r="A6" s="39" t="s">
        <v>363</v>
      </c>
      <c r="B6" s="40"/>
    </row>
    <row r="7" spans="1:2" x14ac:dyDescent="0.3">
      <c r="A7" s="41" t="s">
        <v>485</v>
      </c>
      <c r="B7">
        <v>7.13</v>
      </c>
    </row>
    <row r="8" spans="1:2" x14ac:dyDescent="0.3">
      <c r="A8" s="41" t="s">
        <v>486</v>
      </c>
      <c r="B8">
        <v>75.41</v>
      </c>
    </row>
    <row r="9" spans="1:2" x14ac:dyDescent="0.3">
      <c r="A9" s="41" t="s">
        <v>487</v>
      </c>
      <c r="B9">
        <v>109.04</v>
      </c>
    </row>
    <row r="10" spans="1:2" x14ac:dyDescent="0.3">
      <c r="A10" s="39" t="s">
        <v>488</v>
      </c>
      <c r="B10" s="40"/>
    </row>
    <row r="11" spans="1:2" x14ac:dyDescent="0.3">
      <c r="A11" s="41" t="s">
        <v>489</v>
      </c>
      <c r="B11">
        <v>2244</v>
      </c>
    </row>
    <row r="12" spans="1:2" x14ac:dyDescent="0.3">
      <c r="A12" s="41" t="s">
        <v>490</v>
      </c>
      <c r="B12">
        <v>2244</v>
      </c>
    </row>
    <row r="13" spans="1:2" x14ac:dyDescent="0.3">
      <c r="A13" s="39" t="s">
        <v>491</v>
      </c>
      <c r="B13" s="40"/>
    </row>
    <row r="14" spans="1:2" x14ac:dyDescent="0.3">
      <c r="A14" s="41" t="s">
        <v>492</v>
      </c>
      <c r="B14">
        <v>4840</v>
      </c>
    </row>
    <row r="15" spans="1:2" x14ac:dyDescent="0.3">
      <c r="A15" s="39" t="s">
        <v>493</v>
      </c>
      <c r="B15" s="40"/>
    </row>
    <row r="16" spans="1:2" x14ac:dyDescent="0.3">
      <c r="A16" s="41" t="s">
        <v>494</v>
      </c>
      <c r="B16">
        <v>21120</v>
      </c>
    </row>
    <row r="17" spans="1:2" x14ac:dyDescent="0.3">
      <c r="A17" s="39" t="s">
        <v>495</v>
      </c>
      <c r="B17" s="40"/>
    </row>
    <row r="18" spans="1:2" x14ac:dyDescent="0.3">
      <c r="A18" s="41" t="s">
        <v>496</v>
      </c>
      <c r="B18">
        <v>2640</v>
      </c>
    </row>
    <row r="19" spans="1:2" x14ac:dyDescent="0.3">
      <c r="A19" s="39" t="s">
        <v>497</v>
      </c>
      <c r="B19" s="40"/>
    </row>
    <row r="20" spans="1:2" x14ac:dyDescent="0.3">
      <c r="A20" s="41" t="s">
        <v>498</v>
      </c>
      <c r="B20">
        <v>3960</v>
      </c>
    </row>
    <row r="21" spans="1:2" x14ac:dyDescent="0.3">
      <c r="A21" s="39" t="s">
        <v>499</v>
      </c>
      <c r="B21" s="40"/>
    </row>
    <row r="22" spans="1:2" x14ac:dyDescent="0.3">
      <c r="A22" s="41" t="s">
        <v>500</v>
      </c>
      <c r="B22">
        <v>2640</v>
      </c>
    </row>
    <row r="23" spans="1:2" x14ac:dyDescent="0.3">
      <c r="A23" s="39" t="s">
        <v>501</v>
      </c>
      <c r="B23" s="40"/>
    </row>
    <row r="24" spans="1:2" x14ac:dyDescent="0.3">
      <c r="A24" s="41" t="s">
        <v>502</v>
      </c>
      <c r="B24">
        <v>10538</v>
      </c>
    </row>
    <row r="25" spans="1:2" x14ac:dyDescent="0.3">
      <c r="A25" s="39" t="s">
        <v>503</v>
      </c>
      <c r="B25" s="40"/>
    </row>
    <row r="26" spans="1:2" x14ac:dyDescent="0.3">
      <c r="A26" s="41" t="s">
        <v>504</v>
      </c>
      <c r="B26">
        <v>1764.4</v>
      </c>
    </row>
    <row r="27" spans="1:2" x14ac:dyDescent="0.3">
      <c r="A27" s="39" t="s">
        <v>505</v>
      </c>
      <c r="B27" s="40"/>
    </row>
    <row r="28" spans="1:2" x14ac:dyDescent="0.3">
      <c r="A28" s="41" t="s">
        <v>506</v>
      </c>
      <c r="B28">
        <v>4400</v>
      </c>
    </row>
    <row r="29" spans="1:2" x14ac:dyDescent="0.3">
      <c r="A29" s="39" t="s">
        <v>507</v>
      </c>
      <c r="B29" s="40"/>
    </row>
    <row r="30" spans="1:2" x14ac:dyDescent="0.3">
      <c r="A30" s="41" t="s">
        <v>508</v>
      </c>
      <c r="B30">
        <v>880</v>
      </c>
    </row>
    <row r="31" spans="1:2" x14ac:dyDescent="0.3">
      <c r="A31" s="39" t="s">
        <v>509</v>
      </c>
      <c r="B31" s="40"/>
    </row>
    <row r="32" spans="1:2" x14ac:dyDescent="0.3">
      <c r="A32" s="41" t="s">
        <v>510</v>
      </c>
      <c r="B32">
        <v>4400</v>
      </c>
    </row>
    <row r="33" spans="1:2" x14ac:dyDescent="0.3">
      <c r="A33" s="39" t="s">
        <v>511</v>
      </c>
      <c r="B33" s="40"/>
    </row>
    <row r="34" spans="1:2" x14ac:dyDescent="0.3">
      <c r="A34" s="41" t="s">
        <v>512</v>
      </c>
      <c r="B34">
        <v>581.82000000000005</v>
      </c>
    </row>
    <row r="35" spans="1:2" x14ac:dyDescent="0.3">
      <c r="A35" s="39" t="s">
        <v>12</v>
      </c>
      <c r="B35" s="40"/>
    </row>
    <row r="36" spans="1:2" x14ac:dyDescent="0.3">
      <c r="A36" s="41" t="s">
        <v>513</v>
      </c>
      <c r="B36">
        <v>12000</v>
      </c>
    </row>
    <row r="37" spans="1:2" x14ac:dyDescent="0.3">
      <c r="A37" s="39" t="s">
        <v>514</v>
      </c>
      <c r="B37" s="40"/>
    </row>
    <row r="38" spans="1:2" x14ac:dyDescent="0.3">
      <c r="A38" s="41" t="s">
        <v>515</v>
      </c>
      <c r="B38">
        <v>10780</v>
      </c>
    </row>
    <row r="39" spans="1:2" x14ac:dyDescent="0.3">
      <c r="A39" s="41" t="s">
        <v>516</v>
      </c>
      <c r="B39">
        <v>10780</v>
      </c>
    </row>
    <row r="40" spans="1:2" x14ac:dyDescent="0.3">
      <c r="A40" s="39" t="s">
        <v>517</v>
      </c>
      <c r="B40" s="40"/>
    </row>
    <row r="41" spans="1:2" x14ac:dyDescent="0.3">
      <c r="A41" s="41" t="s">
        <v>518</v>
      </c>
      <c r="B41">
        <v>10560</v>
      </c>
    </row>
    <row r="42" spans="1:2" x14ac:dyDescent="0.3">
      <c r="A42" s="39" t="s">
        <v>519</v>
      </c>
      <c r="B42" s="40"/>
    </row>
    <row r="43" spans="1:2" x14ac:dyDescent="0.3">
      <c r="A43" s="41" t="s">
        <v>520</v>
      </c>
      <c r="B43">
        <v>9000</v>
      </c>
    </row>
    <row r="44" spans="1:2" x14ac:dyDescent="0.3">
      <c r="A44" s="39" t="s">
        <v>388</v>
      </c>
      <c r="B44" s="40"/>
    </row>
    <row r="45" spans="1:2" x14ac:dyDescent="0.3">
      <c r="A45" s="41" t="s">
        <v>521</v>
      </c>
      <c r="B45">
        <v>40000</v>
      </c>
    </row>
    <row r="46" spans="1:2" x14ac:dyDescent="0.3">
      <c r="A46" s="42" t="s">
        <v>268</v>
      </c>
      <c r="B46" s="43">
        <v>155566.35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D19F-5A57-4985-B47A-6720D8C9160E}">
  <dimension ref="A1:D37"/>
  <sheetViews>
    <sheetView topLeftCell="A7" zoomScale="70" zoomScaleNormal="70" workbookViewId="0">
      <selection activeCell="D37" sqref="D37"/>
    </sheetView>
  </sheetViews>
  <sheetFormatPr baseColWidth="10" defaultRowHeight="14.4" x14ac:dyDescent="0.3"/>
  <cols>
    <col min="2" max="2" width="14" bestFit="1" customWidth="1"/>
    <col min="3" max="3" width="139.5546875" customWidth="1"/>
    <col min="4" max="4" width="14.44140625" bestFit="1" customWidth="1"/>
  </cols>
  <sheetData>
    <row r="1" spans="1:4" ht="15" thickBot="1" x14ac:dyDescent="0.35">
      <c r="A1" s="45" t="s">
        <v>538</v>
      </c>
      <c r="B1" s="46" t="s">
        <v>539</v>
      </c>
      <c r="C1" s="46" t="s">
        <v>540</v>
      </c>
      <c r="D1" s="47" t="s">
        <v>1</v>
      </c>
    </row>
    <row r="2" spans="1:4" ht="15" thickTop="1" x14ac:dyDescent="0.3">
      <c r="A2" s="48" t="s">
        <v>541</v>
      </c>
      <c r="B2" s="49" t="s">
        <v>493</v>
      </c>
      <c r="C2" s="49" t="s">
        <v>542</v>
      </c>
      <c r="D2" s="50">
        <v>0.92</v>
      </c>
    </row>
    <row r="3" spans="1:4" x14ac:dyDescent="0.3">
      <c r="A3" s="51" t="s">
        <v>541</v>
      </c>
      <c r="B3" s="52" t="s">
        <v>493</v>
      </c>
      <c r="C3" s="52" t="s">
        <v>543</v>
      </c>
      <c r="D3" s="53">
        <v>11.5</v>
      </c>
    </row>
    <row r="4" spans="1:4" x14ac:dyDescent="0.3">
      <c r="A4" s="48" t="s">
        <v>541</v>
      </c>
      <c r="B4" s="49" t="s">
        <v>493</v>
      </c>
      <c r="C4" s="49" t="s">
        <v>544</v>
      </c>
      <c r="D4" s="50">
        <v>24.27</v>
      </c>
    </row>
    <row r="5" spans="1:4" x14ac:dyDescent="0.3">
      <c r="A5" s="51" t="s">
        <v>541</v>
      </c>
      <c r="B5" s="52" t="s">
        <v>493</v>
      </c>
      <c r="C5" s="52" t="s">
        <v>545</v>
      </c>
      <c r="D5" s="53">
        <v>43.15</v>
      </c>
    </row>
    <row r="6" spans="1:4" x14ac:dyDescent="0.3">
      <c r="A6" s="48" t="s">
        <v>541</v>
      </c>
      <c r="B6" s="49" t="s">
        <v>495</v>
      </c>
      <c r="C6" s="49" t="s">
        <v>545</v>
      </c>
      <c r="D6" s="50">
        <v>0.68</v>
      </c>
    </row>
    <row r="7" spans="1:4" x14ac:dyDescent="0.3">
      <c r="A7" s="51" t="s">
        <v>541</v>
      </c>
      <c r="B7" s="52" t="s">
        <v>546</v>
      </c>
      <c r="C7" s="52" t="s">
        <v>547</v>
      </c>
      <c r="D7" s="53">
        <v>572</v>
      </c>
    </row>
    <row r="8" spans="1:4" x14ac:dyDescent="0.3">
      <c r="A8" s="48" t="s">
        <v>541</v>
      </c>
      <c r="B8" s="49" t="s">
        <v>546</v>
      </c>
      <c r="C8" s="49" t="s">
        <v>548</v>
      </c>
      <c r="D8" s="50">
        <v>880</v>
      </c>
    </row>
    <row r="9" spans="1:4" x14ac:dyDescent="0.3">
      <c r="A9" s="51" t="s">
        <v>541</v>
      </c>
      <c r="B9" s="52" t="s">
        <v>546</v>
      </c>
      <c r="C9" s="52" t="s">
        <v>549</v>
      </c>
      <c r="D9" s="53">
        <v>880</v>
      </c>
    </row>
    <row r="10" spans="1:4" x14ac:dyDescent="0.3">
      <c r="A10" s="48" t="s">
        <v>541</v>
      </c>
      <c r="B10" s="49" t="s">
        <v>546</v>
      </c>
      <c r="C10" s="49" t="s">
        <v>550</v>
      </c>
      <c r="D10" s="50">
        <v>880</v>
      </c>
    </row>
    <row r="11" spans="1:4" x14ac:dyDescent="0.3">
      <c r="A11" s="51" t="s">
        <v>541</v>
      </c>
      <c r="B11" s="52" t="s">
        <v>546</v>
      </c>
      <c r="C11" s="52" t="s">
        <v>551</v>
      </c>
      <c r="D11" s="53">
        <v>880</v>
      </c>
    </row>
    <row r="12" spans="1:4" x14ac:dyDescent="0.3">
      <c r="A12" s="48" t="s">
        <v>541</v>
      </c>
      <c r="B12" s="49" t="s">
        <v>546</v>
      </c>
      <c r="C12" s="49" t="s">
        <v>552</v>
      </c>
      <c r="D12" s="50">
        <v>880</v>
      </c>
    </row>
    <row r="13" spans="1:4" x14ac:dyDescent="0.3">
      <c r="A13" s="51" t="s">
        <v>541</v>
      </c>
      <c r="B13" s="52" t="s">
        <v>546</v>
      </c>
      <c r="C13" s="52" t="s">
        <v>553</v>
      </c>
      <c r="D13" s="53">
        <v>1760</v>
      </c>
    </row>
    <row r="14" spans="1:4" x14ac:dyDescent="0.3">
      <c r="A14" s="48" t="s">
        <v>541</v>
      </c>
      <c r="B14" s="49" t="s">
        <v>554</v>
      </c>
      <c r="C14" s="49" t="s">
        <v>555</v>
      </c>
      <c r="D14" s="50">
        <v>3520</v>
      </c>
    </row>
    <row r="15" spans="1:4" x14ac:dyDescent="0.3">
      <c r="A15" s="51" t="s">
        <v>541</v>
      </c>
      <c r="B15" s="52" t="s">
        <v>556</v>
      </c>
      <c r="C15" s="52" t="s">
        <v>557</v>
      </c>
      <c r="D15" s="53">
        <v>1100</v>
      </c>
    </row>
    <row r="16" spans="1:4" x14ac:dyDescent="0.3">
      <c r="A16" s="48" t="s">
        <v>541</v>
      </c>
      <c r="B16" s="49" t="s">
        <v>556</v>
      </c>
      <c r="C16" s="49" t="s">
        <v>558</v>
      </c>
      <c r="D16" s="50">
        <v>1100</v>
      </c>
    </row>
    <row r="17" spans="1:4" x14ac:dyDescent="0.3">
      <c r="A17" s="51" t="s">
        <v>541</v>
      </c>
      <c r="B17" s="52" t="s">
        <v>559</v>
      </c>
      <c r="C17" s="52" t="s">
        <v>560</v>
      </c>
      <c r="D17" s="53">
        <v>6556</v>
      </c>
    </row>
    <row r="18" spans="1:4" x14ac:dyDescent="0.3">
      <c r="A18" s="48" t="s">
        <v>541</v>
      </c>
      <c r="B18" s="49" t="s">
        <v>559</v>
      </c>
      <c r="C18" s="49" t="s">
        <v>561</v>
      </c>
      <c r="D18" s="50">
        <v>6556</v>
      </c>
    </row>
    <row r="19" spans="1:4" x14ac:dyDescent="0.3">
      <c r="A19" s="51" t="s">
        <v>541</v>
      </c>
      <c r="B19" s="52" t="s">
        <v>562</v>
      </c>
      <c r="C19" s="52" t="s">
        <v>563</v>
      </c>
      <c r="D19" s="53">
        <v>2640</v>
      </c>
    </row>
    <row r="20" spans="1:4" x14ac:dyDescent="0.3">
      <c r="A20" s="48" t="s">
        <v>541</v>
      </c>
      <c r="B20" s="49" t="s">
        <v>562</v>
      </c>
      <c r="C20" s="49" t="s">
        <v>564</v>
      </c>
      <c r="D20" s="50">
        <v>2640</v>
      </c>
    </row>
    <row r="21" spans="1:4" x14ac:dyDescent="0.3">
      <c r="A21" s="51" t="s">
        <v>541</v>
      </c>
      <c r="B21" s="52" t="s">
        <v>565</v>
      </c>
      <c r="C21" s="52" t="s">
        <v>566</v>
      </c>
      <c r="D21" s="53">
        <v>4400</v>
      </c>
    </row>
    <row r="22" spans="1:4" x14ac:dyDescent="0.3">
      <c r="A22" s="48" t="s">
        <v>541</v>
      </c>
      <c r="B22" s="49" t="s">
        <v>565</v>
      </c>
      <c r="C22" s="49" t="s">
        <v>567</v>
      </c>
      <c r="D22" s="50">
        <v>8712</v>
      </c>
    </row>
    <row r="23" spans="1:4" x14ac:dyDescent="0.3">
      <c r="A23" s="51" t="s">
        <v>541</v>
      </c>
      <c r="B23" s="52" t="s">
        <v>568</v>
      </c>
      <c r="C23" s="52" t="s">
        <v>569</v>
      </c>
      <c r="D23" s="53">
        <v>7040</v>
      </c>
    </row>
    <row r="24" spans="1:4" x14ac:dyDescent="0.3">
      <c r="A24" s="48" t="s">
        <v>541</v>
      </c>
      <c r="B24" s="49" t="s">
        <v>570</v>
      </c>
      <c r="C24" s="49" t="s">
        <v>571</v>
      </c>
      <c r="D24" s="50">
        <v>3696</v>
      </c>
    </row>
    <row r="25" spans="1:4" x14ac:dyDescent="0.3">
      <c r="A25" s="51" t="s">
        <v>541</v>
      </c>
      <c r="B25" s="52" t="s">
        <v>572</v>
      </c>
      <c r="C25" s="52" t="s">
        <v>573</v>
      </c>
      <c r="D25" s="53">
        <v>13200</v>
      </c>
    </row>
    <row r="26" spans="1:4" x14ac:dyDescent="0.3">
      <c r="A26" s="48" t="s">
        <v>541</v>
      </c>
      <c r="B26" s="49" t="s">
        <v>574</v>
      </c>
      <c r="C26" s="49" t="s">
        <v>575</v>
      </c>
      <c r="D26" s="50">
        <v>11880</v>
      </c>
    </row>
    <row r="27" spans="1:4" x14ac:dyDescent="0.3">
      <c r="A27" s="51" t="s">
        <v>541</v>
      </c>
      <c r="B27" s="52" t="s">
        <v>576</v>
      </c>
      <c r="C27" s="52" t="s">
        <v>577</v>
      </c>
      <c r="D27" s="53">
        <v>20000</v>
      </c>
    </row>
    <row r="28" spans="1:4" x14ac:dyDescent="0.3">
      <c r="A28" s="48" t="s">
        <v>541</v>
      </c>
      <c r="B28" s="49" t="s">
        <v>578</v>
      </c>
      <c r="C28" s="49" t="s">
        <v>579</v>
      </c>
      <c r="D28" s="50">
        <v>11975</v>
      </c>
    </row>
    <row r="29" spans="1:4" x14ac:dyDescent="0.3">
      <c r="A29" s="51" t="s">
        <v>541</v>
      </c>
      <c r="B29" s="52" t="s">
        <v>580</v>
      </c>
      <c r="C29" s="52" t="s">
        <v>581</v>
      </c>
      <c r="D29" s="53">
        <v>4400</v>
      </c>
    </row>
    <row r="30" spans="1:4" x14ac:dyDescent="0.3">
      <c r="A30" s="48" t="s">
        <v>541</v>
      </c>
      <c r="B30" s="49" t="s">
        <v>582</v>
      </c>
      <c r="C30" s="49" t="s">
        <v>583</v>
      </c>
      <c r="D30" s="50">
        <v>6913.64</v>
      </c>
    </row>
    <row r="31" spans="1:4" x14ac:dyDescent="0.3">
      <c r="A31" s="51" t="s">
        <v>541</v>
      </c>
      <c r="B31" s="52" t="s">
        <v>584</v>
      </c>
      <c r="C31" s="52" t="s">
        <v>585</v>
      </c>
      <c r="D31" s="53">
        <v>3520</v>
      </c>
    </row>
    <row r="32" spans="1:4" x14ac:dyDescent="0.3">
      <c r="A32" s="48" t="s">
        <v>541</v>
      </c>
      <c r="B32" s="49" t="s">
        <v>586</v>
      </c>
      <c r="C32" s="49" t="s">
        <v>587</v>
      </c>
      <c r="D32" s="50">
        <v>5.18</v>
      </c>
    </row>
    <row r="33" spans="1:4" ht="15" thickBot="1" x14ac:dyDescent="0.35">
      <c r="A33" s="51" t="s">
        <v>541</v>
      </c>
      <c r="B33" s="52" t="s">
        <v>388</v>
      </c>
      <c r="C33" s="52" t="s">
        <v>588</v>
      </c>
      <c r="D33" s="53">
        <v>39667.660000000003</v>
      </c>
    </row>
    <row r="34" spans="1:4" ht="15" thickTop="1" x14ac:dyDescent="0.3">
      <c r="A34" s="54" t="s">
        <v>2</v>
      </c>
      <c r="B34" s="55"/>
      <c r="C34" s="55"/>
      <c r="D34" s="56">
        <v>166334</v>
      </c>
    </row>
    <row r="37" spans="1:4" x14ac:dyDescent="0.3">
      <c r="C37" s="75" t="s">
        <v>646</v>
      </c>
      <c r="D37" s="76">
        <f>D34+'ingresos investigación 2020'!B46+'Ingresos investigación 2019'!B51</f>
        <v>547770.19999999995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5"/>
  <sheetViews>
    <sheetView zoomScaleNormal="100" workbookViewId="0">
      <selection activeCell="B1" sqref="A1:B1"/>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391</v>
      </c>
      <c r="B2" s="5"/>
    </row>
    <row r="3" spans="1:2" x14ac:dyDescent="0.2">
      <c r="A3" s="4" t="s">
        <v>382</v>
      </c>
      <c r="B3" s="5">
        <v>10.62</v>
      </c>
    </row>
    <row r="4" spans="1:2" x14ac:dyDescent="0.2">
      <c r="A4" s="4" t="s">
        <v>8</v>
      </c>
      <c r="B4" s="5"/>
    </row>
    <row r="5" spans="1:2" x14ac:dyDescent="0.2">
      <c r="A5" s="4" t="s">
        <v>392</v>
      </c>
      <c r="B5" s="5">
        <v>2000</v>
      </c>
    </row>
    <row r="6" spans="1:2" x14ac:dyDescent="0.2">
      <c r="A6" s="4" t="s">
        <v>393</v>
      </c>
      <c r="B6" s="7">
        <v>4616.5</v>
      </c>
    </row>
    <row r="7" spans="1:2" x14ac:dyDescent="0.2">
      <c r="A7" s="4" t="s">
        <v>9</v>
      </c>
      <c r="B7" s="5"/>
    </row>
    <row r="8" spans="1:2" x14ac:dyDescent="0.2">
      <c r="A8" s="4" t="s">
        <v>394</v>
      </c>
      <c r="B8" s="5">
        <v>2133.21</v>
      </c>
    </row>
    <row r="9" spans="1:2" x14ac:dyDescent="0.2">
      <c r="A9" s="4" t="s">
        <v>395</v>
      </c>
      <c r="B9" s="5">
        <v>10666.05</v>
      </c>
    </row>
    <row r="10" spans="1:2" x14ac:dyDescent="0.2">
      <c r="A10" s="4" t="s">
        <v>396</v>
      </c>
      <c r="B10" s="5">
        <v>37746.65</v>
      </c>
    </row>
    <row r="11" spans="1:2" x14ac:dyDescent="0.2">
      <c r="A11" s="4" t="s">
        <v>397</v>
      </c>
      <c r="B11" s="5">
        <v>2133.21</v>
      </c>
    </row>
    <row r="12" spans="1:2" x14ac:dyDescent="0.2">
      <c r="A12" s="4" t="s">
        <v>398</v>
      </c>
      <c r="B12" s="5">
        <v>2133.21</v>
      </c>
    </row>
    <row r="13" spans="1:2" x14ac:dyDescent="0.2">
      <c r="A13" s="4" t="s">
        <v>10</v>
      </c>
      <c r="B13" s="5"/>
    </row>
    <row r="14" spans="1:2" x14ac:dyDescent="0.2">
      <c r="A14" s="4" t="s">
        <v>399</v>
      </c>
      <c r="B14" s="5">
        <v>30240</v>
      </c>
    </row>
    <row r="15" spans="1:2" x14ac:dyDescent="0.2">
      <c r="A15" s="4" t="s">
        <v>11</v>
      </c>
      <c r="B15" s="5"/>
    </row>
    <row r="16" spans="1:2" x14ac:dyDescent="0.2">
      <c r="A16" s="4" t="s">
        <v>400</v>
      </c>
      <c r="B16" s="5">
        <v>4266.42</v>
      </c>
    </row>
    <row r="17" spans="1:2" x14ac:dyDescent="0.2">
      <c r="A17" s="4" t="s">
        <v>401</v>
      </c>
      <c r="B17" s="5"/>
    </row>
    <row r="18" spans="1:2" x14ac:dyDescent="0.2">
      <c r="A18" s="4" t="s">
        <v>402</v>
      </c>
      <c r="B18" s="5">
        <v>16802.02</v>
      </c>
    </row>
    <row r="19" spans="1:2" x14ac:dyDescent="0.2">
      <c r="A19" s="4" t="s">
        <v>403</v>
      </c>
      <c r="B19" s="5"/>
    </row>
    <row r="20" spans="1:2" x14ac:dyDescent="0.2">
      <c r="A20" s="4" t="s">
        <v>404</v>
      </c>
      <c r="B20" s="5">
        <v>7444.0599999999995</v>
      </c>
    </row>
    <row r="21" spans="1:2" x14ac:dyDescent="0.2">
      <c r="A21" s="4" t="s">
        <v>405</v>
      </c>
      <c r="B21" s="5"/>
    </row>
    <row r="22" spans="1:2" x14ac:dyDescent="0.2">
      <c r="A22" s="4" t="s">
        <v>406</v>
      </c>
      <c r="B22" s="5">
        <v>5851.13</v>
      </c>
    </row>
    <row r="23" spans="1:2" x14ac:dyDescent="0.2">
      <c r="A23" s="4" t="s">
        <v>407</v>
      </c>
      <c r="B23" s="5"/>
    </row>
    <row r="24" spans="1:2" x14ac:dyDescent="0.2">
      <c r="A24" s="4" t="s">
        <v>408</v>
      </c>
      <c r="B24" s="5">
        <v>15750</v>
      </c>
    </row>
    <row r="25" spans="1:2" x14ac:dyDescent="0.2">
      <c r="A25" s="6" t="s">
        <v>2</v>
      </c>
      <c r="B25" s="7">
        <f>SUM(B3:B24)</f>
        <v>141793.08000000002</v>
      </c>
    </row>
  </sheetData>
  <pageMargins left="0.39370078740157483" right="0.39370078740157483"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FDA4-1805-42C2-A6EF-75F140647133}">
  <dimension ref="A1:B21"/>
  <sheetViews>
    <sheetView topLeftCell="B1" workbookViewId="0">
      <selection activeCell="A6" sqref="A6"/>
    </sheetView>
  </sheetViews>
  <sheetFormatPr baseColWidth="10" defaultRowHeight="14.4" x14ac:dyDescent="0.3"/>
  <cols>
    <col min="1" max="1" width="220.44140625" bestFit="1" customWidth="1"/>
  </cols>
  <sheetData>
    <row r="1" spans="1:2" ht="21.6" x14ac:dyDescent="0.3">
      <c r="A1" s="2" t="s">
        <v>0</v>
      </c>
      <c r="B1" s="3" t="s">
        <v>1</v>
      </c>
    </row>
    <row r="2" spans="1:2" x14ac:dyDescent="0.3">
      <c r="A2" s="39" t="s">
        <v>8</v>
      </c>
      <c r="B2" s="40"/>
    </row>
    <row r="3" spans="1:2" x14ac:dyDescent="0.3">
      <c r="A3" s="41" t="s">
        <v>522</v>
      </c>
      <c r="B3">
        <v>4616.5</v>
      </c>
    </row>
    <row r="4" spans="1:2" x14ac:dyDescent="0.3">
      <c r="A4" s="41" t="s">
        <v>523</v>
      </c>
      <c r="B4">
        <v>2000</v>
      </c>
    </row>
    <row r="5" spans="1:2" x14ac:dyDescent="0.3">
      <c r="A5" s="39" t="s">
        <v>9</v>
      </c>
      <c r="B5" s="40"/>
    </row>
    <row r="6" spans="1:2" x14ac:dyDescent="0.3">
      <c r="A6" s="41" t="s">
        <v>524</v>
      </c>
      <c r="B6">
        <v>2133.21</v>
      </c>
    </row>
    <row r="7" spans="1:2" x14ac:dyDescent="0.3">
      <c r="A7" s="39" t="s">
        <v>403</v>
      </c>
      <c r="B7" s="40"/>
    </row>
    <row r="8" spans="1:2" x14ac:dyDescent="0.3">
      <c r="A8" s="41" t="s">
        <v>525</v>
      </c>
      <c r="B8">
        <v>29762.050000000003</v>
      </c>
    </row>
    <row r="9" spans="1:2" x14ac:dyDescent="0.3">
      <c r="A9" s="41" t="s">
        <v>526</v>
      </c>
      <c r="B9">
        <v>2133.21</v>
      </c>
    </row>
    <row r="10" spans="1:2" x14ac:dyDescent="0.3">
      <c r="A10" s="41" t="s">
        <v>527</v>
      </c>
      <c r="B10">
        <v>2133.21</v>
      </c>
    </row>
    <row r="11" spans="1:2" x14ac:dyDescent="0.3">
      <c r="A11" s="41" t="s">
        <v>528</v>
      </c>
      <c r="B11">
        <v>2133.21</v>
      </c>
    </row>
    <row r="12" spans="1:2" x14ac:dyDescent="0.3">
      <c r="A12" s="41" t="s">
        <v>529</v>
      </c>
      <c r="B12">
        <v>2133.21</v>
      </c>
    </row>
    <row r="13" spans="1:2" x14ac:dyDescent="0.3">
      <c r="A13" s="41" t="s">
        <v>530</v>
      </c>
      <c r="B13">
        <v>625.1</v>
      </c>
    </row>
    <row r="14" spans="1:2" x14ac:dyDescent="0.3">
      <c r="A14" s="39" t="s">
        <v>405</v>
      </c>
      <c r="B14" s="40"/>
    </row>
    <row r="15" spans="1:2" x14ac:dyDescent="0.3">
      <c r="A15" s="41" t="s">
        <v>531</v>
      </c>
      <c r="B15">
        <v>18879.3</v>
      </c>
    </row>
    <row r="16" spans="1:2" x14ac:dyDescent="0.3">
      <c r="A16" s="41" t="s">
        <v>532</v>
      </c>
      <c r="B16">
        <v>22548.41</v>
      </c>
    </row>
    <row r="17" spans="1:2" x14ac:dyDescent="0.3">
      <c r="A17" s="41" t="s">
        <v>533</v>
      </c>
      <c r="B17">
        <v>6354.3899999999994</v>
      </c>
    </row>
    <row r="18" spans="1:2" x14ac:dyDescent="0.3">
      <c r="A18" s="39" t="s">
        <v>407</v>
      </c>
      <c r="B18" s="40"/>
    </row>
    <row r="19" spans="1:2" x14ac:dyDescent="0.3">
      <c r="A19" s="41" t="s">
        <v>534</v>
      </c>
      <c r="B19">
        <v>10663.34</v>
      </c>
    </row>
    <row r="20" spans="1:2" x14ac:dyDescent="0.3">
      <c r="A20" s="41" t="s">
        <v>535</v>
      </c>
      <c r="B20">
        <v>6717.56</v>
      </c>
    </row>
    <row r="21" spans="1:2" x14ac:dyDescent="0.3">
      <c r="A21" s="42" t="s">
        <v>268</v>
      </c>
      <c r="B21" s="43">
        <v>112832.7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52EE-5CB5-4563-9D8F-E5F781DD8E2E}">
  <dimension ref="A1:D16"/>
  <sheetViews>
    <sheetView zoomScale="70" zoomScaleNormal="70" workbookViewId="0">
      <selection activeCell="C37" sqref="C37"/>
    </sheetView>
  </sheetViews>
  <sheetFormatPr baseColWidth="10" defaultRowHeight="14.4" x14ac:dyDescent="0.3"/>
  <cols>
    <col min="2" max="2" width="18.88671875" bestFit="1" customWidth="1"/>
    <col min="3" max="3" width="151.44140625" customWidth="1"/>
    <col min="4" max="4" width="14.44140625" bestFit="1" customWidth="1"/>
  </cols>
  <sheetData>
    <row r="1" spans="1:4" x14ac:dyDescent="0.3">
      <c r="A1" s="57" t="s">
        <v>538</v>
      </c>
      <c r="B1" s="58" t="s">
        <v>539</v>
      </c>
      <c r="C1" s="58" t="s">
        <v>540</v>
      </c>
      <c r="D1" s="59" t="s">
        <v>1</v>
      </c>
    </row>
    <row r="2" spans="1:4" x14ac:dyDescent="0.3">
      <c r="A2" s="60" t="s">
        <v>541</v>
      </c>
      <c r="B2" s="61" t="s">
        <v>403</v>
      </c>
      <c r="C2" s="61" t="s">
        <v>589</v>
      </c>
      <c r="D2" s="62">
        <v>669.63</v>
      </c>
    </row>
    <row r="3" spans="1:4" x14ac:dyDescent="0.3">
      <c r="A3" s="63" t="s">
        <v>541</v>
      </c>
      <c r="B3" s="64" t="s">
        <v>403</v>
      </c>
      <c r="C3" s="64" t="s">
        <v>590</v>
      </c>
      <c r="D3" s="65">
        <v>2133.21</v>
      </c>
    </row>
    <row r="4" spans="1:4" x14ac:dyDescent="0.3">
      <c r="A4" s="60" t="s">
        <v>541</v>
      </c>
      <c r="B4" s="61" t="s">
        <v>403</v>
      </c>
      <c r="C4" s="61" t="s">
        <v>591</v>
      </c>
      <c r="D4" s="62">
        <v>2137.41</v>
      </c>
    </row>
    <row r="5" spans="1:4" x14ac:dyDescent="0.3">
      <c r="A5" s="63" t="s">
        <v>541</v>
      </c>
      <c r="B5" s="64" t="s">
        <v>403</v>
      </c>
      <c r="C5" s="64" t="s">
        <v>592</v>
      </c>
      <c r="D5" s="65">
        <v>2137.41</v>
      </c>
    </row>
    <row r="6" spans="1:4" x14ac:dyDescent="0.3">
      <c r="A6" s="60" t="s">
        <v>541</v>
      </c>
      <c r="B6" s="61" t="s">
        <v>403</v>
      </c>
      <c r="C6" s="61" t="s">
        <v>589</v>
      </c>
      <c r="D6" s="62">
        <v>4370.53</v>
      </c>
    </row>
    <row r="7" spans="1:4" x14ac:dyDescent="0.3">
      <c r="A7" s="63" t="s">
        <v>541</v>
      </c>
      <c r="B7" s="64" t="s">
        <v>403</v>
      </c>
      <c r="C7" s="64" t="s">
        <v>589</v>
      </c>
      <c r="D7" s="65">
        <v>6487.78</v>
      </c>
    </row>
    <row r="8" spans="1:4" x14ac:dyDescent="0.3">
      <c r="A8" s="60" t="s">
        <v>541</v>
      </c>
      <c r="B8" s="61" t="s">
        <v>403</v>
      </c>
      <c r="C8" s="61" t="s">
        <v>593</v>
      </c>
      <c r="D8" s="62">
        <v>38503.64</v>
      </c>
    </row>
    <row r="9" spans="1:4" x14ac:dyDescent="0.3">
      <c r="A9" s="63" t="s">
        <v>541</v>
      </c>
      <c r="B9" s="64" t="s">
        <v>405</v>
      </c>
      <c r="C9" s="64" t="s">
        <v>594</v>
      </c>
      <c r="D9" s="65">
        <v>3535.44</v>
      </c>
    </row>
    <row r="10" spans="1:4" x14ac:dyDescent="0.3">
      <c r="A10" s="60" t="s">
        <v>541</v>
      </c>
      <c r="B10" s="61" t="s">
        <v>405</v>
      </c>
      <c r="C10" s="61" t="s">
        <v>595</v>
      </c>
      <c r="D10" s="62">
        <v>16488.46</v>
      </c>
    </row>
    <row r="11" spans="1:4" x14ac:dyDescent="0.3">
      <c r="A11" s="63" t="s">
        <v>541</v>
      </c>
      <c r="B11" s="64" t="s">
        <v>407</v>
      </c>
      <c r="C11" s="64" t="s">
        <v>596</v>
      </c>
      <c r="D11" s="65">
        <v>2340.31</v>
      </c>
    </row>
    <row r="12" spans="1:4" ht="15" thickBot="1" x14ac:dyDescent="0.35">
      <c r="A12" s="60" t="s">
        <v>541</v>
      </c>
      <c r="B12" s="61" t="s">
        <v>407</v>
      </c>
      <c r="C12" s="61" t="s">
        <v>597</v>
      </c>
      <c r="D12" s="62">
        <v>2360.9499999999998</v>
      </c>
    </row>
    <row r="13" spans="1:4" ht="15" thickTop="1" x14ac:dyDescent="0.3">
      <c r="A13" s="66" t="s">
        <v>2</v>
      </c>
      <c r="B13" s="67"/>
      <c r="C13" s="67"/>
      <c r="D13" s="68">
        <v>81164.77</v>
      </c>
    </row>
    <row r="16" spans="1:4" x14ac:dyDescent="0.3">
      <c r="C16" s="75" t="s">
        <v>647</v>
      </c>
      <c r="D16" s="77">
        <f>D13+'ingresos formación 2020'!B21+'Ingresos formación 2019'!B25</f>
        <v>335790.55000000005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2019</vt:lpstr>
      <vt:lpstr>ingresos investigación 2020</vt:lpstr>
      <vt:lpstr>ingresos investigación 2021</vt:lpstr>
      <vt:lpstr>Ingresos formación 2019</vt:lpstr>
      <vt:lpstr>ingresos formación 2020</vt:lpstr>
      <vt:lpstr>ingresos formación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2022-10-18T16:08:27Z</dcterms:modified>
</cp:coreProperties>
</file>