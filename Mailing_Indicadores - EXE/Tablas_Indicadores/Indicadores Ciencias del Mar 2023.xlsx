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15141A8E-5AE6-402F-963A-06EA4389EB09}" xr6:coauthVersionLast="47" xr6:coauthVersionMax="47" xr10:uidLastSave="{00000000-0000-0000-0000-000000000000}"/>
  <bookViews>
    <workbookView xWindow="22932" yWindow="-108" windowWidth="23256" windowHeight="12456" tabRatio="733" xr2:uid="{00000000-000D-0000-FFFF-FFFF00000000}"/>
  </bookViews>
  <sheets>
    <sheet name="Tesis" sheetId="13" r:id="rId1"/>
    <sheet name="Sexenios" sheetId="14" r:id="rId2"/>
    <sheet name="Ingresos investigación 2019" sheetId="17" r:id="rId3"/>
    <sheet name="Ingresos investigación 2020" sheetId="19" r:id="rId4"/>
    <sheet name="Ingresos investigación 2021" sheetId="21" r:id="rId5"/>
    <sheet name="Ingresos formación 2019" sheetId="18" r:id="rId6"/>
    <sheet name="Ingresos formación 2021" sheetId="20" r:id="rId7"/>
  </sheets>
  <definedNames>
    <definedName name="_xlnm._FilterDatabase" localSheetId="1" hidden="1">Sexenios!$A$1:$S$13</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7" i="14" l="1"/>
  <c r="S37" i="13" l="1"/>
  <c r="B10" i="20" l="1"/>
  <c r="B55" i="21"/>
  <c r="B53" i="19" l="1"/>
  <c r="B5" i="18" l="1"/>
  <c r="B12" i="20" s="1"/>
  <c r="B44" i="17"/>
  <c r="B58" i="21" s="1"/>
</calcChain>
</file>

<file path=xl/sharedStrings.xml><?xml version="1.0" encoding="utf-8"?>
<sst xmlns="http://schemas.openxmlformats.org/spreadsheetml/2006/main" count="838" uniqueCount="307">
  <si>
    <t>Orgánica
Descripción justificante</t>
  </si>
  <si>
    <t>Importe</t>
  </si>
  <si>
    <t>Total</t>
  </si>
  <si>
    <t>36.50.6C.00.03</t>
  </si>
  <si>
    <t>36.50.6C.00.05</t>
  </si>
  <si>
    <t>36.50.6C.00.11</t>
  </si>
  <si>
    <t>36.50.6C.00.13</t>
  </si>
  <si>
    <t>36.50.6C.00.14</t>
  </si>
  <si>
    <t>36.50.6C.00.16</t>
  </si>
  <si>
    <t>36.50.6C.00.24</t>
  </si>
  <si>
    <t>36.50.6C.00.25</t>
  </si>
  <si>
    <t>36.50.2T.00.02</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</si>
  <si>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</si>
  <si>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</si>
  <si>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</si>
  <si>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</si>
  <si>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</si>
  <si>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</si>
  <si>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</si>
  <si>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</si>
  <si>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</si>
  <si>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</si>
  <si>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</si>
  <si>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</si>
  <si>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</si>
  <si>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</si>
  <si>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</si>
  <si>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</si>
  <si>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</si>
  <si>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</si>
  <si>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</si>
  <si>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</si>
  <si>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</si>
  <si>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</si>
  <si>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</si>
  <si>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</si>
  <si>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10.16</t>
  </si>
  <si>
    <t>Director de tesis </t>
  </si>
  <si>
    <t>10</t>
  </si>
  <si>
    <t>- </t>
  </si>
  <si>
    <t>10.05</t>
  </si>
  <si>
    <t>ZZ </t>
  </si>
  <si>
    <t>SIN ASIGNAR </t>
  </si>
  <si>
    <t>19/12/2016 </t>
  </si>
  <si>
    <t>27/01/2017 </t>
  </si>
  <si>
    <t>31/10/2018 </t>
  </si>
  <si>
    <t>07/07/2017 </t>
  </si>
  <si>
    <t>B171 </t>
  </si>
  <si>
    <t>CIENCIAS DEL MAR Y BIOLOGÍA APLICADA </t>
  </si>
  <si>
    <t>DOCTORADO EN CIENCIAS DEL MAR Y BIOLOGÍA APLICADA </t>
  </si>
  <si>
    <t>11/04/2019 </t>
  </si>
  <si>
    <t>DOCTORADO EN CIENCIAS DEL MAR </t>
  </si>
  <si>
    <t>B171</t>
  </si>
  <si>
    <t>21414651H </t>
  </si>
  <si>
    <t>21374844R </t>
  </si>
  <si>
    <t>48560510N </t>
  </si>
  <si>
    <t>48568823E </t>
  </si>
  <si>
    <t>21478607B </t>
  </si>
  <si>
    <t>Aranda Martínez, Almudena </t>
  </si>
  <si>
    <t>EFFECT OF CHITOSAN ON FUNGAL PHYSIOLOGY: ROLE OF POCHONIA CHLAMYDOSPORIA CHITOSANASES AND CHITIN DEACETYLASES IN NEMATODE PARASITISM AND BIOETHANOL PRODUCTION </t>
  </si>
  <si>
    <t>Ballester Moltó, Mateo </t>
  </si>
  <si>
    <t>DINÁMICA DE LA PRODUCCIÓN DE RESIDUOS PARTICULADOS EN GRANJAS DE PECES MEDITERRÁNEAS: INFLUENCIA DE LA ICTIOFAUNA SALVAJE </t>
  </si>
  <si>
    <t>03/11/2016 </t>
  </si>
  <si>
    <t>Bin Jalinas , Johari </t>
  </si>
  <si>
    <t>EVALUATING BEAUVERIA BASSIANA ON RED PALM WEEVIL FIELD MANAGEMENT AND BEHAVIOUR WITH ACOUSTICS AND GIS </t>
  </si>
  <si>
    <t>05/12/2016 </t>
  </si>
  <si>
    <t>Fernández González, Victoria María </t>
  </si>
  <si>
    <t>FOULING AMPHIPODS ON MARINE AQUACULTURE FACILITIES. ECOLOGICAL INTERACTIONS AND POTENTIAL APLLICATIONS </t>
  </si>
  <si>
    <t>Martínez García, Elena </t>
  </si>
  <si>
    <t>EFECTOS ECOLÓGICOS DE LA ACUICULTURA EN EL POBLAMIENTO DE POLIQUETOS ASOCIADOS A FONDOS BLANDOS </t>
  </si>
  <si>
    <t>04/11/2016 </t>
  </si>
  <si>
    <t>Martínez Garrido, José </t>
  </si>
  <si>
    <t>SYSTEMATICS, SPECIATION PROCESSES, REPRODUCTIVE STRATEGIES AND GENETIC STRUCTURE IN RUPPIA. SISTEMÁTICA, PROCESOS DE ESPECIACIÓN, ESTRATEGIAS REPRODUCTIVAS Y ESTRUCTURA GENÉTICA EN RUPPIA </t>
  </si>
  <si>
    <t>Bouchon Corrales, Marilú </t>
  </si>
  <si>
    <t>LA PESQUERÍA DE ANCHOVETA EN PERÚ </t>
  </si>
  <si>
    <t>04/12/2018 </t>
  </si>
  <si>
    <t>Campos Candela, Andrea </t>
  </si>
  <si>
    <t>LINKING INDIVIDUAL BEHAVIOUR AND LIFE HISTORY: BIOENERGETIC MECHANISMS, ECO-EVOLUTIONARY OUTCOMES AND MANAGEMENT IMPLICATIONS / VINCULACIÓ DEL COMPORTAMENT INDIVIDUAL AMB LA HISTÒRIA DE VIDA: MECANISMES BIOENERGÈTICS, IMPLICACIONS ECO-EVOLUTIVES I DE </t>
  </si>
  <si>
    <t>08/01/2019 </t>
  </si>
  <si>
    <t>García Rivera, Santiago </t>
  </si>
  <si>
    <t>CARACTERIZACIÓN DE LA BASURA MARINA DEL FONDO DEL MAR EN EL MEDITERRÁNEO ESPAÑOL A TRAVÉS DE LA PESCA DE ARRASTRE </t>
  </si>
  <si>
    <t>31/01/2019 </t>
  </si>
  <si>
    <t>Loya Fernández, Ángel Luis </t>
  </si>
  <si>
    <t>ANÁLISIS DE LA ZONA DE MEZCLA DE VERTIDOS HIPERSALINOS PROVENIENTES DE PLANTAS DESALINIZADORAS DE ÓSMOSIS INVERSA </t>
  </si>
  <si>
    <t>Rodríguez González, Tania </t>
  </si>
  <si>
    <t>DESARROLLO DE DIETAS SEMIHÚMEDAS FORMULADAS PARA CEFALÓPODOS (OCTOPUS VULGARIS Y ENTEROCTOPUS MEGALOCYATHUS): ALTERACIONES LIPÍDICAS EN MATERIAS PRIMAS DESHIDRATADAS Y SUPLEMENTACIÓN CON LÍPIDOS POLARES </t>
  </si>
  <si>
    <t>NIF</t>
  </si>
  <si>
    <t>NOMBRE_COMPLETO</t>
  </si>
  <si>
    <t>TIPO_SEXENIO</t>
  </si>
  <si>
    <t>Total general</t>
  </si>
  <si>
    <t>INS
1</t>
  </si>
  <si>
    <t>DED
INS 1</t>
  </si>
  <si>
    <t>INS
2</t>
  </si>
  <si>
    <t>DED
INS 2</t>
  </si>
  <si>
    <t>DED
DEP</t>
  </si>
  <si>
    <t>SEX
INS 1</t>
  </si>
  <si>
    <t>SEX
INS 2</t>
  </si>
  <si>
    <t>SEX
DEP</t>
  </si>
  <si>
    <t>FUNCIONARIO</t>
  </si>
  <si>
    <t>NO FUNCIONARIO</t>
  </si>
  <si>
    <t>21437211S</t>
  </si>
  <si>
    <t>BAYLE SEMPERE, JUST TOMAS</t>
  </si>
  <si>
    <t>16059188J</t>
  </si>
  <si>
    <t>DEL PILAR RUSO, YOANA</t>
  </si>
  <si>
    <t>30959547Y</t>
  </si>
  <si>
    <t>FERNANDEZ GONZALEZ, VICTORIA MARIA</t>
  </si>
  <si>
    <t>48316575S</t>
  </si>
  <si>
    <t>FERNANDEZ TORQUEMADA, YOLANDA</t>
  </si>
  <si>
    <t>48359613C</t>
  </si>
  <si>
    <t>FORCADA ALMARCHA, AITOR SANTIAGO</t>
  </si>
  <si>
    <t>23230314S</t>
  </si>
  <si>
    <t>GIMENEZ CASALDUERO, MARIA FRANCISCA</t>
  </si>
  <si>
    <t>21414651H</t>
  </si>
  <si>
    <t>LOPEZ LLORCA, LUIS VICENTE</t>
  </si>
  <si>
    <t>21374844R</t>
  </si>
  <si>
    <t>RAMOS ESPLA, ALFONSO ANGEL</t>
  </si>
  <si>
    <t>21478607B</t>
  </si>
  <si>
    <t>SANCHEZ JEREZ, PABLO JOSE</t>
  </si>
  <si>
    <t>48568823E</t>
  </si>
  <si>
    <t>SANCHEZ LIZASO, JOSE LUIS</t>
  </si>
  <si>
    <t>21513034F</t>
  </si>
  <si>
    <t>VALLE PEREZ, CARLOS</t>
  </si>
  <si>
    <t>48560510N</t>
  </si>
  <si>
    <t>ZUBCOFF VALLEJO, JOSE JACOBO</t>
  </si>
  <si>
    <t xml:space="preserve">SEGUNDA FACTURA DEL 50% DEL TOTAL TRAS LA FINALIZACIÓN DE LOS TRABAJOS PREVISTOS EN EL ANEXO I DEL CONTRATO DE ASESORAMIENTO Y ASISTENCIA CIENTÍFICO-TÉCNICA EN CONTROL AMBIENTAL DEL PROYECTO AMBIENTAL DEL VERTIDO DE LA DESALADORA DE JÁVEA (ALICANTE) . </t>
  </si>
  <si>
    <t>Reintegro Cuota Patronal por IT del mes de febrero 2019</t>
  </si>
  <si>
    <t>:Devolución por pago duplicado fra.M1.255 (ADOs:5148 y 5509).</t>
  </si>
  <si>
    <t xml:space="preserve">AÑO 2019: PRIMERA FACTURA DEL 25% DEL PRESUPUESTO TOTAL, SEGÚN CONVENIO DE 21-12-2016 ENTRE LA MANCOMUNIDAD DE LOS CANALES DEL TAIBILLA Y LA UNIVERSIDAD DE ALICANTE PARA EL ESTUDIO DE VIGILANCIA AMBIENTAL PARA EL VERTIDO DE LAS DESALADORAS DEL NUEVO CANAL DE CARTAGENA. DE VIGILANCIA AMBIENTAL PARA EL VERTIDO DE LAS DESALADORAS DEL NUEVO CANAL DE CARTAGENA" </t>
  </si>
  <si>
    <t>AÑO 2019: TERCERA FACTURA DEL 25% DEL PRESUPUESTO TOTAL, SEGÚN CONVENIO DE 21-12-2016 ENTRE LA MANCOMUNIDAD DE LOS CANALES DEL TAIBILLA Y LA UNIVERSIDAD DE ALICANTE PARA EL ESTUDIO DE VIGILANCIA AMBIENTAL PARA EL VERTIDO DE LAS DESALADORAS DEL NUEVO CANAL DE CARTAGENA.</t>
  </si>
  <si>
    <t xml:space="preserve">CUARTA FACTURA DEL 25%  DEL PRESUPUESTO TOTAL, SEGÚN CONVENIO DE COLABORACIÓN ENTRE LA MANCOMUNIDAD DE LOS CANALES DEL TAIBILLA Y LA UNIVERSIDAD DE ALICANTE PARA EL ESTUDIO DE VIGILANCIA AMBIENTAL PARA EL VERTIDO DE LAS DESALINIZADORAS DEL NUEVO CANAL DE CARTAGENA DE 21-12-2016." REF. MANCOMUNIDADCANALES1-16I   </t>
  </si>
  <si>
    <t>REF. MANCOMUNIDADCANALES1-16I  AÑO 2019: SEGUNDA FACTURA DEL 25% DEL PRESUPUESTO TOTAL, SEGÚN CONVENIO DE 21-12-2016 ENTRE LA MANCOMUNIDAD DE LOS CANALES DEL TAIBILLA Y LA UNIVERSIDAD DE ALICANTE PARA EL ESTUDIO DE VIGILANCIA AMBIENTAL PARA EL VERTIDO DE LAS DESALADORAS DEL NUEVO CANAL DE CARTAGENA.</t>
  </si>
  <si>
    <t>AÑO 2019: PRIMERA FACTURA DEL 25% DEL PRESUPUESTO TOTAL, SEGÚN CONVENIO DE 21-12-2016 ENTRE LA MANCOMUNIDAD DE LOS CANALES DEL TAIBILLA Y LA UNIVERSIDAD DE ALICANTE PARA EL ESTUDIO DE VIGILANCIA AMBIENTAL PARA EL VERTIDO DE LAS DESALINIZADORAS DEL CANAL DE ALICANTE.</t>
  </si>
  <si>
    <t>AÑO 2019: SEGUNDA FACTURA DEL 25% DEL PRESUPUESTO TOTAL, SEGÚN CONVENIO DE 21-12-2016 ENTRE LA MANCOMUNIDAD DE LOS CANALES DEL TAIBILLA Y LA UNIVERSIDAD DE ALICANTE PARA EL ESTUDIO DE VIGILANCIA AMBIENTAL PARA EL VERTIDO DE LAS DESALADORAS DEL CANAL DE ALICANTE.</t>
  </si>
  <si>
    <t>AÑO 2019: TERCERA FACTURA DEL 25% DEL PRESUPUESTO TOTAL, SEGÚN CONVENIO DE 21-12-2016 ENTRE LA MANCOMUNIDAD DE LOS CANALES DEL TAIBILLA Y LA UNIVERSIDAD DE ALICANTE PARA EL ESTUDIO DE VIGILANCIA AMBIENTAL PARA EL VERTIDO DE LAS DESALADORAS DEL CANAL DE ALICANTE.</t>
  </si>
  <si>
    <t>CUARTA FACTURA DEL 25% DEL PRESUPUESTO TOTAL, SEGÚN CONVENIO DE COLABORACIÓN ENTRE LA MANCOMUNIDAD DE LOS CANALES DEL TAIBILLA Y LA UNIVERSIDAD DE ALICANTE PARA EL ESTUDIO DE VIGILANCIA AMBIENTAL PARA EL VERTIDO DE LAS DESALINIZADORAS DEL CANAL DE ALICANTE." REF. MANCOMUNIDADCANALES2 16I</t>
  </si>
  <si>
    <t>CUARTA FACTURA A LA FINALIZACIÓN DE LA TERCERA ANUALIDAD (TERCER HITO DEL PROYECTO) Y ENTREGA DEL INFORME FINAL DE PROYECTO "SELECCIÓN Y VALIDACIÓN DE INDICADORES PARA LA MEJORA DE LA EFICACIA EN EL USO DE ALIMENTOS, EN TODAS LAS FASES DEL CULTIVO DE DORADA Y LUBINA DEL GRUPO CULMAREX"</t>
  </si>
  <si>
    <t>TERCERA FACTURA A LA FINALIZACIÓN DE LA SEGUNDA ANUALIDAD (SEGUNDO HITO DEL PROYECTO) Y ENTREGA DEL INFORME. PROYECTO "SELECCIÓN Y VALIDACIÓN DE INDICADORES PARA LA MEJORA DE LA EFICACIA EN EL USO DE ALIMENTOS, EN TODAS LAS FASES DEL CULTIVO DE DORADA Y LUBINA DEL GRUPO CULMAREX".</t>
  </si>
  <si>
    <t>36.50.6C.00.27</t>
  </si>
  <si>
    <t>Reintegro de Cuota Patronal del mes de diciembre 2019</t>
  </si>
  <si>
    <t>36.50.6C.00.32</t>
  </si>
  <si>
    <t>ESTUDIO PRELIMINAR SOBRE IMPLANTACIÓN DE UNA RESERVA MARINA EN EL LITORAL DE TORREVIEJA. Caracterización bionómica del litoral sumergido de Torrevieja.Caracterización de los usos pesqueros del litoral de Torrevieja.Propuesta de zona de protección.  (ÁREA DE MEDIO AMBIENTE - AYUNTAMIENTO DE TORREVIEJA)</t>
  </si>
  <si>
    <t>REINTEGRO CUOTA PATRONAL CORRESPONDIENTE AL MES DE NOVIEMBRE 2019.</t>
  </si>
  <si>
    <t>36.50.6C.00.33</t>
  </si>
  <si>
    <t xml:space="preserve">PRIMERA FACTURA DEL 50% DEL PRESUPUESTO TOTAL TRAS LA FIRMA DE LA V ADDENDA AL CONTRATO PARA ACTIVIDADES DE ASESORAMIENTO Y ASISTENCIA CIENTÍFICO-TÉCNICA ENTRE ACCIONA AGUA, S.A.U. Y LA UNIVERSIDAD DE ALICANTE EN CONTROL AMBIENTAL DEL VERTIDO DE LA DESALADORA DE JÁVEA (ALICANTE)   </t>
  </si>
  <si>
    <t>36.50.6C.00.35</t>
  </si>
  <si>
    <t>INFORME SOBRE LA TOLERANCIA DE POSIDONIA OCEANICA A CAMBIOS DE SALINIDAD Y SU REGULACION EN DECLARACIONES DE IMPACTO AMBIENTAL EN ESPAÑA.</t>
  </si>
  <si>
    <t>36.50.6C.00.36</t>
  </si>
  <si>
    <t xml:space="preserve">REALIZACIÓN DE UNA JORNADA DE BIOLOGÍA PESQUERA PARA PESCADORES EL DÍA 1 DE JUNIO DE 2019 </t>
  </si>
  <si>
    <t>36.50.6C.00.39</t>
  </si>
  <si>
    <t>Service: Evaluation of the impact of salmon farming by chemical analysing of cod samples.</t>
  </si>
  <si>
    <t>36.50.6P.00.13</t>
  </si>
  <si>
    <t>JUAN DE LA CIERVA EXPEDIENTE: IJCI-2017-2 SOLICITUDES: IJCI-2017-31522, IJCI-2017-34174 - 1 ANUALIDAD. REF. DEL ORDENANTE PARA EL BENEFICIARIO: 27402219310013702.</t>
  </si>
  <si>
    <t>36.50.6P.00.14</t>
  </si>
  <si>
    <t>NP 40. ANTICIPO APORTACIÓN FEMP 2018 PROGRAMA PLEAMAR. BSCHESMMCT1201903274126339440. LA UNIDAD DE PROYECTOS PÚBLICOS DE I+D Y BECAS DE INVESTIGACIÓN INFORMA QUE CORRESPONDE A (FBIO18-01) CAMONMAR3: OPTIMIZACIÓN DE LA INFORMACIÓN PARA LA MEJORA DE LA PLANIFICACIÓN ESPACIAL MARINA EN LOS CAÑONES DEL ESCARPE DE MAZARRÓN, SECO.</t>
  </si>
  <si>
    <t>36.50.6S.00.01</t>
  </si>
  <si>
    <t>36.50.6X.00.01</t>
  </si>
  <si>
    <t>INTERIM PAYMENT - UA - (ARTICLE 21 GRANT AGREEMENT N. 727624 - REPORTING PERIOD 1 FROM 01. REF. ORDENANTE: 2019-121.001-50865. LA OFICINA DE GESTIÓN DE PROYECTOS INTERNACIONALES INFORMA QUE SE TRATA DEL SEGUNDO PAGO DEL PROYECTO MUSA.</t>
  </si>
  <si>
    <t>36.50.6X.00.02</t>
  </si>
  <si>
    <t>Project SALCOD Ref. 294631 financing year 2019.</t>
  </si>
  <si>
    <t>Liquidación  PLAN G588 curso ''INTRODUCCIÓN AL DISEÑO EXPERIMENTAL Y ANOVA MULTIFACTORIAL CON R'' ORDEN 5443</t>
  </si>
  <si>
    <t>Liquidación  PLAN GA33 curso ''ESTADÍSTICA APLICADA Y DATA MINING CON R'' ORDEN 5392</t>
  </si>
  <si>
    <t>Jiménez Gutiérrez, Santiago Victor </t>
  </si>
  <si>
    <t>ESTUDIO DE LA ECOLOGÍA DE PINNA NOBILIS (LINNAEUS, 1758) EN LA COMUNIDAD VALENCIANA Y EVALUACIÓN DEL EVENTO DE MORTALIDAD MASIVA </t>
  </si>
  <si>
    <t>17/06/2020 </t>
  </si>
  <si>
    <t>21513034F </t>
  </si>
  <si>
    <t>Terradas Fernández, Marc </t>
  </si>
  <si>
    <t>"Aspectos ecológicos del fitobentos asociado a las plataformas de algas y mermétidos del SE ibérico" </t>
  </si>
  <si>
    <t>23/09/2020 </t>
  </si>
  <si>
    <t>COD DEP</t>
  </si>
  <si>
    <t>30</t>
  </si>
  <si>
    <t>Casado Coy, Nuria </t>
  </si>
  <si>
    <t>Effects of fouling and organic matter wastes from marine aquaculture on the macrofauna and biogeochemistry of sediments. </t>
  </si>
  <si>
    <t>09/06/2021 </t>
  </si>
  <si>
    <t>Suárez Fernández, Marta </t>
  </si>
  <si>
    <t>MULTIOMICS STUDY OF POCHONIA CHLAMYDOSPORIA TRITROPHIC LIFESTYLE </t>
  </si>
  <si>
    <t>29/04/2021 </t>
  </si>
  <si>
    <t>74360869Y </t>
  </si>
  <si>
    <t>Sola Maciá, Iván </t>
  </si>
  <si>
    <t>02/09/2021 </t>
  </si>
  <si>
    <t>21453382V </t>
  </si>
  <si>
    <t>González Andrés, Cristina </t>
  </si>
  <si>
    <t>¿The role of marine offshore protected areas in protecting large pelagics. Practical case: Cocos Island National Park¿. </t>
  </si>
  <si>
    <t>26/02/2021 </t>
  </si>
  <si>
    <t>García Rodríguez, Encarnacion </t>
  </si>
  <si>
    <t>TROPHIC ESTRUCTURE OF THE WESTER MEDITERRANEAN SEA. REVEALING SINGULARITIES IN THE GULF OF ALICANTE USING ECOLOGICAL MODELING </t>
  </si>
  <si>
    <t>24/09/2021 </t>
  </si>
  <si>
    <t>U062 </t>
  </si>
  <si>
    <t>ADM. I.U. DE INVESTIGACIÓN INFORMÁTICA </t>
  </si>
  <si>
    <t>DOCTORADO EN INFORMÁTICA </t>
  </si>
  <si>
    <t>González Mora, César </t>
  </si>
  <si>
    <t>An APIfication Approach to Facilitate the Access and Reuse of Open Data </t>
  </si>
  <si>
    <t>10/09/2021 </t>
  </si>
  <si>
    <t>Nataniel , Anildo Naftal </t>
  </si>
  <si>
    <t>A Socio-Ecological and Economic Approach to Tropical tuna Fisheries in the Mozambique Channel </t>
  </si>
  <si>
    <t>27/09/2021 </t>
  </si>
  <si>
    <t>REF. ACCIONAAGUA1-19TD ADDENDA DE ACCIONAAGUA1-13T "PRIMER PAGO DEL 50% DEL PRESUPUESTO TOTAL TRAS LA FIRMA DE LA VI ADDENDA AL CONTRATO DE ASESORAMIENTO Y ASISTENCIA CIENTÍFICO-TÉCNICA EN CONTROL AMBIENTAL DEL VERTIDO DE LA DESALADORA DE JÁVEA (ALICANTE) DE 16 DE DICIEMBRE DE 2019."</t>
  </si>
  <si>
    <t xml:space="preserve">AÑO 2019: CUARTA FACTURA EL 25% EL PRESUPUESTO TOTAL, SEGÚN CONVENIO DE 21-12-2016 ENTRE LA MANCOMUNIDAD DE LOS CANALES DEL TAIBILLA Y LA UNIVERSIDAD DE ALICANTE PARA EL ESTUDIO DE VIGILANCIA AMBIENTAL PARA EL VERTIDO DE LAS DESALADORAS DEL NUEVO CANAL DE CARTAGENA. </t>
  </si>
  <si>
    <t>AÑO 2020. PRIMERA FACTURA DEL 25% DEL PRESUPUESTO TOTAL, SEGÚN CONVENIO DE 21-12-2016 ENTRE LA MANCOMUNIDAD DE LOS CANALES DEL TAIBILLA Y LA UNIVERSIDAD DE ALICANTE PARA EL ESTUDIO DE VIGILANCIA AMBIENTAL PARA EL VERTIDO DE LAS DESALINIZADORAS DEL NUEVO CANAL DE CARTAGENA.</t>
  </si>
  <si>
    <t>AÑO 2020. SEGUNDA FACTURA DEL 25% DEL PRESUPUESTO TOTAL SEGÚN CONVENIO DE 21-12-2016 ENTRE LA MANCOMUNIDAD DE LOS CANALES DEL TAIBILLA Y LA UNIVERSIDAD DE ALICANTE PARA EL ESTUDIO DE VIGILANCIA AMBIENTAL PARA EL VERTIDO DE LAS DESALINIZADORAS DEL NUEVO CANAL DE CARTAGENA.</t>
  </si>
  <si>
    <t>AÑO 2020: TERCERA FACTURA DEL 25% DEL PRESUPUESTO TOTAL SEGÚN CONVENIO DE 21-12-2016 ENTRE LA MANCOMUNIDAD DE LOS CANALES DEL TAIBILLA Y LA UNIVERSIDAD DE ALICANTE PARA EL ESTUDIO DE VIGILANCIA AMBIENTAL PARA EL VERTIDO DE LAS DESALINIZADORAS DEL NUEVO CANAL DE CARTAGENA.</t>
  </si>
  <si>
    <t>"AÑO 2020: SEGUNDA FACTURA DEL 25% DEL PRESUPUESTO TOTAL, SEGÚN CONVENIO DE 21-12-2016 ENTRE LA MANCOMUNIDAD DE LOS CANALES DEL TAIBILLA Y LA UNIVERSIDAD DE ALICANTE PARA EL ESTUDIO DE VIGILANCIA AMBIENTAL PARA EL VERTIDO DE LAS DESALINIZADORAS DEL CANAL DE ALICANTE.</t>
  </si>
  <si>
    <t xml:space="preserve">AÑO 2019:  CUARTA FACTURA DEL 25% DEL PRESUPUESTO TOTAL, SEGÚN CONVENIO DE 21-12-2016 ENTRE LA MANCOMUNIDAD DE LOS CANALES DEL TAIBILLA Y LA UNIVERSIDAD DE ALICANTE PARA EL ESTUDIO DE VIGILANCIA AMBIENTAL PARA EL VERTIDO DE LAS DESALADORAS DEL CANAL DE ALICANTE. </t>
  </si>
  <si>
    <t>AÑO 2020. PRIMERA FACTURA DEL 25% DEL PRESUPUESTO TOTAL, SEGÚN CONVENIO DE 21-12-2016 ENTRE LA MANCOMUNIDAD DE LOS CANALES DEL TAIBILLA Y LA UNIVERSIDAD DE ALICANTE PARA EL ESTUDIO DE VIGILANCIA AMBIENTAL PARA EL VERTIDO DE LAS DESALINIZADORAS DEL CANAL DE ALICANTE.</t>
  </si>
  <si>
    <t>AÑO 2020:  TERCERA FACTURA DEL 25% DEL PRESUPUESTO TOTAL, SEGÚN CONVENIO DE 21-12-2016 ENTRE LA MANCOMUNIDAD DE LOS CANALES DEL TAIBILLA Y LA UNIVERSIDAD DE ALICANTE PARA EL ESTUDIO DE VIGILANCIA AMBIENTAL PARA EL VERTIDO DE LAS DESALINIZADORS DEL CANAL DE ALICANTE.</t>
  </si>
  <si>
    <t>36.50.6C.00.19</t>
  </si>
  <si>
    <t xml:space="preserve">Servicios realizados bajo la dirección de Just Tomás Bayle Sempere del Dpto. de Ciencias del Mar y Biología Aplicada para la gerencia del GALP Bahía de Santa Pola relacionados con el desarrollo e implementación de la Estrategia de Desarrollo Local (EDL): - Análisis y evaluación de propuestas y documentos. - Participación como asesor en reuniones, talleres y conferencias. - Elaboración de análisis, informes y estudios.  </t>
  </si>
  <si>
    <t>CUARTA APORTACIÓN DE ACUERDO CON LA CLÁUSULA SEXTA DEL CONVENIO DE COLABORACIÓN ENTRE VALORIZA AGUA Y LA UNIVERSIDAD DE ALICANTE "ASPECTOS AMBIENTALES DE LA DESALINIZACIÓN DE AGUA DE MAR"</t>
  </si>
  <si>
    <t>QUINTA APORTACIÓN DE ACUERDO CON LA CLÁUSULA SEXTA DEL CONVENIO DE COLABORACIÓN ENTRE VALORIZA AGUA Y LA UNIVERSIDAD DE ALICANTE "ASPECTOS AMBIENTALES DE LA  DESALINIZACIÓN DE AGUA DE MAR",  DE FECHA 29 DE SEPTIEMBRE DE 2017.</t>
  </si>
  <si>
    <t>REF. VALORIZA2-17Y TERCERA APORTACIÓN DE ACUERDO CON LA CLÁUSULA SEXTA DEL CONVENIO DE COLABORACIÓN ENTRE VALORIZA AGUA Y LA UNIVERSIDAD DE ALICANTE "ASPECTOS AMBIENTALES DE LA DESALINIZACIÓN DE AGUA DE MAR".</t>
  </si>
  <si>
    <t xml:space="preserve">SEXTA APORTACIÓN DE ACUERDO CON LA CLÁUSULA SEXTA DEL CONVENIO DE COLABORACIÓN ENTRE VALORIZA AGUA Y LA UNIVERSIDAD DE ALICANTE "ASPECTOS AMBIENTALES DE LA DESALINIZACIÓN DE AGUA DE MAR" DE FECHA 29 DE SEPTIEMBRE DE 2017. </t>
  </si>
  <si>
    <t>TRANSFERENCIA DE FUNDACIÓN CENTRO TECNOLÓGICO ACUICULTURA DE ANDALUCIA. LIQUIDACIÓN DEFINITIVA PROYECTO MIMECCA. EL DEPTO. DE CIENCIAS DEL MAR Y BIOLOGÍA APLICADA INFORMA QUE CORRESPONDE A LA LIQUIDACIÓN DEFINITIVA DEL PROYECTO MIMECCA. REF. CTAQUA1-17Y. CONVENIO DE COLABORACIÓN ENTRE LA FUNDACIÓN CENTRO TECNOLÓGICO DE ACUICULTURA DE ANDALUCIA-CTAQUA Y LA UA.</t>
  </si>
  <si>
    <t>SEGUNDA FACTURA DEL 50% DEL PRESUPUESTO TOTAL TRAS LA FINALIZACIÓN DE LOS TRABAJOS PREVISTOS EN EL ANEXO I DE LA V ADDENDA AL CONTRATO PARA ACTIVIDADES Y ASISTENCIA CIENTÍFICO-TÉCNICA ENTRE ACCIONA AGUA S.A.U Y LA UNIVERSIDAD DE ALICANTE. TÍTULO "ASESORAMIENTO Y ASISTENCIA CIENTÍFICO-TÉCNICA EN CONTROL AMBIENTAL DEL VERTIDO DE LA DESALADORA DE JÁVEA (ALICANTE)".</t>
  </si>
  <si>
    <t>36.50.6C.00.34</t>
  </si>
  <si>
    <t>CONVENIO DE COLABORACIÓN ENTRE LA UNIVERSIDAD DE ALICANTE Y CTAQUA PARA EL DESARROLLO DEL PROYECTO: MODELOS INNOVADORES APLICADOS DE CAPACIDAD DE CARGA DE LA ACUICULTURA MARINA (MACCAM).</t>
  </si>
  <si>
    <t>36.50.6C.00.38</t>
  </si>
  <si>
    <t>Asistencia científica, análisis de datos, muestreo y elaboración de informe en el proyecto "Seguimiento de las poblaciones de lapa majorera y desarrollo de una metodología de traslocación y refuerzo de los stocks de Fuerteventura" en el marco del servicio "Acciones de conservación y seguimiento del cumplimiento de la normativa en el marco del plan de recuperación de la lapa majorera en Fuerteventura".</t>
  </si>
  <si>
    <t>36.50.6C.00.41</t>
  </si>
  <si>
    <t>Nº DE PEDIDO: 4500675362 ANÁLISIS DE LAS CONSECUENCIAS MEDIOAMBIENTALES DE UN VERTIDO AL MAR DESDE LA LAGUNA DE LA MATA.</t>
  </si>
  <si>
    <t>36.50.6C.00.42</t>
  </si>
  <si>
    <t>Aquaculture-environment interactions data analyses: fisheries and sea-lice.</t>
  </si>
  <si>
    <t>36.50.6C.00.43</t>
  </si>
  <si>
    <t>REF. SGS13-20TPA "Evaluación del proyecto I+D+i TALENT BESTGLASS.  Experto Técnico: José Jacobo Zubcoff.  Número de pedido 6036515"</t>
  </si>
  <si>
    <t>36.50.6C.00.44</t>
  </si>
  <si>
    <t>REF. SGS14-20TPA Evaluación del proyecto I+D+i TALENT 000000DEOTG. Experto técnico: José Jacobo Zubcoff. Número de pedido 6036902.</t>
  </si>
  <si>
    <t>36.50.6C.00.45</t>
  </si>
  <si>
    <t>MARCAJE DE EJEMPLARES DE PINNA NOBILIS DE LA ZEC MAR MENOR Y ESTUDIO DE LA EPIBIOSIS Y SU INFLUENCIA SOBRE LA SUPERVIVENCIA DE LA ESPECIE.</t>
  </si>
  <si>
    <t>36.50.6C.00.47</t>
  </si>
  <si>
    <t xml:space="preserve">CONVENIO GVA.-U.A. PARA EJECUCIÓN DE PROYECTOS INVESTIGACIÓN APLICADA A RECURSOS HÍDRICOS C.V. 2020 </t>
  </si>
  <si>
    <t>36.50.6C.00.48</t>
  </si>
  <si>
    <t>Filtrado y revisión documentación base para el desarrollo de guía "Tiburones y rayas de la Región de Murcia: TIBURCIA". Elaboración de los contenidos de guía digital.</t>
  </si>
  <si>
    <t>36.50.6H.00.01</t>
  </si>
  <si>
    <t>REINTEGRO CUOTA PATRONAL CORRESPONDIENTE AL MES DE ENERO DE 2020.</t>
  </si>
  <si>
    <t>36.50.6P.00.09</t>
  </si>
  <si>
    <t>N/P LIQ. DEFINITIVA PLEAMAR 2017 PARTE FEMP. EL DEPTO. DE CIENCIAS DEL MAR Y BIOLOGÍA APLICADA INFORMA QUE SE TRATA DE LA LIQUIDACIÓN DEFINITIVA DE UNA SUBVENCIÓN DEL PROGRAMA PLEAMAR, PROYECTO CAMONMAR2, REF. FBIO17-01.</t>
  </si>
  <si>
    <t>REINTEGRO CUOTA PATRONAL CORRESPONDIENTE A DICIEMBRE DE 2020.</t>
  </si>
  <si>
    <t>36.50.6S.00.13</t>
  </si>
  <si>
    <t>Project SALCOD ref. 294631 financing year 2020.</t>
  </si>
  <si>
    <t>SEGUNDA  FACTURA DEL 50% DEL PRESUPUESTO TOTAL TRAS LA FINALIZACIÓN DE LOS TRABAJOS PREVISTOS EN EL ANEXO I DE LA VI ADDENDA AL CONTRATO DE ASESORAMIENTO Y ASISTENCIA CIENTÍFICO-TÉCNICA EN CONTROL AMBIENTAL DEL VERTIDO DE LA DESALADORA DE JÁVEA (ALICANTE) DE 16-12-2019. Número pedido / referencia: 23.829.</t>
  </si>
  <si>
    <t>Pago mínimo regalías por transferencia de tecnología 2020  -  Ref. Contrato: GLENBIOTECH1(EBT)-10O</t>
  </si>
  <si>
    <t>AÑO 2020: CUARTA FACTURA DEL25% DEL PRESUPUESTO TOTAL SEGÚN CONVENIO ENTRE LA MANCOMUNIDAD DE LOS CANALES DEL TAIBILLA Y LA UNIVERSIDAD DE ALICANTE PARA EL ESTUDIO DE VIGILANCIA AMBIENTAL PARA EL VERTIDO DE LAS DESALINIZADORAS DEL NUEVO CANAL DE CARTAGENA.</t>
  </si>
  <si>
    <t>AÑO 2020: CUARTA FACTURA DEL 25% DEL PRESUPUESTO TOTAL, SEGÚN CONVENIO DE 21-12-2016 ENTRE LA MANCOMUNIDAD DE LOS CANALES DEL TAIBILLA Y LA UNIVERSIDAD DE ALICANTE PARA EL ESTUDIO DE VIGILANCIA AMBIENTAL PARA EL VERTIDO DE LAS DESALINIZADORAS DEL CANAL DE ALICANTE.</t>
  </si>
  <si>
    <t xml:space="preserve">REINTEGRO CUOTA PATRONAL CORRESPONDIENTE A DICIEMBRE DE 2021. </t>
  </si>
  <si>
    <t>SEGUNDO PAGO (60%) DEL CONVENIO DE COLABORACIÓN ENTRE LA UNIVERSIDAD DE ALICANTE Y CTAQUA PARA EL DESARROLLO DEL PROYECTO: MODELOS INNOVADORES APLICADOS DE CAPACIDAD DE CARGA DE LA ACUICULTURA MARINA (MACCAM).</t>
  </si>
  <si>
    <t>36.50.6C.00.46</t>
  </si>
  <si>
    <t>ESTUDIO PARA LA REALIZACIÓN DE UN PLAN DE GESTIÓN PARA LA CONSERVACIÓN DE LA MERLUZA (MERLUCCIUS MERLUCCIUS) Y EL SALMONETE DE FANGO (MULLUS BARBATUS) EN AGUAS DE LA COMUNIDAD VALENCIANA.</t>
  </si>
  <si>
    <t>36.50.6C.00.49</t>
  </si>
  <si>
    <t>Primer pago del 50% del presupuesto total tras la firma del Contrato de asesoramiento y asistencia científico-técnica entre Acciona Agua, S.A.U. y la Universidad de Alicante, Título "SEGUIMIENTO AMBIENTAL DEL VERTIDO DE LA DESALADORA DE JÁVEA" de fecha 30 de noviembre de 2020.  Número pedido / referencia: 23.829.</t>
  </si>
  <si>
    <t>36.50.6C.00.50</t>
  </si>
  <si>
    <t>ESTUDIO, EVALUACIÓN Y DETECCIÓN MOLECULAR DEL PATÓGENO Haplosporidium pinnae EN EJEMPLARES DE Pinna nobilis DEL MAR MENOR.</t>
  </si>
  <si>
    <t>36.50.6C.00.51</t>
  </si>
  <si>
    <t>Service Contract EMFF/2019/1.3.2.6/SI2.835464.  LO measures and discard rates - MedBland Interim payment (40% of the total amount)</t>
  </si>
  <si>
    <t>36.50.6C.00.52</t>
  </si>
  <si>
    <t>Primera factura, tras la firma de la hoja de encargo de la prestación de servicios "Análisis de las prioridades y necesidades para la Gestión de las zonas costeras y la pesca en el Mediterráneo, y el impacto de la crisis del coronavirus para el desarrollo sostenible de la acuicultura y la Áreas marinas protegidas" de fecha 15 de marzo de 2021.</t>
  </si>
  <si>
    <t>Segunda factura, tras la recepción del informe final de resultado, de la prestación de servicios "Análisis de las prioridades y necesidades para la Gestión de las zonas costeras y la pesca en el Mediterráneo, y el impacto de la crisis del coronavirus para el desarrollo sostenible de la acuicultura y la Áreas marinas protegidas" de fecha 15 de marzo de 2021.</t>
  </si>
  <si>
    <t>36.50.6C.00.53</t>
  </si>
  <si>
    <t>Realización de estudio de seguimiento del estado de conservación de las praderas de Posidonia oceánica del litoral del municipio de Teulada Moraira.  (Su Exp. contrato menor 3212/2021).</t>
  </si>
  <si>
    <t>36.50.6C.00.54</t>
  </si>
  <si>
    <t xml:space="preserve">PRESTACIÓN DE SERVICIOS "PLAN PARA LA GESTIÓN DEL FONDEO EN LOS CAMPOS DE BOYA DE LA ISLA DE TABARCA (ALICANTE)". TRABAJOS REALIZADOS BAJO LA DIRECCIÓN DEL PROFESOR JOSÉ MIGUEL GONZÁLEZ CORREA DEL DEPARTAMENTO DE CIENCIAS DEL MAR Y BIOLOGÍA APLICADA.   </t>
  </si>
  <si>
    <t>36.50.6C.00.55</t>
  </si>
  <si>
    <t xml:space="preserve">Plan para la gestión del fondeo en los campos de boya de la isla de Tabarca (Alicante). Prestación de servicios realizada bajo la dirección de José Miguel González Correa, profesor del Dpto. de Ciencias del Mar y Biología Aplicada. </t>
  </si>
  <si>
    <t>36.50.6C.00.57</t>
  </si>
  <si>
    <t>PRIMERA FACTURA DEL 50% DEL TOTAL DEL CONTRATO "SERVICIOS DE SEGUIMIENTO, RECUPERACIÓN Y ACCIONES DE CIENCIA CIUDADANA EN LAS POBLACIONES REMANENTES DE PINNA NOBILIS DEL MAR MENOR EN EL MARCO DEL PROYECTO "RECUPERA PINNA" financiado por la Fundación Biodiversidad del Ministerio para la Transición Ecológica y el Reto Demográfico. Número de comanda: CI145893.</t>
  </si>
  <si>
    <t>36.50.6C.00.59</t>
  </si>
  <si>
    <t>Realización de dos informes para la renovación de la autorización ambiental sectorial de la desaladora de San Pedro del Pinatar, consistentes en:  Informe relativo a la forma de proceder con respecto al lavado de filtros y limpieza de membranas, así como la cantidad de reactivos utilizados y aquella información que establece el anexo de prescripciones técnicas de la autorización de vertido (Resol. 20/04/2016); y CERTIFICADO de comprobación de las condiciones técnicas para el vertido al mar, establecidas en la Resol. de la Direc. Gral. de Calidad y Evaluación Ambiental, de renovación de la autorización de vertido al mar de la salmuera procedente de las plantas desaladoras I y II del Nuevo Canal de Cartagena en San Pedro del Pinatar, de 20-4-2016, durante el periodo comprendido desde la fecha de la última renovación de la autorización de vertido hasta la actualidad (2016-2021)y si el medio receptor se ha modificado significativamente por el vertido al mar realizado...</t>
  </si>
  <si>
    <t>36.50.6P.00.01</t>
  </si>
  <si>
    <t>LIQUIDACIÓN DEFINITIVA PROYECTO PLEAMAR 2018</t>
  </si>
  <si>
    <t>36.50.6P.00.19</t>
  </si>
  <si>
    <t>ANTICIPO DEL 20% PROYECTO FBIOPLEAMAR20-05 GLOBAL CHANGE RESILENCE IN AQUACULTURE, según informan desde el Departamento de Ciencias del Mar</t>
  </si>
  <si>
    <t>36.50.6P.00.20</t>
  </si>
  <si>
    <t>N/P ANTICIPO FSE 2020 EMPLEAVERDE</t>
  </si>
  <si>
    <t>36.50.6P.00.21</t>
  </si>
  <si>
    <t>PID2020-118476RR-C22</t>
  </si>
  <si>
    <t>36.50.6P.00.22</t>
  </si>
  <si>
    <t>PID2020-119734RB-I00</t>
  </si>
  <si>
    <t>Project SALCOD ref. 294631 financing year 2021</t>
  </si>
  <si>
    <t>36.50.6X.00.03</t>
  </si>
  <si>
    <t>PRIMER PAGO PROYECTO OSMOTIC SEAGRASS, SEGÚN INFORMA LA OGPI</t>
  </si>
  <si>
    <t>Matrícula del curso "Introducción al diseño experimental ANOVA multifactorial con R" (COD. G588) de la alumna Juana Benavides López. Referencia recibo número 2020767078358.</t>
  </si>
  <si>
    <t>Matrícula del curso "Introducción al diseño experimental ANOVA multifactorial con R" (COD. G588) del alumno Ángel Daniel Guevara Marcano. Referencia recibo número 2020767078457.</t>
  </si>
  <si>
    <t>MATRÍCULA DEL CURSO "Introducción al diseño experimental y ANOVA multifactorial con R" del alumno Héctor Alejandro Bahamonte. Recibo número 2020767131312.</t>
  </si>
  <si>
    <t>MATRÍCULA DEL CURSO "Introducción al diseño experimental y ANOVA multifactorial con R" del alumno Antonio José Bernabé García. Recibo número 2020767130421.</t>
  </si>
  <si>
    <t>MATRÍCULA DEL CURSO "Introducción al diseño experimental y ANOVA multifactorial con R" de la alumna Rocio Torres Vera. Recibo número 2020767131213.</t>
  </si>
  <si>
    <t>Plan G588 INTRODUCCIÓN AL DISEÑO EXPERIMENTAL Y ANOVA MULTIFACTORIAL CON R". 1ª LIQUIDACIÓN CON FECHA DE 22 DE FEBRERO DE 2021</t>
  </si>
  <si>
    <t>REINTEGRO CUOTA PATRONAL CORRESPONDIENTE A JULIO DE 2021.</t>
  </si>
  <si>
    <t>ASPECTOS AMBIENTALES DE LA DESALINIZACIÓN DE AGUA DE MAR : REGULACIÓN Y GESTIÓN DE LOS VERTIDOS </t>
  </si>
  <si>
    <t>Y5555565K </t>
  </si>
  <si>
    <t>Izquierdo Muñoz, Andres </t>
  </si>
  <si>
    <t>Contribución al conocimiento de la fauna exótica en el Mar Mediterráneo, con especial atención al Sudeste Ibérico </t>
  </si>
  <si>
    <t>25/03/2022 </t>
  </si>
  <si>
    <t>Muñoz Muñoz, Pamela Tamara </t>
  </si>
  <si>
    <t>Respuestas Fisiológicas y metabólicas de macroalgas expuestas a estrés osmótico por hipersalinidad: mecanismos de tolerancia y herramientas de biomonitoreo </t>
  </si>
  <si>
    <t>26/11/2021 </t>
  </si>
  <si>
    <t>ADM. I.U. DEL AGUA Y DE LAS CIENCIAS AMBIENTALES </t>
  </si>
  <si>
    <t>DOCTORADO EN AGUA Y DESARROLLO SOSTENIBLE </t>
  </si>
  <si>
    <t>Aldaghma , Saleh </t>
  </si>
  <si>
    <t>"The prospects of water sustainability in Gaza, Palestine in light of politics and technical challenges" </t>
  </si>
  <si>
    <t>09/02/2022 </t>
  </si>
  <si>
    <t>10.19</t>
  </si>
  <si>
    <t>U020 </t>
  </si>
  <si>
    <t>46350843R</t>
  </si>
  <si>
    <t>TERRADAS FERNANDEZ, MARC</t>
  </si>
  <si>
    <t>74360869Y</t>
  </si>
  <si>
    <t>LOPEZ MOYA, FEDERICO</t>
  </si>
  <si>
    <t>78528725D</t>
  </si>
  <si>
    <t>TOLEDO GUEDES, KILIAN</t>
  </si>
  <si>
    <t>Total ingresos investigación 2019, 2020 y 2021</t>
  </si>
  <si>
    <t>Total ingresos formación 2019 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</si>
</sst>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s>
  <fills count="8">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50">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2" borderId="0" xfId="1" applyFont="1" applyFill="1" applyAlignment="1"/>
    <xf numFmtId="0" fontId="3" fillId="2" borderId="0" xfId="1" applyFont="1" applyFill="1" applyAlignment="1">
      <alignment horizontal="right"/>
    </xf>
    <xf numFmtId="164" fontId="4" fillId="2" borderId="1" xfId="1" applyNumberFormat="1" applyFont="1" applyFill="1" applyBorder="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0" fillId="0" borderId="1" xfId="0" applyBorder="1"/>
    <xf numFmtId="0" fontId="0" fillId="0" borderId="1" xfId="0" applyBorder="1" applyAlignment="1">
      <alignment horizontal="center"/>
    </xf>
    <xf numFmtId="0" fontId="3" fillId="4" borderId="1" xfId="1" applyFill="1" applyBorder="1"/>
    <xf numFmtId="0" fontId="3" fillId="4" borderId="2" xfId="1" applyFill="1" applyBorder="1"/>
    <xf numFmtId="0" fontId="11" fillId="6" borderId="1" xfId="0" applyFont="1" applyFill="1" applyBorder="1" applyAlignment="1">
      <alignment horizontal="left" vertical="center"/>
    </xf>
    <xf numFmtId="0" fontId="11" fillId="6" borderId="3" xfId="0" applyFont="1" applyFill="1" applyBorder="1" applyAlignment="1">
      <alignment horizontal="left" vertical="center"/>
    </xf>
    <xf numFmtId="0" fontId="11" fillId="6" borderId="4" xfId="0" applyFont="1" applyFill="1" applyBorder="1" applyAlignment="1">
      <alignment horizontal="left" vertical="center"/>
    </xf>
    <xf numFmtId="0" fontId="11" fillId="6" borderId="5" xfId="0" applyFont="1" applyFill="1" applyBorder="1" applyAlignment="1">
      <alignment horizontal="left" vertical="center"/>
    </xf>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165" fontId="3" fillId="4" borderId="2" xfId="1" applyNumberFormat="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7" fillId="0" borderId="1" xfId="0" applyFont="1" applyBorder="1"/>
    <xf numFmtId="0" fontId="7" fillId="0" borderId="1" xfId="0" applyFont="1" applyBorder="1" applyAlignment="1">
      <alignment horizontal="left"/>
    </xf>
    <xf numFmtId="0" fontId="0" fillId="0" borderId="1" xfId="0" applyBorder="1" applyAlignment="1">
      <alignment horizontal="left"/>
    </xf>
    <xf numFmtId="0" fontId="9" fillId="3" borderId="1" xfId="3" applyFont="1" applyFill="1" applyBorder="1" applyAlignment="1">
      <alignment horizontal="center" wrapText="1"/>
    </xf>
    <xf numFmtId="0" fontId="10" fillId="7" borderId="0" xfId="5" applyFont="1" applyFill="1"/>
    <xf numFmtId="0" fontId="10" fillId="7" borderId="0" xfId="5" applyFont="1" applyFill="1" applyAlignment="1">
      <alignment horizontal="right"/>
    </xf>
    <xf numFmtId="0" fontId="12" fillId="7" borderId="0" xfId="5" applyFont="1" applyFill="1"/>
    <xf numFmtId="0" fontId="2" fillId="0" borderId="1" xfId="0" applyFont="1" applyBorder="1" applyAlignment="1">
      <alignment horizontal="right"/>
    </xf>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7"/>
  <sheetViews>
    <sheetView showGridLines="0" tabSelected="1" zoomScale="120" zoomScaleNormal="120" workbookViewId="0">
      <pane xSplit="1" ySplit="1" topLeftCell="G14" activePane="bottomRight" state="frozen"/>
      <selection pane="topRight" activeCell="B1" sqref="B1"/>
      <selection pane="bottomLeft" activeCell="A2" sqref="A2"/>
      <selection pane="bottomRight" activeCell="N41" sqref="N41"/>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32.6640625" style="13" customWidth="1"/>
    <col min="11" max="12" width="5.109375" style="13" customWidth="1"/>
    <col min="13" max="13" width="4.44140625" style="13" customWidth="1"/>
    <col min="14" max="14" width="4.88671875" style="13" customWidth="1"/>
    <col min="15" max="15" width="4.88671875" style="17" customWidth="1"/>
    <col min="16" max="16" width="4.88671875" style="13" customWidth="1"/>
    <col min="17" max="17" width="3.5546875" style="17" customWidth="1"/>
    <col min="18" max="18" width="3.5546875" style="13" customWidth="1"/>
    <col min="19" max="21" width="5.109375" style="13" customWidth="1"/>
    <col min="22" max="16384" width="10.33203125" style="13"/>
  </cols>
  <sheetData>
    <row r="1" spans="1:21" ht="40.799999999999997" x14ac:dyDescent="0.2">
      <c r="A1" s="8" t="s">
        <v>12</v>
      </c>
      <c r="B1" s="9" t="s">
        <v>13</v>
      </c>
      <c r="C1" s="9" t="s">
        <v>14</v>
      </c>
      <c r="D1" s="9" t="s">
        <v>15</v>
      </c>
      <c r="E1" s="9" t="s">
        <v>16</v>
      </c>
      <c r="F1" s="9" t="s">
        <v>17</v>
      </c>
      <c r="G1" s="9" t="s">
        <v>18</v>
      </c>
      <c r="H1" s="9" t="s">
        <v>19</v>
      </c>
      <c r="I1" s="8" t="s">
        <v>20</v>
      </c>
      <c r="J1" s="9" t="s">
        <v>21</v>
      </c>
      <c r="K1" s="8" t="s">
        <v>22</v>
      </c>
      <c r="L1" s="9" t="s">
        <v>23</v>
      </c>
      <c r="M1" s="10" t="s">
        <v>24</v>
      </c>
      <c r="N1" s="11" t="s">
        <v>25</v>
      </c>
      <c r="O1" s="12" t="s">
        <v>26</v>
      </c>
      <c r="P1" s="11" t="s">
        <v>27</v>
      </c>
      <c r="Q1" s="12" t="s">
        <v>28</v>
      </c>
      <c r="R1" s="11" t="s">
        <v>29</v>
      </c>
      <c r="S1" s="11" t="s">
        <v>30</v>
      </c>
      <c r="T1" s="11" t="s">
        <v>31</v>
      </c>
      <c r="U1" s="11" t="s">
        <v>32</v>
      </c>
    </row>
    <row r="2" spans="1:21" x14ac:dyDescent="0.2">
      <c r="A2" s="27" t="s">
        <v>47</v>
      </c>
      <c r="B2" s="27" t="s">
        <v>48</v>
      </c>
      <c r="C2" s="27" t="s">
        <v>51</v>
      </c>
      <c r="D2" s="27" t="s">
        <v>60</v>
      </c>
      <c r="E2" s="27" t="s">
        <v>61</v>
      </c>
      <c r="F2" s="27" t="s">
        <v>62</v>
      </c>
      <c r="G2" s="27" t="s">
        <v>57</v>
      </c>
      <c r="H2" s="27" t="s">
        <v>33</v>
      </c>
      <c r="I2" s="27" t="s">
        <v>47</v>
      </c>
      <c r="J2" s="27" t="s">
        <v>48</v>
      </c>
      <c r="K2" s="33">
        <v>0.5</v>
      </c>
      <c r="L2" s="27" t="s">
        <v>52</v>
      </c>
      <c r="M2" s="27">
        <v>2016</v>
      </c>
      <c r="N2" s="27" t="s">
        <v>36</v>
      </c>
      <c r="O2" s="34" t="s">
        <v>34</v>
      </c>
      <c r="P2" s="27" t="s">
        <v>35</v>
      </c>
      <c r="Q2" s="34" t="s">
        <v>35</v>
      </c>
      <c r="R2" s="35">
        <v>50</v>
      </c>
      <c r="S2" s="33">
        <v>0.25</v>
      </c>
      <c r="T2" s="33">
        <v>0.25</v>
      </c>
      <c r="U2" s="33">
        <v>0</v>
      </c>
    </row>
    <row r="3" spans="1:21" x14ac:dyDescent="0.2">
      <c r="A3" s="27" t="s">
        <v>47</v>
      </c>
      <c r="B3" s="27" t="s">
        <v>48</v>
      </c>
      <c r="C3" s="27" t="s">
        <v>51</v>
      </c>
      <c r="D3" s="27" t="s">
        <v>60</v>
      </c>
      <c r="E3" s="27" t="s">
        <v>61</v>
      </c>
      <c r="F3" s="27" t="s">
        <v>62</v>
      </c>
      <c r="G3" s="27" t="s">
        <v>39</v>
      </c>
      <c r="H3" s="27" t="s">
        <v>33</v>
      </c>
      <c r="I3" s="27" t="s">
        <v>47</v>
      </c>
      <c r="J3" s="27" t="s">
        <v>48</v>
      </c>
      <c r="K3" s="33">
        <v>0.5</v>
      </c>
      <c r="L3" s="27" t="s">
        <v>52</v>
      </c>
      <c r="M3" s="27">
        <v>2016</v>
      </c>
      <c r="N3" s="27" t="s">
        <v>35</v>
      </c>
      <c r="O3" s="34" t="s">
        <v>35</v>
      </c>
      <c r="P3" s="27" t="s">
        <v>35</v>
      </c>
      <c r="Q3" s="34" t="s">
        <v>35</v>
      </c>
      <c r="R3" s="35">
        <v>100</v>
      </c>
      <c r="S3" s="33">
        <v>0.5</v>
      </c>
      <c r="T3" s="33">
        <v>0</v>
      </c>
      <c r="U3" s="33">
        <v>0</v>
      </c>
    </row>
    <row r="4" spans="1:21" x14ac:dyDescent="0.2">
      <c r="A4" s="27" t="s">
        <v>47</v>
      </c>
      <c r="B4" s="27" t="s">
        <v>48</v>
      </c>
      <c r="C4" s="27" t="s">
        <v>49</v>
      </c>
      <c r="D4" s="27" t="s">
        <v>71</v>
      </c>
      <c r="E4" s="27" t="s">
        <v>72</v>
      </c>
      <c r="F4" s="27" t="s">
        <v>46</v>
      </c>
      <c r="G4" s="27" t="s">
        <v>56</v>
      </c>
      <c r="H4" s="27" t="s">
        <v>33</v>
      </c>
      <c r="I4" s="27" t="s">
        <v>47</v>
      </c>
      <c r="J4" s="27" t="s">
        <v>48</v>
      </c>
      <c r="K4" s="33">
        <v>0.5</v>
      </c>
      <c r="L4" s="27" t="s">
        <v>52</v>
      </c>
      <c r="M4" s="27">
        <v>2016</v>
      </c>
      <c r="N4" s="27" t="s">
        <v>36</v>
      </c>
      <c r="O4" s="34" t="s">
        <v>38</v>
      </c>
      <c r="P4" s="27" t="s">
        <v>40</v>
      </c>
      <c r="Q4" s="34" t="s">
        <v>38</v>
      </c>
      <c r="R4" s="35">
        <v>80</v>
      </c>
      <c r="S4" s="33">
        <v>0.4</v>
      </c>
      <c r="T4" s="33">
        <v>0.05</v>
      </c>
      <c r="U4" s="33">
        <v>0.05</v>
      </c>
    </row>
    <row r="5" spans="1:21" x14ac:dyDescent="0.2">
      <c r="A5" s="27" t="s">
        <v>47</v>
      </c>
      <c r="B5" s="27" t="s">
        <v>48</v>
      </c>
      <c r="C5" s="27" t="s">
        <v>49</v>
      </c>
      <c r="D5" s="27" t="s">
        <v>71</v>
      </c>
      <c r="E5" s="27" t="s">
        <v>72</v>
      </c>
      <c r="F5" s="27" t="s">
        <v>46</v>
      </c>
      <c r="G5" s="27" t="s">
        <v>39</v>
      </c>
      <c r="H5" s="27" t="s">
        <v>33</v>
      </c>
      <c r="I5" s="27" t="s">
        <v>47</v>
      </c>
      <c r="J5" s="27" t="s">
        <v>48</v>
      </c>
      <c r="K5" s="33">
        <v>0.5</v>
      </c>
      <c r="L5" s="27" t="s">
        <v>52</v>
      </c>
      <c r="M5" s="27">
        <v>2016</v>
      </c>
      <c r="N5" s="27" t="s">
        <v>35</v>
      </c>
      <c r="O5" s="34" t="s">
        <v>35</v>
      </c>
      <c r="P5" s="27" t="s">
        <v>35</v>
      </c>
      <c r="Q5" s="34" t="s">
        <v>35</v>
      </c>
      <c r="R5" s="35">
        <v>100</v>
      </c>
      <c r="S5" s="33">
        <v>0.5</v>
      </c>
      <c r="T5" s="33">
        <v>0</v>
      </c>
      <c r="U5" s="33">
        <v>0</v>
      </c>
    </row>
    <row r="6" spans="1:21" x14ac:dyDescent="0.2">
      <c r="A6" s="27" t="s">
        <v>47</v>
      </c>
      <c r="B6" s="27" t="s">
        <v>48</v>
      </c>
      <c r="C6" s="27" t="s">
        <v>49</v>
      </c>
      <c r="D6" s="27" t="s">
        <v>66</v>
      </c>
      <c r="E6" s="27" t="s">
        <v>67</v>
      </c>
      <c r="F6" s="27" t="s">
        <v>44</v>
      </c>
      <c r="G6" s="27" t="s">
        <v>57</v>
      </c>
      <c r="H6" s="27" t="s">
        <v>37</v>
      </c>
      <c r="I6" s="27" t="s">
        <v>47</v>
      </c>
      <c r="J6" s="27" t="s">
        <v>48</v>
      </c>
      <c r="K6" s="33">
        <v>1</v>
      </c>
      <c r="L6" s="27" t="s">
        <v>52</v>
      </c>
      <c r="M6" s="27">
        <v>2016</v>
      </c>
      <c r="N6" s="27" t="s">
        <v>36</v>
      </c>
      <c r="O6" s="34" t="s">
        <v>34</v>
      </c>
      <c r="P6" s="27" t="s">
        <v>35</v>
      </c>
      <c r="Q6" s="34" t="s">
        <v>35</v>
      </c>
      <c r="R6" s="35">
        <v>50</v>
      </c>
      <c r="S6" s="33">
        <v>0.5</v>
      </c>
      <c r="T6" s="33">
        <v>0.5</v>
      </c>
      <c r="U6" s="33">
        <v>0</v>
      </c>
    </row>
    <row r="7" spans="1:21" x14ac:dyDescent="0.2">
      <c r="A7" s="27" t="s">
        <v>47</v>
      </c>
      <c r="B7" s="27" t="s">
        <v>48</v>
      </c>
      <c r="C7" s="27" t="s">
        <v>49</v>
      </c>
      <c r="D7" s="27" t="s">
        <v>68</v>
      </c>
      <c r="E7" s="27" t="s">
        <v>69</v>
      </c>
      <c r="F7" s="27" t="s">
        <v>70</v>
      </c>
      <c r="G7" s="27" t="s">
        <v>57</v>
      </c>
      <c r="H7" s="27" t="s">
        <v>33</v>
      </c>
      <c r="I7" s="27" t="s">
        <v>47</v>
      </c>
      <c r="J7" s="27" t="s">
        <v>48</v>
      </c>
      <c r="K7" s="33">
        <v>0.5</v>
      </c>
      <c r="L7" s="27" t="s">
        <v>52</v>
      </c>
      <c r="M7" s="27">
        <v>2016</v>
      </c>
      <c r="N7" s="27" t="s">
        <v>36</v>
      </c>
      <c r="O7" s="34" t="s">
        <v>34</v>
      </c>
      <c r="P7" s="27" t="s">
        <v>35</v>
      </c>
      <c r="Q7" s="34" t="s">
        <v>35</v>
      </c>
      <c r="R7" s="35">
        <v>50</v>
      </c>
      <c r="S7" s="33">
        <v>0.25</v>
      </c>
      <c r="T7" s="33">
        <v>0.25</v>
      </c>
      <c r="U7" s="33">
        <v>0</v>
      </c>
    </row>
    <row r="8" spans="1:21" x14ac:dyDescent="0.2">
      <c r="A8" s="27" t="s">
        <v>47</v>
      </c>
      <c r="B8" s="27" t="s">
        <v>48</v>
      </c>
      <c r="C8" s="27" t="s">
        <v>49</v>
      </c>
      <c r="D8" s="27" t="s">
        <v>68</v>
      </c>
      <c r="E8" s="27" t="s">
        <v>69</v>
      </c>
      <c r="F8" s="27" t="s">
        <v>70</v>
      </c>
      <c r="G8" s="27" t="s">
        <v>56</v>
      </c>
      <c r="H8" s="27" t="s">
        <v>33</v>
      </c>
      <c r="I8" s="27" t="s">
        <v>47</v>
      </c>
      <c r="J8" s="27" t="s">
        <v>48</v>
      </c>
      <c r="K8" s="33">
        <v>0.5</v>
      </c>
      <c r="L8" s="27" t="s">
        <v>52</v>
      </c>
      <c r="M8" s="27">
        <v>2016</v>
      </c>
      <c r="N8" s="27" t="s">
        <v>36</v>
      </c>
      <c r="O8" s="34" t="s">
        <v>38</v>
      </c>
      <c r="P8" s="27" t="s">
        <v>40</v>
      </c>
      <c r="Q8" s="34" t="s">
        <v>38</v>
      </c>
      <c r="R8" s="35">
        <v>80</v>
      </c>
      <c r="S8" s="33">
        <v>0.4</v>
      </c>
      <c r="T8" s="33">
        <v>0.05</v>
      </c>
      <c r="U8" s="33">
        <v>0.05</v>
      </c>
    </row>
    <row r="9" spans="1:21" x14ac:dyDescent="0.2">
      <c r="A9" s="27" t="s">
        <v>47</v>
      </c>
      <c r="B9" s="27" t="s">
        <v>48</v>
      </c>
      <c r="C9" s="27" t="s">
        <v>49</v>
      </c>
      <c r="D9" s="27" t="s">
        <v>63</v>
      </c>
      <c r="E9" s="27" t="s">
        <v>64</v>
      </c>
      <c r="F9" s="27" t="s">
        <v>65</v>
      </c>
      <c r="G9" s="27" t="s">
        <v>53</v>
      </c>
      <c r="H9" s="27" t="s">
        <v>37</v>
      </c>
      <c r="I9" s="27" t="s">
        <v>47</v>
      </c>
      <c r="J9" s="27" t="s">
        <v>48</v>
      </c>
      <c r="K9" s="33">
        <v>1</v>
      </c>
      <c r="L9" s="27" t="s">
        <v>52</v>
      </c>
      <c r="M9" s="27">
        <v>2016</v>
      </c>
      <c r="N9" s="27" t="s">
        <v>36</v>
      </c>
      <c r="O9" s="34" t="s">
        <v>34</v>
      </c>
      <c r="P9" s="27" t="s">
        <v>35</v>
      </c>
      <c r="Q9" s="34" t="s">
        <v>35</v>
      </c>
      <c r="R9" s="35">
        <v>50</v>
      </c>
      <c r="S9" s="33">
        <v>0.5</v>
      </c>
      <c r="T9" s="33">
        <v>0.5</v>
      </c>
      <c r="U9" s="33">
        <v>0</v>
      </c>
    </row>
    <row r="10" spans="1:21" x14ac:dyDescent="0.2">
      <c r="A10" s="27" t="s">
        <v>41</v>
      </c>
      <c r="B10" s="27" t="s">
        <v>42</v>
      </c>
      <c r="C10" s="27" t="s">
        <v>49</v>
      </c>
      <c r="D10" s="27" t="s">
        <v>58</v>
      </c>
      <c r="E10" s="27" t="s">
        <v>59</v>
      </c>
      <c r="F10" s="27" t="s">
        <v>43</v>
      </c>
      <c r="G10" s="27" t="s">
        <v>53</v>
      </c>
      <c r="H10" s="27" t="s">
        <v>37</v>
      </c>
      <c r="I10" s="27" t="s">
        <v>47</v>
      </c>
      <c r="J10" s="27" t="s">
        <v>48</v>
      </c>
      <c r="K10" s="33">
        <v>1</v>
      </c>
      <c r="L10" s="27" t="s">
        <v>52</v>
      </c>
      <c r="M10" s="27">
        <v>2016</v>
      </c>
      <c r="N10" s="27" t="s">
        <v>36</v>
      </c>
      <c r="O10" s="34" t="s">
        <v>34</v>
      </c>
      <c r="P10" s="27" t="s">
        <v>35</v>
      </c>
      <c r="Q10" s="34" t="s">
        <v>35</v>
      </c>
      <c r="R10" s="35">
        <v>50</v>
      </c>
      <c r="S10" s="33">
        <v>0.5</v>
      </c>
      <c r="T10" s="33">
        <v>0.5</v>
      </c>
      <c r="U10" s="33">
        <v>0</v>
      </c>
    </row>
    <row r="11" spans="1:21" x14ac:dyDescent="0.2">
      <c r="A11" s="27" t="s">
        <v>47</v>
      </c>
      <c r="B11" s="27" t="s">
        <v>48</v>
      </c>
      <c r="C11" s="27" t="s">
        <v>49</v>
      </c>
      <c r="D11" s="27" t="s">
        <v>84</v>
      </c>
      <c r="E11" s="27" t="s">
        <v>85</v>
      </c>
      <c r="F11" s="27" t="s">
        <v>50</v>
      </c>
      <c r="G11" s="27" t="s">
        <v>39</v>
      </c>
      <c r="H11" s="27" t="s">
        <v>33</v>
      </c>
      <c r="I11" s="27" t="s">
        <v>47</v>
      </c>
      <c r="J11" s="27" t="s">
        <v>48</v>
      </c>
      <c r="K11" s="36">
        <v>1</v>
      </c>
      <c r="L11" s="27" t="s">
        <v>52</v>
      </c>
      <c r="M11" s="27">
        <v>2018</v>
      </c>
      <c r="N11" s="27" t="s">
        <v>35</v>
      </c>
      <c r="O11" s="34" t="s">
        <v>35</v>
      </c>
      <c r="P11" s="27" t="s">
        <v>35</v>
      </c>
      <c r="Q11" s="34" t="s">
        <v>35</v>
      </c>
      <c r="R11" s="35">
        <v>100</v>
      </c>
      <c r="S11" s="33">
        <v>1</v>
      </c>
      <c r="T11" s="33">
        <v>0</v>
      </c>
      <c r="U11" s="33">
        <v>0</v>
      </c>
    </row>
    <row r="12" spans="1:21" x14ac:dyDescent="0.2">
      <c r="A12" s="27" t="s">
        <v>47</v>
      </c>
      <c r="B12" s="27" t="s">
        <v>48</v>
      </c>
      <c r="C12" s="27" t="s">
        <v>49</v>
      </c>
      <c r="D12" s="27" t="s">
        <v>82</v>
      </c>
      <c r="E12" s="27" t="s">
        <v>83</v>
      </c>
      <c r="F12" s="27" t="s">
        <v>45</v>
      </c>
      <c r="G12" s="27" t="s">
        <v>55</v>
      </c>
      <c r="H12" s="27" t="s">
        <v>33</v>
      </c>
      <c r="I12" s="27" t="s">
        <v>47</v>
      </c>
      <c r="J12" s="27" t="s">
        <v>48</v>
      </c>
      <c r="K12" s="36">
        <v>0.5</v>
      </c>
      <c r="L12" s="27" t="s">
        <v>52</v>
      </c>
      <c r="M12" s="27">
        <v>2018</v>
      </c>
      <c r="N12" s="27" t="s">
        <v>36</v>
      </c>
      <c r="O12" s="34" t="s">
        <v>38</v>
      </c>
      <c r="P12" s="27" t="s">
        <v>35</v>
      </c>
      <c r="Q12" s="34" t="s">
        <v>35</v>
      </c>
      <c r="R12" s="35">
        <v>90</v>
      </c>
      <c r="S12" s="33">
        <v>0.45</v>
      </c>
      <c r="T12" s="33">
        <v>0.05</v>
      </c>
      <c r="U12" s="33">
        <v>0</v>
      </c>
    </row>
    <row r="13" spans="1:21" x14ac:dyDescent="0.2">
      <c r="A13" s="27" t="s">
        <v>47</v>
      </c>
      <c r="B13" s="27" t="s">
        <v>48</v>
      </c>
      <c r="C13" s="27" t="s">
        <v>49</v>
      </c>
      <c r="D13" s="27" t="s">
        <v>82</v>
      </c>
      <c r="E13" s="27" t="s">
        <v>83</v>
      </c>
      <c r="F13" s="27" t="s">
        <v>45</v>
      </c>
      <c r="G13" s="27" t="s">
        <v>56</v>
      </c>
      <c r="H13" s="27" t="s">
        <v>33</v>
      </c>
      <c r="I13" s="27" t="s">
        <v>47</v>
      </c>
      <c r="J13" s="27" t="s">
        <v>48</v>
      </c>
      <c r="K13" s="36">
        <v>0.5</v>
      </c>
      <c r="L13" s="27" t="s">
        <v>52</v>
      </c>
      <c r="M13" s="27">
        <v>2018</v>
      </c>
      <c r="N13" s="27" t="s">
        <v>40</v>
      </c>
      <c r="O13" s="34" t="s">
        <v>38</v>
      </c>
      <c r="P13" s="27" t="s">
        <v>36</v>
      </c>
      <c r="Q13" s="34" t="s">
        <v>38</v>
      </c>
      <c r="R13" s="35">
        <v>80</v>
      </c>
      <c r="S13" s="33">
        <v>0.4</v>
      </c>
      <c r="T13" s="33">
        <v>0.05</v>
      </c>
      <c r="U13" s="33">
        <v>0.05</v>
      </c>
    </row>
    <row r="14" spans="1:21" x14ac:dyDescent="0.2">
      <c r="A14" s="27" t="s">
        <v>47</v>
      </c>
      <c r="B14" s="27" t="s">
        <v>48</v>
      </c>
      <c r="C14" s="27" t="s">
        <v>49</v>
      </c>
      <c r="D14" s="27" t="s">
        <v>73</v>
      </c>
      <c r="E14" s="27" t="s">
        <v>74</v>
      </c>
      <c r="F14" s="27" t="s">
        <v>75</v>
      </c>
      <c r="G14" s="27" t="s">
        <v>56</v>
      </c>
      <c r="H14" s="27" t="s">
        <v>37</v>
      </c>
      <c r="I14" s="27" t="s">
        <v>47</v>
      </c>
      <c r="J14" s="27" t="s">
        <v>48</v>
      </c>
      <c r="K14" s="36">
        <v>1</v>
      </c>
      <c r="L14" s="27" t="s">
        <v>52</v>
      </c>
      <c r="M14" s="27">
        <v>2018</v>
      </c>
      <c r="N14" s="27" t="s">
        <v>40</v>
      </c>
      <c r="O14" s="34" t="s">
        <v>38</v>
      </c>
      <c r="P14" s="27" t="s">
        <v>36</v>
      </c>
      <c r="Q14" s="34" t="s">
        <v>38</v>
      </c>
      <c r="R14" s="35">
        <v>80</v>
      </c>
      <c r="S14" s="33">
        <v>0.8</v>
      </c>
      <c r="T14" s="33">
        <v>0.1</v>
      </c>
      <c r="U14" s="33">
        <v>0.1</v>
      </c>
    </row>
    <row r="15" spans="1:21" x14ac:dyDescent="0.2">
      <c r="A15" s="27" t="s">
        <v>47</v>
      </c>
      <c r="B15" s="27" t="s">
        <v>48</v>
      </c>
      <c r="C15" s="27" t="s">
        <v>49</v>
      </c>
      <c r="D15" s="27" t="s">
        <v>79</v>
      </c>
      <c r="E15" s="27" t="s">
        <v>80</v>
      </c>
      <c r="F15" s="27" t="s">
        <v>81</v>
      </c>
      <c r="G15" s="27" t="s">
        <v>56</v>
      </c>
      <c r="H15" s="27" t="s">
        <v>33</v>
      </c>
      <c r="I15" s="27" t="s">
        <v>47</v>
      </c>
      <c r="J15" s="27" t="s">
        <v>48</v>
      </c>
      <c r="K15" s="36">
        <v>0.5</v>
      </c>
      <c r="L15" s="27" t="s">
        <v>52</v>
      </c>
      <c r="M15" s="27">
        <v>2018</v>
      </c>
      <c r="N15" s="27" t="s">
        <v>40</v>
      </c>
      <c r="O15" s="34" t="s">
        <v>38</v>
      </c>
      <c r="P15" s="27" t="s">
        <v>36</v>
      </c>
      <c r="Q15" s="34" t="s">
        <v>38</v>
      </c>
      <c r="R15" s="35">
        <v>80</v>
      </c>
      <c r="S15" s="33">
        <v>0.4</v>
      </c>
      <c r="T15" s="33">
        <v>0.05</v>
      </c>
      <c r="U15" s="33">
        <v>0.05</v>
      </c>
    </row>
    <row r="16" spans="1:21" x14ac:dyDescent="0.2">
      <c r="A16" s="27" t="s">
        <v>47</v>
      </c>
      <c r="B16" s="27" t="s">
        <v>48</v>
      </c>
      <c r="C16" s="27" t="s">
        <v>49</v>
      </c>
      <c r="D16" s="27" t="s">
        <v>79</v>
      </c>
      <c r="E16" s="27" t="s">
        <v>80</v>
      </c>
      <c r="F16" s="27" t="s">
        <v>81</v>
      </c>
      <c r="G16" s="27" t="s">
        <v>39</v>
      </c>
      <c r="H16" s="27" t="s">
        <v>33</v>
      </c>
      <c r="I16" s="27" t="s">
        <v>47</v>
      </c>
      <c r="J16" s="27" t="s">
        <v>48</v>
      </c>
      <c r="K16" s="36">
        <v>0.5</v>
      </c>
      <c r="L16" s="27" t="s">
        <v>52</v>
      </c>
      <c r="M16" s="27">
        <v>2018</v>
      </c>
      <c r="N16" s="27" t="s">
        <v>35</v>
      </c>
      <c r="O16" s="34" t="s">
        <v>35</v>
      </c>
      <c r="P16" s="27" t="s">
        <v>35</v>
      </c>
      <c r="Q16" s="34" t="s">
        <v>35</v>
      </c>
      <c r="R16" s="35">
        <v>100</v>
      </c>
      <c r="S16" s="33">
        <v>0.5</v>
      </c>
      <c r="T16" s="33">
        <v>0</v>
      </c>
      <c r="U16" s="33">
        <v>0</v>
      </c>
    </row>
    <row r="17" spans="1:21" x14ac:dyDescent="0.2">
      <c r="A17" s="27" t="s">
        <v>47</v>
      </c>
      <c r="B17" s="27" t="s">
        <v>48</v>
      </c>
      <c r="C17" s="27" t="s">
        <v>49</v>
      </c>
      <c r="D17" s="27" t="s">
        <v>76</v>
      </c>
      <c r="E17" s="27" t="s">
        <v>77</v>
      </c>
      <c r="F17" s="27" t="s">
        <v>78</v>
      </c>
      <c r="G17" s="27" t="s">
        <v>39</v>
      </c>
      <c r="H17" s="27" t="s">
        <v>33</v>
      </c>
      <c r="I17" s="27" t="s">
        <v>47</v>
      </c>
      <c r="J17" s="27" t="s">
        <v>48</v>
      </c>
      <c r="K17" s="36">
        <v>1</v>
      </c>
      <c r="L17" s="27" t="s">
        <v>52</v>
      </c>
      <c r="M17" s="27">
        <v>2018</v>
      </c>
      <c r="N17" s="27" t="s">
        <v>35</v>
      </c>
      <c r="O17" s="34" t="s">
        <v>35</v>
      </c>
      <c r="P17" s="27" t="s">
        <v>35</v>
      </c>
      <c r="Q17" s="34" t="s">
        <v>35</v>
      </c>
      <c r="R17" s="35">
        <v>100</v>
      </c>
      <c r="S17" s="33">
        <v>1</v>
      </c>
      <c r="T17" s="33">
        <v>0</v>
      </c>
      <c r="U17" s="33">
        <v>0</v>
      </c>
    </row>
    <row r="18" spans="1:21" x14ac:dyDescent="0.2">
      <c r="A18" s="28" t="s">
        <v>47</v>
      </c>
      <c r="B18" s="28" t="s">
        <v>48</v>
      </c>
      <c r="C18" s="28" t="s">
        <v>49</v>
      </c>
      <c r="D18" s="28" t="s">
        <v>161</v>
      </c>
      <c r="E18" s="28" t="s">
        <v>162</v>
      </c>
      <c r="F18" s="28" t="s">
        <v>163</v>
      </c>
      <c r="G18" s="28" t="s">
        <v>164</v>
      </c>
      <c r="H18" s="28" t="s">
        <v>33</v>
      </c>
      <c r="I18" s="28" t="s">
        <v>47</v>
      </c>
      <c r="J18" s="28" t="s">
        <v>48</v>
      </c>
      <c r="K18" s="37">
        <v>0.5</v>
      </c>
      <c r="L18" s="28" t="s">
        <v>52</v>
      </c>
      <c r="M18" s="28">
        <v>2019</v>
      </c>
      <c r="N18" s="28" t="s">
        <v>35</v>
      </c>
      <c r="O18" s="38" t="s">
        <v>35</v>
      </c>
      <c r="P18" s="28" t="s">
        <v>35</v>
      </c>
      <c r="Q18" s="38" t="s">
        <v>35</v>
      </c>
      <c r="R18" s="39">
        <v>100</v>
      </c>
      <c r="S18" s="40">
        <v>0.5</v>
      </c>
      <c r="T18" s="40">
        <v>0</v>
      </c>
      <c r="U18" s="40">
        <v>0</v>
      </c>
    </row>
    <row r="19" spans="1:21" x14ac:dyDescent="0.2">
      <c r="A19" s="28" t="s">
        <v>47</v>
      </c>
      <c r="B19" s="28" t="s">
        <v>48</v>
      </c>
      <c r="C19" s="28" t="s">
        <v>49</v>
      </c>
      <c r="D19" s="28" t="s">
        <v>161</v>
      </c>
      <c r="E19" s="28" t="s">
        <v>162</v>
      </c>
      <c r="F19" s="28" t="s">
        <v>163</v>
      </c>
      <c r="G19" s="28" t="s">
        <v>39</v>
      </c>
      <c r="H19" s="28" t="s">
        <v>33</v>
      </c>
      <c r="I19" s="28" t="s">
        <v>47</v>
      </c>
      <c r="J19" s="28" t="s">
        <v>48</v>
      </c>
      <c r="K19" s="37">
        <v>0.5</v>
      </c>
      <c r="L19" s="28" t="s">
        <v>52</v>
      </c>
      <c r="M19" s="28">
        <v>2019</v>
      </c>
      <c r="N19" s="28" t="s">
        <v>35</v>
      </c>
      <c r="O19" s="38" t="s">
        <v>35</v>
      </c>
      <c r="P19" s="28" t="s">
        <v>35</v>
      </c>
      <c r="Q19" s="38" t="s">
        <v>35</v>
      </c>
      <c r="R19" s="39">
        <v>100</v>
      </c>
      <c r="S19" s="40">
        <v>0.5</v>
      </c>
      <c r="T19" s="40">
        <v>0</v>
      </c>
      <c r="U19" s="40">
        <v>0</v>
      </c>
    </row>
    <row r="20" spans="1:21" x14ac:dyDescent="0.2">
      <c r="A20" s="28" t="s">
        <v>47</v>
      </c>
      <c r="B20" s="28" t="s">
        <v>48</v>
      </c>
      <c r="C20" s="28" t="s">
        <v>49</v>
      </c>
      <c r="D20" s="28" t="s">
        <v>165</v>
      </c>
      <c r="E20" s="28" t="s">
        <v>166</v>
      </c>
      <c r="F20" s="28" t="s">
        <v>167</v>
      </c>
      <c r="G20" s="28" t="s">
        <v>55</v>
      </c>
      <c r="H20" s="28" t="s">
        <v>33</v>
      </c>
      <c r="I20" s="28" t="s">
        <v>47</v>
      </c>
      <c r="J20" s="28" t="s">
        <v>48</v>
      </c>
      <c r="K20" s="37">
        <v>0.5</v>
      </c>
      <c r="L20" s="28" t="s">
        <v>52</v>
      </c>
      <c r="M20" s="28">
        <v>2019</v>
      </c>
      <c r="N20" s="28" t="s">
        <v>36</v>
      </c>
      <c r="O20" s="38" t="s">
        <v>38</v>
      </c>
      <c r="P20" s="28" t="s">
        <v>35</v>
      </c>
      <c r="Q20" s="38" t="s">
        <v>35</v>
      </c>
      <c r="R20" s="39">
        <v>90</v>
      </c>
      <c r="S20" s="40">
        <v>0.45</v>
      </c>
      <c r="T20" s="40">
        <v>0.05</v>
      </c>
      <c r="U20" s="40">
        <v>0</v>
      </c>
    </row>
    <row r="21" spans="1:21" ht="10.8" thickBot="1" x14ac:dyDescent="0.25">
      <c r="A21" s="28" t="s">
        <v>47</v>
      </c>
      <c r="B21" s="28" t="s">
        <v>48</v>
      </c>
      <c r="C21" s="28" t="s">
        <v>49</v>
      </c>
      <c r="D21" s="28" t="s">
        <v>165</v>
      </c>
      <c r="E21" s="28" t="s">
        <v>166</v>
      </c>
      <c r="F21" s="28" t="s">
        <v>167</v>
      </c>
      <c r="G21" s="28" t="s">
        <v>54</v>
      </c>
      <c r="H21" s="28" t="s">
        <v>33</v>
      </c>
      <c r="I21" s="28" t="s">
        <v>47</v>
      </c>
      <c r="J21" s="28" t="s">
        <v>48</v>
      </c>
      <c r="K21" s="37">
        <v>0.5</v>
      </c>
      <c r="L21" s="28" t="s">
        <v>52</v>
      </c>
      <c r="M21" s="28">
        <v>2019</v>
      </c>
      <c r="N21" s="28" t="s">
        <v>40</v>
      </c>
      <c r="O21" s="38" t="s">
        <v>38</v>
      </c>
      <c r="P21" s="28" t="s">
        <v>35</v>
      </c>
      <c r="Q21" s="38" t="s">
        <v>35</v>
      </c>
      <c r="R21" s="39">
        <v>90</v>
      </c>
      <c r="S21" s="40">
        <v>0.45</v>
      </c>
      <c r="T21" s="40">
        <v>0.05</v>
      </c>
      <c r="U21" s="40">
        <v>0</v>
      </c>
    </row>
    <row r="22" spans="1:21" ht="10.8" thickBot="1" x14ac:dyDescent="0.25">
      <c r="A22" s="29" t="s">
        <v>47</v>
      </c>
      <c r="B22" s="29" t="s">
        <v>48</v>
      </c>
      <c r="C22" s="29" t="s">
        <v>49</v>
      </c>
      <c r="D22" s="29" t="s">
        <v>170</v>
      </c>
      <c r="E22" s="29" t="s">
        <v>171</v>
      </c>
      <c r="F22" s="29" t="s">
        <v>172</v>
      </c>
      <c r="G22" s="30" t="s">
        <v>57</v>
      </c>
      <c r="H22" s="31" t="s">
        <v>33</v>
      </c>
      <c r="I22" s="31" t="s">
        <v>47</v>
      </c>
      <c r="J22" s="32" t="s">
        <v>48</v>
      </c>
      <c r="K22" s="41">
        <v>0.5</v>
      </c>
      <c r="L22" s="41" t="s">
        <v>52</v>
      </c>
      <c r="M22" s="27">
        <v>2020</v>
      </c>
      <c r="N22" s="27" t="s">
        <v>36</v>
      </c>
      <c r="O22" s="34" t="s">
        <v>34</v>
      </c>
      <c r="P22" s="27" t="s">
        <v>35</v>
      </c>
      <c r="Q22" s="34" t="s">
        <v>35</v>
      </c>
      <c r="R22" s="27">
        <v>50</v>
      </c>
      <c r="S22" s="27">
        <v>0.25</v>
      </c>
      <c r="T22" s="27">
        <v>0.25</v>
      </c>
      <c r="U22" s="27">
        <v>0</v>
      </c>
    </row>
    <row r="23" spans="1:21" ht="10.8" thickBot="1" x14ac:dyDescent="0.25">
      <c r="A23" s="29" t="s">
        <v>47</v>
      </c>
      <c r="B23" s="29" t="s">
        <v>48</v>
      </c>
      <c r="C23" s="29" t="s">
        <v>49</v>
      </c>
      <c r="D23" s="29" t="s">
        <v>173</v>
      </c>
      <c r="E23" s="29" t="s">
        <v>174</v>
      </c>
      <c r="F23" s="29" t="s">
        <v>175</v>
      </c>
      <c r="G23" s="30" t="s">
        <v>176</v>
      </c>
      <c r="H23" s="31" t="s">
        <v>33</v>
      </c>
      <c r="I23" s="31" t="s">
        <v>47</v>
      </c>
      <c r="J23" s="32" t="s">
        <v>48</v>
      </c>
      <c r="K23" s="41">
        <v>0.5</v>
      </c>
      <c r="L23" s="41" t="s">
        <v>52</v>
      </c>
      <c r="M23" s="27">
        <v>2020</v>
      </c>
      <c r="N23" s="27" t="s">
        <v>35</v>
      </c>
      <c r="O23" s="34" t="s">
        <v>35</v>
      </c>
      <c r="P23" s="27" t="s">
        <v>35</v>
      </c>
      <c r="Q23" s="34" t="s">
        <v>35</v>
      </c>
      <c r="R23" s="27">
        <v>100</v>
      </c>
      <c r="S23" s="27">
        <v>0.5</v>
      </c>
      <c r="T23" s="27">
        <v>0</v>
      </c>
      <c r="U23" s="27">
        <v>0</v>
      </c>
    </row>
    <row r="24" spans="1:21" ht="10.8" thickBot="1" x14ac:dyDescent="0.25">
      <c r="A24" s="29" t="s">
        <v>47</v>
      </c>
      <c r="B24" s="29" t="s">
        <v>48</v>
      </c>
      <c r="C24" s="29" t="s">
        <v>49</v>
      </c>
      <c r="D24" s="29" t="s">
        <v>173</v>
      </c>
      <c r="E24" s="29" t="s">
        <v>174</v>
      </c>
      <c r="F24" s="29" t="s">
        <v>175</v>
      </c>
      <c r="G24" s="30" t="s">
        <v>53</v>
      </c>
      <c r="H24" s="31" t="s">
        <v>33</v>
      </c>
      <c r="I24" s="31" t="s">
        <v>47</v>
      </c>
      <c r="J24" s="32" t="s">
        <v>48</v>
      </c>
      <c r="K24" s="41">
        <v>0.5</v>
      </c>
      <c r="L24" s="41" t="s">
        <v>52</v>
      </c>
      <c r="M24" s="27">
        <v>2020</v>
      </c>
      <c r="N24" s="27" t="s">
        <v>36</v>
      </c>
      <c r="O24" s="34" t="s">
        <v>169</v>
      </c>
      <c r="P24" s="27" t="s">
        <v>35</v>
      </c>
      <c r="Q24" s="34" t="s">
        <v>35</v>
      </c>
      <c r="R24" s="27">
        <v>70</v>
      </c>
      <c r="S24" s="27">
        <v>0.35</v>
      </c>
      <c r="T24" s="27">
        <v>0.15</v>
      </c>
      <c r="U24" s="27">
        <v>0</v>
      </c>
    </row>
    <row r="25" spans="1:21" ht="10.8" thickBot="1" x14ac:dyDescent="0.25">
      <c r="A25" s="29" t="s">
        <v>47</v>
      </c>
      <c r="B25" s="29" t="s">
        <v>48</v>
      </c>
      <c r="C25" s="29" t="s">
        <v>49</v>
      </c>
      <c r="D25" s="29" t="s">
        <v>177</v>
      </c>
      <c r="E25" s="29" t="s">
        <v>284</v>
      </c>
      <c r="F25" s="29" t="s">
        <v>178</v>
      </c>
      <c r="G25" s="30" t="s">
        <v>179</v>
      </c>
      <c r="H25" s="31" t="s">
        <v>33</v>
      </c>
      <c r="I25" s="31" t="s">
        <v>47</v>
      </c>
      <c r="J25" s="32" t="s">
        <v>48</v>
      </c>
      <c r="K25" s="41">
        <v>0.33333333333333331</v>
      </c>
      <c r="L25" s="41" t="s">
        <v>52</v>
      </c>
      <c r="M25" s="27">
        <v>2020</v>
      </c>
      <c r="N25" s="27" t="s">
        <v>35</v>
      </c>
      <c r="O25" s="34" t="s">
        <v>35</v>
      </c>
      <c r="P25" s="27" t="s">
        <v>35</v>
      </c>
      <c r="Q25" s="34" t="s">
        <v>35</v>
      </c>
      <c r="R25" s="27">
        <v>100</v>
      </c>
      <c r="S25" s="27">
        <v>0.33333333333333326</v>
      </c>
      <c r="T25" s="27">
        <v>0</v>
      </c>
      <c r="U25" s="27">
        <v>0</v>
      </c>
    </row>
    <row r="26" spans="1:21" ht="10.8" thickBot="1" x14ac:dyDescent="0.25">
      <c r="A26" s="29" t="s">
        <v>47</v>
      </c>
      <c r="B26" s="29" t="s">
        <v>48</v>
      </c>
      <c r="C26" s="29" t="s">
        <v>49</v>
      </c>
      <c r="D26" s="29" t="s">
        <v>177</v>
      </c>
      <c r="E26" s="29" t="s">
        <v>284</v>
      </c>
      <c r="F26" s="29" t="s">
        <v>178</v>
      </c>
      <c r="G26" s="30" t="s">
        <v>56</v>
      </c>
      <c r="H26" s="31" t="s">
        <v>33</v>
      </c>
      <c r="I26" s="31" t="s">
        <v>47</v>
      </c>
      <c r="J26" s="32" t="s">
        <v>48</v>
      </c>
      <c r="K26" s="41">
        <v>0.33333333333333331</v>
      </c>
      <c r="L26" s="41" t="s">
        <v>52</v>
      </c>
      <c r="M26" s="27">
        <v>2020</v>
      </c>
      <c r="N26" s="27" t="s">
        <v>40</v>
      </c>
      <c r="O26" s="34" t="s">
        <v>38</v>
      </c>
      <c r="P26" s="27" t="s">
        <v>36</v>
      </c>
      <c r="Q26" s="34" t="s">
        <v>38</v>
      </c>
      <c r="R26" s="27">
        <v>80</v>
      </c>
      <c r="S26" s="27">
        <v>0.26666666666666666</v>
      </c>
      <c r="T26" s="27">
        <v>3.3333333333333333E-2</v>
      </c>
      <c r="U26" s="27">
        <v>3.3333333333333333E-2</v>
      </c>
    </row>
    <row r="27" spans="1:21" ht="10.8" thickBot="1" x14ac:dyDescent="0.25">
      <c r="A27" s="29" t="s">
        <v>47</v>
      </c>
      <c r="B27" s="29" t="s">
        <v>48</v>
      </c>
      <c r="C27" s="29" t="s">
        <v>49</v>
      </c>
      <c r="D27" s="29" t="s">
        <v>177</v>
      </c>
      <c r="E27" s="29" t="s">
        <v>284</v>
      </c>
      <c r="F27" s="29" t="s">
        <v>178</v>
      </c>
      <c r="G27" s="30" t="s">
        <v>285</v>
      </c>
      <c r="H27" s="31" t="s">
        <v>33</v>
      </c>
      <c r="I27" s="31" t="s">
        <v>47</v>
      </c>
      <c r="J27" s="32" t="s">
        <v>48</v>
      </c>
      <c r="K27" s="41">
        <v>0.33333333333333331</v>
      </c>
      <c r="L27" s="41" t="s">
        <v>52</v>
      </c>
      <c r="M27" s="27">
        <v>2020</v>
      </c>
      <c r="N27" s="27" t="s">
        <v>35</v>
      </c>
      <c r="O27" s="34" t="s">
        <v>35</v>
      </c>
      <c r="P27" s="27" t="s">
        <v>35</v>
      </c>
      <c r="Q27" s="34" t="s">
        <v>35</v>
      </c>
      <c r="R27" s="27">
        <v>100</v>
      </c>
      <c r="S27" s="27">
        <v>0.33333333333333326</v>
      </c>
      <c r="T27" s="27">
        <v>0</v>
      </c>
      <c r="U27" s="27">
        <v>0</v>
      </c>
    </row>
    <row r="28" spans="1:21" ht="10.8" thickBot="1" x14ac:dyDescent="0.25">
      <c r="A28" s="29" t="s">
        <v>47</v>
      </c>
      <c r="B28" s="29" t="s">
        <v>48</v>
      </c>
      <c r="C28" s="29" t="s">
        <v>49</v>
      </c>
      <c r="D28" s="29" t="s">
        <v>180</v>
      </c>
      <c r="E28" s="29" t="s">
        <v>181</v>
      </c>
      <c r="F28" s="29" t="s">
        <v>182</v>
      </c>
      <c r="G28" s="30" t="s">
        <v>56</v>
      </c>
      <c r="H28" s="31" t="s">
        <v>33</v>
      </c>
      <c r="I28" s="31" t="s">
        <v>47</v>
      </c>
      <c r="J28" s="32" t="s">
        <v>48</v>
      </c>
      <c r="K28" s="41">
        <v>0.5</v>
      </c>
      <c r="L28" s="41" t="s">
        <v>52</v>
      </c>
      <c r="M28" s="27">
        <v>2020</v>
      </c>
      <c r="N28" s="27" t="s">
        <v>40</v>
      </c>
      <c r="O28" s="34" t="s">
        <v>38</v>
      </c>
      <c r="P28" s="27" t="s">
        <v>36</v>
      </c>
      <c r="Q28" s="34" t="s">
        <v>38</v>
      </c>
      <c r="R28" s="27">
        <v>80</v>
      </c>
      <c r="S28" s="27">
        <v>0.4</v>
      </c>
      <c r="T28" s="27">
        <v>0.05</v>
      </c>
      <c r="U28" s="27">
        <v>0.05</v>
      </c>
    </row>
    <row r="29" spans="1:21" ht="10.8" thickBot="1" x14ac:dyDescent="0.25">
      <c r="A29" s="29" t="s">
        <v>47</v>
      </c>
      <c r="B29" s="29" t="s">
        <v>48</v>
      </c>
      <c r="C29" s="29" t="s">
        <v>49</v>
      </c>
      <c r="D29" s="29" t="s">
        <v>180</v>
      </c>
      <c r="E29" s="29" t="s">
        <v>181</v>
      </c>
      <c r="F29" s="29" t="s">
        <v>182</v>
      </c>
      <c r="G29" s="30" t="s">
        <v>39</v>
      </c>
      <c r="H29" s="31" t="s">
        <v>33</v>
      </c>
      <c r="I29" s="31" t="s">
        <v>47</v>
      </c>
      <c r="J29" s="32" t="s">
        <v>48</v>
      </c>
      <c r="K29" s="41">
        <v>0.5</v>
      </c>
      <c r="L29" s="41" t="s">
        <v>52</v>
      </c>
      <c r="M29" s="27">
        <v>2020</v>
      </c>
      <c r="N29" s="27" t="s">
        <v>35</v>
      </c>
      <c r="O29" s="34" t="s">
        <v>35</v>
      </c>
      <c r="P29" s="27" t="s">
        <v>35</v>
      </c>
      <c r="Q29" s="34" t="s">
        <v>35</v>
      </c>
      <c r="R29" s="27">
        <v>100</v>
      </c>
      <c r="S29" s="27">
        <v>0.5</v>
      </c>
      <c r="T29" s="27">
        <v>0</v>
      </c>
      <c r="U29" s="27">
        <v>0</v>
      </c>
    </row>
    <row r="30" spans="1:21" ht="10.8" thickBot="1" x14ac:dyDescent="0.25">
      <c r="A30" s="29" t="s">
        <v>47</v>
      </c>
      <c r="B30" s="29" t="s">
        <v>48</v>
      </c>
      <c r="C30" s="29" t="s">
        <v>49</v>
      </c>
      <c r="D30" s="29" t="s">
        <v>183</v>
      </c>
      <c r="E30" s="29" t="s">
        <v>184</v>
      </c>
      <c r="F30" s="29" t="s">
        <v>185</v>
      </c>
      <c r="G30" s="30" t="s">
        <v>39</v>
      </c>
      <c r="H30" s="31" t="s">
        <v>33</v>
      </c>
      <c r="I30" s="31" t="s">
        <v>47</v>
      </c>
      <c r="J30" s="32" t="s">
        <v>48</v>
      </c>
      <c r="K30" s="41">
        <v>1</v>
      </c>
      <c r="L30" s="41" t="s">
        <v>52</v>
      </c>
      <c r="M30" s="27">
        <v>2020</v>
      </c>
      <c r="N30" s="27" t="s">
        <v>35</v>
      </c>
      <c r="O30" s="34" t="s">
        <v>35</v>
      </c>
      <c r="P30" s="27" t="s">
        <v>35</v>
      </c>
      <c r="Q30" s="34" t="s">
        <v>35</v>
      </c>
      <c r="R30" s="27">
        <v>100</v>
      </c>
      <c r="S30" s="27">
        <v>1</v>
      </c>
      <c r="T30" s="27">
        <v>0</v>
      </c>
      <c r="U30" s="27">
        <v>0</v>
      </c>
    </row>
    <row r="31" spans="1:21" ht="10.8" thickBot="1" x14ac:dyDescent="0.25">
      <c r="A31" s="29" t="s">
        <v>186</v>
      </c>
      <c r="B31" s="29" t="s">
        <v>187</v>
      </c>
      <c r="C31" s="29" t="s">
        <v>188</v>
      </c>
      <c r="D31" s="29" t="s">
        <v>189</v>
      </c>
      <c r="E31" s="29" t="s">
        <v>190</v>
      </c>
      <c r="F31" s="29" t="s">
        <v>191</v>
      </c>
      <c r="G31" s="30" t="s">
        <v>55</v>
      </c>
      <c r="H31" s="31" t="s">
        <v>33</v>
      </c>
      <c r="I31" s="31" t="s">
        <v>47</v>
      </c>
      <c r="J31" s="32" t="s">
        <v>48</v>
      </c>
      <c r="K31" s="41">
        <v>0.5</v>
      </c>
      <c r="L31" s="41" t="s">
        <v>52</v>
      </c>
      <c r="M31" s="27">
        <v>2020</v>
      </c>
      <c r="N31" s="27" t="s">
        <v>36</v>
      </c>
      <c r="O31" s="34" t="s">
        <v>38</v>
      </c>
      <c r="P31" s="27" t="s">
        <v>297</v>
      </c>
      <c r="Q31" s="34" t="s">
        <v>38</v>
      </c>
      <c r="R31" s="27">
        <v>80</v>
      </c>
      <c r="S31" s="27">
        <v>0.4</v>
      </c>
      <c r="T31" s="27">
        <v>0.05</v>
      </c>
      <c r="U31" s="27">
        <v>0.05</v>
      </c>
    </row>
    <row r="32" spans="1:21" x14ac:dyDescent="0.2">
      <c r="A32" s="27" t="s">
        <v>41</v>
      </c>
      <c r="B32" s="27" t="s">
        <v>42</v>
      </c>
      <c r="C32" s="27" t="s">
        <v>49</v>
      </c>
      <c r="D32" s="27" t="s">
        <v>192</v>
      </c>
      <c r="E32" s="27" t="s">
        <v>193</v>
      </c>
      <c r="F32" s="27" t="s">
        <v>194</v>
      </c>
      <c r="G32" s="27" t="s">
        <v>39</v>
      </c>
      <c r="H32" s="27" t="s">
        <v>33</v>
      </c>
      <c r="I32" s="27" t="s">
        <v>47</v>
      </c>
      <c r="J32" s="27" t="s">
        <v>48</v>
      </c>
      <c r="K32" s="41">
        <v>1</v>
      </c>
      <c r="L32" s="41" t="s">
        <v>52</v>
      </c>
      <c r="M32" s="27">
        <v>2020</v>
      </c>
      <c r="N32" s="27" t="s">
        <v>35</v>
      </c>
      <c r="O32" s="34" t="s">
        <v>35</v>
      </c>
      <c r="P32" s="27" t="s">
        <v>35</v>
      </c>
      <c r="Q32" s="34" t="s">
        <v>35</v>
      </c>
      <c r="R32" s="27">
        <v>100</v>
      </c>
      <c r="S32" s="27">
        <v>1</v>
      </c>
      <c r="T32" s="27">
        <v>0</v>
      </c>
      <c r="U32" s="27">
        <v>0</v>
      </c>
    </row>
    <row r="33" spans="1:21" x14ac:dyDescent="0.2">
      <c r="A33" s="27" t="s">
        <v>47</v>
      </c>
      <c r="B33" s="27" t="s">
        <v>48</v>
      </c>
      <c r="C33" s="27" t="s">
        <v>49</v>
      </c>
      <c r="D33" s="27" t="s">
        <v>286</v>
      </c>
      <c r="E33" s="27" t="s">
        <v>287</v>
      </c>
      <c r="F33" s="27" t="s">
        <v>288</v>
      </c>
      <c r="G33" s="27" t="s">
        <v>54</v>
      </c>
      <c r="H33" s="27" t="s">
        <v>37</v>
      </c>
      <c r="I33" s="27" t="s">
        <v>47</v>
      </c>
      <c r="J33" s="27" t="s">
        <v>48</v>
      </c>
      <c r="K33" s="41">
        <v>1</v>
      </c>
      <c r="L33" s="41" t="s">
        <v>52</v>
      </c>
      <c r="M33" s="27">
        <v>2021</v>
      </c>
      <c r="N33" s="27" t="s">
        <v>40</v>
      </c>
      <c r="O33" s="34" t="s">
        <v>38</v>
      </c>
      <c r="P33" s="27" t="s">
        <v>35</v>
      </c>
      <c r="Q33" s="34" t="s">
        <v>35</v>
      </c>
      <c r="R33" s="27">
        <v>90</v>
      </c>
      <c r="S33" s="27">
        <v>0.9</v>
      </c>
      <c r="T33" s="27">
        <v>0.1</v>
      </c>
      <c r="U33" s="27">
        <v>0</v>
      </c>
    </row>
    <row r="34" spans="1:21" x14ac:dyDescent="0.2">
      <c r="A34" s="27" t="s">
        <v>47</v>
      </c>
      <c r="B34" s="27" t="s">
        <v>48</v>
      </c>
      <c r="C34" s="27" t="s">
        <v>49</v>
      </c>
      <c r="D34" s="27" t="s">
        <v>289</v>
      </c>
      <c r="E34" s="27" t="s">
        <v>290</v>
      </c>
      <c r="F34" s="27" t="s">
        <v>291</v>
      </c>
      <c r="G34" s="27" t="s">
        <v>56</v>
      </c>
      <c r="H34" s="27" t="s">
        <v>33</v>
      </c>
      <c r="I34" s="27" t="s">
        <v>47</v>
      </c>
      <c r="J34" s="27" t="s">
        <v>48</v>
      </c>
      <c r="K34" s="41">
        <v>0.5</v>
      </c>
      <c r="L34" s="41" t="s">
        <v>52</v>
      </c>
      <c r="M34" s="27">
        <v>2021</v>
      </c>
      <c r="N34" s="27" t="s">
        <v>40</v>
      </c>
      <c r="O34" s="34" t="s">
        <v>38</v>
      </c>
      <c r="P34" s="27" t="s">
        <v>36</v>
      </c>
      <c r="Q34" s="34" t="s">
        <v>38</v>
      </c>
      <c r="R34" s="27">
        <v>80</v>
      </c>
      <c r="S34" s="27">
        <v>0.4</v>
      </c>
      <c r="T34" s="27">
        <v>0.05</v>
      </c>
      <c r="U34" s="27">
        <v>0.05</v>
      </c>
    </row>
    <row r="35" spans="1:21" x14ac:dyDescent="0.2">
      <c r="A35" s="27" t="s">
        <v>47</v>
      </c>
      <c r="B35" s="27" t="s">
        <v>48</v>
      </c>
      <c r="C35" s="27" t="s">
        <v>49</v>
      </c>
      <c r="D35" s="27" t="s">
        <v>289</v>
      </c>
      <c r="E35" s="27" t="s">
        <v>290</v>
      </c>
      <c r="F35" s="27" t="s">
        <v>291</v>
      </c>
      <c r="G35" s="27" t="s">
        <v>285</v>
      </c>
      <c r="H35" s="27" t="s">
        <v>33</v>
      </c>
      <c r="I35" s="27" t="s">
        <v>47</v>
      </c>
      <c r="J35" s="27" t="s">
        <v>48</v>
      </c>
      <c r="K35" s="41">
        <v>0.5</v>
      </c>
      <c r="L35" s="41" t="s">
        <v>52</v>
      </c>
      <c r="M35" s="27">
        <v>2021</v>
      </c>
      <c r="N35" s="27" t="s">
        <v>35</v>
      </c>
      <c r="O35" s="34" t="s">
        <v>35</v>
      </c>
      <c r="P35" s="27" t="s">
        <v>35</v>
      </c>
      <c r="Q35" s="34" t="s">
        <v>35</v>
      </c>
      <c r="R35" s="27">
        <v>100</v>
      </c>
      <c r="S35" s="27">
        <v>0.5</v>
      </c>
      <c r="T35" s="27">
        <v>0</v>
      </c>
      <c r="U35" s="27">
        <v>0</v>
      </c>
    </row>
    <row r="36" spans="1:21" x14ac:dyDescent="0.2">
      <c r="A36" s="27" t="s">
        <v>298</v>
      </c>
      <c r="B36" s="27" t="s">
        <v>292</v>
      </c>
      <c r="C36" s="27" t="s">
        <v>293</v>
      </c>
      <c r="D36" s="27" t="s">
        <v>294</v>
      </c>
      <c r="E36" s="27" t="s">
        <v>295</v>
      </c>
      <c r="F36" s="27" t="s">
        <v>296</v>
      </c>
      <c r="G36" s="27" t="s">
        <v>56</v>
      </c>
      <c r="H36" s="27" t="s">
        <v>37</v>
      </c>
      <c r="I36" s="27" t="s">
        <v>47</v>
      </c>
      <c r="J36" s="27" t="s">
        <v>48</v>
      </c>
      <c r="K36" s="41">
        <v>1</v>
      </c>
      <c r="L36" s="41" t="s">
        <v>52</v>
      </c>
      <c r="M36" s="27">
        <v>2021</v>
      </c>
      <c r="N36" s="27" t="s">
        <v>40</v>
      </c>
      <c r="O36" s="34" t="s">
        <v>38</v>
      </c>
      <c r="P36" s="27" t="s">
        <v>36</v>
      </c>
      <c r="Q36" s="34" t="s">
        <v>38</v>
      </c>
      <c r="R36" s="27">
        <v>80</v>
      </c>
      <c r="S36" s="27">
        <v>0.8</v>
      </c>
      <c r="T36" s="27">
        <v>0.1</v>
      </c>
      <c r="U36" s="27">
        <v>0.1</v>
      </c>
    </row>
    <row r="37" spans="1:21" x14ac:dyDescent="0.2">
      <c r="A37" s="14"/>
      <c r="B37" s="14"/>
      <c r="C37" s="14"/>
      <c r="D37" s="14"/>
      <c r="E37" s="14"/>
      <c r="F37" s="14"/>
      <c r="G37" s="14"/>
      <c r="H37" s="14"/>
      <c r="I37" s="14"/>
      <c r="J37" s="14"/>
      <c r="K37" s="14"/>
      <c r="L37" s="14"/>
      <c r="M37" s="14"/>
      <c r="N37" s="14"/>
      <c r="O37" s="15"/>
      <c r="P37" s="14"/>
      <c r="Q37" s="15"/>
      <c r="R37" s="14"/>
      <c r="S37" s="16">
        <f>SUM(S2:S36)</f>
        <v>18.183333333333334</v>
      </c>
      <c r="T37" s="14"/>
      <c r="U37" s="14"/>
    </row>
  </sheetData>
  <autoFilter ref="A1:U36" xr:uid="{00000000-0009-0000-0000-000000000000}">
    <sortState xmlns:xlrd2="http://schemas.microsoft.com/office/spreadsheetml/2017/richdata2" ref="A2:U1906">
      <sortCondition ref="L2:L1906"/>
      <sortCondition ref="M2:M1906"/>
      <sortCondition ref="D2:D1906"/>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7"/>
  <sheetViews>
    <sheetView zoomScaleNormal="100" workbookViewId="0">
      <selection activeCell="B11" sqref="B11"/>
    </sheetView>
  </sheetViews>
  <sheetFormatPr baseColWidth="10" defaultColWidth="11.44140625" defaultRowHeight="13.2" x14ac:dyDescent="0.25"/>
  <cols>
    <col min="1" max="1" width="10.33203125" style="21" bestFit="1" customWidth="1"/>
    <col min="2" max="2" width="41.44140625" style="21" bestFit="1" customWidth="1"/>
    <col min="3" max="3" width="17" style="21" bestFit="1" customWidth="1"/>
    <col min="4" max="9" width="3.33203125" style="21" bestFit="1" customWidth="1"/>
    <col min="10" max="10" width="13.109375" style="21" bestFit="1" customWidth="1"/>
    <col min="11" max="11" width="5.33203125" style="21" bestFit="1" customWidth="1"/>
    <col min="12" max="13" width="5.6640625" style="21" bestFit="1" customWidth="1"/>
    <col min="14" max="14" width="5.6640625" style="22" bestFit="1" customWidth="1"/>
    <col min="15" max="15" width="5.6640625" style="21" bestFit="1" customWidth="1"/>
    <col min="16" max="16" width="5.6640625" style="22" bestFit="1" customWidth="1"/>
    <col min="17" max="19" width="5.6640625" style="21" bestFit="1" customWidth="1"/>
    <col min="20" max="16384" width="11.44140625" style="21"/>
  </cols>
  <sheetData>
    <row r="1" spans="1:19" s="20" customFormat="1" ht="30" x14ac:dyDescent="0.25">
      <c r="A1" s="23" t="s">
        <v>86</v>
      </c>
      <c r="B1" s="23" t="s">
        <v>87</v>
      </c>
      <c r="C1" s="23" t="s">
        <v>88</v>
      </c>
      <c r="D1" s="24">
        <v>2017</v>
      </c>
      <c r="E1" s="24">
        <v>2018</v>
      </c>
      <c r="F1" s="24">
        <v>2019</v>
      </c>
      <c r="G1" s="24">
        <v>2020</v>
      </c>
      <c r="H1" s="24">
        <v>2021</v>
      </c>
      <c r="I1" s="24">
        <v>2022</v>
      </c>
      <c r="J1" s="23" t="s">
        <v>89</v>
      </c>
      <c r="K1" s="45" t="s">
        <v>168</v>
      </c>
      <c r="L1" s="18" t="s">
        <v>90</v>
      </c>
      <c r="M1" s="18" t="s">
        <v>91</v>
      </c>
      <c r="N1" s="18" t="s">
        <v>92</v>
      </c>
      <c r="O1" s="18" t="s">
        <v>93</v>
      </c>
      <c r="P1" s="19" t="s">
        <v>94</v>
      </c>
      <c r="Q1" s="19" t="s">
        <v>95</v>
      </c>
      <c r="R1" s="19" t="s">
        <v>96</v>
      </c>
      <c r="S1" s="19" t="s">
        <v>97</v>
      </c>
    </row>
    <row r="2" spans="1:19" ht="14.4" x14ac:dyDescent="0.3">
      <c r="A2" s="42" t="s">
        <v>102</v>
      </c>
      <c r="B2" s="42" t="s">
        <v>103</v>
      </c>
      <c r="C2" s="43" t="s">
        <v>99</v>
      </c>
      <c r="D2" s="42"/>
      <c r="E2" s="42"/>
      <c r="F2" s="42"/>
      <c r="G2" s="42"/>
      <c r="H2" s="42"/>
      <c r="I2" s="42">
        <v>3</v>
      </c>
      <c r="J2" s="25">
        <v>3</v>
      </c>
      <c r="K2" s="25" t="s">
        <v>52</v>
      </c>
      <c r="L2" s="26">
        <v>0</v>
      </c>
      <c r="M2" s="26">
        <v>0</v>
      </c>
      <c r="N2" s="26" t="s">
        <v>35</v>
      </c>
      <c r="O2" s="26" t="s">
        <v>35</v>
      </c>
      <c r="P2" s="26">
        <v>100</v>
      </c>
      <c r="Q2" s="26">
        <v>0</v>
      </c>
      <c r="R2" s="26">
        <v>0</v>
      </c>
      <c r="S2" s="26">
        <v>3</v>
      </c>
    </row>
    <row r="3" spans="1:19" ht="14.4" x14ac:dyDescent="0.3">
      <c r="A3" s="25" t="s">
        <v>114</v>
      </c>
      <c r="B3" s="25" t="s">
        <v>115</v>
      </c>
      <c r="C3" s="25" t="s">
        <v>98</v>
      </c>
      <c r="D3" s="25"/>
      <c r="E3" s="25"/>
      <c r="F3" s="25">
        <v>1</v>
      </c>
      <c r="G3" s="25"/>
      <c r="H3" s="25"/>
      <c r="I3" s="25"/>
      <c r="J3" s="25">
        <v>1</v>
      </c>
      <c r="K3" s="25" t="s">
        <v>52</v>
      </c>
      <c r="L3" s="26" t="s">
        <v>40</v>
      </c>
      <c r="M3" s="26" t="s">
        <v>38</v>
      </c>
      <c r="N3" s="26" t="s">
        <v>35</v>
      </c>
      <c r="O3" s="26" t="s">
        <v>35</v>
      </c>
      <c r="P3" s="26">
        <v>90</v>
      </c>
      <c r="Q3" s="26">
        <v>0.1</v>
      </c>
      <c r="R3" s="26">
        <v>0</v>
      </c>
      <c r="S3" s="26">
        <v>0.9</v>
      </c>
    </row>
    <row r="4" spans="1:19" ht="14.4" x14ac:dyDescent="0.3">
      <c r="A4" s="25" t="s">
        <v>112</v>
      </c>
      <c r="B4" s="25" t="s">
        <v>113</v>
      </c>
      <c r="C4" s="25">
        <v>6</v>
      </c>
      <c r="D4" s="25"/>
      <c r="E4" s="25"/>
      <c r="F4" s="25">
        <v>1</v>
      </c>
      <c r="G4" s="25"/>
      <c r="H4" s="25"/>
      <c r="I4" s="25">
        <v>1</v>
      </c>
      <c r="J4" s="25">
        <v>2</v>
      </c>
      <c r="K4" s="25" t="s">
        <v>52</v>
      </c>
      <c r="L4" s="26" t="s">
        <v>36</v>
      </c>
      <c r="M4" s="26" t="s">
        <v>169</v>
      </c>
      <c r="N4" s="26" t="s">
        <v>35</v>
      </c>
      <c r="O4" s="26" t="s">
        <v>35</v>
      </c>
      <c r="P4" s="26">
        <v>70</v>
      </c>
      <c r="Q4" s="26">
        <v>0.6</v>
      </c>
      <c r="R4" s="26">
        <v>0</v>
      </c>
      <c r="S4" s="26">
        <v>1.4</v>
      </c>
    </row>
    <row r="5" spans="1:19" ht="14.4" x14ac:dyDescent="0.3">
      <c r="A5" s="25" t="s">
        <v>100</v>
      </c>
      <c r="B5" s="25" t="s">
        <v>101</v>
      </c>
      <c r="C5" s="25" t="s">
        <v>98</v>
      </c>
      <c r="D5" s="25">
        <v>1</v>
      </c>
      <c r="E5" s="25"/>
      <c r="F5" s="25">
        <v>1</v>
      </c>
      <c r="G5" s="25"/>
      <c r="H5" s="25"/>
      <c r="I5" s="25"/>
      <c r="J5" s="25">
        <v>2</v>
      </c>
      <c r="K5" s="25" t="s">
        <v>52</v>
      </c>
      <c r="L5" s="26" t="s">
        <v>36</v>
      </c>
      <c r="M5" s="26" t="s">
        <v>34</v>
      </c>
      <c r="N5" s="26" t="s">
        <v>35</v>
      </c>
      <c r="O5" s="26" t="s">
        <v>35</v>
      </c>
      <c r="P5" s="26">
        <v>50</v>
      </c>
      <c r="Q5" s="26">
        <v>1</v>
      </c>
      <c r="R5" s="26">
        <v>0</v>
      </c>
      <c r="S5" s="26">
        <v>1</v>
      </c>
    </row>
    <row r="6" spans="1:19" ht="14.4" x14ac:dyDescent="0.3">
      <c r="A6" s="25" t="s">
        <v>116</v>
      </c>
      <c r="B6" s="25" t="s">
        <v>117</v>
      </c>
      <c r="C6" s="25" t="s">
        <v>98</v>
      </c>
      <c r="D6" s="25"/>
      <c r="E6" s="25"/>
      <c r="F6" s="25"/>
      <c r="G6" s="25">
        <v>1</v>
      </c>
      <c r="H6" s="25"/>
      <c r="I6" s="25"/>
      <c r="J6" s="25">
        <v>1</v>
      </c>
      <c r="K6" s="25" t="s">
        <v>52</v>
      </c>
      <c r="L6" s="26" t="s">
        <v>36</v>
      </c>
      <c r="M6" s="26" t="s">
        <v>34</v>
      </c>
      <c r="N6" s="26" t="s">
        <v>35</v>
      </c>
      <c r="O6" s="26" t="s">
        <v>35</v>
      </c>
      <c r="P6" s="26">
        <v>50</v>
      </c>
      <c r="Q6" s="26">
        <v>0.5</v>
      </c>
      <c r="R6" s="26">
        <v>0</v>
      </c>
      <c r="S6" s="26">
        <v>0.5</v>
      </c>
    </row>
    <row r="7" spans="1:19" ht="14.4" x14ac:dyDescent="0.3">
      <c r="A7" s="25" t="s">
        <v>120</v>
      </c>
      <c r="B7" s="25" t="s">
        <v>121</v>
      </c>
      <c r="C7" s="25" t="s">
        <v>98</v>
      </c>
      <c r="D7" s="25"/>
      <c r="E7" s="25"/>
      <c r="F7" s="25"/>
      <c r="G7" s="25"/>
      <c r="H7" s="25"/>
      <c r="I7" s="25">
        <v>1</v>
      </c>
      <c r="J7" s="25">
        <v>1</v>
      </c>
      <c r="K7" s="25" t="s">
        <v>52</v>
      </c>
      <c r="L7" s="26">
        <v>0</v>
      </c>
      <c r="M7" s="26">
        <v>0</v>
      </c>
      <c r="N7" s="26" t="s">
        <v>35</v>
      </c>
      <c r="O7" s="26" t="s">
        <v>35</v>
      </c>
      <c r="P7" s="26">
        <v>100</v>
      </c>
      <c r="Q7" s="26">
        <v>0</v>
      </c>
      <c r="R7" s="26">
        <v>0</v>
      </c>
      <c r="S7" s="26">
        <v>1</v>
      </c>
    </row>
    <row r="8" spans="1:19" ht="14.4" x14ac:dyDescent="0.3">
      <c r="A8" s="25" t="s">
        <v>110</v>
      </c>
      <c r="B8" s="25" t="s">
        <v>111</v>
      </c>
      <c r="C8" s="25" t="s">
        <v>98</v>
      </c>
      <c r="D8" s="25"/>
      <c r="E8" s="25"/>
      <c r="F8" s="25"/>
      <c r="G8" s="25"/>
      <c r="H8" s="25">
        <v>1</v>
      </c>
      <c r="I8" s="25"/>
      <c r="J8" s="25">
        <v>1</v>
      </c>
      <c r="K8" s="25" t="s">
        <v>52</v>
      </c>
      <c r="L8" s="26" t="s">
        <v>36</v>
      </c>
      <c r="M8" s="26" t="s">
        <v>169</v>
      </c>
      <c r="N8" s="26" t="s">
        <v>35</v>
      </c>
      <c r="O8" s="26" t="s">
        <v>35</v>
      </c>
      <c r="P8" s="26">
        <v>70</v>
      </c>
      <c r="Q8" s="26">
        <v>0.3</v>
      </c>
      <c r="R8" s="26">
        <v>0</v>
      </c>
      <c r="S8" s="26">
        <v>0.7</v>
      </c>
    </row>
    <row r="9" spans="1:19" ht="14.4" x14ac:dyDescent="0.3">
      <c r="A9" s="25" t="s">
        <v>104</v>
      </c>
      <c r="B9" s="25" t="s">
        <v>105</v>
      </c>
      <c r="C9" s="25" t="s">
        <v>99</v>
      </c>
      <c r="D9" s="25"/>
      <c r="E9" s="25"/>
      <c r="F9" s="25"/>
      <c r="G9" s="25"/>
      <c r="H9" s="25">
        <v>1</v>
      </c>
      <c r="I9" s="25">
        <v>1</v>
      </c>
      <c r="J9" s="25">
        <v>2</v>
      </c>
      <c r="K9" s="25" t="s">
        <v>52</v>
      </c>
      <c r="L9" s="26">
        <v>0</v>
      </c>
      <c r="M9" s="26">
        <v>0</v>
      </c>
      <c r="N9" s="26" t="s">
        <v>35</v>
      </c>
      <c r="O9" s="26" t="s">
        <v>35</v>
      </c>
      <c r="P9" s="26">
        <v>100</v>
      </c>
      <c r="Q9" s="26">
        <v>0</v>
      </c>
      <c r="R9" s="26">
        <v>0</v>
      </c>
      <c r="S9" s="26">
        <v>2</v>
      </c>
    </row>
    <row r="10" spans="1:19" ht="14.4" x14ac:dyDescent="0.3">
      <c r="A10" s="25" t="s">
        <v>299</v>
      </c>
      <c r="B10" s="25" t="s">
        <v>300</v>
      </c>
      <c r="C10" s="25" t="s">
        <v>99</v>
      </c>
      <c r="D10" s="25"/>
      <c r="E10" s="25"/>
      <c r="F10" s="25"/>
      <c r="G10" s="25"/>
      <c r="H10" s="25"/>
      <c r="I10" s="25">
        <v>1</v>
      </c>
      <c r="J10" s="25">
        <v>1</v>
      </c>
      <c r="K10" s="25" t="s">
        <v>52</v>
      </c>
      <c r="L10" s="26">
        <v>0</v>
      </c>
      <c r="M10" s="26">
        <v>0</v>
      </c>
      <c r="N10" s="26" t="s">
        <v>35</v>
      </c>
      <c r="O10" s="26" t="s">
        <v>35</v>
      </c>
      <c r="P10" s="26">
        <v>100</v>
      </c>
      <c r="Q10" s="26">
        <v>0</v>
      </c>
      <c r="R10" s="26">
        <v>0</v>
      </c>
      <c r="S10" s="26">
        <v>1</v>
      </c>
    </row>
    <row r="11" spans="1:19" ht="14.4" x14ac:dyDescent="0.3">
      <c r="A11" s="25" t="s">
        <v>106</v>
      </c>
      <c r="B11" s="25" t="s">
        <v>107</v>
      </c>
      <c r="C11" s="25" t="s">
        <v>98</v>
      </c>
      <c r="D11" s="25"/>
      <c r="E11" s="25"/>
      <c r="F11" s="25">
        <v>3</v>
      </c>
      <c r="G11" s="25"/>
      <c r="H11" s="25"/>
      <c r="I11" s="25"/>
      <c r="J11" s="25">
        <v>3</v>
      </c>
      <c r="K11" s="25" t="s">
        <v>52</v>
      </c>
      <c r="L11" s="26" t="s">
        <v>40</v>
      </c>
      <c r="M11" s="26" t="s">
        <v>38</v>
      </c>
      <c r="N11" s="26" t="s">
        <v>35</v>
      </c>
      <c r="O11" s="26" t="s">
        <v>35</v>
      </c>
      <c r="P11" s="26">
        <v>90</v>
      </c>
      <c r="Q11" s="26">
        <v>0.3</v>
      </c>
      <c r="R11" s="26">
        <v>0</v>
      </c>
      <c r="S11" s="26">
        <v>2.7</v>
      </c>
    </row>
    <row r="12" spans="1:19" ht="14.4" x14ac:dyDescent="0.3">
      <c r="A12" s="25" t="s">
        <v>108</v>
      </c>
      <c r="B12" s="25" t="s">
        <v>109</v>
      </c>
      <c r="C12" s="25" t="s">
        <v>98</v>
      </c>
      <c r="D12" s="25"/>
      <c r="E12" s="25"/>
      <c r="F12" s="25">
        <v>2</v>
      </c>
      <c r="G12" s="25"/>
      <c r="H12" s="25"/>
      <c r="I12" s="25">
        <v>1</v>
      </c>
      <c r="J12" s="25">
        <v>3</v>
      </c>
      <c r="K12" s="25" t="s">
        <v>52</v>
      </c>
      <c r="L12" s="26">
        <v>0</v>
      </c>
      <c r="M12" s="26">
        <v>0</v>
      </c>
      <c r="N12" s="26" t="s">
        <v>35</v>
      </c>
      <c r="O12" s="26" t="s">
        <v>35</v>
      </c>
      <c r="P12" s="26">
        <v>100</v>
      </c>
      <c r="Q12" s="26">
        <v>0</v>
      </c>
      <c r="R12" s="26">
        <v>0</v>
      </c>
      <c r="S12" s="26">
        <v>3</v>
      </c>
    </row>
    <row r="13" spans="1:19" ht="14.4" x14ac:dyDescent="0.3">
      <c r="A13" s="25" t="s">
        <v>122</v>
      </c>
      <c r="B13" s="25" t="s">
        <v>123</v>
      </c>
      <c r="C13" s="25" t="s">
        <v>98</v>
      </c>
      <c r="D13" s="25"/>
      <c r="E13" s="25"/>
      <c r="F13" s="25">
        <v>2</v>
      </c>
      <c r="G13" s="25"/>
      <c r="H13" s="25"/>
      <c r="I13" s="25">
        <v>1</v>
      </c>
      <c r="J13" s="25">
        <v>3</v>
      </c>
      <c r="K13" s="25" t="s">
        <v>52</v>
      </c>
      <c r="L13" s="26" t="s">
        <v>36</v>
      </c>
      <c r="M13" s="26" t="s">
        <v>38</v>
      </c>
      <c r="N13" s="26" t="s">
        <v>297</v>
      </c>
      <c r="O13" s="26" t="s">
        <v>38</v>
      </c>
      <c r="P13" s="26">
        <v>80</v>
      </c>
      <c r="Q13" s="26">
        <v>0.3</v>
      </c>
      <c r="R13" s="26">
        <v>0.3</v>
      </c>
      <c r="S13" s="26">
        <v>2.4</v>
      </c>
    </row>
    <row r="14" spans="1:19" ht="14.4" x14ac:dyDescent="0.3">
      <c r="A14" s="25" t="s">
        <v>118</v>
      </c>
      <c r="B14" s="25" t="s">
        <v>119</v>
      </c>
      <c r="C14" s="25" t="s">
        <v>98</v>
      </c>
      <c r="D14" s="25"/>
      <c r="E14" s="25"/>
      <c r="F14" s="25">
        <v>1</v>
      </c>
      <c r="G14" s="25"/>
      <c r="H14" s="25">
        <v>1</v>
      </c>
      <c r="I14" s="25"/>
      <c r="J14" s="25">
        <v>2</v>
      </c>
      <c r="K14" s="25" t="s">
        <v>52</v>
      </c>
      <c r="L14" s="26" t="s">
        <v>40</v>
      </c>
      <c r="M14" s="26" t="s">
        <v>38</v>
      </c>
      <c r="N14" s="26" t="s">
        <v>36</v>
      </c>
      <c r="O14" s="26" t="s">
        <v>38</v>
      </c>
      <c r="P14" s="26">
        <v>80</v>
      </c>
      <c r="Q14" s="26">
        <v>0.2</v>
      </c>
      <c r="R14" s="26">
        <v>0.2</v>
      </c>
      <c r="S14" s="26">
        <v>1.6</v>
      </c>
    </row>
    <row r="15" spans="1:19" ht="14.4" x14ac:dyDescent="0.3">
      <c r="A15" s="25" t="s">
        <v>301</v>
      </c>
      <c r="B15" s="25" t="s">
        <v>302</v>
      </c>
      <c r="C15" s="25" t="s">
        <v>99</v>
      </c>
      <c r="D15" s="25"/>
      <c r="E15" s="25"/>
      <c r="F15" s="25"/>
      <c r="G15" s="25"/>
      <c r="H15" s="25">
        <v>1</v>
      </c>
      <c r="I15" s="25"/>
      <c r="J15" s="25">
        <v>1</v>
      </c>
      <c r="K15" s="25" t="s">
        <v>52</v>
      </c>
      <c r="L15" s="26">
        <v>0</v>
      </c>
      <c r="M15" s="26">
        <v>0</v>
      </c>
      <c r="N15" s="26" t="s">
        <v>35</v>
      </c>
      <c r="O15" s="26" t="s">
        <v>35</v>
      </c>
      <c r="P15" s="26">
        <v>100</v>
      </c>
      <c r="Q15" s="26">
        <v>0</v>
      </c>
      <c r="R15" s="26">
        <v>0</v>
      </c>
      <c r="S15" s="26">
        <v>1</v>
      </c>
    </row>
    <row r="16" spans="1:19" ht="14.4" x14ac:dyDescent="0.3">
      <c r="A16" s="25" t="s">
        <v>303</v>
      </c>
      <c r="B16" s="25" t="s">
        <v>304</v>
      </c>
      <c r="C16" s="44" t="s">
        <v>99</v>
      </c>
      <c r="D16" s="25"/>
      <c r="E16" s="25"/>
      <c r="F16" s="25"/>
      <c r="G16" s="25"/>
      <c r="H16" s="25"/>
      <c r="I16" s="25">
        <v>2</v>
      </c>
      <c r="J16" s="25">
        <v>2</v>
      </c>
      <c r="K16" s="25" t="s">
        <v>52</v>
      </c>
      <c r="L16" s="26">
        <v>0</v>
      </c>
      <c r="M16" s="26">
        <v>0</v>
      </c>
      <c r="N16" s="26" t="s">
        <v>35</v>
      </c>
      <c r="O16" s="26" t="s">
        <v>35</v>
      </c>
      <c r="P16" s="26">
        <v>100</v>
      </c>
      <c r="Q16" s="26">
        <v>0</v>
      </c>
      <c r="R16" s="26">
        <v>0</v>
      </c>
      <c r="S16" s="26">
        <v>2</v>
      </c>
    </row>
    <row r="17" spans="1:19" x14ac:dyDescent="0.25">
      <c r="A17" s="46"/>
      <c r="B17" s="46"/>
      <c r="C17" s="46"/>
      <c r="D17" s="46"/>
      <c r="E17" s="46"/>
      <c r="F17" s="46"/>
      <c r="G17" s="46"/>
      <c r="H17" s="46"/>
      <c r="I17" s="46"/>
      <c r="J17" s="46"/>
      <c r="K17" s="46"/>
      <c r="L17" s="46"/>
      <c r="M17" s="46"/>
      <c r="N17" s="47"/>
      <c r="O17" s="46"/>
      <c r="P17" s="47"/>
      <c r="Q17" s="46"/>
      <c r="R17" s="46"/>
      <c r="S17" s="48">
        <f>SUM(S2:S16)</f>
        <v>24.2</v>
      </c>
    </row>
  </sheetData>
  <pageMargins left="0.39370078740157483" right="0.39370078740157483" top="0.39370078740157483" bottom="0.39370078740157483" header="0.31496062992125984" footer="0.31496062992125984"/>
  <pageSetup paperSize="9" scale="9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4"/>
  <sheetViews>
    <sheetView topLeftCell="A25" zoomScaleNormal="100" workbookViewId="0">
      <selection activeCell="A46" sqref="A46"/>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124</v>
      </c>
      <c r="B3" s="5">
        <v>9425</v>
      </c>
    </row>
    <row r="4" spans="1:2" x14ac:dyDescent="0.2">
      <c r="A4" s="4" t="s">
        <v>4</v>
      </c>
      <c r="B4" s="5"/>
    </row>
    <row r="5" spans="1:2" x14ac:dyDescent="0.2">
      <c r="A5" s="4" t="s">
        <v>125</v>
      </c>
      <c r="B5" s="5">
        <v>0.74</v>
      </c>
    </row>
    <row r="6" spans="1:2" x14ac:dyDescent="0.2">
      <c r="A6" s="4" t="s">
        <v>6</v>
      </c>
      <c r="B6" s="5"/>
    </row>
    <row r="7" spans="1:2" x14ac:dyDescent="0.2">
      <c r="A7" s="4" t="s">
        <v>126</v>
      </c>
      <c r="B7" s="5">
        <v>19.260000000000002</v>
      </c>
    </row>
    <row r="8" spans="1:2" x14ac:dyDescent="0.2">
      <c r="A8" s="4" t="s">
        <v>127</v>
      </c>
      <c r="B8" s="5">
        <v>30000</v>
      </c>
    </row>
    <row r="9" spans="1:2" x14ac:dyDescent="0.2">
      <c r="A9" s="4" t="s">
        <v>128</v>
      </c>
      <c r="B9" s="5">
        <v>30000</v>
      </c>
    </row>
    <row r="10" spans="1:2" x14ac:dyDescent="0.2">
      <c r="A10" s="4" t="s">
        <v>129</v>
      </c>
      <c r="B10" s="5">
        <v>30000</v>
      </c>
    </row>
    <row r="11" spans="1:2" x14ac:dyDescent="0.2">
      <c r="A11" s="4" t="s">
        <v>130</v>
      </c>
      <c r="B11" s="5">
        <v>30000</v>
      </c>
    </row>
    <row r="12" spans="1:2" x14ac:dyDescent="0.2">
      <c r="A12" s="4" t="s">
        <v>7</v>
      </c>
      <c r="B12" s="5"/>
    </row>
    <row r="13" spans="1:2" x14ac:dyDescent="0.2">
      <c r="A13" s="4" t="s">
        <v>131</v>
      </c>
      <c r="B13" s="5">
        <v>17500</v>
      </c>
    </row>
    <row r="14" spans="1:2" x14ac:dyDescent="0.2">
      <c r="A14" s="4" t="s">
        <v>132</v>
      </c>
      <c r="B14" s="5">
        <v>17500</v>
      </c>
    </row>
    <row r="15" spans="1:2" x14ac:dyDescent="0.2">
      <c r="A15" s="4" t="s">
        <v>133</v>
      </c>
      <c r="B15" s="5">
        <v>17500</v>
      </c>
    </row>
    <row r="16" spans="1:2" x14ac:dyDescent="0.2">
      <c r="A16" s="4" t="s">
        <v>134</v>
      </c>
      <c r="B16" s="5">
        <v>17500</v>
      </c>
    </row>
    <row r="17" spans="1:2" x14ac:dyDescent="0.2">
      <c r="A17" s="4" t="s">
        <v>8</v>
      </c>
      <c r="B17" s="5"/>
    </row>
    <row r="18" spans="1:2" x14ac:dyDescent="0.2">
      <c r="A18" s="4" t="s">
        <v>135</v>
      </c>
      <c r="B18" s="5">
        <v>3360</v>
      </c>
    </row>
    <row r="19" spans="1:2" x14ac:dyDescent="0.2">
      <c r="A19" s="4" t="s">
        <v>136</v>
      </c>
      <c r="B19" s="5">
        <v>3360</v>
      </c>
    </row>
    <row r="20" spans="1:2" x14ac:dyDescent="0.2">
      <c r="A20" s="4" t="s">
        <v>137</v>
      </c>
      <c r="B20" s="5"/>
    </row>
    <row r="21" spans="1:2" x14ac:dyDescent="0.2">
      <c r="A21" s="4" t="s">
        <v>138</v>
      </c>
      <c r="B21" s="5">
        <v>3.64</v>
      </c>
    </row>
    <row r="22" spans="1:2" x14ac:dyDescent="0.2">
      <c r="A22" s="4" t="s">
        <v>139</v>
      </c>
      <c r="B22" s="5"/>
    </row>
    <row r="23" spans="1:2" x14ac:dyDescent="0.2">
      <c r="A23" s="4" t="s">
        <v>140</v>
      </c>
      <c r="B23" s="5">
        <v>16500</v>
      </c>
    </row>
    <row r="24" spans="1:2" x14ac:dyDescent="0.2">
      <c r="A24" s="4" t="s">
        <v>141</v>
      </c>
      <c r="B24" s="5">
        <v>9.32</v>
      </c>
    </row>
    <row r="25" spans="1:2" x14ac:dyDescent="0.2">
      <c r="A25" s="4" t="s">
        <v>138</v>
      </c>
      <c r="B25" s="5">
        <v>2.5299999999999998</v>
      </c>
    </row>
    <row r="26" spans="1:2" x14ac:dyDescent="0.2">
      <c r="A26" s="4" t="s">
        <v>142</v>
      </c>
      <c r="B26" s="5"/>
    </row>
    <row r="27" spans="1:2" x14ac:dyDescent="0.2">
      <c r="A27" s="4" t="s">
        <v>143</v>
      </c>
      <c r="B27" s="5">
        <v>9425</v>
      </c>
    </row>
    <row r="28" spans="1:2" x14ac:dyDescent="0.2">
      <c r="A28" s="4" t="s">
        <v>144</v>
      </c>
      <c r="B28" s="5"/>
    </row>
    <row r="29" spans="1:2" x14ac:dyDescent="0.2">
      <c r="A29" s="4" t="s">
        <v>145</v>
      </c>
      <c r="B29" s="5">
        <v>826.45</v>
      </c>
    </row>
    <row r="30" spans="1:2" x14ac:dyDescent="0.2">
      <c r="A30" s="4" t="s">
        <v>146</v>
      </c>
      <c r="B30" s="5"/>
    </row>
    <row r="31" spans="1:2" x14ac:dyDescent="0.2">
      <c r="A31" s="4" t="s">
        <v>147</v>
      </c>
      <c r="B31" s="5">
        <v>1084</v>
      </c>
    </row>
    <row r="32" spans="1:2" x14ac:dyDescent="0.2">
      <c r="A32" s="4" t="s">
        <v>148</v>
      </c>
      <c r="B32" s="5"/>
    </row>
    <row r="33" spans="1:2" x14ac:dyDescent="0.2">
      <c r="A33" s="4" t="s">
        <v>149</v>
      </c>
      <c r="B33" s="5">
        <v>6000</v>
      </c>
    </row>
    <row r="34" spans="1:2" x14ac:dyDescent="0.2">
      <c r="A34" s="4" t="s">
        <v>150</v>
      </c>
      <c r="B34" s="5"/>
    </row>
    <row r="35" spans="1:2" x14ac:dyDescent="0.2">
      <c r="A35" s="4" t="s">
        <v>151</v>
      </c>
      <c r="B35" s="5">
        <v>6000</v>
      </c>
    </row>
    <row r="36" spans="1:2" x14ac:dyDescent="0.2">
      <c r="A36" s="4" t="s">
        <v>152</v>
      </c>
      <c r="B36" s="5"/>
    </row>
    <row r="37" spans="1:2" x14ac:dyDescent="0.2">
      <c r="A37" s="4" t="s">
        <v>153</v>
      </c>
      <c r="B37" s="5">
        <v>46058.99</v>
      </c>
    </row>
    <row r="38" spans="1:2" x14ac:dyDescent="0.2">
      <c r="A38" s="4" t="s">
        <v>154</v>
      </c>
      <c r="B38" s="5"/>
    </row>
    <row r="39" spans="1:2" x14ac:dyDescent="0.2">
      <c r="A39" s="4" t="s">
        <v>141</v>
      </c>
      <c r="B39" s="5">
        <v>12.9</v>
      </c>
    </row>
    <row r="40" spans="1:2" x14ac:dyDescent="0.2">
      <c r="A40" s="4" t="s">
        <v>155</v>
      </c>
      <c r="B40" s="5"/>
    </row>
    <row r="41" spans="1:2" x14ac:dyDescent="0.2">
      <c r="A41" s="4" t="s">
        <v>156</v>
      </c>
      <c r="B41" s="5">
        <v>183335.94</v>
      </c>
    </row>
    <row r="42" spans="1:2" x14ac:dyDescent="0.2">
      <c r="A42" s="4" t="s">
        <v>157</v>
      </c>
      <c r="B42" s="5"/>
    </row>
    <row r="43" spans="1:2" x14ac:dyDescent="0.2">
      <c r="A43" s="4" t="s">
        <v>158</v>
      </c>
      <c r="B43" s="5">
        <v>11207.3</v>
      </c>
    </row>
    <row r="44" spans="1:2" x14ac:dyDescent="0.2">
      <c r="A44" s="6" t="s">
        <v>2</v>
      </c>
      <c r="B44" s="7">
        <f>SUM(B3:B43)</f>
        <v>486631.07000000007</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352E-0425-47EF-B94B-5E192B99FA88}">
  <dimension ref="A1:B53"/>
  <sheetViews>
    <sheetView topLeftCell="A33" zoomScaleNormal="100" workbookViewId="0">
      <selection activeCell="A59" sqref="A59"/>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195</v>
      </c>
      <c r="B3" s="5">
        <v>8294</v>
      </c>
    </row>
    <row r="4" spans="1:2" x14ac:dyDescent="0.2">
      <c r="A4" s="4" t="s">
        <v>6</v>
      </c>
      <c r="B4" s="5"/>
    </row>
    <row r="5" spans="1:2" x14ac:dyDescent="0.2">
      <c r="A5" s="4" t="s">
        <v>196</v>
      </c>
      <c r="B5" s="5">
        <v>26400</v>
      </c>
    </row>
    <row r="6" spans="1:2" x14ac:dyDescent="0.2">
      <c r="A6" s="4" t="s">
        <v>197</v>
      </c>
      <c r="B6" s="5">
        <v>26400</v>
      </c>
    </row>
    <row r="7" spans="1:2" x14ac:dyDescent="0.2">
      <c r="A7" s="4" t="s">
        <v>198</v>
      </c>
      <c r="B7" s="5">
        <v>26400</v>
      </c>
    </row>
    <row r="8" spans="1:2" x14ac:dyDescent="0.2">
      <c r="A8" s="4" t="s">
        <v>199</v>
      </c>
      <c r="B8" s="5">
        <v>26400</v>
      </c>
    </row>
    <row r="9" spans="1:2" x14ac:dyDescent="0.2">
      <c r="A9" s="4" t="s">
        <v>7</v>
      </c>
      <c r="B9" s="5"/>
    </row>
    <row r="10" spans="1:2" x14ac:dyDescent="0.2">
      <c r="A10" s="4" t="s">
        <v>200</v>
      </c>
      <c r="B10" s="5">
        <v>15400</v>
      </c>
    </row>
    <row r="11" spans="1:2" x14ac:dyDescent="0.2">
      <c r="A11" s="4" t="s">
        <v>201</v>
      </c>
      <c r="B11" s="5">
        <v>15400</v>
      </c>
    </row>
    <row r="12" spans="1:2" x14ac:dyDescent="0.2">
      <c r="A12" s="4" t="s">
        <v>202</v>
      </c>
      <c r="B12" s="5">
        <v>15400</v>
      </c>
    </row>
    <row r="13" spans="1:2" x14ac:dyDescent="0.2">
      <c r="A13" s="4" t="s">
        <v>203</v>
      </c>
      <c r="B13" s="5">
        <v>15400</v>
      </c>
    </row>
    <row r="14" spans="1:2" x14ac:dyDescent="0.2">
      <c r="A14" s="4" t="s">
        <v>204</v>
      </c>
      <c r="B14" s="5"/>
    </row>
    <row r="15" spans="1:2" x14ac:dyDescent="0.2">
      <c r="A15" s="4" t="s">
        <v>205</v>
      </c>
      <c r="B15" s="5">
        <v>1760</v>
      </c>
    </row>
    <row r="16" spans="1:2" x14ac:dyDescent="0.2">
      <c r="A16" s="4" t="s">
        <v>9</v>
      </c>
      <c r="B16" s="5"/>
    </row>
    <row r="17" spans="1:2" x14ac:dyDescent="0.2">
      <c r="A17" s="4" t="s">
        <v>206</v>
      </c>
      <c r="B17" s="5">
        <v>5100</v>
      </c>
    </row>
    <row r="18" spans="1:2" x14ac:dyDescent="0.2">
      <c r="A18" s="4" t="s">
        <v>207</v>
      </c>
      <c r="B18" s="5">
        <v>5100</v>
      </c>
    </row>
    <row r="19" spans="1:2" x14ac:dyDescent="0.2">
      <c r="A19" s="4" t="s">
        <v>208</v>
      </c>
      <c r="B19" s="5">
        <v>5100</v>
      </c>
    </row>
    <row r="20" spans="1:2" x14ac:dyDescent="0.2">
      <c r="A20" s="4" t="s">
        <v>209</v>
      </c>
      <c r="B20" s="5">
        <v>5100</v>
      </c>
    </row>
    <row r="21" spans="1:2" x14ac:dyDescent="0.2">
      <c r="A21" s="4" t="s">
        <v>10</v>
      </c>
      <c r="B21" s="5"/>
    </row>
    <row r="22" spans="1:2" x14ac:dyDescent="0.2">
      <c r="A22" s="4" t="s">
        <v>210</v>
      </c>
      <c r="B22" s="5">
        <v>6417.67</v>
      </c>
    </row>
    <row r="23" spans="1:2" x14ac:dyDescent="0.2">
      <c r="A23" s="4" t="s">
        <v>142</v>
      </c>
      <c r="B23" s="5"/>
    </row>
    <row r="24" spans="1:2" x14ac:dyDescent="0.2">
      <c r="A24" s="4" t="s">
        <v>211</v>
      </c>
      <c r="B24" s="5">
        <v>8294</v>
      </c>
    </row>
    <row r="25" spans="1:2" x14ac:dyDescent="0.2">
      <c r="A25" s="4" t="s">
        <v>212</v>
      </c>
      <c r="B25" s="5"/>
    </row>
    <row r="26" spans="1:2" x14ac:dyDescent="0.2">
      <c r="A26" s="4" t="s">
        <v>213</v>
      </c>
      <c r="B26" s="5">
        <v>9950.7999999999993</v>
      </c>
    </row>
    <row r="27" spans="1:2" x14ac:dyDescent="0.2">
      <c r="A27" s="4" t="s">
        <v>214</v>
      </c>
      <c r="B27" s="5"/>
    </row>
    <row r="28" spans="1:2" x14ac:dyDescent="0.2">
      <c r="A28" s="4" t="s">
        <v>215</v>
      </c>
      <c r="B28" s="5">
        <v>2816</v>
      </c>
    </row>
    <row r="29" spans="1:2" x14ac:dyDescent="0.2">
      <c r="A29" s="4" t="s">
        <v>216</v>
      </c>
      <c r="B29" s="5"/>
    </row>
    <row r="30" spans="1:2" x14ac:dyDescent="0.2">
      <c r="A30" s="4" t="s">
        <v>217</v>
      </c>
      <c r="B30" s="5">
        <v>1320</v>
      </c>
    </row>
    <row r="31" spans="1:2" x14ac:dyDescent="0.2">
      <c r="A31" s="4" t="s">
        <v>218</v>
      </c>
      <c r="B31" s="5"/>
    </row>
    <row r="32" spans="1:2" x14ac:dyDescent="0.2">
      <c r="A32" s="4" t="s">
        <v>219</v>
      </c>
      <c r="B32" s="5">
        <v>1760</v>
      </c>
    </row>
    <row r="33" spans="1:2" x14ac:dyDescent="0.2">
      <c r="A33" s="4" t="s">
        <v>220</v>
      </c>
      <c r="B33" s="5"/>
    </row>
    <row r="34" spans="1:2" x14ac:dyDescent="0.2">
      <c r="A34" s="4" t="s">
        <v>221</v>
      </c>
      <c r="B34" s="5">
        <v>378.4</v>
      </c>
    </row>
    <row r="35" spans="1:2" x14ac:dyDescent="0.2">
      <c r="A35" s="4" t="s">
        <v>222</v>
      </c>
      <c r="B35" s="5"/>
    </row>
    <row r="36" spans="1:2" x14ac:dyDescent="0.2">
      <c r="A36" s="4" t="s">
        <v>223</v>
      </c>
      <c r="B36" s="5">
        <v>378.4</v>
      </c>
    </row>
    <row r="37" spans="1:2" x14ac:dyDescent="0.2">
      <c r="A37" s="4" t="s">
        <v>224</v>
      </c>
      <c r="B37" s="5"/>
    </row>
    <row r="38" spans="1:2" x14ac:dyDescent="0.2">
      <c r="A38" s="4" t="s">
        <v>225</v>
      </c>
      <c r="B38" s="5">
        <v>4400</v>
      </c>
    </row>
    <row r="39" spans="1:2" x14ac:dyDescent="0.2">
      <c r="A39" s="4" t="s">
        <v>226</v>
      </c>
      <c r="B39" s="5"/>
    </row>
    <row r="40" spans="1:2" x14ac:dyDescent="0.2">
      <c r="A40" s="4" t="s">
        <v>227</v>
      </c>
      <c r="B40" s="5">
        <v>35200</v>
      </c>
    </row>
    <row r="41" spans="1:2" x14ac:dyDescent="0.2">
      <c r="A41" s="4" t="s">
        <v>228</v>
      </c>
      <c r="B41" s="5"/>
    </row>
    <row r="42" spans="1:2" x14ac:dyDescent="0.2">
      <c r="A42" s="4" t="s">
        <v>229</v>
      </c>
      <c r="B42" s="5">
        <v>5280</v>
      </c>
    </row>
    <row r="43" spans="1:2" x14ac:dyDescent="0.2">
      <c r="A43" s="4" t="s">
        <v>230</v>
      </c>
      <c r="B43" s="5"/>
    </row>
    <row r="44" spans="1:2" x14ac:dyDescent="0.2">
      <c r="A44" s="4" t="s">
        <v>231</v>
      </c>
      <c r="B44" s="5">
        <v>52.07</v>
      </c>
    </row>
    <row r="45" spans="1:2" x14ac:dyDescent="0.2">
      <c r="A45" s="4" t="s">
        <v>232</v>
      </c>
      <c r="B45" s="5"/>
    </row>
    <row r="46" spans="1:2" x14ac:dyDescent="0.2">
      <c r="A46" s="4" t="s">
        <v>233</v>
      </c>
      <c r="B46" s="5">
        <v>73701.600000000006</v>
      </c>
    </row>
    <row r="47" spans="1:2" x14ac:dyDescent="0.2">
      <c r="A47" s="4" t="s">
        <v>152</v>
      </c>
      <c r="B47" s="5"/>
    </row>
    <row r="48" spans="1:2" x14ac:dyDescent="0.2">
      <c r="A48" s="4" t="s">
        <v>234</v>
      </c>
      <c r="B48" s="5">
        <v>1.7</v>
      </c>
    </row>
    <row r="49" spans="1:2" x14ac:dyDescent="0.2">
      <c r="A49" s="4" t="s">
        <v>235</v>
      </c>
      <c r="B49" s="5"/>
    </row>
    <row r="50" spans="1:2" x14ac:dyDescent="0.2">
      <c r="A50" s="4" t="s">
        <v>234</v>
      </c>
      <c r="B50" s="5">
        <v>0.97</v>
      </c>
    </row>
    <row r="51" spans="1:2" x14ac:dyDescent="0.2">
      <c r="A51" s="4" t="s">
        <v>157</v>
      </c>
      <c r="B51" s="5"/>
    </row>
    <row r="52" spans="1:2" x14ac:dyDescent="0.2">
      <c r="A52" s="4" t="s">
        <v>236</v>
      </c>
      <c r="B52" s="5">
        <v>15765.9</v>
      </c>
    </row>
    <row r="53" spans="1:2" x14ac:dyDescent="0.2">
      <c r="A53" s="6" t="s">
        <v>2</v>
      </c>
      <c r="B53" s="7">
        <f>SUM(B3:B52)</f>
        <v>363371.51000000007</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C1A4-16E3-4118-A03D-A578800BCA8B}">
  <dimension ref="A1:B58"/>
  <sheetViews>
    <sheetView topLeftCell="A33" zoomScaleNormal="100" workbookViewId="0">
      <selection activeCell="A61" sqref="A61"/>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237</v>
      </c>
      <c r="B3" s="5">
        <v>8294</v>
      </c>
    </row>
    <row r="4" spans="1:2" x14ac:dyDescent="0.2">
      <c r="A4" s="4" t="s">
        <v>5</v>
      </c>
      <c r="B4" s="5"/>
    </row>
    <row r="5" spans="1:2" x14ac:dyDescent="0.2">
      <c r="A5" s="4" t="s">
        <v>238</v>
      </c>
      <c r="B5" s="5">
        <v>1200</v>
      </c>
    </row>
    <row r="6" spans="1:2" x14ac:dyDescent="0.2">
      <c r="A6" s="4" t="s">
        <v>6</v>
      </c>
      <c r="B6" s="5"/>
    </row>
    <row r="7" spans="1:2" x14ac:dyDescent="0.2">
      <c r="A7" s="4" t="s">
        <v>239</v>
      </c>
      <c r="B7" s="5">
        <v>26400</v>
      </c>
    </row>
    <row r="8" spans="1:2" x14ac:dyDescent="0.2">
      <c r="A8" s="4" t="s">
        <v>7</v>
      </c>
      <c r="B8" s="5"/>
    </row>
    <row r="9" spans="1:2" x14ac:dyDescent="0.2">
      <c r="A9" s="4" t="s">
        <v>240</v>
      </c>
      <c r="B9" s="5">
        <v>15400</v>
      </c>
    </row>
    <row r="10" spans="1:2" x14ac:dyDescent="0.2">
      <c r="A10" s="4" t="s">
        <v>137</v>
      </c>
      <c r="B10" s="5"/>
    </row>
    <row r="11" spans="1:2" x14ac:dyDescent="0.2">
      <c r="A11" s="4" t="s">
        <v>241</v>
      </c>
      <c r="B11" s="5">
        <v>40.5</v>
      </c>
    </row>
    <row r="12" spans="1:2" x14ac:dyDescent="0.2">
      <c r="A12" s="4" t="s">
        <v>139</v>
      </c>
      <c r="B12" s="5"/>
    </row>
    <row r="13" spans="1:2" x14ac:dyDescent="0.2">
      <c r="A13" s="4" t="s">
        <v>241</v>
      </c>
      <c r="B13" s="5">
        <v>28.21</v>
      </c>
    </row>
    <row r="14" spans="1:2" x14ac:dyDescent="0.2">
      <c r="A14" s="4" t="s">
        <v>212</v>
      </c>
      <c r="B14" s="5"/>
    </row>
    <row r="15" spans="1:2" x14ac:dyDescent="0.2">
      <c r="A15" s="4" t="s">
        <v>242</v>
      </c>
      <c r="B15" s="5">
        <v>14926.2</v>
      </c>
    </row>
    <row r="16" spans="1:2" x14ac:dyDescent="0.2">
      <c r="A16" s="4" t="s">
        <v>243</v>
      </c>
      <c r="B16" s="5"/>
    </row>
    <row r="17" spans="1:2" x14ac:dyDescent="0.2">
      <c r="A17" s="4" t="s">
        <v>244</v>
      </c>
      <c r="B17" s="5">
        <v>13103.2</v>
      </c>
    </row>
    <row r="18" spans="1:2" x14ac:dyDescent="0.2">
      <c r="A18" s="4" t="s">
        <v>245</v>
      </c>
      <c r="B18" s="5"/>
    </row>
    <row r="19" spans="1:2" x14ac:dyDescent="0.2">
      <c r="A19" s="4" t="s">
        <v>246</v>
      </c>
      <c r="B19" s="5">
        <v>8294</v>
      </c>
    </row>
    <row r="20" spans="1:2" x14ac:dyDescent="0.2">
      <c r="A20" s="4" t="s">
        <v>247</v>
      </c>
      <c r="B20" s="5"/>
    </row>
    <row r="21" spans="1:2" x14ac:dyDescent="0.2">
      <c r="A21" s="4" t="s">
        <v>248</v>
      </c>
      <c r="B21" s="5">
        <v>12320</v>
      </c>
    </row>
    <row r="22" spans="1:2" x14ac:dyDescent="0.2">
      <c r="A22" s="4" t="s">
        <v>249</v>
      </c>
      <c r="B22" s="5"/>
    </row>
    <row r="23" spans="1:2" x14ac:dyDescent="0.2">
      <c r="A23" s="4" t="s">
        <v>250</v>
      </c>
      <c r="B23" s="5">
        <v>9555.0400000000009</v>
      </c>
    </row>
    <row r="24" spans="1:2" x14ac:dyDescent="0.2">
      <c r="A24" s="4" t="s">
        <v>251</v>
      </c>
      <c r="B24" s="5"/>
    </row>
    <row r="25" spans="1:2" x14ac:dyDescent="0.2">
      <c r="A25" s="4" t="s">
        <v>252</v>
      </c>
      <c r="B25" s="5">
        <v>2200</v>
      </c>
    </row>
    <row r="26" spans="1:2" x14ac:dyDescent="0.2">
      <c r="A26" s="4" t="s">
        <v>253</v>
      </c>
      <c r="B26" s="5">
        <v>2200</v>
      </c>
    </row>
    <row r="27" spans="1:2" x14ac:dyDescent="0.2">
      <c r="A27" s="4" t="s">
        <v>254</v>
      </c>
      <c r="B27" s="5"/>
    </row>
    <row r="28" spans="1:2" x14ac:dyDescent="0.2">
      <c r="A28" s="4" t="s">
        <v>255</v>
      </c>
      <c r="B28" s="5">
        <v>2200</v>
      </c>
    </row>
    <row r="29" spans="1:2" x14ac:dyDescent="0.2">
      <c r="A29" s="4" t="s">
        <v>256</v>
      </c>
      <c r="B29" s="5"/>
    </row>
    <row r="30" spans="1:2" x14ac:dyDescent="0.2">
      <c r="A30" s="4" t="s">
        <v>257</v>
      </c>
      <c r="B30" s="5">
        <v>3740</v>
      </c>
    </row>
    <row r="31" spans="1:2" x14ac:dyDescent="0.2">
      <c r="A31" s="4" t="s">
        <v>258</v>
      </c>
      <c r="B31" s="5"/>
    </row>
    <row r="32" spans="1:2" x14ac:dyDescent="0.2">
      <c r="A32" s="4" t="s">
        <v>259</v>
      </c>
      <c r="B32" s="5">
        <v>3740</v>
      </c>
    </row>
    <row r="33" spans="1:2" x14ac:dyDescent="0.2">
      <c r="A33" s="4" t="s">
        <v>260</v>
      </c>
      <c r="B33" s="5"/>
    </row>
    <row r="34" spans="1:2" x14ac:dyDescent="0.2">
      <c r="A34" s="4" t="s">
        <v>261</v>
      </c>
      <c r="B34" s="5">
        <v>9680</v>
      </c>
    </row>
    <row r="35" spans="1:2" x14ac:dyDescent="0.2">
      <c r="A35" s="4" t="s">
        <v>262</v>
      </c>
      <c r="B35" s="5"/>
    </row>
    <row r="36" spans="1:2" x14ac:dyDescent="0.2">
      <c r="A36" s="4" t="s">
        <v>263</v>
      </c>
      <c r="B36" s="5">
        <v>880</v>
      </c>
    </row>
    <row r="37" spans="1:2" x14ac:dyDescent="0.2">
      <c r="A37" s="4" t="s">
        <v>264</v>
      </c>
      <c r="B37" s="5"/>
    </row>
    <row r="38" spans="1:2" x14ac:dyDescent="0.2">
      <c r="A38" s="4" t="s">
        <v>238</v>
      </c>
      <c r="B38" s="5">
        <v>600</v>
      </c>
    </row>
    <row r="39" spans="1:2" x14ac:dyDescent="0.2">
      <c r="A39" s="4" t="s">
        <v>152</v>
      </c>
      <c r="B39" s="5"/>
    </row>
    <row r="40" spans="1:2" x14ac:dyDescent="0.2">
      <c r="A40" s="4" t="s">
        <v>265</v>
      </c>
      <c r="B40" s="5">
        <v>56446.32</v>
      </c>
    </row>
    <row r="41" spans="1:2" x14ac:dyDescent="0.2">
      <c r="A41" s="4" t="s">
        <v>266</v>
      </c>
      <c r="B41" s="5"/>
    </row>
    <row r="42" spans="1:2" x14ac:dyDescent="0.2">
      <c r="A42" s="4" t="s">
        <v>267</v>
      </c>
      <c r="B42" s="5">
        <v>25877.58</v>
      </c>
    </row>
    <row r="43" spans="1:2" x14ac:dyDescent="0.2">
      <c r="A43" s="4" t="s">
        <v>268</v>
      </c>
      <c r="B43" s="5"/>
    </row>
    <row r="44" spans="1:2" x14ac:dyDescent="0.2">
      <c r="A44" s="4" t="s">
        <v>269</v>
      </c>
      <c r="B44" s="5">
        <v>15407</v>
      </c>
    </row>
    <row r="45" spans="1:2" x14ac:dyDescent="0.2">
      <c r="A45" s="4" t="s">
        <v>270</v>
      </c>
      <c r="B45" s="5"/>
    </row>
    <row r="46" spans="1:2" x14ac:dyDescent="0.2">
      <c r="A46" s="4" t="s">
        <v>271</v>
      </c>
      <c r="B46" s="5">
        <v>16480</v>
      </c>
    </row>
    <row r="47" spans="1:2" x14ac:dyDescent="0.2">
      <c r="A47" s="4" t="s">
        <v>272</v>
      </c>
      <c r="B47" s="5"/>
    </row>
    <row r="48" spans="1:2" x14ac:dyDescent="0.2">
      <c r="A48" s="4" t="s">
        <v>273</v>
      </c>
      <c r="B48" s="5">
        <v>25500</v>
      </c>
    </row>
    <row r="49" spans="1:2" x14ac:dyDescent="0.2">
      <c r="A49" s="4" t="s">
        <v>154</v>
      </c>
      <c r="B49" s="5"/>
    </row>
    <row r="50" spans="1:2" x14ac:dyDescent="0.2">
      <c r="A50" s="4" t="s">
        <v>241</v>
      </c>
      <c r="B50" s="5">
        <v>35.18</v>
      </c>
    </row>
    <row r="51" spans="1:2" x14ac:dyDescent="0.2">
      <c r="A51" s="4" t="s">
        <v>157</v>
      </c>
      <c r="B51" s="5"/>
    </row>
    <row r="52" spans="1:2" x14ac:dyDescent="0.2">
      <c r="A52" s="4" t="s">
        <v>274</v>
      </c>
      <c r="B52" s="5">
        <v>17357.7</v>
      </c>
    </row>
    <row r="53" spans="1:2" x14ac:dyDescent="0.2">
      <c r="A53" s="6" t="s">
        <v>275</v>
      </c>
      <c r="B53" s="7"/>
    </row>
    <row r="54" spans="1:2" x14ac:dyDescent="0.2">
      <c r="A54" s="4" t="s">
        <v>276</v>
      </c>
      <c r="B54" s="4">
        <v>112406.12</v>
      </c>
    </row>
    <row r="55" spans="1:2" x14ac:dyDescent="0.2">
      <c r="A55" s="6" t="s">
        <v>2</v>
      </c>
      <c r="B55" s="7">
        <f>SUM(B2:B54)</f>
        <v>404311.05</v>
      </c>
    </row>
    <row r="58" spans="1:2" x14ac:dyDescent="0.2">
      <c r="A58" s="49" t="s">
        <v>305</v>
      </c>
      <c r="B58" s="7">
        <f>+B55+'Ingresos investigación 2020'!B53+'Ingresos investigación 2019'!B44</f>
        <v>1254313.6300000001</v>
      </c>
    </row>
  </sheetData>
  <pageMargins left="0.39370078740157483" right="0.39370078740157483"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zoomScaleNormal="100" workbookViewId="0">
      <selection activeCell="B5" sqref="B5"/>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11</v>
      </c>
      <c r="B2" s="5"/>
    </row>
    <row r="3" spans="1:2" x14ac:dyDescent="0.2">
      <c r="A3" s="4" t="s">
        <v>159</v>
      </c>
      <c r="B3" s="5">
        <v>735</v>
      </c>
    </row>
    <row r="4" spans="1:2" x14ac:dyDescent="0.2">
      <c r="A4" s="4" t="s">
        <v>160</v>
      </c>
      <c r="B4" s="5">
        <v>2100</v>
      </c>
    </row>
    <row r="5" spans="1:2" x14ac:dyDescent="0.2">
      <c r="A5" s="6" t="s">
        <v>2</v>
      </c>
      <c r="B5" s="7">
        <f>SUM(B3:B4)</f>
        <v>2835</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2CEDF-D8BD-4B8D-AFB9-E8E5FDAC2F09}">
  <dimension ref="A1:B12"/>
  <sheetViews>
    <sheetView zoomScaleNormal="100" workbookViewId="0">
      <selection activeCell="B12" sqref="B12"/>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11</v>
      </c>
      <c r="B2" s="5"/>
    </row>
    <row r="3" spans="1:2" x14ac:dyDescent="0.2">
      <c r="A3" s="4" t="s">
        <v>277</v>
      </c>
      <c r="B3" s="5">
        <v>245</v>
      </c>
    </row>
    <row r="4" spans="1:2" x14ac:dyDescent="0.2">
      <c r="A4" s="4" t="s">
        <v>278</v>
      </c>
      <c r="B4" s="5">
        <v>245</v>
      </c>
    </row>
    <row r="5" spans="1:2" x14ac:dyDescent="0.2">
      <c r="A5" s="4" t="s">
        <v>279</v>
      </c>
      <c r="B5" s="5">
        <v>245</v>
      </c>
    </row>
    <row r="6" spans="1:2" x14ac:dyDescent="0.2">
      <c r="A6" s="4" t="s">
        <v>280</v>
      </c>
      <c r="B6" s="4">
        <v>245</v>
      </c>
    </row>
    <row r="7" spans="1:2" x14ac:dyDescent="0.2">
      <c r="A7" s="4" t="s">
        <v>281</v>
      </c>
      <c r="B7" s="4">
        <v>245</v>
      </c>
    </row>
    <row r="8" spans="1:2" x14ac:dyDescent="0.2">
      <c r="A8" s="4" t="s">
        <v>282</v>
      </c>
      <c r="B8" s="4">
        <v>3307.5</v>
      </c>
    </row>
    <row r="9" spans="1:2" x14ac:dyDescent="0.2">
      <c r="A9" s="4" t="s">
        <v>283</v>
      </c>
      <c r="B9" s="4">
        <v>4.6399999999999997</v>
      </c>
    </row>
    <row r="10" spans="1:2" x14ac:dyDescent="0.2">
      <c r="A10" s="4" t="s">
        <v>2</v>
      </c>
      <c r="B10" s="5">
        <f>SUM(B2:B9)</f>
        <v>4537.1400000000003</v>
      </c>
    </row>
    <row r="12" spans="1:2" x14ac:dyDescent="0.2">
      <c r="A12" s="49" t="s">
        <v>306</v>
      </c>
      <c r="B12" s="7">
        <f>+B10+'Ingresos formación 2019'!B5</f>
        <v>7372.14</v>
      </c>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Tesis</vt:lpstr>
      <vt:lpstr>Sexenios</vt:lpstr>
      <vt:lpstr>Ingresos investigación 2019</vt:lpstr>
      <vt:lpstr>Ingresos investigación 2020</vt:lpstr>
      <vt:lpstr>Ingresos investigación 2021</vt:lpstr>
      <vt:lpstr>Ingresos formación 2019</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2022-10-18T09:55:32Z</dcterms:modified>
</cp:coreProperties>
</file>