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Mi unidad\Presupuestación\Presupuesto 2023\Departamentos\Institutos\"/>
    </mc:Choice>
  </mc:AlternateContent>
  <xr:revisionPtr revIDLastSave="0" documentId="13_ncr:1_{B7518F02-39AF-47C5-A8CF-F21A8F1DE7CE}" xr6:coauthVersionLast="47" xr6:coauthVersionMax="47" xr10:uidLastSave="{00000000-0000-0000-0000-000000000000}"/>
  <bookViews>
    <workbookView xWindow="22932" yWindow="-108" windowWidth="23256" windowHeight="12456" xr2:uid="{00000000-000D-0000-FFFF-FFFF00000000}"/>
  </bookViews>
  <sheets>
    <sheet name="Tesis" sheetId="2" r:id="rId1"/>
    <sheet name="Sexenios" sheetId="3" r:id="rId2"/>
    <sheet name="Ingresos investigación 2019" sheetId="5" r:id="rId3"/>
    <sheet name="ingresos investigación 2020" sheetId="7" r:id="rId4"/>
    <sheet name="Ingresos investigación 2021" sheetId="11" r:id="rId5"/>
    <sheet name="Ingresos formación 2019" sheetId="6" r:id="rId6"/>
    <sheet name="ingresos formación 2020" sheetId="8" r:id="rId7"/>
    <sheet name="Ingresos formación 2021" sheetId="13" r:id="rId8"/>
  </sheets>
  <definedNames>
    <definedName name="_xlnm._FilterDatabase" localSheetId="1" hidden="1">Sexenios!$A$1:$S$17</definedName>
    <definedName name="_xlnm._FilterDatabase" localSheetId="0" hidden="1">Tesis!$A$1:$U$1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1" i="3" l="1"/>
  <c r="T31" i="2" l="1"/>
  <c r="B4" i="6" l="1"/>
  <c r="D13" i="13" s="1"/>
  <c r="B18" i="5"/>
  <c r="D16" i="11" s="1"/>
</calcChain>
</file>

<file path=xl/sharedStrings.xml><?xml version="1.0" encoding="utf-8"?>
<sst xmlns="http://schemas.openxmlformats.org/spreadsheetml/2006/main" count="736" uniqueCount="272">
  <si>
    <t>Orgánica
Descripción justificante</t>
  </si>
  <si>
    <t>Importe</t>
  </si>
  <si>
    <t>Total</t>
  </si>
  <si>
    <t>40.20.6C.00.05</t>
  </si>
  <si>
    <t>40.20.6P.00.03</t>
  </si>
  <si>
    <t>40.20.6P.00.04</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</si>
  <si>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</si>
  <si>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</si>
  <si>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</si>
  <si>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</si>
  <si>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</si>
  <si>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</si>
  <si>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</si>
  <si>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</si>
  <si>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</si>
  <si>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</si>
  <si>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</si>
  <si>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</si>
  <si>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</si>
  <si>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</si>
  <si>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</si>
  <si>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</si>
  <si>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</si>
  <si>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</si>
  <si>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</si>
  <si>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</si>
  <si>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</si>
  <si>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</si>
  <si>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10.05</t>
  </si>
  <si>
    <t/>
  </si>
  <si>
    <t>Director de tesis </t>
  </si>
  <si>
    <t>10.13</t>
  </si>
  <si>
    <t>U058 </t>
  </si>
  <si>
    <t>ADM. I.U. DE INVESTIGACIONES TURÍSTICAS </t>
  </si>
  <si>
    <t>DOCTORADO EN TURISMO </t>
  </si>
  <si>
    <t>10.17</t>
  </si>
  <si>
    <t>10.21</t>
  </si>
  <si>
    <t>50</t>
  </si>
  <si>
    <t>20</t>
  </si>
  <si>
    <t>27/09/2017 </t>
  </si>
  <si>
    <t>B138 </t>
  </si>
  <si>
    <t>ANALISIS ECONOMICO APLICADO </t>
  </si>
  <si>
    <t>B138</t>
  </si>
  <si>
    <t>10</t>
  </si>
  <si>
    <t>40</t>
  </si>
  <si>
    <t>U036 </t>
  </si>
  <si>
    <t>ADM. FACULTAD DE CIENCIAS ECONÓMICAS </t>
  </si>
  <si>
    <t>DOCTORADO EN EMPRESA, ECONOMÍA Y SOCIEDAD </t>
  </si>
  <si>
    <t>21994525Q </t>
  </si>
  <si>
    <t>30</t>
  </si>
  <si>
    <t>U023 </t>
  </si>
  <si>
    <t>ADM. FACULTAD DE FILOSOFIA Y LETRAS </t>
  </si>
  <si>
    <t>DOCTORADO EN FILOSOFÍA Y LETRAS </t>
  </si>
  <si>
    <t>B173 </t>
  </si>
  <si>
    <t>ANÁLISIS GEOGRÁFICO REGIONAL Y GEOGRAFÍA FÍSICA </t>
  </si>
  <si>
    <t>B173</t>
  </si>
  <si>
    <t>70</t>
  </si>
  <si>
    <t>27/09/2019 </t>
  </si>
  <si>
    <t>07/07/2017 </t>
  </si>
  <si>
    <t>74218439S </t>
  </si>
  <si>
    <t>Arahuetes Hidalgo, Ana </t>
  </si>
  <si>
    <t>LOS RECURSOS NO CONVENCIONALES EN EL METABOLISMO HÍDRICO DEL LITORAL DE LA PROVINCIA DE ALICANTE </t>
  </si>
  <si>
    <t>30/11/2017 </t>
  </si>
  <si>
    <t>20/09/2019 </t>
  </si>
  <si>
    <t>B120 </t>
  </si>
  <si>
    <t>GEOGRAFIA HUMANA </t>
  </si>
  <si>
    <t>DOCTORADO EN DESARROLLO LOCAL E INNOVACIÓN TERRITORIAL </t>
  </si>
  <si>
    <t>21389246M </t>
  </si>
  <si>
    <t>B120</t>
  </si>
  <si>
    <t>74211761F </t>
  </si>
  <si>
    <t>MARTINEZ GARCIA, RAFAEL </t>
  </si>
  <si>
    <t>MUSEOS ETNOGRÁFICOS DEL SUR VALENCIANO. TERRITORIO, IDENTIDAD Y PATRIMONIO. </t>
  </si>
  <si>
    <t>Giménez Ruiz, José Antonio </t>
  </si>
  <si>
    <t>LA MINERÍA, TRANSFORMADORA DEL PAISAJE NATURAL Y HUMANO. LA EXTRACCIÓN DE LA POTASA EN LA CATALUÑA CENTRAL </t>
  </si>
  <si>
    <t>23/06/2017 </t>
  </si>
  <si>
    <t>Martínez García, Rafael </t>
  </si>
  <si>
    <t>Molina Rubio, Francisco José </t>
  </si>
  <si>
    <t>LOS MOVIMIENTOS DE INNOVACIÓN COMPOSITIVA DENTRO DE LAS VANGUARDIAS CONTEMPORÁNEAS: EL CASO DE LA ECCA, ESCUELA DE COMPOSICIÓN Y CREACIÓN ARTÍSITICA DE ALCOY </t>
  </si>
  <si>
    <t>Alcaraz Santonja, Albert </t>
  </si>
  <si>
    <t>LA DIMENSIÓ LÚDICA I TRANSGRESSORA DE LES FESTES DE MOROS I CRISTIANS.SOCIABILITAT, DIVERSIÓ I ESPECTACLE EN L'ORIGEN, EVOLUCIÓ D'UNA FESTA MODERNA (1839-2018) </t>
  </si>
  <si>
    <t>Castejón Porcel, Gregorio </t>
  </si>
  <si>
    <t>EL PALUDISMO EN FUENTE ÁLAMO DE MURCIA Y SU ERRADICACIÓN MEDIANTE EL EMPLEO DE GALERÍAS CON LUMBRERAS (SS. XVIII-XIX): DEL RIESGO NATURAL, A LA TRANSFORMACIÓN AGRÍCOLA Y EL RECURSO PATRIMONIAL </t>
  </si>
  <si>
    <t>30/09/2019 </t>
  </si>
  <si>
    <t>López Jiménez, Juan </t>
  </si>
  <si>
    <t>19/09/2019 </t>
  </si>
  <si>
    <t>21463610X </t>
  </si>
  <si>
    <t>Rodríguez Carmona, Eduardo-Gabriel </t>
  </si>
  <si>
    <t>ECONOMIA Y SOCIEDAD EN EL BAJO SEGURA, 1975-2015. LA TRAYECTORIA CONTEMPORÁNEA DE UN ÁREA FUNCIONAL METROPOLITANA DE PULSIÓN INFORMAL </t>
  </si>
  <si>
    <t>NIF</t>
  </si>
  <si>
    <t>NOMBRE_COMPLETO</t>
  </si>
  <si>
    <t>TIPO_SEXENIO</t>
  </si>
  <si>
    <t>Total general</t>
  </si>
  <si>
    <t>INS
1</t>
  </si>
  <si>
    <t>DED
INS 1</t>
  </si>
  <si>
    <t>INS
2</t>
  </si>
  <si>
    <t>DED
INS 2</t>
  </si>
  <si>
    <t>DED
DEP</t>
  </si>
  <si>
    <t>SEX
INS 1</t>
  </si>
  <si>
    <t>SEX
INS 2</t>
  </si>
  <si>
    <t>SEX
DEP</t>
  </si>
  <si>
    <t>FUNCIONARIO</t>
  </si>
  <si>
    <t>NO FUNCIONARIO</t>
  </si>
  <si>
    <t>21994525Q</t>
  </si>
  <si>
    <t>MIRANDA ENCARNACION, JOSE ANTONIO</t>
  </si>
  <si>
    <t>16284755L</t>
  </si>
  <si>
    <t>SAEZ GARCIA, MIGUEL</t>
  </si>
  <si>
    <t>48353391P</t>
  </si>
  <si>
    <t>GIMENEZ FONT, PABLO</t>
  </si>
  <si>
    <t>21655866D</t>
  </si>
  <si>
    <t>MOLTO MANTERO, ENRIQUE ALFONSO</t>
  </si>
  <si>
    <t>21464937A</t>
  </si>
  <si>
    <t>OLCINA CANTOS, JORGE</t>
  </si>
  <si>
    <t>74211761F</t>
  </si>
  <si>
    <t>PONCE HERRERO, GABINO</t>
  </si>
  <si>
    <t>21463610X</t>
  </si>
  <si>
    <t>RICO AMOROS, ANTONIO MANUEL</t>
  </si>
  <si>
    <t>27439255W</t>
  </si>
  <si>
    <t>LOPEZ ORTIZ, MARIA INMACULADA</t>
  </si>
  <si>
    <t>21485448K</t>
  </si>
  <si>
    <t>BAÑOS CASTIÑEIRA, CARLOS JAVIER</t>
  </si>
  <si>
    <t>74218439S</t>
  </si>
  <si>
    <t>HERNANDEZ HERNANDEZ, MARIA</t>
  </si>
  <si>
    <t>21466152E</t>
  </si>
  <si>
    <t>RAMON MORTE, ALFREDO</t>
  </si>
  <si>
    <t>21485335T</t>
  </si>
  <si>
    <t>TORRES ALFOSEA, FRANCISCO JOSE</t>
  </si>
  <si>
    <t>40.20.6C.00.06</t>
  </si>
  <si>
    <t>Elaboración y entrega de un informe publicable sobre la evolución durante el último siglo y la situación actual de la Séquia Mare. DIPUTACION2-18TPA</t>
  </si>
  <si>
    <t>40.20.6C.00.07</t>
  </si>
  <si>
    <t>Estudio climático de cambios observados en el clima de la Comunidad Valenciana y Murcia y escenarios climáticos previstos a corto plazo. Posibles efectos en algunos cultivos (melocotón, albaricoque, naranja, mandarina y limón)</t>
  </si>
  <si>
    <t>Según Anexo 2, abono del 25% con el primer informe entregable: Análisis bibliográfico sobre clima, actividad agraria y cambio climático en las regiones de Valencia y Murcia (2000-2019). Proyecciones climáticas oficiales en la Comunidad Valenciana y Murcia.</t>
  </si>
  <si>
    <t>Según Anexo 2,  abono del 25% con el segundo entregable: Análisis cuantitativo de la base de datos pólizas de seguro agrario y siniestros ocurridos en las provincias de Valencia, Alicante y Murcia, para los cultivos de albaricoque, melocotón, naranja, mandarina y limón para los riesgos de helada, viento y granizo, entre los años 2000 y 2018. Avance resultados en tablas y gráficos.</t>
  </si>
  <si>
    <t>40.20.6C.00.08</t>
  </si>
  <si>
    <t xml:space="preserve">Servicio de estudios hidrográficos, en concreto la irregularidad y contrastes pluviométricos en el ámbito del Consorcio de Aguas de la Marina Baja, con número 58/2019 </t>
  </si>
  <si>
    <t>40.20.6M.00.01</t>
  </si>
  <si>
    <t>Primer pago del 30% del total, con la primera entrega del trabajo en diciembre de 2019, de la contratación del SERVICIO DE CREACIÓN DE CONTENIDOS SOBRE GEOGRAFÍA PARA ESTUDIANTES DE EDUCACIÓN SECUNDARIA Y BACHILLERATO PARA EL ATLAS DIDÁCTICO DIGITAL DE ESPAÑA. [CNIG1-19F]</t>
  </si>
  <si>
    <t>LIBERADOS EL 23/04/2019, ANUALIDAD 2019 PROYECTOS I+D (PIA1) N EXPEDIENTE: PIA12015-1 -4 ANUALIDAD REFERENCIA:CSO2015-65182-C2-2-P. REF. DEL ORDENANTE PARA EL BENEFICIARIO: 27402219310017421.</t>
  </si>
  <si>
    <t>FLIB 23/04/19. PROYECTOS RETOS I+D+I 2016. ANUAL 2019 PROYECTOS I+D RETOS (PIA13) N EXPEDIENTE: PIA132016-1 - 4 ANUALIDAD REFERENCIA: CSO2. REF. DEL ORDENANTE PARA EL BENEFICIARIO: 27402219310017779.</t>
  </si>
  <si>
    <t>40.20.6P.00.07</t>
  </si>
  <si>
    <t>REFERENCIA: PCI2019-103395.PARA PAGO ANUALIDAD 2019, CONVOCATOIA APCIN 2019 AC. PROG.CONJUNTA INTERNACIONAL(PIA 10)N EXPEDIENTE: PIA102019-1-1REFERENCIA DEL ORDENANTE PARA EL BENEFICIARIO:27402219310030693.</t>
  </si>
  <si>
    <t>40.20.2E.00.01</t>
  </si>
  <si>
    <t>Según convenio, Cláusula Tercer.2: "El Consorcio de Compensación de Seguros se compromete a entregar, en concepto de aportacion económica para la realización del Master Universitario en Planificación y Gestión de Riesgos Naturales la cantidad de siete mil euros para su utilización en forma de becas, pudiendo destinarse una parte de dicha cantidad, hasta un máximo del 40%, a gastos de gestión interna", correspondiente al curso académico 2018-2019.</t>
  </si>
  <si>
    <t>El planeamiento de la oportunidad: la posmodernidad en Alicante </t>
  </si>
  <si>
    <t>Villar Navascués, Rubén Alejandro </t>
  </si>
  <si>
    <t>SISTEMAS DE SUMINISTRO Y TENDENCIAS DE CONSUMO DE AGUA URBANO-TURÍSTICO EN LOS MUNICIPIOS LITORALES DE ALICANTE (2000-2017) </t>
  </si>
  <si>
    <t>29/11/2019 </t>
  </si>
  <si>
    <t>21434118G</t>
  </si>
  <si>
    <t>MARCO MOLINA, JUAN ANTONIO</t>
  </si>
  <si>
    <t>21503087L</t>
  </si>
  <si>
    <t>RICO CANOVAS, ELISA TRINIDAD</t>
  </si>
  <si>
    <t>COD DEP</t>
  </si>
  <si>
    <t>B112</t>
  </si>
  <si>
    <t>21436398F</t>
  </si>
  <si>
    <t>SUCH CLIMENT, MARIA PAZ</t>
  </si>
  <si>
    <t>35</t>
  </si>
  <si>
    <t>vivos</t>
  </si>
  <si>
    <t>21633898Y</t>
  </si>
  <si>
    <t>SEBASTIA ALCARAZ, RAFAEL</t>
  </si>
  <si>
    <t>10.25</t>
  </si>
  <si>
    <t>21479431F</t>
  </si>
  <si>
    <t>PADILLA BLANCO, MARIA ASCENSION</t>
  </si>
  <si>
    <t>Muñoz Castillo, Juan Antonio </t>
  </si>
  <si>
    <t>Patrimonio nuclear del sur de España: un estudio geográfico </t>
  </si>
  <si>
    <t>30/11/2020 </t>
  </si>
  <si>
    <t>21464937A </t>
  </si>
  <si>
    <t>Ramos Altamira, Ignacio </t>
  </si>
  <si>
    <t>"Rafael Altamira y Crevea y su contribución a la educación popular y la escuela pública española" </t>
  </si>
  <si>
    <t>29/07/2021 </t>
  </si>
  <si>
    <t>21633898Y </t>
  </si>
  <si>
    <t>B112 </t>
  </si>
  <si>
    <t>DIDACTICA GENERAL Y DIDÁCTICAS ESPECÍFICAS </t>
  </si>
  <si>
    <t>Lalangui Ramírez, Jessica Ivonne </t>
  </si>
  <si>
    <t>CONTRIBUCIÓN A LAS POTENCIALIDADES DE LOS DESTINOS TURÍSTICOS DE LA PROVINCIA DE EL ORO - ECUADOR </t>
  </si>
  <si>
    <t>22/03/2021 </t>
  </si>
  <si>
    <t>REINTEGRO CUOTA PATRONAL CORRESPONDIENTE A DICIEMBRE DE 2020.</t>
  </si>
  <si>
    <t>Según Anexo 2, abono del último 25%, con la entrega del Informe Final del contrato de asesoramiento y asistencia científica entre Agroseguro y Universidad de Alicante: "Estudio climático de cambios observados en el clima de la Comunidad Valenciana y Murcia y escenarios climáticos previstos a corto plazo. Posibles efectos en algunos cultivos (melocotón, albaricoque, naranja, mandarina y limón)". [Ref. AGROSEGURO1-19T]</t>
  </si>
  <si>
    <t>40.20.6C.00.09</t>
  </si>
  <si>
    <t>Evaluación de la vulnerabilidad y riesgo de los nuevos escenarios en el territorio valenciano, como consecuencia del cambio climático [JVSANCHEZ1-20TPA]</t>
  </si>
  <si>
    <t>40.20.6C.00.11</t>
  </si>
  <si>
    <t>ervicio para realizar el estudio complementario de las Tarifas del CAMB de forma comparativa con las tarifas de agua en alta en las zonas costeras de la provincia de Alicante. Causas y consecuencias. [CONSORCIOAGUASMARINA1-20TPA]</t>
  </si>
  <si>
    <t>Segundo y último pago, del 70% del total, con la entrega final del proyecto de la contratación del SERVICIO DE CREACIÓN DE CONTENIDOS SOBRE GEOGRAFÍA PARA ESTUDIANTES DE EDUCACIÓN SECUNDARIA Y BACHILLERATO PARA EL ATLAS DIDÁCTICO DIGITAL DE ESPAÑA. [CNIG1-19F]</t>
  </si>
  <si>
    <t>LIBERADOS 22/06/2020 ANUALIDAD 2020 AC. PROG. CONJUNTA INTERNACIONAL (PI A10) N EXPEDIENTE: PIA102019-1 - 2 ANUALIDAD REFERENCIA: PCI2019-</t>
  </si>
  <si>
    <t>40.20.6P.00.08</t>
  </si>
  <si>
    <t xml:space="preserve">PAGO CONVOCATORIA PROYECTOS 2019 1ANUALIDAD 2020 PROYECTOS I+D (PIA 1)N EXPEDIENTE: PIA 1 2019-1-1. ANUALIDAD REFERENCIA: PID2019-104456RB-C22 </t>
  </si>
  <si>
    <t>40.20.6P.00.10</t>
  </si>
  <si>
    <t>RESOLUCIÓN CONCESIÓN DE FECHA 8 DE OCTUBRE DE 2020 SUBVENCIÓN AICO 2020 (INNOVACIÓN,UNIVERSIDADES,CIENCIA SOC.DIG)</t>
  </si>
  <si>
    <t>Según BOE 31.12.2018 del Convenio de Colaboración con la Universidad de Alicante, Cláusula Tercera.2: El Consorcio de Compensación de Seguros se compromete a entregar, en concepto de aportación económica para la realización del Máster Universitario en Planificación y Gestión de Riesgos Naturales la cantidad de dos mil ochocientos euros destinados a gastos de gestión interna (máximo del 40% de 7.000 euros), correspondiente al curso académico 2019-2020. En esta edición no hay alumnos con opción de las becas propias del Consorcio de Compesación de Seguros ya que todos son beneficiarios de ayudas y becas públicas.</t>
  </si>
  <si>
    <t>Unidad</t>
  </si>
  <si>
    <t>Cód. org. aplic.</t>
  </si>
  <si>
    <t>Descripción justificante</t>
  </si>
  <si>
    <t>40.20</t>
  </si>
  <si>
    <t xml:space="preserve">EJERCICIOS CERRADOS. DEVOLUCIÓN  IBERIA Clase S Salida 30/01/2020 GUATEMALA/MADRID/ALICANTE MARCO MOLINA JUAN ANTONIO J.A.MARCO  </t>
  </si>
  <si>
    <t>Devolución total de la factura 21F1912B00000019 de Avoris Abono A12/2021</t>
  </si>
  <si>
    <t>Tercera y última factura del Estudio para protección de especies amenazadas y afección de acceso a las calas y playas como a equipamientos de playa que evite el impacto negativo de un pisoteo aleatorio y disperso sobre las especies catalogadas y los hábitats de las mismas (Helianthemum caput-files y Tudorella mauretanica) así como propuesta cartográfica de sendas (no incluye tratamiento) y restauración vegetal según Declaración de Impacto Ambiental de Sector UE-2 Alameda del Mar del PGOU de Orihuela (Alicante)</t>
  </si>
  <si>
    <t>40.20.6C.00.10</t>
  </si>
  <si>
    <t>Según hoja de encargo del expediente UJI3-20TPA "Asesoramiento para desarrollar el flujo de trabajo necesario para ayudar a crear ficheros CAD de entornos urbanos, mediante el proceso de datos LIDAR e información catastral en una geodatabase PostgreSQL y QGIS, o en todo caso, preferentemente software libre o que sea accesible al grupo de la Universitat Jaume I [...]"</t>
  </si>
  <si>
    <t>40.20.6C.00.14</t>
  </si>
  <si>
    <t>Según expediente nº 2021-1718135 de contrato menor, Servicio de apoyo científico para la definición y elaboración de contenidos de una Monografía del Atlas Nacional de España (ANE) sobre la primera ola de la pandemia Covid-19: Informe de entrega de resultados de la primera certificación según Pliego. 2.1.1 Desde los primeros casos registrados en España hasta finales de junio e incluso, para los efectos en diferentes ámbitos, hasta finales de agosto de 2020: 2.1.1.1.,2.1.1.2., 2.1.1.2.1., 2.1.1.3., 2.1.1.4., 2.1.1.5.</t>
  </si>
  <si>
    <t>Según expediente nº 2021-1718135 de contrato menor, Servicio de apoyo científico para la definición y elaboración de contenidos de una Monografía del Atlas Nacional de España (ANE) sobre la primera ola de la pandemia Covid-19: Informe de entrega de resultados de la segunda y última certificación según Pliego. 2.1.1.6, 2.1.1.7, 2.1.1.8, 2.1.2, 2.1.2.1, 2.1.2.2 [Ref. IGN1-21T]</t>
  </si>
  <si>
    <t>40.20.6C.00.15</t>
  </si>
  <si>
    <t>Revisión del censo de Helianthemum caput-felis Boiss, en la UE-2 del Sector D-1 Alameda del Mar del PGOU de Orihuela (Alicante), especialmente centrado en las áreas más sensibles y con el objetivo de conocer la dinámica reciente de las poblaciones de esta especie endémica de cara a su conservación y compatibilización con actividades urbanísticas [PLAYASALVAJE1-21TPA]</t>
  </si>
  <si>
    <t>LIBERADOS 08/04/2021 ANUALIDAD 2021 AC. PROG. CONJUNTA INTERNACIONAL (PI A10) EXPEDIENTE: PIA102019-1-3 ANUALIDAD REFERENCIA: PCI2019-103395</t>
  </si>
  <si>
    <t xml:space="preserve">PID2019-104456RB-C22 </t>
  </si>
  <si>
    <t>RES. CONCESIÓN SUBVENCIONES PARA GRUPOSINVESTIGACIÓN CONSOLIDABLES AICO 2020 EN2021</t>
  </si>
  <si>
    <t>40.20.6X.00.01</t>
  </si>
  <si>
    <t>SEPIE-ERASMUS+: 2020-1ES01-KA201-082283 (1st payment)</t>
  </si>
  <si>
    <t>Según BOE 31.12.2018 del Convenio de Colaboración con la Universidad de Alicante, Cláusula Tercera.2: "El Consorcio de Compensación de Seguros se compromete a entregar, en concepto de aportación económica para la realización del Máster Universitario en Planificación y Gestión de Riesgos Naturales la cantidad de siete mil euros para su utilización en forma de becas, pudiendo destinarse una parte de dicha cantidad, hasta un máximo del 40%, a gastos de gestión interna", correspondiente al curso académico 2020-2021.</t>
  </si>
  <si>
    <t>40.20.2T.00.01</t>
  </si>
  <si>
    <t>Según Convenio de participación de universidades en la plataforma de cursos online, abiertos y masivos www.miriadax.net, Cláusula 5.1 Remuneración de la Universidad: "La Sociedad pagará a la Universidad el cuarenta por ciento de los ingresos brutos en el caso de los certificados de superación". Y según adenda de fecha 03.07.2018, Universia Holding SL cedió su posición contractual a Telefónica Educación Digital SLU. ID Pedido: 1777; 2 certificaciones</t>
  </si>
  <si>
    <t>Según Convenio de participación de universidades en la plataforma de cursos online, abiertos y masivos www.miriadax.net, Cláusula 5.1 Remuneración de la Universidad: "La Sociedad pagará a la Universidad el cuarenta por ciento de los ingresos brutos en el caso de los certificados de superación". Y según adenda de fecha 03.07.2018, Universia Holding SL cedió su posición contractual a Telefónica Educación Digital SLU. ID Pedido: 921; 4 certificaciones.</t>
  </si>
  <si>
    <t>Según Convenio de participación de universidades en la plataforma de cursos online, abiertos y masivos www.miriadax.net, Cláusula 5.1 Remuneración de la Universidad: "La Sociedad pagará a la Universidad el cuarenta por ciento de los ingresos brutos en el caso de los certificados de superación". Y según adenda de fecha 03.07.2018, Universia Holding SL cedió su posición contractual a Telefónica Educación Digital SLU. ID Pedido: 1222; 6 certificaciones.</t>
  </si>
  <si>
    <t>egún Convenio de participación de universidades en la plataforma de cursos online, abiertos y masivos www.miriadax.net, Cláusula 5.1 Remuneración de la Universidad: "La Sociedad pagará a la Universidad el cuarenta por ciento de los ingresos brutos en el caso de los certificados de superación". Y según adenda de fecha 03.07.2018, Universia Holding SL cedió su posición contractual a Telefónica Educación Digital SLU. ID Pedido: 1483; 7 certificaciones.</t>
  </si>
  <si>
    <t>Según Convenio de participación de universidades en la plataforma de cursos online, abiertos y masivos www.miriadax.net, Cláusula 5.1 Remuneración de la Universidad: "La Sociedad pagará a la Universidad el cuarenta por ciento de los ingresos brutos en el caso de los certificados de superación". Y según adenda de fecha 03.07.2018, Universia Holding SL cedió su posición contractual a Telefónica Educación Digital SLU. ID Pedido: 1587; 21 certificaciones.</t>
  </si>
  <si>
    <t>SSegún Convenio de participación de universidades en la plataforma de cursos online, abiertos y masivos www.miriadax.net, Cláusula 5.1 Remuneración de la Universidad: "La Sociedad pagará a la Universidad el cuarenta por ciento de los ingresos brutos en el caso de los certificados de superación". Y según adenda de fecha 03.07.2018, Universia Holding SL cedió su posición contractual a Telefónica Educación Digital SLU. ID Pedido: 1023; 25 certificaciones.</t>
  </si>
  <si>
    <t>SSegún Convenio de participación de universidades en la plataforma de cursos online, abiertos y masivos www.miriadax.net, Cláusula 5.1 Remuneración de la Universidad: "La Sociedad pagará a la Universidad el cuarenta por ciento de los ingresos brutos en el caso de los certificados de superación". Y según adenda de fecha 03.07.2018, Universia Holding SL cedió su posición contractual a Telefónica Educación Digital SLU. ID Pedido: 1127; 30 certificaciones.</t>
  </si>
  <si>
    <t>González Magaña, Jose L. </t>
  </si>
  <si>
    <t>ELOY VAQUERO CANTILLO O EL OPTIMISMO TRÁGICO EN UN NACER QUE TUVO ANTICIPADO </t>
  </si>
  <si>
    <t>27/05/2022 </t>
  </si>
  <si>
    <t>Vázquez Pérez, Antonio </t>
  </si>
  <si>
    <t>El manejo de fuentes renovables de energía para el desarrollo local endógeno y sostenible en la provincia de Manabí (Ecuador) </t>
  </si>
  <si>
    <t>08/03/2022 </t>
  </si>
  <si>
    <t>Díaz Soto, Carlos Manuel </t>
  </si>
  <si>
    <t>Análisis y estrategias de mejoramiento del turismo de salud y bienestar en Bucaramanga y su zona metropolitana </t>
  </si>
  <si>
    <t>10/06/2022 </t>
  </si>
  <si>
    <t>U020 </t>
  </si>
  <si>
    <t>ADM. I.U. DEL AGUA Y DE LAS CIENCIAS AMBIENTALES </t>
  </si>
  <si>
    <t>DOCTORADO EN AGUA Y DESARROLLO SOSTENIBLE </t>
  </si>
  <si>
    <t>López Peralta, Raúl Ernesto </t>
  </si>
  <si>
    <t>REPERCUSIONES SOCIOECONÓMICAS DE LA GESTIÓN INTEGRAL DE AGUAS URBANAS: CASO DE LA CIUDAD DE TEGUCIGALPA, HONDURAS </t>
  </si>
  <si>
    <t>27439255W </t>
  </si>
  <si>
    <t>TIRADO BALLESTEROS, JUAN GABRIEL </t>
  </si>
  <si>
    <t>TURISMO Y DESARROLLO RURAL: ANÁLISIS DE LAS POLÍTICAS CON ENFOQUE LEADER </t>
  </si>
  <si>
    <t>22/09/2017 </t>
  </si>
  <si>
    <t>Ríos Pérez, Manuel </t>
  </si>
  <si>
    <t>Concesiones de transporte público regular de viajeros por carretera y su dependencia territorial. Evolución, contexto socioeconómico y modelo desarrollado en la provincia de Alicante </t>
  </si>
  <si>
    <t>05/11/2020 </t>
  </si>
  <si>
    <t>74218386P </t>
  </si>
  <si>
    <t>Latorre Aizaga, Franklin Lenin </t>
  </si>
  <si>
    <t>IMPACTO DE LAS POLÍTICAS ECONOMICAS-LABORALES EN LAS CONDICIONES DE TRABAJO EN ECUADOR (2007-2017) </t>
  </si>
  <si>
    <t>23/10/2020 </t>
  </si>
  <si>
    <t>U013 </t>
  </si>
  <si>
    <t>ADM. I.U. BIODIVERSIDAD (CIBIO) </t>
  </si>
  <si>
    <t>DOCTORADO EN BIODIVERSIDAD Y CONSERVACIÓN </t>
  </si>
  <si>
    <t>Soulopoulou , Polyxeni </t>
  </si>
  <si>
    <t>Intensity of agricultural land use and climate effects on bird biodiversity along a Greek natura 2000 site and implications for sustainable agro-management. </t>
  </si>
  <si>
    <t>29/09/2021 </t>
  </si>
  <si>
    <t>21434118G </t>
  </si>
  <si>
    <t>21479431F </t>
  </si>
  <si>
    <t>García Serrano, Irma </t>
  </si>
  <si>
    <t>FACTORES SOCIOECONÓMICOS Y CULTURALES QUE EXPLICAN EL DESARROLLO COMUNITARIO EN ECUADOR. Incidencia de la cooperación internacional en comunidades de la parroquia de Cangahua, Cantón Cayambe, Provincia de Pichincha </t>
  </si>
  <si>
    <t>García Botella, María Estela </t>
  </si>
  <si>
    <t>Variables de información geográfica en los estudios de inundabilidad de pequeñas cuencas alteradas en el sureste de la Península Ibérica </t>
  </si>
  <si>
    <t>27/07/2021 </t>
  </si>
  <si>
    <t>21466152E </t>
  </si>
  <si>
    <t>Prieto Cerdán, Antonio </t>
  </si>
  <si>
    <t>Infraestructura Verde como instrumento de ordenación territorial: analisis multiescalar </t>
  </si>
  <si>
    <t>30/04/2021 </t>
  </si>
  <si>
    <t>Ayón Villafuerte, Libia Soledad </t>
  </si>
  <si>
    <t>El ecoturismo en el perfil costero de Manabí (Ecuador). Estudio de caso Puerto López </t>
  </si>
  <si>
    <t>09/06/2022 </t>
  </si>
  <si>
    <t>U075 </t>
  </si>
  <si>
    <t>ADM. I.U.INVESTIGACIÓN DE ESTUDIOS SOCIALES DE AMÉRICA LATINA </t>
  </si>
  <si>
    <t>DOCTORADO EN HUMANIDADES Y ESTUDIOS SOCIALES DE AMÉRICA LATINA </t>
  </si>
  <si>
    <t>Demarchi Sánchez, Geydi Dahiana </t>
  </si>
  <si>
    <t>Gestión educativa y curricular en la educación superior. reflexiones desde las pruebas saber pro en Medellín ¿Colombia </t>
  </si>
  <si>
    <t>12/09/2022 </t>
  </si>
  <si>
    <t>44774024Q</t>
  </si>
  <si>
    <t>AMAT MONTESINOS, XAVIER</t>
  </si>
  <si>
    <t>74218386P</t>
  </si>
  <si>
    <t>MARTINEZ PUCHE, ANTONIO</t>
  </si>
  <si>
    <t>Total ingresos investigación 2019, 2020 y 2021</t>
  </si>
  <si>
    <t>Total ingresos formación 2019, 2020 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</si>
</sst>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x14ac:knownFonts="1">
    <font>
      <sz val="11"/>
      <color theme="1"/>
      <name val="Calibri"/>
      <family val="2"/>
      <scheme val="minor"/>
    </font>
    <font>
      <sz val="8"/>
      <color theme="1"/>
      <name val="Arial"/>
      <family val="2"/>
    </font>
    <font>
      <b/>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b/>
      <sz val="10"/>
      <color theme="1"/>
      <name val="Arial"/>
      <family val="2"/>
    </font>
    <font>
      <sz val="8"/>
      <color rgb="FF000000"/>
      <name val="Arial"/>
      <family val="2"/>
    </font>
    <font>
      <b/>
      <sz val="11"/>
      <color theme="0"/>
      <name val="Calibri"/>
      <family val="2"/>
      <scheme val="minor"/>
    </font>
    <font>
      <b/>
      <sz val="11"/>
      <color theme="1"/>
      <name val="Calibri"/>
      <family val="2"/>
      <scheme val="minor"/>
    </font>
  </fonts>
  <fills count="11">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theme="5"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bottom style="thin">
        <color theme="4" tint="0.39997558519241921"/>
      </bottom>
      <diagonal/>
    </border>
    <border>
      <left/>
      <right/>
      <top style="thin">
        <color theme="4" tint="0.39997558519241921"/>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ck">
        <color theme="0"/>
      </top>
      <bottom/>
      <diagonal/>
    </border>
    <border>
      <left style="thin">
        <color theme="0"/>
      </left>
      <right style="thin">
        <color theme="0"/>
      </right>
      <top style="thick">
        <color theme="0"/>
      </top>
      <bottom/>
      <diagonal/>
    </border>
    <border>
      <left style="thin">
        <color theme="0"/>
      </left>
      <right/>
      <top style="thick">
        <color theme="0"/>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
      <left/>
      <right style="thin">
        <color theme="4" tint="0.39997558519241921"/>
      </right>
      <top style="double">
        <color theme="4"/>
      </top>
      <bottom style="thin">
        <color theme="4" tint="0.39997558519241921"/>
      </bottom>
      <diagonal/>
    </border>
    <border>
      <left/>
      <right/>
      <top style="thin">
        <color indexed="64"/>
      </top>
      <bottom style="thin">
        <color indexed="64"/>
      </bottom>
      <diagonal/>
    </border>
    <border>
      <left/>
      <right/>
      <top style="thin">
        <color indexed="64"/>
      </top>
      <bottom/>
      <diagonal/>
    </border>
  </borders>
  <cellStyleXfs count="6">
    <xf numFmtId="0" fontId="0" fillId="0" borderId="0"/>
    <xf numFmtId="0" fontId="3" fillId="0" borderId="0"/>
    <xf numFmtId="0" fontId="6" fillId="0" borderId="0"/>
    <xf numFmtId="0" fontId="6" fillId="0" borderId="0"/>
    <xf numFmtId="0" fontId="7" fillId="0" borderId="0"/>
    <xf numFmtId="0" fontId="1" fillId="0" borderId="0"/>
  </cellStyleXfs>
  <cellXfs count="83">
    <xf numFmtId="0" fontId="0" fillId="0" borderId="0" xfId="0"/>
    <xf numFmtId="0" fontId="1"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center"/>
    </xf>
    <xf numFmtId="0" fontId="1" fillId="0" borderId="1" xfId="0" applyFont="1" applyBorder="1"/>
    <xf numFmtId="4" fontId="1" fillId="0" borderId="1" xfId="0" applyNumberFormat="1" applyFont="1" applyBorder="1"/>
    <xf numFmtId="0" fontId="2" fillId="0" borderId="1" xfId="0" applyFont="1" applyBorder="1"/>
    <xf numFmtId="4" fontId="2" fillId="0" borderId="1" xfId="0" applyNumberFormat="1" applyFont="1" applyBorder="1"/>
    <xf numFmtId="0" fontId="4" fillId="3" borderId="1" xfId="1" applyFont="1" applyFill="1" applyBorder="1" applyAlignment="1">
      <alignment horizontal="center"/>
    </xf>
    <xf numFmtId="0" fontId="5" fillId="3" borderId="1" xfId="1" applyFont="1" applyFill="1" applyBorder="1" applyAlignment="1">
      <alignment horizontal="center"/>
    </xf>
    <xf numFmtId="0" fontId="5" fillId="3" borderId="1" xfId="2" applyFont="1" applyFill="1" applyBorder="1" applyAlignment="1">
      <alignment horizontal="center" textRotation="90" wrapText="1"/>
    </xf>
    <xf numFmtId="0" fontId="5" fillId="3" borderId="1" xfId="3" applyFont="1" applyFill="1" applyBorder="1" applyAlignment="1">
      <alignment horizontal="center" wrapText="1"/>
    </xf>
    <xf numFmtId="0" fontId="5" fillId="3" borderId="1" xfId="3" applyFont="1" applyFill="1" applyBorder="1" applyAlignment="1">
      <alignment horizontal="right" wrapText="1"/>
    </xf>
    <xf numFmtId="0" fontId="3" fillId="4" borderId="0" xfId="1" applyFont="1" applyFill="1" applyAlignment="1"/>
    <xf numFmtId="0" fontId="3" fillId="4" borderId="0" xfId="1" applyFont="1" applyFill="1" applyAlignment="1">
      <alignment horizontal="right"/>
    </xf>
    <xf numFmtId="0" fontId="9" fillId="5" borderId="1" xfId="3" applyFont="1" applyFill="1" applyBorder="1" applyAlignment="1">
      <alignment horizontal="center" textRotation="90" wrapText="1"/>
    </xf>
    <xf numFmtId="0" fontId="9" fillId="3" borderId="1" xfId="3" applyFont="1" applyFill="1" applyBorder="1" applyAlignment="1">
      <alignment horizontal="center" textRotation="90" wrapText="1"/>
    </xf>
    <xf numFmtId="0" fontId="6" fillId="0" borderId="0" xfId="5" applyFont="1"/>
    <xf numFmtId="0" fontId="10" fillId="0" borderId="0" xfId="5" applyFont="1"/>
    <xf numFmtId="0" fontId="10" fillId="0" borderId="0" xfId="5" applyFont="1" applyAlignment="1">
      <alignment horizontal="right"/>
    </xf>
    <xf numFmtId="0" fontId="8" fillId="2" borderId="1" xfId="0" applyFont="1" applyFill="1" applyBorder="1"/>
    <xf numFmtId="0" fontId="8" fillId="2" borderId="1" xfId="0" applyFont="1" applyFill="1" applyBorder="1" applyAlignment="1">
      <alignment textRotation="90"/>
    </xf>
    <xf numFmtId="0" fontId="9" fillId="3" borderId="1" xfId="3" applyFont="1" applyFill="1" applyBorder="1" applyAlignment="1">
      <alignment horizontal="center" wrapText="1"/>
    </xf>
    <xf numFmtId="0" fontId="0" fillId="0" borderId="1" xfId="0" applyBorder="1"/>
    <xf numFmtId="0" fontId="0" fillId="0" borderId="1" xfId="0" applyBorder="1" applyAlignment="1">
      <alignment horizontal="center"/>
    </xf>
    <xf numFmtId="0" fontId="0" fillId="0" borderId="1" xfId="0" applyBorder="1" applyAlignment="1">
      <alignment horizontal="left"/>
    </xf>
    <xf numFmtId="0" fontId="3" fillId="4" borderId="1" xfId="1" applyFill="1" applyBorder="1"/>
    <xf numFmtId="0" fontId="3" fillId="4" borderId="1" xfId="1" applyFill="1" applyBorder="1" applyAlignment="1">
      <alignment horizontal="right"/>
    </xf>
    <xf numFmtId="1" fontId="3" fillId="4" borderId="1" xfId="1" applyNumberFormat="1" applyFill="1" applyBorder="1"/>
    <xf numFmtId="164" fontId="3" fillId="4" borderId="1" xfId="1" applyNumberFormat="1" applyFill="1" applyBorder="1"/>
    <xf numFmtId="0" fontId="3" fillId="4" borderId="2" xfId="1" applyFill="1" applyBorder="1"/>
    <xf numFmtId="0" fontId="3" fillId="4" borderId="2" xfId="1" applyFill="1" applyBorder="1" applyAlignment="1">
      <alignment horizontal="right"/>
    </xf>
    <xf numFmtId="1" fontId="3" fillId="4" borderId="2" xfId="1" applyNumberFormat="1" applyFill="1" applyBorder="1"/>
    <xf numFmtId="164" fontId="3" fillId="4" borderId="2" xfId="1" applyNumberFormat="1" applyFill="1" applyBorder="1"/>
    <xf numFmtId="0" fontId="3" fillId="0" borderId="1" xfId="1" applyBorder="1"/>
    <xf numFmtId="0" fontId="3" fillId="4" borderId="3" xfId="1" applyFill="1" applyBorder="1"/>
    <xf numFmtId="0" fontId="12" fillId="6" borderId="1" xfId="0" applyFont="1" applyFill="1" applyBorder="1" applyAlignment="1">
      <alignment horizontal="left" vertical="center"/>
    </xf>
    <xf numFmtId="0" fontId="12" fillId="6" borderId="4" xfId="0" applyFont="1" applyFill="1" applyBorder="1" applyAlignment="1">
      <alignment horizontal="left" vertical="center"/>
    </xf>
    <xf numFmtId="0" fontId="12" fillId="6" borderId="5" xfId="0" applyFont="1" applyFill="1" applyBorder="1" applyAlignment="1">
      <alignment horizontal="left" vertical="center"/>
    </xf>
    <xf numFmtId="0" fontId="12" fillId="6" borderId="6" xfId="0" applyFont="1" applyFill="1" applyBorder="1" applyAlignment="1">
      <alignment horizontal="left" vertical="center"/>
    </xf>
    <xf numFmtId="0" fontId="11" fillId="0" borderId="7" xfId="0" applyFont="1" applyBorder="1" applyAlignment="1">
      <alignment horizontal="left"/>
    </xf>
    <xf numFmtId="0" fontId="11" fillId="0" borderId="7" xfId="0" applyFont="1" applyBorder="1"/>
    <xf numFmtId="0" fontId="0" fillId="0" borderId="0" xfId="0" applyAlignment="1">
      <alignment horizontal="left" indent="1"/>
    </xf>
    <xf numFmtId="0" fontId="11" fillId="7" borderId="8" xfId="0" applyFont="1" applyFill="1" applyBorder="1" applyAlignment="1">
      <alignment horizontal="left"/>
    </xf>
    <xf numFmtId="0" fontId="11" fillId="7" borderId="8" xfId="0" applyFont="1" applyFill="1" applyBorder="1"/>
    <xf numFmtId="0" fontId="13" fillId="8" borderId="9" xfId="0" applyNumberFormat="1" applyFont="1" applyFill="1" applyBorder="1"/>
    <xf numFmtId="0" fontId="13" fillId="8" borderId="10" xfId="0" applyNumberFormat="1" applyFont="1" applyFill="1" applyBorder="1"/>
    <xf numFmtId="0" fontId="13" fillId="8" borderId="11" xfId="0" applyFont="1" applyFill="1" applyBorder="1" applyAlignment="1">
      <alignment horizontal="right"/>
    </xf>
    <xf numFmtId="0" fontId="0" fillId="9" borderId="12" xfId="0" applyNumberFormat="1" applyFont="1" applyFill="1" applyBorder="1"/>
    <xf numFmtId="0" fontId="0" fillId="9" borderId="13" xfId="0" applyFont="1" applyFill="1" applyBorder="1"/>
    <xf numFmtId="4" fontId="0" fillId="9" borderId="14" xfId="0" applyNumberFormat="1" applyFont="1" applyFill="1" applyBorder="1"/>
    <xf numFmtId="0" fontId="0" fillId="7" borderId="12" xfId="0" applyNumberFormat="1" applyFont="1" applyFill="1" applyBorder="1"/>
    <xf numFmtId="0" fontId="0" fillId="7" borderId="13" xfId="0" applyFont="1" applyFill="1" applyBorder="1"/>
    <xf numFmtId="4" fontId="0" fillId="7" borderId="14" xfId="0" applyNumberFormat="1" applyFont="1" applyFill="1" applyBorder="1"/>
    <xf numFmtId="0" fontId="13" fillId="8" borderId="15" xfId="0" applyFont="1" applyFill="1" applyBorder="1"/>
    <xf numFmtId="0" fontId="13" fillId="8" borderId="16" xfId="0" applyFont="1" applyFill="1" applyBorder="1"/>
    <xf numFmtId="4" fontId="13" fillId="8" borderId="17" xfId="0" applyNumberFormat="1" applyFont="1" applyFill="1" applyBorder="1"/>
    <xf numFmtId="0" fontId="13" fillId="8" borderId="18" xfId="0" applyNumberFormat="1" applyFont="1" applyFill="1" applyBorder="1"/>
    <xf numFmtId="0" fontId="13" fillId="8" borderId="19" xfId="0" applyNumberFormat="1" applyFont="1" applyFill="1" applyBorder="1"/>
    <xf numFmtId="0" fontId="13" fillId="8" borderId="20" xfId="0" applyNumberFormat="1" applyFont="1" applyFill="1" applyBorder="1"/>
    <xf numFmtId="0" fontId="0" fillId="7" borderId="18" xfId="0" applyNumberFormat="1" applyFont="1" applyFill="1" applyBorder="1"/>
    <xf numFmtId="0" fontId="0" fillId="7" borderId="19" xfId="0" applyFont="1" applyFill="1" applyBorder="1"/>
    <xf numFmtId="4" fontId="0" fillId="7" borderId="20" xfId="0" applyNumberFormat="1" applyFont="1" applyFill="1" applyBorder="1"/>
    <xf numFmtId="0" fontId="0" fillId="0" borderId="18" xfId="0" applyNumberFormat="1" applyFont="1" applyBorder="1"/>
    <xf numFmtId="0" fontId="0" fillId="0" borderId="19" xfId="0" applyFont="1" applyBorder="1"/>
    <xf numFmtId="4" fontId="0" fillId="0" borderId="20" xfId="0" applyNumberFormat="1" applyFont="1" applyBorder="1"/>
    <xf numFmtId="0" fontId="14" fillId="0" borderId="21" xfId="0" applyFont="1" applyBorder="1"/>
    <xf numFmtId="0" fontId="14" fillId="0" borderId="22" xfId="0" applyFont="1" applyBorder="1"/>
    <xf numFmtId="4" fontId="14" fillId="0" borderId="23" xfId="0" applyNumberFormat="1" applyFont="1" applyBorder="1"/>
    <xf numFmtId="2" fontId="3" fillId="4" borderId="1" xfId="1" applyNumberFormat="1" applyFill="1" applyBorder="1"/>
    <xf numFmtId="165" fontId="3" fillId="4" borderId="1" xfId="1" applyNumberFormat="1" applyFill="1" applyBorder="1"/>
    <xf numFmtId="165" fontId="3" fillId="4" borderId="2" xfId="1" applyNumberFormat="1" applyFill="1" applyBorder="1"/>
    <xf numFmtId="2" fontId="3" fillId="4" borderId="2" xfId="1" applyNumberFormat="1" applyFill="1" applyBorder="1"/>
    <xf numFmtId="164" fontId="3" fillId="10" borderId="1" xfId="1" applyNumberFormat="1" applyFill="1" applyBorder="1"/>
    <xf numFmtId="0" fontId="3" fillId="10" borderId="1" xfId="1" applyFill="1" applyBorder="1"/>
    <xf numFmtId="164" fontId="3" fillId="10" borderId="2" xfId="1" applyNumberFormat="1" applyFill="1" applyBorder="1"/>
    <xf numFmtId="0" fontId="0" fillId="0" borderId="0" xfId="5" applyFont="1"/>
    <xf numFmtId="0" fontId="10" fillId="0" borderId="25" xfId="5" applyFont="1" applyBorder="1" applyAlignment="1"/>
    <xf numFmtId="164" fontId="3" fillId="10" borderId="24" xfId="1" applyNumberFormat="1" applyFont="1" applyFill="1" applyBorder="1" applyAlignment="1">
      <alignment horizontal="center"/>
    </xf>
    <xf numFmtId="0" fontId="3" fillId="10" borderId="24" xfId="1" applyFont="1" applyFill="1" applyBorder="1" applyAlignment="1">
      <alignment horizontal="center"/>
    </xf>
    <xf numFmtId="0" fontId="11" fillId="0" borderId="25" xfId="5" applyFont="1" applyBorder="1" applyAlignment="1">
      <alignment horizontal="center"/>
    </xf>
    <xf numFmtId="0" fontId="14" fillId="0" borderId="1" xfId="0" applyFont="1" applyBorder="1" applyAlignment="1">
      <alignment horizontal="right"/>
    </xf>
    <xf numFmtId="4" fontId="14" fillId="0" borderId="1" xfId="0" applyNumberFormat="1" applyFont="1" applyBorder="1"/>
  </cellXfs>
  <cellStyles count="6">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31"/>
  <sheetViews>
    <sheetView showGridLines="0" tabSelected="1" topLeftCell="E1" zoomScale="120" zoomScaleNormal="120" workbookViewId="0">
      <selection activeCell="T31" sqref="T31:U31"/>
    </sheetView>
  </sheetViews>
  <sheetFormatPr baseColWidth="10" defaultColWidth="10.33203125" defaultRowHeight="10.199999999999999" x14ac:dyDescent="0.2"/>
  <cols>
    <col min="1" max="1" width="5" style="13" customWidth="1"/>
    <col min="2" max="4" width="29.6640625" style="13" customWidth="1"/>
    <col min="5" max="5" width="40.6640625" style="13" customWidth="1"/>
    <col min="6" max="6" width="9.109375" style="13" customWidth="1"/>
    <col min="7" max="7" width="9.6640625" style="13" customWidth="1"/>
    <col min="8" max="8" width="14.44140625" style="13" customWidth="1"/>
    <col min="9" max="9" width="5.88671875" style="13" customWidth="1"/>
    <col min="10" max="10" width="25.6640625" style="13" customWidth="1"/>
    <col min="11" max="12" width="5.109375" style="13" customWidth="1"/>
    <col min="13" max="13" width="5.33203125" style="14" customWidth="1"/>
    <col min="14" max="14" width="4.88671875" style="13" customWidth="1"/>
    <col min="15" max="15" width="5.33203125" style="14" customWidth="1"/>
    <col min="16" max="16" width="4.88671875" style="13" customWidth="1"/>
    <col min="17" max="17" width="3.5546875" style="14" customWidth="1"/>
    <col min="18" max="18" width="3.5546875" style="13" customWidth="1"/>
    <col min="19" max="21" width="5.109375" style="13" customWidth="1"/>
    <col min="22" max="16384" width="10.33203125" style="13"/>
  </cols>
  <sheetData>
    <row r="1" spans="1:21" ht="45" x14ac:dyDescent="0.2">
      <c r="A1" s="8" t="s">
        <v>6</v>
      </c>
      <c r="B1" s="9" t="s">
        <v>7</v>
      </c>
      <c r="C1" s="9" t="s">
        <v>8</v>
      </c>
      <c r="D1" s="9" t="s">
        <v>9</v>
      </c>
      <c r="E1" s="9" t="s">
        <v>10</v>
      </c>
      <c r="F1" s="9" t="s">
        <v>11</v>
      </c>
      <c r="G1" s="9" t="s">
        <v>12</v>
      </c>
      <c r="H1" s="9" t="s">
        <v>13</v>
      </c>
      <c r="I1" s="8" t="s">
        <v>14</v>
      </c>
      <c r="J1" s="9" t="s">
        <v>15</v>
      </c>
      <c r="K1" s="8" t="s">
        <v>16</v>
      </c>
      <c r="L1" s="9" t="s">
        <v>17</v>
      </c>
      <c r="M1" s="10" t="s">
        <v>18</v>
      </c>
      <c r="N1" s="11" t="s">
        <v>19</v>
      </c>
      <c r="O1" s="12" t="s">
        <v>20</v>
      </c>
      <c r="P1" s="11" t="s">
        <v>21</v>
      </c>
      <c r="Q1" s="12" t="s">
        <v>22</v>
      </c>
      <c r="R1" s="11" t="s">
        <v>23</v>
      </c>
      <c r="S1" s="11" t="s">
        <v>24</v>
      </c>
      <c r="T1" s="11" t="s">
        <v>25</v>
      </c>
      <c r="U1" s="11" t="s">
        <v>26</v>
      </c>
    </row>
    <row r="2" spans="1:21" x14ac:dyDescent="0.2">
      <c r="A2" s="26" t="s">
        <v>64</v>
      </c>
      <c r="B2" s="26" t="s">
        <v>65</v>
      </c>
      <c r="C2" s="26" t="s">
        <v>66</v>
      </c>
      <c r="D2" s="26" t="s">
        <v>70</v>
      </c>
      <c r="E2" s="26" t="s">
        <v>71</v>
      </c>
      <c r="F2" s="26" t="s">
        <v>58</v>
      </c>
      <c r="G2" s="26" t="s">
        <v>67</v>
      </c>
      <c r="H2" s="26" t="s">
        <v>30</v>
      </c>
      <c r="I2" s="26" t="s">
        <v>64</v>
      </c>
      <c r="J2" s="26" t="s">
        <v>65</v>
      </c>
      <c r="K2" s="29">
        <v>1</v>
      </c>
      <c r="L2" s="26" t="s">
        <v>68</v>
      </c>
      <c r="M2" s="26">
        <v>2016</v>
      </c>
      <c r="N2" s="26" t="s">
        <v>36</v>
      </c>
      <c r="O2" s="27" t="s">
        <v>49</v>
      </c>
      <c r="P2" s="26" t="s">
        <v>29</v>
      </c>
      <c r="Q2" s="27" t="s">
        <v>29</v>
      </c>
      <c r="R2" s="28">
        <v>70</v>
      </c>
      <c r="S2" s="29">
        <v>0.7</v>
      </c>
      <c r="T2" s="73">
        <v>0.3</v>
      </c>
      <c r="U2" s="29">
        <v>0</v>
      </c>
    </row>
    <row r="3" spans="1:21" x14ac:dyDescent="0.2">
      <c r="A3" s="26" t="s">
        <v>64</v>
      </c>
      <c r="B3" s="26" t="s">
        <v>65</v>
      </c>
      <c r="C3" s="26" t="s">
        <v>66</v>
      </c>
      <c r="D3" s="26" t="s">
        <v>72</v>
      </c>
      <c r="E3" s="26" t="s">
        <v>73</v>
      </c>
      <c r="F3" s="26" t="s">
        <v>74</v>
      </c>
      <c r="G3" s="26" t="s">
        <v>67</v>
      </c>
      <c r="H3" s="26" t="s">
        <v>30</v>
      </c>
      <c r="I3" s="26" t="s">
        <v>64</v>
      </c>
      <c r="J3" s="26" t="s">
        <v>65</v>
      </c>
      <c r="K3" s="29">
        <v>1</v>
      </c>
      <c r="L3" s="26" t="s">
        <v>68</v>
      </c>
      <c r="M3" s="26">
        <v>2016</v>
      </c>
      <c r="N3" s="26" t="s">
        <v>36</v>
      </c>
      <c r="O3" s="27" t="s">
        <v>49</v>
      </c>
      <c r="P3" s="26" t="s">
        <v>29</v>
      </c>
      <c r="Q3" s="27" t="s">
        <v>29</v>
      </c>
      <c r="R3" s="28">
        <v>70</v>
      </c>
      <c r="S3" s="29">
        <v>0.7</v>
      </c>
      <c r="T3" s="73">
        <v>0.3</v>
      </c>
      <c r="U3" s="29">
        <v>0</v>
      </c>
    </row>
    <row r="4" spans="1:21" x14ac:dyDescent="0.2">
      <c r="A4" s="26" t="s">
        <v>45</v>
      </c>
      <c r="B4" s="26" t="s">
        <v>46</v>
      </c>
      <c r="C4" s="26" t="s">
        <v>47</v>
      </c>
      <c r="D4" s="26" t="s">
        <v>86</v>
      </c>
      <c r="E4" s="26" t="s">
        <v>87</v>
      </c>
      <c r="F4" s="26" t="s">
        <v>39</v>
      </c>
      <c r="G4" s="26" t="s">
        <v>48</v>
      </c>
      <c r="H4" s="26" t="s">
        <v>30</v>
      </c>
      <c r="I4" s="26" t="s">
        <v>40</v>
      </c>
      <c r="J4" s="26" t="s">
        <v>41</v>
      </c>
      <c r="K4" s="29">
        <v>1</v>
      </c>
      <c r="L4" s="26" t="s">
        <v>42</v>
      </c>
      <c r="M4" s="26">
        <v>2016</v>
      </c>
      <c r="N4" s="26" t="s">
        <v>36</v>
      </c>
      <c r="O4" s="27" t="s">
        <v>49</v>
      </c>
      <c r="P4" s="26" t="s">
        <v>28</v>
      </c>
      <c r="Q4" s="27" t="s">
        <v>38</v>
      </c>
      <c r="R4" s="28">
        <v>50</v>
      </c>
      <c r="S4" s="29">
        <v>0.5</v>
      </c>
      <c r="T4" s="73">
        <v>0.3</v>
      </c>
      <c r="U4" s="29">
        <v>0.2</v>
      </c>
    </row>
    <row r="5" spans="1:21" x14ac:dyDescent="0.2">
      <c r="A5" s="26" t="s">
        <v>64</v>
      </c>
      <c r="B5" s="26" t="s">
        <v>65</v>
      </c>
      <c r="C5" s="26" t="s">
        <v>66</v>
      </c>
      <c r="D5" s="26" t="s">
        <v>75</v>
      </c>
      <c r="E5" s="26" t="s">
        <v>71</v>
      </c>
      <c r="F5" s="26" t="s">
        <v>58</v>
      </c>
      <c r="G5" s="26" t="s">
        <v>67</v>
      </c>
      <c r="H5" s="26" t="s">
        <v>30</v>
      </c>
      <c r="I5" s="26" t="s">
        <v>64</v>
      </c>
      <c r="J5" s="26" t="s">
        <v>65</v>
      </c>
      <c r="K5" s="29">
        <v>1</v>
      </c>
      <c r="L5" s="26" t="s">
        <v>68</v>
      </c>
      <c r="M5" s="26">
        <v>2016</v>
      </c>
      <c r="N5" s="26" t="s">
        <v>36</v>
      </c>
      <c r="O5" s="27" t="s">
        <v>49</v>
      </c>
      <c r="P5" s="26" t="s">
        <v>29</v>
      </c>
      <c r="Q5" s="27" t="s">
        <v>29</v>
      </c>
      <c r="R5" s="28">
        <v>70</v>
      </c>
      <c r="S5" s="29">
        <v>0.7</v>
      </c>
      <c r="T5" s="73">
        <v>0.3</v>
      </c>
      <c r="U5" s="29">
        <v>0</v>
      </c>
    </row>
    <row r="6" spans="1:21" x14ac:dyDescent="0.2">
      <c r="A6" s="26" t="s">
        <v>50</v>
      </c>
      <c r="B6" s="26" t="s">
        <v>51</v>
      </c>
      <c r="C6" s="26" t="s">
        <v>52</v>
      </c>
      <c r="D6" s="26" t="s">
        <v>60</v>
      </c>
      <c r="E6" s="26" t="s">
        <v>61</v>
      </c>
      <c r="F6" s="26" t="s">
        <v>62</v>
      </c>
      <c r="G6" s="26" t="s">
        <v>85</v>
      </c>
      <c r="H6" s="26" t="s">
        <v>27</v>
      </c>
      <c r="I6" s="26" t="s">
        <v>53</v>
      </c>
      <c r="J6" s="26" t="s">
        <v>54</v>
      </c>
      <c r="K6" s="29">
        <v>0.5</v>
      </c>
      <c r="L6" s="26" t="s">
        <v>55</v>
      </c>
      <c r="M6" s="26">
        <v>2017</v>
      </c>
      <c r="N6" s="26" t="s">
        <v>36</v>
      </c>
      <c r="O6" s="27" t="s">
        <v>56</v>
      </c>
      <c r="P6" s="26" t="s">
        <v>29</v>
      </c>
      <c r="Q6" s="27" t="s">
        <v>29</v>
      </c>
      <c r="R6" s="28">
        <v>30</v>
      </c>
      <c r="S6" s="69">
        <v>0.15</v>
      </c>
      <c r="T6" s="73">
        <v>0.35</v>
      </c>
      <c r="U6" s="29">
        <v>0</v>
      </c>
    </row>
    <row r="7" spans="1:21" x14ac:dyDescent="0.2">
      <c r="A7" s="26" t="s">
        <v>50</v>
      </c>
      <c r="B7" s="26" t="s">
        <v>51</v>
      </c>
      <c r="C7" s="26" t="s">
        <v>52</v>
      </c>
      <c r="D7" s="26" t="s">
        <v>76</v>
      </c>
      <c r="E7" s="26" t="s">
        <v>77</v>
      </c>
      <c r="F7" s="26" t="s">
        <v>63</v>
      </c>
      <c r="G7" s="26" t="s">
        <v>112</v>
      </c>
      <c r="H7" s="26" t="s">
        <v>30</v>
      </c>
      <c r="I7" s="26" t="s">
        <v>64</v>
      </c>
      <c r="J7" s="26" t="s">
        <v>65</v>
      </c>
      <c r="K7" s="70">
        <v>1</v>
      </c>
      <c r="L7" s="26" t="s">
        <v>68</v>
      </c>
      <c r="M7" s="26">
        <v>2018</v>
      </c>
      <c r="N7" s="26" t="s">
        <v>36</v>
      </c>
      <c r="O7" s="27" t="s">
        <v>43</v>
      </c>
      <c r="P7" s="26" t="s">
        <v>29</v>
      </c>
      <c r="Q7" s="27" t="s">
        <v>29</v>
      </c>
      <c r="R7" s="28">
        <v>90</v>
      </c>
      <c r="S7" s="29">
        <v>0.9</v>
      </c>
      <c r="T7" s="73">
        <v>0.1</v>
      </c>
      <c r="U7" s="29">
        <v>0</v>
      </c>
    </row>
    <row r="8" spans="1:21" x14ac:dyDescent="0.2">
      <c r="A8" s="26" t="s">
        <v>50</v>
      </c>
      <c r="B8" s="26" t="s">
        <v>51</v>
      </c>
      <c r="C8" s="26" t="s">
        <v>52</v>
      </c>
      <c r="D8" s="26" t="s">
        <v>78</v>
      </c>
      <c r="E8" s="26" t="s">
        <v>79</v>
      </c>
      <c r="F8" s="26" t="s">
        <v>57</v>
      </c>
      <c r="G8" s="26" t="s">
        <v>112</v>
      </c>
      <c r="H8" s="26" t="s">
        <v>30</v>
      </c>
      <c r="I8" s="26" t="s">
        <v>64</v>
      </c>
      <c r="J8" s="26" t="s">
        <v>65</v>
      </c>
      <c r="K8" s="70">
        <v>1</v>
      </c>
      <c r="L8" s="26" t="s">
        <v>68</v>
      </c>
      <c r="M8" s="26">
        <v>2018</v>
      </c>
      <c r="N8" s="26" t="s">
        <v>36</v>
      </c>
      <c r="O8" s="27" t="s">
        <v>43</v>
      </c>
      <c r="P8" s="26" t="s">
        <v>29</v>
      </c>
      <c r="Q8" s="27" t="s">
        <v>29</v>
      </c>
      <c r="R8" s="28">
        <v>90</v>
      </c>
      <c r="S8" s="29">
        <v>0.9</v>
      </c>
      <c r="T8" s="73">
        <v>0.1</v>
      </c>
      <c r="U8" s="29">
        <v>0</v>
      </c>
    </row>
    <row r="9" spans="1:21" x14ac:dyDescent="0.2">
      <c r="A9" s="26" t="s">
        <v>50</v>
      </c>
      <c r="B9" s="26" t="s">
        <v>51</v>
      </c>
      <c r="C9" s="26" t="s">
        <v>52</v>
      </c>
      <c r="D9" s="26" t="s">
        <v>80</v>
      </c>
      <c r="E9" s="26" t="s">
        <v>81</v>
      </c>
      <c r="F9" s="26" t="s">
        <v>82</v>
      </c>
      <c r="G9" s="26" t="s">
        <v>67</v>
      </c>
      <c r="H9" s="26" t="s">
        <v>30</v>
      </c>
      <c r="I9" s="26" t="s">
        <v>64</v>
      </c>
      <c r="J9" s="26" t="s">
        <v>65</v>
      </c>
      <c r="K9" s="70">
        <v>1</v>
      </c>
      <c r="L9" s="26" t="s">
        <v>68</v>
      </c>
      <c r="M9" s="26">
        <v>2018</v>
      </c>
      <c r="N9" s="26" t="s">
        <v>36</v>
      </c>
      <c r="O9" s="27" t="s">
        <v>49</v>
      </c>
      <c r="P9" s="26" t="s">
        <v>29</v>
      </c>
      <c r="Q9" s="27" t="s">
        <v>29</v>
      </c>
      <c r="R9" s="28">
        <v>70</v>
      </c>
      <c r="S9" s="29">
        <v>0.7</v>
      </c>
      <c r="T9" s="73">
        <v>0.3</v>
      </c>
      <c r="U9" s="29">
        <v>0</v>
      </c>
    </row>
    <row r="10" spans="1:21" x14ac:dyDescent="0.2">
      <c r="A10" s="26" t="s">
        <v>50</v>
      </c>
      <c r="B10" s="26" t="s">
        <v>51</v>
      </c>
      <c r="C10" s="26" t="s">
        <v>52</v>
      </c>
      <c r="D10" s="26" t="s">
        <v>83</v>
      </c>
      <c r="E10" s="26" t="s">
        <v>142</v>
      </c>
      <c r="F10" s="26" t="s">
        <v>84</v>
      </c>
      <c r="G10" s="26" t="s">
        <v>112</v>
      </c>
      <c r="H10" s="26" t="s">
        <v>30</v>
      </c>
      <c r="I10" s="26" t="s">
        <v>64</v>
      </c>
      <c r="J10" s="26" t="s">
        <v>65</v>
      </c>
      <c r="K10" s="70">
        <v>1</v>
      </c>
      <c r="L10" s="26" t="s">
        <v>68</v>
      </c>
      <c r="M10" s="26">
        <v>2018</v>
      </c>
      <c r="N10" s="26" t="s">
        <v>36</v>
      </c>
      <c r="O10" s="27" t="s">
        <v>43</v>
      </c>
      <c r="P10" s="26" t="s">
        <v>29</v>
      </c>
      <c r="Q10" s="27" t="s">
        <v>29</v>
      </c>
      <c r="R10" s="28">
        <v>90</v>
      </c>
      <c r="S10" s="29">
        <v>0.9</v>
      </c>
      <c r="T10" s="73">
        <v>0.1</v>
      </c>
      <c r="U10" s="29">
        <v>0</v>
      </c>
    </row>
    <row r="11" spans="1:21" x14ac:dyDescent="0.2">
      <c r="A11" s="30" t="s">
        <v>50</v>
      </c>
      <c r="B11" s="30" t="s">
        <v>51</v>
      </c>
      <c r="C11" s="30" t="s">
        <v>52</v>
      </c>
      <c r="D11" s="30" t="s">
        <v>143</v>
      </c>
      <c r="E11" s="30" t="s">
        <v>144</v>
      </c>
      <c r="F11" s="30" t="s">
        <v>145</v>
      </c>
      <c r="G11" s="30" t="s">
        <v>85</v>
      </c>
      <c r="H11" s="30" t="s">
        <v>27</v>
      </c>
      <c r="I11" s="30" t="s">
        <v>53</v>
      </c>
      <c r="J11" s="30" t="s">
        <v>54</v>
      </c>
      <c r="K11" s="71">
        <v>0.5</v>
      </c>
      <c r="L11" s="30" t="s">
        <v>55</v>
      </c>
      <c r="M11" s="30">
        <v>2019</v>
      </c>
      <c r="N11" s="30" t="s">
        <v>36</v>
      </c>
      <c r="O11" s="31" t="s">
        <v>56</v>
      </c>
      <c r="P11" s="30" t="s">
        <v>29</v>
      </c>
      <c r="Q11" s="31" t="s">
        <v>29</v>
      </c>
      <c r="R11" s="32">
        <v>30</v>
      </c>
      <c r="S11" s="72">
        <v>0.15</v>
      </c>
      <c r="T11" s="75">
        <v>0.35</v>
      </c>
      <c r="U11" s="33">
        <v>0</v>
      </c>
    </row>
    <row r="12" spans="1:21" x14ac:dyDescent="0.2">
      <c r="A12" s="30" t="s">
        <v>50</v>
      </c>
      <c r="B12" s="30" t="s">
        <v>51</v>
      </c>
      <c r="C12" s="30" t="s">
        <v>52</v>
      </c>
      <c r="D12" s="30" t="s">
        <v>143</v>
      </c>
      <c r="E12" s="30" t="s">
        <v>144</v>
      </c>
      <c r="F12" s="30" t="s">
        <v>145</v>
      </c>
      <c r="G12" s="30" t="s">
        <v>59</v>
      </c>
      <c r="H12" s="30" t="s">
        <v>27</v>
      </c>
      <c r="I12" s="30" t="s">
        <v>53</v>
      </c>
      <c r="J12" s="30" t="s">
        <v>54</v>
      </c>
      <c r="K12" s="71">
        <v>0.5</v>
      </c>
      <c r="L12" s="30" t="s">
        <v>55</v>
      </c>
      <c r="M12" s="30">
        <v>2019</v>
      </c>
      <c r="N12" s="30" t="s">
        <v>36</v>
      </c>
      <c r="O12" s="31" t="s">
        <v>44</v>
      </c>
      <c r="P12" s="30" t="s">
        <v>35</v>
      </c>
      <c r="Q12" s="31" t="s">
        <v>43</v>
      </c>
      <c r="R12" s="32">
        <v>50</v>
      </c>
      <c r="S12" s="72">
        <v>0.25</v>
      </c>
      <c r="T12" s="75">
        <v>0.2</v>
      </c>
      <c r="U12" s="33">
        <v>0.05</v>
      </c>
    </row>
    <row r="13" spans="1:21" ht="10.8" thickBot="1" x14ac:dyDescent="0.25">
      <c r="A13" s="26" t="s">
        <v>50</v>
      </c>
      <c r="B13" s="26" t="s">
        <v>51</v>
      </c>
      <c r="C13" s="26" t="s">
        <v>52</v>
      </c>
      <c r="D13" s="26" t="s">
        <v>161</v>
      </c>
      <c r="E13" s="26" t="s">
        <v>162</v>
      </c>
      <c r="F13" s="26" t="s">
        <v>163</v>
      </c>
      <c r="G13" s="26" t="s">
        <v>164</v>
      </c>
      <c r="H13" s="26" t="s">
        <v>30</v>
      </c>
      <c r="I13" s="26" t="s">
        <v>53</v>
      </c>
      <c r="J13" s="26" t="s">
        <v>54</v>
      </c>
      <c r="K13" s="34">
        <v>1</v>
      </c>
      <c r="L13" s="34" t="s">
        <v>55</v>
      </c>
      <c r="M13" s="35">
        <v>2019</v>
      </c>
      <c r="N13" s="26" t="s">
        <v>36</v>
      </c>
      <c r="O13" s="27" t="s">
        <v>37</v>
      </c>
      <c r="P13" s="26" t="s">
        <v>29</v>
      </c>
      <c r="Q13" s="27" t="s">
        <v>29</v>
      </c>
      <c r="R13" s="26">
        <v>50</v>
      </c>
      <c r="S13" s="69">
        <v>0.5</v>
      </c>
      <c r="T13" s="74">
        <v>0.5</v>
      </c>
      <c r="U13" s="26">
        <v>0</v>
      </c>
    </row>
    <row r="14" spans="1:21" ht="10.8" thickBot="1" x14ac:dyDescent="0.25">
      <c r="A14" s="36" t="s">
        <v>50</v>
      </c>
      <c r="B14" s="36" t="s">
        <v>51</v>
      </c>
      <c r="C14" s="36" t="s">
        <v>52</v>
      </c>
      <c r="D14" s="36" t="s">
        <v>165</v>
      </c>
      <c r="E14" s="36" t="s">
        <v>166</v>
      </c>
      <c r="F14" s="36" t="s">
        <v>167</v>
      </c>
      <c r="G14" s="37" t="s">
        <v>168</v>
      </c>
      <c r="H14" s="38" t="s">
        <v>27</v>
      </c>
      <c r="I14" s="38" t="s">
        <v>169</v>
      </c>
      <c r="J14" s="39" t="s">
        <v>170</v>
      </c>
      <c r="K14" s="34">
        <v>0.5</v>
      </c>
      <c r="L14" s="34" t="s">
        <v>151</v>
      </c>
      <c r="M14" s="26">
        <v>2020</v>
      </c>
      <c r="N14" s="26" t="s">
        <v>36</v>
      </c>
      <c r="O14" s="27" t="s">
        <v>37</v>
      </c>
      <c r="P14" s="26" t="s">
        <v>29</v>
      </c>
      <c r="Q14" s="27" t="s">
        <v>29</v>
      </c>
      <c r="R14" s="26">
        <v>50</v>
      </c>
      <c r="S14" s="26">
        <v>0.25</v>
      </c>
      <c r="T14" s="74">
        <v>0.25</v>
      </c>
      <c r="U14" s="26">
        <v>0</v>
      </c>
    </row>
    <row r="15" spans="1:21" ht="10.8" thickBot="1" x14ac:dyDescent="0.25">
      <c r="A15" s="36" t="s">
        <v>32</v>
      </c>
      <c r="B15" s="36" t="s">
        <v>33</v>
      </c>
      <c r="C15" s="36" t="s">
        <v>34</v>
      </c>
      <c r="D15" s="36" t="s">
        <v>171</v>
      </c>
      <c r="E15" s="36" t="s">
        <v>172</v>
      </c>
      <c r="F15" s="36" t="s">
        <v>173</v>
      </c>
      <c r="G15" s="37" t="s">
        <v>59</v>
      </c>
      <c r="H15" s="38" t="s">
        <v>30</v>
      </c>
      <c r="I15" s="38" t="s">
        <v>53</v>
      </c>
      <c r="J15" s="39" t="s">
        <v>54</v>
      </c>
      <c r="K15" s="34">
        <v>1</v>
      </c>
      <c r="L15" s="34" t="s">
        <v>55</v>
      </c>
      <c r="M15" s="26">
        <v>2020</v>
      </c>
      <c r="N15" s="26" t="s">
        <v>36</v>
      </c>
      <c r="O15" s="27" t="s">
        <v>44</v>
      </c>
      <c r="P15" s="26" t="s">
        <v>35</v>
      </c>
      <c r="Q15" s="27" t="s">
        <v>43</v>
      </c>
      <c r="R15" s="26">
        <v>50</v>
      </c>
      <c r="S15" s="26">
        <v>0.5</v>
      </c>
      <c r="T15" s="74">
        <v>0.4</v>
      </c>
      <c r="U15" s="26">
        <v>0.1</v>
      </c>
    </row>
    <row r="16" spans="1:21" x14ac:dyDescent="0.2">
      <c r="A16" s="26" t="s">
        <v>50</v>
      </c>
      <c r="B16" s="26" t="s">
        <v>51</v>
      </c>
      <c r="C16" s="26" t="s">
        <v>52</v>
      </c>
      <c r="D16" s="26" t="s">
        <v>215</v>
      </c>
      <c r="E16" s="26" t="s">
        <v>216</v>
      </c>
      <c r="F16" s="26" t="s">
        <v>217</v>
      </c>
      <c r="G16" s="26" t="s">
        <v>168</v>
      </c>
      <c r="H16" s="26" t="s">
        <v>27</v>
      </c>
      <c r="I16" s="26" t="s">
        <v>169</v>
      </c>
      <c r="J16" s="26" t="s">
        <v>170</v>
      </c>
      <c r="K16" s="34">
        <v>0.5</v>
      </c>
      <c r="L16" s="34" t="s">
        <v>151</v>
      </c>
      <c r="M16" s="26">
        <v>2021</v>
      </c>
      <c r="N16" s="26" t="s">
        <v>36</v>
      </c>
      <c r="O16" s="27" t="s">
        <v>37</v>
      </c>
      <c r="P16" s="26" t="s">
        <v>29</v>
      </c>
      <c r="Q16" s="27" t="s">
        <v>29</v>
      </c>
      <c r="R16" s="26">
        <v>50</v>
      </c>
      <c r="S16" s="26">
        <v>0.25</v>
      </c>
      <c r="T16" s="74">
        <v>0.25</v>
      </c>
      <c r="U16" s="26">
        <v>0</v>
      </c>
    </row>
    <row r="17" spans="1:21" x14ac:dyDescent="0.2">
      <c r="A17" s="26" t="s">
        <v>50</v>
      </c>
      <c r="B17" s="26" t="s">
        <v>51</v>
      </c>
      <c r="C17" s="26" t="s">
        <v>52</v>
      </c>
      <c r="D17" s="26" t="s">
        <v>218</v>
      </c>
      <c r="E17" s="26" t="s">
        <v>219</v>
      </c>
      <c r="F17" s="26" t="s">
        <v>220</v>
      </c>
      <c r="G17" s="26" t="s">
        <v>69</v>
      </c>
      <c r="H17" s="26" t="s">
        <v>30</v>
      </c>
      <c r="I17" s="26" t="s">
        <v>64</v>
      </c>
      <c r="J17" s="26" t="s">
        <v>65</v>
      </c>
      <c r="K17" s="34">
        <v>1</v>
      </c>
      <c r="L17" s="34" t="s">
        <v>68</v>
      </c>
      <c r="M17" s="26">
        <v>2021</v>
      </c>
      <c r="N17" s="26" t="s">
        <v>36</v>
      </c>
      <c r="O17" s="27" t="s">
        <v>43</v>
      </c>
      <c r="P17" s="26" t="s">
        <v>29</v>
      </c>
      <c r="Q17" s="27" t="s">
        <v>29</v>
      </c>
      <c r="R17" s="26">
        <v>90</v>
      </c>
      <c r="S17" s="26">
        <v>0.9</v>
      </c>
      <c r="T17" s="74">
        <v>0.1</v>
      </c>
      <c r="U17" s="26">
        <v>0</v>
      </c>
    </row>
    <row r="18" spans="1:21" x14ac:dyDescent="0.2">
      <c r="A18" s="26" t="s">
        <v>32</v>
      </c>
      <c r="B18" s="26" t="s">
        <v>33</v>
      </c>
      <c r="C18" s="26" t="s">
        <v>34</v>
      </c>
      <c r="D18" s="26" t="s">
        <v>221</v>
      </c>
      <c r="E18" s="26" t="s">
        <v>222</v>
      </c>
      <c r="F18" s="26" t="s">
        <v>223</v>
      </c>
      <c r="G18" s="26" t="s">
        <v>59</v>
      </c>
      <c r="H18" s="26" t="s">
        <v>30</v>
      </c>
      <c r="I18" s="26" t="s">
        <v>53</v>
      </c>
      <c r="J18" s="26" t="s">
        <v>54</v>
      </c>
      <c r="K18" s="34">
        <v>1</v>
      </c>
      <c r="L18" s="34" t="s">
        <v>55</v>
      </c>
      <c r="M18" s="26">
        <v>2021</v>
      </c>
      <c r="N18" s="26" t="s">
        <v>36</v>
      </c>
      <c r="O18" s="27" t="s">
        <v>44</v>
      </c>
      <c r="P18" s="26" t="s">
        <v>35</v>
      </c>
      <c r="Q18" s="27" t="s">
        <v>43</v>
      </c>
      <c r="R18" s="26">
        <v>50</v>
      </c>
      <c r="S18" s="26">
        <v>0.5</v>
      </c>
      <c r="T18" s="74">
        <v>0.4</v>
      </c>
      <c r="U18" s="26">
        <v>0.1</v>
      </c>
    </row>
    <row r="19" spans="1:21" x14ac:dyDescent="0.2">
      <c r="A19" s="26" t="s">
        <v>224</v>
      </c>
      <c r="B19" s="26" t="s">
        <v>225</v>
      </c>
      <c r="C19" s="26" t="s">
        <v>226</v>
      </c>
      <c r="D19" s="26" t="s">
        <v>227</v>
      </c>
      <c r="E19" s="26" t="s">
        <v>228</v>
      </c>
      <c r="F19" s="26" t="s">
        <v>39</v>
      </c>
      <c r="G19" s="26" t="s">
        <v>229</v>
      </c>
      <c r="H19" s="26" t="s">
        <v>27</v>
      </c>
      <c r="I19" s="26" t="s">
        <v>40</v>
      </c>
      <c r="J19" s="26" t="s">
        <v>41</v>
      </c>
      <c r="K19" s="29">
        <v>0.5</v>
      </c>
      <c r="L19" s="26" t="s">
        <v>42</v>
      </c>
      <c r="M19" s="26">
        <v>2016</v>
      </c>
      <c r="N19" s="26" t="s">
        <v>28</v>
      </c>
      <c r="O19" s="27" t="s">
        <v>38</v>
      </c>
      <c r="P19" s="26" t="s">
        <v>36</v>
      </c>
      <c r="Q19" s="27" t="s">
        <v>49</v>
      </c>
      <c r="R19" s="28">
        <v>50</v>
      </c>
      <c r="S19" s="29">
        <v>0.25</v>
      </c>
      <c r="T19" s="29">
        <v>0.1</v>
      </c>
      <c r="U19" s="73">
        <v>0.15</v>
      </c>
    </row>
    <row r="20" spans="1:21" x14ac:dyDescent="0.2">
      <c r="A20" s="26" t="s">
        <v>32</v>
      </c>
      <c r="B20" s="26" t="s">
        <v>33</v>
      </c>
      <c r="C20" s="26" t="s">
        <v>34</v>
      </c>
      <c r="D20" s="26" t="s">
        <v>230</v>
      </c>
      <c r="E20" s="26" t="s">
        <v>231</v>
      </c>
      <c r="F20" s="26" t="s">
        <v>232</v>
      </c>
      <c r="G20" s="26" t="s">
        <v>59</v>
      </c>
      <c r="H20" s="26" t="s">
        <v>30</v>
      </c>
      <c r="I20" s="26" t="s">
        <v>53</v>
      </c>
      <c r="J20" s="26" t="s">
        <v>54</v>
      </c>
      <c r="K20" s="29">
        <v>1</v>
      </c>
      <c r="L20" s="26" t="s">
        <v>55</v>
      </c>
      <c r="M20" s="26">
        <v>2016</v>
      </c>
      <c r="N20" s="26" t="s">
        <v>35</v>
      </c>
      <c r="O20" s="27" t="s">
        <v>43</v>
      </c>
      <c r="P20" s="26" t="s">
        <v>36</v>
      </c>
      <c r="Q20" s="27" t="s">
        <v>44</v>
      </c>
      <c r="R20" s="28">
        <v>50</v>
      </c>
      <c r="S20" s="69">
        <v>0.5</v>
      </c>
      <c r="T20" s="29">
        <v>0.1</v>
      </c>
      <c r="U20" s="73">
        <v>0.4</v>
      </c>
    </row>
    <row r="21" spans="1:21" x14ac:dyDescent="0.2">
      <c r="A21" s="26" t="s">
        <v>50</v>
      </c>
      <c r="B21" s="26" t="s">
        <v>51</v>
      </c>
      <c r="C21" s="26" t="s">
        <v>52</v>
      </c>
      <c r="D21" s="26" t="s">
        <v>60</v>
      </c>
      <c r="E21" s="26" t="s">
        <v>61</v>
      </c>
      <c r="F21" s="26" t="s">
        <v>62</v>
      </c>
      <c r="G21" s="26" t="s">
        <v>59</v>
      </c>
      <c r="H21" s="26" t="s">
        <v>27</v>
      </c>
      <c r="I21" s="26" t="s">
        <v>53</v>
      </c>
      <c r="J21" s="26" t="s">
        <v>54</v>
      </c>
      <c r="K21" s="29">
        <v>0.5</v>
      </c>
      <c r="L21" s="26" t="s">
        <v>55</v>
      </c>
      <c r="M21" s="26">
        <v>2017</v>
      </c>
      <c r="N21" s="26" t="s">
        <v>35</v>
      </c>
      <c r="O21" s="27" t="s">
        <v>43</v>
      </c>
      <c r="P21" s="26" t="s">
        <v>36</v>
      </c>
      <c r="Q21" s="27" t="s">
        <v>44</v>
      </c>
      <c r="R21" s="28">
        <v>50</v>
      </c>
      <c r="S21" s="69">
        <v>0.25</v>
      </c>
      <c r="T21" s="29">
        <v>0.05</v>
      </c>
      <c r="U21" s="73">
        <v>0.2</v>
      </c>
    </row>
    <row r="22" spans="1:21" x14ac:dyDescent="0.2">
      <c r="A22" s="26" t="s">
        <v>50</v>
      </c>
      <c r="B22" s="26" t="s">
        <v>51</v>
      </c>
      <c r="C22" s="26" t="s">
        <v>52</v>
      </c>
      <c r="D22" s="26" t="s">
        <v>233</v>
      </c>
      <c r="E22" s="26" t="s">
        <v>234</v>
      </c>
      <c r="F22" s="26" t="s">
        <v>235</v>
      </c>
      <c r="G22" s="26" t="s">
        <v>236</v>
      </c>
      <c r="H22" s="26" t="s">
        <v>27</v>
      </c>
      <c r="I22" s="26" t="s">
        <v>64</v>
      </c>
      <c r="J22" s="26" t="s">
        <v>65</v>
      </c>
      <c r="K22" s="34">
        <v>0.5</v>
      </c>
      <c r="L22" s="34" t="s">
        <v>68</v>
      </c>
      <c r="M22" s="35">
        <v>2019</v>
      </c>
      <c r="N22" s="26" t="s">
        <v>158</v>
      </c>
      <c r="O22" s="27" t="s">
        <v>49</v>
      </c>
      <c r="P22" s="26" t="s">
        <v>36</v>
      </c>
      <c r="Q22" s="27" t="s">
        <v>49</v>
      </c>
      <c r="R22" s="26">
        <v>40</v>
      </c>
      <c r="S22" s="26">
        <v>0.2</v>
      </c>
      <c r="T22" s="26">
        <v>0.15</v>
      </c>
      <c r="U22" s="74">
        <v>0.15</v>
      </c>
    </row>
    <row r="23" spans="1:21" ht="10.8" thickBot="1" x14ac:dyDescent="0.25">
      <c r="A23" s="26" t="s">
        <v>50</v>
      </c>
      <c r="B23" s="26" t="s">
        <v>51</v>
      </c>
      <c r="C23" s="26" t="s">
        <v>52</v>
      </c>
      <c r="D23" s="26" t="s">
        <v>237</v>
      </c>
      <c r="E23" s="26" t="s">
        <v>238</v>
      </c>
      <c r="F23" s="26" t="s">
        <v>239</v>
      </c>
      <c r="G23" s="26" t="s">
        <v>236</v>
      </c>
      <c r="H23" s="26" t="s">
        <v>27</v>
      </c>
      <c r="I23" s="26" t="s">
        <v>64</v>
      </c>
      <c r="J23" s="26" t="s">
        <v>65</v>
      </c>
      <c r="K23" s="34">
        <v>0.5</v>
      </c>
      <c r="L23" s="34" t="s">
        <v>68</v>
      </c>
      <c r="M23" s="35">
        <v>2019</v>
      </c>
      <c r="N23" s="26" t="s">
        <v>158</v>
      </c>
      <c r="O23" s="27" t="s">
        <v>49</v>
      </c>
      <c r="P23" s="26" t="s">
        <v>36</v>
      </c>
      <c r="Q23" s="27" t="s">
        <v>49</v>
      </c>
      <c r="R23" s="26">
        <v>40</v>
      </c>
      <c r="S23" s="26">
        <v>0.2</v>
      </c>
      <c r="T23" s="26">
        <v>0.15</v>
      </c>
      <c r="U23" s="74">
        <v>0.15</v>
      </c>
    </row>
    <row r="24" spans="1:21" ht="10.8" thickBot="1" x14ac:dyDescent="0.25">
      <c r="A24" s="36" t="s">
        <v>240</v>
      </c>
      <c r="B24" s="36" t="s">
        <v>241</v>
      </c>
      <c r="C24" s="36" t="s">
        <v>242</v>
      </c>
      <c r="D24" s="36" t="s">
        <v>243</v>
      </c>
      <c r="E24" s="36" t="s">
        <v>244</v>
      </c>
      <c r="F24" s="36" t="s">
        <v>245</v>
      </c>
      <c r="G24" s="37" t="s">
        <v>246</v>
      </c>
      <c r="H24" s="38" t="s">
        <v>27</v>
      </c>
      <c r="I24" s="38" t="s">
        <v>53</v>
      </c>
      <c r="J24" s="39" t="s">
        <v>54</v>
      </c>
      <c r="K24" s="34">
        <v>0.5</v>
      </c>
      <c r="L24" s="34" t="s">
        <v>55</v>
      </c>
      <c r="M24" s="26">
        <v>2020</v>
      </c>
      <c r="N24" s="26" t="s">
        <v>31</v>
      </c>
      <c r="O24" s="27" t="s">
        <v>38</v>
      </c>
      <c r="P24" s="26" t="s">
        <v>36</v>
      </c>
      <c r="Q24" s="27" t="s">
        <v>44</v>
      </c>
      <c r="R24" s="26">
        <v>40</v>
      </c>
      <c r="S24" s="26">
        <v>0.2</v>
      </c>
      <c r="T24" s="26">
        <v>0.1</v>
      </c>
      <c r="U24" s="74">
        <v>0.2</v>
      </c>
    </row>
    <row r="25" spans="1:21" ht="10.8" thickBot="1" x14ac:dyDescent="0.25">
      <c r="A25" s="36" t="s">
        <v>240</v>
      </c>
      <c r="B25" s="36" t="s">
        <v>241</v>
      </c>
      <c r="C25" s="36" t="s">
        <v>242</v>
      </c>
      <c r="D25" s="36" t="s">
        <v>243</v>
      </c>
      <c r="E25" s="36" t="s">
        <v>244</v>
      </c>
      <c r="F25" s="36" t="s">
        <v>245</v>
      </c>
      <c r="G25" s="37" t="s">
        <v>247</v>
      </c>
      <c r="H25" s="38" t="s">
        <v>27</v>
      </c>
      <c r="I25" s="38" t="s">
        <v>53</v>
      </c>
      <c r="J25" s="39" t="s">
        <v>54</v>
      </c>
      <c r="K25" s="34">
        <v>0.5</v>
      </c>
      <c r="L25" s="34" t="s">
        <v>55</v>
      </c>
      <c r="M25" s="26">
        <v>2020</v>
      </c>
      <c r="N25" s="26" t="s">
        <v>31</v>
      </c>
      <c r="O25" s="27" t="s">
        <v>38</v>
      </c>
      <c r="P25" s="26" t="s">
        <v>36</v>
      </c>
      <c r="Q25" s="27" t="s">
        <v>44</v>
      </c>
      <c r="R25" s="26">
        <v>40</v>
      </c>
      <c r="S25" s="26">
        <v>0.2</v>
      </c>
      <c r="T25" s="26">
        <v>0.1</v>
      </c>
      <c r="U25" s="74">
        <v>0.2</v>
      </c>
    </row>
    <row r="26" spans="1:21" ht="10.8" thickBot="1" x14ac:dyDescent="0.25">
      <c r="A26" s="36" t="s">
        <v>50</v>
      </c>
      <c r="B26" s="36" t="s">
        <v>51</v>
      </c>
      <c r="C26" s="36" t="s">
        <v>52</v>
      </c>
      <c r="D26" s="36" t="s">
        <v>248</v>
      </c>
      <c r="E26" s="36" t="s">
        <v>249</v>
      </c>
      <c r="F26" s="36" t="s">
        <v>245</v>
      </c>
      <c r="G26" s="37" t="s">
        <v>236</v>
      </c>
      <c r="H26" s="38" t="s">
        <v>30</v>
      </c>
      <c r="I26" s="38" t="s">
        <v>64</v>
      </c>
      <c r="J26" s="39" t="s">
        <v>65</v>
      </c>
      <c r="K26" s="34">
        <v>1</v>
      </c>
      <c r="L26" s="34" t="s">
        <v>68</v>
      </c>
      <c r="M26" s="26">
        <v>2020</v>
      </c>
      <c r="N26" s="26" t="s">
        <v>158</v>
      </c>
      <c r="O26" s="27" t="s">
        <v>49</v>
      </c>
      <c r="P26" s="26" t="s">
        <v>36</v>
      </c>
      <c r="Q26" s="27" t="s">
        <v>49</v>
      </c>
      <c r="R26" s="26">
        <v>40</v>
      </c>
      <c r="S26" s="26">
        <v>0.4</v>
      </c>
      <c r="T26" s="26">
        <v>0.3</v>
      </c>
      <c r="U26" s="74">
        <v>0.3</v>
      </c>
    </row>
    <row r="27" spans="1:21" ht="10.8" thickBot="1" x14ac:dyDescent="0.25">
      <c r="A27" s="36" t="s">
        <v>50</v>
      </c>
      <c r="B27" s="36" t="s">
        <v>51</v>
      </c>
      <c r="C27" s="36" t="s">
        <v>52</v>
      </c>
      <c r="D27" s="36" t="s">
        <v>250</v>
      </c>
      <c r="E27" s="36" t="s">
        <v>251</v>
      </c>
      <c r="F27" s="36" t="s">
        <v>252</v>
      </c>
      <c r="G27" s="37" t="s">
        <v>253</v>
      </c>
      <c r="H27" s="38" t="s">
        <v>30</v>
      </c>
      <c r="I27" s="38" t="s">
        <v>53</v>
      </c>
      <c r="J27" s="39" t="s">
        <v>54</v>
      </c>
      <c r="K27" s="34">
        <v>1</v>
      </c>
      <c r="L27" s="34" t="s">
        <v>55</v>
      </c>
      <c r="M27" s="26">
        <v>2020</v>
      </c>
      <c r="N27" s="26" t="s">
        <v>35</v>
      </c>
      <c r="O27" s="27" t="s">
        <v>43</v>
      </c>
      <c r="P27" s="26" t="s">
        <v>36</v>
      </c>
      <c r="Q27" s="27" t="s">
        <v>37</v>
      </c>
      <c r="R27" s="26">
        <v>40</v>
      </c>
      <c r="S27" s="26">
        <v>0.4</v>
      </c>
      <c r="T27" s="26">
        <v>0.1</v>
      </c>
      <c r="U27" s="74">
        <v>0.5</v>
      </c>
    </row>
    <row r="28" spans="1:21" ht="10.8" thickBot="1" x14ac:dyDescent="0.25">
      <c r="A28" s="36" t="s">
        <v>50</v>
      </c>
      <c r="B28" s="36" t="s">
        <v>51</v>
      </c>
      <c r="C28" s="36" t="s">
        <v>52</v>
      </c>
      <c r="D28" s="36" t="s">
        <v>254</v>
      </c>
      <c r="E28" s="36" t="s">
        <v>255</v>
      </c>
      <c r="F28" s="36" t="s">
        <v>256</v>
      </c>
      <c r="G28" s="37" t="s">
        <v>247</v>
      </c>
      <c r="H28" s="38" t="s">
        <v>30</v>
      </c>
      <c r="I28" s="38" t="s">
        <v>53</v>
      </c>
      <c r="J28" s="39" t="s">
        <v>54</v>
      </c>
      <c r="K28" s="34">
        <v>1</v>
      </c>
      <c r="L28" s="34" t="s">
        <v>55</v>
      </c>
      <c r="M28" s="26">
        <v>2020</v>
      </c>
      <c r="N28" s="26" t="s">
        <v>31</v>
      </c>
      <c r="O28" s="27" t="s">
        <v>38</v>
      </c>
      <c r="P28" s="26" t="s">
        <v>36</v>
      </c>
      <c r="Q28" s="27" t="s">
        <v>44</v>
      </c>
      <c r="R28" s="26">
        <v>40</v>
      </c>
      <c r="S28" s="26">
        <v>0.4</v>
      </c>
      <c r="T28" s="26">
        <v>0.2</v>
      </c>
      <c r="U28" s="74">
        <v>0.4</v>
      </c>
    </row>
    <row r="29" spans="1:21" x14ac:dyDescent="0.2">
      <c r="A29" s="26" t="s">
        <v>50</v>
      </c>
      <c r="B29" s="26" t="s">
        <v>51</v>
      </c>
      <c r="C29" s="26" t="s">
        <v>52</v>
      </c>
      <c r="D29" s="26" t="s">
        <v>257</v>
      </c>
      <c r="E29" s="26" t="s">
        <v>258</v>
      </c>
      <c r="F29" s="26" t="s">
        <v>259</v>
      </c>
      <c r="G29" s="26" t="s">
        <v>236</v>
      </c>
      <c r="H29" s="26" t="s">
        <v>30</v>
      </c>
      <c r="I29" s="26" t="s">
        <v>64</v>
      </c>
      <c r="J29" s="26" t="s">
        <v>65</v>
      </c>
      <c r="K29" s="34">
        <v>1</v>
      </c>
      <c r="L29" s="34" t="s">
        <v>68</v>
      </c>
      <c r="M29" s="26">
        <v>2021</v>
      </c>
      <c r="N29" s="26" t="s">
        <v>158</v>
      </c>
      <c r="O29" s="27" t="s">
        <v>49</v>
      </c>
      <c r="P29" s="26" t="s">
        <v>36</v>
      </c>
      <c r="Q29" s="27" t="s">
        <v>49</v>
      </c>
      <c r="R29" s="26">
        <v>40</v>
      </c>
      <c r="S29" s="26">
        <v>0.4</v>
      </c>
      <c r="T29" s="26">
        <v>0.3</v>
      </c>
      <c r="U29" s="74">
        <v>0.3</v>
      </c>
    </row>
    <row r="30" spans="1:21" x14ac:dyDescent="0.2">
      <c r="A30" s="26" t="s">
        <v>260</v>
      </c>
      <c r="B30" s="26" t="s">
        <v>261</v>
      </c>
      <c r="C30" s="26" t="s">
        <v>262</v>
      </c>
      <c r="D30" s="26" t="s">
        <v>263</v>
      </c>
      <c r="E30" s="26" t="s">
        <v>264</v>
      </c>
      <c r="F30" s="26" t="s">
        <v>265</v>
      </c>
      <c r="G30" s="26" t="s">
        <v>236</v>
      </c>
      <c r="H30" s="26" t="s">
        <v>30</v>
      </c>
      <c r="I30" s="26" t="s">
        <v>64</v>
      </c>
      <c r="J30" s="26" t="s">
        <v>65</v>
      </c>
      <c r="K30" s="34">
        <v>1</v>
      </c>
      <c r="L30" s="34" t="s">
        <v>68</v>
      </c>
      <c r="M30" s="26">
        <v>2021</v>
      </c>
      <c r="N30" s="26" t="s">
        <v>158</v>
      </c>
      <c r="O30" s="27" t="s">
        <v>49</v>
      </c>
      <c r="P30" s="26" t="s">
        <v>36</v>
      </c>
      <c r="Q30" s="27" t="s">
        <v>49</v>
      </c>
      <c r="R30" s="26">
        <v>40</v>
      </c>
      <c r="S30" s="26">
        <v>0.4</v>
      </c>
      <c r="T30" s="26">
        <v>0.3</v>
      </c>
      <c r="U30" s="74">
        <v>0.3</v>
      </c>
    </row>
    <row r="31" spans="1:21" x14ac:dyDescent="0.2">
      <c r="T31" s="78">
        <f>SUM(U19:U30,T2:T18)</f>
        <v>7.8499999999999979</v>
      </c>
      <c r="U31" s="79"/>
    </row>
  </sheetData>
  <autoFilter ref="A1:U1" xr:uid="{00000000-0009-0000-0000-000000000000}"/>
  <mergeCells count="1">
    <mergeCell ref="T31:U31"/>
  </mergeCells>
  <printOptions horizontalCentered="1"/>
  <pageMargins left="0.19685039370078741" right="0.19685039370078741" top="0.39370078740157483" bottom="0.39370078740157483" header="0.78740157480314965" footer="0"/>
  <pageSetup paperSize="9" scale="92" fitToWidth="2" fitToHeight="2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21"/>
  <sheetViews>
    <sheetView zoomScaleNormal="100" workbookViewId="0">
      <selection activeCell="Q21" sqref="Q21:R21"/>
    </sheetView>
  </sheetViews>
  <sheetFormatPr baseColWidth="10" defaultColWidth="11.44140625" defaultRowHeight="13.2" x14ac:dyDescent="0.25"/>
  <cols>
    <col min="1" max="1" width="10.88671875" style="18" bestFit="1" customWidth="1"/>
    <col min="2" max="2" width="38.88671875" style="18" bestFit="1" customWidth="1"/>
    <col min="3" max="3" width="17" style="18" bestFit="1" customWidth="1"/>
    <col min="4" max="9" width="3.33203125" style="18" bestFit="1" customWidth="1"/>
    <col min="10" max="10" width="13.109375" style="18" bestFit="1" customWidth="1"/>
    <col min="11" max="11" width="5.33203125" style="18" bestFit="1" customWidth="1"/>
    <col min="12" max="12" width="5.6640625" style="18" bestFit="1" customWidth="1"/>
    <col min="13" max="14" width="5.6640625" style="19" bestFit="1" customWidth="1"/>
    <col min="15" max="15" width="5.6640625" style="18" bestFit="1" customWidth="1"/>
    <col min="16" max="16" width="5.6640625" style="19" bestFit="1" customWidth="1"/>
    <col min="17" max="19" width="5.6640625" style="18" bestFit="1" customWidth="1"/>
    <col min="20" max="16384" width="11.44140625" style="18"/>
  </cols>
  <sheetData>
    <row r="1" spans="1:24" s="17" customFormat="1" ht="65.099999999999994" customHeight="1" x14ac:dyDescent="0.25">
      <c r="A1" s="20" t="s">
        <v>88</v>
      </c>
      <c r="B1" s="20" t="s">
        <v>89</v>
      </c>
      <c r="C1" s="20" t="s">
        <v>90</v>
      </c>
      <c r="D1" s="21">
        <v>2017</v>
      </c>
      <c r="E1" s="21">
        <v>2018</v>
      </c>
      <c r="F1" s="21">
        <v>2019</v>
      </c>
      <c r="G1" s="21">
        <v>2020</v>
      </c>
      <c r="H1" s="21">
        <v>2021</v>
      </c>
      <c r="I1" s="21">
        <v>2022</v>
      </c>
      <c r="J1" s="20" t="s">
        <v>91</v>
      </c>
      <c r="K1" s="22" t="s">
        <v>150</v>
      </c>
      <c r="L1" s="15" t="s">
        <v>92</v>
      </c>
      <c r="M1" s="15" t="s">
        <v>93</v>
      </c>
      <c r="N1" s="15" t="s">
        <v>94</v>
      </c>
      <c r="O1" s="15" t="s">
        <v>95</v>
      </c>
      <c r="P1" s="16" t="s">
        <v>96</v>
      </c>
      <c r="Q1" s="16" t="s">
        <v>97</v>
      </c>
      <c r="R1" s="16" t="s">
        <v>98</v>
      </c>
      <c r="S1" s="16" t="s">
        <v>99</v>
      </c>
    </row>
    <row r="2" spans="1:24" ht="14.4" x14ac:dyDescent="0.3">
      <c r="A2" s="23" t="s">
        <v>152</v>
      </c>
      <c r="B2" s="23" t="s">
        <v>153</v>
      </c>
      <c r="C2" s="23" t="s">
        <v>100</v>
      </c>
      <c r="D2" s="23"/>
      <c r="E2" s="23"/>
      <c r="F2" s="23"/>
      <c r="G2" s="23"/>
      <c r="H2" s="23">
        <v>1</v>
      </c>
      <c r="I2" s="23"/>
      <c r="J2" s="23">
        <v>1</v>
      </c>
      <c r="K2" s="23" t="s">
        <v>55</v>
      </c>
      <c r="L2" s="24" t="s">
        <v>36</v>
      </c>
      <c r="M2" s="24" t="s">
        <v>49</v>
      </c>
      <c r="N2" s="24" t="s">
        <v>35</v>
      </c>
      <c r="O2" s="24" t="s">
        <v>154</v>
      </c>
      <c r="P2" s="24">
        <v>35</v>
      </c>
      <c r="Q2" s="24">
        <v>0.3</v>
      </c>
      <c r="R2" s="24">
        <v>0.35</v>
      </c>
      <c r="S2" s="24">
        <v>0.35</v>
      </c>
    </row>
    <row r="3" spans="1:24" ht="14.4" x14ac:dyDescent="0.3">
      <c r="A3" s="23" t="s">
        <v>114</v>
      </c>
      <c r="B3" s="23" t="s">
        <v>115</v>
      </c>
      <c r="C3" s="23" t="s">
        <v>100</v>
      </c>
      <c r="D3" s="23"/>
      <c r="E3" s="23"/>
      <c r="F3" s="23"/>
      <c r="G3" s="23"/>
      <c r="H3" s="23">
        <v>1</v>
      </c>
      <c r="I3" s="23"/>
      <c r="J3" s="23">
        <v>1</v>
      </c>
      <c r="K3" s="23" t="s">
        <v>55</v>
      </c>
      <c r="L3" s="24" t="s">
        <v>36</v>
      </c>
      <c r="M3" s="24" t="s">
        <v>56</v>
      </c>
      <c r="N3" s="24" t="s">
        <v>29</v>
      </c>
      <c r="O3" s="24" t="s">
        <v>29</v>
      </c>
      <c r="P3" s="24">
        <v>30</v>
      </c>
      <c r="Q3" s="24">
        <v>0.7</v>
      </c>
      <c r="R3" s="24">
        <v>0</v>
      </c>
      <c r="S3" s="24">
        <v>0.3</v>
      </c>
    </row>
    <row r="4" spans="1:24" ht="14.4" x14ac:dyDescent="0.3">
      <c r="A4" s="23" t="s">
        <v>110</v>
      </c>
      <c r="B4" s="23" t="s">
        <v>111</v>
      </c>
      <c r="C4" s="23" t="s">
        <v>100</v>
      </c>
      <c r="D4" s="23"/>
      <c r="E4" s="23"/>
      <c r="F4" s="23"/>
      <c r="G4" s="23">
        <v>1</v>
      </c>
      <c r="H4" s="23"/>
      <c r="I4" s="23"/>
      <c r="J4" s="23">
        <v>1</v>
      </c>
      <c r="K4" s="23" t="s">
        <v>55</v>
      </c>
      <c r="L4" s="24" t="s">
        <v>36</v>
      </c>
      <c r="M4" s="24" t="s">
        <v>37</v>
      </c>
      <c r="N4" s="24" t="s">
        <v>29</v>
      </c>
      <c r="O4" s="24" t="s">
        <v>29</v>
      </c>
      <c r="P4" s="24">
        <v>50</v>
      </c>
      <c r="Q4" s="24">
        <v>0.5</v>
      </c>
      <c r="R4" s="24">
        <v>0</v>
      </c>
      <c r="S4" s="24">
        <v>0.5</v>
      </c>
    </row>
    <row r="5" spans="1:24" ht="14.4" x14ac:dyDescent="0.3">
      <c r="A5" s="23" t="s">
        <v>118</v>
      </c>
      <c r="B5" s="23" t="s">
        <v>119</v>
      </c>
      <c r="C5" s="23" t="s">
        <v>100</v>
      </c>
      <c r="D5" s="23">
        <v>1</v>
      </c>
      <c r="E5" s="23"/>
      <c r="F5" s="23"/>
      <c r="G5" s="23"/>
      <c r="H5" s="23"/>
      <c r="I5" s="23"/>
      <c r="J5" s="23">
        <v>1</v>
      </c>
      <c r="K5" s="23" t="s">
        <v>55</v>
      </c>
      <c r="L5" s="24" t="s">
        <v>36</v>
      </c>
      <c r="M5" s="24" t="s">
        <v>49</v>
      </c>
      <c r="N5" s="24" t="s">
        <v>35</v>
      </c>
      <c r="O5" s="24" t="s">
        <v>38</v>
      </c>
      <c r="P5" s="24">
        <v>50</v>
      </c>
      <c r="Q5" s="24">
        <v>0.3</v>
      </c>
      <c r="R5" s="24">
        <v>0.2</v>
      </c>
      <c r="S5" s="24">
        <v>0.5</v>
      </c>
    </row>
    <row r="6" spans="1:24" ht="14.4" x14ac:dyDescent="0.3">
      <c r="A6" s="23" t="s">
        <v>156</v>
      </c>
      <c r="B6" s="23" t="s">
        <v>157</v>
      </c>
      <c r="C6" s="23" t="s">
        <v>100</v>
      </c>
      <c r="D6" s="23"/>
      <c r="E6" s="23"/>
      <c r="F6" s="23"/>
      <c r="G6" s="23"/>
      <c r="H6" s="23">
        <v>1</v>
      </c>
      <c r="I6" s="23"/>
      <c r="J6" s="23">
        <v>1</v>
      </c>
      <c r="K6" s="23" t="s">
        <v>151</v>
      </c>
      <c r="L6" s="24" t="s">
        <v>36</v>
      </c>
      <c r="M6" s="24" t="s">
        <v>37</v>
      </c>
      <c r="N6" s="24" t="s">
        <v>29</v>
      </c>
      <c r="O6" s="24" t="s">
        <v>29</v>
      </c>
      <c r="P6" s="24">
        <v>50</v>
      </c>
      <c r="Q6" s="24">
        <v>0.5</v>
      </c>
      <c r="R6" s="24">
        <v>0</v>
      </c>
      <c r="S6" s="24">
        <v>0.5</v>
      </c>
    </row>
    <row r="7" spans="1:24" ht="14.4" x14ac:dyDescent="0.3">
      <c r="A7" s="23" t="s">
        <v>108</v>
      </c>
      <c r="B7" s="23" t="s">
        <v>109</v>
      </c>
      <c r="C7" s="23" t="s">
        <v>101</v>
      </c>
      <c r="D7" s="23"/>
      <c r="E7" s="23">
        <v>1</v>
      </c>
      <c r="F7" s="23"/>
      <c r="G7" s="23"/>
      <c r="H7" s="23"/>
      <c r="I7" s="23"/>
      <c r="J7" s="23">
        <v>1</v>
      </c>
      <c r="K7" s="23" t="s">
        <v>55</v>
      </c>
      <c r="L7" s="24" t="s">
        <v>36</v>
      </c>
      <c r="M7" s="24" t="s">
        <v>37</v>
      </c>
      <c r="N7" s="24" t="s">
        <v>29</v>
      </c>
      <c r="O7" s="24" t="s">
        <v>29</v>
      </c>
      <c r="P7" s="24">
        <v>50</v>
      </c>
      <c r="Q7" s="24">
        <v>0.5</v>
      </c>
      <c r="R7" s="24">
        <v>0</v>
      </c>
      <c r="S7" s="24">
        <v>0.5</v>
      </c>
    </row>
    <row r="8" spans="1:24" ht="14.4" x14ac:dyDescent="0.3">
      <c r="A8" s="23" t="s">
        <v>116</v>
      </c>
      <c r="B8" s="23" t="s">
        <v>117</v>
      </c>
      <c r="C8" s="23" t="s">
        <v>100</v>
      </c>
      <c r="D8" s="23"/>
      <c r="E8" s="23"/>
      <c r="F8" s="23">
        <v>1</v>
      </c>
      <c r="G8" s="23">
        <v>1</v>
      </c>
      <c r="H8" s="23"/>
      <c r="I8" s="23"/>
      <c r="J8" s="23">
        <v>2</v>
      </c>
      <c r="K8" s="23" t="s">
        <v>42</v>
      </c>
      <c r="L8" s="24" t="s">
        <v>36</v>
      </c>
      <c r="M8" s="24" t="s">
        <v>49</v>
      </c>
      <c r="N8" s="24" t="s">
        <v>28</v>
      </c>
      <c r="O8" s="24" t="s">
        <v>38</v>
      </c>
      <c r="P8" s="24">
        <v>50</v>
      </c>
      <c r="Q8" s="24">
        <v>0.6</v>
      </c>
      <c r="R8" s="24">
        <v>0.4</v>
      </c>
      <c r="S8" s="24">
        <v>1</v>
      </c>
    </row>
    <row r="9" spans="1:24" ht="14.4" x14ac:dyDescent="0.3">
      <c r="A9" s="23" t="s">
        <v>266</v>
      </c>
      <c r="B9" s="23" t="s">
        <v>267</v>
      </c>
      <c r="C9" s="23" t="s">
        <v>101</v>
      </c>
      <c r="D9" s="23"/>
      <c r="E9" s="23"/>
      <c r="F9" s="23"/>
      <c r="G9" s="23"/>
      <c r="H9" s="23"/>
      <c r="I9" s="23">
        <v>1</v>
      </c>
      <c r="J9" s="23">
        <v>1</v>
      </c>
      <c r="K9" s="23" t="s">
        <v>68</v>
      </c>
      <c r="L9" s="24" t="s">
        <v>36</v>
      </c>
      <c r="M9" s="24" t="s">
        <v>43</v>
      </c>
      <c r="N9" s="24" t="s">
        <v>29</v>
      </c>
      <c r="O9" s="24" t="s">
        <v>29</v>
      </c>
      <c r="P9" s="24">
        <v>90</v>
      </c>
      <c r="Q9" s="24">
        <v>0.1</v>
      </c>
      <c r="R9" s="24">
        <v>0</v>
      </c>
      <c r="S9" s="24">
        <v>0.9</v>
      </c>
      <c r="X9" s="76"/>
    </row>
    <row r="10" spans="1:24" ht="14.4" x14ac:dyDescent="0.3">
      <c r="A10" s="23" t="s">
        <v>112</v>
      </c>
      <c r="B10" s="23" t="s">
        <v>113</v>
      </c>
      <c r="C10" s="23">
        <v>6</v>
      </c>
      <c r="D10" s="23"/>
      <c r="E10" s="23"/>
      <c r="F10" s="23"/>
      <c r="G10" s="23">
        <v>1</v>
      </c>
      <c r="H10" s="23"/>
      <c r="I10" s="23"/>
      <c r="J10" s="23">
        <v>1</v>
      </c>
      <c r="K10" s="23" t="s">
        <v>68</v>
      </c>
      <c r="L10" s="24" t="s">
        <v>36</v>
      </c>
      <c r="M10" s="24" t="s">
        <v>43</v>
      </c>
      <c r="N10" s="24" t="s">
        <v>29</v>
      </c>
      <c r="O10" s="24" t="s">
        <v>29</v>
      </c>
      <c r="P10" s="24">
        <v>90</v>
      </c>
      <c r="Q10" s="24">
        <v>0.1</v>
      </c>
      <c r="R10" s="24">
        <v>0</v>
      </c>
      <c r="S10" s="24">
        <v>0.9</v>
      </c>
    </row>
    <row r="11" spans="1:24" ht="14.4" x14ac:dyDescent="0.3">
      <c r="A11" s="23" t="s">
        <v>120</v>
      </c>
      <c r="B11" s="23" t="s">
        <v>121</v>
      </c>
      <c r="C11" s="23" t="s">
        <v>100</v>
      </c>
      <c r="D11" s="23"/>
      <c r="E11" s="23"/>
      <c r="F11" s="23"/>
      <c r="G11" s="23">
        <v>1</v>
      </c>
      <c r="H11" s="23"/>
      <c r="I11" s="23"/>
      <c r="J11" s="23">
        <v>1</v>
      </c>
      <c r="K11" s="23" t="s">
        <v>55</v>
      </c>
      <c r="L11" s="24" t="s">
        <v>36</v>
      </c>
      <c r="M11" s="24" t="s">
        <v>44</v>
      </c>
      <c r="N11" s="24" t="s">
        <v>35</v>
      </c>
      <c r="O11" s="24" t="s">
        <v>43</v>
      </c>
      <c r="P11" s="24">
        <v>50</v>
      </c>
      <c r="Q11" s="24">
        <v>0.4</v>
      </c>
      <c r="R11" s="24">
        <v>0.1</v>
      </c>
      <c r="S11" s="24">
        <v>0.5</v>
      </c>
    </row>
    <row r="12" spans="1:24" ht="14.4" x14ac:dyDescent="0.3">
      <c r="A12" s="23" t="s">
        <v>124</v>
      </c>
      <c r="B12" s="23" t="s">
        <v>125</v>
      </c>
      <c r="C12" s="25" t="s">
        <v>155</v>
      </c>
      <c r="D12" s="23"/>
      <c r="E12" s="23"/>
      <c r="F12" s="23"/>
      <c r="G12" s="23"/>
      <c r="H12" s="23"/>
      <c r="I12" s="23">
        <v>1</v>
      </c>
      <c r="J12" s="23">
        <v>1</v>
      </c>
      <c r="K12" s="23" t="s">
        <v>55</v>
      </c>
      <c r="L12" s="24" t="s">
        <v>36</v>
      </c>
      <c r="M12" s="24" t="s">
        <v>37</v>
      </c>
      <c r="N12" s="24" t="s">
        <v>35</v>
      </c>
      <c r="O12" s="24" t="s">
        <v>38</v>
      </c>
      <c r="P12" s="24">
        <v>30</v>
      </c>
      <c r="Q12" s="24">
        <v>0.5</v>
      </c>
      <c r="R12" s="24">
        <v>0.2</v>
      </c>
      <c r="S12" s="24">
        <v>0.3</v>
      </c>
    </row>
    <row r="13" spans="1:24" ht="14.4" x14ac:dyDescent="0.3">
      <c r="A13" s="23" t="s">
        <v>104</v>
      </c>
      <c r="B13" s="23" t="s">
        <v>105</v>
      </c>
      <c r="C13" s="23" t="s">
        <v>100</v>
      </c>
      <c r="D13" s="23"/>
      <c r="E13" s="23">
        <v>1</v>
      </c>
      <c r="F13" s="23"/>
      <c r="G13" s="23"/>
      <c r="H13" s="23"/>
      <c r="I13" s="23"/>
      <c r="J13" s="23">
        <v>1</v>
      </c>
      <c r="K13" s="23" t="s">
        <v>42</v>
      </c>
      <c r="L13" s="24" t="s">
        <v>28</v>
      </c>
      <c r="M13" s="24" t="s">
        <v>43</v>
      </c>
      <c r="N13" s="24" t="s">
        <v>36</v>
      </c>
      <c r="O13" s="24" t="s">
        <v>38</v>
      </c>
      <c r="P13" s="24">
        <v>70</v>
      </c>
      <c r="Q13" s="24">
        <v>0.1</v>
      </c>
      <c r="R13" s="24">
        <v>0.2</v>
      </c>
      <c r="S13" s="24">
        <v>0.7</v>
      </c>
    </row>
    <row r="14" spans="1:24" ht="14.4" x14ac:dyDescent="0.3">
      <c r="A14" s="23" t="s">
        <v>146</v>
      </c>
      <c r="B14" s="23" t="s">
        <v>147</v>
      </c>
      <c r="C14" s="23" t="s">
        <v>100</v>
      </c>
      <c r="D14" s="23"/>
      <c r="E14" s="23"/>
      <c r="F14" s="23"/>
      <c r="G14" s="23">
        <v>1</v>
      </c>
      <c r="H14" s="23"/>
      <c r="I14" s="23"/>
      <c r="J14" s="23">
        <v>1</v>
      </c>
      <c r="K14" s="23" t="s">
        <v>55</v>
      </c>
      <c r="L14" s="24" t="s">
        <v>31</v>
      </c>
      <c r="M14" s="24" t="s">
        <v>38</v>
      </c>
      <c r="N14" s="24" t="s">
        <v>36</v>
      </c>
      <c r="O14" s="24" t="s">
        <v>44</v>
      </c>
      <c r="P14" s="24">
        <v>40</v>
      </c>
      <c r="Q14" s="24">
        <v>0.2</v>
      </c>
      <c r="R14" s="24">
        <v>0.4</v>
      </c>
      <c r="S14" s="24">
        <v>0.4</v>
      </c>
    </row>
    <row r="15" spans="1:24" ht="14.4" x14ac:dyDescent="0.3">
      <c r="A15" s="23" t="s">
        <v>122</v>
      </c>
      <c r="B15" s="23" t="s">
        <v>123</v>
      </c>
      <c r="C15" s="23" t="s">
        <v>100</v>
      </c>
      <c r="D15" s="23"/>
      <c r="E15" s="23"/>
      <c r="F15" s="23">
        <v>1</v>
      </c>
      <c r="G15" s="23"/>
      <c r="H15" s="23"/>
      <c r="I15" s="23"/>
      <c r="J15" s="23">
        <v>1</v>
      </c>
      <c r="K15" s="23" t="s">
        <v>55</v>
      </c>
      <c r="L15" s="24" t="s">
        <v>35</v>
      </c>
      <c r="M15" s="24" t="s">
        <v>43</v>
      </c>
      <c r="N15" s="24" t="s">
        <v>36</v>
      </c>
      <c r="O15" s="24" t="s">
        <v>37</v>
      </c>
      <c r="P15" s="24">
        <v>40</v>
      </c>
      <c r="Q15" s="24">
        <v>0.1</v>
      </c>
      <c r="R15" s="24">
        <v>0.5</v>
      </c>
      <c r="S15" s="24">
        <v>0.4</v>
      </c>
    </row>
    <row r="16" spans="1:24" ht="14.4" x14ac:dyDescent="0.3">
      <c r="A16" s="23" t="s">
        <v>159</v>
      </c>
      <c r="B16" s="23" t="s">
        <v>160</v>
      </c>
      <c r="C16" s="23" t="s">
        <v>100</v>
      </c>
      <c r="D16" s="23"/>
      <c r="E16" s="23"/>
      <c r="F16" s="23"/>
      <c r="G16" s="23"/>
      <c r="H16" s="23">
        <v>1</v>
      </c>
      <c r="I16" s="23"/>
      <c r="J16" s="23">
        <v>1</v>
      </c>
      <c r="K16" s="23" t="s">
        <v>55</v>
      </c>
      <c r="L16" s="24" t="s">
        <v>31</v>
      </c>
      <c r="M16" s="24" t="s">
        <v>38</v>
      </c>
      <c r="N16" s="24" t="s">
        <v>36</v>
      </c>
      <c r="O16" s="24" t="s">
        <v>44</v>
      </c>
      <c r="P16" s="24">
        <v>40</v>
      </c>
      <c r="Q16" s="24">
        <v>0.2</v>
      </c>
      <c r="R16" s="24">
        <v>0.4</v>
      </c>
      <c r="S16" s="24">
        <v>0.4</v>
      </c>
    </row>
    <row r="17" spans="1:19" ht="14.4" x14ac:dyDescent="0.3">
      <c r="A17" s="23" t="s">
        <v>148</v>
      </c>
      <c r="B17" s="23" t="s">
        <v>149</v>
      </c>
      <c r="C17" s="23" t="s">
        <v>101</v>
      </c>
      <c r="D17" s="23"/>
      <c r="E17" s="23">
        <v>1</v>
      </c>
      <c r="F17" s="23"/>
      <c r="G17" s="23"/>
      <c r="H17" s="23"/>
      <c r="I17" s="23"/>
      <c r="J17" s="23">
        <v>1</v>
      </c>
      <c r="K17" s="23" t="s">
        <v>55</v>
      </c>
      <c r="L17" s="24" t="s">
        <v>35</v>
      </c>
      <c r="M17" s="24" t="s">
        <v>37</v>
      </c>
      <c r="N17" s="24" t="s">
        <v>36</v>
      </c>
      <c r="O17" s="24" t="s">
        <v>38</v>
      </c>
      <c r="P17" s="24">
        <v>30</v>
      </c>
      <c r="Q17" s="24">
        <v>0.5</v>
      </c>
      <c r="R17" s="24">
        <v>0.2</v>
      </c>
      <c r="S17" s="24">
        <v>0.3</v>
      </c>
    </row>
    <row r="18" spans="1:19" ht="14.4" x14ac:dyDescent="0.3">
      <c r="A18" s="23" t="s">
        <v>102</v>
      </c>
      <c r="B18" s="23" t="s">
        <v>103</v>
      </c>
      <c r="C18" s="25" t="s">
        <v>100</v>
      </c>
      <c r="D18" s="23"/>
      <c r="E18" s="23">
        <v>1</v>
      </c>
      <c r="F18" s="23">
        <v>1</v>
      </c>
      <c r="G18" s="23"/>
      <c r="H18" s="23"/>
      <c r="I18" s="23"/>
      <c r="J18" s="23">
        <v>2</v>
      </c>
      <c r="K18" s="23" t="s">
        <v>42</v>
      </c>
      <c r="L18" s="24" t="s">
        <v>28</v>
      </c>
      <c r="M18" s="24" t="s">
        <v>38</v>
      </c>
      <c r="N18" s="24" t="s">
        <v>36</v>
      </c>
      <c r="O18" s="24" t="s">
        <v>49</v>
      </c>
      <c r="P18" s="24">
        <v>50</v>
      </c>
      <c r="Q18" s="24">
        <v>0.4</v>
      </c>
      <c r="R18" s="24">
        <v>0.6</v>
      </c>
      <c r="S18" s="24">
        <v>1</v>
      </c>
    </row>
    <row r="19" spans="1:19" ht="14.4" x14ac:dyDescent="0.3">
      <c r="A19" s="23" t="s">
        <v>106</v>
      </c>
      <c r="B19" s="23" t="s">
        <v>107</v>
      </c>
      <c r="C19" s="23" t="s">
        <v>100</v>
      </c>
      <c r="D19" s="23"/>
      <c r="E19" s="23"/>
      <c r="F19" s="23"/>
      <c r="G19" s="23"/>
      <c r="H19" s="23"/>
      <c r="I19" s="23">
        <v>1</v>
      </c>
      <c r="J19" s="23">
        <v>1</v>
      </c>
      <c r="K19" s="23" t="s">
        <v>55</v>
      </c>
      <c r="L19" s="24" t="s">
        <v>31</v>
      </c>
      <c r="M19" s="24" t="s">
        <v>38</v>
      </c>
      <c r="N19" s="24" t="s">
        <v>36</v>
      </c>
      <c r="O19" s="24" t="s">
        <v>37</v>
      </c>
      <c r="P19" s="24">
        <v>30</v>
      </c>
      <c r="Q19" s="24">
        <v>0.2</v>
      </c>
      <c r="R19" s="24">
        <v>0.5</v>
      </c>
      <c r="S19" s="24">
        <v>0.3</v>
      </c>
    </row>
    <row r="20" spans="1:19" ht="14.4" x14ac:dyDescent="0.3">
      <c r="A20" s="23" t="s">
        <v>268</v>
      </c>
      <c r="B20" s="23" t="s">
        <v>269</v>
      </c>
      <c r="C20" s="23" t="s">
        <v>100</v>
      </c>
      <c r="D20" s="23"/>
      <c r="E20" s="23"/>
      <c r="F20" s="23">
        <v>2</v>
      </c>
      <c r="G20" s="23"/>
      <c r="H20" s="23"/>
      <c r="I20" s="23"/>
      <c r="J20" s="23">
        <v>2</v>
      </c>
      <c r="K20" s="23" t="s">
        <v>68</v>
      </c>
      <c r="L20" s="24" t="s">
        <v>158</v>
      </c>
      <c r="M20" s="24" t="s">
        <v>49</v>
      </c>
      <c r="N20" s="24" t="s">
        <v>36</v>
      </c>
      <c r="O20" s="24" t="s">
        <v>49</v>
      </c>
      <c r="P20" s="24">
        <v>40</v>
      </c>
      <c r="Q20" s="24">
        <v>0.6</v>
      </c>
      <c r="R20" s="24">
        <v>0.6</v>
      </c>
      <c r="S20" s="24">
        <v>0.8</v>
      </c>
    </row>
    <row r="21" spans="1:19" x14ac:dyDescent="0.25">
      <c r="Q21" s="80">
        <f>SUM(R13:R20,Q2:Q12)</f>
        <v>7.8999999999999986</v>
      </c>
      <c r="R21" s="80"/>
      <c r="S21" s="77"/>
    </row>
  </sheetData>
  <mergeCells count="1">
    <mergeCell ref="Q21:R21"/>
  </mergeCells>
  <pageMargins left="0.39370078740157483" right="0.39370078740157483" top="0.39370078740157483" bottom="0.39370078740157483" header="0.31496062992125984" footer="0.31496062992125984"/>
  <pageSetup paperSize="9" scale="92" fitToHeight="2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8"/>
  <sheetViews>
    <sheetView zoomScaleNormal="100" workbookViewId="0">
      <selection activeCell="A15" sqref="A15:B18"/>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126</v>
      </c>
      <c r="B2" s="5"/>
    </row>
    <row r="3" spans="1:2" x14ac:dyDescent="0.2">
      <c r="A3" s="4" t="s">
        <v>127</v>
      </c>
      <c r="B3" s="5">
        <v>7400</v>
      </c>
    </row>
    <row r="4" spans="1:2" x14ac:dyDescent="0.2">
      <c r="A4" s="4" t="s">
        <v>128</v>
      </c>
      <c r="B4" s="5"/>
    </row>
    <row r="5" spans="1:2" x14ac:dyDescent="0.2">
      <c r="A5" s="4" t="s">
        <v>129</v>
      </c>
      <c r="B5" s="5">
        <v>2275</v>
      </c>
    </row>
    <row r="6" spans="1:2" x14ac:dyDescent="0.2">
      <c r="A6" s="4" t="s">
        <v>130</v>
      </c>
      <c r="B6" s="7">
        <v>2275</v>
      </c>
    </row>
    <row r="7" spans="1:2" x14ac:dyDescent="0.2">
      <c r="A7" s="4" t="s">
        <v>131</v>
      </c>
      <c r="B7" s="5">
        <v>2275</v>
      </c>
    </row>
    <row r="8" spans="1:2" x14ac:dyDescent="0.2">
      <c r="A8" s="4" t="s">
        <v>132</v>
      </c>
      <c r="B8" s="5"/>
    </row>
    <row r="9" spans="1:2" x14ac:dyDescent="0.2">
      <c r="A9" s="4" t="s">
        <v>133</v>
      </c>
      <c r="B9" s="5">
        <v>14999</v>
      </c>
    </row>
    <row r="10" spans="1:2" x14ac:dyDescent="0.2">
      <c r="A10" s="4" t="s">
        <v>134</v>
      </c>
      <c r="B10" s="5"/>
    </row>
    <row r="11" spans="1:2" x14ac:dyDescent="0.2">
      <c r="A11" s="4" t="s">
        <v>135</v>
      </c>
      <c r="B11" s="5">
        <v>4470</v>
      </c>
    </row>
    <row r="12" spans="1:2" x14ac:dyDescent="0.2">
      <c r="A12" s="4" t="s">
        <v>4</v>
      </c>
      <c r="B12" s="5"/>
    </row>
    <row r="13" spans="1:2" x14ac:dyDescent="0.2">
      <c r="A13" s="4" t="s">
        <v>136</v>
      </c>
      <c r="B13" s="5">
        <v>4410</v>
      </c>
    </row>
    <row r="14" spans="1:2" x14ac:dyDescent="0.2">
      <c r="A14" s="4" t="s">
        <v>5</v>
      </c>
      <c r="B14" s="5"/>
    </row>
    <row r="15" spans="1:2" x14ac:dyDescent="0.2">
      <c r="A15" s="4" t="s">
        <v>137</v>
      </c>
      <c r="B15" s="5">
        <v>5225</v>
      </c>
    </row>
    <row r="16" spans="1:2" x14ac:dyDescent="0.2">
      <c r="A16" s="4" t="s">
        <v>138</v>
      </c>
      <c r="B16" s="5"/>
    </row>
    <row r="17" spans="1:2" x14ac:dyDescent="0.2">
      <c r="A17" s="4" t="s">
        <v>139</v>
      </c>
      <c r="B17" s="5">
        <v>127020</v>
      </c>
    </row>
    <row r="18" spans="1:2" x14ac:dyDescent="0.2">
      <c r="A18" s="6" t="s">
        <v>2</v>
      </c>
      <c r="B18" s="7">
        <f>SUM(B3:B17)</f>
        <v>170349</v>
      </c>
    </row>
  </sheetData>
  <pageMargins left="0.39370078740157483" right="0.39370078740157483"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0E010-7AAE-4834-A32F-18B0CEC11BD4}">
  <dimension ref="A1:B17"/>
  <sheetViews>
    <sheetView workbookViewId="0">
      <selection activeCell="B1" sqref="B1"/>
    </sheetView>
  </sheetViews>
  <sheetFormatPr baseColWidth="10" defaultRowHeight="14.4" x14ac:dyDescent="0.3"/>
  <cols>
    <col min="1" max="1" width="100.6640625" customWidth="1"/>
  </cols>
  <sheetData>
    <row r="1" spans="1:2" ht="21.6" x14ac:dyDescent="0.3">
      <c r="A1" s="2" t="s">
        <v>0</v>
      </c>
      <c r="B1" s="3" t="s">
        <v>1</v>
      </c>
    </row>
    <row r="2" spans="1:2" x14ac:dyDescent="0.3">
      <c r="A2" s="40" t="s">
        <v>128</v>
      </c>
      <c r="B2" s="41"/>
    </row>
    <row r="3" spans="1:2" x14ac:dyDescent="0.3">
      <c r="A3" s="42" t="s">
        <v>174</v>
      </c>
      <c r="B3">
        <v>8.5399999999999991</v>
      </c>
    </row>
    <row r="4" spans="1:2" x14ac:dyDescent="0.3">
      <c r="A4" s="42" t="s">
        <v>175</v>
      </c>
      <c r="B4">
        <v>2002</v>
      </c>
    </row>
    <row r="5" spans="1:2" x14ac:dyDescent="0.3">
      <c r="A5" s="40" t="s">
        <v>176</v>
      </c>
      <c r="B5" s="41"/>
    </row>
    <row r="6" spans="1:2" x14ac:dyDescent="0.3">
      <c r="A6" s="42" t="s">
        <v>177</v>
      </c>
      <c r="B6">
        <v>2640</v>
      </c>
    </row>
    <row r="7" spans="1:2" x14ac:dyDescent="0.3">
      <c r="A7" s="40" t="s">
        <v>178</v>
      </c>
      <c r="B7" s="41"/>
    </row>
    <row r="8" spans="1:2" x14ac:dyDescent="0.3">
      <c r="A8" s="42" t="s">
        <v>179</v>
      </c>
      <c r="B8">
        <v>10560</v>
      </c>
    </row>
    <row r="9" spans="1:2" x14ac:dyDescent="0.3">
      <c r="A9" s="40" t="s">
        <v>134</v>
      </c>
      <c r="B9" s="41"/>
    </row>
    <row r="10" spans="1:2" x14ac:dyDescent="0.3">
      <c r="A10" s="42" t="s">
        <v>180</v>
      </c>
      <c r="B10">
        <v>9178.4</v>
      </c>
    </row>
    <row r="11" spans="1:2" x14ac:dyDescent="0.3">
      <c r="A11" s="40" t="s">
        <v>138</v>
      </c>
      <c r="B11" s="41"/>
    </row>
    <row r="12" spans="1:2" x14ac:dyDescent="0.3">
      <c r="A12" s="42" t="s">
        <v>181</v>
      </c>
      <c r="B12">
        <v>12556</v>
      </c>
    </row>
    <row r="13" spans="1:2" x14ac:dyDescent="0.3">
      <c r="A13" s="40" t="s">
        <v>182</v>
      </c>
      <c r="B13" s="41"/>
    </row>
    <row r="14" spans="1:2" x14ac:dyDescent="0.3">
      <c r="A14" s="42" t="s">
        <v>183</v>
      </c>
      <c r="B14">
        <v>3400</v>
      </c>
    </row>
    <row r="15" spans="1:2" x14ac:dyDescent="0.3">
      <c r="A15" s="40" t="s">
        <v>184</v>
      </c>
      <c r="B15" s="41"/>
    </row>
    <row r="16" spans="1:2" x14ac:dyDescent="0.3">
      <c r="A16" s="42" t="s">
        <v>185</v>
      </c>
      <c r="B16">
        <v>20000</v>
      </c>
    </row>
    <row r="17" spans="1:2" x14ac:dyDescent="0.3">
      <c r="A17" s="43" t="s">
        <v>91</v>
      </c>
      <c r="B17" s="44">
        <v>60344.94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1668D-4B9B-457A-B47C-DF9ADE3C2CE9}">
  <dimension ref="A1:D16"/>
  <sheetViews>
    <sheetView workbookViewId="0">
      <selection activeCell="D16" sqref="D16"/>
    </sheetView>
  </sheetViews>
  <sheetFormatPr baseColWidth="10" defaultRowHeight="14.4" x14ac:dyDescent="0.3"/>
  <cols>
    <col min="2" max="2" width="13" customWidth="1"/>
    <col min="3" max="3" width="83.44140625" customWidth="1"/>
  </cols>
  <sheetData>
    <row r="1" spans="1:4" ht="15" thickBot="1" x14ac:dyDescent="0.35">
      <c r="A1" s="45" t="s">
        <v>187</v>
      </c>
      <c r="B1" s="46" t="s">
        <v>188</v>
      </c>
      <c r="C1" s="46" t="s">
        <v>189</v>
      </c>
      <c r="D1" s="47" t="s">
        <v>1</v>
      </c>
    </row>
    <row r="2" spans="1:4" ht="15" thickTop="1" x14ac:dyDescent="0.3">
      <c r="A2" s="48" t="s">
        <v>190</v>
      </c>
      <c r="B2" s="49" t="s">
        <v>3</v>
      </c>
      <c r="C2" s="49" t="s">
        <v>191</v>
      </c>
      <c r="D2" s="50">
        <v>423.58</v>
      </c>
    </row>
    <row r="3" spans="1:4" x14ac:dyDescent="0.3">
      <c r="A3" s="51" t="s">
        <v>190</v>
      </c>
      <c r="B3" s="52" t="s">
        <v>3</v>
      </c>
      <c r="C3" s="52" t="s">
        <v>192</v>
      </c>
      <c r="D3" s="53">
        <v>576.71</v>
      </c>
    </row>
    <row r="4" spans="1:4" x14ac:dyDescent="0.3">
      <c r="A4" s="48" t="s">
        <v>190</v>
      </c>
      <c r="B4" s="49" t="s">
        <v>3</v>
      </c>
      <c r="C4" s="49" t="s">
        <v>193</v>
      </c>
      <c r="D4" s="50">
        <v>3203.2</v>
      </c>
    </row>
    <row r="5" spans="1:4" x14ac:dyDescent="0.3">
      <c r="A5" s="51" t="s">
        <v>190</v>
      </c>
      <c r="B5" s="52" t="s">
        <v>194</v>
      </c>
      <c r="C5" s="52" t="s">
        <v>195</v>
      </c>
      <c r="D5" s="53">
        <v>2640</v>
      </c>
    </row>
    <row r="6" spans="1:4" x14ac:dyDescent="0.3">
      <c r="A6" s="48" t="s">
        <v>190</v>
      </c>
      <c r="B6" s="49" t="s">
        <v>196</v>
      </c>
      <c r="C6" s="49" t="s">
        <v>197</v>
      </c>
      <c r="D6" s="50">
        <v>18040</v>
      </c>
    </row>
    <row r="7" spans="1:4" x14ac:dyDescent="0.3">
      <c r="A7" s="51" t="s">
        <v>190</v>
      </c>
      <c r="B7" s="52" t="s">
        <v>196</v>
      </c>
      <c r="C7" s="52" t="s">
        <v>198</v>
      </c>
      <c r="D7" s="53">
        <v>18040</v>
      </c>
    </row>
    <row r="8" spans="1:4" x14ac:dyDescent="0.3">
      <c r="A8" s="48" t="s">
        <v>190</v>
      </c>
      <c r="B8" s="49" t="s">
        <v>199</v>
      </c>
      <c r="C8" s="49" t="s">
        <v>200</v>
      </c>
      <c r="D8" s="50">
        <v>6600</v>
      </c>
    </row>
    <row r="9" spans="1:4" x14ac:dyDescent="0.3">
      <c r="A9" s="51" t="s">
        <v>190</v>
      </c>
      <c r="B9" s="52" t="s">
        <v>138</v>
      </c>
      <c r="C9" s="52" t="s">
        <v>201</v>
      </c>
      <c r="D9" s="53">
        <v>6424</v>
      </c>
    </row>
    <row r="10" spans="1:4" x14ac:dyDescent="0.3">
      <c r="A10" s="48" t="s">
        <v>190</v>
      </c>
      <c r="B10" s="49" t="s">
        <v>182</v>
      </c>
      <c r="C10" s="49" t="s">
        <v>202</v>
      </c>
      <c r="D10" s="50">
        <v>17000</v>
      </c>
    </row>
    <row r="11" spans="1:4" x14ac:dyDescent="0.3">
      <c r="A11" s="51" t="s">
        <v>190</v>
      </c>
      <c r="B11" s="52" t="s">
        <v>184</v>
      </c>
      <c r="C11" s="52" t="s">
        <v>203</v>
      </c>
      <c r="D11" s="53">
        <v>20000</v>
      </c>
    </row>
    <row r="12" spans="1:4" ht="15" thickBot="1" x14ac:dyDescent="0.35">
      <c r="A12" s="48" t="s">
        <v>190</v>
      </c>
      <c r="B12" s="49" t="s">
        <v>204</v>
      </c>
      <c r="C12" s="49" t="s">
        <v>205</v>
      </c>
      <c r="D12" s="50">
        <v>14942</v>
      </c>
    </row>
    <row r="13" spans="1:4" ht="15" thickTop="1" x14ac:dyDescent="0.3">
      <c r="A13" s="54" t="s">
        <v>2</v>
      </c>
      <c r="B13" s="55"/>
      <c r="C13" s="55"/>
      <c r="D13" s="56">
        <v>107889.48999999999</v>
      </c>
    </row>
    <row r="16" spans="1:4" x14ac:dyDescent="0.3">
      <c r="C16" s="81" t="s">
        <v>270</v>
      </c>
      <c r="D16" s="82">
        <f>D13+'ingresos investigación 2020'!B17+'Ingresos investigación 2019'!B18</f>
        <v>338583.43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
  <sheetViews>
    <sheetView zoomScaleNormal="100" workbookViewId="0">
      <selection activeCell="B1" sqref="A1:B1"/>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140</v>
      </c>
      <c r="B2" s="5"/>
    </row>
    <row r="3" spans="1:2" x14ac:dyDescent="0.2">
      <c r="A3" s="4" t="s">
        <v>141</v>
      </c>
      <c r="B3" s="5">
        <v>2800</v>
      </c>
    </row>
    <row r="4" spans="1:2" x14ac:dyDescent="0.2">
      <c r="A4" s="6" t="s">
        <v>2</v>
      </c>
      <c r="B4" s="7">
        <f>SUM(B3:B3)</f>
        <v>2800</v>
      </c>
    </row>
  </sheetData>
  <pageMargins left="0.39370078740157483" right="0.39370078740157483"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B2ED9-949A-493F-B71E-BB1CB0933024}">
  <dimension ref="A1:B4"/>
  <sheetViews>
    <sheetView topLeftCell="B1" workbookViewId="0">
      <selection activeCell="A6" sqref="A6"/>
    </sheetView>
  </sheetViews>
  <sheetFormatPr baseColWidth="10" defaultRowHeight="14.4" x14ac:dyDescent="0.3"/>
  <cols>
    <col min="1" max="1" width="255.6640625" bestFit="1" customWidth="1"/>
  </cols>
  <sheetData>
    <row r="1" spans="1:2" ht="21.6" x14ac:dyDescent="0.3">
      <c r="A1" s="2" t="s">
        <v>0</v>
      </c>
      <c r="B1" s="3" t="s">
        <v>1</v>
      </c>
    </row>
    <row r="2" spans="1:2" x14ac:dyDescent="0.3">
      <c r="A2" s="40" t="s">
        <v>140</v>
      </c>
      <c r="B2" s="41"/>
    </row>
    <row r="3" spans="1:2" x14ac:dyDescent="0.3">
      <c r="A3" s="42" t="s">
        <v>186</v>
      </c>
      <c r="B3">
        <v>2800</v>
      </c>
    </row>
    <row r="4" spans="1:2" x14ac:dyDescent="0.3">
      <c r="A4" s="43" t="s">
        <v>91</v>
      </c>
      <c r="B4" s="44">
        <v>2800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BDF8D-CD06-40A7-8579-6AB252535612}">
  <dimension ref="A1:D13"/>
  <sheetViews>
    <sheetView workbookViewId="0">
      <selection activeCell="C13" sqref="C13:D13"/>
    </sheetView>
  </sheetViews>
  <sheetFormatPr baseColWidth="10" defaultRowHeight="14.4" x14ac:dyDescent="0.3"/>
  <cols>
    <col min="2" max="2" width="13.109375" customWidth="1"/>
    <col min="3" max="3" width="88.33203125" customWidth="1"/>
  </cols>
  <sheetData>
    <row r="1" spans="1:4" x14ac:dyDescent="0.3">
      <c r="A1" s="57" t="s">
        <v>187</v>
      </c>
      <c r="B1" s="58" t="s">
        <v>188</v>
      </c>
      <c r="C1" s="58" t="s">
        <v>189</v>
      </c>
      <c r="D1" s="59" t="s">
        <v>1</v>
      </c>
    </row>
    <row r="2" spans="1:4" x14ac:dyDescent="0.3">
      <c r="A2" s="60" t="s">
        <v>190</v>
      </c>
      <c r="B2" s="61" t="s">
        <v>140</v>
      </c>
      <c r="C2" s="61" t="s">
        <v>206</v>
      </c>
      <c r="D2" s="62">
        <v>2800</v>
      </c>
    </row>
    <row r="3" spans="1:4" x14ac:dyDescent="0.3">
      <c r="A3" s="63" t="s">
        <v>190</v>
      </c>
      <c r="B3" s="64" t="s">
        <v>207</v>
      </c>
      <c r="C3" s="64" t="s">
        <v>208</v>
      </c>
      <c r="D3" s="65">
        <v>23.6</v>
      </c>
    </row>
    <row r="4" spans="1:4" x14ac:dyDescent="0.3">
      <c r="A4" s="60" t="s">
        <v>190</v>
      </c>
      <c r="B4" s="61" t="s">
        <v>207</v>
      </c>
      <c r="C4" s="61" t="s">
        <v>209</v>
      </c>
      <c r="D4" s="62">
        <v>48.32</v>
      </c>
    </row>
    <row r="5" spans="1:4" x14ac:dyDescent="0.3">
      <c r="A5" s="63" t="s">
        <v>190</v>
      </c>
      <c r="B5" s="64" t="s">
        <v>207</v>
      </c>
      <c r="C5" s="64" t="s">
        <v>210</v>
      </c>
      <c r="D5" s="65">
        <v>68.760000000000005</v>
      </c>
    </row>
    <row r="6" spans="1:4" x14ac:dyDescent="0.3">
      <c r="A6" s="60" t="s">
        <v>190</v>
      </c>
      <c r="B6" s="61" t="s">
        <v>207</v>
      </c>
      <c r="C6" s="61" t="s">
        <v>211</v>
      </c>
      <c r="D6" s="62">
        <v>80.7</v>
      </c>
    </row>
    <row r="7" spans="1:4" x14ac:dyDescent="0.3">
      <c r="A7" s="63" t="s">
        <v>190</v>
      </c>
      <c r="B7" s="64" t="s">
        <v>207</v>
      </c>
      <c r="C7" s="64" t="s">
        <v>212</v>
      </c>
      <c r="D7" s="65">
        <v>240.66</v>
      </c>
    </row>
    <row r="8" spans="1:4" x14ac:dyDescent="0.3">
      <c r="A8" s="60" t="s">
        <v>190</v>
      </c>
      <c r="B8" s="61" t="s">
        <v>207</v>
      </c>
      <c r="C8" s="61" t="s">
        <v>213</v>
      </c>
      <c r="D8" s="62">
        <v>298.76</v>
      </c>
    </row>
    <row r="9" spans="1:4" ht="15" thickBot="1" x14ac:dyDescent="0.35">
      <c r="A9" s="63" t="s">
        <v>190</v>
      </c>
      <c r="B9" s="64" t="s">
        <v>207</v>
      </c>
      <c r="C9" s="64" t="s">
        <v>214</v>
      </c>
      <c r="D9" s="65">
        <v>355.26</v>
      </c>
    </row>
    <row r="10" spans="1:4" ht="15" thickTop="1" x14ac:dyDescent="0.3">
      <c r="A10" s="66" t="s">
        <v>2</v>
      </c>
      <c r="B10" s="67"/>
      <c r="C10" s="67"/>
      <c r="D10" s="68">
        <v>3916.0600000000004</v>
      </c>
    </row>
    <row r="13" spans="1:4" x14ac:dyDescent="0.3">
      <c r="C13" s="81" t="s">
        <v>271</v>
      </c>
      <c r="D13" s="82">
        <f>D10+'ingresos formación 2020'!B4+'Ingresos formación 2019'!B4</f>
        <v>9516.0600000000013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Tesis</vt:lpstr>
      <vt:lpstr>Sexenios</vt:lpstr>
      <vt:lpstr>Ingresos investigación 2019</vt:lpstr>
      <vt:lpstr>ingresos investigación 2020</vt:lpstr>
      <vt:lpstr>Ingresos investigación 2021</vt:lpstr>
      <vt:lpstr>Ingresos formación 2019</vt:lpstr>
      <vt:lpstr>ingresos formación 2020</vt:lpstr>
      <vt:lpstr>Ingresos formación 2021</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21511974M</cp:lastModifiedBy>
  <cp:lastPrinted>2019-07-03T07:26:29Z</cp:lastPrinted>
  <dcterms:created xsi:type="dcterms:W3CDTF">2019-07-03T07:15:54Z</dcterms:created>
  <dcterms:modified xsi:type="dcterms:W3CDTF">2022-10-18T15:41:31Z</dcterms:modified>
</cp:coreProperties>
</file>