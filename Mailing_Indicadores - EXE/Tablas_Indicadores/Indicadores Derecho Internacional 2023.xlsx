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H:\Mi unidad\Presupuestación\Presupuesto 2023\Departamentos\Departamentos\"/>
    </mc:Choice>
  </mc:AlternateContent>
  <xr:revisionPtr revIDLastSave="0" documentId="13_ncr:1_{6ADA5753-03C5-460D-90AC-1AD7ED943E5F}" xr6:coauthVersionLast="47" xr6:coauthVersionMax="47" xr10:uidLastSave="{00000000-0000-0000-0000-000000000000}"/>
  <bookViews>
    <workbookView xWindow="22932" yWindow="-108" windowWidth="23256" windowHeight="12456" tabRatio="780" xr2:uid="{00000000-000D-0000-FFFF-FFFF00000000}"/>
  </bookViews>
  <sheets>
    <sheet name="Tesis" sheetId="5" r:id="rId1"/>
    <sheet name="Sexenios" sheetId="6" r:id="rId2"/>
    <sheet name="Ingresos investigación 2019" sheetId="9" r:id="rId3"/>
    <sheet name="Ingresos investigación 2020" sheetId="11" r:id="rId4"/>
    <sheet name="Ingresos investigación 2021" sheetId="13" r:id="rId5"/>
    <sheet name="Ingresos formación 2019" sheetId="10" r:id="rId6"/>
    <sheet name="Ingresos formación 2020" sheetId="12" r:id="rId7"/>
    <sheet name="Ingresos formación 2021" sheetId="14" r:id="rId8"/>
  </sheets>
  <definedNames>
    <definedName name="_xlnm._FilterDatabase" localSheetId="1" hidden="1">Sexenios!$A$1:$S$11</definedName>
    <definedName name="_xlnm._FilterDatabase" localSheetId="0" hidden="1">Tesis!$A$1:$U$10</definedName>
    <definedName name="_xlnm.Print_Titles" localSheetId="1">Sexenios!$1:$1</definedName>
    <definedName name="_xlnm.Print_Titles" localSheetId="0">Tesis!$D:$D,Tesis!$1:$1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16" i="6" l="1"/>
  <c r="S12" i="5" l="1"/>
  <c r="B9" i="14" l="1"/>
  <c r="B20" i="13"/>
  <c r="B9" i="12" l="1"/>
  <c r="B25" i="11"/>
  <c r="B14" i="10" l="1"/>
  <c r="B12" i="14" s="1"/>
  <c r="B28" i="9"/>
  <c r="B24" i="13" s="1"/>
</calcChain>
</file>

<file path=xl/sharedStrings.xml><?xml version="1.0" encoding="utf-8"?>
<sst xmlns="http://schemas.openxmlformats.org/spreadsheetml/2006/main" count="387" uniqueCount="182">
  <si>
    <t>Orgánica
Descripción justificante</t>
  </si>
  <si>
    <t>Importe</t>
  </si>
  <si>
    <t>Total</t>
  </si>
  <si>
    <t>31.70.6P.00.07</t>
  </si>
  <si>
    <t>31.70.6P.00.09</t>
  </si>
  <si>
    <t>31.70.6X.00.08</t>
  </si>
  <si>
    <t>31.70.2T.00.01</t>
  </si>
  <si>
    <t>31.70.2T.00.02</t>
  </si>
  <si>
    <t>C.D.</t>
  </si>
  <si>
    <t>Departamento</t>
  </si>
  <si>
    <t>Plan</t>
  </si>
  <si>
    <t>Alumno</t>
  </si>
  <si>
    <t>Tesis</t>
  </si>
  <si>
    <t>Fecha</t>
  </si>
  <si>
    <t>Tutor</t>
  </si>
  <si>
    <t>Rol</t>
  </si>
  <si>
    <t>C.DEP.</t>
  </si>
  <si>
    <t>Departamento Tutor</t>
  </si>
  <si>
    <t>ASIGNACIÓN</t>
  </si>
  <si>
    <t>DEP.ASIG.</t>
  </si>
  <si>
    <t>EJERCICIO</t>
  </si>
  <si>
    <t>INS 1</t>
  </si>
  <si>
    <t>DED INS 1</t>
  </si>
  <si>
    <t>INS 2</t>
  </si>
  <si>
    <t>DED INS 2</t>
  </si>
  <si>
    <t>DED DEP</t>
  </si>
  <si>
    <t>TDOC DEP</t>
  </si>
  <si>
    <t>TDOC INST 1</t>
  </si>
  <si>
    <t>TDOC INST 2</t>
  </si>
  <si>
    <t>Codirector de tesis </t>
  </si>
  <si>
    <t>50</t>
  </si>
  <si>
    <t/>
  </si>
  <si>
    <t>U025 </t>
  </si>
  <si>
    <t>ADM. FACULTAD DE DERECHO </t>
  </si>
  <si>
    <t>DOCTORADO EN DERECHO </t>
  </si>
  <si>
    <t>B108 </t>
  </si>
  <si>
    <t>DCHO. INTERNACIONAL PUBLICO Y DCHO. PENAL </t>
  </si>
  <si>
    <t>15965074S </t>
  </si>
  <si>
    <t>B108</t>
  </si>
  <si>
    <t>33238927V </t>
  </si>
  <si>
    <t>Cardoso Régis, Jonathan </t>
  </si>
  <si>
    <t>A (IM)POSSIBILIDADE DA DIMINUIÇAO DA MAIORIDADE PENAL SUSTENTADA PELA TEORIA GERAL DOS DIREITOS HUMANOS: ANÁLISE A PARTIR DAS INICIATIVAS DE PRODUÇAO DO DIREITO NO BRASIL </t>
  </si>
  <si>
    <t>28/03/2017 </t>
  </si>
  <si>
    <t>02497581B </t>
  </si>
  <si>
    <t>Chaves Junior, Airto </t>
  </si>
  <si>
    <t>"A CONSTRUÇAO DE SENTIDOS EM TORNO DAS VIOLÊNCIAS NAS PRISOES: A VIOLÊNCIA SISTÊMICA DO UNIVERSO INTRAMUROS E O SEU (VIOLENTO) REFLEXO NO MUNDO EXTERNO" </t>
  </si>
  <si>
    <t>Moya Guillem, Clara </t>
  </si>
  <si>
    <t>LA REPRESEIÓN PENAL DEL TRÁFICO DE ÓRGANOS HUMANOS. ELEMENTOS PARA UNA EVALUACIÓN POLÍTICO-CRIMINAL </t>
  </si>
  <si>
    <t>03/07/2017 </t>
  </si>
  <si>
    <t>Soler García, Carolina </t>
  </si>
  <si>
    <t>LA EXPULSIÓN DE EXTRANJEROS EN LA JURISPRUDENCIA DE LOS TRIBUNALES REGIONALES EUROPEOS </t>
  </si>
  <si>
    <t>12/04/2019 </t>
  </si>
  <si>
    <t>25126587F </t>
  </si>
  <si>
    <t>DCHO. INTERNACIONAL PÚBLICO Y DCHO. PENAL </t>
  </si>
  <si>
    <t>10.25</t>
  </si>
  <si>
    <t>NIF</t>
  </si>
  <si>
    <t>NOMBRE_COMPLETO</t>
  </si>
  <si>
    <t>TIPO_SEXENIO</t>
  </si>
  <si>
    <t>Total general</t>
  </si>
  <si>
    <t>INS
1</t>
  </si>
  <si>
    <t>DED
INS 1</t>
  </si>
  <si>
    <t>INS
2</t>
  </si>
  <si>
    <t>DED
INS 2</t>
  </si>
  <si>
    <t>DED
DEP</t>
  </si>
  <si>
    <t>SEX
INS 1</t>
  </si>
  <si>
    <t>SEX
INS 2</t>
  </si>
  <si>
    <t>SEX
DEP</t>
  </si>
  <si>
    <t>FUNCIONARIO</t>
  </si>
  <si>
    <t>NO FUNCIONARIO</t>
  </si>
  <si>
    <t>15998346Y</t>
  </si>
  <si>
    <t>BLANCO CORDERO, ISIDORO</t>
  </si>
  <si>
    <t>50428821X</t>
  </si>
  <si>
    <t>CARRASCO ANDRINO, MARIA DEL MAR</t>
  </si>
  <si>
    <t>15965074S</t>
  </si>
  <si>
    <t>DOVAL PAIS, ANTONIO</t>
  </si>
  <si>
    <t>48356031A</t>
  </si>
  <si>
    <t>FERNANDEZ-PACHECO ESTRADA, CRISTINA</t>
  </si>
  <si>
    <t>25126587F</t>
  </si>
  <si>
    <t>FERRER LLORET, JAUME</t>
  </si>
  <si>
    <t>33238927V</t>
  </si>
  <si>
    <t>JUANATEY DORADO, CARMEN</t>
  </si>
  <si>
    <t>48325573C</t>
  </si>
  <si>
    <t>MOYA FUENTES, MARIA DEL MAR</t>
  </si>
  <si>
    <t>21432524C</t>
  </si>
  <si>
    <t>RENART GARCIA, FELIPE</t>
  </si>
  <si>
    <t>33486240B</t>
  </si>
  <si>
    <t>REQUENA CASANOVA, MILLAN</t>
  </si>
  <si>
    <t>48772412S</t>
  </si>
  <si>
    <t>SANDOVAL CORONADO, JUAN CARLOS</t>
  </si>
  <si>
    <t>31.70.6C.00.07</t>
  </si>
  <si>
    <t>Opinión jurídica del prof. Isidoro Blanco Cordero sobre el caso de lavado de dinero 5000553-66.2017.4.04.7000 ante el Juzgado Federal de Apelación de la 4ª Región de Brasil</t>
  </si>
  <si>
    <t>31.70.6C.00.08</t>
  </si>
  <si>
    <t>Elaboración de 2 informes de asesoramiento jurídico sobre la aplicación de la LO 5/1995, de 22 de mayo, del Tribunal del Jurado. Estudios sobre "La intervención de las partes ante la devolución del acta al Jurado" y "La parcialidad de las instrucciones al jurado" Ref. BUFETERUIZMARCO1-19APA</t>
  </si>
  <si>
    <t>LIBERADOS EL 23/04/2019, ANUALIDAD 2019 PROYECTOS I+D (PIA1) N EXPEDIENTE: PIA12015-1 -4 ANUALIDAD REFERENCIA:DER2015-63498-C2-2-P. REF. DEL ORDENANTE PARA EL BENEFICIARIO: 27402219310017418.</t>
  </si>
  <si>
    <t>LIBERADOS EL 23/04/2019, ANUALIDAD 2019 PROYECTOS I+D (PIA 1) N EXPEDIENTE: PIA12016-1 - 4 ANUALIDAD REFERENCIA:DER2016-77228-P. REF. DEL ORDENANTE PARA EL BENEFICIARIO: 27402219310018247.</t>
  </si>
  <si>
    <t>31.70.6P.00.14</t>
  </si>
  <si>
    <t>EXP:2018/SP01010010/00001437 PROYECTO 130-14051 SUBVENCIONES PARA PROMOVER LA CULTURA DE DEFENSA. REFERENCIA DEL ORDENANTE PARA EL BENEFICIARIO: 00159219310108768-2019/007663</t>
  </si>
  <si>
    <t>31.70.6P.00.15</t>
  </si>
  <si>
    <t xml:space="preserve">AORG - ORGANITZACIÓ CONGRESSOS </t>
  </si>
  <si>
    <t>31.70.6P.00.16</t>
  </si>
  <si>
    <t>PAGO 1 ANUALIDAD PROYECTOS RETOS I+D+I 2018. ANUAL 2019 PROYECTOS I+D RETOS (PIA 13) N EXPEDIENTE: PIA 132018 - 1- 1 ANUALIDAD REFERENCIA: R. REFERENCIA DEL ORDENANTE PARA EL BENEFICIARIO: 00173219310010847 - 2019/009667</t>
  </si>
  <si>
    <t>PARA EL PAGO DE LA ANUALIDAD 2019 DE LA CONVOCATORIA RTI 2018 PROYECTOS I+D RETOS (PIA 13) N EXPEDIENTE: PIA 132018-1 - 1 ANUALIDAD REFERENC REFERENCIA DEL ORDENANTE PARA EL BENEFICIARIO: 27402219310025859</t>
  </si>
  <si>
    <t>31.70.6P.00.17</t>
  </si>
  <si>
    <t xml:space="preserve">SUBVENCIONES REALIZACION PROYECTOS I+D+IGRUPOS INVESTIGACION EMERGENTES GV/2019 </t>
  </si>
  <si>
    <t>31.70.6X.00.06</t>
  </si>
  <si>
    <t>REINTEGRO CUOTA PATRONAL CORRESPONDIENTE AL MES DE DICIEMBRE DE 2019.</t>
  </si>
  <si>
    <t>REINTEGRO CUOTA PATRONAL CORRESPONDIENTE AL MES DE NOVIEMBRE 2019.</t>
  </si>
  <si>
    <t>REINTEGRO CUOTA PATRONAL CORRESPONDIENTE AL MES DE OCTUBRE 2019.</t>
  </si>
  <si>
    <t>31.70.6X.00.09</t>
  </si>
  <si>
    <t>1984013726 610499-EPP-1-2019-1-ES-EPPJMO-PROJE2019-1838/001/01 PREFINANCING UNIVERSIDAD DE ALICANTE. REF. ORDENANTE: 1993345259. REF.BENEFICIARIO: 3642601012833. LA OFICINA DE GESTIÓND E PROYECTOS INTERNACIONALES INFORMA QUE SE TRATA DEL PRIMER INGRESO DE LA ACCIÓN JEAN MONNET CON TÍTULO "EU FOR SECONDARY SCHOOL STUDENTS AND TEACHERS: A SPANISH PERSPECTIVE" ACRÓNIMO "EUSSUA 19". DEPARTAMENTO DE DERECHO INTERNACIONAL PÚBLICO Y DERECHO PENAL.</t>
  </si>
  <si>
    <t>Liquidación  PLAN G392 curso ''LA UNIÓN EUROPEA Y LOS DERECHOS HUMANOS 2ª EDICIÓN'' ORDEN 5452</t>
  </si>
  <si>
    <t>Liquidación  PLAN G392 curso ''LA UNIÓN EUROPEA Y LOS DERECHOS HUMANOS, 1ª EDICIÓN'' ORDEN 5323</t>
  </si>
  <si>
    <t>Liquidación  PLAN GB43 curso ''INMIGRACIÓN, DERECHOS HUMANOS Y CONTROL DE FRONTERA EN LA UNIÓN EUROPEA'' ORDEN 5386</t>
  </si>
  <si>
    <t>31.70.2T.00.03</t>
  </si>
  <si>
    <t>43 becas para la formación de alumnos del IVASPE en estudios de Experto Universitario en Prevención e Intervención en Violencia de Género.</t>
  </si>
  <si>
    <t>Liquidación  PLAN 9280 curso ''EXPERTO EN PREVENCIÓN E INTERVENCIÓN EN VIOLENCIA DE GÉNERO'' ORDEN 5498</t>
  </si>
  <si>
    <t>31.70.2T.00.04</t>
  </si>
  <si>
    <t>Liquidación PLAN 9280 "Experto en prevención e intervención en violencia de género"</t>
  </si>
  <si>
    <t>COD DEP</t>
  </si>
  <si>
    <t>31247796L</t>
  </si>
  <si>
    <t>SANCHEZ MORALEDA VILCHES, NATALIA</t>
  </si>
  <si>
    <t>Gutiérrez Pérez, Elena </t>
  </si>
  <si>
    <t>ALZAMIENTO DE BIENES E INSOLVENCIAS PUNIBLES. BASES PARA UNA TEORÍA GENERAL </t>
  </si>
  <si>
    <t>27/11/2020 </t>
  </si>
  <si>
    <t>48356031A </t>
  </si>
  <si>
    <t>31.70.6C.00.09</t>
  </si>
  <si>
    <t>Informes jurídicos sobre: 1. Valorac. de la normativa de prevención q exige la inscripción en el Reg Mercantil de los Prestadores de Servicios Societarios... 2. Valorac. de la obligación de las filiales de entidades de crédito de contar con la informac de las posiciones de clientes nacionales en otras entidades del grupo.</t>
  </si>
  <si>
    <t xml:space="preserve">FLIB 30/06/2020. PROYECTOS RETOS INVESTIGACION 201 / 8. ANUAL 2020 PROYECTOS I+D RETOS (PIA13) N E / XPEDIENTE: PIA132018-1 - 2 ANUALIDAD REFERE / GOVT / </t>
  </si>
  <si>
    <t>31.70.6P.00.19</t>
  </si>
  <si>
    <t xml:space="preserve">RESOLUCIÓN CONCESIÓN DE 16/06/2020 SUBV.AORG/2020 (INNOVACIÓN,UNIVERSIDADES,CIENCIA SOC.DIG). </t>
  </si>
  <si>
    <t>31.70.6P.00.20</t>
  </si>
  <si>
    <t xml:space="preserve">PAGO CONVOCATORIA PROYECTOS 2019 1ANUALIDAD 2020 PROYECTOS I+D (PIA 1)N EXPEDIENTE: PIA 1 2019-1-1. ANUALIDAD REFERENCIA: PID2019-107311RB-I00 </t>
  </si>
  <si>
    <t>31.70.6P.00.21</t>
  </si>
  <si>
    <t>SUBVENCIONES PARA LA REALIZACIÓN DE PROYECTOS DE I+D+I DESARROLLADOS POR GRUPOS DE INVESTIGACIÓN EMERGENTES GV/2020 (NNOVACIÓN,UNIVERSIDADES,CIENCIA SOC.DIG)</t>
  </si>
  <si>
    <t>31.70.6P.00.22</t>
  </si>
  <si>
    <t xml:space="preserve">EXP: 2019/SP01010010/00001497 PROYECTO 130-22705 SUBVENCIONES PARA PROMOVER LA CULTURA DE DEFENSA. </t>
  </si>
  <si>
    <t>PAGO FINAL PROYECTO MIGRANT¿S RIGTHS, INVESTIGADOR PRINCIPAL MILLÁN REQUENA</t>
  </si>
  <si>
    <t>REINTEGRO CUOTA PATRONAL CORRESPONDIENTE A DICIEMBRE DE 2020.</t>
  </si>
  <si>
    <t>REINTEGRO CUOTA PATRONAL CORRESPONDIENTE A OCTUBRE DE 2020.</t>
  </si>
  <si>
    <t>PAGO FINAL PROYECTO EUSSUA 19. INVESTIGADOR PRINCIPAL JAUME FERRER, según nos informan desde la OGPI</t>
  </si>
  <si>
    <t>31.70.6X.00.10</t>
  </si>
  <si>
    <t>INGRESO DE LA COMISIÓN EUROPEA: PROYECTO EUSSUA 20, INVESTIGADOR PRINCIPAL: JAUME FERRER. SEGÚN INFORMA LA OGPI</t>
  </si>
  <si>
    <t>31.70.6X.00.11</t>
  </si>
  <si>
    <t>INGRESO DE LA COMISIÓN EUROPEA: PROYECTO CIIE-UA 20, INVESTIGADOR PRINCIPAL JAUME FERRER, SEGÚN INFORMA LA OGPI</t>
  </si>
  <si>
    <t>PLAN G392 2019/20 "La Unión Europea y los Derechos Humanos"</t>
  </si>
  <si>
    <t xml:space="preserve">Plan G392 2020-21 LA UNIÓN EUROPEA Y LOS DERECHOS HUMANOS </t>
  </si>
  <si>
    <t>Plan GB43 2019/20 "Inmigración, derechos humanos y control de frontera a la UE"</t>
  </si>
  <si>
    <t>31.70.2T.00.05</t>
  </si>
  <si>
    <t>Plan GD80 Liquidación del curso "La Unión Europea: organización y funcionamiento,1ª Edición"</t>
  </si>
  <si>
    <t>31.70.6C.00.10</t>
  </si>
  <si>
    <t>ELABORACIÓN DE LOS LINEAMIENTOS TÉCNICOS EN MATERIA DE RECUPERACIÓN DE ACTIVOS Y ALCANCE DE LA LEGISLACIÓN ECUATORIANA EN MATERIA DE COMISO DEL PRODUCTO/INSTRUMENTO DEL DELITO</t>
  </si>
  <si>
    <t>31.70.6C.00.12</t>
  </si>
  <si>
    <t xml:space="preserve">Informe sobre la adecuación de los hechos investigados en el procedimiento penal en el art. 286 del Código Penal. Revisión de la línea de defensa diseñada por el despacho, con propuesta de mejora si fuese conveniente.  </t>
  </si>
  <si>
    <t xml:space="preserve">RTI2018-096398-B-I00 </t>
  </si>
  <si>
    <t>PID2019-107311RB-I00</t>
  </si>
  <si>
    <t>RESOLUCIÓN CONCESIÓN SUBVENCIONESEMERGENTES GV 2020 EN 2021</t>
  </si>
  <si>
    <t>31.70.6P.00.23</t>
  </si>
  <si>
    <t>EXP : 2020/SP01010010/00001698 PROYECTO 130-46967 SUBVENCIONES PARA PROMOVER LA CULTURA DE DEFENSA 2021</t>
  </si>
  <si>
    <t>31.70.6P.00.24</t>
  </si>
  <si>
    <t>AYUDAS GRUPOS EMERGENTES ANUALIDAD 2021</t>
  </si>
  <si>
    <t>2170178541 2018-2029/001/02 Solde599477-EPP-1-2018-1-ES-EPPJMO-CHAIR</t>
  </si>
  <si>
    <t>PROYECTO EUSSUA 20, SEGÚN INFORMAN DESDE LA OGPI</t>
  </si>
  <si>
    <t>Plan G392_2020-21_LA UNION EUROPEA Y LOS DERECHOS HUMANOS. COMPLEMENTARIO AL JI2020/3986.</t>
  </si>
  <si>
    <t xml:space="preserve">Plan G392 curso 2021-22, LA UNIÓN EUROPEA Y LOS DERECHOS HUMANOS </t>
  </si>
  <si>
    <t>Plan GB43 - INMIGRACIÓN, DERECHOS HUMANOS Y CONTROL DE LA FRONTERA A LA UE. Curso 2020-21</t>
  </si>
  <si>
    <t xml:space="preserve">Plan GD80 curso 2021-22, LA UNIÓN EUROPEA: ORGANIZACIÓN Y FUNCIONAMIENTO - 31.70.2T.00.05 </t>
  </si>
  <si>
    <t>Bonsignore Fouquet, Dyango </t>
  </si>
  <si>
    <t>La construcción del sujeto peligroso. Historia, función y formas de la peligrosidad criminal </t>
  </si>
  <si>
    <t>22/10/2021 </t>
  </si>
  <si>
    <t>Muñiz Álvarez, Ana </t>
  </si>
  <si>
    <t>Desafíos y posibilidades de la regulación del uso recreativo del cannabis en el marco del régimen internacional de fiscalización de estupefacientes y sustancias psicotrópicas </t>
  </si>
  <si>
    <t>25/03/2022 </t>
  </si>
  <si>
    <t>15998346Y </t>
  </si>
  <si>
    <t>Director de tesis </t>
  </si>
  <si>
    <t>28959284F</t>
  </si>
  <si>
    <t>URBANEJA CILLAN, JORGE</t>
  </si>
  <si>
    <t>48578505K</t>
  </si>
  <si>
    <t>MOYA GUILLEM, CLARA</t>
  </si>
  <si>
    <t>74380016V</t>
  </si>
  <si>
    <t>SOLER GARCIA, CAROLINA</t>
  </si>
  <si>
    <t>Total ingresos investigación 2019, 2020 y 2021</t>
  </si>
  <si>
    <t>Total ingresos formación 2019, 2020 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</si>
</sst>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2" x14ac:knownFonts="1">
    <font>
      <sz val="11"/>
      <color theme="1"/>
      <name val="Calibri"/>
      <family val="2"/>
      <scheme val="minor"/>
    </font>
    <font>
      <sz val="8"/>
      <color theme="1"/>
      <name val="Arial"/>
      <family val="2"/>
    </font>
    <font>
      <b/>
      <sz val="8"/>
      <color theme="1"/>
      <name val="Arial"/>
      <family val="2"/>
    </font>
    <font>
      <sz val="8"/>
      <name val="Arial"/>
      <family val="2"/>
    </font>
    <font>
      <b/>
      <sz val="8"/>
      <name val="Arial"/>
      <family val="2"/>
    </font>
    <font>
      <b/>
      <sz val="8"/>
      <color indexed="8"/>
      <name val="Arial"/>
      <family val="2"/>
    </font>
    <font>
      <sz val="10"/>
      <color indexed="8"/>
      <name val="Arial"/>
      <family val="2"/>
    </font>
    <font>
      <sz val="10"/>
      <name val="Arial"/>
      <family val="2"/>
    </font>
    <font>
      <b/>
      <sz val="10"/>
      <color indexed="8"/>
      <name val="Arial"/>
      <family val="2"/>
    </font>
    <font>
      <b/>
      <sz val="10"/>
      <name val="Arial"/>
      <family val="2"/>
    </font>
    <font>
      <sz val="10"/>
      <color theme="1"/>
      <name val="Arial"/>
      <family val="2"/>
    </font>
    <font>
      <b/>
      <sz val="10"/>
      <color theme="1"/>
      <name val="Arial"/>
      <family val="2"/>
    </font>
  </fonts>
  <fills count="7">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1"/>
        <bgColor indexed="64"/>
      </patternFill>
    </fill>
    <fill>
      <patternFill patternType="solid">
        <fgColor theme="0" tint="-0.149998474074526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diagonal/>
    </border>
  </borders>
  <cellStyleXfs count="6">
    <xf numFmtId="0" fontId="0" fillId="0" borderId="0"/>
    <xf numFmtId="0" fontId="3" fillId="0" borderId="0"/>
    <xf numFmtId="0" fontId="6" fillId="0" borderId="0"/>
    <xf numFmtId="0" fontId="6" fillId="0" borderId="0"/>
    <xf numFmtId="0" fontId="7" fillId="0" borderId="0"/>
    <xf numFmtId="0" fontId="1" fillId="0" borderId="0"/>
  </cellStyleXfs>
  <cellXfs count="41">
    <xf numFmtId="0" fontId="0" fillId="0" borderId="0" xfId="0"/>
    <xf numFmtId="0" fontId="1" fillId="0" borderId="0" xfId="0" applyFont="1"/>
    <xf numFmtId="0" fontId="2" fillId="2" borderId="1" xfId="0" applyFont="1" applyFill="1" applyBorder="1" applyAlignment="1">
      <alignment horizontal="left" wrapText="1"/>
    </xf>
    <xf numFmtId="0" fontId="2" fillId="2" borderId="1" xfId="0" applyFont="1" applyFill="1" applyBorder="1" applyAlignment="1">
      <alignment horizontal="center"/>
    </xf>
    <xf numFmtId="0" fontId="1" fillId="0" borderId="1" xfId="0" applyFont="1" applyBorder="1"/>
    <xf numFmtId="4" fontId="1" fillId="0" borderId="1" xfId="0" applyNumberFormat="1" applyFont="1" applyBorder="1"/>
    <xf numFmtId="0" fontId="2" fillId="0" borderId="1" xfId="0" applyFont="1" applyBorder="1"/>
    <xf numFmtId="4" fontId="2" fillId="0" borderId="1" xfId="0" applyNumberFormat="1" applyFont="1" applyBorder="1"/>
    <xf numFmtId="0" fontId="4" fillId="3" borderId="1" xfId="1" applyFont="1" applyFill="1" applyBorder="1" applyAlignment="1">
      <alignment horizontal="center"/>
    </xf>
    <xf numFmtId="0" fontId="5" fillId="3" borderId="1" xfId="1" applyFont="1" applyFill="1" applyBorder="1" applyAlignment="1">
      <alignment horizontal="center"/>
    </xf>
    <xf numFmtId="0" fontId="5" fillId="3" borderId="1" xfId="2" applyFont="1" applyFill="1" applyBorder="1" applyAlignment="1">
      <alignment horizontal="center"/>
    </xf>
    <xf numFmtId="0" fontId="5" fillId="3" borderId="1" xfId="3" applyFont="1" applyFill="1" applyBorder="1" applyAlignment="1">
      <alignment horizontal="center" wrapText="1"/>
    </xf>
    <xf numFmtId="0" fontId="5" fillId="3" borderId="1" xfId="3" applyFont="1" applyFill="1" applyBorder="1" applyAlignment="1">
      <alignment horizontal="right" wrapText="1"/>
    </xf>
    <xf numFmtId="0" fontId="3" fillId="4" borderId="0" xfId="1" applyFont="1" applyFill="1" applyAlignment="1"/>
    <xf numFmtId="0" fontId="3" fillId="4" borderId="0" xfId="1" applyFont="1" applyFill="1" applyAlignment="1">
      <alignment horizontal="right"/>
    </xf>
    <xf numFmtId="0" fontId="9" fillId="5" borderId="1" xfId="3" applyFont="1" applyFill="1" applyBorder="1" applyAlignment="1">
      <alignment horizontal="center" textRotation="90" wrapText="1"/>
    </xf>
    <xf numFmtId="0" fontId="9" fillId="3" borderId="1" xfId="3" applyFont="1" applyFill="1" applyBorder="1" applyAlignment="1">
      <alignment horizontal="center" textRotation="90" wrapText="1"/>
    </xf>
    <xf numFmtId="0" fontId="6" fillId="0" borderId="0" xfId="5" applyFont="1"/>
    <xf numFmtId="0" fontId="10" fillId="0" borderId="0" xfId="5" applyFont="1"/>
    <xf numFmtId="0" fontId="10" fillId="0" borderId="0" xfId="5" applyFont="1" applyAlignment="1">
      <alignment horizontal="right"/>
    </xf>
    <xf numFmtId="0" fontId="8" fillId="2" borderId="1" xfId="0" applyFont="1" applyFill="1" applyBorder="1"/>
    <xf numFmtId="0" fontId="8" fillId="2" borderId="1" xfId="0" applyFont="1" applyFill="1" applyBorder="1" applyAlignment="1">
      <alignment textRotation="90"/>
    </xf>
    <xf numFmtId="0" fontId="0" fillId="0" borderId="1" xfId="0" applyBorder="1"/>
    <xf numFmtId="0" fontId="0" fillId="0" borderId="1" xfId="0" applyBorder="1" applyAlignment="1">
      <alignment horizontal="center"/>
    </xf>
    <xf numFmtId="4" fontId="1" fillId="0" borderId="0" xfId="0" applyNumberFormat="1" applyFont="1"/>
    <xf numFmtId="0" fontId="3" fillId="4" borderId="1" xfId="1" applyFill="1" applyBorder="1"/>
    <xf numFmtId="164" fontId="3" fillId="4" borderId="1" xfId="1" applyNumberFormat="1" applyFill="1" applyBorder="1"/>
    <xf numFmtId="0" fontId="3" fillId="4" borderId="1" xfId="1" applyFill="1" applyBorder="1" applyAlignment="1">
      <alignment horizontal="right"/>
    </xf>
    <xf numFmtId="1" fontId="3" fillId="4" borderId="1" xfId="1" applyNumberFormat="1" applyFill="1" applyBorder="1"/>
    <xf numFmtId="165" fontId="3" fillId="4" borderId="1" xfId="1" applyNumberFormat="1" applyFill="1" applyBorder="1"/>
    <xf numFmtId="0" fontId="3" fillId="0" borderId="1" xfId="1" applyBorder="1"/>
    <xf numFmtId="0" fontId="3" fillId="4" borderId="2" xfId="1" applyFill="1" applyBorder="1"/>
    <xf numFmtId="0" fontId="0" fillId="0" borderId="1" xfId="0" applyBorder="1" applyAlignment="1">
      <alignment horizontal="left"/>
    </xf>
    <xf numFmtId="0" fontId="9" fillId="3" borderId="1" xfId="3" applyFont="1" applyFill="1" applyBorder="1" applyAlignment="1">
      <alignment horizontal="center" wrapText="1"/>
    </xf>
    <xf numFmtId="0" fontId="10" fillId="6" borderId="0" xfId="5" applyFont="1" applyFill="1"/>
    <xf numFmtId="0" fontId="10" fillId="6" borderId="0" xfId="5" applyFont="1" applyFill="1" applyAlignment="1">
      <alignment horizontal="right"/>
    </xf>
    <xf numFmtId="0" fontId="11" fillId="6" borderId="0" xfId="5" applyFont="1" applyFill="1"/>
    <xf numFmtId="0" fontId="3" fillId="6" borderId="0" xfId="1" applyFont="1" applyFill="1" applyAlignment="1"/>
    <xf numFmtId="0" fontId="3" fillId="6" borderId="0" xfId="1" applyFont="1" applyFill="1" applyAlignment="1">
      <alignment horizontal="right"/>
    </xf>
    <xf numFmtId="164" fontId="4" fillId="6" borderId="0" xfId="1" applyNumberFormat="1" applyFont="1" applyFill="1" applyAlignment="1"/>
    <xf numFmtId="0" fontId="2" fillId="0" borderId="1" xfId="0" applyFont="1" applyBorder="1" applyAlignment="1">
      <alignment horizontal="right"/>
    </xf>
  </cellXfs>
  <cellStyles count="6">
    <cellStyle name="Normal" xfId="0" builtinId="0"/>
    <cellStyle name="Normal 2" xfId="4" xr:uid="{00000000-0005-0000-0000-000001000000}"/>
    <cellStyle name="Normal 3" xfId="5" xr:uid="{00000000-0005-0000-0000-000002000000}"/>
    <cellStyle name="Normal_Becas 14_9_2005" xfId="2" xr:uid="{00000000-0005-0000-0000-000003000000}"/>
    <cellStyle name="Normal_Ind.2010" xfId="1" xr:uid="{00000000-0005-0000-0000-000004000000}"/>
    <cellStyle name="Normal_PDI por Centro" xfId="3" xr:uid="{00000000-0005-0000-0000-00000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12"/>
  <sheetViews>
    <sheetView showGridLines="0" tabSelected="1" zoomScale="120" zoomScaleNormal="120" workbookViewId="0">
      <pane xSplit="1" ySplit="1" topLeftCell="F2" activePane="bottomRight" state="frozen"/>
      <selection pane="topRight" activeCell="B1" sqref="B1"/>
      <selection pane="bottomLeft" activeCell="A2" sqref="A2"/>
      <selection pane="bottomRight" activeCell="A12" sqref="A12:U12"/>
    </sheetView>
  </sheetViews>
  <sheetFormatPr baseColWidth="10" defaultColWidth="10.33203125" defaultRowHeight="10.199999999999999" x14ac:dyDescent="0.2"/>
  <cols>
    <col min="1" max="1" width="5" style="13" customWidth="1"/>
    <col min="2" max="4" width="29.6640625" style="13" customWidth="1"/>
    <col min="5" max="5" width="40.6640625" style="13" customWidth="1"/>
    <col min="6" max="6" width="9.109375" style="13" customWidth="1"/>
    <col min="7" max="7" width="9.6640625" style="13" customWidth="1"/>
    <col min="8" max="8" width="14.44140625" style="13" customWidth="1"/>
    <col min="9" max="9" width="5.88671875" style="13" customWidth="1"/>
    <col min="10" max="10" width="37.33203125" style="13" customWidth="1"/>
    <col min="11" max="12" width="5.109375" style="13" customWidth="1"/>
    <col min="13" max="13" width="4.44140625" style="13" customWidth="1"/>
    <col min="14" max="14" width="4.88671875" style="13" customWidth="1"/>
    <col min="15" max="15" width="4.88671875" style="14" customWidth="1"/>
    <col min="16" max="16" width="4.88671875" style="13" customWidth="1"/>
    <col min="17" max="17" width="3.5546875" style="14" customWidth="1"/>
    <col min="18" max="18" width="3.5546875" style="13" customWidth="1"/>
    <col min="19" max="21" width="5.109375" style="13" customWidth="1"/>
    <col min="22" max="16384" width="10.33203125" style="13"/>
  </cols>
  <sheetData>
    <row r="1" spans="1:21" ht="40.799999999999997" x14ac:dyDescent="0.2">
      <c r="A1" s="8" t="s">
        <v>8</v>
      </c>
      <c r="B1" s="9" t="s">
        <v>9</v>
      </c>
      <c r="C1" s="9" t="s">
        <v>10</v>
      </c>
      <c r="D1" s="9" t="s">
        <v>11</v>
      </c>
      <c r="E1" s="9" t="s">
        <v>12</v>
      </c>
      <c r="F1" s="9" t="s">
        <v>13</v>
      </c>
      <c r="G1" s="9" t="s">
        <v>14</v>
      </c>
      <c r="H1" s="9" t="s">
        <v>15</v>
      </c>
      <c r="I1" s="8" t="s">
        <v>16</v>
      </c>
      <c r="J1" s="9" t="s">
        <v>17</v>
      </c>
      <c r="K1" s="8" t="s">
        <v>18</v>
      </c>
      <c r="L1" s="9" t="s">
        <v>19</v>
      </c>
      <c r="M1" s="10" t="s">
        <v>20</v>
      </c>
      <c r="N1" s="11" t="s">
        <v>21</v>
      </c>
      <c r="O1" s="12" t="s">
        <v>22</v>
      </c>
      <c r="P1" s="11" t="s">
        <v>23</v>
      </c>
      <c r="Q1" s="12" t="s">
        <v>24</v>
      </c>
      <c r="R1" s="11" t="s">
        <v>25</v>
      </c>
      <c r="S1" s="11" t="s">
        <v>26</v>
      </c>
      <c r="T1" s="11" t="s">
        <v>27</v>
      </c>
      <c r="U1" s="11" t="s">
        <v>28</v>
      </c>
    </row>
    <row r="2" spans="1:21" x14ac:dyDescent="0.2">
      <c r="A2" s="25" t="s">
        <v>32</v>
      </c>
      <c r="B2" s="25" t="s">
        <v>33</v>
      </c>
      <c r="C2" s="25" t="s">
        <v>34</v>
      </c>
      <c r="D2" s="25" t="s">
        <v>46</v>
      </c>
      <c r="E2" s="25" t="s">
        <v>47</v>
      </c>
      <c r="F2" s="25" t="s">
        <v>48</v>
      </c>
      <c r="G2" s="25" t="s">
        <v>37</v>
      </c>
      <c r="H2" s="25" t="s">
        <v>29</v>
      </c>
      <c r="I2" s="25" t="s">
        <v>35</v>
      </c>
      <c r="J2" s="25" t="s">
        <v>36</v>
      </c>
      <c r="K2" s="26">
        <v>0.5</v>
      </c>
      <c r="L2" s="25" t="s">
        <v>38</v>
      </c>
      <c r="M2" s="25">
        <v>2016</v>
      </c>
      <c r="N2" s="25" t="s">
        <v>31</v>
      </c>
      <c r="O2" s="27" t="s">
        <v>31</v>
      </c>
      <c r="P2" s="25" t="s">
        <v>31</v>
      </c>
      <c r="Q2" s="27" t="s">
        <v>31</v>
      </c>
      <c r="R2" s="28">
        <v>100</v>
      </c>
      <c r="S2" s="26">
        <v>0.5</v>
      </c>
      <c r="T2" s="26">
        <v>0</v>
      </c>
      <c r="U2" s="26">
        <v>0</v>
      </c>
    </row>
    <row r="3" spans="1:21" x14ac:dyDescent="0.2">
      <c r="A3" s="25" t="s">
        <v>32</v>
      </c>
      <c r="B3" s="25" t="s">
        <v>33</v>
      </c>
      <c r="C3" s="25" t="s">
        <v>34</v>
      </c>
      <c r="D3" s="25" t="s">
        <v>46</v>
      </c>
      <c r="E3" s="25" t="s">
        <v>47</v>
      </c>
      <c r="F3" s="25" t="s">
        <v>48</v>
      </c>
      <c r="G3" s="25" t="s">
        <v>39</v>
      </c>
      <c r="H3" s="25" t="s">
        <v>29</v>
      </c>
      <c r="I3" s="25" t="s">
        <v>35</v>
      </c>
      <c r="J3" s="25" t="s">
        <v>36</v>
      </c>
      <c r="K3" s="26">
        <v>0.5</v>
      </c>
      <c r="L3" s="25" t="s">
        <v>38</v>
      </c>
      <c r="M3" s="25">
        <v>2016</v>
      </c>
      <c r="N3" s="25" t="s">
        <v>31</v>
      </c>
      <c r="O3" s="27" t="s">
        <v>31</v>
      </c>
      <c r="P3" s="25" t="s">
        <v>31</v>
      </c>
      <c r="Q3" s="27" t="s">
        <v>31</v>
      </c>
      <c r="R3" s="28">
        <v>100</v>
      </c>
      <c r="S3" s="26">
        <v>0.5</v>
      </c>
      <c r="T3" s="26">
        <v>0</v>
      </c>
      <c r="U3" s="26">
        <v>0</v>
      </c>
    </row>
    <row r="4" spans="1:21" x14ac:dyDescent="0.2">
      <c r="A4" s="25" t="s">
        <v>32</v>
      </c>
      <c r="B4" s="25" t="s">
        <v>33</v>
      </c>
      <c r="C4" s="25" t="s">
        <v>34</v>
      </c>
      <c r="D4" s="25" t="s">
        <v>44</v>
      </c>
      <c r="E4" s="25" t="s">
        <v>45</v>
      </c>
      <c r="F4" s="25" t="s">
        <v>42</v>
      </c>
      <c r="G4" s="25" t="s">
        <v>43</v>
      </c>
      <c r="H4" s="25" t="s">
        <v>29</v>
      </c>
      <c r="I4" s="25" t="s">
        <v>35</v>
      </c>
      <c r="J4" s="25" t="s">
        <v>36</v>
      </c>
      <c r="K4" s="26">
        <v>0.5</v>
      </c>
      <c r="L4" s="25" t="s">
        <v>38</v>
      </c>
      <c r="M4" s="25">
        <v>2016</v>
      </c>
      <c r="N4" s="25" t="s">
        <v>31</v>
      </c>
      <c r="O4" s="27" t="s">
        <v>31</v>
      </c>
      <c r="P4" s="25" t="s">
        <v>31</v>
      </c>
      <c r="Q4" s="27" t="s">
        <v>31</v>
      </c>
      <c r="R4" s="28">
        <v>100</v>
      </c>
      <c r="S4" s="26">
        <v>0.5</v>
      </c>
      <c r="T4" s="26">
        <v>0</v>
      </c>
      <c r="U4" s="26">
        <v>0</v>
      </c>
    </row>
    <row r="5" spans="1:21" x14ac:dyDescent="0.2">
      <c r="A5" s="25" t="s">
        <v>32</v>
      </c>
      <c r="B5" s="25" t="s">
        <v>33</v>
      </c>
      <c r="C5" s="25" t="s">
        <v>34</v>
      </c>
      <c r="D5" s="25" t="s">
        <v>40</v>
      </c>
      <c r="E5" s="25" t="s">
        <v>41</v>
      </c>
      <c r="F5" s="25" t="s">
        <v>42</v>
      </c>
      <c r="G5" s="25" t="s">
        <v>43</v>
      </c>
      <c r="H5" s="25" t="s">
        <v>29</v>
      </c>
      <c r="I5" s="25" t="s">
        <v>35</v>
      </c>
      <c r="J5" s="25" t="s">
        <v>36</v>
      </c>
      <c r="K5" s="26">
        <v>0.5</v>
      </c>
      <c r="L5" s="25" t="s">
        <v>38</v>
      </c>
      <c r="M5" s="25">
        <v>2016</v>
      </c>
      <c r="N5" s="25" t="s">
        <v>31</v>
      </c>
      <c r="O5" s="27" t="s">
        <v>31</v>
      </c>
      <c r="P5" s="25" t="s">
        <v>31</v>
      </c>
      <c r="Q5" s="27" t="s">
        <v>31</v>
      </c>
      <c r="R5" s="28">
        <v>100</v>
      </c>
      <c r="S5" s="26">
        <v>0.5</v>
      </c>
      <c r="T5" s="26">
        <v>0</v>
      </c>
      <c r="U5" s="26">
        <v>0</v>
      </c>
    </row>
    <row r="6" spans="1:21" x14ac:dyDescent="0.2">
      <c r="A6" s="25" t="s">
        <v>32</v>
      </c>
      <c r="B6" s="25" t="s">
        <v>33</v>
      </c>
      <c r="C6" s="25" t="s">
        <v>34</v>
      </c>
      <c r="D6" s="25" t="s">
        <v>49</v>
      </c>
      <c r="E6" s="25" t="s">
        <v>50</v>
      </c>
      <c r="F6" s="25" t="s">
        <v>51</v>
      </c>
      <c r="G6" s="25" t="s">
        <v>52</v>
      </c>
      <c r="H6" s="25" t="s">
        <v>29</v>
      </c>
      <c r="I6" s="25" t="s">
        <v>35</v>
      </c>
      <c r="J6" s="25" t="s">
        <v>53</v>
      </c>
      <c r="K6" s="29">
        <v>0.5</v>
      </c>
      <c r="L6" s="25" t="s">
        <v>38</v>
      </c>
      <c r="M6" s="25">
        <v>2018</v>
      </c>
      <c r="N6" s="25" t="s">
        <v>54</v>
      </c>
      <c r="O6" s="27" t="s">
        <v>30</v>
      </c>
      <c r="P6" s="25" t="s">
        <v>31</v>
      </c>
      <c r="Q6" s="27" t="s">
        <v>31</v>
      </c>
      <c r="R6" s="28">
        <v>100</v>
      </c>
      <c r="S6" s="26">
        <v>0.5</v>
      </c>
      <c r="T6" s="26">
        <v>0</v>
      </c>
      <c r="U6" s="26">
        <v>0</v>
      </c>
    </row>
    <row r="7" spans="1:21" x14ac:dyDescent="0.2">
      <c r="A7" s="25" t="s">
        <v>32</v>
      </c>
      <c r="B7" s="25" t="s">
        <v>33</v>
      </c>
      <c r="C7" s="25" t="s">
        <v>34</v>
      </c>
      <c r="D7" s="25" t="s">
        <v>121</v>
      </c>
      <c r="E7" s="25" t="s">
        <v>122</v>
      </c>
      <c r="F7" s="25" t="s">
        <v>123</v>
      </c>
      <c r="G7" s="25" t="s">
        <v>37</v>
      </c>
      <c r="H7" s="25" t="s">
        <v>29</v>
      </c>
      <c r="I7" s="25" t="s">
        <v>35</v>
      </c>
      <c r="J7" s="25" t="s">
        <v>53</v>
      </c>
      <c r="K7" s="30">
        <v>0.5</v>
      </c>
      <c r="L7" s="30" t="s">
        <v>38</v>
      </c>
      <c r="M7" s="31">
        <v>2019</v>
      </c>
      <c r="N7" s="25" t="s">
        <v>31</v>
      </c>
      <c r="O7" s="27" t="s">
        <v>31</v>
      </c>
      <c r="P7" s="25" t="s">
        <v>31</v>
      </c>
      <c r="Q7" s="27" t="s">
        <v>31</v>
      </c>
      <c r="R7" s="25">
        <v>100</v>
      </c>
      <c r="S7" s="25">
        <v>0.5</v>
      </c>
      <c r="T7" s="25">
        <v>0</v>
      </c>
      <c r="U7" s="25">
        <v>0</v>
      </c>
    </row>
    <row r="8" spans="1:21" x14ac:dyDescent="0.2">
      <c r="A8" s="25" t="s">
        <v>32</v>
      </c>
      <c r="B8" s="25" t="s">
        <v>33</v>
      </c>
      <c r="C8" s="25" t="s">
        <v>34</v>
      </c>
      <c r="D8" s="25" t="s">
        <v>121</v>
      </c>
      <c r="E8" s="25" t="s">
        <v>122</v>
      </c>
      <c r="F8" s="25" t="s">
        <v>123</v>
      </c>
      <c r="G8" s="25" t="s">
        <v>124</v>
      </c>
      <c r="H8" s="25" t="s">
        <v>29</v>
      </c>
      <c r="I8" s="25" t="s">
        <v>35</v>
      </c>
      <c r="J8" s="25" t="s">
        <v>53</v>
      </c>
      <c r="K8" s="30">
        <v>0.5</v>
      </c>
      <c r="L8" s="30" t="s">
        <v>38</v>
      </c>
      <c r="M8" s="31">
        <v>2019</v>
      </c>
      <c r="N8" s="25" t="s">
        <v>31</v>
      </c>
      <c r="O8" s="27" t="s">
        <v>31</v>
      </c>
      <c r="P8" s="25" t="s">
        <v>31</v>
      </c>
      <c r="Q8" s="27" t="s">
        <v>31</v>
      </c>
      <c r="R8" s="25">
        <v>100</v>
      </c>
      <c r="S8" s="25">
        <v>0.5</v>
      </c>
      <c r="T8" s="25">
        <v>0</v>
      </c>
      <c r="U8" s="25">
        <v>0</v>
      </c>
    </row>
    <row r="9" spans="1:21" x14ac:dyDescent="0.2">
      <c r="A9" s="25" t="s">
        <v>32</v>
      </c>
      <c r="B9" s="25" t="s">
        <v>33</v>
      </c>
      <c r="C9" s="25" t="s">
        <v>34</v>
      </c>
      <c r="D9" s="25" t="s">
        <v>166</v>
      </c>
      <c r="E9" s="25" t="s">
        <v>167</v>
      </c>
      <c r="F9" s="25" t="s">
        <v>168</v>
      </c>
      <c r="G9" s="25" t="s">
        <v>37</v>
      </c>
      <c r="H9" s="25" t="s">
        <v>29</v>
      </c>
      <c r="I9" s="25" t="s">
        <v>35</v>
      </c>
      <c r="J9" s="25" t="s">
        <v>53</v>
      </c>
      <c r="K9" s="30">
        <v>0.5</v>
      </c>
      <c r="L9" s="30" t="s">
        <v>38</v>
      </c>
      <c r="M9" s="25">
        <v>2021</v>
      </c>
      <c r="N9" s="25" t="s">
        <v>31</v>
      </c>
      <c r="O9" s="27" t="s">
        <v>31</v>
      </c>
      <c r="P9" s="25" t="s">
        <v>31</v>
      </c>
      <c r="Q9" s="27" t="s">
        <v>31</v>
      </c>
      <c r="R9" s="25">
        <v>100</v>
      </c>
      <c r="S9" s="25">
        <v>0.5</v>
      </c>
      <c r="T9" s="25">
        <v>0</v>
      </c>
      <c r="U9" s="25">
        <v>0</v>
      </c>
    </row>
    <row r="10" spans="1:21" x14ac:dyDescent="0.2">
      <c r="A10" s="25" t="s">
        <v>32</v>
      </c>
      <c r="B10" s="25" t="s">
        <v>33</v>
      </c>
      <c r="C10" s="25" t="s">
        <v>34</v>
      </c>
      <c r="D10" s="25" t="s">
        <v>166</v>
      </c>
      <c r="E10" s="25" t="s">
        <v>167</v>
      </c>
      <c r="F10" s="25" t="s">
        <v>168</v>
      </c>
      <c r="G10" s="25" t="s">
        <v>39</v>
      </c>
      <c r="H10" s="25" t="s">
        <v>29</v>
      </c>
      <c r="I10" s="25" t="s">
        <v>35</v>
      </c>
      <c r="J10" s="25" t="s">
        <v>53</v>
      </c>
      <c r="K10" s="30">
        <v>0.5</v>
      </c>
      <c r="L10" s="30" t="s">
        <v>38</v>
      </c>
      <c r="M10" s="25">
        <v>2021</v>
      </c>
      <c r="N10" s="25" t="s">
        <v>31</v>
      </c>
      <c r="O10" s="27" t="s">
        <v>31</v>
      </c>
      <c r="P10" s="25" t="s">
        <v>31</v>
      </c>
      <c r="Q10" s="27" t="s">
        <v>31</v>
      </c>
      <c r="R10" s="25">
        <v>100</v>
      </c>
      <c r="S10" s="25">
        <v>0.5</v>
      </c>
      <c r="T10" s="25">
        <v>0</v>
      </c>
      <c r="U10" s="25">
        <v>0</v>
      </c>
    </row>
    <row r="11" spans="1:21" x14ac:dyDescent="0.2">
      <c r="A11" s="25" t="s">
        <v>32</v>
      </c>
      <c r="B11" s="25" t="s">
        <v>33</v>
      </c>
      <c r="C11" s="25" t="s">
        <v>34</v>
      </c>
      <c r="D11" s="25" t="s">
        <v>169</v>
      </c>
      <c r="E11" s="25" t="s">
        <v>170</v>
      </c>
      <c r="F11" s="25" t="s">
        <v>171</v>
      </c>
      <c r="G11" s="25" t="s">
        <v>172</v>
      </c>
      <c r="H11" s="25" t="s">
        <v>173</v>
      </c>
      <c r="I11" s="25" t="s">
        <v>35</v>
      </c>
      <c r="J11" s="25" t="s">
        <v>53</v>
      </c>
      <c r="K11" s="30">
        <v>1</v>
      </c>
      <c r="L11" s="30" t="s">
        <v>38</v>
      </c>
      <c r="M11" s="25">
        <v>2021</v>
      </c>
      <c r="N11" s="25" t="s">
        <v>31</v>
      </c>
      <c r="O11" s="27" t="s">
        <v>31</v>
      </c>
      <c r="P11" s="25" t="s">
        <v>31</v>
      </c>
      <c r="Q11" s="27" t="s">
        <v>31</v>
      </c>
      <c r="R11" s="25">
        <v>100</v>
      </c>
      <c r="S11" s="25">
        <v>1</v>
      </c>
      <c r="T11" s="25">
        <v>0</v>
      </c>
      <c r="U11" s="25">
        <v>0</v>
      </c>
    </row>
    <row r="12" spans="1:21" x14ac:dyDescent="0.2">
      <c r="A12" s="37"/>
      <c r="B12" s="37"/>
      <c r="C12" s="37"/>
      <c r="D12" s="37"/>
      <c r="E12" s="37"/>
      <c r="F12" s="37"/>
      <c r="G12" s="37"/>
      <c r="H12" s="37"/>
      <c r="I12" s="37"/>
      <c r="J12" s="37"/>
      <c r="K12" s="37"/>
      <c r="L12" s="37"/>
      <c r="M12" s="37"/>
      <c r="N12" s="37"/>
      <c r="O12" s="38"/>
      <c r="P12" s="37"/>
      <c r="Q12" s="38"/>
      <c r="R12" s="37"/>
      <c r="S12" s="39">
        <f>SUM(S2:S11)</f>
        <v>5.5</v>
      </c>
      <c r="T12" s="37"/>
      <c r="U12" s="37"/>
    </row>
  </sheetData>
  <autoFilter ref="A1:U10" xr:uid="{00000000-0009-0000-0000-000000000000}">
    <sortState xmlns:xlrd2="http://schemas.microsoft.com/office/spreadsheetml/2017/richdata2" ref="A2:U1912">
      <sortCondition ref="L2:L1912"/>
      <sortCondition ref="M2:M1912"/>
      <sortCondition ref="D2:D1912"/>
    </sortState>
  </autoFilter>
  <printOptions horizontalCentered="1"/>
  <pageMargins left="0.19685039370078741" right="0.19685039370078741" top="0.39370078740157483" bottom="0.39370078740157483" header="0.78740157480314965" footer="0"/>
  <pageSetup paperSize="9" scale="93" fitToWidth="2" fitToHeight="50"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S16"/>
  <sheetViews>
    <sheetView zoomScaleNormal="100" workbookViewId="0">
      <selection activeCell="A16" sqref="A16:S16"/>
    </sheetView>
  </sheetViews>
  <sheetFormatPr baseColWidth="10" defaultColWidth="11.44140625" defaultRowHeight="13.2" x14ac:dyDescent="0.25"/>
  <cols>
    <col min="1" max="1" width="10.33203125" style="18" bestFit="1" customWidth="1"/>
    <col min="2" max="2" width="41.33203125" style="18" bestFit="1" customWidth="1"/>
    <col min="3" max="3" width="17" style="18" bestFit="1" customWidth="1"/>
    <col min="4" max="9" width="3.33203125" style="18" bestFit="1" customWidth="1"/>
    <col min="10" max="10" width="13.109375" style="18" bestFit="1" customWidth="1"/>
    <col min="11" max="11" width="5.33203125" style="18" bestFit="1" customWidth="1"/>
    <col min="12" max="13" width="5.6640625" style="18" bestFit="1" customWidth="1"/>
    <col min="14" max="14" width="5.6640625" style="19" bestFit="1" customWidth="1"/>
    <col min="15" max="15" width="5.6640625" style="18" bestFit="1" customWidth="1"/>
    <col min="16" max="16" width="5.6640625" style="19" bestFit="1" customWidth="1"/>
    <col min="17" max="19" width="5.6640625" style="18" bestFit="1" customWidth="1"/>
    <col min="20" max="16384" width="11.44140625" style="18"/>
  </cols>
  <sheetData>
    <row r="1" spans="1:19" s="17" customFormat="1" ht="60" customHeight="1" x14ac:dyDescent="0.25">
      <c r="A1" s="20" t="s">
        <v>55</v>
      </c>
      <c r="B1" s="20" t="s">
        <v>56</v>
      </c>
      <c r="C1" s="20" t="s">
        <v>57</v>
      </c>
      <c r="D1" s="21">
        <v>2017</v>
      </c>
      <c r="E1" s="21">
        <v>2018</v>
      </c>
      <c r="F1" s="21">
        <v>2019</v>
      </c>
      <c r="G1" s="21">
        <v>2020</v>
      </c>
      <c r="H1" s="21">
        <v>2021</v>
      </c>
      <c r="I1" s="21">
        <v>2022</v>
      </c>
      <c r="J1" s="20" t="s">
        <v>58</v>
      </c>
      <c r="K1" s="33" t="s">
        <v>118</v>
      </c>
      <c r="L1" s="15" t="s">
        <v>59</v>
      </c>
      <c r="M1" s="15" t="s">
        <v>60</v>
      </c>
      <c r="N1" s="15" t="s">
        <v>61</v>
      </c>
      <c r="O1" s="15" t="s">
        <v>62</v>
      </c>
      <c r="P1" s="16" t="s">
        <v>63</v>
      </c>
      <c r="Q1" s="16" t="s">
        <v>64</v>
      </c>
      <c r="R1" s="16" t="s">
        <v>65</v>
      </c>
      <c r="S1" s="16" t="s">
        <v>66</v>
      </c>
    </row>
    <row r="2" spans="1:19" ht="14.4" x14ac:dyDescent="0.3">
      <c r="A2" s="22" t="s">
        <v>73</v>
      </c>
      <c r="B2" s="22" t="s">
        <v>74</v>
      </c>
      <c r="C2" s="22" t="s">
        <v>67</v>
      </c>
      <c r="D2" s="22"/>
      <c r="E2" s="22"/>
      <c r="F2" s="22">
        <v>1</v>
      </c>
      <c r="G2" s="22"/>
      <c r="H2" s="22"/>
      <c r="I2" s="22"/>
      <c r="J2" s="22">
        <v>1</v>
      </c>
      <c r="K2" s="22" t="s">
        <v>38</v>
      </c>
      <c r="L2" s="23">
        <v>0</v>
      </c>
      <c r="M2" s="23">
        <v>0</v>
      </c>
      <c r="N2" s="23" t="s">
        <v>31</v>
      </c>
      <c r="O2" s="23" t="s">
        <v>31</v>
      </c>
      <c r="P2" s="23">
        <v>100</v>
      </c>
      <c r="Q2" s="23">
        <v>0</v>
      </c>
      <c r="R2" s="23">
        <v>0</v>
      </c>
      <c r="S2" s="23">
        <v>1</v>
      </c>
    </row>
    <row r="3" spans="1:19" ht="14.4" x14ac:dyDescent="0.3">
      <c r="A3" s="22" t="s">
        <v>69</v>
      </c>
      <c r="B3" s="22" t="s">
        <v>70</v>
      </c>
      <c r="C3" s="22" t="s">
        <v>67</v>
      </c>
      <c r="D3" s="22"/>
      <c r="E3" s="22"/>
      <c r="F3" s="22">
        <v>1</v>
      </c>
      <c r="G3" s="22"/>
      <c r="H3" s="22">
        <v>1</v>
      </c>
      <c r="I3" s="22"/>
      <c r="J3" s="22">
        <v>2</v>
      </c>
      <c r="K3" s="22" t="s">
        <v>38</v>
      </c>
      <c r="L3" s="23">
        <v>0</v>
      </c>
      <c r="M3" s="23">
        <v>0</v>
      </c>
      <c r="N3" s="23" t="s">
        <v>31</v>
      </c>
      <c r="O3" s="23" t="s">
        <v>31</v>
      </c>
      <c r="P3" s="23">
        <v>100</v>
      </c>
      <c r="Q3" s="23">
        <v>0</v>
      </c>
      <c r="R3" s="23">
        <v>0</v>
      </c>
      <c r="S3" s="23">
        <v>2</v>
      </c>
    </row>
    <row r="4" spans="1:19" ht="14.4" x14ac:dyDescent="0.3">
      <c r="A4" s="22" t="s">
        <v>83</v>
      </c>
      <c r="B4" s="22" t="s">
        <v>84</v>
      </c>
      <c r="C4" s="22" t="s">
        <v>67</v>
      </c>
      <c r="D4" s="22">
        <v>1</v>
      </c>
      <c r="E4" s="22"/>
      <c r="F4" s="22"/>
      <c r="G4" s="22"/>
      <c r="H4" s="22"/>
      <c r="I4" s="22"/>
      <c r="J4" s="22">
        <v>1</v>
      </c>
      <c r="K4" s="22" t="s">
        <v>38</v>
      </c>
      <c r="L4" s="23">
        <v>0</v>
      </c>
      <c r="M4" s="23">
        <v>0</v>
      </c>
      <c r="N4" s="23" t="s">
        <v>31</v>
      </c>
      <c r="O4" s="23" t="s">
        <v>31</v>
      </c>
      <c r="P4" s="23">
        <v>100</v>
      </c>
      <c r="Q4" s="23">
        <v>0</v>
      </c>
      <c r="R4" s="23">
        <v>0</v>
      </c>
      <c r="S4" s="23">
        <v>1</v>
      </c>
    </row>
    <row r="5" spans="1:19" ht="14.4" x14ac:dyDescent="0.3">
      <c r="A5" s="22" t="s">
        <v>77</v>
      </c>
      <c r="B5" s="22" t="s">
        <v>78</v>
      </c>
      <c r="C5" s="22" t="s">
        <v>67</v>
      </c>
      <c r="D5" s="22">
        <v>1</v>
      </c>
      <c r="E5" s="22"/>
      <c r="F5" s="22"/>
      <c r="G5" s="22"/>
      <c r="H5" s="22"/>
      <c r="I5" s="22"/>
      <c r="J5" s="22">
        <v>1</v>
      </c>
      <c r="K5" s="22" t="s">
        <v>38</v>
      </c>
      <c r="L5" s="23" t="s">
        <v>54</v>
      </c>
      <c r="M5" s="23" t="s">
        <v>30</v>
      </c>
      <c r="N5" s="23" t="s">
        <v>31</v>
      </c>
      <c r="O5" s="23" t="s">
        <v>31</v>
      </c>
      <c r="P5" s="23">
        <v>50</v>
      </c>
      <c r="Q5" s="23">
        <v>0.5</v>
      </c>
      <c r="R5" s="23">
        <v>0</v>
      </c>
      <c r="S5" s="23">
        <v>0.5</v>
      </c>
    </row>
    <row r="6" spans="1:19" ht="14.4" x14ac:dyDescent="0.3">
      <c r="A6" s="22" t="s">
        <v>174</v>
      </c>
      <c r="B6" s="22" t="s">
        <v>175</v>
      </c>
      <c r="C6" s="22" t="s">
        <v>68</v>
      </c>
      <c r="D6" s="22"/>
      <c r="E6" s="22"/>
      <c r="F6" s="22"/>
      <c r="G6" s="22"/>
      <c r="H6" s="22"/>
      <c r="I6" s="22">
        <v>1</v>
      </c>
      <c r="J6" s="22">
        <v>1</v>
      </c>
      <c r="K6" s="22" t="s">
        <v>38</v>
      </c>
      <c r="L6" s="23" t="s">
        <v>54</v>
      </c>
      <c r="M6" s="23" t="s">
        <v>30</v>
      </c>
      <c r="N6" s="23" t="s">
        <v>31</v>
      </c>
      <c r="O6" s="23" t="s">
        <v>31</v>
      </c>
      <c r="P6" s="23">
        <v>50</v>
      </c>
      <c r="Q6" s="23">
        <v>0.5</v>
      </c>
      <c r="R6" s="23">
        <v>0</v>
      </c>
      <c r="S6" s="23">
        <v>0.5</v>
      </c>
    </row>
    <row r="7" spans="1:19" ht="14.4" x14ac:dyDescent="0.3">
      <c r="A7" s="22" t="s">
        <v>119</v>
      </c>
      <c r="B7" s="22" t="s">
        <v>120</v>
      </c>
      <c r="C7" s="22" t="s">
        <v>68</v>
      </c>
      <c r="D7" s="22"/>
      <c r="E7" s="22"/>
      <c r="F7" s="22"/>
      <c r="G7" s="22"/>
      <c r="H7" s="22"/>
      <c r="I7" s="22">
        <v>1</v>
      </c>
      <c r="J7" s="22">
        <v>1</v>
      </c>
      <c r="K7" s="22" t="s">
        <v>38</v>
      </c>
      <c r="L7" s="23">
        <v>0</v>
      </c>
      <c r="M7" s="23">
        <v>0</v>
      </c>
      <c r="N7" s="23" t="s">
        <v>31</v>
      </c>
      <c r="O7" s="23" t="s">
        <v>31</v>
      </c>
      <c r="P7" s="23">
        <v>100</v>
      </c>
      <c r="Q7" s="23">
        <v>0</v>
      </c>
      <c r="R7" s="23">
        <v>0</v>
      </c>
      <c r="S7" s="23">
        <v>1</v>
      </c>
    </row>
    <row r="8" spans="1:19" ht="14.4" x14ac:dyDescent="0.3">
      <c r="A8" s="22" t="s">
        <v>79</v>
      </c>
      <c r="B8" s="22" t="s">
        <v>80</v>
      </c>
      <c r="C8" s="22" t="s">
        <v>67</v>
      </c>
      <c r="D8" s="22"/>
      <c r="E8" s="22">
        <v>1</v>
      </c>
      <c r="F8" s="22"/>
      <c r="G8" s="22"/>
      <c r="H8" s="22"/>
      <c r="I8" s="22"/>
      <c r="J8" s="22">
        <v>1</v>
      </c>
      <c r="K8" s="22" t="s">
        <v>38</v>
      </c>
      <c r="L8" s="23">
        <v>0</v>
      </c>
      <c r="M8" s="23">
        <v>0</v>
      </c>
      <c r="N8" s="23" t="s">
        <v>31</v>
      </c>
      <c r="O8" s="23" t="s">
        <v>31</v>
      </c>
      <c r="P8" s="23">
        <v>100</v>
      </c>
      <c r="Q8" s="23">
        <v>0</v>
      </c>
      <c r="R8" s="23">
        <v>0</v>
      </c>
      <c r="S8" s="23">
        <v>1</v>
      </c>
    </row>
    <row r="9" spans="1:19" ht="14.4" x14ac:dyDescent="0.3">
      <c r="A9" s="22" t="s">
        <v>85</v>
      </c>
      <c r="B9" s="22" t="s">
        <v>86</v>
      </c>
      <c r="C9" s="22" t="s">
        <v>67</v>
      </c>
      <c r="D9" s="22"/>
      <c r="E9" s="22"/>
      <c r="F9" s="22"/>
      <c r="G9" s="22"/>
      <c r="H9" s="22">
        <v>2</v>
      </c>
      <c r="I9" s="22"/>
      <c r="J9" s="22">
        <v>2</v>
      </c>
      <c r="K9" s="22" t="s">
        <v>38</v>
      </c>
      <c r="L9" s="23" t="s">
        <v>54</v>
      </c>
      <c r="M9" s="23" t="s">
        <v>30</v>
      </c>
      <c r="N9" s="23" t="s">
        <v>31</v>
      </c>
      <c r="O9" s="23" t="s">
        <v>31</v>
      </c>
      <c r="P9" s="23">
        <v>50</v>
      </c>
      <c r="Q9" s="23">
        <v>1</v>
      </c>
      <c r="R9" s="23">
        <v>0</v>
      </c>
      <c r="S9" s="23">
        <v>1</v>
      </c>
    </row>
    <row r="10" spans="1:19" ht="14.4" x14ac:dyDescent="0.3">
      <c r="A10" s="22" t="s">
        <v>81</v>
      </c>
      <c r="B10" s="22" t="s">
        <v>82</v>
      </c>
      <c r="C10" s="22" t="s">
        <v>68</v>
      </c>
      <c r="D10" s="22"/>
      <c r="E10" s="22"/>
      <c r="F10" s="22"/>
      <c r="G10" s="22">
        <v>1</v>
      </c>
      <c r="H10" s="22"/>
      <c r="I10" s="22">
        <v>1</v>
      </c>
      <c r="J10" s="22">
        <v>2</v>
      </c>
      <c r="K10" s="22" t="s">
        <v>38</v>
      </c>
      <c r="L10" s="23">
        <v>0</v>
      </c>
      <c r="M10" s="23">
        <v>0</v>
      </c>
      <c r="N10" s="23" t="s">
        <v>31</v>
      </c>
      <c r="O10" s="23" t="s">
        <v>31</v>
      </c>
      <c r="P10" s="23">
        <v>100</v>
      </c>
      <c r="Q10" s="23">
        <v>0</v>
      </c>
      <c r="R10" s="23">
        <v>0</v>
      </c>
      <c r="S10" s="23">
        <v>2</v>
      </c>
    </row>
    <row r="11" spans="1:19" ht="14.4" x14ac:dyDescent="0.3">
      <c r="A11" s="22" t="s">
        <v>75</v>
      </c>
      <c r="B11" s="22" t="s">
        <v>76</v>
      </c>
      <c r="C11" s="22" t="s">
        <v>67</v>
      </c>
      <c r="D11" s="22"/>
      <c r="E11" s="22">
        <v>1</v>
      </c>
      <c r="F11" s="22"/>
      <c r="G11" s="22">
        <v>1</v>
      </c>
      <c r="H11" s="22"/>
      <c r="I11" s="22"/>
      <c r="J11" s="22">
        <v>2</v>
      </c>
      <c r="K11" s="22" t="s">
        <v>38</v>
      </c>
      <c r="L11" s="23">
        <v>0</v>
      </c>
      <c r="M11" s="23">
        <v>0</v>
      </c>
      <c r="N11" s="23" t="s">
        <v>31</v>
      </c>
      <c r="O11" s="23" t="s">
        <v>31</v>
      </c>
      <c r="P11" s="23">
        <v>100</v>
      </c>
      <c r="Q11" s="23">
        <v>0</v>
      </c>
      <c r="R11" s="23">
        <v>0</v>
      </c>
      <c r="S11" s="23">
        <v>2</v>
      </c>
    </row>
    <row r="12" spans="1:19" ht="14.4" x14ac:dyDescent="0.3">
      <c r="A12" s="22" t="s">
        <v>176</v>
      </c>
      <c r="B12" s="22" t="s">
        <v>177</v>
      </c>
      <c r="C12" s="22" t="s">
        <v>68</v>
      </c>
      <c r="D12" s="22"/>
      <c r="E12" s="22"/>
      <c r="F12" s="22"/>
      <c r="G12" s="22"/>
      <c r="H12" s="22"/>
      <c r="I12" s="22">
        <v>1</v>
      </c>
      <c r="J12" s="22">
        <v>1</v>
      </c>
      <c r="K12" s="22" t="s">
        <v>38</v>
      </c>
      <c r="L12" s="23">
        <v>0</v>
      </c>
      <c r="M12" s="23">
        <v>0</v>
      </c>
      <c r="N12" s="23" t="s">
        <v>31</v>
      </c>
      <c r="O12" s="23" t="s">
        <v>31</v>
      </c>
      <c r="P12" s="23">
        <v>100</v>
      </c>
      <c r="Q12" s="23">
        <v>0</v>
      </c>
      <c r="R12" s="23">
        <v>0</v>
      </c>
      <c r="S12" s="23">
        <v>1</v>
      </c>
    </row>
    <row r="13" spans="1:19" ht="14.4" x14ac:dyDescent="0.3">
      <c r="A13" s="22" t="s">
        <v>87</v>
      </c>
      <c r="B13" s="22" t="s">
        <v>88</v>
      </c>
      <c r="C13" s="22" t="s">
        <v>68</v>
      </c>
      <c r="D13" s="22">
        <v>1</v>
      </c>
      <c r="E13" s="22"/>
      <c r="F13" s="22"/>
      <c r="G13" s="22"/>
      <c r="H13" s="22"/>
      <c r="I13" s="22"/>
      <c r="J13" s="22">
        <v>1</v>
      </c>
      <c r="K13" s="22" t="s">
        <v>38</v>
      </c>
      <c r="L13" s="23">
        <v>0</v>
      </c>
      <c r="M13" s="23">
        <v>0</v>
      </c>
      <c r="N13" s="23" t="s">
        <v>31</v>
      </c>
      <c r="O13" s="23" t="s">
        <v>31</v>
      </c>
      <c r="P13" s="23">
        <v>100</v>
      </c>
      <c r="Q13" s="23">
        <v>0</v>
      </c>
      <c r="R13" s="23">
        <v>0</v>
      </c>
      <c r="S13" s="23">
        <v>1</v>
      </c>
    </row>
    <row r="14" spans="1:19" ht="14.4" x14ac:dyDescent="0.3">
      <c r="A14" s="22" t="s">
        <v>71</v>
      </c>
      <c r="B14" s="22" t="s">
        <v>72</v>
      </c>
      <c r="C14" s="22" t="s">
        <v>67</v>
      </c>
      <c r="D14" s="22"/>
      <c r="E14" s="22"/>
      <c r="F14" s="22">
        <v>1</v>
      </c>
      <c r="G14" s="22"/>
      <c r="H14" s="22"/>
      <c r="I14" s="22">
        <v>1</v>
      </c>
      <c r="J14" s="22">
        <v>2</v>
      </c>
      <c r="K14" s="22" t="s">
        <v>38</v>
      </c>
      <c r="L14" s="23">
        <v>0</v>
      </c>
      <c r="M14" s="23">
        <v>0</v>
      </c>
      <c r="N14" s="23" t="s">
        <v>31</v>
      </c>
      <c r="O14" s="23" t="s">
        <v>31</v>
      </c>
      <c r="P14" s="23">
        <v>100</v>
      </c>
      <c r="Q14" s="23">
        <v>0</v>
      </c>
      <c r="R14" s="23">
        <v>0</v>
      </c>
      <c r="S14" s="23">
        <v>2</v>
      </c>
    </row>
    <row r="15" spans="1:19" ht="14.4" x14ac:dyDescent="0.3">
      <c r="A15" s="22" t="s">
        <v>178</v>
      </c>
      <c r="B15" s="22" t="s">
        <v>179</v>
      </c>
      <c r="C15" s="32" t="s">
        <v>68</v>
      </c>
      <c r="D15" s="22"/>
      <c r="E15" s="22"/>
      <c r="F15" s="22"/>
      <c r="G15" s="22"/>
      <c r="H15" s="22"/>
      <c r="I15" s="22">
        <v>1</v>
      </c>
      <c r="J15" s="22">
        <v>1</v>
      </c>
      <c r="K15" s="22" t="s">
        <v>38</v>
      </c>
      <c r="L15" s="23">
        <v>0</v>
      </c>
      <c r="M15" s="23">
        <v>0</v>
      </c>
      <c r="N15" s="23" t="s">
        <v>31</v>
      </c>
      <c r="O15" s="23" t="s">
        <v>31</v>
      </c>
      <c r="P15" s="23">
        <v>100</v>
      </c>
      <c r="Q15" s="23">
        <v>0</v>
      </c>
      <c r="R15" s="23">
        <v>0</v>
      </c>
      <c r="S15" s="23">
        <v>1</v>
      </c>
    </row>
    <row r="16" spans="1:19" x14ac:dyDescent="0.25">
      <c r="A16" s="34"/>
      <c r="B16" s="34"/>
      <c r="C16" s="34"/>
      <c r="D16" s="34"/>
      <c r="E16" s="34"/>
      <c r="F16" s="34"/>
      <c r="G16" s="34"/>
      <c r="H16" s="34"/>
      <c r="I16" s="34"/>
      <c r="J16" s="34"/>
      <c r="K16" s="34"/>
      <c r="L16" s="34"/>
      <c r="M16" s="34"/>
      <c r="N16" s="35"/>
      <c r="O16" s="34"/>
      <c r="P16" s="35"/>
      <c r="Q16" s="34"/>
      <c r="R16" s="34"/>
      <c r="S16" s="36">
        <f>SUM(S2:S15)</f>
        <v>17</v>
      </c>
    </row>
  </sheetData>
  <pageMargins left="0.39370078740157483" right="0.39370078740157483" top="0.39370078740157483" bottom="0.39370078740157483" header="0.31496062992125984" footer="0.31496062992125984"/>
  <pageSetup paperSize="9" scale="1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8"/>
  <sheetViews>
    <sheetView zoomScaleNormal="100" workbookViewId="0">
      <selection activeCell="B28" sqref="B28"/>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4" t="s">
        <v>89</v>
      </c>
      <c r="B2" s="5"/>
    </row>
    <row r="3" spans="1:2" x14ac:dyDescent="0.2">
      <c r="A3" s="4" t="s">
        <v>90</v>
      </c>
      <c r="B3" s="5">
        <v>2000</v>
      </c>
    </row>
    <row r="4" spans="1:2" x14ac:dyDescent="0.2">
      <c r="A4" s="4" t="s">
        <v>91</v>
      </c>
      <c r="B4" s="7"/>
    </row>
    <row r="5" spans="1:2" x14ac:dyDescent="0.2">
      <c r="A5" s="4" t="s">
        <v>92</v>
      </c>
      <c r="B5" s="5">
        <v>956</v>
      </c>
    </row>
    <row r="6" spans="1:2" x14ac:dyDescent="0.2">
      <c r="A6" s="4" t="s">
        <v>3</v>
      </c>
      <c r="B6" s="5"/>
    </row>
    <row r="7" spans="1:2" x14ac:dyDescent="0.2">
      <c r="A7" s="4" t="s">
        <v>93</v>
      </c>
      <c r="B7" s="5">
        <v>5880</v>
      </c>
    </row>
    <row r="8" spans="1:2" x14ac:dyDescent="0.2">
      <c r="A8" s="4" t="s">
        <v>4</v>
      </c>
      <c r="B8" s="5"/>
    </row>
    <row r="9" spans="1:2" x14ac:dyDescent="0.2">
      <c r="A9" s="4" t="s">
        <v>94</v>
      </c>
      <c r="B9" s="5">
        <v>4275</v>
      </c>
    </row>
    <row r="10" spans="1:2" x14ac:dyDescent="0.2">
      <c r="A10" s="4" t="s">
        <v>95</v>
      </c>
      <c r="B10" s="5"/>
    </row>
    <row r="11" spans="1:2" x14ac:dyDescent="0.2">
      <c r="A11" s="4" t="s">
        <v>96</v>
      </c>
      <c r="B11" s="5">
        <v>3069.19</v>
      </c>
    </row>
    <row r="12" spans="1:2" x14ac:dyDescent="0.2">
      <c r="A12" s="4" t="s">
        <v>97</v>
      </c>
      <c r="B12" s="5"/>
    </row>
    <row r="13" spans="1:2" x14ac:dyDescent="0.2">
      <c r="A13" s="4" t="s">
        <v>98</v>
      </c>
      <c r="B13" s="5">
        <v>8800</v>
      </c>
    </row>
    <row r="14" spans="1:2" x14ac:dyDescent="0.2">
      <c r="A14" s="4" t="s">
        <v>99</v>
      </c>
      <c r="B14" s="5"/>
    </row>
    <row r="15" spans="1:2" x14ac:dyDescent="0.2">
      <c r="A15" s="4" t="s">
        <v>100</v>
      </c>
      <c r="B15" s="5">
        <v>10500</v>
      </c>
    </row>
    <row r="16" spans="1:2" x14ac:dyDescent="0.2">
      <c r="A16" s="4" t="s">
        <v>101</v>
      </c>
      <c r="B16" s="5">
        <v>4200</v>
      </c>
    </row>
    <row r="17" spans="1:2" x14ac:dyDescent="0.2">
      <c r="A17" s="4" t="s">
        <v>102</v>
      </c>
      <c r="B17" s="5"/>
    </row>
    <row r="18" spans="1:2" x14ac:dyDescent="0.2">
      <c r="A18" s="4" t="s">
        <v>103</v>
      </c>
      <c r="B18" s="5">
        <v>8000</v>
      </c>
    </row>
    <row r="19" spans="1:2" x14ac:dyDescent="0.2">
      <c r="A19" s="4" t="s">
        <v>104</v>
      </c>
      <c r="B19" s="5"/>
    </row>
    <row r="20" spans="1:2" x14ac:dyDescent="0.2">
      <c r="A20" s="4" t="s">
        <v>105</v>
      </c>
      <c r="B20" s="5">
        <v>4.7300000000000004</v>
      </c>
    </row>
    <row r="21" spans="1:2" x14ac:dyDescent="0.2">
      <c r="A21" s="4" t="s">
        <v>106</v>
      </c>
      <c r="B21" s="5">
        <v>7.26</v>
      </c>
    </row>
    <row r="22" spans="1:2" x14ac:dyDescent="0.2">
      <c r="A22" s="4" t="s">
        <v>107</v>
      </c>
      <c r="B22" s="5">
        <v>14.28</v>
      </c>
    </row>
    <row r="23" spans="1:2" x14ac:dyDescent="0.2">
      <c r="A23" s="4" t="s">
        <v>5</v>
      </c>
      <c r="B23" s="5"/>
    </row>
    <row r="24" spans="1:2" x14ac:dyDescent="0.2">
      <c r="A24" s="4" t="s">
        <v>106</v>
      </c>
      <c r="B24" s="5">
        <v>1.64</v>
      </c>
    </row>
    <row r="25" spans="1:2" x14ac:dyDescent="0.2">
      <c r="A25" s="4" t="s">
        <v>107</v>
      </c>
      <c r="B25" s="5">
        <v>3.22</v>
      </c>
    </row>
    <row r="26" spans="1:2" x14ac:dyDescent="0.2">
      <c r="A26" s="4" t="s">
        <v>108</v>
      </c>
      <c r="B26" s="5"/>
    </row>
    <row r="27" spans="1:2" x14ac:dyDescent="0.2">
      <c r="A27" s="4" t="s">
        <v>109</v>
      </c>
      <c r="B27" s="5">
        <v>41926.5</v>
      </c>
    </row>
    <row r="28" spans="1:2" x14ac:dyDescent="0.2">
      <c r="A28" s="6" t="s">
        <v>2</v>
      </c>
      <c r="B28" s="7">
        <f>SUM(B3:B27)</f>
        <v>89637.82</v>
      </c>
    </row>
  </sheetData>
  <pageMargins left="0.39370078740157483" right="0.39370078740157483" top="0.74803149606299213" bottom="0.74803149606299213"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2F82E-1470-4ECB-BCCC-45A4FEFA5B87}">
  <dimension ref="A1:B25"/>
  <sheetViews>
    <sheetView zoomScaleNormal="100" workbookViewId="0">
      <selection activeCell="A37" sqref="A37"/>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4" t="s">
        <v>125</v>
      </c>
      <c r="B2" s="5"/>
    </row>
    <row r="3" spans="1:2" x14ac:dyDescent="0.2">
      <c r="A3" s="4" t="s">
        <v>126</v>
      </c>
      <c r="B3" s="5">
        <v>440</v>
      </c>
    </row>
    <row r="4" spans="1:2" x14ac:dyDescent="0.2">
      <c r="A4" s="4" t="s">
        <v>99</v>
      </c>
      <c r="B4" s="7"/>
    </row>
    <row r="5" spans="1:2" x14ac:dyDescent="0.2">
      <c r="A5" s="4" t="s">
        <v>127</v>
      </c>
      <c r="B5" s="5">
        <v>1575</v>
      </c>
    </row>
    <row r="6" spans="1:2" x14ac:dyDescent="0.2">
      <c r="A6" s="4" t="s">
        <v>128</v>
      </c>
      <c r="B6" s="5"/>
    </row>
    <row r="7" spans="1:2" x14ac:dyDescent="0.2">
      <c r="A7" s="4" t="s">
        <v>129</v>
      </c>
      <c r="B7" s="5">
        <v>8067.18</v>
      </c>
    </row>
    <row r="8" spans="1:2" x14ac:dyDescent="0.2">
      <c r="A8" s="4" t="s">
        <v>130</v>
      </c>
      <c r="B8" s="5"/>
    </row>
    <row r="9" spans="1:2" x14ac:dyDescent="0.2">
      <c r="A9" s="4" t="s">
        <v>131</v>
      </c>
      <c r="B9" s="5">
        <v>3000</v>
      </c>
    </row>
    <row r="10" spans="1:2" x14ac:dyDescent="0.2">
      <c r="A10" s="4" t="s">
        <v>132</v>
      </c>
      <c r="B10" s="5"/>
    </row>
    <row r="11" spans="1:2" x14ac:dyDescent="0.2">
      <c r="A11" s="4" t="s">
        <v>133</v>
      </c>
      <c r="B11" s="5">
        <v>8000</v>
      </c>
    </row>
    <row r="12" spans="1:2" x14ac:dyDescent="0.2">
      <c r="A12" s="4" t="s">
        <v>134</v>
      </c>
      <c r="B12" s="5"/>
    </row>
    <row r="13" spans="1:2" x14ac:dyDescent="0.2">
      <c r="A13" s="4" t="s">
        <v>135</v>
      </c>
      <c r="B13" s="5">
        <v>2458.67</v>
      </c>
    </row>
    <row r="14" spans="1:2" x14ac:dyDescent="0.2">
      <c r="A14" s="4" t="s">
        <v>104</v>
      </c>
      <c r="B14" s="5"/>
    </row>
    <row r="15" spans="1:2" x14ac:dyDescent="0.2">
      <c r="A15" s="4" t="s">
        <v>136</v>
      </c>
      <c r="B15" s="5">
        <v>9000</v>
      </c>
    </row>
    <row r="16" spans="1:2" x14ac:dyDescent="0.2">
      <c r="A16" s="4" t="s">
        <v>137</v>
      </c>
      <c r="B16" s="5">
        <v>88.95</v>
      </c>
    </row>
    <row r="17" spans="1:2" x14ac:dyDescent="0.2">
      <c r="A17" s="4" t="s">
        <v>138</v>
      </c>
      <c r="B17" s="5">
        <v>105.01</v>
      </c>
    </row>
    <row r="18" spans="1:2" x14ac:dyDescent="0.2">
      <c r="A18" s="4" t="s">
        <v>108</v>
      </c>
      <c r="B18" s="5"/>
    </row>
    <row r="19" spans="1:2" x14ac:dyDescent="0.2">
      <c r="A19" s="4" t="s">
        <v>139</v>
      </c>
      <c r="B19" s="5">
        <v>17304.75</v>
      </c>
    </row>
    <row r="20" spans="1:2" x14ac:dyDescent="0.2">
      <c r="A20" s="4" t="s">
        <v>138</v>
      </c>
      <c r="B20" s="5">
        <v>24.89</v>
      </c>
    </row>
    <row r="21" spans="1:2" x14ac:dyDescent="0.2">
      <c r="A21" s="4" t="s">
        <v>140</v>
      </c>
      <c r="B21" s="5"/>
    </row>
    <row r="22" spans="1:2" x14ac:dyDescent="0.2">
      <c r="A22" s="4" t="s">
        <v>141</v>
      </c>
      <c r="B22" s="5">
        <v>41926.5</v>
      </c>
    </row>
    <row r="23" spans="1:2" x14ac:dyDescent="0.2">
      <c r="A23" s="4" t="s">
        <v>142</v>
      </c>
      <c r="B23" s="5"/>
    </row>
    <row r="24" spans="1:2" x14ac:dyDescent="0.2">
      <c r="A24" s="4" t="s">
        <v>143</v>
      </c>
      <c r="B24" s="5">
        <v>70000</v>
      </c>
    </row>
    <row r="25" spans="1:2" x14ac:dyDescent="0.2">
      <c r="A25" s="6" t="s">
        <v>2</v>
      </c>
      <c r="B25" s="7">
        <f>SUM(B3:B24)</f>
        <v>161990.95000000001</v>
      </c>
    </row>
  </sheetData>
  <pageMargins left="0.39370078740157483" right="0.39370078740157483" top="0.74803149606299213" bottom="0.74803149606299213"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2917A-4718-4209-8FE9-D2310AC0A8B5}">
  <dimension ref="A1:B24"/>
  <sheetViews>
    <sheetView zoomScaleNormal="100" workbookViewId="0">
      <selection activeCell="A24" sqref="A24:B24"/>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4" t="s">
        <v>149</v>
      </c>
      <c r="B2" s="5"/>
    </row>
    <row r="3" spans="1:2" x14ac:dyDescent="0.2">
      <c r="A3" s="4" t="s">
        <v>150</v>
      </c>
      <c r="B3" s="5">
        <v>8787.83</v>
      </c>
    </row>
    <row r="4" spans="1:2" x14ac:dyDescent="0.2">
      <c r="A4" s="4" t="s">
        <v>151</v>
      </c>
      <c r="B4" s="7"/>
    </row>
    <row r="5" spans="1:2" x14ac:dyDescent="0.2">
      <c r="A5" s="4" t="s">
        <v>152</v>
      </c>
      <c r="B5" s="5">
        <v>509.09</v>
      </c>
    </row>
    <row r="6" spans="1:2" x14ac:dyDescent="0.2">
      <c r="A6" s="4" t="s">
        <v>99</v>
      </c>
      <c r="B6" s="5"/>
    </row>
    <row r="7" spans="1:2" x14ac:dyDescent="0.2">
      <c r="A7" s="4" t="s">
        <v>153</v>
      </c>
      <c r="B7" s="5">
        <v>2625</v>
      </c>
    </row>
    <row r="8" spans="1:2" x14ac:dyDescent="0.2">
      <c r="A8" s="4" t="s">
        <v>130</v>
      </c>
      <c r="B8" s="5"/>
    </row>
    <row r="9" spans="1:2" x14ac:dyDescent="0.2">
      <c r="A9" s="4" t="s">
        <v>154</v>
      </c>
      <c r="B9" s="5">
        <v>15000</v>
      </c>
    </row>
    <row r="10" spans="1:2" x14ac:dyDescent="0.2">
      <c r="A10" s="4" t="s">
        <v>132</v>
      </c>
      <c r="B10" s="5"/>
    </row>
    <row r="11" spans="1:2" x14ac:dyDescent="0.2">
      <c r="A11" s="4" t="s">
        <v>155</v>
      </c>
      <c r="B11" s="5">
        <v>8000</v>
      </c>
    </row>
    <row r="12" spans="1:2" x14ac:dyDescent="0.2">
      <c r="A12" s="4" t="s">
        <v>156</v>
      </c>
      <c r="B12" s="5"/>
    </row>
    <row r="13" spans="1:2" x14ac:dyDescent="0.2">
      <c r="A13" s="4" t="s">
        <v>157</v>
      </c>
      <c r="B13" s="5">
        <v>2268.2199999999998</v>
      </c>
    </row>
    <row r="14" spans="1:2" x14ac:dyDescent="0.2">
      <c r="A14" s="4" t="s">
        <v>158</v>
      </c>
      <c r="B14" s="5"/>
    </row>
    <row r="15" spans="1:2" x14ac:dyDescent="0.2">
      <c r="A15" s="4" t="s">
        <v>159</v>
      </c>
      <c r="B15" s="5">
        <v>1900</v>
      </c>
    </row>
    <row r="16" spans="1:2" x14ac:dyDescent="0.2">
      <c r="A16" s="4" t="s">
        <v>5</v>
      </c>
      <c r="B16" s="5"/>
    </row>
    <row r="17" spans="1:2" x14ac:dyDescent="0.2">
      <c r="A17" s="4" t="s">
        <v>160</v>
      </c>
      <c r="B17" s="5">
        <v>15000</v>
      </c>
    </row>
    <row r="18" spans="1:2" x14ac:dyDescent="0.2">
      <c r="A18" s="4" t="s">
        <v>140</v>
      </c>
      <c r="B18" s="5"/>
    </row>
    <row r="19" spans="1:2" x14ac:dyDescent="0.2">
      <c r="A19" s="4" t="s">
        <v>161</v>
      </c>
      <c r="B19" s="5">
        <v>17968.5</v>
      </c>
    </row>
    <row r="20" spans="1:2" x14ac:dyDescent="0.2">
      <c r="A20" s="6" t="s">
        <v>2</v>
      </c>
      <c r="B20" s="7">
        <f>SUM(B3:B19)</f>
        <v>72058.64</v>
      </c>
    </row>
    <row r="23" spans="1:2" x14ac:dyDescent="0.2">
      <c r="B23" s="24"/>
    </row>
    <row r="24" spans="1:2" x14ac:dyDescent="0.2">
      <c r="A24" s="40" t="s">
        <v>180</v>
      </c>
      <c r="B24" s="7">
        <f>B20+'Ingresos investigación 2020'!B25+'Ingresos investigación 2019'!B28</f>
        <v>323687.41000000003</v>
      </c>
    </row>
  </sheetData>
  <pageMargins left="0.39370078740157483" right="0.39370078740157483" top="0.74803149606299213" bottom="0.74803149606299213" header="0.31496062992125984" footer="0.31496062992125984"/>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4"/>
  <sheetViews>
    <sheetView zoomScaleNormal="100" workbookViewId="0">
      <selection activeCell="C45" sqref="C45"/>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4" t="s">
        <v>6</v>
      </c>
      <c r="B2" s="5"/>
    </row>
    <row r="3" spans="1:2" x14ac:dyDescent="0.2">
      <c r="A3" s="4" t="s">
        <v>110</v>
      </c>
      <c r="B3" s="5">
        <v>130</v>
      </c>
    </row>
    <row r="4" spans="1:2" x14ac:dyDescent="0.2">
      <c r="A4" s="4" t="s">
        <v>111</v>
      </c>
      <c r="B4" s="5">
        <v>230</v>
      </c>
    </row>
    <row r="5" spans="1:2" x14ac:dyDescent="0.2">
      <c r="A5" s="4" t="s">
        <v>7</v>
      </c>
      <c r="B5" s="5"/>
    </row>
    <row r="6" spans="1:2" x14ac:dyDescent="0.2">
      <c r="A6" s="4" t="s">
        <v>112</v>
      </c>
      <c r="B6" s="5">
        <v>376.26</v>
      </c>
    </row>
    <row r="7" spans="1:2" x14ac:dyDescent="0.2">
      <c r="A7" s="4" t="s">
        <v>113</v>
      </c>
      <c r="B7" s="5"/>
    </row>
    <row r="8" spans="1:2" x14ac:dyDescent="0.2">
      <c r="A8" s="4" t="s">
        <v>114</v>
      </c>
      <c r="B8" s="5">
        <v>48762</v>
      </c>
    </row>
    <row r="9" spans="1:2" x14ac:dyDescent="0.2">
      <c r="A9" s="4" t="s">
        <v>115</v>
      </c>
      <c r="B9" s="5">
        <v>6823.7300000000005</v>
      </c>
    </row>
    <row r="10" spans="1:2" x14ac:dyDescent="0.2">
      <c r="A10" s="4" t="s">
        <v>106</v>
      </c>
      <c r="B10" s="5">
        <v>38.54</v>
      </c>
    </row>
    <row r="11" spans="1:2" x14ac:dyDescent="0.2">
      <c r="A11" s="4" t="s">
        <v>107</v>
      </c>
      <c r="B11" s="5">
        <v>2.04</v>
      </c>
    </row>
    <row r="12" spans="1:2" x14ac:dyDescent="0.2">
      <c r="A12" s="4" t="s">
        <v>116</v>
      </c>
      <c r="B12" s="5"/>
    </row>
    <row r="13" spans="1:2" x14ac:dyDescent="0.2">
      <c r="A13" s="4" t="s">
        <v>117</v>
      </c>
      <c r="B13" s="5">
        <v>3328.66</v>
      </c>
    </row>
    <row r="14" spans="1:2" x14ac:dyDescent="0.2">
      <c r="A14" s="6" t="s">
        <v>2</v>
      </c>
      <c r="B14" s="7">
        <f>SUM(B3:B13)</f>
        <v>59691.23000000001</v>
      </c>
    </row>
  </sheetData>
  <pageMargins left="0.39370078740157483" right="0.39370078740157483" top="0.74803149606299213" bottom="0.74803149606299213" header="0.31496062992125984" footer="0.31496062992125984"/>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91752-ABD5-4015-A238-F79F71EFC606}">
  <dimension ref="A1:B9"/>
  <sheetViews>
    <sheetView zoomScaleNormal="100" workbookViewId="0">
      <selection activeCell="B43" sqref="B43"/>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4" t="s">
        <v>6</v>
      </c>
      <c r="B2" s="5"/>
    </row>
    <row r="3" spans="1:2" x14ac:dyDescent="0.2">
      <c r="A3" s="4" t="s">
        <v>144</v>
      </c>
      <c r="B3" s="5">
        <v>216</v>
      </c>
    </row>
    <row r="4" spans="1:2" x14ac:dyDescent="0.2">
      <c r="A4" s="4" t="s">
        <v>145</v>
      </c>
      <c r="B4" s="5">
        <v>846</v>
      </c>
    </row>
    <row r="5" spans="1:2" x14ac:dyDescent="0.2">
      <c r="A5" s="4" t="s">
        <v>7</v>
      </c>
      <c r="B5" s="5"/>
    </row>
    <row r="6" spans="1:2" x14ac:dyDescent="0.2">
      <c r="A6" s="4" t="s">
        <v>146</v>
      </c>
      <c r="B6" s="5">
        <v>316.08999999999997</v>
      </c>
    </row>
    <row r="7" spans="1:2" x14ac:dyDescent="0.2">
      <c r="A7" s="4" t="s">
        <v>147</v>
      </c>
      <c r="B7" s="5"/>
    </row>
    <row r="8" spans="1:2" x14ac:dyDescent="0.2">
      <c r="A8" s="4" t="s">
        <v>148</v>
      </c>
      <c r="B8" s="5">
        <v>756</v>
      </c>
    </row>
    <row r="9" spans="1:2" x14ac:dyDescent="0.2">
      <c r="A9" s="6" t="s">
        <v>2</v>
      </c>
      <c r="B9" s="7">
        <f>SUM(B3:B8)</f>
        <v>2134.09</v>
      </c>
    </row>
  </sheetData>
  <pageMargins left="0.39370078740157483" right="0.39370078740157483" top="0.74803149606299213" bottom="0.74803149606299213" header="0.31496062992125984" footer="0.31496062992125984"/>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1460A-F5C1-4FAC-B251-F09619F2D40E}">
  <dimension ref="A1:B12"/>
  <sheetViews>
    <sheetView zoomScaleNormal="100" workbookViewId="0">
      <selection activeCell="A13" sqref="A13"/>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4" t="s">
        <v>6</v>
      </c>
      <c r="B2" s="5"/>
    </row>
    <row r="3" spans="1:2" x14ac:dyDescent="0.2">
      <c r="A3" s="4" t="s">
        <v>162</v>
      </c>
      <c r="B3" s="5">
        <v>990</v>
      </c>
    </row>
    <row r="4" spans="1:2" x14ac:dyDescent="0.2">
      <c r="A4" s="4" t="s">
        <v>163</v>
      </c>
      <c r="B4" s="5">
        <v>684</v>
      </c>
    </row>
    <row r="5" spans="1:2" x14ac:dyDescent="0.2">
      <c r="A5" s="4" t="s">
        <v>7</v>
      </c>
      <c r="B5" s="5"/>
    </row>
    <row r="6" spans="1:2" x14ac:dyDescent="0.2">
      <c r="A6" s="4" t="s">
        <v>164</v>
      </c>
      <c r="B6" s="5">
        <v>1116</v>
      </c>
    </row>
    <row r="7" spans="1:2" x14ac:dyDescent="0.2">
      <c r="A7" s="4" t="s">
        <v>147</v>
      </c>
      <c r="B7" s="5"/>
    </row>
    <row r="8" spans="1:2" x14ac:dyDescent="0.2">
      <c r="A8" s="4" t="s">
        <v>165</v>
      </c>
      <c r="B8" s="5">
        <v>607.5</v>
      </c>
    </row>
    <row r="9" spans="1:2" x14ac:dyDescent="0.2">
      <c r="A9" s="6" t="s">
        <v>2</v>
      </c>
      <c r="B9" s="7">
        <f>SUM(B3:B8)</f>
        <v>3397.5</v>
      </c>
    </row>
    <row r="11" spans="1:2" x14ac:dyDescent="0.2">
      <c r="B11" s="24"/>
    </row>
    <row r="12" spans="1:2" x14ac:dyDescent="0.2">
      <c r="A12" s="40" t="s">
        <v>181</v>
      </c>
      <c r="B12" s="7">
        <f>B9+'Ingresos formación 2020'!B9+'Ingresos formación 2019'!B14</f>
        <v>65222.820000000007</v>
      </c>
    </row>
  </sheetData>
  <pageMargins left="0.39370078740157483" right="0.39370078740157483" top="0.74803149606299213" bottom="0.74803149606299213" header="0.31496062992125984" footer="0.31496062992125984"/>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2</vt:i4>
      </vt:variant>
    </vt:vector>
  </HeadingPairs>
  <TitlesOfParts>
    <vt:vector size="10" baseType="lpstr">
      <vt:lpstr>Tesis</vt:lpstr>
      <vt:lpstr>Sexenios</vt:lpstr>
      <vt:lpstr>Ingresos investigación 2019</vt:lpstr>
      <vt:lpstr>Ingresos investigación 2020</vt:lpstr>
      <vt:lpstr>Ingresos investigación 2021</vt:lpstr>
      <vt:lpstr>Ingresos formación 2019</vt:lpstr>
      <vt:lpstr>Ingresos formación 2020</vt:lpstr>
      <vt:lpstr>Ingresos formación 2021</vt:lpstr>
      <vt:lpstr>Sexenios!Títulos_a_imprimir</vt:lpstr>
      <vt:lpstr>Tesis!Títulos_a_imprimir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21387280V</dc:creator>
  <cp:lastModifiedBy>21511974M</cp:lastModifiedBy>
  <dcterms:created xsi:type="dcterms:W3CDTF">2019-07-03T07:15:54Z</dcterms:created>
  <dcterms:modified xsi:type="dcterms:W3CDTF">2022-10-18T10:12:35Z</dcterms:modified>
</cp:coreProperties>
</file>