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EA2E3858-BA1D-4A74-BDA1-C288C2B8689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5" r:id="rId1"/>
    <sheet name="Sexenios" sheetId="6" r:id="rId2"/>
    <sheet name="Ingresos investigación 2019" sheetId="9" r:id="rId3"/>
    <sheet name="Ingresos investigación 2020" sheetId="12" r:id="rId4"/>
    <sheet name="Ingresos investigación 2021" sheetId="13" r:id="rId5"/>
    <sheet name="Ingresos formación 2019" sheetId="10" r:id="rId6"/>
    <sheet name="Ingresos formación 2020" sheetId="11" r:id="rId7"/>
    <sheet name="Ingresos formación 2021" sheetId="14" r:id="rId8"/>
  </sheets>
  <definedNames>
    <definedName name="_xlnm._FilterDatabase" localSheetId="1" hidden="1">Sexenios!$A$1:$S$12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0" i="6" l="1"/>
  <c r="S9" i="5" l="1"/>
  <c r="B6" i="14" l="1"/>
  <c r="B22" i="12"/>
  <c r="B6" i="11"/>
  <c r="B6" i="10" l="1"/>
  <c r="B19" i="9"/>
  <c r="C14" i="13" s="1"/>
</calcChain>
</file>

<file path=xl/sharedStrings.xml><?xml version="1.0" encoding="utf-8"?>
<sst xmlns="http://schemas.openxmlformats.org/spreadsheetml/2006/main" count="348" uniqueCount="177">
  <si>
    <t>Orgánica
Descripción justificante</t>
  </si>
  <si>
    <t>Importe</t>
  </si>
  <si>
    <t>Total</t>
  </si>
  <si>
    <t>31.10.6P.00.06</t>
  </si>
  <si>
    <t>31.10.6P.00.07</t>
  </si>
  <si>
    <t>31.10.6X.00.03</t>
  </si>
  <si>
    <t>31.10.2T.00.01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</si>
  <si>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</si>
  <si>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</si>
  <si>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</si>
  <si>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</si>
  <si>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</si>
  <si>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</si>
  <si>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</si>
  <si>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</si>
  <si>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</si>
  <si>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</si>
  <si>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</si>
  <si>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</si>
  <si>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</si>
  <si>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</si>
  <si>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</si>
  <si>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</si>
  <si>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</si>
  <si>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</si>
  <si>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</si>
  <si>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</si>
  <si>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</si>
  <si>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</si>
  <si>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</si>
  <si>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</si>
  <si>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</si>
  <si>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</si>
  <si>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B117 </t>
  </si>
  <si>
    <t>FISICA APLICADA </t>
  </si>
  <si>
    <t>DOCTORADO EN NANOCIENCIA Y NANOTECNOLOGÍA </t>
  </si>
  <si>
    <t>B117</t>
  </si>
  <si>
    <t>10.14</t>
  </si>
  <si>
    <t>U052 </t>
  </si>
  <si>
    <t>ADM. I.U. DE MATERIALES </t>
  </si>
  <si>
    <t>DOCTORADO EN CIENCIA DE MATERIALES </t>
  </si>
  <si>
    <t>21475467E </t>
  </si>
  <si>
    <t>07495796G </t>
  </si>
  <si>
    <t>51396407D </t>
  </si>
  <si>
    <t>Olivera Esteve, Bernat Josep </t>
  </si>
  <si>
    <t>ELECTRONIC TRANSPORT IN METALS AT THE ATOMIC SCALE: CAPACITANCE, EMERGENT MAGNETISM AND F-ELECTRONS INFLUENCE </t>
  </si>
  <si>
    <t>22/09/2017 </t>
  </si>
  <si>
    <t>Martínez Asencio, Jesús </t>
  </si>
  <si>
    <t>SIMULACIÓN ATOMÍSTICA DE MANIPULACIÓN E IRRADIACIÓN DE GRAFITO Y GRAFENO </t>
  </si>
  <si>
    <t>26/01/2018 </t>
  </si>
  <si>
    <t>Dednam , Wynand </t>
  </si>
  <si>
    <t>ATOMISTIC SIMULATIONS OF COMPETING INFLUENCES ON ELECTRON TRANSPORT ACROSS METAL NANOCONTACTS </t>
  </si>
  <si>
    <t>06/09/2019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</si>
  <si>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</si>
  <si>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</si>
  <si>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</si>
  <si>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</si>
  <si>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</si>
  <si>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</si>
  <si>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</si>
  <si>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</si>
  <si>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</si>
  <si>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</si>
  <si>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</si>
  <si>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</si>
  <si>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</si>
  <si>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23213158V</t>
  </si>
  <si>
    <t>ABRIL SANCHEZ, ISABEL</t>
  </si>
  <si>
    <t>21475467E</t>
  </si>
  <si>
    <t>CATURLA TEROL, MARIA JOSE</t>
  </si>
  <si>
    <t>48765309L</t>
  </si>
  <si>
    <t>CHIAPPE ACOSTA, GUILLERMO</t>
  </si>
  <si>
    <t>51396407D</t>
  </si>
  <si>
    <t>DIAZ GARCIA, MARIA ANGELES</t>
  </si>
  <si>
    <t>21966179Y</t>
  </si>
  <si>
    <t>MIRALLES TORRES, JUAN ANTONIO</t>
  </si>
  <si>
    <t>16568682B</t>
  </si>
  <si>
    <t>NEGUERUELA DIEZ, IGNACIO</t>
  </si>
  <si>
    <t>21650596Y</t>
  </si>
  <si>
    <t>PONS BOTELLA, JOSE ANTONIO</t>
  </si>
  <si>
    <t>07495796G</t>
  </si>
  <si>
    <t>UNTIEDT LECUONA, CARLOS</t>
  </si>
  <si>
    <t>04567901D</t>
  </si>
  <si>
    <t>VILLALVILLA SORIA, JOSE MOISES</t>
  </si>
  <si>
    <t>LIBERADOS EL 23/04/2019, ANUALIDAD 2019 PROYECTOS I+D (PIA 1) N EXPEDIENTE: PIA12016-1 - 4 ANUALIDAD REFERENCIA: MAT2016-78625-C2-1-P. REF. DEL ORDENANTE PARA EL BENEFICIARIO: 27402219310018248.</t>
  </si>
  <si>
    <t>PROMETEO 2017 EN 2019</t>
  </si>
  <si>
    <t>31.10.6P.00.08</t>
  </si>
  <si>
    <t xml:space="preserve">CDEIGENT/2018  ANUALIDAD 2019RESOLUCION 28/12/2018 SUBVENCIONES DOCTOESY DOCTORAS CON EXPERIENCIA INTERN </t>
  </si>
  <si>
    <t>31.10.6P.00.09</t>
  </si>
  <si>
    <t>CIDEGENT 2018 ANUALIDAD 2019RESOL 28/12/2018 CONTRATACIÓN INVESTIGA DORES DOCT. EXCELENCIA PROYECTO I+D+I</t>
  </si>
  <si>
    <t>31.10.6P.00.10</t>
  </si>
  <si>
    <t>PARA EL PAGO DE LA ANUALIDAD 2019. PROYECTOS I+D (PIA 1) N EXPEDIENTE : PIA 12018 - 1 -1 ANUALIDAD REFERENCIA: PGC2018 - 093741 - B - C21 REFERENCIA DEL ORDENANTE PARA EL BENEFICIARIO: 00173219310010744 - 2019/009199</t>
  </si>
  <si>
    <t>PARA PAGO ANUALIDAD 2019 CONVOCATORIA PGC 2018 PROYECTOS I+D (PIA 1) N EXPEDIENTE: PIA 12018-1 -1 ANUALIDAD REFERENCIA: PGC 2018- 093741- B-C2. REFERENCIA DEL ORDENANTE PARA EL BENEFICIARIO: 27402219310025503</t>
  </si>
  <si>
    <t>PROYECTO EUROFUSIÓN (GRT N 633053) AC. 6226-78-78. LA OFICINA DE GESTIÓN DE PROYECTOS INTERNACIONALES INFORMA QUE CORRESPONDE AL QUINTO PAGO DEL PROYECTO EUROPEO EUROFUSIÓN. DEPARTAMENTO DE FÍSICA APLICADA.</t>
  </si>
  <si>
    <t>PROYECTO EUROFUSIÓN (GRT N 633053) AC. 6226-78-78. SÉPTIMO PAGO DEL PROYECTO EUROPEO EUROFUSIÓN. DEPARTAMENTO DE FÍSICA APLICADA.</t>
  </si>
  <si>
    <t>PROYECTO EUROFUSIÓN (GRT N 633053) AC. 6226-90-90. LA OFICINA DE GESTIÓN DE PROYECTOS INTERNACIONALES INFORMA QUE CORRESPONDE AL SEXTO PAGO DEL PROYECTO EUROPEO EUROFUSIÓN. DEPARTAMENTO DE FÍSICA APLICADA.</t>
  </si>
  <si>
    <t>31.10.6X.00.04</t>
  </si>
  <si>
    <t>SEGUNDO PAGO PROYECTO EUROPEO M4F  INVESTIGADOR PRINCIPAL: MARÍA JOSÉ CATURLA.</t>
  </si>
  <si>
    <t>Liquidación  PLAN GD60 curso ''DIVULGAR LA CIENCIA EN EL SIGLO XXI"</t>
  </si>
  <si>
    <t>PAGO INSCRIPCIÓN AL CURSO "DIVULGAR CIENCIA EN EL SIGLO XXI 2018" A NOMBRE DE ANTONIO JOSÉ CHUMILLAS SOTO</t>
  </si>
  <si>
    <t>PAGO INSCRIPCIONES AL CURSO "DIVULGAR CIENCIA EN EL SIGLO XXI" A NOMBRE DE D. FRANCISCO ROMERO LÓPEZ Y D. MIGUEL LÓPEZ VERDÚ</t>
  </si>
  <si>
    <t>10.20</t>
  </si>
  <si>
    <t>20</t>
  </si>
  <si>
    <t>52583754G</t>
  </si>
  <si>
    <t>MOLINA PALACIOS, SERGIO</t>
  </si>
  <si>
    <t>10.16</t>
  </si>
  <si>
    <t>40</t>
  </si>
  <si>
    <t>COD DEP</t>
  </si>
  <si>
    <t>20430702D</t>
  </si>
  <si>
    <t>NAVARRO FUSTER, VICTOR</t>
  </si>
  <si>
    <t>NO FUNCIONARIO</t>
  </si>
  <si>
    <t>48303841T</t>
  </si>
  <si>
    <t>GOMEZ DOMENECH, IGOR</t>
  </si>
  <si>
    <t>García Martínez, Noel Alberto </t>
  </si>
  <si>
    <t>Functionalized Bilayer Graphene For Quantum Technologies </t>
  </si>
  <si>
    <t>28/09/2021 </t>
  </si>
  <si>
    <t>00832982Z </t>
  </si>
  <si>
    <t>U022 </t>
  </si>
  <si>
    <t>ADM. FACULTAD DE CIENCIAS </t>
  </si>
  <si>
    <t>DOCTORADO EN CIENCIAS EXPERIMENTALES Y BIOSANITARIAS </t>
  </si>
  <si>
    <t>Trigueros Páez, Emilio </t>
  </si>
  <si>
    <t>MONOS: Multiplicity Of Northern O-type Spectroscopic systems </t>
  </si>
  <si>
    <t>30/07/2021 </t>
  </si>
  <si>
    <t>16568682B </t>
  </si>
  <si>
    <t>Ortiz Cano, Ricardo </t>
  </si>
  <si>
    <t>Electronic and spin properties of open-shell nanographenes </t>
  </si>
  <si>
    <t>29/09/2021 </t>
  </si>
  <si>
    <t>PROMETEO 2017 EN 2020 (CONSELLERIA INNOVACIÓN,UNIVERSIDADES,CIENCIA SOC.DIG)</t>
  </si>
  <si>
    <t>CDEIGENT 2018 SUBV.CONTRAT. DOCTORESEXPERIENCIA INTERNACIONAL   RESOL 28/12/2018 DGUIC ANUALIDAD 2020 (INNOVACIÓN,UNIVERSIDADES,CIENCIA SOC.DIG)</t>
  </si>
  <si>
    <t>CIDEGENT 2018 SUBV.CONTRAC. INVEST. DOCEXCELENCIA DESARR PROYECT I+D+I EN C.V. RESOL 28/12/2020 DGUIC ANUALIDAD 2020 (INNOVACIÓN,UNIVERSIDADES,CIENCIA SOC.DIG)</t>
  </si>
  <si>
    <t>LIBERADOS EL 30/06/2020, ANUALIDAD 2020 PROYECTOS / I+D (PIA1) N EXPEDIENTE: PIA12018-1 - 2 ANUAL / IDAD REFERENCIA: PGC2018-093741-B-C21 / GOVT / 27402220310030717</t>
  </si>
  <si>
    <t>31.10.6P.00.11</t>
  </si>
  <si>
    <t>TRASLADO DE EXPEDIENTE PROYECTO MAT2017-88377-C2-2-R.</t>
  </si>
  <si>
    <t>31.10.6P.00.12</t>
  </si>
  <si>
    <t>PAGO CONVOVATORIA PROYECTOS 2019 ANUALIDAD 2020 PROYECTOS I+D (PIA1) EXPEDIENTE PIA12019-1-1 ANUALIDAD REFERENCIA: PID2019-109539G</t>
  </si>
  <si>
    <t>31.10.6X.00.01</t>
  </si>
  <si>
    <t>MATISSE P3 11.2.2020.  REF. ORDENANTE: SAC 5100019120. LA OFICINA DE GESTIÓN DE PROYECTOS INTERNACIONALES INFORMA QUE SE TRATA DEL PAGO FINAL DEL PROYECTO MATISSE. DEPARTAMENTO FÍSICA APLICADA.</t>
  </si>
  <si>
    <t>PAGO INTERMEDIO PROYECTO EUROFUSIÓN. FÍSICA APLICADA, INVESTIGADORA PPAL. MARÍA JOSÉ CATURLA TEROL.</t>
  </si>
  <si>
    <t>PROYECTO EUROFUSION , INVESTIGADORA PRINCIPAL MARÍA JOSÉ CATURLA TEROL</t>
  </si>
  <si>
    <t>PROYECTO EUROFUSION INVESTIGADORA PRINCIPAL MARÍA JOSÉ CATURLA, SEGUN INFORMA OGPI.</t>
  </si>
  <si>
    <t>31.10.6X.00.05</t>
  </si>
  <si>
    <t>PROYECTO ENTENTE. INVESTIGADOR PRINCIPAL MARÍA JOSÉ CATURLA</t>
  </si>
  <si>
    <t>No existen ingresos de formación en 2020</t>
  </si>
  <si>
    <t>Cód. org. aplic.</t>
  </si>
  <si>
    <t>Descripción justificante</t>
  </si>
  <si>
    <t>PROMETEO 2017 EN 2021 (INNOVACIÓN,UNIVERSIDADES,CIENCIA SOC.DIG)</t>
  </si>
  <si>
    <t>CDEIGENT 2018 ANUALIDAD 2021RESOLUCIÓN 25/05/2020 SAUI MODIFICACION RESOLUC 28/12/18 DGUIC POR INCIDENCIAS</t>
  </si>
  <si>
    <t>CIDEGENT 2018 ANUALIDAD 2021RESOLUCIÓN DGUIC 25/01/2019</t>
  </si>
  <si>
    <t xml:space="preserve">PGC2018-093741-B-C21 </t>
  </si>
  <si>
    <t xml:space="preserve">PID2019-109539GB-C41 </t>
  </si>
  <si>
    <t>31.10.6P.00.15</t>
  </si>
  <si>
    <t>PID2020-119124RB-I00</t>
  </si>
  <si>
    <t>31.10.6P.00.16</t>
  </si>
  <si>
    <t xml:space="preserve">PROMETEO/2021/017 2021 en 2021 </t>
  </si>
  <si>
    <t>PAGO INTERMEDIO DEL PROYECTO EUROFUSION, SEGÚN INFORMA LA OGPI</t>
  </si>
  <si>
    <t>TERCER PAGO PROYECTO M4F, (IP M. JOSÉ CATURLA), SEGÚN INFORMAN DESDE PROYECTOS INTERNACIONALES</t>
  </si>
  <si>
    <t>31.10.6X.00.06</t>
  </si>
  <si>
    <t>PRIMER PAGO PROYECTO E-PROT, SEGÚN INFORMA OGPI</t>
  </si>
  <si>
    <t>No existen ingresos de formación en 2021</t>
  </si>
  <si>
    <t>10.19</t>
  </si>
  <si>
    <t>15</t>
  </si>
  <si>
    <t>Muñoz Mármol, Rafael </t>
  </si>
  <si>
    <t>Photophysical and Laser Studies on Perylenediimides and Nanographenes </t>
  </si>
  <si>
    <t>19/11/2021 </t>
  </si>
  <si>
    <t>02547000A</t>
  </si>
  <si>
    <t>BARGUEÑO DE RETES, PEDRO</t>
  </si>
  <si>
    <t>05683727J</t>
  </si>
  <si>
    <t>CALVO URBINA, MARIA REYES</t>
  </si>
  <si>
    <t>14302841S</t>
  </si>
  <si>
    <t>RODRIGUEZ BERLANAS, SARA</t>
  </si>
  <si>
    <t>48790125H</t>
  </si>
  <si>
    <t>DENTON ZANELLO, CRISTIAN DIEGO</t>
  </si>
  <si>
    <t>73995007M</t>
  </si>
  <si>
    <t>SABATER PIQUERES, CARLOS</t>
  </si>
  <si>
    <t>74669759Y</t>
  </si>
  <si>
    <t>BALBUENA VALENZUELA, JUAN PABLO</t>
  </si>
  <si>
    <t>Total ingresos investigación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</si>
</sst>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5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1" fillId="6" borderId="2" xfId="0" applyFont="1" applyFill="1" applyBorder="1"/>
    <xf numFmtId="0" fontId="11" fillId="6" borderId="3" xfId="0" applyFont="1" applyFill="1" applyBorder="1" applyAlignment="1">
      <alignment horizontal="right"/>
    </xf>
    <xf numFmtId="0" fontId="11" fillId="6" borderId="6" xfId="0" applyFont="1" applyFill="1" applyBorder="1"/>
    <xf numFmtId="4" fontId="11" fillId="6" borderId="7" xfId="0" applyNumberFormat="1" applyFont="1" applyFill="1" applyBorder="1"/>
    <xf numFmtId="0" fontId="0" fillId="7" borderId="4" xfId="0" applyFill="1" applyBorder="1" applyAlignment="1">
      <alignment vertical="top"/>
    </xf>
    <xf numFmtId="0" fontId="0" fillId="7" borderId="4" xfId="0" applyFill="1" applyBorder="1" applyAlignment="1">
      <alignment vertical="top" wrapText="1"/>
    </xf>
    <xf numFmtId="4" fontId="0" fillId="7" borderId="5" xfId="0" applyNumberFormat="1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0" fillId="8" borderId="4" xfId="0" applyFill="1" applyBorder="1" applyAlignment="1">
      <alignment vertical="top" wrapText="1"/>
    </xf>
    <xf numFmtId="4" fontId="0" fillId="8" borderId="5" xfId="0" applyNumberFormat="1" applyFill="1" applyBorder="1" applyAlignment="1">
      <alignment vertical="top"/>
    </xf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0" fontId="12" fillId="9" borderId="1" xfId="0" applyFont="1" applyFill="1" applyBorder="1" applyAlignment="1">
      <alignment horizontal="left" vertical="center"/>
    </xf>
    <xf numFmtId="0" fontId="12" fillId="9" borderId="8" xfId="0" applyFont="1" applyFill="1" applyBorder="1" applyAlignment="1">
      <alignment horizontal="left" vertical="center"/>
    </xf>
    <xf numFmtId="0" fontId="12" fillId="9" borderId="9" xfId="0" applyFont="1" applyFill="1" applyBorder="1" applyAlignment="1">
      <alignment horizontal="left" vertical="center"/>
    </xf>
    <xf numFmtId="0" fontId="12" fillId="9" borderId="10" xfId="0" applyFont="1" applyFill="1" applyBorder="1" applyAlignment="1">
      <alignment horizontal="left" vertical="center"/>
    </xf>
    <xf numFmtId="0" fontId="3" fillId="0" borderId="1" xfId="1" applyBorder="1"/>
    <xf numFmtId="164" fontId="4" fillId="2" borderId="0" xfId="1" applyNumberFormat="1" applyFont="1" applyFill="1" applyAlignment="1"/>
    <xf numFmtId="0" fontId="0" fillId="0" borderId="1" xfId="0" applyBorder="1" applyAlignment="1">
      <alignment horizontal="left"/>
    </xf>
    <xf numFmtId="0" fontId="10" fillId="10" borderId="0" xfId="5" applyFont="1" applyFill="1"/>
    <xf numFmtId="0" fontId="10" fillId="10" borderId="0" xfId="5" applyFont="1" applyFill="1" applyAlignment="1">
      <alignment horizontal="right"/>
    </xf>
    <xf numFmtId="164" fontId="14" fillId="10" borderId="0" xfId="5" applyNumberFormat="1" applyFont="1" applyFill="1"/>
    <xf numFmtId="0" fontId="13" fillId="0" borderId="1" xfId="0" applyFont="1" applyBorder="1" applyAlignment="1">
      <alignment horizontal="right"/>
    </xf>
    <xf numFmtId="4" fontId="13" fillId="0" borderId="1" xfId="0" applyNumberFormat="1" applyFont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"/>
  <sheetViews>
    <sheetView showGridLines="0" tabSelected="1" zoomScale="120" zoomScaleNormal="12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S9" sqref="S9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6" customWidth="1"/>
    <col min="16" max="16" width="4.88671875" style="13" customWidth="1"/>
    <col min="17" max="17" width="3.5546875" style="16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8" t="s">
        <v>15</v>
      </c>
      <c r="J1" s="9" t="s">
        <v>16</v>
      </c>
      <c r="K1" s="8" t="s">
        <v>17</v>
      </c>
      <c r="L1" s="9" t="s">
        <v>18</v>
      </c>
      <c r="M1" s="10" t="s">
        <v>19</v>
      </c>
      <c r="N1" s="11" t="s">
        <v>20</v>
      </c>
      <c r="O1" s="12" t="s">
        <v>21</v>
      </c>
      <c r="P1" s="11" t="s">
        <v>22</v>
      </c>
      <c r="Q1" s="12" t="s">
        <v>23</v>
      </c>
      <c r="R1" s="11" t="s">
        <v>24</v>
      </c>
      <c r="S1" s="11" t="s">
        <v>25</v>
      </c>
      <c r="T1" s="11" t="s">
        <v>26</v>
      </c>
      <c r="U1" s="11" t="s">
        <v>27</v>
      </c>
    </row>
    <row r="2" spans="1:21" x14ac:dyDescent="0.2">
      <c r="A2" s="37" t="s">
        <v>33</v>
      </c>
      <c r="B2" s="37" t="s">
        <v>34</v>
      </c>
      <c r="C2" s="37" t="s">
        <v>35</v>
      </c>
      <c r="D2" s="37" t="s">
        <v>44</v>
      </c>
      <c r="E2" s="37" t="s">
        <v>45</v>
      </c>
      <c r="F2" s="37" t="s">
        <v>46</v>
      </c>
      <c r="G2" s="37" t="s">
        <v>42</v>
      </c>
      <c r="H2" s="37" t="s">
        <v>31</v>
      </c>
      <c r="I2" s="37" t="s">
        <v>33</v>
      </c>
      <c r="J2" s="37" t="s">
        <v>34</v>
      </c>
      <c r="K2" s="38">
        <v>1</v>
      </c>
      <c r="L2" s="37" t="s">
        <v>36</v>
      </c>
      <c r="M2" s="37">
        <v>2016</v>
      </c>
      <c r="N2" s="37" t="s">
        <v>37</v>
      </c>
      <c r="O2" s="39" t="s">
        <v>32</v>
      </c>
      <c r="P2" s="37" t="s">
        <v>30</v>
      </c>
      <c r="Q2" s="39" t="s">
        <v>30</v>
      </c>
      <c r="R2" s="40">
        <v>90</v>
      </c>
      <c r="S2" s="38">
        <v>0.9</v>
      </c>
      <c r="T2" s="38">
        <v>0.1</v>
      </c>
      <c r="U2" s="38">
        <v>0</v>
      </c>
    </row>
    <row r="3" spans="1:21" x14ac:dyDescent="0.2">
      <c r="A3" s="37" t="s">
        <v>33</v>
      </c>
      <c r="B3" s="37" t="s">
        <v>34</v>
      </c>
      <c r="C3" s="37" t="s">
        <v>35</v>
      </c>
      <c r="D3" s="37" t="s">
        <v>47</v>
      </c>
      <c r="E3" s="37" t="s">
        <v>48</v>
      </c>
      <c r="F3" s="37" t="s">
        <v>49</v>
      </c>
      <c r="G3" s="37" t="s">
        <v>41</v>
      </c>
      <c r="H3" s="37" t="s">
        <v>31</v>
      </c>
      <c r="I3" s="37" t="s">
        <v>33</v>
      </c>
      <c r="J3" s="37" t="s">
        <v>34</v>
      </c>
      <c r="K3" s="38">
        <v>1</v>
      </c>
      <c r="L3" s="37" t="s">
        <v>36</v>
      </c>
      <c r="M3" s="37">
        <v>2017</v>
      </c>
      <c r="N3" s="37" t="s">
        <v>37</v>
      </c>
      <c r="O3" s="39" t="s">
        <v>32</v>
      </c>
      <c r="P3" s="37" t="s">
        <v>30</v>
      </c>
      <c r="Q3" s="39" t="s">
        <v>30</v>
      </c>
      <c r="R3" s="40">
        <v>90</v>
      </c>
      <c r="S3" s="38">
        <v>0.9</v>
      </c>
      <c r="T3" s="38">
        <v>0.1</v>
      </c>
      <c r="U3" s="38">
        <v>0</v>
      </c>
    </row>
    <row r="4" spans="1:21" ht="10.8" thickBot="1" x14ac:dyDescent="0.25">
      <c r="A4" s="37" t="s">
        <v>38</v>
      </c>
      <c r="B4" s="37" t="s">
        <v>39</v>
      </c>
      <c r="C4" s="37" t="s">
        <v>40</v>
      </c>
      <c r="D4" s="37" t="s">
        <v>50</v>
      </c>
      <c r="E4" s="37" t="s">
        <v>51</v>
      </c>
      <c r="F4" s="37" t="s">
        <v>52</v>
      </c>
      <c r="G4" s="37" t="s">
        <v>41</v>
      </c>
      <c r="H4" s="37" t="s">
        <v>28</v>
      </c>
      <c r="I4" s="37" t="s">
        <v>33</v>
      </c>
      <c r="J4" s="37" t="s">
        <v>34</v>
      </c>
      <c r="K4" s="41">
        <v>0.5</v>
      </c>
      <c r="L4" s="37" t="s">
        <v>36</v>
      </c>
      <c r="M4" s="37">
        <v>2018</v>
      </c>
      <c r="N4" s="37" t="s">
        <v>37</v>
      </c>
      <c r="O4" s="39" t="s">
        <v>32</v>
      </c>
      <c r="P4" s="37" t="s">
        <v>30</v>
      </c>
      <c r="Q4" s="39" t="s">
        <v>30</v>
      </c>
      <c r="R4" s="40">
        <v>90</v>
      </c>
      <c r="S4" s="38">
        <v>0.45</v>
      </c>
      <c r="T4" s="38">
        <v>0.05</v>
      </c>
      <c r="U4" s="38">
        <v>0</v>
      </c>
    </row>
    <row r="5" spans="1:21" ht="10.8" thickBot="1" x14ac:dyDescent="0.25">
      <c r="A5" s="42" t="s">
        <v>33</v>
      </c>
      <c r="B5" s="42" t="s">
        <v>34</v>
      </c>
      <c r="C5" s="42" t="s">
        <v>35</v>
      </c>
      <c r="D5" s="42" t="s">
        <v>113</v>
      </c>
      <c r="E5" s="42" t="s">
        <v>114</v>
      </c>
      <c r="F5" s="42" t="s">
        <v>115</v>
      </c>
      <c r="G5" s="43" t="s">
        <v>116</v>
      </c>
      <c r="H5" s="44" t="s">
        <v>31</v>
      </c>
      <c r="I5" s="44" t="s">
        <v>33</v>
      </c>
      <c r="J5" s="45" t="s">
        <v>34</v>
      </c>
      <c r="K5" s="46">
        <v>1</v>
      </c>
      <c r="L5" s="46" t="s">
        <v>36</v>
      </c>
      <c r="M5" s="37">
        <v>2020</v>
      </c>
      <c r="N5" s="37" t="s">
        <v>37</v>
      </c>
      <c r="O5" s="39" t="s">
        <v>32</v>
      </c>
      <c r="P5" s="37" t="s">
        <v>30</v>
      </c>
      <c r="Q5" s="39" t="s">
        <v>30</v>
      </c>
      <c r="R5" s="37">
        <v>90</v>
      </c>
      <c r="S5" s="37">
        <v>0.9</v>
      </c>
      <c r="T5" s="37">
        <v>0.1</v>
      </c>
      <c r="U5" s="37">
        <v>0</v>
      </c>
    </row>
    <row r="6" spans="1:21" ht="10.8" thickBot="1" x14ac:dyDescent="0.25">
      <c r="A6" s="42" t="s">
        <v>117</v>
      </c>
      <c r="B6" s="42" t="s">
        <v>118</v>
      </c>
      <c r="C6" s="42" t="s">
        <v>119</v>
      </c>
      <c r="D6" s="42" t="s">
        <v>120</v>
      </c>
      <c r="E6" s="42" t="s">
        <v>121</v>
      </c>
      <c r="F6" s="42" t="s">
        <v>122</v>
      </c>
      <c r="G6" s="43" t="s">
        <v>123</v>
      </c>
      <c r="H6" s="44" t="s">
        <v>28</v>
      </c>
      <c r="I6" s="44" t="s">
        <v>33</v>
      </c>
      <c r="J6" s="45" t="s">
        <v>34</v>
      </c>
      <c r="K6" s="46">
        <v>0.5</v>
      </c>
      <c r="L6" s="46" t="s">
        <v>36</v>
      </c>
      <c r="M6" s="37">
        <v>2020</v>
      </c>
      <c r="N6" s="37" t="s">
        <v>159</v>
      </c>
      <c r="O6" s="39" t="s">
        <v>160</v>
      </c>
      <c r="P6" s="37" t="s">
        <v>30</v>
      </c>
      <c r="Q6" s="39" t="s">
        <v>30</v>
      </c>
      <c r="R6" s="37">
        <v>85</v>
      </c>
      <c r="S6" s="37">
        <v>0.42499999999999999</v>
      </c>
      <c r="T6" s="37">
        <v>7.4999999999999997E-2</v>
      </c>
      <c r="U6" s="37">
        <v>0</v>
      </c>
    </row>
    <row r="7" spans="1:21" ht="10.8" thickBot="1" x14ac:dyDescent="0.25">
      <c r="A7" s="42" t="s">
        <v>38</v>
      </c>
      <c r="B7" s="42" t="s">
        <v>39</v>
      </c>
      <c r="C7" s="42" t="s">
        <v>40</v>
      </c>
      <c r="D7" s="42" t="s">
        <v>124</v>
      </c>
      <c r="E7" s="42" t="s">
        <v>125</v>
      </c>
      <c r="F7" s="42" t="s">
        <v>126</v>
      </c>
      <c r="G7" s="43" t="s">
        <v>116</v>
      </c>
      <c r="H7" s="44" t="s">
        <v>28</v>
      </c>
      <c r="I7" s="44" t="s">
        <v>33</v>
      </c>
      <c r="J7" s="45" t="s">
        <v>34</v>
      </c>
      <c r="K7" s="46">
        <v>0.5</v>
      </c>
      <c r="L7" s="46" t="s">
        <v>36</v>
      </c>
      <c r="M7" s="37">
        <v>2020</v>
      </c>
      <c r="N7" s="37" t="s">
        <v>37</v>
      </c>
      <c r="O7" s="39" t="s">
        <v>32</v>
      </c>
      <c r="P7" s="37" t="s">
        <v>30</v>
      </c>
      <c r="Q7" s="39" t="s">
        <v>30</v>
      </c>
      <c r="R7" s="37">
        <v>90</v>
      </c>
      <c r="S7" s="37">
        <v>0.45</v>
      </c>
      <c r="T7" s="37">
        <v>0.05</v>
      </c>
      <c r="U7" s="37">
        <v>0</v>
      </c>
    </row>
    <row r="8" spans="1:21" x14ac:dyDescent="0.2">
      <c r="A8" s="37" t="s">
        <v>38</v>
      </c>
      <c r="B8" s="37" t="s">
        <v>39</v>
      </c>
      <c r="C8" s="37" t="s">
        <v>40</v>
      </c>
      <c r="D8" s="37" t="s">
        <v>161</v>
      </c>
      <c r="E8" s="37" t="s">
        <v>162</v>
      </c>
      <c r="F8" s="37" t="s">
        <v>163</v>
      </c>
      <c r="G8" s="37" t="s">
        <v>43</v>
      </c>
      <c r="H8" s="37" t="s">
        <v>31</v>
      </c>
      <c r="I8" s="37" t="s">
        <v>33</v>
      </c>
      <c r="J8" s="37" t="s">
        <v>34</v>
      </c>
      <c r="K8" s="46">
        <v>1</v>
      </c>
      <c r="L8" s="46" t="s">
        <v>36</v>
      </c>
      <c r="M8" s="37">
        <v>2021</v>
      </c>
      <c r="N8" s="37" t="s">
        <v>37</v>
      </c>
      <c r="O8" s="39" t="s">
        <v>29</v>
      </c>
      <c r="P8" s="37" t="s">
        <v>30</v>
      </c>
      <c r="Q8" s="39" t="s">
        <v>30</v>
      </c>
      <c r="R8" s="37">
        <v>50</v>
      </c>
      <c r="S8" s="37">
        <v>0.5</v>
      </c>
      <c r="T8" s="37">
        <v>0.5</v>
      </c>
      <c r="U8" s="37">
        <v>0</v>
      </c>
    </row>
    <row r="9" spans="1:2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4"/>
      <c r="Q9" s="15"/>
      <c r="R9" s="14"/>
      <c r="S9" s="47">
        <f>SUM(S2:S8)</f>
        <v>4.5249999999999995</v>
      </c>
      <c r="T9" s="14"/>
      <c r="U9" s="14"/>
    </row>
  </sheetData>
  <autoFilter ref="A1:U1" xr:uid="{00000000-0009-0000-0000-000000000000}">
    <sortState xmlns:xlrd2="http://schemas.microsoft.com/office/spreadsheetml/2017/richdata2" ref="A2:T1898">
      <sortCondition ref="K2:K1898"/>
      <sortCondition ref="L2:L1898"/>
      <sortCondition ref="D2:D1898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0"/>
  <sheetViews>
    <sheetView zoomScaleNormal="100" workbookViewId="0">
      <selection activeCell="A20" sqref="A20:S20"/>
    </sheetView>
  </sheetViews>
  <sheetFormatPr baseColWidth="10" defaultColWidth="11.44140625" defaultRowHeight="13.2" x14ac:dyDescent="0.25"/>
  <cols>
    <col min="1" max="1" width="10.44140625" style="20" bestFit="1" customWidth="1"/>
    <col min="2" max="2" width="33.44140625" style="20" bestFit="1" customWidth="1"/>
    <col min="3" max="3" width="14.5546875" style="20" bestFit="1" customWidth="1"/>
    <col min="4" max="9" width="3.33203125" style="20" bestFit="1" customWidth="1"/>
    <col min="10" max="10" width="13.109375" style="20" bestFit="1" customWidth="1"/>
    <col min="11" max="11" width="5.33203125" style="20" bestFit="1" customWidth="1"/>
    <col min="12" max="13" width="5.6640625" style="20" bestFit="1" customWidth="1"/>
    <col min="14" max="14" width="5.6640625" style="21" bestFit="1" customWidth="1"/>
    <col min="15" max="15" width="5.6640625" style="20" bestFit="1" customWidth="1"/>
    <col min="16" max="16" width="5.6640625" style="21" bestFit="1" customWidth="1"/>
    <col min="17" max="19" width="5.6640625" style="20" bestFit="1" customWidth="1"/>
    <col min="20" max="16384" width="11.44140625" style="20"/>
  </cols>
  <sheetData>
    <row r="1" spans="1:19" s="19" customFormat="1" ht="60" customHeight="1" x14ac:dyDescent="0.25">
      <c r="A1" s="22" t="s">
        <v>53</v>
      </c>
      <c r="B1" s="22" t="s">
        <v>54</v>
      </c>
      <c r="C1" s="22" t="s">
        <v>55</v>
      </c>
      <c r="D1" s="23">
        <v>2017</v>
      </c>
      <c r="E1" s="23">
        <v>2018</v>
      </c>
      <c r="F1" s="23">
        <v>2019</v>
      </c>
      <c r="G1" s="23">
        <v>2020</v>
      </c>
      <c r="H1" s="23">
        <v>2021</v>
      </c>
      <c r="I1" s="23">
        <v>2022</v>
      </c>
      <c r="J1" s="22" t="s">
        <v>56</v>
      </c>
      <c r="K1" s="24" t="s">
        <v>107</v>
      </c>
      <c r="L1" s="17" t="s">
        <v>57</v>
      </c>
      <c r="M1" s="17" t="s">
        <v>58</v>
      </c>
      <c r="N1" s="17" t="s">
        <v>59</v>
      </c>
      <c r="O1" s="17" t="s">
        <v>60</v>
      </c>
      <c r="P1" s="18" t="s">
        <v>61</v>
      </c>
      <c r="Q1" s="18" t="s">
        <v>62</v>
      </c>
      <c r="R1" s="18" t="s">
        <v>63</v>
      </c>
      <c r="S1" s="18" t="s">
        <v>64</v>
      </c>
    </row>
    <row r="2" spans="1:19" ht="14.4" x14ac:dyDescent="0.3">
      <c r="A2" s="25" t="s">
        <v>164</v>
      </c>
      <c r="B2" s="25" t="s">
        <v>165</v>
      </c>
      <c r="C2" s="25" t="s">
        <v>110</v>
      </c>
      <c r="D2" s="25"/>
      <c r="E2" s="25"/>
      <c r="F2" s="25"/>
      <c r="G2" s="25"/>
      <c r="H2" s="25">
        <v>2</v>
      </c>
      <c r="I2" s="25"/>
      <c r="J2" s="25">
        <v>2</v>
      </c>
      <c r="K2" s="25" t="s">
        <v>36</v>
      </c>
      <c r="L2" s="26">
        <v>0</v>
      </c>
      <c r="M2" s="26">
        <v>0</v>
      </c>
      <c r="N2" s="26" t="s">
        <v>30</v>
      </c>
      <c r="O2" s="26" t="s">
        <v>30</v>
      </c>
      <c r="P2" s="26">
        <v>100</v>
      </c>
      <c r="Q2" s="26">
        <v>0</v>
      </c>
      <c r="R2" s="26">
        <v>0</v>
      </c>
      <c r="S2" s="26">
        <v>2</v>
      </c>
    </row>
    <row r="3" spans="1:19" ht="14.4" x14ac:dyDescent="0.3">
      <c r="A3" s="25" t="s">
        <v>82</v>
      </c>
      <c r="B3" s="25" t="s">
        <v>83</v>
      </c>
      <c r="C3" s="25" t="s">
        <v>65</v>
      </c>
      <c r="D3" s="25"/>
      <c r="E3" s="25">
        <v>1</v>
      </c>
      <c r="F3" s="25"/>
      <c r="G3" s="25"/>
      <c r="H3" s="25"/>
      <c r="I3" s="25"/>
      <c r="J3" s="25">
        <v>1</v>
      </c>
      <c r="K3" s="25" t="s">
        <v>36</v>
      </c>
      <c r="L3" s="26" t="s">
        <v>37</v>
      </c>
      <c r="M3" s="26">
        <v>20</v>
      </c>
      <c r="N3" s="26"/>
      <c r="O3" s="26"/>
      <c r="P3" s="26">
        <v>80</v>
      </c>
      <c r="Q3" s="26">
        <v>0.2</v>
      </c>
      <c r="R3" s="26"/>
      <c r="S3" s="26">
        <v>0.8</v>
      </c>
    </row>
    <row r="4" spans="1:19" ht="14.4" x14ac:dyDescent="0.3">
      <c r="A4" s="25" t="s">
        <v>166</v>
      </c>
      <c r="B4" s="25" t="s">
        <v>167</v>
      </c>
      <c r="C4" s="25" t="s">
        <v>110</v>
      </c>
      <c r="D4" s="25"/>
      <c r="E4" s="25"/>
      <c r="F4" s="25"/>
      <c r="G4" s="25"/>
      <c r="H4" s="25"/>
      <c r="I4" s="25">
        <v>2</v>
      </c>
      <c r="J4" s="25">
        <v>2</v>
      </c>
      <c r="K4" s="25" t="s">
        <v>36</v>
      </c>
      <c r="L4" s="26" t="s">
        <v>37</v>
      </c>
      <c r="M4" s="26" t="s">
        <v>29</v>
      </c>
      <c r="N4" s="26" t="s">
        <v>30</v>
      </c>
      <c r="O4" s="26" t="s">
        <v>30</v>
      </c>
      <c r="P4" s="26">
        <v>50</v>
      </c>
      <c r="Q4" s="26">
        <v>1</v>
      </c>
      <c r="R4" s="26">
        <v>0</v>
      </c>
      <c r="S4" s="26">
        <v>1</v>
      </c>
    </row>
    <row r="5" spans="1:19" ht="14.4" x14ac:dyDescent="0.3">
      <c r="A5" s="25" t="s">
        <v>80</v>
      </c>
      <c r="B5" s="25" t="s">
        <v>81</v>
      </c>
      <c r="C5" s="25" t="s">
        <v>65</v>
      </c>
      <c r="D5" s="25"/>
      <c r="E5" s="25"/>
      <c r="F5" s="25"/>
      <c r="G5" s="25">
        <v>1</v>
      </c>
      <c r="H5" s="25"/>
      <c r="I5" s="25"/>
      <c r="J5" s="25">
        <v>1</v>
      </c>
      <c r="K5" s="25" t="s">
        <v>36</v>
      </c>
      <c r="L5" s="26" t="s">
        <v>37</v>
      </c>
      <c r="M5" s="26" t="s">
        <v>32</v>
      </c>
      <c r="N5" s="26" t="s">
        <v>30</v>
      </c>
      <c r="O5" s="26" t="s">
        <v>30</v>
      </c>
      <c r="P5" s="26">
        <v>90</v>
      </c>
      <c r="Q5" s="26">
        <v>0.1</v>
      </c>
      <c r="R5" s="26">
        <v>0</v>
      </c>
      <c r="S5" s="26">
        <v>0.9</v>
      </c>
    </row>
    <row r="6" spans="1:19" ht="14.4" x14ac:dyDescent="0.3">
      <c r="A6" s="25" t="s">
        <v>168</v>
      </c>
      <c r="B6" s="25" t="s">
        <v>169</v>
      </c>
      <c r="C6" s="25" t="s">
        <v>110</v>
      </c>
      <c r="D6" s="25"/>
      <c r="E6" s="25"/>
      <c r="F6" s="25"/>
      <c r="G6" s="25"/>
      <c r="H6" s="25"/>
      <c r="I6" s="25">
        <v>1</v>
      </c>
      <c r="J6" s="25">
        <v>1</v>
      </c>
      <c r="K6" s="25" t="s">
        <v>36</v>
      </c>
      <c r="L6" s="26">
        <v>0</v>
      </c>
      <c r="M6" s="26">
        <v>0</v>
      </c>
      <c r="N6" s="26" t="s">
        <v>30</v>
      </c>
      <c r="O6" s="26" t="s">
        <v>30</v>
      </c>
      <c r="P6" s="26">
        <v>100</v>
      </c>
      <c r="Q6" s="26">
        <v>0</v>
      </c>
      <c r="R6" s="26">
        <v>0</v>
      </c>
      <c r="S6" s="26">
        <v>1</v>
      </c>
    </row>
    <row r="7" spans="1:19" ht="14.4" x14ac:dyDescent="0.3">
      <c r="A7" s="25" t="s">
        <v>76</v>
      </c>
      <c r="B7" s="25" t="s">
        <v>77</v>
      </c>
      <c r="C7" s="25" t="s">
        <v>65</v>
      </c>
      <c r="D7" s="25"/>
      <c r="E7" s="25">
        <v>1</v>
      </c>
      <c r="F7" s="25"/>
      <c r="G7" s="25"/>
      <c r="H7" s="25"/>
      <c r="I7" s="25"/>
      <c r="J7" s="25">
        <v>1</v>
      </c>
      <c r="K7" s="25" t="s">
        <v>36</v>
      </c>
      <c r="L7" s="26" t="s">
        <v>159</v>
      </c>
      <c r="M7" s="26" t="s">
        <v>160</v>
      </c>
      <c r="N7" s="26" t="s">
        <v>30</v>
      </c>
      <c r="O7" s="26" t="s">
        <v>30</v>
      </c>
      <c r="P7" s="26">
        <v>85</v>
      </c>
      <c r="Q7" s="26">
        <v>0.15</v>
      </c>
      <c r="R7" s="26">
        <v>0</v>
      </c>
      <c r="S7" s="26">
        <v>0.85</v>
      </c>
    </row>
    <row r="8" spans="1:19" ht="14.4" x14ac:dyDescent="0.3">
      <c r="A8" s="25" t="s">
        <v>108</v>
      </c>
      <c r="B8" s="25" t="s">
        <v>109</v>
      </c>
      <c r="C8" s="25" t="s">
        <v>110</v>
      </c>
      <c r="D8" s="25"/>
      <c r="E8" s="25"/>
      <c r="F8" s="25"/>
      <c r="G8" s="25">
        <v>1</v>
      </c>
      <c r="H8" s="25"/>
      <c r="I8" s="25"/>
      <c r="J8" s="25">
        <v>1</v>
      </c>
      <c r="K8" s="25" t="s">
        <v>36</v>
      </c>
      <c r="L8" s="26">
        <v>0</v>
      </c>
      <c r="M8" s="26">
        <v>0</v>
      </c>
      <c r="N8" s="26" t="s">
        <v>30</v>
      </c>
      <c r="O8" s="26" t="s">
        <v>30</v>
      </c>
      <c r="P8" s="26">
        <v>100</v>
      </c>
      <c r="Q8" s="26">
        <v>0</v>
      </c>
      <c r="R8" s="26">
        <v>0</v>
      </c>
      <c r="S8" s="26">
        <v>1</v>
      </c>
    </row>
    <row r="9" spans="1:19" ht="14.4" x14ac:dyDescent="0.3">
      <c r="A9" s="25" t="s">
        <v>68</v>
      </c>
      <c r="B9" s="25" t="s">
        <v>69</v>
      </c>
      <c r="C9" s="25" t="s">
        <v>65</v>
      </c>
      <c r="D9" s="25">
        <v>1</v>
      </c>
      <c r="E9" s="25"/>
      <c r="F9" s="25"/>
      <c r="G9" s="25"/>
      <c r="H9" s="25"/>
      <c r="I9" s="25"/>
      <c r="J9" s="25">
        <v>1</v>
      </c>
      <c r="K9" s="25" t="s">
        <v>36</v>
      </c>
      <c r="L9" s="26" t="s">
        <v>37</v>
      </c>
      <c r="M9" s="26" t="s">
        <v>32</v>
      </c>
      <c r="N9" s="26" t="s">
        <v>30</v>
      </c>
      <c r="O9" s="26" t="s">
        <v>30</v>
      </c>
      <c r="P9" s="26">
        <v>90</v>
      </c>
      <c r="Q9" s="26">
        <v>0.1</v>
      </c>
      <c r="R9" s="26">
        <v>0</v>
      </c>
      <c r="S9" s="26">
        <v>0.9</v>
      </c>
    </row>
    <row r="10" spans="1:19" ht="14.4" x14ac:dyDescent="0.3">
      <c r="A10" s="25" t="s">
        <v>78</v>
      </c>
      <c r="B10" s="25" t="s">
        <v>79</v>
      </c>
      <c r="C10" s="25" t="s">
        <v>65</v>
      </c>
      <c r="D10" s="25"/>
      <c r="E10" s="25"/>
      <c r="F10" s="25"/>
      <c r="G10" s="25">
        <v>1</v>
      </c>
      <c r="H10" s="25"/>
      <c r="I10" s="25"/>
      <c r="J10" s="25">
        <v>1</v>
      </c>
      <c r="K10" s="25" t="s">
        <v>36</v>
      </c>
      <c r="L10" s="26">
        <v>0</v>
      </c>
      <c r="M10" s="26">
        <v>0</v>
      </c>
      <c r="N10" s="26" t="s">
        <v>30</v>
      </c>
      <c r="O10" s="26" t="s">
        <v>30</v>
      </c>
      <c r="P10" s="26">
        <v>100</v>
      </c>
      <c r="Q10" s="26">
        <v>0</v>
      </c>
      <c r="R10" s="26">
        <v>0</v>
      </c>
      <c r="S10" s="26">
        <v>1</v>
      </c>
    </row>
    <row r="11" spans="1:19" ht="14.4" x14ac:dyDescent="0.3">
      <c r="A11" s="25" t="s">
        <v>74</v>
      </c>
      <c r="B11" s="25" t="s">
        <v>75</v>
      </c>
      <c r="C11" s="25">
        <v>6</v>
      </c>
      <c r="D11" s="25"/>
      <c r="E11" s="25"/>
      <c r="F11" s="25"/>
      <c r="G11" s="25"/>
      <c r="H11" s="25"/>
      <c r="I11" s="25">
        <v>1</v>
      </c>
      <c r="J11" s="25">
        <v>1</v>
      </c>
      <c r="K11" s="25" t="s">
        <v>36</v>
      </c>
      <c r="L11" s="26">
        <v>0</v>
      </c>
      <c r="M11" s="26">
        <v>0</v>
      </c>
      <c r="N11" s="26" t="s">
        <v>30</v>
      </c>
      <c r="O11" s="26" t="s">
        <v>30</v>
      </c>
      <c r="P11" s="26">
        <v>100</v>
      </c>
      <c r="Q11" s="26">
        <v>0</v>
      </c>
      <c r="R11" s="26">
        <v>0</v>
      </c>
      <c r="S11" s="26">
        <v>1</v>
      </c>
    </row>
    <row r="12" spans="1:19" ht="14.4" x14ac:dyDescent="0.3">
      <c r="A12" s="25" t="s">
        <v>66</v>
      </c>
      <c r="B12" s="25" t="s">
        <v>67</v>
      </c>
      <c r="C12" s="25">
        <v>6</v>
      </c>
      <c r="D12" s="25"/>
      <c r="E12" s="25">
        <v>1</v>
      </c>
      <c r="F12" s="25"/>
      <c r="G12" s="25"/>
      <c r="H12" s="25"/>
      <c r="I12" s="25"/>
      <c r="J12" s="25">
        <v>1</v>
      </c>
      <c r="K12" s="25" t="s">
        <v>36</v>
      </c>
      <c r="L12" s="26" t="s">
        <v>37</v>
      </c>
      <c r="M12" s="26" t="s">
        <v>29</v>
      </c>
      <c r="N12" s="26" t="s">
        <v>30</v>
      </c>
      <c r="O12" s="26" t="s">
        <v>30</v>
      </c>
      <c r="P12" s="26">
        <v>50</v>
      </c>
      <c r="Q12" s="26">
        <v>0.5</v>
      </c>
      <c r="R12" s="26">
        <v>0</v>
      </c>
      <c r="S12" s="26">
        <v>0.5</v>
      </c>
    </row>
    <row r="13" spans="1:19" ht="14.4" x14ac:dyDescent="0.3">
      <c r="A13" s="25" t="s">
        <v>111</v>
      </c>
      <c r="B13" s="25" t="s">
        <v>112</v>
      </c>
      <c r="C13" s="25" t="s">
        <v>110</v>
      </c>
      <c r="D13" s="25"/>
      <c r="E13" s="25"/>
      <c r="F13" s="25"/>
      <c r="G13" s="25"/>
      <c r="H13" s="25"/>
      <c r="I13" s="25">
        <v>2</v>
      </c>
      <c r="J13" s="25">
        <v>2</v>
      </c>
      <c r="K13" s="25" t="s">
        <v>36</v>
      </c>
      <c r="L13" s="26" t="s">
        <v>105</v>
      </c>
      <c r="M13" s="26" t="s">
        <v>29</v>
      </c>
      <c r="N13" s="26" t="s">
        <v>30</v>
      </c>
      <c r="O13" s="26" t="s">
        <v>30</v>
      </c>
      <c r="P13" s="26">
        <v>50</v>
      </c>
      <c r="Q13" s="26">
        <v>1</v>
      </c>
      <c r="R13" s="26">
        <v>0</v>
      </c>
      <c r="S13" s="26">
        <v>1</v>
      </c>
    </row>
    <row r="14" spans="1:19" ht="14.4" x14ac:dyDescent="0.3">
      <c r="A14" s="25" t="s">
        <v>70</v>
      </c>
      <c r="B14" s="25" t="s">
        <v>71</v>
      </c>
      <c r="C14" s="25" t="s">
        <v>65</v>
      </c>
      <c r="D14" s="25">
        <v>1</v>
      </c>
      <c r="E14" s="25"/>
      <c r="F14" s="25"/>
      <c r="G14" s="25"/>
      <c r="H14" s="25"/>
      <c r="I14" s="25"/>
      <c r="J14" s="25">
        <v>1</v>
      </c>
      <c r="K14" s="25" t="s">
        <v>36</v>
      </c>
      <c r="L14" s="26" t="s">
        <v>37</v>
      </c>
      <c r="M14" s="26" t="s">
        <v>29</v>
      </c>
      <c r="N14" s="26" t="s">
        <v>30</v>
      </c>
      <c r="O14" s="26" t="s">
        <v>30</v>
      </c>
      <c r="P14" s="26">
        <v>50</v>
      </c>
      <c r="Q14" s="26">
        <v>0.5</v>
      </c>
      <c r="R14" s="26">
        <v>0</v>
      </c>
      <c r="S14" s="26">
        <v>0.5</v>
      </c>
    </row>
    <row r="15" spans="1:19" ht="14.4" x14ac:dyDescent="0.3">
      <c r="A15" s="25" t="s">
        <v>170</v>
      </c>
      <c r="B15" s="25" t="s">
        <v>171</v>
      </c>
      <c r="C15" s="25" t="s">
        <v>65</v>
      </c>
      <c r="D15" s="25"/>
      <c r="E15" s="25"/>
      <c r="F15" s="25"/>
      <c r="G15" s="25"/>
      <c r="H15" s="25"/>
      <c r="I15" s="25">
        <v>1</v>
      </c>
      <c r="J15" s="25">
        <v>1</v>
      </c>
      <c r="K15" s="25" t="s">
        <v>36</v>
      </c>
      <c r="L15" s="26" t="s">
        <v>37</v>
      </c>
      <c r="M15" s="26" t="s">
        <v>32</v>
      </c>
      <c r="N15" s="26" t="s">
        <v>30</v>
      </c>
      <c r="O15" s="26" t="s">
        <v>30</v>
      </c>
      <c r="P15" s="26">
        <v>90</v>
      </c>
      <c r="Q15" s="26">
        <v>0.1</v>
      </c>
      <c r="R15" s="26">
        <v>0</v>
      </c>
      <c r="S15" s="26">
        <v>0.9</v>
      </c>
    </row>
    <row r="16" spans="1:19" ht="14.4" x14ac:dyDescent="0.3">
      <c r="A16" s="25" t="s">
        <v>72</v>
      </c>
      <c r="B16" s="25" t="s">
        <v>73</v>
      </c>
      <c r="C16" s="25" t="s">
        <v>65</v>
      </c>
      <c r="D16" s="25"/>
      <c r="E16" s="25"/>
      <c r="F16" s="25"/>
      <c r="G16" s="25"/>
      <c r="H16" s="25"/>
      <c r="I16" s="25">
        <v>1</v>
      </c>
      <c r="J16" s="25">
        <v>1</v>
      </c>
      <c r="K16" s="25" t="s">
        <v>36</v>
      </c>
      <c r="L16" s="26" t="s">
        <v>37</v>
      </c>
      <c r="M16" s="26" t="s">
        <v>29</v>
      </c>
      <c r="N16" s="26" t="s">
        <v>30</v>
      </c>
      <c r="O16" s="26" t="s">
        <v>30</v>
      </c>
      <c r="P16" s="26">
        <v>50</v>
      </c>
      <c r="Q16" s="26">
        <v>0.5</v>
      </c>
      <c r="R16" s="26">
        <v>0</v>
      </c>
      <c r="S16" s="26">
        <v>0.5</v>
      </c>
    </row>
    <row r="17" spans="1:19" ht="14.4" x14ac:dyDescent="0.3">
      <c r="A17" s="25" t="s">
        <v>103</v>
      </c>
      <c r="B17" s="25" t="s">
        <v>104</v>
      </c>
      <c r="C17" s="25" t="s">
        <v>65</v>
      </c>
      <c r="D17" s="25">
        <v>1</v>
      </c>
      <c r="E17" s="25"/>
      <c r="F17" s="25"/>
      <c r="G17" s="25"/>
      <c r="H17" s="25"/>
      <c r="I17" s="25"/>
      <c r="J17" s="25">
        <v>1</v>
      </c>
      <c r="K17" s="25" t="s">
        <v>36</v>
      </c>
      <c r="L17" s="26" t="s">
        <v>101</v>
      </c>
      <c r="M17" s="26" t="s">
        <v>102</v>
      </c>
      <c r="N17" s="26" t="s">
        <v>105</v>
      </c>
      <c r="O17" s="26" t="s">
        <v>106</v>
      </c>
      <c r="P17" s="26">
        <v>40</v>
      </c>
      <c r="Q17" s="26">
        <v>0.2</v>
      </c>
      <c r="R17" s="26">
        <v>0.4</v>
      </c>
      <c r="S17" s="26">
        <v>0.4</v>
      </c>
    </row>
    <row r="18" spans="1:19" ht="14.4" x14ac:dyDescent="0.3">
      <c r="A18" s="25" t="s">
        <v>172</v>
      </c>
      <c r="B18" s="25" t="s">
        <v>173</v>
      </c>
      <c r="C18" s="25" t="s">
        <v>110</v>
      </c>
      <c r="D18" s="25"/>
      <c r="E18" s="25"/>
      <c r="F18" s="25"/>
      <c r="G18" s="25"/>
      <c r="H18" s="25"/>
      <c r="I18" s="25">
        <v>2</v>
      </c>
      <c r="J18" s="25">
        <v>2</v>
      </c>
      <c r="K18" s="25" t="s">
        <v>36</v>
      </c>
      <c r="L18" s="26" t="s">
        <v>37</v>
      </c>
      <c r="M18" s="26" t="s">
        <v>32</v>
      </c>
      <c r="N18" s="26" t="s">
        <v>30</v>
      </c>
      <c r="O18" s="26" t="s">
        <v>30</v>
      </c>
      <c r="P18" s="26">
        <v>90</v>
      </c>
      <c r="Q18" s="26">
        <v>0.2</v>
      </c>
      <c r="R18" s="26">
        <v>0</v>
      </c>
      <c r="S18" s="26">
        <v>1.8</v>
      </c>
    </row>
    <row r="19" spans="1:19" ht="14.4" x14ac:dyDescent="0.3">
      <c r="A19" s="25" t="s">
        <v>174</v>
      </c>
      <c r="B19" s="25" t="s">
        <v>175</v>
      </c>
      <c r="C19" s="48" t="s">
        <v>110</v>
      </c>
      <c r="D19" s="25"/>
      <c r="E19" s="25"/>
      <c r="F19" s="25"/>
      <c r="G19" s="25"/>
      <c r="H19" s="25"/>
      <c r="I19" s="25">
        <v>2</v>
      </c>
      <c r="J19" s="25">
        <v>2</v>
      </c>
      <c r="K19" s="25" t="s">
        <v>36</v>
      </c>
      <c r="L19" s="26">
        <v>0</v>
      </c>
      <c r="M19" s="26">
        <v>0</v>
      </c>
      <c r="N19" s="26" t="s">
        <v>30</v>
      </c>
      <c r="O19" s="26" t="s">
        <v>30</v>
      </c>
      <c r="P19" s="26">
        <v>100</v>
      </c>
      <c r="Q19" s="26">
        <v>0</v>
      </c>
      <c r="R19" s="26">
        <v>0</v>
      </c>
      <c r="S19" s="26">
        <v>2</v>
      </c>
    </row>
    <row r="20" spans="1:19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50"/>
      <c r="O20" s="49"/>
      <c r="P20" s="50"/>
      <c r="Q20" s="49"/>
      <c r="R20" s="49"/>
      <c r="S20" s="51">
        <f>SUM(S2:S19)</f>
        <v>18.05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zoomScaleNormal="100" workbookViewId="0">
      <selection activeCell="A12" sqref="A12:B19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84</v>
      </c>
      <c r="B3" s="5">
        <v>33750</v>
      </c>
    </row>
    <row r="4" spans="1:2" x14ac:dyDescent="0.2">
      <c r="A4" s="4" t="s">
        <v>4</v>
      </c>
      <c r="B4" s="7"/>
    </row>
    <row r="5" spans="1:2" x14ac:dyDescent="0.2">
      <c r="A5" s="4" t="s">
        <v>85</v>
      </c>
      <c r="B5" s="5">
        <v>90961.39</v>
      </c>
    </row>
    <row r="6" spans="1:2" x14ac:dyDescent="0.2">
      <c r="A6" s="4" t="s">
        <v>86</v>
      </c>
      <c r="B6" s="5"/>
    </row>
    <row r="7" spans="1:2" x14ac:dyDescent="0.2">
      <c r="A7" s="4" t="s">
        <v>87</v>
      </c>
      <c r="B7" s="5">
        <v>16450</v>
      </c>
    </row>
    <row r="8" spans="1:2" x14ac:dyDescent="0.2">
      <c r="A8" s="4" t="s">
        <v>88</v>
      </c>
      <c r="B8" s="5"/>
    </row>
    <row r="9" spans="1:2" x14ac:dyDescent="0.2">
      <c r="A9" s="4" t="s">
        <v>89</v>
      </c>
      <c r="B9" s="5">
        <v>43498.98</v>
      </c>
    </row>
    <row r="10" spans="1:2" x14ac:dyDescent="0.2">
      <c r="A10" s="4" t="s">
        <v>90</v>
      </c>
      <c r="B10" s="5"/>
    </row>
    <row r="11" spans="1:2" x14ac:dyDescent="0.2">
      <c r="A11" s="4" t="s">
        <v>91</v>
      </c>
      <c r="B11" s="5">
        <v>70000</v>
      </c>
    </row>
    <row r="12" spans="1:2" x14ac:dyDescent="0.2">
      <c r="A12" s="4" t="s">
        <v>92</v>
      </c>
      <c r="B12" s="5">
        <v>33600</v>
      </c>
    </row>
    <row r="13" spans="1:2" x14ac:dyDescent="0.2">
      <c r="A13" s="4" t="s">
        <v>5</v>
      </c>
      <c r="B13" s="5"/>
    </row>
    <row r="14" spans="1:2" x14ac:dyDescent="0.2">
      <c r="A14" s="4" t="s">
        <v>93</v>
      </c>
      <c r="B14" s="5">
        <v>10518.36</v>
      </c>
    </row>
    <row r="15" spans="1:2" x14ac:dyDescent="0.2">
      <c r="A15" s="4" t="s">
        <v>94</v>
      </c>
      <c r="B15" s="5">
        <v>48508.9</v>
      </c>
    </row>
    <row r="16" spans="1:2" x14ac:dyDescent="0.2">
      <c r="A16" s="4" t="s">
        <v>95</v>
      </c>
      <c r="B16" s="5">
        <v>30401.02</v>
      </c>
    </row>
    <row r="17" spans="1:2" x14ac:dyDescent="0.2">
      <c r="A17" s="4" t="s">
        <v>96</v>
      </c>
      <c r="B17" s="5"/>
    </row>
    <row r="18" spans="1:2" x14ac:dyDescent="0.2">
      <c r="A18" s="4" t="s">
        <v>97</v>
      </c>
      <c r="B18" s="5">
        <v>29917.59</v>
      </c>
    </row>
    <row r="19" spans="1:2" x14ac:dyDescent="0.2">
      <c r="A19" s="6" t="s">
        <v>2</v>
      </c>
      <c r="B19" s="7">
        <f>SUM(B3:B18)</f>
        <v>407606.24000000005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0C21-61E0-4260-B631-6F22A1F164BC}">
  <dimension ref="A1:B22"/>
  <sheetViews>
    <sheetView zoomScaleNormal="100" workbookViewId="0">
      <selection activeCell="B23" sqref="B2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</v>
      </c>
      <c r="B2" s="5"/>
    </row>
    <row r="3" spans="1:2" x14ac:dyDescent="0.2">
      <c r="A3" s="4" t="s">
        <v>127</v>
      </c>
      <c r="B3" s="5">
        <v>91461.39</v>
      </c>
    </row>
    <row r="4" spans="1:2" x14ac:dyDescent="0.2">
      <c r="A4" s="4" t="s">
        <v>86</v>
      </c>
      <c r="B4" s="5"/>
    </row>
    <row r="5" spans="1:2" x14ac:dyDescent="0.2">
      <c r="A5" s="4" t="s">
        <v>128</v>
      </c>
      <c r="B5" s="5">
        <v>16450</v>
      </c>
    </row>
    <row r="6" spans="1:2" x14ac:dyDescent="0.2">
      <c r="A6" s="4" t="s">
        <v>88</v>
      </c>
      <c r="B6" s="5"/>
    </row>
    <row r="7" spans="1:2" x14ac:dyDescent="0.2">
      <c r="A7" s="4" t="s">
        <v>129</v>
      </c>
      <c r="B7" s="5">
        <v>43612.78</v>
      </c>
    </row>
    <row r="8" spans="1:2" x14ac:dyDescent="0.2">
      <c r="A8" s="4" t="s">
        <v>90</v>
      </c>
      <c r="B8" s="5"/>
    </row>
    <row r="9" spans="1:2" x14ac:dyDescent="0.2">
      <c r="A9" s="4" t="s">
        <v>130</v>
      </c>
      <c r="B9" s="5">
        <v>7000</v>
      </c>
    </row>
    <row r="10" spans="1:2" x14ac:dyDescent="0.2">
      <c r="A10" s="4" t="s">
        <v>131</v>
      </c>
      <c r="B10" s="7"/>
    </row>
    <row r="11" spans="1:2" x14ac:dyDescent="0.2">
      <c r="A11" s="4" t="s">
        <v>132</v>
      </c>
      <c r="B11" s="5">
        <v>13043.98</v>
      </c>
    </row>
    <row r="12" spans="1:2" x14ac:dyDescent="0.2">
      <c r="A12" s="4" t="s">
        <v>133</v>
      </c>
      <c r="B12" s="5"/>
    </row>
    <row r="13" spans="1:2" x14ac:dyDescent="0.2">
      <c r="A13" s="4" t="s">
        <v>134</v>
      </c>
      <c r="B13" s="5">
        <v>14500</v>
      </c>
    </row>
    <row r="14" spans="1:2" x14ac:dyDescent="0.2">
      <c r="A14" s="4" t="s">
        <v>135</v>
      </c>
      <c r="B14" s="5"/>
    </row>
    <row r="15" spans="1:2" x14ac:dyDescent="0.2">
      <c r="A15" s="4" t="s">
        <v>136</v>
      </c>
      <c r="B15" s="5">
        <v>4285.7299999999996</v>
      </c>
    </row>
    <row r="16" spans="1:2" x14ac:dyDescent="0.2">
      <c r="A16" s="4" t="s">
        <v>5</v>
      </c>
      <c r="B16" s="5"/>
    </row>
    <row r="17" spans="1:2" x14ac:dyDescent="0.2">
      <c r="A17" s="4" t="s">
        <v>137</v>
      </c>
      <c r="B17" s="5">
        <v>105.58</v>
      </c>
    </row>
    <row r="18" spans="1:2" x14ac:dyDescent="0.2">
      <c r="A18" s="4" t="s">
        <v>138</v>
      </c>
      <c r="B18" s="5">
        <v>65.5</v>
      </c>
    </row>
    <row r="19" spans="1:2" x14ac:dyDescent="0.2">
      <c r="A19" s="4" t="s">
        <v>139</v>
      </c>
      <c r="B19" s="5">
        <v>160.06</v>
      </c>
    </row>
    <row r="20" spans="1:2" x14ac:dyDescent="0.2">
      <c r="A20" s="4" t="s">
        <v>140</v>
      </c>
      <c r="B20" s="5"/>
    </row>
    <row r="21" spans="1:2" x14ac:dyDescent="0.2">
      <c r="A21" s="4" t="s">
        <v>141</v>
      </c>
      <c r="B21" s="5">
        <v>40406.67</v>
      </c>
    </row>
    <row r="22" spans="1:2" x14ac:dyDescent="0.2">
      <c r="A22" s="6" t="s">
        <v>2</v>
      </c>
      <c r="B22" s="7">
        <f>SUM(B2:B21)</f>
        <v>231091.69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8A89-D6AF-47F1-9F2C-08CC66CC45AA}">
  <dimension ref="A1:C14"/>
  <sheetViews>
    <sheetView zoomScaleNormal="100" workbookViewId="0">
      <selection activeCell="B14" sqref="B14:C14"/>
    </sheetView>
  </sheetViews>
  <sheetFormatPr baseColWidth="10" defaultColWidth="11.44140625" defaultRowHeight="14.4" x14ac:dyDescent="0.3"/>
  <cols>
    <col min="1" max="1" width="13.5546875" bestFit="1" customWidth="1"/>
    <col min="2" max="2" width="81.6640625" customWidth="1"/>
    <col min="3" max="3" width="11.6640625" bestFit="1" customWidth="1"/>
  </cols>
  <sheetData>
    <row r="1" spans="1:3" ht="15" thickBot="1" x14ac:dyDescent="0.35">
      <c r="A1" s="27" t="s">
        <v>143</v>
      </c>
      <c r="B1" s="27" t="s">
        <v>144</v>
      </c>
      <c r="C1" s="28" t="s">
        <v>1</v>
      </c>
    </row>
    <row r="2" spans="1:3" ht="15" thickTop="1" x14ac:dyDescent="0.3">
      <c r="A2" s="31" t="s">
        <v>4</v>
      </c>
      <c r="B2" s="32" t="s">
        <v>145</v>
      </c>
      <c r="C2" s="33">
        <v>25400</v>
      </c>
    </row>
    <row r="3" spans="1:3" ht="28.8" x14ac:dyDescent="0.3">
      <c r="A3" s="34" t="s">
        <v>86</v>
      </c>
      <c r="B3" s="35" t="s">
        <v>146</v>
      </c>
      <c r="C3" s="36">
        <v>16450</v>
      </c>
    </row>
    <row r="4" spans="1:3" x14ac:dyDescent="0.3">
      <c r="A4" s="31" t="s">
        <v>88</v>
      </c>
      <c r="B4" s="32" t="s">
        <v>147</v>
      </c>
      <c r="C4" s="33">
        <v>43734.23</v>
      </c>
    </row>
    <row r="5" spans="1:3" x14ac:dyDescent="0.3">
      <c r="A5" s="34" t="s">
        <v>90</v>
      </c>
      <c r="B5" s="35" t="s">
        <v>148</v>
      </c>
      <c r="C5" s="36">
        <v>29400</v>
      </c>
    </row>
    <row r="6" spans="1:3" x14ac:dyDescent="0.3">
      <c r="A6" s="31" t="s">
        <v>133</v>
      </c>
      <c r="B6" s="32" t="s">
        <v>149</v>
      </c>
      <c r="C6" s="33">
        <v>72500</v>
      </c>
    </row>
    <row r="7" spans="1:3" x14ac:dyDescent="0.3">
      <c r="A7" s="34" t="s">
        <v>150</v>
      </c>
      <c r="B7" s="35" t="s">
        <v>151</v>
      </c>
      <c r="C7" s="36">
        <v>25600</v>
      </c>
    </row>
    <row r="8" spans="1:3" x14ac:dyDescent="0.3">
      <c r="A8" s="31" t="s">
        <v>152</v>
      </c>
      <c r="B8" s="32" t="s">
        <v>153</v>
      </c>
      <c r="C8" s="33">
        <v>10200</v>
      </c>
    </row>
    <row r="9" spans="1:3" x14ac:dyDescent="0.3">
      <c r="A9" s="34" t="s">
        <v>5</v>
      </c>
      <c r="B9" s="35" t="s">
        <v>154</v>
      </c>
      <c r="C9" s="36">
        <v>22308.66</v>
      </c>
    </row>
    <row r="10" spans="1:3" ht="28.8" x14ac:dyDescent="0.3">
      <c r="A10" s="31" t="s">
        <v>96</v>
      </c>
      <c r="B10" s="32" t="s">
        <v>155</v>
      </c>
      <c r="C10" s="33">
        <v>14082.41</v>
      </c>
    </row>
    <row r="11" spans="1:3" ht="15" thickBot="1" x14ac:dyDescent="0.35">
      <c r="A11" s="34" t="s">
        <v>156</v>
      </c>
      <c r="B11" s="35" t="s">
        <v>157</v>
      </c>
      <c r="C11" s="36">
        <v>168538.33</v>
      </c>
    </row>
    <row r="12" spans="1:3" ht="15" thickTop="1" x14ac:dyDescent="0.3">
      <c r="A12" s="29"/>
      <c r="B12" s="29"/>
      <c r="C12" s="30">
        <v>428213.63</v>
      </c>
    </row>
    <row r="14" spans="1:3" x14ac:dyDescent="0.3">
      <c r="B14" s="52" t="s">
        <v>176</v>
      </c>
      <c r="C14" s="53">
        <f>C12+'Ingresos investigación 2020'!B22+'Ingresos investigación 2019'!B19</f>
        <v>1066911.56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zoomScaleNormal="100" workbookViewId="0">
      <selection activeCell="A21" sqref="A21:A2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6</v>
      </c>
      <c r="B2" s="5"/>
    </row>
    <row r="3" spans="1:2" x14ac:dyDescent="0.2">
      <c r="A3" s="4" t="s">
        <v>98</v>
      </c>
      <c r="B3" s="5">
        <v>3560</v>
      </c>
    </row>
    <row r="4" spans="1:2" x14ac:dyDescent="0.2">
      <c r="A4" s="4" t="s">
        <v>99</v>
      </c>
      <c r="B4" s="5">
        <v>40</v>
      </c>
    </row>
    <row r="5" spans="1:2" x14ac:dyDescent="0.2">
      <c r="A5" s="4" t="s">
        <v>100</v>
      </c>
      <c r="B5" s="5">
        <v>80</v>
      </c>
    </row>
    <row r="6" spans="1:2" x14ac:dyDescent="0.2">
      <c r="A6" s="6" t="s">
        <v>2</v>
      </c>
      <c r="B6" s="7">
        <f>SUM(B3:B5)</f>
        <v>3680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67E3-E403-4401-A3F3-9AD7AA23AA9C}">
  <dimension ref="A1:B6"/>
  <sheetViews>
    <sheetView zoomScaleNormal="100" workbookViewId="0">
      <selection activeCell="A8" sqref="A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142</v>
      </c>
      <c r="B2" s="5"/>
    </row>
    <row r="3" spans="1:2" x14ac:dyDescent="0.2">
      <c r="A3" s="4"/>
      <c r="B3" s="5"/>
    </row>
    <row r="4" spans="1:2" x14ac:dyDescent="0.2">
      <c r="A4" s="4"/>
      <c r="B4" s="5"/>
    </row>
    <row r="5" spans="1:2" x14ac:dyDescent="0.2">
      <c r="A5" s="4"/>
      <c r="B5" s="5"/>
    </row>
    <row r="6" spans="1:2" x14ac:dyDescent="0.2">
      <c r="A6" s="6" t="s">
        <v>2</v>
      </c>
      <c r="B6" s="7">
        <f>SUM(B3:B5)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1E20-6211-4C78-9905-915EC131998F}">
  <dimension ref="A1:B6"/>
  <sheetViews>
    <sheetView zoomScaleNormal="100" workbookViewId="0">
      <selection activeCell="A14" sqref="A1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158</v>
      </c>
      <c r="B2" s="5"/>
    </row>
    <row r="3" spans="1:2" x14ac:dyDescent="0.2">
      <c r="A3" s="4"/>
      <c r="B3" s="5"/>
    </row>
    <row r="4" spans="1:2" x14ac:dyDescent="0.2">
      <c r="A4" s="4"/>
      <c r="B4" s="5"/>
    </row>
    <row r="5" spans="1:2" x14ac:dyDescent="0.2">
      <c r="A5" s="4"/>
      <c r="B5" s="5"/>
    </row>
    <row r="6" spans="1:2" x14ac:dyDescent="0.2">
      <c r="A6" s="6" t="s">
        <v>2</v>
      </c>
      <c r="B6" s="7">
        <f>SUM(B3:B5)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2022-10-18T14:18:37Z</dcterms:modified>
</cp:coreProperties>
</file>