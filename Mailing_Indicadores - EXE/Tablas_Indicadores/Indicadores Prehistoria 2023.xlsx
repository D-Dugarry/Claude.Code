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3F4549CD-D735-4186-9D45-CEC07C44E815}" xr6:coauthVersionLast="47" xr6:coauthVersionMax="47" xr10:uidLastSave="{00000000-0000-0000-0000-000000000000}"/>
  <bookViews>
    <workbookView xWindow="22932" yWindow="-108" windowWidth="23256" windowHeight="12456" tabRatio="815" xr2:uid="{00000000-000D-0000-FFFF-FFFF00000000}"/>
  </bookViews>
  <sheets>
    <sheet name="Tesis" sheetId="4" r:id="rId1"/>
    <sheet name="Sexenios" sheetId="5" r:id="rId2"/>
    <sheet name="Ingresos investigación 2019" sheetId="8" r:id="rId3"/>
    <sheet name="Ingresos investigación 2020" sheetId="10" r:id="rId4"/>
    <sheet name="Ingresos investigación 2021" sheetId="12" r:id="rId5"/>
    <sheet name="Ingresos formación 2019" sheetId="9" r:id="rId6"/>
    <sheet name="Ingresos formación 2020" sheetId="11" r:id="rId7"/>
    <sheet name="Ingresos formación 2021" sheetId="13" r:id="rId8"/>
  </sheets>
  <definedNames>
    <definedName name="_xlnm._FilterDatabase" localSheetId="1" hidden="1">Sexenios!$A$1:$S$20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9" i="4" l="1"/>
  <c r="B9" i="11" l="1"/>
  <c r="B10" i="10"/>
  <c r="S21" i="5" l="1"/>
  <c r="B15" i="9" l="1"/>
  <c r="D16" i="13" s="1"/>
  <c r="B11" i="8"/>
  <c r="D11" i="12" s="1"/>
</calcChain>
</file>

<file path=xl/sharedStrings.xml><?xml version="1.0" encoding="utf-8"?>
<sst xmlns="http://schemas.openxmlformats.org/spreadsheetml/2006/main" count="681" uniqueCount="232">
  <si>
    <t>Orgánica
Descripción justificante</t>
  </si>
  <si>
    <t>Importe</t>
  </si>
  <si>
    <t>Total</t>
  </si>
  <si>
    <t>30.50.6P.00.04</t>
  </si>
  <si>
    <t>30.50.2T.00.01</t>
  </si>
  <si>
    <t>30.50.2T.00.02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</si>
  <si>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</si>
  <si>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</si>
  <si>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</si>
  <si>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</si>
  <si>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</si>
  <si>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</si>
  <si>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</si>
  <si>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</si>
  <si>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</si>
  <si>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</si>
  <si>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</si>
  <si>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</si>
  <si>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</si>
  <si>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</si>
  <si>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</si>
  <si>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</si>
  <si>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</si>
  <si>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</si>
  <si>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</si>
  <si>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</si>
  <si>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</si>
  <si>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</si>
  <si>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</si>
  <si>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</si>
  <si>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02/12/2016 </t>
  </si>
  <si>
    <t>18/07/2017 </t>
  </si>
  <si>
    <t>12/07/2017 </t>
  </si>
  <si>
    <t>28/09/2018 </t>
  </si>
  <si>
    <t>20/07/2017 </t>
  </si>
  <si>
    <t>80</t>
  </si>
  <si>
    <t>20/09/2019 </t>
  </si>
  <si>
    <t>ZZ </t>
  </si>
  <si>
    <t>SIN ASIGNAR </t>
  </si>
  <si>
    <t>10.24</t>
  </si>
  <si>
    <t>U023 </t>
  </si>
  <si>
    <t>ADM. FACULTAD DE FILOSOFIA Y LETRAS </t>
  </si>
  <si>
    <t>DOCTORADO EN TRANSFERENCIAS INTERCULTURALES E HISTÓRICAS EN LA EUROPA MEDIE </t>
  </si>
  <si>
    <t>DOCTORADO EN FILOSOFÍA Y LETRAS </t>
  </si>
  <si>
    <t>B130 </t>
  </si>
  <si>
    <t>PREHISTORIA, ARQUEOLOGÍA, HIST. ANTIGUA, FILOL. GRIEGA Y FILOL. LATINA </t>
  </si>
  <si>
    <t>07210590K </t>
  </si>
  <si>
    <t>B130</t>
  </si>
  <si>
    <t>25120571V </t>
  </si>
  <si>
    <t>DOC. PATRIMONIO ARQUEOLÓGICO E HISTÓRICO. DE LA PREHISTORIA A NUESTROS DÍAS </t>
  </si>
  <si>
    <t>21474593E </t>
  </si>
  <si>
    <t>21431893X </t>
  </si>
  <si>
    <t>21454765C </t>
  </si>
  <si>
    <t>03078551R </t>
  </si>
  <si>
    <t>22131713D </t>
  </si>
  <si>
    <t>25145934B </t>
  </si>
  <si>
    <t>Álvarez Tortosa, Juan Francisco </t>
  </si>
  <si>
    <t>MODELOS DE PRODUCCIÓN EN LA AGRICULTURA COMERCIAL DEL NORESTE DE LA PROVINCIA HISTANIA CITERIOR </t>
  </si>
  <si>
    <t>Amorós Ruiz, Victoria Encarnación </t>
  </si>
  <si>
    <t>CONTEXTOS CERÁMICOS ALTOMEDIEVALES DE EL TOLMO DE MINATEDA. CARACTERIZACIÓN MORFOLÓGICA, CRONOTIPOLÓGICA Y PORCENTUAL DESDE LA PERSPECTIVA ESTRATIGRÁFICA </t>
  </si>
  <si>
    <t>05/09/2017 </t>
  </si>
  <si>
    <t>Lillo Botella, Carlos </t>
  </si>
  <si>
    <t>LA SEPARACIÓN DE CAMINOS ENTRE JUDÍOS Y CRISTIANOS: UNA PERSPECTIVA GEOGRÁFICO-LITERARIA </t>
  </si>
  <si>
    <t>26/07/2017 </t>
  </si>
  <si>
    <t>21437969Z </t>
  </si>
  <si>
    <t>Lledó Solbes, Berta María </t>
  </si>
  <si>
    <t>LA FRAGATA ERTUGRUL: UN PECIO OTOMANO EN JAPÓN. EXCAVACIÓN, MATERIALES, EXPOSICIÓN Y MEMORIA </t>
  </si>
  <si>
    <t>Manzaneda Martín, Cristina </t>
  </si>
  <si>
    <t>LOS ORETANOS: UNA VISIÓN DESDE EL TERRITORIO, LA SOCIEDAD Y LA IDEOLOGÍA </t>
  </si>
  <si>
    <t>Ocharan Ibarra, José Ángel </t>
  </si>
  <si>
    <t>SANTUARIOS RUPESTRES IBÉRICOS DEL SURESTE PENINSULAR </t>
  </si>
  <si>
    <t>10/07/2017 </t>
  </si>
  <si>
    <t>Ortuño Arregui, Manuel </t>
  </si>
  <si>
    <t>EDICIÓN CRÍTICA DE LOS PRIVILEGIOS REALES DEL A.H.N ANTERIORES A LA FUNDACIÓN DE LA ORDEN DE MONTESA EN LA EDAD MEDIA </t>
  </si>
  <si>
    <t>Amorós López, Iván </t>
  </si>
  <si>
    <t>IDELOLOGÍA, PODER Y RITUAL EN EL PAISAJE IBÉRICO. PROCESOS SOCIALES Y PRÁCTICAS RITUALES EN EL ÁREA CENTRAL DE LA CONTESTANIA </t>
  </si>
  <si>
    <t>24/07/2018 </t>
  </si>
  <si>
    <t>21657385X </t>
  </si>
  <si>
    <t>BAYO FUENTES, SONIA </t>
  </si>
  <si>
    <t>CONTESTANIA IBÉRICA EN LOS SIGLOS II-I A.N.E.: POBLACIÓN Y ROMANIZACIÓN </t>
  </si>
  <si>
    <t>26/09/2018 </t>
  </si>
  <si>
    <t>Camacho Rodríguez, Pablo </t>
  </si>
  <si>
    <t>LAS FÍBULAS DE LOS VETONES. SIGLOS V-I A.C. </t>
  </si>
  <si>
    <t>López Lillo, Jorge Alberto </t>
  </si>
  <si>
    <t>"LA POLÍTICA SALVAJE: UNA ARQUEOLOGÍA DE LA ACCIDENTALIDAD DEL ESTADO" </t>
  </si>
  <si>
    <t>02/03/2018 </t>
  </si>
  <si>
    <t>Ortiz García, Daniel </t>
  </si>
  <si>
    <t>LA ODISEA EN LA LITERATURA JUVENIL EN ESPAÑOL DEL S. XXI. ENFOQUE DESDE LA NARRATOLOGÍA Y DESDE LA DIDÁCTICA DE LA LENGUA Y LA LITERATURA </t>
  </si>
  <si>
    <t>21/09/2018 </t>
  </si>
  <si>
    <t>Castaños Montesinos, Álvaro </t>
  </si>
  <si>
    <t>LA HISTORIOGRAFÍA MARXISTA OCCIDENTAL EN LA CRISIS DE LA MODERNIDAD (1968-2018) </t>
  </si>
  <si>
    <t>21/11/2018 </t>
  </si>
  <si>
    <t>Pastor Quiles, María </t>
  </si>
  <si>
    <t>LA CONSTRUCCIÓN CON TIERRA EN LA PREHISTORIA RECIENTE DEL LEVANTE MERIDIONAL DE LA PENÍNSULA IBÉRICA: MATERIALES, TÉCNICAS Y PROCESOS CONSTRUCTIVOS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</si>
  <si>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</si>
  <si>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</si>
  <si>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</si>
  <si>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</si>
  <si>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</si>
  <si>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</si>
  <si>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</si>
  <si>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</si>
  <si>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</si>
  <si>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</si>
  <si>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</si>
  <si>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</si>
  <si>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</si>
  <si>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</si>
  <si>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03078551R</t>
  </si>
  <si>
    <t>ABASCAL PALAZON, JUAN MANUEL</t>
  </si>
  <si>
    <t>21492519P</t>
  </si>
  <si>
    <t>BIOSCA BAS, ANTONI ALEXANDRE</t>
  </si>
  <si>
    <t>21452732B</t>
  </si>
  <si>
    <t>DOMENECH BELDA, CAROLINA</t>
  </si>
  <si>
    <t>21672478S</t>
  </si>
  <si>
    <t>GARCIA ATIENZAR, GABRIEL</t>
  </si>
  <si>
    <t>43255686T</t>
  </si>
  <si>
    <t>GONZALEZ-CONDE PUENTE, MARIA PILAR</t>
  </si>
  <si>
    <t>21657385X</t>
  </si>
  <si>
    <t>GRAU MIRA, IGNACIO</t>
  </si>
  <si>
    <t>21431893X</t>
  </si>
  <si>
    <t>GUTIERREZ LLORET, SONIA</t>
  </si>
  <si>
    <t>22131713D</t>
  </si>
  <si>
    <t>JOVER MAESTRE, FRANCISCO JAVIER</t>
  </si>
  <si>
    <t>21454765C</t>
  </si>
  <si>
    <t>LOPEZ MARTINEZ, MARIA PAZ</t>
  </si>
  <si>
    <t>07210590K</t>
  </si>
  <si>
    <t>LORRIO ALVARADO, ALBERTO JOSE</t>
  </si>
  <si>
    <t>48569460S</t>
  </si>
  <si>
    <t>MATEO CORREDOR, DANIEL</t>
  </si>
  <si>
    <t>25145934B</t>
  </si>
  <si>
    <t>MESA SANZ, JUAN FRANCISCO</t>
  </si>
  <si>
    <t>21474593E</t>
  </si>
  <si>
    <t>MOLINA VIDAL, JAIME</t>
  </si>
  <si>
    <t>21437969Z</t>
  </si>
  <si>
    <t>OLIVARES PEDREÑO, JUAN CARLOS</t>
  </si>
  <si>
    <t>52860484K</t>
  </si>
  <si>
    <t>PRADOS MARTINEZ, FERNANDO</t>
  </si>
  <si>
    <t>22946120D</t>
  </si>
  <si>
    <t>PUCHE LOPEZ, MARIA CARMEN</t>
  </si>
  <si>
    <t>25120571V</t>
  </si>
  <si>
    <t>SALA SELLES, FELICIANA</t>
  </si>
  <si>
    <t>LIBERADOS EL 23/04/2019, ANUALIDAD 2019 PROYECTOS I+D (PIA1) N EXPEDIENTE: PIA12015-1 -4 ANUALIDAD REFERENCIA: HAR2015-65168-P. REF. DEL ORDENANTE PARA EL BENEFICIARIO: 27402219310017412.</t>
  </si>
  <si>
    <t>30.50.6P.00.14</t>
  </si>
  <si>
    <t>REINTEGRO CUOTA PATRONAL CORRESPONDIENTE AL MES DE DICIEMBRE DE 2019.</t>
  </si>
  <si>
    <t>REINTEGRO CUOTA PATRONAL CORRESPONDIENTE AL MES DE OCTUBRE 2019.</t>
  </si>
  <si>
    <t>30.50.6P.00.15</t>
  </si>
  <si>
    <t>AYUDAS INVESTIGACIÓN DEL PATRIMONIO 2018. 0110530203.</t>
  </si>
  <si>
    <t>30.50.6P.00.16</t>
  </si>
  <si>
    <t xml:space="preserve">AORG - ORGANITZACIÓ CONGRESSOS </t>
  </si>
  <si>
    <t>30.50.2G.00.01</t>
  </si>
  <si>
    <t>LIBROS SEGÚN ANEXO Nº F19/73</t>
  </si>
  <si>
    <t>Liquidación PLAN GC36 "Ilustración Histórica y Arqueológica"</t>
  </si>
  <si>
    <t>Liquidación 2 PLAN 9207 curso ''MÁSTER EN PATRIMONIO VIRTUAL'' ORDEN 5371</t>
  </si>
  <si>
    <t>Liquidación  PLAN 9207 curso ''MÁSTER EN PATRIMONIO VIRTUAL'' ORDEN 5414</t>
  </si>
  <si>
    <t>Liquidación  PLAN 9208 curso ''ESPECIALISTA EN VIRTUALIZACIÓN DEL PATRIMONIO'' ORDEN 5415</t>
  </si>
  <si>
    <t>Liquidación  PLAN 9209 curso ''ESPECIALISTA EN RESTAURANCIÓN VIRTUAL'' ORDEN 5457</t>
  </si>
  <si>
    <t>Liquidación  PLAN 9210 curso ''EXPERTO EN VIRTUALIZACIÓN DEL PATRIMONIO'' ORDEN 5424</t>
  </si>
  <si>
    <t>30.50.2T.00.03</t>
  </si>
  <si>
    <t>Liquidación PLAN 9207 "Máster en patrimonio virtual" curso 2019/20</t>
  </si>
  <si>
    <t>Liquidación PLAN 9208 "Especialista en virtualización del patrimonio"</t>
  </si>
  <si>
    <t>Castillo Vizcaíno, Laura </t>
  </si>
  <si>
    <t>El espacio ibérico del sur de Albacete entre los siglos VI y II a.C.: Los oppida de La Peña (Peñas de San Pedro) y Saltigi/Chinchilla y sus territorios </t>
  </si>
  <si>
    <t>25/09/2020 </t>
  </si>
  <si>
    <t>Die Maculet, María del Rosario </t>
  </si>
  <si>
    <t>LA CORRESPONDENCIA ERUDITA DE ANTONIO VALCÁRCEL PIO DE SABOYA, CONDE DE LUMIARES (1748-1808) </t>
  </si>
  <si>
    <t>15/09/2020 </t>
  </si>
  <si>
    <t>50</t>
  </si>
  <si>
    <t>52774862M</t>
  </si>
  <si>
    <t>SARABIA BAUTISTA, JULIA</t>
  </si>
  <si>
    <t>Santana Onrubia, Rubén </t>
  </si>
  <si>
    <t>LAS TRANSFORMACIONES DEL MODELO TERRITORIAL EN EL LITORAL CENTRAL DE LA TARRACONENSE EN EL BAJO IMPERIO </t>
  </si>
  <si>
    <t>22/01/2021 </t>
  </si>
  <si>
    <t>48569460S </t>
  </si>
  <si>
    <t>Molina Burguera, Guillermo </t>
  </si>
  <si>
    <t>LA GESTIÓN DEL ENTORNO HISTÓRICO: CASOS DE ESTUDIO EN ESPAÑA, FRANCIA Y REINO UNIDO </t>
  </si>
  <si>
    <t>02/03/2021 </t>
  </si>
  <si>
    <t>Torres Gomariz, Octavio </t>
  </si>
  <si>
    <t>La sociedad postalayótica bajo la órbita púnica: viviendas y grupos domésticos en el archipiélago balear (VI-II a.C.) </t>
  </si>
  <si>
    <t>12/02/2021 </t>
  </si>
  <si>
    <t>52860484K </t>
  </si>
  <si>
    <t>Terzopoulou , Anastasia </t>
  </si>
  <si>
    <t>Los desastres de la guerra troyana sobre las heroínas de Eurípides y Séneca: Estudio comparativo </t>
  </si>
  <si>
    <t>09/06/2021 </t>
  </si>
  <si>
    <t>REINTEGRO CUOTA PATRONAL CORRESPONDIENTE A JULIO 2020.</t>
  </si>
  <si>
    <t>30.50.6P.00.18</t>
  </si>
  <si>
    <t>RAMON Y CAJAL N EXPEDIENTE: RYC-2018-1 - 1 ANUALIDAD REFERENCIA: RYC2018-024523-I</t>
  </si>
  <si>
    <t>30.50.6P.00.19</t>
  </si>
  <si>
    <t>PAGO CONVOVATORIA PROYECTOS 2019 ANUALIDAD 2020 PROYECTOS I+D (PIA1) EXPEDIENTE PIA12019-1-1 ANUALIDAD REFERENCIA: PID2019-106169G</t>
  </si>
  <si>
    <t>30.50.6P.00.20</t>
  </si>
  <si>
    <t>SUBVENCIONES PARA LA REALIZACIÓN DE PROYECTOS DE I+D+I DESARROLLADOS POR GRUPOS DE INVESTIGACIÓN EMERGENTES GV/2020 (NNOVACIÓN,UNIVERSIDADES,CIENCIA SOC.DIG)</t>
  </si>
  <si>
    <t>Plan GC36- 2020-ILUSTRACIÓN HISTÓRICA Y ARQUEOLÓGICA</t>
  </si>
  <si>
    <t xml:space="preserve">LIQUIDACIÓN PLAN 9209 CURSO 2020-21 ESPECIALISTA EN  RESTAURACIÓN VIRTUAL. REFERENCIA:2020/9209  </t>
  </si>
  <si>
    <t>Plan 9207 Curso 2020-21 Master en Patrimonio Virtual</t>
  </si>
  <si>
    <t>Plan 9208 Curso 2020-21 Especialista en virtualización del patrimonio</t>
  </si>
  <si>
    <t>Plan 9210 curso 2020-21 Experto/a en Virtualización del Patrimonio</t>
  </si>
  <si>
    <t>Unidad</t>
  </si>
  <si>
    <t>Cód. org. aplic.</t>
  </si>
  <si>
    <t>Descripción justificante</t>
  </si>
  <si>
    <t>30.50</t>
  </si>
  <si>
    <t>30.50.6C.00.02</t>
  </si>
  <si>
    <t>INFORME SOBRE LA RELACIÓN ENTRE -VIST Y -VISION, A PARTIR DE SU ETIMOLOGÍA LATINA, EMPLEADOS EN LAS MARCAS GADOVIST Y GADOVISION</t>
  </si>
  <si>
    <t>RAMON Y CAJAL Nº EXPEDIENTE: RYC-2018-1-2ANUALIDAD REF: RYC2018-024523-I</t>
  </si>
  <si>
    <t>PID2019-106169GB-I00</t>
  </si>
  <si>
    <t>RESOLUCIÓN CONCESIÓN SUBVENCIONESEMERGENTES GV 2020 EN 2021</t>
  </si>
  <si>
    <t xml:space="preserve">Plan GC36 curso 2021-22, ILUSTRACIÓN HISTÓRICA Y ARQUEOLÓGICA -   </t>
  </si>
  <si>
    <t xml:space="preserve">Plan 9210 curso 2021-22, EXPERTO/A EN VIRTUALIZACIÓN DEL PATRIMONIO - 30.50.2T.00.03 </t>
  </si>
  <si>
    <t xml:space="preserve">Plan 9208 curso 2021-22, ESPECIALISTA EN VIRTUALIZACIÓN DEL PATRIMONIO - 30.50.2T.00.03 </t>
  </si>
  <si>
    <t xml:space="preserve">Plan 9209 curso 2021-22, ESPECIALISTA EN RESTAURACIÓN VIRTUAL - 30.50.2T.00.03 </t>
  </si>
  <si>
    <t>PAGO PRIMER PLAZO MATRÍCULA MÁSTER EN PATRIMONIO VIRTUAL</t>
  </si>
  <si>
    <t>Plan 9207 Curso 2020-21 MÁSTER EN PATRIMONIO VIRTUAL. COMPLEMENTARIO AL JI2020/5079.</t>
  </si>
  <si>
    <t xml:space="preserve">Plan 9207 curso 2021-22, MÁSTER EN PATRIMONIO VIRTUAL </t>
  </si>
  <si>
    <t>Alba Luzón, Miriam </t>
  </si>
  <si>
    <t>Las comunidades de montaña de la edad de hierro en la cuenca del Taibilla </t>
  </si>
  <si>
    <t>19/07/2022 </t>
  </si>
  <si>
    <t>Rosell Garrido, Patricia </t>
  </si>
  <si>
    <t>Espacios cotidianos, espacios de trabajo. La mujer íbera de los territorios valencianos a través de las actividades textil y culinaria. </t>
  </si>
  <si>
    <t>14/09/2022 </t>
  </si>
  <si>
    <t>Basso Rial, Ricardo Emanuel </t>
  </si>
  <si>
    <t>La producción textil en el Sudeste y el Levante de la península ibérica durante la prehistoria reciente (3500-550 CAL BC) </t>
  </si>
  <si>
    <t>24/05/2022 </t>
  </si>
  <si>
    <t>Perdiguero Asensi, Pascual </t>
  </si>
  <si>
    <t>Producción y comercio en la esfera de influencia púnica. Relaciones y dinámicas productivas en la contestania ibérica. </t>
  </si>
  <si>
    <t>13/09/2022 </t>
  </si>
  <si>
    <t>Ruiz Molina, Liborio </t>
  </si>
  <si>
    <t>Yakka. Un castillo rural de Sarq al-Andalus durante el periodo almohade. Siglos XII-XIII.Yecla. Murcia </t>
  </si>
  <si>
    <t>11/04/2022 </t>
  </si>
  <si>
    <t>COD DEP</t>
  </si>
  <si>
    <t>43727316S</t>
  </si>
  <si>
    <t>GRAELLS FABREGAT, RAIMON</t>
  </si>
  <si>
    <t>Total ingresos investigación 2019-2020-2021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</si>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</sst>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7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13" fillId="7" borderId="7" xfId="0" applyNumberFormat="1" applyFont="1" applyFill="1" applyBorder="1"/>
    <xf numFmtId="0" fontId="13" fillId="7" borderId="8" xfId="0" applyNumberFormat="1" applyFont="1" applyFill="1" applyBorder="1"/>
    <xf numFmtId="0" fontId="13" fillId="7" borderId="9" xfId="0" applyFont="1" applyFill="1" applyBorder="1" applyAlignment="1">
      <alignment horizontal="right"/>
    </xf>
    <xf numFmtId="0" fontId="0" fillId="8" borderId="10" xfId="0" applyNumberFormat="1" applyFont="1" applyFill="1" applyBorder="1"/>
    <xf numFmtId="0" fontId="0" fillId="8" borderId="11" xfId="0" applyNumberFormat="1" applyFont="1" applyFill="1" applyBorder="1"/>
    <xf numFmtId="4" fontId="0" fillId="8" borderId="12" xfId="0" applyNumberFormat="1" applyFont="1" applyFill="1" applyBorder="1"/>
    <xf numFmtId="0" fontId="0" fillId="9" borderId="10" xfId="0" applyNumberFormat="1" applyFont="1" applyFill="1" applyBorder="1"/>
    <xf numFmtId="0" fontId="0" fillId="9" borderId="11" xfId="0" applyNumberFormat="1" applyFont="1" applyFill="1" applyBorder="1"/>
    <xf numFmtId="4" fontId="0" fillId="9" borderId="12" xfId="0" applyNumberFormat="1" applyFont="1" applyFill="1" applyBorder="1"/>
    <xf numFmtId="0" fontId="13" fillId="7" borderId="13" xfId="0" applyFont="1" applyFill="1" applyBorder="1"/>
    <xf numFmtId="0" fontId="13" fillId="7" borderId="14" xfId="0" applyFont="1" applyFill="1" applyBorder="1"/>
    <xf numFmtId="4" fontId="13" fillId="7" borderId="15" xfId="0" applyNumberFormat="1" applyFont="1" applyFill="1" applyBorder="1"/>
    <xf numFmtId="0" fontId="13" fillId="7" borderId="16" xfId="0" applyNumberFormat="1" applyFont="1" applyFill="1" applyBorder="1"/>
    <xf numFmtId="0" fontId="13" fillId="7" borderId="17" xfId="0" applyNumberFormat="1" applyFont="1" applyFill="1" applyBorder="1"/>
    <xf numFmtId="0" fontId="13" fillId="7" borderId="18" xfId="0" applyNumberFormat="1" applyFont="1" applyFill="1" applyBorder="1"/>
    <xf numFmtId="0" fontId="0" fillId="9" borderId="16" xfId="0" applyNumberFormat="1" applyFont="1" applyFill="1" applyBorder="1"/>
    <xf numFmtId="0" fontId="0" fillId="9" borderId="17" xfId="0" applyNumberFormat="1" applyFont="1" applyFill="1" applyBorder="1"/>
    <xf numFmtId="4" fontId="0" fillId="9" borderId="18" xfId="0" applyNumberFormat="1" applyFont="1" applyFill="1" applyBorder="1"/>
    <xf numFmtId="0" fontId="0" fillId="0" borderId="16" xfId="0" applyNumberFormat="1" applyFont="1" applyBorder="1"/>
    <xf numFmtId="0" fontId="0" fillId="0" borderId="17" xfId="0" applyNumberFormat="1" applyFont="1" applyBorder="1"/>
    <xf numFmtId="4" fontId="0" fillId="0" borderId="18" xfId="0" applyNumberFormat="1" applyFont="1" applyBorder="1"/>
    <xf numFmtId="0" fontId="14" fillId="0" borderId="19" xfId="0" applyFont="1" applyBorder="1"/>
    <xf numFmtId="0" fontId="14" fillId="0" borderId="20" xfId="0" applyFont="1" applyBorder="1"/>
    <xf numFmtId="4" fontId="14" fillId="0" borderId="21" xfId="0" applyNumberFormat="1" applyFont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0" fontId="3" fillId="10" borderId="0" xfId="1" applyFont="1" applyFill="1" applyAlignment="1"/>
    <xf numFmtId="0" fontId="3" fillId="10" borderId="0" xfId="1" applyFont="1" applyFill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0" fillId="10" borderId="0" xfId="5" applyFont="1" applyFill="1"/>
    <xf numFmtId="0" fontId="10" fillId="10" borderId="0" xfId="5" applyFont="1" applyFill="1" applyAlignment="1">
      <alignment horizontal="right"/>
    </xf>
    <xf numFmtId="164" fontId="11" fillId="10" borderId="1" xfId="5" applyNumberFormat="1" applyFont="1" applyFill="1" applyBorder="1"/>
    <xf numFmtId="0" fontId="15" fillId="11" borderId="1" xfId="0" applyFont="1" applyFill="1" applyBorder="1" applyAlignment="1">
      <alignment horizontal="right"/>
    </xf>
    <xf numFmtId="4" fontId="0" fillId="10" borderId="1" xfId="0" applyNumberFormat="1" applyFill="1" applyBorder="1"/>
    <xf numFmtId="164" fontId="4" fillId="10" borderId="22" xfId="1" applyNumberFormat="1" applyFont="1" applyFill="1" applyBorder="1" applyAlignment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9"/>
  <sheetViews>
    <sheetView showGridLines="0" tabSelected="1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S29" sqref="S29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8" t="s">
        <v>14</v>
      </c>
      <c r="J1" s="9" t="s">
        <v>15</v>
      </c>
      <c r="K1" s="8" t="s">
        <v>16</v>
      </c>
      <c r="L1" s="9" t="s">
        <v>17</v>
      </c>
      <c r="M1" s="10" t="s">
        <v>18</v>
      </c>
      <c r="N1" s="11" t="s">
        <v>19</v>
      </c>
      <c r="O1" s="12" t="s">
        <v>20</v>
      </c>
      <c r="P1" s="11" t="s">
        <v>21</v>
      </c>
      <c r="Q1" s="12" t="s">
        <v>22</v>
      </c>
      <c r="R1" s="11" t="s">
        <v>23</v>
      </c>
      <c r="S1" s="11" t="s">
        <v>24</v>
      </c>
      <c r="T1" s="11" t="s">
        <v>25</v>
      </c>
      <c r="U1" s="11" t="s">
        <v>26</v>
      </c>
    </row>
    <row r="2" spans="1:21" x14ac:dyDescent="0.2">
      <c r="A2" s="22" t="s">
        <v>44</v>
      </c>
      <c r="B2" s="22" t="s">
        <v>45</v>
      </c>
      <c r="C2" s="22" t="s">
        <v>49</v>
      </c>
      <c r="D2" s="22" t="s">
        <v>67</v>
      </c>
      <c r="E2" s="22" t="s">
        <v>68</v>
      </c>
      <c r="F2" s="22" t="s">
        <v>34</v>
      </c>
      <c r="G2" s="22" t="s">
        <v>46</v>
      </c>
      <c r="H2" s="22" t="s">
        <v>29</v>
      </c>
      <c r="I2" s="22" t="s">
        <v>44</v>
      </c>
      <c r="J2" s="22" t="s">
        <v>45</v>
      </c>
      <c r="K2" s="25">
        <v>1</v>
      </c>
      <c r="L2" s="22" t="s">
        <v>47</v>
      </c>
      <c r="M2" s="22">
        <v>2016</v>
      </c>
      <c r="N2" s="22" t="s">
        <v>39</v>
      </c>
      <c r="O2" s="23" t="s">
        <v>35</v>
      </c>
      <c r="P2" s="22" t="s">
        <v>28</v>
      </c>
      <c r="Q2" s="23" t="s">
        <v>28</v>
      </c>
      <c r="R2" s="24">
        <v>20</v>
      </c>
      <c r="S2" s="25">
        <v>0.2</v>
      </c>
      <c r="T2" s="25">
        <v>0.8</v>
      </c>
      <c r="U2" s="25">
        <v>0</v>
      </c>
    </row>
    <row r="3" spans="1:21" x14ac:dyDescent="0.2">
      <c r="A3" s="22" t="s">
        <v>44</v>
      </c>
      <c r="B3" s="22" t="s">
        <v>45</v>
      </c>
      <c r="C3" s="22" t="s">
        <v>49</v>
      </c>
      <c r="D3" s="22" t="s">
        <v>69</v>
      </c>
      <c r="E3" s="22" t="s">
        <v>70</v>
      </c>
      <c r="F3" s="22" t="s">
        <v>71</v>
      </c>
      <c r="G3" s="22" t="s">
        <v>46</v>
      </c>
      <c r="H3" s="22" t="s">
        <v>29</v>
      </c>
      <c r="I3" s="22" t="s">
        <v>44</v>
      </c>
      <c r="J3" s="22" t="s">
        <v>45</v>
      </c>
      <c r="K3" s="25">
        <v>1</v>
      </c>
      <c r="L3" s="22" t="s">
        <v>47</v>
      </c>
      <c r="M3" s="22">
        <v>2016</v>
      </c>
      <c r="N3" s="22" t="s">
        <v>39</v>
      </c>
      <c r="O3" s="23" t="s">
        <v>35</v>
      </c>
      <c r="P3" s="22" t="s">
        <v>28</v>
      </c>
      <c r="Q3" s="23" t="s">
        <v>28</v>
      </c>
      <c r="R3" s="24">
        <v>20</v>
      </c>
      <c r="S3" s="25">
        <v>0.2</v>
      </c>
      <c r="T3" s="25">
        <v>0.8</v>
      </c>
      <c r="U3" s="25">
        <v>0</v>
      </c>
    </row>
    <row r="4" spans="1:21" x14ac:dyDescent="0.2">
      <c r="A4" s="22" t="s">
        <v>44</v>
      </c>
      <c r="B4" s="22" t="s">
        <v>45</v>
      </c>
      <c r="C4" s="22" t="s">
        <v>49</v>
      </c>
      <c r="D4" s="22" t="s">
        <v>56</v>
      </c>
      <c r="E4" s="22" t="s">
        <v>57</v>
      </c>
      <c r="F4" s="22" t="s">
        <v>32</v>
      </c>
      <c r="G4" s="22" t="s">
        <v>50</v>
      </c>
      <c r="H4" s="22" t="s">
        <v>29</v>
      </c>
      <c r="I4" s="22" t="s">
        <v>44</v>
      </c>
      <c r="J4" s="22" t="s">
        <v>45</v>
      </c>
      <c r="K4" s="25">
        <v>1</v>
      </c>
      <c r="L4" s="22" t="s">
        <v>47</v>
      </c>
      <c r="M4" s="22">
        <v>2016</v>
      </c>
      <c r="N4" s="22" t="s">
        <v>39</v>
      </c>
      <c r="O4" s="23" t="s">
        <v>35</v>
      </c>
      <c r="P4" s="22" t="s">
        <v>28</v>
      </c>
      <c r="Q4" s="23" t="s">
        <v>28</v>
      </c>
      <c r="R4" s="24">
        <v>20</v>
      </c>
      <c r="S4" s="25">
        <v>0.2</v>
      </c>
      <c r="T4" s="25">
        <v>0.8</v>
      </c>
      <c r="U4" s="25">
        <v>0</v>
      </c>
    </row>
    <row r="5" spans="1:21" x14ac:dyDescent="0.2">
      <c r="A5" s="22" t="s">
        <v>40</v>
      </c>
      <c r="B5" s="22" t="s">
        <v>41</v>
      </c>
      <c r="C5" s="22" t="s">
        <v>43</v>
      </c>
      <c r="D5" s="22" t="s">
        <v>65</v>
      </c>
      <c r="E5" s="22" t="s">
        <v>66</v>
      </c>
      <c r="F5" s="22" t="s">
        <v>30</v>
      </c>
      <c r="G5" s="22" t="s">
        <v>51</v>
      </c>
      <c r="H5" s="22" t="s">
        <v>29</v>
      </c>
      <c r="I5" s="22" t="s">
        <v>44</v>
      </c>
      <c r="J5" s="22" t="s">
        <v>45</v>
      </c>
      <c r="K5" s="25">
        <v>1</v>
      </c>
      <c r="L5" s="22" t="s">
        <v>47</v>
      </c>
      <c r="M5" s="22">
        <v>2016</v>
      </c>
      <c r="N5" s="22" t="s">
        <v>39</v>
      </c>
      <c r="O5" s="23" t="s">
        <v>35</v>
      </c>
      <c r="P5" s="22" t="s">
        <v>28</v>
      </c>
      <c r="Q5" s="23" t="s">
        <v>28</v>
      </c>
      <c r="R5" s="24">
        <v>20</v>
      </c>
      <c r="S5" s="25">
        <v>0.2</v>
      </c>
      <c r="T5" s="25">
        <v>0.8</v>
      </c>
      <c r="U5" s="25">
        <v>0</v>
      </c>
    </row>
    <row r="6" spans="1:21" x14ac:dyDescent="0.2">
      <c r="A6" s="22" t="s">
        <v>40</v>
      </c>
      <c r="B6" s="22" t="s">
        <v>41</v>
      </c>
      <c r="C6" s="22" t="s">
        <v>43</v>
      </c>
      <c r="D6" s="22" t="s">
        <v>61</v>
      </c>
      <c r="E6" s="22" t="s">
        <v>62</v>
      </c>
      <c r="F6" s="22" t="s">
        <v>63</v>
      </c>
      <c r="G6" s="22" t="s">
        <v>64</v>
      </c>
      <c r="H6" s="22" t="s">
        <v>29</v>
      </c>
      <c r="I6" s="22" t="s">
        <v>44</v>
      </c>
      <c r="J6" s="22" t="s">
        <v>45</v>
      </c>
      <c r="K6" s="25">
        <v>1</v>
      </c>
      <c r="L6" s="22" t="s">
        <v>47</v>
      </c>
      <c r="M6" s="22">
        <v>2016</v>
      </c>
      <c r="N6" s="22" t="s">
        <v>28</v>
      </c>
      <c r="O6" s="23" t="s">
        <v>28</v>
      </c>
      <c r="P6" s="22" t="s">
        <v>28</v>
      </c>
      <c r="Q6" s="23" t="s">
        <v>28</v>
      </c>
      <c r="R6" s="24">
        <v>100</v>
      </c>
      <c r="S6" s="25">
        <v>1</v>
      </c>
      <c r="T6" s="25">
        <v>0</v>
      </c>
      <c r="U6" s="25">
        <v>0</v>
      </c>
    </row>
    <row r="7" spans="1:21" x14ac:dyDescent="0.2">
      <c r="A7" s="22" t="s">
        <v>40</v>
      </c>
      <c r="B7" s="22" t="s">
        <v>41</v>
      </c>
      <c r="C7" s="22" t="s">
        <v>43</v>
      </c>
      <c r="D7" s="22" t="s">
        <v>58</v>
      </c>
      <c r="E7" s="22" t="s">
        <v>59</v>
      </c>
      <c r="F7" s="22" t="s">
        <v>60</v>
      </c>
      <c r="G7" s="22" t="s">
        <v>51</v>
      </c>
      <c r="H7" s="22" t="s">
        <v>29</v>
      </c>
      <c r="I7" s="22" t="s">
        <v>44</v>
      </c>
      <c r="J7" s="22" t="s">
        <v>45</v>
      </c>
      <c r="K7" s="25">
        <v>1</v>
      </c>
      <c r="L7" s="22" t="s">
        <v>47</v>
      </c>
      <c r="M7" s="22">
        <v>2016</v>
      </c>
      <c r="N7" s="22" t="s">
        <v>39</v>
      </c>
      <c r="O7" s="23" t="s">
        <v>35</v>
      </c>
      <c r="P7" s="22" t="s">
        <v>28</v>
      </c>
      <c r="Q7" s="23" t="s">
        <v>28</v>
      </c>
      <c r="R7" s="24">
        <v>20</v>
      </c>
      <c r="S7" s="25">
        <v>0.2</v>
      </c>
      <c r="T7" s="25">
        <v>0.8</v>
      </c>
      <c r="U7" s="25">
        <v>0</v>
      </c>
    </row>
    <row r="8" spans="1:21" x14ac:dyDescent="0.2">
      <c r="A8" s="22" t="s">
        <v>40</v>
      </c>
      <c r="B8" s="22" t="s">
        <v>41</v>
      </c>
      <c r="C8" s="22" t="s">
        <v>42</v>
      </c>
      <c r="D8" s="22" t="s">
        <v>72</v>
      </c>
      <c r="E8" s="22" t="s">
        <v>73</v>
      </c>
      <c r="F8" s="22" t="s">
        <v>31</v>
      </c>
      <c r="G8" s="22" t="s">
        <v>55</v>
      </c>
      <c r="H8" s="22" t="s">
        <v>29</v>
      </c>
      <c r="I8" s="22" t="s">
        <v>44</v>
      </c>
      <c r="J8" s="22" t="s">
        <v>45</v>
      </c>
      <c r="K8" s="25">
        <v>1</v>
      </c>
      <c r="L8" s="22" t="s">
        <v>47</v>
      </c>
      <c r="M8" s="22">
        <v>2016</v>
      </c>
      <c r="N8" s="22" t="s">
        <v>39</v>
      </c>
      <c r="O8" s="23" t="s">
        <v>35</v>
      </c>
      <c r="P8" s="22" t="s">
        <v>28</v>
      </c>
      <c r="Q8" s="23" t="s">
        <v>28</v>
      </c>
      <c r="R8" s="24">
        <v>20</v>
      </c>
      <c r="S8" s="25">
        <v>0.2</v>
      </c>
      <c r="T8" s="25">
        <v>0.8</v>
      </c>
      <c r="U8" s="25">
        <v>0</v>
      </c>
    </row>
    <row r="9" spans="1:21" x14ac:dyDescent="0.2">
      <c r="A9" s="22" t="s">
        <v>40</v>
      </c>
      <c r="B9" s="22" t="s">
        <v>41</v>
      </c>
      <c r="C9" s="22" t="s">
        <v>43</v>
      </c>
      <c r="D9" s="22" t="s">
        <v>78</v>
      </c>
      <c r="E9" s="22" t="s">
        <v>79</v>
      </c>
      <c r="F9" s="22" t="s">
        <v>80</v>
      </c>
      <c r="G9" s="22" t="s">
        <v>48</v>
      </c>
      <c r="H9" s="22" t="s">
        <v>29</v>
      </c>
      <c r="I9" s="22" t="s">
        <v>44</v>
      </c>
      <c r="J9" s="22" t="s">
        <v>45</v>
      </c>
      <c r="K9" s="25">
        <v>1</v>
      </c>
      <c r="L9" s="22" t="s">
        <v>47</v>
      </c>
      <c r="M9" s="22">
        <v>2017</v>
      </c>
      <c r="N9" s="22" t="s">
        <v>39</v>
      </c>
      <c r="O9" s="23" t="s">
        <v>35</v>
      </c>
      <c r="P9" s="22" t="s">
        <v>28</v>
      </c>
      <c r="Q9" s="23" t="s">
        <v>28</v>
      </c>
      <c r="R9" s="24">
        <v>20</v>
      </c>
      <c r="S9" s="25">
        <v>0.2</v>
      </c>
      <c r="T9" s="25">
        <v>0.8</v>
      </c>
      <c r="U9" s="25">
        <v>0</v>
      </c>
    </row>
    <row r="10" spans="1:21" x14ac:dyDescent="0.2">
      <c r="A10" s="22" t="s">
        <v>40</v>
      </c>
      <c r="B10" s="22" t="s">
        <v>41</v>
      </c>
      <c r="C10" s="22" t="s">
        <v>43</v>
      </c>
      <c r="D10" s="22" t="s">
        <v>74</v>
      </c>
      <c r="E10" s="22" t="s">
        <v>75</v>
      </c>
      <c r="F10" s="22" t="s">
        <v>76</v>
      </c>
      <c r="G10" s="22" t="s">
        <v>77</v>
      </c>
      <c r="H10" s="22" t="s">
        <v>29</v>
      </c>
      <c r="I10" s="22" t="s">
        <v>44</v>
      </c>
      <c r="J10" s="22" t="s">
        <v>45</v>
      </c>
      <c r="K10" s="25">
        <v>1</v>
      </c>
      <c r="L10" s="22" t="s">
        <v>47</v>
      </c>
      <c r="M10" s="22">
        <v>2017</v>
      </c>
      <c r="N10" s="22" t="s">
        <v>39</v>
      </c>
      <c r="O10" s="23" t="s">
        <v>35</v>
      </c>
      <c r="P10" s="22" t="s">
        <v>28</v>
      </c>
      <c r="Q10" s="23" t="s">
        <v>28</v>
      </c>
      <c r="R10" s="24">
        <v>20</v>
      </c>
      <c r="S10" s="25">
        <v>0.2</v>
      </c>
      <c r="T10" s="25">
        <v>0.8</v>
      </c>
      <c r="U10" s="25">
        <v>0</v>
      </c>
    </row>
    <row r="11" spans="1:21" x14ac:dyDescent="0.2">
      <c r="A11" s="22" t="s">
        <v>40</v>
      </c>
      <c r="B11" s="22" t="s">
        <v>41</v>
      </c>
      <c r="C11" s="22" t="s">
        <v>43</v>
      </c>
      <c r="D11" s="22" t="s">
        <v>83</v>
      </c>
      <c r="E11" s="22" t="s">
        <v>84</v>
      </c>
      <c r="F11" s="22" t="s">
        <v>85</v>
      </c>
      <c r="G11" s="22" t="s">
        <v>77</v>
      </c>
      <c r="H11" s="22" t="s">
        <v>27</v>
      </c>
      <c r="I11" s="22" t="s">
        <v>44</v>
      </c>
      <c r="J11" s="22" t="s">
        <v>45</v>
      </c>
      <c r="K11" s="25">
        <v>0.5</v>
      </c>
      <c r="L11" s="22" t="s">
        <v>47</v>
      </c>
      <c r="M11" s="22">
        <v>2017</v>
      </c>
      <c r="N11" s="22" t="s">
        <v>39</v>
      </c>
      <c r="O11" s="23" t="s">
        <v>35</v>
      </c>
      <c r="P11" s="22" t="s">
        <v>28</v>
      </c>
      <c r="Q11" s="23" t="s">
        <v>28</v>
      </c>
      <c r="R11" s="24">
        <v>20</v>
      </c>
      <c r="S11" s="25">
        <v>0.1</v>
      </c>
      <c r="T11" s="25">
        <v>0.4</v>
      </c>
      <c r="U11" s="25">
        <v>0</v>
      </c>
    </row>
    <row r="12" spans="1:21" x14ac:dyDescent="0.2">
      <c r="A12" s="22" t="s">
        <v>40</v>
      </c>
      <c r="B12" s="22" t="s">
        <v>41</v>
      </c>
      <c r="C12" s="22" t="s">
        <v>43</v>
      </c>
      <c r="D12" s="22" t="s">
        <v>83</v>
      </c>
      <c r="E12" s="22" t="s">
        <v>84</v>
      </c>
      <c r="F12" s="22" t="s">
        <v>85</v>
      </c>
      <c r="G12" s="22" t="s">
        <v>51</v>
      </c>
      <c r="H12" s="22" t="s">
        <v>27</v>
      </c>
      <c r="I12" s="22" t="s">
        <v>44</v>
      </c>
      <c r="J12" s="22" t="s">
        <v>45</v>
      </c>
      <c r="K12" s="25">
        <v>0.5</v>
      </c>
      <c r="L12" s="22" t="s">
        <v>47</v>
      </c>
      <c r="M12" s="22">
        <v>2017</v>
      </c>
      <c r="N12" s="22" t="s">
        <v>39</v>
      </c>
      <c r="O12" s="23" t="s">
        <v>35</v>
      </c>
      <c r="P12" s="22" t="s">
        <v>28</v>
      </c>
      <c r="Q12" s="23" t="s">
        <v>28</v>
      </c>
      <c r="R12" s="24">
        <v>20</v>
      </c>
      <c r="S12" s="25">
        <v>0.1</v>
      </c>
      <c r="T12" s="25">
        <v>0.4</v>
      </c>
      <c r="U12" s="25">
        <v>0</v>
      </c>
    </row>
    <row r="13" spans="1:21" x14ac:dyDescent="0.2">
      <c r="A13" s="22" t="s">
        <v>40</v>
      </c>
      <c r="B13" s="22" t="s">
        <v>41</v>
      </c>
      <c r="C13" s="22" t="s">
        <v>43</v>
      </c>
      <c r="D13" s="22" t="s">
        <v>86</v>
      </c>
      <c r="E13" s="22" t="s">
        <v>87</v>
      </c>
      <c r="F13" s="22" t="s">
        <v>88</v>
      </c>
      <c r="G13" s="22" t="s">
        <v>52</v>
      </c>
      <c r="H13" s="22" t="s">
        <v>27</v>
      </c>
      <c r="I13" s="22" t="s">
        <v>44</v>
      </c>
      <c r="J13" s="22" t="s">
        <v>45</v>
      </c>
      <c r="K13" s="25">
        <v>0.5</v>
      </c>
      <c r="L13" s="22" t="s">
        <v>47</v>
      </c>
      <c r="M13" s="22">
        <v>2017</v>
      </c>
      <c r="N13" s="22" t="s">
        <v>39</v>
      </c>
      <c r="O13" s="23" t="s">
        <v>35</v>
      </c>
      <c r="P13" s="22" t="s">
        <v>28</v>
      </c>
      <c r="Q13" s="23" t="s">
        <v>28</v>
      </c>
      <c r="R13" s="24">
        <v>20</v>
      </c>
      <c r="S13" s="25">
        <v>0.1</v>
      </c>
      <c r="T13" s="25">
        <v>0.4</v>
      </c>
      <c r="U13" s="25">
        <v>0</v>
      </c>
    </row>
    <row r="14" spans="1:21" x14ac:dyDescent="0.2">
      <c r="A14" s="22" t="s">
        <v>37</v>
      </c>
      <c r="B14" s="22" t="s">
        <v>38</v>
      </c>
      <c r="C14" s="22" t="s">
        <v>43</v>
      </c>
      <c r="D14" s="22" t="s">
        <v>81</v>
      </c>
      <c r="E14" s="22" t="s">
        <v>82</v>
      </c>
      <c r="F14" s="22" t="s">
        <v>33</v>
      </c>
      <c r="G14" s="22" t="s">
        <v>46</v>
      </c>
      <c r="H14" s="22" t="s">
        <v>29</v>
      </c>
      <c r="I14" s="22" t="s">
        <v>44</v>
      </c>
      <c r="J14" s="22" t="s">
        <v>45</v>
      </c>
      <c r="K14" s="25">
        <v>1</v>
      </c>
      <c r="L14" s="22" t="s">
        <v>47</v>
      </c>
      <c r="M14" s="22">
        <v>2017</v>
      </c>
      <c r="N14" s="22" t="s">
        <v>39</v>
      </c>
      <c r="O14" s="23" t="s">
        <v>35</v>
      </c>
      <c r="P14" s="22" t="s">
        <v>28</v>
      </c>
      <c r="Q14" s="23" t="s">
        <v>28</v>
      </c>
      <c r="R14" s="24">
        <v>20</v>
      </c>
      <c r="S14" s="25">
        <v>0.2</v>
      </c>
      <c r="T14" s="25">
        <v>0.8</v>
      </c>
      <c r="U14" s="25">
        <v>0</v>
      </c>
    </row>
    <row r="15" spans="1:21" x14ac:dyDescent="0.2">
      <c r="A15" s="22" t="s">
        <v>40</v>
      </c>
      <c r="B15" s="22" t="s">
        <v>41</v>
      </c>
      <c r="C15" s="22" t="s">
        <v>43</v>
      </c>
      <c r="D15" s="22" t="s">
        <v>89</v>
      </c>
      <c r="E15" s="22" t="s">
        <v>90</v>
      </c>
      <c r="F15" s="22" t="s">
        <v>91</v>
      </c>
      <c r="G15" s="22" t="s">
        <v>50</v>
      </c>
      <c r="H15" s="22" t="s">
        <v>29</v>
      </c>
      <c r="I15" s="22" t="s">
        <v>44</v>
      </c>
      <c r="J15" s="22" t="s">
        <v>45</v>
      </c>
      <c r="K15" s="60">
        <v>1</v>
      </c>
      <c r="L15" s="22" t="s">
        <v>47</v>
      </c>
      <c r="M15" s="22">
        <v>2018</v>
      </c>
      <c r="N15" s="22" t="s">
        <v>39</v>
      </c>
      <c r="O15" s="23" t="s">
        <v>35</v>
      </c>
      <c r="P15" s="22" t="s">
        <v>28</v>
      </c>
      <c r="Q15" s="23" t="s">
        <v>28</v>
      </c>
      <c r="R15" s="24">
        <v>20</v>
      </c>
      <c r="S15" s="25">
        <v>0.2</v>
      </c>
      <c r="T15" s="25">
        <v>0.8</v>
      </c>
      <c r="U15" s="25">
        <v>0</v>
      </c>
    </row>
    <row r="16" spans="1:21" x14ac:dyDescent="0.2">
      <c r="A16" s="22" t="s">
        <v>40</v>
      </c>
      <c r="B16" s="22" t="s">
        <v>41</v>
      </c>
      <c r="C16" s="22" t="s">
        <v>43</v>
      </c>
      <c r="D16" s="22" t="s">
        <v>92</v>
      </c>
      <c r="E16" s="22" t="s">
        <v>93</v>
      </c>
      <c r="F16" s="22" t="s">
        <v>36</v>
      </c>
      <c r="G16" s="22" t="s">
        <v>54</v>
      </c>
      <c r="H16" s="22" t="s">
        <v>29</v>
      </c>
      <c r="I16" s="22" t="s">
        <v>44</v>
      </c>
      <c r="J16" s="22" t="s">
        <v>45</v>
      </c>
      <c r="K16" s="60">
        <v>1</v>
      </c>
      <c r="L16" s="22" t="s">
        <v>47</v>
      </c>
      <c r="M16" s="22">
        <v>2018</v>
      </c>
      <c r="N16" s="22" t="s">
        <v>39</v>
      </c>
      <c r="O16" s="23" t="s">
        <v>35</v>
      </c>
      <c r="P16" s="22" t="s">
        <v>28</v>
      </c>
      <c r="Q16" s="23" t="s">
        <v>28</v>
      </c>
      <c r="R16" s="24">
        <v>20</v>
      </c>
      <c r="S16" s="25">
        <v>0.2</v>
      </c>
      <c r="T16" s="25">
        <v>0.8</v>
      </c>
      <c r="U16" s="25">
        <v>0</v>
      </c>
    </row>
    <row r="17" spans="1:21" x14ac:dyDescent="0.2">
      <c r="A17" s="26" t="s">
        <v>40</v>
      </c>
      <c r="B17" s="26" t="s">
        <v>41</v>
      </c>
      <c r="C17" s="26" t="s">
        <v>43</v>
      </c>
      <c r="D17" s="26" t="s">
        <v>164</v>
      </c>
      <c r="E17" s="26" t="s">
        <v>165</v>
      </c>
      <c r="F17" s="26" t="s">
        <v>166</v>
      </c>
      <c r="G17" s="26" t="s">
        <v>53</v>
      </c>
      <c r="H17" s="26" t="s">
        <v>27</v>
      </c>
      <c r="I17" s="26" t="s">
        <v>44</v>
      </c>
      <c r="J17" s="26" t="s">
        <v>45</v>
      </c>
      <c r="K17" s="61">
        <v>0.5</v>
      </c>
      <c r="L17" s="26" t="s">
        <v>47</v>
      </c>
      <c r="M17" s="26">
        <v>2019</v>
      </c>
      <c r="N17" s="26" t="s">
        <v>28</v>
      </c>
      <c r="O17" s="27" t="s">
        <v>28</v>
      </c>
      <c r="P17" s="26" t="s">
        <v>28</v>
      </c>
      <c r="Q17" s="27" t="s">
        <v>28</v>
      </c>
      <c r="R17" s="28">
        <v>100</v>
      </c>
      <c r="S17" s="29">
        <v>0.5</v>
      </c>
      <c r="T17" s="29">
        <v>0</v>
      </c>
      <c r="U17" s="29">
        <v>0</v>
      </c>
    </row>
    <row r="18" spans="1:21" x14ac:dyDescent="0.2">
      <c r="A18" s="26" t="s">
        <v>40</v>
      </c>
      <c r="B18" s="26" t="s">
        <v>41</v>
      </c>
      <c r="C18" s="26" t="s">
        <v>43</v>
      </c>
      <c r="D18" s="26" t="s">
        <v>161</v>
      </c>
      <c r="E18" s="26" t="s">
        <v>162</v>
      </c>
      <c r="F18" s="26" t="s">
        <v>163</v>
      </c>
      <c r="G18" s="26" t="s">
        <v>46</v>
      </c>
      <c r="H18" s="26" t="s">
        <v>27</v>
      </c>
      <c r="I18" s="26" t="s">
        <v>44</v>
      </c>
      <c r="J18" s="26" t="s">
        <v>45</v>
      </c>
      <c r="K18" s="61">
        <v>0.5</v>
      </c>
      <c r="L18" s="26" t="s">
        <v>47</v>
      </c>
      <c r="M18" s="26">
        <v>2019</v>
      </c>
      <c r="N18" s="26" t="s">
        <v>39</v>
      </c>
      <c r="O18" s="27" t="s">
        <v>35</v>
      </c>
      <c r="P18" s="26" t="s">
        <v>28</v>
      </c>
      <c r="Q18" s="27" t="s">
        <v>28</v>
      </c>
      <c r="R18" s="28">
        <v>20</v>
      </c>
      <c r="S18" s="29">
        <v>0.1</v>
      </c>
      <c r="T18" s="29">
        <v>0.4</v>
      </c>
      <c r="U18" s="29">
        <v>0</v>
      </c>
    </row>
    <row r="19" spans="1:21" x14ac:dyDescent="0.2">
      <c r="A19" s="22" t="s">
        <v>40</v>
      </c>
      <c r="B19" s="22" t="s">
        <v>41</v>
      </c>
      <c r="C19" s="22" t="s">
        <v>43</v>
      </c>
      <c r="D19" s="22" t="s">
        <v>170</v>
      </c>
      <c r="E19" s="22" t="s">
        <v>171</v>
      </c>
      <c r="F19" s="22" t="s">
        <v>172</v>
      </c>
      <c r="G19" s="22" t="s">
        <v>173</v>
      </c>
      <c r="H19" s="22" t="s">
        <v>27</v>
      </c>
      <c r="I19" s="22" t="s">
        <v>44</v>
      </c>
      <c r="J19" s="22" t="s">
        <v>45</v>
      </c>
      <c r="K19" s="30">
        <v>0.5</v>
      </c>
      <c r="L19" s="30" t="s">
        <v>47</v>
      </c>
      <c r="M19" s="31">
        <v>2019</v>
      </c>
      <c r="N19" s="22" t="s">
        <v>39</v>
      </c>
      <c r="O19" s="23" t="s">
        <v>167</v>
      </c>
      <c r="P19" s="22" t="s">
        <v>28</v>
      </c>
      <c r="Q19" s="23" t="s">
        <v>28</v>
      </c>
      <c r="R19" s="22">
        <v>50</v>
      </c>
      <c r="S19" s="22">
        <v>0.25</v>
      </c>
      <c r="T19" s="22">
        <v>0.25</v>
      </c>
      <c r="U19" s="22">
        <v>0</v>
      </c>
    </row>
    <row r="20" spans="1:21" ht="10.8" thickBot="1" x14ac:dyDescent="0.25">
      <c r="A20" s="22" t="s">
        <v>40</v>
      </c>
      <c r="B20" s="22" t="s">
        <v>41</v>
      </c>
      <c r="C20" s="22" t="s">
        <v>43</v>
      </c>
      <c r="D20" s="22" t="s">
        <v>170</v>
      </c>
      <c r="E20" s="22" t="s">
        <v>171</v>
      </c>
      <c r="F20" s="22" t="s">
        <v>172</v>
      </c>
      <c r="G20" s="22" t="s">
        <v>50</v>
      </c>
      <c r="H20" s="22" t="s">
        <v>27</v>
      </c>
      <c r="I20" s="22" t="s">
        <v>44</v>
      </c>
      <c r="J20" s="22" t="s">
        <v>45</v>
      </c>
      <c r="K20" s="30">
        <v>0.5</v>
      </c>
      <c r="L20" s="30" t="s">
        <v>47</v>
      </c>
      <c r="M20" s="31">
        <v>2019</v>
      </c>
      <c r="N20" s="22" t="s">
        <v>39</v>
      </c>
      <c r="O20" s="23" t="s">
        <v>35</v>
      </c>
      <c r="P20" s="22" t="s">
        <v>28</v>
      </c>
      <c r="Q20" s="23" t="s">
        <v>28</v>
      </c>
      <c r="R20" s="22">
        <v>20</v>
      </c>
      <c r="S20" s="22">
        <v>0.1</v>
      </c>
      <c r="T20" s="22">
        <v>0.4</v>
      </c>
      <c r="U20" s="22">
        <v>0</v>
      </c>
    </row>
    <row r="21" spans="1:21" ht="10.8" thickBot="1" x14ac:dyDescent="0.25">
      <c r="A21" s="32" t="s">
        <v>40</v>
      </c>
      <c r="B21" s="32" t="s">
        <v>41</v>
      </c>
      <c r="C21" s="32" t="s">
        <v>43</v>
      </c>
      <c r="D21" s="32" t="s">
        <v>174</v>
      </c>
      <c r="E21" s="32" t="s">
        <v>175</v>
      </c>
      <c r="F21" s="32" t="s">
        <v>176</v>
      </c>
      <c r="G21" s="33" t="s">
        <v>46</v>
      </c>
      <c r="H21" s="34" t="s">
        <v>27</v>
      </c>
      <c r="I21" s="34" t="s">
        <v>44</v>
      </c>
      <c r="J21" s="35" t="s">
        <v>45</v>
      </c>
      <c r="K21" s="30">
        <v>0.5</v>
      </c>
      <c r="L21" s="30" t="s">
        <v>47</v>
      </c>
      <c r="M21" s="22">
        <v>2020</v>
      </c>
      <c r="N21" s="22" t="s">
        <v>39</v>
      </c>
      <c r="O21" s="23" t="s">
        <v>35</v>
      </c>
      <c r="P21" s="22" t="s">
        <v>28</v>
      </c>
      <c r="Q21" s="23" t="s">
        <v>28</v>
      </c>
      <c r="R21" s="22">
        <v>20</v>
      </c>
      <c r="S21" s="22">
        <v>0.1</v>
      </c>
      <c r="T21" s="22">
        <v>0.4</v>
      </c>
      <c r="U21" s="22">
        <v>0</v>
      </c>
    </row>
    <row r="22" spans="1:21" ht="10.8" thickBot="1" x14ac:dyDescent="0.25">
      <c r="A22" s="32" t="s">
        <v>40</v>
      </c>
      <c r="B22" s="32" t="s">
        <v>41</v>
      </c>
      <c r="C22" s="32" t="s">
        <v>43</v>
      </c>
      <c r="D22" s="32" t="s">
        <v>177</v>
      </c>
      <c r="E22" s="32" t="s">
        <v>178</v>
      </c>
      <c r="F22" s="32" t="s">
        <v>179</v>
      </c>
      <c r="G22" s="33" t="s">
        <v>180</v>
      </c>
      <c r="H22" s="34" t="s">
        <v>29</v>
      </c>
      <c r="I22" s="34" t="s">
        <v>44</v>
      </c>
      <c r="J22" s="35" t="s">
        <v>45</v>
      </c>
      <c r="K22" s="30">
        <v>1</v>
      </c>
      <c r="L22" s="30" t="s">
        <v>47</v>
      </c>
      <c r="M22" s="22">
        <v>2020</v>
      </c>
      <c r="N22" s="22" t="s">
        <v>39</v>
      </c>
      <c r="O22" s="23" t="s">
        <v>35</v>
      </c>
      <c r="P22" s="22" t="s">
        <v>28</v>
      </c>
      <c r="Q22" s="23" t="s">
        <v>28</v>
      </c>
      <c r="R22" s="22">
        <v>20</v>
      </c>
      <c r="S22" s="22">
        <v>0.2</v>
      </c>
      <c r="T22" s="22">
        <v>0.8</v>
      </c>
      <c r="U22" s="22">
        <v>0</v>
      </c>
    </row>
    <row r="23" spans="1:21" ht="10.8" thickBot="1" x14ac:dyDescent="0.25">
      <c r="A23" s="32" t="s">
        <v>40</v>
      </c>
      <c r="B23" s="32" t="s">
        <v>41</v>
      </c>
      <c r="C23" s="32" t="s">
        <v>42</v>
      </c>
      <c r="D23" s="32" t="s">
        <v>181</v>
      </c>
      <c r="E23" s="32" t="s">
        <v>182</v>
      </c>
      <c r="F23" s="32" t="s">
        <v>183</v>
      </c>
      <c r="G23" s="33" t="s">
        <v>55</v>
      </c>
      <c r="H23" s="34" t="s">
        <v>29</v>
      </c>
      <c r="I23" s="34" t="s">
        <v>44</v>
      </c>
      <c r="J23" s="35" t="s">
        <v>45</v>
      </c>
      <c r="K23" s="30">
        <v>1</v>
      </c>
      <c r="L23" s="30" t="s">
        <v>47</v>
      </c>
      <c r="M23" s="22">
        <v>2020</v>
      </c>
      <c r="N23" s="22" t="s">
        <v>39</v>
      </c>
      <c r="O23" s="23" t="s">
        <v>35</v>
      </c>
      <c r="P23" s="22" t="s">
        <v>28</v>
      </c>
      <c r="Q23" s="23" t="s">
        <v>28</v>
      </c>
      <c r="R23" s="22">
        <v>20</v>
      </c>
      <c r="S23" s="22">
        <v>0.2</v>
      </c>
      <c r="T23" s="22">
        <v>0.8</v>
      </c>
      <c r="U23" s="22">
        <v>0</v>
      </c>
    </row>
    <row r="24" spans="1:21" x14ac:dyDescent="0.2">
      <c r="A24" s="22" t="s">
        <v>40</v>
      </c>
      <c r="B24" s="22" t="s">
        <v>41</v>
      </c>
      <c r="C24" s="22" t="s">
        <v>43</v>
      </c>
      <c r="D24" s="22" t="s">
        <v>212</v>
      </c>
      <c r="E24" s="22" t="s">
        <v>213</v>
      </c>
      <c r="F24" s="22" t="s">
        <v>214</v>
      </c>
      <c r="G24" s="22" t="s">
        <v>77</v>
      </c>
      <c r="H24" s="22" t="s">
        <v>27</v>
      </c>
      <c r="I24" s="22" t="s">
        <v>44</v>
      </c>
      <c r="J24" s="22" t="s">
        <v>45</v>
      </c>
      <c r="K24" s="30">
        <v>0.5</v>
      </c>
      <c r="L24" s="30" t="s">
        <v>47</v>
      </c>
      <c r="M24" s="22">
        <v>2021</v>
      </c>
      <c r="N24" s="22" t="s">
        <v>39</v>
      </c>
      <c r="O24" s="23" t="s">
        <v>35</v>
      </c>
      <c r="P24" s="22" t="s">
        <v>28</v>
      </c>
      <c r="Q24" s="23" t="s">
        <v>28</v>
      </c>
      <c r="R24" s="22">
        <v>20</v>
      </c>
      <c r="S24" s="22">
        <v>0.1</v>
      </c>
      <c r="T24" s="22">
        <v>0.4</v>
      </c>
      <c r="U24" s="22">
        <v>0</v>
      </c>
    </row>
    <row r="25" spans="1:21" x14ac:dyDescent="0.2">
      <c r="A25" s="22" t="s">
        <v>40</v>
      </c>
      <c r="B25" s="22" t="s">
        <v>41</v>
      </c>
      <c r="C25" s="22" t="s">
        <v>43</v>
      </c>
      <c r="D25" s="22" t="s">
        <v>215</v>
      </c>
      <c r="E25" s="22" t="s">
        <v>216</v>
      </c>
      <c r="F25" s="22" t="s">
        <v>217</v>
      </c>
      <c r="G25" s="22" t="s">
        <v>48</v>
      </c>
      <c r="H25" s="22" t="s">
        <v>27</v>
      </c>
      <c r="I25" s="22" t="s">
        <v>44</v>
      </c>
      <c r="J25" s="22" t="s">
        <v>45</v>
      </c>
      <c r="K25" s="30">
        <v>0.5</v>
      </c>
      <c r="L25" s="30" t="s">
        <v>47</v>
      </c>
      <c r="M25" s="22">
        <v>2021</v>
      </c>
      <c r="N25" s="22" t="s">
        <v>39</v>
      </c>
      <c r="O25" s="23" t="s">
        <v>35</v>
      </c>
      <c r="P25" s="22" t="s">
        <v>28</v>
      </c>
      <c r="Q25" s="23" t="s">
        <v>28</v>
      </c>
      <c r="R25" s="22">
        <v>20</v>
      </c>
      <c r="S25" s="22">
        <v>0.1</v>
      </c>
      <c r="T25" s="22">
        <v>0.4</v>
      </c>
      <c r="U25" s="22">
        <v>0</v>
      </c>
    </row>
    <row r="26" spans="1:21" x14ac:dyDescent="0.2">
      <c r="A26" s="22" t="s">
        <v>40</v>
      </c>
      <c r="B26" s="22" t="s">
        <v>41</v>
      </c>
      <c r="C26" s="22" t="s">
        <v>43</v>
      </c>
      <c r="D26" s="22" t="s">
        <v>218</v>
      </c>
      <c r="E26" s="22" t="s">
        <v>219</v>
      </c>
      <c r="F26" s="22" t="s">
        <v>220</v>
      </c>
      <c r="G26" s="22" t="s">
        <v>54</v>
      </c>
      <c r="H26" s="22" t="s">
        <v>29</v>
      </c>
      <c r="I26" s="22" t="s">
        <v>44</v>
      </c>
      <c r="J26" s="22" t="s">
        <v>45</v>
      </c>
      <c r="K26" s="30">
        <v>1</v>
      </c>
      <c r="L26" s="30" t="s">
        <v>47</v>
      </c>
      <c r="M26" s="22">
        <v>2021</v>
      </c>
      <c r="N26" s="22" t="s">
        <v>39</v>
      </c>
      <c r="O26" s="23" t="s">
        <v>35</v>
      </c>
      <c r="P26" s="22" t="s">
        <v>28</v>
      </c>
      <c r="Q26" s="23" t="s">
        <v>28</v>
      </c>
      <c r="R26" s="22">
        <v>20</v>
      </c>
      <c r="S26" s="22">
        <v>0.2</v>
      </c>
      <c r="T26" s="22">
        <v>0.8</v>
      </c>
      <c r="U26" s="22">
        <v>0</v>
      </c>
    </row>
    <row r="27" spans="1:21" x14ac:dyDescent="0.2">
      <c r="A27" s="22" t="s">
        <v>40</v>
      </c>
      <c r="B27" s="22" t="s">
        <v>41</v>
      </c>
      <c r="C27" s="22" t="s">
        <v>43</v>
      </c>
      <c r="D27" s="22" t="s">
        <v>221</v>
      </c>
      <c r="E27" s="22" t="s">
        <v>222</v>
      </c>
      <c r="F27" s="22" t="s">
        <v>223</v>
      </c>
      <c r="G27" s="22" t="s">
        <v>48</v>
      </c>
      <c r="H27" s="22" t="s">
        <v>29</v>
      </c>
      <c r="I27" s="22" t="s">
        <v>44</v>
      </c>
      <c r="J27" s="22" t="s">
        <v>45</v>
      </c>
      <c r="K27" s="30">
        <v>1</v>
      </c>
      <c r="L27" s="30" t="s">
        <v>47</v>
      </c>
      <c r="M27" s="22">
        <v>2021</v>
      </c>
      <c r="N27" s="22" t="s">
        <v>39</v>
      </c>
      <c r="O27" s="23" t="s">
        <v>35</v>
      </c>
      <c r="P27" s="22" t="s">
        <v>28</v>
      </c>
      <c r="Q27" s="23" t="s">
        <v>28</v>
      </c>
      <c r="R27" s="22">
        <v>20</v>
      </c>
      <c r="S27" s="22">
        <v>0.2</v>
      </c>
      <c r="T27" s="22">
        <v>0.8</v>
      </c>
      <c r="U27" s="22">
        <v>0</v>
      </c>
    </row>
    <row r="28" spans="1:21" x14ac:dyDescent="0.2">
      <c r="A28" s="22" t="s">
        <v>40</v>
      </c>
      <c r="B28" s="22" t="s">
        <v>41</v>
      </c>
      <c r="C28" s="22" t="s">
        <v>43</v>
      </c>
      <c r="D28" s="22" t="s">
        <v>224</v>
      </c>
      <c r="E28" s="22" t="s">
        <v>225</v>
      </c>
      <c r="F28" s="22" t="s">
        <v>226</v>
      </c>
      <c r="G28" s="22" t="s">
        <v>51</v>
      </c>
      <c r="H28" s="22" t="s">
        <v>29</v>
      </c>
      <c r="I28" s="22" t="s">
        <v>44</v>
      </c>
      <c r="J28" s="22" t="s">
        <v>45</v>
      </c>
      <c r="K28" s="30">
        <v>1</v>
      </c>
      <c r="L28" s="30" t="s">
        <v>47</v>
      </c>
      <c r="M28" s="22">
        <v>2021</v>
      </c>
      <c r="N28" s="22" t="s">
        <v>39</v>
      </c>
      <c r="O28" s="23" t="s">
        <v>35</v>
      </c>
      <c r="P28" s="22" t="s">
        <v>28</v>
      </c>
      <c r="Q28" s="23" t="s">
        <v>28</v>
      </c>
      <c r="R28" s="22">
        <v>20</v>
      </c>
      <c r="S28" s="22">
        <v>0.2</v>
      </c>
      <c r="T28" s="22">
        <v>0.8</v>
      </c>
      <c r="U28" s="22">
        <v>0</v>
      </c>
    </row>
    <row r="29" spans="1:21" x14ac:dyDescent="0.2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3"/>
      <c r="P29" s="62"/>
      <c r="Q29" s="63"/>
      <c r="R29" s="62"/>
      <c r="S29" s="74">
        <f>SUM(S2:S28)</f>
        <v>5.7500000000000009</v>
      </c>
      <c r="T29" s="62"/>
      <c r="U29" s="62"/>
    </row>
  </sheetData>
  <autoFilter ref="A1:U1" xr:uid="{00000000-0009-0000-0000-000000000000}">
    <sortState xmlns:xlrd2="http://schemas.microsoft.com/office/spreadsheetml/2017/richdata2" ref="A2:T1866">
      <sortCondition ref="K2:K1866"/>
      <sortCondition ref="L2:L1866"/>
      <sortCondition ref="D2:D1866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1"/>
  <sheetViews>
    <sheetView zoomScaleNormal="100" workbookViewId="0">
      <selection activeCell="S21" sqref="S21"/>
    </sheetView>
  </sheetViews>
  <sheetFormatPr baseColWidth="10" defaultColWidth="11.44140625" defaultRowHeight="13.2" x14ac:dyDescent="0.25"/>
  <cols>
    <col min="1" max="1" width="10.5546875" style="18" bestFit="1" customWidth="1"/>
    <col min="2" max="2" width="39.4414062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64" t="s">
        <v>94</v>
      </c>
      <c r="B1" s="64" t="s">
        <v>95</v>
      </c>
      <c r="C1" s="64" t="s">
        <v>96</v>
      </c>
      <c r="D1" s="65">
        <v>2017</v>
      </c>
      <c r="E1" s="65">
        <v>2018</v>
      </c>
      <c r="F1" s="65">
        <v>2019</v>
      </c>
      <c r="G1" s="65">
        <v>2020</v>
      </c>
      <c r="H1" s="65">
        <v>2021</v>
      </c>
      <c r="I1" s="65">
        <v>2022</v>
      </c>
      <c r="J1" s="64" t="s">
        <v>97</v>
      </c>
      <c r="K1" s="66" t="s">
        <v>227</v>
      </c>
      <c r="L1" s="15" t="s">
        <v>98</v>
      </c>
      <c r="M1" s="15" t="s">
        <v>99</v>
      </c>
      <c r="N1" s="15" t="s">
        <v>100</v>
      </c>
      <c r="O1" s="15" t="s">
        <v>101</v>
      </c>
      <c r="P1" s="16" t="s">
        <v>102</v>
      </c>
      <c r="Q1" s="16" t="s">
        <v>103</v>
      </c>
      <c r="R1" s="16" t="s">
        <v>104</v>
      </c>
      <c r="S1" s="16" t="s">
        <v>105</v>
      </c>
    </row>
    <row r="2" spans="1:19" ht="14.4" x14ac:dyDescent="0.3">
      <c r="A2" s="67" t="s">
        <v>108</v>
      </c>
      <c r="B2" s="67" t="s">
        <v>109</v>
      </c>
      <c r="C2" s="67">
        <v>6</v>
      </c>
      <c r="D2" s="67"/>
      <c r="E2" s="67"/>
      <c r="F2" s="67"/>
      <c r="G2" s="67"/>
      <c r="H2" s="67">
        <v>1</v>
      </c>
      <c r="I2" s="67"/>
      <c r="J2" s="67">
        <v>1</v>
      </c>
      <c r="K2" s="67" t="s">
        <v>47</v>
      </c>
      <c r="L2" s="68">
        <v>0</v>
      </c>
      <c r="M2" s="68">
        <v>0</v>
      </c>
      <c r="N2" s="68" t="s">
        <v>28</v>
      </c>
      <c r="O2" s="68" t="s">
        <v>28</v>
      </c>
      <c r="P2" s="68">
        <v>100</v>
      </c>
      <c r="Q2" s="68">
        <v>0</v>
      </c>
      <c r="R2" s="68">
        <v>0</v>
      </c>
      <c r="S2" s="68">
        <v>1</v>
      </c>
    </row>
    <row r="3" spans="1:19" ht="14.4" x14ac:dyDescent="0.3">
      <c r="A3" s="67" t="s">
        <v>126</v>
      </c>
      <c r="B3" s="67" t="s">
        <v>127</v>
      </c>
      <c r="C3" s="67">
        <v>6</v>
      </c>
      <c r="D3" s="67"/>
      <c r="E3" s="67"/>
      <c r="F3" s="67">
        <v>1</v>
      </c>
      <c r="G3" s="67"/>
      <c r="H3" s="67">
        <v>1</v>
      </c>
      <c r="I3" s="67"/>
      <c r="J3" s="67">
        <v>2</v>
      </c>
      <c r="K3" s="67" t="s">
        <v>47</v>
      </c>
      <c r="L3" s="68" t="s">
        <v>39</v>
      </c>
      <c r="M3" s="68" t="s">
        <v>35</v>
      </c>
      <c r="N3" s="68" t="s">
        <v>28</v>
      </c>
      <c r="O3" s="68" t="s">
        <v>28</v>
      </c>
      <c r="P3" s="68">
        <v>20</v>
      </c>
      <c r="Q3" s="68">
        <v>1.6</v>
      </c>
      <c r="R3" s="68">
        <v>0</v>
      </c>
      <c r="S3" s="68">
        <v>0.4</v>
      </c>
    </row>
    <row r="4" spans="1:19" ht="14.4" x14ac:dyDescent="0.3">
      <c r="A4" s="67" t="s">
        <v>120</v>
      </c>
      <c r="B4" s="67" t="s">
        <v>121</v>
      </c>
      <c r="C4" s="67">
        <v>6</v>
      </c>
      <c r="D4" s="67"/>
      <c r="E4" s="67">
        <v>1</v>
      </c>
      <c r="F4" s="67">
        <v>1</v>
      </c>
      <c r="G4" s="67"/>
      <c r="H4" s="67"/>
      <c r="I4" s="67"/>
      <c r="J4" s="67">
        <v>2</v>
      </c>
      <c r="K4" s="67" t="s">
        <v>47</v>
      </c>
      <c r="L4" s="68" t="s">
        <v>39</v>
      </c>
      <c r="M4" s="68" t="s">
        <v>35</v>
      </c>
      <c r="N4" s="68" t="s">
        <v>28</v>
      </c>
      <c r="O4" s="68" t="s">
        <v>28</v>
      </c>
      <c r="P4" s="68">
        <v>20</v>
      </c>
      <c r="Q4" s="68">
        <v>1.6</v>
      </c>
      <c r="R4" s="68">
        <v>0</v>
      </c>
      <c r="S4" s="68">
        <v>0.4</v>
      </c>
    </row>
    <row r="5" spans="1:19" ht="14.4" x14ac:dyDescent="0.3">
      <c r="A5" s="67" t="s">
        <v>134</v>
      </c>
      <c r="B5" s="67" t="s">
        <v>135</v>
      </c>
      <c r="C5" s="67" t="s">
        <v>107</v>
      </c>
      <c r="D5" s="67"/>
      <c r="E5" s="67"/>
      <c r="F5" s="67"/>
      <c r="G5" s="67"/>
      <c r="H5" s="67">
        <v>1</v>
      </c>
      <c r="I5" s="67"/>
      <c r="J5" s="67">
        <v>1</v>
      </c>
      <c r="K5" s="67" t="s">
        <v>47</v>
      </c>
      <c r="L5" s="68">
        <v>0</v>
      </c>
      <c r="M5" s="68">
        <v>0</v>
      </c>
      <c r="N5" s="68" t="s">
        <v>28</v>
      </c>
      <c r="O5" s="68" t="s">
        <v>28</v>
      </c>
      <c r="P5" s="68">
        <v>100</v>
      </c>
      <c r="Q5" s="68">
        <v>0</v>
      </c>
      <c r="R5" s="68">
        <v>0</v>
      </c>
      <c r="S5" s="68">
        <v>1</v>
      </c>
    </row>
    <row r="6" spans="1:19" ht="14.4" x14ac:dyDescent="0.3">
      <c r="A6" s="67" t="s">
        <v>112</v>
      </c>
      <c r="B6" s="67" t="s">
        <v>113</v>
      </c>
      <c r="C6" s="67" t="s">
        <v>106</v>
      </c>
      <c r="D6" s="67">
        <v>1</v>
      </c>
      <c r="E6" s="67"/>
      <c r="F6" s="67"/>
      <c r="G6" s="67"/>
      <c r="H6" s="67"/>
      <c r="I6" s="67"/>
      <c r="J6" s="67">
        <v>1</v>
      </c>
      <c r="K6" s="67" t="s">
        <v>47</v>
      </c>
      <c r="L6" s="68" t="s">
        <v>39</v>
      </c>
      <c r="M6" s="68" t="s">
        <v>35</v>
      </c>
      <c r="N6" s="68" t="s">
        <v>28</v>
      </c>
      <c r="O6" s="68" t="s">
        <v>28</v>
      </c>
      <c r="P6" s="68">
        <v>20</v>
      </c>
      <c r="Q6" s="68">
        <v>0.8</v>
      </c>
      <c r="R6" s="68">
        <v>0</v>
      </c>
      <c r="S6" s="68">
        <v>0.2</v>
      </c>
    </row>
    <row r="7" spans="1:19" ht="14.4" x14ac:dyDescent="0.3">
      <c r="A7" s="67" t="s">
        <v>124</v>
      </c>
      <c r="B7" s="67" t="s">
        <v>125</v>
      </c>
      <c r="C7" s="67" t="s">
        <v>106</v>
      </c>
      <c r="D7" s="67"/>
      <c r="E7" s="67"/>
      <c r="F7" s="67"/>
      <c r="G7" s="67">
        <v>1</v>
      </c>
      <c r="H7" s="67"/>
      <c r="I7" s="67"/>
      <c r="J7" s="67">
        <v>1</v>
      </c>
      <c r="K7" s="67" t="s">
        <v>47</v>
      </c>
      <c r="L7" s="68" t="s">
        <v>39</v>
      </c>
      <c r="M7" s="68" t="s">
        <v>35</v>
      </c>
      <c r="N7" s="68" t="s">
        <v>28</v>
      </c>
      <c r="O7" s="68" t="s">
        <v>28</v>
      </c>
      <c r="P7" s="68">
        <v>20</v>
      </c>
      <c r="Q7" s="68">
        <v>0.8</v>
      </c>
      <c r="R7" s="68">
        <v>0</v>
      </c>
      <c r="S7" s="68">
        <v>0.2</v>
      </c>
    </row>
    <row r="8" spans="1:19" ht="14.4" x14ac:dyDescent="0.3">
      <c r="A8" s="67" t="s">
        <v>132</v>
      </c>
      <c r="B8" s="67" t="s">
        <v>133</v>
      </c>
      <c r="C8" s="67" t="s">
        <v>106</v>
      </c>
      <c r="D8" s="67"/>
      <c r="E8" s="67"/>
      <c r="F8" s="67">
        <v>1</v>
      </c>
      <c r="G8" s="67"/>
      <c r="H8" s="67"/>
      <c r="I8" s="67"/>
      <c r="J8" s="67">
        <v>1</v>
      </c>
      <c r="K8" s="67" t="s">
        <v>47</v>
      </c>
      <c r="L8" s="68" t="s">
        <v>39</v>
      </c>
      <c r="M8" s="68" t="s">
        <v>35</v>
      </c>
      <c r="N8" s="68" t="s">
        <v>28</v>
      </c>
      <c r="O8" s="68" t="s">
        <v>28</v>
      </c>
      <c r="P8" s="68">
        <v>20</v>
      </c>
      <c r="Q8" s="68">
        <v>0.8</v>
      </c>
      <c r="R8" s="68">
        <v>0</v>
      </c>
      <c r="S8" s="68">
        <v>0.2</v>
      </c>
    </row>
    <row r="9" spans="1:19" ht="14.4" x14ac:dyDescent="0.3">
      <c r="A9" s="67" t="s">
        <v>110</v>
      </c>
      <c r="B9" s="67" t="s">
        <v>111</v>
      </c>
      <c r="C9" s="67" t="s">
        <v>106</v>
      </c>
      <c r="D9" s="67"/>
      <c r="E9" s="67"/>
      <c r="F9" s="67"/>
      <c r="G9" s="67"/>
      <c r="H9" s="67">
        <v>1</v>
      </c>
      <c r="I9" s="67"/>
      <c r="J9" s="67">
        <v>1</v>
      </c>
      <c r="K9" s="67" t="s">
        <v>47</v>
      </c>
      <c r="L9" s="68">
        <v>0</v>
      </c>
      <c r="M9" s="68">
        <v>0</v>
      </c>
      <c r="N9" s="68" t="s">
        <v>28</v>
      </c>
      <c r="O9" s="68" t="s">
        <v>28</v>
      </c>
      <c r="P9" s="68">
        <v>100</v>
      </c>
      <c r="Q9" s="68">
        <v>0</v>
      </c>
      <c r="R9" s="68">
        <v>0</v>
      </c>
      <c r="S9" s="68">
        <v>1</v>
      </c>
    </row>
    <row r="10" spans="1:19" ht="14.4" x14ac:dyDescent="0.3">
      <c r="A10" s="67" t="s">
        <v>118</v>
      </c>
      <c r="B10" s="67" t="s">
        <v>119</v>
      </c>
      <c r="C10" s="67" t="s">
        <v>106</v>
      </c>
      <c r="D10" s="67"/>
      <c r="E10" s="67"/>
      <c r="F10" s="67"/>
      <c r="G10" s="67"/>
      <c r="H10" s="67">
        <v>1</v>
      </c>
      <c r="I10" s="67"/>
      <c r="J10" s="67">
        <v>1</v>
      </c>
      <c r="K10" s="67" t="s">
        <v>47</v>
      </c>
      <c r="L10" s="68" t="s">
        <v>39</v>
      </c>
      <c r="M10" s="68" t="s">
        <v>35</v>
      </c>
      <c r="N10" s="68" t="s">
        <v>28</v>
      </c>
      <c r="O10" s="68" t="s">
        <v>28</v>
      </c>
      <c r="P10" s="68">
        <v>20</v>
      </c>
      <c r="Q10" s="68">
        <v>0.8</v>
      </c>
      <c r="R10" s="68">
        <v>0</v>
      </c>
      <c r="S10" s="68">
        <v>0.2</v>
      </c>
    </row>
    <row r="11" spans="1:19" ht="14.4" x14ac:dyDescent="0.3">
      <c r="A11" s="67" t="s">
        <v>114</v>
      </c>
      <c r="B11" s="67" t="s">
        <v>115</v>
      </c>
      <c r="C11" s="67" t="s">
        <v>106</v>
      </c>
      <c r="D11" s="67"/>
      <c r="E11" s="67">
        <v>2</v>
      </c>
      <c r="F11" s="67">
        <v>1</v>
      </c>
      <c r="G11" s="67"/>
      <c r="H11" s="67"/>
      <c r="I11" s="67"/>
      <c r="J11" s="67">
        <v>3</v>
      </c>
      <c r="K11" s="67" t="s">
        <v>47</v>
      </c>
      <c r="L11" s="68" t="s">
        <v>39</v>
      </c>
      <c r="M11" s="68" t="s">
        <v>35</v>
      </c>
      <c r="N11" s="68" t="s">
        <v>28</v>
      </c>
      <c r="O11" s="68" t="s">
        <v>28</v>
      </c>
      <c r="P11" s="68">
        <v>20</v>
      </c>
      <c r="Q11" s="68">
        <v>2.4</v>
      </c>
      <c r="R11" s="68">
        <v>0</v>
      </c>
      <c r="S11" s="68">
        <v>0.6</v>
      </c>
    </row>
    <row r="12" spans="1:19" ht="14.4" x14ac:dyDescent="0.3">
      <c r="A12" s="67" t="s">
        <v>122</v>
      </c>
      <c r="B12" s="67" t="s">
        <v>123</v>
      </c>
      <c r="C12" s="67" t="s">
        <v>106</v>
      </c>
      <c r="D12" s="67"/>
      <c r="E12" s="67">
        <v>1</v>
      </c>
      <c r="F12" s="67"/>
      <c r="G12" s="67"/>
      <c r="H12" s="67"/>
      <c r="I12" s="67"/>
      <c r="J12" s="67">
        <v>1</v>
      </c>
      <c r="K12" s="67" t="s">
        <v>47</v>
      </c>
      <c r="L12" s="68" t="s">
        <v>39</v>
      </c>
      <c r="M12" s="68" t="s">
        <v>35</v>
      </c>
      <c r="N12" s="68" t="s">
        <v>28</v>
      </c>
      <c r="O12" s="68" t="s">
        <v>28</v>
      </c>
      <c r="P12" s="68">
        <v>20</v>
      </c>
      <c r="Q12" s="68">
        <v>0.8</v>
      </c>
      <c r="R12" s="68">
        <v>0</v>
      </c>
      <c r="S12" s="68">
        <v>0.2</v>
      </c>
    </row>
    <row r="13" spans="1:19" ht="14.4" x14ac:dyDescent="0.3">
      <c r="A13" s="20" t="s">
        <v>138</v>
      </c>
      <c r="B13" s="20" t="s">
        <v>139</v>
      </c>
      <c r="C13" s="21" t="s">
        <v>106</v>
      </c>
      <c r="D13" s="20"/>
      <c r="E13" s="20"/>
      <c r="F13" s="20"/>
      <c r="G13" s="20"/>
      <c r="H13" s="20">
        <v>1</v>
      </c>
      <c r="I13" s="20"/>
      <c r="J13" s="67">
        <v>1</v>
      </c>
      <c r="K13" s="67" t="s">
        <v>47</v>
      </c>
      <c r="L13" s="68">
        <v>0</v>
      </c>
      <c r="M13" s="68">
        <v>0</v>
      </c>
      <c r="N13" s="68" t="s">
        <v>28</v>
      </c>
      <c r="O13" s="68" t="s">
        <v>28</v>
      </c>
      <c r="P13" s="68">
        <v>100</v>
      </c>
      <c r="Q13" s="68">
        <v>0</v>
      </c>
      <c r="R13" s="68">
        <v>0</v>
      </c>
      <c r="S13" s="68">
        <v>1</v>
      </c>
    </row>
    <row r="14" spans="1:19" ht="14.4" x14ac:dyDescent="0.3">
      <c r="A14" s="67" t="s">
        <v>140</v>
      </c>
      <c r="B14" s="67" t="s">
        <v>141</v>
      </c>
      <c r="C14" s="67" t="s">
        <v>106</v>
      </c>
      <c r="D14" s="67"/>
      <c r="E14" s="67"/>
      <c r="F14" s="67">
        <v>1</v>
      </c>
      <c r="G14" s="67"/>
      <c r="H14" s="67"/>
      <c r="I14" s="67"/>
      <c r="J14" s="67">
        <v>1</v>
      </c>
      <c r="K14" s="67" t="s">
        <v>47</v>
      </c>
      <c r="L14" s="68" t="s">
        <v>39</v>
      </c>
      <c r="M14" s="68" t="s">
        <v>35</v>
      </c>
      <c r="N14" s="68" t="s">
        <v>28</v>
      </c>
      <c r="O14" s="68" t="s">
        <v>28</v>
      </c>
      <c r="P14" s="68">
        <v>20</v>
      </c>
      <c r="Q14" s="68">
        <v>0.8</v>
      </c>
      <c r="R14" s="68">
        <v>0</v>
      </c>
      <c r="S14" s="68">
        <v>0.2</v>
      </c>
    </row>
    <row r="15" spans="1:19" ht="14.4" x14ac:dyDescent="0.3">
      <c r="A15" s="67" t="s">
        <v>130</v>
      </c>
      <c r="B15" s="67" t="s">
        <v>131</v>
      </c>
      <c r="C15" s="67" t="s">
        <v>106</v>
      </c>
      <c r="D15" s="67"/>
      <c r="E15" s="67"/>
      <c r="F15" s="67">
        <v>2</v>
      </c>
      <c r="G15" s="67"/>
      <c r="H15" s="67"/>
      <c r="I15" s="67"/>
      <c r="J15" s="67">
        <v>2</v>
      </c>
      <c r="K15" s="67" t="s">
        <v>47</v>
      </c>
      <c r="L15" s="68" t="s">
        <v>39</v>
      </c>
      <c r="M15" s="68" t="s">
        <v>35</v>
      </c>
      <c r="N15" s="68" t="s">
        <v>28</v>
      </c>
      <c r="O15" s="68" t="s">
        <v>28</v>
      </c>
      <c r="P15" s="68">
        <v>20</v>
      </c>
      <c r="Q15" s="68">
        <v>1.6</v>
      </c>
      <c r="R15" s="68">
        <v>0</v>
      </c>
      <c r="S15" s="68">
        <v>0.4</v>
      </c>
    </row>
    <row r="16" spans="1:19" ht="14.4" x14ac:dyDescent="0.3">
      <c r="A16" s="67" t="s">
        <v>116</v>
      </c>
      <c r="B16" s="67" t="s">
        <v>117</v>
      </c>
      <c r="C16" s="67" t="s">
        <v>107</v>
      </c>
      <c r="D16" s="67"/>
      <c r="E16" s="67">
        <v>1</v>
      </c>
      <c r="F16" s="67"/>
      <c r="G16" s="67"/>
      <c r="H16" s="67"/>
      <c r="I16" s="67"/>
      <c r="J16" s="67">
        <v>1</v>
      </c>
      <c r="K16" s="67" t="s">
        <v>47</v>
      </c>
      <c r="L16" s="68">
        <v>0</v>
      </c>
      <c r="M16" s="68">
        <v>0</v>
      </c>
      <c r="N16" s="68" t="s">
        <v>28</v>
      </c>
      <c r="O16" s="68" t="s">
        <v>28</v>
      </c>
      <c r="P16" s="68">
        <v>100</v>
      </c>
      <c r="Q16" s="68">
        <v>0</v>
      </c>
      <c r="R16" s="68">
        <v>0</v>
      </c>
      <c r="S16" s="68">
        <v>1</v>
      </c>
    </row>
    <row r="17" spans="1:19" ht="14.4" x14ac:dyDescent="0.3">
      <c r="A17" s="67" t="s">
        <v>228</v>
      </c>
      <c r="B17" s="67" t="s">
        <v>229</v>
      </c>
      <c r="C17" s="67" t="s">
        <v>107</v>
      </c>
      <c r="D17" s="67"/>
      <c r="E17" s="67"/>
      <c r="F17" s="67"/>
      <c r="G17" s="67"/>
      <c r="H17" s="67">
        <v>1</v>
      </c>
      <c r="I17" s="67"/>
      <c r="J17" s="67">
        <v>1</v>
      </c>
      <c r="K17" s="67" t="s">
        <v>47</v>
      </c>
      <c r="L17" s="68" t="s">
        <v>39</v>
      </c>
      <c r="M17" s="68" t="s">
        <v>35</v>
      </c>
      <c r="N17" s="68" t="s">
        <v>28</v>
      </c>
      <c r="O17" s="68" t="s">
        <v>28</v>
      </c>
      <c r="P17" s="68">
        <v>20</v>
      </c>
      <c r="Q17" s="68">
        <v>0.8</v>
      </c>
      <c r="R17" s="68">
        <v>0</v>
      </c>
      <c r="S17" s="68">
        <v>0.2</v>
      </c>
    </row>
    <row r="18" spans="1:19" ht="14.4" x14ac:dyDescent="0.3">
      <c r="A18" s="20" t="s">
        <v>128</v>
      </c>
      <c r="B18" s="20" t="s">
        <v>129</v>
      </c>
      <c r="C18" s="21" t="s">
        <v>107</v>
      </c>
      <c r="D18" s="20"/>
      <c r="E18" s="20"/>
      <c r="F18" s="20"/>
      <c r="G18" s="20"/>
      <c r="H18" s="20"/>
      <c r="I18" s="20">
        <v>1</v>
      </c>
      <c r="J18" s="67">
        <v>1</v>
      </c>
      <c r="K18" s="67" t="s">
        <v>47</v>
      </c>
      <c r="L18" s="68" t="s">
        <v>39</v>
      </c>
      <c r="M18" s="68" t="s">
        <v>167</v>
      </c>
      <c r="N18" s="68" t="s">
        <v>28</v>
      </c>
      <c r="O18" s="68" t="s">
        <v>28</v>
      </c>
      <c r="P18" s="68">
        <v>50</v>
      </c>
      <c r="Q18" s="68">
        <v>0.5</v>
      </c>
      <c r="R18" s="68">
        <v>0</v>
      </c>
      <c r="S18" s="68">
        <v>0.5</v>
      </c>
    </row>
    <row r="19" spans="1:19" ht="14.4" x14ac:dyDescent="0.3">
      <c r="A19" s="67" t="s">
        <v>168</v>
      </c>
      <c r="B19" s="67" t="s">
        <v>169</v>
      </c>
      <c r="C19" s="67" t="s">
        <v>106</v>
      </c>
      <c r="D19" s="67"/>
      <c r="E19" s="67"/>
      <c r="F19" s="67"/>
      <c r="G19" s="67"/>
      <c r="H19" s="67"/>
      <c r="I19" s="67">
        <v>1</v>
      </c>
      <c r="J19" s="67">
        <v>1</v>
      </c>
      <c r="K19" s="67" t="s">
        <v>47</v>
      </c>
      <c r="L19" s="68" t="s">
        <v>39</v>
      </c>
      <c r="M19" s="68" t="s">
        <v>35</v>
      </c>
      <c r="N19" s="68" t="s">
        <v>28</v>
      </c>
      <c r="O19" s="68" t="s">
        <v>28</v>
      </c>
      <c r="P19" s="68">
        <v>20</v>
      </c>
      <c r="Q19" s="68">
        <v>0.8</v>
      </c>
      <c r="R19" s="68">
        <v>0</v>
      </c>
      <c r="S19" s="68">
        <v>0.2</v>
      </c>
    </row>
    <row r="20" spans="1:19" ht="14.4" x14ac:dyDescent="0.3">
      <c r="A20" s="67" t="s">
        <v>136</v>
      </c>
      <c r="B20" s="67" t="s">
        <v>137</v>
      </c>
      <c r="C20" s="67" t="s">
        <v>106</v>
      </c>
      <c r="D20" s="67"/>
      <c r="E20" s="67"/>
      <c r="F20" s="67">
        <v>2</v>
      </c>
      <c r="G20" s="67"/>
      <c r="H20" s="67"/>
      <c r="I20" s="67"/>
      <c r="J20" s="67">
        <v>2</v>
      </c>
      <c r="K20" s="67" t="s">
        <v>47</v>
      </c>
      <c r="L20" s="68" t="s">
        <v>39</v>
      </c>
      <c r="M20" s="68" t="s">
        <v>35</v>
      </c>
      <c r="N20" s="68" t="s">
        <v>28</v>
      </c>
      <c r="O20" s="68" t="s">
        <v>28</v>
      </c>
      <c r="P20" s="68">
        <v>20</v>
      </c>
      <c r="Q20" s="68">
        <v>1.6</v>
      </c>
      <c r="R20" s="68">
        <v>0</v>
      </c>
      <c r="S20" s="68">
        <v>0.4</v>
      </c>
    </row>
    <row r="21" spans="1:19" x14ac:dyDescent="0.25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70"/>
      <c r="O21" s="69"/>
      <c r="P21" s="70"/>
      <c r="Q21" s="69"/>
      <c r="R21" s="69"/>
      <c r="S21" s="71">
        <f>SUM(S2:S20)</f>
        <v>9.2999999999999989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zoomScaleNormal="100" workbookViewId="0">
      <selection activeCell="A16" sqref="A16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142</v>
      </c>
      <c r="B3" s="5">
        <v>4410</v>
      </c>
    </row>
    <row r="4" spans="1:2" x14ac:dyDescent="0.2">
      <c r="A4" s="4" t="s">
        <v>143</v>
      </c>
      <c r="B4" s="5"/>
    </row>
    <row r="5" spans="1:2" x14ac:dyDescent="0.2">
      <c r="A5" s="4" t="s">
        <v>144</v>
      </c>
      <c r="B5" s="5">
        <v>4.76</v>
      </c>
    </row>
    <row r="6" spans="1:2" x14ac:dyDescent="0.2">
      <c r="A6" s="4" t="s">
        <v>145</v>
      </c>
      <c r="B6" s="5">
        <v>10.44</v>
      </c>
    </row>
    <row r="7" spans="1:2" x14ac:dyDescent="0.2">
      <c r="A7" s="4" t="s">
        <v>146</v>
      </c>
      <c r="B7" s="5"/>
    </row>
    <row r="8" spans="1:2" x14ac:dyDescent="0.2">
      <c r="A8" s="4" t="s">
        <v>147</v>
      </c>
      <c r="B8" s="5">
        <v>18188.599999999999</v>
      </c>
    </row>
    <row r="9" spans="1:2" x14ac:dyDescent="0.2">
      <c r="A9" s="4" t="s">
        <v>148</v>
      </c>
      <c r="B9" s="5"/>
    </row>
    <row r="10" spans="1:2" x14ac:dyDescent="0.2">
      <c r="A10" s="4" t="s">
        <v>149</v>
      </c>
      <c r="B10" s="5">
        <v>9000</v>
      </c>
    </row>
    <row r="11" spans="1:2" x14ac:dyDescent="0.2">
      <c r="A11" s="6" t="s">
        <v>2</v>
      </c>
      <c r="B11" s="7">
        <f>SUM(B3:B10)</f>
        <v>31613.8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AF7A-EF74-4104-B89C-649C5869D4EE}">
  <dimension ref="A1:B10"/>
  <sheetViews>
    <sheetView zoomScaleNormal="100" workbookViewId="0">
      <selection activeCell="A23" sqref="A2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143</v>
      </c>
      <c r="B2" s="5"/>
    </row>
    <row r="3" spans="1:2" x14ac:dyDescent="0.2">
      <c r="A3" s="4" t="s">
        <v>184</v>
      </c>
      <c r="B3" s="5">
        <v>12.5</v>
      </c>
    </row>
    <row r="4" spans="1:2" x14ac:dyDescent="0.2">
      <c r="A4" s="4" t="s">
        <v>185</v>
      </c>
      <c r="B4" s="5"/>
    </row>
    <row r="5" spans="1:2" x14ac:dyDescent="0.2">
      <c r="A5" s="4" t="s">
        <v>186</v>
      </c>
      <c r="B5" s="5">
        <v>20000</v>
      </c>
    </row>
    <row r="6" spans="1:2" x14ac:dyDescent="0.2">
      <c r="A6" s="4" t="s">
        <v>187</v>
      </c>
      <c r="B6" s="5"/>
    </row>
    <row r="7" spans="1:2" x14ac:dyDescent="0.2">
      <c r="A7" s="4" t="s">
        <v>188</v>
      </c>
      <c r="B7" s="5">
        <v>1800</v>
      </c>
    </row>
    <row r="8" spans="1:2" x14ac:dyDescent="0.2">
      <c r="A8" s="4" t="s">
        <v>189</v>
      </c>
      <c r="B8" s="5"/>
    </row>
    <row r="9" spans="1:2" x14ac:dyDescent="0.2">
      <c r="A9" s="4" t="s">
        <v>190</v>
      </c>
      <c r="B9" s="5">
        <v>8000</v>
      </c>
    </row>
    <row r="10" spans="1:2" x14ac:dyDescent="0.2">
      <c r="A10" s="6" t="s">
        <v>2</v>
      </c>
      <c r="B10" s="7">
        <f>SUM(B3:B9)</f>
        <v>29812.5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3BC9-7F5F-4763-A783-E597BF09F23D}">
  <dimension ref="A1:D11"/>
  <sheetViews>
    <sheetView workbookViewId="0">
      <selection activeCell="D11" sqref="D11"/>
    </sheetView>
  </sheetViews>
  <sheetFormatPr baseColWidth="10" defaultRowHeight="14.4" x14ac:dyDescent="0.3"/>
  <cols>
    <col min="2" max="2" width="14" customWidth="1"/>
    <col min="3" max="3" width="80.109375" customWidth="1"/>
  </cols>
  <sheetData>
    <row r="1" spans="1:4" ht="15" thickBot="1" x14ac:dyDescent="0.35">
      <c r="A1" s="36" t="s">
        <v>196</v>
      </c>
      <c r="B1" s="37" t="s">
        <v>197</v>
      </c>
      <c r="C1" s="37" t="s">
        <v>198</v>
      </c>
      <c r="D1" s="38" t="s">
        <v>1</v>
      </c>
    </row>
    <row r="2" spans="1:4" ht="15" thickTop="1" x14ac:dyDescent="0.3">
      <c r="A2" s="39" t="s">
        <v>199</v>
      </c>
      <c r="B2" s="40" t="s">
        <v>200</v>
      </c>
      <c r="C2" s="40" t="s">
        <v>201</v>
      </c>
      <c r="D2" s="41">
        <v>1200.32</v>
      </c>
    </row>
    <row r="3" spans="1:4" x14ac:dyDescent="0.3">
      <c r="A3" s="42" t="s">
        <v>199</v>
      </c>
      <c r="B3" s="43" t="s">
        <v>185</v>
      </c>
      <c r="C3" s="43" t="s">
        <v>202</v>
      </c>
      <c r="D3" s="44">
        <v>20000</v>
      </c>
    </row>
    <row r="4" spans="1:4" x14ac:dyDescent="0.3">
      <c r="A4" s="39" t="s">
        <v>199</v>
      </c>
      <c r="B4" s="40" t="s">
        <v>187</v>
      </c>
      <c r="C4" s="40" t="s">
        <v>203</v>
      </c>
      <c r="D4" s="41">
        <v>9000</v>
      </c>
    </row>
    <row r="5" spans="1:4" ht="15" thickBot="1" x14ac:dyDescent="0.35">
      <c r="A5" s="42" t="s">
        <v>199</v>
      </c>
      <c r="B5" s="43" t="s">
        <v>189</v>
      </c>
      <c r="C5" s="43" t="s">
        <v>204</v>
      </c>
      <c r="D5" s="44">
        <v>8000</v>
      </c>
    </row>
    <row r="6" spans="1:4" ht="15" thickTop="1" x14ac:dyDescent="0.3">
      <c r="A6" s="45" t="s">
        <v>2</v>
      </c>
      <c r="B6" s="46"/>
      <c r="C6" s="46"/>
      <c r="D6" s="47">
        <v>38200.32</v>
      </c>
    </row>
    <row r="11" spans="1:4" x14ac:dyDescent="0.3">
      <c r="C11" s="72" t="s">
        <v>230</v>
      </c>
      <c r="D11" s="73">
        <f>D6+'Ingresos investigación 2020'!B10+'Ingresos investigación 2019'!B11</f>
        <v>99626.62000000001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"/>
  <sheetViews>
    <sheetView zoomScaleNormal="100" workbookViewId="0">
      <selection activeCell="B19" sqref="B19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150</v>
      </c>
      <c r="B2" s="5"/>
    </row>
    <row r="3" spans="1:2" x14ac:dyDescent="0.2">
      <c r="A3" s="4" t="s">
        <v>151</v>
      </c>
      <c r="B3" s="5">
        <v>57.7</v>
      </c>
    </row>
    <row r="4" spans="1:2" x14ac:dyDescent="0.2">
      <c r="A4" s="4" t="s">
        <v>4</v>
      </c>
      <c r="B4" s="5"/>
    </row>
    <row r="5" spans="1:2" x14ac:dyDescent="0.2">
      <c r="A5" s="4" t="s">
        <v>152</v>
      </c>
      <c r="B5" s="5">
        <v>6100</v>
      </c>
    </row>
    <row r="6" spans="1:2" x14ac:dyDescent="0.2">
      <c r="A6" s="4" t="s">
        <v>5</v>
      </c>
      <c r="B6" s="5"/>
    </row>
    <row r="7" spans="1:2" x14ac:dyDescent="0.2">
      <c r="A7" s="4" t="s">
        <v>153</v>
      </c>
      <c r="B7" s="5">
        <v>21473.5</v>
      </c>
    </row>
    <row r="8" spans="1:2" x14ac:dyDescent="0.2">
      <c r="A8" s="4" t="s">
        <v>154</v>
      </c>
      <c r="B8" s="5">
        <v>26845.27</v>
      </c>
    </row>
    <row r="9" spans="1:2" x14ac:dyDescent="0.2">
      <c r="A9" s="4" t="s">
        <v>155</v>
      </c>
      <c r="B9" s="5">
        <v>2173.5</v>
      </c>
    </row>
    <row r="10" spans="1:2" x14ac:dyDescent="0.2">
      <c r="A10" s="4" t="s">
        <v>156</v>
      </c>
      <c r="B10" s="5">
        <v>3042.9</v>
      </c>
    </row>
    <row r="11" spans="1:2" x14ac:dyDescent="0.2">
      <c r="A11" s="4" t="s">
        <v>157</v>
      </c>
      <c r="B11" s="5">
        <v>1449</v>
      </c>
    </row>
    <row r="12" spans="1:2" x14ac:dyDescent="0.2">
      <c r="A12" s="4" t="s">
        <v>158</v>
      </c>
      <c r="B12" s="5"/>
    </row>
    <row r="13" spans="1:2" x14ac:dyDescent="0.2">
      <c r="A13" s="4" t="s">
        <v>159</v>
      </c>
      <c r="B13" s="5">
        <v>68367.960000000006</v>
      </c>
    </row>
    <row r="14" spans="1:2" x14ac:dyDescent="0.2">
      <c r="A14" s="4" t="s">
        <v>160</v>
      </c>
      <c r="B14" s="5">
        <v>2417.08</v>
      </c>
    </row>
    <row r="15" spans="1:2" x14ac:dyDescent="0.2">
      <c r="A15" s="6" t="s">
        <v>2</v>
      </c>
      <c r="B15" s="7">
        <f>SUM(B3:B14)</f>
        <v>131926.91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0B1B-728B-4F4F-B987-33211BE1717D}">
  <dimension ref="A1:B9"/>
  <sheetViews>
    <sheetView zoomScaleNormal="100" workbookViewId="0">
      <selection activeCell="A18" sqref="A1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4</v>
      </c>
      <c r="B2" s="5"/>
    </row>
    <row r="3" spans="1:2" x14ac:dyDescent="0.2">
      <c r="A3" s="4" t="s">
        <v>191</v>
      </c>
      <c r="B3" s="5">
        <v>4680</v>
      </c>
    </row>
    <row r="4" spans="1:2" x14ac:dyDescent="0.2">
      <c r="A4" s="4" t="s">
        <v>158</v>
      </c>
      <c r="B4" s="5"/>
    </row>
    <row r="5" spans="1:2" x14ac:dyDescent="0.2">
      <c r="A5" s="4" t="s">
        <v>192</v>
      </c>
      <c r="B5" s="5">
        <v>3694.95</v>
      </c>
    </row>
    <row r="6" spans="1:2" x14ac:dyDescent="0.2">
      <c r="A6" s="4" t="s">
        <v>193</v>
      </c>
      <c r="B6" s="5">
        <v>48079.450000000012</v>
      </c>
    </row>
    <row r="7" spans="1:2" x14ac:dyDescent="0.2">
      <c r="A7" s="4" t="s">
        <v>194</v>
      </c>
      <c r="B7" s="5">
        <v>1300.8600000000001</v>
      </c>
    </row>
    <row r="8" spans="1:2" x14ac:dyDescent="0.2">
      <c r="A8" s="4" t="s">
        <v>195</v>
      </c>
      <c r="B8" s="5">
        <v>2459.73</v>
      </c>
    </row>
    <row r="9" spans="1:2" x14ac:dyDescent="0.2">
      <c r="A9" s="6" t="s">
        <v>2</v>
      </c>
      <c r="B9" s="7">
        <f>SUM(B3:B8)</f>
        <v>60214.990000000013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6F7C-71A5-4ECA-AE67-D719B738EB8B}">
  <dimension ref="A1:D16"/>
  <sheetViews>
    <sheetView workbookViewId="0">
      <selection activeCell="D16" sqref="D16"/>
    </sheetView>
  </sheetViews>
  <sheetFormatPr baseColWidth="10" defaultRowHeight="14.4" x14ac:dyDescent="0.3"/>
  <cols>
    <col min="2" max="2" width="14" bestFit="1" customWidth="1"/>
    <col min="3" max="3" width="63" customWidth="1"/>
  </cols>
  <sheetData>
    <row r="1" spans="1:4" x14ac:dyDescent="0.3">
      <c r="A1" s="48" t="s">
        <v>196</v>
      </c>
      <c r="B1" s="49" t="s">
        <v>197</v>
      </c>
      <c r="C1" s="49" t="s">
        <v>198</v>
      </c>
      <c r="D1" s="50" t="s">
        <v>1</v>
      </c>
    </row>
    <row r="2" spans="1:4" x14ac:dyDescent="0.3">
      <c r="A2" s="51" t="s">
        <v>199</v>
      </c>
      <c r="B2" s="52" t="s">
        <v>4</v>
      </c>
      <c r="C2" s="52" t="s">
        <v>205</v>
      </c>
      <c r="D2" s="53">
        <v>8730</v>
      </c>
    </row>
    <row r="3" spans="1:4" x14ac:dyDescent="0.3">
      <c r="A3" s="54" t="s">
        <v>199</v>
      </c>
      <c r="B3" s="55" t="s">
        <v>158</v>
      </c>
      <c r="C3" s="55" t="s">
        <v>206</v>
      </c>
      <c r="D3" s="56">
        <v>351.01</v>
      </c>
    </row>
    <row r="4" spans="1:4" x14ac:dyDescent="0.3">
      <c r="A4" s="51" t="s">
        <v>199</v>
      </c>
      <c r="B4" s="52" t="s">
        <v>158</v>
      </c>
      <c r="C4" s="52" t="s">
        <v>206</v>
      </c>
      <c r="D4" s="53">
        <v>511.14</v>
      </c>
    </row>
    <row r="5" spans="1:4" x14ac:dyDescent="0.3">
      <c r="A5" s="54" t="s">
        <v>199</v>
      </c>
      <c r="B5" s="55" t="s">
        <v>158</v>
      </c>
      <c r="C5" s="55" t="s">
        <v>207</v>
      </c>
      <c r="D5" s="56">
        <v>652.04999999999995</v>
      </c>
    </row>
    <row r="6" spans="1:4" x14ac:dyDescent="0.3">
      <c r="A6" s="51" t="s">
        <v>199</v>
      </c>
      <c r="B6" s="52" t="s">
        <v>158</v>
      </c>
      <c r="C6" s="52" t="s">
        <v>208</v>
      </c>
      <c r="D6" s="53">
        <v>738.99</v>
      </c>
    </row>
    <row r="7" spans="1:4" x14ac:dyDescent="0.3">
      <c r="A7" s="54" t="s">
        <v>199</v>
      </c>
      <c r="B7" s="55" t="s">
        <v>158</v>
      </c>
      <c r="C7" s="55" t="s">
        <v>207</v>
      </c>
      <c r="D7" s="56">
        <v>1490.2</v>
      </c>
    </row>
    <row r="8" spans="1:4" x14ac:dyDescent="0.3">
      <c r="A8" s="51" t="s">
        <v>199</v>
      </c>
      <c r="B8" s="52" t="s">
        <v>158</v>
      </c>
      <c r="C8" s="52" t="s">
        <v>209</v>
      </c>
      <c r="D8" s="53">
        <v>1553.61</v>
      </c>
    </row>
    <row r="9" spans="1:4" x14ac:dyDescent="0.3">
      <c r="A9" s="54" t="s">
        <v>199</v>
      </c>
      <c r="B9" s="55" t="s">
        <v>158</v>
      </c>
      <c r="C9" s="55" t="s">
        <v>210</v>
      </c>
      <c r="D9" s="56">
        <v>16783.77</v>
      </c>
    </row>
    <row r="10" spans="1:4" x14ac:dyDescent="0.3">
      <c r="A10" s="51" t="s">
        <v>199</v>
      </c>
      <c r="B10" s="52" t="s">
        <v>158</v>
      </c>
      <c r="C10" s="52" t="s">
        <v>211</v>
      </c>
      <c r="D10" s="53">
        <v>21486.25</v>
      </c>
    </row>
    <row r="11" spans="1:4" ht="15" thickBot="1" x14ac:dyDescent="0.35">
      <c r="A11" s="54" t="s">
        <v>199</v>
      </c>
      <c r="B11" s="55" t="s">
        <v>158</v>
      </c>
      <c r="C11" s="55" t="s">
        <v>211</v>
      </c>
      <c r="D11" s="56">
        <v>37492.800000000003</v>
      </c>
    </row>
    <row r="12" spans="1:4" ht="15" thickTop="1" x14ac:dyDescent="0.3">
      <c r="A12" s="57" t="s">
        <v>2</v>
      </c>
      <c r="B12" s="58"/>
      <c r="C12" s="58"/>
      <c r="D12" s="59">
        <v>89789.82</v>
      </c>
    </row>
    <row r="16" spans="1:4" x14ac:dyDescent="0.3">
      <c r="C16" s="72" t="s">
        <v>231</v>
      </c>
      <c r="D16" s="73">
        <f>D12+'Ingresos formación 2020'!B9+'Ingresos formación 2019'!B15</f>
        <v>281931.72000000003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2022-10-18T14:50:11Z</dcterms:modified>
</cp:coreProperties>
</file>