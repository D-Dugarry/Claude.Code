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ADD1FA43-0716-464A-9FBB-818E594CA25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</sheets>
  <definedNames>
    <definedName name="_xlnm._FilterDatabase" localSheetId="1" hidden="1">Sexenios!$A$1:$S$16</definedName>
    <definedName name="_xlnm._FilterDatabase" localSheetId="0" hidden="1">Tesis!$A$1:$U$30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3" l="1"/>
  <c r="B22" i="8" l="1"/>
  <c r="B20" i="7" l="1"/>
  <c r="B19" i="6" l="1"/>
  <c r="B25" i="8" s="1"/>
  <c r="S31" i="2" l="1"/>
</calcChain>
</file>

<file path=xl/sharedStrings.xml><?xml version="1.0" encoding="utf-8"?>
<sst xmlns="http://schemas.openxmlformats.org/spreadsheetml/2006/main" count="646" uniqueCount="203">
  <si>
    <t>Orgánica
Descripción justificante</t>
  </si>
  <si>
    <t>Importe</t>
  </si>
  <si>
    <t>Total</t>
  </si>
  <si>
    <t>35.50.6C.00.01</t>
  </si>
  <si>
    <t>35.50.6M.00.02</t>
  </si>
  <si>
    <t>35.50.6P.00.07</t>
  </si>
  <si>
    <t>35.50.6X.00.03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</si>
  <si>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</si>
  <si>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</si>
  <si>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</si>
  <si>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</si>
  <si>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</si>
  <si>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</si>
  <si>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</si>
  <si>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</si>
  <si>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</si>
  <si>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</si>
  <si>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</si>
  <si>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</si>
  <si>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</si>
  <si>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</si>
  <si>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</si>
  <si>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</si>
  <si>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</si>
  <si>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</si>
  <si>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</si>
  <si>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</si>
  <si>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</si>
  <si>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</si>
  <si>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</si>
  <si>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</si>
  <si>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10.16</t>
  </si>
  <si>
    <t>Director de tesis </t>
  </si>
  <si>
    <t>- </t>
  </si>
  <si>
    <t>18/07/2017 </t>
  </si>
  <si>
    <t>06/07/2018 </t>
  </si>
  <si>
    <t>30</t>
  </si>
  <si>
    <t>20</t>
  </si>
  <si>
    <t>28/02/2019 </t>
  </si>
  <si>
    <t>B157 </t>
  </si>
  <si>
    <t>ECOLOGIA </t>
  </si>
  <si>
    <t>DOCTORADO EN CONSERVACIÓN Y RESTAURACIÓN DE ECOSISTEMAS </t>
  </si>
  <si>
    <t>20/09/2018 </t>
  </si>
  <si>
    <t>15/05/2017 </t>
  </si>
  <si>
    <t>13/09/2017 </t>
  </si>
  <si>
    <t>B157</t>
  </si>
  <si>
    <t>31832052Y </t>
  </si>
  <si>
    <t>21301043F </t>
  </si>
  <si>
    <t>48624838D </t>
  </si>
  <si>
    <t>73376420A </t>
  </si>
  <si>
    <t>22102953E </t>
  </si>
  <si>
    <t>70</t>
  </si>
  <si>
    <t>21432737A </t>
  </si>
  <si>
    <t>35004437R </t>
  </si>
  <si>
    <t>ECOLOGIA</t>
  </si>
  <si>
    <t>DOCTORADO EN CONSERVACIÓN Y RESTAURACIÓN DE ECOSISTEMAS</t>
  </si>
  <si>
    <t>DERAK , MCHICH</t>
  </si>
  <si>
    <t>ANALYSE MULTICRITÈRE DES SERVICES ÉCOSYSTÉMIQUES ET RESTAURATION PARTICIPATIVE DES FORÊTS. CAS DU BASSIN DE BÉNI BOUFRAH (RIF CENTRAL MAROCAIN)</t>
  </si>
  <si>
    <t xml:space="preserve">35052669W </t>
  </si>
  <si>
    <t>García Bacallao, Juan Manuel </t>
  </si>
  <si>
    <t>CARACTERIZACIÓN ECOLÓGICA Y APROVECHAMIENTO DE LA PALOMA RABICHE (ZENAIDA MACROURA) EN UN AGROSISTEMA TROPICAL (CIENFUEGOS, CUBA) </t>
  </si>
  <si>
    <t>15/06/2017 </t>
  </si>
  <si>
    <t>Manrique Alba, Angela </t>
  </si>
  <si>
    <t>ECOHYDROLOGICAL RELATIONSHIPS IN PINE FORESTS IN WATER-SCARCE ENVIRONMENTS </t>
  </si>
  <si>
    <t>Novak , Klemen </t>
  </si>
  <si>
    <t>CARACTERÍSTICAS DE LOS ANILLOS DE CRECIMIENTO DE PINUS HALEPENSIS EN EL MEDITERRANEO. GROWTH CHARACTERISTICS OF TREE RINGS IN PINUS HALEPENSIS IN THE MEDITERRANEAN </t>
  </si>
  <si>
    <t>25125732A </t>
  </si>
  <si>
    <t>36918570M </t>
  </si>
  <si>
    <t>Ruiz Yanetti, Samantha </t>
  </si>
  <si>
    <t>RESPUESTA A LA SEQUÍA DE ESPECIES Y COMUNIDADES DE AMBIENTES CONTRASTADOS: COMPARACIÓN DE BALANCES HÍDRICOS </t>
  </si>
  <si>
    <t>González Rossell, Amnerys </t>
  </si>
  <si>
    <t>ECOLOGÍA Y CONSERVACIÓN DE LA IGUANA(CYCLURA NUBILA NUBILA) EN CUBA </t>
  </si>
  <si>
    <t>Morcillo Juliá, Luna </t>
  </si>
  <si>
    <t>PLANT-PLANT INTERACTIONS: BIOTIC AND ABIOTIC CONTROL FACTORS, IMPACTS ON PRODUCTIVITY, AND APPLICATIONS TO CONSERVATION AND RESTORATION </t>
  </si>
  <si>
    <t>Alegre Barroso, Aylin </t>
  </si>
  <si>
    <t>SISTEMÁTICA Y CONSERVACIÓN DE LA FAMILIA BIANTIDAE (ARACHNIDA: OPILIONES: LANIATORES) EN CUBA </t>
  </si>
  <si>
    <t>24/06/2019 </t>
  </si>
  <si>
    <t>Barba Díaz, René Alberto </t>
  </si>
  <si>
    <t>PSEUDOSCORPIONES (ARACHNIDA) DE CUBA: TAXONOMÍA DE STERNOPHORIDAE Y OLPIIDAE, DESCRIPCIÓN DE UNA ESPECIE NUEVA DE ANTILLOBISIUM (BOCHICIDAE) Y CONSIDERACIONES PARA LA CONSERVACIÓN DE OLPIIDAE </t>
  </si>
  <si>
    <t>Bignotte Giró, Irelis </t>
  </si>
  <si>
    <t>REPRODUCCIÓN Y VOCALIZACIONES EN ESPECIES DE RANAS DEL GÉNERO ELEUTHERODACTYLUS DEL ORIENTE DE CUBA </t>
  </si>
  <si>
    <t>11/01/2019 </t>
  </si>
  <si>
    <t>Cabrera Dávila, Grisel de la Caridad </t>
  </si>
  <si>
    <t>EVALUACIÓN DE LA MACROFAUNA EDÁFICA COMO BIOINDICADOR DEL IMPACTO DEL USO Y CALIDAD DEL SUELO EN EL OCCIDENTE DE CUBA </t>
  </si>
  <si>
    <t>09/01/2019 </t>
  </si>
  <si>
    <t>de la Fuente Arzola, José Luis </t>
  </si>
  <si>
    <t>VARIACIONES MORFOLÓGICAS EN POBLACIONES DE JUTÍA CONGA, CAPROMYS PILORIDE (RODENTIA, CAPROMYIDAE), Y SU RELACIÓN CON LA CONSERVACIÓN </t>
  </si>
  <si>
    <t>Montes Espin, Rosalina </t>
  </si>
  <si>
    <t>BIOLOGÍA REPRODUCTIVA Y CONSERVACIÓN DEL VENCEJO DE COLLAR (STREPTOPROCNE ZONARIS) EN EL CENTRO SUR DE CUBA </t>
  </si>
  <si>
    <t>21/06/2019 </t>
  </si>
  <si>
    <t>Muñoz Rengifo, Julio César </t>
  </si>
  <si>
    <t>VULNERABILIDAD DE ESPECIES MEDITERRÁNEAS FRENTE A PERTURBACIONES COMO SEQUÍAS INTENSAS E INCENDIOS </t>
  </si>
  <si>
    <t>37741679J </t>
  </si>
  <si>
    <t>Vasallo Rodríguez, Leosveli </t>
  </si>
  <si>
    <t>LA CRISIS DE LA PRODUCCIÓN DEL SISTEMA AGROFORESTAL CAFETALERO EN CUBA Y SU RELACIÓN CON LA CONSERVACIÓN DE LA BIODIVERSIDAD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</si>
  <si>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</si>
  <si>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</si>
  <si>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</si>
  <si>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</si>
  <si>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</si>
  <si>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</si>
  <si>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</si>
  <si>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</si>
  <si>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</si>
  <si>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</si>
  <si>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</si>
  <si>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</si>
  <si>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</si>
  <si>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</si>
  <si>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72519052Y</t>
  </si>
  <si>
    <t>BAEZA BERNA, MANUEL JAIME</t>
  </si>
  <si>
    <t>31832052Y</t>
  </si>
  <si>
    <t>BAUTISTA AGUILAR, JOSEFA SUSANA</t>
  </si>
  <si>
    <t>22102953E</t>
  </si>
  <si>
    <t>BELLOT ABAD, JUAN FRANCISCO</t>
  </si>
  <si>
    <t>35004437R</t>
  </si>
  <si>
    <t>BONET JORNET, ANDRES</t>
  </si>
  <si>
    <t>35052669W</t>
  </si>
  <si>
    <t>CORTINA I SEGARRA, JORDI</t>
  </si>
  <si>
    <t>21432737A</t>
  </si>
  <si>
    <t>LOPEZ IBORRA, GERMAN MANUEL</t>
  </si>
  <si>
    <t>CONDICIONES DE COLABORACIÓN EN EL MARCO DE ACTUACIÓN DE LA LÍNEA DE INVESTIGACIÓN RESTAURACIÓN-ECOLÓGICA</t>
  </si>
  <si>
    <t>35.50.6C.00.04</t>
  </si>
  <si>
    <t>1º PAGO 50% EVOLUCIÓN DE LA POBLACION DE CAMACHUELO TROMPETERO EN LA ZEPA DEL RÍO MONTNEGRE Y ENTORNO DE LA PLANTA DE TRATAMIENTO Y VERTEDERO CONTROLADO DE R.S.U. "PIEDRA NEGRA".  Nº PEDIDO 7719058623</t>
  </si>
  <si>
    <t>2º PAGO 50% EVOLUCIÓN DE LA POBLACION DE CAMACHUELO TROMPETERO EN LA ZEPA DEL RÍO MONTNEGRE Y ENTORNO DE LA PLANTA DE TRATAMIENTO Y VERTEDERO CONTROLADO DE R.S.U."PIEDRA NEGRA". Nº PEDIDO 7719058623</t>
  </si>
  <si>
    <t>35.50.6H.00.02</t>
  </si>
  <si>
    <t>GJIDI-2018 CONTRATACIÓN PERSONAL TECNICOY DE GESTIÓN POEJ. RES 01/10/2018       ANUALIDAD 2019</t>
  </si>
  <si>
    <t>PAGO PRÓRROGA 2019 GJIDI-2018RESOLUCIÓN 15/11/2019</t>
  </si>
  <si>
    <t>CONTRATO "VIAJEROS A TRAVÉS DEL MEDITERRÁNEO: EL ESTUDIO DE LA MIGRACIÓN DE LAS AVES EN LA ISLA DE TABARCA"</t>
  </si>
  <si>
    <t>RAMÓN Y CAJAL EXPEDIENTE: RYC-2016-1 SOLICITUDES: RYC-2016-20604, RYC-2016-20471 -2 ANUALIDAD. REF. DEL ORDENANTE PARA EL BENEFICIARIO: 27402219310013490.</t>
  </si>
  <si>
    <t>Reintegro de Cuota Patronal del mes de diciembre 2019</t>
  </si>
  <si>
    <t>35.50.6P.00.13</t>
  </si>
  <si>
    <t>PAGO 1 ANUALIDAD PROYECTOS RETOS I+D+I 2018. ANUAL 2019 PROYECTOS I+D RETOS (PIA 13) N EXPEDIENTE: PIA 132018 - 1- 1 ANUALIDAD REFERENCIA: R. REFERENCIA DEL ORDENANTE PARA EL BENEFICIARIO: 00173219310010853 - 2019/009673</t>
  </si>
  <si>
    <t>PARA EL PAGO DE LA ANUALIDAD 2019 DE LA CONVOCATORIA RTI 2018 PROYECTOS I+D RETOS (PIA 13) N EXPEDIENTE: PIA 132018-1 - 1 ANUALIDAD REFERENC REFERENCIA DEL ORDENANTE PARA EL BENEFICIARIO: 27402219310026349</t>
  </si>
  <si>
    <t>22981766M</t>
  </si>
  <si>
    <t>GALLEGO CAMBRONERO, DIEGO</t>
  </si>
  <si>
    <t>48534429J</t>
  </si>
  <si>
    <t>SANTANA PASTOR, VICTOR MANUEL</t>
  </si>
  <si>
    <t>74235633M</t>
  </si>
  <si>
    <t>SANZ LAZARO, CARLOS</t>
  </si>
  <si>
    <t>(GJIDI/2018/A/167)-TRANSFERENCIAS DE CAPITAL DE LA CONSELLERIA DE EDUCACIÓN DE LA GENERALITAT VALENCIANA (INVESTIGACIÓN)</t>
  </si>
  <si>
    <t>COD DEP</t>
  </si>
  <si>
    <t>52784140Z</t>
  </si>
  <si>
    <t>BORDEHORE FONTANET, CESAR</t>
  </si>
  <si>
    <t>Larsen , Elisabeth Karlstad </t>
  </si>
  <si>
    <t>Transpiration patterns of Pinus halepensis Mill. in response to environmental stresses in a Mediterranean climate </t>
  </si>
  <si>
    <t>24/05/2021 </t>
  </si>
  <si>
    <t>B171 </t>
  </si>
  <si>
    <t>CIENCIAS DEL MAR Y BIOLOGÍA APLICADA </t>
  </si>
  <si>
    <t>DOCTORADO EN CIENCIAS DEL MAR Y BIOLOGÍA APLICADA </t>
  </si>
  <si>
    <t>Casado Coy, Nuria </t>
  </si>
  <si>
    <t>Effects of fouling and organic matter wastes from marine aquaculture on the macrofauna and biogeochemistry of sediments. </t>
  </si>
  <si>
    <t>09/06/2021 </t>
  </si>
  <si>
    <t>74235633M </t>
  </si>
  <si>
    <t>1º PAGO 50% EVOLUCIÓN DE LA POBLACION DE CAMACHUELO TROMPETERO EN LA ZEPA DEL RÍO MONTNEGRE Y ENTORNO DE LA PLANTA DE TRATAMIENTO Y VERTEDERO CONTROLADO DE R.S.U. "PIEDRA NEGRA".  Nº PEDIDO 7720074841</t>
  </si>
  <si>
    <t>2º PAGO 50% EVOLUCIÓN DE LA POBLACION DE CAMACHUELO TROMPETERO EN LA ZEPA DEL RÍO MONTNEGRE Y ENTORNO DE LA PLANTA DE TRATAMIENTO Y VERTEDERO CONTROLADO DE R.S.U."PIEDRA NEGRA".  "PIEDRA NEGRA". Nº PEDIDO 7720074841</t>
  </si>
  <si>
    <t>35.50.6C.00.05</t>
  </si>
  <si>
    <t>SELECCIONAR Y CARTOGRAFIAR ZONAS DEGRADADAS PARA SER RESTAURADAS EN SISTEMAS FORESTALES SEGÚN LOS CRITERIOS ESTABLECIDOS EN LOS TÉRMINOS DE REFERENCIA.  REF. PROYECTO CS1.000009.</t>
  </si>
  <si>
    <t>35.50.6C.00.06</t>
  </si>
  <si>
    <t>CEAM1-20TPA 1º PAGO DESARROLLO DE UN SISTEMA EXPERTO DE AYUDA A LAGESTIÓN DE ÁREAS FORESTALES QUEMADAS" (ACRÓNIMO: POST-FIRE). Nº REFERENCIA INNVA1/2020/77. FINANCIA AGENCIA VALENCIANADE INNOVACIÓN.</t>
  </si>
  <si>
    <t>PAGO PRORROGA 2020 SUBVENCION GJIDI-2018 RESOLUCION 15/11/2019 (INNOVACIÓN,UNIVERSIDADES,CIENCIA SOC.DIG). No Reconocido en Certificado de Secretaría Autónomica de Hacienda. 30 enero 2020</t>
  </si>
  <si>
    <t>RES PRÓRROGA COVID-19 23/10/2020 + CORRECCIÓN ERRORES EXPTE 167 (INNOVACIÓN,UNIVERSIDADES,CIENCIA SOC.DIG)</t>
  </si>
  <si>
    <t>CONTRATO "VIAJEROS A TRAVES DEL MEDITERRÁNEO: EL ESTUDIO DE LA MIGRACIÓN DE LAS AVES DE LA ISLA DE TABARCA" Nº PEDIDO 3200794458</t>
  </si>
  <si>
    <t>FLIB 30/06/2020. PROYECTOS RETOS INVESTIGACION 201 / 8. ANUAL 2020 PROYECTOS I+D RETOS (PIA13) N E / XPEDIENTE: PIA132018-1 - 2 ANUALIDAD REFERE / GOVT / 27402220310030600</t>
  </si>
  <si>
    <t>35.50.6P.00.15</t>
  </si>
  <si>
    <t>50 BECA LEONARDO 2020 SANTIAGO SOLIVERES. DEPARTAMENTO DE ECOLOGÍA</t>
  </si>
  <si>
    <t>48352264P</t>
  </si>
  <si>
    <t>SOLIVERES CODINA, SANTIAGO</t>
  </si>
  <si>
    <t>05655788L</t>
  </si>
  <si>
    <t>VALDECANTOS DEMA, ALEJANDRO</t>
  </si>
  <si>
    <t>37741679J</t>
  </si>
  <si>
    <t>VILAGROSA CARMONA, ALBERTO</t>
  </si>
  <si>
    <t>1º PAGO 50% EVOLUCIÓN DE LA POBLACION DE CAMACHUELO TROMPETERO EN LA ZEPA DEL RÍO MONTNEGRE Y ENTORNO DE LA PLANTA DE TRATAMIENTO Y VERTEDERO CONTROLADO DE R.S.U. "PIEDRA NEGRA". Nº PEDIDO 7721121857</t>
  </si>
  <si>
    <t>2º PAGO 50% EVOLUCIÓN DE LA POBLACION DE CAMACHUELO TROMPETERO EN LA ZEPA DEL RÍO MONTNEGRE Y ENTORNO DE LA PLANTA DE TRATAMIENTO Y VERTEDERO CONTROLADO DE R.S.U. "PIEDRA NEGRA". Nº PEDIDO 7721121857</t>
  </si>
  <si>
    <t>2º PAGO DESARROLLO DE UN SISTEMA EXPERTO DE AYUDA A LA GESTIÓN DE ÁREAS FORESTALES QUEMADAS" (ACRÓNIMO: POST-FIRE). Nº REFERENCIA INNVA1/2020/77. FINANCIA AGENCIA VALENCIANA DE INNOVACIÓN.</t>
  </si>
  <si>
    <t>35.50.6C.00.07</t>
  </si>
  <si>
    <t xml:space="preserve">PARTICIPACIÓN EN TALLER DE EXPERTOS SOBRE IDENTIFICACIÓN DE PRIORIDADES DE RESTAURACIÓN PROYECTO CS1.000019 ECOVIDRIO. </t>
  </si>
  <si>
    <t>35.50.6C.00.08</t>
  </si>
  <si>
    <t>1º Pago 50 % proyecto Cálculo de la huella de carbono de la variedad híbrida de paulownia - PAO TONG Z07 - y sus efectos en los trabajos de restauración ambiental promovidos por CEMEX en Alicante.</t>
  </si>
  <si>
    <t>2º Pago 50 % proyecto Cálculo de la huella de carbono de la variedad híbrida de paulownia - PAO TONG Z07 - y sus efectos en los trabajos de restauración ambiental promovidos por CEMEX en Alicante.</t>
  </si>
  <si>
    <t>35.50.6C.00.09</t>
  </si>
  <si>
    <t>Evaluación por parte del Experto Investigador del Proyecto Expediente AENOR Cta-1068</t>
  </si>
  <si>
    <t>GJIDI-2018 - ANUALIDAD 2021 PRÓRROGA COVID-19, (INNOVACIÓN,UNIVERSIDADES,CIENCIA SOC.DIG)</t>
  </si>
  <si>
    <t xml:space="preserve">RTI2018-098895-A-I00 </t>
  </si>
  <si>
    <t>35.50.6P.00.16</t>
  </si>
  <si>
    <t>RAMON Y CAJAL N EXPEDIENTE: RYC-2019-1 - 1 ANUALIDAD REFERENCIA: RYC2019- 027216-I</t>
  </si>
  <si>
    <t>SEGUNDO PAGO DEL PROYECTO SAMFIX, SEGÚN INFORMAN DESDE LA OGPI</t>
  </si>
  <si>
    <t>Maturano Ruiz, Adrián </t>
  </si>
  <si>
    <t>Impacts of water availability on shrublands: natural and experimental extreme drought in </t>
  </si>
  <si>
    <t>11/03/2022 </t>
  </si>
  <si>
    <t>05655788L </t>
  </si>
  <si>
    <t>Moghli , Aymen </t>
  </si>
  <si>
    <t>Functioning of Mediterranean ecosystems in response to forest fires and post-fire management activities. </t>
  </si>
  <si>
    <t>15/07/2022 </t>
  </si>
  <si>
    <t>72519052Y </t>
  </si>
  <si>
    <t>48534429J </t>
  </si>
  <si>
    <t>48361759G</t>
  </si>
  <si>
    <t>SEBASTIAN GONZALEZ, ESTHER</t>
  </si>
  <si>
    <t>49022590E</t>
  </si>
  <si>
    <t>PEREZ GRANADOS, CRISTIAN</t>
  </si>
  <si>
    <t>74367693E</t>
  </si>
  <si>
    <t>RODRIGUEZ CARO, ROBERTO CARLOS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</si>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</sst>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14" fontId="3" fillId="4" borderId="1" xfId="1" applyNumberFormat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0" borderId="1" xfId="1" applyBorder="1"/>
    <xf numFmtId="0" fontId="0" fillId="0" borderId="1" xfId="0" applyBorder="1" applyAlignment="1">
      <alignment horizontal="left"/>
    </xf>
    <xf numFmtId="0" fontId="10" fillId="7" borderId="0" xfId="5" applyFont="1" applyFill="1"/>
    <xf numFmtId="0" fontId="10" fillId="7" borderId="0" xfId="5" applyFont="1" applyFill="1" applyAlignment="1">
      <alignment horizontal="right"/>
    </xf>
    <xf numFmtId="0" fontId="13" fillId="7" borderId="0" xfId="5" applyFont="1" applyFill="1"/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1"/>
  <sheetViews>
    <sheetView showGridLines="0" tabSelected="1" zoomScale="120" zoomScaleNormal="120" workbookViewId="0">
      <pane xSplit="1" ySplit="1" topLeftCell="G8" activePane="bottomRight" state="frozen"/>
      <selection pane="topRight" activeCell="B1" sqref="B1"/>
      <selection pane="bottomLeft" activeCell="A2" sqref="A2"/>
      <selection pane="bottomRight" activeCell="S2" sqref="S2:S31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7" customWidth="1"/>
    <col min="16" max="16" width="4.88671875" style="13" customWidth="1"/>
    <col min="17" max="17" width="3.5546875" style="17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8" t="s">
        <v>15</v>
      </c>
      <c r="J1" s="9" t="s">
        <v>16</v>
      </c>
      <c r="K1" s="8" t="s">
        <v>17</v>
      </c>
      <c r="L1" s="9" t="s">
        <v>18</v>
      </c>
      <c r="M1" s="10" t="s">
        <v>19</v>
      </c>
      <c r="N1" s="11" t="s">
        <v>20</v>
      </c>
      <c r="O1" s="12" t="s">
        <v>21</v>
      </c>
      <c r="P1" s="11" t="s">
        <v>22</v>
      </c>
      <c r="Q1" s="12" t="s">
        <v>23</v>
      </c>
      <c r="R1" s="11" t="s">
        <v>24</v>
      </c>
      <c r="S1" s="11" t="s">
        <v>25</v>
      </c>
      <c r="T1" s="11" t="s">
        <v>26</v>
      </c>
      <c r="U1" s="11" t="s">
        <v>27</v>
      </c>
    </row>
    <row r="2" spans="1:21" x14ac:dyDescent="0.2">
      <c r="A2" s="28" t="s">
        <v>39</v>
      </c>
      <c r="B2" s="28" t="s">
        <v>40</v>
      </c>
      <c r="C2" s="28" t="s">
        <v>41</v>
      </c>
      <c r="D2" s="28" t="s">
        <v>68</v>
      </c>
      <c r="E2" s="28" t="s">
        <v>69</v>
      </c>
      <c r="F2" s="28" t="s">
        <v>44</v>
      </c>
      <c r="G2" s="28" t="s">
        <v>48</v>
      </c>
      <c r="H2" s="28" t="s">
        <v>28</v>
      </c>
      <c r="I2" s="28" t="s">
        <v>39</v>
      </c>
      <c r="J2" s="28" t="s">
        <v>40</v>
      </c>
      <c r="K2" s="34">
        <v>0.5</v>
      </c>
      <c r="L2" s="28" t="s">
        <v>45</v>
      </c>
      <c r="M2" s="28">
        <v>2016</v>
      </c>
      <c r="N2" s="28" t="s">
        <v>30</v>
      </c>
      <c r="O2" s="35" t="s">
        <v>30</v>
      </c>
      <c r="P2" s="28" t="s">
        <v>30</v>
      </c>
      <c r="Q2" s="35" t="s">
        <v>30</v>
      </c>
      <c r="R2" s="36">
        <v>100</v>
      </c>
      <c r="S2" s="34">
        <v>0.5</v>
      </c>
      <c r="T2" s="34">
        <v>0</v>
      </c>
      <c r="U2" s="34">
        <v>0</v>
      </c>
    </row>
    <row r="3" spans="1:21" x14ac:dyDescent="0.2">
      <c r="A3" s="28" t="s">
        <v>39</v>
      </c>
      <c r="B3" s="28" t="s">
        <v>40</v>
      </c>
      <c r="C3" s="28" t="s">
        <v>41</v>
      </c>
      <c r="D3" s="28" t="s">
        <v>68</v>
      </c>
      <c r="E3" s="28" t="s">
        <v>69</v>
      </c>
      <c r="F3" s="28" t="s">
        <v>44</v>
      </c>
      <c r="G3" s="28" t="s">
        <v>50</v>
      </c>
      <c r="H3" s="28" t="s">
        <v>28</v>
      </c>
      <c r="I3" s="28" t="s">
        <v>39</v>
      </c>
      <c r="J3" s="28" t="s">
        <v>40</v>
      </c>
      <c r="K3" s="34">
        <v>0.5</v>
      </c>
      <c r="L3" s="28" t="s">
        <v>45</v>
      </c>
      <c r="M3" s="28">
        <v>2016</v>
      </c>
      <c r="N3" s="28" t="s">
        <v>31</v>
      </c>
      <c r="O3" s="35" t="s">
        <v>51</v>
      </c>
      <c r="P3" s="28" t="s">
        <v>30</v>
      </c>
      <c r="Q3" s="35" t="s">
        <v>30</v>
      </c>
      <c r="R3" s="36">
        <v>30</v>
      </c>
      <c r="S3" s="34">
        <v>0.15</v>
      </c>
      <c r="T3" s="34">
        <v>0.35</v>
      </c>
      <c r="U3" s="34">
        <v>0</v>
      </c>
    </row>
    <row r="4" spans="1:21" x14ac:dyDescent="0.2">
      <c r="A4" s="28" t="s">
        <v>39</v>
      </c>
      <c r="B4" s="28" t="s">
        <v>40</v>
      </c>
      <c r="C4" s="28" t="s">
        <v>41</v>
      </c>
      <c r="D4" s="28" t="s">
        <v>62</v>
      </c>
      <c r="E4" s="28" t="s">
        <v>63</v>
      </c>
      <c r="F4" s="28" t="s">
        <v>34</v>
      </c>
      <c r="G4" s="28" t="s">
        <v>50</v>
      </c>
      <c r="H4" s="28" t="s">
        <v>32</v>
      </c>
      <c r="I4" s="28" t="s">
        <v>39</v>
      </c>
      <c r="J4" s="28" t="s">
        <v>40</v>
      </c>
      <c r="K4" s="34">
        <v>1</v>
      </c>
      <c r="L4" s="28" t="s">
        <v>45</v>
      </c>
      <c r="M4" s="28">
        <v>2016</v>
      </c>
      <c r="N4" s="28" t="s">
        <v>31</v>
      </c>
      <c r="O4" s="35" t="s">
        <v>51</v>
      </c>
      <c r="P4" s="28" t="s">
        <v>30</v>
      </c>
      <c r="Q4" s="35" t="s">
        <v>30</v>
      </c>
      <c r="R4" s="36">
        <v>30</v>
      </c>
      <c r="S4" s="34">
        <v>0.3</v>
      </c>
      <c r="T4" s="34">
        <v>0.7</v>
      </c>
      <c r="U4" s="34">
        <v>0</v>
      </c>
    </row>
    <row r="5" spans="1:21" x14ac:dyDescent="0.2">
      <c r="A5" s="28" t="s">
        <v>39</v>
      </c>
      <c r="B5" s="28" t="s">
        <v>40</v>
      </c>
      <c r="C5" s="28" t="s">
        <v>41</v>
      </c>
      <c r="D5" s="28" t="s">
        <v>59</v>
      </c>
      <c r="E5" s="28" t="s">
        <v>60</v>
      </c>
      <c r="F5" s="28" t="s">
        <v>61</v>
      </c>
      <c r="G5" s="28" t="s">
        <v>49</v>
      </c>
      <c r="H5" s="28" t="s">
        <v>32</v>
      </c>
      <c r="I5" s="28" t="s">
        <v>39</v>
      </c>
      <c r="J5" s="28" t="s">
        <v>40</v>
      </c>
      <c r="K5" s="34">
        <v>1</v>
      </c>
      <c r="L5" s="28" t="s">
        <v>45</v>
      </c>
      <c r="M5" s="28">
        <v>2016</v>
      </c>
      <c r="N5" s="28" t="s">
        <v>31</v>
      </c>
      <c r="O5" s="35" t="s">
        <v>36</v>
      </c>
      <c r="P5" s="28" t="s">
        <v>30</v>
      </c>
      <c r="Q5" s="35" t="s">
        <v>30</v>
      </c>
      <c r="R5" s="36">
        <v>70</v>
      </c>
      <c r="S5" s="34">
        <v>0.7</v>
      </c>
      <c r="T5" s="34">
        <v>0.3</v>
      </c>
      <c r="U5" s="34">
        <v>0</v>
      </c>
    </row>
    <row r="6" spans="1:21" x14ac:dyDescent="0.2">
      <c r="A6" s="28" t="s">
        <v>39</v>
      </c>
      <c r="B6" s="28" t="s">
        <v>40</v>
      </c>
      <c r="C6" s="28" t="s">
        <v>41</v>
      </c>
      <c r="D6" s="28" t="s">
        <v>64</v>
      </c>
      <c r="E6" s="28" t="s">
        <v>65</v>
      </c>
      <c r="F6" s="28" t="s">
        <v>43</v>
      </c>
      <c r="G6" s="28" t="s">
        <v>66</v>
      </c>
      <c r="H6" s="28" t="s">
        <v>28</v>
      </c>
      <c r="I6" s="28" t="s">
        <v>39</v>
      </c>
      <c r="J6" s="28" t="s">
        <v>40</v>
      </c>
      <c r="K6" s="34">
        <v>0.5</v>
      </c>
      <c r="L6" s="28" t="s">
        <v>45</v>
      </c>
      <c r="M6" s="28">
        <v>2016</v>
      </c>
      <c r="N6" s="28" t="s">
        <v>30</v>
      </c>
      <c r="O6" s="35" t="s">
        <v>30</v>
      </c>
      <c r="P6" s="28" t="s">
        <v>30</v>
      </c>
      <c r="Q6" s="35" t="s">
        <v>30</v>
      </c>
      <c r="R6" s="36">
        <v>100</v>
      </c>
      <c r="S6" s="34">
        <v>0.5</v>
      </c>
      <c r="T6" s="34">
        <v>0</v>
      </c>
      <c r="U6" s="34">
        <v>0</v>
      </c>
    </row>
    <row r="7" spans="1:21" x14ac:dyDescent="0.2">
      <c r="A7" s="28" t="s">
        <v>39</v>
      </c>
      <c r="B7" s="28" t="s">
        <v>40</v>
      </c>
      <c r="C7" s="28" t="s">
        <v>41</v>
      </c>
      <c r="D7" s="28" t="s">
        <v>64</v>
      </c>
      <c r="E7" s="28" t="s">
        <v>65</v>
      </c>
      <c r="F7" s="28" t="s">
        <v>43</v>
      </c>
      <c r="G7" s="28" t="s">
        <v>67</v>
      </c>
      <c r="H7" s="28" t="s">
        <v>28</v>
      </c>
      <c r="I7" s="28" t="s">
        <v>39</v>
      </c>
      <c r="J7" s="28" t="s">
        <v>40</v>
      </c>
      <c r="K7" s="34">
        <v>0.5</v>
      </c>
      <c r="L7" s="28" t="s">
        <v>45</v>
      </c>
      <c r="M7" s="28">
        <v>2016</v>
      </c>
      <c r="N7" s="28" t="s">
        <v>31</v>
      </c>
      <c r="O7" s="35" t="s">
        <v>37</v>
      </c>
      <c r="P7" s="28" t="s">
        <v>30</v>
      </c>
      <c r="Q7" s="35" t="s">
        <v>30</v>
      </c>
      <c r="R7" s="36">
        <v>80</v>
      </c>
      <c r="S7" s="34">
        <v>0.4</v>
      </c>
      <c r="T7" s="34">
        <v>0.1</v>
      </c>
      <c r="U7" s="34">
        <v>0</v>
      </c>
    </row>
    <row r="8" spans="1:21" x14ac:dyDescent="0.2">
      <c r="A8" s="28" t="s">
        <v>45</v>
      </c>
      <c r="B8" s="28" t="s">
        <v>54</v>
      </c>
      <c r="C8" s="28" t="s">
        <v>55</v>
      </c>
      <c r="D8" s="28" t="s">
        <v>56</v>
      </c>
      <c r="E8" s="28" t="s">
        <v>57</v>
      </c>
      <c r="F8" s="29">
        <v>43001</v>
      </c>
      <c r="G8" s="28" t="s">
        <v>58</v>
      </c>
      <c r="H8" s="28" t="s">
        <v>28</v>
      </c>
      <c r="I8" s="28" t="s">
        <v>45</v>
      </c>
      <c r="J8" s="28" t="s">
        <v>54</v>
      </c>
      <c r="K8" s="34">
        <v>0.5</v>
      </c>
      <c r="L8" s="28" t="s">
        <v>45</v>
      </c>
      <c r="M8" s="28">
        <v>2016</v>
      </c>
      <c r="N8" s="28" t="s">
        <v>31</v>
      </c>
      <c r="O8" s="35" t="s">
        <v>29</v>
      </c>
      <c r="P8" s="28" t="s">
        <v>30</v>
      </c>
      <c r="Q8" s="35" t="s">
        <v>30</v>
      </c>
      <c r="R8" s="36">
        <v>50</v>
      </c>
      <c r="S8" s="34">
        <v>0.25</v>
      </c>
      <c r="T8" s="34">
        <v>0.25</v>
      </c>
      <c r="U8" s="34">
        <v>0</v>
      </c>
    </row>
    <row r="9" spans="1:21" x14ac:dyDescent="0.2">
      <c r="A9" s="28" t="s">
        <v>45</v>
      </c>
      <c r="B9" s="28" t="s">
        <v>54</v>
      </c>
      <c r="C9" s="28" t="s">
        <v>55</v>
      </c>
      <c r="D9" s="28" t="s">
        <v>56</v>
      </c>
      <c r="E9" s="28" t="s">
        <v>57</v>
      </c>
      <c r="F9" s="29">
        <v>43001</v>
      </c>
      <c r="G9" s="28" t="s">
        <v>33</v>
      </c>
      <c r="H9" s="28" t="s">
        <v>28</v>
      </c>
      <c r="I9" s="28" t="s">
        <v>45</v>
      </c>
      <c r="J9" s="28" t="s">
        <v>54</v>
      </c>
      <c r="K9" s="34">
        <v>0.5</v>
      </c>
      <c r="L9" s="28" t="s">
        <v>45</v>
      </c>
      <c r="M9" s="28">
        <v>2016</v>
      </c>
      <c r="N9" s="28" t="s">
        <v>30</v>
      </c>
      <c r="O9" s="35" t="s">
        <v>30</v>
      </c>
      <c r="P9" s="28" t="s">
        <v>30</v>
      </c>
      <c r="Q9" s="35" t="s">
        <v>30</v>
      </c>
      <c r="R9" s="36">
        <v>100</v>
      </c>
      <c r="S9" s="34">
        <v>0.5</v>
      </c>
      <c r="T9" s="34">
        <v>0</v>
      </c>
      <c r="U9" s="34">
        <v>0</v>
      </c>
    </row>
    <row r="10" spans="1:21" x14ac:dyDescent="0.2">
      <c r="A10" s="28" t="s">
        <v>39</v>
      </c>
      <c r="B10" s="28" t="s">
        <v>40</v>
      </c>
      <c r="C10" s="28" t="s">
        <v>41</v>
      </c>
      <c r="D10" s="28" t="s">
        <v>72</v>
      </c>
      <c r="E10" s="28" t="s">
        <v>73</v>
      </c>
      <c r="F10" s="28" t="s">
        <v>42</v>
      </c>
      <c r="G10" s="28" t="s">
        <v>46</v>
      </c>
      <c r="H10" s="28" t="s">
        <v>32</v>
      </c>
      <c r="I10" s="28" t="s">
        <v>39</v>
      </c>
      <c r="J10" s="28" t="s">
        <v>40</v>
      </c>
      <c r="K10" s="34">
        <v>1</v>
      </c>
      <c r="L10" s="28" t="s">
        <v>45</v>
      </c>
      <c r="M10" s="28">
        <v>2017</v>
      </c>
      <c r="N10" s="28" t="s">
        <v>31</v>
      </c>
      <c r="O10" s="35" t="s">
        <v>36</v>
      </c>
      <c r="P10" s="28" t="s">
        <v>30</v>
      </c>
      <c r="Q10" s="35" t="s">
        <v>30</v>
      </c>
      <c r="R10" s="36">
        <v>70</v>
      </c>
      <c r="S10" s="34">
        <v>0.7</v>
      </c>
      <c r="T10" s="34">
        <v>0.3</v>
      </c>
      <c r="U10" s="34">
        <v>0</v>
      </c>
    </row>
    <row r="11" spans="1:21" x14ac:dyDescent="0.2">
      <c r="A11" s="28" t="s">
        <v>39</v>
      </c>
      <c r="B11" s="28" t="s">
        <v>40</v>
      </c>
      <c r="C11" s="28" t="s">
        <v>41</v>
      </c>
      <c r="D11" s="28" t="s">
        <v>70</v>
      </c>
      <c r="E11" s="28" t="s">
        <v>71</v>
      </c>
      <c r="F11" s="28" t="s">
        <v>35</v>
      </c>
      <c r="G11" s="28" t="s">
        <v>33</v>
      </c>
      <c r="H11" s="28" t="s">
        <v>28</v>
      </c>
      <c r="I11" s="28" t="s">
        <v>39</v>
      </c>
      <c r="J11" s="28" t="s">
        <v>40</v>
      </c>
      <c r="K11" s="34">
        <v>1</v>
      </c>
      <c r="L11" s="28" t="s">
        <v>45</v>
      </c>
      <c r="M11" s="28">
        <v>2017</v>
      </c>
      <c r="N11" s="28" t="s">
        <v>30</v>
      </c>
      <c r="O11" s="35" t="s">
        <v>30</v>
      </c>
      <c r="P11" s="28" t="s">
        <v>30</v>
      </c>
      <c r="Q11" s="35" t="s">
        <v>30</v>
      </c>
      <c r="R11" s="36">
        <v>100</v>
      </c>
      <c r="S11" s="34">
        <v>1</v>
      </c>
      <c r="T11" s="34">
        <v>0</v>
      </c>
      <c r="U11" s="34">
        <v>0</v>
      </c>
    </row>
    <row r="12" spans="1:21" x14ac:dyDescent="0.2">
      <c r="A12" s="28" t="s">
        <v>39</v>
      </c>
      <c r="B12" s="28" t="s">
        <v>40</v>
      </c>
      <c r="C12" s="28" t="s">
        <v>41</v>
      </c>
      <c r="D12" s="28" t="s">
        <v>90</v>
      </c>
      <c r="E12" s="28" t="s">
        <v>91</v>
      </c>
      <c r="F12" s="28" t="s">
        <v>38</v>
      </c>
      <c r="G12" s="28" t="s">
        <v>92</v>
      </c>
      <c r="H12" s="28" t="s">
        <v>28</v>
      </c>
      <c r="I12" s="28" t="s">
        <v>39</v>
      </c>
      <c r="J12" s="28" t="s">
        <v>40</v>
      </c>
      <c r="K12" s="37">
        <v>0.5</v>
      </c>
      <c r="L12" s="28" t="s">
        <v>45</v>
      </c>
      <c r="M12" s="28">
        <v>2018</v>
      </c>
      <c r="N12" s="28" t="s">
        <v>30</v>
      </c>
      <c r="O12" s="35" t="s">
        <v>30</v>
      </c>
      <c r="P12" s="28" t="s">
        <v>30</v>
      </c>
      <c r="Q12" s="35" t="s">
        <v>30</v>
      </c>
      <c r="R12" s="36">
        <v>100</v>
      </c>
      <c r="S12" s="34">
        <v>0.5</v>
      </c>
      <c r="T12" s="34">
        <v>0</v>
      </c>
      <c r="U12" s="34">
        <v>0</v>
      </c>
    </row>
    <row r="13" spans="1:21" x14ac:dyDescent="0.2">
      <c r="A13" s="28" t="s">
        <v>39</v>
      </c>
      <c r="B13" s="28" t="s">
        <v>40</v>
      </c>
      <c r="C13" s="28" t="s">
        <v>41</v>
      </c>
      <c r="D13" s="28" t="s">
        <v>90</v>
      </c>
      <c r="E13" s="28" t="s">
        <v>91</v>
      </c>
      <c r="F13" s="28" t="s">
        <v>38</v>
      </c>
      <c r="G13" s="28" t="s">
        <v>48</v>
      </c>
      <c r="H13" s="28" t="s">
        <v>28</v>
      </c>
      <c r="I13" s="28" t="s">
        <v>39</v>
      </c>
      <c r="J13" s="28" t="s">
        <v>40</v>
      </c>
      <c r="K13" s="37">
        <v>0.5</v>
      </c>
      <c r="L13" s="28" t="s">
        <v>45</v>
      </c>
      <c r="M13" s="28">
        <v>2018</v>
      </c>
      <c r="N13" s="28" t="s">
        <v>30</v>
      </c>
      <c r="O13" s="35" t="s">
        <v>30</v>
      </c>
      <c r="P13" s="28" t="s">
        <v>30</v>
      </c>
      <c r="Q13" s="35" t="s">
        <v>30</v>
      </c>
      <c r="R13" s="36">
        <v>100</v>
      </c>
      <c r="S13" s="34">
        <v>0.5</v>
      </c>
      <c r="T13" s="34">
        <v>0</v>
      </c>
      <c r="U13" s="34">
        <v>0</v>
      </c>
    </row>
    <row r="14" spans="1:21" x14ac:dyDescent="0.2">
      <c r="A14" s="28" t="s">
        <v>39</v>
      </c>
      <c r="B14" s="28" t="s">
        <v>40</v>
      </c>
      <c r="C14" s="28" t="s">
        <v>41</v>
      </c>
      <c r="D14" s="28" t="s">
        <v>85</v>
      </c>
      <c r="E14" s="28" t="s">
        <v>86</v>
      </c>
      <c r="F14" s="28" t="s">
        <v>76</v>
      </c>
      <c r="G14" s="28" t="s">
        <v>33</v>
      </c>
      <c r="H14" s="28" t="s">
        <v>28</v>
      </c>
      <c r="I14" s="28" t="s">
        <v>39</v>
      </c>
      <c r="J14" s="28" t="s">
        <v>40</v>
      </c>
      <c r="K14" s="37">
        <v>1</v>
      </c>
      <c r="L14" s="28" t="s">
        <v>45</v>
      </c>
      <c r="M14" s="28">
        <v>2018</v>
      </c>
      <c r="N14" s="28" t="s">
        <v>30</v>
      </c>
      <c r="O14" s="35" t="s">
        <v>30</v>
      </c>
      <c r="P14" s="28" t="s">
        <v>30</v>
      </c>
      <c r="Q14" s="35" t="s">
        <v>30</v>
      </c>
      <c r="R14" s="36">
        <v>100</v>
      </c>
      <c r="S14" s="34">
        <v>1</v>
      </c>
      <c r="T14" s="34">
        <v>0</v>
      </c>
      <c r="U14" s="34">
        <v>0</v>
      </c>
    </row>
    <row r="15" spans="1:21" x14ac:dyDescent="0.2">
      <c r="A15" s="28" t="s">
        <v>39</v>
      </c>
      <c r="B15" s="28" t="s">
        <v>40</v>
      </c>
      <c r="C15" s="28" t="s">
        <v>41</v>
      </c>
      <c r="D15" s="28" t="s">
        <v>93</v>
      </c>
      <c r="E15" s="28" t="s">
        <v>94</v>
      </c>
      <c r="F15" s="28" t="s">
        <v>89</v>
      </c>
      <c r="G15" s="28" t="s">
        <v>47</v>
      </c>
      <c r="H15" s="28" t="s">
        <v>28</v>
      </c>
      <c r="I15" s="28" t="s">
        <v>39</v>
      </c>
      <c r="J15" s="28" t="s">
        <v>40</v>
      </c>
      <c r="K15" s="37">
        <v>0.5</v>
      </c>
      <c r="L15" s="28" t="s">
        <v>45</v>
      </c>
      <c r="M15" s="28">
        <v>2018</v>
      </c>
      <c r="N15" s="28" t="s">
        <v>30</v>
      </c>
      <c r="O15" s="35" t="s">
        <v>30</v>
      </c>
      <c r="P15" s="28" t="s">
        <v>30</v>
      </c>
      <c r="Q15" s="35" t="s">
        <v>30</v>
      </c>
      <c r="R15" s="36">
        <v>100</v>
      </c>
      <c r="S15" s="34">
        <v>0.5</v>
      </c>
      <c r="T15" s="34">
        <v>0</v>
      </c>
      <c r="U15" s="34">
        <v>0</v>
      </c>
    </row>
    <row r="16" spans="1:21" x14ac:dyDescent="0.2">
      <c r="A16" s="28" t="s">
        <v>39</v>
      </c>
      <c r="B16" s="28" t="s">
        <v>40</v>
      </c>
      <c r="C16" s="28" t="s">
        <v>41</v>
      </c>
      <c r="D16" s="28" t="s">
        <v>93</v>
      </c>
      <c r="E16" s="28" t="s">
        <v>94</v>
      </c>
      <c r="F16" s="28" t="s">
        <v>89</v>
      </c>
      <c r="G16" s="28" t="s">
        <v>53</v>
      </c>
      <c r="H16" s="28" t="s">
        <v>28</v>
      </c>
      <c r="I16" s="28" t="s">
        <v>39</v>
      </c>
      <c r="J16" s="28" t="s">
        <v>40</v>
      </c>
      <c r="K16" s="37">
        <v>0.5</v>
      </c>
      <c r="L16" s="28" t="s">
        <v>45</v>
      </c>
      <c r="M16" s="28">
        <v>2018</v>
      </c>
      <c r="N16" s="28" t="s">
        <v>31</v>
      </c>
      <c r="O16" s="35" t="s">
        <v>37</v>
      </c>
      <c r="P16" s="28" t="s">
        <v>30</v>
      </c>
      <c r="Q16" s="35" t="s">
        <v>30</v>
      </c>
      <c r="R16" s="36">
        <v>80</v>
      </c>
      <c r="S16" s="34">
        <v>0.4</v>
      </c>
      <c r="T16" s="34">
        <v>0.1</v>
      </c>
      <c r="U16" s="34">
        <v>0</v>
      </c>
    </row>
    <row r="17" spans="1:21" x14ac:dyDescent="0.2">
      <c r="A17" s="28" t="s">
        <v>39</v>
      </c>
      <c r="B17" s="28" t="s">
        <v>40</v>
      </c>
      <c r="C17" s="28" t="s">
        <v>41</v>
      </c>
      <c r="D17" s="28" t="s">
        <v>77</v>
      </c>
      <c r="E17" s="28" t="s">
        <v>78</v>
      </c>
      <c r="F17" s="28" t="s">
        <v>76</v>
      </c>
      <c r="G17" s="28" t="s">
        <v>52</v>
      </c>
      <c r="H17" s="28" t="s">
        <v>32</v>
      </c>
      <c r="I17" s="28" t="s">
        <v>39</v>
      </c>
      <c r="J17" s="28" t="s">
        <v>40</v>
      </c>
      <c r="K17" s="37">
        <v>1</v>
      </c>
      <c r="L17" s="28" t="s">
        <v>45</v>
      </c>
      <c r="M17" s="28">
        <v>2018</v>
      </c>
      <c r="N17" s="28" t="s">
        <v>31</v>
      </c>
      <c r="O17" s="35" t="s">
        <v>36</v>
      </c>
      <c r="P17" s="28" t="s">
        <v>30</v>
      </c>
      <c r="Q17" s="35" t="s">
        <v>30</v>
      </c>
      <c r="R17" s="36">
        <v>70</v>
      </c>
      <c r="S17" s="34">
        <v>0.7</v>
      </c>
      <c r="T17" s="34">
        <v>0.3</v>
      </c>
      <c r="U17" s="34">
        <v>0</v>
      </c>
    </row>
    <row r="18" spans="1:21" x14ac:dyDescent="0.2">
      <c r="A18" s="28" t="s">
        <v>39</v>
      </c>
      <c r="B18" s="28" t="s">
        <v>40</v>
      </c>
      <c r="C18" s="28" t="s">
        <v>41</v>
      </c>
      <c r="D18" s="28" t="s">
        <v>74</v>
      </c>
      <c r="E18" s="28" t="s">
        <v>75</v>
      </c>
      <c r="F18" s="28" t="s">
        <v>76</v>
      </c>
      <c r="G18" s="28" t="s">
        <v>52</v>
      </c>
      <c r="H18" s="28" t="s">
        <v>32</v>
      </c>
      <c r="I18" s="28" t="s">
        <v>39</v>
      </c>
      <c r="J18" s="28" t="s">
        <v>40</v>
      </c>
      <c r="K18" s="37">
        <v>1</v>
      </c>
      <c r="L18" s="28" t="s">
        <v>45</v>
      </c>
      <c r="M18" s="28">
        <v>2018</v>
      </c>
      <c r="N18" s="28" t="s">
        <v>31</v>
      </c>
      <c r="O18" s="35" t="s">
        <v>36</v>
      </c>
      <c r="P18" s="28" t="s">
        <v>30</v>
      </c>
      <c r="Q18" s="35" t="s">
        <v>30</v>
      </c>
      <c r="R18" s="36">
        <v>70</v>
      </c>
      <c r="S18" s="34">
        <v>0.7</v>
      </c>
      <c r="T18" s="34">
        <v>0.3</v>
      </c>
      <c r="U18" s="34">
        <v>0</v>
      </c>
    </row>
    <row r="19" spans="1:21" x14ac:dyDescent="0.2">
      <c r="A19" s="28" t="s">
        <v>39</v>
      </c>
      <c r="B19" s="28" t="s">
        <v>40</v>
      </c>
      <c r="C19" s="28" t="s">
        <v>41</v>
      </c>
      <c r="D19" s="28" t="s">
        <v>87</v>
      </c>
      <c r="E19" s="28" t="s">
        <v>88</v>
      </c>
      <c r="F19" s="28" t="s">
        <v>89</v>
      </c>
      <c r="G19" s="28" t="s">
        <v>33</v>
      </c>
      <c r="H19" s="28" t="s">
        <v>32</v>
      </c>
      <c r="I19" s="28" t="s">
        <v>39</v>
      </c>
      <c r="J19" s="28" t="s">
        <v>40</v>
      </c>
      <c r="K19" s="37">
        <v>1</v>
      </c>
      <c r="L19" s="28" t="s">
        <v>45</v>
      </c>
      <c r="M19" s="28">
        <v>2018</v>
      </c>
      <c r="N19" s="28" t="s">
        <v>30</v>
      </c>
      <c r="O19" s="35" t="s">
        <v>30</v>
      </c>
      <c r="P19" s="28" t="s">
        <v>30</v>
      </c>
      <c r="Q19" s="35" t="s">
        <v>30</v>
      </c>
      <c r="R19" s="36">
        <v>100</v>
      </c>
      <c r="S19" s="34">
        <v>1</v>
      </c>
      <c r="T19" s="34">
        <v>0</v>
      </c>
      <c r="U19" s="34">
        <v>0</v>
      </c>
    </row>
    <row r="20" spans="1:21" x14ac:dyDescent="0.2">
      <c r="A20" s="28" t="s">
        <v>39</v>
      </c>
      <c r="B20" s="28" t="s">
        <v>40</v>
      </c>
      <c r="C20" s="28" t="s">
        <v>41</v>
      </c>
      <c r="D20" s="28" t="s">
        <v>82</v>
      </c>
      <c r="E20" s="28" t="s">
        <v>83</v>
      </c>
      <c r="F20" s="28" t="s">
        <v>84</v>
      </c>
      <c r="G20" s="28" t="s">
        <v>52</v>
      </c>
      <c r="H20" s="28" t="s">
        <v>28</v>
      </c>
      <c r="I20" s="28" t="s">
        <v>39</v>
      </c>
      <c r="J20" s="28" t="s">
        <v>40</v>
      </c>
      <c r="K20" s="37">
        <v>0.5</v>
      </c>
      <c r="L20" s="28" t="s">
        <v>45</v>
      </c>
      <c r="M20" s="28">
        <v>2018</v>
      </c>
      <c r="N20" s="28" t="s">
        <v>31</v>
      </c>
      <c r="O20" s="35" t="s">
        <v>36</v>
      </c>
      <c r="P20" s="28" t="s">
        <v>30</v>
      </c>
      <c r="Q20" s="35" t="s">
        <v>30</v>
      </c>
      <c r="R20" s="36">
        <v>70</v>
      </c>
      <c r="S20" s="34">
        <v>0.35</v>
      </c>
      <c r="T20" s="34">
        <v>0.15</v>
      </c>
      <c r="U20" s="34">
        <v>0</v>
      </c>
    </row>
    <row r="21" spans="1:21" x14ac:dyDescent="0.2">
      <c r="A21" s="28" t="s">
        <v>39</v>
      </c>
      <c r="B21" s="28" t="s">
        <v>40</v>
      </c>
      <c r="C21" s="28" t="s">
        <v>41</v>
      </c>
      <c r="D21" s="28" t="s">
        <v>82</v>
      </c>
      <c r="E21" s="28" t="s">
        <v>83</v>
      </c>
      <c r="F21" s="28" t="s">
        <v>84</v>
      </c>
      <c r="G21" s="28" t="s">
        <v>33</v>
      </c>
      <c r="H21" s="28" t="s">
        <v>28</v>
      </c>
      <c r="I21" s="28" t="s">
        <v>39</v>
      </c>
      <c r="J21" s="28" t="s">
        <v>40</v>
      </c>
      <c r="K21" s="37">
        <v>0.5</v>
      </c>
      <c r="L21" s="28" t="s">
        <v>45</v>
      </c>
      <c r="M21" s="28">
        <v>2018</v>
      </c>
      <c r="N21" s="28" t="s">
        <v>30</v>
      </c>
      <c r="O21" s="35" t="s">
        <v>30</v>
      </c>
      <c r="P21" s="28" t="s">
        <v>30</v>
      </c>
      <c r="Q21" s="35" t="s">
        <v>30</v>
      </c>
      <c r="R21" s="36">
        <v>100</v>
      </c>
      <c r="S21" s="34">
        <v>0.5</v>
      </c>
      <c r="T21" s="34">
        <v>0</v>
      </c>
      <c r="U21" s="34">
        <v>0</v>
      </c>
    </row>
    <row r="22" spans="1:21" x14ac:dyDescent="0.2">
      <c r="A22" s="28" t="s">
        <v>39</v>
      </c>
      <c r="B22" s="28" t="s">
        <v>40</v>
      </c>
      <c r="C22" s="28" t="s">
        <v>41</v>
      </c>
      <c r="D22" s="28" t="s">
        <v>79</v>
      </c>
      <c r="E22" s="28" t="s">
        <v>80</v>
      </c>
      <c r="F22" s="28" t="s">
        <v>81</v>
      </c>
      <c r="G22" s="28" t="s">
        <v>52</v>
      </c>
      <c r="H22" s="28" t="s">
        <v>28</v>
      </c>
      <c r="I22" s="28" t="s">
        <v>39</v>
      </c>
      <c r="J22" s="28" t="s">
        <v>40</v>
      </c>
      <c r="K22" s="37">
        <v>0.5</v>
      </c>
      <c r="L22" s="28" t="s">
        <v>45</v>
      </c>
      <c r="M22" s="28">
        <v>2018</v>
      </c>
      <c r="N22" s="28" t="s">
        <v>31</v>
      </c>
      <c r="O22" s="35" t="s">
        <v>36</v>
      </c>
      <c r="P22" s="28" t="s">
        <v>30</v>
      </c>
      <c r="Q22" s="35" t="s">
        <v>30</v>
      </c>
      <c r="R22" s="36">
        <v>70</v>
      </c>
      <c r="S22" s="34">
        <v>0.35</v>
      </c>
      <c r="T22" s="34">
        <v>0.15</v>
      </c>
      <c r="U22" s="34">
        <v>0</v>
      </c>
    </row>
    <row r="23" spans="1:21" ht="10.8" thickBot="1" x14ac:dyDescent="0.25">
      <c r="A23" s="28" t="s">
        <v>39</v>
      </c>
      <c r="B23" s="28" t="s">
        <v>40</v>
      </c>
      <c r="C23" s="28" t="s">
        <v>41</v>
      </c>
      <c r="D23" s="28" t="s">
        <v>79</v>
      </c>
      <c r="E23" s="28" t="s">
        <v>80</v>
      </c>
      <c r="F23" s="28" t="s">
        <v>81</v>
      </c>
      <c r="G23" s="28" t="s">
        <v>33</v>
      </c>
      <c r="H23" s="28" t="s">
        <v>28</v>
      </c>
      <c r="I23" s="28" t="s">
        <v>39</v>
      </c>
      <c r="J23" s="28" t="s">
        <v>40</v>
      </c>
      <c r="K23" s="37">
        <v>0.5</v>
      </c>
      <c r="L23" s="28" t="s">
        <v>45</v>
      </c>
      <c r="M23" s="28">
        <v>2018</v>
      </c>
      <c r="N23" s="28" t="s">
        <v>30</v>
      </c>
      <c r="O23" s="35" t="s">
        <v>30</v>
      </c>
      <c r="P23" s="28" t="s">
        <v>30</v>
      </c>
      <c r="Q23" s="35" t="s">
        <v>30</v>
      </c>
      <c r="R23" s="36">
        <v>100</v>
      </c>
      <c r="S23" s="34">
        <v>0.5</v>
      </c>
      <c r="T23" s="34">
        <v>0</v>
      </c>
      <c r="U23" s="34">
        <v>0</v>
      </c>
    </row>
    <row r="24" spans="1:21" ht="10.8" thickBot="1" x14ac:dyDescent="0.25">
      <c r="A24" s="30" t="s">
        <v>39</v>
      </c>
      <c r="B24" s="30" t="s">
        <v>40</v>
      </c>
      <c r="C24" s="30" t="s">
        <v>41</v>
      </c>
      <c r="D24" s="30" t="s">
        <v>144</v>
      </c>
      <c r="E24" s="30" t="s">
        <v>145</v>
      </c>
      <c r="F24" s="30" t="s">
        <v>146</v>
      </c>
      <c r="G24" s="31" t="s">
        <v>48</v>
      </c>
      <c r="H24" s="32" t="s">
        <v>28</v>
      </c>
      <c r="I24" s="32" t="s">
        <v>39</v>
      </c>
      <c r="J24" s="33" t="s">
        <v>40</v>
      </c>
      <c r="K24" s="38">
        <v>0.33333333333333331</v>
      </c>
      <c r="L24" s="38" t="s">
        <v>45</v>
      </c>
      <c r="M24" s="28">
        <v>2020</v>
      </c>
      <c r="N24" s="28" t="s">
        <v>30</v>
      </c>
      <c r="O24" s="35" t="s">
        <v>30</v>
      </c>
      <c r="P24" s="28" t="s">
        <v>30</v>
      </c>
      <c r="Q24" s="35" t="s">
        <v>30</v>
      </c>
      <c r="R24" s="28">
        <v>100</v>
      </c>
      <c r="S24" s="28">
        <v>0.33333333333333326</v>
      </c>
      <c r="T24" s="28">
        <v>0</v>
      </c>
      <c r="U24" s="28">
        <v>0</v>
      </c>
    </row>
    <row r="25" spans="1:21" ht="10.8" thickBot="1" x14ac:dyDescent="0.25">
      <c r="A25" s="30" t="s">
        <v>39</v>
      </c>
      <c r="B25" s="30" t="s">
        <v>40</v>
      </c>
      <c r="C25" s="30" t="s">
        <v>41</v>
      </c>
      <c r="D25" s="30" t="s">
        <v>144</v>
      </c>
      <c r="E25" s="30" t="s">
        <v>145</v>
      </c>
      <c r="F25" s="30" t="s">
        <v>146</v>
      </c>
      <c r="G25" s="31" t="s">
        <v>50</v>
      </c>
      <c r="H25" s="32" t="s">
        <v>28</v>
      </c>
      <c r="I25" s="32" t="s">
        <v>39</v>
      </c>
      <c r="J25" s="33" t="s">
        <v>40</v>
      </c>
      <c r="K25" s="38">
        <v>0.33333333333333331</v>
      </c>
      <c r="L25" s="38" t="s">
        <v>45</v>
      </c>
      <c r="M25" s="28">
        <v>2020</v>
      </c>
      <c r="N25" s="28" t="s">
        <v>31</v>
      </c>
      <c r="O25" s="35" t="s">
        <v>51</v>
      </c>
      <c r="P25" s="28" t="s">
        <v>30</v>
      </c>
      <c r="Q25" s="35" t="s">
        <v>30</v>
      </c>
      <c r="R25" s="28">
        <v>30</v>
      </c>
      <c r="S25" s="28">
        <v>0.1</v>
      </c>
      <c r="T25" s="28">
        <v>0.23333333333333331</v>
      </c>
      <c r="U25" s="28">
        <v>0</v>
      </c>
    </row>
    <row r="26" spans="1:21" ht="10.8" thickBot="1" x14ac:dyDescent="0.25">
      <c r="A26" s="30" t="s">
        <v>39</v>
      </c>
      <c r="B26" s="30" t="s">
        <v>40</v>
      </c>
      <c r="C26" s="30" t="s">
        <v>41</v>
      </c>
      <c r="D26" s="30" t="s">
        <v>144</v>
      </c>
      <c r="E26" s="30" t="s">
        <v>145</v>
      </c>
      <c r="F26" s="30" t="s">
        <v>146</v>
      </c>
      <c r="G26" s="31" t="s">
        <v>33</v>
      </c>
      <c r="H26" s="32" t="s">
        <v>28</v>
      </c>
      <c r="I26" s="32" t="s">
        <v>39</v>
      </c>
      <c r="J26" s="33" t="s">
        <v>40</v>
      </c>
      <c r="K26" s="38">
        <v>0.33333333333333331</v>
      </c>
      <c r="L26" s="38" t="s">
        <v>45</v>
      </c>
      <c r="M26" s="28">
        <v>2020</v>
      </c>
      <c r="N26" s="28" t="s">
        <v>30</v>
      </c>
      <c r="O26" s="35" t="s">
        <v>30</v>
      </c>
      <c r="P26" s="28" t="s">
        <v>30</v>
      </c>
      <c r="Q26" s="35" t="s">
        <v>30</v>
      </c>
      <c r="R26" s="28">
        <v>100</v>
      </c>
      <c r="S26" s="28">
        <v>0.33333333333333326</v>
      </c>
      <c r="T26" s="28">
        <v>0</v>
      </c>
      <c r="U26" s="28">
        <v>0</v>
      </c>
    </row>
    <row r="27" spans="1:21" ht="10.8" thickBot="1" x14ac:dyDescent="0.25">
      <c r="A27" s="30" t="s">
        <v>147</v>
      </c>
      <c r="B27" s="30" t="s">
        <v>148</v>
      </c>
      <c r="C27" s="30" t="s">
        <v>149</v>
      </c>
      <c r="D27" s="30" t="s">
        <v>150</v>
      </c>
      <c r="E27" s="30" t="s">
        <v>151</v>
      </c>
      <c r="F27" s="30" t="s">
        <v>152</v>
      </c>
      <c r="G27" s="31" t="s">
        <v>153</v>
      </c>
      <c r="H27" s="32" t="s">
        <v>28</v>
      </c>
      <c r="I27" s="32" t="s">
        <v>39</v>
      </c>
      <c r="J27" s="33" t="s">
        <v>40</v>
      </c>
      <c r="K27" s="38">
        <v>0.5</v>
      </c>
      <c r="L27" s="38" t="s">
        <v>45</v>
      </c>
      <c r="M27" s="28">
        <v>2020</v>
      </c>
      <c r="N27" s="28" t="s">
        <v>31</v>
      </c>
      <c r="O27" s="35" t="s">
        <v>29</v>
      </c>
      <c r="P27" s="28" t="s">
        <v>30</v>
      </c>
      <c r="Q27" s="35" t="s">
        <v>30</v>
      </c>
      <c r="R27" s="28">
        <v>50</v>
      </c>
      <c r="S27" s="28">
        <v>0.25</v>
      </c>
      <c r="T27" s="28">
        <v>0.25</v>
      </c>
      <c r="U27" s="28">
        <v>0</v>
      </c>
    </row>
    <row r="28" spans="1:21" x14ac:dyDescent="0.2">
      <c r="A28" s="28" t="s">
        <v>39</v>
      </c>
      <c r="B28" s="28" t="s">
        <v>40</v>
      </c>
      <c r="C28" s="28" t="s">
        <v>41</v>
      </c>
      <c r="D28" s="28" t="s">
        <v>187</v>
      </c>
      <c r="E28" s="28" t="s">
        <v>188</v>
      </c>
      <c r="F28" s="28" t="s">
        <v>189</v>
      </c>
      <c r="G28" s="28" t="s">
        <v>190</v>
      </c>
      <c r="H28" s="28" t="s">
        <v>32</v>
      </c>
      <c r="I28" s="28" t="s">
        <v>39</v>
      </c>
      <c r="J28" s="28" t="s">
        <v>40</v>
      </c>
      <c r="K28" s="38">
        <v>1</v>
      </c>
      <c r="L28" s="38" t="s">
        <v>45</v>
      </c>
      <c r="M28" s="28">
        <v>2021</v>
      </c>
      <c r="N28" s="28" t="s">
        <v>31</v>
      </c>
      <c r="O28" s="35" t="s">
        <v>29</v>
      </c>
      <c r="P28" s="28" t="s">
        <v>30</v>
      </c>
      <c r="Q28" s="35" t="s">
        <v>30</v>
      </c>
      <c r="R28" s="28">
        <v>50</v>
      </c>
      <c r="S28" s="28">
        <v>0.5</v>
      </c>
      <c r="T28" s="28">
        <v>0.5</v>
      </c>
      <c r="U28" s="28">
        <v>0</v>
      </c>
    </row>
    <row r="29" spans="1:21" x14ac:dyDescent="0.2">
      <c r="A29" s="28" t="s">
        <v>39</v>
      </c>
      <c r="B29" s="28" t="s">
        <v>40</v>
      </c>
      <c r="C29" s="28" t="s">
        <v>41</v>
      </c>
      <c r="D29" s="28" t="s">
        <v>191</v>
      </c>
      <c r="E29" s="28" t="s">
        <v>192</v>
      </c>
      <c r="F29" s="28" t="s">
        <v>193</v>
      </c>
      <c r="G29" s="28" t="s">
        <v>194</v>
      </c>
      <c r="H29" s="28" t="s">
        <v>28</v>
      </c>
      <c r="I29" s="28" t="s">
        <v>39</v>
      </c>
      <c r="J29" s="28" t="s">
        <v>40</v>
      </c>
      <c r="K29" s="38">
        <v>0.5</v>
      </c>
      <c r="L29" s="38" t="s">
        <v>45</v>
      </c>
      <c r="M29" s="28">
        <v>2021</v>
      </c>
      <c r="N29" s="28" t="s">
        <v>31</v>
      </c>
      <c r="O29" s="35" t="s">
        <v>29</v>
      </c>
      <c r="P29" s="28" t="s">
        <v>30</v>
      </c>
      <c r="Q29" s="35" t="s">
        <v>30</v>
      </c>
      <c r="R29" s="28">
        <v>50</v>
      </c>
      <c r="S29" s="28">
        <v>0.25</v>
      </c>
      <c r="T29" s="28">
        <v>0.25</v>
      </c>
      <c r="U29" s="28">
        <v>0</v>
      </c>
    </row>
    <row r="30" spans="1:21" x14ac:dyDescent="0.2">
      <c r="A30" s="28" t="s">
        <v>39</v>
      </c>
      <c r="B30" s="28" t="s">
        <v>40</v>
      </c>
      <c r="C30" s="28" t="s">
        <v>41</v>
      </c>
      <c r="D30" s="28" t="s">
        <v>191</v>
      </c>
      <c r="E30" s="28" t="s">
        <v>192</v>
      </c>
      <c r="F30" s="28" t="s">
        <v>193</v>
      </c>
      <c r="G30" s="28" t="s">
        <v>195</v>
      </c>
      <c r="H30" s="28" t="s">
        <v>28</v>
      </c>
      <c r="I30" s="28" t="s">
        <v>39</v>
      </c>
      <c r="J30" s="28" t="s">
        <v>40</v>
      </c>
      <c r="K30" s="38">
        <v>0.5</v>
      </c>
      <c r="L30" s="38" t="s">
        <v>45</v>
      </c>
      <c r="M30" s="28">
        <v>2021</v>
      </c>
      <c r="N30" s="28" t="s">
        <v>30</v>
      </c>
      <c r="O30" s="35" t="s">
        <v>30</v>
      </c>
      <c r="P30" s="28" t="s">
        <v>30</v>
      </c>
      <c r="Q30" s="35" t="s">
        <v>30</v>
      </c>
      <c r="R30" s="28">
        <v>100</v>
      </c>
      <c r="S30" s="28">
        <v>0.5</v>
      </c>
      <c r="T30" s="28">
        <v>0</v>
      </c>
      <c r="U30" s="28">
        <v>0</v>
      </c>
    </row>
    <row r="31" spans="1:2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4"/>
      <c r="Q31" s="15"/>
      <c r="R31" s="14"/>
      <c r="S31" s="16">
        <f>SUM(S2:S30)</f>
        <v>14.266666666666666</v>
      </c>
      <c r="T31" s="14"/>
      <c r="U31" s="14"/>
    </row>
  </sheetData>
  <autoFilter ref="A1:U30" xr:uid="{00000000-0009-0000-0000-000000000000}">
    <sortState xmlns:xlrd2="http://schemas.microsoft.com/office/spreadsheetml/2017/richdata2" ref="A2:U1897">
      <sortCondition ref="L2:L1897"/>
      <sortCondition ref="M2:M1897"/>
      <sortCondition ref="D2:D1897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zoomScaleNormal="100" workbookViewId="0">
      <selection activeCell="A18" sqref="A18:S18"/>
    </sheetView>
  </sheetViews>
  <sheetFormatPr baseColWidth="10" defaultColWidth="11.44140625" defaultRowHeight="13.2" x14ac:dyDescent="0.25"/>
  <cols>
    <col min="1" max="1" width="10.88671875" style="21" bestFit="1" customWidth="1"/>
    <col min="2" max="2" width="35.6640625" style="21" bestFit="1" customWidth="1"/>
    <col min="3" max="3" width="17" style="21" bestFit="1" customWidth="1"/>
    <col min="4" max="9" width="3.33203125" style="21" bestFit="1" customWidth="1"/>
    <col min="10" max="10" width="13.109375" style="21" bestFit="1" customWidth="1"/>
    <col min="11" max="11" width="5.33203125" style="21" bestFit="1" customWidth="1"/>
    <col min="12" max="13" width="5.6640625" style="21" bestFit="1" customWidth="1"/>
    <col min="14" max="14" width="5.6640625" style="22" bestFit="1" customWidth="1"/>
    <col min="15" max="15" width="5.6640625" style="21" bestFit="1" customWidth="1"/>
    <col min="16" max="16" width="5.6640625" style="22" bestFit="1" customWidth="1"/>
    <col min="17" max="19" width="5.6640625" style="21" bestFit="1" customWidth="1"/>
    <col min="20" max="16384" width="11.44140625" style="21"/>
  </cols>
  <sheetData>
    <row r="1" spans="1:19" s="20" customFormat="1" ht="60" customHeight="1" x14ac:dyDescent="0.25">
      <c r="A1" s="23" t="s">
        <v>95</v>
      </c>
      <c r="B1" s="23" t="s">
        <v>96</v>
      </c>
      <c r="C1" s="23" t="s">
        <v>97</v>
      </c>
      <c r="D1" s="24">
        <v>2017</v>
      </c>
      <c r="E1" s="24">
        <v>2018</v>
      </c>
      <c r="F1" s="24">
        <v>2019</v>
      </c>
      <c r="G1" s="24">
        <v>2020</v>
      </c>
      <c r="H1" s="24">
        <v>2021</v>
      </c>
      <c r="I1" s="24">
        <v>2022</v>
      </c>
      <c r="J1" s="23" t="s">
        <v>98</v>
      </c>
      <c r="K1" s="25" t="s">
        <v>141</v>
      </c>
      <c r="L1" s="18" t="s">
        <v>99</v>
      </c>
      <c r="M1" s="18" t="s">
        <v>100</v>
      </c>
      <c r="N1" s="18" t="s">
        <v>101</v>
      </c>
      <c r="O1" s="18" t="s">
        <v>102</v>
      </c>
      <c r="P1" s="19" t="s">
        <v>103</v>
      </c>
      <c r="Q1" s="19" t="s">
        <v>104</v>
      </c>
      <c r="R1" s="19" t="s">
        <v>105</v>
      </c>
      <c r="S1" s="19" t="s">
        <v>106</v>
      </c>
    </row>
    <row r="2" spans="1:19" ht="14.4" x14ac:dyDescent="0.3">
      <c r="A2" s="26" t="s">
        <v>168</v>
      </c>
      <c r="B2" s="26" t="s">
        <v>169</v>
      </c>
      <c r="C2" s="26" t="s">
        <v>107</v>
      </c>
      <c r="D2" s="26"/>
      <c r="E2" s="26"/>
      <c r="F2" s="26"/>
      <c r="G2" s="26"/>
      <c r="H2" s="26"/>
      <c r="I2" s="26">
        <v>3</v>
      </c>
      <c r="J2" s="26">
        <v>3</v>
      </c>
      <c r="K2" s="26" t="s">
        <v>45</v>
      </c>
      <c r="L2" s="27" t="s">
        <v>31</v>
      </c>
      <c r="M2" s="27" t="s">
        <v>29</v>
      </c>
      <c r="N2" s="27" t="s">
        <v>30</v>
      </c>
      <c r="O2" s="27" t="s">
        <v>30</v>
      </c>
      <c r="P2" s="27">
        <v>50</v>
      </c>
      <c r="Q2" s="27">
        <v>1.5</v>
      </c>
      <c r="R2" s="27">
        <v>0</v>
      </c>
      <c r="S2" s="27">
        <v>1.5</v>
      </c>
    </row>
    <row r="3" spans="1:19" ht="14.4" x14ac:dyDescent="0.3">
      <c r="A3" s="26" t="s">
        <v>119</v>
      </c>
      <c r="B3" s="26" t="s">
        <v>120</v>
      </c>
      <c r="C3" s="26" t="s">
        <v>107</v>
      </c>
      <c r="D3" s="26"/>
      <c r="E3" s="26"/>
      <c r="F3" s="26">
        <v>2</v>
      </c>
      <c r="G3" s="26"/>
      <c r="H3" s="26"/>
      <c r="I3" s="26"/>
      <c r="J3" s="26">
        <v>2</v>
      </c>
      <c r="K3" s="26" t="s">
        <v>45</v>
      </c>
      <c r="L3" s="27" t="s">
        <v>31</v>
      </c>
      <c r="M3" s="27" t="s">
        <v>36</v>
      </c>
      <c r="N3" s="27" t="s">
        <v>30</v>
      </c>
      <c r="O3" s="27" t="s">
        <v>30</v>
      </c>
      <c r="P3" s="27">
        <v>70</v>
      </c>
      <c r="Q3" s="27">
        <v>0.6</v>
      </c>
      <c r="R3" s="27">
        <v>0</v>
      </c>
      <c r="S3" s="27">
        <v>1.4</v>
      </c>
    </row>
    <row r="4" spans="1:19" ht="14.4" x14ac:dyDescent="0.3">
      <c r="A4" s="26" t="s">
        <v>113</v>
      </c>
      <c r="B4" s="26" t="s">
        <v>114</v>
      </c>
      <c r="C4" s="26">
        <v>6</v>
      </c>
      <c r="D4" s="26"/>
      <c r="E4" s="26"/>
      <c r="F4" s="26">
        <v>1</v>
      </c>
      <c r="G4" s="26"/>
      <c r="H4" s="26"/>
      <c r="I4" s="26"/>
      <c r="J4" s="26">
        <v>1</v>
      </c>
      <c r="K4" s="26" t="s">
        <v>45</v>
      </c>
      <c r="L4" s="27" t="s">
        <v>31</v>
      </c>
      <c r="M4" s="27" t="s">
        <v>51</v>
      </c>
      <c r="N4" s="27" t="s">
        <v>30</v>
      </c>
      <c r="O4" s="27" t="s">
        <v>30</v>
      </c>
      <c r="P4" s="27">
        <v>30</v>
      </c>
      <c r="Q4" s="27">
        <v>0.7</v>
      </c>
      <c r="R4" s="27">
        <v>0</v>
      </c>
      <c r="S4" s="27">
        <v>0.3</v>
      </c>
    </row>
    <row r="5" spans="1:19" ht="14.4" x14ac:dyDescent="0.3">
      <c r="A5" s="26" t="s">
        <v>134</v>
      </c>
      <c r="B5" s="26" t="s">
        <v>135</v>
      </c>
      <c r="C5" s="26" t="s">
        <v>108</v>
      </c>
      <c r="D5" s="26"/>
      <c r="E5" s="26"/>
      <c r="F5" s="26"/>
      <c r="G5" s="26"/>
      <c r="H5" s="26"/>
      <c r="I5" s="26">
        <v>2</v>
      </c>
      <c r="J5" s="26">
        <v>2</v>
      </c>
      <c r="K5" s="26" t="s">
        <v>45</v>
      </c>
      <c r="L5" s="27">
        <v>0</v>
      </c>
      <c r="M5" s="27">
        <v>0</v>
      </c>
      <c r="N5" s="27" t="s">
        <v>30</v>
      </c>
      <c r="O5" s="27" t="s">
        <v>30</v>
      </c>
      <c r="P5" s="27">
        <v>100</v>
      </c>
      <c r="Q5" s="27">
        <v>0</v>
      </c>
      <c r="R5" s="27">
        <v>0</v>
      </c>
      <c r="S5" s="27">
        <v>2</v>
      </c>
    </row>
    <row r="6" spans="1:19" ht="14.4" x14ac:dyDescent="0.3">
      <c r="A6" s="26" t="s">
        <v>111</v>
      </c>
      <c r="B6" s="26" t="s">
        <v>112</v>
      </c>
      <c r="C6" s="26" t="s">
        <v>107</v>
      </c>
      <c r="D6" s="26"/>
      <c r="E6" s="26"/>
      <c r="F6" s="26">
        <v>1</v>
      </c>
      <c r="G6" s="26"/>
      <c r="H6" s="26">
        <v>1</v>
      </c>
      <c r="I6" s="26"/>
      <c r="J6" s="26">
        <v>2</v>
      </c>
      <c r="K6" s="26" t="s">
        <v>45</v>
      </c>
      <c r="L6" s="27" t="s">
        <v>31</v>
      </c>
      <c r="M6" s="27" t="s">
        <v>36</v>
      </c>
      <c r="N6" s="27" t="s">
        <v>30</v>
      </c>
      <c r="O6" s="27" t="s">
        <v>30</v>
      </c>
      <c r="P6" s="27">
        <v>70</v>
      </c>
      <c r="Q6" s="27">
        <v>0.6</v>
      </c>
      <c r="R6" s="27">
        <v>0</v>
      </c>
      <c r="S6" s="27">
        <v>1.4</v>
      </c>
    </row>
    <row r="7" spans="1:19" ht="14.4" x14ac:dyDescent="0.3">
      <c r="A7" s="26" t="s">
        <v>115</v>
      </c>
      <c r="B7" s="26" t="s">
        <v>116</v>
      </c>
      <c r="C7" s="26" t="s">
        <v>107</v>
      </c>
      <c r="D7" s="26"/>
      <c r="E7" s="26">
        <v>1</v>
      </c>
      <c r="F7" s="26"/>
      <c r="G7" s="26"/>
      <c r="H7" s="26"/>
      <c r="I7" s="26"/>
      <c r="J7" s="26">
        <v>1</v>
      </c>
      <c r="K7" s="26" t="s">
        <v>45</v>
      </c>
      <c r="L7" s="27" t="s">
        <v>31</v>
      </c>
      <c r="M7" s="27" t="s">
        <v>37</v>
      </c>
      <c r="N7" s="27" t="s">
        <v>30</v>
      </c>
      <c r="O7" s="27" t="s">
        <v>30</v>
      </c>
      <c r="P7" s="27">
        <v>80</v>
      </c>
      <c r="Q7" s="27">
        <v>0.2</v>
      </c>
      <c r="R7" s="27">
        <v>0</v>
      </c>
      <c r="S7" s="27">
        <v>0.8</v>
      </c>
    </row>
    <row r="8" spans="1:19" ht="14.4" x14ac:dyDescent="0.3">
      <c r="A8" s="26" t="s">
        <v>117</v>
      </c>
      <c r="B8" s="26" t="s">
        <v>118</v>
      </c>
      <c r="C8" s="26">
        <v>6</v>
      </c>
      <c r="D8" s="26"/>
      <c r="E8" s="26"/>
      <c r="F8" s="26">
        <v>1</v>
      </c>
      <c r="G8" s="26"/>
      <c r="H8" s="26"/>
      <c r="I8" s="26">
        <v>1</v>
      </c>
      <c r="J8" s="26">
        <v>2</v>
      </c>
      <c r="K8" s="26" t="s">
        <v>45</v>
      </c>
      <c r="L8" s="27" t="s">
        <v>31</v>
      </c>
      <c r="M8" s="27" t="s">
        <v>29</v>
      </c>
      <c r="N8" s="27" t="s">
        <v>30</v>
      </c>
      <c r="O8" s="27" t="s">
        <v>30</v>
      </c>
      <c r="P8" s="27">
        <v>50</v>
      </c>
      <c r="Q8" s="27">
        <v>1</v>
      </c>
      <c r="R8" s="27">
        <v>0</v>
      </c>
      <c r="S8" s="27">
        <v>1</v>
      </c>
    </row>
    <row r="9" spans="1:19" ht="14.4" x14ac:dyDescent="0.3">
      <c r="A9" s="26" t="s">
        <v>170</v>
      </c>
      <c r="B9" s="26" t="s">
        <v>171</v>
      </c>
      <c r="C9" s="26" t="s">
        <v>108</v>
      </c>
      <c r="D9" s="26"/>
      <c r="E9" s="26"/>
      <c r="F9" s="26"/>
      <c r="G9" s="26"/>
      <c r="H9" s="26">
        <v>1</v>
      </c>
      <c r="I9" s="26"/>
      <c r="J9" s="26">
        <v>1</v>
      </c>
      <c r="K9" s="26" t="s">
        <v>45</v>
      </c>
      <c r="L9" s="27">
        <v>0</v>
      </c>
      <c r="M9" s="27">
        <v>0</v>
      </c>
      <c r="N9" s="27" t="s">
        <v>30</v>
      </c>
      <c r="O9" s="27" t="s">
        <v>30</v>
      </c>
      <c r="P9" s="27">
        <v>100</v>
      </c>
      <c r="Q9" s="27">
        <v>0</v>
      </c>
      <c r="R9" s="27">
        <v>0</v>
      </c>
      <c r="S9" s="27">
        <v>1</v>
      </c>
    </row>
    <row r="10" spans="1:19" ht="14.4" x14ac:dyDescent="0.3">
      <c r="A10" s="26" t="s">
        <v>166</v>
      </c>
      <c r="B10" s="26" t="s">
        <v>167</v>
      </c>
      <c r="C10" s="26" t="s">
        <v>108</v>
      </c>
      <c r="D10" s="26"/>
      <c r="E10" s="26"/>
      <c r="F10" s="26"/>
      <c r="G10" s="26"/>
      <c r="H10" s="26"/>
      <c r="I10" s="26">
        <v>2</v>
      </c>
      <c r="J10" s="26">
        <v>2</v>
      </c>
      <c r="K10" s="26" t="s">
        <v>45</v>
      </c>
      <c r="L10" s="27" t="s">
        <v>31</v>
      </c>
      <c r="M10" s="27" t="s">
        <v>29</v>
      </c>
      <c r="N10" s="27" t="s">
        <v>30</v>
      </c>
      <c r="O10" s="27" t="s">
        <v>30</v>
      </c>
      <c r="P10" s="27">
        <v>50</v>
      </c>
      <c r="Q10" s="27">
        <v>1</v>
      </c>
      <c r="R10" s="27">
        <v>0</v>
      </c>
      <c r="S10" s="27">
        <v>1</v>
      </c>
    </row>
    <row r="11" spans="1:19" ht="14.4" x14ac:dyDescent="0.3">
      <c r="A11" s="26" t="s">
        <v>196</v>
      </c>
      <c r="B11" s="26" t="s">
        <v>197</v>
      </c>
      <c r="C11" s="26" t="s">
        <v>108</v>
      </c>
      <c r="D11" s="26"/>
      <c r="E11" s="26"/>
      <c r="F11" s="26"/>
      <c r="G11" s="26"/>
      <c r="H11" s="26"/>
      <c r="I11" s="26">
        <v>2</v>
      </c>
      <c r="J11" s="26">
        <v>2</v>
      </c>
      <c r="K11" s="26" t="s">
        <v>45</v>
      </c>
      <c r="L11" s="27">
        <v>0</v>
      </c>
      <c r="M11" s="27">
        <v>0</v>
      </c>
      <c r="N11" s="27" t="s">
        <v>30</v>
      </c>
      <c r="O11" s="27" t="s">
        <v>30</v>
      </c>
      <c r="P11" s="27">
        <v>100</v>
      </c>
      <c r="Q11" s="27">
        <v>0</v>
      </c>
      <c r="R11" s="27">
        <v>0</v>
      </c>
      <c r="S11" s="27">
        <v>2</v>
      </c>
    </row>
    <row r="12" spans="1:19" ht="14.4" x14ac:dyDescent="0.3">
      <c r="A12" s="26" t="s">
        <v>136</v>
      </c>
      <c r="B12" s="26" t="s">
        <v>137</v>
      </c>
      <c r="C12" s="26" t="s">
        <v>108</v>
      </c>
      <c r="D12" s="26"/>
      <c r="E12" s="26"/>
      <c r="F12" s="26">
        <v>1</v>
      </c>
      <c r="G12" s="26"/>
      <c r="H12" s="26"/>
      <c r="I12" s="26"/>
      <c r="J12" s="26">
        <v>1</v>
      </c>
      <c r="K12" s="26" t="s">
        <v>45</v>
      </c>
      <c r="L12" s="27">
        <v>0</v>
      </c>
      <c r="M12" s="27">
        <v>0</v>
      </c>
      <c r="N12" s="27" t="s">
        <v>30</v>
      </c>
      <c r="O12" s="27" t="s">
        <v>30</v>
      </c>
      <c r="P12" s="27">
        <v>100</v>
      </c>
      <c r="Q12" s="27">
        <v>0</v>
      </c>
      <c r="R12" s="27">
        <v>0</v>
      </c>
      <c r="S12" s="27">
        <v>1</v>
      </c>
    </row>
    <row r="13" spans="1:19" ht="14.4" x14ac:dyDescent="0.3">
      <c r="A13" s="26" t="s">
        <v>198</v>
      </c>
      <c r="B13" s="26" t="s">
        <v>199</v>
      </c>
      <c r="C13" s="26" t="s">
        <v>108</v>
      </c>
      <c r="D13" s="26"/>
      <c r="E13" s="26"/>
      <c r="F13" s="26"/>
      <c r="G13" s="26"/>
      <c r="H13" s="26"/>
      <c r="I13" s="26">
        <v>1</v>
      </c>
      <c r="J13" s="26">
        <v>1</v>
      </c>
      <c r="K13" s="26" t="s">
        <v>45</v>
      </c>
      <c r="L13" s="27">
        <v>0</v>
      </c>
      <c r="M13" s="27">
        <v>0</v>
      </c>
      <c r="N13" s="27" t="s">
        <v>30</v>
      </c>
      <c r="O13" s="27" t="s">
        <v>30</v>
      </c>
      <c r="P13" s="27">
        <v>100</v>
      </c>
      <c r="Q13" s="27">
        <v>0</v>
      </c>
      <c r="R13" s="27">
        <v>0</v>
      </c>
      <c r="S13" s="27">
        <v>1</v>
      </c>
    </row>
    <row r="14" spans="1:19" ht="14.4" x14ac:dyDescent="0.3">
      <c r="A14" s="26" t="s">
        <v>142</v>
      </c>
      <c r="B14" s="26" t="s">
        <v>143</v>
      </c>
      <c r="C14" s="26" t="s">
        <v>108</v>
      </c>
      <c r="D14" s="26"/>
      <c r="E14" s="26"/>
      <c r="F14" s="26"/>
      <c r="G14" s="26"/>
      <c r="H14" s="26"/>
      <c r="I14" s="26">
        <v>2</v>
      </c>
      <c r="J14" s="26">
        <v>2</v>
      </c>
      <c r="K14" s="26" t="s">
        <v>45</v>
      </c>
      <c r="L14" s="27" t="s">
        <v>31</v>
      </c>
      <c r="M14" s="27" t="s">
        <v>29</v>
      </c>
      <c r="N14" s="27" t="s">
        <v>30</v>
      </c>
      <c r="O14" s="27" t="s">
        <v>30</v>
      </c>
      <c r="P14" s="27">
        <v>50</v>
      </c>
      <c r="Q14" s="27">
        <v>1</v>
      </c>
      <c r="R14" s="27">
        <v>0</v>
      </c>
      <c r="S14" s="27">
        <v>1</v>
      </c>
    </row>
    <row r="15" spans="1:19" ht="14.4" x14ac:dyDescent="0.3">
      <c r="A15" s="26" t="s">
        <v>109</v>
      </c>
      <c r="B15" s="26" t="s">
        <v>110</v>
      </c>
      <c r="C15" s="26" t="s">
        <v>107</v>
      </c>
      <c r="D15" s="26"/>
      <c r="E15" s="26"/>
      <c r="F15" s="26">
        <v>3</v>
      </c>
      <c r="G15" s="26"/>
      <c r="H15" s="26"/>
      <c r="I15" s="26"/>
      <c r="J15" s="26">
        <v>3</v>
      </c>
      <c r="K15" s="26" t="s">
        <v>45</v>
      </c>
      <c r="L15" s="27" t="s">
        <v>31</v>
      </c>
      <c r="M15" s="27" t="s">
        <v>29</v>
      </c>
      <c r="N15" s="27" t="s">
        <v>30</v>
      </c>
      <c r="O15" s="27" t="s">
        <v>30</v>
      </c>
      <c r="P15" s="27">
        <v>50</v>
      </c>
      <c r="Q15" s="27">
        <v>1.5</v>
      </c>
      <c r="R15" s="27">
        <v>0</v>
      </c>
      <c r="S15" s="27">
        <v>1.5</v>
      </c>
    </row>
    <row r="16" spans="1:19" ht="14.4" x14ac:dyDescent="0.3">
      <c r="A16" s="26" t="s">
        <v>138</v>
      </c>
      <c r="B16" s="26" t="s">
        <v>139</v>
      </c>
      <c r="C16" s="26" t="s">
        <v>108</v>
      </c>
      <c r="D16" s="26"/>
      <c r="E16" s="26"/>
      <c r="F16" s="26"/>
      <c r="G16" s="26"/>
      <c r="H16" s="26"/>
      <c r="I16" s="26">
        <v>2</v>
      </c>
      <c r="J16" s="26">
        <v>2</v>
      </c>
      <c r="K16" s="26" t="s">
        <v>45</v>
      </c>
      <c r="L16" s="27" t="s">
        <v>31</v>
      </c>
      <c r="M16" s="27" t="s">
        <v>29</v>
      </c>
      <c r="N16" s="27" t="s">
        <v>30</v>
      </c>
      <c r="O16" s="27" t="s">
        <v>30</v>
      </c>
      <c r="P16" s="27">
        <v>50</v>
      </c>
      <c r="Q16" s="27">
        <v>1</v>
      </c>
      <c r="R16" s="27">
        <v>0</v>
      </c>
      <c r="S16" s="27">
        <v>1</v>
      </c>
    </row>
    <row r="17" spans="1:19" ht="14.4" x14ac:dyDescent="0.3">
      <c r="A17" s="26" t="s">
        <v>200</v>
      </c>
      <c r="B17" s="26" t="s">
        <v>201</v>
      </c>
      <c r="C17" s="39" t="s">
        <v>108</v>
      </c>
      <c r="D17" s="26"/>
      <c r="E17" s="26"/>
      <c r="F17" s="26"/>
      <c r="G17" s="26">
        <v>1</v>
      </c>
      <c r="H17" s="26"/>
      <c r="I17" s="26"/>
      <c r="J17" s="26">
        <v>1</v>
      </c>
      <c r="K17" s="26" t="s">
        <v>45</v>
      </c>
      <c r="L17" s="27">
        <v>0</v>
      </c>
      <c r="M17" s="27">
        <v>0</v>
      </c>
      <c r="N17" s="27" t="s">
        <v>30</v>
      </c>
      <c r="O17" s="27" t="s">
        <v>30</v>
      </c>
      <c r="P17" s="27">
        <v>100</v>
      </c>
      <c r="Q17" s="27">
        <v>0</v>
      </c>
      <c r="R17" s="27">
        <v>0</v>
      </c>
      <c r="S17" s="27">
        <v>1</v>
      </c>
    </row>
    <row r="18" spans="1:19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  <c r="O18" s="40"/>
      <c r="P18" s="41"/>
      <c r="Q18" s="40"/>
      <c r="R18" s="40"/>
      <c r="S18" s="42">
        <f>SUM(S2:S17)</f>
        <v>18.899999999999999</v>
      </c>
    </row>
  </sheetData>
  <sortState xmlns:xlrd2="http://schemas.microsoft.com/office/spreadsheetml/2017/richdata2" ref="A2:S16">
    <sortCondition ref="B2"/>
  </sortState>
  <phoneticPr fontId="11" type="noConversion"/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zoomScaleNormal="100" workbookViewId="0">
      <selection activeCell="A25" sqref="A2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121</v>
      </c>
      <c r="B3" s="5">
        <v>247.93</v>
      </c>
    </row>
    <row r="4" spans="1:2" x14ac:dyDescent="0.2">
      <c r="A4" s="4" t="s">
        <v>122</v>
      </c>
      <c r="B4" s="5"/>
    </row>
    <row r="5" spans="1:2" x14ac:dyDescent="0.2">
      <c r="A5" s="4" t="s">
        <v>123</v>
      </c>
      <c r="B5" s="5">
        <v>6300</v>
      </c>
    </row>
    <row r="6" spans="1:2" x14ac:dyDescent="0.2">
      <c r="A6" s="4" t="s">
        <v>124</v>
      </c>
      <c r="B6" s="5">
        <v>6300</v>
      </c>
    </row>
    <row r="7" spans="1:2" x14ac:dyDescent="0.2">
      <c r="A7" s="4" t="s">
        <v>125</v>
      </c>
      <c r="B7" s="5"/>
    </row>
    <row r="8" spans="1:2" x14ac:dyDescent="0.2">
      <c r="A8" s="4" t="s">
        <v>140</v>
      </c>
      <c r="B8" s="5">
        <v>4782.3900000000003</v>
      </c>
    </row>
    <row r="9" spans="1:2" x14ac:dyDescent="0.2">
      <c r="A9" s="4" t="s">
        <v>126</v>
      </c>
      <c r="B9" s="5">
        <v>35708.449999999997</v>
      </c>
    </row>
    <row r="10" spans="1:2" x14ac:dyDescent="0.2">
      <c r="A10" s="4" t="s">
        <v>127</v>
      </c>
      <c r="B10" s="5">
        <v>5101.21</v>
      </c>
    </row>
    <row r="11" spans="1:2" x14ac:dyDescent="0.2">
      <c r="A11" s="4" t="s">
        <v>4</v>
      </c>
      <c r="B11" s="5"/>
    </row>
    <row r="12" spans="1:2" x14ac:dyDescent="0.2">
      <c r="A12" s="4" t="s">
        <v>128</v>
      </c>
      <c r="B12" s="5">
        <v>4000</v>
      </c>
    </row>
    <row r="13" spans="1:2" x14ac:dyDescent="0.2">
      <c r="A13" s="4" t="s">
        <v>5</v>
      </c>
      <c r="B13" s="5"/>
    </row>
    <row r="14" spans="1:2" x14ac:dyDescent="0.2">
      <c r="A14" s="4" t="s">
        <v>129</v>
      </c>
      <c r="B14" s="5">
        <v>20000</v>
      </c>
    </row>
    <row r="15" spans="1:2" x14ac:dyDescent="0.2">
      <c r="A15" s="4" t="s">
        <v>130</v>
      </c>
      <c r="B15" s="5">
        <v>148.41999999999999</v>
      </c>
    </row>
    <row r="16" spans="1:2" x14ac:dyDescent="0.2">
      <c r="A16" s="4" t="s">
        <v>131</v>
      </c>
      <c r="B16" s="5"/>
    </row>
    <row r="17" spans="1:2" x14ac:dyDescent="0.2">
      <c r="A17" s="4" t="s">
        <v>132</v>
      </c>
      <c r="B17" s="5">
        <v>48500</v>
      </c>
    </row>
    <row r="18" spans="1:2" x14ac:dyDescent="0.2">
      <c r="A18" s="4" t="s">
        <v>133</v>
      </c>
      <c r="B18" s="5">
        <v>19400</v>
      </c>
    </row>
    <row r="19" spans="1:2" x14ac:dyDescent="0.2">
      <c r="A19" s="6" t="s">
        <v>2</v>
      </c>
      <c r="B19" s="7">
        <f>SUM(B3:B18)</f>
        <v>150488.4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171E-772F-4C02-A1B9-F7F4861C5843}">
  <dimension ref="A1:B20"/>
  <sheetViews>
    <sheetView zoomScaleNormal="100" workbookViewId="0">
      <selection activeCell="B20" sqref="B2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121</v>
      </c>
      <c r="B3" s="5">
        <v>218.18</v>
      </c>
    </row>
    <row r="4" spans="1:2" x14ac:dyDescent="0.2">
      <c r="A4" s="4" t="s">
        <v>122</v>
      </c>
      <c r="B4" s="5"/>
    </row>
    <row r="5" spans="1:2" x14ac:dyDescent="0.2">
      <c r="A5" s="4" t="s">
        <v>154</v>
      </c>
      <c r="B5" s="5">
        <v>5588</v>
      </c>
    </row>
    <row r="6" spans="1:2" x14ac:dyDescent="0.2">
      <c r="A6" s="4" t="s">
        <v>155</v>
      </c>
      <c r="B6" s="5">
        <v>5588</v>
      </c>
    </row>
    <row r="7" spans="1:2" x14ac:dyDescent="0.2">
      <c r="A7" s="4" t="s">
        <v>156</v>
      </c>
      <c r="B7" s="5"/>
    </row>
    <row r="8" spans="1:2" x14ac:dyDescent="0.2">
      <c r="A8" s="4" t="s">
        <v>157</v>
      </c>
      <c r="B8" s="5">
        <v>1760</v>
      </c>
    </row>
    <row r="9" spans="1:2" x14ac:dyDescent="0.2">
      <c r="A9" s="4" t="s">
        <v>158</v>
      </c>
      <c r="B9" s="5"/>
    </row>
    <row r="10" spans="1:2" x14ac:dyDescent="0.2">
      <c r="A10" s="4" t="s">
        <v>159</v>
      </c>
      <c r="B10" s="5">
        <v>2640</v>
      </c>
    </row>
    <row r="11" spans="1:2" x14ac:dyDescent="0.2">
      <c r="A11" s="4" t="s">
        <v>125</v>
      </c>
      <c r="B11" s="5"/>
    </row>
    <row r="12" spans="1:2" x14ac:dyDescent="0.2">
      <c r="A12" s="4" t="s">
        <v>160</v>
      </c>
      <c r="B12" s="5">
        <v>35708.449999999997</v>
      </c>
    </row>
    <row r="13" spans="1:2" x14ac:dyDescent="0.2">
      <c r="A13" s="4" t="s">
        <v>161</v>
      </c>
      <c r="B13" s="5">
        <v>5101.21</v>
      </c>
    </row>
    <row r="14" spans="1:2" x14ac:dyDescent="0.2">
      <c r="A14" s="4" t="s">
        <v>4</v>
      </c>
      <c r="B14" s="5"/>
    </row>
    <row r="15" spans="1:2" x14ac:dyDescent="0.2">
      <c r="A15" s="4" t="s">
        <v>162</v>
      </c>
      <c r="B15" s="5">
        <v>3520</v>
      </c>
    </row>
    <row r="16" spans="1:2" x14ac:dyDescent="0.2">
      <c r="A16" s="4" t="s">
        <v>131</v>
      </c>
      <c r="B16" s="5"/>
    </row>
    <row r="17" spans="1:2" x14ac:dyDescent="0.2">
      <c r="A17" s="4" t="s">
        <v>163</v>
      </c>
      <c r="B17" s="5">
        <v>7275</v>
      </c>
    </row>
    <row r="18" spans="1:2" x14ac:dyDescent="0.2">
      <c r="A18" s="4" t="s">
        <v>164</v>
      </c>
      <c r="B18" s="5"/>
    </row>
    <row r="19" spans="1:2" x14ac:dyDescent="0.2">
      <c r="A19" s="4" t="s">
        <v>165</v>
      </c>
      <c r="B19" s="5">
        <v>19975</v>
      </c>
    </row>
    <row r="20" spans="1:2" x14ac:dyDescent="0.2">
      <c r="A20" s="6" t="s">
        <v>2</v>
      </c>
      <c r="B20" s="7">
        <f>SUM(B3:B19)</f>
        <v>87373.84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2B2-9765-4402-893F-06A10994A79D}">
  <dimension ref="A1:B25"/>
  <sheetViews>
    <sheetView zoomScaleNormal="100" workbookViewId="0">
      <selection activeCell="A25" sqref="A25:B2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122</v>
      </c>
      <c r="B2" s="5"/>
    </row>
    <row r="3" spans="1:2" x14ac:dyDescent="0.2">
      <c r="A3" s="4" t="s">
        <v>172</v>
      </c>
      <c r="B3" s="5">
        <v>5588</v>
      </c>
    </row>
    <row r="4" spans="1:2" x14ac:dyDescent="0.2">
      <c r="A4" s="4" t="s">
        <v>173</v>
      </c>
      <c r="B4" s="5">
        <v>5588</v>
      </c>
    </row>
    <row r="5" spans="1:2" x14ac:dyDescent="0.2">
      <c r="A5" s="4" t="s">
        <v>158</v>
      </c>
      <c r="B5" s="5"/>
    </row>
    <row r="6" spans="1:2" x14ac:dyDescent="0.2">
      <c r="A6" s="4" t="s">
        <v>174</v>
      </c>
      <c r="B6" s="5">
        <v>1760</v>
      </c>
    </row>
    <row r="7" spans="1:2" x14ac:dyDescent="0.2">
      <c r="A7" s="4" t="s">
        <v>175</v>
      </c>
      <c r="B7" s="5"/>
    </row>
    <row r="8" spans="1:2" x14ac:dyDescent="0.2">
      <c r="A8" s="4" t="s">
        <v>176</v>
      </c>
      <c r="B8" s="5">
        <v>440</v>
      </c>
    </row>
    <row r="9" spans="1:2" x14ac:dyDescent="0.2">
      <c r="A9" s="4" t="s">
        <v>177</v>
      </c>
      <c r="B9" s="5"/>
    </row>
    <row r="10" spans="1:2" x14ac:dyDescent="0.2">
      <c r="A10" s="4" t="s">
        <v>178</v>
      </c>
      <c r="B10" s="5">
        <v>2208.8000000000002</v>
      </c>
    </row>
    <row r="11" spans="1:2" x14ac:dyDescent="0.2">
      <c r="A11" s="4" t="s">
        <v>179</v>
      </c>
      <c r="B11" s="5">
        <v>2208.8000000000002</v>
      </c>
    </row>
    <row r="12" spans="1:2" x14ac:dyDescent="0.2">
      <c r="A12" s="4" t="s">
        <v>180</v>
      </c>
      <c r="B12" s="5"/>
    </row>
    <row r="13" spans="1:2" x14ac:dyDescent="0.2">
      <c r="A13" s="4" t="s">
        <v>181</v>
      </c>
      <c r="B13" s="5">
        <v>132</v>
      </c>
    </row>
    <row r="14" spans="1:2" x14ac:dyDescent="0.2">
      <c r="A14" s="4" t="s">
        <v>125</v>
      </c>
      <c r="B14" s="5"/>
    </row>
    <row r="15" spans="1:2" x14ac:dyDescent="0.2">
      <c r="A15" s="4" t="s">
        <v>182</v>
      </c>
      <c r="B15" s="5">
        <v>6234.83</v>
      </c>
    </row>
    <row r="16" spans="1:2" x14ac:dyDescent="0.2">
      <c r="A16" s="4" t="s">
        <v>131</v>
      </c>
      <c r="B16" s="5"/>
    </row>
    <row r="17" spans="1:2" x14ac:dyDescent="0.2">
      <c r="A17" s="4" t="s">
        <v>183</v>
      </c>
      <c r="B17" s="5">
        <v>12125</v>
      </c>
    </row>
    <row r="18" spans="1:2" x14ac:dyDescent="0.2">
      <c r="A18" s="4" t="s">
        <v>184</v>
      </c>
      <c r="B18" s="5"/>
    </row>
    <row r="19" spans="1:2" x14ac:dyDescent="0.2">
      <c r="A19" s="4" t="s">
        <v>185</v>
      </c>
      <c r="B19" s="5">
        <v>20000</v>
      </c>
    </row>
    <row r="20" spans="1:2" x14ac:dyDescent="0.2">
      <c r="A20" s="6" t="s">
        <v>6</v>
      </c>
      <c r="B20" s="7"/>
    </row>
    <row r="21" spans="1:2" x14ac:dyDescent="0.2">
      <c r="A21" s="4" t="s">
        <v>186</v>
      </c>
      <c r="B21" s="4">
        <v>71272.22</v>
      </c>
    </row>
    <row r="22" spans="1:2" x14ac:dyDescent="0.2">
      <c r="A22" s="6" t="s">
        <v>2</v>
      </c>
      <c r="B22" s="7">
        <f>SUM(B2:B21)</f>
        <v>127557.65</v>
      </c>
    </row>
    <row r="25" spans="1:2" x14ac:dyDescent="0.2">
      <c r="A25" s="43" t="s">
        <v>202</v>
      </c>
      <c r="B25" s="7">
        <f>B22+'Ingresos investigación 2020'!B20+'Ingresos investigación 2019'!B19</f>
        <v>365419.89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2022-10-18T10:49:24Z</dcterms:modified>
</cp:coreProperties>
</file>