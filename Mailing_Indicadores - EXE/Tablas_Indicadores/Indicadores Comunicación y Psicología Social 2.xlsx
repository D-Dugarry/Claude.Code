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501EFA76-F62D-4412-9C8E-FC32291C687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14" r:id="rId1"/>
    <sheet name="Sexenios" sheetId="15" r:id="rId2"/>
    <sheet name="Ingresos investigación 2019" sheetId="18" r:id="rId3"/>
    <sheet name="Ingresos investigación 2020" sheetId="21" r:id="rId4"/>
    <sheet name="Ingresos investigación 2021" sheetId="23" r:id="rId5"/>
    <sheet name="Ingresos formación 2019" sheetId="19" r:id="rId6"/>
    <sheet name="Ingresos formación 2020" sheetId="20" r:id="rId7"/>
    <sheet name="Ingresos formación 2021" sheetId="22" r:id="rId8"/>
  </sheets>
  <definedNames>
    <definedName name="_xlnm._FilterDatabase" localSheetId="1" hidden="1">Sexenios!$A$1:$S$24</definedName>
    <definedName name="_xlnm._FilterDatabase" localSheetId="0" hidden="1">Tesis!$A$1:$U$24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2" i="15" l="1"/>
  <c r="S25" i="14" l="1"/>
  <c r="B26" i="23" l="1"/>
  <c r="B16" i="22"/>
  <c r="B12" i="21" l="1"/>
  <c r="B8" i="20"/>
  <c r="B26" i="19" l="1"/>
  <c r="B18" i="22" s="1"/>
  <c r="B13" i="18"/>
  <c r="B28" i="23" s="1"/>
</calcChain>
</file>

<file path=xl/sharedStrings.xml><?xml version="1.0" encoding="utf-8"?>
<sst xmlns="http://schemas.openxmlformats.org/spreadsheetml/2006/main" count="694" uniqueCount="293">
  <si>
    <t>Orgánica
Descripción justificante</t>
  </si>
  <si>
    <t>Importe</t>
  </si>
  <si>
    <t>Total</t>
  </si>
  <si>
    <t>36.80.6C.00.03</t>
  </si>
  <si>
    <t>36.80.6Q.00.01</t>
  </si>
  <si>
    <t>36.80.6Q.00.02</t>
  </si>
  <si>
    <t>36.80.2T.00.01</t>
  </si>
  <si>
    <t>36.80.2T.00.06</t>
  </si>
  <si>
    <t>36.80.2T.00.10</t>
  </si>
  <si>
    <t>36.80.2T.00.12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</si>
  <si>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</si>
  <si>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</si>
  <si>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</si>
  <si>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</si>
  <si>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</si>
  <si>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</si>
  <si>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</si>
  <si>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</si>
  <si>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</si>
  <si>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</si>
  <si>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</si>
  <si>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</si>
  <si>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</si>
  <si>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</si>
  <si>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</si>
  <si>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</si>
  <si>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</si>
  <si>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</si>
  <si>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</si>
  <si>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</si>
  <si>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</si>
  <si>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</si>
  <si>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</si>
  <si>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</si>
  <si>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</si>
  <si>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</si>
  <si>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28/09/2018 </t>
  </si>
  <si>
    <t>10.25</t>
  </si>
  <si>
    <t>10.17</t>
  </si>
  <si>
    <t>U036 </t>
  </si>
  <si>
    <t>ADM. FACULTAD DE CIENCIAS ECONÓMICAS </t>
  </si>
  <si>
    <t>DOCTORADO EN EMPRESA, ECONOMÍA Y SOCIEDAD </t>
  </si>
  <si>
    <t>U058 </t>
  </si>
  <si>
    <t>ADM. I.U. DE INVESTIGACIONES TURÍSTICAS </t>
  </si>
  <si>
    <t>DOCTORADO EN DIRECCIÓN Y PLANIFICACIÓN DEL TURISMO </t>
  </si>
  <si>
    <t>30</t>
  </si>
  <si>
    <t>20</t>
  </si>
  <si>
    <t>U023 </t>
  </si>
  <si>
    <t>ADM. FACULTAD DE FILOSOFIA Y LETRAS </t>
  </si>
  <si>
    <t>10.23</t>
  </si>
  <si>
    <t>DOCTORADO EN FILOSOFÍA Y LETRAS </t>
  </si>
  <si>
    <t>10.06</t>
  </si>
  <si>
    <t>24/09/2018 </t>
  </si>
  <si>
    <t>17/06/2019 </t>
  </si>
  <si>
    <t>25/05/2018 </t>
  </si>
  <si>
    <t>B175 </t>
  </si>
  <si>
    <t>COMUNICACIÓN Y PSICOLOGÍA SOCIAL </t>
  </si>
  <si>
    <t>18/09/2019 </t>
  </si>
  <si>
    <t>B179 </t>
  </si>
  <si>
    <t>SOCIOLOGÍA I </t>
  </si>
  <si>
    <t>DOCTORADO EN SOCIOLOGÍA: SOCIEDAD Y CULTURA CONTEMPORÁNEAS </t>
  </si>
  <si>
    <t>28/06/2017 </t>
  </si>
  <si>
    <t>33485113B </t>
  </si>
  <si>
    <t>B175</t>
  </si>
  <si>
    <t>21499146B </t>
  </si>
  <si>
    <t>33480107L </t>
  </si>
  <si>
    <t>74082575N </t>
  </si>
  <si>
    <t>21463378P </t>
  </si>
  <si>
    <t>Aguirregoitia Martínez, Ainhoa </t>
  </si>
  <si>
    <t>LA GASTRONOMÍA EN ESPAÑA: COMUNICACIÓN, MODERNIDAD E HISTORIA (1876-1936) </t>
  </si>
  <si>
    <t>20/06/2017 </t>
  </si>
  <si>
    <t>21423152D </t>
  </si>
  <si>
    <t>Fortanet Van Assendelft De Coningh, Christian </t>
  </si>
  <si>
    <t>ESTRUCTURA VISUAL Y PAUTAS DE LECTURA EN EL FORMATO DIGITAL DE PANTALLA TÁCTIL RESPECTO AL FORMATO IMPRESO, PARA CONTENIDOS DE INFORMATIVOS Y PUBLICITARIOS </t>
  </si>
  <si>
    <t>Fernández Martínez, Ricardo Guillermo </t>
  </si>
  <si>
    <t>EL VÍDEO ESPONTÁNEO: HERRAMIENTA DE COMUNICACIÓN, DE CAMBIO SOCIAL Y DE CONTROL CIUDADANO EN LA ERA DIGITAL </t>
  </si>
  <si>
    <t>21470210D </t>
  </si>
  <si>
    <t>Herrero Ruiz, Laura </t>
  </si>
  <si>
    <t>LOS EVENTOS EXPERIENCIALES Y LA COMUNICACIÓN ONLINE EN EL SECTOR DE LAS MARCAS DE BEBIDAS ALCOHÓLICAS EN ESPAÑA (2013-2017) </t>
  </si>
  <si>
    <t>21495354Z </t>
  </si>
  <si>
    <t>Juárez Varón, David </t>
  </si>
  <si>
    <t>NEUROMARKETING APLICADO AL PACKAGING DE JUGUETES EDUCATIVOS. EDTUDIO DE CASO DEL JUEGO APRENDO INGLÉS (EDUCA) </t>
  </si>
  <si>
    <t>11/01/2018 </t>
  </si>
  <si>
    <t>Mancebo Aracil, Jose Francisco </t>
  </si>
  <si>
    <t>LA REPRESENTACIÓN DE LAS PERSONAS MAYORES EN LOS MEDIOS DE COMUNICACIÓN. LA IMAGEN DE LOS MAYORES EN ESPAÑA A TRAVÉS DE LOS CONTENIDOS DIFUNDIDOS EN INTERNET. </t>
  </si>
  <si>
    <t>Mengual Recuerda, Ana </t>
  </si>
  <si>
    <t>NEUROMARKETING APLICADO AL SECTOR RESTAURACIÓN. EL CASO DEL RESTAURANTE L'ESCALETA </t>
  </si>
  <si>
    <t>Vilaplana Aparicio, María José </t>
  </si>
  <si>
    <t>LA COMUNICACIÓN DE LA INNOVACIÓN REALIZADA POR EMPRESAS ESPAÑOLAS QUE HAN RECIBIDO AYUDAS PÚBLICAS DE I+D+I </t>
  </si>
  <si>
    <t>33921041C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</si>
  <si>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</si>
  <si>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</si>
  <si>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</si>
  <si>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</si>
  <si>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</si>
  <si>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</si>
  <si>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</si>
  <si>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</si>
  <si>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</si>
  <si>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</si>
  <si>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</si>
  <si>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</si>
  <si>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</si>
  <si>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</si>
  <si>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33480107L</t>
  </si>
  <si>
    <t>CAMPILLO ALHAMA, CONCEPCION</t>
  </si>
  <si>
    <t>52772110J</t>
  </si>
  <si>
    <t>CARRETON BALLESTER, MARIA DEL CARMEN</t>
  </si>
  <si>
    <t>22143242S</t>
  </si>
  <si>
    <t>CASTELLO MARTINEZ, ARACELI</t>
  </si>
  <si>
    <t>21423152D</t>
  </si>
  <si>
    <t>FERNANDEZ POYATOS, MARIA DOLORES</t>
  </si>
  <si>
    <t>47065493H</t>
  </si>
  <si>
    <t>GONZALEZ DIAZ, CRISTINA</t>
  </si>
  <si>
    <t>29154009Z</t>
  </si>
  <si>
    <t>GONZALEZ PACANOWSKI, ANTONIO FRANCISCO</t>
  </si>
  <si>
    <t>48358432N</t>
  </si>
  <si>
    <t>HERNANDEZ RUIZ, ALEJANDRA</t>
  </si>
  <si>
    <t>22455996S</t>
  </si>
  <si>
    <t>LOPEZ SANCHEZ, MARIA DEL CARMEN</t>
  </si>
  <si>
    <t>74082575N</t>
  </si>
  <si>
    <t>MIRA PASTOR, ENRIC</t>
  </si>
  <si>
    <t>28996174M</t>
  </si>
  <si>
    <t>MONSERRAT GAUCHI, JUAN MIGUEL</t>
  </si>
  <si>
    <t>21470210D</t>
  </si>
  <si>
    <t>MORA CONTRERAS, FRANCISCO JAVIER</t>
  </si>
  <si>
    <t>21490836G</t>
  </si>
  <si>
    <t>OLIVARES DELGADO, FERNANDO</t>
  </si>
  <si>
    <t>21490998M</t>
  </si>
  <si>
    <t>ORTIZ DIAZ-GUERRA, MARIA JESUS</t>
  </si>
  <si>
    <t>21499146B</t>
  </si>
  <si>
    <t>PAPI GALVEZ, NATALIA</t>
  </si>
  <si>
    <t>05355742P</t>
  </si>
  <si>
    <t>PINILLOS LAFFON, ALBERTO</t>
  </si>
  <si>
    <t>48365003M</t>
  </si>
  <si>
    <t>QUILES SOLER, MARIA DEL CARMEN</t>
  </si>
  <si>
    <t>21495354Z</t>
  </si>
  <si>
    <t>RAMOS SOLER, IRENE</t>
  </si>
  <si>
    <t>28991817H</t>
  </si>
  <si>
    <t>RODRIGUEZ FERRANDIZ, RAUL</t>
  </si>
  <si>
    <t>52777601F</t>
  </si>
  <si>
    <t>SURIA MARTINEZ, RAQUEL</t>
  </si>
  <si>
    <t>21490870S</t>
  </si>
  <si>
    <t>TORRES VALDES, ROSA MARIA</t>
  </si>
  <si>
    <t>21463378P</t>
  </si>
  <si>
    <t>TUR VIÑES, VICTORIA</t>
  </si>
  <si>
    <t>Primera aportación (50%) 3ª Fase del Proyecto "Marcas de gran consumo y principios de la nueva economía: Comunicación, transparencia y colaboración".</t>
  </si>
  <si>
    <t>Segunda aportación (50%) 3ª fase del proyecto "Marcas de gran consumo y principios de la nueva economía: Comunicación, transparencia y colaboración".</t>
  </si>
  <si>
    <t>36.80.6C.00.09</t>
  </si>
  <si>
    <t>Analysis of implementation and impact of politics against gender violence in Spain.</t>
  </si>
  <si>
    <t>Aportación anual 2019. Mecenazgo Cátedra Institucional Aguas de Alicante de Inclusión Social.</t>
  </si>
  <si>
    <t>Reintegro de cuota patronal correspondiente al mes de agosto 2019</t>
  </si>
  <si>
    <t>Reintegro de cuota patronal por IT del mes de marzo 2019</t>
  </si>
  <si>
    <t>Mecenazgo de la Cátedra Institucional de la Marca Corporativa de la Universidad de Alicante. Aportación anual 2019.</t>
  </si>
  <si>
    <t>36.80.2E.00.01</t>
  </si>
  <si>
    <t xml:space="preserve">DEVOLUCIÓN inscripción del jte. 2019/A00000097 del ADO55723/2018. NUMERO DE FRA. 18F1912S00004066    </t>
  </si>
  <si>
    <t>36.80.2E.00.15</t>
  </si>
  <si>
    <t>INDEMNIZACIÓN EXPEDIENTE  Z74765751000.  9000000000000000401003207389005. BENEFICIARIO: UNIVERSIDAD DE ALICANTE. DPTO COMUNICACIÓN Y PSICOLOG. EL DEPARTAMENTO DE COMUNICACIÓN Y PSICOLOGÍA SOCIAL INFORMA QUE SE TRATA DE UNA INDEMNIZACIÓN DEL SEGURO DEL PROFESOR JESÚS CANCILLO, POR EL ROBO DE UNA TABLET Y UNA CÁMARA FOTOGRÁFICA INVENTARIADAS POR ESTE DEPARTAMENTO.</t>
  </si>
  <si>
    <t>Liquidación  PLAN G604 curso ''APEGO Y VÍNCULOS AFECTIVOS A LO LARGO DEL CICLO VITAL'' ORDEN 5387</t>
  </si>
  <si>
    <t>REINTEGRO CUOTA PATRONAL CORRESPONDIENTE AL MES DE OCTUBRE DE 2019.</t>
  </si>
  <si>
    <t>Liquidación  PLAN G627 curso ''ACOGIMIENTO FAMILIAR Y ADOPCIÓN DE MENORES'' ORDEN 5394</t>
  </si>
  <si>
    <t>Liquidación  PLAN GC28 curso ''MEDICACIÓN EN CONFLICTOS INTERPERSONALES'' ORDEN 5448</t>
  </si>
  <si>
    <t>Liquidación  PLAN 9307 curso ''EXPERTO EN FOTOGRAFÍA CONTEMPORÁNEA Y PROYECTO DE AUTOR'' ORDEN 5350. ORDEN 5458</t>
  </si>
  <si>
    <t>36.80.2T.00.13</t>
  </si>
  <si>
    <t>Liquidación  PLAN GD62 curso ''FORMACIÓN UADAPTA:ATENCIÓN AL CLIENTE'' ORDEN 5455</t>
  </si>
  <si>
    <t>Liquidación  PLAN GD63 curso ''FORMACIÓN UADAPTA: HABILIDADES SOCIALES, PERSONALES Y COMUNICATIVAS'' ORDEN 5445</t>
  </si>
  <si>
    <t>Liquidación  PLAN GD64 curso ''FORMACIÓN UADAPTA: INICIO AL OFFICE'' ORDEN 5450</t>
  </si>
  <si>
    <t>Liquidación  PLAN GD65 curso ''FORMACIÓN UADAPTA: MANEJO DE INGRESOS Y GASTOS'' ORDEN 5495</t>
  </si>
  <si>
    <t>Liquidación  PLAN GD79 curso ''FORMACIÓN UADAPTA: INGLÉS ORAL Y COMUNICATIVO'' ORDEN 5483</t>
  </si>
  <si>
    <t>36.80.2T.00.14</t>
  </si>
  <si>
    <t>Liquidación  PLAN GD27 curso ''INTERVENCIÓN PSICOSOCIAL EN LA FAMILIA'' ORDEN 5449</t>
  </si>
  <si>
    <t>36.80.2T.00.16</t>
  </si>
  <si>
    <t>Liquidación PLAN GE43 "Jornada Fake&amp;Business: Fake news, marcas negras y reputación"</t>
  </si>
  <si>
    <t>07555417D</t>
  </si>
  <si>
    <t>BELENDEZ VAZQUEZ, MARINA</t>
  </si>
  <si>
    <t>COD DEP</t>
  </si>
  <si>
    <t>21491812Z</t>
  </si>
  <si>
    <t>MARTINEZ SALA, ALBA MARIA</t>
  </si>
  <si>
    <t>21506826D</t>
  </si>
  <si>
    <t>LOPEZ BERNA, SONIA MARIA</t>
  </si>
  <si>
    <t>33485113B</t>
  </si>
  <si>
    <t>MARTIN LLAGUNO, MARTA</t>
  </si>
  <si>
    <t>44754494J</t>
  </si>
  <si>
    <t>SANCHEZ OLMOS, CANDELARIA</t>
  </si>
  <si>
    <t>Ríos Pérez, Manuel </t>
  </si>
  <si>
    <t>Concesiones de transporte público regular de viajeros por carretera y su dependencia territorial. Evolución, contexto socioeconómico y modelo desarrollado en la provincia de Alicante </t>
  </si>
  <si>
    <t>05/11/2020 </t>
  </si>
  <si>
    <t>21490870S </t>
  </si>
  <si>
    <t>B112 </t>
  </si>
  <si>
    <t>DIDACTICA GENERAL Y DIDÁCTICAS ESPECÍFICAS </t>
  </si>
  <si>
    <t>DOCTORADO EN INVESTIGACIÓN EDUCATIVA </t>
  </si>
  <si>
    <t>Alas Trujillo, Norman Noel </t>
  </si>
  <si>
    <t>Fotoperiodismo y violencia en la prensa online de El Salvador. Estudio transversal desde una perspectiva profesional y universitaria </t>
  </si>
  <si>
    <t>25/05/2021 </t>
  </si>
  <si>
    <t>22455996S </t>
  </si>
  <si>
    <t>Aparicio Pacheco, Rafael Orlando </t>
  </si>
  <si>
    <t>Las Radios Comunitarias y su influencia en el proceso de desarrollo local en las comunidades salvadoreñas </t>
  </si>
  <si>
    <t>08/07/2021 </t>
  </si>
  <si>
    <t>B177 </t>
  </si>
  <si>
    <t>PSICOLOGÍA EVOLUTIVA Y DIDÁCTICA </t>
  </si>
  <si>
    <t>Alfaro Alfaro, Domingo Orlando </t>
  </si>
  <si>
    <t>TELEVISIÓN SALVADOREÑA DIRIGIDA A JÓVENES: EDUCACIÓN VERSUS ENTRETENIMIENTO </t>
  </si>
  <si>
    <t>15/01/2021 </t>
  </si>
  <si>
    <t>Santa Soriano, Alba </t>
  </si>
  <si>
    <t>Relaciones públicas e inteligencia estratégica en la era digital: contexto, convergencia y aplicaciones desde el engagement para maximizar el impacto de los proyectos europeos </t>
  </si>
  <si>
    <t>22/06/2021 </t>
  </si>
  <si>
    <t>Poveda Salvá, Miquel </t>
  </si>
  <si>
    <t>LAS AGENCIAS DE PUBLICIDAD ALICANTINAS EN EL SIGLO XXI: EVOLUCIÓN Y CAMBIO </t>
  </si>
  <si>
    <t>20/07/2021 </t>
  </si>
  <si>
    <t>47076186Q </t>
  </si>
  <si>
    <t>Escandell Poveda, Raquel </t>
  </si>
  <si>
    <t>28/07/2021 </t>
  </si>
  <si>
    <t>U073 </t>
  </si>
  <si>
    <t>ADM. I.U. INVESTIGACIÓN DE ESTUDIOS DE GÉNERO </t>
  </si>
  <si>
    <t>DOCTORADO EN ESTUDIOS INTERDISCIPLINARES DE GÉNERO </t>
  </si>
  <si>
    <t>Aragonés González, María </t>
  </si>
  <si>
    <t>La coeducación como metodología transformadora hacia la igualdad de género </t>
  </si>
  <si>
    <t>22/09/2021 </t>
  </si>
  <si>
    <t>21449137G </t>
  </si>
  <si>
    <t>ZZ </t>
  </si>
  <si>
    <t>SIN ASIGNAR </t>
  </si>
  <si>
    <t>Coll ép. Medina Aguerrebere , Eva,Aline </t>
  </si>
  <si>
    <t>Le principe d¿autonomie de la volonté de la patiente enceinte avant l¿accouchement: modèle de communication hospitalière. </t>
  </si>
  <si>
    <t>23/04/2021 </t>
  </si>
  <si>
    <t>29154009Z </t>
  </si>
  <si>
    <t>36.80.6C.00.10</t>
  </si>
  <si>
    <t>Desarrollo del proyecto "Reputación corporativa, marcas y posverdad"</t>
  </si>
  <si>
    <t>36.80.6C.00.11</t>
  </si>
  <si>
    <t>"Elaboración de un Plan de Comunicaciones para la Agencia Nacional de Evaluación de la Calidad y Acreditación (ANECA)". Primer Pago al inicio de actividades según contrato.</t>
  </si>
  <si>
    <t>Mecenazgo Cátedra Institucional Aguas de Alicante de Inclusión Social. Aportación anual 2020. Pedido nº 3200767293 20170314AGAP</t>
  </si>
  <si>
    <t>Mecenazgo de la Cátedra Institucional de la Marca Corporativa de la Universidad de Alicante. Aportación anual 2020.</t>
  </si>
  <si>
    <t>36.80.6Q.00.03</t>
  </si>
  <si>
    <t>PAGO DEL 60% SEGÚN LA CLAUSULA CINQUENADOS CREACIÓ CÀTEDRA BRECHA DIGITAL GENERACIONAL</t>
  </si>
  <si>
    <t>DONACIÓN FUNDACIÓN LA CAIXA (INCLUSION LABORAL PARA PERSONAS CON DISCAPACIDAD INTELECTUAL) CURSOS UAdapta. Nos informan desde el Departamento de Comunicación y Psicología Social</t>
  </si>
  <si>
    <t>36.80.2T.00.17</t>
  </si>
  <si>
    <t xml:space="preserve">Liquidación PLAN GD27 "INTERVENCIÓN PSICOSOCIAL EN LA FAMILIA" </t>
  </si>
  <si>
    <t>36.80.2T.00.18</t>
  </si>
  <si>
    <t>Liquidación PLAN GC28 "Mediación en conflictos interpersonales"</t>
  </si>
  <si>
    <t xml:space="preserve">INGRESO DE LA FUNDACIÓN LA CAIXA PARA EL PROYECTO UADAPTA. </t>
  </si>
  <si>
    <t xml:space="preserve">REINTEGRO CUOTA PATRONAL CORRESPONDIENTE A DICIEMBRE DE 2021. </t>
  </si>
  <si>
    <t>Plan GD27_Curso 2020-21_INTERVENCION PISCOSOCIAL EN LA FAMILIA</t>
  </si>
  <si>
    <t>36.80.2T.00.19</t>
  </si>
  <si>
    <t>SUBVENCIÓN PARA EL DESARROLLO DE PROGRAMAS UNIVERSITARIOS DE FORMACIÓN PARA EL EMPLEO DIRIGIDO A JÓVENES CON DISCAPACIDAD INTELECTUAL INSCRITOS EN EL SISTEMA NACIONAL DE GARANTÍA JUVENIL.</t>
  </si>
  <si>
    <t xml:space="preserve">INGRESO FUNDACION ONCE POR EL PEP EN COMPETENCIAS LABORALES EN ENTORNOS DE EMPLEO CON APOYO. </t>
  </si>
  <si>
    <t xml:space="preserve">AYUDAS ECONÓMICAS A PROYECTOS PARA LA CONVOCATORIA PARA EL DESARROLLO DE PROGRAMAS UNIVERSITARIOS DE FORMACIÓN PARA EL EMPLEO DIRIGIDO A JÓVENES UNIVERSITARIOS CON DISCAPACIDAD INTELECTUAL INSCRITOS DE EL SISTEMA DE GARANTÍA JUVENIL </t>
  </si>
  <si>
    <t>INGRESO FUNDACIÓN ONCE. NO.02155/2021/23.11.2021, SEGÚN INFORMAN DESDE EL DEP. DE COMUNICACIÓN</t>
  </si>
  <si>
    <t>36.80.2T.00.20</t>
  </si>
  <si>
    <t>Plan 9237_Curso 2021-22_EXPERTO EN REDES SOCIALES, ESTRATEGIA Y COMUNICACIÓN DIGITAL.</t>
  </si>
  <si>
    <t>36.80.2T.00.21</t>
  </si>
  <si>
    <t>Plan_GG28 Curso 2021-22 INTRODUCCIÓN AL DESARROLLO LOCAL COMUNITARIO: LOCALIZACIÓN Y RESILIENCIA</t>
  </si>
  <si>
    <t>ELABORACIÓN DE UN PLAN DE COMUNICACIONES PARA LA AGENCIA NACIONAL DE EVALUACIÓN DE LA CALIDAD 2º PAGO A LOS 6 MESES DE LA FIRMA DEL CONTRATO.</t>
  </si>
  <si>
    <t>Elaboración de un Plan de Comunicaciones para la Agencia Nacional de Evaluación de la Calidad y Acreditación (ANECA). Tercer Pago a la entrega del informe final</t>
  </si>
  <si>
    <t>36.80.6C.00.12</t>
  </si>
  <si>
    <t>ASESORAMIENTO Y ASISTENCIA CIENTIFICO-TECNICA PARA LA REALIZACION DEL PROYECTO "ERA POSCOVID, MARCAS Y GRAN CONSUMO"</t>
  </si>
  <si>
    <t>36.80.6C.00.14</t>
  </si>
  <si>
    <t>1º pago (60%) relativo al contrato de asistencia científico técnica para la relación de los trabajos de coordinador y comisario de la exposición "Huella, Narrativa y Concepto".</t>
  </si>
  <si>
    <t>(2º PAGO- 40%) ASISTENCIA CIENTÍFICO-TÉCNICA PARA LA REALIZACIÓN DE LOS TRABAJOS DE COORDINADOR DE LA EXPOSICIÓN "HUELLA, NARRATIVA Y CONCEPTO" Y DEL CATÁLOGO QUE LA ACOMPAÑA</t>
  </si>
  <si>
    <t>36.80.6C.00.17</t>
  </si>
  <si>
    <t>ASESORAMIENTO PROFESIONAL Y TRANSFERENCIA DEL CONOCIMIENTO EN EL ÁMBITO DE LA COMUNICACIÓN DIGITAL EN REDES SOCIALES Y CANALES DIGITALES DE COMUNICACIÓN PARA LA AGENCIA NACIONAL DE EVALUACIÓN DE LA CALIDAD Y ACREDITACIÓN (1º FRA. A LA FIRMA DEL CONVENIO)</t>
  </si>
  <si>
    <t>36.80.6M.00.03</t>
  </si>
  <si>
    <t>Seminario para foro de comercio ético 'Estrategias de comunicación para la prevención y gestión de conflictos en organizaciones del sector agroalimentario' celebrado el 24/11/2020.</t>
  </si>
  <si>
    <t>36.80.6M.00.04</t>
  </si>
  <si>
    <t>SEMINARIO PARA FORO DE COMERCIO ETICO ORGANIZADO POR CONEXION SOCIAL: "DIVERSIDAD: COMO GESTIONAR EQUIPOS MULTICULTURALES Y MULTIFUNCIONALES"</t>
  </si>
  <si>
    <t>36.80.6M.00.05</t>
  </si>
  <si>
    <t>MECENAZGO DE LAS ACTIVIDADES  DE REALIZACION DE PROYECTO UNITWIN (RESIGNIFICACION EN EL AMBITO DE GENERO, UNA APUESTA POR LA INFORMACION, COMUNICACION Y EDUCACION RESPONSABLE)</t>
  </si>
  <si>
    <t>36.80.6M.00.06</t>
  </si>
  <si>
    <t>Organización, dirección y realización de una jornada formativa online sobre "Prevención de adiciones a las tecnologías de la información, la comunicación y las multipantallas".</t>
  </si>
  <si>
    <t>36.80.6P.00.15</t>
  </si>
  <si>
    <t>AYUDAS GRUPOS EMERGENTES ANUALIDAD 2021</t>
  </si>
  <si>
    <t>APORTACION ANUAL 2021. MECENAZGO CATEDRA INSTITUCIONAL AGUAS DE ALICANTE DE INCLUSION SOCIAL. Nº DE PEDIDO 3201000797.</t>
  </si>
  <si>
    <t>PAGO CONVENIO ENTRE CIUCSD Y UA CÁTEDRABRECHA DIGITAL GENERACIONAL EJERCICIO   2021 (INNOVACIÓN,UNIVERSIDADES,CIENCIA SOC.DIG)</t>
  </si>
  <si>
    <t>Radiografía del Seo en España: demanda laboral, sector empresarial y perfil profesional del posicionamiento web </t>
  </si>
  <si>
    <t>García del Castillo López, Fernando </t>
  </si>
  <si>
    <t>Estilos de vida, comportamiento digital, estado emocional y actividad física en situación de confinamiento por la COVID-19, en una muestra de estudiantes universitarios </t>
  </si>
  <si>
    <t>11/03/2022 </t>
  </si>
  <si>
    <t>Mateu Torres, Francisco Jose </t>
  </si>
  <si>
    <t>Los nombres de la rosa: Ecos transmedia y laberintos lúdicos. </t>
  </si>
  <si>
    <t>27/07/2022 </t>
  </si>
  <si>
    <t>28991817H </t>
  </si>
  <si>
    <t>Igual Anton, Diego </t>
  </si>
  <si>
    <t>Modelo de gestión y comunicación de la RSC en las cooperativas eléctricas </t>
  </si>
  <si>
    <t>04/02/2022 </t>
  </si>
  <si>
    <t>20045325C</t>
  </si>
  <si>
    <t>HIDALGO MARI, TATIANA</t>
  </si>
  <si>
    <t>21683022W</t>
  </si>
  <si>
    <t>VILAPLANA APARICIO, MARIA JOSE</t>
  </si>
  <si>
    <t>76424855H</t>
  </si>
  <si>
    <t>GARRIDO MACIAS, MARTA</t>
  </si>
  <si>
    <t>vivos</t>
  </si>
  <si>
    <t>52773057V</t>
  </si>
  <si>
    <t>RODRIGUEZ VALERO, DANIEL</t>
  </si>
  <si>
    <t>Total ingresos investigación 2019, 2020 y 2021</t>
  </si>
  <si>
    <t>Total ingresos formación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</si>
</sst>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4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164" fontId="4" fillId="2" borderId="1" xfId="1" applyNumberFormat="1" applyFont="1" applyFill="1" applyBorder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3" fillId="0" borderId="1" xfId="1" applyBorder="1"/>
    <xf numFmtId="0" fontId="3" fillId="4" borderId="5" xfId="1" applyFill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9" fillId="3" borderId="1" xfId="3" applyFont="1" applyFill="1" applyBorder="1" applyAlignment="1">
      <alignment horizontal="center" wrapText="1"/>
    </xf>
    <xf numFmtId="0" fontId="10" fillId="7" borderId="0" xfId="5" applyFont="1" applyFill="1"/>
    <xf numFmtId="0" fontId="10" fillId="7" borderId="0" xfId="5" applyFont="1" applyFill="1" applyAlignment="1">
      <alignment horizontal="right"/>
    </xf>
    <xf numFmtId="0" fontId="12" fillId="7" borderId="0" xfId="5" applyFont="1" applyFill="1"/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5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V14" sqref="V14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7" customWidth="1"/>
    <col min="16" max="16" width="4.88671875" style="13" customWidth="1"/>
    <col min="17" max="17" width="3.5546875" style="17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8" t="s">
        <v>18</v>
      </c>
      <c r="J1" s="9" t="s">
        <v>19</v>
      </c>
      <c r="K1" s="8" t="s">
        <v>20</v>
      </c>
      <c r="L1" s="9" t="s">
        <v>21</v>
      </c>
      <c r="M1" s="10" t="s">
        <v>22</v>
      </c>
      <c r="N1" s="11" t="s">
        <v>23</v>
      </c>
      <c r="O1" s="12" t="s">
        <v>24</v>
      </c>
      <c r="P1" s="11" t="s">
        <v>25</v>
      </c>
      <c r="Q1" s="12" t="s">
        <v>26</v>
      </c>
      <c r="R1" s="11" t="s">
        <v>27</v>
      </c>
      <c r="S1" s="11" t="s">
        <v>28</v>
      </c>
      <c r="T1" s="11" t="s">
        <v>29</v>
      </c>
      <c r="U1" s="11" t="s">
        <v>30</v>
      </c>
    </row>
    <row r="2" spans="1:21" x14ac:dyDescent="0.2">
      <c r="A2" s="27" t="s">
        <v>42</v>
      </c>
      <c r="B2" s="27" t="s">
        <v>43</v>
      </c>
      <c r="C2" s="27" t="s">
        <v>44</v>
      </c>
      <c r="D2" s="27" t="s">
        <v>68</v>
      </c>
      <c r="E2" s="27" t="s">
        <v>69</v>
      </c>
      <c r="F2" s="27" t="s">
        <v>70</v>
      </c>
      <c r="G2" s="27" t="s">
        <v>71</v>
      </c>
      <c r="H2" s="27" t="s">
        <v>34</v>
      </c>
      <c r="I2" s="27" t="s">
        <v>55</v>
      </c>
      <c r="J2" s="27" t="s">
        <v>56</v>
      </c>
      <c r="K2" s="32">
        <v>1</v>
      </c>
      <c r="L2" s="27" t="s">
        <v>63</v>
      </c>
      <c r="M2" s="27">
        <v>2016</v>
      </c>
      <c r="N2" s="27" t="s">
        <v>51</v>
      </c>
      <c r="O2" s="33" t="s">
        <v>35</v>
      </c>
      <c r="P2" s="27" t="s">
        <v>38</v>
      </c>
      <c r="Q2" s="33" t="s">
        <v>46</v>
      </c>
      <c r="R2" s="34">
        <v>70</v>
      </c>
      <c r="S2" s="32">
        <v>0.7</v>
      </c>
      <c r="T2" s="32">
        <v>0.1</v>
      </c>
      <c r="U2" s="32">
        <v>0.2</v>
      </c>
    </row>
    <row r="3" spans="1:21" x14ac:dyDescent="0.2">
      <c r="A3" s="27" t="s">
        <v>58</v>
      </c>
      <c r="B3" s="27" t="s">
        <v>59</v>
      </c>
      <c r="C3" s="27" t="s">
        <v>60</v>
      </c>
      <c r="D3" s="27" t="s">
        <v>72</v>
      </c>
      <c r="E3" s="27" t="s">
        <v>73</v>
      </c>
      <c r="F3" s="27" t="s">
        <v>61</v>
      </c>
      <c r="G3" s="27" t="s">
        <v>66</v>
      </c>
      <c r="H3" s="27" t="s">
        <v>34</v>
      </c>
      <c r="I3" s="27" t="s">
        <v>55</v>
      </c>
      <c r="J3" s="27" t="s">
        <v>56</v>
      </c>
      <c r="K3" s="32">
        <v>1</v>
      </c>
      <c r="L3" s="27" t="s">
        <v>63</v>
      </c>
      <c r="M3" s="27">
        <v>2016</v>
      </c>
      <c r="N3" s="27" t="s">
        <v>33</v>
      </c>
      <c r="O3" s="33" t="s">
        <v>33</v>
      </c>
      <c r="P3" s="27" t="s">
        <v>33</v>
      </c>
      <c r="Q3" s="33" t="s">
        <v>33</v>
      </c>
      <c r="R3" s="34">
        <v>100</v>
      </c>
      <c r="S3" s="32">
        <v>1</v>
      </c>
      <c r="T3" s="32">
        <v>0</v>
      </c>
      <c r="U3" s="32">
        <v>0</v>
      </c>
    </row>
    <row r="4" spans="1:21" x14ac:dyDescent="0.2">
      <c r="A4" s="27" t="s">
        <v>47</v>
      </c>
      <c r="B4" s="27" t="s">
        <v>48</v>
      </c>
      <c r="C4" s="27" t="s">
        <v>50</v>
      </c>
      <c r="D4" s="27" t="s">
        <v>77</v>
      </c>
      <c r="E4" s="27" t="s">
        <v>78</v>
      </c>
      <c r="F4" s="27" t="s">
        <v>36</v>
      </c>
      <c r="G4" s="27" t="s">
        <v>65</v>
      </c>
      <c r="H4" s="27" t="s">
        <v>31</v>
      </c>
      <c r="I4" s="27" t="s">
        <v>55</v>
      </c>
      <c r="J4" s="27" t="s">
        <v>56</v>
      </c>
      <c r="K4" s="32">
        <v>0.5</v>
      </c>
      <c r="L4" s="27" t="s">
        <v>63</v>
      </c>
      <c r="M4" s="27">
        <v>2017</v>
      </c>
      <c r="N4" s="27" t="s">
        <v>33</v>
      </c>
      <c r="O4" s="33" t="s">
        <v>33</v>
      </c>
      <c r="P4" s="27" t="s">
        <v>33</v>
      </c>
      <c r="Q4" s="33" t="s">
        <v>33</v>
      </c>
      <c r="R4" s="34">
        <v>100</v>
      </c>
      <c r="S4" s="32">
        <v>0.5</v>
      </c>
      <c r="T4" s="32">
        <v>0</v>
      </c>
      <c r="U4" s="32">
        <v>0</v>
      </c>
    </row>
    <row r="5" spans="1:21" x14ac:dyDescent="0.2">
      <c r="A5" s="27" t="s">
        <v>47</v>
      </c>
      <c r="B5" s="27" t="s">
        <v>48</v>
      </c>
      <c r="C5" s="27" t="s">
        <v>50</v>
      </c>
      <c r="D5" s="27" t="s">
        <v>77</v>
      </c>
      <c r="E5" s="27" t="s">
        <v>78</v>
      </c>
      <c r="F5" s="27" t="s">
        <v>36</v>
      </c>
      <c r="G5" s="27" t="s">
        <v>79</v>
      </c>
      <c r="H5" s="27" t="s">
        <v>31</v>
      </c>
      <c r="I5" s="27" t="s">
        <v>55</v>
      </c>
      <c r="J5" s="27" t="s">
        <v>56</v>
      </c>
      <c r="K5" s="32">
        <v>0.5</v>
      </c>
      <c r="L5" s="27" t="s">
        <v>63</v>
      </c>
      <c r="M5" s="27">
        <v>2017</v>
      </c>
      <c r="N5" s="27" t="s">
        <v>33</v>
      </c>
      <c r="O5" s="33" t="s">
        <v>33</v>
      </c>
      <c r="P5" s="27" t="s">
        <v>33</v>
      </c>
      <c r="Q5" s="33" t="s">
        <v>33</v>
      </c>
      <c r="R5" s="34">
        <v>100</v>
      </c>
      <c r="S5" s="32">
        <v>0.5</v>
      </c>
      <c r="T5" s="32">
        <v>0</v>
      </c>
      <c r="U5" s="32">
        <v>0</v>
      </c>
    </row>
    <row r="6" spans="1:21" x14ac:dyDescent="0.2">
      <c r="A6" s="27" t="s">
        <v>39</v>
      </c>
      <c r="B6" s="27" t="s">
        <v>40</v>
      </c>
      <c r="C6" s="27" t="s">
        <v>41</v>
      </c>
      <c r="D6" s="27" t="s">
        <v>80</v>
      </c>
      <c r="E6" s="27" t="s">
        <v>81</v>
      </c>
      <c r="F6" s="27" t="s">
        <v>82</v>
      </c>
      <c r="G6" s="27" t="s">
        <v>67</v>
      </c>
      <c r="H6" s="27" t="s">
        <v>34</v>
      </c>
      <c r="I6" s="27" t="s">
        <v>55</v>
      </c>
      <c r="J6" s="27" t="s">
        <v>56</v>
      </c>
      <c r="K6" s="32">
        <v>1</v>
      </c>
      <c r="L6" s="27" t="s">
        <v>63</v>
      </c>
      <c r="M6" s="27">
        <v>2017</v>
      </c>
      <c r="N6" s="27" t="s">
        <v>37</v>
      </c>
      <c r="O6" s="33" t="s">
        <v>45</v>
      </c>
      <c r="P6" s="27" t="s">
        <v>33</v>
      </c>
      <c r="Q6" s="33" t="s">
        <v>33</v>
      </c>
      <c r="R6" s="34">
        <v>70</v>
      </c>
      <c r="S6" s="32">
        <v>0.7</v>
      </c>
      <c r="T6" s="32">
        <v>0.3</v>
      </c>
      <c r="U6" s="32">
        <v>0</v>
      </c>
    </row>
    <row r="7" spans="1:21" x14ac:dyDescent="0.2">
      <c r="A7" s="27" t="s">
        <v>39</v>
      </c>
      <c r="B7" s="27" t="s">
        <v>40</v>
      </c>
      <c r="C7" s="27" t="s">
        <v>41</v>
      </c>
      <c r="D7" s="27" t="s">
        <v>83</v>
      </c>
      <c r="E7" s="27" t="s">
        <v>84</v>
      </c>
      <c r="F7" s="27" t="s">
        <v>54</v>
      </c>
      <c r="G7" s="27" t="s">
        <v>79</v>
      </c>
      <c r="H7" s="27" t="s">
        <v>34</v>
      </c>
      <c r="I7" s="27" t="s">
        <v>55</v>
      </c>
      <c r="J7" s="27" t="s">
        <v>56</v>
      </c>
      <c r="K7" s="32">
        <v>1</v>
      </c>
      <c r="L7" s="27" t="s">
        <v>63</v>
      </c>
      <c r="M7" s="27">
        <v>2017</v>
      </c>
      <c r="N7" s="27" t="s">
        <v>33</v>
      </c>
      <c r="O7" s="33" t="s">
        <v>33</v>
      </c>
      <c r="P7" s="27" t="s">
        <v>33</v>
      </c>
      <c r="Q7" s="33" t="s">
        <v>33</v>
      </c>
      <c r="R7" s="34">
        <v>100</v>
      </c>
      <c r="S7" s="32">
        <v>1</v>
      </c>
      <c r="T7" s="32">
        <v>0</v>
      </c>
      <c r="U7" s="32">
        <v>0</v>
      </c>
    </row>
    <row r="8" spans="1:21" x14ac:dyDescent="0.2">
      <c r="A8" s="27" t="s">
        <v>47</v>
      </c>
      <c r="B8" s="27" t="s">
        <v>48</v>
      </c>
      <c r="C8" s="27" t="s">
        <v>50</v>
      </c>
      <c r="D8" s="27" t="s">
        <v>74</v>
      </c>
      <c r="E8" s="27" t="s">
        <v>75</v>
      </c>
      <c r="F8" s="27" t="s">
        <v>52</v>
      </c>
      <c r="G8" s="27" t="s">
        <v>76</v>
      </c>
      <c r="H8" s="27" t="s">
        <v>34</v>
      </c>
      <c r="I8" s="27" t="s">
        <v>55</v>
      </c>
      <c r="J8" s="27" t="s">
        <v>56</v>
      </c>
      <c r="K8" s="35">
        <v>1</v>
      </c>
      <c r="L8" s="27" t="s">
        <v>63</v>
      </c>
      <c r="M8" s="27">
        <v>2017</v>
      </c>
      <c r="N8" s="27" t="s">
        <v>33</v>
      </c>
      <c r="O8" s="33" t="s">
        <v>33</v>
      </c>
      <c r="P8" s="27" t="s">
        <v>33</v>
      </c>
      <c r="Q8" s="33" t="s">
        <v>33</v>
      </c>
      <c r="R8" s="34">
        <v>100</v>
      </c>
      <c r="S8" s="32">
        <v>1</v>
      </c>
      <c r="T8" s="32">
        <v>0</v>
      </c>
      <c r="U8" s="32">
        <v>0</v>
      </c>
    </row>
    <row r="9" spans="1:21" x14ac:dyDescent="0.2">
      <c r="A9" s="27" t="s">
        <v>47</v>
      </c>
      <c r="B9" s="27" t="s">
        <v>48</v>
      </c>
      <c r="C9" s="27" t="s">
        <v>50</v>
      </c>
      <c r="D9" s="27" t="s">
        <v>85</v>
      </c>
      <c r="E9" s="27" t="s">
        <v>86</v>
      </c>
      <c r="F9" s="27" t="s">
        <v>57</v>
      </c>
      <c r="G9" s="27" t="s">
        <v>67</v>
      </c>
      <c r="H9" s="27" t="s">
        <v>31</v>
      </c>
      <c r="I9" s="27" t="s">
        <v>55</v>
      </c>
      <c r="J9" s="27" t="s">
        <v>56</v>
      </c>
      <c r="K9" s="35">
        <v>0.5</v>
      </c>
      <c r="L9" s="27" t="s">
        <v>63</v>
      </c>
      <c r="M9" s="27">
        <v>2018</v>
      </c>
      <c r="N9" s="27" t="s">
        <v>37</v>
      </c>
      <c r="O9" s="33" t="s">
        <v>45</v>
      </c>
      <c r="P9" s="27" t="s">
        <v>33</v>
      </c>
      <c r="Q9" s="33" t="s">
        <v>33</v>
      </c>
      <c r="R9" s="34">
        <v>70</v>
      </c>
      <c r="S9" s="32">
        <v>0.35</v>
      </c>
      <c r="T9" s="32">
        <v>0.15</v>
      </c>
      <c r="U9" s="32">
        <v>0</v>
      </c>
    </row>
    <row r="10" spans="1:21" x14ac:dyDescent="0.2">
      <c r="A10" s="27" t="s">
        <v>39</v>
      </c>
      <c r="B10" s="27" t="s">
        <v>40</v>
      </c>
      <c r="C10" s="27" t="s">
        <v>41</v>
      </c>
      <c r="D10" s="27" t="s">
        <v>87</v>
      </c>
      <c r="E10" s="27" t="s">
        <v>88</v>
      </c>
      <c r="F10" s="27" t="s">
        <v>53</v>
      </c>
      <c r="G10" s="27" t="s">
        <v>89</v>
      </c>
      <c r="H10" s="27" t="s">
        <v>31</v>
      </c>
      <c r="I10" s="27" t="s">
        <v>55</v>
      </c>
      <c r="J10" s="27" t="s">
        <v>56</v>
      </c>
      <c r="K10" s="35">
        <v>0.5</v>
      </c>
      <c r="L10" s="27" t="s">
        <v>63</v>
      </c>
      <c r="M10" s="27">
        <v>2018</v>
      </c>
      <c r="N10" s="27" t="s">
        <v>33</v>
      </c>
      <c r="O10" s="33" t="s">
        <v>33</v>
      </c>
      <c r="P10" s="27" t="s">
        <v>33</v>
      </c>
      <c r="Q10" s="33" t="s">
        <v>33</v>
      </c>
      <c r="R10" s="34">
        <v>100</v>
      </c>
      <c r="S10" s="32">
        <v>0.5</v>
      </c>
      <c r="T10" s="32">
        <v>0</v>
      </c>
      <c r="U10" s="32">
        <v>0</v>
      </c>
    </row>
    <row r="11" spans="1:21" x14ac:dyDescent="0.2">
      <c r="A11" s="27" t="s">
        <v>39</v>
      </c>
      <c r="B11" s="27" t="s">
        <v>40</v>
      </c>
      <c r="C11" s="27" t="s">
        <v>41</v>
      </c>
      <c r="D11" s="27" t="s">
        <v>87</v>
      </c>
      <c r="E11" s="27" t="s">
        <v>88</v>
      </c>
      <c r="F11" s="27" t="s">
        <v>53</v>
      </c>
      <c r="G11" s="27" t="s">
        <v>62</v>
      </c>
      <c r="H11" s="27" t="s">
        <v>31</v>
      </c>
      <c r="I11" s="27" t="s">
        <v>55</v>
      </c>
      <c r="J11" s="27" t="s">
        <v>56</v>
      </c>
      <c r="K11" s="35">
        <v>0.5</v>
      </c>
      <c r="L11" s="27" t="s">
        <v>63</v>
      </c>
      <c r="M11" s="27">
        <v>2018</v>
      </c>
      <c r="N11" s="27" t="s">
        <v>49</v>
      </c>
      <c r="O11" s="33" t="s">
        <v>45</v>
      </c>
      <c r="P11" s="27" t="s">
        <v>33</v>
      </c>
      <c r="Q11" s="33" t="s">
        <v>33</v>
      </c>
      <c r="R11" s="34">
        <v>70</v>
      </c>
      <c r="S11" s="32">
        <v>0.35</v>
      </c>
      <c r="T11" s="32">
        <v>0.15</v>
      </c>
      <c r="U11" s="32">
        <v>0</v>
      </c>
    </row>
    <row r="12" spans="1:21" ht="10.8" thickBot="1" x14ac:dyDescent="0.25">
      <c r="A12" s="27" t="s">
        <v>47</v>
      </c>
      <c r="B12" s="27" t="s">
        <v>48</v>
      </c>
      <c r="C12" s="27" t="s">
        <v>50</v>
      </c>
      <c r="D12" s="27" t="s">
        <v>184</v>
      </c>
      <c r="E12" s="27" t="s">
        <v>185</v>
      </c>
      <c r="F12" s="27" t="s">
        <v>186</v>
      </c>
      <c r="G12" s="27" t="s">
        <v>187</v>
      </c>
      <c r="H12" s="27" t="s">
        <v>31</v>
      </c>
      <c r="I12" s="27" t="s">
        <v>55</v>
      </c>
      <c r="J12" s="27" t="s">
        <v>56</v>
      </c>
      <c r="K12" s="36">
        <v>0.5</v>
      </c>
      <c r="L12" s="36" t="s">
        <v>63</v>
      </c>
      <c r="M12" s="37">
        <v>2019</v>
      </c>
      <c r="N12" s="27" t="s">
        <v>49</v>
      </c>
      <c r="O12" s="33" t="s">
        <v>46</v>
      </c>
      <c r="P12" s="27" t="s">
        <v>33</v>
      </c>
      <c r="Q12" s="33" t="s">
        <v>33</v>
      </c>
      <c r="R12" s="27">
        <v>80</v>
      </c>
      <c r="S12" s="27">
        <v>0.4</v>
      </c>
      <c r="T12" s="27">
        <v>0.1</v>
      </c>
      <c r="U12" s="27">
        <v>0</v>
      </c>
    </row>
    <row r="13" spans="1:21" ht="10.8" thickBot="1" x14ac:dyDescent="0.25">
      <c r="A13" s="28" t="s">
        <v>188</v>
      </c>
      <c r="B13" s="28" t="s">
        <v>189</v>
      </c>
      <c r="C13" s="28" t="s">
        <v>190</v>
      </c>
      <c r="D13" s="28" t="s">
        <v>191</v>
      </c>
      <c r="E13" s="28" t="s">
        <v>192</v>
      </c>
      <c r="F13" s="28" t="s">
        <v>193</v>
      </c>
      <c r="G13" s="29" t="s">
        <v>194</v>
      </c>
      <c r="H13" s="30" t="s">
        <v>34</v>
      </c>
      <c r="I13" s="30" t="s">
        <v>55</v>
      </c>
      <c r="J13" s="31" t="s">
        <v>56</v>
      </c>
      <c r="K13" s="36">
        <v>1</v>
      </c>
      <c r="L13" s="36" t="s">
        <v>63</v>
      </c>
      <c r="M13" s="27">
        <v>2020</v>
      </c>
      <c r="N13" s="27" t="s">
        <v>37</v>
      </c>
      <c r="O13" s="33" t="s">
        <v>32</v>
      </c>
      <c r="P13" s="27" t="s">
        <v>33</v>
      </c>
      <c r="Q13" s="33" t="s">
        <v>33</v>
      </c>
      <c r="R13" s="27">
        <v>50</v>
      </c>
      <c r="S13" s="27">
        <v>0.5</v>
      </c>
      <c r="T13" s="27">
        <v>0.5</v>
      </c>
      <c r="U13" s="27">
        <v>0</v>
      </c>
    </row>
    <row r="14" spans="1:21" ht="10.8" thickBot="1" x14ac:dyDescent="0.25">
      <c r="A14" s="28" t="s">
        <v>188</v>
      </c>
      <c r="B14" s="28" t="s">
        <v>189</v>
      </c>
      <c r="C14" s="28" t="s">
        <v>190</v>
      </c>
      <c r="D14" s="28" t="s">
        <v>195</v>
      </c>
      <c r="E14" s="28" t="s">
        <v>196</v>
      </c>
      <c r="F14" s="28" t="s">
        <v>197</v>
      </c>
      <c r="G14" s="29" t="s">
        <v>194</v>
      </c>
      <c r="H14" s="30" t="s">
        <v>34</v>
      </c>
      <c r="I14" s="30" t="s">
        <v>55</v>
      </c>
      <c r="J14" s="31" t="s">
        <v>56</v>
      </c>
      <c r="K14" s="36">
        <v>1</v>
      </c>
      <c r="L14" s="36" t="s">
        <v>63</v>
      </c>
      <c r="M14" s="27">
        <v>2020</v>
      </c>
      <c r="N14" s="27" t="s">
        <v>37</v>
      </c>
      <c r="O14" s="33" t="s">
        <v>32</v>
      </c>
      <c r="P14" s="27" t="s">
        <v>33</v>
      </c>
      <c r="Q14" s="33" t="s">
        <v>33</v>
      </c>
      <c r="R14" s="27">
        <v>50</v>
      </c>
      <c r="S14" s="27">
        <v>0.5</v>
      </c>
      <c r="T14" s="27">
        <v>0.5</v>
      </c>
      <c r="U14" s="27">
        <v>0</v>
      </c>
    </row>
    <row r="15" spans="1:21" ht="10.8" thickBot="1" x14ac:dyDescent="0.25">
      <c r="A15" s="28" t="s">
        <v>198</v>
      </c>
      <c r="B15" s="28" t="s">
        <v>199</v>
      </c>
      <c r="C15" s="28" t="s">
        <v>190</v>
      </c>
      <c r="D15" s="28" t="s">
        <v>200</v>
      </c>
      <c r="E15" s="28" t="s">
        <v>201</v>
      </c>
      <c r="F15" s="28" t="s">
        <v>202</v>
      </c>
      <c r="G15" s="29" t="s">
        <v>67</v>
      </c>
      <c r="H15" s="30" t="s">
        <v>34</v>
      </c>
      <c r="I15" s="30" t="s">
        <v>55</v>
      </c>
      <c r="J15" s="31" t="s">
        <v>56</v>
      </c>
      <c r="K15" s="36">
        <v>1</v>
      </c>
      <c r="L15" s="36" t="s">
        <v>63</v>
      </c>
      <c r="M15" s="27">
        <v>2020</v>
      </c>
      <c r="N15" s="27" t="s">
        <v>37</v>
      </c>
      <c r="O15" s="33" t="s">
        <v>45</v>
      </c>
      <c r="P15" s="27" t="s">
        <v>33</v>
      </c>
      <c r="Q15" s="33" t="s">
        <v>33</v>
      </c>
      <c r="R15" s="27">
        <v>70</v>
      </c>
      <c r="S15" s="27">
        <v>0.7</v>
      </c>
      <c r="T15" s="27">
        <v>0.3</v>
      </c>
      <c r="U15" s="27">
        <v>0</v>
      </c>
    </row>
    <row r="16" spans="1:21" ht="10.8" thickBot="1" x14ac:dyDescent="0.25">
      <c r="A16" s="28" t="s">
        <v>47</v>
      </c>
      <c r="B16" s="28" t="s">
        <v>48</v>
      </c>
      <c r="C16" s="28" t="s">
        <v>50</v>
      </c>
      <c r="D16" s="28" t="s">
        <v>203</v>
      </c>
      <c r="E16" s="28" t="s">
        <v>204</v>
      </c>
      <c r="F16" s="28" t="s">
        <v>205</v>
      </c>
      <c r="G16" s="29" t="s">
        <v>187</v>
      </c>
      <c r="H16" s="30" t="s">
        <v>34</v>
      </c>
      <c r="I16" s="30" t="s">
        <v>55</v>
      </c>
      <c r="J16" s="31" t="s">
        <v>56</v>
      </c>
      <c r="K16" s="36">
        <v>1</v>
      </c>
      <c r="L16" s="36" t="s">
        <v>63</v>
      </c>
      <c r="M16" s="27">
        <v>2020</v>
      </c>
      <c r="N16" s="27" t="s">
        <v>49</v>
      </c>
      <c r="O16" s="33" t="s">
        <v>46</v>
      </c>
      <c r="P16" s="27" t="s">
        <v>33</v>
      </c>
      <c r="Q16" s="33" t="s">
        <v>33</v>
      </c>
      <c r="R16" s="27">
        <v>80</v>
      </c>
      <c r="S16" s="27">
        <v>0.8</v>
      </c>
      <c r="T16" s="27">
        <v>0.2</v>
      </c>
      <c r="U16" s="27">
        <v>0</v>
      </c>
    </row>
    <row r="17" spans="1:21" ht="10.8" thickBot="1" x14ac:dyDescent="0.25">
      <c r="A17" s="28" t="s">
        <v>39</v>
      </c>
      <c r="B17" s="28" t="s">
        <v>40</v>
      </c>
      <c r="C17" s="28" t="s">
        <v>41</v>
      </c>
      <c r="D17" s="28" t="s">
        <v>206</v>
      </c>
      <c r="E17" s="28" t="s">
        <v>207</v>
      </c>
      <c r="F17" s="28" t="s">
        <v>208</v>
      </c>
      <c r="G17" s="29" t="s">
        <v>209</v>
      </c>
      <c r="H17" s="30" t="s">
        <v>31</v>
      </c>
      <c r="I17" s="30" t="s">
        <v>55</v>
      </c>
      <c r="J17" s="31" t="s">
        <v>56</v>
      </c>
      <c r="K17" s="36">
        <v>0.5</v>
      </c>
      <c r="L17" s="36" t="s">
        <v>63</v>
      </c>
      <c r="M17" s="27">
        <v>2020</v>
      </c>
      <c r="N17" s="27" t="s">
        <v>33</v>
      </c>
      <c r="O17" s="33" t="s">
        <v>33</v>
      </c>
      <c r="P17" s="27" t="s">
        <v>33</v>
      </c>
      <c r="Q17" s="33" t="s">
        <v>33</v>
      </c>
      <c r="R17" s="27">
        <v>100</v>
      </c>
      <c r="S17" s="27">
        <v>0.5</v>
      </c>
      <c r="T17" s="27">
        <v>0</v>
      </c>
      <c r="U17" s="27">
        <v>0</v>
      </c>
    </row>
    <row r="18" spans="1:21" ht="10.8" thickBot="1" x14ac:dyDescent="0.25">
      <c r="A18" s="28" t="s">
        <v>39</v>
      </c>
      <c r="B18" s="28" t="s">
        <v>40</v>
      </c>
      <c r="C18" s="28" t="s">
        <v>41</v>
      </c>
      <c r="D18" s="28" t="s">
        <v>210</v>
      </c>
      <c r="E18" s="28" t="s">
        <v>271</v>
      </c>
      <c r="F18" s="28" t="s">
        <v>211</v>
      </c>
      <c r="G18" s="29" t="s">
        <v>89</v>
      </c>
      <c r="H18" s="30" t="s">
        <v>31</v>
      </c>
      <c r="I18" s="30" t="s">
        <v>55</v>
      </c>
      <c r="J18" s="31" t="s">
        <v>56</v>
      </c>
      <c r="K18" s="36">
        <v>0.5</v>
      </c>
      <c r="L18" s="36" t="s">
        <v>63</v>
      </c>
      <c r="M18" s="27">
        <v>2020</v>
      </c>
      <c r="N18" s="27" t="s">
        <v>33</v>
      </c>
      <c r="O18" s="33" t="s">
        <v>33</v>
      </c>
      <c r="P18" s="27" t="s">
        <v>33</v>
      </c>
      <c r="Q18" s="33" t="s">
        <v>33</v>
      </c>
      <c r="R18" s="27">
        <v>100</v>
      </c>
      <c r="S18" s="27">
        <v>0.5</v>
      </c>
      <c r="T18" s="27">
        <v>0</v>
      </c>
      <c r="U18" s="27">
        <v>0</v>
      </c>
    </row>
    <row r="19" spans="1:21" ht="10.8" thickBot="1" x14ac:dyDescent="0.25">
      <c r="A19" s="28" t="s">
        <v>39</v>
      </c>
      <c r="B19" s="28" t="s">
        <v>40</v>
      </c>
      <c r="C19" s="28" t="s">
        <v>41</v>
      </c>
      <c r="D19" s="28" t="s">
        <v>210</v>
      </c>
      <c r="E19" s="28" t="s">
        <v>271</v>
      </c>
      <c r="F19" s="28" t="s">
        <v>211</v>
      </c>
      <c r="G19" s="29" t="s">
        <v>64</v>
      </c>
      <c r="H19" s="30" t="s">
        <v>31</v>
      </c>
      <c r="I19" s="30" t="s">
        <v>55</v>
      </c>
      <c r="J19" s="31" t="s">
        <v>56</v>
      </c>
      <c r="K19" s="36">
        <v>0.5</v>
      </c>
      <c r="L19" s="36" t="s">
        <v>63</v>
      </c>
      <c r="M19" s="27">
        <v>2020</v>
      </c>
      <c r="N19" s="27" t="s">
        <v>51</v>
      </c>
      <c r="O19" s="33" t="s">
        <v>46</v>
      </c>
      <c r="P19" s="27" t="s">
        <v>49</v>
      </c>
      <c r="Q19" s="33" t="s">
        <v>46</v>
      </c>
      <c r="R19" s="27">
        <v>60</v>
      </c>
      <c r="S19" s="27">
        <v>0.3</v>
      </c>
      <c r="T19" s="27">
        <v>0.1</v>
      </c>
      <c r="U19" s="27">
        <v>0.1</v>
      </c>
    </row>
    <row r="20" spans="1:21" x14ac:dyDescent="0.2">
      <c r="A20" s="27" t="s">
        <v>212</v>
      </c>
      <c r="B20" s="27" t="s">
        <v>213</v>
      </c>
      <c r="C20" s="27" t="s">
        <v>214</v>
      </c>
      <c r="D20" s="27" t="s">
        <v>215</v>
      </c>
      <c r="E20" s="27" t="s">
        <v>216</v>
      </c>
      <c r="F20" s="27" t="s">
        <v>217</v>
      </c>
      <c r="G20" s="27" t="s">
        <v>218</v>
      </c>
      <c r="H20" s="27" t="s">
        <v>31</v>
      </c>
      <c r="I20" s="27" t="s">
        <v>55</v>
      </c>
      <c r="J20" s="27" t="s">
        <v>56</v>
      </c>
      <c r="K20" s="36">
        <v>0.5</v>
      </c>
      <c r="L20" s="36" t="s">
        <v>63</v>
      </c>
      <c r="M20" s="27">
        <v>2020</v>
      </c>
      <c r="N20" s="27" t="s">
        <v>49</v>
      </c>
      <c r="O20" s="33" t="s">
        <v>46</v>
      </c>
      <c r="P20" s="27" t="s">
        <v>33</v>
      </c>
      <c r="Q20" s="33" t="s">
        <v>33</v>
      </c>
      <c r="R20" s="27">
        <v>80</v>
      </c>
      <c r="S20" s="27">
        <v>0.4</v>
      </c>
      <c r="T20" s="27">
        <v>0.1</v>
      </c>
      <c r="U20" s="27">
        <v>0</v>
      </c>
    </row>
    <row r="21" spans="1:21" x14ac:dyDescent="0.2">
      <c r="A21" s="27" t="s">
        <v>219</v>
      </c>
      <c r="B21" s="27" t="s">
        <v>220</v>
      </c>
      <c r="C21" s="27" t="s">
        <v>41</v>
      </c>
      <c r="D21" s="27" t="s">
        <v>221</v>
      </c>
      <c r="E21" s="27" t="s">
        <v>222</v>
      </c>
      <c r="F21" s="27" t="s">
        <v>223</v>
      </c>
      <c r="G21" s="27" t="s">
        <v>224</v>
      </c>
      <c r="H21" s="27" t="s">
        <v>34</v>
      </c>
      <c r="I21" s="27" t="s">
        <v>55</v>
      </c>
      <c r="J21" s="27" t="s">
        <v>56</v>
      </c>
      <c r="K21" s="36">
        <v>1</v>
      </c>
      <c r="L21" s="36" t="s">
        <v>63</v>
      </c>
      <c r="M21" s="27">
        <v>2020</v>
      </c>
      <c r="N21" s="27" t="s">
        <v>33</v>
      </c>
      <c r="O21" s="33" t="s">
        <v>33</v>
      </c>
      <c r="P21" s="27" t="s">
        <v>33</v>
      </c>
      <c r="Q21" s="33" t="s">
        <v>33</v>
      </c>
      <c r="R21" s="27">
        <v>100</v>
      </c>
      <c r="S21" s="27">
        <v>1</v>
      </c>
      <c r="T21" s="27">
        <v>0</v>
      </c>
      <c r="U21" s="27">
        <v>0</v>
      </c>
    </row>
    <row r="22" spans="1:21" x14ac:dyDescent="0.2">
      <c r="A22" s="27" t="s">
        <v>188</v>
      </c>
      <c r="B22" s="27" t="s">
        <v>189</v>
      </c>
      <c r="C22" s="27" t="s">
        <v>190</v>
      </c>
      <c r="D22" s="27" t="s">
        <v>272</v>
      </c>
      <c r="E22" s="27" t="s">
        <v>273</v>
      </c>
      <c r="F22" s="27" t="s">
        <v>274</v>
      </c>
      <c r="G22" s="27" t="s">
        <v>79</v>
      </c>
      <c r="H22" s="27" t="s">
        <v>31</v>
      </c>
      <c r="I22" s="27" t="s">
        <v>55</v>
      </c>
      <c r="J22" s="27" t="s">
        <v>56</v>
      </c>
      <c r="K22" s="36">
        <v>0.5</v>
      </c>
      <c r="L22" s="36" t="s">
        <v>63</v>
      </c>
      <c r="M22" s="27">
        <v>2021</v>
      </c>
      <c r="N22" s="27" t="s">
        <v>37</v>
      </c>
      <c r="O22" s="33" t="s">
        <v>45</v>
      </c>
      <c r="P22" s="27" t="s">
        <v>33</v>
      </c>
      <c r="Q22" s="33" t="s">
        <v>33</v>
      </c>
      <c r="R22" s="27">
        <v>70</v>
      </c>
      <c r="S22" s="27">
        <v>0.35</v>
      </c>
      <c r="T22" s="27">
        <v>0.15</v>
      </c>
      <c r="U22" s="27">
        <v>0</v>
      </c>
    </row>
    <row r="23" spans="1:21" x14ac:dyDescent="0.2">
      <c r="A23" s="27" t="s">
        <v>47</v>
      </c>
      <c r="B23" s="27" t="s">
        <v>48</v>
      </c>
      <c r="C23" s="27" t="s">
        <v>50</v>
      </c>
      <c r="D23" s="27" t="s">
        <v>275</v>
      </c>
      <c r="E23" s="27" t="s">
        <v>276</v>
      </c>
      <c r="F23" s="27" t="s">
        <v>277</v>
      </c>
      <c r="G23" s="27" t="s">
        <v>278</v>
      </c>
      <c r="H23" s="27" t="s">
        <v>34</v>
      </c>
      <c r="I23" s="27" t="s">
        <v>55</v>
      </c>
      <c r="J23" s="27" t="s">
        <v>56</v>
      </c>
      <c r="K23" s="36">
        <v>1</v>
      </c>
      <c r="L23" s="36" t="s">
        <v>63</v>
      </c>
      <c r="M23" s="27">
        <v>2021</v>
      </c>
      <c r="N23" s="27" t="s">
        <v>33</v>
      </c>
      <c r="O23" s="33" t="s">
        <v>33</v>
      </c>
      <c r="P23" s="27" t="s">
        <v>33</v>
      </c>
      <c r="Q23" s="33" t="s">
        <v>33</v>
      </c>
      <c r="R23" s="27">
        <v>100</v>
      </c>
      <c r="S23" s="27">
        <v>1</v>
      </c>
      <c r="T23" s="27">
        <v>0</v>
      </c>
      <c r="U23" s="27">
        <v>0</v>
      </c>
    </row>
    <row r="24" spans="1:21" x14ac:dyDescent="0.2">
      <c r="A24" s="27" t="s">
        <v>39</v>
      </c>
      <c r="B24" s="27" t="s">
        <v>40</v>
      </c>
      <c r="C24" s="27" t="s">
        <v>41</v>
      </c>
      <c r="D24" s="27" t="s">
        <v>279</v>
      </c>
      <c r="E24" s="27" t="s">
        <v>280</v>
      </c>
      <c r="F24" s="27" t="s">
        <v>281</v>
      </c>
      <c r="G24" s="27" t="s">
        <v>65</v>
      </c>
      <c r="H24" s="27" t="s">
        <v>34</v>
      </c>
      <c r="I24" s="27" t="s">
        <v>55</v>
      </c>
      <c r="J24" s="27" t="s">
        <v>56</v>
      </c>
      <c r="K24" s="36">
        <v>1</v>
      </c>
      <c r="L24" s="36" t="s">
        <v>63</v>
      </c>
      <c r="M24" s="27">
        <v>2021</v>
      </c>
      <c r="N24" s="27" t="s">
        <v>37</v>
      </c>
      <c r="O24" s="33" t="s">
        <v>45</v>
      </c>
      <c r="P24" s="27" t="s">
        <v>33</v>
      </c>
      <c r="Q24" s="33" t="s">
        <v>33</v>
      </c>
      <c r="R24" s="27">
        <v>70</v>
      </c>
      <c r="S24" s="27">
        <v>0.7</v>
      </c>
      <c r="T24" s="27">
        <v>0.3</v>
      </c>
      <c r="U24" s="27">
        <v>0</v>
      </c>
    </row>
    <row r="25" spans="1:2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14"/>
      <c r="Q25" s="15"/>
      <c r="R25" s="14"/>
      <c r="S25" s="16">
        <f>SUM(S2:S24)</f>
        <v>14.25</v>
      </c>
      <c r="T25" s="14"/>
      <c r="U25" s="14"/>
    </row>
  </sheetData>
  <autoFilter ref="A1:U24" xr:uid="{00000000-0009-0000-0000-000000000000}">
    <sortState xmlns:xlrd2="http://schemas.microsoft.com/office/spreadsheetml/2017/richdata2" ref="A2:T1909">
      <sortCondition ref="K2:K1909"/>
      <sortCondition ref="L2:L1909"/>
      <sortCondition ref="D2:D1909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2"/>
  <sheetViews>
    <sheetView topLeftCell="A7" zoomScaleNormal="100" workbookViewId="0">
      <selection activeCell="A32" sqref="A32:S32"/>
    </sheetView>
  </sheetViews>
  <sheetFormatPr baseColWidth="10" defaultColWidth="11.44140625" defaultRowHeight="13.2" x14ac:dyDescent="0.25"/>
  <cols>
    <col min="1" max="1" width="10.5546875" style="21" bestFit="1" customWidth="1"/>
    <col min="2" max="2" width="45.44140625" style="21" bestFit="1" customWidth="1"/>
    <col min="3" max="3" width="17" style="21" bestFit="1" customWidth="1"/>
    <col min="4" max="9" width="3.33203125" style="21" bestFit="1" customWidth="1"/>
    <col min="10" max="10" width="13.109375" style="21" bestFit="1" customWidth="1"/>
    <col min="11" max="11" width="5.33203125" style="21" bestFit="1" customWidth="1"/>
    <col min="12" max="13" width="5.6640625" style="21" bestFit="1" customWidth="1"/>
    <col min="14" max="14" width="5.6640625" style="22" bestFit="1" customWidth="1"/>
    <col min="15" max="15" width="5.6640625" style="21" bestFit="1" customWidth="1"/>
    <col min="16" max="16" width="5.6640625" style="22" bestFit="1" customWidth="1"/>
    <col min="17" max="19" width="5.6640625" style="21" bestFit="1" customWidth="1"/>
    <col min="20" max="16384" width="11.44140625" style="21"/>
  </cols>
  <sheetData>
    <row r="1" spans="1:19" s="20" customFormat="1" ht="60" customHeight="1" x14ac:dyDescent="0.25">
      <c r="A1" s="23" t="s">
        <v>90</v>
      </c>
      <c r="B1" s="23" t="s">
        <v>91</v>
      </c>
      <c r="C1" s="23" t="s">
        <v>92</v>
      </c>
      <c r="D1" s="24">
        <v>2017</v>
      </c>
      <c r="E1" s="24">
        <v>2018</v>
      </c>
      <c r="F1" s="24">
        <v>2019</v>
      </c>
      <c r="G1" s="24">
        <v>2020</v>
      </c>
      <c r="H1" s="24">
        <v>2021</v>
      </c>
      <c r="I1" s="24">
        <v>2022</v>
      </c>
      <c r="J1" s="23" t="s">
        <v>93</v>
      </c>
      <c r="K1" s="41" t="s">
        <v>175</v>
      </c>
      <c r="L1" s="18" t="s">
        <v>94</v>
      </c>
      <c r="M1" s="18" t="s">
        <v>95</v>
      </c>
      <c r="N1" s="18" t="s">
        <v>96</v>
      </c>
      <c r="O1" s="18" t="s">
        <v>97</v>
      </c>
      <c r="P1" s="19" t="s">
        <v>98</v>
      </c>
      <c r="Q1" s="19" t="s">
        <v>99</v>
      </c>
      <c r="R1" s="19" t="s">
        <v>100</v>
      </c>
      <c r="S1" s="19" t="s">
        <v>101</v>
      </c>
    </row>
    <row r="2" spans="1:19" ht="14.4" x14ac:dyDescent="0.3">
      <c r="A2" s="25" t="s">
        <v>132</v>
      </c>
      <c r="B2" s="25" t="s">
        <v>133</v>
      </c>
      <c r="C2" s="25" t="s">
        <v>103</v>
      </c>
      <c r="D2" s="25"/>
      <c r="E2" s="25"/>
      <c r="F2" s="25"/>
      <c r="G2" s="25"/>
      <c r="H2" s="25">
        <v>1</v>
      </c>
      <c r="I2" s="25"/>
      <c r="J2" s="25">
        <v>1</v>
      </c>
      <c r="K2" s="25" t="s">
        <v>63</v>
      </c>
      <c r="L2" s="26">
        <v>0</v>
      </c>
      <c r="M2" s="26">
        <v>0</v>
      </c>
      <c r="N2" s="26" t="s">
        <v>33</v>
      </c>
      <c r="O2" s="26" t="s">
        <v>33</v>
      </c>
      <c r="P2" s="26">
        <v>100</v>
      </c>
      <c r="Q2" s="26">
        <v>0</v>
      </c>
      <c r="R2" s="26">
        <v>0</v>
      </c>
      <c r="S2" s="26">
        <v>1</v>
      </c>
    </row>
    <row r="3" spans="1:19" ht="14.4" x14ac:dyDescent="0.3">
      <c r="A3" s="38" t="s">
        <v>173</v>
      </c>
      <c r="B3" s="38" t="s">
        <v>174</v>
      </c>
      <c r="C3" s="39" t="s">
        <v>102</v>
      </c>
      <c r="D3" s="38"/>
      <c r="E3" s="38"/>
      <c r="F3" s="38"/>
      <c r="G3" s="38">
        <v>1</v>
      </c>
      <c r="H3" s="38"/>
      <c r="I3" s="38"/>
      <c r="J3" s="25">
        <v>1</v>
      </c>
      <c r="K3" s="25" t="s">
        <v>63</v>
      </c>
      <c r="L3" s="26">
        <v>0</v>
      </c>
      <c r="M3" s="26">
        <v>0</v>
      </c>
      <c r="N3" s="26" t="s">
        <v>33</v>
      </c>
      <c r="O3" s="26" t="s">
        <v>33</v>
      </c>
      <c r="P3" s="26">
        <v>100</v>
      </c>
      <c r="Q3" s="26">
        <v>0</v>
      </c>
      <c r="R3" s="26">
        <v>0</v>
      </c>
      <c r="S3" s="26">
        <v>1</v>
      </c>
    </row>
    <row r="4" spans="1:19" ht="14.4" x14ac:dyDescent="0.3">
      <c r="A4" s="25" t="s">
        <v>282</v>
      </c>
      <c r="B4" s="25" t="s">
        <v>283</v>
      </c>
      <c r="C4" s="25" t="s">
        <v>102</v>
      </c>
      <c r="D4" s="25"/>
      <c r="E4" s="25"/>
      <c r="F4" s="25"/>
      <c r="G4" s="25"/>
      <c r="H4" s="25"/>
      <c r="I4" s="25">
        <v>1</v>
      </c>
      <c r="J4" s="25">
        <v>1</v>
      </c>
      <c r="K4" s="25" t="s">
        <v>63</v>
      </c>
      <c r="L4" s="26" t="s">
        <v>38</v>
      </c>
      <c r="M4" s="26" t="s">
        <v>46</v>
      </c>
      <c r="N4" s="26" t="s">
        <v>33</v>
      </c>
      <c r="O4" s="26" t="s">
        <v>33</v>
      </c>
      <c r="P4" s="26">
        <v>80</v>
      </c>
      <c r="Q4" s="26">
        <v>0.2</v>
      </c>
      <c r="R4" s="26">
        <v>0</v>
      </c>
      <c r="S4" s="26">
        <v>0.8</v>
      </c>
    </row>
    <row r="5" spans="1:19" ht="14.4" x14ac:dyDescent="0.3">
      <c r="A5" s="25" t="s">
        <v>110</v>
      </c>
      <c r="B5" s="25" t="s">
        <v>111</v>
      </c>
      <c r="C5" s="25" t="s">
        <v>102</v>
      </c>
      <c r="D5" s="25"/>
      <c r="E5" s="25">
        <v>1</v>
      </c>
      <c r="F5" s="25"/>
      <c r="G5" s="25"/>
      <c r="H5" s="25">
        <v>1</v>
      </c>
      <c r="I5" s="25"/>
      <c r="J5" s="25">
        <v>2</v>
      </c>
      <c r="K5" s="25" t="s">
        <v>63</v>
      </c>
      <c r="L5" s="26" t="s">
        <v>38</v>
      </c>
      <c r="M5" s="26" t="s">
        <v>46</v>
      </c>
      <c r="N5" s="26" t="s">
        <v>51</v>
      </c>
      <c r="O5" s="26" t="s">
        <v>35</v>
      </c>
      <c r="P5" s="26">
        <v>70</v>
      </c>
      <c r="Q5" s="26">
        <v>0.4</v>
      </c>
      <c r="R5" s="26">
        <v>0.2</v>
      </c>
      <c r="S5" s="26">
        <v>1.4</v>
      </c>
    </row>
    <row r="6" spans="1:19" ht="14.4" x14ac:dyDescent="0.3">
      <c r="A6" s="25" t="s">
        <v>144</v>
      </c>
      <c r="B6" s="25" t="s">
        <v>145</v>
      </c>
      <c r="C6" s="25" t="s">
        <v>102</v>
      </c>
      <c r="D6" s="25"/>
      <c r="E6" s="25"/>
      <c r="F6" s="25">
        <v>1</v>
      </c>
      <c r="G6" s="25"/>
      <c r="H6" s="25"/>
      <c r="I6" s="25">
        <v>1</v>
      </c>
      <c r="J6" s="25">
        <v>2</v>
      </c>
      <c r="K6" s="25" t="s">
        <v>63</v>
      </c>
      <c r="L6" s="26" t="s">
        <v>37</v>
      </c>
      <c r="M6" s="26" t="s">
        <v>45</v>
      </c>
      <c r="N6" s="26" t="s">
        <v>33</v>
      </c>
      <c r="O6" s="26" t="s">
        <v>33</v>
      </c>
      <c r="P6" s="26">
        <v>70</v>
      </c>
      <c r="Q6" s="26">
        <v>0.6</v>
      </c>
      <c r="R6" s="26">
        <v>0</v>
      </c>
      <c r="S6" s="26">
        <v>1.4</v>
      </c>
    </row>
    <row r="7" spans="1:19" ht="14.4" x14ac:dyDescent="0.3">
      <c r="A7" s="25" t="s">
        <v>126</v>
      </c>
      <c r="B7" s="25" t="s">
        <v>127</v>
      </c>
      <c r="C7" s="25" t="s">
        <v>102</v>
      </c>
      <c r="D7" s="25">
        <v>1</v>
      </c>
      <c r="E7" s="25"/>
      <c r="F7" s="25">
        <v>1</v>
      </c>
      <c r="G7" s="25"/>
      <c r="H7" s="25"/>
      <c r="I7" s="25"/>
      <c r="J7" s="25">
        <v>2</v>
      </c>
      <c r="K7" s="25" t="s">
        <v>63</v>
      </c>
      <c r="L7" s="26">
        <v>0</v>
      </c>
      <c r="M7" s="26">
        <v>0</v>
      </c>
      <c r="N7" s="26" t="s">
        <v>33</v>
      </c>
      <c r="O7" s="26" t="s">
        <v>33</v>
      </c>
      <c r="P7" s="26">
        <v>100</v>
      </c>
      <c r="Q7" s="26">
        <v>0</v>
      </c>
      <c r="R7" s="26">
        <v>0</v>
      </c>
      <c r="S7" s="26">
        <v>2</v>
      </c>
    </row>
    <row r="8" spans="1:19" ht="14.4" x14ac:dyDescent="0.3">
      <c r="A8" s="25" t="s">
        <v>142</v>
      </c>
      <c r="B8" s="25" t="s">
        <v>143</v>
      </c>
      <c r="C8" s="25" t="s">
        <v>102</v>
      </c>
      <c r="D8" s="25"/>
      <c r="E8" s="25"/>
      <c r="F8" s="25"/>
      <c r="G8" s="25"/>
      <c r="H8" s="25">
        <v>1</v>
      </c>
      <c r="I8" s="25">
        <v>1</v>
      </c>
      <c r="J8" s="25">
        <v>2</v>
      </c>
      <c r="K8" s="25" t="s">
        <v>63</v>
      </c>
      <c r="L8" s="26" t="s">
        <v>49</v>
      </c>
      <c r="M8" s="26" t="s">
        <v>46</v>
      </c>
      <c r="N8" s="26" t="s">
        <v>33</v>
      </c>
      <c r="O8" s="26" t="s">
        <v>33</v>
      </c>
      <c r="P8" s="26">
        <v>80</v>
      </c>
      <c r="Q8" s="26">
        <v>0.4</v>
      </c>
      <c r="R8" s="26">
        <v>0</v>
      </c>
      <c r="S8" s="26">
        <v>1.6</v>
      </c>
    </row>
    <row r="9" spans="1:19" ht="14.4" x14ac:dyDescent="0.3">
      <c r="A9" s="25" t="s">
        <v>128</v>
      </c>
      <c r="B9" s="25" t="s">
        <v>129</v>
      </c>
      <c r="C9" s="25" t="s">
        <v>102</v>
      </c>
      <c r="D9" s="25"/>
      <c r="E9" s="25">
        <v>2</v>
      </c>
      <c r="F9" s="25"/>
      <c r="G9" s="25"/>
      <c r="H9" s="25"/>
      <c r="I9" s="25"/>
      <c r="J9" s="25">
        <v>2</v>
      </c>
      <c r="K9" s="25" t="s">
        <v>63</v>
      </c>
      <c r="L9" s="26" t="s">
        <v>51</v>
      </c>
      <c r="M9" s="26" t="s">
        <v>35</v>
      </c>
      <c r="N9" s="26" t="s">
        <v>33</v>
      </c>
      <c r="O9" s="26" t="s">
        <v>33</v>
      </c>
      <c r="P9" s="26">
        <v>90</v>
      </c>
      <c r="Q9" s="26">
        <v>0.2</v>
      </c>
      <c r="R9" s="26">
        <v>0</v>
      </c>
      <c r="S9" s="26">
        <v>1.8</v>
      </c>
    </row>
    <row r="10" spans="1:19" ht="14.4" x14ac:dyDescent="0.3">
      <c r="A10" s="25" t="s">
        <v>176</v>
      </c>
      <c r="B10" s="25" t="s">
        <v>177</v>
      </c>
      <c r="C10" s="25" t="s">
        <v>103</v>
      </c>
      <c r="D10" s="25"/>
      <c r="E10" s="25"/>
      <c r="F10" s="25"/>
      <c r="G10" s="25"/>
      <c r="H10" s="25"/>
      <c r="I10" s="25">
        <v>1</v>
      </c>
      <c r="J10" s="25">
        <v>1</v>
      </c>
      <c r="K10" s="25" t="s">
        <v>63</v>
      </c>
      <c r="L10" s="26" t="s">
        <v>37</v>
      </c>
      <c r="M10" s="26" t="s">
        <v>45</v>
      </c>
      <c r="N10" s="26" t="s">
        <v>33</v>
      </c>
      <c r="O10" s="26" t="s">
        <v>33</v>
      </c>
      <c r="P10" s="26">
        <v>70</v>
      </c>
      <c r="Q10" s="26">
        <v>0.3</v>
      </c>
      <c r="R10" s="26">
        <v>0</v>
      </c>
      <c r="S10" s="26">
        <v>0.7</v>
      </c>
    </row>
    <row r="11" spans="1:19" ht="14.4" x14ac:dyDescent="0.3">
      <c r="A11" s="25" t="s">
        <v>136</v>
      </c>
      <c r="B11" s="25" t="s">
        <v>137</v>
      </c>
      <c r="C11" s="25" t="s">
        <v>102</v>
      </c>
      <c r="D11" s="25"/>
      <c r="E11" s="25">
        <v>1</v>
      </c>
      <c r="F11" s="25"/>
      <c r="G11" s="25">
        <v>1</v>
      </c>
      <c r="H11" s="25"/>
      <c r="I11" s="25"/>
      <c r="J11" s="25">
        <v>2</v>
      </c>
      <c r="K11" s="25" t="s">
        <v>63</v>
      </c>
      <c r="L11" s="26" t="s">
        <v>37</v>
      </c>
      <c r="M11" s="26" t="s">
        <v>45</v>
      </c>
      <c r="N11" s="26" t="s">
        <v>33</v>
      </c>
      <c r="O11" s="26" t="s">
        <v>33</v>
      </c>
      <c r="P11" s="26">
        <v>70</v>
      </c>
      <c r="Q11" s="26">
        <v>0.6</v>
      </c>
      <c r="R11" s="26">
        <v>0</v>
      </c>
      <c r="S11" s="26">
        <v>1.4</v>
      </c>
    </row>
    <row r="12" spans="1:19" ht="14.4" x14ac:dyDescent="0.3">
      <c r="A12" s="25" t="s">
        <v>130</v>
      </c>
      <c r="B12" s="25" t="s">
        <v>131</v>
      </c>
      <c r="C12" s="25" t="s">
        <v>102</v>
      </c>
      <c r="D12" s="25"/>
      <c r="E12" s="25"/>
      <c r="F12" s="25"/>
      <c r="G12" s="25">
        <v>1</v>
      </c>
      <c r="H12" s="25"/>
      <c r="I12" s="25"/>
      <c r="J12" s="25">
        <v>1</v>
      </c>
      <c r="K12" s="25" t="s">
        <v>63</v>
      </c>
      <c r="L12" s="26" t="s">
        <v>51</v>
      </c>
      <c r="M12" s="26" t="s">
        <v>46</v>
      </c>
      <c r="N12" s="26" t="s">
        <v>49</v>
      </c>
      <c r="O12" s="26" t="s">
        <v>46</v>
      </c>
      <c r="P12" s="26">
        <v>60</v>
      </c>
      <c r="Q12" s="26">
        <v>0.2</v>
      </c>
      <c r="R12" s="26">
        <v>0.2</v>
      </c>
      <c r="S12" s="26">
        <v>0.6</v>
      </c>
    </row>
    <row r="13" spans="1:19" ht="14.4" x14ac:dyDescent="0.3">
      <c r="A13" s="25" t="s">
        <v>178</v>
      </c>
      <c r="B13" s="25" t="s">
        <v>179</v>
      </c>
      <c r="C13" s="25" t="s">
        <v>103</v>
      </c>
      <c r="D13" s="25"/>
      <c r="E13" s="25"/>
      <c r="F13" s="25"/>
      <c r="G13" s="25"/>
      <c r="H13" s="25">
        <v>1</v>
      </c>
      <c r="I13" s="25"/>
      <c r="J13" s="25">
        <v>1</v>
      </c>
      <c r="K13" s="25" t="s">
        <v>63</v>
      </c>
      <c r="L13" s="26">
        <v>0</v>
      </c>
      <c r="M13" s="26">
        <v>0</v>
      </c>
      <c r="N13" s="26" t="s">
        <v>33</v>
      </c>
      <c r="O13" s="26" t="s">
        <v>33</v>
      </c>
      <c r="P13" s="26">
        <v>100</v>
      </c>
      <c r="Q13" s="26">
        <v>0</v>
      </c>
      <c r="R13" s="26">
        <v>0</v>
      </c>
      <c r="S13" s="26">
        <v>1</v>
      </c>
    </row>
    <row r="14" spans="1:19" ht="14.4" x14ac:dyDescent="0.3">
      <c r="A14" s="25" t="s">
        <v>284</v>
      </c>
      <c r="B14" s="25" t="s">
        <v>285</v>
      </c>
      <c r="C14" s="25" t="s">
        <v>103</v>
      </c>
      <c r="D14" s="25"/>
      <c r="E14" s="25"/>
      <c r="F14" s="25"/>
      <c r="G14" s="25"/>
      <c r="H14" s="25"/>
      <c r="I14" s="25">
        <v>1</v>
      </c>
      <c r="J14" s="25">
        <v>1</v>
      </c>
      <c r="K14" s="25" t="s">
        <v>63</v>
      </c>
      <c r="L14" s="26">
        <v>0</v>
      </c>
      <c r="M14" s="26">
        <v>0</v>
      </c>
      <c r="N14" s="26" t="s">
        <v>33</v>
      </c>
      <c r="O14" s="26" t="s">
        <v>33</v>
      </c>
      <c r="P14" s="26">
        <v>100</v>
      </c>
      <c r="Q14" s="26">
        <v>0</v>
      </c>
      <c r="R14" s="26">
        <v>0</v>
      </c>
      <c r="S14" s="26">
        <v>1</v>
      </c>
    </row>
    <row r="15" spans="1:19" ht="14.4" x14ac:dyDescent="0.3">
      <c r="A15" s="25" t="s">
        <v>108</v>
      </c>
      <c r="B15" s="25" t="s">
        <v>109</v>
      </c>
      <c r="C15" s="25" t="s">
        <v>102</v>
      </c>
      <c r="D15" s="25"/>
      <c r="E15" s="25"/>
      <c r="F15" s="25">
        <v>1</v>
      </c>
      <c r="G15" s="25"/>
      <c r="H15" s="25"/>
      <c r="I15" s="25"/>
      <c r="J15" s="25">
        <v>1</v>
      </c>
      <c r="K15" s="25" t="s">
        <v>63</v>
      </c>
      <c r="L15" s="26">
        <v>0</v>
      </c>
      <c r="M15" s="26">
        <v>0</v>
      </c>
      <c r="N15" s="26" t="s">
        <v>33</v>
      </c>
      <c r="O15" s="26" t="s">
        <v>33</v>
      </c>
      <c r="P15" s="26">
        <v>100</v>
      </c>
      <c r="Q15" s="26">
        <v>0</v>
      </c>
      <c r="R15" s="26">
        <v>0</v>
      </c>
      <c r="S15" s="26">
        <v>1</v>
      </c>
    </row>
    <row r="16" spans="1:19" ht="14.4" x14ac:dyDescent="0.3">
      <c r="A16" s="25" t="s">
        <v>118</v>
      </c>
      <c r="B16" s="25" t="s">
        <v>119</v>
      </c>
      <c r="C16" s="25" t="s">
        <v>102</v>
      </c>
      <c r="D16" s="25"/>
      <c r="E16" s="25"/>
      <c r="F16" s="25"/>
      <c r="G16" s="25">
        <v>1</v>
      </c>
      <c r="H16" s="25"/>
      <c r="I16" s="25"/>
      <c r="J16" s="25">
        <v>1</v>
      </c>
      <c r="K16" s="25" t="s">
        <v>63</v>
      </c>
      <c r="L16" s="26" t="s">
        <v>37</v>
      </c>
      <c r="M16" s="26" t="s">
        <v>32</v>
      </c>
      <c r="N16" s="26" t="s">
        <v>33</v>
      </c>
      <c r="O16" s="26" t="s">
        <v>33</v>
      </c>
      <c r="P16" s="26">
        <v>50</v>
      </c>
      <c r="Q16" s="26">
        <v>0.5</v>
      </c>
      <c r="R16" s="26">
        <v>0</v>
      </c>
      <c r="S16" s="26">
        <v>0.5</v>
      </c>
    </row>
    <row r="17" spans="1:19" ht="14.4" x14ac:dyDescent="0.3">
      <c r="A17" s="25" t="s">
        <v>138</v>
      </c>
      <c r="B17" s="25" t="s">
        <v>139</v>
      </c>
      <c r="C17" s="25" t="s">
        <v>102</v>
      </c>
      <c r="D17" s="25"/>
      <c r="E17" s="25">
        <v>1</v>
      </c>
      <c r="F17" s="25"/>
      <c r="G17" s="25"/>
      <c r="H17" s="25"/>
      <c r="I17" s="25"/>
      <c r="J17" s="25">
        <v>1</v>
      </c>
      <c r="K17" s="25" t="s">
        <v>63</v>
      </c>
      <c r="L17" s="26">
        <v>0</v>
      </c>
      <c r="M17" s="26">
        <v>0</v>
      </c>
      <c r="N17" s="26" t="s">
        <v>33</v>
      </c>
      <c r="O17" s="26" t="s">
        <v>33</v>
      </c>
      <c r="P17" s="26">
        <v>100</v>
      </c>
      <c r="Q17" s="26">
        <v>0</v>
      </c>
      <c r="R17" s="26">
        <v>0</v>
      </c>
      <c r="S17" s="26">
        <v>1</v>
      </c>
    </row>
    <row r="18" spans="1:19" ht="14.4" x14ac:dyDescent="0.3">
      <c r="A18" s="25" t="s">
        <v>122</v>
      </c>
      <c r="B18" s="25" t="s">
        <v>123</v>
      </c>
      <c r="C18" s="25" t="s">
        <v>102</v>
      </c>
      <c r="D18" s="25"/>
      <c r="E18" s="25"/>
      <c r="F18" s="25">
        <v>1</v>
      </c>
      <c r="G18" s="25">
        <v>1</v>
      </c>
      <c r="H18" s="25"/>
      <c r="I18" s="25"/>
      <c r="J18" s="25">
        <v>2</v>
      </c>
      <c r="K18" s="25" t="s">
        <v>63</v>
      </c>
      <c r="L18" s="26">
        <v>0</v>
      </c>
      <c r="M18" s="26">
        <v>0</v>
      </c>
      <c r="N18" s="26" t="s">
        <v>33</v>
      </c>
      <c r="O18" s="26" t="s">
        <v>33</v>
      </c>
      <c r="P18" s="26">
        <v>100</v>
      </c>
      <c r="Q18" s="26">
        <v>0</v>
      </c>
      <c r="R18" s="26">
        <v>0</v>
      </c>
      <c r="S18" s="26">
        <v>2</v>
      </c>
    </row>
    <row r="19" spans="1:19" ht="14.4" x14ac:dyDescent="0.3">
      <c r="A19" s="25" t="s">
        <v>114</v>
      </c>
      <c r="B19" s="25" t="s">
        <v>115</v>
      </c>
      <c r="C19" s="25" t="s">
        <v>102</v>
      </c>
      <c r="D19" s="25"/>
      <c r="E19" s="25"/>
      <c r="F19" s="25"/>
      <c r="G19" s="25"/>
      <c r="H19" s="25">
        <v>2</v>
      </c>
      <c r="I19" s="25"/>
      <c r="J19" s="25">
        <v>2</v>
      </c>
      <c r="K19" s="25" t="s">
        <v>63</v>
      </c>
      <c r="L19" s="26">
        <v>0</v>
      </c>
      <c r="M19" s="26">
        <v>0</v>
      </c>
      <c r="N19" s="26" t="s">
        <v>33</v>
      </c>
      <c r="O19" s="26" t="s">
        <v>33</v>
      </c>
      <c r="P19" s="26">
        <v>100</v>
      </c>
      <c r="Q19" s="26">
        <v>0</v>
      </c>
      <c r="R19" s="26">
        <v>0</v>
      </c>
      <c r="S19" s="26">
        <v>2</v>
      </c>
    </row>
    <row r="20" spans="1:19" ht="14.4" x14ac:dyDescent="0.3">
      <c r="A20" s="25" t="s">
        <v>104</v>
      </c>
      <c r="B20" s="25" t="s">
        <v>105</v>
      </c>
      <c r="C20" s="25" t="s">
        <v>102</v>
      </c>
      <c r="D20" s="25"/>
      <c r="E20" s="25">
        <v>1</v>
      </c>
      <c r="F20" s="25"/>
      <c r="G20" s="25">
        <v>1</v>
      </c>
      <c r="H20" s="25"/>
      <c r="I20" s="25"/>
      <c r="J20" s="25">
        <v>2</v>
      </c>
      <c r="K20" s="25" t="s">
        <v>63</v>
      </c>
      <c r="L20" s="26" t="s">
        <v>37</v>
      </c>
      <c r="M20" s="26" t="s">
        <v>45</v>
      </c>
      <c r="N20" s="26" t="s">
        <v>33</v>
      </c>
      <c r="O20" s="26" t="s">
        <v>33</v>
      </c>
      <c r="P20" s="26">
        <v>70</v>
      </c>
      <c r="Q20" s="26">
        <v>0.6</v>
      </c>
      <c r="R20" s="26">
        <v>0</v>
      </c>
      <c r="S20" s="26">
        <v>1.4</v>
      </c>
    </row>
    <row r="21" spans="1:19" ht="14.4" x14ac:dyDescent="0.3">
      <c r="A21" s="25" t="s">
        <v>180</v>
      </c>
      <c r="B21" s="25" t="s">
        <v>181</v>
      </c>
      <c r="C21" s="25" t="s">
        <v>102</v>
      </c>
      <c r="D21" s="25">
        <v>1</v>
      </c>
      <c r="E21" s="25"/>
      <c r="F21" s="25">
        <v>1</v>
      </c>
      <c r="G21" s="25"/>
      <c r="H21" s="25"/>
      <c r="I21" s="25"/>
      <c r="J21" s="25">
        <v>2</v>
      </c>
      <c r="K21" s="25" t="s">
        <v>63</v>
      </c>
      <c r="L21" s="26" t="s">
        <v>49</v>
      </c>
      <c r="M21" s="26" t="s">
        <v>45</v>
      </c>
      <c r="N21" s="26" t="s">
        <v>33</v>
      </c>
      <c r="O21" s="26" t="s">
        <v>33</v>
      </c>
      <c r="P21" s="26">
        <v>70</v>
      </c>
      <c r="Q21" s="26">
        <v>0.6</v>
      </c>
      <c r="R21" s="26">
        <v>0</v>
      </c>
      <c r="S21" s="26">
        <v>1.4</v>
      </c>
    </row>
    <row r="22" spans="1:19" ht="14.4" x14ac:dyDescent="0.3">
      <c r="A22" s="25" t="s">
        <v>182</v>
      </c>
      <c r="B22" s="25" t="s">
        <v>183</v>
      </c>
      <c r="C22" s="25" t="s">
        <v>102</v>
      </c>
      <c r="D22" s="25"/>
      <c r="E22" s="25"/>
      <c r="F22" s="25"/>
      <c r="G22" s="25"/>
      <c r="H22" s="25">
        <v>1</v>
      </c>
      <c r="I22" s="25"/>
      <c r="J22" s="25">
        <v>1</v>
      </c>
      <c r="K22" s="25" t="s">
        <v>63</v>
      </c>
      <c r="L22" s="26">
        <v>0</v>
      </c>
      <c r="M22" s="26">
        <v>0</v>
      </c>
      <c r="N22" s="26" t="s">
        <v>33</v>
      </c>
      <c r="O22" s="26" t="s">
        <v>33</v>
      </c>
      <c r="P22" s="26">
        <v>100</v>
      </c>
      <c r="Q22" s="26">
        <v>0</v>
      </c>
      <c r="R22" s="26">
        <v>0</v>
      </c>
      <c r="S22" s="26">
        <v>1</v>
      </c>
    </row>
    <row r="23" spans="1:19" ht="14.4" x14ac:dyDescent="0.3">
      <c r="A23" s="25" t="s">
        <v>112</v>
      </c>
      <c r="B23" s="25" t="s">
        <v>113</v>
      </c>
      <c r="C23" s="25" t="s">
        <v>102</v>
      </c>
      <c r="D23" s="25"/>
      <c r="E23" s="25"/>
      <c r="F23" s="25">
        <v>1</v>
      </c>
      <c r="G23" s="25">
        <v>1</v>
      </c>
      <c r="H23" s="25"/>
      <c r="I23" s="25"/>
      <c r="J23" s="25">
        <v>2</v>
      </c>
      <c r="K23" s="25" t="s">
        <v>63</v>
      </c>
      <c r="L23" s="26">
        <v>0</v>
      </c>
      <c r="M23" s="26">
        <v>0</v>
      </c>
      <c r="N23" s="26" t="s">
        <v>33</v>
      </c>
      <c r="O23" s="26" t="s">
        <v>33</v>
      </c>
      <c r="P23" s="26">
        <v>100</v>
      </c>
      <c r="Q23" s="26">
        <v>0</v>
      </c>
      <c r="R23" s="26">
        <v>0</v>
      </c>
      <c r="S23" s="26">
        <v>2</v>
      </c>
    </row>
    <row r="24" spans="1:19" ht="14.4" x14ac:dyDescent="0.3">
      <c r="A24" s="25" t="s">
        <v>116</v>
      </c>
      <c r="B24" s="25" t="s">
        <v>117</v>
      </c>
      <c r="C24" s="25" t="s">
        <v>102</v>
      </c>
      <c r="D24" s="25"/>
      <c r="E24" s="25">
        <v>1</v>
      </c>
      <c r="F24" s="25">
        <v>1</v>
      </c>
      <c r="G24" s="25"/>
      <c r="H24" s="25"/>
      <c r="I24" s="25"/>
      <c r="J24" s="25">
        <v>2</v>
      </c>
      <c r="K24" s="25" t="s">
        <v>63</v>
      </c>
      <c r="L24" s="26" t="s">
        <v>49</v>
      </c>
      <c r="M24" s="26" t="s">
        <v>45</v>
      </c>
      <c r="N24" s="26" t="s">
        <v>33</v>
      </c>
      <c r="O24" s="26" t="s">
        <v>33</v>
      </c>
      <c r="P24" s="26">
        <v>70</v>
      </c>
      <c r="Q24" s="26">
        <v>0.6</v>
      </c>
      <c r="R24" s="26">
        <v>0</v>
      </c>
      <c r="S24" s="26">
        <v>1.4</v>
      </c>
    </row>
    <row r="25" spans="1:19" ht="14.4" x14ac:dyDescent="0.3">
      <c r="A25" s="25" t="s">
        <v>134</v>
      </c>
      <c r="B25" s="25" t="s">
        <v>135</v>
      </c>
      <c r="C25" s="25" t="s">
        <v>102</v>
      </c>
      <c r="D25" s="25"/>
      <c r="E25" s="25"/>
      <c r="F25" s="25">
        <v>1</v>
      </c>
      <c r="G25" s="25"/>
      <c r="H25" s="25"/>
      <c r="I25" s="25">
        <v>1</v>
      </c>
      <c r="J25" s="25">
        <v>2</v>
      </c>
      <c r="K25" s="25" t="s">
        <v>63</v>
      </c>
      <c r="L25" s="26">
        <v>0</v>
      </c>
      <c r="M25" s="26">
        <v>0</v>
      </c>
      <c r="N25" s="26" t="s">
        <v>33</v>
      </c>
      <c r="O25" s="26" t="s">
        <v>33</v>
      </c>
      <c r="P25" s="26">
        <v>100</v>
      </c>
      <c r="Q25" s="26">
        <v>0</v>
      </c>
      <c r="R25" s="26">
        <v>0</v>
      </c>
      <c r="S25" s="26">
        <v>2</v>
      </c>
    </row>
    <row r="26" spans="1:19" ht="14.4" x14ac:dyDescent="0.3">
      <c r="A26" s="25" t="s">
        <v>106</v>
      </c>
      <c r="B26" s="25" t="s">
        <v>107</v>
      </c>
      <c r="C26" s="25" t="s">
        <v>102</v>
      </c>
      <c r="D26" s="25"/>
      <c r="E26" s="25">
        <v>1</v>
      </c>
      <c r="F26" s="25">
        <v>2</v>
      </c>
      <c r="G26" s="25"/>
      <c r="H26" s="25"/>
      <c r="I26" s="25"/>
      <c r="J26" s="25">
        <v>3</v>
      </c>
      <c r="K26" s="25" t="s">
        <v>63</v>
      </c>
      <c r="L26" s="26">
        <v>0</v>
      </c>
      <c r="M26" s="26">
        <v>0</v>
      </c>
      <c r="N26" s="26" t="s">
        <v>33</v>
      </c>
      <c r="O26" s="26" t="s">
        <v>33</v>
      </c>
      <c r="P26" s="26">
        <v>100</v>
      </c>
      <c r="Q26" s="26">
        <v>0</v>
      </c>
      <c r="R26" s="26">
        <v>0</v>
      </c>
      <c r="S26" s="26">
        <v>3</v>
      </c>
    </row>
    <row r="27" spans="1:19" ht="14.4" x14ac:dyDescent="0.3">
      <c r="A27" s="25" t="s">
        <v>140</v>
      </c>
      <c r="B27" s="25" t="s">
        <v>141</v>
      </c>
      <c r="C27" s="25" t="s">
        <v>102</v>
      </c>
      <c r="D27" s="25"/>
      <c r="E27" s="25">
        <v>1</v>
      </c>
      <c r="F27" s="25"/>
      <c r="G27" s="25"/>
      <c r="H27" s="25"/>
      <c r="I27" s="25">
        <v>1</v>
      </c>
      <c r="J27" s="25">
        <v>2</v>
      </c>
      <c r="K27" s="25" t="s">
        <v>63</v>
      </c>
      <c r="L27" s="26" t="s">
        <v>49</v>
      </c>
      <c r="M27" s="26" t="s">
        <v>46</v>
      </c>
      <c r="N27" s="26" t="s">
        <v>33</v>
      </c>
      <c r="O27" s="26" t="s">
        <v>33</v>
      </c>
      <c r="P27" s="26">
        <v>80</v>
      </c>
      <c r="Q27" s="26">
        <v>0.4</v>
      </c>
      <c r="R27" s="26">
        <v>0</v>
      </c>
      <c r="S27" s="26">
        <v>1.6</v>
      </c>
    </row>
    <row r="28" spans="1:19" ht="14.4" x14ac:dyDescent="0.3">
      <c r="A28" s="25" t="s">
        <v>120</v>
      </c>
      <c r="B28" s="25" t="s">
        <v>121</v>
      </c>
      <c r="C28" s="25" t="s">
        <v>102</v>
      </c>
      <c r="D28" s="25"/>
      <c r="E28" s="25"/>
      <c r="F28" s="25"/>
      <c r="G28" s="25"/>
      <c r="H28" s="25">
        <v>1</v>
      </c>
      <c r="I28" s="25"/>
      <c r="J28" s="25">
        <v>1</v>
      </c>
      <c r="K28" s="25" t="s">
        <v>63</v>
      </c>
      <c r="L28" s="26">
        <v>0</v>
      </c>
      <c r="M28" s="26">
        <v>0</v>
      </c>
      <c r="N28" s="26" t="s">
        <v>33</v>
      </c>
      <c r="O28" s="26" t="s">
        <v>33</v>
      </c>
      <c r="P28" s="26">
        <v>100</v>
      </c>
      <c r="Q28" s="26">
        <v>0</v>
      </c>
      <c r="R28" s="26">
        <v>0</v>
      </c>
      <c r="S28" s="26">
        <v>1</v>
      </c>
    </row>
    <row r="29" spans="1:19" ht="14.4" x14ac:dyDescent="0.3">
      <c r="A29" s="25" t="s">
        <v>286</v>
      </c>
      <c r="B29" s="25" t="s">
        <v>287</v>
      </c>
      <c r="C29" s="40" t="s">
        <v>103</v>
      </c>
      <c r="D29" s="25"/>
      <c r="E29" s="25"/>
      <c r="F29" s="25"/>
      <c r="G29" s="25"/>
      <c r="H29" s="25"/>
      <c r="I29" s="25">
        <v>1</v>
      </c>
      <c r="J29" s="25">
        <v>1</v>
      </c>
      <c r="K29" s="25" t="s">
        <v>63</v>
      </c>
      <c r="L29" s="26">
        <v>0</v>
      </c>
      <c r="M29" s="26">
        <v>0</v>
      </c>
      <c r="N29" s="26" t="s">
        <v>33</v>
      </c>
      <c r="O29" s="26" t="s">
        <v>33</v>
      </c>
      <c r="P29" s="26">
        <v>100</v>
      </c>
      <c r="Q29" s="26">
        <v>0</v>
      </c>
      <c r="R29" s="26">
        <v>0</v>
      </c>
      <c r="S29" s="26">
        <v>1</v>
      </c>
    </row>
    <row r="30" spans="1:19" ht="14.4" x14ac:dyDescent="0.3">
      <c r="A30" s="25" t="s">
        <v>124</v>
      </c>
      <c r="B30" s="25" t="s">
        <v>125</v>
      </c>
      <c r="C30" s="40" t="s">
        <v>288</v>
      </c>
      <c r="D30" s="25"/>
      <c r="E30" s="25"/>
      <c r="F30" s="25"/>
      <c r="G30" s="25"/>
      <c r="H30" s="25"/>
      <c r="I30" s="25">
        <v>1</v>
      </c>
      <c r="J30" s="25">
        <v>1</v>
      </c>
      <c r="K30" s="25" t="s">
        <v>63</v>
      </c>
      <c r="L30" s="26">
        <v>0</v>
      </c>
      <c r="M30" s="26">
        <v>0</v>
      </c>
      <c r="N30" s="26" t="s">
        <v>33</v>
      </c>
      <c r="O30" s="26" t="s">
        <v>33</v>
      </c>
      <c r="P30" s="26">
        <v>100</v>
      </c>
      <c r="Q30" s="26">
        <v>0</v>
      </c>
      <c r="R30" s="26">
        <v>0</v>
      </c>
      <c r="S30" s="26">
        <v>1</v>
      </c>
    </row>
    <row r="31" spans="1:19" ht="14.4" x14ac:dyDescent="0.3">
      <c r="A31" s="25" t="s">
        <v>289</v>
      </c>
      <c r="B31" s="25" t="s">
        <v>290</v>
      </c>
      <c r="C31" s="40" t="s">
        <v>288</v>
      </c>
      <c r="D31" s="25"/>
      <c r="E31" s="25"/>
      <c r="F31" s="25"/>
      <c r="G31" s="25"/>
      <c r="H31" s="25"/>
      <c r="I31" s="25">
        <v>1</v>
      </c>
      <c r="J31" s="25">
        <v>1</v>
      </c>
      <c r="K31" s="25" t="s">
        <v>63</v>
      </c>
      <c r="L31" s="26">
        <v>0</v>
      </c>
      <c r="M31" s="26">
        <v>0</v>
      </c>
      <c r="N31" s="26" t="s">
        <v>33</v>
      </c>
      <c r="O31" s="26" t="s">
        <v>33</v>
      </c>
      <c r="P31" s="26">
        <v>100</v>
      </c>
      <c r="Q31" s="26">
        <v>0</v>
      </c>
      <c r="R31" s="26">
        <v>0</v>
      </c>
      <c r="S31" s="26">
        <v>1</v>
      </c>
    </row>
    <row r="32" spans="1:19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3"/>
      <c r="O32" s="42"/>
      <c r="P32" s="43"/>
      <c r="Q32" s="42"/>
      <c r="R32" s="42"/>
      <c r="S32" s="44">
        <f>SUM(S2:S31)</f>
        <v>39.999999999999993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zoomScaleNormal="100" workbookViewId="0">
      <selection activeCell="A21" sqref="A2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146</v>
      </c>
      <c r="B3" s="5">
        <v>28000</v>
      </c>
    </row>
    <row r="4" spans="1:2" x14ac:dyDescent="0.2">
      <c r="A4" s="4" t="s">
        <v>147</v>
      </c>
      <c r="B4" s="5">
        <v>28000</v>
      </c>
    </row>
    <row r="5" spans="1:2" x14ac:dyDescent="0.2">
      <c r="A5" s="4" t="s">
        <v>148</v>
      </c>
      <c r="B5" s="5"/>
    </row>
    <row r="6" spans="1:2" x14ac:dyDescent="0.2">
      <c r="A6" s="4" t="s">
        <v>149</v>
      </c>
      <c r="B6" s="5">
        <v>1440</v>
      </c>
    </row>
    <row r="7" spans="1:2" x14ac:dyDescent="0.2">
      <c r="A7" s="4" t="s">
        <v>4</v>
      </c>
      <c r="B7" s="5"/>
    </row>
    <row r="8" spans="1:2" x14ac:dyDescent="0.2">
      <c r="A8" s="4" t="s">
        <v>150</v>
      </c>
      <c r="B8" s="5">
        <v>30000</v>
      </c>
    </row>
    <row r="9" spans="1:2" x14ac:dyDescent="0.2">
      <c r="A9" s="4" t="s">
        <v>151</v>
      </c>
      <c r="B9" s="5">
        <v>5.99</v>
      </c>
    </row>
    <row r="10" spans="1:2" x14ac:dyDescent="0.2">
      <c r="A10" s="4" t="s">
        <v>152</v>
      </c>
      <c r="B10" s="5">
        <v>10.02</v>
      </c>
    </row>
    <row r="11" spans="1:2" x14ac:dyDescent="0.2">
      <c r="A11" s="4" t="s">
        <v>5</v>
      </c>
      <c r="B11" s="5"/>
    </row>
    <row r="12" spans="1:2" x14ac:dyDescent="0.2">
      <c r="A12" s="4" t="s">
        <v>153</v>
      </c>
      <c r="B12" s="5">
        <v>50000</v>
      </c>
    </row>
    <row r="13" spans="1:2" x14ac:dyDescent="0.2">
      <c r="A13" s="6" t="s">
        <v>2</v>
      </c>
      <c r="B13" s="7">
        <f>SUM(B3:B12)</f>
        <v>137456.01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0FB2-03E1-4BB8-A5E5-8C930EE25A00}">
  <dimension ref="A1:B12"/>
  <sheetViews>
    <sheetView zoomScaleNormal="100" workbookViewId="0">
      <selection activeCell="A22" sqref="A2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225</v>
      </c>
      <c r="B2" s="5"/>
    </row>
    <row r="3" spans="1:2" x14ac:dyDescent="0.2">
      <c r="A3" s="4" t="s">
        <v>226</v>
      </c>
      <c r="B3" s="5">
        <v>26400</v>
      </c>
    </row>
    <row r="4" spans="1:2" x14ac:dyDescent="0.2">
      <c r="A4" s="4" t="s">
        <v>227</v>
      </c>
      <c r="B4" s="5"/>
    </row>
    <row r="5" spans="1:2" x14ac:dyDescent="0.2">
      <c r="A5" s="4" t="s">
        <v>228</v>
      </c>
      <c r="B5" s="5">
        <v>4400</v>
      </c>
    </row>
    <row r="6" spans="1:2" x14ac:dyDescent="0.2">
      <c r="A6" s="4" t="s">
        <v>4</v>
      </c>
      <c r="B6" s="5"/>
    </row>
    <row r="7" spans="1:2" x14ac:dyDescent="0.2">
      <c r="A7" s="4" t="s">
        <v>229</v>
      </c>
      <c r="B7" s="5">
        <v>30000</v>
      </c>
    </row>
    <row r="8" spans="1:2" x14ac:dyDescent="0.2">
      <c r="A8" s="4" t="s">
        <v>5</v>
      </c>
      <c r="B8" s="5"/>
    </row>
    <row r="9" spans="1:2" x14ac:dyDescent="0.2">
      <c r="A9" s="4" t="s">
        <v>230</v>
      </c>
      <c r="B9" s="5">
        <v>50000</v>
      </c>
    </row>
    <row r="10" spans="1:2" x14ac:dyDescent="0.2">
      <c r="A10" s="4" t="s">
        <v>231</v>
      </c>
      <c r="B10" s="5"/>
    </row>
    <row r="11" spans="1:2" x14ac:dyDescent="0.2">
      <c r="A11" s="4" t="s">
        <v>232</v>
      </c>
      <c r="B11" s="5">
        <v>14924.1</v>
      </c>
    </row>
    <row r="12" spans="1:2" x14ac:dyDescent="0.2">
      <c r="A12" s="6" t="s">
        <v>2</v>
      </c>
      <c r="B12" s="7">
        <f>SUM(B3:B11)</f>
        <v>125724.1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F537-FFDB-4A9A-9C0D-E736BF54BE0B}">
  <dimension ref="A1:B28"/>
  <sheetViews>
    <sheetView zoomScaleNormal="100" workbookViewId="0">
      <selection activeCell="A28" sqref="A28:B2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227</v>
      </c>
      <c r="B2" s="5"/>
    </row>
    <row r="3" spans="1:2" x14ac:dyDescent="0.2">
      <c r="A3" s="4" t="s">
        <v>250</v>
      </c>
      <c r="B3" s="5">
        <v>4400</v>
      </c>
    </row>
    <row r="4" spans="1:2" x14ac:dyDescent="0.2">
      <c r="A4" s="4" t="s">
        <v>251</v>
      </c>
      <c r="B4" s="5">
        <v>4312</v>
      </c>
    </row>
    <row r="5" spans="1:2" x14ac:dyDescent="0.2">
      <c r="A5" s="4" t="s">
        <v>252</v>
      </c>
      <c r="B5" s="5"/>
    </row>
    <row r="6" spans="1:2" x14ac:dyDescent="0.2">
      <c r="A6" s="4" t="s">
        <v>253</v>
      </c>
      <c r="B6" s="5">
        <v>26400</v>
      </c>
    </row>
    <row r="7" spans="1:2" x14ac:dyDescent="0.2">
      <c r="A7" s="4" t="s">
        <v>254</v>
      </c>
      <c r="B7" s="5"/>
    </row>
    <row r="8" spans="1:2" x14ac:dyDescent="0.2">
      <c r="A8" s="4" t="s">
        <v>255</v>
      </c>
      <c r="B8" s="5">
        <v>4752</v>
      </c>
    </row>
    <row r="9" spans="1:2" x14ac:dyDescent="0.2">
      <c r="A9" s="4" t="s">
        <v>256</v>
      </c>
      <c r="B9" s="5">
        <v>3168</v>
      </c>
    </row>
    <row r="10" spans="1:2" x14ac:dyDescent="0.2">
      <c r="A10" s="4" t="s">
        <v>257</v>
      </c>
      <c r="B10" s="5"/>
    </row>
    <row r="11" spans="1:2" x14ac:dyDescent="0.2">
      <c r="A11" s="4" t="s">
        <v>258</v>
      </c>
      <c r="B11" s="5">
        <v>3520</v>
      </c>
    </row>
    <row r="12" spans="1:2" x14ac:dyDescent="0.2">
      <c r="A12" s="4" t="s">
        <v>259</v>
      </c>
      <c r="B12" s="5"/>
    </row>
    <row r="13" spans="1:2" x14ac:dyDescent="0.2">
      <c r="A13" s="4" t="s">
        <v>260</v>
      </c>
      <c r="B13" s="4">
        <v>528</v>
      </c>
    </row>
    <row r="14" spans="1:2" x14ac:dyDescent="0.2">
      <c r="A14" s="4" t="s">
        <v>261</v>
      </c>
      <c r="B14" s="4"/>
    </row>
    <row r="15" spans="1:2" x14ac:dyDescent="0.2">
      <c r="A15" s="4" t="s">
        <v>262</v>
      </c>
      <c r="B15" s="4">
        <v>528</v>
      </c>
    </row>
    <row r="16" spans="1:2" x14ac:dyDescent="0.2">
      <c r="A16" s="4" t="s">
        <v>263</v>
      </c>
      <c r="B16" s="4"/>
    </row>
    <row r="17" spans="1:2" x14ac:dyDescent="0.2">
      <c r="A17" s="4" t="s">
        <v>264</v>
      </c>
      <c r="B17" s="4">
        <v>929.59</v>
      </c>
    </row>
    <row r="18" spans="1:2" x14ac:dyDescent="0.2">
      <c r="A18" s="4" t="s">
        <v>265</v>
      </c>
      <c r="B18" s="4"/>
    </row>
    <row r="19" spans="1:2" x14ac:dyDescent="0.2">
      <c r="A19" s="4" t="s">
        <v>266</v>
      </c>
      <c r="B19" s="4">
        <v>1478.4</v>
      </c>
    </row>
    <row r="20" spans="1:2" x14ac:dyDescent="0.2">
      <c r="A20" s="4" t="s">
        <v>267</v>
      </c>
      <c r="B20" s="4"/>
    </row>
    <row r="21" spans="1:2" x14ac:dyDescent="0.2">
      <c r="A21" s="4" t="s">
        <v>268</v>
      </c>
      <c r="B21" s="4">
        <v>9800</v>
      </c>
    </row>
    <row r="22" spans="1:2" x14ac:dyDescent="0.2">
      <c r="A22" s="4" t="s">
        <v>4</v>
      </c>
      <c r="B22" s="4"/>
    </row>
    <row r="23" spans="1:2" x14ac:dyDescent="0.2">
      <c r="A23" s="4" t="s">
        <v>269</v>
      </c>
      <c r="B23" s="4">
        <v>30000</v>
      </c>
    </row>
    <row r="24" spans="1:2" x14ac:dyDescent="0.2">
      <c r="A24" s="4" t="s">
        <v>231</v>
      </c>
      <c r="B24" s="4"/>
    </row>
    <row r="25" spans="1:2" x14ac:dyDescent="0.2">
      <c r="A25" s="4" t="s">
        <v>270</v>
      </c>
      <c r="B25" s="4">
        <v>28180.48</v>
      </c>
    </row>
    <row r="26" spans="1:2" x14ac:dyDescent="0.2">
      <c r="A26" s="6" t="s">
        <v>2</v>
      </c>
      <c r="B26" s="7">
        <f>SUM(B2:B25)</f>
        <v>117996.46999999999</v>
      </c>
    </row>
    <row r="28" spans="1:2" x14ac:dyDescent="0.2">
      <c r="A28" s="45" t="s">
        <v>291</v>
      </c>
      <c r="B28" s="7">
        <f>+B26+'Ingresos investigación 2020'!B12+'Ingresos investigación 2019'!B13</f>
        <v>381176.58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zoomScaleNormal="100" workbookViewId="0">
      <selection activeCell="B31" sqref="B3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154</v>
      </c>
      <c r="B2" s="5"/>
    </row>
    <row r="3" spans="1:2" x14ac:dyDescent="0.2">
      <c r="A3" s="4" t="s">
        <v>155</v>
      </c>
      <c r="B3" s="5">
        <v>100</v>
      </c>
    </row>
    <row r="4" spans="1:2" x14ac:dyDescent="0.2">
      <c r="A4" s="4" t="s">
        <v>156</v>
      </c>
      <c r="B4" s="5"/>
    </row>
    <row r="5" spans="1:2" x14ac:dyDescent="0.2">
      <c r="A5" s="4" t="s">
        <v>157</v>
      </c>
      <c r="B5" s="5">
        <v>749.65</v>
      </c>
    </row>
    <row r="6" spans="1:2" x14ac:dyDescent="0.2">
      <c r="A6" s="4" t="s">
        <v>6</v>
      </c>
      <c r="B6" s="5"/>
    </row>
    <row r="7" spans="1:2" x14ac:dyDescent="0.2">
      <c r="A7" s="4" t="s">
        <v>158</v>
      </c>
      <c r="B7" s="5">
        <v>2516</v>
      </c>
    </row>
    <row r="8" spans="1:2" x14ac:dyDescent="0.2">
      <c r="A8" s="4" t="s">
        <v>159</v>
      </c>
      <c r="B8" s="5">
        <v>8.8800000000000008</v>
      </c>
    </row>
    <row r="9" spans="1:2" x14ac:dyDescent="0.2">
      <c r="A9" s="4" t="s">
        <v>7</v>
      </c>
      <c r="B9" s="5"/>
    </row>
    <row r="10" spans="1:2" x14ac:dyDescent="0.2">
      <c r="A10" s="4" t="s">
        <v>160</v>
      </c>
      <c r="B10" s="5">
        <v>1650</v>
      </c>
    </row>
    <row r="11" spans="1:2" x14ac:dyDescent="0.2">
      <c r="A11" s="4" t="s">
        <v>159</v>
      </c>
      <c r="B11" s="5">
        <v>4.63</v>
      </c>
    </row>
    <row r="12" spans="1:2" x14ac:dyDescent="0.2">
      <c r="A12" s="4" t="s">
        <v>8</v>
      </c>
      <c r="B12" s="5"/>
    </row>
    <row r="13" spans="1:2" x14ac:dyDescent="0.2">
      <c r="A13" s="4" t="s">
        <v>161</v>
      </c>
      <c r="B13" s="5">
        <v>175</v>
      </c>
    </row>
    <row r="14" spans="1:2" x14ac:dyDescent="0.2">
      <c r="A14" s="4" t="s">
        <v>9</v>
      </c>
      <c r="B14" s="5"/>
    </row>
    <row r="15" spans="1:2" x14ac:dyDescent="0.2">
      <c r="A15" s="4" t="s">
        <v>162</v>
      </c>
      <c r="B15" s="5">
        <v>6150.01</v>
      </c>
    </row>
    <row r="16" spans="1:2" x14ac:dyDescent="0.2">
      <c r="A16" s="4" t="s">
        <v>163</v>
      </c>
      <c r="B16" s="5"/>
    </row>
    <row r="17" spans="1:2" x14ac:dyDescent="0.2">
      <c r="A17" s="4" t="s">
        <v>164</v>
      </c>
      <c r="B17" s="5">
        <v>45</v>
      </c>
    </row>
    <row r="18" spans="1:2" x14ac:dyDescent="0.2">
      <c r="A18" s="4" t="s">
        <v>165</v>
      </c>
      <c r="B18" s="5">
        <v>45</v>
      </c>
    </row>
    <row r="19" spans="1:2" x14ac:dyDescent="0.2">
      <c r="A19" s="4" t="s">
        <v>166</v>
      </c>
      <c r="B19" s="5">
        <v>45</v>
      </c>
    </row>
    <row r="20" spans="1:2" x14ac:dyDescent="0.2">
      <c r="A20" s="4" t="s">
        <v>167</v>
      </c>
      <c r="B20" s="5">
        <v>90</v>
      </c>
    </row>
    <row r="21" spans="1:2" x14ac:dyDescent="0.2">
      <c r="A21" s="4" t="s">
        <v>168</v>
      </c>
      <c r="B21" s="5">
        <v>90</v>
      </c>
    </row>
    <row r="22" spans="1:2" x14ac:dyDescent="0.2">
      <c r="A22" s="4" t="s">
        <v>169</v>
      </c>
      <c r="B22" s="5"/>
    </row>
    <row r="23" spans="1:2" x14ac:dyDescent="0.2">
      <c r="A23" s="4" t="s">
        <v>170</v>
      </c>
      <c r="B23" s="5">
        <v>315</v>
      </c>
    </row>
    <row r="24" spans="1:2" x14ac:dyDescent="0.2">
      <c r="A24" s="4" t="s">
        <v>171</v>
      </c>
      <c r="B24" s="5"/>
    </row>
    <row r="25" spans="1:2" x14ac:dyDescent="0.2">
      <c r="A25" s="4" t="s">
        <v>172</v>
      </c>
      <c r="B25" s="5">
        <v>340</v>
      </c>
    </row>
    <row r="26" spans="1:2" x14ac:dyDescent="0.2">
      <c r="A26" s="6" t="s">
        <v>2</v>
      </c>
      <c r="B26" s="7">
        <f>SUM(B3:B25)</f>
        <v>12324.170000000002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2813-83C9-429D-82D7-EAF2A3314C30}">
  <dimension ref="A1:B8"/>
  <sheetViews>
    <sheetView zoomScaleNormal="100" workbookViewId="0">
      <selection activeCell="A27" sqref="A2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163</v>
      </c>
      <c r="B2" s="5"/>
    </row>
    <row r="3" spans="1:2" x14ac:dyDescent="0.2">
      <c r="A3" s="4" t="s">
        <v>233</v>
      </c>
      <c r="B3" s="5">
        <v>15650</v>
      </c>
    </row>
    <row r="4" spans="1:2" x14ac:dyDescent="0.2">
      <c r="A4" s="4" t="s">
        <v>234</v>
      </c>
      <c r="B4" s="5"/>
    </row>
    <row r="5" spans="1:2" x14ac:dyDescent="0.2">
      <c r="A5" s="4" t="s">
        <v>235</v>
      </c>
      <c r="B5" s="5">
        <v>567</v>
      </c>
    </row>
    <row r="6" spans="1:2" x14ac:dyDescent="0.2">
      <c r="A6" s="4" t="s">
        <v>236</v>
      </c>
      <c r="B6" s="5"/>
    </row>
    <row r="7" spans="1:2" x14ac:dyDescent="0.2">
      <c r="A7" s="4" t="s">
        <v>237</v>
      </c>
      <c r="B7" s="5">
        <v>472.5</v>
      </c>
    </row>
    <row r="8" spans="1:2" x14ac:dyDescent="0.2">
      <c r="A8" s="6" t="s">
        <v>2</v>
      </c>
      <c r="B8" s="7">
        <f>SUM(B3:B7)</f>
        <v>16689.5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51EB-8CDD-4B4A-879E-2784B3CAD630}">
  <dimension ref="A1:B18"/>
  <sheetViews>
    <sheetView zoomScaleNormal="100" workbookViewId="0">
      <selection activeCell="A18" sqref="A18:B1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163</v>
      </c>
      <c r="B2" s="5"/>
    </row>
    <row r="3" spans="1:2" x14ac:dyDescent="0.2">
      <c r="A3" s="4" t="s">
        <v>238</v>
      </c>
      <c r="B3" s="5">
        <v>15000</v>
      </c>
    </row>
    <row r="4" spans="1:2" x14ac:dyDescent="0.2">
      <c r="A4" s="4" t="s">
        <v>239</v>
      </c>
      <c r="B4" s="5">
        <v>0.27</v>
      </c>
    </row>
    <row r="5" spans="1:2" x14ac:dyDescent="0.2">
      <c r="A5" s="4" t="s">
        <v>234</v>
      </c>
      <c r="B5" s="5"/>
    </row>
    <row r="6" spans="1:2" x14ac:dyDescent="0.2">
      <c r="A6" s="4" t="s">
        <v>240</v>
      </c>
      <c r="B6" s="5">
        <v>94.5</v>
      </c>
    </row>
    <row r="7" spans="1:2" x14ac:dyDescent="0.2">
      <c r="A7" s="4" t="s">
        <v>241</v>
      </c>
      <c r="B7" s="5"/>
    </row>
    <row r="8" spans="1:2" x14ac:dyDescent="0.2">
      <c r="A8" s="4" t="s">
        <v>242</v>
      </c>
      <c r="B8" s="5">
        <v>26000</v>
      </c>
    </row>
    <row r="9" spans="1:2" x14ac:dyDescent="0.2">
      <c r="A9" s="4" t="s">
        <v>243</v>
      </c>
      <c r="B9" s="4">
        <v>12000</v>
      </c>
    </row>
    <row r="10" spans="1:2" x14ac:dyDescent="0.2">
      <c r="A10" s="4" t="s">
        <v>244</v>
      </c>
      <c r="B10" s="4">
        <v>14000</v>
      </c>
    </row>
    <row r="11" spans="1:2" x14ac:dyDescent="0.2">
      <c r="A11" s="4" t="s">
        <v>245</v>
      </c>
      <c r="B11" s="4">
        <v>28000</v>
      </c>
    </row>
    <row r="12" spans="1:2" x14ac:dyDescent="0.2">
      <c r="A12" s="4" t="s">
        <v>246</v>
      </c>
      <c r="B12" s="4"/>
    </row>
    <row r="13" spans="1:2" x14ac:dyDescent="0.2">
      <c r="A13" s="4" t="s">
        <v>247</v>
      </c>
      <c r="B13" s="4">
        <v>33260.559999999998</v>
      </c>
    </row>
    <row r="14" spans="1:2" x14ac:dyDescent="0.2">
      <c r="A14" s="4" t="s">
        <v>248</v>
      </c>
      <c r="B14" s="4"/>
    </row>
    <row r="15" spans="1:2" x14ac:dyDescent="0.2">
      <c r="A15" s="4" t="s">
        <v>249</v>
      </c>
      <c r="B15" s="4">
        <v>220.5</v>
      </c>
    </row>
    <row r="16" spans="1:2" x14ac:dyDescent="0.2">
      <c r="A16" s="6" t="s">
        <v>2</v>
      </c>
      <c r="B16" s="7">
        <f>SUM(B2:B15)</f>
        <v>128575.83</v>
      </c>
    </row>
    <row r="18" spans="1:2" x14ac:dyDescent="0.2">
      <c r="A18" s="45" t="s">
        <v>292</v>
      </c>
      <c r="B18" s="7">
        <f>+B16+'Ingresos formación 2020'!B8+'Ingresos formación 2019'!B26</f>
        <v>157589.50000000003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2022-10-18T10:03:30Z</dcterms:modified>
</cp:coreProperties>
</file>