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4B6D2D28-E5ED-449F-8F93-753F1A0943C2}" xr6:coauthVersionLast="47" xr6:coauthVersionMax="47" xr10:uidLastSave="{00000000-0000-0000-0000-000000000000}"/>
  <bookViews>
    <workbookView xWindow="22932" yWindow="-108" windowWidth="23256" windowHeight="12456" tabRatio="962" xr2:uid="{00000000-000D-0000-FFFF-FFFF00000000}"/>
  </bookViews>
  <sheets>
    <sheet name="Tesis" sheetId="3" r:id="rId1"/>
    <sheet name="Sexenios" sheetId="4" r:id="rId2"/>
    <sheet name="Ingresos investigación 2019" sheetId="7" r:id="rId3"/>
    <sheet name="Ingresos investigación 2020" sheetId="9" r:id="rId4"/>
    <sheet name="Ingresos investigación 2021" sheetId="12" r:id="rId5"/>
    <sheet name="Ingresos formación 2019" sheetId="8" r:id="rId6"/>
    <sheet name="Ingresos formación 2020" sheetId="11" r:id="rId7"/>
    <sheet name="Ingresos formación 2021" sheetId="13" r:id="rId8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3" l="1"/>
  <c r="B10" i="13" l="1"/>
  <c r="B10" i="11"/>
  <c r="B12" i="9"/>
  <c r="S11" i="4"/>
  <c r="B10" i="8" l="1"/>
  <c r="B14" i="13" s="1"/>
  <c r="B14" i="7"/>
  <c r="C7" i="12" s="1"/>
</calcChain>
</file>

<file path=xl/sharedStrings.xml><?xml version="1.0" encoding="utf-8"?>
<sst xmlns="http://schemas.openxmlformats.org/spreadsheetml/2006/main" count="483" uniqueCount="184">
  <si>
    <t>Orgánica
Descripción justificante</t>
  </si>
  <si>
    <t>Importe</t>
  </si>
  <si>
    <t>Total</t>
  </si>
  <si>
    <t>30.20.2T.00.01</t>
  </si>
  <si>
    <t>30.20.6G.00.03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</si>
  <si>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</si>
  <si>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</si>
  <si>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</si>
  <si>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</si>
  <si>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</si>
  <si>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</si>
  <si>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</si>
  <si>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</si>
  <si>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</si>
  <si>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</si>
  <si>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</si>
  <si>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</si>
  <si>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</si>
  <si>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</si>
  <si>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</si>
  <si>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</si>
  <si>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</si>
  <si>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</si>
  <si>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</si>
  <si>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</si>
  <si>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</si>
  <si>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</si>
  <si>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</si>
  <si>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</si>
  <si>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</si>
  <si>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27/09/2019 </t>
  </si>
  <si>
    <t>27/09/2017 </t>
  </si>
  <si>
    <t>10.25</t>
  </si>
  <si>
    <t>10.17</t>
  </si>
  <si>
    <t>30</t>
  </si>
  <si>
    <t>19/09/2019 </t>
  </si>
  <si>
    <t>20/09/2019 </t>
  </si>
  <si>
    <t>U023 </t>
  </si>
  <si>
    <t>ADM. FACULTAD DE FILOSOFIA Y LETRAS </t>
  </si>
  <si>
    <t>DOCTORADO EN FILOSOFÍA Y LETRAS </t>
  </si>
  <si>
    <t>22/09/2017 </t>
  </si>
  <si>
    <t>B120 </t>
  </si>
  <si>
    <t>GEOGRAFIA HUMANA </t>
  </si>
  <si>
    <t>DOCTORADO EN DESARROLLO LOCAL E INNOVACIÓN TERRITORIAL </t>
  </si>
  <si>
    <t>21389246M </t>
  </si>
  <si>
    <t>B120</t>
  </si>
  <si>
    <t>10.21</t>
  </si>
  <si>
    <t>21424313C </t>
  </si>
  <si>
    <t>74211761F </t>
  </si>
  <si>
    <t>Ciro Calderón, Nini Johana </t>
  </si>
  <si>
    <t>ESTRATEGIA PARA EL EMPODERAMIENTO DIFERENCIAL DESDE LA IDENTIDAD CULTURAL Y EL DESARROLLO LOCAL. ESTUDIO DE CASO DE LAS MUJERES INDÍGENAS NASA DEL MUNICIPIO SANTIAGO DE CALI, (COLOMBIA) </t>
  </si>
  <si>
    <t>20/09/2017 </t>
  </si>
  <si>
    <t>74218386P </t>
  </si>
  <si>
    <t>Giménez Ruiz, José Antonio </t>
  </si>
  <si>
    <t>LA MINERÍA, TRANSFORMADORA DEL PAISAJE NATURAL Y HUMANO. LA EXTRACCIÓN DE LA POTASA EN LA CATALUÑA CENTRAL </t>
  </si>
  <si>
    <t>23/06/2017 </t>
  </si>
  <si>
    <t>MARTINEZ GARCIA, RAFAEL </t>
  </si>
  <si>
    <t>MUSEOS ETNOGRÁFICOS DEL SUR VALENCIANO. TERRITORIO, IDENTIDAD Y PATRIMONIO. </t>
  </si>
  <si>
    <t>07/07/2017 </t>
  </si>
  <si>
    <t>Martínez García, Rafael </t>
  </si>
  <si>
    <t>Ruiz Otero, Marlenys Del Carmen </t>
  </si>
  <si>
    <t>PLAN DE CITYMARKETING PARA LA CIUDAD DE MONTERÍA EN EL DEPARTAMENTO DE CÓRDOBA, COLOMBIA (2013-2016) </t>
  </si>
  <si>
    <t>Sadeikaite , Giedre </t>
  </si>
  <si>
    <t>SUPPORTING SUSTAINABLE TOURISM DEVELOPMENT THROUGH IMPROVED MEASUREMENT: A CASE STUDY OF EUROPEAN TOURISM DESTINATIONS </t>
  </si>
  <si>
    <t>21985529J </t>
  </si>
  <si>
    <t>Cabezón Fernández, Maria Jesus </t>
  </si>
  <si>
    <t>NORTH TO SOUTH. THE SPANIARDS' MOBILITY STRATEGIES IN ALGERIA IN TIMES OF CRISIS. POSTCOLONIAL CONTINUITIES FROM CONTEMPORARY EXPATRIATE BUBLES </t>
  </si>
  <si>
    <t>12/01/2018 </t>
  </si>
  <si>
    <t>21516367M </t>
  </si>
  <si>
    <t>Alcaraz Santonja, Albert </t>
  </si>
  <si>
    <t>LA DIMENSIÓ LÚDICA I TRANSGRESSORA DE LES FESTES DE MOROS I CRISTIANS.SOCIABILITAT, DIVERSIÓ I ESPECTACLE EN L'ORIGEN, EVOLUCIÓ D'UNA FESTA MODERNA (1839-2018) </t>
  </si>
  <si>
    <t>Castejón Porcel, Gregorio </t>
  </si>
  <si>
    <t>EL PALUDISMO EN FUENTE ÁLAMO DE MURCIA Y SU ERRADICACIÓN MEDIANTE EL EMPLEO DE GALERÍAS CON LUMBRERAS (SS. XVIII-XIX): DEL RIESGO NATURAL, A LA TRANSFORMACIÓN AGRÍCOLA Y EL RECURSO PATRIMONIAL </t>
  </si>
  <si>
    <t>30/09/2019 </t>
  </si>
  <si>
    <t>López Jiménez, Juan </t>
  </si>
  <si>
    <t>Molina Rubio, Francisco José </t>
  </si>
  <si>
    <t>LOS MOVIMIENTOS DE INNOVACIÓN COMPOSITIVA DENTRO DE LAS VANGUARDIAS CONTEMPORÁNEAS: EL CASO DE LA ECCA, ESCUELA DE COMPOSICIÓN Y CREACIÓN ARTÍSITICA DE ALCOY </t>
  </si>
  <si>
    <t>Moraes Calazans, Marcos </t>
  </si>
  <si>
    <t>CIÊNCIA SEMICOLONIAL: UMA ANÁLISE DA CIENTIFICIDADE DO CONFLITO GERADO PELO CRIME SEMICOLONIAL/VALE/BHP </t>
  </si>
  <si>
    <t>28/02/2019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</si>
  <si>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</si>
  <si>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</si>
  <si>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</si>
  <si>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</si>
  <si>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</si>
  <si>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</si>
  <si>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</si>
  <si>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</si>
  <si>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</si>
  <si>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</si>
  <si>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</si>
  <si>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</si>
  <si>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</si>
  <si>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</si>
  <si>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44774024Q</t>
  </si>
  <si>
    <t>AMAT MONTESINOS, XAVIER</t>
  </si>
  <si>
    <t>44769069Y</t>
  </si>
  <si>
    <t>CUTILLAS ORGILES, ERNESTO</t>
  </si>
  <si>
    <t>48530775Q</t>
  </si>
  <si>
    <t>ESPINOSA SEGUI, ANA ISABEL</t>
  </si>
  <si>
    <t>74218386P</t>
  </si>
  <si>
    <t>MARTINEZ PUCHE, ANTONIO</t>
  </si>
  <si>
    <t>74211761F</t>
  </si>
  <si>
    <t>PONCE HERRERO, GABINO</t>
  </si>
  <si>
    <t>21424313C</t>
  </si>
  <si>
    <t>SEGRELLES SERRANO, JOSE ANTONIO</t>
  </si>
  <si>
    <t>21516367M</t>
  </si>
  <si>
    <t>SEMPERE SOUVANNAVONG, JUAN DAVID</t>
  </si>
  <si>
    <t>30.20.6C.00.09</t>
  </si>
  <si>
    <t xml:space="preserve">1er. Plazo del contrato para la elaboración de un estudio para CEEI de Elche: Definición ,conceptos, formación  del profesional del desarrollo local. </t>
  </si>
  <si>
    <t>2º Plazo y ultimo del contrato para la elaboración de un estudio para CEEI de Elche: Definición, conceptos, formación del profesional del desarrollo local</t>
  </si>
  <si>
    <t>Reintegro de cuota patronal del mes de julio 2019</t>
  </si>
  <si>
    <t>30.20.6Q.00.01</t>
  </si>
  <si>
    <t xml:space="preserve">S0732 CONVENI PER A FINANÇAMENT DESPESES FUNCIONAMENT CÀTEDRA AVANT EX. 2019 (PRESIDENCIA DE LA GENERALITAT   ) </t>
  </si>
  <si>
    <t>30.20.6S.00.01</t>
  </si>
  <si>
    <t xml:space="preserve">COMPRA DE 50 LIBROS DE LA VEGA BAJA DEL SEGURA, UNA HUERTA SITIADA. </t>
  </si>
  <si>
    <t>DOC: 1-B. 18.PUB.001.CONV. UNIVERSIDAD DE ALICANTE PUBLIC. LIBRO AGUA Y SOST. MONUMENTALIDAD EDIFICIO H. REF. ORDENANTE: SCPU6J13343061906495207082185. REF. BENEFICIARIO: 319169066590436. EL DEPARTAMENTO DE GEOGRAFÍA HUMANA CONFIRMA QUE CORRESPONDE AL CONVENIO DE COLABORACIÓN PARA LA PUBLICACIÓN DEL LIBRO "AGUA Y SOSTENIBILIDAD. LA MONUMENTALIDAD DEL EDIFICIO HIDRÁULICO DE LA HUERTA DEL BAJO SEGURA"</t>
  </si>
  <si>
    <t>30.20.6X.00.01</t>
  </si>
  <si>
    <t>PRIMER PAGO DEL PROYECTO EUROPEO SMARTNATURAL - INVESTIGADOR PRINCIPAL: ANTONIO MARTÍNEZ PUCHE.</t>
  </si>
  <si>
    <t>Liquidación  PLAN 9138 curso ''ESPECIALISTA EN GESTIÓN DEL PATRIMONIO'' ORDEN 5399</t>
  </si>
  <si>
    <t>Liquidación  PLAN 9140 curso ''MÁSTER EN GESTIÓN DEL PATRIMONIO'' ORDEN 5398</t>
  </si>
  <si>
    <t>SEGUNDO PLAZO DEL MASTER EN GESTION DEL PATRIMONIO DE LA UNIVERSIDAD DE ALICANTE (CURSO 2018-2019) SEGÚN ACUERDO ESPECIFICO DE COLABORACIÓN ENTRE LA UNIVERSIDAD DE ALICANTE Y EL AYUNTAMIENTO DE BANYERES DE MARIOLA. CLAUSULA 2ª</t>
  </si>
  <si>
    <t xml:space="preserve">Tercer plazo del Master en Gestión del Patrimonio de la Univeridad de Alicante (curso 2018-2019. Según acuerdo específico de colaboración entre  la Universidad de Alicante y el Ayuntamiento de Banyeres de Mariola. Clausula 2ª. </t>
  </si>
  <si>
    <t>30.20.2T.00.03</t>
  </si>
  <si>
    <t>2016-2017 G892 Curso Internacional de Cooperativismo, Desarrollo Rural y Medio Ambiente 2017-2018 G892 Curso Internacional de Cooperativismo, Desarrollo Rural y Medio Ambiente 2018-2019 G892 Curso Internacional de Cooperativismo, Desarrollo Rural y Medio Ambiente</t>
  </si>
  <si>
    <t>Liquidación PLAN G892 "Curso Internacional de Cooperativismo, desarrollo rural y medio ambiente"</t>
  </si>
  <si>
    <t>El planeamiento de la oportunidad: la posmodernidad en Alicante </t>
  </si>
  <si>
    <t>Pin Figueroa, Walter Jesus </t>
  </si>
  <si>
    <t>Turismo rural en áreas cafetaleras en la zona sur de Manabí, Ecuador </t>
  </si>
  <si>
    <t>28/02/2020 </t>
  </si>
  <si>
    <t>48533253X</t>
  </si>
  <si>
    <t>ORTIZ PEREZ, SAMUEL</t>
  </si>
  <si>
    <t>COD DEP</t>
  </si>
  <si>
    <t>21985529J</t>
  </si>
  <si>
    <t>PALAZON FERRANDO, SALVADOR</t>
  </si>
  <si>
    <t>Ríos Pérez, Manuel </t>
  </si>
  <si>
    <t>Concesiones de transporte público regular de viajeros por carretera y su dependencia territorial. Evolución, contexto socioeconómico y modelo desarrollado en la provincia de Alicante </t>
  </si>
  <si>
    <t>05/11/2020 </t>
  </si>
  <si>
    <t>Latorre Aizaga, Franklin Lenin </t>
  </si>
  <si>
    <t>IMPACTO DE LAS POLÍTICAS ECONOMICAS-LABORALES EN LAS CONDICIONES DE TRABAJO EN ECUADOR (2007-2017) </t>
  </si>
  <si>
    <t>23/10/2020 </t>
  </si>
  <si>
    <t>30.20.6C.00.10</t>
  </si>
  <si>
    <t>Realización de un "Mapa del Ecosistema Asociativo de Santa Pola" en el marco del proyecto ACTive NGOs URBACT III, segunda fase</t>
  </si>
  <si>
    <t>30.20.6M.00.02</t>
  </si>
  <si>
    <t>Actividad formativa FADIT, Realización de encuestas a prescriptores e intermediarios: Conoce la Esencia de Alicante</t>
  </si>
  <si>
    <t>30.20.6M.00.03</t>
  </si>
  <si>
    <t xml:space="preserve">Sesiones formativas de profesores de la UA en el Comité de expertos FADIT. organización del encuentro provicial FADIT. Informe final. </t>
  </si>
  <si>
    <t>S0732 CÀTEDRA INTERUNIVERSITÀRIA PER A LA LLUITA CONTRA EL DESPOBLAMENT (CÀTEDRA-AVANT) EX. 2020. (PRESIDENCIA DE LA GENERALITAT   )</t>
  </si>
  <si>
    <t>SEGUNDO PAGO PROYECTO SMARTRURAL, INVESTIGADOR PRINCIPAL ANTONÍO MARTÍNEZ)</t>
  </si>
  <si>
    <t>No existen ingresos de formación en 2020</t>
  </si>
  <si>
    <t>Cód. org. aplic.</t>
  </si>
  <si>
    <t>Descripción justificante</t>
  </si>
  <si>
    <t>30.20.6C.00.11</t>
  </si>
  <si>
    <t>Realización y entrega de la Estrategia Participativa Integrada (EPI) de Petrer "AVISTA PETRERACTUA 20/30"</t>
  </si>
  <si>
    <t>30.20.6C.00.13</t>
  </si>
  <si>
    <t>Realización  de  un  estudio  sobre  la  vivienda  como  factor  específico  de  retención  y  atracción  de  talento  y población  en  los  municipios  rurales  de  la  Comunitat  Valenciana.  Identificación  de  parámetros  y criterios para la evaluación del potencial municipal</t>
  </si>
  <si>
    <t>30.20.6M.00.04</t>
  </si>
  <si>
    <t>Participación en las sesiones de los Talleres de formación on line de FADIT 2021 "Normalización del Servicio de Dinamización Rural", "Implantación de Sevicio Turístico en Sector Primario" y "RSC, Avance y Retorno". Coordinación de participantes en las mesas de discusión y de implantación derivadas de los talleres de formación on line de FADIT 2021 desde mayo hasta octubre de 2021</t>
  </si>
  <si>
    <t>No existen ingresos de formación en 2021</t>
  </si>
  <si>
    <t>García Serrano, Irma </t>
  </si>
  <si>
    <t>FACTORES SOCIOECONÓMICOS Y CULTURALES QUE EXPLICAN EL DESARROLLO COMUNITARIO EN ECUADOR. Incidencia de la cooperación internacional en comunidades de la parroquia de Cangahua, Cantón Cayambe, Provincia de Pichincha </t>
  </si>
  <si>
    <t>29/09/2021 </t>
  </si>
  <si>
    <t>Ayón Villafuerte, Libia Soledad </t>
  </si>
  <si>
    <t>El ecoturismo en el perfil costero de Manabí (Ecuador). Estudio de caso Puerto López </t>
  </si>
  <si>
    <t>09/06/2022 </t>
  </si>
  <si>
    <t>Lázaro Pérez, Miguel Ángel </t>
  </si>
  <si>
    <t>Imperialismo y Teoría marxista de la dependencia </t>
  </si>
  <si>
    <t>22/03/2022 </t>
  </si>
  <si>
    <t>10078923R </t>
  </si>
  <si>
    <t>Flores Águila, Melissa Andrea </t>
  </si>
  <si>
    <t>Desarrollo Local inclusivo: Cohesión territorial y experiencias de innovación en la inclusión social de personas con discapacidad: El caso de la Región de Magallanes, Chile. </t>
  </si>
  <si>
    <t>20/06/2022 </t>
  </si>
  <si>
    <t>44769069Y </t>
  </si>
  <si>
    <t>Vázquez Pérez, Antonio </t>
  </si>
  <si>
    <t>El manejo de fuentes renovables de energía para el desarrollo local endógeno y sostenible en la provincia de Manabí (Ecuador) </t>
  </si>
  <si>
    <t>08/03/2022 </t>
  </si>
  <si>
    <t>U075 </t>
  </si>
  <si>
    <t>ADM. I.U.INVESTIGACIÓN DE ESTUDIOS SOCIALES DE AMÉRICA LATINA </t>
  </si>
  <si>
    <t>DOCTORADO EN HUMANIDADES Y ESTUDIOS SOCIALES DE AMÉRICA LATINA </t>
  </si>
  <si>
    <t>Demarchi Sánchez, Geydi Dahiana </t>
  </si>
  <si>
    <t>Gestión educativa y curricular en la educación superior. reflexiones desde las pruebas saber pro en Medellín ¿Colombia </t>
  </si>
  <si>
    <t>12/09/2022 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</si>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</sst>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4" xfId="0" applyFont="1" applyFill="1" applyBorder="1"/>
    <xf numFmtId="0" fontId="11" fillId="6" borderId="5" xfId="0" applyFont="1" applyFill="1" applyBorder="1" applyAlignment="1">
      <alignment horizontal="right"/>
    </xf>
    <xf numFmtId="0" fontId="11" fillId="6" borderId="8" xfId="0" applyFont="1" applyFill="1" applyBorder="1"/>
    <xf numFmtId="4" fontId="11" fillId="6" borderId="9" xfId="0" applyNumberFormat="1" applyFont="1" applyFill="1" applyBorder="1"/>
    <xf numFmtId="0" fontId="0" fillId="7" borderId="6" xfId="0" applyFill="1" applyBorder="1" applyAlignment="1">
      <alignment vertical="center"/>
    </xf>
    <xf numFmtId="0" fontId="0" fillId="7" borderId="6" xfId="0" applyFill="1" applyBorder="1" applyAlignment="1">
      <alignment vertical="center" wrapText="1"/>
    </xf>
    <xf numFmtId="4" fontId="0" fillId="7" borderId="7" xfId="0" applyNumberFormat="1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8" borderId="6" xfId="0" applyFill="1" applyBorder="1" applyAlignment="1">
      <alignment vertical="center" wrapText="1"/>
    </xf>
    <xf numFmtId="4" fontId="0" fillId="8" borderId="7" xfId="0" applyNumberFormat="1" applyFill="1" applyBorder="1" applyAlignment="1">
      <alignment vertical="center"/>
    </xf>
    <xf numFmtId="165" fontId="3" fillId="4" borderId="1" xfId="1" applyNumberFormat="1" applyFill="1" applyBorder="1"/>
    <xf numFmtId="165" fontId="3" fillId="4" borderId="2" xfId="1" applyNumberFormat="1" applyFill="1" applyBorder="1"/>
    <xf numFmtId="0" fontId="12" fillId="9" borderId="1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left" vertical="center"/>
    </xf>
    <xf numFmtId="0" fontId="12" fillId="9" borderId="11" xfId="0" applyFont="1" applyFill="1" applyBorder="1" applyAlignment="1">
      <alignment horizontal="left" vertical="center"/>
    </xf>
    <xf numFmtId="0" fontId="12" fillId="9" borderId="12" xfId="0" applyFont="1" applyFill="1" applyBorder="1" applyAlignment="1">
      <alignment horizontal="left" vertical="center"/>
    </xf>
    <xf numFmtId="0" fontId="3" fillId="10" borderId="13" xfId="1" applyFont="1" applyFill="1" applyBorder="1" applyAlignment="1"/>
    <xf numFmtId="0" fontId="3" fillId="10" borderId="13" xfId="1" applyFont="1" applyFill="1" applyBorder="1" applyAlignment="1">
      <alignment horizontal="right"/>
    </xf>
    <xf numFmtId="0" fontId="0" fillId="10" borderId="13" xfId="0" applyFill="1" applyBorder="1"/>
    <xf numFmtId="0" fontId="0" fillId="10" borderId="13" xfId="0" applyFill="1" applyBorder="1" applyAlignment="1">
      <alignment horizontal="left"/>
    </xf>
    <xf numFmtId="0" fontId="0" fillId="10" borderId="13" xfId="0" applyNumberFormat="1" applyFill="1" applyBorder="1"/>
    <xf numFmtId="0" fontId="13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4" fontId="1" fillId="10" borderId="1" xfId="0" applyNumberFormat="1" applyFont="1" applyFill="1" applyBorder="1"/>
    <xf numFmtId="164" fontId="4" fillId="10" borderId="13" xfId="1" applyNumberFormat="1" applyFont="1" applyFill="1" applyBorder="1" applyAlignment="1"/>
    <xf numFmtId="0" fontId="14" fillId="10" borderId="13" xfId="0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4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S24" sqref="S24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25" t="s">
        <v>41</v>
      </c>
      <c r="B2" s="25" t="s">
        <v>42</v>
      </c>
      <c r="C2" s="25" t="s">
        <v>43</v>
      </c>
      <c r="D2" s="25" t="s">
        <v>56</v>
      </c>
      <c r="E2" s="25" t="s">
        <v>57</v>
      </c>
      <c r="F2" s="25" t="s">
        <v>58</v>
      </c>
      <c r="G2" s="25" t="s">
        <v>44</v>
      </c>
      <c r="H2" s="25" t="s">
        <v>28</v>
      </c>
      <c r="I2" s="25" t="s">
        <v>41</v>
      </c>
      <c r="J2" s="25" t="s">
        <v>42</v>
      </c>
      <c r="K2" s="28">
        <v>1</v>
      </c>
      <c r="L2" s="25" t="s">
        <v>45</v>
      </c>
      <c r="M2" s="25">
        <v>2016</v>
      </c>
      <c r="N2" s="25" t="s">
        <v>46</v>
      </c>
      <c r="O2" s="26" t="s">
        <v>34</v>
      </c>
      <c r="P2" s="25" t="s">
        <v>27</v>
      </c>
      <c r="Q2" s="26" t="s">
        <v>27</v>
      </c>
      <c r="R2" s="27">
        <v>70</v>
      </c>
      <c r="S2" s="28">
        <v>0.7</v>
      </c>
      <c r="T2" s="28">
        <v>0.3</v>
      </c>
      <c r="U2" s="28">
        <v>0</v>
      </c>
    </row>
    <row r="3" spans="1:21" x14ac:dyDescent="0.2">
      <c r="A3" s="25" t="s">
        <v>41</v>
      </c>
      <c r="B3" s="25" t="s">
        <v>42</v>
      </c>
      <c r="C3" s="25" t="s">
        <v>43</v>
      </c>
      <c r="D3" s="25" t="s">
        <v>62</v>
      </c>
      <c r="E3" s="25" t="s">
        <v>63</v>
      </c>
      <c r="F3" s="25" t="s">
        <v>31</v>
      </c>
      <c r="G3" s="25" t="s">
        <v>64</v>
      </c>
      <c r="H3" s="25" t="s">
        <v>26</v>
      </c>
      <c r="I3" s="25" t="s">
        <v>41</v>
      </c>
      <c r="J3" s="25" t="s">
        <v>42</v>
      </c>
      <c r="K3" s="28">
        <v>0.5</v>
      </c>
      <c r="L3" s="25" t="s">
        <v>45</v>
      </c>
      <c r="M3" s="25">
        <v>2016</v>
      </c>
      <c r="N3" s="25" t="s">
        <v>32</v>
      </c>
      <c r="O3" s="26" t="s">
        <v>29</v>
      </c>
      <c r="P3" s="25" t="s">
        <v>27</v>
      </c>
      <c r="Q3" s="26" t="s">
        <v>27</v>
      </c>
      <c r="R3" s="27">
        <v>90</v>
      </c>
      <c r="S3" s="28">
        <v>0.45</v>
      </c>
      <c r="T3" s="28">
        <v>0.05</v>
      </c>
      <c r="U3" s="28">
        <v>0</v>
      </c>
    </row>
    <row r="4" spans="1:21" x14ac:dyDescent="0.2">
      <c r="A4" s="25" t="s">
        <v>41</v>
      </c>
      <c r="B4" s="25" t="s">
        <v>42</v>
      </c>
      <c r="C4" s="25" t="s">
        <v>43</v>
      </c>
      <c r="D4" s="25" t="s">
        <v>62</v>
      </c>
      <c r="E4" s="25" t="s">
        <v>63</v>
      </c>
      <c r="F4" s="25" t="s">
        <v>31</v>
      </c>
      <c r="G4" s="25" t="s">
        <v>52</v>
      </c>
      <c r="H4" s="25" t="s">
        <v>26</v>
      </c>
      <c r="I4" s="25" t="s">
        <v>41</v>
      </c>
      <c r="J4" s="25" t="s">
        <v>42</v>
      </c>
      <c r="K4" s="28">
        <v>0.5</v>
      </c>
      <c r="L4" s="25" t="s">
        <v>45</v>
      </c>
      <c r="M4" s="25">
        <v>2016</v>
      </c>
      <c r="N4" s="25" t="s">
        <v>32</v>
      </c>
      <c r="O4" s="26" t="s">
        <v>34</v>
      </c>
      <c r="P4" s="25" t="s">
        <v>33</v>
      </c>
      <c r="Q4" s="26" t="s">
        <v>29</v>
      </c>
      <c r="R4" s="27">
        <v>60</v>
      </c>
      <c r="S4" s="28">
        <v>0.3</v>
      </c>
      <c r="T4" s="28">
        <v>0.15</v>
      </c>
      <c r="U4" s="28">
        <v>0.05</v>
      </c>
    </row>
    <row r="5" spans="1:21" x14ac:dyDescent="0.2">
      <c r="A5" s="25" t="s">
        <v>41</v>
      </c>
      <c r="B5" s="25" t="s">
        <v>42</v>
      </c>
      <c r="C5" s="25" t="s">
        <v>43</v>
      </c>
      <c r="D5" s="25" t="s">
        <v>49</v>
      </c>
      <c r="E5" s="25" t="s">
        <v>50</v>
      </c>
      <c r="F5" s="25" t="s">
        <v>51</v>
      </c>
      <c r="G5" s="25" t="s">
        <v>52</v>
      </c>
      <c r="H5" s="25" t="s">
        <v>28</v>
      </c>
      <c r="I5" s="25" t="s">
        <v>41</v>
      </c>
      <c r="J5" s="25" t="s">
        <v>42</v>
      </c>
      <c r="K5" s="28">
        <v>1</v>
      </c>
      <c r="L5" s="25" t="s">
        <v>45</v>
      </c>
      <c r="M5" s="25">
        <v>2016</v>
      </c>
      <c r="N5" s="25" t="s">
        <v>32</v>
      </c>
      <c r="O5" s="26" t="s">
        <v>34</v>
      </c>
      <c r="P5" s="25" t="s">
        <v>33</v>
      </c>
      <c r="Q5" s="26" t="s">
        <v>29</v>
      </c>
      <c r="R5" s="27">
        <v>60</v>
      </c>
      <c r="S5" s="28">
        <v>0.6</v>
      </c>
      <c r="T5" s="28">
        <v>0.3</v>
      </c>
      <c r="U5" s="28">
        <v>0.1</v>
      </c>
    </row>
    <row r="6" spans="1:21" x14ac:dyDescent="0.2">
      <c r="A6" s="25" t="s">
        <v>41</v>
      </c>
      <c r="B6" s="25" t="s">
        <v>42</v>
      </c>
      <c r="C6" s="25" t="s">
        <v>43</v>
      </c>
      <c r="D6" s="25" t="s">
        <v>53</v>
      </c>
      <c r="E6" s="25" t="s">
        <v>54</v>
      </c>
      <c r="F6" s="25" t="s">
        <v>55</v>
      </c>
      <c r="G6" s="25" t="s">
        <v>44</v>
      </c>
      <c r="H6" s="25" t="s">
        <v>28</v>
      </c>
      <c r="I6" s="25" t="s">
        <v>41</v>
      </c>
      <c r="J6" s="25" t="s">
        <v>42</v>
      </c>
      <c r="K6" s="28">
        <v>1</v>
      </c>
      <c r="L6" s="25" t="s">
        <v>45</v>
      </c>
      <c r="M6" s="25">
        <v>2016</v>
      </c>
      <c r="N6" s="25" t="s">
        <v>46</v>
      </c>
      <c r="O6" s="26" t="s">
        <v>34</v>
      </c>
      <c r="P6" s="25" t="s">
        <v>27</v>
      </c>
      <c r="Q6" s="26" t="s">
        <v>27</v>
      </c>
      <c r="R6" s="27">
        <v>70</v>
      </c>
      <c r="S6" s="28">
        <v>0.7</v>
      </c>
      <c r="T6" s="28">
        <v>0.3</v>
      </c>
      <c r="U6" s="28">
        <v>0</v>
      </c>
    </row>
    <row r="7" spans="1:21" x14ac:dyDescent="0.2">
      <c r="A7" s="25" t="s">
        <v>41</v>
      </c>
      <c r="B7" s="25" t="s">
        <v>42</v>
      </c>
      <c r="C7" s="25" t="s">
        <v>43</v>
      </c>
      <c r="D7" s="25" t="s">
        <v>60</v>
      </c>
      <c r="E7" s="25" t="s">
        <v>61</v>
      </c>
      <c r="F7" s="25" t="s">
        <v>40</v>
      </c>
      <c r="G7" s="25" t="s">
        <v>47</v>
      </c>
      <c r="H7" s="25" t="s">
        <v>28</v>
      </c>
      <c r="I7" s="25" t="s">
        <v>41</v>
      </c>
      <c r="J7" s="25" t="s">
        <v>42</v>
      </c>
      <c r="K7" s="28">
        <v>1</v>
      </c>
      <c r="L7" s="25" t="s">
        <v>45</v>
      </c>
      <c r="M7" s="25">
        <v>2016</v>
      </c>
      <c r="N7" s="25" t="s">
        <v>27</v>
      </c>
      <c r="O7" s="26" t="s">
        <v>27</v>
      </c>
      <c r="P7" s="25" t="s">
        <v>27</v>
      </c>
      <c r="Q7" s="26" t="s">
        <v>27</v>
      </c>
      <c r="R7" s="27">
        <v>100</v>
      </c>
      <c r="S7" s="28">
        <v>1</v>
      </c>
      <c r="T7" s="28">
        <v>0</v>
      </c>
      <c r="U7" s="28">
        <v>0</v>
      </c>
    </row>
    <row r="8" spans="1:21" x14ac:dyDescent="0.2">
      <c r="A8" s="25" t="s">
        <v>41</v>
      </c>
      <c r="B8" s="25" t="s">
        <v>42</v>
      </c>
      <c r="C8" s="25" t="s">
        <v>43</v>
      </c>
      <c r="D8" s="25" t="s">
        <v>59</v>
      </c>
      <c r="E8" s="25" t="s">
        <v>57</v>
      </c>
      <c r="F8" s="25" t="s">
        <v>58</v>
      </c>
      <c r="G8" s="25" t="s">
        <v>44</v>
      </c>
      <c r="H8" s="25" t="s">
        <v>28</v>
      </c>
      <c r="I8" s="25" t="s">
        <v>41</v>
      </c>
      <c r="J8" s="25" t="s">
        <v>42</v>
      </c>
      <c r="K8" s="28">
        <v>1</v>
      </c>
      <c r="L8" s="25" t="s">
        <v>45</v>
      </c>
      <c r="M8" s="25">
        <v>2016</v>
      </c>
      <c r="N8" s="25" t="s">
        <v>46</v>
      </c>
      <c r="O8" s="26" t="s">
        <v>34</v>
      </c>
      <c r="P8" s="25" t="s">
        <v>27</v>
      </c>
      <c r="Q8" s="26" t="s">
        <v>27</v>
      </c>
      <c r="R8" s="27">
        <v>70</v>
      </c>
      <c r="S8" s="28">
        <v>0.7</v>
      </c>
      <c r="T8" s="28">
        <v>0.3</v>
      </c>
      <c r="U8" s="28">
        <v>0</v>
      </c>
    </row>
    <row r="9" spans="1:21" x14ac:dyDescent="0.2">
      <c r="A9" s="25" t="s">
        <v>37</v>
      </c>
      <c r="B9" s="25" t="s">
        <v>38</v>
      </c>
      <c r="C9" s="25" t="s">
        <v>39</v>
      </c>
      <c r="D9" s="25" t="s">
        <v>65</v>
      </c>
      <c r="E9" s="25" t="s">
        <v>66</v>
      </c>
      <c r="F9" s="25" t="s">
        <v>67</v>
      </c>
      <c r="G9" s="25" t="s">
        <v>68</v>
      </c>
      <c r="H9" s="25" t="s">
        <v>28</v>
      </c>
      <c r="I9" s="25" t="s">
        <v>41</v>
      </c>
      <c r="J9" s="25" t="s">
        <v>42</v>
      </c>
      <c r="K9" s="28">
        <v>1</v>
      </c>
      <c r="L9" s="25" t="s">
        <v>45</v>
      </c>
      <c r="M9" s="25">
        <v>2017</v>
      </c>
      <c r="N9" s="25" t="s">
        <v>27</v>
      </c>
      <c r="O9" s="26" t="s">
        <v>27</v>
      </c>
      <c r="P9" s="25" t="s">
        <v>27</v>
      </c>
      <c r="Q9" s="26" t="s">
        <v>27</v>
      </c>
      <c r="R9" s="27">
        <v>100</v>
      </c>
      <c r="S9" s="28">
        <v>1</v>
      </c>
      <c r="T9" s="28">
        <v>0</v>
      </c>
      <c r="U9" s="28">
        <v>0</v>
      </c>
    </row>
    <row r="10" spans="1:21" x14ac:dyDescent="0.2">
      <c r="A10" s="25" t="s">
        <v>37</v>
      </c>
      <c r="B10" s="25" t="s">
        <v>38</v>
      </c>
      <c r="C10" s="25" t="s">
        <v>39</v>
      </c>
      <c r="D10" s="25" t="s">
        <v>75</v>
      </c>
      <c r="E10" s="25" t="s">
        <v>76</v>
      </c>
      <c r="F10" s="25" t="s">
        <v>36</v>
      </c>
      <c r="G10" s="25" t="s">
        <v>102</v>
      </c>
      <c r="H10" s="25" t="s">
        <v>28</v>
      </c>
      <c r="I10" s="25" t="s">
        <v>41</v>
      </c>
      <c r="J10" s="25" t="s">
        <v>42</v>
      </c>
      <c r="K10" s="45">
        <v>1</v>
      </c>
      <c r="L10" s="25" t="s">
        <v>45</v>
      </c>
      <c r="M10" s="25">
        <v>2018</v>
      </c>
      <c r="N10" s="25" t="s">
        <v>46</v>
      </c>
      <c r="O10" s="26" t="s">
        <v>29</v>
      </c>
      <c r="P10" s="25" t="s">
        <v>27</v>
      </c>
      <c r="Q10" s="26" t="s">
        <v>27</v>
      </c>
      <c r="R10" s="27">
        <v>90</v>
      </c>
      <c r="S10" s="28">
        <v>0.9</v>
      </c>
      <c r="T10" s="28">
        <v>0.1</v>
      </c>
      <c r="U10" s="28">
        <v>0</v>
      </c>
    </row>
    <row r="11" spans="1:21" x14ac:dyDescent="0.2">
      <c r="A11" s="25" t="s">
        <v>37</v>
      </c>
      <c r="B11" s="25" t="s">
        <v>38</v>
      </c>
      <c r="C11" s="25" t="s">
        <v>39</v>
      </c>
      <c r="D11" s="25" t="s">
        <v>69</v>
      </c>
      <c r="E11" s="25" t="s">
        <v>70</v>
      </c>
      <c r="F11" s="25" t="s">
        <v>30</v>
      </c>
      <c r="G11" s="25" t="s">
        <v>102</v>
      </c>
      <c r="H11" s="25" t="s">
        <v>28</v>
      </c>
      <c r="I11" s="25" t="s">
        <v>41</v>
      </c>
      <c r="J11" s="25" t="s">
        <v>42</v>
      </c>
      <c r="K11" s="45">
        <v>1</v>
      </c>
      <c r="L11" s="25" t="s">
        <v>45</v>
      </c>
      <c r="M11" s="25">
        <v>2018</v>
      </c>
      <c r="N11" s="25" t="s">
        <v>46</v>
      </c>
      <c r="O11" s="26" t="s">
        <v>29</v>
      </c>
      <c r="P11" s="25" t="s">
        <v>27</v>
      </c>
      <c r="Q11" s="26" t="s">
        <v>27</v>
      </c>
      <c r="R11" s="27">
        <v>90</v>
      </c>
      <c r="S11" s="28">
        <v>0.9</v>
      </c>
      <c r="T11" s="28">
        <v>0.1</v>
      </c>
      <c r="U11" s="28">
        <v>0</v>
      </c>
    </row>
    <row r="12" spans="1:21" x14ac:dyDescent="0.2">
      <c r="A12" s="25" t="s">
        <v>37</v>
      </c>
      <c r="B12" s="25" t="s">
        <v>38</v>
      </c>
      <c r="C12" s="25" t="s">
        <v>39</v>
      </c>
      <c r="D12" s="25" t="s">
        <v>71</v>
      </c>
      <c r="E12" s="25" t="s">
        <v>72</v>
      </c>
      <c r="F12" s="25" t="s">
        <v>73</v>
      </c>
      <c r="G12" s="25" t="s">
        <v>44</v>
      </c>
      <c r="H12" s="25" t="s">
        <v>28</v>
      </c>
      <c r="I12" s="25" t="s">
        <v>41</v>
      </c>
      <c r="J12" s="25" t="s">
        <v>42</v>
      </c>
      <c r="K12" s="45">
        <v>1</v>
      </c>
      <c r="L12" s="25" t="s">
        <v>45</v>
      </c>
      <c r="M12" s="25">
        <v>2018</v>
      </c>
      <c r="N12" s="25" t="s">
        <v>46</v>
      </c>
      <c r="O12" s="26" t="s">
        <v>34</v>
      </c>
      <c r="P12" s="25" t="s">
        <v>27</v>
      </c>
      <c r="Q12" s="26" t="s">
        <v>27</v>
      </c>
      <c r="R12" s="27">
        <v>70</v>
      </c>
      <c r="S12" s="28">
        <v>0.7</v>
      </c>
      <c r="T12" s="28">
        <v>0.3</v>
      </c>
      <c r="U12" s="28">
        <v>0</v>
      </c>
    </row>
    <row r="13" spans="1:21" x14ac:dyDescent="0.2">
      <c r="A13" s="25" t="s">
        <v>37</v>
      </c>
      <c r="B13" s="25" t="s">
        <v>38</v>
      </c>
      <c r="C13" s="25" t="s">
        <v>39</v>
      </c>
      <c r="D13" s="25" t="s">
        <v>74</v>
      </c>
      <c r="E13" s="25" t="s">
        <v>126</v>
      </c>
      <c r="F13" s="25" t="s">
        <v>35</v>
      </c>
      <c r="G13" s="25" t="s">
        <v>102</v>
      </c>
      <c r="H13" s="25" t="s">
        <v>28</v>
      </c>
      <c r="I13" s="25" t="s">
        <v>41</v>
      </c>
      <c r="J13" s="25" t="s">
        <v>42</v>
      </c>
      <c r="K13" s="45">
        <v>1</v>
      </c>
      <c r="L13" s="25" t="s">
        <v>45</v>
      </c>
      <c r="M13" s="25">
        <v>2018</v>
      </c>
      <c r="N13" s="25" t="s">
        <v>46</v>
      </c>
      <c r="O13" s="26" t="s">
        <v>29</v>
      </c>
      <c r="P13" s="25" t="s">
        <v>27</v>
      </c>
      <c r="Q13" s="26" t="s">
        <v>27</v>
      </c>
      <c r="R13" s="27">
        <v>90</v>
      </c>
      <c r="S13" s="28">
        <v>0.9</v>
      </c>
      <c r="T13" s="28">
        <v>0.1</v>
      </c>
      <c r="U13" s="28">
        <v>0</v>
      </c>
    </row>
    <row r="14" spans="1:21" x14ac:dyDescent="0.2">
      <c r="A14" s="25" t="s">
        <v>37</v>
      </c>
      <c r="B14" s="25" t="s">
        <v>38</v>
      </c>
      <c r="C14" s="25" t="s">
        <v>39</v>
      </c>
      <c r="D14" s="25" t="s">
        <v>77</v>
      </c>
      <c r="E14" s="25" t="s">
        <v>78</v>
      </c>
      <c r="F14" s="25" t="s">
        <v>79</v>
      </c>
      <c r="G14" s="25" t="s">
        <v>47</v>
      </c>
      <c r="H14" s="25" t="s">
        <v>26</v>
      </c>
      <c r="I14" s="25" t="s">
        <v>41</v>
      </c>
      <c r="J14" s="25" t="s">
        <v>42</v>
      </c>
      <c r="K14" s="45">
        <v>0.5</v>
      </c>
      <c r="L14" s="25" t="s">
        <v>45</v>
      </c>
      <c r="M14" s="25">
        <v>2018</v>
      </c>
      <c r="N14" s="25" t="s">
        <v>27</v>
      </c>
      <c r="O14" s="26" t="s">
        <v>27</v>
      </c>
      <c r="P14" s="25" t="s">
        <v>27</v>
      </c>
      <c r="Q14" s="26" t="s">
        <v>27</v>
      </c>
      <c r="R14" s="27">
        <v>100</v>
      </c>
      <c r="S14" s="28">
        <v>0.5</v>
      </c>
      <c r="T14" s="28">
        <v>0</v>
      </c>
      <c r="U14" s="28">
        <v>0</v>
      </c>
    </row>
    <row r="15" spans="1:21" x14ac:dyDescent="0.2">
      <c r="A15" s="29" t="s">
        <v>37</v>
      </c>
      <c r="B15" s="29" t="s">
        <v>38</v>
      </c>
      <c r="C15" s="29" t="s">
        <v>39</v>
      </c>
      <c r="D15" s="29" t="s">
        <v>127</v>
      </c>
      <c r="E15" s="29" t="s">
        <v>128</v>
      </c>
      <c r="F15" s="29" t="s">
        <v>129</v>
      </c>
      <c r="G15" s="29" t="s">
        <v>52</v>
      </c>
      <c r="H15" s="29" t="s">
        <v>28</v>
      </c>
      <c r="I15" s="29" t="s">
        <v>41</v>
      </c>
      <c r="J15" s="29" t="s">
        <v>42</v>
      </c>
      <c r="K15" s="46">
        <v>1</v>
      </c>
      <c r="L15" s="29" t="s">
        <v>45</v>
      </c>
      <c r="M15" s="29">
        <v>2019</v>
      </c>
      <c r="N15" s="29" t="s">
        <v>32</v>
      </c>
      <c r="O15" s="30" t="s">
        <v>34</v>
      </c>
      <c r="P15" s="29" t="s">
        <v>27</v>
      </c>
      <c r="Q15" s="30" t="s">
        <v>27</v>
      </c>
      <c r="R15" s="31">
        <v>70</v>
      </c>
      <c r="S15" s="32">
        <v>0.7</v>
      </c>
      <c r="T15" s="32">
        <v>0.3</v>
      </c>
      <c r="U15" s="32">
        <v>0</v>
      </c>
    </row>
    <row r="16" spans="1:21" x14ac:dyDescent="0.2">
      <c r="A16" s="25" t="s">
        <v>37</v>
      </c>
      <c r="B16" s="25" t="s">
        <v>38</v>
      </c>
      <c r="C16" s="25" t="s">
        <v>39</v>
      </c>
      <c r="D16" s="25" t="s">
        <v>135</v>
      </c>
      <c r="E16" s="25" t="s">
        <v>136</v>
      </c>
      <c r="F16" s="25" t="s">
        <v>137</v>
      </c>
      <c r="G16" s="25" t="s">
        <v>52</v>
      </c>
      <c r="H16" s="25" t="s">
        <v>26</v>
      </c>
      <c r="I16" s="25" t="s">
        <v>41</v>
      </c>
      <c r="J16" s="25" t="s">
        <v>42</v>
      </c>
      <c r="K16" s="33">
        <v>0.5</v>
      </c>
      <c r="L16" s="33" t="s">
        <v>45</v>
      </c>
      <c r="M16" s="34">
        <v>2019</v>
      </c>
      <c r="N16" s="25" t="s">
        <v>32</v>
      </c>
      <c r="O16" s="26" t="s">
        <v>34</v>
      </c>
      <c r="P16" s="25" t="s">
        <v>46</v>
      </c>
      <c r="Q16" s="26" t="s">
        <v>34</v>
      </c>
      <c r="R16" s="25">
        <v>40</v>
      </c>
      <c r="S16" s="25">
        <v>0.2</v>
      </c>
      <c r="T16" s="25">
        <v>0.15</v>
      </c>
      <c r="U16" s="25">
        <v>0.15</v>
      </c>
    </row>
    <row r="17" spans="1:21" ht="10.8" thickBot="1" x14ac:dyDescent="0.25">
      <c r="A17" s="25" t="s">
        <v>37</v>
      </c>
      <c r="B17" s="25" t="s">
        <v>38</v>
      </c>
      <c r="C17" s="25" t="s">
        <v>39</v>
      </c>
      <c r="D17" s="25" t="s">
        <v>138</v>
      </c>
      <c r="E17" s="25" t="s">
        <v>139</v>
      </c>
      <c r="F17" s="25" t="s">
        <v>140</v>
      </c>
      <c r="G17" s="25" t="s">
        <v>52</v>
      </c>
      <c r="H17" s="25" t="s">
        <v>26</v>
      </c>
      <c r="I17" s="25" t="s">
        <v>41</v>
      </c>
      <c r="J17" s="25" t="s">
        <v>42</v>
      </c>
      <c r="K17" s="33">
        <v>0.5</v>
      </c>
      <c r="L17" s="33" t="s">
        <v>45</v>
      </c>
      <c r="M17" s="34">
        <v>2019</v>
      </c>
      <c r="N17" s="25" t="s">
        <v>32</v>
      </c>
      <c r="O17" s="26" t="s">
        <v>34</v>
      </c>
      <c r="P17" s="25" t="s">
        <v>46</v>
      </c>
      <c r="Q17" s="26" t="s">
        <v>34</v>
      </c>
      <c r="R17" s="25">
        <v>40</v>
      </c>
      <c r="S17" s="25">
        <v>0.2</v>
      </c>
      <c r="T17" s="25">
        <v>0.15</v>
      </c>
      <c r="U17" s="25">
        <v>0.15</v>
      </c>
    </row>
    <row r="18" spans="1:21" ht="10.8" thickBot="1" x14ac:dyDescent="0.25">
      <c r="A18" s="47" t="s">
        <v>37</v>
      </c>
      <c r="B18" s="47" t="s">
        <v>38</v>
      </c>
      <c r="C18" s="47" t="s">
        <v>39</v>
      </c>
      <c r="D18" s="47" t="s">
        <v>159</v>
      </c>
      <c r="E18" s="47" t="s">
        <v>160</v>
      </c>
      <c r="F18" s="47" t="s">
        <v>161</v>
      </c>
      <c r="G18" s="48" t="s">
        <v>52</v>
      </c>
      <c r="H18" s="49" t="s">
        <v>28</v>
      </c>
      <c r="I18" s="49" t="s">
        <v>41</v>
      </c>
      <c r="J18" s="50" t="s">
        <v>42</v>
      </c>
      <c r="K18" s="33">
        <v>1</v>
      </c>
      <c r="L18" s="33" t="s">
        <v>45</v>
      </c>
      <c r="M18" s="25">
        <v>2020</v>
      </c>
      <c r="N18" s="25" t="s">
        <v>32</v>
      </c>
      <c r="O18" s="26" t="s">
        <v>34</v>
      </c>
      <c r="P18" s="25" t="s">
        <v>46</v>
      </c>
      <c r="Q18" s="26" t="s">
        <v>34</v>
      </c>
      <c r="R18" s="25">
        <v>40</v>
      </c>
      <c r="S18" s="25">
        <v>0.4</v>
      </c>
      <c r="T18" s="25">
        <v>0.3</v>
      </c>
      <c r="U18" s="25">
        <v>0.3</v>
      </c>
    </row>
    <row r="19" spans="1:21" x14ac:dyDescent="0.2">
      <c r="A19" s="25" t="s">
        <v>37</v>
      </c>
      <c r="B19" s="25" t="s">
        <v>38</v>
      </c>
      <c r="C19" s="25" t="s">
        <v>39</v>
      </c>
      <c r="D19" s="25" t="s">
        <v>162</v>
      </c>
      <c r="E19" s="25" t="s">
        <v>163</v>
      </c>
      <c r="F19" s="25" t="s">
        <v>164</v>
      </c>
      <c r="G19" s="25" t="s">
        <v>52</v>
      </c>
      <c r="H19" s="25" t="s">
        <v>28</v>
      </c>
      <c r="I19" s="25" t="s">
        <v>41</v>
      </c>
      <c r="J19" s="25" t="s">
        <v>42</v>
      </c>
      <c r="K19" s="33">
        <v>1</v>
      </c>
      <c r="L19" s="33" t="s">
        <v>45</v>
      </c>
      <c r="M19" s="25">
        <v>2021</v>
      </c>
      <c r="N19" s="25" t="s">
        <v>32</v>
      </c>
      <c r="O19" s="26" t="s">
        <v>34</v>
      </c>
      <c r="P19" s="25" t="s">
        <v>46</v>
      </c>
      <c r="Q19" s="26" t="s">
        <v>34</v>
      </c>
      <c r="R19" s="25">
        <v>40</v>
      </c>
      <c r="S19" s="25">
        <v>0.4</v>
      </c>
      <c r="T19" s="25">
        <v>0.3</v>
      </c>
      <c r="U19" s="25">
        <v>0.3</v>
      </c>
    </row>
    <row r="20" spans="1:21" x14ac:dyDescent="0.2">
      <c r="A20" s="25" t="s">
        <v>37</v>
      </c>
      <c r="B20" s="25" t="s">
        <v>38</v>
      </c>
      <c r="C20" s="25" t="s">
        <v>39</v>
      </c>
      <c r="D20" s="25" t="s">
        <v>165</v>
      </c>
      <c r="E20" s="25" t="s">
        <v>166</v>
      </c>
      <c r="F20" s="25" t="s">
        <v>167</v>
      </c>
      <c r="G20" s="25" t="s">
        <v>168</v>
      </c>
      <c r="H20" s="25" t="s">
        <v>28</v>
      </c>
      <c r="I20" s="25" t="s">
        <v>41</v>
      </c>
      <c r="J20" s="25" t="s">
        <v>42</v>
      </c>
      <c r="K20" s="33">
        <v>1</v>
      </c>
      <c r="L20" s="33" t="s">
        <v>45</v>
      </c>
      <c r="M20" s="25">
        <v>2021</v>
      </c>
      <c r="N20" s="25" t="s">
        <v>32</v>
      </c>
      <c r="O20" s="26" t="s">
        <v>34</v>
      </c>
      <c r="P20" s="25" t="s">
        <v>27</v>
      </c>
      <c r="Q20" s="26" t="s">
        <v>27</v>
      </c>
      <c r="R20" s="25">
        <v>70</v>
      </c>
      <c r="S20" s="25">
        <v>0.7</v>
      </c>
      <c r="T20" s="25">
        <v>0.3</v>
      </c>
      <c r="U20" s="25">
        <v>0</v>
      </c>
    </row>
    <row r="21" spans="1:21" x14ac:dyDescent="0.2">
      <c r="A21" s="25" t="s">
        <v>37</v>
      </c>
      <c r="B21" s="25" t="s">
        <v>38</v>
      </c>
      <c r="C21" s="25" t="s">
        <v>39</v>
      </c>
      <c r="D21" s="25" t="s">
        <v>169</v>
      </c>
      <c r="E21" s="25" t="s">
        <v>170</v>
      </c>
      <c r="F21" s="25" t="s">
        <v>171</v>
      </c>
      <c r="G21" s="25" t="s">
        <v>172</v>
      </c>
      <c r="H21" s="25" t="s">
        <v>28</v>
      </c>
      <c r="I21" s="25" t="s">
        <v>41</v>
      </c>
      <c r="J21" s="25" t="s">
        <v>42</v>
      </c>
      <c r="K21" s="33">
        <v>1</v>
      </c>
      <c r="L21" s="33" t="s">
        <v>45</v>
      </c>
      <c r="M21" s="25">
        <v>2021</v>
      </c>
      <c r="N21" s="25" t="s">
        <v>27</v>
      </c>
      <c r="O21" s="26" t="s">
        <v>27</v>
      </c>
      <c r="P21" s="25" t="s">
        <v>27</v>
      </c>
      <c r="Q21" s="26" t="s">
        <v>27</v>
      </c>
      <c r="R21" s="25">
        <v>100</v>
      </c>
      <c r="S21" s="25">
        <v>1</v>
      </c>
      <c r="T21" s="25">
        <v>0</v>
      </c>
      <c r="U21" s="25">
        <v>0</v>
      </c>
    </row>
    <row r="22" spans="1:21" x14ac:dyDescent="0.2">
      <c r="A22" s="25" t="s">
        <v>37</v>
      </c>
      <c r="B22" s="25" t="s">
        <v>38</v>
      </c>
      <c r="C22" s="25" t="s">
        <v>39</v>
      </c>
      <c r="D22" s="25" t="s">
        <v>173</v>
      </c>
      <c r="E22" s="25" t="s">
        <v>174</v>
      </c>
      <c r="F22" s="25" t="s">
        <v>175</v>
      </c>
      <c r="G22" s="25" t="s">
        <v>48</v>
      </c>
      <c r="H22" s="25" t="s">
        <v>28</v>
      </c>
      <c r="I22" s="25" t="s">
        <v>41</v>
      </c>
      <c r="J22" s="25" t="s">
        <v>42</v>
      </c>
      <c r="K22" s="33">
        <v>1</v>
      </c>
      <c r="L22" s="33" t="s">
        <v>45</v>
      </c>
      <c r="M22" s="25">
        <v>2021</v>
      </c>
      <c r="N22" s="25" t="s">
        <v>46</v>
      </c>
      <c r="O22" s="26" t="s">
        <v>29</v>
      </c>
      <c r="P22" s="25" t="s">
        <v>27</v>
      </c>
      <c r="Q22" s="26" t="s">
        <v>27</v>
      </c>
      <c r="R22" s="25">
        <v>90</v>
      </c>
      <c r="S22" s="25">
        <v>0.9</v>
      </c>
      <c r="T22" s="25">
        <v>0.1</v>
      </c>
      <c r="U22" s="25">
        <v>0</v>
      </c>
    </row>
    <row r="23" spans="1:21" x14ac:dyDescent="0.2">
      <c r="A23" s="25" t="s">
        <v>176</v>
      </c>
      <c r="B23" s="25" t="s">
        <v>177</v>
      </c>
      <c r="C23" s="25" t="s">
        <v>178</v>
      </c>
      <c r="D23" s="25" t="s">
        <v>179</v>
      </c>
      <c r="E23" s="25" t="s">
        <v>180</v>
      </c>
      <c r="F23" s="25" t="s">
        <v>181</v>
      </c>
      <c r="G23" s="25" t="s">
        <v>52</v>
      </c>
      <c r="H23" s="25" t="s">
        <v>28</v>
      </c>
      <c r="I23" s="25" t="s">
        <v>41</v>
      </c>
      <c r="J23" s="25" t="s">
        <v>42</v>
      </c>
      <c r="K23" s="33">
        <v>1</v>
      </c>
      <c r="L23" s="33" t="s">
        <v>45</v>
      </c>
      <c r="M23" s="25">
        <v>2021</v>
      </c>
      <c r="N23" s="25" t="s">
        <v>32</v>
      </c>
      <c r="O23" s="26" t="s">
        <v>34</v>
      </c>
      <c r="P23" s="25" t="s">
        <v>46</v>
      </c>
      <c r="Q23" s="26" t="s">
        <v>34</v>
      </c>
      <c r="R23" s="25">
        <v>40</v>
      </c>
      <c r="S23" s="25">
        <v>0.4</v>
      </c>
      <c r="T23" s="25">
        <v>0.3</v>
      </c>
      <c r="U23" s="25">
        <v>0.3</v>
      </c>
    </row>
    <row r="24" spans="1:21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2"/>
      <c r="P24" s="51"/>
      <c r="Q24" s="52"/>
      <c r="R24" s="51"/>
      <c r="S24" s="59">
        <f>SUM(S2:S23)</f>
        <v>14.25</v>
      </c>
      <c r="T24" s="51"/>
      <c r="U24" s="51"/>
    </row>
  </sheetData>
  <autoFilter ref="A1:U1" xr:uid="{00000000-0009-0000-0000-000000000000}">
    <sortState xmlns:xlrd2="http://schemas.microsoft.com/office/spreadsheetml/2017/richdata2" ref="A2:T1883">
      <sortCondition ref="K2:K1883"/>
      <sortCondition ref="L2:L1883"/>
      <sortCondition ref="D2:D1883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1"/>
  <sheetViews>
    <sheetView zoomScaleNormal="100" workbookViewId="0">
      <selection activeCell="S11" sqref="S11"/>
    </sheetView>
  </sheetViews>
  <sheetFormatPr baseColWidth="10" defaultColWidth="11.44140625" defaultRowHeight="13.2" x14ac:dyDescent="0.25"/>
  <cols>
    <col min="1" max="1" width="10.5546875" style="18" bestFit="1" customWidth="1"/>
    <col min="2" max="2" width="39.4414062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10.109375" style="18" bestFit="1" customWidth="1"/>
    <col min="12" max="12" width="5.5546875" style="18" bestFit="1" customWidth="1"/>
    <col min="13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80</v>
      </c>
      <c r="B1" s="20" t="s">
        <v>81</v>
      </c>
      <c r="C1" s="20" t="s">
        <v>82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83</v>
      </c>
      <c r="K1" s="22" t="s">
        <v>132</v>
      </c>
      <c r="L1" s="15" t="s">
        <v>84</v>
      </c>
      <c r="M1" s="15" t="s">
        <v>85</v>
      </c>
      <c r="N1" s="15" t="s">
        <v>86</v>
      </c>
      <c r="O1" s="15" t="s">
        <v>87</v>
      </c>
      <c r="P1" s="16" t="s">
        <v>88</v>
      </c>
      <c r="Q1" s="16" t="s">
        <v>89</v>
      </c>
      <c r="R1" s="16" t="s">
        <v>90</v>
      </c>
      <c r="S1" s="16" t="s">
        <v>91</v>
      </c>
    </row>
    <row r="2" spans="1:19" ht="14.4" x14ac:dyDescent="0.3">
      <c r="A2" s="23" t="s">
        <v>104</v>
      </c>
      <c r="B2" s="23" t="s">
        <v>105</v>
      </c>
      <c r="C2" s="23" t="s">
        <v>92</v>
      </c>
      <c r="D2" s="23"/>
      <c r="E2" s="23"/>
      <c r="F2" s="23"/>
      <c r="G2" s="23">
        <v>1</v>
      </c>
      <c r="H2" s="23"/>
      <c r="I2" s="23"/>
      <c r="J2" s="23">
        <v>1</v>
      </c>
      <c r="K2" s="23" t="s">
        <v>45</v>
      </c>
      <c r="L2" s="24">
        <v>0</v>
      </c>
      <c r="M2" s="24">
        <v>0</v>
      </c>
      <c r="N2" s="24" t="s">
        <v>27</v>
      </c>
      <c r="O2" s="24" t="s">
        <v>27</v>
      </c>
      <c r="P2" s="24">
        <v>100</v>
      </c>
      <c r="Q2" s="24">
        <v>0</v>
      </c>
      <c r="R2" s="24">
        <v>0</v>
      </c>
      <c r="S2" s="24">
        <v>1</v>
      </c>
    </row>
    <row r="3" spans="1:19" ht="14.4" x14ac:dyDescent="0.3">
      <c r="A3" s="23" t="s">
        <v>106</v>
      </c>
      <c r="B3" s="23" t="s">
        <v>107</v>
      </c>
      <c r="C3" s="23" t="s">
        <v>92</v>
      </c>
      <c r="D3" s="23"/>
      <c r="E3" s="23"/>
      <c r="F3" s="23"/>
      <c r="G3" s="23"/>
      <c r="H3" s="23"/>
      <c r="I3" s="23">
        <v>1</v>
      </c>
      <c r="J3" s="23">
        <v>1</v>
      </c>
      <c r="K3" s="23" t="s">
        <v>45</v>
      </c>
      <c r="L3" s="24">
        <v>0</v>
      </c>
      <c r="M3" s="24">
        <v>0</v>
      </c>
      <c r="N3" s="24" t="s">
        <v>27</v>
      </c>
      <c r="O3" s="24" t="s">
        <v>27</v>
      </c>
      <c r="P3" s="24">
        <v>100</v>
      </c>
      <c r="Q3" s="24">
        <v>0</v>
      </c>
      <c r="R3" s="24">
        <v>0</v>
      </c>
      <c r="S3" s="24">
        <v>1</v>
      </c>
    </row>
    <row r="4" spans="1:19" ht="14.4" x14ac:dyDescent="0.3">
      <c r="A4" s="23" t="s">
        <v>133</v>
      </c>
      <c r="B4" s="23" t="s">
        <v>134</v>
      </c>
      <c r="C4" s="23" t="s">
        <v>92</v>
      </c>
      <c r="D4" s="23"/>
      <c r="E4" s="23"/>
      <c r="F4" s="23">
        <v>1</v>
      </c>
      <c r="G4" s="23"/>
      <c r="H4" s="23"/>
      <c r="I4" s="23"/>
      <c r="J4" s="23">
        <v>1</v>
      </c>
      <c r="K4" s="23" t="s">
        <v>45</v>
      </c>
      <c r="L4" s="24" t="s">
        <v>32</v>
      </c>
      <c r="M4" s="24" t="s">
        <v>29</v>
      </c>
      <c r="N4" s="24" t="s">
        <v>27</v>
      </c>
      <c r="O4" s="24" t="s">
        <v>27</v>
      </c>
      <c r="P4" s="24">
        <v>90</v>
      </c>
      <c r="Q4" s="24">
        <v>0.1</v>
      </c>
      <c r="R4" s="24">
        <v>0</v>
      </c>
      <c r="S4" s="24">
        <v>0.9</v>
      </c>
    </row>
    <row r="5" spans="1:19" ht="14.4" x14ac:dyDescent="0.3">
      <c r="A5" s="23" t="s">
        <v>96</v>
      </c>
      <c r="B5" s="23" t="s">
        <v>97</v>
      </c>
      <c r="C5" s="23" t="s">
        <v>93</v>
      </c>
      <c r="D5" s="23">
        <v>1</v>
      </c>
      <c r="E5" s="23"/>
      <c r="F5" s="23"/>
      <c r="G5" s="23"/>
      <c r="H5" s="23"/>
      <c r="I5" s="23"/>
      <c r="J5" s="23">
        <v>1</v>
      </c>
      <c r="K5" s="23" t="s">
        <v>45</v>
      </c>
      <c r="L5" s="24">
        <v>0</v>
      </c>
      <c r="M5" s="24">
        <v>0</v>
      </c>
      <c r="N5" s="24" t="s">
        <v>27</v>
      </c>
      <c r="O5" s="24" t="s">
        <v>27</v>
      </c>
      <c r="P5" s="24">
        <v>100</v>
      </c>
      <c r="Q5" s="24">
        <v>0</v>
      </c>
      <c r="R5" s="24">
        <v>0</v>
      </c>
      <c r="S5" s="24">
        <v>1</v>
      </c>
    </row>
    <row r="6" spans="1:19" ht="14.4" x14ac:dyDescent="0.3">
      <c r="A6" s="23" t="s">
        <v>94</v>
      </c>
      <c r="B6" s="23" t="s">
        <v>95</v>
      </c>
      <c r="C6" s="23" t="s">
        <v>93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45</v>
      </c>
      <c r="L6" s="24" t="s">
        <v>46</v>
      </c>
      <c r="M6" s="24" t="s">
        <v>29</v>
      </c>
      <c r="N6" s="24" t="s">
        <v>27</v>
      </c>
      <c r="O6" s="24" t="s">
        <v>27</v>
      </c>
      <c r="P6" s="24">
        <v>90</v>
      </c>
      <c r="Q6" s="24">
        <v>0.1</v>
      </c>
      <c r="R6" s="24">
        <v>0</v>
      </c>
      <c r="S6" s="24">
        <v>0.9</v>
      </c>
    </row>
    <row r="7" spans="1:19" ht="14.4" x14ac:dyDescent="0.3">
      <c r="A7" s="23" t="s">
        <v>98</v>
      </c>
      <c r="B7" s="23" t="s">
        <v>99</v>
      </c>
      <c r="C7" s="23" t="s">
        <v>93</v>
      </c>
      <c r="D7" s="23">
        <v>1</v>
      </c>
      <c r="E7" s="23"/>
      <c r="F7" s="23"/>
      <c r="G7" s="23"/>
      <c r="H7" s="23"/>
      <c r="I7" s="23">
        <v>1</v>
      </c>
      <c r="J7" s="23">
        <v>2</v>
      </c>
      <c r="K7" s="23" t="s">
        <v>45</v>
      </c>
      <c r="L7" s="24">
        <v>0</v>
      </c>
      <c r="M7" s="24">
        <v>0</v>
      </c>
      <c r="N7" s="24" t="s">
        <v>27</v>
      </c>
      <c r="O7" s="24" t="s">
        <v>27</v>
      </c>
      <c r="P7" s="24">
        <v>100</v>
      </c>
      <c r="Q7" s="24">
        <v>0</v>
      </c>
      <c r="R7" s="24">
        <v>0</v>
      </c>
      <c r="S7" s="24">
        <v>2</v>
      </c>
    </row>
    <row r="8" spans="1:19" ht="14.4" x14ac:dyDescent="0.3">
      <c r="A8" s="23" t="s">
        <v>130</v>
      </c>
      <c r="B8" s="23" t="s">
        <v>131</v>
      </c>
      <c r="C8" s="23" t="s">
        <v>93</v>
      </c>
      <c r="D8" s="23"/>
      <c r="E8" s="23"/>
      <c r="F8" s="23">
        <v>1</v>
      </c>
      <c r="G8" s="23"/>
      <c r="H8" s="23"/>
      <c r="I8" s="23"/>
      <c r="J8" s="23">
        <v>1</v>
      </c>
      <c r="K8" s="23" t="s">
        <v>45</v>
      </c>
      <c r="L8" s="24">
        <v>0</v>
      </c>
      <c r="M8" s="24">
        <v>0</v>
      </c>
      <c r="N8" s="24" t="s">
        <v>27</v>
      </c>
      <c r="O8" s="24" t="s">
        <v>27</v>
      </c>
      <c r="P8" s="24">
        <v>100</v>
      </c>
      <c r="Q8" s="24">
        <v>0</v>
      </c>
      <c r="R8" s="24">
        <v>0</v>
      </c>
      <c r="S8" s="24">
        <v>1</v>
      </c>
    </row>
    <row r="9" spans="1:19" ht="14.4" x14ac:dyDescent="0.3">
      <c r="A9" s="23" t="s">
        <v>102</v>
      </c>
      <c r="B9" s="23" t="s">
        <v>103</v>
      </c>
      <c r="C9" s="23">
        <v>6</v>
      </c>
      <c r="D9" s="23"/>
      <c r="E9" s="23"/>
      <c r="F9" s="23"/>
      <c r="G9" s="23">
        <v>1</v>
      </c>
      <c r="H9" s="23"/>
      <c r="I9" s="23"/>
      <c r="J9" s="23">
        <v>1</v>
      </c>
      <c r="K9" s="23" t="s">
        <v>45</v>
      </c>
      <c r="L9" s="24" t="s">
        <v>46</v>
      </c>
      <c r="M9" s="24" t="s">
        <v>29</v>
      </c>
      <c r="N9" s="24" t="s">
        <v>27</v>
      </c>
      <c r="O9" s="24" t="s">
        <v>27</v>
      </c>
      <c r="P9" s="24">
        <v>90</v>
      </c>
      <c r="Q9" s="24">
        <v>0.1</v>
      </c>
      <c r="R9" s="24">
        <v>0</v>
      </c>
      <c r="S9" s="24">
        <v>0.9</v>
      </c>
    </row>
    <row r="10" spans="1:19" ht="14.4" x14ac:dyDescent="0.3">
      <c r="A10" s="23" t="s">
        <v>100</v>
      </c>
      <c r="B10" s="23" t="s">
        <v>101</v>
      </c>
      <c r="C10" s="23" t="s">
        <v>92</v>
      </c>
      <c r="D10" s="23"/>
      <c r="E10" s="23"/>
      <c r="F10" s="23">
        <v>2</v>
      </c>
      <c r="G10" s="23"/>
      <c r="H10" s="23"/>
      <c r="I10" s="23"/>
      <c r="J10" s="23">
        <v>2</v>
      </c>
      <c r="K10" s="23" t="s">
        <v>45</v>
      </c>
      <c r="L10" s="24" t="s">
        <v>32</v>
      </c>
      <c r="M10" s="24" t="s">
        <v>34</v>
      </c>
      <c r="N10" s="24" t="s">
        <v>46</v>
      </c>
      <c r="O10" s="24" t="s">
        <v>34</v>
      </c>
      <c r="P10" s="24">
        <v>40</v>
      </c>
      <c r="Q10" s="24">
        <v>0.6</v>
      </c>
      <c r="R10" s="24">
        <v>0.6</v>
      </c>
      <c r="S10" s="24">
        <v>0.8</v>
      </c>
    </row>
    <row r="11" spans="1:19" ht="14.4" x14ac:dyDescent="0.3">
      <c r="A11" s="53"/>
      <c r="B11" s="53"/>
      <c r="C11" s="54"/>
      <c r="D11" s="53"/>
      <c r="E11" s="53"/>
      <c r="F11" s="53"/>
      <c r="G11" s="53"/>
      <c r="H11" s="53"/>
      <c r="I11" s="53"/>
      <c r="J11" s="55"/>
      <c r="K11" s="53"/>
      <c r="L11" s="53"/>
      <c r="M11" s="53"/>
      <c r="N11" s="53"/>
      <c r="O11" s="53"/>
      <c r="P11" s="53"/>
      <c r="Q11" s="53"/>
      <c r="R11" s="53"/>
      <c r="S11" s="60">
        <f>SUM(S2:S10)</f>
        <v>9.5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zoomScaleNormal="100" workbookViewId="0">
      <selection activeCell="A8" sqref="A8:B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108</v>
      </c>
      <c r="B2" s="5"/>
    </row>
    <row r="3" spans="1:2" x14ac:dyDescent="0.2">
      <c r="A3" s="4" t="s">
        <v>109</v>
      </c>
      <c r="B3" s="5">
        <v>2500</v>
      </c>
    </row>
    <row r="4" spans="1:2" x14ac:dyDescent="0.2">
      <c r="A4" s="4" t="s">
        <v>110</v>
      </c>
      <c r="B4" s="5">
        <v>2500</v>
      </c>
    </row>
    <row r="5" spans="1:2" x14ac:dyDescent="0.2">
      <c r="A5" s="4" t="s">
        <v>4</v>
      </c>
      <c r="B5" s="5"/>
    </row>
    <row r="6" spans="1:2" x14ac:dyDescent="0.2">
      <c r="A6" s="4" t="s">
        <v>111</v>
      </c>
      <c r="B6" s="5">
        <v>17.2</v>
      </c>
    </row>
    <row r="7" spans="1:2" x14ac:dyDescent="0.2">
      <c r="A7" s="4" t="s">
        <v>112</v>
      </c>
      <c r="B7" s="5"/>
    </row>
    <row r="8" spans="1:2" x14ac:dyDescent="0.2">
      <c r="A8" s="4" t="s">
        <v>113</v>
      </c>
      <c r="B8" s="5">
        <v>2424.46</v>
      </c>
    </row>
    <row r="9" spans="1:2" x14ac:dyDescent="0.2">
      <c r="A9" s="4" t="s">
        <v>114</v>
      </c>
      <c r="B9" s="5"/>
    </row>
    <row r="10" spans="1:2" x14ac:dyDescent="0.2">
      <c r="A10" s="4" t="s">
        <v>115</v>
      </c>
      <c r="B10" s="5">
        <v>480.5</v>
      </c>
    </row>
    <row r="11" spans="1:2" x14ac:dyDescent="0.2">
      <c r="A11" s="4" t="s">
        <v>116</v>
      </c>
      <c r="B11" s="5">
        <v>4867.55</v>
      </c>
    </row>
    <row r="12" spans="1:2" x14ac:dyDescent="0.2">
      <c r="A12" s="4" t="s">
        <v>117</v>
      </c>
      <c r="B12" s="5"/>
    </row>
    <row r="13" spans="1:2" x14ac:dyDescent="0.2">
      <c r="A13" s="4" t="s">
        <v>118</v>
      </c>
      <c r="B13" s="5">
        <v>14154</v>
      </c>
    </row>
    <row r="14" spans="1:2" x14ac:dyDescent="0.2">
      <c r="A14" s="6" t="s">
        <v>2</v>
      </c>
      <c r="B14" s="7">
        <f>SUM(B3:B13)</f>
        <v>26943.71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27DD-3749-4547-8BC1-5F413F8441B1}">
  <dimension ref="A1:B12"/>
  <sheetViews>
    <sheetView zoomScaleNormal="100" workbookViewId="0">
      <selection activeCell="A26" sqref="A2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141</v>
      </c>
      <c r="B2" s="5"/>
    </row>
    <row r="3" spans="1:2" x14ac:dyDescent="0.2">
      <c r="A3" s="4" t="s">
        <v>142</v>
      </c>
      <c r="B3" s="5">
        <v>723.63</v>
      </c>
    </row>
    <row r="4" spans="1:2" x14ac:dyDescent="0.2">
      <c r="A4" s="4" t="s">
        <v>143</v>
      </c>
      <c r="B4" s="5"/>
    </row>
    <row r="5" spans="1:2" x14ac:dyDescent="0.2">
      <c r="A5" s="4" t="s">
        <v>144</v>
      </c>
      <c r="B5" s="5">
        <v>704</v>
      </c>
    </row>
    <row r="6" spans="1:2" x14ac:dyDescent="0.2">
      <c r="A6" s="4" t="s">
        <v>145</v>
      </c>
      <c r="B6" s="5"/>
    </row>
    <row r="7" spans="1:2" x14ac:dyDescent="0.2">
      <c r="A7" s="4" t="s">
        <v>146</v>
      </c>
      <c r="B7" s="5">
        <v>3141.81</v>
      </c>
    </row>
    <row r="8" spans="1:2" x14ac:dyDescent="0.2">
      <c r="A8" s="4" t="s">
        <v>112</v>
      </c>
      <c r="B8" s="5"/>
    </row>
    <row r="9" spans="1:2" x14ac:dyDescent="0.2">
      <c r="A9" s="4" t="s">
        <v>147</v>
      </c>
      <c r="B9" s="5">
        <v>3886.06</v>
      </c>
    </row>
    <row r="10" spans="1:2" x14ac:dyDescent="0.2">
      <c r="A10" s="4" t="s">
        <v>117</v>
      </c>
      <c r="B10" s="5"/>
    </row>
    <row r="11" spans="1:2" x14ac:dyDescent="0.2">
      <c r="A11" s="4" t="s">
        <v>148</v>
      </c>
      <c r="B11" s="5">
        <v>14154</v>
      </c>
    </row>
    <row r="12" spans="1:2" x14ac:dyDescent="0.2">
      <c r="A12" s="6" t="s">
        <v>2</v>
      </c>
      <c r="B12" s="7">
        <f>SUM(B3:B11)</f>
        <v>22609.5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C0C0-10DF-4E91-A8BD-3595963662D0}">
  <dimension ref="A1:C7"/>
  <sheetViews>
    <sheetView zoomScaleNormal="100" workbookViewId="0">
      <selection activeCell="B16" sqref="B16"/>
    </sheetView>
  </sheetViews>
  <sheetFormatPr baseColWidth="10" defaultColWidth="11.44140625" defaultRowHeight="14.4" x14ac:dyDescent="0.3"/>
  <cols>
    <col min="1" max="1" width="13.88671875" bestFit="1" customWidth="1"/>
    <col min="2" max="2" width="83.44140625" customWidth="1"/>
  </cols>
  <sheetData>
    <row r="1" spans="1:3" ht="15" thickBot="1" x14ac:dyDescent="0.35">
      <c r="A1" s="35" t="s">
        <v>150</v>
      </c>
      <c r="B1" s="35" t="s">
        <v>151</v>
      </c>
      <c r="C1" s="36" t="s">
        <v>1</v>
      </c>
    </row>
    <row r="2" spans="1:3" ht="29.4" thickTop="1" x14ac:dyDescent="0.3">
      <c r="A2" s="39" t="s">
        <v>152</v>
      </c>
      <c r="B2" s="40" t="s">
        <v>153</v>
      </c>
      <c r="C2" s="41">
        <v>12760</v>
      </c>
    </row>
    <row r="3" spans="1:3" ht="43.2" x14ac:dyDescent="0.3">
      <c r="A3" s="42" t="s">
        <v>154</v>
      </c>
      <c r="B3" s="43" t="s">
        <v>155</v>
      </c>
      <c r="C3" s="44">
        <v>2640</v>
      </c>
    </row>
    <row r="4" spans="1:3" ht="58.2" thickBot="1" x14ac:dyDescent="0.35">
      <c r="A4" s="39" t="s">
        <v>156</v>
      </c>
      <c r="B4" s="40" t="s">
        <v>157</v>
      </c>
      <c r="C4" s="41">
        <v>1056</v>
      </c>
    </row>
    <row r="5" spans="1:3" ht="15" thickTop="1" x14ac:dyDescent="0.3">
      <c r="A5" s="37"/>
      <c r="B5" s="37"/>
      <c r="C5" s="38">
        <v>16456</v>
      </c>
    </row>
    <row r="7" spans="1:3" x14ac:dyDescent="0.3">
      <c r="B7" s="56" t="s">
        <v>182</v>
      </c>
      <c r="C7" s="57">
        <f>+C5+'Ingresos investigación 2020'!B12+'Ingresos investigación 2019'!B14</f>
        <v>66009.209999999992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zoomScaleNormal="100" workbookViewId="0">
      <selection activeCell="G45" sqref="G4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119</v>
      </c>
      <c r="B3" s="5">
        <v>1431.51</v>
      </c>
    </row>
    <row r="4" spans="1:2" x14ac:dyDescent="0.2">
      <c r="A4" s="4" t="s">
        <v>120</v>
      </c>
      <c r="B4" s="5">
        <v>5458.98</v>
      </c>
    </row>
    <row r="5" spans="1:2" x14ac:dyDescent="0.2">
      <c r="A5" s="4" t="s">
        <v>121</v>
      </c>
      <c r="B5" s="5">
        <v>6000</v>
      </c>
    </row>
    <row r="6" spans="1:2" x14ac:dyDescent="0.2">
      <c r="A6" s="4" t="s">
        <v>122</v>
      </c>
      <c r="B6" s="5">
        <v>6000</v>
      </c>
    </row>
    <row r="7" spans="1:2" x14ac:dyDescent="0.2">
      <c r="A7" s="4" t="s">
        <v>123</v>
      </c>
      <c r="B7" s="5"/>
    </row>
    <row r="8" spans="1:2" x14ac:dyDescent="0.2">
      <c r="A8" s="4" t="s">
        <v>124</v>
      </c>
      <c r="B8" s="5">
        <v>580</v>
      </c>
    </row>
    <row r="9" spans="1:2" x14ac:dyDescent="0.2">
      <c r="A9" s="4" t="s">
        <v>125</v>
      </c>
      <c r="B9" s="5">
        <v>540</v>
      </c>
    </row>
    <row r="10" spans="1:2" x14ac:dyDescent="0.2">
      <c r="A10" s="6" t="s">
        <v>2</v>
      </c>
      <c r="B10" s="7">
        <f>SUM(B3:B9)</f>
        <v>20010.489999999998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65BE-D088-4969-B1C9-40C9AEE83EEE}">
  <dimension ref="A1:B10"/>
  <sheetViews>
    <sheetView zoomScaleNormal="100" workbookViewId="0">
      <selection activeCell="A15" sqref="A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149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4"/>
      <c r="B8" s="5"/>
    </row>
    <row r="9" spans="1:2" x14ac:dyDescent="0.2">
      <c r="A9" s="4"/>
      <c r="B9" s="5"/>
    </row>
    <row r="10" spans="1:2" x14ac:dyDescent="0.2">
      <c r="A10" s="6" t="s">
        <v>2</v>
      </c>
      <c r="B10" s="7">
        <f>SUM(B3:B9)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415A-B3B8-42F0-B964-429537539058}">
  <dimension ref="A1:B14"/>
  <sheetViews>
    <sheetView zoomScaleNormal="100" workbookViewId="0">
      <selection activeCell="D28" sqref="D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158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4"/>
      <c r="B8" s="5"/>
    </row>
    <row r="9" spans="1:2" x14ac:dyDescent="0.2">
      <c r="A9" s="4"/>
      <c r="B9" s="5"/>
    </row>
    <row r="10" spans="1:2" x14ac:dyDescent="0.2">
      <c r="A10" s="6" t="s">
        <v>2</v>
      </c>
      <c r="B10" s="7">
        <f>SUM(B3:B9)</f>
        <v>0</v>
      </c>
    </row>
    <row r="14" spans="1:2" ht="14.4" x14ac:dyDescent="0.3">
      <c r="A14" s="56" t="s">
        <v>183</v>
      </c>
      <c r="B14" s="58">
        <f>B10+'Ingresos formación 2020'!B10+'Ingresos formación 2019'!B10</f>
        <v>20010.489999999998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2022-10-18T14:31:03Z</dcterms:modified>
</cp:coreProperties>
</file>