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Institutos\"/>
    </mc:Choice>
  </mc:AlternateContent>
  <xr:revisionPtr revIDLastSave="0" documentId="13_ncr:1_{20317E38-F97F-4AEA-8AB5-CD4C23B3E41C}" xr6:coauthVersionLast="47" xr6:coauthVersionMax="47" xr10:uidLastSave="{00000000-0000-0000-0000-000000000000}"/>
  <bookViews>
    <workbookView xWindow="22932" yWindow="-108" windowWidth="23256" windowHeight="12456" activeTab="1" xr2:uid="{00000000-000D-0000-FFFF-FFFF00000000}"/>
  </bookViews>
  <sheets>
    <sheet name="Tesis" sheetId="2" r:id="rId1"/>
    <sheet name="Sexenios" sheetId="3" r:id="rId2"/>
    <sheet name="Ingresos investigación 2019" sheetId="5" r:id="rId3"/>
    <sheet name="ingresos investigación 2020" sheetId="6" r:id="rId4"/>
    <sheet name="ingresos investigación 2021" sheetId="7" r:id="rId5"/>
  </sheets>
  <definedNames>
    <definedName name="_xlnm._FilterDatabase" localSheetId="1" hidden="1">Sexenios!$A$1:$S$13</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3" l="1"/>
  <c r="S37" i="2" l="1"/>
  <c r="B23" i="5" l="1"/>
  <c r="D24" i="7" s="1"/>
</calcChain>
</file>

<file path=xl/sharedStrings.xml><?xml version="1.0" encoding="utf-8"?>
<sst xmlns="http://schemas.openxmlformats.org/spreadsheetml/2006/main" count="784" uniqueCount="244">
  <si>
    <t>Orgánica
Descripción justificante</t>
  </si>
  <si>
    <t>Importe</t>
  </si>
  <si>
    <t>Total</t>
  </si>
  <si>
    <t>41.00.6C.00.15</t>
  </si>
  <si>
    <t>41.00.6C.00.21</t>
  </si>
  <si>
    <t>41.00.6P.00.03</t>
  </si>
  <si>
    <t>41.00.6P.00.05</t>
  </si>
  <si>
    <t>41.00.6P.00.06</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</si>
  <si>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</si>
  <si>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</si>
  <si>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</si>
  <si>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</si>
  <si>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</si>
  <si>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</si>
  <si>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</si>
  <si>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</si>
  <si>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</si>
  <si>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</si>
  <si>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</si>
  <si>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</si>
  <si>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</si>
  <si>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</si>
  <si>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</si>
  <si>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</si>
  <si>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</si>
  <si>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</si>
  <si>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</si>
  <si>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</si>
  <si>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</si>
  <si>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</si>
  <si>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</si>
  <si>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U042 </t>
  </si>
  <si>
    <t>ADM. I.U. DE SÍNTESIS ORGÁNICA </t>
  </si>
  <si>
    <t>DOCTORADO EN SÍNTESIS ORGÁNICA </t>
  </si>
  <si>
    <t>52776404Y </t>
  </si>
  <si>
    <t>10.11</t>
  </si>
  <si>
    <t>Director de tesis </t>
  </si>
  <si>
    <t>Lahosa Tortajada, Alejandro </t>
  </si>
  <si>
    <t>DESARROLLO DE NUEVAS METODOLOGÍAS SINTÉTICAS DE SISTEMAS PIPERIDÍNICOS Y QUINOLIZIDÍNICOS A PARTIR DE N-TERC-BUTANOSULFINIL IMINAS </t>
  </si>
  <si>
    <t>12/07/2019 </t>
  </si>
  <si>
    <t>76793623G </t>
  </si>
  <si>
    <t>27/09/2018 </t>
  </si>
  <si>
    <t>19/07/2019 </t>
  </si>
  <si>
    <t>29/09/2017 </t>
  </si>
  <si>
    <t>50</t>
  </si>
  <si>
    <t>60</t>
  </si>
  <si>
    <t>90</t>
  </si>
  <si>
    <t>80</t>
  </si>
  <si>
    <t>74215613H </t>
  </si>
  <si>
    <t>B141 </t>
  </si>
  <si>
    <t>QUÍMICA ORGÁNICA </t>
  </si>
  <si>
    <t>B141</t>
  </si>
  <si>
    <t>21418250Y </t>
  </si>
  <si>
    <t>45905770R </t>
  </si>
  <si>
    <t>71697007G </t>
  </si>
  <si>
    <t>21484328M </t>
  </si>
  <si>
    <t>21457195N </t>
  </si>
  <si>
    <t>21462906L </t>
  </si>
  <si>
    <t>52774740K </t>
  </si>
  <si>
    <t>21488564D </t>
  </si>
  <si>
    <t>21482875R </t>
  </si>
  <si>
    <t>Flores Ferrándiz, Jesús </t>
  </si>
  <si>
    <t>CHIRAL AMINOCARBAMATES DERIVED FROM TRANS-CYCLOHEXANE-1,2-DIAMINES AS ORGANOCATALYSTS IN CONJUGATE ADDITION REACTIONS </t>
  </si>
  <si>
    <t>Antón Torrecillas, Cintia </t>
  </si>
  <si>
    <t>SÍNTESIS DE FENANTROIZIDINAS QUIRALES BIOACTIVAS Y FENANTRIDINAS CON POTENCIAL FARMACOLÓGICO </t>
  </si>
  <si>
    <t>15/12/2016 </t>
  </si>
  <si>
    <t>Carrera Fernández, Manuel </t>
  </si>
  <si>
    <t>MATERIALES DERIVADOS DE HIDROCARBUROS AROMÁTICOS POLICÍCLICOS INTERCALADOS CON METALES ALCALINOS </t>
  </si>
  <si>
    <t>González Soria, María José </t>
  </si>
  <si>
    <t>SELECTIVE SYNTHESIS AND REACTIVITY OF INDOLIZINES </t>
  </si>
  <si>
    <t>26/07/2018 </t>
  </si>
  <si>
    <t>Gómez Martínez, Melania </t>
  </si>
  <si>
    <t>GRAPHENE-BASED MATERIALS IN METAL-, CARBO-&amp; ORGANOCATALYSIS </t>
  </si>
  <si>
    <t>06/10/2017 </t>
  </si>
  <si>
    <t>65</t>
  </si>
  <si>
    <t>Selva Martínez, Verónica </t>
  </si>
  <si>
    <t>"DIASTEREOSELECTIVE MULTICOMPONENT [3+2] AND [4+2] CYCLOADDITIONS" </t>
  </si>
  <si>
    <t>18/04/2018 </t>
  </si>
  <si>
    <t>Maciá Gil, Edgar </t>
  </si>
  <si>
    <t>SÍNTESIS DIASTEROSELECTIVA DE AMINAS A-FUNCIONALIZADAS A PARTIR DE N-TERC-BUTANOSULFINIL IMINAS </t>
  </si>
  <si>
    <t>27/07/2018 </t>
  </si>
  <si>
    <t>Gisbert De Ves, Patricia Paula </t>
  </si>
  <si>
    <t>27/09/2019 </t>
  </si>
  <si>
    <t>Marset Gimeno, Xavier </t>
  </si>
  <si>
    <t>DEEP EUTECTIC SOLVENTS: À LA CARTE SOLVENTS FOR CROSS-COUPLING REACTIONS </t>
  </si>
  <si>
    <t>18/06/2019 </t>
  </si>
  <si>
    <t>Ros Ñiguez, Diego </t>
  </si>
  <si>
    <t>DEEP EUTECTIC SOLVENTS: PLATFORM FOR ASYMMETRIC CATALYSIS </t>
  </si>
  <si>
    <t>24/09/2019 </t>
  </si>
  <si>
    <t>Ramírez Hernández, Nieves Pilar </t>
  </si>
  <si>
    <t>VISIBLE LIGHT-PROMOTED TRANSFORMATIONS OF CARBOXYLIC ACIDS USING ORGANIC PHOTOCATALYSTS </t>
  </si>
  <si>
    <t>Selva Martínez, Elisabet </t>
  </si>
  <si>
    <t>SYNTHESIS OF FATTY ACID DERIVATIVES AND BIOACTIVE HETEROCYCLES </t>
  </si>
  <si>
    <t>28/02/2019 </t>
  </si>
  <si>
    <t>NIF</t>
  </si>
  <si>
    <t>NOMBRE_COMPLETO</t>
  </si>
  <si>
    <t>TIPO_SEXENIO</t>
  </si>
  <si>
    <t>Total general</t>
  </si>
  <si>
    <t>INS
1</t>
  </si>
  <si>
    <t>DED
INS 1</t>
  </si>
  <si>
    <t>INS
2</t>
  </si>
  <si>
    <t>DED
INS 2</t>
  </si>
  <si>
    <t>DED
DEP</t>
  </si>
  <si>
    <t>SEX
INS 1</t>
  </si>
  <si>
    <t>SEX
INS 2</t>
  </si>
  <si>
    <t>SEX
DEP</t>
  </si>
  <si>
    <t>FUNCIONARIO</t>
  </si>
  <si>
    <t>74215613H</t>
  </si>
  <si>
    <t>ALONSO VALDES, FRANCISCO</t>
  </si>
  <si>
    <t>21484328M</t>
  </si>
  <si>
    <t>ALONSO VELASCO, DIEGO ANTONIO</t>
  </si>
  <si>
    <t>21418250Y</t>
  </si>
  <si>
    <t>CHINCHILLA CRUZ, RAFAEL JOSE</t>
  </si>
  <si>
    <t>71697007G</t>
  </si>
  <si>
    <t>FOUBELO GARCIA, FRANCISCO</t>
  </si>
  <si>
    <t>21425525J</t>
  </si>
  <si>
    <t>GOMEZ LUCAS, MARIA CECILIA</t>
  </si>
  <si>
    <t>45905770R</t>
  </si>
  <si>
    <t>GONZALEZ GOMEZ, JOSE CARLOS</t>
  </si>
  <si>
    <t>21471279C</t>
  </si>
  <si>
    <t>GUIJARRO ESPI, DAVID</t>
  </si>
  <si>
    <t>21482875R</t>
  </si>
  <si>
    <t>GUIJARRO PASTOR, ALBERT</t>
  </si>
  <si>
    <t>21488564D</t>
  </si>
  <si>
    <t>GUILLENA TOWNLEY, GABRIELA</t>
  </si>
  <si>
    <t>52774740K</t>
  </si>
  <si>
    <t>PASTOR BEVIA, ISIDRO MANUEL</t>
  </si>
  <si>
    <t>21457195N</t>
  </si>
  <si>
    <t>RAMON DANGLA, DIEGO JOSE</t>
  </si>
  <si>
    <t>21462906L</t>
  </si>
  <si>
    <t>SANSANO GIL, JOSE MIGUEL</t>
  </si>
  <si>
    <t>Ensayo NF39</t>
  </si>
  <si>
    <t>Ensayo: NF23 NEOFLEX2-17T</t>
  </si>
  <si>
    <t>Ensayo: NF34 NEOFLEX2-17T</t>
  </si>
  <si>
    <t>Ensayo: NF35</t>
  </si>
  <si>
    <t>Analysis of 6 samples of DPC Heavies collected from the plant in different days. GULFINTERCHEM1-18I</t>
  </si>
  <si>
    <t>LIBERADOS EL 23/04/2019, ANUALIDAD 2019 PROYECTOS I+D (PIA1) N EXPEDIENTE: PIA12016-1 - 4 ANUALIDAD REFERENCIA: MAT2016-78625-C2-2-P. REF. DEL ORDENANTE PARA EL BENEFICIARIO: 27402219310018249.</t>
  </si>
  <si>
    <t xml:space="preserve">SUBVENCIONES PARA GRUPOS DE INVESTIGACIÓN CONSOLIDABLES AICO/2017-3ª ANUALIDAD </t>
  </si>
  <si>
    <t>LIBERADOS EL 18/03/19, ANUALIDAD 2019 PROYECTOS I+D (PIA1) N EXPEDIENTE: PIA12017-1 -2 ANUALIDAD REFERENCIA: CTQ2017-88171-P. REF. ORDENANTE: 27402219310015469.</t>
  </si>
  <si>
    <t>41.00.6P.00.07</t>
  </si>
  <si>
    <t xml:space="preserve">AEST 2018 - ANUALITAT 2019 </t>
  </si>
  <si>
    <t xml:space="preserve">AEST18 - SUBV. ESTADES EMPRESES DE LA CV. Error de orgánica de aplicación 41.50.6P.00.07. Asociado a JI 2018006781 y anulación de derechos AD4077 </t>
  </si>
  <si>
    <t>41.00.6P.00.08</t>
  </si>
  <si>
    <t>JUAN DE LA CIERVA EXPEDIENTE: IJCI-2017-4 SOLICITUDES: IJCI-2017-33706 - 1 ANUALIDAD. REF. DEL ORDENANTE PARA EL BENEFICIARIO: 27402219310018598.</t>
  </si>
  <si>
    <t>41.00.6P.00.09</t>
  </si>
  <si>
    <t>PARA EL PAGO DE ANUALIDAD 2019. PROYECTOS I+D (PIA) N EXPEDIENT: PIA 12018 - 1- 1 ANUALIDAD REFERENCIA: PGC2018 - 096616 - B - I00. REFERENCIA DEL ORDENANTE PARA EL BENEFICIARIO: 00173219310010716 - 2019/009171</t>
  </si>
  <si>
    <t>PARA PAGO ANUALIDAD 2019 CONVOCATORIA  PGC 2018 PROYECTOS I+D (PIA1) N EXPEDIENTE:PIA12018-1 -1 ANUALIDAD REFERENCIA: PGC2018-096616-B-10 REFERENCIA DEL ORDENANTE PARA EL BENEFICIARIO:27402219310024643</t>
  </si>
  <si>
    <t>Molina Molina, Cynthia </t>
  </si>
  <si>
    <t>Síntesis de 2-oxindoles 3,3-disustituidos por alquilación desacilativa </t>
  </si>
  <si>
    <t>30/07/2020 </t>
  </si>
  <si>
    <t>16492794T </t>
  </si>
  <si>
    <t>Functionalized imidazolium salts as components in catalytic systems </t>
  </si>
  <si>
    <t>Albert Soriano, María </t>
  </si>
  <si>
    <t>TOWARDS SUSTAINABILITY IN ORGANIC TRANSFORMATIONS CATALYSED BY 1,3-BIS(CARBOXYMETHYL)IMIDAZOLE-BASED SYSTEMS </t>
  </si>
  <si>
    <t>28/09/2020 </t>
  </si>
  <si>
    <t>Felipe Blanco, Diego </t>
  </si>
  <si>
    <t>Salicylic Acid-Catalyzed Radical Arylations from In-situ Formed Arenediazonium Salts </t>
  </si>
  <si>
    <t>22/07/2020 </t>
  </si>
  <si>
    <t>Ferrandiz Saperas, Marcos </t>
  </si>
  <si>
    <t>Azomethine Ylides for the Synthesis of Antibiotics, Enantioselective Prolinates and a Graphene-supported Catalyst </t>
  </si>
  <si>
    <t>15/06/2020 </t>
  </si>
  <si>
    <t>COD DEP</t>
  </si>
  <si>
    <t>vivos</t>
  </si>
  <si>
    <t>Martín García, María Iris </t>
  </si>
  <si>
    <t>NEW ADVENTURES IN SUPPORTED COPPER NANOPARTICLES </t>
  </si>
  <si>
    <t>30/11/2020 </t>
  </si>
  <si>
    <t>U022 </t>
  </si>
  <si>
    <t>ADM. FACULTAD DE CIENCIAS </t>
  </si>
  <si>
    <t>DOCTORADO EN CIENCIAS EXPERIMENTALES Y BIOSANITARIAS </t>
  </si>
  <si>
    <t>Lledó García, David </t>
  </si>
  <si>
    <t>APPLICATIONS OF IONIC LIQUIDS IN CATALYSIS AND METAL EXTRACTION </t>
  </si>
  <si>
    <t>19/02/2021 </t>
  </si>
  <si>
    <t>Chabour , Ihssene </t>
  </si>
  <si>
    <t>1,3-Dipolar cycloadditions using catalysts with double chirality and novel multicomponent [4+2] processes. </t>
  </si>
  <si>
    <t>08/02/2021 </t>
  </si>
  <si>
    <t>Saavedra Guillem, Beatriz </t>
  </si>
  <si>
    <t>New strategies for C-C, C-O and C-S bond formation in Deep Eutectic Solvents </t>
  </si>
  <si>
    <t>18/06/2021 </t>
  </si>
  <si>
    <t>Moreno Cabrerizo, Cristina </t>
  </si>
  <si>
    <t>Useful strategies for the synthesis of 3,3' - disubstitued 2-oxindoles and homoallyl alcohols </t>
  </si>
  <si>
    <t>18/03/2021 </t>
  </si>
  <si>
    <t>Sirvent Verdú, Ana </t>
  </si>
  <si>
    <t>Synthesis of nitrogen containing heterocycles and polyfunctionalized compounds from N-tert-butanesulfinyl alkyl, alkenyl and homopropargyl amine derivatives </t>
  </si>
  <si>
    <t>24/09/2021 </t>
  </si>
  <si>
    <t xml:space="preserve">Ensayo: NF43, tejido velas,  3 x ATR/IR (con informe) </t>
  </si>
  <si>
    <t>41.00.6C.00.23</t>
  </si>
  <si>
    <t>Optimization of new synthetic routes for laboratory scale N,N¿-diisopropylcarbodiimide (DIC, CAS # 693-13-0) preparation.</t>
  </si>
  <si>
    <t>41.00.6C.00.24</t>
  </si>
  <si>
    <t>Entrega informe hito anexo 1 (See annex A-1 attached) Recycling solution for sulphidic spent caustic BEWO1-20I</t>
  </si>
  <si>
    <t>41.00.6C.00.26</t>
  </si>
  <si>
    <t>Caracterización del material plástico HH-PCR</t>
  </si>
  <si>
    <t>41.00.6C.00.27</t>
  </si>
  <si>
    <t>Synthesis of 50 g of  tesofensine (reagents cost)</t>
  </si>
  <si>
    <t>41.00.6C.00.28</t>
  </si>
  <si>
    <t>Tratamiento, ensayos y asesoramiento sobre el material (GW2007-01) suministrado por la empresa</t>
  </si>
  <si>
    <t>41.00.6C.00.29</t>
  </si>
  <si>
    <t>Tratamiento, ensayos y asesoramiento sobre el material (GW2001-01 y GW2002-01) suministrado por la empresa.</t>
  </si>
  <si>
    <t xml:space="preserve">LIBERADOS EL 18/02/2020, ANUALIDAD 2020 PROYECTOS I+D (PIA 1) N EXPEDIENTE:PIA12017-1-3 ANUALIDAD REFERENCIA: CTQ2017-88171-P. </t>
  </si>
  <si>
    <t>LIBERADOS EL 30/06/2020, ANUALIDAD 2020 PROYECTOS / I+D (PIA1) N EXPEDIENTE: PIA12018-1 - 2 ANUAL / IDAD REFERENCIA: PGC2018-096616-B-I00 / GOVT / 27402220310030693</t>
  </si>
  <si>
    <t>41.00.6P.00.12</t>
  </si>
  <si>
    <t>PAGO CONVOVATORIA PROYECTOS 2019 ANUALIDAD 2020 PROYECTOS I+D (PIA1) EXPEDIENTE PIA12019-1-1 ANUALIDAD REFERENCIA: PID2019-107268G</t>
  </si>
  <si>
    <t>Unidad</t>
  </si>
  <si>
    <t>Cód. org. aplic.</t>
  </si>
  <si>
    <t>Descripción justificante</t>
  </si>
  <si>
    <t>41.00</t>
  </si>
  <si>
    <t>Ensayos: NF43A y NF43B MUESTRAS: NEOPUR 3535.1 y SikaForce®-641 L3F  Ensayos: NF44 (poliuretanos 1 y 2) MUESTRAS: Poliuretano 1 y poliuretano 2</t>
  </si>
  <si>
    <t>PIEZA ESCALADA VERDE. EXPERIMENTOS REALIZADOS Y ANÁLISIS: CG-MS (2x); ATR/IR; TG-MS; Cenizas; Hidrólisis polímero</t>
  </si>
  <si>
    <t>41.00.6C.00.25</t>
  </si>
  <si>
    <t>Asesoramiento puesta a punto de un nuevo laboratorio de Control de Calidad bajo normas GMP</t>
  </si>
  <si>
    <t>Hoja de encargo Servicios 3: caracterización del material plástico HHPCR (lote 3); Nº de Orden de Compra: PCRD'WC-00009</t>
  </si>
  <si>
    <t>Hoja de encargo Servicios 2: caracterización del material plástico HH-PCR; Nº de Orden de Compra: PCRD'WC-00006</t>
  </si>
  <si>
    <t>Optimization of the synthesis of tesofensine in order to scale-up the prosses to the pilot plant (1kg): The optimization of Stage 5 and previous steps.</t>
  </si>
  <si>
    <t>Synthesis of 50 g of tesofensine (personnel cost)</t>
  </si>
  <si>
    <t>Synthesis of 50 g of tesofensine (goal 99 + % purity), 9091 (66% personnel and 33% reagents cost)</t>
  </si>
  <si>
    <t>Synthesis 1 Kg of tesofensine citrate (95% purity by HPLC), 14533 (reagents cost, first payment)</t>
  </si>
  <si>
    <t>Synthesis 1 Kg of tesofensine citrate (95% purity by HPLC), 29.067 (personnel cost, second payment)</t>
  </si>
  <si>
    <t>41.00.6C.00.30</t>
  </si>
  <si>
    <t>Segundo pago de la aportación inicial de la empresa (cantidad fija) como dotación presupuestaria para la ejecución de la primera fase. (dividido en dos pagos iguales de 3000 euros más IVA)</t>
  </si>
  <si>
    <t>Primer pago de la aportación inicial de la empresa (cantidad fija) como dotación preupuestaria para la ejecución de la primera fase. (Dividido en dos pagos iguales de 3000 euros más IVA)</t>
  </si>
  <si>
    <t>41.00.6C.00.31</t>
  </si>
  <si>
    <t>Tratamiento, ensayos y asesoramiento sobre el material (GW 2009-01) suministrado por la empresa. GREENE5-20TPA</t>
  </si>
  <si>
    <t>41.00.6C.00.32</t>
  </si>
  <si>
    <t>Tratamiento, ensayos y asesoramiento sobre el material (GW 2011-01) suministrado por la empresa. GREENE6-20TPA</t>
  </si>
  <si>
    <t>Reintegro de cerrado del pago de la inscripción de Alejandro Baeza Carratalá en GreenCat 2020, 4th International Green Catalysis Symposium, 30/3-02/04 2020, Rennes (Francia). JG:2019-51176/ADO:2019000061289</t>
  </si>
  <si>
    <t>LIBERADOS EL 14/05/2021 ANUALIDAD 2021 PROYECTOS I+D (PIA1) N EXPEDIENTE: PIA12017-1-4 ANUALIDAD REFERENCIA: CTQ2017-88171-P</t>
  </si>
  <si>
    <t xml:space="preserve">PGC2018-096616-B-I00 </t>
  </si>
  <si>
    <t>PID2019-107268GB-I00</t>
  </si>
  <si>
    <t>Llopis Costa, Natalia </t>
  </si>
  <si>
    <t>HFIP as a metal-free alternative for cyclization and oxidation reactions </t>
  </si>
  <si>
    <t>12/04/2022 </t>
  </si>
  <si>
    <t>García Mingüens, Eduardo </t>
  </si>
  <si>
    <t>SYNTHESIS AND APPLICATIONS OF POLYFUNCTIONALIZED PROLINATES </t>
  </si>
  <si>
    <t>18/03/2022 </t>
  </si>
  <si>
    <t>Baciu , Bianca Catalina </t>
  </si>
  <si>
    <t>Design and synthesis of biterminated dithiahelicenes of increasing size for molecular electronics and chiroptical applications </t>
  </si>
  <si>
    <t>15/07/2022 </t>
  </si>
  <si>
    <t>05921559W</t>
  </si>
  <si>
    <t>RETAMOSA HERNANDEZ, MARIA DE GRACIA</t>
  </si>
  <si>
    <t>NO FUNCIONARIO</t>
  </si>
  <si>
    <t>48620517N</t>
  </si>
  <si>
    <t>BOSQUE MARTINEZ, IRENE</t>
  </si>
  <si>
    <t>52776404Y</t>
  </si>
  <si>
    <t>BAEZA CARRATALA, ALEJANDRO</t>
  </si>
  <si>
    <t>Total ingresos investigación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</si>
</sst>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8"/>
      <color rgb="FF000000"/>
      <name val="Arial"/>
      <family val="2"/>
    </font>
    <font>
      <b/>
      <sz val="11"/>
      <color theme="0"/>
      <name val="Calibri"/>
      <family val="2"/>
      <scheme val="minor"/>
    </font>
    <font>
      <sz val="11"/>
      <color rgb="FF000000"/>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2CC"/>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bottom style="thin">
        <color theme="4" tint="0.39997558519241921"/>
      </bottom>
      <diagonal/>
    </border>
    <border>
      <left/>
      <right/>
      <top style="thin">
        <color theme="4" tint="0.39997558519241921"/>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70">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textRotation="90" wrapText="1"/>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Alignment="1">
      <alignment horizontal="right"/>
    </xf>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3" xfId="1" applyFill="1" applyBorder="1"/>
    <xf numFmtId="0" fontId="12" fillId="6" borderId="1"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12" fillId="6" borderId="6" xfId="0" applyFont="1" applyFill="1" applyBorder="1" applyAlignment="1">
      <alignment horizontal="left" vertical="center"/>
    </xf>
    <xf numFmtId="0" fontId="11" fillId="0" borderId="7" xfId="0" applyFont="1" applyBorder="1" applyAlignment="1">
      <alignment horizontal="left"/>
    </xf>
    <xf numFmtId="0" fontId="11" fillId="0" borderId="7" xfId="0" applyFont="1" applyBorder="1"/>
    <xf numFmtId="0" fontId="0" fillId="0" borderId="0" xfId="0" applyAlignment="1">
      <alignment horizontal="left" indent="1"/>
    </xf>
    <xf numFmtId="0" fontId="11" fillId="7" borderId="8" xfId="0" applyFont="1" applyFill="1" applyBorder="1" applyAlignment="1">
      <alignment horizontal="left"/>
    </xf>
    <xf numFmtId="0" fontId="11" fillId="7" borderId="8" xfId="0" applyFont="1" applyFill="1" applyBorder="1"/>
    <xf numFmtId="0" fontId="13" fillId="8" borderId="9" xfId="0" applyNumberFormat="1" applyFont="1" applyFill="1" applyBorder="1"/>
    <xf numFmtId="0" fontId="13" fillId="8" borderId="10" xfId="0" applyNumberFormat="1" applyFont="1" applyFill="1" applyBorder="1"/>
    <xf numFmtId="0" fontId="13" fillId="8" borderId="11" xfId="0" applyFont="1" applyFill="1" applyBorder="1" applyAlignment="1">
      <alignment horizontal="right"/>
    </xf>
    <xf numFmtId="0" fontId="0" fillId="9" borderId="12" xfId="0" applyNumberFormat="1" applyFont="1" applyFill="1" applyBorder="1"/>
    <xf numFmtId="0" fontId="0" fillId="9" borderId="13" xfId="0" applyFont="1" applyFill="1" applyBorder="1"/>
    <xf numFmtId="4" fontId="0" fillId="9" borderId="14" xfId="0" applyNumberFormat="1" applyFont="1" applyFill="1" applyBorder="1"/>
    <xf numFmtId="0" fontId="0" fillId="7" borderId="12" xfId="0" applyNumberFormat="1" applyFont="1" applyFill="1" applyBorder="1"/>
    <xf numFmtId="0" fontId="0" fillId="7" borderId="13" xfId="0" applyFont="1" applyFill="1" applyBorder="1"/>
    <xf numFmtId="4" fontId="0" fillId="7" borderId="14" xfId="0" applyNumberFormat="1" applyFont="1" applyFill="1" applyBorder="1"/>
    <xf numFmtId="0" fontId="13" fillId="8" borderId="15" xfId="0" applyFont="1" applyFill="1" applyBorder="1"/>
    <xf numFmtId="0" fontId="13" fillId="8" borderId="16" xfId="0" applyFont="1" applyFill="1" applyBorder="1"/>
    <xf numFmtId="4" fontId="13" fillId="8" borderId="17" xfId="0" applyNumberFormat="1" applyFont="1" applyFill="1" applyBorder="1"/>
    <xf numFmtId="0" fontId="3" fillId="4" borderId="0" xfId="1" applyFill="1"/>
    <xf numFmtId="165" fontId="3" fillId="4" borderId="1" xfId="1" applyNumberFormat="1" applyFill="1" applyBorder="1"/>
    <xf numFmtId="165" fontId="3" fillId="4" borderId="2" xfId="1" applyNumberFormat="1" applyFill="1" applyBorder="1"/>
    <xf numFmtId="0" fontId="3" fillId="10" borderId="1" xfId="1" applyFill="1" applyBorder="1"/>
    <xf numFmtId="164" fontId="3" fillId="10" borderId="1" xfId="1" applyNumberFormat="1" applyFill="1" applyBorder="1"/>
    <xf numFmtId="164" fontId="3" fillId="10" borderId="2" xfId="1" applyNumberFormat="1" applyFill="1" applyBorder="1"/>
    <xf numFmtId="0" fontId="0" fillId="11" borderId="1"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4" fillId="12" borderId="1" xfId="0" applyFont="1" applyFill="1" applyBorder="1" applyAlignment="1">
      <alignment horizontal="right"/>
    </xf>
    <xf numFmtId="4" fontId="0" fillId="11" borderId="1" xfId="0" applyNumberFormat="1" applyFill="1" applyBorder="1"/>
    <xf numFmtId="164" fontId="4" fillId="10" borderId="18" xfId="1" applyNumberFormat="1" applyFont="1" applyFill="1" applyBorder="1" applyAlignment="1">
      <alignment horizontal="center"/>
    </xf>
    <xf numFmtId="0" fontId="11" fillId="11" borderId="1" xfId="5" applyFont="1" applyFill="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37"/>
  <sheetViews>
    <sheetView showGridLines="0" topLeftCell="G10" zoomScale="120" zoomScaleNormal="120" workbookViewId="0">
      <selection activeCell="V3" sqref="V3:V6"/>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5.33203125" style="14" customWidth="1"/>
    <col min="14" max="14" width="4.88671875" style="13" customWidth="1"/>
    <col min="15" max="15" width="5.3320312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5" x14ac:dyDescent="0.2">
      <c r="A1" s="8" t="s">
        <v>8</v>
      </c>
      <c r="B1" s="9" t="s">
        <v>9</v>
      </c>
      <c r="C1" s="9" t="s">
        <v>10</v>
      </c>
      <c r="D1" s="9" t="s">
        <v>11</v>
      </c>
      <c r="E1" s="9" t="s">
        <v>12</v>
      </c>
      <c r="F1" s="9" t="s">
        <v>13</v>
      </c>
      <c r="G1" s="9" t="s">
        <v>14</v>
      </c>
      <c r="H1" s="9" t="s">
        <v>15</v>
      </c>
      <c r="I1" s="8" t="s">
        <v>16</v>
      </c>
      <c r="J1" s="9" t="s">
        <v>17</v>
      </c>
      <c r="K1" s="8" t="s">
        <v>18</v>
      </c>
      <c r="L1" s="9" t="s">
        <v>19</v>
      </c>
      <c r="M1" s="10" t="s">
        <v>20</v>
      </c>
      <c r="N1" s="11" t="s">
        <v>21</v>
      </c>
      <c r="O1" s="12" t="s">
        <v>22</v>
      </c>
      <c r="P1" s="11" t="s">
        <v>23</v>
      </c>
      <c r="Q1" s="12" t="s">
        <v>24</v>
      </c>
      <c r="R1" s="11" t="s">
        <v>25</v>
      </c>
      <c r="S1" s="11" t="s">
        <v>26</v>
      </c>
      <c r="T1" s="11" t="s">
        <v>27</v>
      </c>
      <c r="U1" s="11" t="s">
        <v>28</v>
      </c>
    </row>
    <row r="2" spans="1:21" s="57" customFormat="1" x14ac:dyDescent="0.2">
      <c r="A2" s="26" t="s">
        <v>31</v>
      </c>
      <c r="B2" s="26" t="s">
        <v>32</v>
      </c>
      <c r="C2" s="26" t="s">
        <v>33</v>
      </c>
      <c r="D2" s="26" t="s">
        <v>37</v>
      </c>
      <c r="E2" s="26" t="s">
        <v>38</v>
      </c>
      <c r="F2" s="26" t="s">
        <v>39</v>
      </c>
      <c r="G2" s="26" t="s">
        <v>40</v>
      </c>
      <c r="H2" s="26" t="s">
        <v>29</v>
      </c>
      <c r="I2" s="26" t="s">
        <v>31</v>
      </c>
      <c r="J2" s="26" t="s">
        <v>32</v>
      </c>
      <c r="K2" s="58">
        <v>0.5</v>
      </c>
      <c r="L2" s="26" t="s">
        <v>35</v>
      </c>
      <c r="M2" s="26">
        <v>2018</v>
      </c>
      <c r="N2" s="26" t="s">
        <v>30</v>
      </c>
      <c r="O2" s="27" t="s">
        <v>30</v>
      </c>
      <c r="P2" s="26" t="s">
        <v>30</v>
      </c>
      <c r="Q2" s="27" t="s">
        <v>30</v>
      </c>
      <c r="R2" s="28">
        <v>100</v>
      </c>
      <c r="S2" s="61">
        <v>0.5</v>
      </c>
      <c r="T2" s="29">
        <v>0</v>
      </c>
      <c r="U2" s="29">
        <v>0</v>
      </c>
    </row>
    <row r="3" spans="1:21" s="57" customFormat="1" ht="10.8" thickBot="1" x14ac:dyDescent="0.25">
      <c r="A3" s="30" t="s">
        <v>31</v>
      </c>
      <c r="B3" s="30" t="s">
        <v>32</v>
      </c>
      <c r="C3" s="30" t="s">
        <v>33</v>
      </c>
      <c r="D3" s="30" t="s">
        <v>147</v>
      </c>
      <c r="E3" s="30" t="s">
        <v>148</v>
      </c>
      <c r="F3" s="30" t="s">
        <v>149</v>
      </c>
      <c r="G3" s="30" t="s">
        <v>150</v>
      </c>
      <c r="H3" s="30" t="s">
        <v>29</v>
      </c>
      <c r="I3" s="30" t="s">
        <v>31</v>
      </c>
      <c r="J3" s="30" t="s">
        <v>32</v>
      </c>
      <c r="K3" s="59">
        <v>0.5</v>
      </c>
      <c r="L3" s="30" t="s">
        <v>35</v>
      </c>
      <c r="M3" s="30">
        <v>2019</v>
      </c>
      <c r="N3" s="30" t="s">
        <v>30</v>
      </c>
      <c r="O3" s="31" t="s">
        <v>30</v>
      </c>
      <c r="P3" s="30" t="s">
        <v>30</v>
      </c>
      <c r="Q3" s="31" t="s">
        <v>30</v>
      </c>
      <c r="R3" s="32">
        <v>100</v>
      </c>
      <c r="S3" s="62">
        <v>0.5</v>
      </c>
      <c r="T3" s="33">
        <v>0</v>
      </c>
      <c r="U3" s="33">
        <v>0</v>
      </c>
    </row>
    <row r="4" spans="1:21" s="57" customFormat="1" ht="10.8" thickBot="1" x14ac:dyDescent="0.25">
      <c r="A4" s="36" t="s">
        <v>31</v>
      </c>
      <c r="B4" s="36" t="s">
        <v>32</v>
      </c>
      <c r="C4" s="36" t="s">
        <v>33</v>
      </c>
      <c r="D4" s="36" t="s">
        <v>172</v>
      </c>
      <c r="E4" s="36" t="s">
        <v>173</v>
      </c>
      <c r="F4" s="36" t="s">
        <v>174</v>
      </c>
      <c r="G4" s="37" t="s">
        <v>150</v>
      </c>
      <c r="H4" s="38" t="s">
        <v>29</v>
      </c>
      <c r="I4" s="38" t="s">
        <v>31</v>
      </c>
      <c r="J4" s="39" t="s">
        <v>32</v>
      </c>
      <c r="K4" s="34">
        <v>0.5</v>
      </c>
      <c r="L4" s="34" t="s">
        <v>35</v>
      </c>
      <c r="M4" s="26">
        <v>2020</v>
      </c>
      <c r="N4" s="26" t="s">
        <v>30</v>
      </c>
      <c r="O4" s="27" t="s">
        <v>30</v>
      </c>
      <c r="P4" s="26" t="s">
        <v>30</v>
      </c>
      <c r="Q4" s="27" t="s">
        <v>30</v>
      </c>
      <c r="R4" s="26">
        <v>100</v>
      </c>
      <c r="S4" s="60">
        <v>0.5</v>
      </c>
      <c r="T4" s="26">
        <v>0</v>
      </c>
      <c r="U4" s="26">
        <v>0</v>
      </c>
    </row>
    <row r="5" spans="1:21" s="57" customFormat="1" ht="10.8" thickBot="1" x14ac:dyDescent="0.25">
      <c r="A5" s="36" t="s">
        <v>31</v>
      </c>
      <c r="B5" s="36" t="s">
        <v>32</v>
      </c>
      <c r="C5" s="36" t="s">
        <v>33</v>
      </c>
      <c r="D5" s="36" t="s">
        <v>178</v>
      </c>
      <c r="E5" s="36" t="s">
        <v>179</v>
      </c>
      <c r="F5" s="36" t="s">
        <v>180</v>
      </c>
      <c r="G5" s="37" t="s">
        <v>150</v>
      </c>
      <c r="H5" s="38" t="s">
        <v>29</v>
      </c>
      <c r="I5" s="38" t="s">
        <v>31</v>
      </c>
      <c r="J5" s="39" t="s">
        <v>32</v>
      </c>
      <c r="K5" s="34">
        <v>0.5</v>
      </c>
      <c r="L5" s="34" t="s">
        <v>35</v>
      </c>
      <c r="M5" s="26">
        <v>2020</v>
      </c>
      <c r="N5" s="26" t="s">
        <v>30</v>
      </c>
      <c r="O5" s="27" t="s">
        <v>30</v>
      </c>
      <c r="P5" s="26" t="s">
        <v>30</v>
      </c>
      <c r="Q5" s="27" t="s">
        <v>30</v>
      </c>
      <c r="R5" s="26">
        <v>100</v>
      </c>
      <c r="S5" s="60">
        <v>0.5</v>
      </c>
      <c r="T5" s="26">
        <v>0</v>
      </c>
      <c r="U5" s="26">
        <v>0</v>
      </c>
    </row>
    <row r="6" spans="1:21" s="57" customFormat="1" ht="10.8" thickBot="1" x14ac:dyDescent="0.25">
      <c r="A6" s="36" t="s">
        <v>31</v>
      </c>
      <c r="B6" s="36" t="s">
        <v>32</v>
      </c>
      <c r="C6" s="36" t="s">
        <v>33</v>
      </c>
      <c r="D6" s="36" t="s">
        <v>181</v>
      </c>
      <c r="E6" s="36" t="s">
        <v>182</v>
      </c>
      <c r="F6" s="36" t="s">
        <v>183</v>
      </c>
      <c r="G6" s="37" t="s">
        <v>40</v>
      </c>
      <c r="H6" s="38" t="s">
        <v>29</v>
      </c>
      <c r="I6" s="38" t="s">
        <v>31</v>
      </c>
      <c r="J6" s="39" t="s">
        <v>32</v>
      </c>
      <c r="K6" s="34">
        <v>0.5</v>
      </c>
      <c r="L6" s="34" t="s">
        <v>35</v>
      </c>
      <c r="M6" s="26">
        <v>2020</v>
      </c>
      <c r="N6" s="26" t="s">
        <v>30</v>
      </c>
      <c r="O6" s="27" t="s">
        <v>30</v>
      </c>
      <c r="P6" s="26" t="s">
        <v>30</v>
      </c>
      <c r="Q6" s="27" t="s">
        <v>30</v>
      </c>
      <c r="R6" s="26">
        <v>100</v>
      </c>
      <c r="S6" s="60">
        <v>0.5</v>
      </c>
      <c r="T6" s="26">
        <v>0</v>
      </c>
      <c r="U6" s="26">
        <v>0</v>
      </c>
    </row>
    <row r="7" spans="1:21" s="57" customFormat="1" x14ac:dyDescent="0.2">
      <c r="A7" s="26" t="s">
        <v>31</v>
      </c>
      <c r="B7" s="26" t="s">
        <v>32</v>
      </c>
      <c r="C7" s="26" t="s">
        <v>33</v>
      </c>
      <c r="D7" s="26" t="s">
        <v>61</v>
      </c>
      <c r="E7" s="26" t="s">
        <v>62</v>
      </c>
      <c r="F7" s="26" t="s">
        <v>43</v>
      </c>
      <c r="G7" s="26" t="s">
        <v>52</v>
      </c>
      <c r="H7" s="26" t="s">
        <v>36</v>
      </c>
      <c r="I7" s="26" t="s">
        <v>49</v>
      </c>
      <c r="J7" s="26" t="s">
        <v>50</v>
      </c>
      <c r="K7" s="29">
        <v>1</v>
      </c>
      <c r="L7" s="26" t="s">
        <v>51</v>
      </c>
      <c r="M7" s="26">
        <v>2016</v>
      </c>
      <c r="N7" s="26" t="s">
        <v>35</v>
      </c>
      <c r="O7" s="27" t="s">
        <v>45</v>
      </c>
      <c r="P7" s="26" t="s">
        <v>30</v>
      </c>
      <c r="Q7" s="27" t="s">
        <v>30</v>
      </c>
      <c r="R7" s="28">
        <v>40</v>
      </c>
      <c r="S7" s="29">
        <v>0.4</v>
      </c>
      <c r="T7" s="61">
        <v>0.6</v>
      </c>
      <c r="U7" s="29">
        <v>0</v>
      </c>
    </row>
    <row r="8" spans="1:21" s="57" customFormat="1" x14ac:dyDescent="0.2">
      <c r="A8" s="26" t="s">
        <v>31</v>
      </c>
      <c r="B8" s="26" t="s">
        <v>32</v>
      </c>
      <c r="C8" s="26" t="s">
        <v>33</v>
      </c>
      <c r="D8" s="26" t="s">
        <v>63</v>
      </c>
      <c r="E8" s="26" t="s">
        <v>64</v>
      </c>
      <c r="F8" s="26" t="s">
        <v>65</v>
      </c>
      <c r="G8" s="26" t="s">
        <v>53</v>
      </c>
      <c r="H8" s="26" t="s">
        <v>36</v>
      </c>
      <c r="I8" s="26" t="s">
        <v>49</v>
      </c>
      <c r="J8" s="26" t="s">
        <v>50</v>
      </c>
      <c r="K8" s="29">
        <v>1</v>
      </c>
      <c r="L8" s="26" t="s">
        <v>51</v>
      </c>
      <c r="M8" s="26">
        <v>2016</v>
      </c>
      <c r="N8" s="26" t="s">
        <v>35</v>
      </c>
      <c r="O8" s="27" t="s">
        <v>45</v>
      </c>
      <c r="P8" s="26" t="s">
        <v>30</v>
      </c>
      <c r="Q8" s="27" t="s">
        <v>30</v>
      </c>
      <c r="R8" s="28">
        <v>40</v>
      </c>
      <c r="S8" s="29">
        <v>0.4</v>
      </c>
      <c r="T8" s="61">
        <v>0.6</v>
      </c>
      <c r="U8" s="29">
        <v>0</v>
      </c>
    </row>
    <row r="9" spans="1:21" s="57" customFormat="1" x14ac:dyDescent="0.2">
      <c r="A9" s="26" t="s">
        <v>31</v>
      </c>
      <c r="B9" s="26" t="s">
        <v>32</v>
      </c>
      <c r="C9" s="26" t="s">
        <v>33</v>
      </c>
      <c r="D9" s="26" t="s">
        <v>66</v>
      </c>
      <c r="E9" s="26" t="s">
        <v>67</v>
      </c>
      <c r="F9" s="26" t="s">
        <v>41</v>
      </c>
      <c r="G9" s="26" t="s">
        <v>60</v>
      </c>
      <c r="H9" s="26" t="s">
        <v>36</v>
      </c>
      <c r="I9" s="26" t="s">
        <v>49</v>
      </c>
      <c r="J9" s="26" t="s">
        <v>50</v>
      </c>
      <c r="K9" s="29">
        <v>1</v>
      </c>
      <c r="L9" s="26" t="s">
        <v>51</v>
      </c>
      <c r="M9" s="26">
        <v>2017</v>
      </c>
      <c r="N9" s="26" t="s">
        <v>35</v>
      </c>
      <c r="O9" s="27" t="s">
        <v>46</v>
      </c>
      <c r="P9" s="26" t="s">
        <v>30</v>
      </c>
      <c r="Q9" s="27" t="s">
        <v>30</v>
      </c>
      <c r="R9" s="28">
        <v>10</v>
      </c>
      <c r="S9" s="29">
        <v>0.1</v>
      </c>
      <c r="T9" s="61">
        <v>0.9</v>
      </c>
      <c r="U9" s="29">
        <v>0</v>
      </c>
    </row>
    <row r="10" spans="1:21" s="57" customFormat="1" x14ac:dyDescent="0.2">
      <c r="A10" s="26" t="s">
        <v>31</v>
      </c>
      <c r="B10" s="26" t="s">
        <v>32</v>
      </c>
      <c r="C10" s="26" t="s">
        <v>33</v>
      </c>
      <c r="D10" s="26" t="s">
        <v>68</v>
      </c>
      <c r="E10" s="26" t="s">
        <v>69</v>
      </c>
      <c r="F10" s="26" t="s">
        <v>70</v>
      </c>
      <c r="G10" s="26" t="s">
        <v>48</v>
      </c>
      <c r="H10" s="26" t="s">
        <v>36</v>
      </c>
      <c r="I10" s="26" t="s">
        <v>49</v>
      </c>
      <c r="J10" s="26" t="s">
        <v>50</v>
      </c>
      <c r="K10" s="29">
        <v>1</v>
      </c>
      <c r="L10" s="26" t="s">
        <v>51</v>
      </c>
      <c r="M10" s="26">
        <v>2017</v>
      </c>
      <c r="N10" s="26" t="s">
        <v>35</v>
      </c>
      <c r="O10" s="27" t="s">
        <v>46</v>
      </c>
      <c r="P10" s="26" t="s">
        <v>30</v>
      </c>
      <c r="Q10" s="27" t="s">
        <v>30</v>
      </c>
      <c r="R10" s="28">
        <v>10</v>
      </c>
      <c r="S10" s="29">
        <v>0.1</v>
      </c>
      <c r="T10" s="61">
        <v>0.9</v>
      </c>
      <c r="U10" s="29">
        <v>0</v>
      </c>
    </row>
    <row r="11" spans="1:21" s="57" customFormat="1" x14ac:dyDescent="0.2">
      <c r="A11" s="26" t="s">
        <v>31</v>
      </c>
      <c r="B11" s="26" t="s">
        <v>32</v>
      </c>
      <c r="C11" s="26" t="s">
        <v>33</v>
      </c>
      <c r="D11" s="26" t="s">
        <v>71</v>
      </c>
      <c r="E11" s="26" t="s">
        <v>72</v>
      </c>
      <c r="F11" s="26" t="s">
        <v>73</v>
      </c>
      <c r="G11" s="26" t="s">
        <v>55</v>
      </c>
      <c r="H11" s="26" t="s">
        <v>29</v>
      </c>
      <c r="I11" s="26" t="s">
        <v>49</v>
      </c>
      <c r="J11" s="26" t="s">
        <v>50</v>
      </c>
      <c r="K11" s="29">
        <v>0.5</v>
      </c>
      <c r="L11" s="26" t="s">
        <v>51</v>
      </c>
      <c r="M11" s="26">
        <v>2017</v>
      </c>
      <c r="N11" s="26" t="s">
        <v>35</v>
      </c>
      <c r="O11" s="27" t="s">
        <v>74</v>
      </c>
      <c r="P11" s="26" t="s">
        <v>30</v>
      </c>
      <c r="Q11" s="27" t="s">
        <v>30</v>
      </c>
      <c r="R11" s="28">
        <v>35</v>
      </c>
      <c r="S11" s="29">
        <v>0.17499999999999999</v>
      </c>
      <c r="T11" s="61">
        <v>0.32500000000000001</v>
      </c>
      <c r="U11" s="29">
        <v>0</v>
      </c>
    </row>
    <row r="12" spans="1:21" s="57" customFormat="1" x14ac:dyDescent="0.2">
      <c r="A12" s="26" t="s">
        <v>31</v>
      </c>
      <c r="B12" s="26" t="s">
        <v>32</v>
      </c>
      <c r="C12" s="26" t="s">
        <v>33</v>
      </c>
      <c r="D12" s="26" t="s">
        <v>71</v>
      </c>
      <c r="E12" s="26" t="s">
        <v>72</v>
      </c>
      <c r="F12" s="26" t="s">
        <v>73</v>
      </c>
      <c r="G12" s="26" t="s">
        <v>34</v>
      </c>
      <c r="H12" s="26" t="s">
        <v>29</v>
      </c>
      <c r="I12" s="26" t="s">
        <v>49</v>
      </c>
      <c r="J12" s="26" t="s">
        <v>50</v>
      </c>
      <c r="K12" s="29">
        <v>0.5</v>
      </c>
      <c r="L12" s="26" t="s">
        <v>51</v>
      </c>
      <c r="M12" s="26">
        <v>2017</v>
      </c>
      <c r="N12" s="26" t="s">
        <v>35</v>
      </c>
      <c r="O12" s="27" t="s">
        <v>45</v>
      </c>
      <c r="P12" s="26" t="s">
        <v>30</v>
      </c>
      <c r="Q12" s="27" t="s">
        <v>30</v>
      </c>
      <c r="R12" s="28">
        <v>40</v>
      </c>
      <c r="S12" s="29">
        <v>0.2</v>
      </c>
      <c r="T12" s="61">
        <v>0.3</v>
      </c>
      <c r="U12" s="29">
        <v>0</v>
      </c>
    </row>
    <row r="13" spans="1:21" s="57" customFormat="1" x14ac:dyDescent="0.2">
      <c r="A13" s="26" t="s">
        <v>31</v>
      </c>
      <c r="B13" s="26" t="s">
        <v>32</v>
      </c>
      <c r="C13" s="26" t="s">
        <v>33</v>
      </c>
      <c r="D13" s="26" t="s">
        <v>75</v>
      </c>
      <c r="E13" s="26" t="s">
        <v>76</v>
      </c>
      <c r="F13" s="26" t="s">
        <v>77</v>
      </c>
      <c r="G13" s="26" t="s">
        <v>57</v>
      </c>
      <c r="H13" s="26" t="s">
        <v>29</v>
      </c>
      <c r="I13" s="26" t="s">
        <v>49</v>
      </c>
      <c r="J13" s="26" t="s">
        <v>50</v>
      </c>
      <c r="K13" s="29">
        <v>0.5</v>
      </c>
      <c r="L13" s="26" t="s">
        <v>51</v>
      </c>
      <c r="M13" s="26">
        <v>2017</v>
      </c>
      <c r="N13" s="26" t="s">
        <v>35</v>
      </c>
      <c r="O13" s="27" t="s">
        <v>44</v>
      </c>
      <c r="P13" s="26" t="s">
        <v>30</v>
      </c>
      <c r="Q13" s="27" t="s">
        <v>30</v>
      </c>
      <c r="R13" s="28">
        <v>50</v>
      </c>
      <c r="S13" s="29">
        <v>0.25</v>
      </c>
      <c r="T13" s="61">
        <v>0.25</v>
      </c>
      <c r="U13" s="29">
        <v>0</v>
      </c>
    </row>
    <row r="14" spans="1:21" s="57" customFormat="1" x14ac:dyDescent="0.2">
      <c r="A14" s="26" t="s">
        <v>31</v>
      </c>
      <c r="B14" s="26" t="s">
        <v>32</v>
      </c>
      <c r="C14" s="26" t="s">
        <v>33</v>
      </c>
      <c r="D14" s="26" t="s">
        <v>78</v>
      </c>
      <c r="E14" s="26" t="s">
        <v>79</v>
      </c>
      <c r="F14" s="26" t="s">
        <v>80</v>
      </c>
      <c r="G14" s="26" t="s">
        <v>54</v>
      </c>
      <c r="H14" s="26" t="s">
        <v>29</v>
      </c>
      <c r="I14" s="26" t="s">
        <v>49</v>
      </c>
      <c r="J14" s="26" t="s">
        <v>50</v>
      </c>
      <c r="K14" s="29">
        <v>0.5</v>
      </c>
      <c r="L14" s="26" t="s">
        <v>51</v>
      </c>
      <c r="M14" s="26">
        <v>2017</v>
      </c>
      <c r="N14" s="26" t="s">
        <v>35</v>
      </c>
      <c r="O14" s="27" t="s">
        <v>44</v>
      </c>
      <c r="P14" s="26" t="s">
        <v>30</v>
      </c>
      <c r="Q14" s="27" t="s">
        <v>30</v>
      </c>
      <c r="R14" s="28">
        <v>50</v>
      </c>
      <c r="S14" s="29">
        <v>0.25</v>
      </c>
      <c r="T14" s="61">
        <v>0.25</v>
      </c>
      <c r="U14" s="29">
        <v>0</v>
      </c>
    </row>
    <row r="15" spans="1:21" s="57" customFormat="1" x14ac:dyDescent="0.2">
      <c r="A15" s="26" t="s">
        <v>31</v>
      </c>
      <c r="B15" s="26" t="s">
        <v>32</v>
      </c>
      <c r="C15" s="26" t="s">
        <v>33</v>
      </c>
      <c r="D15" s="26" t="s">
        <v>81</v>
      </c>
      <c r="E15" s="26" t="s">
        <v>151</v>
      </c>
      <c r="F15" s="26" t="s">
        <v>82</v>
      </c>
      <c r="G15" s="26" t="s">
        <v>58</v>
      </c>
      <c r="H15" s="26" t="s">
        <v>36</v>
      </c>
      <c r="I15" s="26" t="s">
        <v>49</v>
      </c>
      <c r="J15" s="26" t="s">
        <v>50</v>
      </c>
      <c r="K15" s="58">
        <v>1</v>
      </c>
      <c r="L15" s="26" t="s">
        <v>51</v>
      </c>
      <c r="M15" s="26">
        <v>2018</v>
      </c>
      <c r="N15" s="26" t="s">
        <v>35</v>
      </c>
      <c r="O15" s="27" t="s">
        <v>44</v>
      </c>
      <c r="P15" s="26" t="s">
        <v>30</v>
      </c>
      <c r="Q15" s="27" t="s">
        <v>30</v>
      </c>
      <c r="R15" s="28">
        <v>50</v>
      </c>
      <c r="S15" s="29">
        <v>0.5</v>
      </c>
      <c r="T15" s="61">
        <v>0.5</v>
      </c>
      <c r="U15" s="29">
        <v>0</v>
      </c>
    </row>
    <row r="16" spans="1:21" s="57" customFormat="1" x14ac:dyDescent="0.2">
      <c r="A16" s="26" t="s">
        <v>31</v>
      </c>
      <c r="B16" s="26" t="s">
        <v>32</v>
      </c>
      <c r="C16" s="26" t="s">
        <v>33</v>
      </c>
      <c r="D16" s="26" t="s">
        <v>83</v>
      </c>
      <c r="E16" s="26" t="s">
        <v>84</v>
      </c>
      <c r="F16" s="26" t="s">
        <v>85</v>
      </c>
      <c r="G16" s="26" t="s">
        <v>56</v>
      </c>
      <c r="H16" s="26" t="s">
        <v>29</v>
      </c>
      <c r="I16" s="26" t="s">
        <v>49</v>
      </c>
      <c r="J16" s="26" t="s">
        <v>50</v>
      </c>
      <c r="K16" s="58">
        <v>0.5</v>
      </c>
      <c r="L16" s="26" t="s">
        <v>51</v>
      </c>
      <c r="M16" s="26">
        <v>2018</v>
      </c>
      <c r="N16" s="26" t="s">
        <v>35</v>
      </c>
      <c r="O16" s="27" t="s">
        <v>45</v>
      </c>
      <c r="P16" s="26" t="s">
        <v>30</v>
      </c>
      <c r="Q16" s="27" t="s">
        <v>30</v>
      </c>
      <c r="R16" s="28">
        <v>40</v>
      </c>
      <c r="S16" s="29">
        <v>0.2</v>
      </c>
      <c r="T16" s="61">
        <v>0.3</v>
      </c>
      <c r="U16" s="29">
        <v>0</v>
      </c>
    </row>
    <row r="17" spans="1:21" s="57" customFormat="1" x14ac:dyDescent="0.2">
      <c r="A17" s="26" t="s">
        <v>31</v>
      </c>
      <c r="B17" s="26" t="s">
        <v>32</v>
      </c>
      <c r="C17" s="26" t="s">
        <v>33</v>
      </c>
      <c r="D17" s="26" t="s">
        <v>83</v>
      </c>
      <c r="E17" s="26" t="s">
        <v>84</v>
      </c>
      <c r="F17" s="26" t="s">
        <v>85</v>
      </c>
      <c r="G17" s="26" t="s">
        <v>59</v>
      </c>
      <c r="H17" s="26" t="s">
        <v>29</v>
      </c>
      <c r="I17" s="26" t="s">
        <v>49</v>
      </c>
      <c r="J17" s="26" t="s">
        <v>50</v>
      </c>
      <c r="K17" s="58">
        <v>0.5</v>
      </c>
      <c r="L17" s="26" t="s">
        <v>51</v>
      </c>
      <c r="M17" s="26">
        <v>2018</v>
      </c>
      <c r="N17" s="26" t="s">
        <v>35</v>
      </c>
      <c r="O17" s="27" t="s">
        <v>44</v>
      </c>
      <c r="P17" s="26" t="s">
        <v>30</v>
      </c>
      <c r="Q17" s="27" t="s">
        <v>30</v>
      </c>
      <c r="R17" s="28">
        <v>50</v>
      </c>
      <c r="S17" s="29">
        <v>0.25</v>
      </c>
      <c r="T17" s="61">
        <v>0.25</v>
      </c>
      <c r="U17" s="29">
        <v>0</v>
      </c>
    </row>
    <row r="18" spans="1:21" s="57" customFormat="1" x14ac:dyDescent="0.2">
      <c r="A18" s="26" t="s">
        <v>31</v>
      </c>
      <c r="B18" s="26" t="s">
        <v>32</v>
      </c>
      <c r="C18" s="26" t="s">
        <v>33</v>
      </c>
      <c r="D18" s="26" t="s">
        <v>86</v>
      </c>
      <c r="E18" s="26" t="s">
        <v>87</v>
      </c>
      <c r="F18" s="26" t="s">
        <v>88</v>
      </c>
      <c r="G18" s="26" t="s">
        <v>55</v>
      </c>
      <c r="H18" s="26" t="s">
        <v>29</v>
      </c>
      <c r="I18" s="26" t="s">
        <v>49</v>
      </c>
      <c r="J18" s="26" t="s">
        <v>50</v>
      </c>
      <c r="K18" s="58">
        <v>0.5</v>
      </c>
      <c r="L18" s="26" t="s">
        <v>51</v>
      </c>
      <c r="M18" s="26">
        <v>2018</v>
      </c>
      <c r="N18" s="26" t="s">
        <v>35</v>
      </c>
      <c r="O18" s="27" t="s">
        <v>74</v>
      </c>
      <c r="P18" s="26" t="s">
        <v>30</v>
      </c>
      <c r="Q18" s="27" t="s">
        <v>30</v>
      </c>
      <c r="R18" s="28">
        <v>35</v>
      </c>
      <c r="S18" s="29">
        <v>0.17499999999999999</v>
      </c>
      <c r="T18" s="61">
        <v>0.32500000000000001</v>
      </c>
      <c r="U18" s="29">
        <v>0</v>
      </c>
    </row>
    <row r="19" spans="1:21" s="57" customFormat="1" x14ac:dyDescent="0.2">
      <c r="A19" s="26" t="s">
        <v>31</v>
      </c>
      <c r="B19" s="26" t="s">
        <v>32</v>
      </c>
      <c r="C19" s="26" t="s">
        <v>33</v>
      </c>
      <c r="D19" s="26" t="s">
        <v>86</v>
      </c>
      <c r="E19" s="26" t="s">
        <v>87</v>
      </c>
      <c r="F19" s="26" t="s">
        <v>88</v>
      </c>
      <c r="G19" s="26" t="s">
        <v>59</v>
      </c>
      <c r="H19" s="26" t="s">
        <v>29</v>
      </c>
      <c r="I19" s="26" t="s">
        <v>49</v>
      </c>
      <c r="J19" s="26" t="s">
        <v>50</v>
      </c>
      <c r="K19" s="58">
        <v>0.5</v>
      </c>
      <c r="L19" s="26" t="s">
        <v>51</v>
      </c>
      <c r="M19" s="26">
        <v>2018</v>
      </c>
      <c r="N19" s="26" t="s">
        <v>35</v>
      </c>
      <c r="O19" s="27" t="s">
        <v>44</v>
      </c>
      <c r="P19" s="26" t="s">
        <v>30</v>
      </c>
      <c r="Q19" s="27" t="s">
        <v>30</v>
      </c>
      <c r="R19" s="28">
        <v>50</v>
      </c>
      <c r="S19" s="29">
        <v>0.25</v>
      </c>
      <c r="T19" s="61">
        <v>0.25</v>
      </c>
      <c r="U19" s="29">
        <v>0</v>
      </c>
    </row>
    <row r="20" spans="1:21" s="57" customFormat="1" x14ac:dyDescent="0.2">
      <c r="A20" s="26" t="s">
        <v>31</v>
      </c>
      <c r="B20" s="26" t="s">
        <v>32</v>
      </c>
      <c r="C20" s="26" t="s">
        <v>33</v>
      </c>
      <c r="D20" s="26" t="s">
        <v>37</v>
      </c>
      <c r="E20" s="26" t="s">
        <v>38</v>
      </c>
      <c r="F20" s="26" t="s">
        <v>39</v>
      </c>
      <c r="G20" s="26" t="s">
        <v>54</v>
      </c>
      <c r="H20" s="26" t="s">
        <v>29</v>
      </c>
      <c r="I20" s="26" t="s">
        <v>49</v>
      </c>
      <c r="J20" s="26" t="s">
        <v>50</v>
      </c>
      <c r="K20" s="58">
        <v>0.5</v>
      </c>
      <c r="L20" s="26" t="s">
        <v>51</v>
      </c>
      <c r="M20" s="26">
        <v>2018</v>
      </c>
      <c r="N20" s="26" t="s">
        <v>35</v>
      </c>
      <c r="O20" s="27" t="s">
        <v>47</v>
      </c>
      <c r="P20" s="26" t="s">
        <v>30</v>
      </c>
      <c r="Q20" s="27" t="s">
        <v>30</v>
      </c>
      <c r="R20" s="28">
        <v>20</v>
      </c>
      <c r="S20" s="29">
        <v>0.1</v>
      </c>
      <c r="T20" s="61">
        <v>0.4</v>
      </c>
      <c r="U20" s="29">
        <v>0</v>
      </c>
    </row>
    <row r="21" spans="1:21" s="57" customFormat="1" x14ac:dyDescent="0.2">
      <c r="A21" s="26" t="s">
        <v>31</v>
      </c>
      <c r="B21" s="26" t="s">
        <v>32</v>
      </c>
      <c r="C21" s="26" t="s">
        <v>33</v>
      </c>
      <c r="D21" s="26" t="s">
        <v>89</v>
      </c>
      <c r="E21" s="26" t="s">
        <v>90</v>
      </c>
      <c r="F21" s="26" t="s">
        <v>42</v>
      </c>
      <c r="G21" s="26" t="s">
        <v>53</v>
      </c>
      <c r="H21" s="26" t="s">
        <v>36</v>
      </c>
      <c r="I21" s="26" t="s">
        <v>49</v>
      </c>
      <c r="J21" s="26" t="s">
        <v>50</v>
      </c>
      <c r="K21" s="58">
        <v>1</v>
      </c>
      <c r="L21" s="26" t="s">
        <v>51</v>
      </c>
      <c r="M21" s="26">
        <v>2018</v>
      </c>
      <c r="N21" s="26" t="s">
        <v>35</v>
      </c>
      <c r="O21" s="27" t="s">
        <v>47</v>
      </c>
      <c r="P21" s="26" t="s">
        <v>30</v>
      </c>
      <c r="Q21" s="27" t="s">
        <v>30</v>
      </c>
      <c r="R21" s="28">
        <v>20</v>
      </c>
      <c r="S21" s="29">
        <v>0.2</v>
      </c>
      <c r="T21" s="61">
        <v>0.8</v>
      </c>
      <c r="U21" s="29">
        <v>0</v>
      </c>
    </row>
    <row r="22" spans="1:21" s="57" customFormat="1" x14ac:dyDescent="0.2">
      <c r="A22" s="26" t="s">
        <v>31</v>
      </c>
      <c r="B22" s="26" t="s">
        <v>32</v>
      </c>
      <c r="C22" s="26" t="s">
        <v>33</v>
      </c>
      <c r="D22" s="26" t="s">
        <v>91</v>
      </c>
      <c r="E22" s="26" t="s">
        <v>92</v>
      </c>
      <c r="F22" s="26" t="s">
        <v>93</v>
      </c>
      <c r="G22" s="26" t="s">
        <v>57</v>
      </c>
      <c r="H22" s="26" t="s">
        <v>29</v>
      </c>
      <c r="I22" s="26" t="s">
        <v>49</v>
      </c>
      <c r="J22" s="26" t="s">
        <v>50</v>
      </c>
      <c r="K22" s="58">
        <v>0.5</v>
      </c>
      <c r="L22" s="26" t="s">
        <v>51</v>
      </c>
      <c r="M22" s="26">
        <v>2018</v>
      </c>
      <c r="N22" s="26" t="s">
        <v>35</v>
      </c>
      <c r="O22" s="27" t="s">
        <v>47</v>
      </c>
      <c r="P22" s="26" t="s">
        <v>30</v>
      </c>
      <c r="Q22" s="27" t="s">
        <v>30</v>
      </c>
      <c r="R22" s="28">
        <v>20</v>
      </c>
      <c r="S22" s="29">
        <v>0.1</v>
      </c>
      <c r="T22" s="61">
        <v>0.4</v>
      </c>
      <c r="U22" s="29">
        <v>0</v>
      </c>
    </row>
    <row r="23" spans="1:21" s="57" customFormat="1" x14ac:dyDescent="0.2">
      <c r="A23" s="26" t="s">
        <v>31</v>
      </c>
      <c r="B23" s="26" t="s">
        <v>32</v>
      </c>
      <c r="C23" s="26" t="s">
        <v>33</v>
      </c>
      <c r="D23" s="26" t="s">
        <v>91</v>
      </c>
      <c r="E23" s="26" t="s">
        <v>92</v>
      </c>
      <c r="F23" s="26" t="s">
        <v>93</v>
      </c>
      <c r="G23" s="26" t="s">
        <v>54</v>
      </c>
      <c r="H23" s="26" t="s">
        <v>29</v>
      </c>
      <c r="I23" s="26" t="s">
        <v>49</v>
      </c>
      <c r="J23" s="26" t="s">
        <v>50</v>
      </c>
      <c r="K23" s="58">
        <v>0.5</v>
      </c>
      <c r="L23" s="26" t="s">
        <v>51</v>
      </c>
      <c r="M23" s="26">
        <v>2018</v>
      </c>
      <c r="N23" s="26" t="s">
        <v>35</v>
      </c>
      <c r="O23" s="27" t="s">
        <v>47</v>
      </c>
      <c r="P23" s="26" t="s">
        <v>30</v>
      </c>
      <c r="Q23" s="27" t="s">
        <v>30</v>
      </c>
      <c r="R23" s="28">
        <v>20</v>
      </c>
      <c r="S23" s="29">
        <v>0.1</v>
      </c>
      <c r="T23" s="61">
        <v>0.4</v>
      </c>
      <c r="U23" s="29">
        <v>0</v>
      </c>
    </row>
    <row r="24" spans="1:21" s="57" customFormat="1" x14ac:dyDescent="0.2">
      <c r="A24" s="30" t="s">
        <v>31</v>
      </c>
      <c r="B24" s="30" t="s">
        <v>32</v>
      </c>
      <c r="C24" s="30" t="s">
        <v>33</v>
      </c>
      <c r="D24" s="30" t="s">
        <v>147</v>
      </c>
      <c r="E24" s="30" t="s">
        <v>148</v>
      </c>
      <c r="F24" s="30" t="s">
        <v>149</v>
      </c>
      <c r="G24" s="30" t="s">
        <v>57</v>
      </c>
      <c r="H24" s="30" t="s">
        <v>29</v>
      </c>
      <c r="I24" s="30" t="s">
        <v>49</v>
      </c>
      <c r="J24" s="30" t="s">
        <v>50</v>
      </c>
      <c r="K24" s="59">
        <v>0.5</v>
      </c>
      <c r="L24" s="30" t="s">
        <v>51</v>
      </c>
      <c r="M24" s="30">
        <v>2019</v>
      </c>
      <c r="N24" s="30" t="s">
        <v>35</v>
      </c>
      <c r="O24" s="31" t="s">
        <v>47</v>
      </c>
      <c r="P24" s="30" t="s">
        <v>30</v>
      </c>
      <c r="Q24" s="31" t="s">
        <v>30</v>
      </c>
      <c r="R24" s="32">
        <v>20</v>
      </c>
      <c r="S24" s="33">
        <v>0.1</v>
      </c>
      <c r="T24" s="62">
        <v>0.4</v>
      </c>
      <c r="U24" s="33">
        <v>0</v>
      </c>
    </row>
    <row r="25" spans="1:21" s="57" customFormat="1" x14ac:dyDescent="0.2">
      <c r="A25" s="30" t="s">
        <v>31</v>
      </c>
      <c r="B25" s="30" t="s">
        <v>32</v>
      </c>
      <c r="C25" s="30" t="s">
        <v>33</v>
      </c>
      <c r="D25" s="30" t="s">
        <v>152</v>
      </c>
      <c r="E25" s="30" t="s">
        <v>153</v>
      </c>
      <c r="F25" s="30" t="s">
        <v>154</v>
      </c>
      <c r="G25" s="30" t="s">
        <v>58</v>
      </c>
      <c r="H25" s="30" t="s">
        <v>36</v>
      </c>
      <c r="I25" s="30" t="s">
        <v>49</v>
      </c>
      <c r="J25" s="30" t="s">
        <v>50</v>
      </c>
      <c r="K25" s="59">
        <v>1</v>
      </c>
      <c r="L25" s="30" t="s">
        <v>51</v>
      </c>
      <c r="M25" s="30">
        <v>2019</v>
      </c>
      <c r="N25" s="30" t="s">
        <v>35</v>
      </c>
      <c r="O25" s="31" t="s">
        <v>44</v>
      </c>
      <c r="P25" s="30" t="s">
        <v>30</v>
      </c>
      <c r="Q25" s="31" t="s">
        <v>30</v>
      </c>
      <c r="R25" s="32">
        <v>50</v>
      </c>
      <c r="S25" s="33">
        <v>0.5</v>
      </c>
      <c r="T25" s="62">
        <v>0.5</v>
      </c>
      <c r="U25" s="33">
        <v>0</v>
      </c>
    </row>
    <row r="26" spans="1:21" s="57" customFormat="1" x14ac:dyDescent="0.2">
      <c r="A26" s="30" t="s">
        <v>31</v>
      </c>
      <c r="B26" s="30" t="s">
        <v>32</v>
      </c>
      <c r="C26" s="30" t="s">
        <v>33</v>
      </c>
      <c r="D26" s="30" t="s">
        <v>158</v>
      </c>
      <c r="E26" s="30" t="s">
        <v>159</v>
      </c>
      <c r="F26" s="30" t="s">
        <v>160</v>
      </c>
      <c r="G26" s="30" t="s">
        <v>57</v>
      </c>
      <c r="H26" s="30" t="s">
        <v>36</v>
      </c>
      <c r="I26" s="30" t="s">
        <v>49</v>
      </c>
      <c r="J26" s="30" t="s">
        <v>50</v>
      </c>
      <c r="K26" s="59">
        <v>1</v>
      </c>
      <c r="L26" s="30" t="s">
        <v>51</v>
      </c>
      <c r="M26" s="30">
        <v>2019</v>
      </c>
      <c r="N26" s="30" t="s">
        <v>35</v>
      </c>
      <c r="O26" s="31" t="s">
        <v>47</v>
      </c>
      <c r="P26" s="30" t="s">
        <v>30</v>
      </c>
      <c r="Q26" s="31" t="s">
        <v>30</v>
      </c>
      <c r="R26" s="32">
        <v>20</v>
      </c>
      <c r="S26" s="33">
        <v>0.2</v>
      </c>
      <c r="T26" s="62">
        <v>0.8</v>
      </c>
      <c r="U26" s="33">
        <v>0</v>
      </c>
    </row>
    <row r="27" spans="1:21" s="57" customFormat="1" x14ac:dyDescent="0.2">
      <c r="A27" s="30" t="s">
        <v>31</v>
      </c>
      <c r="B27" s="30" t="s">
        <v>32</v>
      </c>
      <c r="C27" s="30" t="s">
        <v>33</v>
      </c>
      <c r="D27" s="30" t="s">
        <v>155</v>
      </c>
      <c r="E27" s="30" t="s">
        <v>156</v>
      </c>
      <c r="F27" s="30" t="s">
        <v>157</v>
      </c>
      <c r="G27" s="30" t="s">
        <v>53</v>
      </c>
      <c r="H27" s="30" t="s">
        <v>36</v>
      </c>
      <c r="I27" s="30" t="s">
        <v>49</v>
      </c>
      <c r="J27" s="30" t="s">
        <v>50</v>
      </c>
      <c r="K27" s="59">
        <v>1</v>
      </c>
      <c r="L27" s="30" t="s">
        <v>51</v>
      </c>
      <c r="M27" s="30">
        <v>2019</v>
      </c>
      <c r="N27" s="30" t="s">
        <v>35</v>
      </c>
      <c r="O27" s="31" t="s">
        <v>47</v>
      </c>
      <c r="P27" s="30" t="s">
        <v>30</v>
      </c>
      <c r="Q27" s="31" t="s">
        <v>30</v>
      </c>
      <c r="R27" s="32">
        <v>20</v>
      </c>
      <c r="S27" s="33">
        <v>0.2</v>
      </c>
      <c r="T27" s="62">
        <v>0.8</v>
      </c>
      <c r="U27" s="33">
        <v>0</v>
      </c>
    </row>
    <row r="28" spans="1:21" s="57" customFormat="1" ht="10.8" thickBot="1" x14ac:dyDescent="0.25">
      <c r="A28" s="26" t="s">
        <v>31</v>
      </c>
      <c r="B28" s="26" t="s">
        <v>32</v>
      </c>
      <c r="C28" s="26" t="s">
        <v>33</v>
      </c>
      <c r="D28" s="26" t="s">
        <v>163</v>
      </c>
      <c r="E28" s="26" t="s">
        <v>164</v>
      </c>
      <c r="F28" s="26" t="s">
        <v>165</v>
      </c>
      <c r="G28" s="26" t="s">
        <v>48</v>
      </c>
      <c r="H28" s="26" t="s">
        <v>36</v>
      </c>
      <c r="I28" s="26" t="s">
        <v>49</v>
      </c>
      <c r="J28" s="26" t="s">
        <v>50</v>
      </c>
      <c r="K28" s="34">
        <v>1</v>
      </c>
      <c r="L28" s="34" t="s">
        <v>51</v>
      </c>
      <c r="M28" s="35">
        <v>2019</v>
      </c>
      <c r="N28" s="26" t="s">
        <v>35</v>
      </c>
      <c r="O28" s="27" t="s">
        <v>46</v>
      </c>
      <c r="P28" s="26" t="s">
        <v>30</v>
      </c>
      <c r="Q28" s="27" t="s">
        <v>30</v>
      </c>
      <c r="R28" s="26">
        <v>10</v>
      </c>
      <c r="S28" s="26">
        <v>0.1</v>
      </c>
      <c r="T28" s="60">
        <v>0.9</v>
      </c>
      <c r="U28" s="26">
        <v>0</v>
      </c>
    </row>
    <row r="29" spans="1:21" s="57" customFormat="1" ht="10.8" thickBot="1" x14ac:dyDescent="0.25">
      <c r="A29" s="36" t="s">
        <v>166</v>
      </c>
      <c r="B29" s="36" t="s">
        <v>167</v>
      </c>
      <c r="C29" s="36" t="s">
        <v>168</v>
      </c>
      <c r="D29" s="36" t="s">
        <v>169</v>
      </c>
      <c r="E29" s="36" t="s">
        <v>170</v>
      </c>
      <c r="F29" s="36" t="s">
        <v>171</v>
      </c>
      <c r="G29" s="37" t="s">
        <v>57</v>
      </c>
      <c r="H29" s="38" t="s">
        <v>29</v>
      </c>
      <c r="I29" s="38" t="s">
        <v>49</v>
      </c>
      <c r="J29" s="39" t="s">
        <v>50</v>
      </c>
      <c r="K29" s="34">
        <v>0.5</v>
      </c>
      <c r="L29" s="34" t="s">
        <v>51</v>
      </c>
      <c r="M29" s="26">
        <v>2020</v>
      </c>
      <c r="N29" s="26" t="s">
        <v>35</v>
      </c>
      <c r="O29" s="27" t="s">
        <v>47</v>
      </c>
      <c r="P29" s="26" t="s">
        <v>30</v>
      </c>
      <c r="Q29" s="27" t="s">
        <v>30</v>
      </c>
      <c r="R29" s="26">
        <v>20</v>
      </c>
      <c r="S29" s="26">
        <v>0.1</v>
      </c>
      <c r="T29" s="60">
        <v>0.4</v>
      </c>
      <c r="U29" s="26">
        <v>0</v>
      </c>
    </row>
    <row r="30" spans="1:21" s="57" customFormat="1" ht="10.8" thickBot="1" x14ac:dyDescent="0.25">
      <c r="A30" s="36" t="s">
        <v>31</v>
      </c>
      <c r="B30" s="36" t="s">
        <v>32</v>
      </c>
      <c r="C30" s="36" t="s">
        <v>33</v>
      </c>
      <c r="D30" s="36" t="s">
        <v>172</v>
      </c>
      <c r="E30" s="36" t="s">
        <v>173</v>
      </c>
      <c r="F30" s="36" t="s">
        <v>174</v>
      </c>
      <c r="G30" s="37" t="s">
        <v>57</v>
      </c>
      <c r="H30" s="38" t="s">
        <v>29</v>
      </c>
      <c r="I30" s="38" t="s">
        <v>49</v>
      </c>
      <c r="J30" s="39" t="s">
        <v>50</v>
      </c>
      <c r="K30" s="34">
        <v>0.5</v>
      </c>
      <c r="L30" s="34" t="s">
        <v>51</v>
      </c>
      <c r="M30" s="26">
        <v>2020</v>
      </c>
      <c r="N30" s="26" t="s">
        <v>35</v>
      </c>
      <c r="O30" s="27" t="s">
        <v>47</v>
      </c>
      <c r="P30" s="26" t="s">
        <v>30</v>
      </c>
      <c r="Q30" s="27" t="s">
        <v>30</v>
      </c>
      <c r="R30" s="26">
        <v>20</v>
      </c>
      <c r="S30" s="26">
        <v>0.1</v>
      </c>
      <c r="T30" s="60">
        <v>0.4</v>
      </c>
      <c r="U30" s="26">
        <v>0</v>
      </c>
    </row>
    <row r="31" spans="1:21" s="57" customFormat="1" ht="10.8" thickBot="1" x14ac:dyDescent="0.25">
      <c r="A31" s="36" t="s">
        <v>31</v>
      </c>
      <c r="B31" s="36" t="s">
        <v>32</v>
      </c>
      <c r="C31" s="36" t="s">
        <v>33</v>
      </c>
      <c r="D31" s="36" t="s">
        <v>175</v>
      </c>
      <c r="E31" s="36" t="s">
        <v>176</v>
      </c>
      <c r="F31" s="36" t="s">
        <v>177</v>
      </c>
      <c r="G31" s="37" t="s">
        <v>56</v>
      </c>
      <c r="H31" s="38" t="s">
        <v>36</v>
      </c>
      <c r="I31" s="38" t="s">
        <v>49</v>
      </c>
      <c r="J31" s="39" t="s">
        <v>50</v>
      </c>
      <c r="K31" s="34">
        <v>1</v>
      </c>
      <c r="L31" s="34" t="s">
        <v>51</v>
      </c>
      <c r="M31" s="26">
        <v>2020</v>
      </c>
      <c r="N31" s="26" t="s">
        <v>35</v>
      </c>
      <c r="O31" s="27" t="s">
        <v>45</v>
      </c>
      <c r="P31" s="26" t="s">
        <v>30</v>
      </c>
      <c r="Q31" s="27" t="s">
        <v>30</v>
      </c>
      <c r="R31" s="26">
        <v>40</v>
      </c>
      <c r="S31" s="26">
        <v>0.4</v>
      </c>
      <c r="T31" s="60">
        <v>0.6</v>
      </c>
      <c r="U31" s="26">
        <v>0</v>
      </c>
    </row>
    <row r="32" spans="1:21" s="57" customFormat="1" ht="10.8" thickBot="1" x14ac:dyDescent="0.25">
      <c r="A32" s="36" t="s">
        <v>31</v>
      </c>
      <c r="B32" s="36" t="s">
        <v>32</v>
      </c>
      <c r="C32" s="36" t="s">
        <v>33</v>
      </c>
      <c r="D32" s="36" t="s">
        <v>178</v>
      </c>
      <c r="E32" s="36" t="s">
        <v>179</v>
      </c>
      <c r="F32" s="36" t="s">
        <v>180</v>
      </c>
      <c r="G32" s="37" t="s">
        <v>57</v>
      </c>
      <c r="H32" s="38" t="s">
        <v>29</v>
      </c>
      <c r="I32" s="38" t="s">
        <v>49</v>
      </c>
      <c r="J32" s="39" t="s">
        <v>50</v>
      </c>
      <c r="K32" s="34">
        <v>0.5</v>
      </c>
      <c r="L32" s="34" t="s">
        <v>51</v>
      </c>
      <c r="M32" s="26">
        <v>2020</v>
      </c>
      <c r="N32" s="26" t="s">
        <v>35</v>
      </c>
      <c r="O32" s="27" t="s">
        <v>47</v>
      </c>
      <c r="P32" s="26" t="s">
        <v>30</v>
      </c>
      <c r="Q32" s="27" t="s">
        <v>30</v>
      </c>
      <c r="R32" s="26">
        <v>20</v>
      </c>
      <c r="S32" s="26">
        <v>0.1</v>
      </c>
      <c r="T32" s="60">
        <v>0.4</v>
      </c>
      <c r="U32" s="26">
        <v>0</v>
      </c>
    </row>
    <row r="33" spans="1:21" s="57" customFormat="1" ht="10.8" thickBot="1" x14ac:dyDescent="0.25">
      <c r="A33" s="36" t="s">
        <v>31</v>
      </c>
      <c r="B33" s="36" t="s">
        <v>32</v>
      </c>
      <c r="C33" s="36" t="s">
        <v>33</v>
      </c>
      <c r="D33" s="36" t="s">
        <v>181</v>
      </c>
      <c r="E33" s="36" t="s">
        <v>182</v>
      </c>
      <c r="F33" s="36" t="s">
        <v>183</v>
      </c>
      <c r="G33" s="37" t="s">
        <v>54</v>
      </c>
      <c r="H33" s="38" t="s">
        <v>29</v>
      </c>
      <c r="I33" s="38" t="s">
        <v>49</v>
      </c>
      <c r="J33" s="39" t="s">
        <v>50</v>
      </c>
      <c r="K33" s="34">
        <v>0.5</v>
      </c>
      <c r="L33" s="34" t="s">
        <v>51</v>
      </c>
      <c r="M33" s="26">
        <v>2020</v>
      </c>
      <c r="N33" s="26" t="s">
        <v>35</v>
      </c>
      <c r="O33" s="27" t="s">
        <v>47</v>
      </c>
      <c r="P33" s="26" t="s">
        <v>30</v>
      </c>
      <c r="Q33" s="27" t="s">
        <v>30</v>
      </c>
      <c r="R33" s="26">
        <v>20</v>
      </c>
      <c r="S33" s="26">
        <v>0.1</v>
      </c>
      <c r="T33" s="60">
        <v>0.4</v>
      </c>
      <c r="U33" s="26">
        <v>0</v>
      </c>
    </row>
    <row r="34" spans="1:21" s="57" customFormat="1" x14ac:dyDescent="0.2">
      <c r="A34" s="26" t="s">
        <v>31</v>
      </c>
      <c r="B34" s="26" t="s">
        <v>32</v>
      </c>
      <c r="C34" s="26" t="s">
        <v>33</v>
      </c>
      <c r="D34" s="26" t="s">
        <v>227</v>
      </c>
      <c r="E34" s="26" t="s">
        <v>228</v>
      </c>
      <c r="F34" s="26" t="s">
        <v>229</v>
      </c>
      <c r="G34" s="26" t="s">
        <v>34</v>
      </c>
      <c r="H34" s="26" t="s">
        <v>36</v>
      </c>
      <c r="I34" s="26" t="s">
        <v>49</v>
      </c>
      <c r="J34" s="26" t="s">
        <v>50</v>
      </c>
      <c r="K34" s="34">
        <v>1</v>
      </c>
      <c r="L34" s="34" t="s">
        <v>51</v>
      </c>
      <c r="M34" s="26">
        <v>2021</v>
      </c>
      <c r="N34" s="26" t="s">
        <v>35</v>
      </c>
      <c r="O34" s="27" t="s">
        <v>44</v>
      </c>
      <c r="P34" s="26" t="s">
        <v>30</v>
      </c>
      <c r="Q34" s="27" t="s">
        <v>30</v>
      </c>
      <c r="R34" s="26">
        <v>50</v>
      </c>
      <c r="S34" s="26">
        <v>0.5</v>
      </c>
      <c r="T34" s="60">
        <v>0.5</v>
      </c>
      <c r="U34" s="26">
        <v>0</v>
      </c>
    </row>
    <row r="35" spans="1:21" s="57" customFormat="1" x14ac:dyDescent="0.2">
      <c r="A35" s="26" t="s">
        <v>31</v>
      </c>
      <c r="B35" s="26" t="s">
        <v>32</v>
      </c>
      <c r="C35" s="26" t="s">
        <v>33</v>
      </c>
      <c r="D35" s="26" t="s">
        <v>230</v>
      </c>
      <c r="E35" s="26" t="s">
        <v>231</v>
      </c>
      <c r="F35" s="26" t="s">
        <v>232</v>
      </c>
      <c r="G35" s="26" t="s">
        <v>57</v>
      </c>
      <c r="H35" s="26" t="s">
        <v>36</v>
      </c>
      <c r="I35" s="26" t="s">
        <v>49</v>
      </c>
      <c r="J35" s="26" t="s">
        <v>50</v>
      </c>
      <c r="K35" s="34">
        <v>1</v>
      </c>
      <c r="L35" s="34" t="s">
        <v>51</v>
      </c>
      <c r="M35" s="26">
        <v>2021</v>
      </c>
      <c r="N35" s="26" t="s">
        <v>35</v>
      </c>
      <c r="O35" s="27" t="s">
        <v>47</v>
      </c>
      <c r="P35" s="26" t="s">
        <v>30</v>
      </c>
      <c r="Q35" s="27" t="s">
        <v>30</v>
      </c>
      <c r="R35" s="26">
        <v>20</v>
      </c>
      <c r="S35" s="26">
        <v>0.2</v>
      </c>
      <c r="T35" s="60">
        <v>0.8</v>
      </c>
      <c r="U35" s="26">
        <v>0</v>
      </c>
    </row>
    <row r="36" spans="1:21" s="57" customFormat="1" x14ac:dyDescent="0.2">
      <c r="A36" s="26" t="s">
        <v>31</v>
      </c>
      <c r="B36" s="26" t="s">
        <v>32</v>
      </c>
      <c r="C36" s="26" t="s">
        <v>33</v>
      </c>
      <c r="D36" s="26" t="s">
        <v>233</v>
      </c>
      <c r="E36" s="26" t="s">
        <v>234</v>
      </c>
      <c r="F36" s="26" t="s">
        <v>235</v>
      </c>
      <c r="G36" s="26" t="s">
        <v>60</v>
      </c>
      <c r="H36" s="26" t="s">
        <v>36</v>
      </c>
      <c r="I36" s="26" t="s">
        <v>49</v>
      </c>
      <c r="J36" s="26" t="s">
        <v>50</v>
      </c>
      <c r="K36" s="34">
        <v>1</v>
      </c>
      <c r="L36" s="34" t="s">
        <v>51</v>
      </c>
      <c r="M36" s="26">
        <v>2021</v>
      </c>
      <c r="N36" s="26" t="s">
        <v>35</v>
      </c>
      <c r="O36" s="27" t="s">
        <v>46</v>
      </c>
      <c r="P36" s="26" t="s">
        <v>30</v>
      </c>
      <c r="Q36" s="27" t="s">
        <v>30</v>
      </c>
      <c r="R36" s="26">
        <v>10</v>
      </c>
      <c r="S36" s="26">
        <v>0.1</v>
      </c>
      <c r="T36" s="60">
        <v>0.9</v>
      </c>
      <c r="U36" s="26">
        <v>0</v>
      </c>
    </row>
    <row r="37" spans="1:21" x14ac:dyDescent="0.2">
      <c r="S37" s="68">
        <f>SUM(T7:T36,S2:S6)</f>
        <v>18.050000000000004</v>
      </c>
      <c r="T37" s="68"/>
    </row>
  </sheetData>
  <autoFilter ref="A1:U1" xr:uid="{00000000-0009-0000-0000-000000000000}">
    <sortState xmlns:xlrd2="http://schemas.microsoft.com/office/spreadsheetml/2017/richdata2" ref="A2:S892">
      <sortCondition ref="L2:L892"/>
      <sortCondition ref="N2:N892"/>
    </sortState>
  </autoFilter>
  <mergeCells count="1">
    <mergeCell ref="S37:T37"/>
  </mergeCells>
  <printOptions horizontalCentered="1"/>
  <pageMargins left="0.19685039370078741" right="0.19685039370078741" top="0.39370078740157483" bottom="0.39370078740157483" header="0.78740157480314965" footer="0"/>
  <pageSetup paperSize="9" scale="92" fitToWidth="2" fitToHeight="2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17"/>
  <sheetViews>
    <sheetView tabSelected="1" zoomScaleNormal="100" workbookViewId="0">
      <selection activeCell="Q17" sqref="Q17"/>
    </sheetView>
  </sheetViews>
  <sheetFormatPr baseColWidth="10" defaultColWidth="11.44140625" defaultRowHeight="13.2" x14ac:dyDescent="0.25"/>
  <cols>
    <col min="1" max="1" width="10.5546875" style="18" bestFit="1" customWidth="1"/>
    <col min="2" max="2" width="34.44140625" style="18" bestFit="1" customWidth="1"/>
    <col min="3" max="3" width="14.5546875" style="18" bestFit="1" customWidth="1"/>
    <col min="4" max="9" width="3.33203125" style="18" bestFit="1" customWidth="1"/>
    <col min="10" max="10" width="13.109375" style="18" bestFit="1" customWidth="1"/>
    <col min="11" max="11" width="5.33203125" style="18" bestFit="1" customWidth="1"/>
    <col min="12" max="12" width="5.6640625" style="18" bestFit="1" customWidth="1"/>
    <col min="13" max="14" width="5.6640625" style="19" bestFit="1" customWidth="1"/>
    <col min="15" max="15" width="5.6640625" style="18" bestFit="1" customWidth="1"/>
    <col min="16" max="16" width="5.6640625" style="19" bestFit="1" customWidth="1"/>
    <col min="17" max="19" width="5.6640625" style="18" bestFit="1" customWidth="1"/>
    <col min="20" max="16384" width="11.44140625" style="18"/>
  </cols>
  <sheetData>
    <row r="1" spans="1:19" s="17" customFormat="1" ht="65.099999999999994" customHeight="1" x14ac:dyDescent="0.25">
      <c r="A1" s="20" t="s">
        <v>94</v>
      </c>
      <c r="B1" s="20" t="s">
        <v>95</v>
      </c>
      <c r="C1" s="20" t="s">
        <v>96</v>
      </c>
      <c r="D1" s="21">
        <v>2017</v>
      </c>
      <c r="E1" s="21">
        <v>2018</v>
      </c>
      <c r="F1" s="21">
        <v>2019</v>
      </c>
      <c r="G1" s="21">
        <v>2020</v>
      </c>
      <c r="H1" s="21">
        <v>2021</v>
      </c>
      <c r="I1" s="21">
        <v>2022</v>
      </c>
      <c r="J1" s="20" t="s">
        <v>97</v>
      </c>
      <c r="K1" s="22" t="s">
        <v>161</v>
      </c>
      <c r="L1" s="15" t="s">
        <v>98</v>
      </c>
      <c r="M1" s="15" t="s">
        <v>99</v>
      </c>
      <c r="N1" s="15" t="s">
        <v>100</v>
      </c>
      <c r="O1" s="15" t="s">
        <v>101</v>
      </c>
      <c r="P1" s="16" t="s">
        <v>102</v>
      </c>
      <c r="Q1" s="16" t="s">
        <v>103</v>
      </c>
      <c r="R1" s="16" t="s">
        <v>104</v>
      </c>
      <c r="S1" s="16" t="s">
        <v>105</v>
      </c>
    </row>
    <row r="2" spans="1:19" ht="14.4" x14ac:dyDescent="0.3">
      <c r="A2" s="23" t="s">
        <v>236</v>
      </c>
      <c r="B2" s="23" t="s">
        <v>237</v>
      </c>
      <c r="C2" s="23" t="s">
        <v>238</v>
      </c>
      <c r="D2" s="23"/>
      <c r="E2" s="23"/>
      <c r="F2" s="23"/>
      <c r="G2" s="23"/>
      <c r="H2" s="23"/>
      <c r="I2" s="23">
        <v>1</v>
      </c>
      <c r="J2" s="23">
        <v>1</v>
      </c>
      <c r="K2" s="23" t="s">
        <v>51</v>
      </c>
      <c r="L2" s="24" t="s">
        <v>35</v>
      </c>
      <c r="M2" s="24" t="s">
        <v>46</v>
      </c>
      <c r="N2" s="24" t="s">
        <v>30</v>
      </c>
      <c r="O2" s="24" t="s">
        <v>30</v>
      </c>
      <c r="P2" s="64">
        <v>10</v>
      </c>
      <c r="Q2" s="63">
        <v>0.9</v>
      </c>
      <c r="R2" s="65">
        <v>0</v>
      </c>
      <c r="S2" s="24">
        <v>0.1</v>
      </c>
    </row>
    <row r="3" spans="1:19" ht="14.4" x14ac:dyDescent="0.3">
      <c r="A3" s="23" t="s">
        <v>111</v>
      </c>
      <c r="B3" s="23" t="s">
        <v>112</v>
      </c>
      <c r="C3" s="23" t="s">
        <v>106</v>
      </c>
      <c r="D3" s="23">
        <v>1</v>
      </c>
      <c r="E3" s="23"/>
      <c r="F3" s="23"/>
      <c r="G3" s="23"/>
      <c r="H3" s="23"/>
      <c r="I3" s="23"/>
      <c r="J3" s="23">
        <v>1</v>
      </c>
      <c r="K3" s="23" t="s">
        <v>51</v>
      </c>
      <c r="L3" s="24" t="s">
        <v>35</v>
      </c>
      <c r="M3" s="24" t="s">
        <v>44</v>
      </c>
      <c r="N3" s="24" t="s">
        <v>30</v>
      </c>
      <c r="O3" s="24" t="s">
        <v>30</v>
      </c>
      <c r="P3" s="64">
        <v>50</v>
      </c>
      <c r="Q3" s="63">
        <v>0.5</v>
      </c>
      <c r="R3" s="65">
        <v>0</v>
      </c>
      <c r="S3" s="24">
        <v>0.5</v>
      </c>
    </row>
    <row r="4" spans="1:19" ht="14.4" x14ac:dyDescent="0.3">
      <c r="A4" s="23" t="s">
        <v>127</v>
      </c>
      <c r="B4" s="23" t="s">
        <v>128</v>
      </c>
      <c r="C4" s="23" t="s">
        <v>106</v>
      </c>
      <c r="D4" s="23"/>
      <c r="E4" s="23"/>
      <c r="F4" s="23"/>
      <c r="G4" s="23">
        <v>1</v>
      </c>
      <c r="H4" s="23"/>
      <c r="I4" s="23"/>
      <c r="J4" s="23">
        <v>1</v>
      </c>
      <c r="K4" s="23" t="s">
        <v>51</v>
      </c>
      <c r="L4" s="24" t="s">
        <v>35</v>
      </c>
      <c r="M4" s="24" t="s">
        <v>45</v>
      </c>
      <c r="N4" s="24" t="s">
        <v>30</v>
      </c>
      <c r="O4" s="24" t="s">
        <v>30</v>
      </c>
      <c r="P4" s="64">
        <v>40</v>
      </c>
      <c r="Q4" s="63">
        <v>0.6</v>
      </c>
      <c r="R4" s="65">
        <v>0</v>
      </c>
      <c r="S4" s="24">
        <v>0.4</v>
      </c>
    </row>
    <row r="5" spans="1:19" ht="14.4" x14ac:dyDescent="0.3">
      <c r="A5" s="23" t="s">
        <v>129</v>
      </c>
      <c r="B5" s="23" t="s">
        <v>130</v>
      </c>
      <c r="C5" s="23">
        <v>6</v>
      </c>
      <c r="D5" s="23"/>
      <c r="E5" s="23"/>
      <c r="F5" s="23">
        <v>1</v>
      </c>
      <c r="G5" s="23"/>
      <c r="H5" s="23">
        <v>1</v>
      </c>
      <c r="I5" s="23"/>
      <c r="J5" s="23">
        <v>2</v>
      </c>
      <c r="K5" s="23" t="s">
        <v>51</v>
      </c>
      <c r="L5" s="24" t="s">
        <v>35</v>
      </c>
      <c r="M5" s="24" t="s">
        <v>47</v>
      </c>
      <c r="N5" s="24" t="s">
        <v>30</v>
      </c>
      <c r="O5" s="24" t="s">
        <v>30</v>
      </c>
      <c r="P5" s="64">
        <v>20</v>
      </c>
      <c r="Q5" s="63">
        <v>1.6</v>
      </c>
      <c r="R5" s="65">
        <v>0</v>
      </c>
      <c r="S5" s="24">
        <v>0.4</v>
      </c>
    </row>
    <row r="6" spans="1:19" ht="14.4" x14ac:dyDescent="0.3">
      <c r="A6" s="23" t="s">
        <v>121</v>
      </c>
      <c r="B6" s="23" t="s">
        <v>122</v>
      </c>
      <c r="C6" s="23" t="s">
        <v>106</v>
      </c>
      <c r="D6" s="23"/>
      <c r="E6" s="23"/>
      <c r="F6" s="23"/>
      <c r="G6" s="23"/>
      <c r="H6" s="23"/>
      <c r="I6" s="23">
        <v>1</v>
      </c>
      <c r="J6" s="23">
        <v>1</v>
      </c>
      <c r="K6" s="23" t="s">
        <v>51</v>
      </c>
      <c r="L6" s="24" t="s">
        <v>35</v>
      </c>
      <c r="M6" s="24" t="s">
        <v>46</v>
      </c>
      <c r="N6" s="24" t="s">
        <v>30</v>
      </c>
      <c r="O6" s="24" t="s">
        <v>30</v>
      </c>
      <c r="P6" s="64">
        <v>10</v>
      </c>
      <c r="Q6" s="63">
        <v>0.9</v>
      </c>
      <c r="R6" s="65">
        <v>0</v>
      </c>
      <c r="S6" s="24">
        <v>0.1</v>
      </c>
    </row>
    <row r="7" spans="1:19" ht="14.4" x14ac:dyDescent="0.3">
      <c r="A7" s="23" t="s">
        <v>109</v>
      </c>
      <c r="B7" s="23" t="s">
        <v>110</v>
      </c>
      <c r="C7" s="23" t="s">
        <v>106</v>
      </c>
      <c r="D7" s="23"/>
      <c r="E7" s="23">
        <v>1</v>
      </c>
      <c r="F7" s="23">
        <v>1</v>
      </c>
      <c r="G7" s="23"/>
      <c r="H7" s="23"/>
      <c r="I7" s="23"/>
      <c r="J7" s="23">
        <v>2</v>
      </c>
      <c r="K7" s="23" t="s">
        <v>51</v>
      </c>
      <c r="L7" s="24" t="s">
        <v>35</v>
      </c>
      <c r="M7" s="24" t="s">
        <v>74</v>
      </c>
      <c r="N7" s="24" t="s">
        <v>30</v>
      </c>
      <c r="O7" s="24" t="s">
        <v>30</v>
      </c>
      <c r="P7" s="64">
        <v>35</v>
      </c>
      <c r="Q7" s="63">
        <v>1.3</v>
      </c>
      <c r="R7" s="65">
        <v>0</v>
      </c>
      <c r="S7" s="24">
        <v>0.7</v>
      </c>
    </row>
    <row r="8" spans="1:19" ht="14.4" x14ac:dyDescent="0.3">
      <c r="A8" s="23" t="s">
        <v>123</v>
      </c>
      <c r="B8" s="23" t="s">
        <v>124</v>
      </c>
      <c r="C8" s="23" t="s">
        <v>106</v>
      </c>
      <c r="D8" s="23"/>
      <c r="E8" s="23"/>
      <c r="F8" s="23"/>
      <c r="G8" s="23">
        <v>1</v>
      </c>
      <c r="H8" s="23"/>
      <c r="I8" s="23"/>
      <c r="J8" s="23">
        <v>1</v>
      </c>
      <c r="K8" s="23" t="s">
        <v>51</v>
      </c>
      <c r="L8" s="24" t="s">
        <v>35</v>
      </c>
      <c r="M8" s="24" t="s">
        <v>47</v>
      </c>
      <c r="N8" s="24" t="s">
        <v>30</v>
      </c>
      <c r="O8" s="24" t="s">
        <v>30</v>
      </c>
      <c r="P8" s="64">
        <v>20</v>
      </c>
      <c r="Q8" s="63">
        <v>0.8</v>
      </c>
      <c r="R8" s="65">
        <v>0</v>
      </c>
      <c r="S8" s="24">
        <v>0.2</v>
      </c>
    </row>
    <row r="9" spans="1:19" ht="14.4" x14ac:dyDescent="0.3">
      <c r="A9" s="23" t="s">
        <v>117</v>
      </c>
      <c r="B9" s="23" t="s">
        <v>118</v>
      </c>
      <c r="C9" s="23" t="s">
        <v>106</v>
      </c>
      <c r="D9" s="23"/>
      <c r="E9" s="23">
        <v>1</v>
      </c>
      <c r="F9" s="23"/>
      <c r="G9" s="23"/>
      <c r="H9" s="23"/>
      <c r="I9" s="23"/>
      <c r="J9" s="23">
        <v>1</v>
      </c>
      <c r="K9" s="23" t="s">
        <v>51</v>
      </c>
      <c r="L9" s="24" t="s">
        <v>35</v>
      </c>
      <c r="M9" s="24" t="s">
        <v>47</v>
      </c>
      <c r="N9" s="24" t="s">
        <v>30</v>
      </c>
      <c r="O9" s="24" t="s">
        <v>30</v>
      </c>
      <c r="P9" s="64">
        <v>20</v>
      </c>
      <c r="Q9" s="63">
        <v>0.8</v>
      </c>
      <c r="R9" s="65">
        <v>0</v>
      </c>
      <c r="S9" s="24">
        <v>0.2</v>
      </c>
    </row>
    <row r="10" spans="1:19" ht="14.4" x14ac:dyDescent="0.3">
      <c r="A10" s="23" t="s">
        <v>239</v>
      </c>
      <c r="B10" s="23" t="s">
        <v>240</v>
      </c>
      <c r="C10" s="23" t="s">
        <v>238</v>
      </c>
      <c r="D10" s="23"/>
      <c r="E10" s="23"/>
      <c r="F10" s="23"/>
      <c r="G10" s="23">
        <v>1</v>
      </c>
      <c r="H10" s="23"/>
      <c r="I10" s="23"/>
      <c r="J10" s="23">
        <v>1</v>
      </c>
      <c r="K10" s="23" t="s">
        <v>51</v>
      </c>
      <c r="L10" s="24" t="s">
        <v>35</v>
      </c>
      <c r="M10" s="24" t="s">
        <v>46</v>
      </c>
      <c r="N10" s="24" t="s">
        <v>30</v>
      </c>
      <c r="O10" s="24" t="s">
        <v>30</v>
      </c>
      <c r="P10" s="64">
        <v>10</v>
      </c>
      <c r="Q10" s="63">
        <v>0.9</v>
      </c>
      <c r="R10" s="65">
        <v>0</v>
      </c>
      <c r="S10" s="24">
        <v>0.1</v>
      </c>
    </row>
    <row r="11" spans="1:19" ht="14.4" x14ac:dyDescent="0.3">
      <c r="A11" s="23" t="s">
        <v>125</v>
      </c>
      <c r="B11" s="23" t="s">
        <v>126</v>
      </c>
      <c r="C11" s="23" t="s">
        <v>106</v>
      </c>
      <c r="D11" s="23"/>
      <c r="E11" s="23"/>
      <c r="F11" s="23"/>
      <c r="G11" s="23"/>
      <c r="H11" s="23">
        <v>1</v>
      </c>
      <c r="I11" s="23"/>
      <c r="J11" s="23">
        <v>1</v>
      </c>
      <c r="K11" s="23" t="s">
        <v>51</v>
      </c>
      <c r="L11" s="24" t="s">
        <v>35</v>
      </c>
      <c r="M11" s="24" t="s">
        <v>47</v>
      </c>
      <c r="N11" s="24" t="s">
        <v>30</v>
      </c>
      <c r="O11" s="24" t="s">
        <v>30</v>
      </c>
      <c r="P11" s="64">
        <v>20</v>
      </c>
      <c r="Q11" s="63">
        <v>0.8</v>
      </c>
      <c r="R11" s="65">
        <v>0</v>
      </c>
      <c r="S11" s="24">
        <v>0.2</v>
      </c>
    </row>
    <row r="12" spans="1:19" ht="14.4" x14ac:dyDescent="0.3">
      <c r="A12" s="23" t="s">
        <v>241</v>
      </c>
      <c r="B12" s="23" t="s">
        <v>242</v>
      </c>
      <c r="C12" s="23" t="s">
        <v>106</v>
      </c>
      <c r="D12" s="23"/>
      <c r="E12" s="23"/>
      <c r="F12" s="23"/>
      <c r="G12" s="23"/>
      <c r="H12" s="23"/>
      <c r="I12" s="23">
        <v>3</v>
      </c>
      <c r="J12" s="23">
        <v>3</v>
      </c>
      <c r="K12" s="23" t="s">
        <v>51</v>
      </c>
      <c r="L12" s="24" t="s">
        <v>35</v>
      </c>
      <c r="M12" s="24" t="s">
        <v>44</v>
      </c>
      <c r="N12" s="24" t="s">
        <v>30</v>
      </c>
      <c r="O12" s="24" t="s">
        <v>30</v>
      </c>
      <c r="P12" s="64">
        <v>50</v>
      </c>
      <c r="Q12" s="63">
        <v>1.5</v>
      </c>
      <c r="R12" s="65">
        <v>0</v>
      </c>
      <c r="S12" s="24">
        <v>1.5</v>
      </c>
    </row>
    <row r="13" spans="1:19" ht="14.4" x14ac:dyDescent="0.3">
      <c r="A13" s="23" t="s">
        <v>113</v>
      </c>
      <c r="B13" s="23" t="s">
        <v>114</v>
      </c>
      <c r="C13" s="23">
        <v>6</v>
      </c>
      <c r="D13" s="23"/>
      <c r="E13" s="23"/>
      <c r="F13" s="23"/>
      <c r="G13" s="23"/>
      <c r="H13" s="23"/>
      <c r="I13" s="23">
        <v>1</v>
      </c>
      <c r="J13" s="23">
        <v>1</v>
      </c>
      <c r="K13" s="23" t="s">
        <v>51</v>
      </c>
      <c r="L13" s="24" t="s">
        <v>35</v>
      </c>
      <c r="M13" s="24" t="s">
        <v>47</v>
      </c>
      <c r="N13" s="24" t="s">
        <v>30</v>
      </c>
      <c r="O13" s="24" t="s">
        <v>30</v>
      </c>
      <c r="P13" s="64">
        <v>20</v>
      </c>
      <c r="Q13" s="63">
        <v>0.8</v>
      </c>
      <c r="R13" s="65">
        <v>0</v>
      </c>
      <c r="S13" s="24">
        <v>0.2</v>
      </c>
    </row>
    <row r="14" spans="1:19" ht="14.4" x14ac:dyDescent="0.3">
      <c r="A14" s="23" t="s">
        <v>107</v>
      </c>
      <c r="B14" s="23" t="s">
        <v>108</v>
      </c>
      <c r="C14" s="23" t="s">
        <v>106</v>
      </c>
      <c r="D14" s="23">
        <v>1</v>
      </c>
      <c r="E14" s="23"/>
      <c r="F14" s="23">
        <v>1</v>
      </c>
      <c r="G14" s="23"/>
      <c r="H14" s="23"/>
      <c r="I14" s="23"/>
      <c r="J14" s="23">
        <v>2</v>
      </c>
      <c r="K14" s="23" t="s">
        <v>51</v>
      </c>
      <c r="L14" s="24" t="s">
        <v>35</v>
      </c>
      <c r="M14" s="24" t="s">
        <v>46</v>
      </c>
      <c r="N14" s="24" t="s">
        <v>30</v>
      </c>
      <c r="O14" s="24" t="s">
        <v>30</v>
      </c>
      <c r="P14" s="64">
        <v>10</v>
      </c>
      <c r="Q14" s="63">
        <v>1.8</v>
      </c>
      <c r="R14" s="65">
        <v>0</v>
      </c>
      <c r="S14" s="24">
        <v>0.2</v>
      </c>
    </row>
    <row r="15" spans="1:19" ht="14.4" x14ac:dyDescent="0.3">
      <c r="A15" s="23" t="s">
        <v>115</v>
      </c>
      <c r="B15" s="23" t="s">
        <v>116</v>
      </c>
      <c r="C15" s="25" t="s">
        <v>162</v>
      </c>
      <c r="D15" s="23"/>
      <c r="E15" s="23"/>
      <c r="F15" s="23"/>
      <c r="G15" s="23"/>
      <c r="H15" s="23"/>
      <c r="I15" s="23">
        <v>1</v>
      </c>
      <c r="J15" s="23">
        <v>1</v>
      </c>
      <c r="K15" s="23" t="s">
        <v>51</v>
      </c>
      <c r="L15" s="24" t="s">
        <v>35</v>
      </c>
      <c r="M15" s="24" t="s">
        <v>45</v>
      </c>
      <c r="N15" s="24" t="s">
        <v>30</v>
      </c>
      <c r="O15" s="24" t="s">
        <v>30</v>
      </c>
      <c r="P15" s="64">
        <v>40</v>
      </c>
      <c r="Q15" s="63">
        <v>0.6</v>
      </c>
      <c r="R15" s="65">
        <v>0</v>
      </c>
      <c r="S15" s="24">
        <v>0.4</v>
      </c>
    </row>
    <row r="16" spans="1:19" ht="14.4" x14ac:dyDescent="0.3">
      <c r="A16" s="23" t="s">
        <v>119</v>
      </c>
      <c r="B16" s="23" t="s">
        <v>120</v>
      </c>
      <c r="C16" s="25" t="s">
        <v>162</v>
      </c>
      <c r="D16" s="23"/>
      <c r="E16" s="23"/>
      <c r="F16" s="23"/>
      <c r="G16" s="23"/>
      <c r="H16" s="23"/>
      <c r="I16" s="23">
        <v>1</v>
      </c>
      <c r="J16" s="23">
        <v>1</v>
      </c>
      <c r="K16" s="23" t="s">
        <v>51</v>
      </c>
      <c r="L16" s="24" t="s">
        <v>35</v>
      </c>
      <c r="M16" s="24" t="s">
        <v>47</v>
      </c>
      <c r="N16" s="24" t="s">
        <v>30</v>
      </c>
      <c r="O16" s="24" t="s">
        <v>30</v>
      </c>
      <c r="P16" s="64">
        <v>20</v>
      </c>
      <c r="Q16" s="63">
        <v>0.8</v>
      </c>
      <c r="R16" s="65">
        <v>0</v>
      </c>
      <c r="S16" s="24">
        <v>0.2</v>
      </c>
    </row>
    <row r="17" spans="17:17" x14ac:dyDescent="0.25">
      <c r="Q17" s="69">
        <f>SUM(Q2:Q16)</f>
        <v>14.600000000000001</v>
      </c>
    </row>
  </sheetData>
  <pageMargins left="0.39370078740157483" right="0.39370078740157483" top="0.39370078740157483" bottom="0.39370078740157483" header="0.31496062992125984" footer="0.31496062992125984"/>
  <pageSetup paperSize="9" scale="92" fitToHeight="2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
  <sheetViews>
    <sheetView zoomScaleNormal="100" workbookViewId="0">
      <selection activeCell="A20" sqref="A20"/>
    </sheetView>
  </sheetViews>
  <sheetFormatPr baseColWidth="10" defaultColWidth="11.44140625" defaultRowHeight="10.199999999999999" x14ac:dyDescent="0.2"/>
  <cols>
    <col min="1" max="1" width="100.6640625" style="1" customWidth="1"/>
    <col min="2" max="16384" width="11.44140625" style="1"/>
  </cols>
  <sheetData>
    <row r="1" spans="1:2" ht="20.399999999999999" x14ac:dyDescent="0.2">
      <c r="A1" s="2" t="s">
        <v>0</v>
      </c>
      <c r="B1" s="3" t="s">
        <v>1</v>
      </c>
    </row>
    <row r="2" spans="1:2" x14ac:dyDescent="0.2">
      <c r="A2" s="4" t="s">
        <v>3</v>
      </c>
      <c r="B2" s="5"/>
    </row>
    <row r="3" spans="1:2" x14ac:dyDescent="0.2">
      <c r="A3" s="4" t="s">
        <v>131</v>
      </c>
      <c r="B3" s="5">
        <v>60</v>
      </c>
    </row>
    <row r="4" spans="1:2" x14ac:dyDescent="0.2">
      <c r="A4" s="4" t="s">
        <v>132</v>
      </c>
      <c r="B4" s="5">
        <v>60</v>
      </c>
    </row>
    <row r="5" spans="1:2" x14ac:dyDescent="0.2">
      <c r="A5" s="4" t="s">
        <v>133</v>
      </c>
      <c r="B5" s="5">
        <v>60</v>
      </c>
    </row>
    <row r="6" spans="1:2" x14ac:dyDescent="0.2">
      <c r="A6" s="4" t="s">
        <v>134</v>
      </c>
      <c r="B6" s="5">
        <v>120</v>
      </c>
    </row>
    <row r="7" spans="1:2" x14ac:dyDescent="0.2">
      <c r="A7" s="4" t="s">
        <v>4</v>
      </c>
      <c r="B7" s="5"/>
    </row>
    <row r="8" spans="1:2" x14ac:dyDescent="0.2">
      <c r="A8" s="4" t="s">
        <v>135</v>
      </c>
      <c r="B8" s="5">
        <v>500</v>
      </c>
    </row>
    <row r="9" spans="1:2" x14ac:dyDescent="0.2">
      <c r="A9" s="4" t="s">
        <v>5</v>
      </c>
      <c r="B9" s="5"/>
    </row>
    <row r="10" spans="1:2" x14ac:dyDescent="0.2">
      <c r="A10" s="4" t="s">
        <v>136</v>
      </c>
      <c r="B10" s="5">
        <v>9000</v>
      </c>
    </row>
    <row r="11" spans="1:2" x14ac:dyDescent="0.2">
      <c r="A11" s="4" t="s">
        <v>6</v>
      </c>
      <c r="B11" s="5"/>
    </row>
    <row r="12" spans="1:2" x14ac:dyDescent="0.2">
      <c r="A12" s="4" t="s">
        <v>137</v>
      </c>
      <c r="B12" s="5">
        <v>16000</v>
      </c>
    </row>
    <row r="13" spans="1:2" x14ac:dyDescent="0.2">
      <c r="A13" s="4" t="s">
        <v>7</v>
      </c>
      <c r="B13" s="5"/>
    </row>
    <row r="14" spans="1:2" x14ac:dyDescent="0.2">
      <c r="A14" s="4" t="s">
        <v>138</v>
      </c>
      <c r="B14" s="5">
        <v>5625</v>
      </c>
    </row>
    <row r="15" spans="1:2" x14ac:dyDescent="0.2">
      <c r="A15" s="4" t="s">
        <v>139</v>
      </c>
      <c r="B15" s="5"/>
    </row>
    <row r="16" spans="1:2" x14ac:dyDescent="0.2">
      <c r="A16" s="4" t="s">
        <v>140</v>
      </c>
      <c r="B16" s="5">
        <v>18000</v>
      </c>
    </row>
    <row r="17" spans="1:2" x14ac:dyDescent="0.2">
      <c r="A17" s="4" t="s">
        <v>141</v>
      </c>
      <c r="B17" s="5">
        <v>18000</v>
      </c>
    </row>
    <row r="18" spans="1:2" x14ac:dyDescent="0.2">
      <c r="A18" s="4" t="s">
        <v>142</v>
      </c>
      <c r="B18" s="5"/>
    </row>
    <row r="19" spans="1:2" x14ac:dyDescent="0.2">
      <c r="A19" s="4" t="s">
        <v>143</v>
      </c>
      <c r="B19" s="5">
        <v>6000</v>
      </c>
    </row>
    <row r="20" spans="1:2" x14ac:dyDescent="0.2">
      <c r="A20" s="4" t="s">
        <v>144</v>
      </c>
      <c r="B20" s="5"/>
    </row>
    <row r="21" spans="1:2" x14ac:dyDescent="0.2">
      <c r="A21" s="4" t="s">
        <v>145</v>
      </c>
      <c r="B21" s="5">
        <v>44500</v>
      </c>
    </row>
    <row r="22" spans="1:2" x14ac:dyDescent="0.2">
      <c r="A22" s="4" t="s">
        <v>146</v>
      </c>
      <c r="B22" s="5">
        <v>21360</v>
      </c>
    </row>
    <row r="23" spans="1:2" x14ac:dyDescent="0.2">
      <c r="A23" s="6" t="s">
        <v>2</v>
      </c>
      <c r="B23" s="7">
        <f>SUM(B3:B22)</f>
        <v>139285</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65D7-4A80-4CCF-91B9-37737DE7E6CF}">
  <dimension ref="A1:B22"/>
  <sheetViews>
    <sheetView topLeftCell="B1" workbookViewId="0">
      <selection activeCell="D4" sqref="D4"/>
    </sheetView>
  </sheetViews>
  <sheetFormatPr baseColWidth="10" defaultRowHeight="14.4" x14ac:dyDescent="0.3"/>
  <cols>
    <col min="1" max="1" width="157.44140625" bestFit="1" customWidth="1"/>
  </cols>
  <sheetData>
    <row r="1" spans="1:2" ht="21.6" x14ac:dyDescent="0.3">
      <c r="A1" s="2" t="s">
        <v>0</v>
      </c>
      <c r="B1" s="3" t="s">
        <v>1</v>
      </c>
    </row>
    <row r="2" spans="1:2" x14ac:dyDescent="0.3">
      <c r="A2" s="40" t="s">
        <v>3</v>
      </c>
      <c r="B2" s="41"/>
    </row>
    <row r="3" spans="1:2" x14ac:dyDescent="0.3">
      <c r="A3" s="42" t="s">
        <v>184</v>
      </c>
      <c r="B3">
        <v>79.2</v>
      </c>
    </row>
    <row r="4" spans="1:2" x14ac:dyDescent="0.3">
      <c r="A4" s="40" t="s">
        <v>185</v>
      </c>
      <c r="B4" s="41"/>
    </row>
    <row r="5" spans="1:2" x14ac:dyDescent="0.3">
      <c r="A5" s="42" t="s">
        <v>186</v>
      </c>
      <c r="B5">
        <v>1760</v>
      </c>
    </row>
    <row r="6" spans="1:2" x14ac:dyDescent="0.3">
      <c r="A6" s="40" t="s">
        <v>187</v>
      </c>
      <c r="B6" s="41"/>
    </row>
    <row r="7" spans="1:2" x14ac:dyDescent="0.3">
      <c r="A7" s="42" t="s">
        <v>188</v>
      </c>
      <c r="B7">
        <v>1735.6</v>
      </c>
    </row>
    <row r="8" spans="1:2" x14ac:dyDescent="0.3">
      <c r="A8" s="40" t="s">
        <v>189</v>
      </c>
      <c r="B8" s="41"/>
    </row>
    <row r="9" spans="1:2" x14ac:dyDescent="0.3">
      <c r="A9" s="42" t="s">
        <v>190</v>
      </c>
      <c r="B9">
        <v>691.74</v>
      </c>
    </row>
    <row r="10" spans="1:2" x14ac:dyDescent="0.3">
      <c r="A10" s="40" t="s">
        <v>191</v>
      </c>
      <c r="B10" s="41"/>
    </row>
    <row r="11" spans="1:2" x14ac:dyDescent="0.3">
      <c r="A11" s="42" t="s">
        <v>192</v>
      </c>
      <c r="B11">
        <v>2640.88</v>
      </c>
    </row>
    <row r="12" spans="1:2" x14ac:dyDescent="0.3">
      <c r="A12" s="40" t="s">
        <v>193</v>
      </c>
      <c r="B12" s="41"/>
    </row>
    <row r="13" spans="1:2" x14ac:dyDescent="0.3">
      <c r="A13" s="42" t="s">
        <v>194</v>
      </c>
      <c r="B13">
        <v>26.4</v>
      </c>
    </row>
    <row r="14" spans="1:2" x14ac:dyDescent="0.3">
      <c r="A14" s="40" t="s">
        <v>195</v>
      </c>
      <c r="B14" s="41"/>
    </row>
    <row r="15" spans="1:2" x14ac:dyDescent="0.3">
      <c r="A15" s="42" t="s">
        <v>196</v>
      </c>
      <c r="B15">
        <v>158.4</v>
      </c>
    </row>
    <row r="16" spans="1:2" x14ac:dyDescent="0.3">
      <c r="A16" s="40" t="s">
        <v>7</v>
      </c>
      <c r="B16" s="41"/>
    </row>
    <row r="17" spans="1:2" x14ac:dyDescent="0.3">
      <c r="A17" s="42" t="s">
        <v>197</v>
      </c>
      <c r="B17">
        <v>11250</v>
      </c>
    </row>
    <row r="18" spans="1:2" x14ac:dyDescent="0.3">
      <c r="A18" s="40" t="s">
        <v>144</v>
      </c>
      <c r="B18" s="41"/>
    </row>
    <row r="19" spans="1:2" x14ac:dyDescent="0.3">
      <c r="A19" s="42" t="s">
        <v>198</v>
      </c>
      <c r="B19">
        <v>4450</v>
      </c>
    </row>
    <row r="20" spans="1:2" x14ac:dyDescent="0.3">
      <c r="A20" s="40" t="s">
        <v>199</v>
      </c>
      <c r="B20" s="41"/>
    </row>
    <row r="21" spans="1:2" x14ac:dyDescent="0.3">
      <c r="A21" s="42" t="s">
        <v>200</v>
      </c>
      <c r="B21">
        <v>56000</v>
      </c>
    </row>
    <row r="22" spans="1:2" x14ac:dyDescent="0.3">
      <c r="A22" s="43" t="s">
        <v>97</v>
      </c>
      <c r="B22" s="44">
        <v>78792.22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AF19-D94A-4CD1-A54C-66B438125B90}">
  <dimension ref="A1:D24"/>
  <sheetViews>
    <sheetView topLeftCell="A7" zoomScale="70" zoomScaleNormal="70" workbookViewId="0">
      <selection activeCell="D24" sqref="D24"/>
    </sheetView>
  </sheetViews>
  <sheetFormatPr baseColWidth="10" defaultRowHeight="14.4" x14ac:dyDescent="0.3"/>
  <cols>
    <col min="2" max="2" width="18.88671875" bestFit="1" customWidth="1"/>
    <col min="3" max="3" width="124.33203125" customWidth="1"/>
    <col min="4" max="4" width="14.44140625" bestFit="1" customWidth="1"/>
  </cols>
  <sheetData>
    <row r="1" spans="1:4" ht="15" thickBot="1" x14ac:dyDescent="0.35">
      <c r="A1" s="45" t="s">
        <v>201</v>
      </c>
      <c r="B1" s="46" t="s">
        <v>202</v>
      </c>
      <c r="C1" s="46" t="s">
        <v>203</v>
      </c>
      <c r="D1" s="47" t="s">
        <v>1</v>
      </c>
    </row>
    <row r="2" spans="1:4" ht="15" thickTop="1" x14ac:dyDescent="0.3">
      <c r="A2" s="48" t="s">
        <v>204</v>
      </c>
      <c r="B2" s="49" t="s">
        <v>3</v>
      </c>
      <c r="C2" s="49" t="s">
        <v>205</v>
      </c>
      <c r="D2" s="50">
        <v>299.2</v>
      </c>
    </row>
    <row r="3" spans="1:4" x14ac:dyDescent="0.3">
      <c r="A3" s="51" t="s">
        <v>204</v>
      </c>
      <c r="B3" s="52" t="s">
        <v>3</v>
      </c>
      <c r="C3" s="52" t="s">
        <v>206</v>
      </c>
      <c r="D3" s="53">
        <v>352</v>
      </c>
    </row>
    <row r="4" spans="1:4" x14ac:dyDescent="0.3">
      <c r="A4" s="48" t="s">
        <v>204</v>
      </c>
      <c r="B4" s="49" t="s">
        <v>207</v>
      </c>
      <c r="C4" s="49" t="s">
        <v>208</v>
      </c>
      <c r="D4" s="50">
        <v>3168</v>
      </c>
    </row>
    <row r="5" spans="1:4" x14ac:dyDescent="0.3">
      <c r="A5" s="51" t="s">
        <v>204</v>
      </c>
      <c r="B5" s="52" t="s">
        <v>189</v>
      </c>
      <c r="C5" s="52" t="s">
        <v>209</v>
      </c>
      <c r="D5" s="53">
        <v>763</v>
      </c>
    </row>
    <row r="6" spans="1:4" x14ac:dyDescent="0.3">
      <c r="A6" s="48" t="s">
        <v>204</v>
      </c>
      <c r="B6" s="49" t="s">
        <v>189</v>
      </c>
      <c r="C6" s="49" t="s">
        <v>210</v>
      </c>
      <c r="D6" s="50">
        <v>1129.5</v>
      </c>
    </row>
    <row r="7" spans="1:4" x14ac:dyDescent="0.3">
      <c r="A7" s="51" t="s">
        <v>204</v>
      </c>
      <c r="B7" s="52" t="s">
        <v>191</v>
      </c>
      <c r="C7" s="52" t="s">
        <v>211</v>
      </c>
      <c r="D7" s="53">
        <v>4810.08</v>
      </c>
    </row>
    <row r="8" spans="1:4" x14ac:dyDescent="0.3">
      <c r="A8" s="48" t="s">
        <v>204</v>
      </c>
      <c r="B8" s="49" t="s">
        <v>191</v>
      </c>
      <c r="C8" s="49" t="s">
        <v>212</v>
      </c>
      <c r="D8" s="50">
        <v>5359.2</v>
      </c>
    </row>
    <row r="9" spans="1:4" x14ac:dyDescent="0.3">
      <c r="A9" s="51" t="s">
        <v>204</v>
      </c>
      <c r="B9" s="52" t="s">
        <v>191</v>
      </c>
      <c r="C9" s="52" t="s">
        <v>213</v>
      </c>
      <c r="D9" s="53">
        <v>8000.08</v>
      </c>
    </row>
    <row r="10" spans="1:4" x14ac:dyDescent="0.3">
      <c r="A10" s="48" t="s">
        <v>204</v>
      </c>
      <c r="B10" s="49" t="s">
        <v>191</v>
      </c>
      <c r="C10" s="49" t="s">
        <v>214</v>
      </c>
      <c r="D10" s="50">
        <v>12789.04</v>
      </c>
    </row>
    <row r="11" spans="1:4" x14ac:dyDescent="0.3">
      <c r="A11" s="51" t="s">
        <v>204</v>
      </c>
      <c r="B11" s="52" t="s">
        <v>191</v>
      </c>
      <c r="C11" s="52" t="s">
        <v>215</v>
      </c>
      <c r="D11" s="53">
        <v>25578.959999999999</v>
      </c>
    </row>
    <row r="12" spans="1:4" x14ac:dyDescent="0.3">
      <c r="A12" s="48" t="s">
        <v>204</v>
      </c>
      <c r="B12" s="49" t="s">
        <v>216</v>
      </c>
      <c r="C12" s="49" t="s">
        <v>217</v>
      </c>
      <c r="D12" s="50">
        <v>2640</v>
      </c>
    </row>
    <row r="13" spans="1:4" x14ac:dyDescent="0.3">
      <c r="A13" s="51" t="s">
        <v>204</v>
      </c>
      <c r="B13" s="52" t="s">
        <v>216</v>
      </c>
      <c r="C13" s="52" t="s">
        <v>218</v>
      </c>
      <c r="D13" s="53">
        <v>2640</v>
      </c>
    </row>
    <row r="14" spans="1:4" x14ac:dyDescent="0.3">
      <c r="A14" s="48" t="s">
        <v>204</v>
      </c>
      <c r="B14" s="49" t="s">
        <v>219</v>
      </c>
      <c r="C14" s="49" t="s">
        <v>220</v>
      </c>
      <c r="D14" s="50">
        <v>124.96</v>
      </c>
    </row>
    <row r="15" spans="1:4" x14ac:dyDescent="0.3">
      <c r="A15" s="51" t="s">
        <v>204</v>
      </c>
      <c r="B15" s="52" t="s">
        <v>221</v>
      </c>
      <c r="C15" s="52" t="s">
        <v>222</v>
      </c>
      <c r="D15" s="53">
        <v>195.36</v>
      </c>
    </row>
    <row r="16" spans="1:4" x14ac:dyDescent="0.3">
      <c r="A16" s="48" t="s">
        <v>204</v>
      </c>
      <c r="B16" s="49" t="s">
        <v>7</v>
      </c>
      <c r="C16" s="49" t="s">
        <v>223</v>
      </c>
      <c r="D16" s="50">
        <v>240</v>
      </c>
    </row>
    <row r="17" spans="1:4" x14ac:dyDescent="0.3">
      <c r="A17" s="51" t="s">
        <v>204</v>
      </c>
      <c r="B17" s="52" t="s">
        <v>7</v>
      </c>
      <c r="C17" s="52" t="s">
        <v>224</v>
      </c>
      <c r="D17" s="53">
        <v>15000</v>
      </c>
    </row>
    <row r="18" spans="1:4" x14ac:dyDescent="0.3">
      <c r="A18" s="48" t="s">
        <v>204</v>
      </c>
      <c r="B18" s="49" t="s">
        <v>144</v>
      </c>
      <c r="C18" s="49" t="s">
        <v>225</v>
      </c>
      <c r="D18" s="50">
        <v>18690</v>
      </c>
    </row>
    <row r="19" spans="1:4" ht="15" thickBot="1" x14ac:dyDescent="0.35">
      <c r="A19" s="51" t="s">
        <v>204</v>
      </c>
      <c r="B19" s="52" t="s">
        <v>199</v>
      </c>
      <c r="C19" s="52" t="s">
        <v>226</v>
      </c>
      <c r="D19" s="53">
        <v>4200</v>
      </c>
    </row>
    <row r="20" spans="1:4" ht="15" thickTop="1" x14ac:dyDescent="0.3">
      <c r="A20" s="54" t="s">
        <v>2</v>
      </c>
      <c r="B20" s="55"/>
      <c r="C20" s="55"/>
      <c r="D20" s="56">
        <v>105979.38</v>
      </c>
    </row>
    <row r="24" spans="1:4" x14ac:dyDescent="0.3">
      <c r="C24" s="66" t="s">
        <v>243</v>
      </c>
      <c r="D24" s="67">
        <f>D20+'ingresos investigación 2020'!B22+'Ingresos investigación 2019'!B23</f>
        <v>324056.59999999998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cp:lastPrinted>2019-07-03T07:26:29Z</cp:lastPrinted>
  <dcterms:created xsi:type="dcterms:W3CDTF">2019-07-03T07:15:54Z</dcterms:created>
  <dcterms:modified xsi:type="dcterms:W3CDTF">2022-10-18T16:04:57Z</dcterms:modified>
</cp:coreProperties>
</file>