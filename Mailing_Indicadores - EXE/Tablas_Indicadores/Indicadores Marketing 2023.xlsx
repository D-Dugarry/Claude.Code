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F9BE901B-72BE-4994-9AD4-EAD75BA527FD}" xr6:coauthVersionLast="47" xr6:coauthVersionMax="47" xr10:uidLastSave="{00000000-0000-0000-0000-000000000000}"/>
  <bookViews>
    <workbookView xWindow="22932" yWindow="-108" windowWidth="23256" windowHeight="12456" tabRatio="855" xr2:uid="{00000000-000D-0000-FFFF-FFFF00000000}"/>
  </bookViews>
  <sheets>
    <sheet name="Tesis" sheetId="15" r:id="rId1"/>
    <sheet name="Sexenios" sheetId="16" r:id="rId2"/>
    <sheet name="Ingresos investigación 2019" sheetId="19" r:id="rId3"/>
    <sheet name="Ingresos investigación 2020" sheetId="21" r:id="rId4"/>
    <sheet name="Ingresos investigación 2021" sheetId="24" r:id="rId5"/>
    <sheet name="Ingresos formación 2019" sheetId="20" r:id="rId6"/>
    <sheet name="Ingresos formación 2020" sheetId="22" r:id="rId7"/>
    <sheet name="ingresos formación 2021" sheetId="25" r:id="rId8"/>
  </sheets>
  <definedNames>
    <definedName name="_xlnm._FilterDatabase" localSheetId="1" hidden="1">Sexenios!$A$1:$S$1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2" i="22" l="1"/>
  <c r="B10" i="21"/>
  <c r="S7" i="15"/>
  <c r="S12" i="16" l="1"/>
  <c r="B27" i="20" l="1"/>
  <c r="D16" i="25" s="1"/>
  <c r="B15" i="19"/>
  <c r="D14" i="24" s="1"/>
</calcChain>
</file>

<file path=xl/sharedStrings.xml><?xml version="1.0" encoding="utf-8"?>
<sst xmlns="http://schemas.openxmlformats.org/spreadsheetml/2006/main" count="284" uniqueCount="156">
  <si>
    <t>Orgánica
Descripción justificante</t>
  </si>
  <si>
    <t>Importe</t>
  </si>
  <si>
    <t>Total</t>
  </si>
  <si>
    <t>37.00.6Q.00.01</t>
  </si>
  <si>
    <t>37.00.2T.00.01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</si>
  <si>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</si>
  <si>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</si>
  <si>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</si>
  <si>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</si>
  <si>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</si>
  <si>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</si>
  <si>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</si>
  <si>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</si>
  <si>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</si>
  <si>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</si>
  <si>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</si>
  <si>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</si>
  <si>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</si>
  <si>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</si>
  <si>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</si>
  <si>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</si>
  <si>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</si>
  <si>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</si>
  <si>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</si>
  <si>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</si>
  <si>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</si>
  <si>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</si>
  <si>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/>
  </si>
  <si>
    <t>U058 </t>
  </si>
  <si>
    <t>ADM. I.U. DE INVESTIGACIONES TURÍSTICAS </t>
  </si>
  <si>
    <t>DOCTORADO EN TURISMO </t>
  </si>
  <si>
    <t>Alarcón Valencia, Diego Miguel </t>
  </si>
  <si>
    <t>DISEÑO DE PRODUCTOS ALTERNATIVOS PARA EL MERCADO TURÍSTICO COLOMBIANO QUE CONSUME EL PRODUCTO PLAYERO ATACAMES EN EL ECUADOR </t>
  </si>
  <si>
    <t>27/10/2017 </t>
  </si>
  <si>
    <t>21508717Z </t>
  </si>
  <si>
    <t>B181 </t>
  </si>
  <si>
    <t>MARKETING </t>
  </si>
  <si>
    <t>B181</t>
  </si>
  <si>
    <t>21661276Z 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</si>
  <si>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</si>
  <si>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</si>
  <si>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</si>
  <si>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</si>
  <si>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</si>
  <si>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</si>
  <si>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</si>
  <si>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</si>
  <si>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</si>
  <si>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</si>
  <si>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</si>
  <si>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</si>
  <si>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</si>
  <si>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29009012D</t>
  </si>
  <si>
    <t>CALDERON MARTINEZ, PURIFICACION AURORA</t>
  </si>
  <si>
    <t>33486969G</t>
  </si>
  <si>
    <t>CASADO DIAZ, ANA BELEN</t>
  </si>
  <si>
    <t>22558097L</t>
  </si>
  <si>
    <t>DE JUAN VIGARAY, MARIA DOLORES</t>
  </si>
  <si>
    <t>21989618P</t>
  </si>
  <si>
    <t>MAS RUIZ, FRANCISCO JOSE</t>
  </si>
  <si>
    <t>33483738Q</t>
  </si>
  <si>
    <t>PARREÑO SELVA, JOSEFA</t>
  </si>
  <si>
    <t>21502378T</t>
  </si>
  <si>
    <t>RUIZ CONDE, MARIA DEL ENAR</t>
  </si>
  <si>
    <t>22144656A</t>
  </si>
  <si>
    <t>RUIZ MORENO, MANUEL FELIPE</t>
  </si>
  <si>
    <t>48567830H</t>
  </si>
  <si>
    <t>SANCHO ESPER, FRANCO MANUEL</t>
  </si>
  <si>
    <t>21508717Z</t>
  </si>
  <si>
    <t>SELLERS RUBIO, RICARDO</t>
  </si>
  <si>
    <t>37.00.6C.00.05</t>
  </si>
  <si>
    <t>ANÁLISIS DE LA COMERCIALIZACIÓN DE PRODUCTOS DE PESCA: CONFLICTOS DE DISEÑO INDUSTRIAL EN EL CANAL Y EN EL CONSUMIDOR FINAL</t>
  </si>
  <si>
    <t>37.00.6C.00.06</t>
  </si>
  <si>
    <t>INFORME CRÍTICO SOBRE EL ESTUDIO DE RECONOCIMIENTO DE MARCA DESARROLLADO POR CONCEPTO MARKETING ESTRATÉGICO S.L.U. PARA STILO TEXTIL TAPICERÍA Y DECORACIÓN S.L. IISERPIS1-19TPA</t>
  </si>
  <si>
    <t>37.00.6C.00.07</t>
  </si>
  <si>
    <t>INFORME PERICIAL "ANÁLISIS DE LA COMPETENCIA DESLEAL (IMITACIÓN CONFUSORIA DE PRESTACIONES) EN PRODUCTOS DE PLÁSTICO: CONFLICTOS EN EL PUNTO DE VENTA PARA EL CONSUMIDOR FINAL"</t>
  </si>
  <si>
    <t>37.00.6P.00.04</t>
  </si>
  <si>
    <t>PAGO 1 ANUALIDAD PROYECTOS RETOS I+D+I 2018. ANUAL 2019 PROYECTOS I+D RETOS (PIA 13) N EXPEDIENTE: PIA 132018 - 1- 1 ANUALIDAD REFERENCIA: R. REFERENCIA DEL ORDENANTE PARA EL BENEFICIARIO: 00173219310010849 - 2019/009669</t>
  </si>
  <si>
    <t>PARA EL PAGO DE LA ANUALIDAD 2019 DE LA CONVOCATORIA RTI 2018 PROYECTOS I+D RETOS (PIA 13) N EXPEDIENTTE: PIA 132018-1-1 ANUALIDAD REFERENC REFERENCIA DEL ORDENANTE PARA EL BENEFICIARIO: 27402219310025913.</t>
  </si>
  <si>
    <t>Solicitud nº 31/1720. Ensayos Adsorción Física de Gases. Compromiso 900041608.</t>
  </si>
  <si>
    <t>37.00.6Q.00.02</t>
  </si>
  <si>
    <t>MECENAZGO DE LA CÁTEDRA MARJAL DE INNOVACIÓN SOSTENIBLE. ANUALIDAD 2019</t>
  </si>
  <si>
    <t xml:space="preserve">Alejandro Guillen Gómez. EXPERTO/A EN MARKETING DIGITAL Y E-COMMERCE. </t>
  </si>
  <si>
    <t xml:space="preserve">Carlos Gomez Garcia. EXPERTO/A EN MARKETING DIGITAL Y E-COMMERCE. </t>
  </si>
  <si>
    <t>Carrillo Ivorra, Ángela. EXPERTO/A EN DIRECCIÓN COMERCIAL Y VENTAS</t>
  </si>
  <si>
    <t xml:space="preserve">Francisco José Guillén Poveda. MATRICULA EN EXPERTO/A EN REDES SOCIALES, ESTRATEGIA Y COMUNICACIÓN DIGITAL. EDICIÓN 2019-2020. </t>
  </si>
  <si>
    <t>García García, Juan José . EXPERTO/A EN DIRECCIÓN COMERCIAL Y VENTAS</t>
  </si>
  <si>
    <t>González Serna, Juan Sebastián. EXPERTO/A EN DIRECCIÓN COMERCIAL Y VENTAS</t>
  </si>
  <si>
    <t>Iborra Girona, José Antonio. EXPERTO/A EN DIRECCIÓN COMERCIAL Y VENTAS</t>
  </si>
  <si>
    <t xml:space="preserve">Jose Ferri Puig. Experto/a en Dirección Comercial y ventas </t>
  </si>
  <si>
    <t xml:space="preserve">José Miguel Castello Reche. EXPERTO/A EN DIRECCIÓN COMERCIAL Y VENTAS. </t>
  </si>
  <si>
    <t>Liquidación 3 PLAN 9236 curso ''MÁSTER EN MÁRKETING'' ORDEN 5356</t>
  </si>
  <si>
    <t>MARIA DEL PILAR PEREZ ALMERIA  EXPERTO/A EN REDES SOCIALES, ESTRATEGIA Y COMUNICACIÓN DIGITAL.</t>
  </si>
  <si>
    <t>MATRÍCULA DE TATIANA MAESTRE ANDREU (Expediente: B196409AC) EN EL CURSO DE EXPERTO EN DIRECCIÓN COMERCIAL Y VENTAS DE LA UNIVERSIDAD DE ALICANTE, EDICIÓN 2019-2020. ACCIÓN 12. GRUPO 1</t>
  </si>
  <si>
    <t xml:space="preserve">Nuria Izquierdo Sánchez 48321584X Matrícula en el EXPERTO/A EN MARKETING DIGITAL Y E-COMMERCE.  </t>
  </si>
  <si>
    <t>Perales Serrano, Emilio José . EXPERTO/A EN DIRECCIÓN COMERCIAL Y VENTAS</t>
  </si>
  <si>
    <t>Reintegro de Cuota Patronal del mes de diciembre 2019</t>
  </si>
  <si>
    <t xml:space="preserve">Rodrigo Fuentes Garcia. EXPERTO/A EN MARKETING DIGITAL Y E-COMMERCE. </t>
  </si>
  <si>
    <t>Seguí Domínguez, Sergio. EXPERTO/A EN DIRECCIÓN COMERCIAL Y VENTAS</t>
  </si>
  <si>
    <t xml:space="preserve">Victor Ruiz Serrano. Experto/a en Dirección Comercial y ventas </t>
  </si>
  <si>
    <t>37.00.2T.00.04</t>
  </si>
  <si>
    <t>Amat, Rebeca. EXPERTO/A EN MARKETING DIGITAL Y E-COMMERCE</t>
  </si>
  <si>
    <t>Liquidación PLAN 9236 "Máster en Marketing"</t>
  </si>
  <si>
    <t>Liquidación PLAN 9237 "Experto en redes sociales, estrategia y comunicación digital"</t>
  </si>
  <si>
    <t>Liquidación PLAN 9238 "Experto en marketing digital y e-commerce"</t>
  </si>
  <si>
    <t>Liquidación PLAN 9239 "Experto en dirección comercial y ventas"</t>
  </si>
  <si>
    <t>Navarro Ruiz, Sandra </t>
  </si>
  <si>
    <t>"COMPORTAMIENTO INTRADESTINO DE LOS VISITANTES E IMPLICACIONES PARA LA GESTIÓN TURÍSTICA LOCAL. ESTUDIO DE LOS VISITANTES DE CRUCERO EN VALENCIA" </t>
  </si>
  <si>
    <t>10/12/2019 </t>
  </si>
  <si>
    <t>33486969G </t>
  </si>
  <si>
    <t>48576617L</t>
  </si>
  <si>
    <t>RODRIGUEZ SANCHEZ, CARLA</t>
  </si>
  <si>
    <t>COD DEP</t>
  </si>
  <si>
    <t>vivos</t>
  </si>
  <si>
    <t>10.17</t>
  </si>
  <si>
    <t>10</t>
  </si>
  <si>
    <t>U036 </t>
  </si>
  <si>
    <t>ADM. FACULTAD DE CIENCIAS ECONÓMICAS </t>
  </si>
  <si>
    <t>DOCTORADO EN EMPRESA, ECONOMÍA Y SOCIEDAD </t>
  </si>
  <si>
    <t>Campayo Sánchez, Fernando </t>
  </si>
  <si>
    <t>Entrada y supervivencia del producto: un análisis de la rivalidad como factor explicativo </t>
  </si>
  <si>
    <t>11/06/2021 </t>
  </si>
  <si>
    <t>21989618P </t>
  </si>
  <si>
    <t>37.00.6C.00.08</t>
  </si>
  <si>
    <t>ESTUDIO E IDENTIFICACIÓN DE VARIABLES DE VALOR EN LOS MODELOS DE NEGOCIO DE DATA SHARING - IDATAVALUE. EXPEDIENTE ACIE Nº 2983.001.20</t>
  </si>
  <si>
    <t>37.00.6C.00.09</t>
  </si>
  <si>
    <t>EVALUACIÓN EXPERTO EN COMITÉ DE CERTIFICACIÓN DE CONTENIDO Y 1ª EJECUCIÓN SIN EXANTE DEL EXPEDIENTE 2983.001.20 - "ESTUDIO E IDENTIFICACIÓN DE VARIABLES DE VALOR EN LOS MODELOS DE NEGOCIO DE DATA SHARING" - IDATAVALUE</t>
  </si>
  <si>
    <t>FLIB 30/06/2020. PROYECTOS RETOS INVESTIGACION 201 / 8. ANUAL 2020 PROYECTOS I+D RETOS (PIA13) N E / XPEDIENTE: PIA132018-1 - 2 ANUALIDAD REFERE / GOVT / 27402220310030573</t>
  </si>
  <si>
    <t>MECENAZGO CÁTEDRA INSTITUCIONAL GERMÁN BERNÁCER. ANUALIDAD 2020.</t>
  </si>
  <si>
    <t>Dario Orts Arteaga. EXPERTO/A EN MARKETING DIGITAL Y E-COMMERCE</t>
  </si>
  <si>
    <t>Francisco Javier Rico Vilaplana. EXPERTO/A EN MARKETING DIGITAL Y E-COMMERCE</t>
  </si>
  <si>
    <t xml:space="preserve">Ingreso del Plan 9236 Curso 2019-20 Máster en Marketing. Referencia: 9326/2020. </t>
  </si>
  <si>
    <t>José Candela Orts. EXPERTO/A EN MARKETING DIGITAL Y E-COMMERCE</t>
  </si>
  <si>
    <t xml:space="preserve">Liquidación Plan 9337 curso 2020-21 EXPERTO/A EN DIRECCIÓN COMERCIAL Y VENTAS </t>
  </si>
  <si>
    <t>Martín Federico Bernardi. EXPERTO/A EN DIRECCIÓN COMERCIAL Y VENTAS</t>
  </si>
  <si>
    <t>Molina Arze, Nardy. EXPERTO/A EN REDES SOCIALES, ESTRATEGIA Y COMUNICACIÓN DIGITAL</t>
  </si>
  <si>
    <t>Paula Serna Rabasco. EXPERTO/A EN MARKETING DIGITAL Y E-COMMERCE</t>
  </si>
  <si>
    <t>Plan 9338 Curso 2020-21 Experto/a en Marketing Digital y E-comerce JI-2020-5033</t>
  </si>
  <si>
    <t>Unidad</t>
  </si>
  <si>
    <t>Cód. org. aplic.</t>
  </si>
  <si>
    <t>Descripción justificante</t>
  </si>
  <si>
    <t>37.00</t>
  </si>
  <si>
    <t>37.00.6C.00.10</t>
  </si>
  <si>
    <t>PRIMER PAGO DEL ESTUDIO SOBRE "ANÁLISIS DE COMPETENCIA Y PERCEPCIÓN DEL CONSUMIDOR SOBRE PRODUCTOS COMPLEMENTARIOS"</t>
  </si>
  <si>
    <t>SEGUNDO PAGO DEL ESTUDIO SOBRE "ANÁLISIS DE COMPETENCIA Y PERCEPCIÓN DEL CONSUMIDOR SOBRE PRODUCTOS COMPLEMENTARIOS" TRAS LA ENTREGA DEL INFORME PERICIAL FINAL.</t>
  </si>
  <si>
    <t>RTI2018-099467-B-I00-PIA132018-1-3 ANUALIDAD LIB 08/07/2021 PROYECTOS RETOS INVESTIGACIÓN 2018. ANUAL 2021 PROYECTOS I+D RETOS (PIA13)</t>
  </si>
  <si>
    <t>MECENAZGO CÁTEDRA INSTITUCIONAL GERMÁN BERNÁCER ANUALIDAD 2021</t>
  </si>
  <si>
    <t xml:space="preserve">Plan 9335 curso 2021-22, MÁSTER EN MARKETING - 37.00.2T.00.04 </t>
  </si>
  <si>
    <t>Joaquín Verdú Hernández. EXPERTO/A EN DIRECCIÓN COMERCIAL Y VENTAS</t>
  </si>
  <si>
    <t>Sara Falcó Camps. EXPERTO/A EN DIRECCIÓN COMERCIAL Y VENTAS</t>
  </si>
  <si>
    <t>David Roldán Ibáñez. EXPERTO/A EN DIRECCIÓN COMERCIAL Y VENTAS</t>
  </si>
  <si>
    <t xml:space="preserve">Plan 9338 curso 2021-22, EXPERTO/A EN MARKETING DIGITAL Y E-COMMERCE - 37.00.2T.00.04 </t>
  </si>
  <si>
    <t xml:space="preserve">Plan 9336 curso 2021-22, EXPERTO/A EN MARKETING DE LA MODA - 37.00.2T.00.04 </t>
  </si>
  <si>
    <t xml:space="preserve">Plan 9337 curso 2021-22, EXPERTO/A EN DIRECCIÓN COMERCIAL Y VENTAS - 37.00.2T.00.04. 2ª LIQUIDACIÓN EN 2022 CON INCORPORACIÓN DE REMANENTE: 2022EXPADM0105 </t>
  </si>
  <si>
    <t>Total ingresos investigación 2019-2020-2021</t>
  </si>
  <si>
    <t>Total ingresos formación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</si>
</sst>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7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11" fillId="6" borderId="1" xfId="0" applyFont="1" applyFill="1" applyBorder="1" applyAlignment="1">
      <alignment horizontal="left" vertical="center"/>
    </xf>
    <xf numFmtId="0" fontId="11" fillId="6" borderId="3" xfId="0" applyFont="1" applyFill="1" applyBorder="1" applyAlignment="1">
      <alignment horizontal="left" vertical="center"/>
    </xf>
    <xf numFmtId="0" fontId="11" fillId="6" borderId="4" xfId="0" applyFont="1" applyFill="1" applyBorder="1" applyAlignment="1">
      <alignment horizontal="left" vertical="center"/>
    </xf>
    <xf numFmtId="0" fontId="11" fillId="6" borderId="5" xfId="0" applyFont="1" applyFill="1" applyBorder="1" applyAlignment="1">
      <alignment horizontal="left" vertical="center"/>
    </xf>
    <xf numFmtId="0" fontId="3" fillId="0" borderId="1" xfId="1" applyBorder="1"/>
    <xf numFmtId="0" fontId="12" fillId="7" borderId="6" xfId="0" applyNumberFormat="1" applyFont="1" applyFill="1" applyBorder="1"/>
    <xf numFmtId="0" fontId="12" fillId="7" borderId="7" xfId="0" applyNumberFormat="1" applyFont="1" applyFill="1" applyBorder="1"/>
    <xf numFmtId="0" fontId="12" fillId="7" borderId="8" xfId="0" applyFont="1" applyFill="1" applyBorder="1" applyAlignment="1">
      <alignment horizontal="right"/>
    </xf>
    <xf numFmtId="0" fontId="0" fillId="8" borderId="9" xfId="0" applyNumberFormat="1" applyFont="1" applyFill="1" applyBorder="1"/>
    <xf numFmtId="0" fontId="0" fillId="8" borderId="10" xfId="0" applyFont="1" applyFill="1" applyBorder="1"/>
    <xf numFmtId="4" fontId="0" fillId="8" borderId="11" xfId="0" applyNumberFormat="1" applyFont="1" applyFill="1" applyBorder="1"/>
    <xf numFmtId="0" fontId="0" fillId="9" borderId="9" xfId="0" applyNumberFormat="1" applyFont="1" applyFill="1" applyBorder="1"/>
    <xf numFmtId="0" fontId="0" fillId="9" borderId="10" xfId="0" applyFont="1" applyFill="1" applyBorder="1"/>
    <xf numFmtId="4" fontId="0" fillId="9" borderId="11" xfId="0" applyNumberFormat="1" applyFont="1" applyFill="1" applyBorder="1"/>
    <xf numFmtId="0" fontId="12" fillId="7" borderId="12" xfId="0" applyFont="1" applyFill="1" applyBorder="1"/>
    <xf numFmtId="0" fontId="12" fillId="7" borderId="13" xfId="0" applyFont="1" applyFill="1" applyBorder="1"/>
    <xf numFmtId="4" fontId="12" fillId="7" borderId="14" xfId="0" applyNumberFormat="1" applyFont="1" applyFill="1" applyBorder="1"/>
    <xf numFmtId="0" fontId="12" fillId="7" borderId="15" xfId="0" applyNumberFormat="1" applyFont="1" applyFill="1" applyBorder="1"/>
    <xf numFmtId="0" fontId="12" fillId="7" borderId="16" xfId="0" applyNumberFormat="1" applyFont="1" applyFill="1" applyBorder="1"/>
    <xf numFmtId="0" fontId="12" fillId="7" borderId="17" xfId="0" applyNumberFormat="1" applyFont="1" applyFill="1" applyBorder="1"/>
    <xf numFmtId="0" fontId="0" fillId="9" borderId="15" xfId="0" applyNumberFormat="1" applyFont="1" applyFill="1" applyBorder="1"/>
    <xf numFmtId="0" fontId="0" fillId="9" borderId="16" xfId="0" applyFont="1" applyFill="1" applyBorder="1"/>
    <xf numFmtId="4" fontId="0" fillId="9" borderId="17" xfId="0" applyNumberFormat="1" applyFont="1" applyFill="1" applyBorder="1"/>
    <xf numFmtId="0" fontId="0" fillId="0" borderId="15" xfId="0" applyNumberFormat="1" applyFont="1" applyBorder="1"/>
    <xf numFmtId="0" fontId="0" fillId="0" borderId="16" xfId="0" applyFont="1" applyBorder="1"/>
    <xf numFmtId="4" fontId="0" fillId="0" borderId="17" xfId="0" applyNumberFormat="1" applyFont="1" applyBorder="1"/>
    <xf numFmtId="0" fontId="13" fillId="0" borderId="18" xfId="0" applyFont="1" applyBorder="1"/>
    <xf numFmtId="0" fontId="13" fillId="0" borderId="19" xfId="0" applyFont="1" applyBorder="1"/>
    <xf numFmtId="4" fontId="13" fillId="0" borderId="20" xfId="0" applyNumberFormat="1" applyFont="1" applyBorder="1"/>
    <xf numFmtId="165" fontId="3" fillId="4" borderId="2" xfId="1" applyNumberFormat="1" applyFill="1" applyBorder="1"/>
    <xf numFmtId="0" fontId="3" fillId="10" borderId="0" xfId="1" applyFont="1" applyFill="1" applyAlignment="1"/>
    <xf numFmtId="0" fontId="3" fillId="10" borderId="0" xfId="1" applyFont="1" applyFill="1" applyAlignment="1">
      <alignment horizontal="right"/>
    </xf>
    <xf numFmtId="2" fontId="4" fillId="10" borderId="1" xfId="1" applyNumberFormat="1" applyFont="1" applyFill="1" applyBorder="1" applyAlignment="1"/>
    <xf numFmtId="0" fontId="7" fillId="0" borderId="1" xfId="0" applyFont="1" applyBorder="1"/>
    <xf numFmtId="0" fontId="0" fillId="10" borderId="21" xfId="0" applyFill="1" applyBorder="1"/>
    <xf numFmtId="0" fontId="0" fillId="10" borderId="21" xfId="0" applyFill="1" applyBorder="1" applyAlignment="1">
      <alignment horizontal="left"/>
    </xf>
    <xf numFmtId="0" fontId="0" fillId="10" borderId="21" xfId="0" applyNumberFormat="1" applyFill="1" applyBorder="1"/>
    <xf numFmtId="0" fontId="14" fillId="11" borderId="1" xfId="0" applyFont="1" applyFill="1" applyBorder="1" applyAlignment="1">
      <alignment horizontal="right"/>
    </xf>
    <xf numFmtId="4" fontId="0" fillId="10" borderId="1" xfId="0" applyNumberFormat="1" applyFill="1" applyBorder="1"/>
    <xf numFmtId="0" fontId="13" fillId="10" borderId="21" xfId="0" applyFont="1" applyFill="1" applyBorder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7"/>
  <sheetViews>
    <sheetView showGridLines="0" tabSelected="1" zoomScale="120" zoomScaleNormal="120" workbookViewId="0">
      <pane xSplit="1" ySplit="1" topLeftCell="F2" activePane="bottomRight" state="frozen"/>
      <selection pane="topRight" activeCell="B1" sqref="B1"/>
      <selection pane="bottomLeft" activeCell="A2" sqref="A2"/>
      <selection pane="bottomRight" activeCell="U7" sqref="A7:U7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9" width="6" style="13" customWidth="1"/>
    <col min="20" max="21" width="5.109375" style="13" customWidth="1"/>
    <col min="22" max="16384" width="10.33203125" style="13"/>
  </cols>
  <sheetData>
    <row r="1" spans="1:21" ht="40.799999999999997" x14ac:dyDescent="0.2">
      <c r="A1" s="8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9" t="s">
        <v>12</v>
      </c>
      <c r="I1" s="8" t="s">
        <v>13</v>
      </c>
      <c r="J1" s="9" t="s">
        <v>14</v>
      </c>
      <c r="K1" s="8" t="s">
        <v>15</v>
      </c>
      <c r="L1" s="9" t="s">
        <v>16</v>
      </c>
      <c r="M1" s="10" t="s">
        <v>17</v>
      </c>
      <c r="N1" s="11" t="s">
        <v>18</v>
      </c>
      <c r="O1" s="12" t="s">
        <v>19</v>
      </c>
      <c r="P1" s="11" t="s">
        <v>20</v>
      </c>
      <c r="Q1" s="12" t="s">
        <v>21</v>
      </c>
      <c r="R1" s="11" t="s">
        <v>22</v>
      </c>
      <c r="S1" s="11" t="s">
        <v>23</v>
      </c>
      <c r="T1" s="11" t="s">
        <v>24</v>
      </c>
      <c r="U1" s="11" t="s">
        <v>25</v>
      </c>
    </row>
    <row r="2" spans="1:21" x14ac:dyDescent="0.2">
      <c r="A2" s="26" t="s">
        <v>28</v>
      </c>
      <c r="B2" s="26" t="s">
        <v>29</v>
      </c>
      <c r="C2" s="26" t="s">
        <v>30</v>
      </c>
      <c r="D2" s="26" t="s">
        <v>31</v>
      </c>
      <c r="E2" s="26" t="s">
        <v>32</v>
      </c>
      <c r="F2" s="26" t="s">
        <v>33</v>
      </c>
      <c r="G2" s="26" t="s">
        <v>34</v>
      </c>
      <c r="H2" s="26" t="s">
        <v>26</v>
      </c>
      <c r="I2" s="26" t="s">
        <v>35</v>
      </c>
      <c r="J2" s="26" t="s">
        <v>36</v>
      </c>
      <c r="K2" s="29">
        <v>0.5</v>
      </c>
      <c r="L2" s="26" t="s">
        <v>37</v>
      </c>
      <c r="M2" s="26">
        <v>2017</v>
      </c>
      <c r="N2" s="26" t="s">
        <v>27</v>
      </c>
      <c r="O2" s="27" t="s">
        <v>27</v>
      </c>
      <c r="P2" s="26" t="s">
        <v>27</v>
      </c>
      <c r="Q2" s="27" t="s">
        <v>27</v>
      </c>
      <c r="R2" s="28">
        <v>100</v>
      </c>
      <c r="S2" s="29">
        <v>0.5</v>
      </c>
      <c r="T2" s="29">
        <v>0</v>
      </c>
      <c r="U2" s="29">
        <v>0</v>
      </c>
    </row>
    <row r="3" spans="1:21" x14ac:dyDescent="0.2">
      <c r="A3" s="26" t="s">
        <v>28</v>
      </c>
      <c r="B3" s="26" t="s">
        <v>29</v>
      </c>
      <c r="C3" s="26" t="s">
        <v>30</v>
      </c>
      <c r="D3" s="26" t="s">
        <v>31</v>
      </c>
      <c r="E3" s="26" t="s">
        <v>32</v>
      </c>
      <c r="F3" s="26" t="s">
        <v>33</v>
      </c>
      <c r="G3" s="26" t="s">
        <v>38</v>
      </c>
      <c r="H3" s="26" t="s">
        <v>26</v>
      </c>
      <c r="I3" s="26" t="s">
        <v>35</v>
      </c>
      <c r="J3" s="26" t="s">
        <v>36</v>
      </c>
      <c r="K3" s="29">
        <v>0.5</v>
      </c>
      <c r="L3" s="26" t="s">
        <v>37</v>
      </c>
      <c r="M3" s="26">
        <v>2017</v>
      </c>
      <c r="N3" s="26" t="s">
        <v>27</v>
      </c>
      <c r="O3" s="27" t="s">
        <v>27</v>
      </c>
      <c r="P3" s="26" t="s">
        <v>27</v>
      </c>
      <c r="Q3" s="27" t="s">
        <v>27</v>
      </c>
      <c r="R3" s="28">
        <v>100</v>
      </c>
      <c r="S3" s="29">
        <v>0.5</v>
      </c>
      <c r="T3" s="29">
        <v>0</v>
      </c>
      <c r="U3" s="29">
        <v>0</v>
      </c>
    </row>
    <row r="4" spans="1:21" ht="10.8" thickBot="1" x14ac:dyDescent="0.25">
      <c r="A4" s="30" t="s">
        <v>28</v>
      </c>
      <c r="B4" s="30" t="s">
        <v>29</v>
      </c>
      <c r="C4" s="30" t="s">
        <v>30</v>
      </c>
      <c r="D4" s="30" t="s">
        <v>106</v>
      </c>
      <c r="E4" s="30" t="s">
        <v>107</v>
      </c>
      <c r="F4" s="30" t="s">
        <v>108</v>
      </c>
      <c r="G4" s="30" t="s">
        <v>109</v>
      </c>
      <c r="H4" s="30" t="s">
        <v>26</v>
      </c>
      <c r="I4" s="30" t="s">
        <v>35</v>
      </c>
      <c r="J4" s="30" t="s">
        <v>36</v>
      </c>
      <c r="K4" s="63">
        <v>0.5</v>
      </c>
      <c r="L4" s="30" t="s">
        <v>37</v>
      </c>
      <c r="M4" s="30">
        <v>2019</v>
      </c>
      <c r="N4" s="30" t="s">
        <v>27</v>
      </c>
      <c r="O4" s="31" t="s">
        <v>27</v>
      </c>
      <c r="P4" s="30" t="s">
        <v>27</v>
      </c>
      <c r="Q4" s="31" t="s">
        <v>27</v>
      </c>
      <c r="R4" s="32">
        <v>100</v>
      </c>
      <c r="S4" s="33">
        <v>0.5</v>
      </c>
      <c r="T4" s="33">
        <v>0</v>
      </c>
      <c r="U4" s="33">
        <v>0</v>
      </c>
    </row>
    <row r="5" spans="1:21" ht="10.8" thickBot="1" x14ac:dyDescent="0.25">
      <c r="A5" s="34" t="s">
        <v>116</v>
      </c>
      <c r="B5" s="34" t="s">
        <v>117</v>
      </c>
      <c r="C5" s="34" t="s">
        <v>118</v>
      </c>
      <c r="D5" s="34" t="s">
        <v>119</v>
      </c>
      <c r="E5" s="34" t="s">
        <v>120</v>
      </c>
      <c r="F5" s="34" t="s">
        <v>121</v>
      </c>
      <c r="G5" s="35" t="s">
        <v>38</v>
      </c>
      <c r="H5" s="36" t="s">
        <v>26</v>
      </c>
      <c r="I5" s="36" t="s">
        <v>35</v>
      </c>
      <c r="J5" s="37" t="s">
        <v>36</v>
      </c>
      <c r="K5" s="38">
        <v>0.5</v>
      </c>
      <c r="L5" s="38" t="s">
        <v>37</v>
      </c>
      <c r="M5" s="26">
        <v>2020</v>
      </c>
      <c r="N5" s="26" t="s">
        <v>27</v>
      </c>
      <c r="O5" s="27" t="s">
        <v>27</v>
      </c>
      <c r="P5" s="26" t="s">
        <v>27</v>
      </c>
      <c r="Q5" s="27" t="s">
        <v>27</v>
      </c>
      <c r="R5" s="26">
        <v>100</v>
      </c>
      <c r="S5" s="26">
        <v>0.5</v>
      </c>
      <c r="T5" s="26">
        <v>0</v>
      </c>
      <c r="U5" s="26">
        <v>0</v>
      </c>
    </row>
    <row r="6" spans="1:21" ht="10.8" thickBot="1" x14ac:dyDescent="0.25">
      <c r="A6" s="34" t="s">
        <v>116</v>
      </c>
      <c r="B6" s="34" t="s">
        <v>117</v>
      </c>
      <c r="C6" s="34" t="s">
        <v>118</v>
      </c>
      <c r="D6" s="34" t="s">
        <v>119</v>
      </c>
      <c r="E6" s="34" t="s">
        <v>120</v>
      </c>
      <c r="F6" s="34" t="s">
        <v>121</v>
      </c>
      <c r="G6" s="35" t="s">
        <v>122</v>
      </c>
      <c r="H6" s="36" t="s">
        <v>26</v>
      </c>
      <c r="I6" s="36" t="s">
        <v>35</v>
      </c>
      <c r="J6" s="37" t="s">
        <v>36</v>
      </c>
      <c r="K6" s="38">
        <v>0.5</v>
      </c>
      <c r="L6" s="38" t="s">
        <v>37</v>
      </c>
      <c r="M6" s="26">
        <v>2020</v>
      </c>
      <c r="N6" s="26" t="s">
        <v>27</v>
      </c>
      <c r="O6" s="27" t="s">
        <v>27</v>
      </c>
      <c r="P6" s="26" t="s">
        <v>27</v>
      </c>
      <c r="Q6" s="27" t="s">
        <v>27</v>
      </c>
      <c r="R6" s="26">
        <v>100</v>
      </c>
      <c r="S6" s="26">
        <v>0.5</v>
      </c>
      <c r="T6" s="26">
        <v>0</v>
      </c>
      <c r="U6" s="26">
        <v>0</v>
      </c>
    </row>
    <row r="7" spans="1:21" x14ac:dyDescent="0.2">
      <c r="A7" s="64"/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5"/>
      <c r="P7" s="64"/>
      <c r="Q7" s="65"/>
      <c r="R7" s="64"/>
      <c r="S7" s="66">
        <f>SUM(S2:S6)</f>
        <v>2.5</v>
      </c>
      <c r="T7" s="64"/>
      <c r="U7" s="64"/>
    </row>
  </sheetData>
  <autoFilter ref="A1:U6" xr:uid="{00000000-0009-0000-0000-000000000000}">
    <sortState xmlns:xlrd2="http://schemas.microsoft.com/office/spreadsheetml/2017/richdata2" ref="A2:U1912">
      <sortCondition ref="L2:L1912"/>
      <sortCondition ref="M2:M1912"/>
      <sortCondition ref="D2:D1912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2"/>
  <sheetViews>
    <sheetView zoomScaleNormal="100" workbookViewId="0">
      <selection activeCell="S12" sqref="S12"/>
    </sheetView>
  </sheetViews>
  <sheetFormatPr baseColWidth="10" defaultColWidth="11.44140625" defaultRowHeight="13.2" x14ac:dyDescent="0.25"/>
  <cols>
    <col min="1" max="1" width="10.44140625" style="18" bestFit="1" customWidth="1"/>
    <col min="2" max="2" width="44.109375" style="18" bestFit="1" customWidth="1"/>
    <col min="3" max="3" width="17" style="18" bestFit="1" customWidth="1"/>
    <col min="4" max="9" width="3.33203125" style="18" bestFit="1" customWidth="1"/>
    <col min="10" max="10" width="13.109375" style="18" bestFit="1" customWidth="1"/>
    <col min="11" max="11" width="5.33203125" style="18" bestFit="1" customWidth="1"/>
    <col min="12" max="13" width="5.6640625" style="18" bestFit="1" customWidth="1"/>
    <col min="14" max="14" width="5.6640625" style="19" bestFit="1" customWidth="1"/>
    <col min="15" max="15" width="5.6640625" style="18" bestFit="1" customWidth="1"/>
    <col min="16" max="16" width="5.6640625" style="19" bestFit="1" customWidth="1"/>
    <col min="17" max="19" width="5.6640625" style="18" bestFit="1" customWidth="1"/>
    <col min="20" max="16384" width="11.44140625" style="18"/>
  </cols>
  <sheetData>
    <row r="1" spans="1:19" s="17" customFormat="1" ht="60" customHeight="1" x14ac:dyDescent="0.25">
      <c r="A1" s="20" t="s">
        <v>39</v>
      </c>
      <c r="B1" s="20" t="s">
        <v>40</v>
      </c>
      <c r="C1" s="20" t="s">
        <v>41</v>
      </c>
      <c r="D1" s="21">
        <v>2017</v>
      </c>
      <c r="E1" s="21">
        <v>2018</v>
      </c>
      <c r="F1" s="21">
        <v>2019</v>
      </c>
      <c r="G1" s="21">
        <v>2020</v>
      </c>
      <c r="H1" s="21">
        <v>2021</v>
      </c>
      <c r="I1" s="21">
        <v>2022</v>
      </c>
      <c r="J1" s="20" t="s">
        <v>42</v>
      </c>
      <c r="K1" s="22" t="s">
        <v>112</v>
      </c>
      <c r="L1" s="15" t="s">
        <v>43</v>
      </c>
      <c r="M1" s="15" t="s">
        <v>44</v>
      </c>
      <c r="N1" s="15" t="s">
        <v>45</v>
      </c>
      <c r="O1" s="15" t="s">
        <v>46</v>
      </c>
      <c r="P1" s="16" t="s">
        <v>47</v>
      </c>
      <c r="Q1" s="16" t="s">
        <v>48</v>
      </c>
      <c r="R1" s="16" t="s">
        <v>49</v>
      </c>
      <c r="S1" s="16" t="s">
        <v>50</v>
      </c>
    </row>
    <row r="2" spans="1:19" ht="14.4" x14ac:dyDescent="0.3">
      <c r="A2" s="23" t="s">
        <v>68</v>
      </c>
      <c r="B2" s="23" t="s">
        <v>69</v>
      </c>
      <c r="C2" s="67" t="s">
        <v>51</v>
      </c>
      <c r="D2" s="23"/>
      <c r="E2" s="23"/>
      <c r="F2" s="23"/>
      <c r="G2" s="23">
        <v>1</v>
      </c>
      <c r="H2" s="23"/>
      <c r="I2" s="23"/>
      <c r="J2" s="23">
        <v>1</v>
      </c>
      <c r="K2" s="23" t="s">
        <v>37</v>
      </c>
      <c r="L2" s="25" t="s">
        <v>114</v>
      </c>
      <c r="M2" s="25" t="s">
        <v>115</v>
      </c>
      <c r="N2" s="25" t="s">
        <v>27</v>
      </c>
      <c r="O2" s="25" t="s">
        <v>27</v>
      </c>
      <c r="P2" s="25">
        <v>90</v>
      </c>
      <c r="Q2" s="25">
        <v>0.1</v>
      </c>
      <c r="R2" s="25">
        <v>0</v>
      </c>
      <c r="S2" s="25">
        <v>0.9</v>
      </c>
    </row>
    <row r="3" spans="1:19" ht="14.4" x14ac:dyDescent="0.3">
      <c r="A3" s="23" t="s">
        <v>58</v>
      </c>
      <c r="B3" s="23" t="s">
        <v>59</v>
      </c>
      <c r="C3" s="23" t="s">
        <v>51</v>
      </c>
      <c r="D3" s="23"/>
      <c r="E3" s="23"/>
      <c r="F3" s="23"/>
      <c r="G3" s="23"/>
      <c r="H3" s="23"/>
      <c r="I3" s="23">
        <v>1</v>
      </c>
      <c r="J3" s="23">
        <v>1</v>
      </c>
      <c r="K3" s="23" t="s">
        <v>37</v>
      </c>
      <c r="L3" s="25">
        <v>0</v>
      </c>
      <c r="M3" s="25">
        <v>0</v>
      </c>
      <c r="N3" s="25" t="s">
        <v>27</v>
      </c>
      <c r="O3" s="25" t="s">
        <v>27</v>
      </c>
      <c r="P3" s="25">
        <v>100</v>
      </c>
      <c r="Q3" s="25">
        <v>0</v>
      </c>
      <c r="R3" s="25">
        <v>0</v>
      </c>
      <c r="S3" s="25">
        <v>1</v>
      </c>
    </row>
    <row r="4" spans="1:19" ht="14.4" x14ac:dyDescent="0.3">
      <c r="A4" s="23" t="s">
        <v>64</v>
      </c>
      <c r="B4" s="23" t="s">
        <v>65</v>
      </c>
      <c r="C4" s="23" t="s">
        <v>51</v>
      </c>
      <c r="D4" s="23"/>
      <c r="E4" s="23"/>
      <c r="F4" s="23">
        <v>1</v>
      </c>
      <c r="G4" s="23"/>
      <c r="H4" s="23"/>
      <c r="I4" s="23"/>
      <c r="J4" s="23">
        <v>1</v>
      </c>
      <c r="K4" s="23" t="s">
        <v>37</v>
      </c>
      <c r="L4" s="25">
        <v>0</v>
      </c>
      <c r="M4" s="25">
        <v>0</v>
      </c>
      <c r="N4" s="25" t="s">
        <v>27</v>
      </c>
      <c r="O4" s="25" t="s">
        <v>27</v>
      </c>
      <c r="P4" s="25">
        <v>100</v>
      </c>
      <c r="Q4" s="25">
        <v>0</v>
      </c>
      <c r="R4" s="25">
        <v>0</v>
      </c>
      <c r="S4" s="25">
        <v>1</v>
      </c>
    </row>
    <row r="5" spans="1:19" ht="14.4" x14ac:dyDescent="0.3">
      <c r="A5" s="23" t="s">
        <v>56</v>
      </c>
      <c r="B5" s="23" t="s">
        <v>57</v>
      </c>
      <c r="C5" s="23" t="s">
        <v>51</v>
      </c>
      <c r="D5" s="23"/>
      <c r="E5" s="23"/>
      <c r="F5" s="23"/>
      <c r="G5" s="23"/>
      <c r="H5" s="23"/>
      <c r="I5" s="23">
        <v>1</v>
      </c>
      <c r="J5" s="23">
        <v>1</v>
      </c>
      <c r="K5" s="23" t="s">
        <v>37</v>
      </c>
      <c r="L5" s="25">
        <v>0</v>
      </c>
      <c r="M5" s="25">
        <v>0</v>
      </c>
      <c r="N5" s="25" t="s">
        <v>27</v>
      </c>
      <c r="O5" s="25" t="s">
        <v>27</v>
      </c>
      <c r="P5" s="25">
        <v>100</v>
      </c>
      <c r="Q5" s="25">
        <v>0</v>
      </c>
      <c r="R5" s="25">
        <v>0</v>
      </c>
      <c r="S5" s="25">
        <v>1</v>
      </c>
    </row>
    <row r="6" spans="1:19" ht="14.4" x14ac:dyDescent="0.3">
      <c r="A6" s="23" t="s">
        <v>54</v>
      </c>
      <c r="B6" s="23" t="s">
        <v>55</v>
      </c>
      <c r="C6" s="23" t="s">
        <v>51</v>
      </c>
      <c r="D6" s="23"/>
      <c r="E6" s="23"/>
      <c r="F6" s="23">
        <v>1</v>
      </c>
      <c r="G6" s="23"/>
      <c r="H6" s="23"/>
      <c r="I6" s="23">
        <v>1</v>
      </c>
      <c r="J6" s="23">
        <v>2</v>
      </c>
      <c r="K6" s="23" t="s">
        <v>37</v>
      </c>
      <c r="L6" s="25">
        <v>0</v>
      </c>
      <c r="M6" s="25">
        <v>0</v>
      </c>
      <c r="N6" s="25" t="s">
        <v>27</v>
      </c>
      <c r="O6" s="25" t="s">
        <v>27</v>
      </c>
      <c r="P6" s="25">
        <v>100</v>
      </c>
      <c r="Q6" s="25">
        <v>0</v>
      </c>
      <c r="R6" s="25">
        <v>0</v>
      </c>
      <c r="S6" s="25">
        <v>2</v>
      </c>
    </row>
    <row r="7" spans="1:19" ht="14.4" x14ac:dyDescent="0.3">
      <c r="A7" s="23" t="s">
        <v>66</v>
      </c>
      <c r="B7" s="23" t="s">
        <v>67</v>
      </c>
      <c r="C7" s="23" t="s">
        <v>51</v>
      </c>
      <c r="D7" s="23"/>
      <c r="E7" s="23"/>
      <c r="F7" s="23"/>
      <c r="G7" s="23"/>
      <c r="H7" s="23">
        <v>1</v>
      </c>
      <c r="I7" s="23"/>
      <c r="J7" s="23">
        <v>1</v>
      </c>
      <c r="K7" s="23" t="s">
        <v>37</v>
      </c>
      <c r="L7" s="25">
        <v>0</v>
      </c>
      <c r="M7" s="25">
        <v>0</v>
      </c>
      <c r="N7" s="25" t="s">
        <v>27</v>
      </c>
      <c r="O7" s="25" t="s">
        <v>27</v>
      </c>
      <c r="P7" s="25">
        <v>100</v>
      </c>
      <c r="Q7" s="25">
        <v>0</v>
      </c>
      <c r="R7" s="25">
        <v>0</v>
      </c>
      <c r="S7" s="25">
        <v>1</v>
      </c>
    </row>
    <row r="8" spans="1:19" ht="14.4" x14ac:dyDescent="0.3">
      <c r="A8" s="23" t="s">
        <v>110</v>
      </c>
      <c r="B8" s="23" t="s">
        <v>111</v>
      </c>
      <c r="C8" s="23" t="s">
        <v>51</v>
      </c>
      <c r="D8" s="23"/>
      <c r="E8" s="23"/>
      <c r="F8" s="23"/>
      <c r="G8" s="23"/>
      <c r="H8" s="23"/>
      <c r="I8" s="23">
        <v>1</v>
      </c>
      <c r="J8" s="23">
        <v>1</v>
      </c>
      <c r="K8" s="23" t="s">
        <v>37</v>
      </c>
      <c r="L8" s="25">
        <v>0</v>
      </c>
      <c r="M8" s="25">
        <v>0</v>
      </c>
      <c r="N8" s="25" t="s">
        <v>27</v>
      </c>
      <c r="O8" s="25" t="s">
        <v>27</v>
      </c>
      <c r="P8" s="25">
        <v>100</v>
      </c>
      <c r="Q8" s="25">
        <v>0</v>
      </c>
      <c r="R8" s="25">
        <v>0</v>
      </c>
      <c r="S8" s="25">
        <v>1</v>
      </c>
    </row>
    <row r="9" spans="1:19" ht="14.4" x14ac:dyDescent="0.3">
      <c r="A9" s="23" t="s">
        <v>62</v>
      </c>
      <c r="B9" s="23" t="s">
        <v>63</v>
      </c>
      <c r="C9" s="24" t="s">
        <v>113</v>
      </c>
      <c r="D9" s="23"/>
      <c r="E9" s="23"/>
      <c r="F9" s="23"/>
      <c r="G9" s="23"/>
      <c r="H9" s="23"/>
      <c r="I9" s="23">
        <v>1</v>
      </c>
      <c r="J9" s="23">
        <v>1</v>
      </c>
      <c r="K9" s="23" t="s">
        <v>37</v>
      </c>
      <c r="L9" s="25">
        <v>0</v>
      </c>
      <c r="M9" s="25">
        <v>0</v>
      </c>
      <c r="N9" s="25" t="s">
        <v>27</v>
      </c>
      <c r="O9" s="25" t="s">
        <v>27</v>
      </c>
      <c r="P9" s="25">
        <v>100</v>
      </c>
      <c r="Q9" s="25">
        <v>0</v>
      </c>
      <c r="R9" s="25">
        <v>0</v>
      </c>
      <c r="S9" s="25">
        <v>1</v>
      </c>
    </row>
    <row r="10" spans="1:19" ht="14.4" x14ac:dyDescent="0.3">
      <c r="A10" s="23" t="s">
        <v>52</v>
      </c>
      <c r="B10" s="23" t="s">
        <v>53</v>
      </c>
      <c r="C10" s="24" t="s">
        <v>113</v>
      </c>
      <c r="D10" s="23"/>
      <c r="E10" s="23"/>
      <c r="F10" s="23"/>
      <c r="G10" s="23"/>
      <c r="H10" s="23"/>
      <c r="I10" s="23">
        <v>1</v>
      </c>
      <c r="J10" s="23">
        <v>1</v>
      </c>
      <c r="K10" s="23" t="s">
        <v>37</v>
      </c>
      <c r="L10" s="25">
        <v>0</v>
      </c>
      <c r="M10" s="25">
        <v>0</v>
      </c>
      <c r="N10" s="25" t="s">
        <v>27</v>
      </c>
      <c r="O10" s="25" t="s">
        <v>27</v>
      </c>
      <c r="P10" s="25">
        <v>100</v>
      </c>
      <c r="Q10" s="25">
        <v>0</v>
      </c>
      <c r="R10" s="25">
        <v>0</v>
      </c>
      <c r="S10" s="25">
        <v>1</v>
      </c>
    </row>
    <row r="11" spans="1:19" ht="14.4" x14ac:dyDescent="0.3">
      <c r="A11" s="23" t="s">
        <v>60</v>
      </c>
      <c r="B11" s="23" t="s">
        <v>61</v>
      </c>
      <c r="C11" s="24" t="s">
        <v>113</v>
      </c>
      <c r="D11" s="23"/>
      <c r="E11" s="23"/>
      <c r="F11" s="23"/>
      <c r="G11" s="23"/>
      <c r="H11" s="23"/>
      <c r="I11" s="23">
        <v>1</v>
      </c>
      <c r="J11" s="23">
        <v>1</v>
      </c>
      <c r="K11" s="23" t="s">
        <v>37</v>
      </c>
      <c r="L11" s="25">
        <v>0</v>
      </c>
      <c r="M11" s="25">
        <v>0</v>
      </c>
      <c r="N11" s="25" t="s">
        <v>27</v>
      </c>
      <c r="O11" s="25" t="s">
        <v>27</v>
      </c>
      <c r="P11" s="25">
        <v>100</v>
      </c>
      <c r="Q11" s="25">
        <v>0</v>
      </c>
      <c r="R11" s="25">
        <v>0</v>
      </c>
      <c r="S11" s="25">
        <v>1</v>
      </c>
    </row>
    <row r="12" spans="1:19" ht="14.4" x14ac:dyDescent="0.3">
      <c r="A12" s="68"/>
      <c r="B12" s="68"/>
      <c r="C12" s="69"/>
      <c r="D12" s="68"/>
      <c r="E12" s="68"/>
      <c r="F12" s="68"/>
      <c r="G12" s="68"/>
      <c r="H12" s="68"/>
      <c r="I12" s="68"/>
      <c r="J12" s="70"/>
      <c r="K12" s="68"/>
      <c r="L12" s="68"/>
      <c r="M12" s="68"/>
      <c r="N12" s="68"/>
      <c r="O12" s="68"/>
      <c r="P12" s="68"/>
      <c r="Q12" s="68"/>
      <c r="R12" s="68"/>
      <c r="S12" s="73">
        <f>SUM(S2:S11)</f>
        <v>10.9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5"/>
  <sheetViews>
    <sheetView zoomScaleNormal="100" workbookViewId="0">
      <selection activeCell="A13" sqref="A13:B15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70</v>
      </c>
      <c r="B2" s="5"/>
    </row>
    <row r="3" spans="1:2" x14ac:dyDescent="0.2">
      <c r="A3" s="4" t="s">
        <v>71</v>
      </c>
      <c r="B3" s="5">
        <v>1250</v>
      </c>
    </row>
    <row r="4" spans="1:2" x14ac:dyDescent="0.2">
      <c r="A4" s="4" t="s">
        <v>72</v>
      </c>
      <c r="B4" s="5"/>
    </row>
    <row r="5" spans="1:2" x14ac:dyDescent="0.2">
      <c r="A5" s="4" t="s">
        <v>73</v>
      </c>
      <c r="B5" s="5">
        <v>3000</v>
      </c>
    </row>
    <row r="6" spans="1:2" x14ac:dyDescent="0.2">
      <c r="A6" s="4" t="s">
        <v>74</v>
      </c>
      <c r="B6" s="5"/>
    </row>
    <row r="7" spans="1:2" x14ac:dyDescent="0.2">
      <c r="A7" s="4" t="s">
        <v>75</v>
      </c>
      <c r="B7" s="5">
        <v>5740</v>
      </c>
    </row>
    <row r="8" spans="1:2" x14ac:dyDescent="0.2">
      <c r="A8" s="4" t="s">
        <v>76</v>
      </c>
      <c r="B8" s="5"/>
    </row>
    <row r="9" spans="1:2" x14ac:dyDescent="0.2">
      <c r="A9" s="4" t="s">
        <v>77</v>
      </c>
      <c r="B9" s="5">
        <v>19800</v>
      </c>
    </row>
    <row r="10" spans="1:2" x14ac:dyDescent="0.2">
      <c r="A10" s="4" t="s">
        <v>78</v>
      </c>
      <c r="B10" s="5">
        <v>9504</v>
      </c>
    </row>
    <row r="11" spans="1:2" x14ac:dyDescent="0.2">
      <c r="A11" s="4" t="s">
        <v>3</v>
      </c>
      <c r="B11" s="5"/>
    </row>
    <row r="12" spans="1:2" x14ac:dyDescent="0.2">
      <c r="A12" s="4" t="s">
        <v>79</v>
      </c>
      <c r="B12" s="5">
        <v>15000</v>
      </c>
    </row>
    <row r="13" spans="1:2" x14ac:dyDescent="0.2">
      <c r="A13" s="4" t="s">
        <v>80</v>
      </c>
      <c r="B13" s="5"/>
    </row>
    <row r="14" spans="1:2" x14ac:dyDescent="0.2">
      <c r="A14" s="4" t="s">
        <v>81</v>
      </c>
      <c r="B14" s="5">
        <v>10574.6</v>
      </c>
    </row>
    <row r="15" spans="1:2" x14ac:dyDescent="0.2">
      <c r="A15" s="6" t="s">
        <v>2</v>
      </c>
      <c r="B15" s="7">
        <f>SUM(B3:B14)</f>
        <v>64868.6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27231-C3CC-486F-8666-905578489724}">
  <dimension ref="A1:B10"/>
  <sheetViews>
    <sheetView zoomScaleNormal="100" workbookViewId="0">
      <selection activeCell="A18" sqref="A18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123</v>
      </c>
      <c r="B2" s="5"/>
    </row>
    <row r="3" spans="1:2" x14ac:dyDescent="0.2">
      <c r="A3" s="4" t="s">
        <v>124</v>
      </c>
      <c r="B3" s="5">
        <v>176</v>
      </c>
    </row>
    <row r="4" spans="1:2" x14ac:dyDescent="0.2">
      <c r="A4" s="4" t="s">
        <v>125</v>
      </c>
      <c r="B4" s="5"/>
    </row>
    <row r="5" spans="1:2" x14ac:dyDescent="0.2">
      <c r="A5" s="4" t="s">
        <v>126</v>
      </c>
      <c r="B5" s="5">
        <v>132</v>
      </c>
    </row>
    <row r="6" spans="1:2" x14ac:dyDescent="0.2">
      <c r="A6" s="4" t="s">
        <v>76</v>
      </c>
      <c r="B6" s="5"/>
    </row>
    <row r="7" spans="1:2" x14ac:dyDescent="0.2">
      <c r="A7" s="4" t="s">
        <v>127</v>
      </c>
      <c r="B7" s="5">
        <v>1980</v>
      </c>
    </row>
    <row r="8" spans="1:2" x14ac:dyDescent="0.2">
      <c r="A8" s="4" t="s">
        <v>3</v>
      </c>
      <c r="B8" s="5"/>
    </row>
    <row r="9" spans="1:2" x14ac:dyDescent="0.2">
      <c r="A9" s="4" t="s">
        <v>128</v>
      </c>
      <c r="B9" s="5">
        <v>15000</v>
      </c>
    </row>
    <row r="10" spans="1:2" x14ac:dyDescent="0.2">
      <c r="A10" s="6" t="s">
        <v>2</v>
      </c>
      <c r="B10" s="7">
        <f>SUM(B3:B9)</f>
        <v>17288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4F550-04FF-431A-A5CC-67571BA47C93}">
  <dimension ref="A1:D14"/>
  <sheetViews>
    <sheetView zoomScale="85" zoomScaleNormal="85" workbookViewId="0">
      <selection activeCell="D27" sqref="D27"/>
    </sheetView>
  </sheetViews>
  <sheetFormatPr baseColWidth="10" defaultColWidth="81.5546875" defaultRowHeight="14.4" x14ac:dyDescent="0.3"/>
  <cols>
    <col min="1" max="1" width="7.44140625" bestFit="1" customWidth="1"/>
    <col min="2" max="2" width="14" bestFit="1" customWidth="1"/>
    <col min="3" max="3" width="106.44140625" customWidth="1"/>
    <col min="4" max="4" width="10.33203125" bestFit="1" customWidth="1"/>
  </cols>
  <sheetData>
    <row r="1" spans="1:4" ht="15" thickBot="1" x14ac:dyDescent="0.35">
      <c r="A1" s="39" t="s">
        <v>138</v>
      </c>
      <c r="B1" s="40" t="s">
        <v>139</v>
      </c>
      <c r="C1" s="40" t="s">
        <v>140</v>
      </c>
      <c r="D1" s="41" t="s">
        <v>1</v>
      </c>
    </row>
    <row r="2" spans="1:4" ht="15" thickTop="1" x14ac:dyDescent="0.3">
      <c r="A2" s="42" t="s">
        <v>141</v>
      </c>
      <c r="B2" s="43" t="s">
        <v>142</v>
      </c>
      <c r="C2" s="43" t="s">
        <v>143</v>
      </c>
      <c r="D2" s="44">
        <v>2640</v>
      </c>
    </row>
    <row r="3" spans="1:4" x14ac:dyDescent="0.3">
      <c r="A3" s="45" t="s">
        <v>141</v>
      </c>
      <c r="B3" s="46" t="s">
        <v>142</v>
      </c>
      <c r="C3" s="46" t="s">
        <v>144</v>
      </c>
      <c r="D3" s="47">
        <v>3150.4</v>
      </c>
    </row>
    <row r="4" spans="1:4" x14ac:dyDescent="0.3">
      <c r="A4" s="42" t="s">
        <v>141</v>
      </c>
      <c r="B4" s="43" t="s">
        <v>76</v>
      </c>
      <c r="C4" s="43" t="s">
        <v>145</v>
      </c>
      <c r="D4" s="44">
        <v>8316</v>
      </c>
    </row>
    <row r="5" spans="1:4" ht="15" thickBot="1" x14ac:dyDescent="0.35">
      <c r="A5" s="45" t="s">
        <v>141</v>
      </c>
      <c r="B5" s="46" t="s">
        <v>3</v>
      </c>
      <c r="C5" s="46" t="s">
        <v>146</v>
      </c>
      <c r="D5" s="47">
        <v>15000</v>
      </c>
    </row>
    <row r="6" spans="1:4" ht="15" thickTop="1" x14ac:dyDescent="0.3">
      <c r="A6" s="48" t="s">
        <v>2</v>
      </c>
      <c r="B6" s="49"/>
      <c r="C6" s="49"/>
      <c r="D6" s="50">
        <v>29106.400000000001</v>
      </c>
    </row>
    <row r="14" spans="1:4" x14ac:dyDescent="0.3">
      <c r="C14" s="71" t="s">
        <v>154</v>
      </c>
      <c r="D14" s="72">
        <f>D6+'Ingresos investigación 2020'!B10+'Ingresos investigación 2019'!B15</f>
        <v>111263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7"/>
  <sheetViews>
    <sheetView zoomScaleNormal="100" workbookViewId="0">
      <selection activeCell="E33" sqref="E33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4</v>
      </c>
      <c r="B2" s="5"/>
    </row>
    <row r="3" spans="1:2" x14ac:dyDescent="0.2">
      <c r="A3" s="4" t="s">
        <v>82</v>
      </c>
      <c r="B3" s="5">
        <v>1482.21</v>
      </c>
    </row>
    <row r="4" spans="1:2" x14ac:dyDescent="0.2">
      <c r="A4" s="4" t="s">
        <v>83</v>
      </c>
      <c r="B4" s="5">
        <v>1482.21</v>
      </c>
    </row>
    <row r="5" spans="1:2" x14ac:dyDescent="0.2">
      <c r="A5" s="4" t="s">
        <v>84</v>
      </c>
      <c r="B5" s="5">
        <v>1482.21</v>
      </c>
    </row>
    <row r="6" spans="1:2" x14ac:dyDescent="0.2">
      <c r="A6" s="4" t="s">
        <v>85</v>
      </c>
      <c r="B6" s="5">
        <v>1482.21</v>
      </c>
    </row>
    <row r="7" spans="1:2" x14ac:dyDescent="0.2">
      <c r="A7" s="4" t="s">
        <v>86</v>
      </c>
      <c r="B7" s="5">
        <v>1482.21</v>
      </c>
    </row>
    <row r="8" spans="1:2" x14ac:dyDescent="0.2">
      <c r="A8" s="4" t="s">
        <v>87</v>
      </c>
      <c r="B8" s="5">
        <v>1482.21</v>
      </c>
    </row>
    <row r="9" spans="1:2" x14ac:dyDescent="0.2">
      <c r="A9" s="4" t="s">
        <v>88</v>
      </c>
      <c r="B9" s="5">
        <v>1482.21</v>
      </c>
    </row>
    <row r="10" spans="1:2" x14ac:dyDescent="0.2">
      <c r="A10" s="4" t="s">
        <v>89</v>
      </c>
      <c r="B10" s="5">
        <v>1482.21</v>
      </c>
    </row>
    <row r="11" spans="1:2" x14ac:dyDescent="0.2">
      <c r="A11" s="4" t="s">
        <v>90</v>
      </c>
      <c r="B11" s="5">
        <v>1482.21</v>
      </c>
    </row>
    <row r="12" spans="1:2" x14ac:dyDescent="0.2">
      <c r="A12" s="4" t="s">
        <v>91</v>
      </c>
      <c r="B12" s="5">
        <v>12707</v>
      </c>
    </row>
    <row r="13" spans="1:2" x14ac:dyDescent="0.2">
      <c r="A13" s="4" t="s">
        <v>92</v>
      </c>
      <c r="B13" s="5">
        <v>1482.21</v>
      </c>
    </row>
    <row r="14" spans="1:2" x14ac:dyDescent="0.2">
      <c r="A14" s="4" t="s">
        <v>93</v>
      </c>
      <c r="B14" s="5">
        <v>1482.21</v>
      </c>
    </row>
    <row r="15" spans="1:2" x14ac:dyDescent="0.2">
      <c r="A15" s="4" t="s">
        <v>94</v>
      </c>
      <c r="B15" s="5">
        <v>1482.21</v>
      </c>
    </row>
    <row r="16" spans="1:2" x14ac:dyDescent="0.2">
      <c r="A16" s="4" t="s">
        <v>95</v>
      </c>
      <c r="B16" s="5">
        <v>1482.21</v>
      </c>
    </row>
    <row r="17" spans="1:2" x14ac:dyDescent="0.2">
      <c r="A17" s="4" t="s">
        <v>96</v>
      </c>
      <c r="B17" s="5">
        <v>0.02</v>
      </c>
    </row>
    <row r="18" spans="1:2" x14ac:dyDescent="0.2">
      <c r="A18" s="4" t="s">
        <v>97</v>
      </c>
      <c r="B18" s="5">
        <v>1482.21</v>
      </c>
    </row>
    <row r="19" spans="1:2" x14ac:dyDescent="0.2">
      <c r="A19" s="4" t="s">
        <v>98</v>
      </c>
      <c r="B19" s="5">
        <v>1482.21</v>
      </c>
    </row>
    <row r="20" spans="1:2" x14ac:dyDescent="0.2">
      <c r="A20" s="4" t="s">
        <v>99</v>
      </c>
      <c r="B20" s="5">
        <v>1482.21</v>
      </c>
    </row>
    <row r="21" spans="1:2" x14ac:dyDescent="0.2">
      <c r="A21" s="4" t="s">
        <v>100</v>
      </c>
      <c r="B21" s="5"/>
    </row>
    <row r="22" spans="1:2" x14ac:dyDescent="0.2">
      <c r="A22" s="4" t="s">
        <v>101</v>
      </c>
      <c r="B22" s="5">
        <v>1482.21</v>
      </c>
    </row>
    <row r="23" spans="1:2" x14ac:dyDescent="0.2">
      <c r="A23" s="4" t="s">
        <v>102</v>
      </c>
      <c r="B23" s="5">
        <v>35161.64</v>
      </c>
    </row>
    <row r="24" spans="1:2" x14ac:dyDescent="0.2">
      <c r="A24" s="4" t="s">
        <v>103</v>
      </c>
      <c r="B24" s="5">
        <v>31851.519999999997</v>
      </c>
    </row>
    <row r="25" spans="1:2" x14ac:dyDescent="0.2">
      <c r="A25" s="4" t="s">
        <v>104</v>
      </c>
      <c r="B25" s="5">
        <v>30414.03</v>
      </c>
    </row>
    <row r="26" spans="1:2" x14ac:dyDescent="0.2">
      <c r="A26" s="4" t="s">
        <v>105</v>
      </c>
      <c r="B26" s="5">
        <v>17331.760000000002</v>
      </c>
    </row>
    <row r="27" spans="1:2" x14ac:dyDescent="0.2">
      <c r="A27" s="6" t="s">
        <v>2</v>
      </c>
      <c r="B27" s="7">
        <f>SUM(B3:B26)</f>
        <v>152663.54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DAA72-1CF6-44F6-ACFB-F9603FCC2401}">
  <dimension ref="A1:B12"/>
  <sheetViews>
    <sheetView zoomScaleNormal="100" workbookViewId="0">
      <selection activeCell="A20" sqref="A20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100</v>
      </c>
      <c r="B2" s="5"/>
    </row>
    <row r="3" spans="1:2" x14ac:dyDescent="0.2">
      <c r="A3" s="4" t="s">
        <v>129</v>
      </c>
      <c r="B3" s="5">
        <v>1482.21</v>
      </c>
    </row>
    <row r="4" spans="1:2" x14ac:dyDescent="0.2">
      <c r="A4" s="4" t="s">
        <v>130</v>
      </c>
      <c r="B4" s="5">
        <v>1482.21</v>
      </c>
    </row>
    <row r="5" spans="1:2" x14ac:dyDescent="0.2">
      <c r="A5" s="4" t="s">
        <v>131</v>
      </c>
      <c r="B5" s="5">
        <v>966.03</v>
      </c>
    </row>
    <row r="6" spans="1:2" x14ac:dyDescent="0.2">
      <c r="A6" s="4" t="s">
        <v>132</v>
      </c>
      <c r="B6" s="5">
        <v>1482.21</v>
      </c>
    </row>
    <row r="7" spans="1:2" x14ac:dyDescent="0.2">
      <c r="A7" s="4" t="s">
        <v>133</v>
      </c>
      <c r="B7" s="5">
        <v>15967.67</v>
      </c>
    </row>
    <row r="8" spans="1:2" x14ac:dyDescent="0.2">
      <c r="A8" s="4" t="s">
        <v>134</v>
      </c>
      <c r="B8" s="5">
        <v>1482.21</v>
      </c>
    </row>
    <row r="9" spans="1:2" x14ac:dyDescent="0.2">
      <c r="A9" s="4" t="s">
        <v>135</v>
      </c>
      <c r="B9" s="5">
        <v>1482.21</v>
      </c>
    </row>
    <row r="10" spans="1:2" x14ac:dyDescent="0.2">
      <c r="A10" s="4" t="s">
        <v>136</v>
      </c>
      <c r="B10" s="5">
        <v>1482.21</v>
      </c>
    </row>
    <row r="11" spans="1:2" x14ac:dyDescent="0.2">
      <c r="A11" s="4" t="s">
        <v>137</v>
      </c>
      <c r="B11" s="5">
        <v>20912.48</v>
      </c>
    </row>
    <row r="12" spans="1:2" x14ac:dyDescent="0.2">
      <c r="A12" s="6" t="s">
        <v>2</v>
      </c>
      <c r="B12" s="7">
        <f>SUM(B3:B11)</f>
        <v>46739.44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9D0B5-2897-447B-8539-ADD02800215A}">
  <dimension ref="A1:D16"/>
  <sheetViews>
    <sheetView workbookViewId="0">
      <selection activeCell="C24" sqref="C24"/>
    </sheetView>
  </sheetViews>
  <sheetFormatPr baseColWidth="10" defaultRowHeight="14.4" x14ac:dyDescent="0.3"/>
  <cols>
    <col min="2" max="2" width="14" bestFit="1" customWidth="1"/>
    <col min="3" max="3" width="57.6640625" customWidth="1"/>
  </cols>
  <sheetData>
    <row r="1" spans="1:4" x14ac:dyDescent="0.3">
      <c r="A1" s="51" t="s">
        <v>138</v>
      </c>
      <c r="B1" s="52" t="s">
        <v>139</v>
      </c>
      <c r="C1" s="52" t="s">
        <v>140</v>
      </c>
      <c r="D1" s="53" t="s">
        <v>1</v>
      </c>
    </row>
    <row r="2" spans="1:4" x14ac:dyDescent="0.3">
      <c r="A2" s="54" t="s">
        <v>141</v>
      </c>
      <c r="B2" s="55" t="s">
        <v>100</v>
      </c>
      <c r="C2" s="55" t="s">
        <v>147</v>
      </c>
      <c r="D2" s="56">
        <v>1313.43</v>
      </c>
    </row>
    <row r="3" spans="1:4" x14ac:dyDescent="0.3">
      <c r="A3" s="57" t="s">
        <v>141</v>
      </c>
      <c r="B3" s="58" t="s">
        <v>100</v>
      </c>
      <c r="C3" s="58" t="s">
        <v>148</v>
      </c>
      <c r="D3" s="59">
        <v>1482.21</v>
      </c>
    </row>
    <row r="4" spans="1:4" x14ac:dyDescent="0.3">
      <c r="A4" s="54" t="s">
        <v>141</v>
      </c>
      <c r="B4" s="55" t="s">
        <v>100</v>
      </c>
      <c r="C4" s="55" t="s">
        <v>149</v>
      </c>
      <c r="D4" s="56">
        <v>1486.16</v>
      </c>
    </row>
    <row r="5" spans="1:4" x14ac:dyDescent="0.3">
      <c r="A5" s="57" t="s">
        <v>141</v>
      </c>
      <c r="B5" s="58" t="s">
        <v>100</v>
      </c>
      <c r="C5" s="58" t="s">
        <v>150</v>
      </c>
      <c r="D5" s="59">
        <v>1486.16</v>
      </c>
    </row>
    <row r="6" spans="1:4" x14ac:dyDescent="0.3">
      <c r="A6" s="54" t="s">
        <v>141</v>
      </c>
      <c r="B6" s="55" t="s">
        <v>100</v>
      </c>
      <c r="C6" s="55" t="s">
        <v>151</v>
      </c>
      <c r="D6" s="56">
        <v>2459.73</v>
      </c>
    </row>
    <row r="7" spans="1:4" x14ac:dyDescent="0.3">
      <c r="A7" s="57" t="s">
        <v>141</v>
      </c>
      <c r="B7" s="58" t="s">
        <v>100</v>
      </c>
      <c r="C7" s="58" t="s">
        <v>152</v>
      </c>
      <c r="D7" s="59">
        <v>2463.5100000000002</v>
      </c>
    </row>
    <row r="8" spans="1:4" ht="15" thickBot="1" x14ac:dyDescent="0.35">
      <c r="A8" s="54" t="s">
        <v>141</v>
      </c>
      <c r="B8" s="55" t="s">
        <v>100</v>
      </c>
      <c r="C8" s="55" t="s">
        <v>153</v>
      </c>
      <c r="D8" s="56">
        <v>17243.099999999999</v>
      </c>
    </row>
    <row r="9" spans="1:4" ht="15" thickTop="1" x14ac:dyDescent="0.3">
      <c r="A9" s="60" t="s">
        <v>2</v>
      </c>
      <c r="B9" s="61"/>
      <c r="C9" s="61"/>
      <c r="D9" s="62">
        <v>27934.3</v>
      </c>
    </row>
    <row r="16" spans="1:4" x14ac:dyDescent="0.3">
      <c r="C16" s="71" t="s">
        <v>155</v>
      </c>
      <c r="D16" s="72">
        <f>D9+'Ingresos formación 2020'!B12+'Ingresos formación 2019'!B27</f>
        <v>227337.28000000003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2022-10-18T14:41:49Z</dcterms:modified>
</cp:coreProperties>
</file>