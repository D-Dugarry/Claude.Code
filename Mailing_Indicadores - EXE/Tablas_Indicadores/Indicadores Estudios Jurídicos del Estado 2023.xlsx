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05F1A53D-F2BD-4868-BC20-06E5C5AD3A9D}" xr6:coauthVersionLast="47" xr6:coauthVersionMax="47" xr10:uidLastSave="{00000000-0000-0000-0000-000000000000}"/>
  <bookViews>
    <workbookView xWindow="22932" yWindow="-108" windowWidth="23256" windowHeight="12456" tabRatio="819" xr2:uid="{00000000-000D-0000-FFFF-FFFF00000000}"/>
  </bookViews>
  <sheets>
    <sheet name="Tesis" sheetId="6" r:id="rId1"/>
    <sheet name="Sexenios" sheetId="7" r:id="rId2"/>
    <sheet name="Ingresos investigación 2019" sheetId="10" r:id="rId3"/>
    <sheet name="Ingresos investigación 2020" sheetId="12" r:id="rId4"/>
    <sheet name="Ingresos investigación 2021" sheetId="14" r:id="rId5"/>
    <sheet name="Ingresos formación 2019" sheetId="11" r:id="rId6"/>
    <sheet name="Ingresos formación 2020" sheetId="13" r:id="rId7"/>
    <sheet name="Ingresos formación 2021" sheetId="16" r:id="rId8"/>
  </sheets>
  <definedNames>
    <definedName name="_xlnm._FilterDatabase" localSheetId="1" hidden="1">Sexenios!$A$1:$S$1</definedName>
    <definedName name="_xlnm._FilterDatabase" localSheetId="0" hidden="1">Tesis!$A$1:$U$39</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1" i="7" l="1"/>
  <c r="B4" i="13" l="1"/>
  <c r="B54" i="12"/>
  <c r="B6" i="11" l="1"/>
  <c r="C5" i="16" s="1"/>
  <c r="B63" i="10"/>
  <c r="C22" i="14" s="1"/>
  <c r="S40" i="6" l="1"/>
</calcChain>
</file>

<file path=xl/sharedStrings.xml><?xml version="1.0" encoding="utf-8"?>
<sst xmlns="http://schemas.openxmlformats.org/spreadsheetml/2006/main" count="923" uniqueCount="374">
  <si>
    <t>Orgánica
Descripción justificante</t>
  </si>
  <si>
    <t>Importe</t>
  </si>
  <si>
    <t>Total</t>
  </si>
  <si>
    <t>31.90.6C.00.11</t>
  </si>
  <si>
    <t>31.90.6P.00.08</t>
  </si>
  <si>
    <t>31.90.2T.00.10</t>
  </si>
  <si>
    <t>31.90.2T.00.11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</si>
  <si>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</si>
  <si>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</si>
  <si>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</si>
  <si>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</si>
  <si>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</si>
  <si>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</si>
  <si>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</si>
  <si>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</si>
  <si>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</si>
  <si>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</si>
  <si>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</si>
  <si>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</si>
  <si>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</si>
  <si>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</si>
  <si>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</si>
  <si>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</si>
  <si>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</si>
  <si>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</si>
  <si>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</si>
  <si>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</si>
  <si>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</si>
  <si>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</si>
  <si>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10.13</t>
  </si>
  <si>
    <t>50</t>
  </si>
  <si>
    <t/>
  </si>
  <si>
    <t>Director de tesis </t>
  </si>
  <si>
    <t>15/09/2017 </t>
  </si>
  <si>
    <t>10</t>
  </si>
  <si>
    <t>- </t>
  </si>
  <si>
    <t>27/09/2017 </t>
  </si>
  <si>
    <t>U025 </t>
  </si>
  <si>
    <t>ADM. FACULTAD DE DERECHO </t>
  </si>
  <si>
    <t>DOCTORADO EN DERECHO </t>
  </si>
  <si>
    <t>B113 </t>
  </si>
  <si>
    <t>ESTUDIOS JURIDICOS DEL ESTADO </t>
  </si>
  <si>
    <t>10.05</t>
  </si>
  <si>
    <t>29/09/2017 </t>
  </si>
  <si>
    <t>"A CONSTRUÇAO DE SENTIDOS EM TORNO DAS VIOLÊNCIAS NAS PRISOES: A VIOLÊNCIA SISTÊMICA DO UNIVERSO INTRAMUROS E O SEU (VIOLENTO) REFLEXO NO MUNDO EXTERNO" </t>
  </si>
  <si>
    <t>10.25</t>
  </si>
  <si>
    <t>14/10/2016 </t>
  </si>
  <si>
    <t>30</t>
  </si>
  <si>
    <t>Candela Sevila, Virgilio Francisco </t>
  </si>
  <si>
    <t>LA TRANSICIÓN POLÍTICA A LA DEMOCRACIA EN LA PROVINCIA DE ALICANTE: HISTORIA DE LA UNIÓN DE CENTRO DEMOCRÁTICO (1973-1983) </t>
  </si>
  <si>
    <t>10/09/2018 </t>
  </si>
  <si>
    <t>DOCTORADO EN ESTUDIOS POLÍTICOS Y CONSTITUCIONALES </t>
  </si>
  <si>
    <t>21357027D </t>
  </si>
  <si>
    <t>B113</t>
  </si>
  <si>
    <t>21436027G </t>
  </si>
  <si>
    <t>21362441H </t>
  </si>
  <si>
    <t>DOCTORADO EN DERECHO AMBIENTAL Y DE LA SOSTENIBILIDAD </t>
  </si>
  <si>
    <t>21384689W </t>
  </si>
  <si>
    <t>10.24</t>
  </si>
  <si>
    <t>75</t>
  </si>
  <si>
    <t>Beltrán Castellanos, José Miguel </t>
  </si>
  <si>
    <t>INSTRUMENTOS PARA LA EFECTIVIDAD DEL RÉGIMEN DE LA RESPONSABILIDAD MEDIOAMBIENTAL, CON ESPECIAL REFERENCIA A LAS GARANTÍAS FINANCIERAS </t>
  </si>
  <si>
    <t>14/07/2017 </t>
  </si>
  <si>
    <t>Cayotopa Díaz, Jovita Raquel </t>
  </si>
  <si>
    <t>ESTATUTO JURÍDICO INTERNACIONAL DE REFUGIADOS AMBIENTALES EN COMUNIDADES ANCESTRALES </t>
  </si>
  <si>
    <t>07/03/2017 </t>
  </si>
  <si>
    <t>Fondevila Antolin, Jorge </t>
  </si>
  <si>
    <t>UN EMPLEO PÚBLICO OBJETIVO Y EFICAZ: UN MANDATO CONTITUCIONAL TODAVÍA PENDIENTE </t>
  </si>
  <si>
    <t>48323376P </t>
  </si>
  <si>
    <t>Gutiérrez Gómez, Jesus Eduardo </t>
  </si>
  <si>
    <t>LA DEFENSA DE LOS DERECHOS FUNDAMENTALES Y LIBERTADES PÚBLICAS EN EL CONTROL DE LA ACTIVIDAD DEPORTIVA </t>
  </si>
  <si>
    <t>05/05/2017 </t>
  </si>
  <si>
    <t>Habjouqa Hanqeer, Dina </t>
  </si>
  <si>
    <t>LOS PARTIDOS POLÍTICOS EN JORDANIA (1921-2015). CREACIÓN, EVOLUCIÓN Y RETOS DE UN MODELO DEMOCRÁTICO CONTEMPORÁNEO. </t>
  </si>
  <si>
    <t>21445733G </t>
  </si>
  <si>
    <t>Leszczyna , Dorota Maria </t>
  </si>
  <si>
    <t>DEL IDEALISMO AL REALISMO CRÍTICO. LA POLÍTICA COMO REALIZACIÓN EN JOSÉ ORTEGA Y GASSET </t>
  </si>
  <si>
    <t>Molina Picazo, Miguel Antonio </t>
  </si>
  <si>
    <t>EL LIDERAZGO POLÍTICO LOCAL. UN ESTUDIO DE CASOS DE LA PROVINCIA DE ALICANTE (1979-2015) </t>
  </si>
  <si>
    <t>Peña Moreno, Efrain Eduardo </t>
  </si>
  <si>
    <t>HACIA UN RÉGIMEN JURÍDICO DE LOS DESPLAZAMIENTOS HUMANOS POR RAZONES CLIMÁTICAS </t>
  </si>
  <si>
    <t>Ruiz Guerrero, Manuel Francisco </t>
  </si>
  <si>
    <t>LA CONSTITUCIÓN Y LA INSTITUCIONALIZACIÓN DEL PROCESO POLÍTICO NICARAGÜENSE </t>
  </si>
  <si>
    <t>25/10/2016 </t>
  </si>
  <si>
    <t>Souza Armada, Charles Alexandre </t>
  </si>
  <si>
    <t>08/12/2016 </t>
  </si>
  <si>
    <t>Alves Barbosa, Jonismar </t>
  </si>
  <si>
    <t>EL CONVENIO DE AARHUS Y LA POSIBILIDAD DE PARTICIPACIÓN CIUDADANA EN DECISIONES MEDIO AMBIENTALES EN BRASIL EN VIRTUD EL IUS COGENS </t>
  </si>
  <si>
    <t>20/11/2017 </t>
  </si>
  <si>
    <t>Danieli , Adilor </t>
  </si>
  <si>
    <t>"A RESPONSABILIDADE BRASILEIRA EN ÂMBITO GLOBAL PARA COM A SUSTENTABILIDADE E A CONCIENTIZÇAO AMBIENTAL NO QUE TANGE AOS RECURSOS HÍDRICOS" </t>
  </si>
  <si>
    <t>10/04/2018 </t>
  </si>
  <si>
    <t>21502998E </t>
  </si>
  <si>
    <t>60</t>
  </si>
  <si>
    <t>DE CARVALHO , SONIA APARECIDA </t>
  </si>
  <si>
    <t>"A GOVERNANÇA DA POLÍTICA NACIONAL DE RECURSOS NATURAIS: A (IN)SUSTENTABILIDADE DO CASO BRASILEIRO DE REFLORESTAMENTO PARALELO BRASIL E ESPANHA" </t>
  </si>
  <si>
    <t>27/11/2017 </t>
  </si>
  <si>
    <t>Muñoz Gómez, Rafael </t>
  </si>
  <si>
    <t>EL AUTOCONSUMO: ECONOMÍA ELÉCTRICA SOSTENIBLE </t>
  </si>
  <si>
    <t>10/11/2017 </t>
  </si>
  <si>
    <t>21474705L </t>
  </si>
  <si>
    <t>U020 </t>
  </si>
  <si>
    <t>ADM. I.U. DEL AGUA Y DE LAS CIENCIAS AMBIENTALES </t>
  </si>
  <si>
    <t>DOCTORADO EN AGUA Y DESARROLLO SOSTENIBLE </t>
  </si>
  <si>
    <t>Cardozo Ferreira, Ximena </t>
  </si>
  <si>
    <t>INUNDACIONES URBANAS: PROPUESTAS PARA UNA GESTIÓN DE RIESGOS CON ENFOQUE EN LA PREVENCIÓN DE DAÑOS </t>
  </si>
  <si>
    <t>09/05/2019 </t>
  </si>
  <si>
    <t>González García, Elena </t>
  </si>
  <si>
    <t>LOS BIENES COMUNALES: EVOLUCIÓN Y PROPUESTAS PARA EL MUNDO RURAL. UN ESTUDIO DE CASO: LA DEHESA DE LA CONTIENDA </t>
  </si>
  <si>
    <t>30/11/2018 </t>
  </si>
  <si>
    <t>40</t>
  </si>
  <si>
    <t>Gracia Diaz, Edgar Mauricio </t>
  </si>
  <si>
    <t>SOCIEDAD DE LA INFORMACIÓN, E-GOBIERNO, E-DOCUMENTO E INTEROPERABILIDAD EN EL CONTEXTO DE LA GLOBALIZACIÓN </t>
  </si>
  <si>
    <t>26/07/2019 </t>
  </si>
  <si>
    <t>Monteiro Santos Stohrer, Camila </t>
  </si>
  <si>
    <t>HACIA LA RESPONSABILIDAD CIVIL DEL FABRICANTE POR EL DAÑO AMBIENTAL CAUSADO POR EL MOVIMIENTO TRANSFRONTERIZO DE RESIDUOS ELECTRÓNICOS </t>
  </si>
  <si>
    <t>11/06/2019 </t>
  </si>
  <si>
    <t>Pardo Beneyto, Gonzalo </t>
  </si>
  <si>
    <t>"LA MODERNIZACIÓN DE LA ADMINISTRACIÓN LOCAL MUNICIPAL: LA INNOVACIÓN Y LA REINGENIERÍA DE PROCESOS EN LOS AYUNTAMIENTOS DE ALICANTE Y VALÈNCIA (2001-2016)" </t>
  </si>
  <si>
    <t>12/11/2018 </t>
  </si>
  <si>
    <t>Ros McDonnell, Margarita </t>
  </si>
  <si>
    <t>"OCUPACIÓN ARTIFICIAL Y TRANSFORMACIÓN EN EL ENTORNO DEL MAR MENOR. BÚSQUEDA DE PAUTAS PARA UN DESARROLLO EQUILIBRADO" </t>
  </si>
  <si>
    <t>02/11/2018 </t>
  </si>
  <si>
    <t>Siqueira García, Heloise </t>
  </si>
  <si>
    <t>MECANISMOS TRANSNACIONAIS DE COMBATE À POBREZA: UMA ANÁLISE A PARTIR DA SOLIDARIEDADE, DA SUSTENTABILIDADE, DA ECONOMIA E DA GOVERNANÇA AMBIENTAL </t>
  </si>
  <si>
    <t>27/06/2019 </t>
  </si>
  <si>
    <t>Viana da Silva, Marcos Vinícius </t>
  </si>
  <si>
    <t>A POSSIBILIDADE DE UM SISTEMA DE PATENTES MAIS SUSTENTÁVEIS: AS MODIFICAÇOES NECESSÁRIAS NO SISTEMA DE PATENTES VERDES </t>
  </si>
  <si>
    <t>22/03/2019 </t>
  </si>
  <si>
    <t>10.23</t>
  </si>
  <si>
    <t>10.06</t>
  </si>
  <si>
    <t>NIF</t>
  </si>
  <si>
    <t>NOMBRE_COMPLETO</t>
  </si>
  <si>
    <t>TIPO_SEXENIO</t>
  </si>
  <si>
    <t>Total general</t>
  </si>
  <si>
    <t>INS
1</t>
  </si>
  <si>
    <t>DED
INS 1</t>
  </si>
  <si>
    <t>INS
2</t>
  </si>
  <si>
    <t>DED
INS 2</t>
  </si>
  <si>
    <t>DED
DEP</t>
  </si>
  <si>
    <t>SEX
INS 1</t>
  </si>
  <si>
    <t>SEX
INS 2</t>
  </si>
  <si>
    <t>SEX
DEP</t>
  </si>
  <si>
    <t>FUNCIONARIO</t>
  </si>
  <si>
    <t>21407194J</t>
  </si>
  <si>
    <t>ALCARAZ RAMOS, MANUEL FRANCISCO</t>
  </si>
  <si>
    <t>33490890S</t>
  </si>
  <si>
    <t>ALMODOVAR IÑESTA, MARIA</t>
  </si>
  <si>
    <t>52774665S</t>
  </si>
  <si>
    <t>CANTO LOPEZ, MARIA TERESA</t>
  </si>
  <si>
    <t>21401019W</t>
  </si>
  <si>
    <t>CHOFRE SIRVENT, JOSE FRANCISCO</t>
  </si>
  <si>
    <t>21384689W</t>
  </si>
  <si>
    <t>DIEZ SANCHEZ, JUAN JOSE</t>
  </si>
  <si>
    <t>33487725R</t>
  </si>
  <si>
    <t>ESQUEMBRE CERDA, MARIA DEL MAR</t>
  </si>
  <si>
    <t>09753530N</t>
  </si>
  <si>
    <t>GONZALEZ-VARAS IBAÑEZ, SANTIAGO</t>
  </si>
  <si>
    <t>48323376P</t>
  </si>
  <si>
    <t>MARTINEZ GUTIERREZ, RUBEN</t>
  </si>
  <si>
    <t>21502998E</t>
  </si>
  <si>
    <t>MOLINA GIMENEZ, ANDRES</t>
  </si>
  <si>
    <t>21474705L</t>
  </si>
  <si>
    <t>ORTIZ GARCIA, MARIA MERCEDES</t>
  </si>
  <si>
    <t>21450008R</t>
  </si>
  <si>
    <t>ROSA MORENO, JUAN</t>
  </si>
  <si>
    <t>21474106H</t>
  </si>
  <si>
    <t>TEROL GOMEZ, RAMON</t>
  </si>
  <si>
    <t>21436027G</t>
  </si>
  <si>
    <t>VALENCIA MARTIN, GERMAN</t>
  </si>
  <si>
    <t>31.90.6C.00.25</t>
  </si>
  <si>
    <t xml:space="preserve">INFORME JURÍDICO EN RELACIÓN CON LOS SIGUIENTES ASUNTOS RELATIVOS A RUVID </t>
  </si>
  <si>
    <t>31.90.6C.00.30</t>
  </si>
  <si>
    <t>REALIZACIÓN DE UN DICTAMEN JURÍDICO RELATIVO A LA VIGENCIA DEL CONTRATO DE CONCESIÓN DE ABASTECIMIENTO DE AGUA POTABLE DEL MUNICIPIO DE CASTALLA (ALICANTE), TRAS SENDAS SENTENCIAS DEL JUZGADO Nº 4 DE LO CONTENCIOSO-ADMINISTRATIVO DE ALICANTE Y LA SECCIÓN 5ª DE LA SALA DE LO CONTENCIOSO-ADMINISTRATIVO, QUE ANULAN UNA PRÓRROGA EXPRESA DEL MENCIONADO CONTRATO. TODO ELLO TENIENDO EN CUENTA LAS PREVISIONES ESTABLECIDAS EN LA CLÁUSULA 29 DE CONDICIONES ADMINISTRATIVAS QUE LO RIGEN</t>
  </si>
  <si>
    <t>REINTEGRO CUOTA PATRONAL CORRESPONDIENTE AL MES DE DICIEMBRE DE 2019</t>
  </si>
  <si>
    <t>31.90.6C.00.31</t>
  </si>
  <si>
    <t>REALIZACIÓN DE UN DICTAMEN JURÍDICO RELATIVO AL MARCO CONTRACTUAL DEL SERVICIO PÚBLICO DEL ABASTECIMIENTO DE AGUA, SANEAMIENTO Y ALCANTARILLADO, DEL MUNICIPIO DE ORIHUELA (ALICANTE)</t>
  </si>
  <si>
    <t>31.90.6C.00.32</t>
  </si>
  <si>
    <t>ASESORAMIENTO Y ELABORACION DE INFORMES EN MATERIA DE APLICACION DE LA NORMATIVA DEPORTIVA AUTONOMICA Y ESTATAL EN LO QUE AFECTE AL REGIMEN DE FUNCIONAMIENTO, COMPETENCIAS Y ACTIVIDADES DE LA FEDERACION DE MOTOCICLISMO DE LA COMUNIDAD VALENCIANA. SEGUNDO PAGO</t>
  </si>
  <si>
    <t>ASESORAMIENTO Y ELABORACION DE INFORMES EN MATERIA DE APLICACION DE LA NORMATIVA DEPORTIVA AUTONOMICA Y ESTATAL EN LO QUE AFECTE AL REGIMEN DE FUNCIONAMIENTO,COMPETENCIAS Y ACTIVIDADES DE LA FEDERACION DE MOTOCICLISMO DE LA COMUNIDAD VALENCIANA. TERCER PAGO</t>
  </si>
  <si>
    <t>ASESORAMIENTO Y ELABORACIÓN DE INFORMES EN MATERIA DE APLICACIÓN DE LA NORMATIVA DEPORTIVA AUTONÓMICA Y ESTATAL EN LO QUE AFECTE AL RÉGIMEN DE FUNCIONAMIENTO,COMPETENCIAS Y ACTIVIDADES DE LA FEDERACIÓN DE MOTOCICLISMO DE LA COMUNIDAD VALENCIANA.  PRIMER PAGO  MDE1-18TPA</t>
  </si>
  <si>
    <t>31.90.6C.00.33</t>
  </si>
  <si>
    <t>ELABORACIÓN DE DICTAMEN JURÍDICO SOBRE LAS COMPETENCIAS DE LA LIGA NACIONAL DE FÚTBOL PROFESIONAL EN RELACIÓN CON LAS CUESTIONES SUSCITADAS EN EL CONFLICTO DE COMPETENCIAS CON LA REAL FEDERACIÓN ESPAÑOLA DE FÚTBOL, PLANTEADO ANTE EL CONSEJO SUPERIOR DE DEPORTES</t>
  </si>
  <si>
    <t>31.90.6C.00.34</t>
  </si>
  <si>
    <t>ASESORAMIENTO JURÍDICO Y DICTAMEN SOBRE EL PROYECTO DENOMINADO "SELLADO JURÍDICO" Su número de pedido PP-VERI-DAS-2019-038</t>
  </si>
  <si>
    <t>31.90.6C.00.35</t>
  </si>
  <si>
    <t>ESTUDIO SOBRE LA POSIBILIDAD DE IMPULSAR LA CREACIÓN DE EQUIPOS EDITORIALES PARA LA REALIZACIÓN DE MATERIAL ESCOLAR POR INVESTIGADORES/AS DE LOS CENTROS UNIVERSITARIOS NAVARROS</t>
  </si>
  <si>
    <t>31.90.6C.00.36</t>
  </si>
  <si>
    <t>ELABORACION DE DICTAMEN JURIDICO SOBRE LA VIABILIDAD DE LA PROPUESTA DE EXPROPIACION DE ACCIONES DEL REAL SPORTING DE GIJON SAD POR EL AYUNTAMIENTO DE GIJON, FORMULADA POR "TU FE NUNCA DECAIGA"</t>
  </si>
  <si>
    <t>31.90.6C.00.37</t>
  </si>
  <si>
    <t>INFORME A PETICION DE NOUS ESPAIS tORRENT, s.a.u. SOBRE EL GRADO DE OBLIGACIÓN DE REALIZAR UNA LIQUIDACIÓN DEFINITIVA EN LOS SECTORES  EL TOLL- l'ALBERCA Y EL SECTOR</t>
  </si>
  <si>
    <t>31.90.6C.00.38</t>
  </si>
  <si>
    <t>COLABORACIÓN EN EL ENCARGO DE LA CONSELLERÍA DE TRANSPARENCIA RESPONSABILIDAD SOCIAL PARTICIPACIÓN Y COOPERACIÓN, SOBRE EL DESARROLLO REGLAMENTARIO DE LA LEY 18/2018, DE 13 DE JULIO PARA FOMENTO DE LA RESPONSABILIDAD SOCIAL.</t>
  </si>
  <si>
    <t>31.90.6C.00.39</t>
  </si>
  <si>
    <t>sesoramientos, estudios e Informes frente al posible interés de Confederación Hidrográfica de que los abastecimientos de agua se realicen a través de la desaladora de Muchamiel AGUASALICANTE2-19TPA</t>
  </si>
  <si>
    <t>31.90.6C.00.40</t>
  </si>
  <si>
    <t xml:space="preserve">DIRECCIÓN DEL INFORME PARA LA JUNTA DE PERSONAL DEL CONSORCIO DE EMERGENCIAS DE GRAN CANARIA, SOBRE LA ORDENACIÓN DEL TIEMPO DE TRABAJO Y LA COMPENSACIÓN EN HORAS DE DESCANSO DEL TIEMPO TRABAJADO EN JORNADA DE NOCHE POR PARTE DE LOS BOMBEROS </t>
  </si>
  <si>
    <t>31.90.6C.00.41</t>
  </si>
  <si>
    <t>Elaboración de un Informe sobre la importancia de las Habaneras para Torrevieja y España y su relación con la ciudad de la Habana. El informe deberá contener los pasos a seguir y /o posibles recomendaciones para solicitar la inclusión de las Habaneras como parte del Patrimonio Cultural Inmaterial de la UNESCO</t>
  </si>
  <si>
    <t>31.90.6C.00.43</t>
  </si>
  <si>
    <t>Estructuras territoriales locales de gobernanza turística. Estudio tipológico. Guía para los Ayuntamientos. FVMP-19TPA</t>
  </si>
  <si>
    <t>31.90.6C.00.44</t>
  </si>
  <si>
    <t>Análisis y posicionamiento sobre el borrador del decreto, y propuesta de incorporación del gasto turístico. Concretado en la alegación al proyecto de decreto por el que se aprueba el Estatuto del Municipio Turístico de la Comunitat Valenciana. Propuesta de determinación de las partidas y conceptos del gasto turístico. Propuesta de adaptación, desde la perspectiva FVMP, del Plan de Espacios Turísticos de la Comunitat Valenciana</t>
  </si>
  <si>
    <t>31.90.6C.00.45</t>
  </si>
  <si>
    <t>INFORME ACERCA DE SI PROCEDE ABONAR CANTIDADES A AGUAS DE VALENCIA, S.A. POR LA REALIZACIÓN DE OBRAS EN EL MUNICIPIO DE BÉTERA</t>
  </si>
  <si>
    <t>31.90.6C.00.46</t>
  </si>
  <si>
    <t>INFORME SOBRE LA ADMINISTRACION A LA QUE PROCEDE ADSCRIBIR EL CONSORCIO DE EMERGENCIAS DE GRAN CANARIA</t>
  </si>
  <si>
    <t>31.90.6C.00.47</t>
  </si>
  <si>
    <t>DICTAMEN SOBRE LA PROCEDENCIA EN DERECHO DE LAS RECLAMACIONES ECONÓMICAS AL AYUNTAMIENTO DE ALMUÑECAR</t>
  </si>
  <si>
    <t>31.90.6C.00.48</t>
  </si>
  <si>
    <t>ASISTENCIA JURÍDICA PARA EL DIAGNÓSTICO DE LAS HERRAMIENTAS DE E-ADMINISTRACIÓN DE LA DIPUTACIÓN FORAL DE ÁLAVA Y SU ADECUACIÓN A LAS LEYES 39 Y 40 DE 2015 (P-2019036)</t>
  </si>
  <si>
    <t>31.90.6C.00.49</t>
  </si>
  <si>
    <t>ESTUDIO DOCTRINAL Y JURISPRUDENCIAL SOBRE LA PRÓRROGA O AMPLIACIÓN TEMPORAL DE UN CONTRATO ADMINISTRATIVO. CASO CONCRETO DEL CONTRATO DEL CICLO INTEGRAL DEL AGUA DEL MUNICIPIO DE TORREVIEJAHIDRAQUA2-19TPA</t>
  </si>
  <si>
    <t>31.90.6C.00.50</t>
  </si>
  <si>
    <t>ANÁLISIS JURÍDICO DE LA SITUACIÓN URBANÍSTICA DEL "COMPLEJO TURÍSTICO-DEPORTIVO Y HOTELERO EL PLANTÍO EN EL TÉRMINO MUNICIPAL DE ALICANTE"PLANTIOGOLF1-19TPA</t>
  </si>
  <si>
    <t>31.90.6N.00.03</t>
  </si>
  <si>
    <t xml:space="preserve">11290 S8050 PAGO 30% CONVENIO UA.FOMENTO ACT. MAT. TRANSPARENCIA Y PARTICIPACION CIUDADANA 2019 </t>
  </si>
  <si>
    <t>11290 S8050 PAGO CONVENIO CON LA UNIVERSITAT ALACANT. FOMENTO ACTIVIDADES EN MATERIA DE TRANSP. Y PARTICI. CIUDADANA.</t>
  </si>
  <si>
    <t>REINTEGRO CUOTA PATRONAL CORRESPONDIENTE AL MES DE NOVIEMBRE 2019.</t>
  </si>
  <si>
    <t>FLIB 18/03/19. PROYECTOS I+D+I RETOS 2017. ANUAL 2019. UNIV2 PROYECTOS I+D RETOS (PIA13) N EXPEDIENTE: PIA132017-1 -2 ANUALIDAD REFERENCI. REF. ORDENANTE: 27402219310014411.</t>
  </si>
  <si>
    <t>31.90.6P.00.10</t>
  </si>
  <si>
    <t xml:space="preserve">SUBVENCIONES REALIZACIÓN GRUPOS CONSOLIDABLES. AICO/2018.2ªANUALIDAD </t>
  </si>
  <si>
    <t>31.90.6P.00.13</t>
  </si>
  <si>
    <t xml:space="preserve">AORG - ORGANITZACIÓ CONGRESSOS </t>
  </si>
  <si>
    <t>31.90.6Q.00.01</t>
  </si>
  <si>
    <t>4484 EBNOMI/2019/6 PAGO (ECONOMÍA SOSTENIBLE,S.PRODUCTIVOS, C Y T)</t>
  </si>
  <si>
    <t>31.90.6X.00.01</t>
  </si>
  <si>
    <t>FIRST PAYMENT OF THE EUROPE-CUBA FORUM NETWORK PROJECT. LA OFICINA DE GESTIÓN DE PROYECTOS INTERNACIONALES INFORMA QUE SE TRATA DEL PRIMER INGRESO DEL PROYECTO EUROPE-CUBA . DEPARTAMENTO DE ESTUDIOS JURÍDICOS DEL ESTADO.</t>
  </si>
  <si>
    <t>Liquidación  PLAN 9156 curso ''EXPERTO EN DISEÑO. GESTIÓN Y EVALUACIÓN DE POLÍTICAS PÚBLICAS'' ORDEN 5355</t>
  </si>
  <si>
    <t>Liquidación  PLAN 9142 curso ''9142 EXPERTO EN LIDERAZGO POLÍTICO'' ORDEN 5322</t>
  </si>
  <si>
    <t>Fernández Álvaro, Alfonso </t>
  </si>
  <si>
    <t>EL TRATAMIENTO DE LA RELACIÓN BILATERAL ENTRE ESPAÑA Y ESTADOS UNIDOS POR EL PERIODISMO ESPAÑOL DURANTE EL PERIODO 1975-2005 (LOS CASOS DE LOS PERIÓDICOS, ABD, LA VANGUARDIA Y EL PAÍS) </t>
  </si>
  <si>
    <t>02/03/2020 </t>
  </si>
  <si>
    <t>Morelle Hungría, Esteban </t>
  </si>
  <si>
    <t>Nuevos retos en la protección del medio marino. La reconexión verde: entre el derecho ambiental y la criminología para la conservación de la biodiversidad </t>
  </si>
  <si>
    <t>10/07/2020 </t>
  </si>
  <si>
    <t>09019643D</t>
  </si>
  <si>
    <t>CAMISON YAGUE, JOSE ANGEL</t>
  </si>
  <si>
    <t>74217631N</t>
  </si>
  <si>
    <t>OCHOA MONZO, JOSEP</t>
  </si>
  <si>
    <t>COD DEP</t>
  </si>
  <si>
    <t>15423534X</t>
  </si>
  <si>
    <t>BELTRAN CASTELLANOS, JOSE MIGUEL</t>
  </si>
  <si>
    <t>NO FUNCIONARIO</t>
  </si>
  <si>
    <t>vivos</t>
  </si>
  <si>
    <t>48525115Z</t>
  </si>
  <si>
    <t>ROMERO TARIN, ADELA</t>
  </si>
  <si>
    <t>Fuentes Santamaria, Asuncion </t>
  </si>
  <si>
    <t>EL CARÁCTER CONTINGENTE DE LA ADMINISTRACIÓN MUNICIPAL: SU MODERNIZACIÓN HACIA LA ADMINISTRACIÓN ELECTRÓNICA. UN ESTUDIO DEL AYUNTAMIENTO DE ALICANTE Y SUS ORGANISMOS AUTÓNOMOS. </t>
  </si>
  <si>
    <t>04/12/2020 </t>
  </si>
  <si>
    <t>De Souza Nunes Filho, Paulo </t>
  </si>
  <si>
    <t>EL ORIGEN Y LA INSTITUCIONALIZACIÓN DEL PODER JUDICIAL DE BRASIL </t>
  </si>
  <si>
    <t>26/11/2020 </t>
  </si>
  <si>
    <t>Ribeiro Freyesleben, Luiz Eduardo </t>
  </si>
  <si>
    <t>O RENASCIMENTO DO ULTRANACIONALISMO COMO AMEAÇA À CONSTRUÇÃO DE UMA GOVERNANÇA GLOBAL AMBIENTAL </t>
  </si>
  <si>
    <t>13/05/2021 </t>
  </si>
  <si>
    <t>Maas dos Anjos, Rafael </t>
  </si>
  <si>
    <t>ECONOMIA CIRCULAR NA PÓS-MODERNIDADE: GESTÃO SUSTENTÁVEL E RESPONSÁVEL DOS RESÍDUOS SÓLIDOS PÓS-CONSUMO EM TEMPOS DE OBSOLESCÊNCIA PLANEJADA </t>
  </si>
  <si>
    <t>14/05/2021 </t>
  </si>
  <si>
    <t>U023 </t>
  </si>
  <si>
    <t>ADM. FACULTAD DE FILOSOFIA Y LETRAS </t>
  </si>
  <si>
    <t>DOCTORADO EN FILOSOFÍA Y LETRAS </t>
  </si>
  <si>
    <t>Molina Burguera, Guillermo </t>
  </si>
  <si>
    <t>LA GESTIÓN DEL ENTORNO HISTÓRICO: CASOS DE ESTUDIO EN ESPAÑA, FRANCIA Y REINO UNIDO </t>
  </si>
  <si>
    <t>02/03/2021 </t>
  </si>
  <si>
    <t>Torres Díaz, María Concepción </t>
  </si>
  <si>
    <t>El sexo de la Constitución. El discurso jurídico frente a la realidad socio-sexual de las mujeres. Un análisis crítico sobre las categorías "sexo" y "género" como categorías de relevancia constitucional </t>
  </si>
  <si>
    <t>29/06/2021 </t>
  </si>
  <si>
    <t>33487725R </t>
  </si>
  <si>
    <t>Abib Hecktheuer, Pedro </t>
  </si>
  <si>
    <t>A IMPOSSIBILIDADE DE MEGAPROJETOS HIDRELÉTRICOS QUE VIOLAM A SUSTENTABILIDADE DOS POVOS E COMUNIDADES TRADICIONAIS DA AMAZÔNIA COMO UM DIREITO CONSTITUCIONAL DIFUSO E INVIOLÁVEL. </t>
  </si>
  <si>
    <t>20/01/2021 </t>
  </si>
  <si>
    <t>REINTEGRO CUOTA PATRONAL CORRESPONDIENTE A DICIEMBRE DE 2020.</t>
  </si>
  <si>
    <t>REINTEGRO CUOTA PATRONAL CORRESPONDIENTE A OCTUBRE DE 2020.</t>
  </si>
  <si>
    <t>31.90.6C.00.51</t>
  </si>
  <si>
    <t>ASISTENCIA EN LA RATIFICACIÓN DE  LA PRUEBA PERICIAL DE D. JAVIER BLANCO FREIRE EL 22/01/2020 EN EL TRIBUNAL DE JUSTICIA DE MADRID</t>
  </si>
  <si>
    <t>31.90.6C.00.52</t>
  </si>
  <si>
    <t>INFORME DE APOYO A LAS RECLAMACIONES DE RESPONSABILIDAD ADMINISTRATIVA POR LOS PERJUICIOS OCASIONADOS COMO CONSECUENCIA DE LA OMISIÓN DE LA HABILITACIÓN DE GASTO EN LOS PRESUPUESTOS GENERALES DEL ESTADO DE 2013</t>
  </si>
  <si>
    <t>31.90.6C.00.53</t>
  </si>
  <si>
    <t>DICTAMEN SOBRE LA VIABILIDAD JURÍDICA DE UTILIZAR EL MECANISMO DE APLIACIÓN DEL PLAZO DE DURACIÓN DE LA CONCESIÓN COMO FÓRMULA DE COMPENSACIÓN DE LAS INVERSIONES A REALIZAR POR LA EMPRESA Y MANTENIENDO EL EQUILIBRIO ECONÓMICO DEL CONTRATO DE CONCESIÓN</t>
  </si>
  <si>
    <t>31.90.6C.00.54</t>
  </si>
  <si>
    <t>DICTAMEN SOBRE LA ADECUACIÓN JURÍDICA A LA LEY 40/2015 Y ANÁLISIS DEL INFORME DE AUDITORÍA OPERATIVA DE LA SINDICATURA DE LOS CONVENIOS DE COLABORACIÓN EN MATERIA DE REUTILIZACIÓN Y TRANSFERENCIA DE TECNOLOGÍA DE SUMA- Gestión Tributaria</t>
  </si>
  <si>
    <t>31.90.6C.00.56</t>
  </si>
  <si>
    <t>INFORME SOBRE SI EN SUELO URBANO PROCEDE REALIZAR CESIONES POR PARTE DE PROPIETARIOS</t>
  </si>
  <si>
    <t>31.90.6C.00.57</t>
  </si>
  <si>
    <t>ASESORAMIENTO Y REDACCIÓN DE ESCRITOS EN CONTESTACIÓN A LOS REQUERIMIENTOS DE CONFEDERACIÓN HIDROGRÁFICA DEL JÚCAR RELATIVOS A SU INTERÉS EN QUE AGUAS DE ALICANTE</t>
  </si>
  <si>
    <t>31.90.6C.00.58</t>
  </si>
  <si>
    <t xml:space="preserve">INFORME JURÍDICO SOBRE EL PROJECTE DE LLEY D'ÈSPORTS ELECTRÒNICS DEL PRINCIPAT D'ANDORRA </t>
  </si>
  <si>
    <t>31.90.6C.00.59</t>
  </si>
  <si>
    <t>Primer pago correspondiente a la "Elaboración de proyectos normativos para el desarrollo reglamentario de los Estatutos de la Federación Motociclista de la Comunidad Valenciana, y seguimiento hasta su aprobación por el órgano competente de la Generalitat Valenciana</t>
  </si>
  <si>
    <t>Segundo pago correspondiente a la "Elaboración de proyectos normativos para el desarrollo reglamentario de los Estatutos de la Federación Motociclista de la Comunidad Valenciana, y seguimiento hasta su aprobación por el órgano competente de la Generalitat Valenciana</t>
  </si>
  <si>
    <t>31.90.6C.00.60</t>
  </si>
  <si>
    <t>ELABORACIÓN GUIA SOBRE DOCUMENTACIÓN ADREDITATIVA PARA RECONOCIMIENTO COMO MUNICIPIO TURÍSTICO Y RECOPILACIÓN Y DIFUSIÓN DE MODELOS TIPO DE ORDENANZAS SOBRE ESTRUCTURAS MUNICIPALES DE GOBERNANZA TURÍSTICA</t>
  </si>
  <si>
    <t>31.90.6C.00.61</t>
  </si>
  <si>
    <t>ELABORACIÓN CAJA DE HERRAMIENTAS PARA LOS GESTORES TURÍSTICOS DE LOS MUNICIPIOS (AUTORIDADES ELECTAS Y PERSONAL TÉCNICO)</t>
  </si>
  <si>
    <t>31.90.6C.00.62</t>
  </si>
  <si>
    <t>ASISTENCIA TÉCNICA EN LA ELABORACIÓN DEL ESCRITO DE DEFENSA DEL PROCEDIMIENTO 65/2020 SEGUN DILIGENCIA DE 6 DE JULIO DE 2020</t>
  </si>
  <si>
    <t>31.90.6C.00.63</t>
  </si>
  <si>
    <t>INFORME SOBRE CRITERIOS JURÍDICOS PARA LA VALORACIÓN DEL SUELO RELACIONADO CON EL PLAN PARCIAL BAHÍA DE MAZARRÓN</t>
  </si>
  <si>
    <t>31.90.6C.00.64</t>
  </si>
  <si>
    <t>INFORME JURÍDICO SOBRE LA CORRECCIÓN Y PROCEDENCIA EN DERECHO ADMINISTRATIVO DE LAS PRETENSIONES DE COBRO DE AUTOPISTAS DEL SURESTE, C.E.A.S.A. (AUSUR) EN RELACIÓN CON LAS CUENTAS DE COMPENSACIÓN 2014-2018</t>
  </si>
  <si>
    <t>31.90.6C.00.65</t>
  </si>
  <si>
    <t>INFORME JURÍDICO SOBRE LAS ENMIENDAS PRESENTADAS EN EL TRÁMITE PARLAMENTARIO RELATIVO A LA APROBACIÓN POR EL CONSELL GENERAL DEL PROJECTE DE LLEI D'ESPORTS ELECTRONICS DEL PRINCIPAT D'ANDORRA</t>
  </si>
  <si>
    <t>31.90.6C.00.66</t>
  </si>
  <si>
    <t>INFORME PARCIAL CORRESPONDIENTE AL 70% DEL TOTAL DEL ENCARGO "ELABORACIÓN DE LA RELACIÓN DE PUESTOS DE TRABAJO DEL AYUNTAMIENTO DE LA NUCIA"</t>
  </si>
  <si>
    <t>31.90.6C.00.67</t>
  </si>
  <si>
    <t>Informe sobre la aplicación de la legislación de contratos a la contratación del IVAM con estos puntos: 1. Régimen jurídico de contratación del IVAM 2. Pago del precio del contrato 3.El expediente administrativo 4. La comisión de adquisición del IVAM t. Intervención de terceros en las contratas 6. Informe de fiscalización del tribunal de cuentas sobre la contratación de los tres grandes museos españoles 6. Ratificación del informe</t>
  </si>
  <si>
    <t>31.90.6M.00.01</t>
  </si>
  <si>
    <t>REINTEGRO DE CERRADO DEBIDO A SU NO INTEGRACIÓN EN EL CONVENIO DE TRANSPARENCIA.  Factura Nº 4000223531. JG:2019-46142</t>
  </si>
  <si>
    <t xml:space="preserve">FLIB. 18/02/2020 PROYECTOS RETOS INVESTIGACION 2017. ANUAL 2020 PROYECTOS I+D RETOS ( PIA 13) N EXPEDIENTE: PIA 132017-1 -3. ANUALIDAD REFERENCIA: DER2017-89157-R </t>
  </si>
  <si>
    <t>31.90.6P.00.14</t>
  </si>
  <si>
    <t xml:space="preserve">RESOLUCIÓN CONCESIÓN DE 16/06/2020 SUBV.AORG/2020 (INNOVACIÓN,UNIVERSIDADES,CIENCIA SOC.DIG). </t>
  </si>
  <si>
    <t>8032 EBNOMI/2020/6  PAGO, (ECONOMÍA SOSTENIBLE,S.PRODUCTIVOS, C Y T), según informan de Gestión Económica de la Investigación</t>
  </si>
  <si>
    <t>31.90.6Q.00.02</t>
  </si>
  <si>
    <t>2001069CU0: LIB.1 (50%CONV), S/PP.SUBSECRET.4/11/2020. ACUERDO COOPERACION CATEDRA NUEVA TRANSICION VERDE UA (VIVIENDA Y ARQUITECTURA BIOCLIMÁTICA)</t>
  </si>
  <si>
    <t>31.90.2T.00.12</t>
  </si>
  <si>
    <t>PLAN 9281 2019/20 "Máster en nuevos procesos políticos y constitucionales"</t>
  </si>
  <si>
    <t>Cód. org. aplic.</t>
  </si>
  <si>
    <t>Descripción justificante</t>
  </si>
  <si>
    <t xml:space="preserve">Plan 9281 curso 2021-22, MÁSTER EN NUEVOS PROCESOS POLÍTICOS Y CONSTITUCIONALES </t>
  </si>
  <si>
    <t>31.90.6C.00.55</t>
  </si>
  <si>
    <t>ASISTENCIA JURÍDICA EN RELACIÓN AL EXPEDIENTE DE EXIGENCIA DE RESPONSABILIDAD MEDIOAMBIENTAL PREVISTO EN LA LEY 26/2007, DE 23 DE OCTUBRE, DE RESPONSABILIDAD MEDIOAMBIENTAL, A INICIAR POR CAUSA DEL DESLIZAMIENTO OCURRIDO EN EL VERTEDERO DE ZALDIBAR</t>
  </si>
  <si>
    <t>INFORME FINAL CORRESPONDIENTE AL 30% DEL TOTAL DEL ENCARGO "ELABORACION DE LA RELACIÓN DE PUESTOS DE TRABAJO DEL AYUNTAMIENTO DE LA NUCIA"</t>
  </si>
  <si>
    <t>31.90.6C.00.68</t>
  </si>
  <si>
    <t>ESCRITO DE CONCLUSIONES EN RELACIÓN CON LA RESOLUCIÓN DE 1/06/2020 DE LA CONFEDERACIÓN HIDROGRÁFICA DEL JÚCAR POR EL QUE SE CONTESTA LAS ALEGACIONES PRESENTADAS AL REQUERIMIENTO PARA SUSTITUCIÓN DE CAUDALES CONCESIONALES (Nº DE REFERENCIA 2002CP0059) Y ORDENA LA DERIVACIÓN DE CAUDALES DESDE LA DESALINIZADORA DE MUCHAMIEL</t>
  </si>
  <si>
    <t>31.90.6C.00.69</t>
  </si>
  <si>
    <t>ESTUDIOS PARA LA REDACCIÓN DE LA ACCIÓN DE INACTIVIDAD POR INCUMPLIMIENTO DE LA ADMINISTRACIÓN EN RELACIÓN CON LA EJECUCIÓN DEL PLAN HIDROLÓGICO DE CUENCA EN SUS DOS PRIMEROS CICLOS (2009-2015 Y 2015-2021)</t>
  </si>
  <si>
    <t>31.90.6C.00.70</t>
  </si>
  <si>
    <t>INFORME Y COLABORACIÓN EN RELACIÓN CON LA REDACCIÓN DE LA ACCIÓN DE INACTIVIDAD POR INCUMPLIMIENTO DE LA ADMINISTRACION EN RELACIÓN CON LA CONSTRUCCIÓN DEL SALMUERODUCTO PARA RECOGER LOS VERTIDOS DE LAS DESALADORAS PRIVADAS DEL CAMPO DE CARTAGENA</t>
  </si>
  <si>
    <t>31.90.6C.00.71</t>
  </si>
  <si>
    <t>INFORME SOBRE LA INACTIVIDAD POR INCUMPLIMIENTO DE LA ADMINISTRACIÓN EN RELACIÓN CON LA AMPLIACIÓN DE LA DESALADORA DEL MOJÓN</t>
  </si>
  <si>
    <t>31.90.6C.00.72</t>
  </si>
  <si>
    <t>INFORME EN RELACIÓN CON UNA ACCIÓN DE INCONSTITUCIONALIDAD SOBRE LA LEY DEL MAR MENOR EN LA REGIÓN DE MURCIA</t>
  </si>
  <si>
    <t>31.90.6C.00.73</t>
  </si>
  <si>
    <t>ASISTENCIA JURÍDICA EXPERTA EXTERNA PARA LA TERMINACIÓN DEL EXPEDIENTE DE EXIGENCIA DE RESPONSABILIDAD MEDIOAMBIENTAL, INICIADO POR CAUSA DEL DESLIZAMIENTO OCURRIDO EN EL VERTEDERO UBICADO EN ZALDIVAR</t>
  </si>
  <si>
    <t>31.90.6C.00.75</t>
  </si>
  <si>
    <t>INFORME EN RELACIÓN CON EL RECURSO DE REPOSICIÓN CONTRA EL ACUERDO DE LA JUNTA DE GOBIERNO LOCAL POR EL QUE SE DECLARA LA EXTINCIÓN DE LAS CONCESIONES DEMANIALES DE DONOSTI COQUES UNO, S.L.</t>
  </si>
  <si>
    <t>31.90.6C.00.76</t>
  </si>
  <si>
    <t>INFORME JURÍDICO EN RELACIÓN CON LA VIABILIDAD EN DERECHO DE LOS CONVENIOS URBANÍSTICOS DE GESTIÓN EN LA UNIDAD DE EJECUCIÓN 4 "CONSOLACIÓN" SIENDO PROMOTOR EL PROPIO AYUNTAMIENTO</t>
  </si>
  <si>
    <t>31.90.6C.00.78</t>
  </si>
  <si>
    <t>DICTAMEN PARA LA DETERMINACIÓN Y ADECUACIÓN DE LOS INSTRUMENTOS DE PROTECCIÓN LEGAL Y NORMATIVA DE LA FINCA LANGOSTINA (ORIHUELA)</t>
  </si>
  <si>
    <t>31.90.6C.00.79</t>
  </si>
  <si>
    <t>ELABORACION INFORME CON EL OBJETO DE PROPONER UNA REFORMA LEGAL QUE VIABILICE EL IMPULSO DE PROYECTOS DE OBSERVACIÓN ASTROFÍSICA EN LA ISLA DE LA PALMA</t>
  </si>
  <si>
    <t>31.90.6C.00.80</t>
  </si>
  <si>
    <t>INFORME SOBRE LA COMPATIBILIDAD CON EL PLANTEAMIENTO LOCAL URBANÍSTICO DE UNA CENTRAL SOLAR FOTOVOLTAICA EN CASTALLA</t>
  </si>
  <si>
    <t>31.90.6C.00.84</t>
  </si>
  <si>
    <t>EVALUACIÓN DEL ESTATUTO DEL MUNICIPIO TURISTICO Y ASESORAMIENTO PROFESIONAL INTEGRAL DEL POSICIONAMIENTO DE LA FVMP ANTE LA POSIBLE ACTUALIZACIÓN DEL ESTATUTO, IMPULSADO POR FVMP Y DENTRO DEL CONVENIO CON TURISME COMUNITAT VALENCIANA</t>
  </si>
  <si>
    <t>31.90.6C.00.85</t>
  </si>
  <si>
    <t>ACTUALIZACIÓN DE LOS MATERIALES ELABORADOS EN 2020 SOBRE LA CAJA DE HERRAMIENTAS TURÍSTICAS Y DOCUMENTACIÓN ACREDITATIVA PARA SER RECONOCIDO MUNICIPIO TURÍSTICO</t>
  </si>
  <si>
    <t>12110 S8333 BESTRETA 30% CONV. AMB UAFOMENT ACT. UNIV. PUBLIQUES MAT. TRANSPAENCIA I BON GOVERN (PARTICIPACIÓN TRANSPAR.COOPERACIÓ YC.DEM)</t>
  </si>
  <si>
    <t>2106004CU0.LIB.1 S/PPTA DG 12/05/2021(CONVEN).ACUERDO DE COOPERACION UA CATEDRA DE NUEVA TRANSICION VERDE 2021 (VICEPRESIDENCIA SEGUNDA Y CONSELLERÍA DE VIVIENDA Y ARQUITECTURA BIOCLIMÁTICA)</t>
  </si>
  <si>
    <t>SECOND PAYMENT JMN EU-CUBA FORUM PROJECT.PROYECTO EUROPE-CUBA, INVESTIGADOR PRINCIPAL JOSE FRANCISCO CHOFRE</t>
  </si>
  <si>
    <t>36481448V </t>
  </si>
  <si>
    <t>García Ortiz, Adrián </t>
  </si>
  <si>
    <t>Orden público y Unión Europea. Una contribución a la construcción constitucional europea </t>
  </si>
  <si>
    <t>30/09/2021 </t>
  </si>
  <si>
    <t>21401019W </t>
  </si>
  <si>
    <t>Villalba Clemente, Francisco Gabriel </t>
  </si>
  <si>
    <t>El modelo constitucional de organización y financiación territorial en la República Federal de Alemania: Aportaciones al modelo español </t>
  </si>
  <si>
    <t>17/06/2022 </t>
  </si>
  <si>
    <t>09019643D </t>
  </si>
  <si>
    <t>Lima Dos Santos, Daiane </t>
  </si>
  <si>
    <t>Prisión, trabajo, derechos fundamentales y políticas públicas: Un enfoque sociojurídico de género en Brasil </t>
  </si>
  <si>
    <t>14/01/2022 </t>
  </si>
  <si>
    <t>Cordero Cervantes, Felipe Bernardo </t>
  </si>
  <si>
    <t>La nueva perspectiva de la acción de amparo en Bolivia. Referencias al recurso de amparo español </t>
  </si>
  <si>
    <t>04/02/2022 </t>
  </si>
  <si>
    <t>21445733G</t>
  </si>
  <si>
    <t>MENENDEZ ALZAMORA, MANUEL</t>
  </si>
  <si>
    <t>29075312T</t>
  </si>
  <si>
    <t>TORRES DÍAZ, MARÍA CONCEPCIÓN</t>
  </si>
  <si>
    <t>20</t>
  </si>
  <si>
    <t>Total ingresos investigación 2019, 2020 y 2021</t>
  </si>
  <si>
    <t>Total ingresos formación 2019, 2020 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</si>
</sst>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1"/>
      <color theme="0"/>
      <name val="Calibri"/>
      <family val="2"/>
      <scheme val="minor"/>
    </font>
    <font>
      <b/>
      <sz val="11"/>
      <color theme="1"/>
      <name val="Calibri"/>
      <family val="2"/>
      <scheme val="minor"/>
    </font>
    <font>
      <sz val="8"/>
      <color rgb="FF000000"/>
      <name val="Arial"/>
      <family val="2"/>
    </font>
    <font>
      <b/>
      <sz val="10"/>
      <color theme="1"/>
      <name val="Arial"/>
      <family val="2"/>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FFFF"/>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ck">
        <color theme="0"/>
      </top>
      <bottom/>
      <diagonal/>
    </border>
    <border>
      <left style="thin">
        <color theme="0"/>
      </left>
      <right/>
      <top style="thick">
        <color theme="0"/>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style="thin">
        <color theme="1"/>
      </top>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68">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164" fontId="4" fillId="2" borderId="1" xfId="1" applyNumberFormat="1" applyFont="1" applyFill="1" applyBorder="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11" fillId="6" borderId="2" xfId="0" applyFont="1" applyFill="1" applyBorder="1"/>
    <xf numFmtId="0" fontId="11" fillId="6" borderId="3" xfId="0" applyFont="1" applyFill="1" applyBorder="1" applyAlignment="1">
      <alignment horizontal="right"/>
    </xf>
    <xf numFmtId="0" fontId="0" fillId="8" borderId="4" xfId="0" applyFill="1" applyBorder="1" applyAlignment="1">
      <alignment vertical="center"/>
    </xf>
    <xf numFmtId="0" fontId="0" fillId="7" borderId="4" xfId="0" applyFill="1" applyBorder="1" applyAlignment="1">
      <alignment vertical="center" wrapText="1"/>
    </xf>
    <xf numFmtId="4" fontId="0" fillId="8" borderId="5" xfId="0" applyNumberFormat="1" applyFill="1" applyBorder="1" applyAlignment="1">
      <alignment vertical="center"/>
    </xf>
    <xf numFmtId="0" fontId="0" fillId="7" borderId="4" xfId="0" applyFill="1" applyBorder="1" applyAlignment="1">
      <alignment vertical="center"/>
    </xf>
    <xf numFmtId="4" fontId="0" fillId="7" borderId="5" xfId="0" applyNumberFormat="1" applyFill="1" applyBorder="1" applyAlignment="1">
      <alignment vertical="center"/>
    </xf>
    <xf numFmtId="0" fontId="0" fillId="8" borderId="4" xfId="0" applyFill="1" applyBorder="1" applyAlignment="1">
      <alignment vertical="center" wrapText="1"/>
    </xf>
    <xf numFmtId="0" fontId="11" fillId="6" borderId="6" xfId="0" applyFont="1" applyFill="1" applyBorder="1" applyAlignment="1">
      <alignment vertical="center"/>
    </xf>
    <xf numFmtId="4" fontId="11" fillId="6" borderId="7" xfId="0" applyNumberFormat="1" applyFont="1" applyFill="1" applyBorder="1" applyAlignment="1">
      <alignment vertical="center"/>
    </xf>
    <xf numFmtId="0" fontId="12" fillId="0" borderId="8" xfId="0" applyFont="1" applyBorder="1"/>
    <xf numFmtId="4" fontId="12" fillId="0" borderId="9" xfId="0" applyNumberFormat="1" applyFont="1" applyBorder="1"/>
    <xf numFmtId="0" fontId="11" fillId="6" borderId="1" xfId="0" applyFont="1" applyFill="1" applyBorder="1"/>
    <xf numFmtId="0" fontId="0" fillId="7" borderId="1" xfId="0" applyFill="1" applyBorder="1" applyAlignment="1">
      <alignment horizontal="left" vertical="center"/>
    </xf>
    <xf numFmtId="0" fontId="0" fillId="7" borderId="1" xfId="0" applyFill="1" applyBorder="1" applyAlignment="1">
      <alignment horizontal="left" vertical="center" wrapText="1"/>
    </xf>
    <xf numFmtId="4" fontId="0" fillId="7" borderId="1" xfId="0" applyNumberFormat="1" applyFill="1" applyBorder="1" applyAlignment="1">
      <alignment horizontal="left" vertical="center"/>
    </xf>
    <xf numFmtId="0" fontId="3" fillId="4" borderId="1" xfId="1" applyFill="1" applyBorder="1"/>
    <xf numFmtId="0" fontId="3" fillId="4" borderId="10" xfId="1" applyFill="1" applyBorder="1"/>
    <xf numFmtId="0" fontId="13" fillId="9" borderId="1" xfId="0" applyFont="1" applyFill="1" applyBorder="1" applyAlignment="1">
      <alignment horizontal="left" vertical="center"/>
    </xf>
    <xf numFmtId="0" fontId="13" fillId="9" borderId="11" xfId="0" applyFont="1" applyFill="1" applyBorder="1" applyAlignment="1">
      <alignment horizontal="left" vertical="center"/>
    </xf>
    <xf numFmtId="0" fontId="13" fillId="9" borderId="12" xfId="0" applyFont="1" applyFill="1" applyBorder="1" applyAlignment="1">
      <alignment horizontal="left" vertical="center"/>
    </xf>
    <xf numFmtId="0" fontId="13" fillId="9" borderId="13" xfId="0" applyFont="1" applyFill="1" applyBorder="1" applyAlignment="1">
      <alignment horizontal="left" vertical="center"/>
    </xf>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165" fontId="3" fillId="4" borderId="1" xfId="1" applyNumberFormat="1" applyFill="1" applyBorder="1"/>
    <xf numFmtId="165" fontId="3" fillId="4" borderId="10" xfId="1" applyNumberFormat="1" applyFill="1" applyBorder="1"/>
    <xf numFmtId="0" fontId="3" fillId="4" borderId="10" xfId="1" applyFill="1" applyBorder="1" applyAlignment="1">
      <alignment horizontal="right"/>
    </xf>
    <xf numFmtId="1" fontId="3" fillId="4" borderId="10" xfId="1" applyNumberFormat="1" applyFill="1" applyBorder="1"/>
    <xf numFmtId="164" fontId="3" fillId="4" borderId="10" xfId="1" applyNumberFormat="1" applyFill="1" applyBorder="1"/>
    <xf numFmtId="0" fontId="3" fillId="0" borderId="1" xfId="1" applyBorder="1"/>
    <xf numFmtId="0" fontId="3" fillId="4" borderId="14" xfId="1" applyFill="1" applyBorder="1"/>
    <xf numFmtId="4" fontId="12" fillId="0" borderId="0" xfId="0" applyNumberFormat="1" applyFont="1"/>
    <xf numFmtId="0" fontId="12" fillId="0" borderId="0" xfId="0" applyFont="1" applyAlignment="1">
      <alignment horizontal="right"/>
    </xf>
    <xf numFmtId="0" fontId="9" fillId="3" borderId="1" xfId="3" applyFont="1" applyFill="1" applyBorder="1" applyAlignment="1">
      <alignment horizontal="center" wrapText="1"/>
    </xf>
    <xf numFmtId="0" fontId="10" fillId="10" borderId="0" xfId="5" applyFont="1" applyFill="1"/>
    <xf numFmtId="0" fontId="10" fillId="10" borderId="0" xfId="5" applyFont="1" applyFill="1" applyAlignment="1">
      <alignment horizontal="right"/>
    </xf>
    <xf numFmtId="0" fontId="14" fillId="10" borderId="0" xfId="5" applyFont="1" applyFill="1"/>
    <xf numFmtId="0" fontId="12" fillId="0" borderId="1" xfId="0" applyFont="1" applyBorder="1" applyAlignment="1">
      <alignment horizontal="right"/>
    </xf>
    <xf numFmtId="4" fontId="12" fillId="0" borderId="1" xfId="0" applyNumberFormat="1" applyFont="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0"/>
  <sheetViews>
    <sheetView showGridLines="0" tabSelected="1" zoomScale="120" zoomScaleNormal="120" workbookViewId="0">
      <pane xSplit="1" ySplit="1" topLeftCell="F2" activePane="bottomRight" state="frozen"/>
      <selection pane="topRight" activeCell="B1" sqref="B1"/>
      <selection pane="bottomLeft" activeCell="A2" sqref="A2"/>
      <selection pane="bottomRight" activeCell="A40" sqref="A40:XFD64"/>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7" customWidth="1"/>
    <col min="16" max="16" width="4.88671875" style="13" customWidth="1"/>
    <col min="17" max="17" width="3.5546875" style="17" customWidth="1"/>
    <col min="18" max="18" width="3.5546875" style="13" customWidth="1"/>
    <col min="19" max="21" width="5.109375" style="13" customWidth="1"/>
    <col min="22" max="16384" width="10.33203125" style="13"/>
  </cols>
  <sheetData>
    <row r="1" spans="1:21" ht="40.799999999999997" x14ac:dyDescent="0.2">
      <c r="A1" s="8" t="s">
        <v>7</v>
      </c>
      <c r="B1" s="9" t="s">
        <v>8</v>
      </c>
      <c r="C1" s="9" t="s">
        <v>9</v>
      </c>
      <c r="D1" s="9" t="s">
        <v>10</v>
      </c>
      <c r="E1" s="9" t="s">
        <v>11</v>
      </c>
      <c r="F1" s="9" t="s">
        <v>12</v>
      </c>
      <c r="G1" s="9" t="s">
        <v>13</v>
      </c>
      <c r="H1" s="9" t="s">
        <v>14</v>
      </c>
      <c r="I1" s="8" t="s">
        <v>15</v>
      </c>
      <c r="J1" s="9" t="s">
        <v>16</v>
      </c>
      <c r="K1" s="8" t="s">
        <v>17</v>
      </c>
      <c r="L1" s="9" t="s">
        <v>18</v>
      </c>
      <c r="M1" s="10" t="s">
        <v>19</v>
      </c>
      <c r="N1" s="11" t="s">
        <v>20</v>
      </c>
      <c r="O1" s="12" t="s">
        <v>21</v>
      </c>
      <c r="P1" s="11" t="s">
        <v>22</v>
      </c>
      <c r="Q1" s="12" t="s">
        <v>23</v>
      </c>
      <c r="R1" s="11" t="s">
        <v>24</v>
      </c>
      <c r="S1" s="11" t="s">
        <v>25</v>
      </c>
      <c r="T1" s="11" t="s">
        <v>26</v>
      </c>
      <c r="U1" s="11" t="s">
        <v>27</v>
      </c>
    </row>
    <row r="2" spans="1:21" x14ac:dyDescent="0.2">
      <c r="A2" s="44" t="s">
        <v>40</v>
      </c>
      <c r="B2" s="44" t="s">
        <v>41</v>
      </c>
      <c r="C2" s="44" t="s">
        <v>56</v>
      </c>
      <c r="D2" s="44" t="s">
        <v>63</v>
      </c>
      <c r="E2" s="44" t="s">
        <v>64</v>
      </c>
      <c r="F2" s="44" t="s">
        <v>65</v>
      </c>
      <c r="G2" s="44" t="s">
        <v>352</v>
      </c>
      <c r="H2" s="44" t="s">
        <v>28</v>
      </c>
      <c r="I2" s="44" t="s">
        <v>40</v>
      </c>
      <c r="J2" s="44" t="s">
        <v>41</v>
      </c>
      <c r="K2" s="50">
        <v>0.5</v>
      </c>
      <c r="L2" s="44" t="s">
        <v>53</v>
      </c>
      <c r="M2" s="44">
        <v>2016</v>
      </c>
      <c r="N2" s="44" t="s">
        <v>42</v>
      </c>
      <c r="O2" s="51" t="s">
        <v>30</v>
      </c>
      <c r="P2" s="44" t="s">
        <v>31</v>
      </c>
      <c r="Q2" s="51" t="s">
        <v>31</v>
      </c>
      <c r="R2" s="52">
        <v>50</v>
      </c>
      <c r="S2" s="50">
        <v>0.25</v>
      </c>
      <c r="T2" s="50">
        <v>0.25</v>
      </c>
      <c r="U2" s="50">
        <v>0</v>
      </c>
    </row>
    <row r="3" spans="1:21" x14ac:dyDescent="0.2">
      <c r="A3" s="44" t="s">
        <v>40</v>
      </c>
      <c r="B3" s="44" t="s">
        <v>41</v>
      </c>
      <c r="C3" s="44" t="s">
        <v>56</v>
      </c>
      <c r="D3" s="44" t="s">
        <v>63</v>
      </c>
      <c r="E3" s="44" t="s">
        <v>64</v>
      </c>
      <c r="F3" s="44" t="s">
        <v>65</v>
      </c>
      <c r="G3" s="44" t="s">
        <v>35</v>
      </c>
      <c r="H3" s="44" t="s">
        <v>28</v>
      </c>
      <c r="I3" s="44" t="s">
        <v>40</v>
      </c>
      <c r="J3" s="44" t="s">
        <v>41</v>
      </c>
      <c r="K3" s="50">
        <v>0.5</v>
      </c>
      <c r="L3" s="44" t="s">
        <v>53</v>
      </c>
      <c r="M3" s="44">
        <v>2016</v>
      </c>
      <c r="N3" s="44" t="s">
        <v>31</v>
      </c>
      <c r="O3" s="51" t="s">
        <v>31</v>
      </c>
      <c r="P3" s="44" t="s">
        <v>31</v>
      </c>
      <c r="Q3" s="51" t="s">
        <v>31</v>
      </c>
      <c r="R3" s="52">
        <v>100</v>
      </c>
      <c r="S3" s="50">
        <v>0.5</v>
      </c>
      <c r="T3" s="50">
        <v>0</v>
      </c>
      <c r="U3" s="50">
        <v>0</v>
      </c>
    </row>
    <row r="4" spans="1:21" x14ac:dyDescent="0.2">
      <c r="A4" s="44" t="s">
        <v>40</v>
      </c>
      <c r="B4" s="44" t="s">
        <v>41</v>
      </c>
      <c r="C4" s="44" t="s">
        <v>56</v>
      </c>
      <c r="D4" s="44" t="s">
        <v>79</v>
      </c>
      <c r="E4" s="44" t="s">
        <v>80</v>
      </c>
      <c r="F4" s="44" t="s">
        <v>46</v>
      </c>
      <c r="G4" s="44" t="s">
        <v>352</v>
      </c>
      <c r="H4" s="44" t="s">
        <v>32</v>
      </c>
      <c r="I4" s="44" t="s">
        <v>40</v>
      </c>
      <c r="J4" s="44" t="s">
        <v>41</v>
      </c>
      <c r="K4" s="50">
        <v>1</v>
      </c>
      <c r="L4" s="44" t="s">
        <v>53</v>
      </c>
      <c r="M4" s="44">
        <v>2016</v>
      </c>
      <c r="N4" s="44" t="s">
        <v>42</v>
      </c>
      <c r="O4" s="51" t="s">
        <v>30</v>
      </c>
      <c r="P4" s="44" t="s">
        <v>31</v>
      </c>
      <c r="Q4" s="51" t="s">
        <v>31</v>
      </c>
      <c r="R4" s="52">
        <v>50</v>
      </c>
      <c r="S4" s="50">
        <v>0.5</v>
      </c>
      <c r="T4" s="50">
        <v>0.5</v>
      </c>
      <c r="U4" s="50">
        <v>0</v>
      </c>
    </row>
    <row r="5" spans="1:21" x14ac:dyDescent="0.2">
      <c r="A5" s="44" t="s">
        <v>40</v>
      </c>
      <c r="B5" s="44" t="s">
        <v>41</v>
      </c>
      <c r="C5" s="44" t="s">
        <v>51</v>
      </c>
      <c r="D5" s="44" t="s">
        <v>72</v>
      </c>
      <c r="E5" s="44" t="s">
        <v>73</v>
      </c>
      <c r="F5" s="44" t="s">
        <v>36</v>
      </c>
      <c r="G5" s="44" t="s">
        <v>74</v>
      </c>
      <c r="H5" s="44" t="s">
        <v>32</v>
      </c>
      <c r="I5" s="44" t="s">
        <v>40</v>
      </c>
      <c r="J5" s="44" t="s">
        <v>41</v>
      </c>
      <c r="K5" s="50">
        <v>1</v>
      </c>
      <c r="L5" s="44" t="s">
        <v>53</v>
      </c>
      <c r="M5" s="44">
        <v>2016</v>
      </c>
      <c r="N5" s="44" t="s">
        <v>45</v>
      </c>
      <c r="O5" s="51" t="s">
        <v>59</v>
      </c>
      <c r="P5" s="44" t="s">
        <v>31</v>
      </c>
      <c r="Q5" s="51" t="s">
        <v>31</v>
      </c>
      <c r="R5" s="52">
        <v>25</v>
      </c>
      <c r="S5" s="50">
        <v>0.25</v>
      </c>
      <c r="T5" s="50">
        <v>0.75</v>
      </c>
      <c r="U5" s="50">
        <v>0</v>
      </c>
    </row>
    <row r="6" spans="1:21" x14ac:dyDescent="0.2">
      <c r="A6" s="44" t="s">
        <v>40</v>
      </c>
      <c r="B6" s="44" t="s">
        <v>41</v>
      </c>
      <c r="C6" s="44" t="s">
        <v>51</v>
      </c>
      <c r="D6" s="44" t="s">
        <v>81</v>
      </c>
      <c r="E6" s="44" t="s">
        <v>82</v>
      </c>
      <c r="F6" s="44" t="s">
        <v>83</v>
      </c>
      <c r="G6" s="44" t="s">
        <v>55</v>
      </c>
      <c r="H6" s="44" t="s">
        <v>32</v>
      </c>
      <c r="I6" s="44" t="s">
        <v>40</v>
      </c>
      <c r="J6" s="44" t="s">
        <v>41</v>
      </c>
      <c r="K6" s="50">
        <v>1</v>
      </c>
      <c r="L6" s="44" t="s">
        <v>53</v>
      </c>
      <c r="M6" s="44">
        <v>2016</v>
      </c>
      <c r="N6" s="44" t="s">
        <v>45</v>
      </c>
      <c r="O6" s="51" t="s">
        <v>30</v>
      </c>
      <c r="P6" s="44" t="s">
        <v>31</v>
      </c>
      <c r="Q6" s="51" t="s">
        <v>31</v>
      </c>
      <c r="R6" s="52">
        <v>50</v>
      </c>
      <c r="S6" s="50">
        <v>0.5</v>
      </c>
      <c r="T6" s="50">
        <v>0.5</v>
      </c>
      <c r="U6" s="50">
        <v>0</v>
      </c>
    </row>
    <row r="7" spans="1:21" x14ac:dyDescent="0.2">
      <c r="A7" s="44" t="s">
        <v>40</v>
      </c>
      <c r="B7" s="44" t="s">
        <v>41</v>
      </c>
      <c r="C7" s="44" t="s">
        <v>51</v>
      </c>
      <c r="D7" s="44" t="s">
        <v>75</v>
      </c>
      <c r="E7" s="44" t="s">
        <v>76</v>
      </c>
      <c r="F7" s="44" t="s">
        <v>43</v>
      </c>
      <c r="G7" s="44" t="s">
        <v>74</v>
      </c>
      <c r="H7" s="44" t="s">
        <v>32</v>
      </c>
      <c r="I7" s="44" t="s">
        <v>40</v>
      </c>
      <c r="J7" s="44" t="s">
        <v>41</v>
      </c>
      <c r="K7" s="50">
        <v>1</v>
      </c>
      <c r="L7" s="44" t="s">
        <v>53</v>
      </c>
      <c r="M7" s="44">
        <v>2016</v>
      </c>
      <c r="N7" s="44" t="s">
        <v>45</v>
      </c>
      <c r="O7" s="51" t="s">
        <v>59</v>
      </c>
      <c r="P7" s="44" t="s">
        <v>31</v>
      </c>
      <c r="Q7" s="51" t="s">
        <v>31</v>
      </c>
      <c r="R7" s="52">
        <v>25</v>
      </c>
      <c r="S7" s="50">
        <v>0.25</v>
      </c>
      <c r="T7" s="50">
        <v>0.75</v>
      </c>
      <c r="U7" s="50">
        <v>0</v>
      </c>
    </row>
    <row r="8" spans="1:21" x14ac:dyDescent="0.2">
      <c r="A8" s="44" t="s">
        <v>37</v>
      </c>
      <c r="B8" s="44" t="s">
        <v>38</v>
      </c>
      <c r="C8" s="44" t="s">
        <v>39</v>
      </c>
      <c r="D8" s="44" t="s">
        <v>66</v>
      </c>
      <c r="E8" s="44" t="s">
        <v>67</v>
      </c>
      <c r="F8" s="44" t="s">
        <v>33</v>
      </c>
      <c r="G8" s="44" t="s">
        <v>68</v>
      </c>
      <c r="H8" s="44" t="s">
        <v>32</v>
      </c>
      <c r="I8" s="44" t="s">
        <v>40</v>
      </c>
      <c r="J8" s="44" t="s">
        <v>41</v>
      </c>
      <c r="K8" s="50">
        <v>1</v>
      </c>
      <c r="L8" s="44" t="s">
        <v>53</v>
      </c>
      <c r="M8" s="44">
        <v>2016</v>
      </c>
      <c r="N8" s="44" t="s">
        <v>31</v>
      </c>
      <c r="O8" s="51" t="s">
        <v>31</v>
      </c>
      <c r="P8" s="44" t="s">
        <v>31</v>
      </c>
      <c r="Q8" s="51" t="s">
        <v>31</v>
      </c>
      <c r="R8" s="52">
        <v>100</v>
      </c>
      <c r="S8" s="50">
        <v>1</v>
      </c>
      <c r="T8" s="50">
        <v>0</v>
      </c>
      <c r="U8" s="50">
        <v>0</v>
      </c>
    </row>
    <row r="9" spans="1:21" x14ac:dyDescent="0.2">
      <c r="A9" s="44" t="s">
        <v>37</v>
      </c>
      <c r="B9" s="44" t="s">
        <v>38</v>
      </c>
      <c r="C9" s="44" t="s">
        <v>39</v>
      </c>
      <c r="D9" s="44" t="s">
        <v>69</v>
      </c>
      <c r="E9" s="44" t="s">
        <v>70</v>
      </c>
      <c r="F9" s="44" t="s">
        <v>71</v>
      </c>
      <c r="G9" s="44" t="s">
        <v>55</v>
      </c>
      <c r="H9" s="44" t="s">
        <v>32</v>
      </c>
      <c r="I9" s="44" t="s">
        <v>40</v>
      </c>
      <c r="J9" s="44" t="s">
        <v>41</v>
      </c>
      <c r="K9" s="50">
        <v>1</v>
      </c>
      <c r="L9" s="44" t="s">
        <v>53</v>
      </c>
      <c r="M9" s="44">
        <v>2016</v>
      </c>
      <c r="N9" s="44" t="s">
        <v>45</v>
      </c>
      <c r="O9" s="51" t="s">
        <v>30</v>
      </c>
      <c r="P9" s="44" t="s">
        <v>31</v>
      </c>
      <c r="Q9" s="51" t="s">
        <v>31</v>
      </c>
      <c r="R9" s="52">
        <v>50</v>
      </c>
      <c r="S9" s="50">
        <v>0.5</v>
      </c>
      <c r="T9" s="50">
        <v>0.5</v>
      </c>
      <c r="U9" s="50">
        <v>0</v>
      </c>
    </row>
    <row r="10" spans="1:21" x14ac:dyDescent="0.2">
      <c r="A10" s="44" t="s">
        <v>37</v>
      </c>
      <c r="B10" s="44" t="s">
        <v>38</v>
      </c>
      <c r="C10" s="44" t="s">
        <v>39</v>
      </c>
      <c r="D10" s="44" t="s">
        <v>77</v>
      </c>
      <c r="E10" s="44" t="s">
        <v>78</v>
      </c>
      <c r="F10" s="44" t="s">
        <v>33</v>
      </c>
      <c r="G10" s="44" t="s">
        <v>52</v>
      </c>
      <c r="H10" s="44" t="s">
        <v>32</v>
      </c>
      <c r="I10" s="44" t="s">
        <v>40</v>
      </c>
      <c r="J10" s="44" t="s">
        <v>41</v>
      </c>
      <c r="K10" s="50">
        <v>1</v>
      </c>
      <c r="L10" s="44" t="s">
        <v>53</v>
      </c>
      <c r="M10" s="44">
        <v>2016</v>
      </c>
      <c r="N10" s="44" t="s">
        <v>45</v>
      </c>
      <c r="O10" s="51" t="s">
        <v>47</v>
      </c>
      <c r="P10" s="44" t="s">
        <v>31</v>
      </c>
      <c r="Q10" s="51" t="s">
        <v>31</v>
      </c>
      <c r="R10" s="52">
        <v>70</v>
      </c>
      <c r="S10" s="50">
        <v>0.7</v>
      </c>
      <c r="T10" s="50">
        <v>0.3</v>
      </c>
      <c r="U10" s="50">
        <v>0</v>
      </c>
    </row>
    <row r="11" spans="1:21" x14ac:dyDescent="0.2">
      <c r="A11" s="44" t="s">
        <v>37</v>
      </c>
      <c r="B11" s="44" t="s">
        <v>38</v>
      </c>
      <c r="C11" s="44" t="s">
        <v>39</v>
      </c>
      <c r="D11" s="44" t="s">
        <v>84</v>
      </c>
      <c r="E11" s="44" t="s">
        <v>44</v>
      </c>
      <c r="F11" s="44" t="s">
        <v>85</v>
      </c>
      <c r="G11" s="44" t="s">
        <v>352</v>
      </c>
      <c r="H11" s="44" t="s">
        <v>28</v>
      </c>
      <c r="I11" s="44" t="s">
        <v>40</v>
      </c>
      <c r="J11" s="44" t="s">
        <v>41</v>
      </c>
      <c r="K11" s="50">
        <v>0.5</v>
      </c>
      <c r="L11" s="44" t="s">
        <v>53</v>
      </c>
      <c r="M11" s="44">
        <v>2016</v>
      </c>
      <c r="N11" s="44" t="s">
        <v>42</v>
      </c>
      <c r="O11" s="51" t="s">
        <v>30</v>
      </c>
      <c r="P11" s="44" t="s">
        <v>31</v>
      </c>
      <c r="Q11" s="51" t="s">
        <v>31</v>
      </c>
      <c r="R11" s="52">
        <v>50</v>
      </c>
      <c r="S11" s="50">
        <v>0.25</v>
      </c>
      <c r="T11" s="50">
        <v>0.25</v>
      </c>
      <c r="U11" s="50">
        <v>0</v>
      </c>
    </row>
    <row r="12" spans="1:21" x14ac:dyDescent="0.2">
      <c r="A12" s="44" t="s">
        <v>37</v>
      </c>
      <c r="B12" s="44" t="s">
        <v>38</v>
      </c>
      <c r="C12" s="44" t="s">
        <v>39</v>
      </c>
      <c r="D12" s="44" t="s">
        <v>60</v>
      </c>
      <c r="E12" s="44" t="s">
        <v>61</v>
      </c>
      <c r="F12" s="44" t="s">
        <v>62</v>
      </c>
      <c r="G12" s="44" t="s">
        <v>54</v>
      </c>
      <c r="H12" s="44" t="s">
        <v>32</v>
      </c>
      <c r="I12" s="44" t="s">
        <v>40</v>
      </c>
      <c r="J12" s="44" t="s">
        <v>41</v>
      </c>
      <c r="K12" s="50">
        <v>1</v>
      </c>
      <c r="L12" s="44" t="s">
        <v>53</v>
      </c>
      <c r="M12" s="44">
        <v>2016</v>
      </c>
      <c r="N12" s="44" t="s">
        <v>31</v>
      </c>
      <c r="O12" s="51" t="s">
        <v>31</v>
      </c>
      <c r="P12" s="44" t="s">
        <v>31</v>
      </c>
      <c r="Q12" s="51" t="s">
        <v>31</v>
      </c>
      <c r="R12" s="52">
        <v>100</v>
      </c>
      <c r="S12" s="50">
        <v>1</v>
      </c>
      <c r="T12" s="50">
        <v>0</v>
      </c>
      <c r="U12" s="50">
        <v>0</v>
      </c>
    </row>
    <row r="13" spans="1:21" x14ac:dyDescent="0.2">
      <c r="A13" s="44" t="s">
        <v>37</v>
      </c>
      <c r="B13" s="44" t="s">
        <v>38</v>
      </c>
      <c r="C13" s="44" t="s">
        <v>39</v>
      </c>
      <c r="D13" s="44" t="s">
        <v>48</v>
      </c>
      <c r="E13" s="44" t="s">
        <v>49</v>
      </c>
      <c r="F13" s="44" t="s">
        <v>50</v>
      </c>
      <c r="G13" s="44" t="s">
        <v>52</v>
      </c>
      <c r="H13" s="44" t="s">
        <v>28</v>
      </c>
      <c r="I13" s="44" t="s">
        <v>40</v>
      </c>
      <c r="J13" s="44" t="s">
        <v>41</v>
      </c>
      <c r="K13" s="50">
        <v>0.5</v>
      </c>
      <c r="L13" s="44" t="s">
        <v>53</v>
      </c>
      <c r="M13" s="44">
        <v>2017</v>
      </c>
      <c r="N13" s="44" t="s">
        <v>45</v>
      </c>
      <c r="O13" s="51" t="s">
        <v>47</v>
      </c>
      <c r="P13" s="44" t="s">
        <v>31</v>
      </c>
      <c r="Q13" s="51" t="s">
        <v>31</v>
      </c>
      <c r="R13" s="52">
        <v>70</v>
      </c>
      <c r="S13" s="50">
        <v>0.35</v>
      </c>
      <c r="T13" s="50">
        <v>0.15</v>
      </c>
      <c r="U13" s="50">
        <v>0</v>
      </c>
    </row>
    <row r="14" spans="1:21" x14ac:dyDescent="0.2">
      <c r="A14" s="44" t="s">
        <v>37</v>
      </c>
      <c r="B14" s="44" t="s">
        <v>38</v>
      </c>
      <c r="C14" s="44" t="s">
        <v>39</v>
      </c>
      <c r="D14" s="44" t="s">
        <v>97</v>
      </c>
      <c r="E14" s="44" t="s">
        <v>98</v>
      </c>
      <c r="F14" s="44" t="s">
        <v>99</v>
      </c>
      <c r="G14" s="44" t="s">
        <v>100</v>
      </c>
      <c r="H14" s="44" t="s">
        <v>32</v>
      </c>
      <c r="I14" s="44" t="s">
        <v>40</v>
      </c>
      <c r="J14" s="44" t="s">
        <v>41</v>
      </c>
      <c r="K14" s="50">
        <v>1</v>
      </c>
      <c r="L14" s="44" t="s">
        <v>53</v>
      </c>
      <c r="M14" s="44">
        <v>2017</v>
      </c>
      <c r="N14" s="44" t="s">
        <v>29</v>
      </c>
      <c r="O14" s="51" t="s">
        <v>34</v>
      </c>
      <c r="P14" s="44" t="s">
        <v>31</v>
      </c>
      <c r="Q14" s="51" t="s">
        <v>31</v>
      </c>
      <c r="R14" s="52">
        <v>90</v>
      </c>
      <c r="S14" s="50">
        <v>0.9</v>
      </c>
      <c r="T14" s="50">
        <v>0.1</v>
      </c>
      <c r="U14" s="50">
        <v>0</v>
      </c>
    </row>
    <row r="15" spans="1:21" x14ac:dyDescent="0.2">
      <c r="A15" s="44" t="s">
        <v>37</v>
      </c>
      <c r="B15" s="44" t="s">
        <v>38</v>
      </c>
      <c r="C15" s="44" t="s">
        <v>39</v>
      </c>
      <c r="D15" s="44" t="s">
        <v>94</v>
      </c>
      <c r="E15" s="44" t="s">
        <v>95</v>
      </c>
      <c r="F15" s="44" t="s">
        <v>96</v>
      </c>
      <c r="G15" s="44" t="s">
        <v>352</v>
      </c>
      <c r="H15" s="44" t="s">
        <v>28</v>
      </c>
      <c r="I15" s="44" t="s">
        <v>40</v>
      </c>
      <c r="J15" s="44" t="s">
        <v>41</v>
      </c>
      <c r="K15" s="50">
        <v>0.5</v>
      </c>
      <c r="L15" s="44" t="s">
        <v>53</v>
      </c>
      <c r="M15" s="44">
        <v>2017</v>
      </c>
      <c r="N15" s="44" t="s">
        <v>42</v>
      </c>
      <c r="O15" s="51" t="s">
        <v>30</v>
      </c>
      <c r="P15" s="44" t="s">
        <v>31</v>
      </c>
      <c r="Q15" s="51" t="s">
        <v>31</v>
      </c>
      <c r="R15" s="52">
        <v>50</v>
      </c>
      <c r="S15" s="50">
        <v>0.25</v>
      </c>
      <c r="T15" s="50">
        <v>0.25</v>
      </c>
      <c r="U15" s="50">
        <v>0</v>
      </c>
    </row>
    <row r="16" spans="1:21" x14ac:dyDescent="0.2">
      <c r="A16" s="44" t="s">
        <v>37</v>
      </c>
      <c r="B16" s="44" t="s">
        <v>38</v>
      </c>
      <c r="C16" s="44" t="s">
        <v>39</v>
      </c>
      <c r="D16" s="44" t="s">
        <v>89</v>
      </c>
      <c r="E16" s="44" t="s">
        <v>90</v>
      </c>
      <c r="F16" s="44" t="s">
        <v>91</v>
      </c>
      <c r="G16" s="44" t="s">
        <v>92</v>
      </c>
      <c r="H16" s="44" t="s">
        <v>28</v>
      </c>
      <c r="I16" s="44" t="s">
        <v>40</v>
      </c>
      <c r="J16" s="44" t="s">
        <v>41</v>
      </c>
      <c r="K16" s="50">
        <v>0.5</v>
      </c>
      <c r="L16" s="44" t="s">
        <v>53</v>
      </c>
      <c r="M16" s="44">
        <v>2017</v>
      </c>
      <c r="N16" s="44" t="s">
        <v>42</v>
      </c>
      <c r="O16" s="51" t="s">
        <v>93</v>
      </c>
      <c r="P16" s="44" t="s">
        <v>31</v>
      </c>
      <c r="Q16" s="51" t="s">
        <v>31</v>
      </c>
      <c r="R16" s="52">
        <v>40</v>
      </c>
      <c r="S16" s="50">
        <v>0.2</v>
      </c>
      <c r="T16" s="50">
        <v>0.3</v>
      </c>
      <c r="U16" s="50">
        <v>0</v>
      </c>
    </row>
    <row r="17" spans="1:21" x14ac:dyDescent="0.2">
      <c r="A17" s="44" t="s">
        <v>37</v>
      </c>
      <c r="B17" s="44" t="s">
        <v>38</v>
      </c>
      <c r="C17" s="44" t="s">
        <v>39</v>
      </c>
      <c r="D17" s="44" t="s">
        <v>86</v>
      </c>
      <c r="E17" s="44" t="s">
        <v>87</v>
      </c>
      <c r="F17" s="44" t="s">
        <v>88</v>
      </c>
      <c r="G17" s="44" t="s">
        <v>352</v>
      </c>
      <c r="H17" s="44" t="s">
        <v>32</v>
      </c>
      <c r="I17" s="44" t="s">
        <v>40</v>
      </c>
      <c r="J17" s="44" t="s">
        <v>41</v>
      </c>
      <c r="K17" s="50">
        <v>1</v>
      </c>
      <c r="L17" s="44" t="s">
        <v>53</v>
      </c>
      <c r="M17" s="44">
        <v>2017</v>
      </c>
      <c r="N17" s="44" t="s">
        <v>42</v>
      </c>
      <c r="O17" s="51" t="s">
        <v>30</v>
      </c>
      <c r="P17" s="44" t="s">
        <v>31</v>
      </c>
      <c r="Q17" s="51" t="s">
        <v>31</v>
      </c>
      <c r="R17" s="52">
        <v>50</v>
      </c>
      <c r="S17" s="50">
        <v>0.5</v>
      </c>
      <c r="T17" s="50">
        <v>0.5</v>
      </c>
      <c r="U17" s="50">
        <v>0</v>
      </c>
    </row>
    <row r="18" spans="1:21" x14ac:dyDescent="0.2">
      <c r="A18" s="44" t="s">
        <v>101</v>
      </c>
      <c r="B18" s="44" t="s">
        <v>102</v>
      </c>
      <c r="C18" s="44" t="s">
        <v>103</v>
      </c>
      <c r="D18" s="44" t="s">
        <v>120</v>
      </c>
      <c r="E18" s="44" t="s">
        <v>121</v>
      </c>
      <c r="F18" s="44" t="s">
        <v>122</v>
      </c>
      <c r="G18" s="44" t="s">
        <v>92</v>
      </c>
      <c r="H18" s="44" t="s">
        <v>28</v>
      </c>
      <c r="I18" s="44" t="s">
        <v>40</v>
      </c>
      <c r="J18" s="44" t="s">
        <v>41</v>
      </c>
      <c r="K18" s="53">
        <v>0.5</v>
      </c>
      <c r="L18" s="44" t="s">
        <v>53</v>
      </c>
      <c r="M18" s="44">
        <v>2018</v>
      </c>
      <c r="N18" s="44" t="s">
        <v>42</v>
      </c>
      <c r="O18" s="51" t="s">
        <v>93</v>
      </c>
      <c r="P18" s="44" t="s">
        <v>31</v>
      </c>
      <c r="Q18" s="51" t="s">
        <v>31</v>
      </c>
      <c r="R18" s="52">
        <v>40</v>
      </c>
      <c r="S18" s="50">
        <v>0.2</v>
      </c>
      <c r="T18" s="50">
        <v>0.3</v>
      </c>
      <c r="U18" s="50">
        <v>0</v>
      </c>
    </row>
    <row r="19" spans="1:21" x14ac:dyDescent="0.2">
      <c r="A19" s="44" t="s">
        <v>101</v>
      </c>
      <c r="B19" s="44" t="s">
        <v>102</v>
      </c>
      <c r="C19" s="44" t="s">
        <v>103</v>
      </c>
      <c r="D19" s="44" t="s">
        <v>104</v>
      </c>
      <c r="E19" s="44" t="s">
        <v>105</v>
      </c>
      <c r="F19" s="44" t="s">
        <v>106</v>
      </c>
      <c r="G19" s="44" t="s">
        <v>92</v>
      </c>
      <c r="H19" s="44" t="s">
        <v>32</v>
      </c>
      <c r="I19" s="44" t="s">
        <v>40</v>
      </c>
      <c r="J19" s="44" t="s">
        <v>41</v>
      </c>
      <c r="K19" s="53">
        <v>1</v>
      </c>
      <c r="L19" s="44" t="s">
        <v>53</v>
      </c>
      <c r="M19" s="44">
        <v>2018</v>
      </c>
      <c r="N19" s="44" t="s">
        <v>42</v>
      </c>
      <c r="O19" s="51" t="s">
        <v>93</v>
      </c>
      <c r="P19" s="44" t="s">
        <v>31</v>
      </c>
      <c r="Q19" s="51" t="s">
        <v>31</v>
      </c>
      <c r="R19" s="52">
        <v>40</v>
      </c>
      <c r="S19" s="50">
        <v>0.4</v>
      </c>
      <c r="T19" s="50">
        <v>0.6</v>
      </c>
      <c r="U19" s="50">
        <v>0</v>
      </c>
    </row>
    <row r="20" spans="1:21" x14ac:dyDescent="0.2">
      <c r="A20" s="44" t="s">
        <v>37</v>
      </c>
      <c r="B20" s="44" t="s">
        <v>38</v>
      </c>
      <c r="C20" s="44" t="s">
        <v>39</v>
      </c>
      <c r="D20" s="44" t="s">
        <v>107</v>
      </c>
      <c r="E20" s="44" t="s">
        <v>108</v>
      </c>
      <c r="F20" s="44" t="s">
        <v>109</v>
      </c>
      <c r="G20" s="44" t="s">
        <v>100</v>
      </c>
      <c r="H20" s="44" t="s">
        <v>32</v>
      </c>
      <c r="I20" s="44" t="s">
        <v>40</v>
      </c>
      <c r="J20" s="44" t="s">
        <v>41</v>
      </c>
      <c r="K20" s="53">
        <v>1</v>
      </c>
      <c r="L20" s="44" t="s">
        <v>53</v>
      </c>
      <c r="M20" s="44">
        <v>2018</v>
      </c>
      <c r="N20" s="44" t="s">
        <v>29</v>
      </c>
      <c r="O20" s="51" t="s">
        <v>110</v>
      </c>
      <c r="P20" s="44" t="s">
        <v>31</v>
      </c>
      <c r="Q20" s="51" t="s">
        <v>31</v>
      </c>
      <c r="R20" s="52">
        <v>60</v>
      </c>
      <c r="S20" s="50">
        <v>0.6</v>
      </c>
      <c r="T20" s="50">
        <v>0.4</v>
      </c>
      <c r="U20" s="50">
        <v>0</v>
      </c>
    </row>
    <row r="21" spans="1:21" x14ac:dyDescent="0.2">
      <c r="A21" s="44" t="s">
        <v>37</v>
      </c>
      <c r="B21" s="44" t="s">
        <v>38</v>
      </c>
      <c r="C21" s="44" t="s">
        <v>39</v>
      </c>
      <c r="D21" s="44" t="s">
        <v>117</v>
      </c>
      <c r="E21" s="44" t="s">
        <v>118</v>
      </c>
      <c r="F21" s="44" t="s">
        <v>119</v>
      </c>
      <c r="G21" s="44" t="s">
        <v>52</v>
      </c>
      <c r="H21" s="44" t="s">
        <v>32</v>
      </c>
      <c r="I21" s="44" t="s">
        <v>40</v>
      </c>
      <c r="J21" s="44" t="s">
        <v>41</v>
      </c>
      <c r="K21" s="53">
        <v>1</v>
      </c>
      <c r="L21" s="44" t="s">
        <v>53</v>
      </c>
      <c r="M21" s="44">
        <v>2018</v>
      </c>
      <c r="N21" s="44" t="s">
        <v>45</v>
      </c>
      <c r="O21" s="51" t="s">
        <v>47</v>
      </c>
      <c r="P21" s="44" t="s">
        <v>31</v>
      </c>
      <c r="Q21" s="51" t="s">
        <v>31</v>
      </c>
      <c r="R21" s="52">
        <v>70</v>
      </c>
      <c r="S21" s="50">
        <v>0.7</v>
      </c>
      <c r="T21" s="50">
        <v>0.3</v>
      </c>
      <c r="U21" s="50">
        <v>0</v>
      </c>
    </row>
    <row r="22" spans="1:21" x14ac:dyDescent="0.2">
      <c r="A22" s="44" t="s">
        <v>37</v>
      </c>
      <c r="B22" s="44" t="s">
        <v>38</v>
      </c>
      <c r="C22" s="44" t="s">
        <v>39</v>
      </c>
      <c r="D22" s="44" t="s">
        <v>111</v>
      </c>
      <c r="E22" s="44" t="s">
        <v>112</v>
      </c>
      <c r="F22" s="44" t="s">
        <v>113</v>
      </c>
      <c r="G22" s="44" t="s">
        <v>68</v>
      </c>
      <c r="H22" s="44" t="s">
        <v>32</v>
      </c>
      <c r="I22" s="44" t="s">
        <v>40</v>
      </c>
      <c r="J22" s="44" t="s">
        <v>41</v>
      </c>
      <c r="K22" s="53">
        <v>1</v>
      </c>
      <c r="L22" s="44" t="s">
        <v>53</v>
      </c>
      <c r="M22" s="44">
        <v>2018</v>
      </c>
      <c r="N22" s="44" t="s">
        <v>31</v>
      </c>
      <c r="O22" s="51" t="s">
        <v>31</v>
      </c>
      <c r="P22" s="44" t="s">
        <v>31</v>
      </c>
      <c r="Q22" s="51" t="s">
        <v>31</v>
      </c>
      <c r="R22" s="52">
        <v>100</v>
      </c>
      <c r="S22" s="50">
        <v>1</v>
      </c>
      <c r="T22" s="50">
        <v>0</v>
      </c>
      <c r="U22" s="50">
        <v>0</v>
      </c>
    </row>
    <row r="23" spans="1:21" x14ac:dyDescent="0.2">
      <c r="A23" s="44" t="s">
        <v>37</v>
      </c>
      <c r="B23" s="44" t="s">
        <v>38</v>
      </c>
      <c r="C23" s="44" t="s">
        <v>39</v>
      </c>
      <c r="D23" s="44" t="s">
        <v>114</v>
      </c>
      <c r="E23" s="44" t="s">
        <v>115</v>
      </c>
      <c r="F23" s="44" t="s">
        <v>116</v>
      </c>
      <c r="G23" s="44" t="s">
        <v>352</v>
      </c>
      <c r="H23" s="44" t="s">
        <v>28</v>
      </c>
      <c r="I23" s="44" t="s">
        <v>40</v>
      </c>
      <c r="J23" s="44" t="s">
        <v>41</v>
      </c>
      <c r="K23" s="53">
        <v>0.5</v>
      </c>
      <c r="L23" s="44" t="s">
        <v>53</v>
      </c>
      <c r="M23" s="44">
        <v>2018</v>
      </c>
      <c r="N23" s="44" t="s">
        <v>31</v>
      </c>
      <c r="O23" s="51" t="s">
        <v>31</v>
      </c>
      <c r="P23" s="44" t="s">
        <v>31</v>
      </c>
      <c r="Q23" s="51" t="s">
        <v>31</v>
      </c>
      <c r="R23" s="52">
        <v>100</v>
      </c>
      <c r="S23" s="50">
        <v>0.5</v>
      </c>
      <c r="T23" s="50">
        <v>0</v>
      </c>
      <c r="U23" s="50">
        <v>0</v>
      </c>
    </row>
    <row r="24" spans="1:21" x14ac:dyDescent="0.2">
      <c r="A24" s="44" t="s">
        <v>37</v>
      </c>
      <c r="B24" s="44" t="s">
        <v>38</v>
      </c>
      <c r="C24" s="44" t="s">
        <v>39</v>
      </c>
      <c r="D24" s="44" t="s">
        <v>126</v>
      </c>
      <c r="E24" s="44" t="s">
        <v>127</v>
      </c>
      <c r="F24" s="44" t="s">
        <v>128</v>
      </c>
      <c r="G24" s="44" t="s">
        <v>352</v>
      </c>
      <c r="H24" s="44" t="s">
        <v>28</v>
      </c>
      <c r="I24" s="44" t="s">
        <v>40</v>
      </c>
      <c r="J24" s="44" t="s">
        <v>41</v>
      </c>
      <c r="K24" s="53">
        <v>0.5</v>
      </c>
      <c r="L24" s="44" t="s">
        <v>53</v>
      </c>
      <c r="M24" s="44">
        <v>2018</v>
      </c>
      <c r="N24" s="44" t="s">
        <v>31</v>
      </c>
      <c r="O24" s="51" t="s">
        <v>31</v>
      </c>
      <c r="P24" s="44" t="s">
        <v>31</v>
      </c>
      <c r="Q24" s="51" t="s">
        <v>31</v>
      </c>
      <c r="R24" s="52">
        <v>100</v>
      </c>
      <c r="S24" s="50">
        <v>0.5</v>
      </c>
      <c r="T24" s="50">
        <v>0</v>
      </c>
      <c r="U24" s="50">
        <v>0</v>
      </c>
    </row>
    <row r="25" spans="1:21" x14ac:dyDescent="0.2">
      <c r="A25" s="44" t="s">
        <v>37</v>
      </c>
      <c r="B25" s="44" t="s">
        <v>38</v>
      </c>
      <c r="C25" s="44" t="s">
        <v>39</v>
      </c>
      <c r="D25" s="44" t="s">
        <v>123</v>
      </c>
      <c r="E25" s="44" t="s">
        <v>124</v>
      </c>
      <c r="F25" s="44" t="s">
        <v>125</v>
      </c>
      <c r="G25" s="44" t="s">
        <v>352</v>
      </c>
      <c r="H25" s="44" t="s">
        <v>28</v>
      </c>
      <c r="I25" s="44" t="s">
        <v>40</v>
      </c>
      <c r="J25" s="44" t="s">
        <v>41</v>
      </c>
      <c r="K25" s="53">
        <v>0.5</v>
      </c>
      <c r="L25" s="44" t="s">
        <v>53</v>
      </c>
      <c r="M25" s="44">
        <v>2018</v>
      </c>
      <c r="N25" s="44" t="s">
        <v>31</v>
      </c>
      <c r="O25" s="51" t="s">
        <v>31</v>
      </c>
      <c r="P25" s="44" t="s">
        <v>31</v>
      </c>
      <c r="Q25" s="51" t="s">
        <v>31</v>
      </c>
      <c r="R25" s="52">
        <v>100</v>
      </c>
      <c r="S25" s="50">
        <v>0.5</v>
      </c>
      <c r="T25" s="50">
        <v>0</v>
      </c>
      <c r="U25" s="50">
        <v>0</v>
      </c>
    </row>
    <row r="26" spans="1:21" x14ac:dyDescent="0.2">
      <c r="A26" s="45" t="s">
        <v>37</v>
      </c>
      <c r="B26" s="45" t="s">
        <v>38</v>
      </c>
      <c r="C26" s="45" t="s">
        <v>39</v>
      </c>
      <c r="D26" s="45" t="s">
        <v>230</v>
      </c>
      <c r="E26" s="45" t="s">
        <v>231</v>
      </c>
      <c r="F26" s="45" t="s">
        <v>232</v>
      </c>
      <c r="G26" s="45" t="s">
        <v>74</v>
      </c>
      <c r="H26" s="45" t="s">
        <v>32</v>
      </c>
      <c r="I26" s="45" t="s">
        <v>40</v>
      </c>
      <c r="J26" s="45" t="s">
        <v>41</v>
      </c>
      <c r="K26" s="54">
        <v>1</v>
      </c>
      <c r="L26" s="45" t="s">
        <v>53</v>
      </c>
      <c r="M26" s="45">
        <v>2019</v>
      </c>
      <c r="N26" s="45" t="s">
        <v>45</v>
      </c>
      <c r="O26" s="55" t="s">
        <v>34</v>
      </c>
      <c r="P26" s="45" t="s">
        <v>31</v>
      </c>
      <c r="Q26" s="55" t="s">
        <v>31</v>
      </c>
      <c r="R26" s="56">
        <v>90</v>
      </c>
      <c r="S26" s="57">
        <v>0.9</v>
      </c>
      <c r="T26" s="57">
        <v>0.1</v>
      </c>
      <c r="U26" s="57">
        <v>0</v>
      </c>
    </row>
    <row r="27" spans="1:21" x14ac:dyDescent="0.2">
      <c r="A27" s="45" t="s">
        <v>37</v>
      </c>
      <c r="B27" s="45" t="s">
        <v>38</v>
      </c>
      <c r="C27" s="45" t="s">
        <v>39</v>
      </c>
      <c r="D27" s="45" t="s">
        <v>233</v>
      </c>
      <c r="E27" s="45" t="s">
        <v>234</v>
      </c>
      <c r="F27" s="45" t="s">
        <v>235</v>
      </c>
      <c r="G27" s="45" t="s">
        <v>100</v>
      </c>
      <c r="H27" s="45" t="s">
        <v>32</v>
      </c>
      <c r="I27" s="45" t="s">
        <v>40</v>
      </c>
      <c r="J27" s="45" t="s">
        <v>41</v>
      </c>
      <c r="K27" s="54">
        <v>1</v>
      </c>
      <c r="L27" s="45" t="s">
        <v>53</v>
      </c>
      <c r="M27" s="45">
        <v>2019</v>
      </c>
      <c r="N27" s="45" t="s">
        <v>29</v>
      </c>
      <c r="O27" s="55" t="s">
        <v>110</v>
      </c>
      <c r="P27" s="45" t="s">
        <v>31</v>
      </c>
      <c r="Q27" s="55" t="s">
        <v>31</v>
      </c>
      <c r="R27" s="56">
        <v>60</v>
      </c>
      <c r="S27" s="57">
        <v>0.6</v>
      </c>
      <c r="T27" s="57">
        <v>0.4</v>
      </c>
      <c r="U27" s="57">
        <v>0</v>
      </c>
    </row>
    <row r="28" spans="1:21" x14ac:dyDescent="0.2">
      <c r="A28" s="44" t="s">
        <v>37</v>
      </c>
      <c r="B28" s="44" t="s">
        <v>38</v>
      </c>
      <c r="C28" s="44" t="s">
        <v>39</v>
      </c>
      <c r="D28" s="44" t="s">
        <v>247</v>
      </c>
      <c r="E28" s="44" t="s">
        <v>248</v>
      </c>
      <c r="F28" s="44" t="s">
        <v>249</v>
      </c>
      <c r="G28" s="44" t="s">
        <v>52</v>
      </c>
      <c r="H28" s="44" t="s">
        <v>32</v>
      </c>
      <c r="I28" s="44" t="s">
        <v>40</v>
      </c>
      <c r="J28" s="44" t="s">
        <v>41</v>
      </c>
      <c r="K28" s="58">
        <v>1</v>
      </c>
      <c r="L28" s="58" t="s">
        <v>53</v>
      </c>
      <c r="M28" s="59">
        <v>2019</v>
      </c>
      <c r="N28" s="44" t="s">
        <v>31</v>
      </c>
      <c r="O28" s="51" t="s">
        <v>31</v>
      </c>
      <c r="P28" s="44" t="s">
        <v>31</v>
      </c>
      <c r="Q28" s="51" t="s">
        <v>31</v>
      </c>
      <c r="R28" s="44">
        <v>100</v>
      </c>
      <c r="S28" s="44">
        <v>1</v>
      </c>
      <c r="T28" s="44">
        <v>0</v>
      </c>
      <c r="U28" s="44">
        <v>0</v>
      </c>
    </row>
    <row r="29" spans="1:21" ht="10.8" thickBot="1" x14ac:dyDescent="0.25">
      <c r="A29" s="44" t="s">
        <v>37</v>
      </c>
      <c r="B29" s="44" t="s">
        <v>38</v>
      </c>
      <c r="C29" s="44" t="s">
        <v>39</v>
      </c>
      <c r="D29" s="44" t="s">
        <v>250</v>
      </c>
      <c r="E29" s="44" t="s">
        <v>251</v>
      </c>
      <c r="F29" s="44" t="s">
        <v>252</v>
      </c>
      <c r="G29" s="44" t="s">
        <v>52</v>
      </c>
      <c r="H29" s="44" t="s">
        <v>32</v>
      </c>
      <c r="I29" s="44" t="s">
        <v>40</v>
      </c>
      <c r="J29" s="44" t="s">
        <v>41</v>
      </c>
      <c r="K29" s="58">
        <v>1</v>
      </c>
      <c r="L29" s="58" t="s">
        <v>53</v>
      </c>
      <c r="M29" s="59">
        <v>2019</v>
      </c>
      <c r="N29" s="44" t="s">
        <v>31</v>
      </c>
      <c r="O29" s="51" t="s">
        <v>31</v>
      </c>
      <c r="P29" s="44" t="s">
        <v>31</v>
      </c>
      <c r="Q29" s="51" t="s">
        <v>31</v>
      </c>
      <c r="R29" s="44">
        <v>100</v>
      </c>
      <c r="S29" s="44">
        <v>1</v>
      </c>
      <c r="T29" s="44">
        <v>0</v>
      </c>
      <c r="U29" s="44">
        <v>0</v>
      </c>
    </row>
    <row r="30" spans="1:21" ht="10.8" thickBot="1" x14ac:dyDescent="0.25">
      <c r="A30" s="46" t="s">
        <v>101</v>
      </c>
      <c r="B30" s="46" t="s">
        <v>102</v>
      </c>
      <c r="C30" s="46" t="s">
        <v>103</v>
      </c>
      <c r="D30" s="46" t="s">
        <v>253</v>
      </c>
      <c r="E30" s="46" t="s">
        <v>254</v>
      </c>
      <c r="F30" s="46" t="s">
        <v>255</v>
      </c>
      <c r="G30" s="47" t="s">
        <v>92</v>
      </c>
      <c r="H30" s="48" t="s">
        <v>28</v>
      </c>
      <c r="I30" s="48" t="s">
        <v>40</v>
      </c>
      <c r="J30" s="49" t="s">
        <v>41</v>
      </c>
      <c r="K30" s="58">
        <v>0.5</v>
      </c>
      <c r="L30" s="58" t="s">
        <v>53</v>
      </c>
      <c r="M30" s="44">
        <v>2020</v>
      </c>
      <c r="N30" s="44" t="s">
        <v>42</v>
      </c>
      <c r="O30" s="51" t="s">
        <v>93</v>
      </c>
      <c r="P30" s="44" t="s">
        <v>31</v>
      </c>
      <c r="Q30" s="51" t="s">
        <v>31</v>
      </c>
      <c r="R30" s="44">
        <v>40</v>
      </c>
      <c r="S30" s="44">
        <v>0.2</v>
      </c>
      <c r="T30" s="44">
        <v>0.3</v>
      </c>
      <c r="U30" s="44">
        <v>0</v>
      </c>
    </row>
    <row r="31" spans="1:21" ht="10.8" thickBot="1" x14ac:dyDescent="0.25">
      <c r="A31" s="46" t="s">
        <v>101</v>
      </c>
      <c r="B31" s="46" t="s">
        <v>102</v>
      </c>
      <c r="C31" s="46" t="s">
        <v>103</v>
      </c>
      <c r="D31" s="46" t="s">
        <v>256</v>
      </c>
      <c r="E31" s="46" t="s">
        <v>257</v>
      </c>
      <c r="F31" s="46" t="s">
        <v>258</v>
      </c>
      <c r="G31" s="47" t="s">
        <v>92</v>
      </c>
      <c r="H31" s="48" t="s">
        <v>28</v>
      </c>
      <c r="I31" s="48" t="s">
        <v>40</v>
      </c>
      <c r="J31" s="49" t="s">
        <v>41</v>
      </c>
      <c r="K31" s="58">
        <v>0.5</v>
      </c>
      <c r="L31" s="58" t="s">
        <v>53</v>
      </c>
      <c r="M31" s="44">
        <v>2020</v>
      </c>
      <c r="N31" s="44" t="s">
        <v>42</v>
      </c>
      <c r="O31" s="51" t="s">
        <v>93</v>
      </c>
      <c r="P31" s="44" t="s">
        <v>31</v>
      </c>
      <c r="Q31" s="51" t="s">
        <v>31</v>
      </c>
      <c r="R31" s="44">
        <v>40</v>
      </c>
      <c r="S31" s="44">
        <v>0.2</v>
      </c>
      <c r="T31" s="44">
        <v>0.3</v>
      </c>
      <c r="U31" s="44">
        <v>0</v>
      </c>
    </row>
    <row r="32" spans="1:21" ht="10.8" thickBot="1" x14ac:dyDescent="0.25">
      <c r="A32" s="46" t="s">
        <v>259</v>
      </c>
      <c r="B32" s="46" t="s">
        <v>260</v>
      </c>
      <c r="C32" s="46" t="s">
        <v>261</v>
      </c>
      <c r="D32" s="46" t="s">
        <v>262</v>
      </c>
      <c r="E32" s="46" t="s">
        <v>263</v>
      </c>
      <c r="F32" s="46" t="s">
        <v>264</v>
      </c>
      <c r="G32" s="47" t="s">
        <v>57</v>
      </c>
      <c r="H32" s="48" t="s">
        <v>28</v>
      </c>
      <c r="I32" s="48" t="s">
        <v>40</v>
      </c>
      <c r="J32" s="49" t="s">
        <v>41</v>
      </c>
      <c r="K32" s="58">
        <v>0.5</v>
      </c>
      <c r="L32" s="58" t="s">
        <v>53</v>
      </c>
      <c r="M32" s="44">
        <v>2020</v>
      </c>
      <c r="N32" s="44" t="s">
        <v>58</v>
      </c>
      <c r="O32" s="51" t="s">
        <v>34</v>
      </c>
      <c r="P32" s="44" t="s">
        <v>31</v>
      </c>
      <c r="Q32" s="51" t="s">
        <v>31</v>
      </c>
      <c r="R32" s="44">
        <v>90</v>
      </c>
      <c r="S32" s="44">
        <v>0.45</v>
      </c>
      <c r="T32" s="44">
        <v>0.05</v>
      </c>
      <c r="U32" s="44">
        <v>0</v>
      </c>
    </row>
    <row r="33" spans="1:21" ht="10.8" thickBot="1" x14ac:dyDescent="0.25">
      <c r="A33" s="46" t="s">
        <v>37</v>
      </c>
      <c r="B33" s="46" t="s">
        <v>38</v>
      </c>
      <c r="C33" s="46" t="s">
        <v>39</v>
      </c>
      <c r="D33" s="46" t="s">
        <v>353</v>
      </c>
      <c r="E33" s="46" t="s">
        <v>354</v>
      </c>
      <c r="F33" s="46" t="s">
        <v>355</v>
      </c>
      <c r="G33" s="47" t="s">
        <v>356</v>
      </c>
      <c r="H33" s="48" t="s">
        <v>32</v>
      </c>
      <c r="I33" s="48" t="s">
        <v>40</v>
      </c>
      <c r="J33" s="49" t="s">
        <v>41</v>
      </c>
      <c r="K33" s="58">
        <v>1</v>
      </c>
      <c r="L33" s="58" t="s">
        <v>53</v>
      </c>
      <c r="M33" s="44">
        <v>2020</v>
      </c>
      <c r="N33" s="44" t="s">
        <v>42</v>
      </c>
      <c r="O33" s="51" t="s">
        <v>47</v>
      </c>
      <c r="P33" s="44" t="s">
        <v>31</v>
      </c>
      <c r="Q33" s="51" t="s">
        <v>31</v>
      </c>
      <c r="R33" s="44">
        <v>70</v>
      </c>
      <c r="S33" s="44">
        <v>0.7</v>
      </c>
      <c r="T33" s="44">
        <v>0.3</v>
      </c>
      <c r="U33" s="44">
        <v>0</v>
      </c>
    </row>
    <row r="34" spans="1:21" ht="10.8" thickBot="1" x14ac:dyDescent="0.25">
      <c r="A34" s="46" t="s">
        <v>37</v>
      </c>
      <c r="B34" s="46" t="s">
        <v>38</v>
      </c>
      <c r="C34" s="46" t="s">
        <v>39</v>
      </c>
      <c r="D34" s="46" t="s">
        <v>265</v>
      </c>
      <c r="E34" s="46" t="s">
        <v>266</v>
      </c>
      <c r="F34" s="46" t="s">
        <v>267</v>
      </c>
      <c r="G34" s="47" t="s">
        <v>268</v>
      </c>
      <c r="H34" s="48" t="s">
        <v>32</v>
      </c>
      <c r="I34" s="48" t="s">
        <v>40</v>
      </c>
      <c r="J34" s="49" t="s">
        <v>41</v>
      </c>
      <c r="K34" s="58">
        <v>1</v>
      </c>
      <c r="L34" s="58" t="s">
        <v>53</v>
      </c>
      <c r="M34" s="44">
        <v>2020</v>
      </c>
      <c r="N34" s="44" t="s">
        <v>129</v>
      </c>
      <c r="O34" s="51" t="s">
        <v>93</v>
      </c>
      <c r="P34" s="44" t="s">
        <v>31</v>
      </c>
      <c r="Q34" s="51" t="s">
        <v>31</v>
      </c>
      <c r="R34" s="44">
        <v>40</v>
      </c>
      <c r="S34" s="44">
        <v>0.4</v>
      </c>
      <c r="T34" s="44">
        <v>0.6</v>
      </c>
      <c r="U34" s="44">
        <v>0</v>
      </c>
    </row>
    <row r="35" spans="1:21" ht="10.8" thickBot="1" x14ac:dyDescent="0.25">
      <c r="A35" s="46" t="s">
        <v>37</v>
      </c>
      <c r="B35" s="46" t="s">
        <v>38</v>
      </c>
      <c r="C35" s="46" t="s">
        <v>39</v>
      </c>
      <c r="D35" s="46" t="s">
        <v>269</v>
      </c>
      <c r="E35" s="46" t="s">
        <v>270</v>
      </c>
      <c r="F35" s="46" t="s">
        <v>271</v>
      </c>
      <c r="G35" s="47" t="s">
        <v>100</v>
      </c>
      <c r="H35" s="48" t="s">
        <v>28</v>
      </c>
      <c r="I35" s="48" t="s">
        <v>40</v>
      </c>
      <c r="J35" s="49" t="s">
        <v>41</v>
      </c>
      <c r="K35" s="58">
        <v>0.5</v>
      </c>
      <c r="L35" s="58" t="s">
        <v>53</v>
      </c>
      <c r="M35" s="44">
        <v>2020</v>
      </c>
      <c r="N35" s="44" t="s">
        <v>29</v>
      </c>
      <c r="O35" s="51" t="s">
        <v>110</v>
      </c>
      <c r="P35" s="44" t="s">
        <v>31</v>
      </c>
      <c r="Q35" s="51" t="s">
        <v>31</v>
      </c>
      <c r="R35" s="44">
        <v>60</v>
      </c>
      <c r="S35" s="44">
        <v>0.3</v>
      </c>
      <c r="T35" s="44">
        <v>0.2</v>
      </c>
      <c r="U35" s="44">
        <v>0</v>
      </c>
    </row>
    <row r="36" spans="1:21" x14ac:dyDescent="0.2">
      <c r="A36" s="44" t="s">
        <v>37</v>
      </c>
      <c r="B36" s="44" t="s">
        <v>38</v>
      </c>
      <c r="C36" s="44" t="s">
        <v>39</v>
      </c>
      <c r="D36" s="44" t="s">
        <v>357</v>
      </c>
      <c r="E36" s="44" t="s">
        <v>358</v>
      </c>
      <c r="F36" s="44" t="s">
        <v>359</v>
      </c>
      <c r="G36" s="44" t="s">
        <v>356</v>
      </c>
      <c r="H36" s="44" t="s">
        <v>28</v>
      </c>
      <c r="I36" s="44" t="s">
        <v>40</v>
      </c>
      <c r="J36" s="44" t="s">
        <v>41</v>
      </c>
      <c r="K36" s="58">
        <v>0.5</v>
      </c>
      <c r="L36" s="58" t="s">
        <v>53</v>
      </c>
      <c r="M36" s="44">
        <v>2021</v>
      </c>
      <c r="N36" s="44" t="s">
        <v>42</v>
      </c>
      <c r="O36" s="51" t="s">
        <v>47</v>
      </c>
      <c r="P36" s="44" t="s">
        <v>31</v>
      </c>
      <c r="Q36" s="51" t="s">
        <v>31</v>
      </c>
      <c r="R36" s="44">
        <v>70</v>
      </c>
      <c r="S36" s="44">
        <v>0.35</v>
      </c>
      <c r="T36" s="44">
        <v>0.15</v>
      </c>
      <c r="U36" s="44">
        <v>0</v>
      </c>
    </row>
    <row r="37" spans="1:21" x14ac:dyDescent="0.2">
      <c r="A37" s="44" t="s">
        <v>37</v>
      </c>
      <c r="B37" s="44" t="s">
        <v>38</v>
      </c>
      <c r="C37" s="44" t="s">
        <v>39</v>
      </c>
      <c r="D37" s="44" t="s">
        <v>357</v>
      </c>
      <c r="E37" s="44" t="s">
        <v>358</v>
      </c>
      <c r="F37" s="44" t="s">
        <v>359</v>
      </c>
      <c r="G37" s="44" t="s">
        <v>360</v>
      </c>
      <c r="H37" s="44" t="s">
        <v>28</v>
      </c>
      <c r="I37" s="44" t="s">
        <v>40</v>
      </c>
      <c r="J37" s="44" t="s">
        <v>41</v>
      </c>
      <c r="K37" s="58">
        <v>0.5</v>
      </c>
      <c r="L37" s="58" t="s">
        <v>53</v>
      </c>
      <c r="M37" s="44">
        <v>2021</v>
      </c>
      <c r="N37" s="44" t="s">
        <v>31</v>
      </c>
      <c r="O37" s="51" t="s">
        <v>31</v>
      </c>
      <c r="P37" s="44" t="s">
        <v>31</v>
      </c>
      <c r="Q37" s="51" t="s">
        <v>31</v>
      </c>
      <c r="R37" s="44">
        <v>100</v>
      </c>
      <c r="S37" s="44">
        <v>0.5</v>
      </c>
      <c r="T37" s="44">
        <v>0</v>
      </c>
      <c r="U37" s="44">
        <v>0</v>
      </c>
    </row>
    <row r="38" spans="1:21" x14ac:dyDescent="0.2">
      <c r="A38" s="44" t="s">
        <v>37</v>
      </c>
      <c r="B38" s="44" t="s">
        <v>38</v>
      </c>
      <c r="C38" s="44" t="s">
        <v>39</v>
      </c>
      <c r="D38" s="44" t="s">
        <v>361</v>
      </c>
      <c r="E38" s="44" t="s">
        <v>362</v>
      </c>
      <c r="F38" s="44" t="s">
        <v>363</v>
      </c>
      <c r="G38" s="44" t="s">
        <v>268</v>
      </c>
      <c r="H38" s="44" t="s">
        <v>32</v>
      </c>
      <c r="I38" s="44" t="s">
        <v>40</v>
      </c>
      <c r="J38" s="44" t="s">
        <v>41</v>
      </c>
      <c r="K38" s="58">
        <v>1</v>
      </c>
      <c r="L38" s="58" t="s">
        <v>53</v>
      </c>
      <c r="M38" s="44">
        <v>2021</v>
      </c>
      <c r="N38" s="44" t="s">
        <v>129</v>
      </c>
      <c r="O38" s="51" t="s">
        <v>93</v>
      </c>
      <c r="P38" s="44" t="s">
        <v>31</v>
      </c>
      <c r="Q38" s="51" t="s">
        <v>31</v>
      </c>
      <c r="R38" s="44">
        <v>40</v>
      </c>
      <c r="S38" s="44">
        <v>0.4</v>
      </c>
      <c r="T38" s="44">
        <v>0.6</v>
      </c>
      <c r="U38" s="44">
        <v>0</v>
      </c>
    </row>
    <row r="39" spans="1:21" x14ac:dyDescent="0.2">
      <c r="A39" s="44" t="s">
        <v>37</v>
      </c>
      <c r="B39" s="44" t="s">
        <v>38</v>
      </c>
      <c r="C39" s="44" t="s">
        <v>39</v>
      </c>
      <c r="D39" s="44" t="s">
        <v>364</v>
      </c>
      <c r="E39" s="44" t="s">
        <v>365</v>
      </c>
      <c r="F39" s="44" t="s">
        <v>366</v>
      </c>
      <c r="G39" s="44" t="s">
        <v>356</v>
      </c>
      <c r="H39" s="44" t="s">
        <v>32</v>
      </c>
      <c r="I39" s="44" t="s">
        <v>40</v>
      </c>
      <c r="J39" s="44" t="s">
        <v>41</v>
      </c>
      <c r="K39" s="58">
        <v>1</v>
      </c>
      <c r="L39" s="58" t="s">
        <v>53</v>
      </c>
      <c r="M39" s="44">
        <v>2021</v>
      </c>
      <c r="N39" s="44" t="s">
        <v>42</v>
      </c>
      <c r="O39" s="51" t="s">
        <v>47</v>
      </c>
      <c r="P39" s="44" t="s">
        <v>31</v>
      </c>
      <c r="Q39" s="51" t="s">
        <v>31</v>
      </c>
      <c r="R39" s="44">
        <v>70</v>
      </c>
      <c r="S39" s="44">
        <v>0.7</v>
      </c>
      <c r="T39" s="44">
        <v>0.3</v>
      </c>
      <c r="U39" s="44">
        <v>0</v>
      </c>
    </row>
    <row r="40" spans="1:21" x14ac:dyDescent="0.2">
      <c r="A40" s="14"/>
      <c r="B40" s="14"/>
      <c r="C40" s="14"/>
      <c r="D40" s="14"/>
      <c r="E40" s="14"/>
      <c r="F40" s="14"/>
      <c r="G40" s="14"/>
      <c r="H40" s="14"/>
      <c r="I40" s="14"/>
      <c r="J40" s="14"/>
      <c r="K40" s="14"/>
      <c r="L40" s="14"/>
      <c r="M40" s="14"/>
      <c r="N40" s="14"/>
      <c r="O40" s="15"/>
      <c r="P40" s="14"/>
      <c r="Q40" s="15"/>
      <c r="R40" s="14"/>
      <c r="S40" s="16">
        <f>SUM(S2:S39)</f>
        <v>19.999999999999996</v>
      </c>
      <c r="T40" s="14"/>
      <c r="U40" s="14"/>
    </row>
  </sheetData>
  <autoFilter ref="A1:U39" xr:uid="{00000000-0009-0000-0000-000000000000}">
    <sortState xmlns:xlrd2="http://schemas.microsoft.com/office/spreadsheetml/2017/richdata2" ref="A2:U1883">
      <sortCondition ref="L2:L1883"/>
      <sortCondition ref="M2:M1883"/>
      <sortCondition ref="D2:D1883"/>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1"/>
  <sheetViews>
    <sheetView zoomScaleNormal="100" workbookViewId="0">
      <selection activeCell="A21" sqref="A21:S21"/>
    </sheetView>
  </sheetViews>
  <sheetFormatPr baseColWidth="10" defaultColWidth="11.44140625" defaultRowHeight="13.2" x14ac:dyDescent="0.25"/>
  <cols>
    <col min="1" max="1" width="10.88671875" style="21" bestFit="1" customWidth="1"/>
    <col min="2" max="2" width="37.6640625" style="21" bestFit="1" customWidth="1"/>
    <col min="3" max="3" width="14.5546875" style="21" bestFit="1" customWidth="1"/>
    <col min="4" max="9" width="3.33203125" style="21" bestFit="1" customWidth="1"/>
    <col min="10" max="10" width="13.109375" style="21" bestFit="1" customWidth="1"/>
    <col min="11" max="11" width="5.33203125" style="21" bestFit="1" customWidth="1"/>
    <col min="12" max="13" width="5.6640625" style="21" bestFit="1" customWidth="1"/>
    <col min="14" max="14" width="5.6640625" style="22" bestFit="1" customWidth="1"/>
    <col min="15" max="15" width="5.6640625" style="21" bestFit="1" customWidth="1"/>
    <col min="16" max="16" width="5.6640625" style="22" bestFit="1" customWidth="1"/>
    <col min="17" max="19" width="5.6640625" style="21" bestFit="1" customWidth="1"/>
    <col min="20" max="16384" width="11.44140625" style="21"/>
  </cols>
  <sheetData>
    <row r="1" spans="1:19" s="20" customFormat="1" ht="60" customHeight="1" x14ac:dyDescent="0.25">
      <c r="A1" s="23" t="s">
        <v>131</v>
      </c>
      <c r="B1" s="23" t="s">
        <v>132</v>
      </c>
      <c r="C1" s="23" t="s">
        <v>133</v>
      </c>
      <c r="D1" s="24">
        <v>2017</v>
      </c>
      <c r="E1" s="24">
        <v>2018</v>
      </c>
      <c r="F1" s="24">
        <v>2019</v>
      </c>
      <c r="G1" s="24">
        <v>2020</v>
      </c>
      <c r="H1" s="24">
        <v>2021</v>
      </c>
      <c r="I1" s="24">
        <v>2022</v>
      </c>
      <c r="J1" s="23" t="s">
        <v>134</v>
      </c>
      <c r="K1" s="62" t="s">
        <v>240</v>
      </c>
      <c r="L1" s="18" t="s">
        <v>135</v>
      </c>
      <c r="M1" s="18" t="s">
        <v>136</v>
      </c>
      <c r="N1" s="18" t="s">
        <v>137</v>
      </c>
      <c r="O1" s="18" t="s">
        <v>138</v>
      </c>
      <c r="P1" s="19" t="s">
        <v>139</v>
      </c>
      <c r="Q1" s="19" t="s">
        <v>140</v>
      </c>
      <c r="R1" s="19" t="s">
        <v>141</v>
      </c>
      <c r="S1" s="19" t="s">
        <v>142</v>
      </c>
    </row>
    <row r="2" spans="1:19" ht="14.4" x14ac:dyDescent="0.3">
      <c r="A2" s="25" t="s">
        <v>236</v>
      </c>
      <c r="B2" s="25" t="s">
        <v>237</v>
      </c>
      <c r="C2" s="25" t="s">
        <v>143</v>
      </c>
      <c r="D2" s="25"/>
      <c r="E2" s="25"/>
      <c r="F2" s="25"/>
      <c r="G2" s="25">
        <v>2</v>
      </c>
      <c r="H2" s="25"/>
      <c r="I2" s="25"/>
      <c r="J2" s="25">
        <v>2</v>
      </c>
      <c r="K2" s="25" t="s">
        <v>53</v>
      </c>
      <c r="L2" s="26">
        <v>0</v>
      </c>
      <c r="M2" s="26">
        <v>0</v>
      </c>
      <c r="N2" s="26" t="s">
        <v>31</v>
      </c>
      <c r="O2" s="26" t="s">
        <v>31</v>
      </c>
      <c r="P2" s="26">
        <v>100</v>
      </c>
      <c r="Q2" s="26">
        <v>0</v>
      </c>
      <c r="R2" s="26">
        <v>0</v>
      </c>
      <c r="S2" s="26">
        <v>2</v>
      </c>
    </row>
    <row r="3" spans="1:19" ht="14.4" x14ac:dyDescent="0.3">
      <c r="A3" s="25" t="s">
        <v>156</v>
      </c>
      <c r="B3" s="25" t="s">
        <v>157</v>
      </c>
      <c r="C3" s="25" t="s">
        <v>143</v>
      </c>
      <c r="D3" s="25"/>
      <c r="E3" s="25"/>
      <c r="F3" s="25"/>
      <c r="G3" s="25">
        <v>1</v>
      </c>
      <c r="H3" s="25"/>
      <c r="I3" s="25"/>
      <c r="J3" s="25">
        <v>1</v>
      </c>
      <c r="K3" s="25" t="s">
        <v>53</v>
      </c>
      <c r="L3" s="26">
        <v>0</v>
      </c>
      <c r="M3" s="26">
        <v>0</v>
      </c>
      <c r="N3" s="26" t="s">
        <v>31</v>
      </c>
      <c r="O3" s="26" t="s">
        <v>31</v>
      </c>
      <c r="P3" s="26">
        <v>100</v>
      </c>
      <c r="Q3" s="26">
        <v>0</v>
      </c>
      <c r="R3" s="26">
        <v>0</v>
      </c>
      <c r="S3" s="26">
        <v>1</v>
      </c>
    </row>
    <row r="4" spans="1:19" ht="14.4" x14ac:dyDescent="0.3">
      <c r="A4" s="25" t="s">
        <v>241</v>
      </c>
      <c r="B4" s="25" t="s">
        <v>242</v>
      </c>
      <c r="C4" s="25" t="s">
        <v>243</v>
      </c>
      <c r="D4" s="25"/>
      <c r="E4" s="25"/>
      <c r="F4" s="25"/>
      <c r="G4" s="25"/>
      <c r="H4" s="25"/>
      <c r="I4" s="25">
        <v>1</v>
      </c>
      <c r="J4" s="25">
        <v>1</v>
      </c>
      <c r="K4" s="25" t="s">
        <v>53</v>
      </c>
      <c r="L4" s="26" t="s">
        <v>42</v>
      </c>
      <c r="M4" s="26" t="s">
        <v>34</v>
      </c>
      <c r="N4" s="26" t="s">
        <v>31</v>
      </c>
      <c r="O4" s="26" t="s">
        <v>31</v>
      </c>
      <c r="P4" s="26">
        <v>90</v>
      </c>
      <c r="Q4" s="26">
        <v>0.1</v>
      </c>
      <c r="R4" s="26">
        <v>0</v>
      </c>
      <c r="S4" s="26">
        <v>0.9</v>
      </c>
    </row>
    <row r="5" spans="1:19" ht="14.4" x14ac:dyDescent="0.3">
      <c r="A5" s="25" t="s">
        <v>152</v>
      </c>
      <c r="B5" s="25" t="s">
        <v>153</v>
      </c>
      <c r="C5" s="25" t="s">
        <v>143</v>
      </c>
      <c r="D5" s="25">
        <v>1</v>
      </c>
      <c r="E5" s="25"/>
      <c r="F5" s="25">
        <v>1</v>
      </c>
      <c r="G5" s="25"/>
      <c r="H5" s="25"/>
      <c r="I5" s="25"/>
      <c r="J5" s="25">
        <v>2</v>
      </c>
      <c r="K5" s="25" t="s">
        <v>53</v>
      </c>
      <c r="L5" s="26" t="s">
        <v>58</v>
      </c>
      <c r="M5" s="26" t="s">
        <v>34</v>
      </c>
      <c r="N5" s="26" t="s">
        <v>31</v>
      </c>
      <c r="O5" s="26" t="s">
        <v>31</v>
      </c>
      <c r="P5" s="26">
        <v>90</v>
      </c>
      <c r="Q5" s="26">
        <v>0.2</v>
      </c>
      <c r="R5" s="26">
        <v>0</v>
      </c>
      <c r="S5" s="26">
        <v>1.8</v>
      </c>
    </row>
    <row r="6" spans="1:19" ht="14.4" x14ac:dyDescent="0.3">
      <c r="A6" s="25" t="s">
        <v>150</v>
      </c>
      <c r="B6" s="25" t="s">
        <v>151</v>
      </c>
      <c r="C6" s="27" t="s">
        <v>143</v>
      </c>
      <c r="D6" s="25"/>
      <c r="E6" s="25"/>
      <c r="F6" s="25">
        <v>2</v>
      </c>
      <c r="G6" s="25"/>
      <c r="H6" s="25"/>
      <c r="I6" s="25"/>
      <c r="J6" s="25">
        <v>2</v>
      </c>
      <c r="K6" s="25" t="s">
        <v>53</v>
      </c>
      <c r="L6" s="26" t="s">
        <v>42</v>
      </c>
      <c r="M6" s="26" t="s">
        <v>47</v>
      </c>
      <c r="N6" s="26" t="s">
        <v>31</v>
      </c>
      <c r="O6" s="26" t="s">
        <v>31</v>
      </c>
      <c r="P6" s="26">
        <v>70</v>
      </c>
      <c r="Q6" s="26">
        <v>0.6</v>
      </c>
      <c r="R6" s="26">
        <v>0</v>
      </c>
      <c r="S6" s="26">
        <v>1.4</v>
      </c>
    </row>
    <row r="7" spans="1:19" ht="14.4" x14ac:dyDescent="0.3">
      <c r="A7" s="25" t="s">
        <v>168</v>
      </c>
      <c r="B7" s="25" t="s">
        <v>169</v>
      </c>
      <c r="C7" s="25" t="s">
        <v>143</v>
      </c>
      <c r="D7" s="25"/>
      <c r="E7" s="25">
        <v>1</v>
      </c>
      <c r="F7" s="25"/>
      <c r="G7" s="25"/>
      <c r="H7" s="25"/>
      <c r="I7" s="25"/>
      <c r="J7" s="25">
        <v>1</v>
      </c>
      <c r="K7" s="25" t="s">
        <v>53</v>
      </c>
      <c r="L7" s="26">
        <v>0</v>
      </c>
      <c r="M7" s="26">
        <v>0</v>
      </c>
      <c r="N7" s="26" t="s">
        <v>31</v>
      </c>
      <c r="O7" s="26" t="s">
        <v>31</v>
      </c>
      <c r="P7" s="26">
        <v>100</v>
      </c>
      <c r="Q7" s="26">
        <v>0</v>
      </c>
      <c r="R7" s="26">
        <v>0</v>
      </c>
      <c r="S7" s="26">
        <v>1</v>
      </c>
    </row>
    <row r="8" spans="1:19" ht="14.4" x14ac:dyDescent="0.3">
      <c r="A8" s="25" t="s">
        <v>367</v>
      </c>
      <c r="B8" s="25" t="s">
        <v>368</v>
      </c>
      <c r="C8" s="25" t="s">
        <v>143</v>
      </c>
      <c r="D8" s="25">
        <v>1</v>
      </c>
      <c r="E8" s="25"/>
      <c r="F8" s="25"/>
      <c r="G8" s="25"/>
      <c r="H8" s="25"/>
      <c r="I8" s="25"/>
      <c r="J8" s="25">
        <v>1</v>
      </c>
      <c r="K8" s="25" t="s">
        <v>53</v>
      </c>
      <c r="L8" s="26" t="s">
        <v>45</v>
      </c>
      <c r="M8" s="26" t="s">
        <v>34</v>
      </c>
      <c r="N8" s="26" t="s">
        <v>31</v>
      </c>
      <c r="O8" s="26" t="s">
        <v>31</v>
      </c>
      <c r="P8" s="26">
        <v>90</v>
      </c>
      <c r="Q8" s="26">
        <v>0.1</v>
      </c>
      <c r="R8" s="26">
        <v>0</v>
      </c>
      <c r="S8" s="26">
        <v>0.9</v>
      </c>
    </row>
    <row r="9" spans="1:19" ht="14.4" x14ac:dyDescent="0.3">
      <c r="A9" s="25" t="s">
        <v>164</v>
      </c>
      <c r="B9" s="25" t="s">
        <v>165</v>
      </c>
      <c r="C9" s="25" t="s">
        <v>143</v>
      </c>
      <c r="D9" s="25"/>
      <c r="E9" s="25"/>
      <c r="F9" s="25">
        <v>2</v>
      </c>
      <c r="G9" s="25"/>
      <c r="H9" s="25"/>
      <c r="I9" s="25"/>
      <c r="J9" s="25">
        <v>2</v>
      </c>
      <c r="K9" s="25" t="s">
        <v>53</v>
      </c>
      <c r="L9" s="26" t="s">
        <v>45</v>
      </c>
      <c r="M9" s="26" t="s">
        <v>30</v>
      </c>
      <c r="N9" s="26" t="s">
        <v>31</v>
      </c>
      <c r="O9" s="26" t="s">
        <v>31</v>
      </c>
      <c r="P9" s="26">
        <v>50</v>
      </c>
      <c r="Q9" s="26">
        <v>1</v>
      </c>
      <c r="R9" s="26">
        <v>0</v>
      </c>
      <c r="S9" s="26">
        <v>1</v>
      </c>
    </row>
    <row r="10" spans="1:19" ht="14.4" x14ac:dyDescent="0.3">
      <c r="A10" s="25" t="s">
        <v>166</v>
      </c>
      <c r="B10" s="25" t="s">
        <v>167</v>
      </c>
      <c r="C10" s="25" t="s">
        <v>143</v>
      </c>
      <c r="D10" s="25"/>
      <c r="E10" s="25"/>
      <c r="F10" s="25">
        <v>2</v>
      </c>
      <c r="G10" s="25"/>
      <c r="H10" s="25"/>
      <c r="I10" s="25"/>
      <c r="J10" s="25">
        <v>2</v>
      </c>
      <c r="K10" s="25" t="s">
        <v>53</v>
      </c>
      <c r="L10" s="26" t="s">
        <v>45</v>
      </c>
      <c r="M10" s="26" t="s">
        <v>30</v>
      </c>
      <c r="N10" s="26" t="s">
        <v>31</v>
      </c>
      <c r="O10" s="26" t="s">
        <v>31</v>
      </c>
      <c r="P10" s="26">
        <v>50</v>
      </c>
      <c r="Q10" s="26">
        <v>1</v>
      </c>
      <c r="R10" s="26">
        <v>0</v>
      </c>
      <c r="S10" s="26">
        <v>1</v>
      </c>
    </row>
    <row r="11" spans="1:19" ht="14.4" x14ac:dyDescent="0.3">
      <c r="A11" s="25" t="s">
        <v>162</v>
      </c>
      <c r="B11" s="25" t="s">
        <v>163</v>
      </c>
      <c r="C11" s="25" t="s">
        <v>143</v>
      </c>
      <c r="D11" s="25"/>
      <c r="E11" s="25"/>
      <c r="F11" s="25">
        <v>1</v>
      </c>
      <c r="G11" s="25"/>
      <c r="H11" s="25"/>
      <c r="I11" s="25"/>
      <c r="J11" s="25">
        <v>1</v>
      </c>
      <c r="K11" s="25" t="s">
        <v>53</v>
      </c>
      <c r="L11" s="26" t="s">
        <v>29</v>
      </c>
      <c r="M11" s="26" t="s">
        <v>110</v>
      </c>
      <c r="N11" s="26" t="s">
        <v>31</v>
      </c>
      <c r="O11" s="26" t="s">
        <v>31</v>
      </c>
      <c r="P11" s="26">
        <v>60</v>
      </c>
      <c r="Q11" s="26">
        <v>0.4</v>
      </c>
      <c r="R11" s="26">
        <v>0</v>
      </c>
      <c r="S11" s="26">
        <v>0.6</v>
      </c>
    </row>
    <row r="12" spans="1:19" ht="14.4" x14ac:dyDescent="0.3">
      <c r="A12" s="25" t="s">
        <v>160</v>
      </c>
      <c r="B12" s="25" t="s">
        <v>161</v>
      </c>
      <c r="C12" s="25" t="s">
        <v>143</v>
      </c>
      <c r="D12" s="25">
        <v>1</v>
      </c>
      <c r="E12" s="25"/>
      <c r="F12" s="25">
        <v>1</v>
      </c>
      <c r="G12" s="25"/>
      <c r="H12" s="25"/>
      <c r="I12" s="25"/>
      <c r="J12" s="25">
        <v>2</v>
      </c>
      <c r="K12" s="25" t="s">
        <v>53</v>
      </c>
      <c r="L12" s="26" t="s">
        <v>42</v>
      </c>
      <c r="M12" s="26" t="s">
        <v>93</v>
      </c>
      <c r="N12" s="26" t="s">
        <v>31</v>
      </c>
      <c r="O12" s="26" t="s">
        <v>31</v>
      </c>
      <c r="P12" s="26">
        <v>40</v>
      </c>
      <c r="Q12" s="26">
        <v>1.2</v>
      </c>
      <c r="R12" s="26">
        <v>0</v>
      </c>
      <c r="S12" s="26">
        <v>0.8</v>
      </c>
    </row>
    <row r="13" spans="1:19" ht="14.4" x14ac:dyDescent="0.3">
      <c r="A13" s="25" t="s">
        <v>369</v>
      </c>
      <c r="B13" s="25" t="s">
        <v>370</v>
      </c>
      <c r="C13" s="27" t="s">
        <v>243</v>
      </c>
      <c r="D13" s="25"/>
      <c r="E13" s="25"/>
      <c r="F13" s="25"/>
      <c r="G13" s="25"/>
      <c r="H13" s="25"/>
      <c r="I13" s="25">
        <v>1</v>
      </c>
      <c r="J13" s="25">
        <v>1</v>
      </c>
      <c r="K13" s="25" t="s">
        <v>53</v>
      </c>
      <c r="L13" s="26" t="s">
        <v>129</v>
      </c>
      <c r="M13" s="26" t="s">
        <v>371</v>
      </c>
      <c r="N13" s="26" t="s">
        <v>31</v>
      </c>
      <c r="O13" s="26" t="s">
        <v>31</v>
      </c>
      <c r="P13" s="26">
        <v>80</v>
      </c>
      <c r="Q13" s="26">
        <v>0.2</v>
      </c>
      <c r="R13" s="26">
        <v>0</v>
      </c>
      <c r="S13" s="26">
        <v>0.8</v>
      </c>
    </row>
    <row r="14" spans="1:19" ht="14.4" x14ac:dyDescent="0.3">
      <c r="A14" s="25" t="s">
        <v>154</v>
      </c>
      <c r="B14" s="25" t="s">
        <v>155</v>
      </c>
      <c r="C14" s="25" t="s">
        <v>143</v>
      </c>
      <c r="D14" s="25">
        <v>1</v>
      </c>
      <c r="E14" s="25"/>
      <c r="F14" s="25"/>
      <c r="G14" s="25"/>
      <c r="H14" s="25"/>
      <c r="I14" s="25"/>
      <c r="J14" s="25">
        <v>1</v>
      </c>
      <c r="K14" s="25" t="s">
        <v>53</v>
      </c>
      <c r="L14" s="26" t="s">
        <v>129</v>
      </c>
      <c r="M14" s="26" t="s">
        <v>93</v>
      </c>
      <c r="N14" s="26" t="s">
        <v>31</v>
      </c>
      <c r="O14" s="26" t="s">
        <v>31</v>
      </c>
      <c r="P14" s="26">
        <v>40</v>
      </c>
      <c r="Q14" s="26">
        <v>0.6</v>
      </c>
      <c r="R14" s="26">
        <v>0</v>
      </c>
      <c r="S14" s="26">
        <v>0.4</v>
      </c>
    </row>
    <row r="15" spans="1:19" ht="14.4" x14ac:dyDescent="0.3">
      <c r="A15" s="25" t="s">
        <v>158</v>
      </c>
      <c r="B15" s="25" t="s">
        <v>159</v>
      </c>
      <c r="C15" s="25" t="s">
        <v>143</v>
      </c>
      <c r="D15" s="25"/>
      <c r="E15" s="25">
        <v>2</v>
      </c>
      <c r="F15" s="25">
        <v>1</v>
      </c>
      <c r="G15" s="25"/>
      <c r="H15" s="25"/>
      <c r="I15" s="25"/>
      <c r="J15" s="25">
        <v>3</v>
      </c>
      <c r="K15" s="25" t="s">
        <v>53</v>
      </c>
      <c r="L15" s="26">
        <v>0</v>
      </c>
      <c r="M15" s="26">
        <v>0</v>
      </c>
      <c r="N15" s="26" t="s">
        <v>31</v>
      </c>
      <c r="O15" s="26" t="s">
        <v>31</v>
      </c>
      <c r="P15" s="26">
        <v>100</v>
      </c>
      <c r="Q15" s="26">
        <v>0</v>
      </c>
      <c r="R15" s="26">
        <v>0</v>
      </c>
      <c r="S15" s="26">
        <v>3</v>
      </c>
    </row>
    <row r="16" spans="1:19" ht="14.4" x14ac:dyDescent="0.3">
      <c r="A16" s="25" t="s">
        <v>245</v>
      </c>
      <c r="B16" s="25" t="s">
        <v>246</v>
      </c>
      <c r="C16" s="25" t="s">
        <v>243</v>
      </c>
      <c r="D16" s="25"/>
      <c r="E16" s="25"/>
      <c r="F16" s="25"/>
      <c r="G16" s="25"/>
      <c r="H16" s="25">
        <v>1</v>
      </c>
      <c r="I16" s="25"/>
      <c r="J16" s="25">
        <v>1</v>
      </c>
      <c r="K16" s="25" t="s">
        <v>53</v>
      </c>
      <c r="L16" s="26" t="s">
        <v>45</v>
      </c>
      <c r="M16" s="26" t="s">
        <v>47</v>
      </c>
      <c r="N16" s="26" t="s">
        <v>31</v>
      </c>
      <c r="O16" s="26" t="s">
        <v>31</v>
      </c>
      <c r="P16" s="26">
        <v>70</v>
      </c>
      <c r="Q16" s="26">
        <v>0.3</v>
      </c>
      <c r="R16" s="26">
        <v>0</v>
      </c>
      <c r="S16" s="26">
        <v>0.7</v>
      </c>
    </row>
    <row r="17" spans="1:19" ht="14.4" x14ac:dyDescent="0.3">
      <c r="A17" s="25" t="s">
        <v>148</v>
      </c>
      <c r="B17" s="25" t="s">
        <v>149</v>
      </c>
      <c r="C17" s="25" t="s">
        <v>143</v>
      </c>
      <c r="D17" s="25"/>
      <c r="E17" s="25"/>
      <c r="F17" s="25">
        <v>1</v>
      </c>
      <c r="G17" s="25"/>
      <c r="H17" s="25"/>
      <c r="I17" s="25"/>
      <c r="J17" s="25">
        <v>1</v>
      </c>
      <c r="K17" s="25" t="s">
        <v>53</v>
      </c>
      <c r="L17" s="26" t="s">
        <v>29</v>
      </c>
      <c r="M17" s="26" t="s">
        <v>34</v>
      </c>
      <c r="N17" s="26" t="s">
        <v>31</v>
      </c>
      <c r="O17" s="26" t="s">
        <v>31</v>
      </c>
      <c r="P17" s="26">
        <v>90</v>
      </c>
      <c r="Q17" s="26">
        <v>0.1</v>
      </c>
      <c r="R17" s="26">
        <v>0</v>
      </c>
      <c r="S17" s="26">
        <v>0.9</v>
      </c>
    </row>
    <row r="18" spans="1:19" ht="14.4" x14ac:dyDescent="0.3">
      <c r="A18" s="25" t="s">
        <v>238</v>
      </c>
      <c r="B18" s="25" t="s">
        <v>239</v>
      </c>
      <c r="C18" s="25" t="s">
        <v>143</v>
      </c>
      <c r="D18" s="25"/>
      <c r="E18" s="25"/>
      <c r="F18" s="25"/>
      <c r="G18" s="25">
        <v>1</v>
      </c>
      <c r="H18" s="25"/>
      <c r="I18" s="25"/>
      <c r="J18" s="25">
        <v>1</v>
      </c>
      <c r="K18" s="25" t="s">
        <v>53</v>
      </c>
      <c r="L18" s="26">
        <v>0</v>
      </c>
      <c r="M18" s="26">
        <v>0</v>
      </c>
      <c r="N18" s="26" t="s">
        <v>31</v>
      </c>
      <c r="O18" s="26" t="s">
        <v>31</v>
      </c>
      <c r="P18" s="26">
        <v>100</v>
      </c>
      <c r="Q18" s="26">
        <v>0</v>
      </c>
      <c r="R18" s="26">
        <v>0</v>
      </c>
      <c r="S18" s="26">
        <v>1</v>
      </c>
    </row>
    <row r="19" spans="1:19" ht="14.4" x14ac:dyDescent="0.3">
      <c r="A19" s="25" t="s">
        <v>144</v>
      </c>
      <c r="B19" s="25" t="s">
        <v>145</v>
      </c>
      <c r="C19" s="27" t="s">
        <v>244</v>
      </c>
      <c r="D19" s="25"/>
      <c r="E19" s="25"/>
      <c r="F19" s="25"/>
      <c r="G19" s="25"/>
      <c r="H19" s="25"/>
      <c r="I19" s="25">
        <v>1</v>
      </c>
      <c r="J19" s="25">
        <v>1</v>
      </c>
      <c r="K19" s="25" t="s">
        <v>53</v>
      </c>
      <c r="L19" s="26" t="s">
        <v>130</v>
      </c>
      <c r="M19" s="26" t="s">
        <v>34</v>
      </c>
      <c r="N19" s="26" t="s">
        <v>31</v>
      </c>
      <c r="O19" s="26" t="s">
        <v>31</v>
      </c>
      <c r="P19" s="26">
        <v>90</v>
      </c>
      <c r="Q19" s="26">
        <v>0.1</v>
      </c>
      <c r="R19" s="26">
        <v>0</v>
      </c>
      <c r="S19" s="26">
        <v>0.9</v>
      </c>
    </row>
    <row r="20" spans="1:19" ht="14.4" x14ac:dyDescent="0.3">
      <c r="A20" s="25" t="s">
        <v>146</v>
      </c>
      <c r="B20" s="25" t="s">
        <v>147</v>
      </c>
      <c r="C20" s="27" t="s">
        <v>244</v>
      </c>
      <c r="D20" s="25"/>
      <c r="E20" s="25"/>
      <c r="F20" s="25"/>
      <c r="G20" s="25"/>
      <c r="H20" s="25"/>
      <c r="I20" s="25">
        <v>1</v>
      </c>
      <c r="J20" s="25">
        <v>1</v>
      </c>
      <c r="K20" s="25" t="s">
        <v>53</v>
      </c>
      <c r="L20" s="26" t="s">
        <v>42</v>
      </c>
      <c r="M20" s="26" t="s">
        <v>34</v>
      </c>
      <c r="N20" s="26" t="s">
        <v>31</v>
      </c>
      <c r="O20" s="26" t="s">
        <v>31</v>
      </c>
      <c r="P20" s="26">
        <v>90</v>
      </c>
      <c r="Q20" s="26">
        <v>0.1</v>
      </c>
      <c r="R20" s="26">
        <v>0</v>
      </c>
      <c r="S20" s="26">
        <v>0.9</v>
      </c>
    </row>
    <row r="21" spans="1:19" x14ac:dyDescent="0.25">
      <c r="A21" s="63"/>
      <c r="B21" s="63"/>
      <c r="C21" s="63"/>
      <c r="D21" s="63"/>
      <c r="E21" s="63"/>
      <c r="F21" s="63"/>
      <c r="G21" s="63"/>
      <c r="H21" s="63"/>
      <c r="I21" s="63"/>
      <c r="J21" s="63"/>
      <c r="K21" s="63"/>
      <c r="L21" s="63"/>
      <c r="M21" s="63"/>
      <c r="N21" s="64"/>
      <c r="O21" s="63"/>
      <c r="P21" s="64"/>
      <c r="Q21" s="63"/>
      <c r="R21" s="63"/>
      <c r="S21" s="65">
        <f>SUM(S2:S20)</f>
        <v>20.999999999999996</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3"/>
  <sheetViews>
    <sheetView topLeftCell="A52" zoomScaleNormal="100" workbookViewId="0">
      <selection activeCell="A49" sqref="A49:B6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170</v>
      </c>
      <c r="B2" s="5"/>
    </row>
    <row r="3" spans="1:2" x14ac:dyDescent="0.2">
      <c r="A3" s="4" t="s">
        <v>171</v>
      </c>
      <c r="B3" s="5">
        <v>5000</v>
      </c>
    </row>
    <row r="4" spans="1:2" x14ac:dyDescent="0.2">
      <c r="A4" s="4" t="s">
        <v>172</v>
      </c>
      <c r="B4" s="5"/>
    </row>
    <row r="5" spans="1:2" x14ac:dyDescent="0.2">
      <c r="A5" s="4" t="s">
        <v>173</v>
      </c>
      <c r="B5" s="5">
        <v>4500</v>
      </c>
    </row>
    <row r="6" spans="1:2" x14ac:dyDescent="0.2">
      <c r="A6" s="4" t="s">
        <v>174</v>
      </c>
      <c r="B6" s="5">
        <v>0.94</v>
      </c>
    </row>
    <row r="7" spans="1:2" x14ac:dyDescent="0.2">
      <c r="A7" s="4" t="s">
        <v>175</v>
      </c>
      <c r="B7" s="5"/>
    </row>
    <row r="8" spans="1:2" x14ac:dyDescent="0.2">
      <c r="A8" s="4" t="s">
        <v>176</v>
      </c>
      <c r="B8" s="5">
        <v>4000</v>
      </c>
    </row>
    <row r="9" spans="1:2" x14ac:dyDescent="0.2">
      <c r="A9" s="4" t="s">
        <v>174</v>
      </c>
      <c r="B9" s="5">
        <v>0.67</v>
      </c>
    </row>
    <row r="10" spans="1:2" x14ac:dyDescent="0.2">
      <c r="A10" s="4" t="s">
        <v>177</v>
      </c>
      <c r="B10" s="5"/>
    </row>
    <row r="11" spans="1:2" x14ac:dyDescent="0.2">
      <c r="A11" s="4" t="s">
        <v>178</v>
      </c>
      <c r="B11" s="5">
        <v>2000</v>
      </c>
    </row>
    <row r="12" spans="1:2" x14ac:dyDescent="0.2">
      <c r="A12" s="4" t="s">
        <v>179</v>
      </c>
      <c r="B12" s="5">
        <v>2000</v>
      </c>
    </row>
    <row r="13" spans="1:2" x14ac:dyDescent="0.2">
      <c r="A13" s="4" t="s">
        <v>180</v>
      </c>
      <c r="B13" s="5">
        <v>2000</v>
      </c>
    </row>
    <row r="14" spans="1:2" x14ac:dyDescent="0.2">
      <c r="A14" s="4" t="s">
        <v>181</v>
      </c>
      <c r="B14" s="5"/>
    </row>
    <row r="15" spans="1:2" x14ac:dyDescent="0.2">
      <c r="A15" s="4" t="s">
        <v>182</v>
      </c>
      <c r="B15" s="5">
        <v>12000</v>
      </c>
    </row>
    <row r="16" spans="1:2" x14ac:dyDescent="0.2">
      <c r="A16" s="4" t="s">
        <v>183</v>
      </c>
      <c r="B16" s="5"/>
    </row>
    <row r="17" spans="1:2" x14ac:dyDescent="0.2">
      <c r="A17" s="4" t="s">
        <v>184</v>
      </c>
      <c r="B17" s="5">
        <v>3000</v>
      </c>
    </row>
    <row r="18" spans="1:2" x14ac:dyDescent="0.2">
      <c r="A18" s="4" t="s">
        <v>185</v>
      </c>
      <c r="B18" s="5"/>
    </row>
    <row r="19" spans="1:2" x14ac:dyDescent="0.2">
      <c r="A19" s="4" t="s">
        <v>186</v>
      </c>
      <c r="B19" s="5">
        <v>3750</v>
      </c>
    </row>
    <row r="20" spans="1:2" x14ac:dyDescent="0.2">
      <c r="A20" s="4" t="s">
        <v>187</v>
      </c>
      <c r="B20" s="5"/>
    </row>
    <row r="21" spans="1:2" x14ac:dyDescent="0.2">
      <c r="A21" s="4" t="s">
        <v>188</v>
      </c>
      <c r="B21" s="5">
        <v>10000</v>
      </c>
    </row>
    <row r="22" spans="1:2" x14ac:dyDescent="0.2">
      <c r="A22" s="4" t="s">
        <v>189</v>
      </c>
      <c r="B22" s="5"/>
    </row>
    <row r="23" spans="1:2" x14ac:dyDescent="0.2">
      <c r="A23" s="4" t="s">
        <v>190</v>
      </c>
      <c r="B23" s="5">
        <v>1900</v>
      </c>
    </row>
    <row r="24" spans="1:2" x14ac:dyDescent="0.2">
      <c r="A24" s="4" t="s">
        <v>191</v>
      </c>
      <c r="B24" s="5"/>
    </row>
    <row r="25" spans="1:2" x14ac:dyDescent="0.2">
      <c r="A25" s="4" t="s">
        <v>192</v>
      </c>
      <c r="B25" s="5">
        <v>2000</v>
      </c>
    </row>
    <row r="26" spans="1:2" x14ac:dyDescent="0.2">
      <c r="A26" s="4" t="s">
        <v>193</v>
      </c>
      <c r="B26" s="5"/>
    </row>
    <row r="27" spans="1:2" x14ac:dyDescent="0.2">
      <c r="A27" s="4" t="s">
        <v>194</v>
      </c>
      <c r="B27" s="5">
        <v>7500</v>
      </c>
    </row>
    <row r="28" spans="1:2" x14ac:dyDescent="0.2">
      <c r="A28" s="4" t="s">
        <v>195</v>
      </c>
      <c r="B28" s="5"/>
    </row>
    <row r="29" spans="1:2" x14ac:dyDescent="0.2">
      <c r="A29" s="4" t="s">
        <v>196</v>
      </c>
      <c r="B29" s="5">
        <v>1500</v>
      </c>
    </row>
    <row r="30" spans="1:2" x14ac:dyDescent="0.2">
      <c r="A30" s="4" t="s">
        <v>197</v>
      </c>
      <c r="B30" s="5"/>
    </row>
    <row r="31" spans="1:2" x14ac:dyDescent="0.2">
      <c r="A31" s="4" t="s">
        <v>198</v>
      </c>
      <c r="B31" s="5">
        <v>2475.21</v>
      </c>
    </row>
    <row r="32" spans="1:2" x14ac:dyDescent="0.2">
      <c r="A32" s="4" t="s">
        <v>199</v>
      </c>
      <c r="B32" s="5"/>
    </row>
    <row r="33" spans="1:2" x14ac:dyDescent="0.2">
      <c r="A33" s="4" t="s">
        <v>200</v>
      </c>
      <c r="B33" s="5">
        <v>3719.01</v>
      </c>
    </row>
    <row r="34" spans="1:2" x14ac:dyDescent="0.2">
      <c r="A34" s="4" t="s">
        <v>201</v>
      </c>
      <c r="B34" s="5"/>
    </row>
    <row r="35" spans="1:2" x14ac:dyDescent="0.2">
      <c r="A35" s="4" t="s">
        <v>202</v>
      </c>
      <c r="B35" s="5">
        <v>3760.33</v>
      </c>
    </row>
    <row r="36" spans="1:2" x14ac:dyDescent="0.2">
      <c r="A36" s="4" t="s">
        <v>203</v>
      </c>
      <c r="B36" s="5"/>
    </row>
    <row r="37" spans="1:2" x14ac:dyDescent="0.2">
      <c r="A37" s="4" t="s">
        <v>204</v>
      </c>
      <c r="B37" s="5">
        <v>4500</v>
      </c>
    </row>
    <row r="38" spans="1:2" x14ac:dyDescent="0.2">
      <c r="A38" s="4" t="s">
        <v>205</v>
      </c>
      <c r="B38" s="5"/>
    </row>
    <row r="39" spans="1:2" x14ac:dyDescent="0.2">
      <c r="A39" s="4" t="s">
        <v>206</v>
      </c>
      <c r="B39" s="5">
        <v>500</v>
      </c>
    </row>
    <row r="40" spans="1:2" x14ac:dyDescent="0.2">
      <c r="A40" s="4" t="s">
        <v>207</v>
      </c>
      <c r="B40" s="5"/>
    </row>
    <row r="41" spans="1:2" x14ac:dyDescent="0.2">
      <c r="A41" s="4" t="s">
        <v>208</v>
      </c>
      <c r="B41" s="5">
        <v>900</v>
      </c>
    </row>
    <row r="42" spans="1:2" x14ac:dyDescent="0.2">
      <c r="A42" s="4" t="s">
        <v>209</v>
      </c>
      <c r="B42" s="5"/>
    </row>
    <row r="43" spans="1:2" x14ac:dyDescent="0.2">
      <c r="A43" s="4" t="s">
        <v>210</v>
      </c>
      <c r="B43" s="5">
        <v>4500</v>
      </c>
    </row>
    <row r="44" spans="1:2" x14ac:dyDescent="0.2">
      <c r="A44" s="4" t="s">
        <v>211</v>
      </c>
      <c r="B44" s="5"/>
    </row>
    <row r="45" spans="1:2" x14ac:dyDescent="0.2">
      <c r="A45" s="4" t="s">
        <v>212</v>
      </c>
      <c r="B45" s="5">
        <v>5000</v>
      </c>
    </row>
    <row r="46" spans="1:2" x14ac:dyDescent="0.2">
      <c r="A46" s="4" t="s">
        <v>213</v>
      </c>
      <c r="B46" s="5"/>
    </row>
    <row r="47" spans="1:2" x14ac:dyDescent="0.2">
      <c r="A47" s="4" t="s">
        <v>214</v>
      </c>
      <c r="B47" s="5">
        <v>2000</v>
      </c>
    </row>
    <row r="48" spans="1:2" x14ac:dyDescent="0.2">
      <c r="A48" s="4" t="s">
        <v>215</v>
      </c>
      <c r="B48" s="5"/>
    </row>
    <row r="49" spans="1:2" x14ac:dyDescent="0.2">
      <c r="A49" s="4" t="s">
        <v>216</v>
      </c>
      <c r="B49" s="5">
        <v>13038.82</v>
      </c>
    </row>
    <row r="50" spans="1:2" x14ac:dyDescent="0.2">
      <c r="A50" s="4" t="s">
        <v>217</v>
      </c>
      <c r="B50" s="5">
        <v>4644.43</v>
      </c>
    </row>
    <row r="51" spans="1:2" x14ac:dyDescent="0.2">
      <c r="A51" s="4" t="s">
        <v>174</v>
      </c>
      <c r="B51" s="5">
        <v>1.32</v>
      </c>
    </row>
    <row r="52" spans="1:2" x14ac:dyDescent="0.2">
      <c r="A52" s="4" t="s">
        <v>218</v>
      </c>
      <c r="B52" s="5">
        <v>76.37</v>
      </c>
    </row>
    <row r="53" spans="1:2" x14ac:dyDescent="0.2">
      <c r="A53" s="4" t="s">
        <v>4</v>
      </c>
      <c r="B53" s="5"/>
    </row>
    <row r="54" spans="1:2" x14ac:dyDescent="0.2">
      <c r="A54" s="4" t="s">
        <v>219</v>
      </c>
      <c r="B54" s="5">
        <v>2070</v>
      </c>
    </row>
    <row r="55" spans="1:2" x14ac:dyDescent="0.2">
      <c r="A55" s="4" t="s">
        <v>220</v>
      </c>
      <c r="B55" s="5"/>
    </row>
    <row r="56" spans="1:2" x14ac:dyDescent="0.2">
      <c r="A56" s="4" t="s">
        <v>221</v>
      </c>
      <c r="B56" s="5">
        <v>11000</v>
      </c>
    </row>
    <row r="57" spans="1:2" x14ac:dyDescent="0.2">
      <c r="A57" s="4" t="s">
        <v>222</v>
      </c>
      <c r="B57" s="5"/>
    </row>
    <row r="58" spans="1:2" x14ac:dyDescent="0.2">
      <c r="A58" s="4" t="s">
        <v>223</v>
      </c>
      <c r="B58" s="5">
        <v>9000</v>
      </c>
    </row>
    <row r="59" spans="1:2" x14ac:dyDescent="0.2">
      <c r="A59" s="4" t="s">
        <v>224</v>
      </c>
      <c r="B59" s="5"/>
    </row>
    <row r="60" spans="1:2" x14ac:dyDescent="0.2">
      <c r="A60" s="4" t="s">
        <v>225</v>
      </c>
      <c r="B60" s="5">
        <v>15000</v>
      </c>
    </row>
    <row r="61" spans="1:2" x14ac:dyDescent="0.2">
      <c r="A61" s="4" t="s">
        <v>226</v>
      </c>
      <c r="B61" s="5"/>
    </row>
    <row r="62" spans="1:2" x14ac:dyDescent="0.2">
      <c r="A62" s="4" t="s">
        <v>227</v>
      </c>
      <c r="B62" s="5">
        <v>7256.17</v>
      </c>
    </row>
    <row r="63" spans="1:2" x14ac:dyDescent="0.2">
      <c r="A63" s="6" t="s">
        <v>2</v>
      </c>
      <c r="B63" s="7">
        <f>SUM(B3:B62)</f>
        <v>150593.27000000002</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8F18-5909-40AF-8C1B-A15D83DB353B}">
  <dimension ref="A1:B54"/>
  <sheetViews>
    <sheetView topLeftCell="A46" zoomScaleNormal="100" workbookViewId="0">
      <selection activeCell="B54" sqref="B54"/>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272</v>
      </c>
      <c r="B3" s="5">
        <v>14.85</v>
      </c>
    </row>
    <row r="4" spans="1:2" x14ac:dyDescent="0.2">
      <c r="A4" s="4" t="s">
        <v>273</v>
      </c>
      <c r="B4" s="5">
        <v>86.04</v>
      </c>
    </row>
    <row r="5" spans="1:2" x14ac:dyDescent="0.2">
      <c r="A5" s="4" t="s">
        <v>183</v>
      </c>
      <c r="B5" s="5"/>
    </row>
    <row r="6" spans="1:2" x14ac:dyDescent="0.2">
      <c r="A6" s="4" t="s">
        <v>272</v>
      </c>
      <c r="B6" s="5">
        <v>34.47</v>
      </c>
    </row>
    <row r="7" spans="1:2" x14ac:dyDescent="0.2">
      <c r="A7" s="4" t="s">
        <v>209</v>
      </c>
      <c r="B7" s="5"/>
    </row>
    <row r="8" spans="1:2" x14ac:dyDescent="0.2">
      <c r="A8" s="4" t="s">
        <v>272</v>
      </c>
      <c r="B8" s="5">
        <v>51.84</v>
      </c>
    </row>
    <row r="9" spans="1:2" x14ac:dyDescent="0.2">
      <c r="A9" s="4" t="s">
        <v>274</v>
      </c>
      <c r="B9" s="5"/>
    </row>
    <row r="10" spans="1:2" x14ac:dyDescent="0.2">
      <c r="A10" s="4" t="s">
        <v>275</v>
      </c>
      <c r="B10" s="5">
        <v>378.4</v>
      </c>
    </row>
    <row r="11" spans="1:2" x14ac:dyDescent="0.2">
      <c r="A11" s="4" t="s">
        <v>276</v>
      </c>
      <c r="B11" s="5"/>
    </row>
    <row r="12" spans="1:2" x14ac:dyDescent="0.2">
      <c r="A12" s="4" t="s">
        <v>277</v>
      </c>
      <c r="B12" s="5">
        <v>880</v>
      </c>
    </row>
    <row r="13" spans="1:2" x14ac:dyDescent="0.2">
      <c r="A13" s="4" t="s">
        <v>278</v>
      </c>
      <c r="B13" s="5"/>
    </row>
    <row r="14" spans="1:2" x14ac:dyDescent="0.2">
      <c r="A14" s="4" t="s">
        <v>279</v>
      </c>
      <c r="B14" s="5">
        <v>4400</v>
      </c>
    </row>
    <row r="15" spans="1:2" x14ac:dyDescent="0.2">
      <c r="A15" s="4" t="s">
        <v>280</v>
      </c>
      <c r="B15" s="5"/>
    </row>
    <row r="16" spans="1:2" x14ac:dyDescent="0.2">
      <c r="A16" s="4" t="s">
        <v>281</v>
      </c>
      <c r="B16" s="5">
        <v>4400</v>
      </c>
    </row>
    <row r="17" spans="1:2" x14ac:dyDescent="0.2">
      <c r="A17" s="4" t="s">
        <v>282</v>
      </c>
      <c r="B17" s="5"/>
    </row>
    <row r="18" spans="1:2" x14ac:dyDescent="0.2">
      <c r="A18" s="4" t="s">
        <v>283</v>
      </c>
      <c r="B18" s="5">
        <v>440</v>
      </c>
    </row>
    <row r="19" spans="1:2" x14ac:dyDescent="0.2">
      <c r="A19" s="4" t="s">
        <v>284</v>
      </c>
      <c r="B19" s="5"/>
    </row>
    <row r="20" spans="1:2" x14ac:dyDescent="0.2">
      <c r="A20" s="4" t="s">
        <v>285</v>
      </c>
      <c r="B20" s="5">
        <v>4312</v>
      </c>
    </row>
    <row r="21" spans="1:2" x14ac:dyDescent="0.2">
      <c r="A21" s="4" t="s">
        <v>286</v>
      </c>
      <c r="B21" s="5"/>
    </row>
    <row r="22" spans="1:2" x14ac:dyDescent="0.2">
      <c r="A22" s="4" t="s">
        <v>287</v>
      </c>
      <c r="B22" s="5">
        <v>1760</v>
      </c>
    </row>
    <row r="23" spans="1:2" x14ac:dyDescent="0.2">
      <c r="A23" s="4" t="s">
        <v>288</v>
      </c>
      <c r="B23" s="5"/>
    </row>
    <row r="24" spans="1:2" x14ac:dyDescent="0.2">
      <c r="A24" s="4" t="s">
        <v>289</v>
      </c>
      <c r="B24" s="5">
        <v>1760</v>
      </c>
    </row>
    <row r="25" spans="1:2" x14ac:dyDescent="0.2">
      <c r="A25" s="4" t="s">
        <v>290</v>
      </c>
      <c r="B25" s="5">
        <v>1760</v>
      </c>
    </row>
    <row r="26" spans="1:2" x14ac:dyDescent="0.2">
      <c r="A26" s="4" t="s">
        <v>291</v>
      </c>
      <c r="B26" s="5"/>
    </row>
    <row r="27" spans="1:2" x14ac:dyDescent="0.2">
      <c r="A27" s="4" t="s">
        <v>292</v>
      </c>
      <c r="B27" s="5">
        <v>3272.73</v>
      </c>
    </row>
    <row r="28" spans="1:2" x14ac:dyDescent="0.2">
      <c r="A28" s="4" t="s">
        <v>293</v>
      </c>
      <c r="B28" s="5"/>
    </row>
    <row r="29" spans="1:2" x14ac:dyDescent="0.2">
      <c r="A29" s="4" t="s">
        <v>294</v>
      </c>
      <c r="B29" s="5">
        <v>3345.45</v>
      </c>
    </row>
    <row r="30" spans="1:2" x14ac:dyDescent="0.2">
      <c r="A30" s="4" t="s">
        <v>295</v>
      </c>
      <c r="B30" s="5"/>
    </row>
    <row r="31" spans="1:2" x14ac:dyDescent="0.2">
      <c r="A31" s="4" t="s">
        <v>296</v>
      </c>
      <c r="B31" s="5">
        <v>1320</v>
      </c>
    </row>
    <row r="32" spans="1:2" x14ac:dyDescent="0.2">
      <c r="A32" s="4" t="s">
        <v>297</v>
      </c>
      <c r="B32" s="5"/>
    </row>
    <row r="33" spans="1:2" x14ac:dyDescent="0.2">
      <c r="A33" s="4" t="s">
        <v>298</v>
      </c>
      <c r="B33" s="5">
        <v>2200</v>
      </c>
    </row>
    <row r="34" spans="1:2" x14ac:dyDescent="0.2">
      <c r="A34" s="4" t="s">
        <v>299</v>
      </c>
      <c r="B34" s="5"/>
    </row>
    <row r="35" spans="1:2" x14ac:dyDescent="0.2">
      <c r="A35" s="4" t="s">
        <v>300</v>
      </c>
      <c r="B35" s="5">
        <v>880</v>
      </c>
    </row>
    <row r="36" spans="1:2" x14ac:dyDescent="0.2">
      <c r="A36" s="4" t="s">
        <v>301</v>
      </c>
      <c r="B36" s="5"/>
    </row>
    <row r="37" spans="1:2" x14ac:dyDescent="0.2">
      <c r="A37" s="4" t="s">
        <v>302</v>
      </c>
      <c r="B37" s="5">
        <v>1760</v>
      </c>
    </row>
    <row r="38" spans="1:2" x14ac:dyDescent="0.2">
      <c r="A38" s="4" t="s">
        <v>303</v>
      </c>
      <c r="B38" s="5"/>
    </row>
    <row r="39" spans="1:2" x14ac:dyDescent="0.2">
      <c r="A39" s="4" t="s">
        <v>304</v>
      </c>
      <c r="B39" s="5">
        <v>7392</v>
      </c>
    </row>
    <row r="40" spans="1:2" x14ac:dyDescent="0.2">
      <c r="A40" s="4" t="s">
        <v>305</v>
      </c>
      <c r="B40" s="5"/>
    </row>
    <row r="41" spans="1:2" x14ac:dyDescent="0.2">
      <c r="A41" s="4" t="s">
        <v>306</v>
      </c>
      <c r="B41" s="5">
        <v>1100</v>
      </c>
    </row>
    <row r="42" spans="1:2" x14ac:dyDescent="0.2">
      <c r="A42" s="4" t="s">
        <v>307</v>
      </c>
      <c r="B42" s="5"/>
    </row>
    <row r="43" spans="1:2" x14ac:dyDescent="0.2">
      <c r="A43" s="4" t="s">
        <v>272</v>
      </c>
      <c r="B43" s="5">
        <v>27.45</v>
      </c>
    </row>
    <row r="44" spans="1:2" x14ac:dyDescent="0.2">
      <c r="A44" s="4" t="s">
        <v>215</v>
      </c>
      <c r="B44" s="5"/>
    </row>
    <row r="45" spans="1:2" x14ac:dyDescent="0.2">
      <c r="A45" s="4" t="s">
        <v>308</v>
      </c>
      <c r="B45" s="5">
        <v>2080</v>
      </c>
    </row>
    <row r="46" spans="1:2" x14ac:dyDescent="0.2">
      <c r="A46" s="4" t="s">
        <v>4</v>
      </c>
      <c r="B46" s="5"/>
    </row>
    <row r="47" spans="1:2" x14ac:dyDescent="0.2">
      <c r="A47" s="4" t="s">
        <v>309</v>
      </c>
      <c r="B47" s="5">
        <v>4140</v>
      </c>
    </row>
    <row r="48" spans="1:2" x14ac:dyDescent="0.2">
      <c r="A48" s="4" t="s">
        <v>310</v>
      </c>
      <c r="B48" s="5"/>
    </row>
    <row r="49" spans="1:2" x14ac:dyDescent="0.2">
      <c r="A49" s="4" t="s">
        <v>311</v>
      </c>
      <c r="B49" s="5">
        <v>669.13</v>
      </c>
    </row>
    <row r="50" spans="1:2" x14ac:dyDescent="0.2">
      <c r="A50" s="4" t="s">
        <v>224</v>
      </c>
      <c r="B50" s="5"/>
    </row>
    <row r="51" spans="1:2" x14ac:dyDescent="0.2">
      <c r="A51" s="4" t="s">
        <v>312</v>
      </c>
      <c r="B51" s="5">
        <v>6301.8</v>
      </c>
    </row>
    <row r="52" spans="1:2" x14ac:dyDescent="0.2">
      <c r="A52" s="4" t="s">
        <v>313</v>
      </c>
      <c r="B52" s="5"/>
    </row>
    <row r="53" spans="1:2" x14ac:dyDescent="0.2">
      <c r="A53" s="4" t="s">
        <v>314</v>
      </c>
      <c r="B53" s="5">
        <v>4890.63</v>
      </c>
    </row>
    <row r="54" spans="1:2" x14ac:dyDescent="0.2">
      <c r="A54" s="6" t="s">
        <v>2</v>
      </c>
      <c r="B54" s="7">
        <f>SUM(B3:B53)</f>
        <v>59656.789999999994</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7653-DFBB-4916-B9EF-1BAF99282C4B}">
  <dimension ref="A1:C22"/>
  <sheetViews>
    <sheetView topLeftCell="A16" zoomScaleNormal="100" workbookViewId="0">
      <selection activeCell="B22" sqref="B22"/>
    </sheetView>
  </sheetViews>
  <sheetFormatPr baseColWidth="10" defaultColWidth="11.44140625" defaultRowHeight="14.4" x14ac:dyDescent="0.3"/>
  <cols>
    <col min="1" max="1" width="13.88671875" bestFit="1" customWidth="1"/>
    <col min="2" max="2" width="92" customWidth="1"/>
    <col min="3" max="3" width="15.6640625" customWidth="1"/>
  </cols>
  <sheetData>
    <row r="1" spans="1:3" ht="15" thickBot="1" x14ac:dyDescent="0.35">
      <c r="A1" s="28" t="s">
        <v>317</v>
      </c>
      <c r="B1" s="28" t="s">
        <v>318</v>
      </c>
      <c r="C1" s="29" t="s">
        <v>1</v>
      </c>
    </row>
    <row r="2" spans="1:3" ht="43.8" thickTop="1" x14ac:dyDescent="0.3">
      <c r="A2" s="30" t="s">
        <v>320</v>
      </c>
      <c r="B2" s="31" t="s">
        <v>321</v>
      </c>
      <c r="C2" s="32">
        <v>13199.12</v>
      </c>
    </row>
    <row r="3" spans="1:3" ht="28.8" x14ac:dyDescent="0.3">
      <c r="A3" s="33" t="s">
        <v>303</v>
      </c>
      <c r="B3" s="31" t="s">
        <v>322</v>
      </c>
      <c r="C3" s="34">
        <v>3168</v>
      </c>
    </row>
    <row r="4" spans="1:3" ht="57.6" x14ac:dyDescent="0.3">
      <c r="A4" s="30" t="s">
        <v>323</v>
      </c>
      <c r="B4" s="31" t="s">
        <v>324</v>
      </c>
      <c r="C4" s="32">
        <v>932.8</v>
      </c>
    </row>
    <row r="5" spans="1:3" ht="43.2" x14ac:dyDescent="0.3">
      <c r="A5" s="33" t="s">
        <v>325</v>
      </c>
      <c r="B5" s="31" t="s">
        <v>326</v>
      </c>
      <c r="C5" s="34">
        <v>5280</v>
      </c>
    </row>
    <row r="6" spans="1:3" ht="43.2" x14ac:dyDescent="0.3">
      <c r="A6" s="30" t="s">
        <v>327</v>
      </c>
      <c r="B6" s="31" t="s">
        <v>328</v>
      </c>
      <c r="C6" s="32">
        <v>5280</v>
      </c>
    </row>
    <row r="7" spans="1:3" ht="28.8" x14ac:dyDescent="0.3">
      <c r="A7" s="33" t="s">
        <v>329</v>
      </c>
      <c r="B7" s="31" t="s">
        <v>330</v>
      </c>
      <c r="C7" s="34">
        <v>5280</v>
      </c>
    </row>
    <row r="8" spans="1:3" ht="28.8" x14ac:dyDescent="0.3">
      <c r="A8" s="30" t="s">
        <v>331</v>
      </c>
      <c r="B8" s="31" t="s">
        <v>332</v>
      </c>
      <c r="C8" s="32">
        <v>5280</v>
      </c>
    </row>
    <row r="9" spans="1:3" ht="43.2" x14ac:dyDescent="0.3">
      <c r="A9" s="33" t="s">
        <v>333</v>
      </c>
      <c r="B9" s="31" t="s">
        <v>334</v>
      </c>
      <c r="C9" s="34">
        <v>4400</v>
      </c>
    </row>
    <row r="10" spans="1:3" ht="43.2" x14ac:dyDescent="0.3">
      <c r="A10" s="30" t="s">
        <v>335</v>
      </c>
      <c r="B10" s="31" t="s">
        <v>336</v>
      </c>
      <c r="C10" s="32">
        <v>1320</v>
      </c>
    </row>
    <row r="11" spans="1:3" ht="28.8" x14ac:dyDescent="0.3">
      <c r="A11" s="33" t="s">
        <v>337</v>
      </c>
      <c r="B11" s="31" t="s">
        <v>338</v>
      </c>
      <c r="C11" s="34">
        <v>1892</v>
      </c>
    </row>
    <row r="12" spans="1:3" ht="28.8" x14ac:dyDescent="0.3">
      <c r="A12" s="30" t="s">
        <v>339</v>
      </c>
      <c r="B12" s="31" t="s">
        <v>340</v>
      </c>
      <c r="C12" s="32">
        <v>6160</v>
      </c>
    </row>
    <row r="13" spans="1:3" ht="28.8" x14ac:dyDescent="0.3">
      <c r="A13" s="33" t="s">
        <v>341</v>
      </c>
      <c r="B13" s="31" t="s">
        <v>342</v>
      </c>
      <c r="C13" s="34">
        <v>1408</v>
      </c>
    </row>
    <row r="14" spans="1:3" ht="28.8" x14ac:dyDescent="0.3">
      <c r="A14" s="30" t="s">
        <v>343</v>
      </c>
      <c r="B14" s="35" t="s">
        <v>344</v>
      </c>
      <c r="C14" s="32">
        <v>1760</v>
      </c>
    </row>
    <row r="15" spans="1:3" ht="43.2" x14ac:dyDescent="0.3">
      <c r="A15" s="33" t="s">
        <v>345</v>
      </c>
      <c r="B15" s="31" t="s">
        <v>346</v>
      </c>
      <c r="C15" s="34">
        <v>6545.44</v>
      </c>
    </row>
    <row r="16" spans="1:3" ht="28.8" x14ac:dyDescent="0.3">
      <c r="A16" s="30" t="s">
        <v>347</v>
      </c>
      <c r="B16" s="35" t="s">
        <v>348</v>
      </c>
      <c r="C16" s="32">
        <v>2327.27</v>
      </c>
    </row>
    <row r="17" spans="1:3" ht="28.8" x14ac:dyDescent="0.3">
      <c r="A17" s="33" t="s">
        <v>307</v>
      </c>
      <c r="B17" s="31" t="s">
        <v>349</v>
      </c>
      <c r="C17" s="34">
        <v>9000</v>
      </c>
    </row>
    <row r="18" spans="1:3" ht="43.2" x14ac:dyDescent="0.3">
      <c r="A18" s="30" t="s">
        <v>313</v>
      </c>
      <c r="B18" s="35" t="s">
        <v>350</v>
      </c>
      <c r="C18" s="32">
        <v>17500</v>
      </c>
    </row>
    <row r="19" spans="1:3" ht="29.4" thickBot="1" x14ac:dyDescent="0.35">
      <c r="A19" s="33" t="s">
        <v>226</v>
      </c>
      <c r="B19" s="31" t="s">
        <v>351</v>
      </c>
      <c r="C19" s="34">
        <v>4884.1099999999997</v>
      </c>
    </row>
    <row r="20" spans="1:3" ht="15" thickTop="1" x14ac:dyDescent="0.3">
      <c r="A20" s="36"/>
      <c r="B20" s="36"/>
      <c r="C20" s="37">
        <v>95616.74</v>
      </c>
    </row>
    <row r="22" spans="1:3" x14ac:dyDescent="0.3">
      <c r="B22" s="61" t="s">
        <v>372</v>
      </c>
      <c r="C22" s="60">
        <f>C20+'Ingresos investigación 2020'!B54+'Ingresos investigación 2019'!B63</f>
        <v>305866.80000000005</v>
      </c>
    </row>
  </sheetData>
  <pageMargins left="0.39370078740157483" right="0.39370078740157483"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zoomScaleNormal="100" workbookViewId="0">
      <selection activeCell="A6" sqref="A6:XFD12"/>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5</v>
      </c>
      <c r="B2" s="5"/>
    </row>
    <row r="3" spans="1:2" x14ac:dyDescent="0.2">
      <c r="A3" s="4" t="s">
        <v>228</v>
      </c>
      <c r="B3" s="5">
        <v>2898</v>
      </c>
    </row>
    <row r="4" spans="1:2" x14ac:dyDescent="0.2">
      <c r="A4" s="4" t="s">
        <v>6</v>
      </c>
      <c r="B4" s="5"/>
    </row>
    <row r="5" spans="1:2" x14ac:dyDescent="0.2">
      <c r="A5" s="4" t="s">
        <v>229</v>
      </c>
      <c r="B5" s="5">
        <v>2140.29</v>
      </c>
    </row>
    <row r="6" spans="1:2" x14ac:dyDescent="0.2">
      <c r="A6" s="6" t="s">
        <v>2</v>
      </c>
      <c r="B6" s="7">
        <f>SUM(B3:B5)</f>
        <v>5038.29</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EA42-63ED-4C35-8576-8824AD221320}">
  <dimension ref="A1:B4"/>
  <sheetViews>
    <sheetView zoomScaleNormal="100" workbookViewId="0">
      <selection activeCell="A16" sqref="A16"/>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315</v>
      </c>
      <c r="B2" s="5"/>
    </row>
    <row r="3" spans="1:2" x14ac:dyDescent="0.2">
      <c r="A3" s="4" t="s">
        <v>316</v>
      </c>
      <c r="B3" s="5">
        <v>25510.3</v>
      </c>
    </row>
    <row r="4" spans="1:2" x14ac:dyDescent="0.2">
      <c r="A4" s="6" t="s">
        <v>2</v>
      </c>
      <c r="B4" s="7">
        <f>SUM(B3:B3)</f>
        <v>25510.3</v>
      </c>
    </row>
  </sheetData>
  <pageMargins left="0.39370078740157483" right="0.39370078740157483"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4610-3B9D-4C1C-BE44-EAB9345B4123}">
  <dimension ref="A1:C5"/>
  <sheetViews>
    <sheetView workbookViewId="0">
      <selection activeCell="C5" sqref="C5"/>
    </sheetView>
  </sheetViews>
  <sheetFormatPr baseColWidth="10" defaultRowHeight="14.4" x14ac:dyDescent="0.3"/>
  <cols>
    <col min="1" max="1" width="13.5546875" bestFit="1" customWidth="1"/>
    <col min="2" max="2" width="58.88671875" customWidth="1"/>
  </cols>
  <sheetData>
    <row r="1" spans="1:3" x14ac:dyDescent="0.3">
      <c r="A1" s="40" t="s">
        <v>317</v>
      </c>
      <c r="B1" s="40" t="s">
        <v>318</v>
      </c>
      <c r="C1" s="40" t="s">
        <v>1</v>
      </c>
    </row>
    <row r="2" spans="1:3" ht="28.8" x14ac:dyDescent="0.3">
      <c r="A2" s="41" t="s">
        <v>315</v>
      </c>
      <c r="B2" s="42" t="s">
        <v>319</v>
      </c>
      <c r="C2" s="43">
        <v>5406</v>
      </c>
    </row>
    <row r="3" spans="1:3" x14ac:dyDescent="0.3">
      <c r="A3" s="38"/>
      <c r="B3" s="38"/>
      <c r="C3" s="39">
        <v>5406</v>
      </c>
    </row>
    <row r="5" spans="1:3" x14ac:dyDescent="0.3">
      <c r="B5" s="66" t="s">
        <v>373</v>
      </c>
      <c r="C5" s="67">
        <f>+C3+'Ingresos formación 2020'!B4+'Ingresos formación 2019'!B6</f>
        <v>35954.589999999997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2022-10-18T11:32:05Z</dcterms:modified>
</cp:coreProperties>
</file>