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2055E495-480B-4B32-925A-370550D856F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Sexenios!$A$1:$S$17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3" l="1"/>
  <c r="U13" i="2"/>
  <c r="T14" i="2" s="1"/>
  <c r="T13" i="2"/>
  <c r="R13" i="2"/>
  <c r="S13" i="2" s="1"/>
  <c r="B29" i="5" l="1"/>
  <c r="D10" i="7" s="1"/>
</calcChain>
</file>

<file path=xl/sharedStrings.xml><?xml version="1.0" encoding="utf-8"?>
<sst xmlns="http://schemas.openxmlformats.org/spreadsheetml/2006/main" count="413" uniqueCount="204">
  <si>
    <t>Orgánica
Descripción justificante</t>
  </si>
  <si>
    <t>Importe</t>
  </si>
  <si>
    <t>Total</t>
  </si>
  <si>
    <t>41.40.6C.00.07</t>
  </si>
  <si>
    <t>41.40.6C.00.09</t>
  </si>
  <si>
    <t>41.40.6M.00.01</t>
  </si>
  <si>
    <t>41.40.6P.00.04</t>
  </si>
  <si>
    <t>41.40.6P.00.06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</si>
  <si>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</si>
  <si>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</si>
  <si>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</si>
  <si>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</si>
  <si>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</si>
  <si>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</si>
  <si>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</si>
  <si>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</si>
  <si>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</si>
  <si>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</si>
  <si>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</si>
  <si>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</si>
  <si>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</si>
  <si>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</si>
  <si>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</si>
  <si>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</si>
  <si>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</si>
  <si>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</si>
  <si>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</si>
  <si>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</si>
  <si>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</si>
  <si>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</si>
  <si>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</si>
  <si>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</si>
  <si>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50</t>
  </si>
  <si>
    <t>U025 </t>
  </si>
  <si>
    <t>ADM. FACULTAD DE DERECHO </t>
  </si>
  <si>
    <t>DOCTORADO EN DERECHO </t>
  </si>
  <si>
    <t>20</t>
  </si>
  <si>
    <t>B138 </t>
  </si>
  <si>
    <t>ANALISIS ECONOMICO APLICADO </t>
  </si>
  <si>
    <t>B138</t>
  </si>
  <si>
    <t>90</t>
  </si>
  <si>
    <t>10</t>
  </si>
  <si>
    <t>U044 </t>
  </si>
  <si>
    <t>ADM. FACULTAD DE CIENCIAS DE LA SALUD </t>
  </si>
  <si>
    <t>DOCTORADO EN CIENCIAS DE LA SALUD </t>
  </si>
  <si>
    <t>80</t>
  </si>
  <si>
    <t>10.06</t>
  </si>
  <si>
    <t>31/10/2018 </t>
  </si>
  <si>
    <t>U036 </t>
  </si>
  <si>
    <t>ADM. FACULTAD DE CIENCIAS ECONÓMICAS </t>
  </si>
  <si>
    <t>DOCTORADO EN EMPRESA, ECONOMÍA Y SOCIEDAD </t>
  </si>
  <si>
    <t>U023 </t>
  </si>
  <si>
    <t>ADM. FACULTAD DE FILOSOFIA Y LETRAS </t>
  </si>
  <si>
    <t>DOCTORADO EN FILOSOFÍA Y LETRAS </t>
  </si>
  <si>
    <t>B176 </t>
  </si>
  <si>
    <t>SOCIOLOGÍA II </t>
  </si>
  <si>
    <t>B176</t>
  </si>
  <si>
    <t>10.22</t>
  </si>
  <si>
    <t>Mateos García, José Tomás </t>
  </si>
  <si>
    <t>MODELO DE SUSTENTADOR MASCULINO: APROXIMACIÓN CONCEPTUAL Y EMPÍRICA PARA LA SALUD </t>
  </si>
  <si>
    <t>16/09/2019 </t>
  </si>
  <si>
    <t>10.23</t>
  </si>
  <si>
    <t>100</t>
  </si>
  <si>
    <t>B116 </t>
  </si>
  <si>
    <t>FILOLOGÍA INGLESA </t>
  </si>
  <si>
    <t>B116</t>
  </si>
  <si>
    <t>Sargsyan , Gevorg </t>
  </si>
  <si>
    <t>EFFECT OF STATUTORY AND REGULATORY PROTECTION IN INVESTMENT DECISION </t>
  </si>
  <si>
    <t>29/06/2018 </t>
  </si>
  <si>
    <t>21453643W </t>
  </si>
  <si>
    <t>21515828H </t>
  </si>
  <si>
    <t>B159 </t>
  </si>
  <si>
    <t>TRABAJO SOCIAL Y SERVICIOS SOCIALES </t>
  </si>
  <si>
    <t>B159</t>
  </si>
  <si>
    <t>Escudero Durán, María Lorena </t>
  </si>
  <si>
    <t>LA POLÍTICA MIGRATORIA ECUATORIANA EN EL CONTEXTO SURAMERICANO 2007-2013 </t>
  </si>
  <si>
    <t>06/03/2017 </t>
  </si>
  <si>
    <t>21474040K </t>
  </si>
  <si>
    <t>21506571F </t>
  </si>
  <si>
    <t>05413313X </t>
  </si>
  <si>
    <t>48345463S </t>
  </si>
  <si>
    <t>Serrano Bailen, Ariadna </t>
  </si>
  <si>
    <t>LA REESCRITURA DEL VICTORIANISMO Y LA SIGNIFICACIÓN DE LA LOCURA EN TIPPING THE VELVET,, AFFINITY Y FINGERSMITH DE SARAH WATERS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</si>
  <si>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</si>
  <si>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</si>
  <si>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</si>
  <si>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</si>
  <si>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</si>
  <si>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</si>
  <si>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</si>
  <si>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</si>
  <si>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</si>
  <si>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</si>
  <si>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</si>
  <si>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</si>
  <si>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</si>
  <si>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52779604D</t>
  </si>
  <si>
    <t>LA PARRA CASADO, DANIEL</t>
  </si>
  <si>
    <t>21463437K</t>
  </si>
  <si>
    <t>ALCALDE PEREZ, JOSE</t>
  </si>
  <si>
    <t>B119</t>
  </si>
  <si>
    <t>21661002Q</t>
  </si>
  <si>
    <t>DOMENECH LOPEZ, YOLANDA DE LOS ANGELES</t>
  </si>
  <si>
    <t>22140300V</t>
  </si>
  <si>
    <t>FRANCES GARCIA, FRANCISCO JOSE</t>
  </si>
  <si>
    <t>74182605S</t>
  </si>
  <si>
    <t>GUILLO FUENTES, MARIA DOLORES</t>
  </si>
  <si>
    <t>21453643W</t>
  </si>
  <si>
    <t>MARTI SEMPERE, MONICA</t>
  </si>
  <si>
    <t>21515828H</t>
  </si>
  <si>
    <t>MATEO PEREZ, MIGUEL ANGEL</t>
  </si>
  <si>
    <t>21474040K</t>
  </si>
  <si>
    <t>PENALVA VERDU, CLEMENTE ANTONIO</t>
  </si>
  <si>
    <t>73908310H</t>
  </si>
  <si>
    <t>PERIS FERRANDO, JOSEP ENRIC</t>
  </si>
  <si>
    <t>21442319V</t>
  </si>
  <si>
    <t>RODENAS CALATAYUD, MARIA CARMEN</t>
  </si>
  <si>
    <t>21506571F</t>
  </si>
  <si>
    <t>SANTACREU FERNANDEZ, OSCAR ANTONIO</t>
  </si>
  <si>
    <t>21985548D</t>
  </si>
  <si>
    <t>SUBIZA MARTINEZ, MARIA BEGOÑA</t>
  </si>
  <si>
    <t>05413313X</t>
  </si>
  <si>
    <t>ULLAN DE LA ROSA, FRANCISCO JAVIER</t>
  </si>
  <si>
    <t>48345463S</t>
  </si>
  <si>
    <t>CAPORALE BIZZINI, SILVIA JULIA</t>
  </si>
  <si>
    <t>21516771H</t>
  </si>
  <si>
    <t>ESPINAR RUIZ, EVA</t>
  </si>
  <si>
    <t>REINTEGRO CUOTA PATRONAL CORRESPONDIENTE AL MES DE NOVIEMBRE 2019.</t>
  </si>
  <si>
    <t>REINTEGRO CUOTA PATRONAL CORRESPONDIENTE AL MES DE OCTUBRE DE 2019.</t>
  </si>
  <si>
    <t>REINTEGRO CUOTA PATRONAL CORRESPONDIENTE AL MES DE DICIEMBRE DE 2019.</t>
  </si>
  <si>
    <t>41.40.6C.00.10</t>
  </si>
  <si>
    <t>RESEARCH, DEVELOPMENT, REVISION, FINALIZATION AND DISTRIBUTION: ROMA INCLUSION NEWSLETTER FEBRUARY 2019. REF. OMS1-19TPA REF. OMS1-19TPA</t>
  </si>
  <si>
    <t>41.40.6C.00.11</t>
  </si>
  <si>
    <t>RESEARCH, DEVELOPMENT, REVISION, FINALIZATION AND DISTRIBUTION: ROMA INCLUSION NEWSLETTER JUNE 2019. REF. OMS2-19TPA</t>
  </si>
  <si>
    <t>41.40.6C.00.12</t>
  </si>
  <si>
    <t>ROMA INCLUSION NEWSLETTER: RESEARCH, DEVELOPMENT, REVISION, FINALIZATION, DISTRIBUTION</t>
  </si>
  <si>
    <t>41.40.6C.00.14</t>
  </si>
  <si>
    <t xml:space="preserve">ROMA INCLUSION NEWSLETTER- RESEARCH AND DEVELOPMENT </t>
  </si>
  <si>
    <t>/INV/090719 EXP. EL INSTITUTO UNIVERSITARIO DE DESARROLLO SOCIAL Y PAZ INFORMA QUE ESTÁ VINCULADO AL CONVENIO REF. UNIVERSITYOXFORD1-19TD "WORK IN PARTNERSHIP ON THE REGULAR PRODUCTION, DISSEMINATION AND PROMOTION OF THE REVISTA MIGRACIONES FORZADAS. REVISTA (THE SPANISH EDITION OF FORCED MIGRATION REVIEW (FMR), THE IN-HOUSE JOURNAL OF THE REFUGEE STUDIES CENTRE).</t>
  </si>
  <si>
    <t>TRANSFª UNIV.OXFORD-inv/100119PRF-FONDOS REVISTA MIGRACIONES FORZADAS.CONVENIO UNIVERSITYOXFORD1-13T.</t>
  </si>
  <si>
    <t>TRANSFª UNIV.OXFORD-inv/190219PRF-FONDOS REVISTA MIGRACIONES FORZADAS.CONVENIO UNIVERSITYOXFORD1-13T.</t>
  </si>
  <si>
    <t>TRANSFERENCIA DE UNIVERSITY OF OXFORD, CONCEPTO /INV/210319PRF. EL INSTITUTO UNIVERSITARIO DE DESARROLLO SOCIAL Y PAZ INFORMA QUE CORRESPONDE A UNA ADENDA AL CONVENIO ANTERIOR "CONV. UNIVERSITYOXFORD1-13T EDICIÓN ESPAÑOLA DE LA REVISTA MIGRACIONES FORZADAS" Y QUE LA NUEVA REFERENCIA ES "UNIVERSITYOXFORD1-19TD".</t>
  </si>
  <si>
    <t>TRANSFERENCIA DE UNIVERSITY OF OXFORD. /INV/110619PRF. EL INSTITUTO UNIVERSITARIO DE DESARROLLO SOCIAL Y PAZ INFORMA QUE EL INGRESO ESTÁ VINCULADO AL CONVENIO UNIVERSITYOXFORD1-19TD, ADDENDA DE UNIVESITYOXFORD1-13T. "WORK IN PARTNERSHIP ON THE REGULAR PRODUCTION OF THE REVISTA MIGRACIONES FORZADAS. REVISTA (THE SPANISH EDITION OF FORCED MIGRATION REVIEW (FMR), THE IN-HOUSE JOURNAL OF THE REFUGEE STUDIES CENTRE).</t>
  </si>
  <si>
    <t>LIBERADOS EL 09/07/2019, ANUALIDAD 2019 PROYECTOS I+D (PIA1) N EXPEDIENTE: PIA12016-1 - 4 ANUALIDAD REFERENCIA: ECO2016-77200-P. REF. DEL ORDENANTE PARA EL BENEFICIARIO 27402219310020751.</t>
  </si>
  <si>
    <t>41.40.6X.00.01</t>
  </si>
  <si>
    <t>2019298 FACTURA: OP732ZK1 PREFINANCIACIÓN ROMOMATTER, CONVOCATORIA RECRDIS.DISCAG2017 BSCHESMMCT 1201903154109712315. 20190000000002983. LA OFICINA DE GESTIÓN DE PROYECTOS INTERNACIONALES INFORMA QUE SE TRATA DEL PRIMER PAGO DEL PROYECTO ROMATTER. INSTITUTO DE DESARROLLO SOCIAL Y PAZ.</t>
  </si>
  <si>
    <t>Alaminos Fernández, Antonio Francisco </t>
  </si>
  <si>
    <t>La realidad aumentada. Música y comunicación en la sociedad de consumo </t>
  </si>
  <si>
    <t>20/12/2019 </t>
  </si>
  <si>
    <t>COD DEP</t>
  </si>
  <si>
    <t>52778850Z</t>
  </si>
  <si>
    <t>MARTINEZ GRAS, RODOLFO</t>
  </si>
  <si>
    <t>NO FUNCIONARIO</t>
  </si>
  <si>
    <t>Segura Martínez, Vicente </t>
  </si>
  <si>
    <t>Cultura industrial, ludismo y proyección literaria </t>
  </si>
  <si>
    <t>23/10/2020 </t>
  </si>
  <si>
    <t>Samaniego Dumas, Diego Oswaldo </t>
  </si>
  <si>
    <t>Análisis del discurso de Rafael Correa en relación al movimiento indígena ecuatoriano: Elucidación del racismo y la discriminación </t>
  </si>
  <si>
    <t>20/11/2020 </t>
  </si>
  <si>
    <t>Perea Crespo, Ignacia </t>
  </si>
  <si>
    <t>Sobre la inclusividad de las sociedades europeas: la distancia del otro nacional a través de la opinión pública </t>
  </si>
  <si>
    <t>22/12/2020 </t>
  </si>
  <si>
    <t>B119 </t>
  </si>
  <si>
    <t>FUNDAMENTOS DEL ANÁLISIS ECONÓMICO </t>
  </si>
  <si>
    <t>DOCTORADO EN ECONOMÍA </t>
  </si>
  <si>
    <t>Burbano Valencia, Enrique Javier </t>
  </si>
  <si>
    <t>Ensayos de crimen, conflicto y asuntos electorales: análisis económico para Colombia </t>
  </si>
  <si>
    <t>18/02/2021 </t>
  </si>
  <si>
    <t>73908310H </t>
  </si>
  <si>
    <t>Mieres Brevis, Michelle Stephanie </t>
  </si>
  <si>
    <t>LA DESIGUALDAD DEL INGRESO Y EL CRECIMIENTO ECONÓMICO EN CHILE: UNA MIRADA DESDE SUS REGIONES </t>
  </si>
  <si>
    <t>17/09/2021 </t>
  </si>
  <si>
    <t>74182605S </t>
  </si>
  <si>
    <t>41.40.6C.00.13</t>
  </si>
  <si>
    <t xml:space="preserve">Elaboración de Informe monográfico sobre la situación social de la provincia de Alicante, prestando especial atención a los niveles de renta, desigualdad, exclusión y pobreza monetaria. </t>
  </si>
  <si>
    <t>41.40.6C.00.15</t>
  </si>
  <si>
    <t>ROMA INCLUSION NEWSLETTER- RESEARCH AND DEVELOPMENT. FEBRUARY 2020</t>
  </si>
  <si>
    <t>41.40.6C.00.16</t>
  </si>
  <si>
    <t>ROMA INCLUSION NEWSLETTER - RESEARCH AND DEVELOPMENT. JUNE 2020</t>
  </si>
  <si>
    <t>41.40.6C.00.17</t>
  </si>
  <si>
    <t>ROMA INCLUSION NEWSLETTER: RESEARCH, DEVELOPMENT, REVISION, FINALIZATION, DISTRIBUTION. OCTOBER 2020</t>
  </si>
  <si>
    <t xml:space="preserve">LIBERADOS EL 13/10/2020, ANUALIDAD 2020 PROYECTOS I+D (PIA1) N EXPEDIENTE: PIA12017-1 - 3 ANUALIDAD REFERENCIA: CSO2017-86091-P   </t>
  </si>
  <si>
    <t>Unidad</t>
  </si>
  <si>
    <t>Cód. org. aplic.</t>
  </si>
  <si>
    <t>Descripción justificante</t>
  </si>
  <si>
    <t>41.40</t>
  </si>
  <si>
    <t>41.40.6C.00.18</t>
  </si>
  <si>
    <t>REALIZACIÓN DE CUADRO DE MANDOS INTEGRAL DE LA PROVINCIA DE ALICANTE PARA ANALIZAR LA SITUACIÓN SOCIOECONÓMICA DE CIUDADANOS Y EMPRESAS DE LA PROVINCIA DE ALICANTE LIGADAS AL CUMPLIMIENTO DE LOS OBJETIVOS DE DESARROLLO SOSTENIBLE DE CADA BLOQUE. INECA3-21TPA</t>
  </si>
  <si>
    <t>41.40.6C.00.19</t>
  </si>
  <si>
    <t>/RFB/FPOS21156002///POP OR202181206 PMT001098346 OR202181206 OR202181206</t>
  </si>
  <si>
    <t>U058 </t>
  </si>
  <si>
    <t>ADM. I.U. DE INVESTIGACIONES TURÍSTICAS </t>
  </si>
  <si>
    <t>DOCTORADO EN TURISMO </t>
  </si>
  <si>
    <t>Rubio Escuderos, Lucía </t>
  </si>
  <si>
    <t>EL MOSAICO DEL TURISMO ACCESIBLE: DIAGNÓSTICO DE IMPULSOS Y FRENOS A LA ACCESIBILIDAD EN LOS DESTINOS TURÍSTICOS DESDE LA PERSPECTIVA DE LAS PARTES INTERESADAS </t>
  </si>
  <si>
    <t>20/12/2021 </t>
  </si>
  <si>
    <t>52814604D </t>
  </si>
  <si>
    <t>28995929J</t>
  </si>
  <si>
    <t>CATALA OLTRA, LUIS</t>
  </si>
  <si>
    <t>53240328C</t>
  </si>
  <si>
    <t>RODRIGUEZ LIFANTE, ALBERTO</t>
  </si>
  <si>
    <t>B115</t>
  </si>
  <si>
    <t>10.15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</si>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</sst>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" fillId="0" borderId="0"/>
  </cellStyleXfs>
  <cellXfs count="8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3" borderId="1" xfId="5" applyFont="1" applyFill="1" applyBorder="1" applyAlignment="1">
      <alignment horizontal="center" wrapText="1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6" applyFont="1"/>
    <xf numFmtId="0" fontId="10" fillId="0" borderId="1" xfId="6" applyFont="1" applyBorder="1"/>
    <xf numFmtId="0" fontId="10" fillId="0" borderId="0" xfId="6" applyFont="1"/>
    <xf numFmtId="0" fontId="10" fillId="2" borderId="0" xfId="6" applyFont="1" applyFill="1"/>
    <xf numFmtId="0" fontId="10" fillId="2" borderId="0" xfId="6" applyFont="1" applyFill="1" applyAlignment="1">
      <alignment horizontal="right"/>
    </xf>
    <xf numFmtId="0" fontId="10" fillId="0" borderId="0" xfId="6" applyFont="1" applyAlignment="1">
      <alignment horizontal="right"/>
    </xf>
    <xf numFmtId="0" fontId="6" fillId="0" borderId="1" xfId="0" applyFont="1" applyBorder="1"/>
    <xf numFmtId="0" fontId="10" fillId="0" borderId="2" xfId="6" applyFont="1" applyBorder="1" applyAlignment="1">
      <alignment horizontal="right"/>
    </xf>
    <xf numFmtId="0" fontId="7" fillId="0" borderId="7" xfId="0" applyFont="1" applyBorder="1"/>
    <xf numFmtId="0" fontId="7" fillId="0" borderId="7" xfId="0" applyFont="1" applyBorder="1" applyAlignment="1">
      <alignment horizontal="left"/>
    </xf>
    <xf numFmtId="164" fontId="11" fillId="2" borderId="0" xfId="6" applyNumberFormat="1" applyFont="1" applyFill="1" applyBorder="1" applyAlignment="1"/>
    <xf numFmtId="0" fontId="0" fillId="0" borderId="1" xfId="0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12" fillId="0" borderId="8" xfId="0" applyFont="1" applyBorder="1" applyAlignment="1">
      <alignment horizontal="left"/>
    </xf>
    <xf numFmtId="0" fontId="12" fillId="0" borderId="8" xfId="0" applyFont="1" applyBorder="1"/>
    <xf numFmtId="0" fontId="0" fillId="0" borderId="0" xfId="0" applyAlignment="1">
      <alignment horizontal="left" indent="1"/>
    </xf>
    <xf numFmtId="0" fontId="12" fillId="6" borderId="9" xfId="0" applyFont="1" applyFill="1" applyBorder="1" applyAlignment="1">
      <alignment horizontal="left"/>
    </xf>
    <xf numFmtId="0" fontId="12" fillId="6" borderId="9" xfId="0" applyFont="1" applyFill="1" applyBorder="1"/>
    <xf numFmtId="0" fontId="13" fillId="7" borderId="10" xfId="0" applyNumberFormat="1" applyFont="1" applyFill="1" applyBorder="1"/>
    <xf numFmtId="0" fontId="13" fillId="7" borderId="11" xfId="0" applyNumberFormat="1" applyFont="1" applyFill="1" applyBorder="1"/>
    <xf numFmtId="0" fontId="13" fillId="7" borderId="12" xfId="0" applyFont="1" applyFill="1" applyBorder="1" applyAlignment="1">
      <alignment horizontal="right"/>
    </xf>
    <xf numFmtId="0" fontId="0" fillId="8" borderId="13" xfId="0" applyNumberFormat="1" applyFont="1" applyFill="1" applyBorder="1"/>
    <xf numFmtId="0" fontId="0" fillId="8" borderId="14" xfId="0" applyFont="1" applyFill="1" applyBorder="1"/>
    <xf numFmtId="4" fontId="0" fillId="8" borderId="15" xfId="0" applyNumberFormat="1" applyFont="1" applyFill="1" applyBorder="1"/>
    <xf numFmtId="0" fontId="0" fillId="6" borderId="13" xfId="0" applyNumberFormat="1" applyFont="1" applyFill="1" applyBorder="1"/>
    <xf numFmtId="0" fontId="0" fillId="6" borderId="14" xfId="0" applyFont="1" applyFill="1" applyBorder="1"/>
    <xf numFmtId="4" fontId="0" fillId="6" borderId="15" xfId="0" applyNumberFormat="1" applyFont="1" applyFill="1" applyBorder="1"/>
    <xf numFmtId="0" fontId="13" fillId="7" borderId="16" xfId="0" applyFont="1" applyFill="1" applyBorder="1"/>
    <xf numFmtId="0" fontId="13" fillId="7" borderId="17" xfId="0" applyFont="1" applyFill="1" applyBorder="1"/>
    <xf numFmtId="4" fontId="13" fillId="7" borderId="18" xfId="0" applyNumberFormat="1" applyFont="1" applyFill="1" applyBorder="1"/>
    <xf numFmtId="4" fontId="0" fillId="0" borderId="0" xfId="0" applyNumberFormat="1"/>
    <xf numFmtId="165" fontId="3" fillId="4" borderId="1" xfId="1" applyNumberFormat="1" applyFill="1" applyBorder="1"/>
    <xf numFmtId="0" fontId="3" fillId="4" borderId="19" xfId="1" applyFill="1" applyBorder="1"/>
    <xf numFmtId="165" fontId="3" fillId="4" borderId="19" xfId="1" applyNumberFormat="1" applyFill="1" applyBorder="1"/>
    <xf numFmtId="0" fontId="3" fillId="4" borderId="19" xfId="1" applyFill="1" applyBorder="1" applyAlignment="1">
      <alignment horizontal="right"/>
    </xf>
    <xf numFmtId="1" fontId="3" fillId="4" borderId="19" xfId="1" applyNumberFormat="1" applyFill="1" applyBorder="1"/>
    <xf numFmtId="164" fontId="3" fillId="4" borderId="19" xfId="1" applyNumberFormat="1" applyFill="1" applyBorder="1"/>
    <xf numFmtId="0" fontId="3" fillId="0" borderId="1" xfId="1" applyBorder="1"/>
    <xf numFmtId="0" fontId="3" fillId="4" borderId="20" xfId="1" applyFill="1" applyBorder="1"/>
    <xf numFmtId="0" fontId="14" fillId="9" borderId="1" xfId="0" applyFont="1" applyFill="1" applyBorder="1" applyAlignment="1">
      <alignment horizontal="left" vertical="center"/>
    </xf>
    <xf numFmtId="0" fontId="14" fillId="9" borderId="21" xfId="0" applyFont="1" applyFill="1" applyBorder="1" applyAlignment="1">
      <alignment horizontal="left" vertical="center"/>
    </xf>
    <xf numFmtId="0" fontId="14" fillId="9" borderId="22" xfId="0" applyFont="1" applyFill="1" applyBorder="1" applyAlignment="1">
      <alignment horizontal="left" vertical="center"/>
    </xf>
    <xf numFmtId="0" fontId="14" fillId="9" borderId="23" xfId="0" applyFont="1" applyFill="1" applyBorder="1" applyAlignment="1">
      <alignment horizontal="left" vertical="center"/>
    </xf>
    <xf numFmtId="164" fontId="3" fillId="10" borderId="1" xfId="1" applyNumberFormat="1" applyFill="1" applyBorder="1"/>
    <xf numFmtId="164" fontId="3" fillId="10" borderId="19" xfId="1" applyNumberFormat="1" applyFill="1" applyBorder="1"/>
    <xf numFmtId="0" fontId="3" fillId="10" borderId="1" xfId="1" applyFill="1" applyBorder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2" borderId="24" xfId="1" applyFont="1" applyFill="1" applyBorder="1" applyAlignment="1"/>
    <xf numFmtId="164" fontId="4" fillId="2" borderId="24" xfId="1" applyNumberFormat="1" applyFont="1" applyFill="1" applyBorder="1" applyAlignment="1"/>
    <xf numFmtId="1" fontId="10" fillId="0" borderId="3" xfId="6" applyNumberFormat="1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" fontId="10" fillId="0" borderId="5" xfId="6" applyNumberFormat="1" applyFont="1" applyBorder="1" applyAlignment="1">
      <alignment horizontal="center" vertical="center"/>
    </xf>
    <xf numFmtId="1" fontId="10" fillId="0" borderId="6" xfId="6" applyNumberFormat="1" applyFont="1" applyBorder="1" applyAlignment="1">
      <alignment horizontal="center" vertical="center"/>
    </xf>
    <xf numFmtId="164" fontId="10" fillId="0" borderId="7" xfId="6" applyNumberFormat="1" applyFont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10" fillId="0" borderId="1" xfId="6" applyNumberFormat="1" applyFont="1" applyFill="1" applyBorder="1" applyAlignment="1">
      <alignment horizontal="center" vertical="center"/>
    </xf>
    <xf numFmtId="164" fontId="10" fillId="10" borderId="1" xfId="6" applyNumberFormat="1" applyFont="1" applyFill="1" applyBorder="1" applyAlignment="1">
      <alignment horizontal="center" vertical="center"/>
    </xf>
    <xf numFmtId="1" fontId="10" fillId="0" borderId="25" xfId="6" applyNumberFormat="1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4" fontId="1" fillId="0" borderId="0" xfId="0" applyNumberFormat="1" applyFont="1"/>
    <xf numFmtId="0" fontId="15" fillId="11" borderId="1" xfId="0" applyFont="1" applyFill="1" applyBorder="1" applyAlignment="1">
      <alignment horizontal="right"/>
    </xf>
    <xf numFmtId="4" fontId="0" fillId="12" borderId="1" xfId="0" applyNumberFormat="1" applyFill="1" applyBorder="1"/>
    <xf numFmtId="164" fontId="11" fillId="2" borderId="1" xfId="6" applyNumberFormat="1" applyFont="1" applyFill="1" applyBorder="1" applyAlignment="1">
      <alignment horizont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</cellXfs>
  <cellStyles count="7">
    <cellStyle name="Normal" xfId="0" builtinId="0"/>
    <cellStyle name="Normal 2" xfId="4" xr:uid="{00000000-0005-0000-0000-000001000000}"/>
    <cellStyle name="Normal 3" xfId="6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Isex" xfId="5" xr:uid="{00000000-0005-0000-0000-000005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6"/>
  <sheetViews>
    <sheetView showGridLines="0" tabSelected="1" topLeftCell="F1" zoomScale="120" zoomScaleNormal="120" workbookViewId="0">
      <selection activeCell="O19" sqref="O1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0" width="9" style="13" bestFit="1" customWidth="1"/>
    <col min="21" max="21" width="5.109375" style="13" customWidth="1"/>
    <col min="22" max="16384" width="10.33203125" style="13"/>
  </cols>
  <sheetData>
    <row r="1" spans="1:21" ht="40.799999999999997" x14ac:dyDescent="0.2">
      <c r="A1" s="8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8" t="s">
        <v>16</v>
      </c>
      <c r="J1" s="9" t="s">
        <v>17</v>
      </c>
      <c r="K1" s="8" t="s">
        <v>18</v>
      </c>
      <c r="L1" s="9" t="s">
        <v>19</v>
      </c>
      <c r="M1" s="10" t="s">
        <v>20</v>
      </c>
      <c r="N1" s="11" t="s">
        <v>21</v>
      </c>
      <c r="O1" s="12" t="s">
        <v>22</v>
      </c>
      <c r="P1" s="11" t="s">
        <v>23</v>
      </c>
      <c r="Q1" s="12" t="s">
        <v>24</v>
      </c>
      <c r="R1" s="11" t="s">
        <v>25</v>
      </c>
      <c r="S1" s="11" t="s">
        <v>26</v>
      </c>
      <c r="T1" s="11" t="s">
        <v>27</v>
      </c>
      <c r="U1" s="11" t="s">
        <v>28</v>
      </c>
    </row>
    <row r="2" spans="1:21" x14ac:dyDescent="0.2">
      <c r="A2" s="32" t="s">
        <v>48</v>
      </c>
      <c r="B2" s="32" t="s">
        <v>49</v>
      </c>
      <c r="C2" s="32" t="s">
        <v>50</v>
      </c>
      <c r="D2" s="32" t="s">
        <v>74</v>
      </c>
      <c r="E2" s="32" t="s">
        <v>75</v>
      </c>
      <c r="F2" s="32" t="s">
        <v>76</v>
      </c>
      <c r="G2" s="32" t="s">
        <v>77</v>
      </c>
      <c r="H2" s="32" t="s">
        <v>29</v>
      </c>
      <c r="I2" s="32" t="s">
        <v>54</v>
      </c>
      <c r="J2" s="32" t="s">
        <v>55</v>
      </c>
      <c r="K2" s="35">
        <v>0.5</v>
      </c>
      <c r="L2" s="32" t="s">
        <v>56</v>
      </c>
      <c r="M2" s="32">
        <v>2016</v>
      </c>
      <c r="N2" s="32" t="s">
        <v>57</v>
      </c>
      <c r="O2" s="33" t="s">
        <v>41</v>
      </c>
      <c r="P2" s="32" t="s">
        <v>30</v>
      </c>
      <c r="Q2" s="33" t="s">
        <v>30</v>
      </c>
      <c r="R2" s="34">
        <v>90</v>
      </c>
      <c r="S2" s="35">
        <v>0.45</v>
      </c>
      <c r="T2" s="66">
        <v>0.05</v>
      </c>
      <c r="U2" s="35">
        <v>0</v>
      </c>
    </row>
    <row r="3" spans="1:21" x14ac:dyDescent="0.2">
      <c r="A3" s="32" t="s">
        <v>48</v>
      </c>
      <c r="B3" s="32" t="s">
        <v>49</v>
      </c>
      <c r="C3" s="32" t="s">
        <v>50</v>
      </c>
      <c r="D3" s="32" t="s">
        <v>74</v>
      </c>
      <c r="E3" s="32" t="s">
        <v>75</v>
      </c>
      <c r="F3" s="32" t="s">
        <v>76</v>
      </c>
      <c r="G3" s="32" t="s">
        <v>70</v>
      </c>
      <c r="H3" s="32" t="s">
        <v>29</v>
      </c>
      <c r="I3" s="32" t="s">
        <v>71</v>
      </c>
      <c r="J3" s="32" t="s">
        <v>72</v>
      </c>
      <c r="K3" s="35">
        <v>0.5</v>
      </c>
      <c r="L3" s="32" t="s">
        <v>73</v>
      </c>
      <c r="M3" s="32">
        <v>2016</v>
      </c>
      <c r="N3" s="32" t="s">
        <v>57</v>
      </c>
      <c r="O3" s="33" t="s">
        <v>40</v>
      </c>
      <c r="P3" s="32" t="s">
        <v>30</v>
      </c>
      <c r="Q3" s="33" t="s">
        <v>30</v>
      </c>
      <c r="R3" s="34">
        <v>10</v>
      </c>
      <c r="S3" s="35">
        <v>0.05</v>
      </c>
      <c r="T3" s="66">
        <v>0.45</v>
      </c>
      <c r="U3" s="35">
        <v>0</v>
      </c>
    </row>
    <row r="4" spans="1:21" x14ac:dyDescent="0.2">
      <c r="A4" s="32" t="s">
        <v>33</v>
      </c>
      <c r="B4" s="32" t="s">
        <v>34</v>
      </c>
      <c r="C4" s="32" t="s">
        <v>35</v>
      </c>
      <c r="D4" s="32" t="s">
        <v>66</v>
      </c>
      <c r="E4" s="32" t="s">
        <v>67</v>
      </c>
      <c r="F4" s="32" t="s">
        <v>68</v>
      </c>
      <c r="G4" s="32" t="s">
        <v>69</v>
      </c>
      <c r="H4" s="32" t="s">
        <v>29</v>
      </c>
      <c r="I4" s="32" t="s">
        <v>37</v>
      </c>
      <c r="J4" s="32" t="s">
        <v>38</v>
      </c>
      <c r="K4" s="35">
        <v>0.5</v>
      </c>
      <c r="L4" s="32" t="s">
        <v>39</v>
      </c>
      <c r="M4" s="32">
        <v>2017</v>
      </c>
      <c r="N4" s="32" t="s">
        <v>57</v>
      </c>
      <c r="O4" s="33" t="s">
        <v>32</v>
      </c>
      <c r="P4" s="32" t="s">
        <v>30</v>
      </c>
      <c r="Q4" s="33" t="s">
        <v>30</v>
      </c>
      <c r="R4" s="34">
        <v>50</v>
      </c>
      <c r="S4" s="35">
        <v>0.25</v>
      </c>
      <c r="T4" s="66">
        <v>0.25</v>
      </c>
      <c r="U4" s="35">
        <v>0</v>
      </c>
    </row>
    <row r="5" spans="1:21" x14ac:dyDescent="0.2">
      <c r="A5" s="32" t="s">
        <v>51</v>
      </c>
      <c r="B5" s="32" t="s">
        <v>52</v>
      </c>
      <c r="C5" s="32" t="s">
        <v>53</v>
      </c>
      <c r="D5" s="32" t="s">
        <v>81</v>
      </c>
      <c r="E5" s="32" t="s">
        <v>82</v>
      </c>
      <c r="F5" s="32" t="s">
        <v>47</v>
      </c>
      <c r="G5" s="32" t="s">
        <v>80</v>
      </c>
      <c r="H5" s="32" t="s">
        <v>31</v>
      </c>
      <c r="I5" s="32" t="s">
        <v>63</v>
      </c>
      <c r="J5" s="32" t="s">
        <v>64</v>
      </c>
      <c r="K5" s="54">
        <v>1</v>
      </c>
      <c r="L5" s="32" t="s">
        <v>65</v>
      </c>
      <c r="M5" s="32">
        <v>2018</v>
      </c>
      <c r="N5" s="32" t="s">
        <v>57</v>
      </c>
      <c r="O5" s="33" t="s">
        <v>41</v>
      </c>
      <c r="P5" s="32" t="s">
        <v>61</v>
      </c>
      <c r="Q5" s="33" t="s">
        <v>36</v>
      </c>
      <c r="R5" s="34">
        <v>70</v>
      </c>
      <c r="S5" s="35">
        <v>0.7</v>
      </c>
      <c r="T5" s="66">
        <v>0.1</v>
      </c>
      <c r="U5" s="35">
        <v>0.2</v>
      </c>
    </row>
    <row r="6" spans="1:21" x14ac:dyDescent="0.2">
      <c r="A6" s="55" t="s">
        <v>48</v>
      </c>
      <c r="B6" s="55" t="s">
        <v>49</v>
      </c>
      <c r="C6" s="55" t="s">
        <v>50</v>
      </c>
      <c r="D6" s="55" t="s">
        <v>146</v>
      </c>
      <c r="E6" s="55" t="s">
        <v>147</v>
      </c>
      <c r="F6" s="55" t="s">
        <v>148</v>
      </c>
      <c r="G6" s="55" t="s">
        <v>78</v>
      </c>
      <c r="H6" s="55" t="s">
        <v>31</v>
      </c>
      <c r="I6" s="55" t="s">
        <v>54</v>
      </c>
      <c r="J6" s="55" t="s">
        <v>55</v>
      </c>
      <c r="K6" s="56">
        <v>1</v>
      </c>
      <c r="L6" s="55" t="s">
        <v>56</v>
      </c>
      <c r="M6" s="55">
        <v>2019</v>
      </c>
      <c r="N6" s="55" t="s">
        <v>57</v>
      </c>
      <c r="O6" s="57" t="s">
        <v>41</v>
      </c>
      <c r="P6" s="55" t="s">
        <v>30</v>
      </c>
      <c r="Q6" s="57" t="s">
        <v>30</v>
      </c>
      <c r="R6" s="58">
        <v>90</v>
      </c>
      <c r="S6" s="59">
        <v>0.9</v>
      </c>
      <c r="T6" s="67">
        <v>0.1</v>
      </c>
      <c r="U6" s="59">
        <v>0</v>
      </c>
    </row>
    <row r="7" spans="1:21" x14ac:dyDescent="0.2">
      <c r="A7" s="32" t="s">
        <v>51</v>
      </c>
      <c r="B7" s="32" t="s">
        <v>52</v>
      </c>
      <c r="C7" s="32" t="s">
        <v>53</v>
      </c>
      <c r="D7" s="32" t="s">
        <v>153</v>
      </c>
      <c r="E7" s="32" t="s">
        <v>154</v>
      </c>
      <c r="F7" s="32" t="s">
        <v>155</v>
      </c>
      <c r="G7" s="32" t="s">
        <v>80</v>
      </c>
      <c r="H7" s="32" t="s">
        <v>29</v>
      </c>
      <c r="I7" s="32" t="s">
        <v>63</v>
      </c>
      <c r="J7" s="32" t="s">
        <v>64</v>
      </c>
      <c r="K7" s="60">
        <v>0.5</v>
      </c>
      <c r="L7" s="60" t="s">
        <v>65</v>
      </c>
      <c r="M7" s="61">
        <v>2019</v>
      </c>
      <c r="N7" s="32" t="s">
        <v>57</v>
      </c>
      <c r="O7" s="33" t="s">
        <v>41</v>
      </c>
      <c r="P7" s="32" t="s">
        <v>61</v>
      </c>
      <c r="Q7" s="33" t="s">
        <v>36</v>
      </c>
      <c r="R7" s="32">
        <v>70</v>
      </c>
      <c r="S7" s="32">
        <v>0.35</v>
      </c>
      <c r="T7" s="68">
        <v>0.05</v>
      </c>
      <c r="U7" s="32">
        <v>0.1</v>
      </c>
    </row>
    <row r="8" spans="1:21" x14ac:dyDescent="0.2">
      <c r="A8" s="32" t="s">
        <v>48</v>
      </c>
      <c r="B8" s="32" t="s">
        <v>49</v>
      </c>
      <c r="C8" s="32" t="s">
        <v>50</v>
      </c>
      <c r="D8" s="32" t="s">
        <v>156</v>
      </c>
      <c r="E8" s="32" t="s">
        <v>157</v>
      </c>
      <c r="F8" s="32" t="s">
        <v>158</v>
      </c>
      <c r="G8" s="32" t="s">
        <v>77</v>
      </c>
      <c r="H8" s="32" t="s">
        <v>31</v>
      </c>
      <c r="I8" s="32" t="s">
        <v>54</v>
      </c>
      <c r="J8" s="32" t="s">
        <v>55</v>
      </c>
      <c r="K8" s="60">
        <v>1</v>
      </c>
      <c r="L8" s="60" t="s">
        <v>56</v>
      </c>
      <c r="M8" s="61">
        <v>2019</v>
      </c>
      <c r="N8" s="32" t="s">
        <v>57</v>
      </c>
      <c r="O8" s="33" t="s">
        <v>45</v>
      </c>
      <c r="P8" s="32" t="s">
        <v>30</v>
      </c>
      <c r="Q8" s="33" t="s">
        <v>30</v>
      </c>
      <c r="R8" s="32">
        <v>20</v>
      </c>
      <c r="S8" s="32">
        <v>0.2</v>
      </c>
      <c r="T8" s="68">
        <v>0.8</v>
      </c>
      <c r="U8" s="32">
        <v>0</v>
      </c>
    </row>
    <row r="9" spans="1:21" ht="10.8" thickBot="1" x14ac:dyDescent="0.25">
      <c r="A9" s="32" t="s">
        <v>48</v>
      </c>
      <c r="B9" s="32" t="s">
        <v>49</v>
      </c>
      <c r="C9" s="32" t="s">
        <v>50</v>
      </c>
      <c r="D9" s="32" t="s">
        <v>159</v>
      </c>
      <c r="E9" s="32" t="s">
        <v>160</v>
      </c>
      <c r="F9" s="32" t="s">
        <v>161</v>
      </c>
      <c r="G9" s="32" t="s">
        <v>77</v>
      </c>
      <c r="H9" s="32" t="s">
        <v>29</v>
      </c>
      <c r="I9" s="32" t="s">
        <v>54</v>
      </c>
      <c r="J9" s="32" t="s">
        <v>55</v>
      </c>
      <c r="K9" s="60">
        <v>0.5</v>
      </c>
      <c r="L9" s="60" t="s">
        <v>56</v>
      </c>
      <c r="M9" s="61">
        <v>2019</v>
      </c>
      <c r="N9" s="32" t="s">
        <v>57</v>
      </c>
      <c r="O9" s="33" t="s">
        <v>45</v>
      </c>
      <c r="P9" s="32" t="s">
        <v>30</v>
      </c>
      <c r="Q9" s="33" t="s">
        <v>30</v>
      </c>
      <c r="R9" s="32">
        <v>20</v>
      </c>
      <c r="S9" s="32">
        <v>0.1</v>
      </c>
      <c r="T9" s="68">
        <v>0.4</v>
      </c>
      <c r="U9" s="32">
        <v>0</v>
      </c>
    </row>
    <row r="10" spans="1:21" ht="10.8" thickBot="1" x14ac:dyDescent="0.25">
      <c r="A10" s="62" t="s">
        <v>162</v>
      </c>
      <c r="B10" s="62" t="s">
        <v>163</v>
      </c>
      <c r="C10" s="62" t="s">
        <v>164</v>
      </c>
      <c r="D10" s="62" t="s">
        <v>165</v>
      </c>
      <c r="E10" s="62" t="s">
        <v>166</v>
      </c>
      <c r="F10" s="62" t="s">
        <v>167</v>
      </c>
      <c r="G10" s="63" t="s">
        <v>168</v>
      </c>
      <c r="H10" s="64" t="s">
        <v>29</v>
      </c>
      <c r="I10" s="64" t="s">
        <v>162</v>
      </c>
      <c r="J10" s="65" t="s">
        <v>163</v>
      </c>
      <c r="K10" s="60">
        <v>0.5</v>
      </c>
      <c r="L10" s="60" t="s">
        <v>100</v>
      </c>
      <c r="M10" s="32">
        <v>2020</v>
      </c>
      <c r="N10" s="32" t="s">
        <v>57</v>
      </c>
      <c r="O10" s="33" t="s">
        <v>62</v>
      </c>
      <c r="P10" s="32" t="s">
        <v>30</v>
      </c>
      <c r="Q10" s="33" t="s">
        <v>30</v>
      </c>
      <c r="R10" s="32">
        <v>0</v>
      </c>
      <c r="S10" s="32">
        <v>0</v>
      </c>
      <c r="T10" s="68">
        <v>0.5</v>
      </c>
      <c r="U10" s="32">
        <v>0</v>
      </c>
    </row>
    <row r="11" spans="1:21" ht="10.8" thickBot="1" x14ac:dyDescent="0.25">
      <c r="A11" s="62" t="s">
        <v>162</v>
      </c>
      <c r="B11" s="62" t="s">
        <v>163</v>
      </c>
      <c r="C11" s="62" t="s">
        <v>164</v>
      </c>
      <c r="D11" s="62" t="s">
        <v>169</v>
      </c>
      <c r="E11" s="62" t="s">
        <v>170</v>
      </c>
      <c r="F11" s="62" t="s">
        <v>171</v>
      </c>
      <c r="G11" s="63" t="s">
        <v>172</v>
      </c>
      <c r="H11" s="64" t="s">
        <v>31</v>
      </c>
      <c r="I11" s="64" t="s">
        <v>162</v>
      </c>
      <c r="J11" s="65" t="s">
        <v>163</v>
      </c>
      <c r="K11" s="60">
        <v>1</v>
      </c>
      <c r="L11" s="60" t="s">
        <v>100</v>
      </c>
      <c r="M11" s="32">
        <v>2020</v>
      </c>
      <c r="N11" s="32" t="s">
        <v>57</v>
      </c>
      <c r="O11" s="33" t="s">
        <v>32</v>
      </c>
      <c r="P11" s="32" t="s">
        <v>30</v>
      </c>
      <c r="Q11" s="33" t="s">
        <v>30</v>
      </c>
      <c r="R11" s="32">
        <v>50</v>
      </c>
      <c r="S11" s="32">
        <v>0.5</v>
      </c>
      <c r="T11" s="68">
        <v>0.5</v>
      </c>
      <c r="U11" s="32">
        <v>0</v>
      </c>
    </row>
    <row r="12" spans="1:21" x14ac:dyDescent="0.2">
      <c r="A12" s="32" t="s">
        <v>190</v>
      </c>
      <c r="B12" s="32" t="s">
        <v>191</v>
      </c>
      <c r="C12" s="32" t="s">
        <v>192</v>
      </c>
      <c r="D12" s="32" t="s">
        <v>193</v>
      </c>
      <c r="E12" s="32" t="s">
        <v>194</v>
      </c>
      <c r="F12" s="32" t="s">
        <v>195</v>
      </c>
      <c r="G12" s="32" t="s">
        <v>79</v>
      </c>
      <c r="H12" s="32" t="s">
        <v>29</v>
      </c>
      <c r="I12" s="32" t="s">
        <v>54</v>
      </c>
      <c r="J12" s="32" t="s">
        <v>55</v>
      </c>
      <c r="K12" s="60">
        <v>0.5</v>
      </c>
      <c r="L12" s="60" t="s">
        <v>56</v>
      </c>
      <c r="M12" s="32">
        <v>2021</v>
      </c>
      <c r="N12" s="32" t="s">
        <v>57</v>
      </c>
      <c r="O12" s="33" t="s">
        <v>41</v>
      </c>
      <c r="P12" s="32" t="s">
        <v>30</v>
      </c>
      <c r="Q12" s="33" t="s">
        <v>30</v>
      </c>
      <c r="R12" s="32">
        <v>90</v>
      </c>
      <c r="S12" s="32">
        <v>0.45</v>
      </c>
      <c r="T12" s="68">
        <v>0.05</v>
      </c>
      <c r="U12" s="32">
        <v>0</v>
      </c>
    </row>
    <row r="13" spans="1:21" x14ac:dyDescent="0.2">
      <c r="A13" s="32" t="s">
        <v>42</v>
      </c>
      <c r="B13" s="32" t="s">
        <v>43</v>
      </c>
      <c r="C13" s="32" t="s">
        <v>44</v>
      </c>
      <c r="D13" s="32" t="s">
        <v>58</v>
      </c>
      <c r="E13" s="32" t="s">
        <v>59</v>
      </c>
      <c r="F13" s="32" t="s">
        <v>60</v>
      </c>
      <c r="G13" s="32" t="s">
        <v>196</v>
      </c>
      <c r="H13" s="32" t="s">
        <v>29</v>
      </c>
      <c r="I13" s="32" t="s">
        <v>54</v>
      </c>
      <c r="J13" s="32" t="s">
        <v>55</v>
      </c>
      <c r="K13" s="54">
        <v>0.5</v>
      </c>
      <c r="L13" s="32" t="s">
        <v>56</v>
      </c>
      <c r="M13" s="32">
        <v>2018</v>
      </c>
      <c r="N13" s="32" t="s">
        <v>46</v>
      </c>
      <c r="O13" s="33" t="s">
        <v>41</v>
      </c>
      <c r="P13" s="32" t="s">
        <v>57</v>
      </c>
      <c r="Q13" s="33" t="s">
        <v>45</v>
      </c>
      <c r="R13" s="34">
        <f t="shared" ref="R13" si="0">IF(Q13&lt;&gt;"",100-O13-Q13,IF(O13&lt;&gt;"",100-O13,100))</f>
        <v>10</v>
      </c>
      <c r="S13" s="35">
        <f t="shared" ref="S13" si="1">K13*R13/100</f>
        <v>0.05</v>
      </c>
      <c r="T13" s="35">
        <f t="shared" ref="T13" si="2">IF(O13="",0,K13*O13/100)</f>
        <v>0.05</v>
      </c>
      <c r="U13" s="66">
        <f t="shared" ref="U13" si="3">IF(Q13="",0,K13*Q13/100)</f>
        <v>0.4</v>
      </c>
    </row>
    <row r="14" spans="1:21" x14ac:dyDescent="0.2">
      <c r="F14" s="69"/>
      <c r="G14" s="69"/>
      <c r="H14" s="69"/>
      <c r="I14" s="69"/>
      <c r="J14" s="69"/>
      <c r="K14" s="69"/>
      <c r="L14" s="69"/>
      <c r="M14" s="69"/>
      <c r="N14" s="69"/>
      <c r="O14" s="70"/>
      <c r="P14" s="69"/>
      <c r="Q14" s="70"/>
      <c r="R14" s="69"/>
      <c r="S14" s="69"/>
      <c r="T14" s="72">
        <f>SUM(T2:T12,U13)</f>
        <v>3.65</v>
      </c>
      <c r="U14" s="71"/>
    </row>
    <row r="15" spans="1:21" ht="14.4" x14ac:dyDescent="0.3">
      <c r="T15"/>
      <c r="U15"/>
    </row>
    <row r="16" spans="1:21" ht="14.4" x14ac:dyDescent="0.3">
      <c r="T16"/>
      <c r="U16"/>
    </row>
  </sheetData>
  <autoFilter ref="A1:U1" xr:uid="{00000000-0009-0000-0000-000000000000}"/>
  <printOptions horizontalCentered="1"/>
  <pageMargins left="0.19685039370078741" right="0.19685039370078741" top="0.39370078740157483" bottom="0.39370078740157483" header="0.78740157480314965" footer="0"/>
  <pageSetup paperSize="9" scale="90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0"/>
  <sheetViews>
    <sheetView zoomScaleNormal="100" workbookViewId="0">
      <selection activeCell="K17" sqref="K17"/>
    </sheetView>
  </sheetViews>
  <sheetFormatPr baseColWidth="10" defaultColWidth="11.44140625" defaultRowHeight="13.2" x14ac:dyDescent="0.25"/>
  <cols>
    <col min="1" max="1" width="10.88671875" style="20" bestFit="1" customWidth="1"/>
    <col min="2" max="2" width="46" style="20" bestFit="1" customWidth="1"/>
    <col min="3" max="3" width="14.5546875" style="20" bestFit="1" customWidth="1"/>
    <col min="4" max="9" width="3.33203125" style="20" bestFit="1" customWidth="1"/>
    <col min="10" max="10" width="13.109375" style="20" bestFit="1" customWidth="1"/>
    <col min="11" max="11" width="5.33203125" style="20" bestFit="1" customWidth="1"/>
    <col min="12" max="13" width="5.6640625" style="20" bestFit="1" customWidth="1"/>
    <col min="14" max="14" width="5.6640625" style="23" bestFit="1" customWidth="1"/>
    <col min="15" max="15" width="5.6640625" style="20" bestFit="1" customWidth="1"/>
    <col min="16" max="16" width="5.6640625" style="23" bestFit="1" customWidth="1"/>
    <col min="17" max="19" width="5.6640625" style="20" bestFit="1" customWidth="1"/>
    <col min="20" max="16384" width="11.44140625" style="20"/>
  </cols>
  <sheetData>
    <row r="1" spans="1:19" s="18" customFormat="1" ht="65.099999999999994" customHeight="1" x14ac:dyDescent="0.25">
      <c r="A1" s="87" t="s">
        <v>83</v>
      </c>
      <c r="B1" s="87" t="s">
        <v>84</v>
      </c>
      <c r="C1" s="87" t="s">
        <v>85</v>
      </c>
      <c r="D1" s="88">
        <v>2017</v>
      </c>
      <c r="E1" s="88">
        <v>2018</v>
      </c>
      <c r="F1" s="88">
        <v>2019</v>
      </c>
      <c r="G1" s="88">
        <v>2020</v>
      </c>
      <c r="H1" s="88">
        <v>2021</v>
      </c>
      <c r="I1" s="88">
        <v>2022</v>
      </c>
      <c r="J1" s="87" t="s">
        <v>86</v>
      </c>
      <c r="K1" s="15" t="s">
        <v>149</v>
      </c>
      <c r="L1" s="16" t="s">
        <v>87</v>
      </c>
      <c r="M1" s="16" t="s">
        <v>88</v>
      </c>
      <c r="N1" s="16" t="s">
        <v>89</v>
      </c>
      <c r="O1" s="16" t="s">
        <v>90</v>
      </c>
      <c r="P1" s="17" t="s">
        <v>91</v>
      </c>
      <c r="Q1" s="17" t="s">
        <v>92</v>
      </c>
      <c r="R1" s="17" t="s">
        <v>93</v>
      </c>
      <c r="S1" s="17" t="s">
        <v>94</v>
      </c>
    </row>
    <row r="2" spans="1:19" ht="14.4" x14ac:dyDescent="0.3">
      <c r="A2" s="29" t="s">
        <v>121</v>
      </c>
      <c r="B2" s="29" t="s">
        <v>122</v>
      </c>
      <c r="C2" s="29" t="s">
        <v>95</v>
      </c>
      <c r="D2" s="29"/>
      <c r="E2" s="29"/>
      <c r="F2" s="29"/>
      <c r="G2" s="29"/>
      <c r="H2" s="29">
        <v>1</v>
      </c>
      <c r="I2" s="29"/>
      <c r="J2" s="29">
        <v>1</v>
      </c>
      <c r="K2" s="29" t="s">
        <v>56</v>
      </c>
      <c r="L2" s="31" t="s">
        <v>57</v>
      </c>
      <c r="M2" s="31" t="s">
        <v>41</v>
      </c>
      <c r="N2" s="31" t="s">
        <v>30</v>
      </c>
      <c r="O2" s="31" t="s">
        <v>30</v>
      </c>
      <c r="P2" s="31">
        <v>90</v>
      </c>
      <c r="Q2" s="78">
        <v>0.1</v>
      </c>
      <c r="R2" s="31">
        <v>0</v>
      </c>
      <c r="S2" s="31">
        <v>0.9</v>
      </c>
    </row>
    <row r="3" spans="1:19" ht="14.4" x14ac:dyDescent="0.3">
      <c r="A3" s="29" t="s">
        <v>115</v>
      </c>
      <c r="B3" s="29" t="s">
        <v>116</v>
      </c>
      <c r="C3" s="29" t="s">
        <v>95</v>
      </c>
      <c r="D3" s="29"/>
      <c r="E3" s="29"/>
      <c r="F3" s="29"/>
      <c r="G3" s="29"/>
      <c r="H3" s="29">
        <v>1</v>
      </c>
      <c r="I3" s="29"/>
      <c r="J3" s="29">
        <v>1</v>
      </c>
      <c r="K3" s="29" t="s">
        <v>39</v>
      </c>
      <c r="L3" s="31" t="s">
        <v>57</v>
      </c>
      <c r="M3" s="31" t="s">
        <v>32</v>
      </c>
      <c r="N3" s="31" t="s">
        <v>30</v>
      </c>
      <c r="O3" s="31" t="s">
        <v>30</v>
      </c>
      <c r="P3" s="31">
        <v>50</v>
      </c>
      <c r="Q3" s="78">
        <v>0.5</v>
      </c>
      <c r="R3" s="31">
        <v>0</v>
      </c>
      <c r="S3" s="31">
        <v>0.5</v>
      </c>
    </row>
    <row r="4" spans="1:19" ht="14.4" x14ac:dyDescent="0.3">
      <c r="A4" s="29" t="s">
        <v>107</v>
      </c>
      <c r="B4" s="29" t="s">
        <v>108</v>
      </c>
      <c r="C4" s="29" t="s">
        <v>95</v>
      </c>
      <c r="D4" s="29"/>
      <c r="E4" s="29">
        <v>1</v>
      </c>
      <c r="F4" s="29"/>
      <c r="G4" s="29"/>
      <c r="H4" s="29"/>
      <c r="I4" s="29"/>
      <c r="J4" s="29">
        <v>1</v>
      </c>
      <c r="K4" s="29" t="s">
        <v>39</v>
      </c>
      <c r="L4" s="31" t="s">
        <v>57</v>
      </c>
      <c r="M4" s="31" t="s">
        <v>40</v>
      </c>
      <c r="N4" s="31" t="s">
        <v>30</v>
      </c>
      <c r="O4" s="31" t="s">
        <v>30</v>
      </c>
      <c r="P4" s="31">
        <v>10</v>
      </c>
      <c r="Q4" s="78">
        <v>0.9</v>
      </c>
      <c r="R4" s="31">
        <v>0</v>
      </c>
      <c r="S4" s="31">
        <v>0.1</v>
      </c>
    </row>
    <row r="5" spans="1:19" ht="14.4" x14ac:dyDescent="0.3">
      <c r="A5" s="29" t="s">
        <v>98</v>
      </c>
      <c r="B5" s="29" t="s">
        <v>99</v>
      </c>
      <c r="C5" s="29" t="s">
        <v>95</v>
      </c>
      <c r="D5" s="29"/>
      <c r="E5" s="29"/>
      <c r="F5" s="29">
        <v>1</v>
      </c>
      <c r="G5" s="29"/>
      <c r="H5" s="29"/>
      <c r="I5" s="29"/>
      <c r="J5" s="29">
        <v>1</v>
      </c>
      <c r="K5" s="29" t="s">
        <v>100</v>
      </c>
      <c r="L5" s="31" t="s">
        <v>57</v>
      </c>
      <c r="M5" s="31" t="s">
        <v>62</v>
      </c>
      <c r="N5" s="31" t="s">
        <v>30</v>
      </c>
      <c r="O5" s="31" t="s">
        <v>30</v>
      </c>
      <c r="P5" s="31">
        <v>0</v>
      </c>
      <c r="Q5" s="78">
        <v>1</v>
      </c>
      <c r="R5" s="31">
        <v>0</v>
      </c>
      <c r="S5" s="31">
        <v>0</v>
      </c>
    </row>
    <row r="6" spans="1:19" ht="14.4" x14ac:dyDescent="0.3">
      <c r="A6" s="29" t="s">
        <v>111</v>
      </c>
      <c r="B6" s="29" t="s">
        <v>112</v>
      </c>
      <c r="C6" s="29" t="s">
        <v>95</v>
      </c>
      <c r="D6" s="29"/>
      <c r="E6" s="29">
        <v>1</v>
      </c>
      <c r="F6" s="29"/>
      <c r="G6" s="29"/>
      <c r="H6" s="29"/>
      <c r="I6" s="29"/>
      <c r="J6" s="29">
        <v>1</v>
      </c>
      <c r="K6" s="29" t="s">
        <v>56</v>
      </c>
      <c r="L6" s="31" t="s">
        <v>57</v>
      </c>
      <c r="M6" s="31" t="s">
        <v>45</v>
      </c>
      <c r="N6" s="31" t="s">
        <v>30</v>
      </c>
      <c r="O6" s="31" t="s">
        <v>30</v>
      </c>
      <c r="P6" s="31">
        <v>20</v>
      </c>
      <c r="Q6" s="78">
        <v>0.8</v>
      </c>
      <c r="R6" s="31">
        <v>0</v>
      </c>
      <c r="S6" s="31">
        <v>0.2</v>
      </c>
    </row>
    <row r="7" spans="1:19" ht="14.4" x14ac:dyDescent="0.3">
      <c r="A7" s="29" t="s">
        <v>117</v>
      </c>
      <c r="B7" s="29" t="s">
        <v>118</v>
      </c>
      <c r="C7" s="29" t="s">
        <v>95</v>
      </c>
      <c r="D7" s="29"/>
      <c r="E7" s="29">
        <v>1</v>
      </c>
      <c r="F7" s="29">
        <v>1</v>
      </c>
      <c r="G7" s="29"/>
      <c r="H7" s="29"/>
      <c r="I7" s="29"/>
      <c r="J7" s="29">
        <v>2</v>
      </c>
      <c r="K7" s="29" t="s">
        <v>56</v>
      </c>
      <c r="L7" s="31" t="s">
        <v>57</v>
      </c>
      <c r="M7" s="31" t="s">
        <v>41</v>
      </c>
      <c r="N7" s="31" t="s">
        <v>30</v>
      </c>
      <c r="O7" s="31" t="s">
        <v>30</v>
      </c>
      <c r="P7" s="31">
        <v>90</v>
      </c>
      <c r="Q7" s="78">
        <v>0.2</v>
      </c>
      <c r="R7" s="31">
        <v>0</v>
      </c>
      <c r="S7" s="31">
        <v>1.8</v>
      </c>
    </row>
    <row r="8" spans="1:19" ht="14.4" x14ac:dyDescent="0.3">
      <c r="A8" s="29" t="s">
        <v>109</v>
      </c>
      <c r="B8" s="29" t="s">
        <v>110</v>
      </c>
      <c r="C8" s="29" t="s">
        <v>95</v>
      </c>
      <c r="D8" s="29"/>
      <c r="E8" s="29"/>
      <c r="F8" s="29"/>
      <c r="G8" s="29"/>
      <c r="H8" s="29">
        <v>1</v>
      </c>
      <c r="I8" s="29"/>
      <c r="J8" s="29">
        <v>1</v>
      </c>
      <c r="K8" s="29" t="s">
        <v>73</v>
      </c>
      <c r="L8" s="31" t="s">
        <v>57</v>
      </c>
      <c r="M8" s="31" t="s">
        <v>40</v>
      </c>
      <c r="N8" s="31" t="s">
        <v>30</v>
      </c>
      <c r="O8" s="31" t="s">
        <v>30</v>
      </c>
      <c r="P8" s="31">
        <v>10</v>
      </c>
      <c r="Q8" s="78">
        <v>0.9</v>
      </c>
      <c r="R8" s="31">
        <v>0</v>
      </c>
      <c r="S8" s="31">
        <v>0.1</v>
      </c>
    </row>
    <row r="9" spans="1:19" ht="14.4" x14ac:dyDescent="0.3">
      <c r="A9" s="29" t="s">
        <v>125</v>
      </c>
      <c r="B9" s="29" t="s">
        <v>126</v>
      </c>
      <c r="C9" s="29" t="s">
        <v>95</v>
      </c>
      <c r="D9" s="29">
        <v>1</v>
      </c>
      <c r="E9" s="29">
        <v>1</v>
      </c>
      <c r="F9" s="29"/>
      <c r="G9" s="29"/>
      <c r="H9" s="29"/>
      <c r="I9" s="29"/>
      <c r="J9" s="29">
        <v>2</v>
      </c>
      <c r="K9" s="29" t="s">
        <v>56</v>
      </c>
      <c r="L9" s="31" t="s">
        <v>57</v>
      </c>
      <c r="M9" s="31" t="s">
        <v>36</v>
      </c>
      <c r="N9" s="31" t="s">
        <v>61</v>
      </c>
      <c r="O9" s="31" t="s">
        <v>36</v>
      </c>
      <c r="P9" s="31">
        <v>60</v>
      </c>
      <c r="Q9" s="78">
        <v>0.4</v>
      </c>
      <c r="R9" s="31">
        <v>0.4</v>
      </c>
      <c r="S9" s="31">
        <v>1.2</v>
      </c>
    </row>
    <row r="10" spans="1:19" ht="14.4" x14ac:dyDescent="0.3">
      <c r="A10" s="29" t="s">
        <v>101</v>
      </c>
      <c r="B10" s="29" t="s">
        <v>102</v>
      </c>
      <c r="C10" s="29" t="s">
        <v>95</v>
      </c>
      <c r="D10" s="29">
        <v>1</v>
      </c>
      <c r="E10" s="29"/>
      <c r="F10" s="29"/>
      <c r="G10" s="29"/>
      <c r="H10" s="29"/>
      <c r="I10" s="29"/>
      <c r="J10" s="29">
        <v>1</v>
      </c>
      <c r="K10" s="29" t="s">
        <v>73</v>
      </c>
      <c r="L10" s="31" t="s">
        <v>57</v>
      </c>
      <c r="M10" s="31" t="s">
        <v>32</v>
      </c>
      <c r="N10" s="31" t="s">
        <v>30</v>
      </c>
      <c r="O10" s="31" t="s">
        <v>30</v>
      </c>
      <c r="P10" s="31">
        <v>50</v>
      </c>
      <c r="Q10" s="78">
        <v>0.5</v>
      </c>
      <c r="R10" s="31">
        <v>0</v>
      </c>
      <c r="S10" s="31">
        <v>0.5</v>
      </c>
    </row>
    <row r="11" spans="1:19" ht="14.4" x14ac:dyDescent="0.3">
      <c r="A11" s="29" t="s">
        <v>119</v>
      </c>
      <c r="B11" s="29" t="s">
        <v>120</v>
      </c>
      <c r="C11" s="29" t="s">
        <v>95</v>
      </c>
      <c r="D11" s="29">
        <v>1</v>
      </c>
      <c r="E11" s="29"/>
      <c r="F11" s="29"/>
      <c r="G11" s="29"/>
      <c r="H11" s="29"/>
      <c r="I11" s="29"/>
      <c r="J11" s="29">
        <v>1</v>
      </c>
      <c r="K11" s="29" t="s">
        <v>100</v>
      </c>
      <c r="L11" s="31" t="s">
        <v>57</v>
      </c>
      <c r="M11" s="31" t="s">
        <v>62</v>
      </c>
      <c r="N11" s="31" t="s">
        <v>30</v>
      </c>
      <c r="O11" s="31" t="s">
        <v>30</v>
      </c>
      <c r="P11" s="31">
        <v>0</v>
      </c>
      <c r="Q11" s="78">
        <v>1</v>
      </c>
      <c r="R11" s="31">
        <v>0</v>
      </c>
      <c r="S11" s="31">
        <v>0</v>
      </c>
    </row>
    <row r="12" spans="1:19" ht="14.4" x14ac:dyDescent="0.3">
      <c r="A12" s="29" t="s">
        <v>103</v>
      </c>
      <c r="B12" s="29" t="s">
        <v>104</v>
      </c>
      <c r="C12" s="29" t="s">
        <v>95</v>
      </c>
      <c r="D12" s="29">
        <v>2</v>
      </c>
      <c r="E12" s="29"/>
      <c r="F12" s="29"/>
      <c r="G12" s="29"/>
      <c r="H12" s="29"/>
      <c r="I12" s="29"/>
      <c r="J12" s="29">
        <v>2</v>
      </c>
      <c r="K12" s="29" t="s">
        <v>56</v>
      </c>
      <c r="L12" s="31" t="s">
        <v>57</v>
      </c>
      <c r="M12" s="31" t="s">
        <v>41</v>
      </c>
      <c r="N12" s="31" t="s">
        <v>30</v>
      </c>
      <c r="O12" s="31" t="s">
        <v>30</v>
      </c>
      <c r="P12" s="31">
        <v>90</v>
      </c>
      <c r="Q12" s="78">
        <v>0.2</v>
      </c>
      <c r="R12" s="31">
        <v>0</v>
      </c>
      <c r="S12" s="31">
        <v>1.8</v>
      </c>
    </row>
    <row r="13" spans="1:19" ht="14.4" x14ac:dyDescent="0.3">
      <c r="A13" s="29" t="s">
        <v>197</v>
      </c>
      <c r="B13" s="29" t="s">
        <v>198</v>
      </c>
      <c r="C13" s="29" t="s">
        <v>152</v>
      </c>
      <c r="D13" s="29"/>
      <c r="E13" s="29"/>
      <c r="F13" s="29"/>
      <c r="G13" s="29"/>
      <c r="H13" s="29"/>
      <c r="I13" s="29">
        <v>1</v>
      </c>
      <c r="J13" s="29">
        <v>1</v>
      </c>
      <c r="K13" s="29" t="s">
        <v>56</v>
      </c>
      <c r="L13" s="31" t="s">
        <v>57</v>
      </c>
      <c r="M13" s="31" t="s">
        <v>41</v>
      </c>
      <c r="N13" s="31" t="s">
        <v>30</v>
      </c>
      <c r="O13" s="31" t="s">
        <v>30</v>
      </c>
      <c r="P13" s="31">
        <v>90</v>
      </c>
      <c r="Q13" s="78">
        <v>0.1</v>
      </c>
      <c r="R13" s="31">
        <v>0</v>
      </c>
      <c r="S13" s="31">
        <v>0.9</v>
      </c>
    </row>
    <row r="14" spans="1:19" ht="14.4" x14ac:dyDescent="0.3">
      <c r="A14" s="29" t="s">
        <v>123</v>
      </c>
      <c r="B14" s="29" t="s">
        <v>124</v>
      </c>
      <c r="C14" s="29" t="s">
        <v>95</v>
      </c>
      <c r="D14" s="29"/>
      <c r="E14" s="29"/>
      <c r="F14" s="29"/>
      <c r="G14" s="29"/>
      <c r="H14" s="29">
        <v>1</v>
      </c>
      <c r="I14" s="29"/>
      <c r="J14" s="29">
        <v>1</v>
      </c>
      <c r="K14" s="29" t="s">
        <v>65</v>
      </c>
      <c r="L14" s="31" t="s">
        <v>57</v>
      </c>
      <c r="M14" s="31" t="s">
        <v>41</v>
      </c>
      <c r="N14" s="31" t="s">
        <v>61</v>
      </c>
      <c r="O14" s="31" t="s">
        <v>36</v>
      </c>
      <c r="P14" s="31">
        <v>70</v>
      </c>
      <c r="Q14" s="78">
        <v>0.1</v>
      </c>
      <c r="R14" s="31">
        <v>0.2</v>
      </c>
      <c r="S14" s="31">
        <v>0.7</v>
      </c>
    </row>
    <row r="15" spans="1:19" ht="14.4" x14ac:dyDescent="0.3">
      <c r="A15" s="29" t="s">
        <v>150</v>
      </c>
      <c r="B15" s="29" t="s">
        <v>151</v>
      </c>
      <c r="C15" s="29" t="s">
        <v>152</v>
      </c>
      <c r="D15" s="29"/>
      <c r="E15" s="29"/>
      <c r="F15" s="29"/>
      <c r="G15" s="29">
        <v>1</v>
      </c>
      <c r="H15" s="29"/>
      <c r="I15" s="29"/>
      <c r="J15" s="29">
        <v>1</v>
      </c>
      <c r="K15" s="29" t="s">
        <v>56</v>
      </c>
      <c r="L15" s="31" t="s">
        <v>57</v>
      </c>
      <c r="M15" s="31" t="s">
        <v>41</v>
      </c>
      <c r="N15" s="31" t="s">
        <v>30</v>
      </c>
      <c r="O15" s="31" t="s">
        <v>30</v>
      </c>
      <c r="P15" s="31">
        <v>90</v>
      </c>
      <c r="Q15" s="78">
        <v>0.1</v>
      </c>
      <c r="R15" s="31">
        <v>0</v>
      </c>
      <c r="S15" s="31">
        <v>0.9</v>
      </c>
    </row>
    <row r="16" spans="1:19" ht="14.4" x14ac:dyDescent="0.3">
      <c r="A16" s="29" t="s">
        <v>113</v>
      </c>
      <c r="B16" s="29" t="s">
        <v>114</v>
      </c>
      <c r="C16" s="29" t="s">
        <v>95</v>
      </c>
      <c r="D16" s="29"/>
      <c r="E16" s="29"/>
      <c r="F16" s="29"/>
      <c r="G16" s="29"/>
      <c r="H16" s="29"/>
      <c r="I16" s="29">
        <v>1</v>
      </c>
      <c r="J16" s="29">
        <v>1</v>
      </c>
      <c r="K16" s="29" t="s">
        <v>100</v>
      </c>
      <c r="L16" s="31" t="s">
        <v>57</v>
      </c>
      <c r="M16" s="31" t="s">
        <v>62</v>
      </c>
      <c r="N16" s="31" t="s">
        <v>30</v>
      </c>
      <c r="O16" s="31" t="s">
        <v>30</v>
      </c>
      <c r="P16" s="31">
        <v>0</v>
      </c>
      <c r="Q16" s="78">
        <v>1</v>
      </c>
      <c r="R16" s="31">
        <v>0</v>
      </c>
      <c r="S16" s="31">
        <v>0</v>
      </c>
    </row>
    <row r="17" spans="1:19" ht="14.4" x14ac:dyDescent="0.3">
      <c r="A17" s="29" t="s">
        <v>105</v>
      </c>
      <c r="B17" s="29" t="s">
        <v>106</v>
      </c>
      <c r="C17" s="29" t="s">
        <v>95</v>
      </c>
      <c r="D17" s="29"/>
      <c r="E17" s="29"/>
      <c r="F17" s="29">
        <v>1</v>
      </c>
      <c r="G17" s="29"/>
      <c r="H17" s="29"/>
      <c r="I17" s="29"/>
      <c r="J17" s="29">
        <v>1</v>
      </c>
      <c r="K17" s="19" t="s">
        <v>100</v>
      </c>
      <c r="L17" s="25" t="s">
        <v>57</v>
      </c>
      <c r="M17" s="73" t="s">
        <v>32</v>
      </c>
      <c r="N17" s="74" t="s">
        <v>30</v>
      </c>
      <c r="O17" s="75" t="s">
        <v>30</v>
      </c>
      <c r="P17" s="76">
        <v>50</v>
      </c>
      <c r="Q17" s="79">
        <v>0.5</v>
      </c>
      <c r="R17" s="80">
        <v>0</v>
      </c>
      <c r="S17" s="77">
        <v>0.5</v>
      </c>
    </row>
    <row r="18" spans="1:19" x14ac:dyDescent="0.25">
      <c r="A18" s="26" t="s">
        <v>96</v>
      </c>
      <c r="B18" s="26" t="s">
        <v>97</v>
      </c>
      <c r="C18" s="27" t="s">
        <v>95</v>
      </c>
      <c r="D18" s="26">
        <v>1</v>
      </c>
      <c r="E18" s="26"/>
      <c r="F18" s="26"/>
      <c r="G18" s="26"/>
      <c r="H18" s="26"/>
      <c r="I18" s="26"/>
      <c r="J18" s="24">
        <v>1</v>
      </c>
      <c r="K18" s="19" t="s">
        <v>56</v>
      </c>
      <c r="L18" s="25" t="s">
        <v>46</v>
      </c>
      <c r="M18" s="81" t="s">
        <v>41</v>
      </c>
      <c r="N18" s="82" t="s">
        <v>57</v>
      </c>
      <c r="O18" s="81" t="s">
        <v>45</v>
      </c>
      <c r="P18" s="76">
        <v>10</v>
      </c>
      <c r="Q18" s="79">
        <v>0.1</v>
      </c>
      <c r="R18" s="80">
        <v>0.8</v>
      </c>
      <c r="S18" s="77">
        <v>0.1</v>
      </c>
    </row>
    <row r="19" spans="1:19" ht="14.4" x14ac:dyDescent="0.3">
      <c r="A19" s="29" t="s">
        <v>199</v>
      </c>
      <c r="B19" s="29" t="s">
        <v>200</v>
      </c>
      <c r="C19" s="29" t="s">
        <v>152</v>
      </c>
      <c r="D19" s="30"/>
      <c r="E19" s="30"/>
      <c r="F19" s="30"/>
      <c r="G19" s="30"/>
      <c r="H19" s="30"/>
      <c r="I19" s="30">
        <v>1</v>
      </c>
      <c r="J19" s="30">
        <v>1</v>
      </c>
      <c r="K19" s="30" t="s">
        <v>201</v>
      </c>
      <c r="L19" s="31" t="s">
        <v>202</v>
      </c>
      <c r="M19" s="31" t="s">
        <v>41</v>
      </c>
      <c r="N19" s="31" t="s">
        <v>57</v>
      </c>
      <c r="O19" s="31" t="s">
        <v>41</v>
      </c>
      <c r="P19" s="31">
        <v>80</v>
      </c>
      <c r="Q19" s="31">
        <v>0.1</v>
      </c>
      <c r="R19" s="78">
        <v>0.1</v>
      </c>
      <c r="S19" s="31">
        <v>0.8</v>
      </c>
    </row>
    <row r="20" spans="1:19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/>
      <c r="O20" s="21"/>
      <c r="P20" s="22"/>
      <c r="Q20" s="86">
        <f>SUM(Q2:Q17,R18:R19)</f>
        <v>9.2000000000000011</v>
      </c>
      <c r="R20" s="86"/>
      <c r="S20" s="28"/>
    </row>
  </sheetData>
  <mergeCells count="1">
    <mergeCell ref="Q20:R20"/>
  </mergeCells>
  <pageMargins left="0.39370078740157483" right="0.39370078740157483" top="0.39370078740157483" bottom="0.39370078740157483" header="0.31496062992125984" footer="0.31496062992125984"/>
  <pageSetup paperSize="9" scale="91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zoomScaleNormal="100" workbookViewId="0">
      <selection activeCell="B32" sqref="B3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127</v>
      </c>
      <c r="B3" s="5">
        <v>7.59</v>
      </c>
    </row>
    <row r="4" spans="1:2" x14ac:dyDescent="0.2">
      <c r="A4" s="4" t="s">
        <v>128</v>
      </c>
      <c r="B4" s="5">
        <v>0.01</v>
      </c>
    </row>
    <row r="5" spans="1:2" x14ac:dyDescent="0.2">
      <c r="A5" s="4" t="s">
        <v>4</v>
      </c>
      <c r="B5" s="5"/>
    </row>
    <row r="6" spans="1:2" x14ac:dyDescent="0.2">
      <c r="A6" s="4" t="s">
        <v>129</v>
      </c>
      <c r="B6" s="5">
        <v>1.44</v>
      </c>
    </row>
    <row r="7" spans="1:2" x14ac:dyDescent="0.2">
      <c r="A7" s="4" t="s">
        <v>128</v>
      </c>
      <c r="B7" s="5">
        <v>28.7</v>
      </c>
    </row>
    <row r="8" spans="1:2" x14ac:dyDescent="0.2">
      <c r="A8" s="4" t="s">
        <v>130</v>
      </c>
      <c r="B8" s="5"/>
    </row>
    <row r="9" spans="1:2" x14ac:dyDescent="0.2">
      <c r="A9" s="4" t="s">
        <v>129</v>
      </c>
      <c r="B9" s="5">
        <v>1</v>
      </c>
    </row>
    <row r="10" spans="1:2" x14ac:dyDescent="0.2">
      <c r="A10" s="4" t="s">
        <v>128</v>
      </c>
      <c r="B10" s="5">
        <v>18.559999999999999</v>
      </c>
    </row>
    <row r="11" spans="1:2" x14ac:dyDescent="0.2">
      <c r="A11" s="4" t="s">
        <v>131</v>
      </c>
      <c r="B11" s="5">
        <v>4450</v>
      </c>
    </row>
    <row r="12" spans="1:2" x14ac:dyDescent="0.2">
      <c r="A12" s="4" t="s">
        <v>132</v>
      </c>
      <c r="B12" s="5"/>
    </row>
    <row r="13" spans="1:2" x14ac:dyDescent="0.2">
      <c r="A13" s="4" t="s">
        <v>129</v>
      </c>
      <c r="B13" s="5">
        <v>1.22</v>
      </c>
    </row>
    <row r="14" spans="1:2" x14ac:dyDescent="0.2">
      <c r="A14" s="4" t="s">
        <v>133</v>
      </c>
      <c r="B14" s="5">
        <v>4450</v>
      </c>
    </row>
    <row r="15" spans="1:2" x14ac:dyDescent="0.2">
      <c r="A15" s="4" t="s">
        <v>134</v>
      </c>
      <c r="B15" s="5"/>
    </row>
    <row r="16" spans="1:2" x14ac:dyDescent="0.2">
      <c r="A16" s="4" t="s">
        <v>135</v>
      </c>
      <c r="B16" s="5">
        <v>4450</v>
      </c>
    </row>
    <row r="17" spans="1:2" x14ac:dyDescent="0.2">
      <c r="A17" s="4" t="s">
        <v>136</v>
      </c>
      <c r="B17" s="5"/>
    </row>
    <row r="18" spans="1:2" x14ac:dyDescent="0.2">
      <c r="A18" s="4" t="s">
        <v>137</v>
      </c>
      <c r="B18" s="5">
        <v>1832.4</v>
      </c>
    </row>
    <row r="19" spans="1:2" x14ac:dyDescent="0.2">
      <c r="A19" s="4" t="s">
        <v>5</v>
      </c>
      <c r="B19" s="5"/>
    </row>
    <row r="20" spans="1:2" x14ac:dyDescent="0.2">
      <c r="A20" s="4" t="s">
        <v>138</v>
      </c>
      <c r="B20" s="5">
        <v>155.91</v>
      </c>
    </row>
    <row r="21" spans="1:2" x14ac:dyDescent="0.2">
      <c r="A21" s="4" t="s">
        <v>139</v>
      </c>
      <c r="B21" s="5">
        <v>1630.32</v>
      </c>
    </row>
    <row r="22" spans="1:2" x14ac:dyDescent="0.2">
      <c r="A22" s="4" t="s">
        <v>140</v>
      </c>
      <c r="B22" s="5">
        <v>1323.86</v>
      </c>
    </row>
    <row r="23" spans="1:2" x14ac:dyDescent="0.2">
      <c r="A23" s="4" t="s">
        <v>141</v>
      </c>
      <c r="B23" s="5">
        <v>3513.75</v>
      </c>
    </row>
    <row r="24" spans="1:2" x14ac:dyDescent="0.2">
      <c r="A24" s="4" t="s">
        <v>142</v>
      </c>
      <c r="B24" s="5">
        <v>1143.32</v>
      </c>
    </row>
    <row r="25" spans="1:2" x14ac:dyDescent="0.2">
      <c r="A25" s="4" t="s">
        <v>6</v>
      </c>
      <c r="B25" s="5"/>
    </row>
    <row r="26" spans="1:2" x14ac:dyDescent="0.2">
      <c r="A26" s="4" t="s">
        <v>143</v>
      </c>
      <c r="B26" s="5">
        <v>7717.5</v>
      </c>
    </row>
    <row r="27" spans="1:2" x14ac:dyDescent="0.2">
      <c r="A27" s="4" t="s">
        <v>144</v>
      </c>
      <c r="B27" s="5"/>
    </row>
    <row r="28" spans="1:2" x14ac:dyDescent="0.2">
      <c r="A28" s="4" t="s">
        <v>145</v>
      </c>
      <c r="B28" s="5">
        <v>81174.820000000007</v>
      </c>
    </row>
    <row r="29" spans="1:2" x14ac:dyDescent="0.2">
      <c r="A29" s="6" t="s">
        <v>2</v>
      </c>
      <c r="B29" s="7">
        <f>SUM(B3:B28)</f>
        <v>111900.40000000001</v>
      </c>
    </row>
    <row r="32" spans="1:2" x14ac:dyDescent="0.2">
      <c r="B32" s="83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700C-30AE-40D2-89FC-4434930D1170}">
  <dimension ref="A1:B12"/>
  <sheetViews>
    <sheetView workbookViewId="0">
      <selection activeCell="A16" sqref="A16"/>
    </sheetView>
  </sheetViews>
  <sheetFormatPr baseColWidth="10" defaultRowHeight="14.4" x14ac:dyDescent="0.3"/>
  <cols>
    <col min="1" max="1" width="165.10937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36" t="s">
        <v>173</v>
      </c>
      <c r="B2" s="37"/>
    </row>
    <row r="3" spans="1:2" x14ac:dyDescent="0.3">
      <c r="A3" s="38" t="s">
        <v>174</v>
      </c>
      <c r="B3">
        <v>4400</v>
      </c>
    </row>
    <row r="4" spans="1:2" x14ac:dyDescent="0.3">
      <c r="A4" s="36" t="s">
        <v>175</v>
      </c>
      <c r="B4" s="37"/>
    </row>
    <row r="5" spans="1:2" x14ac:dyDescent="0.3">
      <c r="A5" s="38" t="s">
        <v>176</v>
      </c>
      <c r="B5">
        <v>2303.4899999999998</v>
      </c>
    </row>
    <row r="6" spans="1:2" x14ac:dyDescent="0.3">
      <c r="A6" s="36" t="s">
        <v>177</v>
      </c>
      <c r="B6" s="37"/>
    </row>
    <row r="7" spans="1:2" x14ac:dyDescent="0.3">
      <c r="A7" s="38" t="s">
        <v>178</v>
      </c>
      <c r="B7">
        <v>3916</v>
      </c>
    </row>
    <row r="8" spans="1:2" x14ac:dyDescent="0.3">
      <c r="A8" s="36" t="s">
        <v>179</v>
      </c>
      <c r="B8" s="37"/>
    </row>
    <row r="9" spans="1:2" x14ac:dyDescent="0.3">
      <c r="A9" s="38" t="s">
        <v>180</v>
      </c>
      <c r="B9">
        <v>3916</v>
      </c>
    </row>
    <row r="10" spans="1:2" x14ac:dyDescent="0.3">
      <c r="A10" s="36" t="s">
        <v>7</v>
      </c>
      <c r="B10" s="37"/>
    </row>
    <row r="11" spans="1:2" x14ac:dyDescent="0.3">
      <c r="A11" s="38" t="s">
        <v>181</v>
      </c>
      <c r="B11">
        <v>5175</v>
      </c>
    </row>
    <row r="12" spans="1:2" x14ac:dyDescent="0.3">
      <c r="A12" s="39" t="s">
        <v>86</v>
      </c>
      <c r="B12" s="40">
        <v>19710.489999999998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620A-EF69-4B03-B738-18E7F7980DE8}">
  <dimension ref="A1:D10"/>
  <sheetViews>
    <sheetView workbookViewId="0">
      <selection activeCell="D10" sqref="C10:D10"/>
    </sheetView>
  </sheetViews>
  <sheetFormatPr baseColWidth="10" defaultRowHeight="14.4" x14ac:dyDescent="0.3"/>
  <cols>
    <col min="2" max="2" width="14.6640625" customWidth="1"/>
    <col min="3" max="3" width="58.109375" customWidth="1"/>
  </cols>
  <sheetData>
    <row r="1" spans="1:4" ht="15" thickBot="1" x14ac:dyDescent="0.35">
      <c r="A1" s="41" t="s">
        <v>182</v>
      </c>
      <c r="B1" s="42" t="s">
        <v>183</v>
      </c>
      <c r="C1" s="42" t="s">
        <v>184</v>
      </c>
      <c r="D1" s="43" t="s">
        <v>1</v>
      </c>
    </row>
    <row r="2" spans="1:4" ht="15" thickTop="1" x14ac:dyDescent="0.3">
      <c r="A2" s="44" t="s">
        <v>185</v>
      </c>
      <c r="B2" s="45" t="s">
        <v>186</v>
      </c>
      <c r="C2" s="45" t="s">
        <v>187</v>
      </c>
      <c r="D2" s="46">
        <v>8470</v>
      </c>
    </row>
    <row r="3" spans="1:4" ht="15" thickBot="1" x14ac:dyDescent="0.35">
      <c r="A3" s="47" t="s">
        <v>185</v>
      </c>
      <c r="B3" s="48" t="s">
        <v>188</v>
      </c>
      <c r="C3" s="48" t="s">
        <v>189</v>
      </c>
      <c r="D3" s="49">
        <v>19363.419999999998</v>
      </c>
    </row>
    <row r="4" spans="1:4" ht="15" thickTop="1" x14ac:dyDescent="0.3">
      <c r="A4" s="50" t="s">
        <v>2</v>
      </c>
      <c r="B4" s="51"/>
      <c r="C4" s="51"/>
      <c r="D4" s="52">
        <v>27833.42</v>
      </c>
    </row>
    <row r="7" spans="1:4" x14ac:dyDescent="0.3">
      <c r="D7" s="53"/>
    </row>
    <row r="10" spans="1:4" x14ac:dyDescent="0.3">
      <c r="C10" s="84" t="s">
        <v>203</v>
      </c>
      <c r="D10" s="85">
        <f>D4+'ingresos investigación 2020'!B12+'Ingresos investigación 2019'!B29</f>
        <v>159444.31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2022-10-18T15:21:12Z</dcterms:modified>
</cp:coreProperties>
</file>