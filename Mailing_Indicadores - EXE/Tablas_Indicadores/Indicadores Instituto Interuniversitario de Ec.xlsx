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Institutos\"/>
    </mc:Choice>
  </mc:AlternateContent>
  <xr:revisionPtr revIDLastSave="0" documentId="13_ncr:1_{EEBE0C6E-919B-4891-8104-BA12CF648D95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4" r:id="rId1"/>
    <sheet name="Sexenios" sheetId="5" r:id="rId2"/>
    <sheet name="Ingresos investigación 2019" sheetId="8" r:id="rId3"/>
    <sheet name="ingresos investigación 2020" sheetId="10" r:id="rId4"/>
    <sheet name="Ingresos investigación 2021" sheetId="12" r:id="rId5"/>
    <sheet name="Ingresos formación 2019" sheetId="9" r:id="rId6"/>
    <sheet name="ingresos formación 2020" sheetId="11" r:id="rId7"/>
    <sheet name="Ingresos formación 2021" sheetId="13" r:id="rId8"/>
  </sheets>
  <definedNames>
    <definedName name="_xlnm._FilterDatabase" localSheetId="1" hidden="1">Sexenios!$A$1:$S$36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7" i="5" l="1"/>
  <c r="T43" i="4" l="1"/>
  <c r="B19" i="9" l="1"/>
  <c r="D15" i="13" s="1"/>
  <c r="B58" i="8"/>
  <c r="D34" i="12" s="1"/>
</calcChain>
</file>

<file path=xl/sharedStrings.xml><?xml version="1.0" encoding="utf-8"?>
<sst xmlns="http://schemas.openxmlformats.org/spreadsheetml/2006/main" count="1190" uniqueCount="473">
  <si>
    <t>Orgánica
Descripción justificante</t>
  </si>
  <si>
    <t>Importe</t>
  </si>
  <si>
    <t>Total</t>
  </si>
  <si>
    <t>40.70.6C.00.06</t>
  </si>
  <si>
    <t>40.70.6C.00.09</t>
  </si>
  <si>
    <t>40.70.6C.00.21</t>
  </si>
  <si>
    <t>40.70.6C.00.22</t>
  </si>
  <si>
    <t>40.70.6M.00.05</t>
  </si>
  <si>
    <t>40.70.6P.00.08</t>
  </si>
  <si>
    <t>40.70.6P.00.09</t>
  </si>
  <si>
    <t>40.70.6X.00.02</t>
  </si>
  <si>
    <t>40.70.2T.00.01</t>
  </si>
  <si>
    <t>40.70.2T.00.02</t>
  </si>
  <si>
    <t>40.70.2T.00.03</t>
  </si>
  <si>
    <t>40.70.6G.00.01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</si>
  <si>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</si>
  <si>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</si>
  <si>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</si>
  <si>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</si>
  <si>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</si>
  <si>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</si>
  <si>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</si>
  <si>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</si>
  <si>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</si>
  <si>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</si>
  <si>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</si>
  <si>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</si>
  <si>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</si>
  <si>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</si>
  <si>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</si>
  <si>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</si>
  <si>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</si>
  <si>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</si>
  <si>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</si>
  <si>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</si>
  <si>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</si>
  <si>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</si>
  <si>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10.05</t>
  </si>
  <si>
    <t/>
  </si>
  <si>
    <t>Director de tesis </t>
  </si>
  <si>
    <t>U058 </t>
  </si>
  <si>
    <t>ADM. I.U. DE INVESTIGACIONES TURÍSTICAS </t>
  </si>
  <si>
    <t>DOCTORADO EN TURISMO </t>
  </si>
  <si>
    <t>10.17</t>
  </si>
  <si>
    <t>DOCTORADO EN DIRECCIÓN Y PLANIFICACIÓN DEL TURISMO </t>
  </si>
  <si>
    <t>U062 </t>
  </si>
  <si>
    <t>ADM. I.U. DE INVESTIGACIÓN INFORMÁTICA </t>
  </si>
  <si>
    <t>DOCTORADO EN INFORMÁTICA </t>
  </si>
  <si>
    <t>10.19</t>
  </si>
  <si>
    <t>50</t>
  </si>
  <si>
    <t>B113</t>
  </si>
  <si>
    <t>20</t>
  </si>
  <si>
    <t>B138 </t>
  </si>
  <si>
    <t>ANALISIS ECONOMICO APLICADO </t>
  </si>
  <si>
    <t>B138</t>
  </si>
  <si>
    <t>90</t>
  </si>
  <si>
    <t>29/06/2017 </t>
  </si>
  <si>
    <t>10</t>
  </si>
  <si>
    <t>U044 </t>
  </si>
  <si>
    <t>ADM. FACULTAD DE CIENCIAS DE LA SALUD </t>
  </si>
  <si>
    <t>DOCTORADO EN CIENCIAS DE LA SALUD </t>
  </si>
  <si>
    <t>80</t>
  </si>
  <si>
    <t>10.06</t>
  </si>
  <si>
    <t>25</t>
  </si>
  <si>
    <t>15</t>
  </si>
  <si>
    <t>B122 </t>
  </si>
  <si>
    <t>HUMANIDADES CONTEMPORANEAS </t>
  </si>
  <si>
    <t>B122</t>
  </si>
  <si>
    <t>U023 </t>
  </si>
  <si>
    <t>ADM. FACULTAD DE FILOSOFIA Y LETRAS </t>
  </si>
  <si>
    <t>DOCTORADO EN FILOSOFÍA Y LETRAS </t>
  </si>
  <si>
    <t>Jiménez Valiente, María Dolores </t>
  </si>
  <si>
    <t>LA ESCUELA PICTÓRICA DE TETUÁN: HISTORIA, DESARROLLO E IMPRONTA DEL ARTE MARROQUÍ CONTEMPORÁNEO </t>
  </si>
  <si>
    <t>18/06/2018 </t>
  </si>
  <si>
    <t>17695001C </t>
  </si>
  <si>
    <t>22122086L </t>
  </si>
  <si>
    <t>B134 </t>
  </si>
  <si>
    <t>ENFERMERIA </t>
  </si>
  <si>
    <t>B134</t>
  </si>
  <si>
    <t>Llorens Ivorra, Cristóbal </t>
  </si>
  <si>
    <t>VALIDACIÓN DE UN CUESTIONARIO PARA EVALUAR EL EQUILIBRIO ALIMENTARIO DE MENÚS ANTERIORES </t>
  </si>
  <si>
    <t>11/07/2017 </t>
  </si>
  <si>
    <t>Martínez Cánovas, Pablo </t>
  </si>
  <si>
    <t>IMPACTO DE LA INTERRELACIÓN ENFERMERA EN LA ATENCIÓN PROFESIONAL EN LA COMUNIDAD VALENCIANA </t>
  </si>
  <si>
    <t>28/07/2017 </t>
  </si>
  <si>
    <t>García Sanjuán, Sofia </t>
  </si>
  <si>
    <t>LA VIDA TRAS EL DIAGNÓSTICO DE LA ENFERMEDAD DE CROHN </t>
  </si>
  <si>
    <t>16/06/2017 </t>
  </si>
  <si>
    <t>Bellod Guillen, Jose Miguel </t>
  </si>
  <si>
    <t>DESARROLLO DE UN SISTEMA DE TRIAJE DE URGENCIAS ESCALABLE, REPRODUCIBLE Y CON INTEROPERABILIDAD SEMÁNTICA </t>
  </si>
  <si>
    <t>30/06/2017 </t>
  </si>
  <si>
    <t>Cano Climent, Antoni </t>
  </si>
  <si>
    <t>EVOLUCIÓN DE LA FATIGA EN MADRES Y PADRES DURANTE LOS DOS PRIMEROS AÑOS TRAS EL NACIMIENTO DE UNA HIJO O UN HIJO </t>
  </si>
  <si>
    <t>08/09/2017 </t>
  </si>
  <si>
    <t>B119 </t>
  </si>
  <si>
    <t>FUNDAMENTOS DEL ANÁLISIS ECONÓMICO </t>
  </si>
  <si>
    <t>DOCTORADO EN ECONOMÍA </t>
  </si>
  <si>
    <t>Núñez Romero, María </t>
  </si>
  <si>
    <t>LA PERCEPCIÓN EMPRESARIAL DEL PROCESO INNOVADOR: EL PAPEL DE LA COOPERACIÓN CON CENTROS TECNOLÓGICOS ESPAÑOLES </t>
  </si>
  <si>
    <t>26/03/2019 </t>
  </si>
  <si>
    <t>21418619F </t>
  </si>
  <si>
    <t>B152</t>
  </si>
  <si>
    <t>22630445D </t>
  </si>
  <si>
    <t>B170 </t>
  </si>
  <si>
    <t>ENFERMERÍA COMUNITARIA, MEDICINA PREVENTIVA Y SALUD PÚBLICA </t>
  </si>
  <si>
    <t>B170</t>
  </si>
  <si>
    <t>Tormo Santamaria, Maria </t>
  </si>
  <si>
    <t>EDUCACIÓN, POLÍTICAS DE ALIMENTACIÓN, NUTRICIÓN Y SALUD PÚBLICA EN ESPAÑA: LA ACCIÓN SOCIAL Y EDUCATIVA DEL PROGRAMA EDALNU (1961-1996) </t>
  </si>
  <si>
    <t>26/09/2018 </t>
  </si>
  <si>
    <t>21677876P </t>
  </si>
  <si>
    <t>74420019T </t>
  </si>
  <si>
    <t>22529387J </t>
  </si>
  <si>
    <t>B173 </t>
  </si>
  <si>
    <t>ANÁLISIS GEOGRÁFICO REGIONAL Y GEOGRAFÍA FÍSICA </t>
  </si>
  <si>
    <t>B173</t>
  </si>
  <si>
    <t>25126276H </t>
  </si>
  <si>
    <t>70</t>
  </si>
  <si>
    <t>Aguirregoitia Martínez, Ainhoa </t>
  </si>
  <si>
    <t>LA GASTRONOMÍA EN ESPAÑA: COMUNICACIÓN, MODERNIDAD E HISTORIA (1876-1936) </t>
  </si>
  <si>
    <t>20/06/2017 </t>
  </si>
  <si>
    <t>21423152D </t>
  </si>
  <si>
    <t>B175 </t>
  </si>
  <si>
    <t>COMUNICACIÓN Y PSICOLOGÍA SOCIAL </t>
  </si>
  <si>
    <t>B175</t>
  </si>
  <si>
    <t>B158 </t>
  </si>
  <si>
    <t>LENGUAJES Y SISTEMAS INFORMÁTICOS </t>
  </si>
  <si>
    <t>DOCTORADO EN APLICACIONES DE LA INFORMÁTICA </t>
  </si>
  <si>
    <t>Sánchez Gordón, Sandra Patricia </t>
  </si>
  <si>
    <t>DESARROLLO DE UN PROCESO DE IMPLEMENTACIÓN DE CURSOS EN LÍNEA MASIVOS Y ABIERTOS ACCESIBLES </t>
  </si>
  <si>
    <t>02/05/2017 </t>
  </si>
  <si>
    <t>21513360B </t>
  </si>
  <si>
    <t>B158</t>
  </si>
  <si>
    <t>Calle Jiménez, Tania Elizabeth </t>
  </si>
  <si>
    <t>APORTACIONES TÉCNICAS Y PEDAGÓGICAS A LA CREACIÓN DE MAPAS DE LÍNEA ACCESIBLES </t>
  </si>
  <si>
    <t>Navarrete Rueda, Rosa del Carmen </t>
  </si>
  <si>
    <t>APLICACIÓN DE LA EXPERIENCIA DE USUARIO ACCESIBLE EN ENTORNOS WEB DE RECURSOS EDUCATIVOS ABIERTOS </t>
  </si>
  <si>
    <t>Peñafiel Aguilar, Mirian Guadalupe </t>
  </si>
  <si>
    <t>APORTACIONES PARA LA MEJORA DE LA EDUCACIÓN VIRTUAL EN LA ENSEÑANZA DE LA INGENIERÍA </t>
  </si>
  <si>
    <t>16/02/2018 </t>
  </si>
  <si>
    <t>Candela Romero, Gustavo </t>
  </si>
  <si>
    <t>PUBLICACIÓN Y ENRIQUECIMIENTO SEMÁNTICO DE DATOS ABIERTOS EN BIBLIOTECAS DIGITALES </t>
  </si>
  <si>
    <t>02/07/2019 </t>
  </si>
  <si>
    <t>21395951V </t>
  </si>
  <si>
    <t>B176 </t>
  </si>
  <si>
    <t>SOCIOLOGÍA II </t>
  </si>
  <si>
    <t>B176</t>
  </si>
  <si>
    <t>10.22</t>
  </si>
  <si>
    <t>Mateos García, José Tomás </t>
  </si>
  <si>
    <t>MODELO DE SUSTENTADOR MASCULINO: APROXIMACIÓN CONCEPTUAL Y EMPÍRICA PARA LA SALUD </t>
  </si>
  <si>
    <t>16/09/2019 </t>
  </si>
  <si>
    <t>33492987L </t>
  </si>
  <si>
    <t>10.23</t>
  </si>
  <si>
    <t>B114</t>
  </si>
  <si>
    <t>10.25</t>
  </si>
  <si>
    <t>B154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</si>
  <si>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</si>
  <si>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</si>
  <si>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</si>
  <si>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</si>
  <si>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</si>
  <si>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</si>
  <si>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</si>
  <si>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</si>
  <si>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</si>
  <si>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</si>
  <si>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</si>
  <si>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</si>
  <si>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</si>
  <si>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</si>
  <si>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74219671M</t>
  </si>
  <si>
    <t>GIL MACIA, LORENZO</t>
  </si>
  <si>
    <t>21479315Y</t>
  </si>
  <si>
    <t>SANCHEZ SANCHEZ, ANGEL</t>
  </si>
  <si>
    <t>45567523S</t>
  </si>
  <si>
    <t>TORREGROSA MARTI, MARIA TERESA</t>
  </si>
  <si>
    <t>21407194J</t>
  </si>
  <si>
    <t>ALCARAZ RAMOS, MANUEL FRANCISCO</t>
  </si>
  <si>
    <t>74149704G</t>
  </si>
  <si>
    <t>ESCUDERO GUTIERREZ, ANTONIO</t>
  </si>
  <si>
    <t>48316322S</t>
  </si>
  <si>
    <t>FERNANDEZ SIRVENT, RAFAEL</t>
  </si>
  <si>
    <t>X1299790Z</t>
  </si>
  <si>
    <t>21434053P</t>
  </si>
  <si>
    <t>LAFUENTE SANCHEZ, RAUL</t>
  </si>
  <si>
    <t>22457885H</t>
  </si>
  <si>
    <t>LAGUNA PEREZ, ANA</t>
  </si>
  <si>
    <t>21507330F</t>
  </si>
  <si>
    <t>LOPEZ-TARRUELLA MARTINEZ, AURELIO</t>
  </si>
  <si>
    <t>17695001C</t>
  </si>
  <si>
    <t>MARTINEZ PRADES, JOSE ANTONIO</t>
  </si>
  <si>
    <t>21490998M</t>
  </si>
  <si>
    <t>ORTIZ DIAZ-GUERRA, MARIA JESUS</t>
  </si>
  <si>
    <t>21648758P</t>
  </si>
  <si>
    <t>PASTOR SEMPERE, MARIA DEL CARMEN</t>
  </si>
  <si>
    <t>22122086L</t>
  </si>
  <si>
    <t>RICHART MARTINEZ, MIGUEL</t>
  </si>
  <si>
    <t>21494190T</t>
  </si>
  <si>
    <t>SIMON PEREZ, HIPOLITO JOSE</t>
  </si>
  <si>
    <t>21677876P</t>
  </si>
  <si>
    <t>TRESCASTRO LOPEZ, EVA MARIA</t>
  </si>
  <si>
    <t>53238057A</t>
  </si>
  <si>
    <t>LOPEZ LLOPIS, ESTEFANIA</t>
  </si>
  <si>
    <t>25126276H</t>
  </si>
  <si>
    <t>IVARS BAIDAL, JOSEP ANTONI</t>
  </si>
  <si>
    <t>21468028N</t>
  </si>
  <si>
    <t>LILLO BAÑULS, ADELAIDA</t>
  </si>
  <si>
    <t>21487688F</t>
  </si>
  <si>
    <t>74176634R</t>
  </si>
  <si>
    <t>VERA REBOLLO, JOSE FERNANDO</t>
  </si>
  <si>
    <t>52779604D</t>
  </si>
  <si>
    <t>LA PARRA CASADO, DANIEL</t>
  </si>
  <si>
    <t>21499146B</t>
  </si>
  <si>
    <t>PAPI GALVEZ, NATALIA</t>
  </si>
  <si>
    <t>33475454N</t>
  </si>
  <si>
    <t>CASADO DIAZ, JOSE MANUEL</t>
  </si>
  <si>
    <t>21423152D</t>
  </si>
  <si>
    <t>FERNANDEZ POYATOS, MARIA DOLORES</t>
  </si>
  <si>
    <t>21478044T</t>
  </si>
  <si>
    <t>FUENTES PASCUAL, RAMON</t>
  </si>
  <si>
    <t>21643754H</t>
  </si>
  <si>
    <t>TORRO GIL, LLUIS</t>
  </si>
  <si>
    <t>ASESORAMIENTO CIENTÍFICO-TÉCNICO ALTAMENTE ESPECIALIZADO SOBRE MATERIA FISCAL 6to. PAGO. MODIFICACIÓN CONTRATO 12/09/2018</t>
  </si>
  <si>
    <t xml:space="preserve">ASESORAMIENTO CIENTÍFICO-TÉCNICO ALTAMENTE ESPECIALIZADO SOBRE MATERIA FISCAL 7to. PAGO. MODIFICACIÓN CONTRATO 12/09/2018. </t>
  </si>
  <si>
    <t xml:space="preserve">ASESORAMIENTO CIENTÍFICO-TÉCNICO ALTAMENTE ESPECIALIZADO SOBRE MATERIA FISCAL. 5to. PAGO. MODIFICACIÓN CONTRATO </t>
  </si>
  <si>
    <t>REINTEGRO CUOTA PATRONAL CORRESPONDIENTE AL MES DE OCTUBRE DE 2019.</t>
  </si>
  <si>
    <t xml:space="preserve">Último pago 60%según contrato. Asesoría y renovación de Blog y las webs Alde.es y revecap.com.  ALDE1-19TPA. </t>
  </si>
  <si>
    <t>40.70.6C.00.24</t>
  </si>
  <si>
    <t>EXPEDIENTE: 100026101048 -- SEGUNDO PAGO - PARTICIPACIÓN Y ASESORAMIENTO EN RELACIÓN CON LA PERSPECTIVA ECONÓMICA EN EL ÁMBITO INMOBILIARIO DE LA VIVIENDA Y URBANO</t>
  </si>
  <si>
    <t>EXPEDIENTE: 100026101048  --  PRIMER PAGO - PARTICIPACIÓN Y ASESORAMIENTO EN RELACIÓN CON LA PERSPECTIVA ECONÓMICA EN EL AMBITO INMOBILIARIO DE LA VIVIENDA Y URBANO.</t>
  </si>
  <si>
    <t>40.70.6C.00.25</t>
  </si>
  <si>
    <t>ELABORACIÓN DE INFORME SEMESTRAL SOBRE LA SITUACIÓN DEL MERCADO INMOBILIARIO EN ESPAÑA (PRIMER PAGO)ELABORACIÓN DE INFORME SEMESTRAL SOBRE LA SITUACIÓN DEL MERCADO INMOBILIARIO EN ESPAÑA (PRIMER PAGO)</t>
  </si>
  <si>
    <t>ELABORACIÓN DE INFORME SEMESTRAL SOBRE LA SITUACIÓN DEL MERCADO INMOBILIARIO EN ESPAÑA (SEGUNDO PAGO)</t>
  </si>
  <si>
    <t>40.70.6C.00.26</t>
  </si>
  <si>
    <t>INFORME DE VIABILIDAD JURÍDICA Y ECONÓMICA DISEÑO EN TECNOLOGÍA BLOCKCHAIN DE LA HERRAMIENTA</t>
  </si>
  <si>
    <t>40.70.6C.00.27</t>
  </si>
  <si>
    <t>ELABORACIÓN PRESENTACIÓN DEL ANUARIO ECONÓMICA "LA ECONOMÍA ALICANTINA TRAS LA GRAN RECESIÓN"</t>
  </si>
  <si>
    <t>40.70.6C.00.28</t>
  </si>
  <si>
    <t xml:space="preserve">Creación Itinerario formativo de emprendimieno. Asesoramiento, mejoras tecnológicas y atención a problemas </t>
  </si>
  <si>
    <t>40.70.6C.00.29</t>
  </si>
  <si>
    <t xml:space="preserve">INFORME DE PREDICCIÓN DE INDICADORES INMOBILIARIOS 2019 (PEDIDO 4500008416) (1º PAGO 50%) </t>
  </si>
  <si>
    <t>INFORME DE PREDICCIÓN DE INDICADORES INMOBILIARIOS 2019 (PEDIDO 4500008416) (2º PAGO 30%)</t>
  </si>
  <si>
    <t>40.70.6C.00.30</t>
  </si>
  <si>
    <t>Asesoramiento y Asistencia Científico-Técnica por parte del grupo de investigación BAES para la organización y realización del hackatón "Hackachain en Blockchain"</t>
  </si>
  <si>
    <t>40.70.6C.00.31</t>
  </si>
  <si>
    <t xml:space="preserve">Realización de trabajos de edición de 6 módulos de videos, siendo cada módulo entre 5 y 10 videos de unos 5 minutos. </t>
  </si>
  <si>
    <t>JORNADAS VIRTUALES DEL INSTITUTO DE ECONOMÍA INTERNACIONAL.</t>
  </si>
  <si>
    <t xml:space="preserve">JORNADAS VIRTUALES INSTITUTO DE ECONOMÍA </t>
  </si>
  <si>
    <t>CURSO FORMACIÓN BLOCKCHAIN. MÓDULO 4. DESARROLLO FRONT-END</t>
  </si>
  <si>
    <t>CURSO FORMARCIÓN BLOCKCHAIN MÓDULO 3, HYPERLEDGER Y BLOCKCHAIN EMPRESARIALES</t>
  </si>
  <si>
    <t>40.70.6M.00.09</t>
  </si>
  <si>
    <t>SUBVENCIÓN UNIVERSIDAD DE ALICANTE  (HACIENDA Y MODELO ECONÓMICO  )</t>
  </si>
  <si>
    <t>40.70.6M.00.10</t>
  </si>
  <si>
    <t>MECENAZGO XXXIII JORNADAS DE ALICANTE SOBRE ECONOMÍA ESPAÑOLA</t>
  </si>
  <si>
    <t>40.70.6M.00.11</t>
  </si>
  <si>
    <t>IMPARTICIÓN DE FORMACIÓN EN VALORACIÓN INMOBILIARIA Y MERCADO INMOBILIARIO EUROPEO</t>
  </si>
  <si>
    <t>40.70.6M.00.12</t>
  </si>
  <si>
    <t>IMPARTICION DE 8 HORAS DE FORMACIÓN EN LAS SIGUIENTES ÁREAS: VALORACIÓN INMOBILIARIA, MERCADO INMOBILIARIO EUROPEO (PALOMA TALTAVULL, EL 24 DE ABRIL) Y MÉTODOS DE CONSTRUCCIÓN (ASUNCIÓN LÓPEZ, EL 8 DE ABRIL)</t>
  </si>
  <si>
    <t>40.70.6M.00.13</t>
  </si>
  <si>
    <t>MECENAZGO DE LAS XXXIV JORNADAS DE ALICANTE SOBRE ECONOMÍA ESPAÑOLA</t>
  </si>
  <si>
    <t>LIBERADOS EL 18/03/19. ANUALIDAD 2019 PROYECTOS I+D (PIA1) N EXPEDIENTE: PIA12017-1 -2 ANUALIDAD REFERENCIA: CSO2017-83787-P.  REF. ORDENANTE: 27402219310015466.</t>
  </si>
  <si>
    <t>FLIB 18/03/19. PROYECTOS I+D+I RETOS 2017. ANUAL 2019. UNIV2 PROYECTOS I+D RETOS (PIA13) N EXPEDIENTE: PIA132017-1 - 2 ANUALIDAD REFERENCI. REF. ORDENANTE: 27402219310014397.</t>
  </si>
  <si>
    <t>40.70.6P.00.10</t>
  </si>
  <si>
    <t>PARA EL PAGO DE LA ANUALIDAD 2019. PROYECTOS I+D (PIA 1) N EXPEDIENTE: PIA 12018 - 1 - 1 ANUALIDAD REFERENCIA: PGC2018 - 097817 - B -C33. REFERENCIA DEL ORDENANTE PARA EL BENEFICIARIO: 00173219310010751 - 2019/009206</t>
  </si>
  <si>
    <t>PARA PAGO ANUALIDAD 2019 CONVOCATORIA PGC 2018 PROYECTOS I+D ( PIA1) N EXPEDIENTE: PIA12018- 1-1 ANUALIDAD REFERENCIA : PGC2018 - 097817 - B - C3. REFERENCIA DEL ORDENANTE PARA EL BENEFICIARIO: 27402219310025613.</t>
  </si>
  <si>
    <t>40.70.6X.00.01</t>
  </si>
  <si>
    <t>RENTAL CAL 649656 BALANCE PAYMENT INVOICE 13.02.19. REF.BENEFICIARIO: HELADEF1DASJ360724093458719. LA OFICINA DE GESTIÓN DE PROYECTOS INTERNACIONALES INFORMA QUE SE TRATA DEL ÚLTIMO PAGO DEL PROYECTO RENTALCAL. INSTITUTO DE ECONOMÍA INTERNACIONAL.</t>
  </si>
  <si>
    <t>40.70.6X.00.03</t>
  </si>
  <si>
    <t>PRIMER PAGO PROYECTO MULTITRACES , COORDINADO POR LA PROFESORA OANA MADALINA.</t>
  </si>
  <si>
    <t>Liquidación 2 PLAN 9117 curso ''MÁSTER EN COMERCIO INTERNACIONAL'' ORDEN 5358</t>
  </si>
  <si>
    <t>Liquidación  PLAN 9116 curso ''EXPERTO EN COMERCIO INTERNACIONAL'' ORDEN 5378</t>
  </si>
  <si>
    <t>Liquidación  PLAN GB45 curso ''LES FINTECH EN EL SECTOR BANCARI TRADICIONAL'' ORDEN 5361</t>
  </si>
  <si>
    <t>Liquidación  PLAN GB46 curso ''NOVES TECNOLOGIES I INTERNALITZACIÓ'' ORDEN 5362</t>
  </si>
  <si>
    <t>Liquidación  PLAN GB71 curso ''BITCOIN, LA MONEDA EN LA ECONOMÍA DIGITAL CURSO 2018-19'' ORDEN 5488</t>
  </si>
  <si>
    <t>Liquidación  PLAN GB72 curso ''COMERCIO INTERNACIONAL Y NEGOCIOS EN CHINA'' ORDEN 5489</t>
  </si>
  <si>
    <t>Liquidación  PLAN GB74 curso ''ECONOMÍA COLABORATIVA: INNOVACIÓN, ÉXITO Y RETOS EN LA ERA AIRBNB I UBER'' ORDEN 5491</t>
  </si>
  <si>
    <t>Liquidación  PLAN GB76 curso ''INNOVACIÓN Y COMPETITIVIDAD DEL TURISMO'' ORDEN 5490</t>
  </si>
  <si>
    <t>Liquidación  PLAN GB84 curso ''TENDENCIAS, INNOVACIÓN Y SEGURIDAD EN LA ECONOMÍA GLOBALIZADA'' ORDEN 5492</t>
  </si>
  <si>
    <t>Liquidación  PLAN GC12 curso ''DESTINACIONS TURÍSTIQUES INTEL.LIGENTS'' ORDEN 5363</t>
  </si>
  <si>
    <t>Liquidación PLAN GE52 "Jornadas de Alicante sobre Economía Española"</t>
  </si>
  <si>
    <t>40.70.2T.00.09</t>
  </si>
  <si>
    <t>Liquidación PLAN 9116 "Experto en comercio internacional"</t>
  </si>
  <si>
    <t>Liquidación PLAN 9117 "Máster en Comercio Internacional"</t>
  </si>
  <si>
    <t>Quishpe Sinailin, Pablo David </t>
  </si>
  <si>
    <t>POBREZA Y VIVIENDA EN ECUADOR: TRES ANÁLISIS DESDE LA ECONOMÍA </t>
  </si>
  <si>
    <t>30/09/2019 </t>
  </si>
  <si>
    <t>21653610F </t>
  </si>
  <si>
    <t>Oruc , Mirza </t>
  </si>
  <si>
    <t>Comparative Analysis in Palliative Care Competencies </t>
  </si>
  <si>
    <t>27/07/2020 </t>
  </si>
  <si>
    <t>Femenia Serra, Francisco </t>
  </si>
  <si>
    <t>SMART TOURISM DESTINATIONS: A DEMAND-BASED APPROACH FOR IMPROVING LOCAL TOURISM MANAGENENT </t>
  </si>
  <si>
    <t>03/12/2019 </t>
  </si>
  <si>
    <t>Navarro Ruiz, Sandra </t>
  </si>
  <si>
    <t>"COMPORTAMIENTO INTRADESTINO DE LOS VISITANTES E IMPLICACIONES PARA LA GESTIÓN TURÍSTICA LOCAL. ESTUDIO DE LOS VISITANTES DE CRUCERO EN VALENCIA" </t>
  </si>
  <si>
    <t>10/12/2019 </t>
  </si>
  <si>
    <t>Escobar Esteban, María Pilar </t>
  </si>
  <si>
    <t>UN ENFOQUE MULTIDIMENSIONAL BASADO EN RDF PARA LA PUBLICACIÓN DE LINKED OPEN DATA </t>
  </si>
  <si>
    <t>07/07/2020 </t>
  </si>
  <si>
    <t>19838491W</t>
  </si>
  <si>
    <t>DESANTES REAL, MANUEL</t>
  </si>
  <si>
    <t>GRUMPEL, CLAUDIA GISELA</t>
  </si>
  <si>
    <t>RAMON RODRIGUEZ, ANA BELEN</t>
  </si>
  <si>
    <t>vivos</t>
  </si>
  <si>
    <t>21418619F</t>
  </si>
  <si>
    <t>MARTINEZ MORA, CARMEN</t>
  </si>
  <si>
    <t>21475142L</t>
  </si>
  <si>
    <t>FUSTER GARCIA, BEGOÑA LUCIA</t>
  </si>
  <si>
    <t>22630445D</t>
  </si>
  <si>
    <t>MARTINEZ RIERA, JOSE RAMON</t>
  </si>
  <si>
    <t>33486204K</t>
  </si>
  <si>
    <t>MARTINEZ GINER, LUIS ALFONSO</t>
  </si>
  <si>
    <t>B109</t>
  </si>
  <si>
    <t>47083217D</t>
  </si>
  <si>
    <t>MORENO IZQUIERDO, LUIS</t>
  </si>
  <si>
    <t>Martínez García, Alba </t>
  </si>
  <si>
    <t>Ambiente obesogénico: Barreras para mantener un peso saludable </t>
  </si>
  <si>
    <t>14/12/2020 </t>
  </si>
  <si>
    <t>Sarmiento Moscoso, Luis Santiago </t>
  </si>
  <si>
    <t>Tres estudios sobre la descomposición de las diferencias salariales regionales en Ecuador a lo largo de la distribución salarial </t>
  </si>
  <si>
    <t>06/09/2021 </t>
  </si>
  <si>
    <t>21494190T </t>
  </si>
  <si>
    <t>U036 </t>
  </si>
  <si>
    <t>ADM. FACULTAD DE CIENCIAS ECONÓMICAS </t>
  </si>
  <si>
    <t>DOCTORADO EN EMPRESA, ECONOMÍA Y SOCIEDAD </t>
  </si>
  <si>
    <t>Escandell Poveda, Raquel </t>
  </si>
  <si>
    <t>28/07/2021 </t>
  </si>
  <si>
    <t>21499146B </t>
  </si>
  <si>
    <t>Sáinz Ruiz, Pablo Alberto </t>
  </si>
  <si>
    <t>IDENTIFICACIÓN Y VALORACIÓN DE LOS ACTIVOS PARA LA SALUD. ANÁLISIS EPISTEMOLÓGICO Y MODELO DE MEDICIÓN </t>
  </si>
  <si>
    <t>14/01/2021 </t>
  </si>
  <si>
    <t>Martínez Martínez, Concepción </t>
  </si>
  <si>
    <t>Estigma de los profesionales de la salud hacia las pesonas con trastorno mental: Eficacia de una intervención de contactos. </t>
  </si>
  <si>
    <t>11/06/2021 </t>
  </si>
  <si>
    <t>San Onofre Bernat, Nadia </t>
  </si>
  <si>
    <t>CALIDAD DE LA DIETA DE LA POBLACIÓN ADULTA DE LA COMUNITAT VALENCIANA EN </t>
  </si>
  <si>
    <t>04/06/2021 </t>
  </si>
  <si>
    <t>Rodríguez Pallas, Ángel </t>
  </si>
  <si>
    <t>Agencias de viaje, convivencia del negocio online-offline. El impacto de las TIC, los cambios en los hábitos de consumo y la importancia del marketing relacional </t>
  </si>
  <si>
    <t>26/02/2021 </t>
  </si>
  <si>
    <t>Laidouni , Nouhad </t>
  </si>
  <si>
    <t>APROXIMACIÓN AL PAPEL DEL SISTEMA SANITARIO Y LOS FACTORES SOCIOCULTURALES EN EL FUNCIONAMIENTO DE LA DONACIÓN Y TRASPLANTE DE ÓRGANOS EN ARGELIA. </t>
  </si>
  <si>
    <t>24/02/2017 </t>
  </si>
  <si>
    <t>Celdran Bernabeu, Marco Antonio </t>
  </si>
  <si>
    <t>NUEVOS ESCENARIOS PARA LA PLANIFICACIÓN Y GESTIÓN DE LOS DESTINOS TURÍSTICOS. EL ENFOQUE DESTINOS TURÍSTICOS INTELIGENTES </t>
  </si>
  <si>
    <t>07/09/2018 </t>
  </si>
  <si>
    <t>74176634R </t>
  </si>
  <si>
    <t>Cabral Ghizoni de Sousa, Tarcita </t>
  </si>
  <si>
    <t>MODELO E COMPETITIVIDADE DE DESTINO TURÍSTICO INTELIGENTE </t>
  </si>
  <si>
    <t>10/04/2018 </t>
  </si>
  <si>
    <t>Moscoso Zea, Oswaldo Vicente </t>
  </si>
  <si>
    <t>A HYBRID INFRASTRUCTURE OF ENTREPRISE ARCHITECTURE AND BUSINESS INTELLIGENCE &amp; ANALYTICS TO EMPOWER KNOWLEGDE MANAGEMENT IN EDUCATION </t>
  </si>
  <si>
    <t>33475454N </t>
  </si>
  <si>
    <t>ASESORAMIENTO CIENTÍFICO ALTAMENTE ESPECIALIZADO SOBRE MATERIA FISCAL 9º PAGO. MODIFICACIÓN CONTRATO 12/09/2018</t>
  </si>
  <si>
    <t>ASESORAMIENTO CIENTIFICO-TECNICO ALTAMENTE ESPECIALIZADO SOBRE MATERIA FISCAL 10º PAGO. MODIFICIACIÓN CONTRATO 12/08/218. AURENASESORES1-17TPA</t>
  </si>
  <si>
    <t>ASESORAMIENTO CIENTÍFICO-TÉCNICO ALTAMENTE ESPECIALIZADO SOBRE MATERIA FISCAL 11 PAGO. MODIFICACIÓN CONTRATO 12/08/2018. AURENASESORES1-17TPA</t>
  </si>
  <si>
    <t>ASESORAMIENTO CIENTÍFICO-TÉCNICO ALTAMENTE ESPECIALIZADO SOBRE MATERIA FISCAL 8vo. PAGO. MODIFICACIÓN CONTRATO 12/08/2018. AURENASESORES1-17TPA</t>
  </si>
  <si>
    <t>INFORME DE PREDICCIÓN DE INDICADORES INMOBILIARIOS 2019 (PEDIDO 4500008416) (3º PAGO 20%)</t>
  </si>
  <si>
    <t>40.70.6C.00.33</t>
  </si>
  <si>
    <t>ELABORACIÓN DE INFORMES SOBRE LA SITUACIÓN DEL MERCADO INMOBILIARIO (1º PAGO) AEV1-20TPA</t>
  </si>
  <si>
    <t>ELABORACIÓN DE INFORMES SOBRE LA SITUACIÓN DEL MERCADO INMOBILIARIO (2º PAGO)</t>
  </si>
  <si>
    <t>40.70.6C.00.34</t>
  </si>
  <si>
    <t>REF: AYTOORIHUELA1-20TPA</t>
  </si>
  <si>
    <t>40.70.6C.00.35</t>
  </si>
  <si>
    <t>REF: AYTOORIHUELA2-20TPA</t>
  </si>
  <si>
    <t>40.70.6C.00.36</t>
  </si>
  <si>
    <t>ELABORACIÓN DE INFORME SEMESTRAL SOBRE LA SITUACIÓN DEL MERCADO INMOBILIARIO RESIDENCIAL DE LA PROVINCIA DE ALICANTE</t>
  </si>
  <si>
    <t>40.70.6C.00.37</t>
  </si>
  <si>
    <t xml:space="preserve">Servicio de asistencia técnica para la preparación de la documentación de licitación del contrato Escuela Infantil Municipal Orihuela Costa. AD: 2020.2.0013513.000  </t>
  </si>
  <si>
    <t>40.70.6C.00.38</t>
  </si>
  <si>
    <t>ELABORACIÓN DE UN MODELO DE PRECIOS RESIDENCIALES CAPAZ DE ESTIMAR VALORES FUTUROS</t>
  </si>
  <si>
    <t>40.70.6C.00.39</t>
  </si>
  <si>
    <t>Asesoramiento y Asistencia Científico-Técnica por parte del grupo de investigación BAES para la redacción de los estatutos de la cooperativa en constitución</t>
  </si>
  <si>
    <t>40.70.6C.00.40</t>
  </si>
  <si>
    <t xml:space="preserve">Colaboración, asesoramiento y elaboración de gráficos y realización de cuadros y estadísticas para el  "Informe sobre el estado de la protección de los animales de compañía en la Comunidad Valenciana". </t>
  </si>
  <si>
    <t>40.70.6C.00.41</t>
  </si>
  <si>
    <t>ELABORACIÓN ANÁLISIS DE NECESIDADES DE VIVIENDA PÚBLICA EN LA COMUNIDAD VALENCIANA REF: 2020015119SE-cm</t>
  </si>
  <si>
    <t>40.70.6C.00.42</t>
  </si>
  <si>
    <t>Estudio para detectar empresas, grupos de investigación y agentes que operan en el ámbito de la Inteligencia Artificial en la Comunidad Valenciana</t>
  </si>
  <si>
    <t>Liquidación Jornadas Virtuales organizadas por UNIMOOC - Instituto de Economía Internacional</t>
  </si>
  <si>
    <t xml:space="preserve">LIBERADOS EL 18/02/2020, ANUALIDAD 2020 PROYECTOS I+D (PIA 1) N EXPEDIENTE: PIA 12017-1-3 ANUALIDAD REFERENCIA:CSO2017-83787-P </t>
  </si>
  <si>
    <t>Reintegro cuota patronal duplicada octubre 2019</t>
  </si>
  <si>
    <t xml:space="preserve">FLIB.12/02/2020 PROYECTOS RETOS INVESTIGACIÓN 2017. ANUAL 2020 PROYECTOS I+D RETOS (PIA 13) N EXPEDIENTE: PIA 132017-1-3 ANUALIDAD REFERENCIA: CSO2017-86474-R. </t>
  </si>
  <si>
    <t xml:space="preserve">LIBERADOS EL 30/06/2020, ANUALIDAD 2020 PROYECTOS / I+D (PIA1) N EXPEDIENTE: PIA12018-1 - 2 ANUAL / IDAD REFERENCIA: PGC2018-097817-B-C33 / GOVT / </t>
  </si>
  <si>
    <t>40.70.6P.00.11</t>
  </si>
  <si>
    <t>RESOLUCIÓN CONCESIÓN DE FECHA 8 DE OCTUBRE DE 2020 SUBVENCIÓN AICO 2020 (INNOVACIÓN,UNIVERSIDADES,CIENCIA SOC.DIG)</t>
  </si>
  <si>
    <t>40.70.6S.00.07</t>
  </si>
  <si>
    <t>Abono parcial de la factura 19F1912S00004315 del justificante 2019/000038580 con jte. de abono 2020/A0004. Se compensa en el ADO 2020/00022420 -(AVORIS RETAIL..)</t>
  </si>
  <si>
    <t>SEGUNDO PAGO PROYECTO CRREM, COORDINADO POR LA PROFESORA PALOMA TALTAVULL.</t>
  </si>
  <si>
    <t xml:space="preserve">LIQUIDACIÓN DEL PLAN 9116 CURSO 2020-21 EXPERTO/A EN COMERCIO INTERNACIONAL. REFERENCIA:2020/9116 </t>
  </si>
  <si>
    <t>Plan 9115 Curso 2020-21 ESPECIALISTA EN COMERCIO INTERNACIONAL</t>
  </si>
  <si>
    <t>Plan 9117 2019/20 Master en comercio internacional</t>
  </si>
  <si>
    <t>Plan 9117 Curso 20120-21 Master en Economía Internacional</t>
  </si>
  <si>
    <t>Unidad</t>
  </si>
  <si>
    <t>Cód. org. aplic.</t>
  </si>
  <si>
    <t>Descripción justificante</t>
  </si>
  <si>
    <t>40.70</t>
  </si>
  <si>
    <t>Firma addenda AURENASESORES1-21TPA. Prestación de servicios de asesoramiento espacializado en materia fiscal. Segundo pago tras la firma del mismo.</t>
  </si>
  <si>
    <t>ASESORAMIENTO CIENTÍFICO-TÉCNICO ÁLTAMENTE ESPECIALIZADO SOBRE MATERIA FISCAL. 4º TRIMESTRE 2020. MODIFICACIÓN CONTRATO 12/08/2018.</t>
  </si>
  <si>
    <t>Firma addenda AURENASESORES1-21TPA. Prestación de servicios de asesoramiento espacializado en materia fiscal. Primer pago tras la firma del mismo.</t>
  </si>
  <si>
    <t xml:space="preserve">ELABORACIÓN DE UN MODELO DE PRECIOS RESIDENCIALES CAPAZ DE ESTIMAR VALORES FUTUROS (PAGO 2). </t>
  </si>
  <si>
    <t>REINTEGRO CUOTA PATRONAL CORRESPONDIENTE A AGOSTO DE 2021.</t>
  </si>
  <si>
    <t>REINTEGRO CUOTA PATRONAL CORRESPONDIENTE A OCTUBRE DE 2021.</t>
  </si>
  <si>
    <t>REINTEGRO CUOTA PATRONAL CORRESPONDIENTE A JULIO DE 2021.</t>
  </si>
  <si>
    <t>40.70.6C.00.43</t>
  </si>
  <si>
    <t>Elaboración de un dictamen sobre el régimen de tributación de las operaciones de reestructuración societaria.</t>
  </si>
  <si>
    <t>40.70.6C.00.44</t>
  </si>
  <si>
    <t>INFORME DE DELIMITACIÓN FUNCIONAL PARA UNA NUEVA LEGISLACIÓN SOBRE ÁREAS METROPOLITANAS EN LA COMUNIDAD VALENCIANA. 202107714SE-CM</t>
  </si>
  <si>
    <t>40.70.6C.00.46</t>
  </si>
  <si>
    <t>Primer pago de la Investigación "La precariedad laboral de las mujeres en España: nueva evidencia desde una perspectiva multidimensional". Informe Preliminar. Ref: IEF2-21TPA</t>
  </si>
  <si>
    <t>40.70.6C.00.47</t>
  </si>
  <si>
    <t>Contrato de asesoramiento y asistencia técnica establecido con la empresa Belagua Abogados Slp, cuyo título es "Asesoramiento periódico en materia mercantil y nuevas tecnologías"</t>
  </si>
  <si>
    <t>40.70.6C.00.48</t>
  </si>
  <si>
    <t>Dictamen sobre el régimen de tributación en el Impuesto sobre el Valor Añadido de las operaciones de arrendamiento de inmuebles.</t>
  </si>
  <si>
    <t>40.70.6C.00.49</t>
  </si>
  <si>
    <t xml:space="preserve">Emisión de informe: Título "evaluar si las actividades realizadas por las entidades de pago y de dinero electrónico por medio de sus agentes o distribuidores en un Estado miembro de acogida entran en el ámbito del derecho de establecimiento o de la libre prestación de servicios". </t>
  </si>
  <si>
    <t>40.70.6C.00.50</t>
  </si>
  <si>
    <t>Desarrollo de un software específico, informe descripctivo y manual de uso que facilite la implementación en la planta de producción.</t>
  </si>
  <si>
    <t>40.70.6C.00.51</t>
  </si>
  <si>
    <t>Scientific-technical consulting services for the project: "Sustainable and Innovative Knowledge Application for Tourism and other relevant topics for the Philippines Higher Education sector (SIKAT)</t>
  </si>
  <si>
    <t>40.70.6C.00.52</t>
  </si>
  <si>
    <t>INGRESO DE EXCEDENTE POR CAMBIO DE MONEDA AL REALIZAR INGRESO DE LOS JF's: 20210000000004728,20210000000004904, 20210000000004905, 20210000000004906: SE APLICA EL EXCEDENTE EN FUNCIÓN DE LA RETENCIÓN DE LA ORGÁNICA DE APLICACIÓN.</t>
  </si>
  <si>
    <t>INGRESO DE EXCEDENTE POR CAMBIO DE MONEDA AL REALIZAR INGRESO DE LOS JF: 20210000000005794 Y DE OTRO DE 2022 CUYA FACTURA TODAVÍA NO SE HA EMITIDO. SE APLICA EL EXCEDENTE EN FUNCIÓN DE LA RETENCIÓN DE LA ORGÁNICA DE APLICACIÓN.</t>
  </si>
  <si>
    <t>Estudios de estrategias de fijación de precios y tasas de ocupación para la empresa Space Next Door Singapore Pte Ltd, 2do pago</t>
  </si>
  <si>
    <t>Estudio de estrategías de fijación de precios y tasas de ocupación para la empresa Space Next Door Singapore Pte Ltd, 5to pago (modificación contrato)</t>
  </si>
  <si>
    <t>Estudio de estrategias de fijación de precios y tasas de ocupación para la empresa Space Next Door Singapore Pte Ltd, 3er pago.</t>
  </si>
  <si>
    <t>Estudio de estrategias de fijación de precios y tasas de ocupación.para la empresa Space Next Door Singapore Pte Ltd, 4to pago y último</t>
  </si>
  <si>
    <t>Estudio de estrategias de fijación de precios y tasas de ocupación para la empresa Space Next Door Singapore Pte Ltd, 1er pago</t>
  </si>
  <si>
    <t>40.70.6M.00.15</t>
  </si>
  <si>
    <t>Mecenazgo de las actividades de organización y realización de las XXXVI Jornadas de Alicante sobre Economía Española por el Instituto de Economía Internacional.</t>
  </si>
  <si>
    <t>40.70.6M.00.16</t>
  </si>
  <si>
    <t>MECENAZGO DE LAS ACTIVIDADES DE ORGANIZACIÓN Y REALIZACIÓN DE LA JORNADA "LA ESTRATEGIA DE FINANZAS DIGITALES DE LA UE: MICA Y DINERO DIGITAL"</t>
  </si>
  <si>
    <t>40.70.6M.00.17</t>
  </si>
  <si>
    <t>Mecenazgo de las actividades de organización y realización de XXXVI Jornadas de Alicante sobre Economía Española por la Universidad de Alicante. 4-5/11/2021</t>
  </si>
  <si>
    <t>RES. CONCESIÓN SUBVENCIONES PARA GRUPOSINVESTIGACIÓN CONSOLIDABLES AICO 2020 EN2021</t>
  </si>
  <si>
    <t>40.70.6P.00.12</t>
  </si>
  <si>
    <t>PID2020-114896RB-I00</t>
  </si>
  <si>
    <t>SEGUNDO PAGO PROYECTO MULTITRACES (INVESTIGADORA PPAL. OANA MADALINA), NO TIENE RETENCIÓN, SEGÚN INFORMAN DESDE LA OGPI</t>
  </si>
  <si>
    <t>Plan GB76_CURSO 2020-21_INNOVACIÓN Y COMPETITIVIDAD DEL TURISMO.</t>
  </si>
  <si>
    <t>Plan GC12_CURSO 2020-21_DESTINOS TURÍSTICOS INTELIGENTES.</t>
  </si>
  <si>
    <t>Plan GB74_CURSO 2020-21_ECONOMÍA COLABORATIVA: INNOVACIÓN, ÉXITO Y RETOS EN LA ERA DE AIRBNB Y UBER.</t>
  </si>
  <si>
    <t>Liqidación: JEE2021 - XXXVI Jornadas en Alicante sobre Economía Española, 2021. JI 2021-5987, 2021EXPADM2228</t>
  </si>
  <si>
    <t>Liqidación: JEE2021 - XXXVI Jornadas en Alicante sobre Economía Española, 2021. JI 2021-5857, 2021EXPADM2228</t>
  </si>
  <si>
    <t xml:space="preserve">Plan 9115, 2º Reconocimiento de derechos, Curso 2020-21 ESPECIALISTA EN COMERCIO INTERNACIONAL </t>
  </si>
  <si>
    <t xml:space="preserve">Plan 9115_Curso 2021-22_ESPECIALISTA EN COMERCIO INTERNACIONAL </t>
  </si>
  <si>
    <t>Plan 9117_Curso 2020-21_MASTER EN COMERCIO INTERNACIONAL. COMPLEMENTARIO AL JI2020/4976</t>
  </si>
  <si>
    <t xml:space="preserve">Plan 9117_Curso 2021-22_MÁSTER EN COMERCIO INTERNACIONAL					 </t>
  </si>
  <si>
    <t>40.70.2T.00.10</t>
  </si>
  <si>
    <t>Plan 9199_Curso 2021-22_Máster en Tributación.</t>
  </si>
  <si>
    <t>52814604D </t>
  </si>
  <si>
    <t>Radiografía del Seo en España: demanda laboral, sector empresarial y perfil profesional del posicionamiento web </t>
  </si>
  <si>
    <t>Simón Albert, Raquel </t>
  </si>
  <si>
    <t>Three empirical essays on daily residence-work mobility and labor market areas </t>
  </si>
  <si>
    <t>24/05/2022 </t>
  </si>
  <si>
    <t>Pastor Pomares, Francisco </t>
  </si>
  <si>
    <t>Acuerdos comerciales regionales (Estudio de caso sobre sus impactos y efectos bajo un modelo gravitacional) </t>
  </si>
  <si>
    <t>18/07/2022 </t>
  </si>
  <si>
    <t>74149704G </t>
  </si>
  <si>
    <t>Ibragimov , Khusen </t>
  </si>
  <si>
    <t>THE DETERMINANTS OF TOURISM DEMAND IN CENTRAL ASIA </t>
  </si>
  <si>
    <t>14/06/2022 </t>
  </si>
  <si>
    <t>21487688F </t>
  </si>
  <si>
    <t>Rucci , Ana Clara </t>
  </si>
  <si>
    <t>ACCESSIBLE TOURISM AND COMPETITIVENESS: ASSESSING DIFFERENT DIMENSIONS OF ACCESSIBILITY IN DESTINATIONS </t>
  </si>
  <si>
    <t>09/12/2021 </t>
  </si>
  <si>
    <t>47083217D </t>
  </si>
  <si>
    <t>COD DEP</t>
  </si>
  <si>
    <t>24509611Y</t>
  </si>
  <si>
    <t>SERRANO ESTRADA, LETICIA</t>
  </si>
  <si>
    <t>B184</t>
  </si>
  <si>
    <t>X5461382D</t>
  </si>
  <si>
    <t>DRIHA, OANA MADALINA</t>
  </si>
  <si>
    <t>Total ingresos investigación 2019, 2020 y 2021</t>
  </si>
  <si>
    <t>Total ingresos formación 2019, 2020 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</si>
</sst>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9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 textRotation="90" wrapText="1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2" borderId="0" xfId="5" applyFont="1" applyFill="1"/>
    <xf numFmtId="0" fontId="10" fillId="2" borderId="0" xfId="5" applyFont="1" applyFill="1" applyAlignment="1">
      <alignment horizontal="right"/>
    </xf>
    <xf numFmtId="0" fontId="10" fillId="0" borderId="0" xfId="5" applyFont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164" fontId="11" fillId="2" borderId="0" xfId="5" applyNumberFormat="1" applyFont="1" applyFill="1" applyBorder="1" applyAlignme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0" borderId="1" xfId="1" applyBorder="1"/>
    <xf numFmtId="0" fontId="3" fillId="4" borderId="2" xfId="1" applyFill="1" applyBorder="1"/>
    <xf numFmtId="0" fontId="12" fillId="6" borderId="1" xfId="0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left"/>
    </xf>
    <xf numFmtId="0" fontId="13" fillId="0" borderId="6" xfId="0" applyFont="1" applyBorder="1"/>
    <xf numFmtId="0" fontId="0" fillId="0" borderId="0" xfId="0" applyAlignment="1">
      <alignment horizontal="left" indent="1"/>
    </xf>
    <xf numFmtId="0" fontId="13" fillId="7" borderId="7" xfId="0" applyFont="1" applyFill="1" applyBorder="1" applyAlignment="1">
      <alignment horizontal="left"/>
    </xf>
    <xf numFmtId="0" fontId="13" fillId="7" borderId="7" xfId="0" applyFont="1" applyFill="1" applyBorder="1"/>
    <xf numFmtId="0" fontId="11" fillId="0" borderId="6" xfId="0" applyFont="1" applyBorder="1" applyAlignment="1">
      <alignment horizontal="left"/>
    </xf>
    <xf numFmtId="0" fontId="11" fillId="0" borderId="6" xfId="0" applyFont="1" applyBorder="1"/>
    <xf numFmtId="0" fontId="11" fillId="7" borderId="7" xfId="0" applyFont="1" applyFill="1" applyBorder="1" applyAlignment="1">
      <alignment horizontal="left"/>
    </xf>
    <xf numFmtId="0" fontId="11" fillId="7" borderId="7" xfId="0" applyFont="1" applyFill="1" applyBorder="1"/>
    <xf numFmtId="0" fontId="14" fillId="8" borderId="8" xfId="0" applyNumberFormat="1" applyFont="1" applyFill="1" applyBorder="1"/>
    <xf numFmtId="0" fontId="14" fillId="8" borderId="9" xfId="0" applyNumberFormat="1" applyFont="1" applyFill="1" applyBorder="1"/>
    <xf numFmtId="0" fontId="14" fillId="8" borderId="10" xfId="0" applyFont="1" applyFill="1" applyBorder="1" applyAlignment="1">
      <alignment horizontal="right"/>
    </xf>
    <xf numFmtId="0" fontId="0" fillId="9" borderId="11" xfId="0" applyNumberFormat="1" applyFont="1" applyFill="1" applyBorder="1"/>
    <xf numFmtId="0" fontId="0" fillId="9" borderId="12" xfId="0" applyFont="1" applyFill="1" applyBorder="1"/>
    <xf numFmtId="4" fontId="0" fillId="9" borderId="13" xfId="0" applyNumberFormat="1" applyFont="1" applyFill="1" applyBorder="1"/>
    <xf numFmtId="0" fontId="0" fillId="7" borderId="11" xfId="0" applyNumberFormat="1" applyFont="1" applyFill="1" applyBorder="1"/>
    <xf numFmtId="0" fontId="0" fillId="7" borderId="12" xfId="0" applyFont="1" applyFill="1" applyBorder="1"/>
    <xf numFmtId="4" fontId="0" fillId="7" borderId="13" xfId="0" applyNumberFormat="1" applyFont="1" applyFill="1" applyBorder="1"/>
    <xf numFmtId="0" fontId="14" fillId="8" borderId="14" xfId="0" applyFont="1" applyFill="1" applyBorder="1"/>
    <xf numFmtId="0" fontId="14" fillId="8" borderId="15" xfId="0" applyFont="1" applyFill="1" applyBorder="1"/>
    <xf numFmtId="4" fontId="14" fillId="8" borderId="16" xfId="0" applyNumberFormat="1" applyFont="1" applyFill="1" applyBorder="1"/>
    <xf numFmtId="0" fontId="14" fillId="8" borderId="17" xfId="0" applyNumberFormat="1" applyFont="1" applyFill="1" applyBorder="1"/>
    <xf numFmtId="0" fontId="14" fillId="8" borderId="18" xfId="0" applyNumberFormat="1" applyFont="1" applyFill="1" applyBorder="1"/>
    <xf numFmtId="0" fontId="14" fillId="8" borderId="19" xfId="0" applyNumberFormat="1" applyFont="1" applyFill="1" applyBorder="1"/>
    <xf numFmtId="0" fontId="0" fillId="7" borderId="17" xfId="0" applyNumberFormat="1" applyFont="1" applyFill="1" applyBorder="1"/>
    <xf numFmtId="0" fontId="0" fillId="7" borderId="18" xfId="0" applyFont="1" applyFill="1" applyBorder="1"/>
    <xf numFmtId="4" fontId="0" fillId="7" borderId="19" xfId="0" applyNumberFormat="1" applyFont="1" applyFill="1" applyBorder="1"/>
    <xf numFmtId="0" fontId="0" fillId="0" borderId="17" xfId="0" applyNumberFormat="1" applyFont="1" applyBorder="1"/>
    <xf numFmtId="0" fontId="0" fillId="0" borderId="18" xfId="0" applyFont="1" applyBorder="1"/>
    <xf numFmtId="4" fontId="0" fillId="0" borderId="19" xfId="0" applyNumberFormat="1" applyFont="1" applyBorder="1"/>
    <xf numFmtId="0" fontId="15" fillId="0" borderId="20" xfId="0" applyFont="1" applyBorder="1"/>
    <xf numFmtId="0" fontId="15" fillId="0" borderId="21" xfId="0" applyFont="1" applyBorder="1"/>
    <xf numFmtId="4" fontId="15" fillId="0" borderId="22" xfId="0" applyNumberFormat="1" applyFont="1" applyBorder="1"/>
    <xf numFmtId="165" fontId="3" fillId="4" borderId="1" xfId="1" applyNumberFormat="1" applyFill="1" applyBorder="1"/>
    <xf numFmtId="0" fontId="3" fillId="4" borderId="23" xfId="1" applyFill="1" applyBorder="1"/>
    <xf numFmtId="165" fontId="3" fillId="4" borderId="23" xfId="1" applyNumberFormat="1" applyFill="1" applyBorder="1"/>
    <xf numFmtId="0" fontId="3" fillId="4" borderId="23" xfId="1" applyFill="1" applyBorder="1" applyAlignment="1">
      <alignment horizontal="right"/>
    </xf>
    <xf numFmtId="1" fontId="3" fillId="4" borderId="23" xfId="1" applyNumberFormat="1" applyFill="1" applyBorder="1"/>
    <xf numFmtId="164" fontId="3" fillId="4" borderId="23" xfId="1" applyNumberFormat="1" applyFill="1" applyBorder="1"/>
    <xf numFmtId="0" fontId="3" fillId="4" borderId="24" xfId="1" applyFill="1" applyBorder="1"/>
    <xf numFmtId="165" fontId="3" fillId="4" borderId="24" xfId="1" applyNumberFormat="1" applyFill="1" applyBorder="1"/>
    <xf numFmtId="0" fontId="3" fillId="4" borderId="24" xfId="1" applyFill="1" applyBorder="1" applyAlignment="1">
      <alignment horizontal="right"/>
    </xf>
    <xf numFmtId="1" fontId="3" fillId="4" borderId="24" xfId="1" applyNumberFormat="1" applyFill="1" applyBorder="1"/>
    <xf numFmtId="164" fontId="3" fillId="4" borderId="24" xfId="1" applyNumberFormat="1" applyFill="1" applyBorder="1"/>
    <xf numFmtId="2" fontId="3" fillId="4" borderId="24" xfId="1" applyNumberFormat="1" applyFill="1" applyBorder="1"/>
    <xf numFmtId="2" fontId="3" fillId="4" borderId="1" xfId="1" applyNumberFormat="1" applyFill="1" applyBorder="1"/>
    <xf numFmtId="164" fontId="3" fillId="10" borderId="1" xfId="1" applyNumberFormat="1" applyFill="1" applyBorder="1"/>
    <xf numFmtId="0" fontId="3" fillId="10" borderId="1" xfId="1" applyFill="1" applyBorder="1"/>
    <xf numFmtId="164" fontId="3" fillId="10" borderId="23" xfId="1" applyNumberFormat="1" applyFill="1" applyBorder="1"/>
    <xf numFmtId="164" fontId="3" fillId="10" borderId="24" xfId="1" applyNumberForma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4" fontId="15" fillId="0" borderId="0" xfId="0" applyNumberFormat="1" applyFont="1"/>
    <xf numFmtId="0" fontId="15" fillId="0" borderId="0" xfId="0" applyFont="1" applyAlignment="1">
      <alignment horizontal="right"/>
    </xf>
    <xf numFmtId="0" fontId="0" fillId="10" borderId="1" xfId="0" applyFill="1" applyBorder="1" applyAlignment="1">
      <alignment horizontal="center"/>
    </xf>
    <xf numFmtId="164" fontId="4" fillId="10" borderId="25" xfId="1" applyNumberFormat="1" applyFont="1" applyFill="1" applyBorder="1" applyAlignment="1">
      <alignment horizontal="center"/>
    </xf>
    <xf numFmtId="164" fontId="11" fillId="10" borderId="1" xfId="5" applyNumberFormat="1" applyFont="1" applyFill="1" applyBorder="1" applyAlignment="1">
      <alignment horizontal="center"/>
    </xf>
    <xf numFmtId="0" fontId="11" fillId="10" borderId="1" xfId="5" applyFont="1" applyFill="1" applyBorder="1" applyAlignment="1">
      <alignment horizontal="center"/>
    </xf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3"/>
  <sheetViews>
    <sheetView showGridLines="0" tabSelected="1" topLeftCell="E1" zoomScale="120" zoomScaleNormal="120" workbookViewId="0">
      <selection activeCell="T43" sqref="T43:U43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5.33203125" style="14" customWidth="1"/>
    <col min="14" max="14" width="4.88671875" style="13" customWidth="1"/>
    <col min="15" max="15" width="5.3320312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5" x14ac:dyDescent="0.2">
      <c r="A1" s="8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8" t="s">
        <v>23</v>
      </c>
      <c r="J1" s="9" t="s">
        <v>24</v>
      </c>
      <c r="K1" s="8" t="s">
        <v>25</v>
      </c>
      <c r="L1" s="9" t="s">
        <v>26</v>
      </c>
      <c r="M1" s="10" t="s">
        <v>27</v>
      </c>
      <c r="N1" s="11" t="s">
        <v>28</v>
      </c>
      <c r="O1" s="12" t="s">
        <v>29</v>
      </c>
      <c r="P1" s="11" t="s">
        <v>30</v>
      </c>
      <c r="Q1" s="12" t="s">
        <v>31</v>
      </c>
      <c r="R1" s="11" t="s">
        <v>32</v>
      </c>
      <c r="S1" s="11" t="s">
        <v>33</v>
      </c>
      <c r="T1" s="11" t="s">
        <v>34</v>
      </c>
      <c r="U1" s="11" t="s">
        <v>35</v>
      </c>
    </row>
    <row r="2" spans="1:21" x14ac:dyDescent="0.2">
      <c r="A2" s="28" t="s">
        <v>124</v>
      </c>
      <c r="B2" s="28" t="s">
        <v>125</v>
      </c>
      <c r="C2" s="28" t="s">
        <v>126</v>
      </c>
      <c r="D2" s="28" t="s">
        <v>127</v>
      </c>
      <c r="E2" s="28" t="s">
        <v>128</v>
      </c>
      <c r="F2" s="28" t="s">
        <v>129</v>
      </c>
      <c r="G2" s="28" t="s">
        <v>130</v>
      </c>
      <c r="H2" s="28" t="s">
        <v>39</v>
      </c>
      <c r="I2" s="28" t="s">
        <v>124</v>
      </c>
      <c r="J2" s="28" t="s">
        <v>125</v>
      </c>
      <c r="K2" s="31">
        <v>1</v>
      </c>
      <c r="L2" s="28" t="s">
        <v>131</v>
      </c>
      <c r="M2" s="28">
        <v>2016</v>
      </c>
      <c r="N2" s="28" t="s">
        <v>62</v>
      </c>
      <c r="O2" s="29" t="s">
        <v>57</v>
      </c>
      <c r="P2" s="28" t="s">
        <v>48</v>
      </c>
      <c r="Q2" s="29" t="s">
        <v>51</v>
      </c>
      <c r="R2" s="30">
        <v>70</v>
      </c>
      <c r="S2" s="31">
        <v>0.7</v>
      </c>
      <c r="T2" s="84">
        <v>0.1</v>
      </c>
      <c r="U2" s="31">
        <v>0.2</v>
      </c>
    </row>
    <row r="3" spans="1:21" x14ac:dyDescent="0.2">
      <c r="A3" s="28" t="s">
        <v>124</v>
      </c>
      <c r="B3" s="28" t="s">
        <v>125</v>
      </c>
      <c r="C3" s="28" t="s">
        <v>126</v>
      </c>
      <c r="D3" s="28" t="s">
        <v>132</v>
      </c>
      <c r="E3" s="28" t="s">
        <v>133</v>
      </c>
      <c r="F3" s="28" t="s">
        <v>56</v>
      </c>
      <c r="G3" s="28" t="s">
        <v>130</v>
      </c>
      <c r="H3" s="28" t="s">
        <v>39</v>
      </c>
      <c r="I3" s="28" t="s">
        <v>124</v>
      </c>
      <c r="J3" s="28" t="s">
        <v>125</v>
      </c>
      <c r="K3" s="31">
        <v>1</v>
      </c>
      <c r="L3" s="28" t="s">
        <v>131</v>
      </c>
      <c r="M3" s="28">
        <v>2016</v>
      </c>
      <c r="N3" s="28" t="s">
        <v>62</v>
      </c>
      <c r="O3" s="29" t="s">
        <v>57</v>
      </c>
      <c r="P3" s="28" t="s">
        <v>48</v>
      </c>
      <c r="Q3" s="29" t="s">
        <v>51</v>
      </c>
      <c r="R3" s="30">
        <v>70</v>
      </c>
      <c r="S3" s="31">
        <v>0.7</v>
      </c>
      <c r="T3" s="84">
        <v>0.1</v>
      </c>
      <c r="U3" s="31">
        <v>0.2</v>
      </c>
    </row>
    <row r="4" spans="1:21" x14ac:dyDescent="0.2">
      <c r="A4" s="28" t="s">
        <v>58</v>
      </c>
      <c r="B4" s="28" t="s">
        <v>59</v>
      </c>
      <c r="C4" s="28" t="s">
        <v>60</v>
      </c>
      <c r="D4" s="28" t="s">
        <v>79</v>
      </c>
      <c r="E4" s="28" t="s">
        <v>80</v>
      </c>
      <c r="F4" s="28" t="s">
        <v>81</v>
      </c>
      <c r="G4" s="28" t="s">
        <v>75</v>
      </c>
      <c r="H4" s="28" t="s">
        <v>36</v>
      </c>
      <c r="I4" s="28" t="s">
        <v>76</v>
      </c>
      <c r="J4" s="28" t="s">
        <v>77</v>
      </c>
      <c r="K4" s="31">
        <v>0.5</v>
      </c>
      <c r="L4" s="28" t="s">
        <v>78</v>
      </c>
      <c r="M4" s="28">
        <v>2016</v>
      </c>
      <c r="N4" s="28" t="s">
        <v>62</v>
      </c>
      <c r="O4" s="29" t="s">
        <v>57</v>
      </c>
      <c r="P4" s="28" t="s">
        <v>38</v>
      </c>
      <c r="Q4" s="29" t="s">
        <v>38</v>
      </c>
      <c r="R4" s="30">
        <v>90</v>
      </c>
      <c r="S4" s="31">
        <v>0.45</v>
      </c>
      <c r="T4" s="84">
        <v>0.05</v>
      </c>
      <c r="U4" s="31">
        <v>0</v>
      </c>
    </row>
    <row r="5" spans="1:21" x14ac:dyDescent="0.2">
      <c r="A5" s="28" t="s">
        <v>58</v>
      </c>
      <c r="B5" s="28" t="s">
        <v>59</v>
      </c>
      <c r="C5" s="28" t="s">
        <v>60</v>
      </c>
      <c r="D5" s="28" t="s">
        <v>82</v>
      </c>
      <c r="E5" s="28" t="s">
        <v>83</v>
      </c>
      <c r="F5" s="28" t="s">
        <v>84</v>
      </c>
      <c r="G5" s="28" t="s">
        <v>75</v>
      </c>
      <c r="H5" s="28" t="s">
        <v>36</v>
      </c>
      <c r="I5" s="28" t="s">
        <v>76</v>
      </c>
      <c r="J5" s="28" t="s">
        <v>77</v>
      </c>
      <c r="K5" s="31">
        <v>0.5</v>
      </c>
      <c r="L5" s="28" t="s">
        <v>78</v>
      </c>
      <c r="M5" s="28">
        <v>2016</v>
      </c>
      <c r="N5" s="28" t="s">
        <v>62</v>
      </c>
      <c r="O5" s="29" t="s">
        <v>57</v>
      </c>
      <c r="P5" s="28" t="s">
        <v>38</v>
      </c>
      <c r="Q5" s="29" t="s">
        <v>38</v>
      </c>
      <c r="R5" s="30">
        <v>90</v>
      </c>
      <c r="S5" s="31">
        <v>0.45</v>
      </c>
      <c r="T5" s="84">
        <v>0.05</v>
      </c>
      <c r="U5" s="31">
        <v>0</v>
      </c>
    </row>
    <row r="6" spans="1:21" x14ac:dyDescent="0.2">
      <c r="A6" s="28" t="s">
        <v>58</v>
      </c>
      <c r="B6" s="28" t="s">
        <v>59</v>
      </c>
      <c r="C6" s="28" t="s">
        <v>60</v>
      </c>
      <c r="D6" s="28" t="s">
        <v>85</v>
      </c>
      <c r="E6" s="28" t="s">
        <v>86</v>
      </c>
      <c r="F6" s="28" t="s">
        <v>87</v>
      </c>
      <c r="G6" s="28" t="s">
        <v>75</v>
      </c>
      <c r="H6" s="28" t="s">
        <v>36</v>
      </c>
      <c r="I6" s="28" t="s">
        <v>76</v>
      </c>
      <c r="J6" s="28" t="s">
        <v>77</v>
      </c>
      <c r="K6" s="31">
        <v>0.33333333333333331</v>
      </c>
      <c r="L6" s="28" t="s">
        <v>78</v>
      </c>
      <c r="M6" s="28">
        <v>2016</v>
      </c>
      <c r="N6" s="28" t="s">
        <v>62</v>
      </c>
      <c r="O6" s="29" t="s">
        <v>57</v>
      </c>
      <c r="P6" s="28" t="s">
        <v>38</v>
      </c>
      <c r="Q6" s="29" t="s">
        <v>38</v>
      </c>
      <c r="R6" s="30">
        <v>90</v>
      </c>
      <c r="S6" s="31">
        <v>0.3</v>
      </c>
      <c r="T6" s="84">
        <v>3.3333333333333333E-2</v>
      </c>
      <c r="U6" s="31">
        <v>0</v>
      </c>
    </row>
    <row r="7" spans="1:21" x14ac:dyDescent="0.2">
      <c r="A7" s="28" t="s">
        <v>58</v>
      </c>
      <c r="B7" s="28" t="s">
        <v>59</v>
      </c>
      <c r="C7" s="28" t="s">
        <v>60</v>
      </c>
      <c r="D7" s="28" t="s">
        <v>88</v>
      </c>
      <c r="E7" s="28" t="s">
        <v>89</v>
      </c>
      <c r="F7" s="28" t="s">
        <v>90</v>
      </c>
      <c r="G7" s="28" t="s">
        <v>75</v>
      </c>
      <c r="H7" s="28" t="s">
        <v>36</v>
      </c>
      <c r="I7" s="28" t="s">
        <v>76</v>
      </c>
      <c r="J7" s="28" t="s">
        <v>77</v>
      </c>
      <c r="K7" s="31">
        <v>0.5</v>
      </c>
      <c r="L7" s="28" t="s">
        <v>78</v>
      </c>
      <c r="M7" s="28">
        <v>2016</v>
      </c>
      <c r="N7" s="28" t="s">
        <v>62</v>
      </c>
      <c r="O7" s="29" t="s">
        <v>57</v>
      </c>
      <c r="P7" s="28" t="s">
        <v>38</v>
      </c>
      <c r="Q7" s="29" t="s">
        <v>38</v>
      </c>
      <c r="R7" s="30">
        <v>90</v>
      </c>
      <c r="S7" s="31">
        <v>0.45</v>
      </c>
      <c r="T7" s="84">
        <v>0.05</v>
      </c>
      <c r="U7" s="31">
        <v>0</v>
      </c>
    </row>
    <row r="8" spans="1:21" x14ac:dyDescent="0.2">
      <c r="A8" s="28" t="s">
        <v>40</v>
      </c>
      <c r="B8" s="28" t="s">
        <v>41</v>
      </c>
      <c r="C8" s="28" t="s">
        <v>44</v>
      </c>
      <c r="D8" s="28" t="s">
        <v>117</v>
      </c>
      <c r="E8" s="28" t="s">
        <v>118</v>
      </c>
      <c r="F8" s="28" t="s">
        <v>119</v>
      </c>
      <c r="G8" s="28" t="s">
        <v>120</v>
      </c>
      <c r="H8" s="28" t="s">
        <v>39</v>
      </c>
      <c r="I8" s="28" t="s">
        <v>121</v>
      </c>
      <c r="J8" s="28" t="s">
        <v>122</v>
      </c>
      <c r="K8" s="31">
        <v>1</v>
      </c>
      <c r="L8" s="28" t="s">
        <v>123</v>
      </c>
      <c r="M8" s="28">
        <v>2016</v>
      </c>
      <c r="N8" s="28" t="s">
        <v>62</v>
      </c>
      <c r="O8" s="29" t="s">
        <v>57</v>
      </c>
      <c r="P8" s="28" t="s">
        <v>43</v>
      </c>
      <c r="Q8" s="29" t="s">
        <v>51</v>
      </c>
      <c r="R8" s="30">
        <v>70</v>
      </c>
      <c r="S8" s="31">
        <v>0.7</v>
      </c>
      <c r="T8" s="84">
        <v>0.1</v>
      </c>
      <c r="U8" s="31">
        <v>0.2</v>
      </c>
    </row>
    <row r="9" spans="1:21" x14ac:dyDescent="0.2">
      <c r="A9" s="28" t="s">
        <v>45</v>
      </c>
      <c r="B9" s="28" t="s">
        <v>46</v>
      </c>
      <c r="C9" s="28" t="s">
        <v>47</v>
      </c>
      <c r="D9" s="28" t="s">
        <v>134</v>
      </c>
      <c r="E9" s="28" t="s">
        <v>135</v>
      </c>
      <c r="F9" s="28" t="s">
        <v>56</v>
      </c>
      <c r="G9" s="28" t="s">
        <v>130</v>
      </c>
      <c r="H9" s="28" t="s">
        <v>39</v>
      </c>
      <c r="I9" s="28" t="s">
        <v>124</v>
      </c>
      <c r="J9" s="28" t="s">
        <v>125</v>
      </c>
      <c r="K9" s="31">
        <v>1</v>
      </c>
      <c r="L9" s="28" t="s">
        <v>131</v>
      </c>
      <c r="M9" s="28">
        <v>2016</v>
      </c>
      <c r="N9" s="28" t="s">
        <v>62</v>
      </c>
      <c r="O9" s="29" t="s">
        <v>57</v>
      </c>
      <c r="P9" s="28" t="s">
        <v>48</v>
      </c>
      <c r="Q9" s="29" t="s">
        <v>51</v>
      </c>
      <c r="R9" s="30">
        <v>70</v>
      </c>
      <c r="S9" s="31">
        <v>0.7</v>
      </c>
      <c r="T9" s="84">
        <v>0.1</v>
      </c>
      <c r="U9" s="31">
        <v>0.2</v>
      </c>
    </row>
    <row r="10" spans="1:21" x14ac:dyDescent="0.2">
      <c r="A10" s="28" t="s">
        <v>58</v>
      </c>
      <c r="B10" s="28" t="s">
        <v>59</v>
      </c>
      <c r="C10" s="28" t="s">
        <v>60</v>
      </c>
      <c r="D10" s="28" t="s">
        <v>91</v>
      </c>
      <c r="E10" s="28" t="s">
        <v>92</v>
      </c>
      <c r="F10" s="28" t="s">
        <v>93</v>
      </c>
      <c r="G10" s="28" t="s">
        <v>75</v>
      </c>
      <c r="H10" s="28" t="s">
        <v>36</v>
      </c>
      <c r="I10" s="28" t="s">
        <v>76</v>
      </c>
      <c r="J10" s="28" t="s">
        <v>77</v>
      </c>
      <c r="K10" s="31">
        <v>0.5</v>
      </c>
      <c r="L10" s="28" t="s">
        <v>78</v>
      </c>
      <c r="M10" s="28">
        <v>2016</v>
      </c>
      <c r="N10" s="28" t="s">
        <v>62</v>
      </c>
      <c r="O10" s="29" t="s">
        <v>57</v>
      </c>
      <c r="P10" s="28" t="s">
        <v>38</v>
      </c>
      <c r="Q10" s="29" t="s">
        <v>38</v>
      </c>
      <c r="R10" s="30">
        <v>90</v>
      </c>
      <c r="S10" s="31">
        <v>0.45</v>
      </c>
      <c r="T10" s="84">
        <v>0.05</v>
      </c>
      <c r="U10" s="31">
        <v>0</v>
      </c>
    </row>
    <row r="11" spans="1:21" x14ac:dyDescent="0.2">
      <c r="A11" s="28" t="s">
        <v>68</v>
      </c>
      <c r="B11" s="28" t="s">
        <v>69</v>
      </c>
      <c r="C11" s="28" t="s">
        <v>70</v>
      </c>
      <c r="D11" s="28" t="s">
        <v>71</v>
      </c>
      <c r="E11" s="28" t="s">
        <v>72</v>
      </c>
      <c r="F11" s="28" t="s">
        <v>73</v>
      </c>
      <c r="G11" s="28" t="s">
        <v>74</v>
      </c>
      <c r="H11" s="28" t="s">
        <v>36</v>
      </c>
      <c r="I11" s="28" t="s">
        <v>65</v>
      </c>
      <c r="J11" s="28" t="s">
        <v>66</v>
      </c>
      <c r="K11" s="31">
        <v>0.5</v>
      </c>
      <c r="L11" s="28" t="s">
        <v>67</v>
      </c>
      <c r="M11" s="28">
        <v>2017</v>
      </c>
      <c r="N11" s="28" t="s">
        <v>62</v>
      </c>
      <c r="O11" s="29" t="s">
        <v>57</v>
      </c>
      <c r="P11" s="28" t="s">
        <v>38</v>
      </c>
      <c r="Q11" s="29" t="s">
        <v>38</v>
      </c>
      <c r="R11" s="30">
        <v>90</v>
      </c>
      <c r="S11" s="31">
        <v>0.45</v>
      </c>
      <c r="T11" s="84">
        <v>0.05</v>
      </c>
      <c r="U11" s="31">
        <v>0</v>
      </c>
    </row>
    <row r="12" spans="1:21" x14ac:dyDescent="0.2">
      <c r="A12" s="28" t="s">
        <v>58</v>
      </c>
      <c r="B12" s="28" t="s">
        <v>59</v>
      </c>
      <c r="C12" s="28" t="s">
        <v>60</v>
      </c>
      <c r="D12" s="28" t="s">
        <v>106</v>
      </c>
      <c r="E12" s="28" t="s">
        <v>107</v>
      </c>
      <c r="F12" s="28" t="s">
        <v>108</v>
      </c>
      <c r="G12" s="28" t="s">
        <v>109</v>
      </c>
      <c r="H12" s="28" t="s">
        <v>36</v>
      </c>
      <c r="I12" s="28" t="s">
        <v>103</v>
      </c>
      <c r="J12" s="28" t="s">
        <v>104</v>
      </c>
      <c r="K12" s="31">
        <v>0.5</v>
      </c>
      <c r="L12" s="28" t="s">
        <v>105</v>
      </c>
      <c r="M12" s="28">
        <v>2017</v>
      </c>
      <c r="N12" s="28" t="s">
        <v>62</v>
      </c>
      <c r="O12" s="29" t="s">
        <v>57</v>
      </c>
      <c r="P12" s="28" t="s">
        <v>38</v>
      </c>
      <c r="Q12" s="29" t="s">
        <v>38</v>
      </c>
      <c r="R12" s="30">
        <v>90</v>
      </c>
      <c r="S12" s="31">
        <v>0.45</v>
      </c>
      <c r="T12" s="84">
        <v>0.05</v>
      </c>
      <c r="U12" s="31">
        <v>0</v>
      </c>
    </row>
    <row r="13" spans="1:21" x14ac:dyDescent="0.2">
      <c r="A13" s="28" t="s">
        <v>45</v>
      </c>
      <c r="B13" s="28" t="s">
        <v>46</v>
      </c>
      <c r="C13" s="28" t="s">
        <v>47</v>
      </c>
      <c r="D13" s="28" t="s">
        <v>136</v>
      </c>
      <c r="E13" s="28" t="s">
        <v>137</v>
      </c>
      <c r="F13" s="28" t="s">
        <v>138</v>
      </c>
      <c r="G13" s="28" t="s">
        <v>130</v>
      </c>
      <c r="H13" s="28" t="s">
        <v>39</v>
      </c>
      <c r="I13" s="28" t="s">
        <v>124</v>
      </c>
      <c r="J13" s="28" t="s">
        <v>125</v>
      </c>
      <c r="K13" s="31">
        <v>1</v>
      </c>
      <c r="L13" s="28" t="s">
        <v>131</v>
      </c>
      <c r="M13" s="28">
        <v>2017</v>
      </c>
      <c r="N13" s="28" t="s">
        <v>62</v>
      </c>
      <c r="O13" s="29" t="s">
        <v>57</v>
      </c>
      <c r="P13" s="28" t="s">
        <v>48</v>
      </c>
      <c r="Q13" s="29" t="s">
        <v>51</v>
      </c>
      <c r="R13" s="30">
        <v>70</v>
      </c>
      <c r="S13" s="31">
        <v>0.7</v>
      </c>
      <c r="T13" s="84">
        <v>0.1</v>
      </c>
      <c r="U13" s="31">
        <v>0.2</v>
      </c>
    </row>
    <row r="14" spans="1:21" x14ac:dyDescent="0.2">
      <c r="A14" s="28" t="s">
        <v>94</v>
      </c>
      <c r="B14" s="28" t="s">
        <v>95</v>
      </c>
      <c r="C14" s="28" t="s">
        <v>96</v>
      </c>
      <c r="D14" s="28" t="s">
        <v>97</v>
      </c>
      <c r="E14" s="28" t="s">
        <v>98</v>
      </c>
      <c r="F14" s="28" t="s">
        <v>99</v>
      </c>
      <c r="G14" s="28" t="s">
        <v>100</v>
      </c>
      <c r="H14" s="28" t="s">
        <v>36</v>
      </c>
      <c r="I14" s="28" t="s">
        <v>52</v>
      </c>
      <c r="J14" s="28" t="s">
        <v>53</v>
      </c>
      <c r="K14" s="71">
        <v>0.5</v>
      </c>
      <c r="L14" s="28" t="s">
        <v>54</v>
      </c>
      <c r="M14" s="28">
        <v>2018</v>
      </c>
      <c r="N14" s="28" t="s">
        <v>62</v>
      </c>
      <c r="O14" s="29" t="s">
        <v>49</v>
      </c>
      <c r="P14" s="28" t="s">
        <v>38</v>
      </c>
      <c r="Q14" s="29" t="s">
        <v>38</v>
      </c>
      <c r="R14" s="30">
        <v>50</v>
      </c>
      <c r="S14" s="31">
        <v>0.25</v>
      </c>
      <c r="T14" s="84">
        <v>0.25</v>
      </c>
      <c r="U14" s="31">
        <v>0</v>
      </c>
    </row>
    <row r="15" spans="1:21" x14ac:dyDescent="0.2">
      <c r="A15" s="28" t="s">
        <v>94</v>
      </c>
      <c r="B15" s="28" t="s">
        <v>95</v>
      </c>
      <c r="C15" s="28" t="s">
        <v>96</v>
      </c>
      <c r="D15" s="28" t="s">
        <v>97</v>
      </c>
      <c r="E15" s="28" t="s">
        <v>98</v>
      </c>
      <c r="F15" s="28" t="s">
        <v>99</v>
      </c>
      <c r="G15" s="28" t="s">
        <v>110</v>
      </c>
      <c r="H15" s="28" t="s">
        <v>36</v>
      </c>
      <c r="I15" s="28" t="s">
        <v>52</v>
      </c>
      <c r="J15" s="28" t="s">
        <v>53</v>
      </c>
      <c r="K15" s="71">
        <v>0.5</v>
      </c>
      <c r="L15" s="28" t="s">
        <v>54</v>
      </c>
      <c r="M15" s="28">
        <v>2018</v>
      </c>
      <c r="N15" s="28" t="s">
        <v>62</v>
      </c>
      <c r="O15" s="29" t="s">
        <v>64</v>
      </c>
      <c r="P15" s="28" t="s">
        <v>37</v>
      </c>
      <c r="Q15" s="29" t="s">
        <v>49</v>
      </c>
      <c r="R15" s="30">
        <v>35</v>
      </c>
      <c r="S15" s="31">
        <v>0.17499999999999999</v>
      </c>
      <c r="T15" s="84">
        <v>7.4999999999999997E-2</v>
      </c>
      <c r="U15" s="31">
        <v>0.25</v>
      </c>
    </row>
    <row r="16" spans="1:21" x14ac:dyDescent="0.2">
      <c r="A16" s="28" t="s">
        <v>58</v>
      </c>
      <c r="B16" s="28" t="s">
        <v>59</v>
      </c>
      <c r="C16" s="28" t="s">
        <v>60</v>
      </c>
      <c r="D16" s="28" t="s">
        <v>147</v>
      </c>
      <c r="E16" s="28" t="s">
        <v>148</v>
      </c>
      <c r="F16" s="28" t="s">
        <v>149</v>
      </c>
      <c r="G16" s="28" t="s">
        <v>448</v>
      </c>
      <c r="H16" s="28" t="s">
        <v>36</v>
      </c>
      <c r="I16" s="28" t="s">
        <v>143</v>
      </c>
      <c r="J16" s="28" t="s">
        <v>144</v>
      </c>
      <c r="K16" s="71">
        <v>0.5</v>
      </c>
      <c r="L16" s="28" t="s">
        <v>145</v>
      </c>
      <c r="M16" s="28">
        <v>2018</v>
      </c>
      <c r="N16" s="28" t="s">
        <v>62</v>
      </c>
      <c r="O16" s="29" t="s">
        <v>57</v>
      </c>
      <c r="P16" s="28" t="s">
        <v>146</v>
      </c>
      <c r="Q16" s="29" t="s">
        <v>61</v>
      </c>
      <c r="R16" s="30">
        <v>10</v>
      </c>
      <c r="S16" s="31">
        <v>0.05</v>
      </c>
      <c r="T16" s="84">
        <v>0.05</v>
      </c>
      <c r="U16" s="31">
        <v>0.4</v>
      </c>
    </row>
    <row r="17" spans="1:21" x14ac:dyDescent="0.2">
      <c r="A17" s="28" t="s">
        <v>45</v>
      </c>
      <c r="B17" s="28" t="s">
        <v>46</v>
      </c>
      <c r="C17" s="28" t="s">
        <v>47</v>
      </c>
      <c r="D17" s="28" t="s">
        <v>139</v>
      </c>
      <c r="E17" s="28" t="s">
        <v>140</v>
      </c>
      <c r="F17" s="28" t="s">
        <v>141</v>
      </c>
      <c r="G17" s="28" t="s">
        <v>142</v>
      </c>
      <c r="H17" s="28" t="s">
        <v>36</v>
      </c>
      <c r="I17" s="28" t="s">
        <v>124</v>
      </c>
      <c r="J17" s="28" t="s">
        <v>125</v>
      </c>
      <c r="K17" s="71">
        <v>0.5</v>
      </c>
      <c r="L17" s="28" t="s">
        <v>131</v>
      </c>
      <c r="M17" s="28">
        <v>2018</v>
      </c>
      <c r="N17" s="28" t="s">
        <v>62</v>
      </c>
      <c r="O17" s="29" t="s">
        <v>57</v>
      </c>
      <c r="P17" s="28" t="s">
        <v>48</v>
      </c>
      <c r="Q17" s="29" t="s">
        <v>57</v>
      </c>
      <c r="R17" s="30">
        <v>80</v>
      </c>
      <c r="S17" s="31">
        <v>0.4</v>
      </c>
      <c r="T17" s="84">
        <v>0.05</v>
      </c>
      <c r="U17" s="31">
        <v>0.05</v>
      </c>
    </row>
    <row r="18" spans="1:21" x14ac:dyDescent="0.2">
      <c r="A18" s="28" t="s">
        <v>52</v>
      </c>
      <c r="B18" s="28" t="s">
        <v>53</v>
      </c>
      <c r="C18" s="28" t="s">
        <v>96</v>
      </c>
      <c r="D18" s="28" t="s">
        <v>282</v>
      </c>
      <c r="E18" s="28" t="s">
        <v>283</v>
      </c>
      <c r="F18" s="28" t="s">
        <v>284</v>
      </c>
      <c r="G18" s="28" t="s">
        <v>285</v>
      </c>
      <c r="H18" s="28" t="s">
        <v>36</v>
      </c>
      <c r="I18" s="28" t="s">
        <v>52</v>
      </c>
      <c r="J18" s="28" t="s">
        <v>53</v>
      </c>
      <c r="K18" s="71">
        <v>0.5</v>
      </c>
      <c r="L18" s="28" t="s">
        <v>54</v>
      </c>
      <c r="M18" s="28">
        <v>2018</v>
      </c>
      <c r="N18" s="28" t="s">
        <v>62</v>
      </c>
      <c r="O18" s="29" t="s">
        <v>57</v>
      </c>
      <c r="P18" s="28" t="s">
        <v>153</v>
      </c>
      <c r="Q18" s="29" t="s">
        <v>49</v>
      </c>
      <c r="R18" s="30">
        <v>40</v>
      </c>
      <c r="S18" s="31">
        <v>0.2</v>
      </c>
      <c r="T18" s="84">
        <v>0.05</v>
      </c>
      <c r="U18" s="31">
        <v>0.25</v>
      </c>
    </row>
    <row r="19" spans="1:21" x14ac:dyDescent="0.2">
      <c r="A19" s="72" t="s">
        <v>52</v>
      </c>
      <c r="B19" s="72" t="s">
        <v>53</v>
      </c>
      <c r="C19" s="72" t="s">
        <v>96</v>
      </c>
      <c r="D19" s="72" t="s">
        <v>282</v>
      </c>
      <c r="E19" s="72" t="s">
        <v>283</v>
      </c>
      <c r="F19" s="72" t="s">
        <v>284</v>
      </c>
      <c r="G19" s="72" t="s">
        <v>111</v>
      </c>
      <c r="H19" s="72" t="s">
        <v>36</v>
      </c>
      <c r="I19" s="72" t="s">
        <v>52</v>
      </c>
      <c r="J19" s="72" t="s">
        <v>53</v>
      </c>
      <c r="K19" s="73">
        <v>0.5</v>
      </c>
      <c r="L19" s="72" t="s">
        <v>54</v>
      </c>
      <c r="M19" s="72">
        <v>2018</v>
      </c>
      <c r="N19" s="72" t="s">
        <v>62</v>
      </c>
      <c r="O19" s="74" t="s">
        <v>57</v>
      </c>
      <c r="P19" s="72" t="s">
        <v>153</v>
      </c>
      <c r="Q19" s="74" t="s">
        <v>49</v>
      </c>
      <c r="R19" s="75">
        <v>40</v>
      </c>
      <c r="S19" s="76">
        <v>0.2</v>
      </c>
      <c r="T19" s="86">
        <v>0.05</v>
      </c>
      <c r="U19" s="76">
        <v>0.25</v>
      </c>
    </row>
    <row r="20" spans="1:21" x14ac:dyDescent="0.2">
      <c r="A20" s="77" t="s">
        <v>58</v>
      </c>
      <c r="B20" s="77" t="s">
        <v>59</v>
      </c>
      <c r="C20" s="77" t="s">
        <v>60</v>
      </c>
      <c r="D20" s="77" t="s">
        <v>286</v>
      </c>
      <c r="E20" s="77" t="s">
        <v>287</v>
      </c>
      <c r="F20" s="77" t="s">
        <v>288</v>
      </c>
      <c r="G20" s="77" t="s">
        <v>75</v>
      </c>
      <c r="H20" s="77" t="s">
        <v>36</v>
      </c>
      <c r="I20" s="77" t="s">
        <v>76</v>
      </c>
      <c r="J20" s="77" t="s">
        <v>77</v>
      </c>
      <c r="K20" s="78">
        <v>0.5</v>
      </c>
      <c r="L20" s="77" t="s">
        <v>78</v>
      </c>
      <c r="M20" s="77">
        <v>2019</v>
      </c>
      <c r="N20" s="77" t="s">
        <v>62</v>
      </c>
      <c r="O20" s="79" t="s">
        <v>57</v>
      </c>
      <c r="P20" s="77" t="s">
        <v>38</v>
      </c>
      <c r="Q20" s="79" t="s">
        <v>38</v>
      </c>
      <c r="R20" s="80">
        <v>90</v>
      </c>
      <c r="S20" s="81">
        <v>0.45</v>
      </c>
      <c r="T20" s="87">
        <v>0.05</v>
      </c>
      <c r="U20" s="81">
        <v>0</v>
      </c>
    </row>
    <row r="21" spans="1:21" x14ac:dyDescent="0.2">
      <c r="A21" s="77" t="s">
        <v>40</v>
      </c>
      <c r="B21" s="77" t="s">
        <v>41</v>
      </c>
      <c r="C21" s="77" t="s">
        <v>42</v>
      </c>
      <c r="D21" s="77" t="s">
        <v>292</v>
      </c>
      <c r="E21" s="77" t="s">
        <v>293</v>
      </c>
      <c r="F21" s="77" t="s">
        <v>294</v>
      </c>
      <c r="G21" s="77" t="s">
        <v>115</v>
      </c>
      <c r="H21" s="77" t="s">
        <v>36</v>
      </c>
      <c r="I21" s="77" t="s">
        <v>112</v>
      </c>
      <c r="J21" s="77" t="s">
        <v>113</v>
      </c>
      <c r="K21" s="78">
        <v>0.5</v>
      </c>
      <c r="L21" s="77" t="s">
        <v>114</v>
      </c>
      <c r="M21" s="77">
        <v>2019</v>
      </c>
      <c r="N21" s="77" t="s">
        <v>62</v>
      </c>
      <c r="O21" s="79" t="s">
        <v>57</v>
      </c>
      <c r="P21" s="77" t="s">
        <v>43</v>
      </c>
      <c r="Q21" s="79" t="s">
        <v>116</v>
      </c>
      <c r="R21" s="80">
        <v>20</v>
      </c>
      <c r="S21" s="82">
        <v>0.1</v>
      </c>
      <c r="T21" s="87">
        <v>0.05</v>
      </c>
      <c r="U21" s="81">
        <v>0.35</v>
      </c>
    </row>
    <row r="22" spans="1:21" x14ac:dyDescent="0.2">
      <c r="A22" s="77" t="s">
        <v>40</v>
      </c>
      <c r="B22" s="77" t="s">
        <v>41</v>
      </c>
      <c r="C22" s="77" t="s">
        <v>42</v>
      </c>
      <c r="D22" s="77" t="s">
        <v>289</v>
      </c>
      <c r="E22" s="77" t="s">
        <v>290</v>
      </c>
      <c r="F22" s="77" t="s">
        <v>291</v>
      </c>
      <c r="G22" s="77" t="s">
        <v>115</v>
      </c>
      <c r="H22" s="77" t="s">
        <v>39</v>
      </c>
      <c r="I22" s="77" t="s">
        <v>112</v>
      </c>
      <c r="J22" s="77" t="s">
        <v>113</v>
      </c>
      <c r="K22" s="78">
        <v>1</v>
      </c>
      <c r="L22" s="77" t="s">
        <v>114</v>
      </c>
      <c r="M22" s="77">
        <v>2019</v>
      </c>
      <c r="N22" s="77" t="s">
        <v>62</v>
      </c>
      <c r="O22" s="79" t="s">
        <v>57</v>
      </c>
      <c r="P22" s="77" t="s">
        <v>43</v>
      </c>
      <c r="Q22" s="79" t="s">
        <v>116</v>
      </c>
      <c r="R22" s="80">
        <v>20</v>
      </c>
      <c r="S22" s="82">
        <v>0.2</v>
      </c>
      <c r="T22" s="87">
        <v>0.1</v>
      </c>
      <c r="U22" s="81">
        <v>0.7</v>
      </c>
    </row>
    <row r="23" spans="1:21" x14ac:dyDescent="0.2">
      <c r="A23" s="77" t="s">
        <v>45</v>
      </c>
      <c r="B23" s="77" t="s">
        <v>46</v>
      </c>
      <c r="C23" s="77" t="s">
        <v>47</v>
      </c>
      <c r="D23" s="77" t="s">
        <v>295</v>
      </c>
      <c r="E23" s="77" t="s">
        <v>296</v>
      </c>
      <c r="F23" s="77" t="s">
        <v>297</v>
      </c>
      <c r="G23" s="77" t="s">
        <v>142</v>
      </c>
      <c r="H23" s="77" t="s">
        <v>36</v>
      </c>
      <c r="I23" s="77" t="s">
        <v>124</v>
      </c>
      <c r="J23" s="77" t="s">
        <v>125</v>
      </c>
      <c r="K23" s="78">
        <v>0.5</v>
      </c>
      <c r="L23" s="77" t="s">
        <v>131</v>
      </c>
      <c r="M23" s="77">
        <v>2019</v>
      </c>
      <c r="N23" s="77" t="s">
        <v>62</v>
      </c>
      <c r="O23" s="79" t="s">
        <v>57</v>
      </c>
      <c r="P23" s="77" t="s">
        <v>48</v>
      </c>
      <c r="Q23" s="79" t="s">
        <v>57</v>
      </c>
      <c r="R23" s="80">
        <v>80</v>
      </c>
      <c r="S23" s="81">
        <v>0.4</v>
      </c>
      <c r="T23" s="87">
        <v>0.05</v>
      </c>
      <c r="U23" s="81">
        <v>0.05</v>
      </c>
    </row>
    <row r="24" spans="1:21" ht="10.8" thickBot="1" x14ac:dyDescent="0.25">
      <c r="A24" s="28" t="s">
        <v>58</v>
      </c>
      <c r="B24" s="28" t="s">
        <v>59</v>
      </c>
      <c r="C24" s="28" t="s">
        <v>60</v>
      </c>
      <c r="D24" s="28" t="s">
        <v>314</v>
      </c>
      <c r="E24" s="28" t="s">
        <v>315</v>
      </c>
      <c r="F24" s="28" t="s">
        <v>316</v>
      </c>
      <c r="G24" s="28" t="s">
        <v>109</v>
      </c>
      <c r="H24" s="28" t="s">
        <v>36</v>
      </c>
      <c r="I24" s="28" t="s">
        <v>103</v>
      </c>
      <c r="J24" s="28" t="s">
        <v>104</v>
      </c>
      <c r="K24" s="32">
        <v>0.5</v>
      </c>
      <c r="L24" s="32" t="s">
        <v>105</v>
      </c>
      <c r="M24" s="33">
        <v>2019</v>
      </c>
      <c r="N24" s="28" t="s">
        <v>62</v>
      </c>
      <c r="O24" s="29" t="s">
        <v>57</v>
      </c>
      <c r="P24" s="28" t="s">
        <v>38</v>
      </c>
      <c r="Q24" s="29" t="s">
        <v>38</v>
      </c>
      <c r="R24" s="28">
        <v>90</v>
      </c>
      <c r="S24" s="28">
        <v>0.45</v>
      </c>
      <c r="T24" s="85">
        <v>0.05</v>
      </c>
      <c r="U24" s="28">
        <v>0</v>
      </c>
    </row>
    <row r="25" spans="1:21" ht="10.8" thickBot="1" x14ac:dyDescent="0.25">
      <c r="A25" s="34" t="s">
        <v>52</v>
      </c>
      <c r="B25" s="34" t="s">
        <v>53</v>
      </c>
      <c r="C25" s="34" t="s">
        <v>96</v>
      </c>
      <c r="D25" s="34" t="s">
        <v>317</v>
      </c>
      <c r="E25" s="34" t="s">
        <v>318</v>
      </c>
      <c r="F25" s="34" t="s">
        <v>319</v>
      </c>
      <c r="G25" s="35" t="s">
        <v>320</v>
      </c>
      <c r="H25" s="36" t="s">
        <v>36</v>
      </c>
      <c r="I25" s="36" t="s">
        <v>52</v>
      </c>
      <c r="J25" s="37" t="s">
        <v>53</v>
      </c>
      <c r="K25" s="32">
        <v>0.5</v>
      </c>
      <c r="L25" s="32" t="s">
        <v>54</v>
      </c>
      <c r="M25" s="28">
        <v>2020</v>
      </c>
      <c r="N25" s="28" t="s">
        <v>62</v>
      </c>
      <c r="O25" s="29" t="s">
        <v>49</v>
      </c>
      <c r="P25" s="28" t="s">
        <v>38</v>
      </c>
      <c r="Q25" s="29" t="s">
        <v>38</v>
      </c>
      <c r="R25" s="28">
        <v>50</v>
      </c>
      <c r="S25" s="28">
        <v>0.25</v>
      </c>
      <c r="T25" s="85">
        <v>0.25</v>
      </c>
      <c r="U25" s="28">
        <v>0</v>
      </c>
    </row>
    <row r="26" spans="1:21" ht="10.8" thickBot="1" x14ac:dyDescent="0.25">
      <c r="A26" s="34" t="s">
        <v>321</v>
      </c>
      <c r="B26" s="34" t="s">
        <v>322</v>
      </c>
      <c r="C26" s="34" t="s">
        <v>323</v>
      </c>
      <c r="D26" s="34" t="s">
        <v>324</v>
      </c>
      <c r="E26" s="34" t="s">
        <v>449</v>
      </c>
      <c r="F26" s="34" t="s">
        <v>325</v>
      </c>
      <c r="G26" s="35" t="s">
        <v>326</v>
      </c>
      <c r="H26" s="36" t="s">
        <v>36</v>
      </c>
      <c r="I26" s="36" t="s">
        <v>121</v>
      </c>
      <c r="J26" s="37" t="s">
        <v>122</v>
      </c>
      <c r="K26" s="32">
        <v>0.5</v>
      </c>
      <c r="L26" s="32" t="s">
        <v>123</v>
      </c>
      <c r="M26" s="28">
        <v>2020</v>
      </c>
      <c r="N26" s="28" t="s">
        <v>62</v>
      </c>
      <c r="O26" s="29" t="s">
        <v>51</v>
      </c>
      <c r="P26" s="28" t="s">
        <v>151</v>
      </c>
      <c r="Q26" s="29" t="s">
        <v>51</v>
      </c>
      <c r="R26" s="28">
        <v>60</v>
      </c>
      <c r="S26" s="28">
        <v>0.3</v>
      </c>
      <c r="T26" s="85">
        <v>0.1</v>
      </c>
      <c r="U26" s="28">
        <v>0.1</v>
      </c>
    </row>
    <row r="27" spans="1:21" ht="10.8" thickBot="1" x14ac:dyDescent="0.25">
      <c r="A27" s="34" t="s">
        <v>58</v>
      </c>
      <c r="B27" s="34" t="s">
        <v>59</v>
      </c>
      <c r="C27" s="34" t="s">
        <v>60</v>
      </c>
      <c r="D27" s="34" t="s">
        <v>327</v>
      </c>
      <c r="E27" s="34" t="s">
        <v>328</v>
      </c>
      <c r="F27" s="34" t="s">
        <v>329</v>
      </c>
      <c r="G27" s="35" t="s">
        <v>102</v>
      </c>
      <c r="H27" s="36" t="s">
        <v>36</v>
      </c>
      <c r="I27" s="36" t="s">
        <v>103</v>
      </c>
      <c r="J27" s="37" t="s">
        <v>104</v>
      </c>
      <c r="K27" s="32">
        <v>0.5</v>
      </c>
      <c r="L27" s="32" t="s">
        <v>105</v>
      </c>
      <c r="M27" s="28">
        <v>2020</v>
      </c>
      <c r="N27" s="28" t="s">
        <v>62</v>
      </c>
      <c r="O27" s="29" t="s">
        <v>57</v>
      </c>
      <c r="P27" s="28" t="s">
        <v>38</v>
      </c>
      <c r="Q27" s="29" t="s">
        <v>38</v>
      </c>
      <c r="R27" s="28">
        <v>90</v>
      </c>
      <c r="S27" s="28">
        <v>0.45</v>
      </c>
      <c r="T27" s="85">
        <v>0.05</v>
      </c>
      <c r="U27" s="28">
        <v>0</v>
      </c>
    </row>
    <row r="28" spans="1:21" ht="10.8" thickBot="1" x14ac:dyDescent="0.25">
      <c r="A28" s="34" t="s">
        <v>58</v>
      </c>
      <c r="B28" s="34" t="s">
        <v>59</v>
      </c>
      <c r="C28" s="34" t="s">
        <v>60</v>
      </c>
      <c r="D28" s="34" t="s">
        <v>330</v>
      </c>
      <c r="E28" s="34" t="s">
        <v>331</v>
      </c>
      <c r="F28" s="34" t="s">
        <v>332</v>
      </c>
      <c r="G28" s="35" t="s">
        <v>75</v>
      </c>
      <c r="H28" s="36" t="s">
        <v>36</v>
      </c>
      <c r="I28" s="36" t="s">
        <v>76</v>
      </c>
      <c r="J28" s="37" t="s">
        <v>77</v>
      </c>
      <c r="K28" s="32">
        <v>0.5</v>
      </c>
      <c r="L28" s="32" t="s">
        <v>78</v>
      </c>
      <c r="M28" s="28">
        <v>2020</v>
      </c>
      <c r="N28" s="28" t="s">
        <v>62</v>
      </c>
      <c r="O28" s="29" t="s">
        <v>57</v>
      </c>
      <c r="P28" s="28" t="s">
        <v>38</v>
      </c>
      <c r="Q28" s="29" t="s">
        <v>38</v>
      </c>
      <c r="R28" s="28">
        <v>90</v>
      </c>
      <c r="S28" s="28">
        <v>0.45</v>
      </c>
      <c r="T28" s="85">
        <v>0.05</v>
      </c>
      <c r="U28" s="28">
        <v>0</v>
      </c>
    </row>
    <row r="29" spans="1:21" ht="10.8" thickBot="1" x14ac:dyDescent="0.25">
      <c r="A29" s="34" t="s">
        <v>58</v>
      </c>
      <c r="B29" s="34" t="s">
        <v>59</v>
      </c>
      <c r="C29" s="34" t="s">
        <v>60</v>
      </c>
      <c r="D29" s="34" t="s">
        <v>333</v>
      </c>
      <c r="E29" s="34" t="s">
        <v>334</v>
      </c>
      <c r="F29" s="34" t="s">
        <v>335</v>
      </c>
      <c r="G29" s="35" t="s">
        <v>109</v>
      </c>
      <c r="H29" s="36" t="s">
        <v>36</v>
      </c>
      <c r="I29" s="36" t="s">
        <v>103</v>
      </c>
      <c r="J29" s="37" t="s">
        <v>104</v>
      </c>
      <c r="K29" s="32">
        <v>0.5</v>
      </c>
      <c r="L29" s="32" t="s">
        <v>105</v>
      </c>
      <c r="M29" s="28">
        <v>2020</v>
      </c>
      <c r="N29" s="28" t="s">
        <v>62</v>
      </c>
      <c r="O29" s="29" t="s">
        <v>57</v>
      </c>
      <c r="P29" s="28" t="s">
        <v>38</v>
      </c>
      <c r="Q29" s="29" t="s">
        <v>38</v>
      </c>
      <c r="R29" s="28">
        <v>90</v>
      </c>
      <c r="S29" s="28">
        <v>0.45</v>
      </c>
      <c r="T29" s="85">
        <v>0.05</v>
      </c>
      <c r="U29" s="28">
        <v>0</v>
      </c>
    </row>
    <row r="30" spans="1:21" ht="10.8" thickBot="1" x14ac:dyDescent="0.25">
      <c r="A30" s="34" t="s">
        <v>40</v>
      </c>
      <c r="B30" s="34" t="s">
        <v>41</v>
      </c>
      <c r="C30" s="34" t="s">
        <v>42</v>
      </c>
      <c r="D30" s="34" t="s">
        <v>336</v>
      </c>
      <c r="E30" s="34" t="s">
        <v>337</v>
      </c>
      <c r="F30" s="34" t="s">
        <v>338</v>
      </c>
      <c r="G30" s="35" t="s">
        <v>115</v>
      </c>
      <c r="H30" s="36" t="s">
        <v>36</v>
      </c>
      <c r="I30" s="36" t="s">
        <v>112</v>
      </c>
      <c r="J30" s="37" t="s">
        <v>113</v>
      </c>
      <c r="K30" s="32">
        <v>0.5</v>
      </c>
      <c r="L30" s="32" t="s">
        <v>114</v>
      </c>
      <c r="M30" s="28">
        <v>2020</v>
      </c>
      <c r="N30" s="28" t="s">
        <v>62</v>
      </c>
      <c r="O30" s="29" t="s">
        <v>57</v>
      </c>
      <c r="P30" s="28" t="s">
        <v>43</v>
      </c>
      <c r="Q30" s="29" t="s">
        <v>116</v>
      </c>
      <c r="R30" s="28">
        <v>20</v>
      </c>
      <c r="S30" s="28">
        <v>0.1</v>
      </c>
      <c r="T30" s="85">
        <v>0.05</v>
      </c>
      <c r="U30" s="28">
        <v>0.35</v>
      </c>
    </row>
    <row r="31" spans="1:21" x14ac:dyDescent="0.2">
      <c r="A31" s="28" t="s">
        <v>94</v>
      </c>
      <c r="B31" s="28" t="s">
        <v>95</v>
      </c>
      <c r="C31" s="28" t="s">
        <v>96</v>
      </c>
      <c r="D31" s="28" t="s">
        <v>450</v>
      </c>
      <c r="E31" s="28" t="s">
        <v>451</v>
      </c>
      <c r="F31" s="28" t="s">
        <v>452</v>
      </c>
      <c r="G31" s="28" t="s">
        <v>320</v>
      </c>
      <c r="H31" s="28" t="s">
        <v>36</v>
      </c>
      <c r="I31" s="28" t="s">
        <v>52</v>
      </c>
      <c r="J31" s="28" t="s">
        <v>53</v>
      </c>
      <c r="K31" s="32">
        <v>0.5</v>
      </c>
      <c r="L31" s="32" t="s">
        <v>54</v>
      </c>
      <c r="M31" s="28">
        <v>2021</v>
      </c>
      <c r="N31" s="28" t="s">
        <v>62</v>
      </c>
      <c r="O31" s="29" t="s">
        <v>49</v>
      </c>
      <c r="P31" s="28" t="s">
        <v>38</v>
      </c>
      <c r="Q31" s="29" t="s">
        <v>38</v>
      </c>
      <c r="R31" s="28">
        <v>50</v>
      </c>
      <c r="S31" s="28">
        <v>0.25</v>
      </c>
      <c r="T31" s="85">
        <v>0.25</v>
      </c>
      <c r="U31" s="28">
        <v>0</v>
      </c>
    </row>
    <row r="32" spans="1:21" x14ac:dyDescent="0.2">
      <c r="A32" s="28" t="s">
        <v>52</v>
      </c>
      <c r="B32" s="28" t="s">
        <v>53</v>
      </c>
      <c r="C32" s="28" t="s">
        <v>96</v>
      </c>
      <c r="D32" s="28" t="s">
        <v>453</v>
      </c>
      <c r="E32" s="28" t="s">
        <v>454</v>
      </c>
      <c r="F32" s="28" t="s">
        <v>455</v>
      </c>
      <c r="G32" s="28" t="s">
        <v>456</v>
      </c>
      <c r="H32" s="28" t="s">
        <v>36</v>
      </c>
      <c r="I32" s="28" t="s">
        <v>52</v>
      </c>
      <c r="J32" s="28" t="s">
        <v>53</v>
      </c>
      <c r="K32" s="32">
        <v>0.5</v>
      </c>
      <c r="L32" s="32" t="s">
        <v>54</v>
      </c>
      <c r="M32" s="28">
        <v>2021</v>
      </c>
      <c r="N32" s="28" t="s">
        <v>62</v>
      </c>
      <c r="O32" s="29" t="s">
        <v>55</v>
      </c>
      <c r="P32" s="28" t="s">
        <v>38</v>
      </c>
      <c r="Q32" s="29" t="s">
        <v>38</v>
      </c>
      <c r="R32" s="28">
        <v>10</v>
      </c>
      <c r="S32" s="28">
        <v>0.05</v>
      </c>
      <c r="T32" s="85">
        <v>0.45</v>
      </c>
      <c r="U32" s="28">
        <v>0</v>
      </c>
    </row>
    <row r="33" spans="1:21" x14ac:dyDescent="0.2">
      <c r="A33" s="28" t="s">
        <v>40</v>
      </c>
      <c r="B33" s="28" t="s">
        <v>41</v>
      </c>
      <c r="C33" s="28" t="s">
        <v>42</v>
      </c>
      <c r="D33" s="28" t="s">
        <v>457</v>
      </c>
      <c r="E33" s="28" t="s">
        <v>458</v>
      </c>
      <c r="F33" s="28" t="s">
        <v>459</v>
      </c>
      <c r="G33" s="28" t="s">
        <v>460</v>
      </c>
      <c r="H33" s="28" t="s">
        <v>36</v>
      </c>
      <c r="I33" s="28" t="s">
        <v>52</v>
      </c>
      <c r="J33" s="28" t="s">
        <v>53</v>
      </c>
      <c r="K33" s="32">
        <v>0.5</v>
      </c>
      <c r="L33" s="32" t="s">
        <v>54</v>
      </c>
      <c r="M33" s="28">
        <v>2021</v>
      </c>
      <c r="N33" s="28" t="s">
        <v>62</v>
      </c>
      <c r="O33" s="29" t="s">
        <v>49</v>
      </c>
      <c r="P33" s="28" t="s">
        <v>43</v>
      </c>
      <c r="Q33" s="29" t="s">
        <v>57</v>
      </c>
      <c r="R33" s="28">
        <v>40</v>
      </c>
      <c r="S33" s="28">
        <v>0.2</v>
      </c>
      <c r="T33" s="85">
        <v>0.25</v>
      </c>
      <c r="U33" s="28">
        <v>0.05</v>
      </c>
    </row>
    <row r="34" spans="1:21" x14ac:dyDescent="0.2">
      <c r="A34" s="28" t="s">
        <v>40</v>
      </c>
      <c r="B34" s="28" t="s">
        <v>41</v>
      </c>
      <c r="C34" s="28" t="s">
        <v>42</v>
      </c>
      <c r="D34" s="28" t="s">
        <v>461</v>
      </c>
      <c r="E34" s="28" t="s">
        <v>462</v>
      </c>
      <c r="F34" s="28" t="s">
        <v>463</v>
      </c>
      <c r="G34" s="28" t="s">
        <v>460</v>
      </c>
      <c r="H34" s="28" t="s">
        <v>36</v>
      </c>
      <c r="I34" s="28" t="s">
        <v>52</v>
      </c>
      <c r="J34" s="28" t="s">
        <v>53</v>
      </c>
      <c r="K34" s="32">
        <v>0.33333333333333331</v>
      </c>
      <c r="L34" s="32" t="s">
        <v>54</v>
      </c>
      <c r="M34" s="28">
        <v>2021</v>
      </c>
      <c r="N34" s="28" t="s">
        <v>62</v>
      </c>
      <c r="O34" s="29" t="s">
        <v>49</v>
      </c>
      <c r="P34" s="28" t="s">
        <v>43</v>
      </c>
      <c r="Q34" s="29" t="s">
        <v>57</v>
      </c>
      <c r="R34" s="28">
        <v>40</v>
      </c>
      <c r="S34" s="28">
        <v>0.13333333333333333</v>
      </c>
      <c r="T34" s="85">
        <v>0.16666666666666663</v>
      </c>
      <c r="U34" s="28">
        <v>3.3333333333333333E-2</v>
      </c>
    </row>
    <row r="35" spans="1:21" x14ac:dyDescent="0.2">
      <c r="A35" s="28" t="s">
        <v>58</v>
      </c>
      <c r="B35" s="28" t="s">
        <v>59</v>
      </c>
      <c r="C35" s="28" t="s">
        <v>60</v>
      </c>
      <c r="D35" s="28" t="s">
        <v>339</v>
      </c>
      <c r="E35" s="28" t="s">
        <v>340</v>
      </c>
      <c r="F35" s="28" t="s">
        <v>341</v>
      </c>
      <c r="G35" s="28" t="s">
        <v>150</v>
      </c>
      <c r="H35" s="28" t="s">
        <v>39</v>
      </c>
      <c r="I35" s="28" t="s">
        <v>103</v>
      </c>
      <c r="J35" s="28" t="s">
        <v>104</v>
      </c>
      <c r="K35" s="31">
        <v>1</v>
      </c>
      <c r="L35" s="28" t="s">
        <v>105</v>
      </c>
      <c r="M35" s="28">
        <v>2016</v>
      </c>
      <c r="N35" s="28" t="s">
        <v>151</v>
      </c>
      <c r="O35" s="29" t="s">
        <v>57</v>
      </c>
      <c r="P35" s="28" t="s">
        <v>62</v>
      </c>
      <c r="Q35" s="29" t="s">
        <v>57</v>
      </c>
      <c r="R35" s="30">
        <v>80</v>
      </c>
      <c r="S35" s="31">
        <v>0.8</v>
      </c>
      <c r="T35" s="31">
        <v>0.1</v>
      </c>
      <c r="U35" s="84">
        <v>0.1</v>
      </c>
    </row>
    <row r="36" spans="1:21" x14ac:dyDescent="0.2">
      <c r="A36" s="28" t="s">
        <v>40</v>
      </c>
      <c r="B36" s="28" t="s">
        <v>41</v>
      </c>
      <c r="C36" s="28" t="s">
        <v>42</v>
      </c>
      <c r="D36" s="28" t="s">
        <v>342</v>
      </c>
      <c r="E36" s="28" t="s">
        <v>343</v>
      </c>
      <c r="F36" s="28" t="s">
        <v>344</v>
      </c>
      <c r="G36" s="28" t="s">
        <v>115</v>
      </c>
      <c r="H36" s="28" t="s">
        <v>36</v>
      </c>
      <c r="I36" s="28" t="s">
        <v>112</v>
      </c>
      <c r="J36" s="28" t="s">
        <v>113</v>
      </c>
      <c r="K36" s="31">
        <v>0.5</v>
      </c>
      <c r="L36" s="28" t="s">
        <v>114</v>
      </c>
      <c r="M36" s="28">
        <v>2017</v>
      </c>
      <c r="N36" s="28" t="s">
        <v>43</v>
      </c>
      <c r="O36" s="29" t="s">
        <v>116</v>
      </c>
      <c r="P36" s="28" t="s">
        <v>62</v>
      </c>
      <c r="Q36" s="29" t="s">
        <v>57</v>
      </c>
      <c r="R36" s="30">
        <v>20</v>
      </c>
      <c r="S36" s="83">
        <v>0.1</v>
      </c>
      <c r="T36" s="31">
        <v>0.35</v>
      </c>
      <c r="U36" s="84">
        <v>0.05</v>
      </c>
    </row>
    <row r="37" spans="1:21" x14ac:dyDescent="0.2">
      <c r="A37" s="28" t="s">
        <v>40</v>
      </c>
      <c r="B37" s="28" t="s">
        <v>41</v>
      </c>
      <c r="C37" s="28" t="s">
        <v>42</v>
      </c>
      <c r="D37" s="28" t="s">
        <v>342</v>
      </c>
      <c r="E37" s="28" t="s">
        <v>343</v>
      </c>
      <c r="F37" s="28" t="s">
        <v>344</v>
      </c>
      <c r="G37" s="28" t="s">
        <v>345</v>
      </c>
      <c r="H37" s="28" t="s">
        <v>36</v>
      </c>
      <c r="I37" s="28" t="s">
        <v>112</v>
      </c>
      <c r="J37" s="28" t="s">
        <v>113</v>
      </c>
      <c r="K37" s="31">
        <v>0.5</v>
      </c>
      <c r="L37" s="28" t="s">
        <v>114</v>
      </c>
      <c r="M37" s="28">
        <v>2017</v>
      </c>
      <c r="N37" s="28" t="s">
        <v>43</v>
      </c>
      <c r="O37" s="29" t="s">
        <v>61</v>
      </c>
      <c r="P37" s="28" t="s">
        <v>62</v>
      </c>
      <c r="Q37" s="29" t="s">
        <v>57</v>
      </c>
      <c r="R37" s="30">
        <v>10</v>
      </c>
      <c r="S37" s="83">
        <v>0.05</v>
      </c>
      <c r="T37" s="31">
        <v>0.4</v>
      </c>
      <c r="U37" s="84">
        <v>0.05</v>
      </c>
    </row>
    <row r="38" spans="1:21" x14ac:dyDescent="0.2">
      <c r="A38" s="28" t="s">
        <v>40</v>
      </c>
      <c r="B38" s="28" t="s">
        <v>41</v>
      </c>
      <c r="C38" s="28" t="s">
        <v>42</v>
      </c>
      <c r="D38" s="28" t="s">
        <v>346</v>
      </c>
      <c r="E38" s="28" t="s">
        <v>347</v>
      </c>
      <c r="F38" s="28" t="s">
        <v>348</v>
      </c>
      <c r="G38" s="28" t="s">
        <v>115</v>
      </c>
      <c r="H38" s="28" t="s">
        <v>36</v>
      </c>
      <c r="I38" s="28" t="s">
        <v>112</v>
      </c>
      <c r="J38" s="28" t="s">
        <v>113</v>
      </c>
      <c r="K38" s="31">
        <v>0.5</v>
      </c>
      <c r="L38" s="28" t="s">
        <v>114</v>
      </c>
      <c r="M38" s="28">
        <v>2017</v>
      </c>
      <c r="N38" s="28" t="s">
        <v>43</v>
      </c>
      <c r="O38" s="29" t="s">
        <v>116</v>
      </c>
      <c r="P38" s="28" t="s">
        <v>62</v>
      </c>
      <c r="Q38" s="29" t="s">
        <v>57</v>
      </c>
      <c r="R38" s="30">
        <v>20</v>
      </c>
      <c r="S38" s="83">
        <v>0.1</v>
      </c>
      <c r="T38" s="31">
        <v>0.35</v>
      </c>
      <c r="U38" s="84">
        <v>0.05</v>
      </c>
    </row>
    <row r="39" spans="1:21" ht="10.8" thickBot="1" x14ac:dyDescent="0.25">
      <c r="A39" s="28" t="s">
        <v>45</v>
      </c>
      <c r="B39" s="28" t="s">
        <v>46</v>
      </c>
      <c r="C39" s="28" t="s">
        <v>47</v>
      </c>
      <c r="D39" s="28" t="s">
        <v>349</v>
      </c>
      <c r="E39" s="28" t="s">
        <v>350</v>
      </c>
      <c r="F39" s="28" t="s">
        <v>141</v>
      </c>
      <c r="G39" s="28" t="s">
        <v>130</v>
      </c>
      <c r="H39" s="28" t="s">
        <v>39</v>
      </c>
      <c r="I39" s="28" t="s">
        <v>124</v>
      </c>
      <c r="J39" s="28" t="s">
        <v>125</v>
      </c>
      <c r="K39" s="71">
        <v>1</v>
      </c>
      <c r="L39" s="28" t="s">
        <v>131</v>
      </c>
      <c r="M39" s="28">
        <v>2018</v>
      </c>
      <c r="N39" s="28" t="s">
        <v>48</v>
      </c>
      <c r="O39" s="29" t="s">
        <v>51</v>
      </c>
      <c r="P39" s="28" t="s">
        <v>62</v>
      </c>
      <c r="Q39" s="29" t="s">
        <v>57</v>
      </c>
      <c r="R39" s="30">
        <v>70</v>
      </c>
      <c r="S39" s="31">
        <v>0.7</v>
      </c>
      <c r="T39" s="31">
        <v>0.2</v>
      </c>
      <c r="U39" s="84">
        <v>0.1</v>
      </c>
    </row>
    <row r="40" spans="1:21" ht="10.8" thickBot="1" x14ac:dyDescent="0.25">
      <c r="A40" s="34" t="s">
        <v>52</v>
      </c>
      <c r="B40" s="34" t="s">
        <v>53</v>
      </c>
      <c r="C40" s="34" t="s">
        <v>96</v>
      </c>
      <c r="D40" s="34" t="s">
        <v>317</v>
      </c>
      <c r="E40" s="34" t="s">
        <v>318</v>
      </c>
      <c r="F40" s="34" t="s">
        <v>319</v>
      </c>
      <c r="G40" s="35" t="s">
        <v>351</v>
      </c>
      <c r="H40" s="36" t="s">
        <v>36</v>
      </c>
      <c r="I40" s="36" t="s">
        <v>52</v>
      </c>
      <c r="J40" s="37" t="s">
        <v>53</v>
      </c>
      <c r="K40" s="32">
        <v>0.5</v>
      </c>
      <c r="L40" s="32" t="s">
        <v>54</v>
      </c>
      <c r="M40" s="28">
        <v>2020</v>
      </c>
      <c r="N40" s="28" t="s">
        <v>43</v>
      </c>
      <c r="O40" s="29" t="s">
        <v>57</v>
      </c>
      <c r="P40" s="28" t="s">
        <v>62</v>
      </c>
      <c r="Q40" s="29" t="s">
        <v>49</v>
      </c>
      <c r="R40" s="28">
        <v>40</v>
      </c>
      <c r="S40" s="28">
        <v>0.2</v>
      </c>
      <c r="T40" s="28">
        <v>0.05</v>
      </c>
      <c r="U40" s="85">
        <v>0.25</v>
      </c>
    </row>
    <row r="41" spans="1:21" x14ac:dyDescent="0.2">
      <c r="A41" s="28" t="s">
        <v>94</v>
      </c>
      <c r="B41" s="28" t="s">
        <v>95</v>
      </c>
      <c r="C41" s="28" t="s">
        <v>96</v>
      </c>
      <c r="D41" s="28" t="s">
        <v>450</v>
      </c>
      <c r="E41" s="28" t="s">
        <v>451</v>
      </c>
      <c r="F41" s="28" t="s">
        <v>452</v>
      </c>
      <c r="G41" s="28" t="s">
        <v>351</v>
      </c>
      <c r="H41" s="28" t="s">
        <v>36</v>
      </c>
      <c r="I41" s="28" t="s">
        <v>52</v>
      </c>
      <c r="J41" s="28" t="s">
        <v>53</v>
      </c>
      <c r="K41" s="32">
        <v>0.5</v>
      </c>
      <c r="L41" s="32" t="s">
        <v>54</v>
      </c>
      <c r="M41" s="28">
        <v>2021</v>
      </c>
      <c r="N41" s="28" t="s">
        <v>43</v>
      </c>
      <c r="O41" s="29" t="s">
        <v>57</v>
      </c>
      <c r="P41" s="28" t="s">
        <v>62</v>
      </c>
      <c r="Q41" s="29" t="s">
        <v>49</v>
      </c>
      <c r="R41" s="28">
        <v>40</v>
      </c>
      <c r="S41" s="28">
        <v>0.2</v>
      </c>
      <c r="T41" s="28">
        <v>0.05</v>
      </c>
      <c r="U41" s="85">
        <v>0.25</v>
      </c>
    </row>
    <row r="42" spans="1:21" x14ac:dyDescent="0.2">
      <c r="A42" s="28" t="s">
        <v>40</v>
      </c>
      <c r="B42" s="28" t="s">
        <v>41</v>
      </c>
      <c r="C42" s="28" t="s">
        <v>42</v>
      </c>
      <c r="D42" s="28" t="s">
        <v>461</v>
      </c>
      <c r="E42" s="28" t="s">
        <v>462</v>
      </c>
      <c r="F42" s="28" t="s">
        <v>463</v>
      </c>
      <c r="G42" s="28" t="s">
        <v>464</v>
      </c>
      <c r="H42" s="28" t="s">
        <v>36</v>
      </c>
      <c r="I42" s="28" t="s">
        <v>52</v>
      </c>
      <c r="J42" s="28" t="s">
        <v>53</v>
      </c>
      <c r="K42" s="32">
        <v>0.33333333333333331</v>
      </c>
      <c r="L42" s="32" t="s">
        <v>54</v>
      </c>
      <c r="M42" s="28">
        <v>2021</v>
      </c>
      <c r="N42" s="28" t="s">
        <v>43</v>
      </c>
      <c r="O42" s="29" t="s">
        <v>57</v>
      </c>
      <c r="P42" s="28" t="s">
        <v>62</v>
      </c>
      <c r="Q42" s="29" t="s">
        <v>49</v>
      </c>
      <c r="R42" s="28">
        <v>40</v>
      </c>
      <c r="S42" s="28">
        <v>0.13333333333333333</v>
      </c>
      <c r="T42" s="28">
        <v>3.3333333333333333E-2</v>
      </c>
      <c r="U42" s="85">
        <v>0.16666666666666663</v>
      </c>
    </row>
    <row r="43" spans="1:21" ht="14.4" customHeight="1" x14ac:dyDescent="0.2">
      <c r="T43" s="94">
        <f>SUM(U35:U42,T2:T34)</f>
        <v>4.3416666666666659</v>
      </c>
      <c r="U43" s="94"/>
    </row>
  </sheetData>
  <autoFilter ref="A1:U1" xr:uid="{00000000-0009-0000-0000-000000000000}">
    <sortState xmlns:xlrd2="http://schemas.microsoft.com/office/spreadsheetml/2017/richdata2" ref="A2:T925">
      <sortCondition ref="M2:M925"/>
      <sortCondition ref="O2:O925"/>
    </sortState>
  </autoFilter>
  <mergeCells count="1">
    <mergeCell ref="T43:U43"/>
  </mergeCells>
  <printOptions horizontalCentered="1"/>
  <pageMargins left="0.19685039370078741" right="0.19685039370078741" top="0.39370078740157483" bottom="0.39370078740157483" header="0.78740157480314965" footer="0"/>
  <pageSetup paperSize="9" scale="92" fitToWidth="2" fitToHeight="2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7"/>
  <sheetViews>
    <sheetView zoomScaleNormal="100" workbookViewId="0">
      <selection activeCell="Q37" sqref="Q37:R37"/>
    </sheetView>
  </sheetViews>
  <sheetFormatPr baseColWidth="10" defaultColWidth="11.44140625" defaultRowHeight="13.2" x14ac:dyDescent="0.25"/>
  <cols>
    <col min="1" max="1" width="9.33203125" style="18" customWidth="1"/>
    <col min="2" max="2" width="39" style="18" bestFit="1" customWidth="1"/>
    <col min="3" max="3" width="17.109375" style="18" bestFit="1" customWidth="1"/>
    <col min="4" max="9" width="3" style="18" customWidth="1"/>
    <col min="10" max="10" width="5.109375" style="18" customWidth="1"/>
    <col min="11" max="11" width="31.88671875" style="18" customWidth="1"/>
    <col min="12" max="12" width="5.33203125" style="18" customWidth="1"/>
    <col min="13" max="13" width="5.33203125" style="21" customWidth="1"/>
    <col min="14" max="14" width="4.6640625" style="21" customWidth="1"/>
    <col min="15" max="15" width="5.33203125" style="18" customWidth="1"/>
    <col min="16" max="16" width="4.6640625" style="21" customWidth="1"/>
    <col min="17" max="19" width="4.88671875" style="18" customWidth="1"/>
    <col min="20" max="16384" width="11.44140625" style="18"/>
  </cols>
  <sheetData>
    <row r="1" spans="1:19" s="17" customFormat="1" ht="65.099999999999994" customHeight="1" x14ac:dyDescent="0.25">
      <c r="A1" s="88" t="s">
        <v>155</v>
      </c>
      <c r="B1" s="88" t="s">
        <v>156</v>
      </c>
      <c r="C1" s="88" t="s">
        <v>157</v>
      </c>
      <c r="D1" s="89">
        <v>2017</v>
      </c>
      <c r="E1" s="89">
        <v>2018</v>
      </c>
      <c r="F1" s="89">
        <v>2019</v>
      </c>
      <c r="G1" s="89">
        <v>2020</v>
      </c>
      <c r="H1" s="89">
        <v>2021</v>
      </c>
      <c r="I1" s="89">
        <v>2022</v>
      </c>
      <c r="J1" s="88" t="s">
        <v>158</v>
      </c>
      <c r="K1" s="90" t="s">
        <v>465</v>
      </c>
      <c r="L1" s="15" t="s">
        <v>159</v>
      </c>
      <c r="M1" s="15" t="s">
        <v>160</v>
      </c>
      <c r="N1" s="15" t="s">
        <v>161</v>
      </c>
      <c r="O1" s="15" t="s">
        <v>162</v>
      </c>
      <c r="P1" s="16" t="s">
        <v>163</v>
      </c>
      <c r="Q1" s="16" t="s">
        <v>164</v>
      </c>
      <c r="R1" s="16" t="s">
        <v>165</v>
      </c>
      <c r="S1" s="16" t="s">
        <v>166</v>
      </c>
    </row>
    <row r="2" spans="1:19" ht="14.4" x14ac:dyDescent="0.3">
      <c r="A2" s="25" t="s">
        <v>188</v>
      </c>
      <c r="B2" s="25" t="s">
        <v>189</v>
      </c>
      <c r="C2" s="25" t="s">
        <v>168</v>
      </c>
      <c r="D2" s="25"/>
      <c r="E2" s="25"/>
      <c r="F2" s="25"/>
      <c r="G2" s="25"/>
      <c r="H2" s="25"/>
      <c r="I2" s="25">
        <v>2</v>
      </c>
      <c r="J2" s="25">
        <v>2</v>
      </c>
      <c r="K2" s="25" t="s">
        <v>67</v>
      </c>
      <c r="L2" s="26" t="s">
        <v>62</v>
      </c>
      <c r="M2" s="26" t="s">
        <v>57</v>
      </c>
      <c r="N2" s="26" t="s">
        <v>38</v>
      </c>
      <c r="O2" s="26" t="s">
        <v>38</v>
      </c>
      <c r="P2" s="26">
        <v>90</v>
      </c>
      <c r="Q2" s="93">
        <v>0.2</v>
      </c>
      <c r="R2" s="26">
        <v>0</v>
      </c>
      <c r="S2" s="26">
        <v>1.8</v>
      </c>
    </row>
    <row r="3" spans="1:19" ht="14.4" x14ac:dyDescent="0.3">
      <c r="A3" s="25" t="s">
        <v>298</v>
      </c>
      <c r="B3" s="25" t="s">
        <v>299</v>
      </c>
      <c r="C3" s="25" t="s">
        <v>167</v>
      </c>
      <c r="D3" s="25"/>
      <c r="E3" s="25"/>
      <c r="F3" s="25">
        <v>1</v>
      </c>
      <c r="G3" s="25"/>
      <c r="H3" s="25"/>
      <c r="I3" s="25"/>
      <c r="J3" s="25">
        <v>1</v>
      </c>
      <c r="K3" s="25" t="s">
        <v>101</v>
      </c>
      <c r="L3" s="26" t="s">
        <v>62</v>
      </c>
      <c r="M3" s="26" t="s">
        <v>57</v>
      </c>
      <c r="N3" s="26" t="s">
        <v>38</v>
      </c>
      <c r="O3" s="26" t="s">
        <v>38</v>
      </c>
      <c r="P3" s="26">
        <v>90</v>
      </c>
      <c r="Q3" s="93">
        <v>0.1</v>
      </c>
      <c r="R3" s="26">
        <v>0</v>
      </c>
      <c r="S3" s="26">
        <v>0.9</v>
      </c>
    </row>
    <row r="4" spans="1:19" ht="14.4" x14ac:dyDescent="0.3">
      <c r="A4" s="25" t="s">
        <v>303</v>
      </c>
      <c r="B4" s="25" t="s">
        <v>304</v>
      </c>
      <c r="C4" s="25" t="s">
        <v>167</v>
      </c>
      <c r="D4" s="25"/>
      <c r="E4" s="25"/>
      <c r="F4" s="25"/>
      <c r="G4" s="25"/>
      <c r="H4" s="25">
        <v>1</v>
      </c>
      <c r="I4" s="25"/>
      <c r="J4" s="25">
        <v>1</v>
      </c>
      <c r="K4" s="25" t="s">
        <v>54</v>
      </c>
      <c r="L4" s="26" t="s">
        <v>62</v>
      </c>
      <c r="M4" s="26" t="s">
        <v>49</v>
      </c>
      <c r="N4" s="26" t="s">
        <v>38</v>
      </c>
      <c r="O4" s="26" t="s">
        <v>38</v>
      </c>
      <c r="P4" s="26">
        <v>50</v>
      </c>
      <c r="Q4" s="93">
        <v>0.5</v>
      </c>
      <c r="R4" s="26">
        <v>0</v>
      </c>
      <c r="S4" s="26">
        <v>0.5</v>
      </c>
    </row>
    <row r="5" spans="1:19" ht="14.4" x14ac:dyDescent="0.3">
      <c r="A5" s="25" t="s">
        <v>182</v>
      </c>
      <c r="B5" s="25" t="s">
        <v>183</v>
      </c>
      <c r="C5" s="25" t="s">
        <v>167</v>
      </c>
      <c r="D5" s="25"/>
      <c r="E5" s="25"/>
      <c r="F5" s="25"/>
      <c r="G5" s="25"/>
      <c r="H5" s="25"/>
      <c r="I5" s="25">
        <v>3</v>
      </c>
      <c r="J5" s="25">
        <v>3</v>
      </c>
      <c r="K5" s="25" t="s">
        <v>101</v>
      </c>
      <c r="L5" s="26" t="s">
        <v>62</v>
      </c>
      <c r="M5" s="26" t="s">
        <v>57</v>
      </c>
      <c r="N5" s="26" t="s">
        <v>38</v>
      </c>
      <c r="O5" s="26" t="s">
        <v>38</v>
      </c>
      <c r="P5" s="26">
        <v>90</v>
      </c>
      <c r="Q5" s="93">
        <v>0.3</v>
      </c>
      <c r="R5" s="26">
        <v>0</v>
      </c>
      <c r="S5" s="26">
        <v>2.7</v>
      </c>
    </row>
    <row r="6" spans="1:19" ht="14.4" x14ac:dyDescent="0.3">
      <c r="A6" s="25" t="s">
        <v>204</v>
      </c>
      <c r="B6" s="25" t="s">
        <v>205</v>
      </c>
      <c r="C6" s="25" t="s">
        <v>167</v>
      </c>
      <c r="D6" s="25"/>
      <c r="E6" s="25"/>
      <c r="F6" s="25">
        <v>1</v>
      </c>
      <c r="G6" s="25"/>
      <c r="H6" s="25"/>
      <c r="I6" s="25">
        <v>1</v>
      </c>
      <c r="J6" s="25">
        <v>2</v>
      </c>
      <c r="K6" s="25" t="s">
        <v>54</v>
      </c>
      <c r="L6" s="26" t="s">
        <v>62</v>
      </c>
      <c r="M6" s="26" t="s">
        <v>49</v>
      </c>
      <c r="N6" s="26" t="s">
        <v>43</v>
      </c>
      <c r="O6" s="26" t="s">
        <v>57</v>
      </c>
      <c r="P6" s="26">
        <v>40</v>
      </c>
      <c r="Q6" s="93">
        <v>1</v>
      </c>
      <c r="R6" s="26">
        <v>0.2</v>
      </c>
      <c r="S6" s="26">
        <v>0.8</v>
      </c>
    </row>
    <row r="7" spans="1:19" ht="14.4" x14ac:dyDescent="0.3">
      <c r="A7" s="25" t="s">
        <v>305</v>
      </c>
      <c r="B7" s="25" t="s">
        <v>306</v>
      </c>
      <c r="C7" s="25" t="s">
        <v>167</v>
      </c>
      <c r="D7" s="25"/>
      <c r="E7" s="25"/>
      <c r="F7" s="25"/>
      <c r="G7" s="25"/>
      <c r="H7" s="25">
        <v>1</v>
      </c>
      <c r="I7" s="25"/>
      <c r="J7" s="25">
        <v>1</v>
      </c>
      <c r="K7" s="25" t="s">
        <v>54</v>
      </c>
      <c r="L7" s="26" t="s">
        <v>62</v>
      </c>
      <c r="M7" s="26" t="s">
        <v>49</v>
      </c>
      <c r="N7" s="26" t="s">
        <v>38</v>
      </c>
      <c r="O7" s="26" t="s">
        <v>38</v>
      </c>
      <c r="P7" s="26">
        <v>50</v>
      </c>
      <c r="Q7" s="93">
        <v>0.5</v>
      </c>
      <c r="R7" s="26">
        <v>0</v>
      </c>
      <c r="S7" s="26">
        <v>0.5</v>
      </c>
    </row>
    <row r="8" spans="1:19" ht="14.4" x14ac:dyDescent="0.3">
      <c r="A8" s="25" t="s">
        <v>206</v>
      </c>
      <c r="B8" s="25" t="s">
        <v>301</v>
      </c>
      <c r="C8" s="22" t="s">
        <v>167</v>
      </c>
      <c r="D8" s="25"/>
      <c r="E8" s="25">
        <v>1</v>
      </c>
      <c r="F8" s="25"/>
      <c r="G8" s="25"/>
      <c r="H8" s="25"/>
      <c r="I8" s="25"/>
      <c r="J8" s="25">
        <v>1</v>
      </c>
      <c r="K8" s="25" t="s">
        <v>54</v>
      </c>
      <c r="L8" s="26" t="s">
        <v>62</v>
      </c>
      <c r="M8" s="26" t="s">
        <v>49</v>
      </c>
      <c r="N8" s="26" t="s">
        <v>43</v>
      </c>
      <c r="O8" s="26" t="s">
        <v>57</v>
      </c>
      <c r="P8" s="26">
        <v>40</v>
      </c>
      <c r="Q8" s="93">
        <v>0.5</v>
      </c>
      <c r="R8" s="26">
        <v>0.1</v>
      </c>
      <c r="S8" s="26">
        <v>0.4</v>
      </c>
    </row>
    <row r="9" spans="1:19" ht="14.4" x14ac:dyDescent="0.3">
      <c r="A9" s="25" t="s">
        <v>190</v>
      </c>
      <c r="B9" s="25" t="s">
        <v>191</v>
      </c>
      <c r="C9" s="25" t="s">
        <v>167</v>
      </c>
      <c r="D9" s="25"/>
      <c r="E9" s="25">
        <v>2</v>
      </c>
      <c r="F9" s="25"/>
      <c r="G9" s="25"/>
      <c r="H9" s="25"/>
      <c r="I9" s="25"/>
      <c r="J9" s="25">
        <v>2</v>
      </c>
      <c r="K9" s="25" t="s">
        <v>123</v>
      </c>
      <c r="L9" s="26" t="s">
        <v>62</v>
      </c>
      <c r="M9" s="26" t="s">
        <v>57</v>
      </c>
      <c r="N9" s="26" t="s">
        <v>38</v>
      </c>
      <c r="O9" s="26" t="s">
        <v>38</v>
      </c>
      <c r="P9" s="26">
        <v>90</v>
      </c>
      <c r="Q9" s="93">
        <v>0.2</v>
      </c>
      <c r="R9" s="26">
        <v>0</v>
      </c>
      <c r="S9" s="26">
        <v>1.8</v>
      </c>
    </row>
    <row r="10" spans="1:19" ht="14.4" x14ac:dyDescent="0.3">
      <c r="A10" s="25" t="s">
        <v>196</v>
      </c>
      <c r="B10" s="25" t="s">
        <v>197</v>
      </c>
      <c r="C10" s="25" t="s">
        <v>167</v>
      </c>
      <c r="D10" s="25"/>
      <c r="E10" s="25"/>
      <c r="F10" s="25"/>
      <c r="G10" s="25">
        <v>1</v>
      </c>
      <c r="H10" s="25"/>
      <c r="I10" s="25"/>
      <c r="J10" s="25">
        <v>1</v>
      </c>
      <c r="K10" s="25" t="s">
        <v>54</v>
      </c>
      <c r="L10" s="26" t="s">
        <v>62</v>
      </c>
      <c r="M10" s="26" t="s">
        <v>49</v>
      </c>
      <c r="N10" s="26" t="s">
        <v>38</v>
      </c>
      <c r="O10" s="26" t="s">
        <v>38</v>
      </c>
      <c r="P10" s="26">
        <v>50</v>
      </c>
      <c r="Q10" s="93">
        <v>0.5</v>
      </c>
      <c r="R10" s="26">
        <v>0</v>
      </c>
      <c r="S10" s="26">
        <v>0.5</v>
      </c>
    </row>
    <row r="11" spans="1:19" ht="14.4" x14ac:dyDescent="0.3">
      <c r="A11" s="25" t="s">
        <v>211</v>
      </c>
      <c r="B11" s="25" t="s">
        <v>212</v>
      </c>
      <c r="C11" s="25" t="s">
        <v>167</v>
      </c>
      <c r="D11" s="25"/>
      <c r="E11" s="25"/>
      <c r="F11" s="25"/>
      <c r="G11" s="25">
        <v>1</v>
      </c>
      <c r="H11" s="25"/>
      <c r="I11" s="25"/>
      <c r="J11" s="25">
        <v>1</v>
      </c>
      <c r="K11" s="25" t="s">
        <v>123</v>
      </c>
      <c r="L11" s="26" t="s">
        <v>62</v>
      </c>
      <c r="M11" s="26" t="s">
        <v>51</v>
      </c>
      <c r="N11" s="26" t="s">
        <v>151</v>
      </c>
      <c r="O11" s="26" t="s">
        <v>51</v>
      </c>
      <c r="P11" s="26">
        <v>60</v>
      </c>
      <c r="Q11" s="93">
        <v>0.2</v>
      </c>
      <c r="R11" s="26">
        <v>0.2</v>
      </c>
      <c r="S11" s="26">
        <v>0.6</v>
      </c>
    </row>
    <row r="12" spans="1:19" ht="14.4" x14ac:dyDescent="0.3">
      <c r="A12" s="25" t="s">
        <v>186</v>
      </c>
      <c r="B12" s="25" t="s">
        <v>187</v>
      </c>
      <c r="C12" s="25" t="s">
        <v>167</v>
      </c>
      <c r="D12" s="25"/>
      <c r="E12" s="25"/>
      <c r="F12" s="25">
        <v>2</v>
      </c>
      <c r="G12" s="25"/>
      <c r="H12" s="25"/>
      <c r="I12" s="25"/>
      <c r="J12" s="25">
        <v>2</v>
      </c>
      <c r="K12" s="25" t="s">
        <v>101</v>
      </c>
      <c r="L12" s="26" t="s">
        <v>62</v>
      </c>
      <c r="M12" s="26" t="s">
        <v>57</v>
      </c>
      <c r="N12" s="26" t="s">
        <v>38</v>
      </c>
      <c r="O12" s="26" t="s">
        <v>38</v>
      </c>
      <c r="P12" s="26">
        <v>90</v>
      </c>
      <c r="Q12" s="93">
        <v>0.2</v>
      </c>
      <c r="R12" s="26">
        <v>0</v>
      </c>
      <c r="S12" s="26">
        <v>1.8</v>
      </c>
    </row>
    <row r="13" spans="1:19" ht="14.4" x14ac:dyDescent="0.3">
      <c r="A13" s="25" t="s">
        <v>192</v>
      </c>
      <c r="B13" s="25" t="s">
        <v>193</v>
      </c>
      <c r="C13" s="25" t="s">
        <v>167</v>
      </c>
      <c r="D13" s="25">
        <v>1</v>
      </c>
      <c r="E13" s="25"/>
      <c r="F13" s="25">
        <v>1</v>
      </c>
      <c r="G13" s="25"/>
      <c r="H13" s="25"/>
      <c r="I13" s="25"/>
      <c r="J13" s="25">
        <v>2</v>
      </c>
      <c r="K13" s="25" t="s">
        <v>154</v>
      </c>
      <c r="L13" s="26" t="s">
        <v>62</v>
      </c>
      <c r="M13" s="26" t="s">
        <v>55</v>
      </c>
      <c r="N13" s="26" t="s">
        <v>38</v>
      </c>
      <c r="O13" s="26" t="s">
        <v>38</v>
      </c>
      <c r="P13" s="26">
        <v>10</v>
      </c>
      <c r="Q13" s="93">
        <v>1.8</v>
      </c>
      <c r="R13" s="26">
        <v>0</v>
      </c>
      <c r="S13" s="26">
        <v>0.2</v>
      </c>
    </row>
    <row r="14" spans="1:19" ht="14.4" x14ac:dyDescent="0.3">
      <c r="A14" s="25" t="s">
        <v>198</v>
      </c>
      <c r="B14" s="25" t="s">
        <v>199</v>
      </c>
      <c r="C14" s="25" t="s">
        <v>168</v>
      </c>
      <c r="D14" s="25"/>
      <c r="E14" s="25"/>
      <c r="F14" s="25"/>
      <c r="G14" s="25">
        <v>1</v>
      </c>
      <c r="H14" s="25"/>
      <c r="I14" s="25">
        <v>1</v>
      </c>
      <c r="J14" s="25">
        <v>2</v>
      </c>
      <c r="K14" s="25" t="s">
        <v>105</v>
      </c>
      <c r="L14" s="26" t="s">
        <v>62</v>
      </c>
      <c r="M14" s="26" t="s">
        <v>57</v>
      </c>
      <c r="N14" s="26" t="s">
        <v>38</v>
      </c>
      <c r="O14" s="26" t="s">
        <v>38</v>
      </c>
      <c r="P14" s="26">
        <v>90</v>
      </c>
      <c r="Q14" s="93">
        <v>0.2</v>
      </c>
      <c r="R14" s="26">
        <v>0</v>
      </c>
      <c r="S14" s="26">
        <v>1.8</v>
      </c>
    </row>
    <row r="15" spans="1:19" ht="14.4" x14ac:dyDescent="0.3">
      <c r="A15" s="25" t="s">
        <v>194</v>
      </c>
      <c r="B15" s="25" t="s">
        <v>195</v>
      </c>
      <c r="C15" s="25" t="s">
        <v>167</v>
      </c>
      <c r="D15" s="25"/>
      <c r="E15" s="25"/>
      <c r="F15" s="25"/>
      <c r="G15" s="25"/>
      <c r="H15" s="25">
        <v>1</v>
      </c>
      <c r="I15" s="25"/>
      <c r="J15" s="25">
        <v>1</v>
      </c>
      <c r="K15" s="25" t="s">
        <v>78</v>
      </c>
      <c r="L15" s="26" t="s">
        <v>62</v>
      </c>
      <c r="M15" s="26" t="s">
        <v>57</v>
      </c>
      <c r="N15" s="26" t="s">
        <v>38</v>
      </c>
      <c r="O15" s="26" t="s">
        <v>38</v>
      </c>
      <c r="P15" s="26">
        <v>90</v>
      </c>
      <c r="Q15" s="93">
        <v>0.1</v>
      </c>
      <c r="R15" s="26">
        <v>0</v>
      </c>
      <c r="S15" s="26">
        <v>0.9</v>
      </c>
    </row>
    <row r="16" spans="1:19" ht="14.4" x14ac:dyDescent="0.3">
      <c r="A16" s="25" t="s">
        <v>184</v>
      </c>
      <c r="B16" s="25" t="s">
        <v>185</v>
      </c>
      <c r="C16" s="25" t="s">
        <v>167</v>
      </c>
      <c r="D16" s="25"/>
      <c r="E16" s="25"/>
      <c r="F16" s="25">
        <v>1</v>
      </c>
      <c r="G16" s="25"/>
      <c r="H16" s="25"/>
      <c r="I16" s="25"/>
      <c r="J16" s="25">
        <v>1</v>
      </c>
      <c r="K16" s="25" t="s">
        <v>78</v>
      </c>
      <c r="L16" s="26" t="s">
        <v>62</v>
      </c>
      <c r="M16" s="26" t="s">
        <v>57</v>
      </c>
      <c r="N16" s="26" t="s">
        <v>38</v>
      </c>
      <c r="O16" s="26" t="s">
        <v>38</v>
      </c>
      <c r="P16" s="26">
        <v>90</v>
      </c>
      <c r="Q16" s="93">
        <v>0.1</v>
      </c>
      <c r="R16" s="26">
        <v>0</v>
      </c>
      <c r="S16" s="26">
        <v>0.9</v>
      </c>
    </row>
    <row r="17" spans="1:19" ht="14.4" x14ac:dyDescent="0.3">
      <c r="A17" s="22" t="s">
        <v>307</v>
      </c>
      <c r="B17" s="22" t="s">
        <v>308</v>
      </c>
      <c r="C17" s="23" t="s">
        <v>167</v>
      </c>
      <c r="D17" s="22"/>
      <c r="E17" s="22"/>
      <c r="F17" s="22"/>
      <c r="G17" s="22"/>
      <c r="H17" s="22">
        <v>1</v>
      </c>
      <c r="I17" s="22"/>
      <c r="J17" s="25">
        <v>1</v>
      </c>
      <c r="K17" s="25" t="s">
        <v>105</v>
      </c>
      <c r="L17" s="26" t="s">
        <v>62</v>
      </c>
      <c r="M17" s="26" t="s">
        <v>57</v>
      </c>
      <c r="N17" s="26" t="s">
        <v>38</v>
      </c>
      <c r="O17" s="26" t="s">
        <v>38</v>
      </c>
      <c r="P17" s="26">
        <v>90</v>
      </c>
      <c r="Q17" s="93">
        <v>0.1</v>
      </c>
      <c r="R17" s="26">
        <v>0</v>
      </c>
      <c r="S17" s="26">
        <v>0.9</v>
      </c>
    </row>
    <row r="18" spans="1:19" ht="14.4" x14ac:dyDescent="0.3">
      <c r="A18" s="22" t="s">
        <v>466</v>
      </c>
      <c r="B18" s="22" t="s">
        <v>467</v>
      </c>
      <c r="C18" s="23" t="s">
        <v>167</v>
      </c>
      <c r="D18" s="22"/>
      <c r="E18" s="22"/>
      <c r="F18" s="22"/>
      <c r="G18" s="22"/>
      <c r="H18" s="22"/>
      <c r="I18" s="22">
        <v>1</v>
      </c>
      <c r="J18" s="25">
        <v>1</v>
      </c>
      <c r="K18" s="25" t="s">
        <v>468</v>
      </c>
      <c r="L18" s="26" t="s">
        <v>62</v>
      </c>
      <c r="M18" s="26" t="s">
        <v>57</v>
      </c>
      <c r="N18" s="26" t="s">
        <v>38</v>
      </c>
      <c r="O18" s="26" t="s">
        <v>38</v>
      </c>
      <c r="P18" s="26">
        <v>90</v>
      </c>
      <c r="Q18" s="93">
        <v>0.1</v>
      </c>
      <c r="R18" s="26">
        <v>0</v>
      </c>
      <c r="S18" s="26">
        <v>0.9</v>
      </c>
    </row>
    <row r="19" spans="1:19" ht="14.4" x14ac:dyDescent="0.3">
      <c r="A19" s="25" t="s">
        <v>202</v>
      </c>
      <c r="B19" s="25" t="s">
        <v>203</v>
      </c>
      <c r="C19" s="25" t="s">
        <v>167</v>
      </c>
      <c r="D19" s="25"/>
      <c r="E19" s="25"/>
      <c r="F19" s="25">
        <v>1</v>
      </c>
      <c r="G19" s="25"/>
      <c r="H19" s="25">
        <v>1</v>
      </c>
      <c r="I19" s="25"/>
      <c r="J19" s="25">
        <v>2</v>
      </c>
      <c r="K19" s="25" t="s">
        <v>114</v>
      </c>
      <c r="L19" s="26" t="s">
        <v>62</v>
      </c>
      <c r="M19" s="26" t="s">
        <v>57</v>
      </c>
      <c r="N19" s="26" t="s">
        <v>43</v>
      </c>
      <c r="O19" s="26" t="s">
        <v>116</v>
      </c>
      <c r="P19" s="26">
        <v>20</v>
      </c>
      <c r="Q19" s="93">
        <v>0.2</v>
      </c>
      <c r="R19" s="26">
        <v>1.4</v>
      </c>
      <c r="S19" s="26">
        <v>0.4</v>
      </c>
    </row>
    <row r="20" spans="1:19" ht="14.4" x14ac:dyDescent="0.3">
      <c r="A20" s="25" t="s">
        <v>309</v>
      </c>
      <c r="B20" s="25" t="s">
        <v>310</v>
      </c>
      <c r="C20" s="25" t="s">
        <v>167</v>
      </c>
      <c r="D20" s="25"/>
      <c r="E20" s="25"/>
      <c r="F20" s="25"/>
      <c r="G20" s="25"/>
      <c r="H20" s="25"/>
      <c r="I20" s="25">
        <v>1</v>
      </c>
      <c r="J20" s="25">
        <v>1</v>
      </c>
      <c r="K20" s="25" t="s">
        <v>311</v>
      </c>
      <c r="L20" s="26" t="s">
        <v>62</v>
      </c>
      <c r="M20" s="26" t="s">
        <v>63</v>
      </c>
      <c r="N20" s="26" t="s">
        <v>38</v>
      </c>
      <c r="O20" s="26" t="s">
        <v>38</v>
      </c>
      <c r="P20" s="26">
        <v>75</v>
      </c>
      <c r="Q20" s="93">
        <v>0.25</v>
      </c>
      <c r="R20" s="26">
        <v>0</v>
      </c>
      <c r="S20" s="26">
        <v>0.75</v>
      </c>
    </row>
    <row r="21" spans="1:19" ht="14.4" x14ac:dyDescent="0.3">
      <c r="A21" s="25" t="s">
        <v>173</v>
      </c>
      <c r="B21" s="25" t="s">
        <v>174</v>
      </c>
      <c r="C21" s="25" t="s">
        <v>167</v>
      </c>
      <c r="D21" s="25"/>
      <c r="E21" s="25"/>
      <c r="F21" s="25">
        <v>1</v>
      </c>
      <c r="G21" s="25"/>
      <c r="H21" s="25"/>
      <c r="I21" s="25"/>
      <c r="J21" s="25">
        <v>1</v>
      </c>
      <c r="K21" s="25" t="s">
        <v>54</v>
      </c>
      <c r="L21" s="26" t="s">
        <v>62</v>
      </c>
      <c r="M21" s="26" t="s">
        <v>49</v>
      </c>
      <c r="N21" s="26" t="s">
        <v>43</v>
      </c>
      <c r="O21" s="26" t="s">
        <v>57</v>
      </c>
      <c r="P21" s="26">
        <v>40</v>
      </c>
      <c r="Q21" s="93">
        <v>0.5</v>
      </c>
      <c r="R21" s="26">
        <v>0.1</v>
      </c>
      <c r="S21" s="26">
        <v>0.4</v>
      </c>
    </row>
    <row r="22" spans="1:19" ht="14.4" x14ac:dyDescent="0.3">
      <c r="A22" s="25" t="s">
        <v>179</v>
      </c>
      <c r="B22" s="25" t="s">
        <v>180</v>
      </c>
      <c r="C22" s="25" t="s">
        <v>167</v>
      </c>
      <c r="D22" s="25"/>
      <c r="E22" s="25"/>
      <c r="F22" s="25"/>
      <c r="G22" s="25">
        <v>1</v>
      </c>
      <c r="H22" s="25"/>
      <c r="I22" s="25"/>
      <c r="J22" s="25">
        <v>1</v>
      </c>
      <c r="K22" s="25" t="s">
        <v>67</v>
      </c>
      <c r="L22" s="26" t="s">
        <v>62</v>
      </c>
      <c r="M22" s="26" t="s">
        <v>57</v>
      </c>
      <c r="N22" s="26" t="s">
        <v>38</v>
      </c>
      <c r="O22" s="26" t="s">
        <v>38</v>
      </c>
      <c r="P22" s="26">
        <v>90</v>
      </c>
      <c r="Q22" s="93">
        <v>0.1</v>
      </c>
      <c r="R22" s="26">
        <v>0</v>
      </c>
      <c r="S22" s="26">
        <v>0.9</v>
      </c>
    </row>
    <row r="23" spans="1:19" ht="14.4" x14ac:dyDescent="0.3">
      <c r="A23" s="25" t="s">
        <v>209</v>
      </c>
      <c r="B23" s="25" t="s">
        <v>210</v>
      </c>
      <c r="C23" s="25" t="s">
        <v>167</v>
      </c>
      <c r="D23" s="25">
        <v>1</v>
      </c>
      <c r="E23" s="25"/>
      <c r="F23" s="25"/>
      <c r="G23" s="25"/>
      <c r="H23" s="25"/>
      <c r="I23" s="25"/>
      <c r="J23" s="25">
        <v>1</v>
      </c>
      <c r="K23" s="25" t="s">
        <v>145</v>
      </c>
      <c r="L23" s="26" t="s">
        <v>62</v>
      </c>
      <c r="M23" s="26" t="s">
        <v>57</v>
      </c>
      <c r="N23" s="26" t="s">
        <v>146</v>
      </c>
      <c r="O23" s="26" t="s">
        <v>61</v>
      </c>
      <c r="P23" s="26">
        <v>10</v>
      </c>
      <c r="Q23" s="93">
        <v>0.1</v>
      </c>
      <c r="R23" s="26">
        <v>0.8</v>
      </c>
      <c r="S23" s="26">
        <v>0.1</v>
      </c>
    </row>
    <row r="24" spans="1:19" ht="14.4" x14ac:dyDescent="0.3">
      <c r="A24" s="25" t="s">
        <v>200</v>
      </c>
      <c r="B24" s="25" t="s">
        <v>201</v>
      </c>
      <c r="C24" s="25" t="s">
        <v>168</v>
      </c>
      <c r="D24" s="25"/>
      <c r="E24" s="25"/>
      <c r="F24" s="25"/>
      <c r="G24" s="25"/>
      <c r="H24" s="25">
        <v>1</v>
      </c>
      <c r="I24" s="25"/>
      <c r="J24" s="25">
        <v>1</v>
      </c>
      <c r="K24" s="25" t="s">
        <v>54</v>
      </c>
      <c r="L24" s="26" t="s">
        <v>62</v>
      </c>
      <c r="M24" s="26" t="s">
        <v>49</v>
      </c>
      <c r="N24" s="26" t="s">
        <v>37</v>
      </c>
      <c r="O24" s="26" t="s">
        <v>63</v>
      </c>
      <c r="P24" s="26">
        <v>25</v>
      </c>
      <c r="Q24" s="93">
        <v>0.5</v>
      </c>
      <c r="R24" s="26">
        <v>0.25</v>
      </c>
      <c r="S24" s="26">
        <v>0.25</v>
      </c>
    </row>
    <row r="25" spans="1:19" ht="14.4" x14ac:dyDescent="0.3">
      <c r="A25" s="25" t="s">
        <v>177</v>
      </c>
      <c r="B25" s="25" t="s">
        <v>178</v>
      </c>
      <c r="C25" s="25" t="s">
        <v>167</v>
      </c>
      <c r="D25" s="25"/>
      <c r="E25" s="25"/>
      <c r="F25" s="25">
        <v>2</v>
      </c>
      <c r="G25" s="25">
        <v>1</v>
      </c>
      <c r="H25" s="25"/>
      <c r="I25" s="25"/>
      <c r="J25" s="25">
        <v>3</v>
      </c>
      <c r="K25" s="25" t="s">
        <v>54</v>
      </c>
      <c r="L25" s="26" t="s">
        <v>62</v>
      </c>
      <c r="M25" s="26" t="s">
        <v>55</v>
      </c>
      <c r="N25" s="26" t="s">
        <v>38</v>
      </c>
      <c r="O25" s="26" t="s">
        <v>38</v>
      </c>
      <c r="P25" s="26">
        <v>10</v>
      </c>
      <c r="Q25" s="93">
        <v>2.7</v>
      </c>
      <c r="R25" s="26">
        <v>0</v>
      </c>
      <c r="S25" s="26">
        <v>0.3</v>
      </c>
    </row>
    <row r="26" spans="1:19" ht="14.4" x14ac:dyDescent="0.3">
      <c r="A26" s="25" t="s">
        <v>207</v>
      </c>
      <c r="B26" s="25" t="s">
        <v>208</v>
      </c>
      <c r="C26" s="25">
        <v>6</v>
      </c>
      <c r="D26" s="25"/>
      <c r="E26" s="25"/>
      <c r="F26" s="25">
        <v>1</v>
      </c>
      <c r="G26" s="25"/>
      <c r="H26" s="25"/>
      <c r="I26" s="25"/>
      <c r="J26" s="25">
        <v>1</v>
      </c>
      <c r="K26" s="25" t="s">
        <v>114</v>
      </c>
      <c r="L26" s="26" t="s">
        <v>62</v>
      </c>
      <c r="M26" s="26" t="s">
        <v>57</v>
      </c>
      <c r="N26" s="26" t="s">
        <v>43</v>
      </c>
      <c r="O26" s="26" t="s">
        <v>61</v>
      </c>
      <c r="P26" s="26">
        <v>10</v>
      </c>
      <c r="Q26" s="93">
        <v>0.1</v>
      </c>
      <c r="R26" s="26">
        <v>0.8</v>
      </c>
      <c r="S26" s="26">
        <v>0.1</v>
      </c>
    </row>
    <row r="27" spans="1:19" ht="14.4" x14ac:dyDescent="0.3">
      <c r="A27" s="25" t="s">
        <v>181</v>
      </c>
      <c r="B27" s="25" t="s">
        <v>300</v>
      </c>
      <c r="C27" s="27" t="s">
        <v>167</v>
      </c>
      <c r="D27" s="25"/>
      <c r="E27" s="25"/>
      <c r="F27" s="25"/>
      <c r="G27" s="25">
        <v>1</v>
      </c>
      <c r="H27" s="25"/>
      <c r="I27" s="25"/>
      <c r="J27" s="25">
        <v>1</v>
      </c>
      <c r="K27" s="25" t="s">
        <v>152</v>
      </c>
      <c r="L27" s="26" t="s">
        <v>62</v>
      </c>
      <c r="M27" s="26" t="s">
        <v>49</v>
      </c>
      <c r="N27" s="26" t="s">
        <v>38</v>
      </c>
      <c r="O27" s="26" t="s">
        <v>38</v>
      </c>
      <c r="P27" s="26">
        <v>50</v>
      </c>
      <c r="Q27" s="93">
        <v>0.5</v>
      </c>
      <c r="R27" s="26">
        <v>0</v>
      </c>
      <c r="S27" s="26">
        <v>0.5</v>
      </c>
    </row>
    <row r="28" spans="1:19" ht="14.4" x14ac:dyDescent="0.3">
      <c r="A28" s="25" t="s">
        <v>175</v>
      </c>
      <c r="B28" s="25" t="s">
        <v>176</v>
      </c>
      <c r="C28" s="27" t="s">
        <v>302</v>
      </c>
      <c r="D28" s="25"/>
      <c r="E28" s="25"/>
      <c r="F28" s="25"/>
      <c r="G28" s="25"/>
      <c r="H28" s="25"/>
      <c r="I28" s="25">
        <v>1</v>
      </c>
      <c r="J28" s="25">
        <v>1</v>
      </c>
      <c r="K28" s="25" t="s">
        <v>50</v>
      </c>
      <c r="L28" s="26" t="s">
        <v>62</v>
      </c>
      <c r="M28" s="26" t="s">
        <v>57</v>
      </c>
      <c r="N28" s="26" t="s">
        <v>38</v>
      </c>
      <c r="O28" s="26" t="s">
        <v>38</v>
      </c>
      <c r="P28" s="26">
        <v>90</v>
      </c>
      <c r="Q28" s="93">
        <v>0.1</v>
      </c>
      <c r="R28" s="26">
        <v>0</v>
      </c>
      <c r="S28" s="26">
        <v>0.9</v>
      </c>
    </row>
    <row r="29" spans="1:19" ht="14.4" x14ac:dyDescent="0.3">
      <c r="A29" s="25" t="s">
        <v>215</v>
      </c>
      <c r="B29" s="25" t="s">
        <v>216</v>
      </c>
      <c r="C29" s="25" t="s">
        <v>167</v>
      </c>
      <c r="D29" s="25"/>
      <c r="E29" s="25">
        <v>1</v>
      </c>
      <c r="F29" s="25"/>
      <c r="G29" s="25"/>
      <c r="H29" s="25">
        <v>1</v>
      </c>
      <c r="I29" s="25"/>
      <c r="J29" s="25">
        <v>2</v>
      </c>
      <c r="K29" s="25" t="s">
        <v>123</v>
      </c>
      <c r="L29" s="26" t="s">
        <v>43</v>
      </c>
      <c r="M29" s="26" t="s">
        <v>51</v>
      </c>
      <c r="N29" s="26" t="s">
        <v>62</v>
      </c>
      <c r="O29" s="26" t="s">
        <v>57</v>
      </c>
      <c r="P29" s="26">
        <v>70</v>
      </c>
      <c r="Q29" s="26">
        <v>0.4</v>
      </c>
      <c r="R29" s="93">
        <v>0.2</v>
      </c>
      <c r="S29" s="26">
        <v>1.4</v>
      </c>
    </row>
    <row r="30" spans="1:19" ht="14.4" x14ac:dyDescent="0.3">
      <c r="A30" s="25" t="s">
        <v>217</v>
      </c>
      <c r="B30" s="25" t="s">
        <v>218</v>
      </c>
      <c r="C30" s="25" t="s">
        <v>167</v>
      </c>
      <c r="D30" s="25"/>
      <c r="E30" s="25"/>
      <c r="F30" s="25"/>
      <c r="G30" s="25"/>
      <c r="H30" s="25"/>
      <c r="I30" s="25">
        <v>1</v>
      </c>
      <c r="J30" s="25">
        <v>1</v>
      </c>
      <c r="K30" s="25" t="s">
        <v>54</v>
      </c>
      <c r="L30" s="26" t="s">
        <v>43</v>
      </c>
      <c r="M30" s="26" t="s">
        <v>63</v>
      </c>
      <c r="N30" s="26" t="s">
        <v>62</v>
      </c>
      <c r="O30" s="26" t="s">
        <v>63</v>
      </c>
      <c r="P30" s="26">
        <v>50</v>
      </c>
      <c r="Q30" s="26">
        <v>0.25</v>
      </c>
      <c r="R30" s="93">
        <v>0.25</v>
      </c>
      <c r="S30" s="26">
        <v>0.5</v>
      </c>
    </row>
    <row r="31" spans="1:19" ht="14.4" x14ac:dyDescent="0.3">
      <c r="A31" s="25" t="s">
        <v>171</v>
      </c>
      <c r="B31" s="25" t="s">
        <v>172</v>
      </c>
      <c r="C31" s="25" t="s">
        <v>167</v>
      </c>
      <c r="D31" s="25"/>
      <c r="E31" s="25"/>
      <c r="F31" s="25">
        <v>1</v>
      </c>
      <c r="G31" s="25"/>
      <c r="H31" s="25"/>
      <c r="I31" s="25"/>
      <c r="J31" s="25">
        <v>1</v>
      </c>
      <c r="K31" s="25" t="s">
        <v>54</v>
      </c>
      <c r="L31" s="26" t="s">
        <v>37</v>
      </c>
      <c r="M31" s="26" t="s">
        <v>63</v>
      </c>
      <c r="N31" s="26" t="s">
        <v>62</v>
      </c>
      <c r="O31" s="26" t="s">
        <v>63</v>
      </c>
      <c r="P31" s="26">
        <v>50</v>
      </c>
      <c r="Q31" s="26">
        <v>0.25</v>
      </c>
      <c r="R31" s="93">
        <v>0.25</v>
      </c>
      <c r="S31" s="26">
        <v>0.5</v>
      </c>
    </row>
    <row r="32" spans="1:19" ht="14.4" x14ac:dyDescent="0.3">
      <c r="A32" s="25" t="s">
        <v>219</v>
      </c>
      <c r="B32" s="25" t="s">
        <v>220</v>
      </c>
      <c r="C32" s="25" t="s">
        <v>167</v>
      </c>
      <c r="D32" s="25"/>
      <c r="E32" s="25"/>
      <c r="F32" s="25"/>
      <c r="G32" s="25">
        <v>1</v>
      </c>
      <c r="H32" s="25"/>
      <c r="I32" s="25"/>
      <c r="J32" s="25">
        <v>1</v>
      </c>
      <c r="K32" s="25" t="s">
        <v>54</v>
      </c>
      <c r="L32" s="26" t="s">
        <v>153</v>
      </c>
      <c r="M32" s="26" t="s">
        <v>49</v>
      </c>
      <c r="N32" s="26" t="s">
        <v>62</v>
      </c>
      <c r="O32" s="26" t="s">
        <v>57</v>
      </c>
      <c r="P32" s="26">
        <v>40</v>
      </c>
      <c r="Q32" s="26">
        <v>0.5</v>
      </c>
      <c r="R32" s="93">
        <v>0.1</v>
      </c>
      <c r="S32" s="26">
        <v>0.4</v>
      </c>
    </row>
    <row r="33" spans="1:19" ht="14.4" x14ac:dyDescent="0.3">
      <c r="A33" s="25" t="s">
        <v>213</v>
      </c>
      <c r="B33" s="25" t="s">
        <v>214</v>
      </c>
      <c r="C33" s="25" t="s">
        <v>167</v>
      </c>
      <c r="D33" s="25"/>
      <c r="E33" s="25"/>
      <c r="F33" s="25">
        <v>1</v>
      </c>
      <c r="G33" s="25"/>
      <c r="H33" s="25">
        <v>1</v>
      </c>
      <c r="I33" s="25"/>
      <c r="J33" s="25">
        <v>2</v>
      </c>
      <c r="K33" s="25" t="s">
        <v>54</v>
      </c>
      <c r="L33" s="26" t="s">
        <v>43</v>
      </c>
      <c r="M33" s="26" t="s">
        <v>57</v>
      </c>
      <c r="N33" s="26" t="s">
        <v>62</v>
      </c>
      <c r="O33" s="26" t="s">
        <v>49</v>
      </c>
      <c r="P33" s="26">
        <v>40</v>
      </c>
      <c r="Q33" s="26">
        <v>0.2</v>
      </c>
      <c r="R33" s="93">
        <v>1</v>
      </c>
      <c r="S33" s="26">
        <v>0.8</v>
      </c>
    </row>
    <row r="34" spans="1:19" ht="14.4" x14ac:dyDescent="0.3">
      <c r="A34" s="25" t="s">
        <v>312</v>
      </c>
      <c r="B34" s="25" t="s">
        <v>313</v>
      </c>
      <c r="C34" s="25" t="s">
        <v>167</v>
      </c>
      <c r="D34" s="25"/>
      <c r="E34" s="25"/>
      <c r="F34" s="25"/>
      <c r="G34" s="25"/>
      <c r="H34" s="25">
        <v>1</v>
      </c>
      <c r="I34" s="25"/>
      <c r="J34" s="25">
        <v>1</v>
      </c>
      <c r="K34" s="25" t="s">
        <v>54</v>
      </c>
      <c r="L34" s="26" t="s">
        <v>43</v>
      </c>
      <c r="M34" s="26" t="s">
        <v>57</v>
      </c>
      <c r="N34" s="26" t="s">
        <v>62</v>
      </c>
      <c r="O34" s="26" t="s">
        <v>49</v>
      </c>
      <c r="P34" s="26">
        <v>40</v>
      </c>
      <c r="Q34" s="26">
        <v>0.1</v>
      </c>
      <c r="R34" s="93">
        <v>0.5</v>
      </c>
      <c r="S34" s="26">
        <v>0.4</v>
      </c>
    </row>
    <row r="35" spans="1:19" ht="14.4" x14ac:dyDescent="0.3">
      <c r="A35" s="25" t="s">
        <v>469</v>
      </c>
      <c r="B35" s="25" t="s">
        <v>470</v>
      </c>
      <c r="C35" s="27" t="s">
        <v>168</v>
      </c>
      <c r="D35" s="25"/>
      <c r="E35" s="25"/>
      <c r="F35" s="25"/>
      <c r="G35" s="25"/>
      <c r="H35" s="25">
        <v>1</v>
      </c>
      <c r="I35" s="25"/>
      <c r="J35" s="25">
        <v>1</v>
      </c>
      <c r="K35" s="25" t="s">
        <v>54</v>
      </c>
      <c r="L35" s="26" t="s">
        <v>43</v>
      </c>
      <c r="M35" s="26" t="s">
        <v>57</v>
      </c>
      <c r="N35" s="26" t="s">
        <v>62</v>
      </c>
      <c r="O35" s="26" t="s">
        <v>49</v>
      </c>
      <c r="P35" s="26">
        <v>40</v>
      </c>
      <c r="Q35" s="26">
        <v>0.1</v>
      </c>
      <c r="R35" s="93">
        <v>0.5</v>
      </c>
      <c r="S35" s="26">
        <v>0.4</v>
      </c>
    </row>
    <row r="36" spans="1:19" ht="14.4" x14ac:dyDescent="0.3">
      <c r="A36" s="25" t="s">
        <v>169</v>
      </c>
      <c r="B36" s="25" t="s">
        <v>170</v>
      </c>
      <c r="C36" s="27" t="s">
        <v>302</v>
      </c>
      <c r="D36" s="25"/>
      <c r="E36" s="25"/>
      <c r="F36" s="25"/>
      <c r="G36" s="25"/>
      <c r="H36" s="25"/>
      <c r="I36" s="25">
        <v>1</v>
      </c>
      <c r="J36" s="25">
        <v>1</v>
      </c>
      <c r="K36" s="25" t="s">
        <v>54</v>
      </c>
      <c r="L36" s="26" t="s">
        <v>37</v>
      </c>
      <c r="M36" s="26" t="s">
        <v>57</v>
      </c>
      <c r="N36" s="26" t="s">
        <v>62</v>
      </c>
      <c r="O36" s="26" t="s">
        <v>63</v>
      </c>
      <c r="P36" s="26">
        <v>65</v>
      </c>
      <c r="Q36" s="26">
        <v>0.1</v>
      </c>
      <c r="R36" s="93">
        <v>0.25</v>
      </c>
      <c r="S36" s="26">
        <v>0.65</v>
      </c>
    </row>
    <row r="37" spans="1:19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20"/>
      <c r="N37" s="20"/>
      <c r="O37" s="19"/>
      <c r="P37" s="20"/>
      <c r="Q37" s="95">
        <f>SUM(R29:R36,Q2:Q28)</f>
        <v>14.699999999999996</v>
      </c>
      <c r="R37" s="96"/>
      <c r="S37" s="24"/>
    </row>
  </sheetData>
  <mergeCells count="1">
    <mergeCell ref="Q37:R37"/>
  </mergeCells>
  <pageMargins left="0.39370078740157483" right="0.39370078740157483" top="0.39370078740157483" bottom="0.39370078740157483" header="0.31496062992125984" footer="0.31496062992125984"/>
  <pageSetup paperSize="9" scale="92" fitToHeight="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8"/>
  <sheetViews>
    <sheetView topLeftCell="A28" zoomScaleNormal="100" workbookViewId="0">
      <selection activeCell="A58" sqref="A58:XFD67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221</v>
      </c>
      <c r="B3" s="5">
        <v>3000</v>
      </c>
    </row>
    <row r="4" spans="1:2" x14ac:dyDescent="0.2">
      <c r="A4" s="4" t="s">
        <v>222</v>
      </c>
      <c r="B4" s="5">
        <v>3000</v>
      </c>
    </row>
    <row r="5" spans="1:2" x14ac:dyDescent="0.2">
      <c r="A5" s="4" t="s">
        <v>223</v>
      </c>
      <c r="B5" s="5">
        <v>3000</v>
      </c>
    </row>
    <row r="6" spans="1:2" x14ac:dyDescent="0.2">
      <c r="A6" s="4" t="s">
        <v>4</v>
      </c>
      <c r="B6" s="7"/>
    </row>
    <row r="7" spans="1:2" x14ac:dyDescent="0.2">
      <c r="A7" s="4" t="s">
        <v>224</v>
      </c>
      <c r="B7" s="5">
        <v>0.02</v>
      </c>
    </row>
    <row r="8" spans="1:2" x14ac:dyDescent="0.2">
      <c r="A8" s="4" t="s">
        <v>5</v>
      </c>
      <c r="B8" s="5"/>
    </row>
    <row r="9" spans="1:2" x14ac:dyDescent="0.2">
      <c r="A9" s="4" t="s">
        <v>225</v>
      </c>
      <c r="B9" s="5">
        <v>2616</v>
      </c>
    </row>
    <row r="10" spans="1:2" x14ac:dyDescent="0.2">
      <c r="A10" s="4" t="s">
        <v>6</v>
      </c>
      <c r="B10" s="5"/>
    </row>
    <row r="11" spans="1:2" x14ac:dyDescent="0.2">
      <c r="A11" s="4" t="s">
        <v>224</v>
      </c>
      <c r="B11" s="5">
        <v>33.69</v>
      </c>
    </row>
    <row r="12" spans="1:2" x14ac:dyDescent="0.2">
      <c r="A12" s="4" t="s">
        <v>226</v>
      </c>
      <c r="B12" s="5"/>
    </row>
    <row r="13" spans="1:2" x14ac:dyDescent="0.2">
      <c r="A13" s="4" t="s">
        <v>227</v>
      </c>
      <c r="B13" s="5">
        <v>1175</v>
      </c>
    </row>
    <row r="14" spans="1:2" x14ac:dyDescent="0.2">
      <c r="A14" s="4" t="s">
        <v>228</v>
      </c>
      <c r="B14" s="5">
        <v>1175</v>
      </c>
    </row>
    <row r="15" spans="1:2" x14ac:dyDescent="0.2">
      <c r="A15" s="4" t="s">
        <v>229</v>
      </c>
      <c r="B15" s="5"/>
    </row>
    <row r="16" spans="1:2" x14ac:dyDescent="0.2">
      <c r="A16" s="4" t="s">
        <v>230</v>
      </c>
      <c r="B16" s="5">
        <v>3000</v>
      </c>
    </row>
    <row r="17" spans="1:2" x14ac:dyDescent="0.2">
      <c r="A17" s="4" t="s">
        <v>231</v>
      </c>
      <c r="B17" s="5">
        <v>3000</v>
      </c>
    </row>
    <row r="18" spans="1:2" x14ac:dyDescent="0.2">
      <c r="A18" s="4" t="s">
        <v>232</v>
      </c>
      <c r="B18" s="5"/>
    </row>
    <row r="19" spans="1:2" x14ac:dyDescent="0.2">
      <c r="A19" s="4" t="s">
        <v>233</v>
      </c>
      <c r="B19" s="5">
        <v>11950</v>
      </c>
    </row>
    <row r="20" spans="1:2" x14ac:dyDescent="0.2">
      <c r="A20" s="4" t="s">
        <v>234</v>
      </c>
      <c r="B20" s="5"/>
    </row>
    <row r="21" spans="1:2" x14ac:dyDescent="0.2">
      <c r="A21" s="4" t="s">
        <v>235</v>
      </c>
      <c r="B21" s="5">
        <v>2000</v>
      </c>
    </row>
    <row r="22" spans="1:2" x14ac:dyDescent="0.2">
      <c r="A22" s="4" t="s">
        <v>236</v>
      </c>
      <c r="B22" s="5"/>
    </row>
    <row r="23" spans="1:2" x14ac:dyDescent="0.2">
      <c r="A23" s="4" t="s">
        <v>237</v>
      </c>
      <c r="B23" s="5">
        <v>2500</v>
      </c>
    </row>
    <row r="24" spans="1:2" x14ac:dyDescent="0.2">
      <c r="A24" s="4" t="s">
        <v>238</v>
      </c>
      <c r="B24" s="5"/>
    </row>
    <row r="25" spans="1:2" x14ac:dyDescent="0.2">
      <c r="A25" s="4" t="s">
        <v>239</v>
      </c>
      <c r="B25" s="5">
        <v>24390</v>
      </c>
    </row>
    <row r="26" spans="1:2" x14ac:dyDescent="0.2">
      <c r="A26" s="4" t="s">
        <v>240</v>
      </c>
      <c r="B26" s="5">
        <v>14634</v>
      </c>
    </row>
    <row r="27" spans="1:2" x14ac:dyDescent="0.2">
      <c r="A27" s="4" t="s">
        <v>241</v>
      </c>
      <c r="B27" s="5"/>
    </row>
    <row r="28" spans="1:2" x14ac:dyDescent="0.2">
      <c r="A28" s="4" t="s">
        <v>242</v>
      </c>
      <c r="B28" s="5">
        <v>2500</v>
      </c>
    </row>
    <row r="29" spans="1:2" x14ac:dyDescent="0.2">
      <c r="A29" s="4" t="s">
        <v>243</v>
      </c>
      <c r="B29" s="5"/>
    </row>
    <row r="30" spans="1:2" x14ac:dyDescent="0.2">
      <c r="A30" s="4" t="s">
        <v>244</v>
      </c>
      <c r="B30" s="5">
        <v>5340</v>
      </c>
    </row>
    <row r="31" spans="1:2" x14ac:dyDescent="0.2">
      <c r="A31" s="4" t="s">
        <v>14</v>
      </c>
      <c r="B31" s="5"/>
    </row>
    <row r="32" spans="1:2" x14ac:dyDescent="0.2">
      <c r="A32" s="4" t="s">
        <v>245</v>
      </c>
      <c r="B32" s="5">
        <v>3165.09</v>
      </c>
    </row>
    <row r="33" spans="1:2" x14ac:dyDescent="0.2">
      <c r="A33" s="4" t="s">
        <v>246</v>
      </c>
      <c r="B33" s="5">
        <v>3047.18</v>
      </c>
    </row>
    <row r="34" spans="1:2" x14ac:dyDescent="0.2">
      <c r="A34" s="4" t="s">
        <v>7</v>
      </c>
      <c r="B34" s="5"/>
    </row>
    <row r="35" spans="1:2" x14ac:dyDescent="0.2">
      <c r="A35" s="4" t="s">
        <v>247</v>
      </c>
      <c r="B35" s="5">
        <v>3125</v>
      </c>
    </row>
    <row r="36" spans="1:2" x14ac:dyDescent="0.2">
      <c r="A36" s="4" t="s">
        <v>248</v>
      </c>
      <c r="B36" s="5">
        <v>3125</v>
      </c>
    </row>
    <row r="37" spans="1:2" x14ac:dyDescent="0.2">
      <c r="A37" s="4" t="s">
        <v>249</v>
      </c>
      <c r="B37" s="5"/>
    </row>
    <row r="38" spans="1:2" x14ac:dyDescent="0.2">
      <c r="A38" s="4" t="s">
        <v>250</v>
      </c>
      <c r="B38" s="5">
        <v>6050</v>
      </c>
    </row>
    <row r="39" spans="1:2" x14ac:dyDescent="0.2">
      <c r="A39" s="4" t="s">
        <v>251</v>
      </c>
      <c r="B39" s="5"/>
    </row>
    <row r="40" spans="1:2" x14ac:dyDescent="0.2">
      <c r="A40" s="4" t="s">
        <v>252</v>
      </c>
      <c r="B40" s="5">
        <v>3000</v>
      </c>
    </row>
    <row r="41" spans="1:2" x14ac:dyDescent="0.2">
      <c r="A41" s="4" t="s">
        <v>253</v>
      </c>
      <c r="B41" s="5"/>
    </row>
    <row r="42" spans="1:2" x14ac:dyDescent="0.2">
      <c r="A42" s="4" t="s">
        <v>254</v>
      </c>
      <c r="B42" s="5">
        <v>420</v>
      </c>
    </row>
    <row r="43" spans="1:2" x14ac:dyDescent="0.2">
      <c r="A43" s="4" t="s">
        <v>255</v>
      </c>
      <c r="B43" s="5"/>
    </row>
    <row r="44" spans="1:2" x14ac:dyDescent="0.2">
      <c r="A44" s="4" t="s">
        <v>256</v>
      </c>
      <c r="B44" s="5">
        <v>840</v>
      </c>
    </row>
    <row r="45" spans="1:2" x14ac:dyDescent="0.2">
      <c r="A45" s="4" t="s">
        <v>257</v>
      </c>
      <c r="B45" s="5"/>
    </row>
    <row r="46" spans="1:2" x14ac:dyDescent="0.2">
      <c r="A46" s="4" t="s">
        <v>258</v>
      </c>
      <c r="B46" s="5">
        <v>1500</v>
      </c>
    </row>
    <row r="47" spans="1:2" x14ac:dyDescent="0.2">
      <c r="A47" s="4" t="s">
        <v>8</v>
      </c>
      <c r="B47" s="5"/>
    </row>
    <row r="48" spans="1:2" x14ac:dyDescent="0.2">
      <c r="A48" s="4" t="s">
        <v>259</v>
      </c>
      <c r="B48" s="5">
        <v>5212.5</v>
      </c>
    </row>
    <row r="49" spans="1:2" x14ac:dyDescent="0.2">
      <c r="A49" s="4" t="s">
        <v>9</v>
      </c>
      <c r="B49" s="5"/>
    </row>
    <row r="50" spans="1:2" x14ac:dyDescent="0.2">
      <c r="A50" s="4" t="s">
        <v>260</v>
      </c>
      <c r="B50" s="5">
        <v>4950</v>
      </c>
    </row>
    <row r="51" spans="1:2" x14ac:dyDescent="0.2">
      <c r="A51" s="4" t="s">
        <v>261</v>
      </c>
      <c r="B51" s="5"/>
    </row>
    <row r="52" spans="1:2" x14ac:dyDescent="0.2">
      <c r="A52" s="4" t="s">
        <v>262</v>
      </c>
      <c r="B52" s="5">
        <v>12500</v>
      </c>
    </row>
    <row r="53" spans="1:2" x14ac:dyDescent="0.2">
      <c r="A53" s="4" t="s">
        <v>263</v>
      </c>
      <c r="B53" s="5">
        <v>6000</v>
      </c>
    </row>
    <row r="54" spans="1:2" x14ac:dyDescent="0.2">
      <c r="A54" s="4" t="s">
        <v>264</v>
      </c>
      <c r="B54" s="5"/>
    </row>
    <row r="55" spans="1:2" x14ac:dyDescent="0.2">
      <c r="A55" s="4" t="s">
        <v>265</v>
      </c>
      <c r="B55" s="5">
        <v>22142.29</v>
      </c>
    </row>
    <row r="56" spans="1:2" x14ac:dyDescent="0.2">
      <c r="A56" s="4" t="s">
        <v>266</v>
      </c>
      <c r="B56" s="5"/>
    </row>
    <row r="57" spans="1:2" x14ac:dyDescent="0.2">
      <c r="A57" s="4" t="s">
        <v>267</v>
      </c>
      <c r="B57" s="5">
        <v>22709.200000000001</v>
      </c>
    </row>
    <row r="58" spans="1:2" x14ac:dyDescent="0.2">
      <c r="A58" s="6" t="s">
        <v>2</v>
      </c>
      <c r="B58" s="7">
        <f>SUM(B3:B57)</f>
        <v>181099.97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D448-CA1A-48FF-81DD-1E9BD72481CE}">
  <dimension ref="A1:B45"/>
  <sheetViews>
    <sheetView topLeftCell="A13" workbookViewId="0">
      <selection sqref="A1:B1"/>
    </sheetView>
  </sheetViews>
  <sheetFormatPr baseColWidth="10" defaultRowHeight="14.4" x14ac:dyDescent="0.3"/>
  <cols>
    <col min="1" max="1" width="180.6640625" bestFit="1" customWidth="1"/>
  </cols>
  <sheetData>
    <row r="1" spans="1:2" ht="21.6" x14ac:dyDescent="0.3">
      <c r="A1" s="2" t="s">
        <v>0</v>
      </c>
      <c r="B1" s="3" t="s">
        <v>1</v>
      </c>
    </row>
    <row r="2" spans="1:2" x14ac:dyDescent="0.3">
      <c r="A2" s="38" t="s">
        <v>3</v>
      </c>
      <c r="B2" s="39"/>
    </row>
    <row r="3" spans="1:2" x14ac:dyDescent="0.3">
      <c r="A3" s="40" t="s">
        <v>352</v>
      </c>
      <c r="B3">
        <v>2640</v>
      </c>
    </row>
    <row r="4" spans="1:2" x14ac:dyDescent="0.3">
      <c r="A4" s="40" t="s">
        <v>353</v>
      </c>
      <c r="B4">
        <v>2640</v>
      </c>
    </row>
    <row r="5" spans="1:2" x14ac:dyDescent="0.3">
      <c r="A5" s="40" t="s">
        <v>354</v>
      </c>
      <c r="B5">
        <v>2640</v>
      </c>
    </row>
    <row r="6" spans="1:2" x14ac:dyDescent="0.3">
      <c r="A6" s="40" t="s">
        <v>355</v>
      </c>
      <c r="B6">
        <v>2640</v>
      </c>
    </row>
    <row r="7" spans="1:2" x14ac:dyDescent="0.3">
      <c r="A7" s="38" t="s">
        <v>238</v>
      </c>
      <c r="B7" s="39"/>
    </row>
    <row r="8" spans="1:2" x14ac:dyDescent="0.3">
      <c r="A8" s="40" t="s">
        <v>356</v>
      </c>
      <c r="B8">
        <v>8585.2800000000007</v>
      </c>
    </row>
    <row r="9" spans="1:2" x14ac:dyDescent="0.3">
      <c r="A9" s="38" t="s">
        <v>357</v>
      </c>
      <c r="B9" s="39"/>
    </row>
    <row r="10" spans="1:2" x14ac:dyDescent="0.3">
      <c r="A10" s="40" t="s">
        <v>358</v>
      </c>
      <c r="B10">
        <v>2640</v>
      </c>
    </row>
    <row r="11" spans="1:2" x14ac:dyDescent="0.3">
      <c r="A11" s="40" t="s">
        <v>359</v>
      </c>
      <c r="B11">
        <v>2640</v>
      </c>
    </row>
    <row r="12" spans="1:2" x14ac:dyDescent="0.3">
      <c r="A12" s="38" t="s">
        <v>360</v>
      </c>
      <c r="B12" s="39"/>
    </row>
    <row r="13" spans="1:2" x14ac:dyDescent="0.3">
      <c r="A13" s="40" t="s">
        <v>361</v>
      </c>
      <c r="B13">
        <v>2635.6</v>
      </c>
    </row>
    <row r="14" spans="1:2" x14ac:dyDescent="0.3">
      <c r="A14" s="38" t="s">
        <v>362</v>
      </c>
      <c r="B14" s="39"/>
    </row>
    <row r="15" spans="1:2" x14ac:dyDescent="0.3">
      <c r="A15" s="40" t="s">
        <v>363</v>
      </c>
      <c r="B15">
        <v>2640</v>
      </c>
    </row>
    <row r="16" spans="1:2" x14ac:dyDescent="0.3">
      <c r="A16" s="38" t="s">
        <v>364</v>
      </c>
      <c r="B16" s="39"/>
    </row>
    <row r="17" spans="1:2" x14ac:dyDescent="0.3">
      <c r="A17" s="40" t="s">
        <v>365</v>
      </c>
      <c r="B17">
        <v>880</v>
      </c>
    </row>
    <row r="18" spans="1:2" x14ac:dyDescent="0.3">
      <c r="A18" s="38" t="s">
        <v>366</v>
      </c>
      <c r="B18" s="39"/>
    </row>
    <row r="19" spans="1:2" x14ac:dyDescent="0.3">
      <c r="A19" s="40" t="s">
        <v>367</v>
      </c>
      <c r="B19">
        <v>2552</v>
      </c>
    </row>
    <row r="20" spans="1:2" x14ac:dyDescent="0.3">
      <c r="A20" s="38" t="s">
        <v>368</v>
      </c>
      <c r="B20" s="39"/>
    </row>
    <row r="21" spans="1:2" x14ac:dyDescent="0.3">
      <c r="A21" s="40" t="s">
        <v>369</v>
      </c>
      <c r="B21">
        <v>4400</v>
      </c>
    </row>
    <row r="22" spans="1:2" x14ac:dyDescent="0.3">
      <c r="A22" s="38" t="s">
        <v>370</v>
      </c>
      <c r="B22" s="39"/>
    </row>
    <row r="23" spans="1:2" x14ac:dyDescent="0.3">
      <c r="A23" s="40" t="s">
        <v>371</v>
      </c>
      <c r="B23">
        <v>528</v>
      </c>
    </row>
    <row r="24" spans="1:2" x14ac:dyDescent="0.3">
      <c r="A24" s="38" t="s">
        <v>372</v>
      </c>
      <c r="B24" s="39"/>
    </row>
    <row r="25" spans="1:2" x14ac:dyDescent="0.3">
      <c r="A25" s="40" t="s">
        <v>373</v>
      </c>
      <c r="B25">
        <v>2200</v>
      </c>
    </row>
    <row r="26" spans="1:2" x14ac:dyDescent="0.3">
      <c r="A26" s="38" t="s">
        <v>374</v>
      </c>
      <c r="B26" s="39"/>
    </row>
    <row r="27" spans="1:2" x14ac:dyDescent="0.3">
      <c r="A27" s="40" t="s">
        <v>375</v>
      </c>
      <c r="B27">
        <v>2200</v>
      </c>
    </row>
    <row r="28" spans="1:2" x14ac:dyDescent="0.3">
      <c r="A28" s="38" t="s">
        <v>376</v>
      </c>
      <c r="B28" s="39"/>
    </row>
    <row r="29" spans="1:2" x14ac:dyDescent="0.3">
      <c r="A29" s="40" t="s">
        <v>377</v>
      </c>
      <c r="B29">
        <v>10560</v>
      </c>
    </row>
    <row r="30" spans="1:2" x14ac:dyDescent="0.3">
      <c r="A30" s="38" t="s">
        <v>14</v>
      </c>
      <c r="B30" s="39"/>
    </row>
    <row r="31" spans="1:2" x14ac:dyDescent="0.3">
      <c r="A31" s="40" t="s">
        <v>378</v>
      </c>
      <c r="B31">
        <v>1063.32</v>
      </c>
    </row>
    <row r="32" spans="1:2" x14ac:dyDescent="0.3">
      <c r="A32" s="38" t="s">
        <v>8</v>
      </c>
      <c r="B32" s="39"/>
    </row>
    <row r="33" spans="1:2" x14ac:dyDescent="0.3">
      <c r="A33" s="40" t="s">
        <v>379</v>
      </c>
      <c r="B33">
        <v>10424.99</v>
      </c>
    </row>
    <row r="34" spans="1:2" x14ac:dyDescent="0.3">
      <c r="A34" s="40" t="s">
        <v>380</v>
      </c>
      <c r="B34">
        <v>455.43</v>
      </c>
    </row>
    <row r="35" spans="1:2" x14ac:dyDescent="0.3">
      <c r="A35" s="38" t="s">
        <v>9</v>
      </c>
      <c r="B35" s="39"/>
    </row>
    <row r="36" spans="1:2" x14ac:dyDescent="0.3">
      <c r="A36" s="40" t="s">
        <v>381</v>
      </c>
      <c r="B36">
        <v>9900</v>
      </c>
    </row>
    <row r="37" spans="1:2" x14ac:dyDescent="0.3">
      <c r="A37" s="38" t="s">
        <v>261</v>
      </c>
      <c r="B37" s="39"/>
    </row>
    <row r="38" spans="1:2" x14ac:dyDescent="0.3">
      <c r="A38" s="40" t="s">
        <v>382</v>
      </c>
      <c r="B38">
        <v>1250</v>
      </c>
    </row>
    <row r="39" spans="1:2" x14ac:dyDescent="0.3">
      <c r="A39" s="38" t="s">
        <v>383</v>
      </c>
      <c r="B39" s="39"/>
    </row>
    <row r="40" spans="1:2" x14ac:dyDescent="0.3">
      <c r="A40" s="40" t="s">
        <v>384</v>
      </c>
      <c r="B40">
        <v>20000</v>
      </c>
    </row>
    <row r="41" spans="1:2" x14ac:dyDescent="0.3">
      <c r="A41" s="38" t="s">
        <v>385</v>
      </c>
      <c r="B41" s="39"/>
    </row>
    <row r="42" spans="1:2" x14ac:dyDescent="0.3">
      <c r="A42" s="40" t="s">
        <v>386</v>
      </c>
      <c r="B42">
        <v>383.98</v>
      </c>
    </row>
    <row r="43" spans="1:2" x14ac:dyDescent="0.3">
      <c r="A43" s="38" t="s">
        <v>10</v>
      </c>
      <c r="B43" s="39"/>
    </row>
    <row r="44" spans="1:2" x14ac:dyDescent="0.3">
      <c r="A44" s="40" t="s">
        <v>387</v>
      </c>
      <c r="B44">
        <v>10010</v>
      </c>
    </row>
    <row r="45" spans="1:2" x14ac:dyDescent="0.3">
      <c r="A45" s="41" t="s">
        <v>158</v>
      </c>
      <c r="B45" s="42">
        <v>106508.59999999999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21D3-9E33-453E-9F1F-AECF84827029}">
  <dimension ref="A1:D34"/>
  <sheetViews>
    <sheetView topLeftCell="A13" workbookViewId="0">
      <selection activeCell="C36" sqref="C36"/>
    </sheetView>
  </sheetViews>
  <sheetFormatPr baseColWidth="10" defaultRowHeight="14.4" x14ac:dyDescent="0.3"/>
  <cols>
    <col min="2" max="2" width="14.109375" customWidth="1"/>
    <col min="3" max="3" width="77.33203125" customWidth="1"/>
  </cols>
  <sheetData>
    <row r="1" spans="1:4" ht="15" thickBot="1" x14ac:dyDescent="0.35">
      <c r="A1" s="47" t="s">
        <v>392</v>
      </c>
      <c r="B1" s="48" t="s">
        <v>393</v>
      </c>
      <c r="C1" s="48" t="s">
        <v>394</v>
      </c>
      <c r="D1" s="49" t="s">
        <v>1</v>
      </c>
    </row>
    <row r="2" spans="1:4" ht="15" thickTop="1" x14ac:dyDescent="0.3">
      <c r="A2" s="50" t="s">
        <v>395</v>
      </c>
      <c r="B2" s="51" t="s">
        <v>3</v>
      </c>
      <c r="C2" s="51" t="s">
        <v>396</v>
      </c>
      <c r="D2" s="52">
        <v>2640</v>
      </c>
    </row>
    <row r="3" spans="1:4" x14ac:dyDescent="0.3">
      <c r="A3" s="53" t="s">
        <v>395</v>
      </c>
      <c r="B3" s="54" t="s">
        <v>3</v>
      </c>
      <c r="C3" s="54" t="s">
        <v>397</v>
      </c>
      <c r="D3" s="55">
        <v>2640</v>
      </c>
    </row>
    <row r="4" spans="1:4" x14ac:dyDescent="0.3">
      <c r="A4" s="50" t="s">
        <v>395</v>
      </c>
      <c r="B4" s="51" t="s">
        <v>3</v>
      </c>
      <c r="C4" s="51" t="s">
        <v>398</v>
      </c>
      <c r="D4" s="52">
        <v>5280</v>
      </c>
    </row>
    <row r="5" spans="1:4" x14ac:dyDescent="0.3">
      <c r="A5" s="53" t="s">
        <v>395</v>
      </c>
      <c r="B5" s="54" t="s">
        <v>368</v>
      </c>
      <c r="C5" s="54" t="s">
        <v>399</v>
      </c>
      <c r="D5" s="55">
        <v>5896</v>
      </c>
    </row>
    <row r="6" spans="1:4" x14ac:dyDescent="0.3">
      <c r="A6" s="50" t="s">
        <v>395</v>
      </c>
      <c r="B6" s="51" t="s">
        <v>372</v>
      </c>
      <c r="C6" s="51" t="s">
        <v>400</v>
      </c>
      <c r="D6" s="52">
        <v>5.47</v>
      </c>
    </row>
    <row r="7" spans="1:4" x14ac:dyDescent="0.3">
      <c r="A7" s="53" t="s">
        <v>395</v>
      </c>
      <c r="B7" s="54" t="s">
        <v>372</v>
      </c>
      <c r="C7" s="54" t="s">
        <v>401</v>
      </c>
      <c r="D7" s="55">
        <v>5.78</v>
      </c>
    </row>
    <row r="8" spans="1:4" x14ac:dyDescent="0.3">
      <c r="A8" s="50" t="s">
        <v>395</v>
      </c>
      <c r="B8" s="51" t="s">
        <v>372</v>
      </c>
      <c r="C8" s="51" t="s">
        <v>402</v>
      </c>
      <c r="D8" s="52">
        <v>6.46</v>
      </c>
    </row>
    <row r="9" spans="1:4" x14ac:dyDescent="0.3">
      <c r="A9" s="53" t="s">
        <v>395</v>
      </c>
      <c r="B9" s="54" t="s">
        <v>403</v>
      </c>
      <c r="C9" s="54" t="s">
        <v>404</v>
      </c>
      <c r="D9" s="55">
        <v>2640</v>
      </c>
    </row>
    <row r="10" spans="1:4" x14ac:dyDescent="0.3">
      <c r="A10" s="50" t="s">
        <v>395</v>
      </c>
      <c r="B10" s="51" t="s">
        <v>405</v>
      </c>
      <c r="C10" s="51" t="s">
        <v>406</v>
      </c>
      <c r="D10" s="52">
        <v>2200</v>
      </c>
    </row>
    <row r="11" spans="1:4" x14ac:dyDescent="0.3">
      <c r="A11" s="53" t="s">
        <v>395</v>
      </c>
      <c r="B11" s="54" t="s">
        <v>407</v>
      </c>
      <c r="C11" s="54" t="s">
        <v>408</v>
      </c>
      <c r="D11" s="55">
        <v>2618.1799999999998</v>
      </c>
    </row>
    <row r="12" spans="1:4" x14ac:dyDescent="0.3">
      <c r="A12" s="50" t="s">
        <v>395</v>
      </c>
      <c r="B12" s="51" t="s">
        <v>409</v>
      </c>
      <c r="C12" s="51" t="s">
        <v>410</v>
      </c>
      <c r="D12" s="52">
        <v>2956.8</v>
      </c>
    </row>
    <row r="13" spans="1:4" x14ac:dyDescent="0.3">
      <c r="A13" s="53" t="s">
        <v>395</v>
      </c>
      <c r="B13" s="54" t="s">
        <v>411</v>
      </c>
      <c r="C13" s="54" t="s">
        <v>412</v>
      </c>
      <c r="D13" s="55">
        <v>2640</v>
      </c>
    </row>
    <row r="14" spans="1:4" x14ac:dyDescent="0.3">
      <c r="A14" s="50" t="s">
        <v>395</v>
      </c>
      <c r="B14" s="51" t="s">
        <v>413</v>
      </c>
      <c r="C14" s="51" t="s">
        <v>414</v>
      </c>
      <c r="D14" s="52">
        <v>1320</v>
      </c>
    </row>
    <row r="15" spans="1:4" x14ac:dyDescent="0.3">
      <c r="A15" s="53" t="s">
        <v>395</v>
      </c>
      <c r="B15" s="54" t="s">
        <v>415</v>
      </c>
      <c r="C15" s="54" t="s">
        <v>416</v>
      </c>
      <c r="D15" s="55">
        <v>5280</v>
      </c>
    </row>
    <row r="16" spans="1:4" x14ac:dyDescent="0.3">
      <c r="A16" s="50" t="s">
        <v>395</v>
      </c>
      <c r="B16" s="51" t="s">
        <v>417</v>
      </c>
      <c r="C16" s="51" t="s">
        <v>418</v>
      </c>
      <c r="D16" s="52">
        <v>14357.04</v>
      </c>
    </row>
    <row r="17" spans="1:4" x14ac:dyDescent="0.3">
      <c r="A17" s="53" t="s">
        <v>395</v>
      </c>
      <c r="B17" s="54" t="s">
        <v>419</v>
      </c>
      <c r="C17" s="54" t="s">
        <v>420</v>
      </c>
      <c r="D17" s="55">
        <v>3.96</v>
      </c>
    </row>
    <row r="18" spans="1:4" x14ac:dyDescent="0.3">
      <c r="A18" s="50" t="s">
        <v>395</v>
      </c>
      <c r="B18" s="51" t="s">
        <v>419</v>
      </c>
      <c r="C18" s="51" t="s">
        <v>421</v>
      </c>
      <c r="D18" s="52">
        <v>3.96</v>
      </c>
    </row>
    <row r="19" spans="1:4" x14ac:dyDescent="0.3">
      <c r="A19" s="53" t="s">
        <v>395</v>
      </c>
      <c r="B19" s="54" t="s">
        <v>419</v>
      </c>
      <c r="C19" s="54" t="s">
        <v>420</v>
      </c>
      <c r="D19" s="55">
        <v>7.92</v>
      </c>
    </row>
    <row r="20" spans="1:4" x14ac:dyDescent="0.3">
      <c r="A20" s="50" t="s">
        <v>395</v>
      </c>
      <c r="B20" s="51" t="s">
        <v>419</v>
      </c>
      <c r="C20" s="51" t="s">
        <v>422</v>
      </c>
      <c r="D20" s="52">
        <v>638</v>
      </c>
    </row>
    <row r="21" spans="1:4" x14ac:dyDescent="0.3">
      <c r="A21" s="53" t="s">
        <v>395</v>
      </c>
      <c r="B21" s="54" t="s">
        <v>419</v>
      </c>
      <c r="C21" s="54" t="s">
        <v>423</v>
      </c>
      <c r="D21" s="55">
        <v>638</v>
      </c>
    </row>
    <row r="22" spans="1:4" x14ac:dyDescent="0.3">
      <c r="A22" s="50" t="s">
        <v>395</v>
      </c>
      <c r="B22" s="51" t="s">
        <v>419</v>
      </c>
      <c r="C22" s="51" t="s">
        <v>424</v>
      </c>
      <c r="D22" s="52">
        <v>638</v>
      </c>
    </row>
    <row r="23" spans="1:4" x14ac:dyDescent="0.3">
      <c r="A23" s="53" t="s">
        <v>395</v>
      </c>
      <c r="B23" s="54" t="s">
        <v>419</v>
      </c>
      <c r="C23" s="54" t="s">
        <v>425</v>
      </c>
      <c r="D23" s="55">
        <v>638</v>
      </c>
    </row>
    <row r="24" spans="1:4" x14ac:dyDescent="0.3">
      <c r="A24" s="50" t="s">
        <v>395</v>
      </c>
      <c r="B24" s="51" t="s">
        <v>419</v>
      </c>
      <c r="C24" s="51" t="s">
        <v>426</v>
      </c>
      <c r="D24" s="52">
        <v>638</v>
      </c>
    </row>
    <row r="25" spans="1:4" x14ac:dyDescent="0.3">
      <c r="A25" s="53" t="s">
        <v>395</v>
      </c>
      <c r="B25" s="54" t="s">
        <v>427</v>
      </c>
      <c r="C25" s="54" t="s">
        <v>428</v>
      </c>
      <c r="D25" s="55">
        <v>1320</v>
      </c>
    </row>
    <row r="26" spans="1:4" x14ac:dyDescent="0.3">
      <c r="A26" s="50" t="s">
        <v>395</v>
      </c>
      <c r="B26" s="51" t="s">
        <v>429</v>
      </c>
      <c r="C26" s="51" t="s">
        <v>430</v>
      </c>
      <c r="D26" s="52">
        <v>1760</v>
      </c>
    </row>
    <row r="27" spans="1:4" x14ac:dyDescent="0.3">
      <c r="A27" s="53" t="s">
        <v>395</v>
      </c>
      <c r="B27" s="54" t="s">
        <v>431</v>
      </c>
      <c r="C27" s="54" t="s">
        <v>432</v>
      </c>
      <c r="D27" s="55">
        <v>880</v>
      </c>
    </row>
    <row r="28" spans="1:4" x14ac:dyDescent="0.3">
      <c r="A28" s="50" t="s">
        <v>395</v>
      </c>
      <c r="B28" s="51" t="s">
        <v>383</v>
      </c>
      <c r="C28" s="51" t="s">
        <v>433</v>
      </c>
      <c r="D28" s="52">
        <v>19500</v>
      </c>
    </row>
    <row r="29" spans="1:4" x14ac:dyDescent="0.3">
      <c r="A29" s="53" t="s">
        <v>395</v>
      </c>
      <c r="B29" s="54" t="s">
        <v>434</v>
      </c>
      <c r="C29" s="54" t="s">
        <v>435</v>
      </c>
      <c r="D29" s="55">
        <v>6400</v>
      </c>
    </row>
    <row r="30" spans="1:4" ht="15" thickBot="1" x14ac:dyDescent="0.35">
      <c r="A30" s="50" t="s">
        <v>395</v>
      </c>
      <c r="B30" s="51" t="s">
        <v>266</v>
      </c>
      <c r="C30" s="51" t="s">
        <v>436</v>
      </c>
      <c r="D30" s="52">
        <v>22709.200000000001</v>
      </c>
    </row>
    <row r="31" spans="1:4" ht="15" thickTop="1" x14ac:dyDescent="0.3">
      <c r="A31" s="56" t="s">
        <v>2</v>
      </c>
      <c r="B31" s="57"/>
      <c r="C31" s="57"/>
      <c r="D31" s="58">
        <v>106260.77</v>
      </c>
    </row>
    <row r="34" spans="3:4" x14ac:dyDescent="0.3">
      <c r="C34" s="92" t="s">
        <v>471</v>
      </c>
      <c r="D34" s="91">
        <f>D31+'ingresos investigación 2020'!B45+'Ingresos investigación 2019'!B58</f>
        <v>393869.33999999997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9"/>
  <sheetViews>
    <sheetView zoomScaleNormal="100" workbookViewId="0">
      <selection activeCell="A19" sqref="A19:XFD20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11</v>
      </c>
      <c r="B2" s="5"/>
    </row>
    <row r="3" spans="1:2" x14ac:dyDescent="0.2">
      <c r="A3" s="4" t="s">
        <v>268</v>
      </c>
      <c r="B3" s="5">
        <v>68907.95</v>
      </c>
    </row>
    <row r="4" spans="1:2" x14ac:dyDescent="0.2">
      <c r="A4" s="4" t="s">
        <v>269</v>
      </c>
      <c r="B4" s="5">
        <v>5894.17</v>
      </c>
    </row>
    <row r="5" spans="1:2" x14ac:dyDescent="0.2">
      <c r="A5" s="4" t="s">
        <v>12</v>
      </c>
      <c r="B5" s="5"/>
    </row>
    <row r="6" spans="1:2" x14ac:dyDescent="0.2">
      <c r="A6" s="4" t="s">
        <v>270</v>
      </c>
      <c r="B6" s="5">
        <v>2847</v>
      </c>
    </row>
    <row r="7" spans="1:2" x14ac:dyDescent="0.2">
      <c r="A7" s="4" t="s">
        <v>271</v>
      </c>
      <c r="B7" s="5">
        <v>4212</v>
      </c>
    </row>
    <row r="8" spans="1:2" x14ac:dyDescent="0.2">
      <c r="A8" s="4" t="s">
        <v>272</v>
      </c>
      <c r="B8" s="5">
        <v>702</v>
      </c>
    </row>
    <row r="9" spans="1:2" x14ac:dyDescent="0.2">
      <c r="A9" s="4" t="s">
        <v>273</v>
      </c>
      <c r="B9" s="5">
        <v>3306.52</v>
      </c>
    </row>
    <row r="10" spans="1:2" x14ac:dyDescent="0.2">
      <c r="A10" s="4" t="s">
        <v>274</v>
      </c>
      <c r="B10" s="5">
        <v>3312.39</v>
      </c>
    </row>
    <row r="11" spans="1:2" x14ac:dyDescent="0.2">
      <c r="A11" s="4" t="s">
        <v>275</v>
      </c>
      <c r="B11" s="5">
        <v>3247.35</v>
      </c>
    </row>
    <row r="12" spans="1:2" x14ac:dyDescent="0.2">
      <c r="A12" s="4" t="s">
        <v>276</v>
      </c>
      <c r="B12" s="5">
        <v>624</v>
      </c>
    </row>
    <row r="13" spans="1:2" x14ac:dyDescent="0.2">
      <c r="A13" s="4" t="s">
        <v>277</v>
      </c>
      <c r="B13" s="5">
        <v>2886</v>
      </c>
    </row>
    <row r="14" spans="1:2" x14ac:dyDescent="0.2">
      <c r="A14" s="4" t="s">
        <v>13</v>
      </c>
      <c r="B14" s="5"/>
    </row>
    <row r="15" spans="1:2" x14ac:dyDescent="0.2">
      <c r="A15" s="4" t="s">
        <v>278</v>
      </c>
      <c r="B15" s="5">
        <v>680</v>
      </c>
    </row>
    <row r="16" spans="1:2" x14ac:dyDescent="0.2">
      <c r="A16" s="4" t="s">
        <v>279</v>
      </c>
      <c r="B16" s="5"/>
    </row>
    <row r="17" spans="1:2" x14ac:dyDescent="0.2">
      <c r="A17" s="4" t="s">
        <v>280</v>
      </c>
      <c r="B17" s="5">
        <v>3984.67</v>
      </c>
    </row>
    <row r="18" spans="1:2" x14ac:dyDescent="0.2">
      <c r="A18" s="4" t="s">
        <v>281</v>
      </c>
      <c r="B18" s="5">
        <v>95189.98</v>
      </c>
    </row>
    <row r="19" spans="1:2" x14ac:dyDescent="0.2">
      <c r="A19" s="6" t="s">
        <v>2</v>
      </c>
      <c r="B19" s="7">
        <f>SUM(B3:B18)</f>
        <v>195794.03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B5BC-F1F7-47BF-8355-A2F61BF77962}">
  <dimension ref="A1:B7"/>
  <sheetViews>
    <sheetView workbookViewId="0">
      <selection activeCell="A6" sqref="A6"/>
    </sheetView>
  </sheetViews>
  <sheetFormatPr baseColWidth="10" defaultRowHeight="14.4" x14ac:dyDescent="0.3"/>
  <cols>
    <col min="1" max="1" width="100.6640625" bestFit="1" customWidth="1"/>
  </cols>
  <sheetData>
    <row r="1" spans="1:2" ht="21.6" x14ac:dyDescent="0.3">
      <c r="A1" s="2" t="s">
        <v>0</v>
      </c>
      <c r="B1" s="3" t="s">
        <v>1</v>
      </c>
    </row>
    <row r="2" spans="1:2" x14ac:dyDescent="0.3">
      <c r="A2" s="43" t="s">
        <v>279</v>
      </c>
      <c r="B2" s="44"/>
    </row>
    <row r="3" spans="1:2" x14ac:dyDescent="0.3">
      <c r="A3" s="40" t="s">
        <v>388</v>
      </c>
      <c r="B3">
        <v>1466.25</v>
      </c>
    </row>
    <row r="4" spans="1:2" x14ac:dyDescent="0.3">
      <c r="A4" s="40" t="s">
        <v>389</v>
      </c>
      <c r="B4">
        <v>729.7</v>
      </c>
    </row>
    <row r="5" spans="1:2" x14ac:dyDescent="0.3">
      <c r="A5" s="40" t="s">
        <v>390</v>
      </c>
      <c r="B5">
        <v>4452.6500000000005</v>
      </c>
    </row>
    <row r="6" spans="1:2" x14ac:dyDescent="0.3">
      <c r="A6" s="40" t="s">
        <v>391</v>
      </c>
      <c r="B6">
        <v>34701.81</v>
      </c>
    </row>
    <row r="7" spans="1:2" x14ac:dyDescent="0.3">
      <c r="A7" s="45" t="s">
        <v>158</v>
      </c>
      <c r="B7" s="46">
        <v>41350.409999999996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DEB4-9EFE-4D32-AFAF-D0611C2EA5AA}">
  <dimension ref="A1:D15"/>
  <sheetViews>
    <sheetView workbookViewId="0">
      <selection activeCell="D15" sqref="D15"/>
    </sheetView>
  </sheetViews>
  <sheetFormatPr baseColWidth="10" defaultRowHeight="14.4" x14ac:dyDescent="0.3"/>
  <cols>
    <col min="2" max="2" width="12.88671875" customWidth="1"/>
    <col min="3" max="3" width="62.33203125" customWidth="1"/>
  </cols>
  <sheetData>
    <row r="1" spans="1:4" x14ac:dyDescent="0.3">
      <c r="A1" s="59" t="s">
        <v>392</v>
      </c>
      <c r="B1" s="60" t="s">
        <v>393</v>
      </c>
      <c r="C1" s="60" t="s">
        <v>394</v>
      </c>
      <c r="D1" s="61" t="s">
        <v>1</v>
      </c>
    </row>
    <row r="2" spans="1:4" x14ac:dyDescent="0.3">
      <c r="A2" s="62" t="s">
        <v>395</v>
      </c>
      <c r="B2" s="63" t="s">
        <v>12</v>
      </c>
      <c r="C2" s="63" t="s">
        <v>437</v>
      </c>
      <c r="D2" s="64">
        <v>280.8</v>
      </c>
    </row>
    <row r="3" spans="1:4" x14ac:dyDescent="0.3">
      <c r="A3" s="65" t="s">
        <v>395</v>
      </c>
      <c r="B3" s="66" t="s">
        <v>12</v>
      </c>
      <c r="C3" s="66" t="s">
        <v>438</v>
      </c>
      <c r="D3" s="67">
        <v>351</v>
      </c>
    </row>
    <row r="4" spans="1:4" x14ac:dyDescent="0.3">
      <c r="A4" s="62" t="s">
        <v>395</v>
      </c>
      <c r="B4" s="63" t="s">
        <v>12</v>
      </c>
      <c r="C4" s="63" t="s">
        <v>439</v>
      </c>
      <c r="D4" s="64">
        <v>561.6</v>
      </c>
    </row>
    <row r="5" spans="1:4" x14ac:dyDescent="0.3">
      <c r="A5" s="65" t="s">
        <v>395</v>
      </c>
      <c r="B5" s="66" t="s">
        <v>13</v>
      </c>
      <c r="C5" s="66" t="s">
        <v>440</v>
      </c>
      <c r="D5" s="67">
        <v>15</v>
      </c>
    </row>
    <row r="6" spans="1:4" x14ac:dyDescent="0.3">
      <c r="A6" s="62" t="s">
        <v>395</v>
      </c>
      <c r="B6" s="63" t="s">
        <v>13</v>
      </c>
      <c r="C6" s="63" t="s">
        <v>441</v>
      </c>
      <c r="D6" s="64">
        <v>50</v>
      </c>
    </row>
    <row r="7" spans="1:4" x14ac:dyDescent="0.3">
      <c r="A7" s="65" t="s">
        <v>395</v>
      </c>
      <c r="B7" s="66" t="s">
        <v>279</v>
      </c>
      <c r="C7" s="66" t="s">
        <v>442</v>
      </c>
      <c r="D7" s="67">
        <v>1469.68</v>
      </c>
    </row>
    <row r="8" spans="1:4" x14ac:dyDescent="0.3">
      <c r="A8" s="62" t="s">
        <v>395</v>
      </c>
      <c r="B8" s="63" t="s">
        <v>279</v>
      </c>
      <c r="C8" s="63" t="s">
        <v>443</v>
      </c>
      <c r="D8" s="64">
        <v>2199.59</v>
      </c>
    </row>
    <row r="9" spans="1:4" x14ac:dyDescent="0.3">
      <c r="A9" s="65" t="s">
        <v>395</v>
      </c>
      <c r="B9" s="66" t="s">
        <v>279</v>
      </c>
      <c r="C9" s="66" t="s">
        <v>444</v>
      </c>
      <c r="D9" s="67">
        <v>13258.4</v>
      </c>
    </row>
    <row r="10" spans="1:4" x14ac:dyDescent="0.3">
      <c r="A10" s="62" t="s">
        <v>395</v>
      </c>
      <c r="B10" s="63" t="s">
        <v>279</v>
      </c>
      <c r="C10" s="63" t="s">
        <v>445</v>
      </c>
      <c r="D10" s="64">
        <v>26949.66</v>
      </c>
    </row>
    <row r="11" spans="1:4" ht="15" thickBot="1" x14ac:dyDescent="0.35">
      <c r="A11" s="65" t="s">
        <v>395</v>
      </c>
      <c r="B11" s="66" t="s">
        <v>446</v>
      </c>
      <c r="C11" s="66" t="s">
        <v>447</v>
      </c>
      <c r="D11" s="67">
        <v>57541.65</v>
      </c>
    </row>
    <row r="12" spans="1:4" ht="15" thickTop="1" x14ac:dyDescent="0.3">
      <c r="A12" s="68" t="s">
        <v>2</v>
      </c>
      <c r="B12" s="69"/>
      <c r="C12" s="69"/>
      <c r="D12" s="70">
        <v>102677.38</v>
      </c>
    </row>
    <row r="15" spans="1:4" x14ac:dyDescent="0.3">
      <c r="C15" s="92" t="s">
        <v>472</v>
      </c>
      <c r="D15" s="91">
        <f>'Ingresos formación 2021'!D12+'ingresos formación 2020'!B7+'Ingresos formación 2019'!B19</f>
        <v>339821.82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cp:lastPrinted>2019-07-03T07:26:29Z</cp:lastPrinted>
  <dcterms:created xsi:type="dcterms:W3CDTF">2019-07-03T07:15:54Z</dcterms:created>
  <dcterms:modified xsi:type="dcterms:W3CDTF">2022-10-18T15:38:12Z</dcterms:modified>
</cp:coreProperties>
</file>