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F0B8257B-3A7D-49D2-8471-5AADF97AFEEF}"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6" r:id="rId3"/>
    <sheet name="ingresos investigación 2020" sheetId="8" r:id="rId4"/>
    <sheet name="Ingresos investigación 2021" sheetId="9" r:id="rId5"/>
    <sheet name="Ingresos formación 2019" sheetId="7" r:id="rId6"/>
    <sheet name="Ingresos formación 2021" sheetId="11" r:id="rId7"/>
  </sheets>
  <definedNames>
    <definedName name="_xlnm._FilterDatabase" localSheetId="1" hidden="1">Sexenios!$A$1:$S$15</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7" i="2" l="1"/>
  <c r="Q16" i="3" l="1"/>
  <c r="B7" i="7" l="1"/>
  <c r="D7" i="11" s="1"/>
  <c r="B41" i="6"/>
  <c r="D20" i="9" s="1"/>
</calcChain>
</file>

<file path=xl/sharedStrings.xml><?xml version="1.0" encoding="utf-8"?>
<sst xmlns="http://schemas.openxmlformats.org/spreadsheetml/2006/main" count="816" uniqueCount="273">
  <si>
    <t>Orgánica
Descripción justificante</t>
  </si>
  <si>
    <t>Importe</t>
  </si>
  <si>
    <t>Total</t>
  </si>
  <si>
    <t>41.80.6C.00.01</t>
  </si>
  <si>
    <t>41.80.6C.00.02</t>
  </si>
  <si>
    <t>41.80.6C.00.04</t>
  </si>
  <si>
    <t>41.80.6C.00.09</t>
  </si>
  <si>
    <t>41.80.6C.00.10</t>
  </si>
  <si>
    <t>41.80.6C.00.11</t>
  </si>
  <si>
    <t>41.80.6H.00.01</t>
  </si>
  <si>
    <t>41.80.6P.00.09</t>
  </si>
  <si>
    <t>41.80.6P.00.10</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</si>
  <si>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</si>
  <si>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</si>
  <si>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</si>
  <si>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</si>
  <si>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</si>
  <si>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</si>
  <si>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</si>
  <si>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</si>
  <si>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</si>
  <si>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</si>
  <si>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</si>
  <si>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</si>
  <si>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</si>
  <si>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</si>
  <si>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</si>
  <si>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</si>
  <si>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</si>
  <si>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</si>
  <si>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</si>
  <si>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</si>
  <si>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</si>
  <si>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 </t>
  </si>
  <si>
    <t>Codirector de tesis </t>
  </si>
  <si>
    <t/>
  </si>
  <si>
    <t>Director de tesis </t>
  </si>
  <si>
    <t>U013 </t>
  </si>
  <si>
    <t>ADM. I.U. BIODIVERSIDAD (CIBIO) </t>
  </si>
  <si>
    <t>DOCTOR. BIODIVERSIDAD: CONSERVACIÓN Y GESTIÓN DE LAS ESPECIES Y SUS HÁBITAT </t>
  </si>
  <si>
    <t>10.13</t>
  </si>
  <si>
    <t>DOCTORADO EN BIODIVERSIDAD Y CONSERVACIÓN </t>
  </si>
  <si>
    <t>GALLEGO PAREDES, BELEN </t>
  </si>
  <si>
    <t>INFLUENCIA DEL NICHO TÉRMICO EN LA DISTRIBUCIÓN GEOGRÁFICA DE LOS SCARABAEOIDEA COPRÓFAGOS EN LA PENÍNSULA IBÉRICA A TRAVÉS DE INFORMACIÓN ECOFISIOLÓGICA, FILOGENÉTICA Y MODELOS DE DISTRIBUCIÓN </t>
  </si>
  <si>
    <t>26/09/2017 </t>
  </si>
  <si>
    <t>Paucar Cabrera, Aura </t>
  </si>
  <si>
    <t>SINOPSIS DE LOS PENTODONTINI (COLEOPTERA: SCARABAEIDAE: DYNASTINAE) DE ECUADOR Y LISTA DE ESPECIES DE LOS ESCARABAJOS DYNASTINOS ECUATORIANOS </t>
  </si>
  <si>
    <t>28/09/2018 </t>
  </si>
  <si>
    <t>Vaello López, María Teresa </t>
  </si>
  <si>
    <t>INTERACCIONES MULTITRÓFICAS EN EL CULTIVO DEL PIMIENTO </t>
  </si>
  <si>
    <t>22/02/2019 </t>
  </si>
  <si>
    <t>48353982R </t>
  </si>
  <si>
    <t>10.21</t>
  </si>
  <si>
    <t>50</t>
  </si>
  <si>
    <t>B113 </t>
  </si>
  <si>
    <t>ESTUDIOS JURIDICOS DEL ESTADO </t>
  </si>
  <si>
    <t>U025 </t>
  </si>
  <si>
    <t>ADM. FACULTAD DE DERECHO </t>
  </si>
  <si>
    <t>DOCTORADO EN DERECHO </t>
  </si>
  <si>
    <t>B113</t>
  </si>
  <si>
    <t>20</t>
  </si>
  <si>
    <t>27/09/2017 </t>
  </si>
  <si>
    <t>10</t>
  </si>
  <si>
    <t>U022 </t>
  </si>
  <si>
    <t>ADM. FACULTAD DE CIENCIAS </t>
  </si>
  <si>
    <t>DOCTORADO EN CIENCIAS EXPERIMENTALES Y BIOSANITARIAS </t>
  </si>
  <si>
    <t>40</t>
  </si>
  <si>
    <t>B173</t>
  </si>
  <si>
    <t>100</t>
  </si>
  <si>
    <t>21511536G </t>
  </si>
  <si>
    <t>B101 </t>
  </si>
  <si>
    <t>AGROQUIMICA Y BIOQUIMICA </t>
  </si>
  <si>
    <t>B101</t>
  </si>
  <si>
    <t>González Ruiz, Maria Tania </t>
  </si>
  <si>
    <t>EVALUACIÓN DE NUEVAS APLICACIONES DE ARRIBAZONES DE POSIDONIA OCEANICA EN LA AGRICULTURA </t>
  </si>
  <si>
    <t>28/06/2019 </t>
  </si>
  <si>
    <t>34804871Y </t>
  </si>
  <si>
    <t>18157732Z </t>
  </si>
  <si>
    <t>B103 </t>
  </si>
  <si>
    <t>CIENCIAS AMBIENTALES Y RECURSOS NATURALES </t>
  </si>
  <si>
    <t>B103</t>
  </si>
  <si>
    <t>21501710E </t>
  </si>
  <si>
    <t>29071038G </t>
  </si>
  <si>
    <t>22139388W </t>
  </si>
  <si>
    <t>27456413W </t>
  </si>
  <si>
    <t>22682002T </t>
  </si>
  <si>
    <t>21487975H </t>
  </si>
  <si>
    <t>19834950A </t>
  </si>
  <si>
    <t>Vicente Caviedes, Alicia </t>
  </si>
  <si>
    <t>EL GÉNERO BISCUTELLA, SER. BISCUTELLA: ASPECTOS TAXONÓMICOS, NOMENCLATURALES Y FILOGENÉTICOS </t>
  </si>
  <si>
    <t>Sánchez Galván, Ingrid Rosario </t>
  </si>
  <si>
    <t>REDES DE INTERACCIÓN FORMADAS POR COLEÓPTEROS Y DÍPTEROS (SYRPHIDAE) SAPROXÍLICOS EN OQUEDADES ARBÓREAS DEL BOSQUE MEDITERRÁNEO IBÉRICO </t>
  </si>
  <si>
    <t>12715224L </t>
  </si>
  <si>
    <t>Berlingeri González, Chiara Alba </t>
  </si>
  <si>
    <t>ESTUDIO SISTEMÁTICO DE PARIENTES SILVESTRES DE CULTIVOS PRIORITARIOS EN VENEZUELA: CASO GÉNEROS PHASEOLUS Y MACROPTILIUM </t>
  </si>
  <si>
    <t>28/09/2017 </t>
  </si>
  <si>
    <t>Boix Pozuelo, Rubén José </t>
  </si>
  <si>
    <t>"FLORA ALÓCTONA DE LA COMARCA DE L'ALACANTÍ - INTRODUCCIÓN, NATURALIZACIÓN E INVASIÓN DE ESPECIES VEGETALES EXÓTICAS EN LA PROVINCIA DE ALICANTE" </t>
  </si>
  <si>
    <t>18/07/2017 </t>
  </si>
  <si>
    <t>González García, Fernando </t>
  </si>
  <si>
    <t>ESTUDIO MULTIDISCIPLINAR DEL AGADIR Y OASIS DE AMTOUDI, PROVINCIA DE GUELMIN (SUR DE MARRUECOS): ASPECTOS GEOTÉCNICOS E HIDROGEOLÓGICOS, TÉCNICAS CONSTRUCTIVAS Y SEGURIDAD ESTRUCTURAL DEL EMPLAZAMIENTO </t>
  </si>
  <si>
    <t>12/07/2017 </t>
  </si>
  <si>
    <t>Ramilo Ríos, Pablo </t>
  </si>
  <si>
    <t>LA COMUNIDAD DE COLEÓPTEROS SAPROXÍLICOS EN BOSQUE MEDITERRÁNEO: FACTORES AMBIENTALES QUE CONDICIONEN SUS ENSAMBLES </t>
  </si>
  <si>
    <t>19/01/2018 </t>
  </si>
  <si>
    <t>Moreno Compañ, Joaquín </t>
  </si>
  <si>
    <t>ESTRUCTURA ECOLÓGICA Y FUNCIONAL DE LAS COMUNIDADES VEGETALES DE AMBIENTES SALINOS MEDITERRÁNEOS </t>
  </si>
  <si>
    <t>16/03/2018 </t>
  </si>
  <si>
    <t>Florencio Ortiz, Victoria </t>
  </si>
  <si>
    <t>PHYSIOLOGICAL AND BIOCHEMICAL INSIGHTS INTO PEPPER (CAPSICUM ANNUUM L.) RESPONSES TO GREEN PEACH APHID (MYZUS PERSICAR SULZER) </t>
  </si>
  <si>
    <t>05/04/2019 </t>
  </si>
  <si>
    <t>Muñoz Gómez, Rafael </t>
  </si>
  <si>
    <t>EL AUTOCONSUMO: ECONOMÍA ELÉCTRICA SOSTENIBLE </t>
  </si>
  <si>
    <t>10/11/2017 </t>
  </si>
  <si>
    <t>21474705L </t>
  </si>
  <si>
    <t>González García, Elena </t>
  </si>
  <si>
    <t>LOS BIENES COMUNALES: EVOLUCIÓN Y PROPUESTAS PARA EL MUNDO RURAL. UN ESTUDIO DE CASO: LA DEHESA DE LA CONTIENDA </t>
  </si>
  <si>
    <t>30/11/2018 </t>
  </si>
  <si>
    <t>NIF</t>
  </si>
  <si>
    <t>NOMBRE_COMPLETO</t>
  </si>
  <si>
    <t>TIPO_SEXENIO</t>
  </si>
  <si>
    <t>Total general</t>
  </si>
  <si>
    <t>INS
1</t>
  </si>
  <si>
    <t>DED
INS 1</t>
  </si>
  <si>
    <t>INS
2</t>
  </si>
  <si>
    <t>DED
INS 2</t>
  </si>
  <si>
    <t>DED
DEP</t>
  </si>
  <si>
    <t>SEX
INS 1</t>
  </si>
  <si>
    <t>SEX
INS 2</t>
  </si>
  <si>
    <t>SEX
DEP</t>
  </si>
  <si>
    <t>FUNCIONARIO</t>
  </si>
  <si>
    <t>NO FUNCIONARIO</t>
  </si>
  <si>
    <t>52774665S</t>
  </si>
  <si>
    <t>CANTO LOPEZ, MARIA TERESA</t>
  </si>
  <si>
    <t>27456413W</t>
  </si>
  <si>
    <t>CASAS MARTINEZ, JOSE LUIS</t>
  </si>
  <si>
    <t>18157732Z</t>
  </si>
  <si>
    <t>GALANTE PATIÑO, EDUARDO</t>
  </si>
  <si>
    <t>12715224L</t>
  </si>
  <si>
    <t>MARCOS GARCIA, MARIA DE LOS ANGELES</t>
  </si>
  <si>
    <t>21501710E</t>
  </si>
  <si>
    <t>MICO BALAGUER, ESTEFANIA</t>
  </si>
  <si>
    <t>21474705L</t>
  </si>
  <si>
    <t>ORTIZ GARCIA, MARIA MERCEDES</t>
  </si>
  <si>
    <t>74336031P</t>
  </si>
  <si>
    <t>RIOS RUIZ, SEGUNDO</t>
  </si>
  <si>
    <t>34804871Y</t>
  </si>
  <si>
    <t>SANCHEZ SANCHEZ, ANTONIO</t>
  </si>
  <si>
    <t>21487975H</t>
  </si>
  <si>
    <t>VERDU FARACO, JOSE RAMON</t>
  </si>
  <si>
    <t>48353391P</t>
  </si>
  <si>
    <t>GIMENEZ FONT, PABLO</t>
  </si>
  <si>
    <t>INGRESO EFECTIVO INGRESO TIENDA MUSEO BIODIVERSIDAD 2º TRIMESTRE. EL CIBIO NOS CONFIRMA QUE CORRESPONDE AL CONVENIO ESPECÍFICO ENTRE LA UNIVERSIDAD DE ALICANTE Y EL AYUNTAMIENTO DE IBI PARA EL ESTABLECIMIENTO DE LAS CONDICIONES DE COLABORACIÓN EN LA EXPLOTACIÓN DE BIENES COMERCIALIZABLES EN EL MUSEO DE LA BIODIVERSIDAD.</t>
  </si>
  <si>
    <t xml:space="preserve">INGRESO EFECTIVO MUSEO BIO TIENDA 1 TRIMESTRE. EL CIBIO INFORMA QUE CORRESPONDE AL CONVENIO ESPECÍFICO ENTRE LA UNIVERSIDAD DE ALICANTE Y EL AYUNTAMIENTO DE IBI PARA EL ESTABLECIMIENTO DE LAS CONDICIONES DE COLABORACIÓN EN LA EXPLOTACIÓN DE BIENES COMERCIALIZABLES EN EL MUSEO DE LA BIODIVERSIDAD. </t>
  </si>
  <si>
    <t>INGRESO EFECTIVO POR CUENTA DE INGRESO TIENDA MUSEO DE LA BIODIVERSIDAD. CONVENIO ESPECÍFICO ENTRE LA UNIVERSIDAD DE ALICANTE Y EL AYUNTAMIENTO DE IBI PARA EL ESTABLECIMIENTO DE LAS CONDICIONES DE COLABORACIÓN EN LA EXPLOTACIÓN DE BIENES COMERCIALIZABLES EN EL MUSEO DE LA BIODIVERSIDAD.</t>
  </si>
  <si>
    <t>INGRESO EFECTIVO TIENDA MUSEO BIO TERCER TRIMESTRE. EL CIBIO INFORMA QUE CORRESPONDE AL CONVENIO ESPECÍFICO ENTRE LA UNIVERSIDAD DE ALICANTE Y EL AYUNTAMIENTO DE IBI PARA EL ESTABLECIMIENTO DE LAS CONDICIONES DE COLABORACIÓN EN LA EXPLOTACIÓN DE BIENES COMERCIALIZABLES EN EL MUSEO DE LA BIODIVERSIDAD.</t>
  </si>
  <si>
    <t>PAGO TERCER TRIMESTRE TIENDA MUSEO BIO.</t>
  </si>
  <si>
    <t>TRANSFERENCIA DE AYUNTAMIENTO DE IBI. CONVENIO ESTACIÓN BIOLÓGICA TORRETES. EL CIBIO INFORMA QUE CORRESPONDE AL CONVENIO PARA EL FUNCIONAMIENTO DEL MUSEO DE LA BIODIVERSIDAD Y LA ESTACIÓN BIOLÓGICA DE TORRETES.</t>
  </si>
  <si>
    <t>TRANSFERENCIA DE AYUNTAMIENTO DE IBI. CONVENIO UNIVERSIDAD ACTIVIDADES Y CONSERJERÍA MUSEO DE LA BIODIVERSIDAD.</t>
  </si>
  <si>
    <t>TRANSFERENCIA DE AYUNTAMIENTO DE IBI. TE LLEVAMOS EL MUSEO AL COLE ANUALIDAD 2019. EL CIBIO INFORMA QUE CORRESPONDE AL PLAN DE ACTUACIÓN PROGRAMAS DE EDUCACIÓN AMBIENTAL 2017 AL AMPARO DEL CONVENIO DE COLABORACIÓN DE FECHA 11 DE ENERO DE 2006, PARA EL DESARROLLO Y LA GESTIÓN CIENTÍFICA DEL MUSEO DE LA BIODIVERSIDAD Y DE LA ESTACIÓN BIOLÓGICA TORRETES-FONT ROJA SITOS EN IBI (ALICANTE).</t>
  </si>
  <si>
    <t>LIQUIDACIÓN VENTAS AÑO 2018 MANUAL "CURSO PRÁTICO DE ENTOMOLOGÍA" NÚMERO DE PEDIDO 4500420656 UNIVAUTONOMABARNA1-05X</t>
  </si>
  <si>
    <t>COBRO Fra. 520/2017-I</t>
  </si>
  <si>
    <t>COBRO Fra. 591/2016-I</t>
  </si>
  <si>
    <t>ASESORAMIENTO Y ASISTENCIA CIENTÍFICO-TÉCNICA EN CONTROL DE PLAGAS</t>
  </si>
  <si>
    <t>ASESORAMIENTO Y ASISTENCIA CIENTÍFICO-TÉCNICA EN CONTROL DE PLAGAS LOKIMICA1-17T</t>
  </si>
  <si>
    <t>PRIMER PAGO 2019. VEINTICUATRO MESES DE LA FIRMA DEL CONTRATO.</t>
  </si>
  <si>
    <t xml:space="preserve">SEGUNDO TRIMESTRE 2019. ASESORAMIENTO Y ASISTENCIA CIENTÍFICO-TÉCNICA EN CONTROL DE PLAGAS </t>
  </si>
  <si>
    <t>ULTIMO PAGO CORRESPONDIENTE AL 30% RESTANTE DEL TOTAL SEGÚN CONVENIO</t>
  </si>
  <si>
    <t>REINTEGRO CUOTA PATRONAL CORRESPONDIENTE AL MES DE DICIEMBRE DE 2019.</t>
  </si>
  <si>
    <t>41.80.6C.00.13</t>
  </si>
  <si>
    <t>INFORME DE VALORACIÓN SOBRE EL EFECTO SOBRE LA POBLACIÓN DE LA IMPLANTACIÓN DE UNA PLANTA DE RECICLADO DE MATERIA ORGÁNICA POR LA MOSCA SOLDADO EN EL AYUNTAMIENTO DE REMONDO (SEGOVIA)</t>
  </si>
  <si>
    <t>TECNICOS DE APOYO EXPEDIENTE: PTA-2015-1 SOLICITUDES: PTA2015 - 11441-I REFERENCIA: PTA2015- 1141- I- 3 ANUALIDAD. REFERENCIA DEL ORDENANTE PARA EL BENEFICIARIO: 27402219310029293.</t>
  </si>
  <si>
    <t>FLIB 26/08/19. PROYECTOS RETOS I+D+I 2016. ANUAL 2019 PROYECTOS I+D RETOS (PIA 13) N EXPEDIENTE: PIA 132016-1 -4 ANUALIDAD REFERENCIA: CGL2. REFERENCIA DEL ORDENANTE PARA EL BENEFICIARIO: 27402219310022591</t>
  </si>
  <si>
    <t>FLIB 26/08/19. PROYECTOS RETOS I+D+I 2016. ANUAL 2019 PROYECTOS I+D RETOS (PIA 13) N EXPEDIENTE: PIA 132016- 1 -4 ANUALIDAD REFERENCIA: CGL2. REFERENCIA DEL ORDENANTE PARA EL BENEFICIARIO: 27402219310022603</t>
  </si>
  <si>
    <t>41.80.6P.00.15</t>
  </si>
  <si>
    <t>15140  EBCORG/2018/3  PAGO</t>
  </si>
  <si>
    <t>41.80.6P.00.19</t>
  </si>
  <si>
    <t>PARA EL PAGO DE LA ANUALIDAD 2019. PROYECTOS I+D (PIA 1) N EXPEDIENTE: PIA 12018 - 1- 1 ANUALIDAD REFERENCIA : PGC2018 - 095851 - A- C65. REFERENCIA DEL ORDENANTE PARA EL BENEFICIARIO: 00173219310010753 - 2019/009208.</t>
  </si>
  <si>
    <t>PARA PAGO ANUALIDAD 2019 CONVOCATORIA PGC 2018 PROYECTOS I+ D (PIA 1) N EXPEDIENTE: PIA 12018 - 1-1 ANUALIDAD REFERENCIA: PGC2018 - 095851 - A- C6. REFERENCIA DEL ORDENANTE PARA EL BENEFICIARIO: 27402219310025632.</t>
  </si>
  <si>
    <t>41.80.6P.00.20</t>
  </si>
  <si>
    <t xml:space="preserve">12533 EBCORG/2019/2 PAGO (ECONOMÍA SOSTENIBLE,S.PRODUCTIVOS, C Y T)  </t>
  </si>
  <si>
    <t>41.80.2T.00.01</t>
  </si>
  <si>
    <t>Liquidación  PLAN 9118 curso ''ESPECIALISTA EN CONTROL BIOLÓGICO E INTEGRADO DE PLAGAS'' ORDEN 5403</t>
  </si>
  <si>
    <t>Liquidación  PLAN 9119 curso ''EXPERTO EN CONTROL BIOLÓGICO E INTEGRADO DE PLAGAS'' ORDEN 5545</t>
  </si>
  <si>
    <t>41.80.2T.00.02</t>
  </si>
  <si>
    <t>Liquidación  PLAN GD21 curso ''CÓMO MEJORAR EN LA ESCRITURA DE ARTÍCULOS CIENTÍFICOS'' ORDEN 5375</t>
  </si>
  <si>
    <t>Morelle Hungría, Esteban </t>
  </si>
  <si>
    <t>Nuevos retos en la protección del medio marino. La reconexión verde: entre el derecho ambiental y la criminología para la conservación de la biodiversidad </t>
  </si>
  <si>
    <t>10/07/2020 </t>
  </si>
  <si>
    <t>21434118G</t>
  </si>
  <si>
    <t>MARCO MOLINA, JUAN ANTONIO</t>
  </si>
  <si>
    <t>21511536G</t>
  </si>
  <si>
    <t>CERDAN SALA, MARIA DEL MAR</t>
  </si>
  <si>
    <t>COD DEP</t>
  </si>
  <si>
    <t>21479431F</t>
  </si>
  <si>
    <t>PADILLA BLANCO, MARIA ASCENSION</t>
  </si>
  <si>
    <t>Murillo Pacheco, Henry </t>
  </si>
  <si>
    <t>Interactions and mechanisms involved in host range expansion of endoparasitoids to native and invasive species of lepidopteran pests in horticultural agroecosystems in southwestern Ontario Canada </t>
  </si>
  <si>
    <t>10/12/2020 </t>
  </si>
  <si>
    <t>Hernández Corral, Jesús </t>
  </si>
  <si>
    <t>"Diversidad y ecología de araneae y pseudoscorpiones en oquedades arbóreas de quercus pyrenaica en bosques mediterráneos" </t>
  </si>
  <si>
    <t>16/11/2020 </t>
  </si>
  <si>
    <t>Pérez Sánchez, Diana </t>
  </si>
  <si>
    <t>Structure and function of the communities of saproxylic beetles in Mediterranean forests </t>
  </si>
  <si>
    <t>11/12/2020 </t>
  </si>
  <si>
    <t>Soulopoulou , Polyxeni </t>
  </si>
  <si>
    <t>Intensity of agricultural land use and climate effects on bird biodiversity along a Greek natura 2000 site and implications for sustainable agro-management. </t>
  </si>
  <si>
    <t>29/09/2021 </t>
  </si>
  <si>
    <t>21434118G </t>
  </si>
  <si>
    <t>B173 </t>
  </si>
  <si>
    <t>ANÁLISIS GEOGRÁFICO REGIONAL Y GEOGRAFÍA FÍSICA </t>
  </si>
  <si>
    <t>21479431F </t>
  </si>
  <si>
    <t>Nolasco Soto, Janet </t>
  </si>
  <si>
    <t>Procesos históricos y contemporáneos que influyen en la estructura filogeográfica y diversidad fenotípica del complejo Canthon cyanellus LeConte (Scarabaeidae: Scarabaeinae) en el Neotrópico de México. </t>
  </si>
  <si>
    <t>01/03/2021 </t>
  </si>
  <si>
    <t>U023 </t>
  </si>
  <si>
    <t>ADM. FACULTAD DE FILOSOFIA Y LETRAS </t>
  </si>
  <si>
    <t>DOCTORADO EN FILOSOFÍA Y LETRAS </t>
  </si>
  <si>
    <t>Prieto Cerdán, Antonio </t>
  </si>
  <si>
    <t>Infraestructura Verde como instrumento de ordenación territorial: analisis multiescalar </t>
  </si>
  <si>
    <t>30/04/2021 </t>
  </si>
  <si>
    <t>Abib Hecktheuer, Pedro </t>
  </si>
  <si>
    <t>A IMPOSSIBILIDADE DE MEGAPROJETOS HIDRELÉTRICOS QUE VIOLAM A SUSTENTABILIDADE DOS POVOS E COMUNIDADES TRADICIONAIS DA AMAZÔNIA COMO UM DIREITO CONSTITUCIONAL DIFUSO E INVIOLÁVEL. </t>
  </si>
  <si>
    <t>20/01/2021 </t>
  </si>
  <si>
    <t>CONVENIO DE COLABORACIÓN ENTRE LA UA Y  EL AYUNTAMIENTO DE IBI. INNOVACIÓN Y APOYO DE ACTIVIDADES DE EDUCACIÓN AMBIENTAL EN EL CIBIO.</t>
  </si>
  <si>
    <t>CUAUNI/2020/3. SUBVENCIONS PER L'ORGANITZACIÓ D'ACTIVITATS CULTURALS I ARTÍSTIQUES. MOD. B (EDUCACIÓN,CULTURA Y DEPORTE )</t>
  </si>
  <si>
    <t>Liquidación ventas CURSO PRÁCTICO DE ENTOMOLOGÍA</t>
  </si>
  <si>
    <t>CUARTO TRIMESTRE 2019. ASESORAMIENTO Y ASISTENCIA  CIENTÍFICO-TÉCNICA EN CONTROL DE PLAGAS.</t>
  </si>
  <si>
    <t>CUARTO TRIMESTRE 2020. ASESORAMIENTO Y ASISTENCIA CIENTÍFICO-TÉCNICA EN CONTROL DE PLAGAS.</t>
  </si>
  <si>
    <t>PRIMER TRIMESTRE 2020. ASESORAMIENTO Y ASISTENCIA CIENTÍFICO-TÉCNICA EN CONTROL DE PLAGAS.</t>
  </si>
  <si>
    <t>SEGUNDO TRIMESTRE 2020. ASESORAMIENTO Y ASISTENCIA CIENTÍFICO-TÉCNICA EN CONTROL DE PLAGAS.</t>
  </si>
  <si>
    <t>TERCER TRIMESTRE 2020. ASESORAMIENTO Y ASISTENCIA CIENTÍFICO-TÉCNICA EN CONTROL DE PLAGAS.</t>
  </si>
  <si>
    <t>41.80.6C.00.15</t>
  </si>
  <si>
    <t>VALORACIÓN DEL PROCESO DE CONTAMINACIÓN DE PARTIDA DE PROTEÍNA TEXTURIZADA ADQUIRIDA POR ALMOND LABORATORIOS Y ALMACENADA POR SUDITRANS S.L., EN RELACIÓN AL INFORME PERICIAL ELABORADO POR SEDWICK</t>
  </si>
  <si>
    <t>COVID TECNICOS DE APOYO N EXPEDIENTE. PTA-2015-1 - 3 ANUALIDAD REFERENCIA: PTA2015-11441-I</t>
  </si>
  <si>
    <t>41.80.6M.00.02</t>
  </si>
  <si>
    <t>Mecenazgos de las actuaciones llevadas a cabo en el Pabellón de las Hierbas culinarias Sor Juana Inés de la Cruz de Torretes por la Universidad de Alicante</t>
  </si>
  <si>
    <t>41.80.6M.00.03</t>
  </si>
  <si>
    <t>Mecenazgos de las actuaciones llevadas a cabo en el Pabellón de las Hierbas culinarias Sor Juana Inés de la Cruz deTorretes por la Universidad de Alicante</t>
  </si>
  <si>
    <t>41.80.6P.00.07</t>
  </si>
  <si>
    <t>2-1659-2015 ETNOBIOLOGÍA DE LOS HUMEDALES EN LOS P.N. DE TABLAS DE DAIMIEL Y CABAÑEROS. 21113219310002630-2019/002073. EL SERVICIO DE INVESTIGACIÓN Y EL CIBIO INFORMAN QUE CORRESPONDE A LA CONCESIÓN DE LA SUBVENCIÓN (CONVOCATORIA POR RESOLUCIÓN DE 16 DE ABRIL DE 2015) PARA LA REALIZACIÓN DE PROYECTOS DE INVESTIGACIÓN CIENTÍFICA EN LA RED DE PARQUES NACIONALES PARA EL AÑO 2015, CUYA BASE REGULADORA FUE PUBLICADA POR ORDEN ARM/1498/2009 DE 21 DE MAYO.</t>
  </si>
  <si>
    <t>LIBERADOS EL 30/06/2020, ANUALIDAD 2020 PROYECTOS / I+D (PIA1) N EXPEDIENTE: PIA12018-1 - 2 ANUAL / IDAD REFERENCIA: PGC2018-095851-A-C65 / GOVT / 27402220310030727</t>
  </si>
  <si>
    <t>41.80.6P.00.21</t>
  </si>
  <si>
    <t xml:space="preserve">PAGO CONVOCATORIA PROYECTOS 2019 1ANUALIDAD 2020 PROYECTOS I+D (PIA 1)N EXPEDIENTE: PIA 1 2019-1-1. ANUALIDAD REFERENCIA: PID2019-105418RB-I00 </t>
  </si>
  <si>
    <t>41.80.6P.00.23</t>
  </si>
  <si>
    <t>RESOLUCIÓN CONCESIÓN DE FECHA 8 DE OCTUBRE DE 2020 SUBVENCIÓN AICO 2020 (INNOVACIÓN,UNIVERSIDADES,CIENCIA SOC.DIG)</t>
  </si>
  <si>
    <t>41.80.6P.00.24</t>
  </si>
  <si>
    <t>53232946K</t>
  </si>
  <si>
    <t>RICARTE SABATER, ANTONIO RAMON</t>
  </si>
  <si>
    <t>Unidad</t>
  </si>
  <si>
    <t>Cód. org. aplic.</t>
  </si>
  <si>
    <t>Descripción justificante</t>
  </si>
  <si>
    <t>41.80</t>
  </si>
  <si>
    <t>INGRESO TIENDA MUSEO BIO. CONVENIO ESPECÍFICO ENTRE LA UA Y EL AYUNTAMIENTO DE IBI PARA EL ESTABLECIMIENTO DE LAS CONDICIONES DE COLABORACIÓN EN LA EXPLOTACIÓN DE BIENES COMERCIALIZABLES EN EL MUSEO DE LA BIODIVERSIDAD.</t>
  </si>
  <si>
    <t>INGRESO TIENDA MUSEO BIO DE ABRIL A AGOSTO 2021. CONVENIO ESPECÍFICO ENTRE LA UA Y EL AYUNTAMIENTO DE IBI PARA EL ESTABLECIMIENTO DE LAS CONDICIONES DE COLABORACIÓN EN LA EXPLOTACIÓN DE BIENES COMERCIALIZABLES EN EL MUSEO DE LA BIODIVERSIDAD.</t>
  </si>
  <si>
    <t>CONVENIO PARA PROGRAMA DE ASISTENCIA A LOS PROGRAMAS DE EDUCACIÓN AMBIENTAL DEL MUSEO DE LA BIODIVERSIDAD.</t>
  </si>
  <si>
    <t>CONVENIO PARA PLAN DE ACTUACIÓN ANUAL. PROYECTO DE EDUCACIÓN AMBIENTAL: EXPOSICIÓN ITINERANTE "TE LLEVAMOS EL MUSEO AL COLE".</t>
  </si>
  <si>
    <t>CONVENIO DE COLABORACIÓN ENTRE LA UA Y EL AYUNTAMIENTO DE IBI PARA EL DESARROLLO Y GESTIÓN CIENTÍFICA DEL MUSEO DE LA BIODIVERSIDAD Y DE LA ESTACIÓN BIOLÓGICA TORRETES- FONT ROJA.</t>
  </si>
  <si>
    <t>SEGUNDO TRIMESTRE 2021 ASESORAMIENTO Y ASISTENCIA CIENTÍFICO-TÉCNICA EN CONTROL DE PLAGAS.</t>
  </si>
  <si>
    <t>PRIMER TRIMESTRE 2021 ASESORAMIENTO Y ASISTENCIA CIENTIFICO-TÉCNICA EN CONTROL DE PLAGAS</t>
  </si>
  <si>
    <t>TERCER TRIMESTRE 2021 ASESORAMIENTO Y ASISTENCIA CIENTÍFICO-TÉCNICA EN CONTROL DE PLAGAS</t>
  </si>
  <si>
    <t>CUARTO TRIMESTRE 2021 ASESORAMIENTO Y ASISTENCIA CIENTÍFICO-TÉCNICA EN CONTROL DE PLAGAS</t>
  </si>
  <si>
    <t xml:space="preserve">PGC2018-095851-A-C65 </t>
  </si>
  <si>
    <t>PID2019-105418RB-I00</t>
  </si>
  <si>
    <t>RES. CONCESIÓN SUBVENCIONES PARA GRUPOSINVESTIGACIÓN CONSOLIDABLES AICO 2020 EN2021</t>
  </si>
  <si>
    <t>41.80.6P.00.27</t>
  </si>
  <si>
    <t>PID2020-115140RB-I00</t>
  </si>
  <si>
    <t>41.80.2T.00.03</t>
  </si>
  <si>
    <t>Fernando Verdú Ferrer. EXPERTO/A EN CONTROL BIOLÓGICO E INTEGRADO DE PLAGAS</t>
  </si>
  <si>
    <t>Plan 9119 - Experto/a en Control Biológico e Integrado de Plagas. Curso 2020-21</t>
  </si>
  <si>
    <t>S</t>
  </si>
  <si>
    <t>Total ingresos investigación 2019, 2020 y 2021</t>
  </si>
  <si>
    <t>Total ingresos  formación 2019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</si>
</sst>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
      <b/>
      <sz val="11"/>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84">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2" borderId="0" xfId="5" applyFont="1" applyFill="1"/>
    <xf numFmtId="0" fontId="10" fillId="2" borderId="0" xfId="5" applyFont="1" applyFill="1" applyAlignment="1">
      <alignment horizontal="right"/>
    </xf>
    <xf numFmtId="0" fontId="10" fillId="0" borderId="0" xfId="5" applyFont="1" applyAlignment="1">
      <alignment horizontal="right"/>
    </xf>
    <xf numFmtId="164" fontId="11" fillId="2" borderId="1" xfId="5" applyNumberFormat="1" applyFont="1" applyFill="1" applyBorder="1"/>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NumberFormat="1" applyBorder="1"/>
    <xf numFmtId="0" fontId="0" fillId="0" borderId="1" xfId="0" applyBorder="1" applyAlignment="1">
      <alignment horizontal="center"/>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0" borderId="7" xfId="0" applyFont="1" applyBorder="1"/>
    <xf numFmtId="0" fontId="0" fillId="0" borderId="0" xfId="0" applyAlignment="1">
      <alignment horizontal="left" indent="1"/>
    </xf>
    <xf numFmtId="0" fontId="11" fillId="7" borderId="8" xfId="0" applyFont="1" applyFill="1" applyBorder="1" applyAlignment="1">
      <alignment horizontal="left"/>
    </xf>
    <xf numFmtId="0" fontId="11" fillId="7" borderId="8" xfId="0" applyFont="1" applyFill="1" applyBorder="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13" fillId="8" borderId="18" xfId="0" applyNumberFormat="1" applyFont="1" applyFill="1" applyBorder="1"/>
    <xf numFmtId="0" fontId="13" fillId="8" borderId="19" xfId="0" applyNumberFormat="1" applyFont="1" applyFill="1" applyBorder="1"/>
    <xf numFmtId="0" fontId="13" fillId="8" borderId="20" xfId="0" applyNumberFormat="1" applyFont="1" applyFill="1" applyBorder="1"/>
    <xf numFmtId="0" fontId="0" fillId="7" borderId="18" xfId="0" applyNumberFormat="1" applyFont="1" applyFill="1" applyBorder="1"/>
    <xf numFmtId="0" fontId="0" fillId="7" borderId="19" xfId="0" applyFont="1" applyFill="1" applyBorder="1"/>
    <xf numFmtId="4" fontId="0" fillId="7" borderId="20" xfId="0" applyNumberFormat="1" applyFont="1" applyFill="1" applyBorder="1"/>
    <xf numFmtId="0" fontId="14" fillId="0" borderId="21" xfId="0" applyFont="1" applyBorder="1"/>
    <xf numFmtId="0" fontId="14" fillId="0" borderId="22" xfId="0" applyFont="1" applyBorder="1"/>
    <xf numFmtId="4" fontId="14" fillId="0" borderId="23" xfId="0" applyNumberFormat="1" applyFont="1" applyBorder="1"/>
    <xf numFmtId="0" fontId="0" fillId="0" borderId="18" xfId="0" applyNumberFormat="1" applyFont="1" applyBorder="1"/>
    <xf numFmtId="0" fontId="0" fillId="0" borderId="19" xfId="0" applyFont="1" applyBorder="1"/>
    <xf numFmtId="4" fontId="0" fillId="0" borderId="20" xfId="0" applyNumberFormat="1" applyFont="1" applyBorder="1"/>
    <xf numFmtId="0" fontId="3" fillId="4" borderId="0" xfId="1" applyFill="1"/>
    <xf numFmtId="165" fontId="3" fillId="4" borderId="1" xfId="1" applyNumberFormat="1" applyFill="1" applyBorder="1"/>
    <xf numFmtId="165" fontId="3" fillId="4" borderId="2" xfId="1" applyNumberFormat="1" applyFill="1" applyBorder="1"/>
    <xf numFmtId="164" fontId="3" fillId="10" borderId="1" xfId="1" applyNumberFormat="1" applyFill="1" applyBorder="1"/>
    <xf numFmtId="0" fontId="3" fillId="10" borderId="1" xfId="1" applyFill="1" applyBorder="1"/>
    <xf numFmtId="164" fontId="3" fillId="10" borderId="2" xfId="1" applyNumberFormat="1" applyFill="1" applyBorder="1"/>
    <xf numFmtId="0" fontId="3" fillId="4" borderId="24" xfId="1" applyFill="1" applyBorder="1"/>
    <xf numFmtId="0" fontId="3" fillId="10" borderId="24" xfId="1" applyFill="1" applyBorder="1"/>
    <xf numFmtId="164" fontId="4" fillId="10" borderId="25" xfId="1" applyNumberFormat="1" applyFont="1" applyFill="1" applyBorder="1" applyAlignment="1">
      <alignment horizontal="center"/>
    </xf>
    <xf numFmtId="0" fontId="4" fillId="10" borderId="26" xfId="1" applyFont="1" applyFill="1" applyBorder="1" applyAlignment="1">
      <alignment horizontal="center"/>
    </xf>
    <xf numFmtId="0" fontId="14" fillId="0" borderId="1" xfId="0" applyFont="1" applyBorder="1" applyAlignment="1">
      <alignment horizontal="right"/>
    </xf>
    <xf numFmtId="4" fontId="14"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7"/>
  <sheetViews>
    <sheetView showGridLines="0" tabSelected="1" topLeftCell="G1" zoomScale="120" zoomScaleNormal="120" workbookViewId="0">
      <selection activeCell="G35" sqref="G35"/>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7.44140625" style="13" bestFit="1" customWidth="1"/>
    <col min="19" max="21" width="5.109375" style="13" customWidth="1"/>
    <col min="22" max="16384" width="10.33203125" style="13"/>
  </cols>
  <sheetData>
    <row r="1" spans="1:22" ht="45" x14ac:dyDescent="0.2">
      <c r="A1" s="8" t="s">
        <v>12</v>
      </c>
      <c r="B1" s="9" t="s">
        <v>13</v>
      </c>
      <c r="C1" s="9" t="s">
        <v>14</v>
      </c>
      <c r="D1" s="9" t="s">
        <v>15</v>
      </c>
      <c r="E1" s="9" t="s">
        <v>16</v>
      </c>
      <c r="F1" s="9" t="s">
        <v>17</v>
      </c>
      <c r="G1" s="9" t="s">
        <v>18</v>
      </c>
      <c r="H1" s="9" t="s">
        <v>19</v>
      </c>
      <c r="I1" s="8" t="s">
        <v>20</v>
      </c>
      <c r="J1" s="9" t="s">
        <v>21</v>
      </c>
      <c r="K1" s="8" t="s">
        <v>22</v>
      </c>
      <c r="L1" s="9" t="s">
        <v>23</v>
      </c>
      <c r="M1" s="10" t="s">
        <v>24</v>
      </c>
      <c r="N1" s="11" t="s">
        <v>25</v>
      </c>
      <c r="O1" s="12" t="s">
        <v>26</v>
      </c>
      <c r="P1" s="11" t="s">
        <v>27</v>
      </c>
      <c r="Q1" s="12" t="s">
        <v>28</v>
      </c>
      <c r="R1" s="11" t="s">
        <v>29</v>
      </c>
      <c r="S1" s="11" t="s">
        <v>30</v>
      </c>
      <c r="T1" s="11" t="s">
        <v>31</v>
      </c>
      <c r="U1" s="11" t="s">
        <v>32</v>
      </c>
    </row>
    <row r="2" spans="1:22" s="72" customFormat="1" x14ac:dyDescent="0.2">
      <c r="A2" s="29" t="s">
        <v>37</v>
      </c>
      <c r="B2" s="29" t="s">
        <v>38</v>
      </c>
      <c r="C2" s="29" t="s">
        <v>39</v>
      </c>
      <c r="D2" s="29" t="s">
        <v>42</v>
      </c>
      <c r="E2" s="29" t="s">
        <v>43</v>
      </c>
      <c r="F2" s="29" t="s">
        <v>44</v>
      </c>
      <c r="G2" s="29" t="s">
        <v>33</v>
      </c>
      <c r="H2" s="29" t="s">
        <v>34</v>
      </c>
      <c r="I2" s="29" t="s">
        <v>37</v>
      </c>
      <c r="J2" s="29" t="s">
        <v>38</v>
      </c>
      <c r="K2" s="32">
        <v>0.5</v>
      </c>
      <c r="L2" s="29" t="s">
        <v>40</v>
      </c>
      <c r="M2" s="29">
        <v>2016</v>
      </c>
      <c r="N2" s="29" t="s">
        <v>35</v>
      </c>
      <c r="O2" s="30" t="s">
        <v>35</v>
      </c>
      <c r="P2" s="29" t="s">
        <v>35</v>
      </c>
      <c r="Q2" s="30" t="s">
        <v>35</v>
      </c>
      <c r="R2" s="31">
        <v>100</v>
      </c>
      <c r="S2" s="75">
        <v>0.5</v>
      </c>
      <c r="T2" s="32">
        <v>0</v>
      </c>
      <c r="U2" s="32">
        <v>0</v>
      </c>
    </row>
    <row r="3" spans="1:22" s="72" customFormat="1" x14ac:dyDescent="0.2">
      <c r="A3" s="29" t="s">
        <v>37</v>
      </c>
      <c r="B3" s="29" t="s">
        <v>38</v>
      </c>
      <c r="C3" s="29" t="s">
        <v>41</v>
      </c>
      <c r="D3" s="29" t="s">
        <v>45</v>
      </c>
      <c r="E3" s="29" t="s">
        <v>46</v>
      </c>
      <c r="F3" s="29" t="s">
        <v>47</v>
      </c>
      <c r="G3" s="29" t="s">
        <v>33</v>
      </c>
      <c r="H3" s="29" t="s">
        <v>34</v>
      </c>
      <c r="I3" s="29" t="s">
        <v>37</v>
      </c>
      <c r="J3" s="29" t="s">
        <v>38</v>
      </c>
      <c r="K3" s="32">
        <v>0.5</v>
      </c>
      <c r="L3" s="29" t="s">
        <v>40</v>
      </c>
      <c r="M3" s="29">
        <v>2017</v>
      </c>
      <c r="N3" s="29" t="s">
        <v>35</v>
      </c>
      <c r="O3" s="30" t="s">
        <v>35</v>
      </c>
      <c r="P3" s="29" t="s">
        <v>35</v>
      </c>
      <c r="Q3" s="30" t="s">
        <v>35</v>
      </c>
      <c r="R3" s="31">
        <v>100</v>
      </c>
      <c r="S3" s="75">
        <v>0.5</v>
      </c>
      <c r="T3" s="32">
        <v>0</v>
      </c>
      <c r="U3" s="32">
        <v>0</v>
      </c>
    </row>
    <row r="4" spans="1:22" s="72" customFormat="1" x14ac:dyDescent="0.2">
      <c r="A4" s="29" t="s">
        <v>37</v>
      </c>
      <c r="B4" s="29" t="s">
        <v>38</v>
      </c>
      <c r="C4" s="29" t="s">
        <v>41</v>
      </c>
      <c r="D4" s="29" t="s">
        <v>48</v>
      </c>
      <c r="E4" s="29" t="s">
        <v>49</v>
      </c>
      <c r="F4" s="29" t="s">
        <v>50</v>
      </c>
      <c r="G4" s="29" t="s">
        <v>51</v>
      </c>
      <c r="H4" s="29" t="s">
        <v>34</v>
      </c>
      <c r="I4" s="29" t="s">
        <v>37</v>
      </c>
      <c r="J4" s="29" t="s">
        <v>38</v>
      </c>
      <c r="K4" s="73">
        <v>0.5</v>
      </c>
      <c r="L4" s="29" t="s">
        <v>40</v>
      </c>
      <c r="M4" s="29">
        <v>2018</v>
      </c>
      <c r="N4" s="29" t="s">
        <v>35</v>
      </c>
      <c r="O4" s="30" t="s">
        <v>35</v>
      </c>
      <c r="P4" s="29" t="s">
        <v>35</v>
      </c>
      <c r="Q4" s="30" t="s">
        <v>35</v>
      </c>
      <c r="R4" s="31">
        <v>100</v>
      </c>
      <c r="S4" s="75">
        <v>0.5</v>
      </c>
      <c r="T4" s="32">
        <v>0</v>
      </c>
      <c r="U4" s="32">
        <v>0</v>
      </c>
    </row>
    <row r="5" spans="1:22" s="72" customFormat="1" x14ac:dyDescent="0.2">
      <c r="A5" s="29" t="s">
        <v>37</v>
      </c>
      <c r="B5" s="29" t="s">
        <v>38</v>
      </c>
      <c r="C5" s="29" t="s">
        <v>41</v>
      </c>
      <c r="D5" s="29" t="s">
        <v>196</v>
      </c>
      <c r="E5" s="29" t="s">
        <v>197</v>
      </c>
      <c r="F5" s="29" t="s">
        <v>198</v>
      </c>
      <c r="G5" s="29" t="s">
        <v>33</v>
      </c>
      <c r="H5" s="29" t="s">
        <v>34</v>
      </c>
      <c r="I5" s="29" t="s">
        <v>37</v>
      </c>
      <c r="J5" s="29" t="s">
        <v>38</v>
      </c>
      <c r="K5" s="37">
        <v>0.5</v>
      </c>
      <c r="L5" s="37" t="s">
        <v>40</v>
      </c>
      <c r="M5" s="38">
        <v>2019</v>
      </c>
      <c r="N5" s="29" t="s">
        <v>35</v>
      </c>
      <c r="O5" s="30" t="s">
        <v>35</v>
      </c>
      <c r="P5" s="29" t="s">
        <v>35</v>
      </c>
      <c r="Q5" s="30" t="s">
        <v>35</v>
      </c>
      <c r="R5" s="29">
        <v>100</v>
      </c>
      <c r="S5" s="76">
        <v>0.5</v>
      </c>
      <c r="T5" s="29">
        <v>0</v>
      </c>
      <c r="U5" s="29">
        <v>0</v>
      </c>
      <c r="V5" s="72" t="s">
        <v>270</v>
      </c>
    </row>
    <row r="6" spans="1:22" s="72" customFormat="1" ht="10.8" thickBot="1" x14ac:dyDescent="0.25">
      <c r="A6" s="29" t="s">
        <v>37</v>
      </c>
      <c r="B6" s="29" t="s">
        <v>38</v>
      </c>
      <c r="C6" s="29" t="s">
        <v>41</v>
      </c>
      <c r="D6" s="29" t="s">
        <v>199</v>
      </c>
      <c r="E6" s="29" t="s">
        <v>200</v>
      </c>
      <c r="F6" s="29" t="s">
        <v>201</v>
      </c>
      <c r="G6" s="29" t="s">
        <v>33</v>
      </c>
      <c r="H6" s="29" t="s">
        <v>34</v>
      </c>
      <c r="I6" s="29" t="s">
        <v>37</v>
      </c>
      <c r="J6" s="29" t="s">
        <v>38</v>
      </c>
      <c r="K6" s="37">
        <v>0.5</v>
      </c>
      <c r="L6" s="37" t="s">
        <v>40</v>
      </c>
      <c r="M6" s="38">
        <v>2019</v>
      </c>
      <c r="N6" s="29" t="s">
        <v>35</v>
      </c>
      <c r="O6" s="30" t="s">
        <v>35</v>
      </c>
      <c r="P6" s="29" t="s">
        <v>35</v>
      </c>
      <c r="Q6" s="30" t="s">
        <v>35</v>
      </c>
      <c r="R6" s="29">
        <v>100</v>
      </c>
      <c r="S6" s="76">
        <v>0.5</v>
      </c>
      <c r="T6" s="29">
        <v>0</v>
      </c>
      <c r="U6" s="29">
        <v>0</v>
      </c>
      <c r="V6" s="72" t="s">
        <v>270</v>
      </c>
    </row>
    <row r="7" spans="1:22" s="72" customFormat="1" ht="10.8" thickBot="1" x14ac:dyDescent="0.25">
      <c r="A7" s="39" t="s">
        <v>37</v>
      </c>
      <c r="B7" s="39" t="s">
        <v>38</v>
      </c>
      <c r="C7" s="39" t="s">
        <v>41</v>
      </c>
      <c r="D7" s="39" t="s">
        <v>212</v>
      </c>
      <c r="E7" s="39" t="s">
        <v>213</v>
      </c>
      <c r="F7" s="39" t="s">
        <v>214</v>
      </c>
      <c r="G7" s="40" t="s">
        <v>33</v>
      </c>
      <c r="H7" s="41" t="s">
        <v>34</v>
      </c>
      <c r="I7" s="41" t="s">
        <v>37</v>
      </c>
      <c r="J7" s="42" t="s">
        <v>38</v>
      </c>
      <c r="K7" s="37">
        <v>0.5</v>
      </c>
      <c r="L7" s="37" t="s">
        <v>40</v>
      </c>
      <c r="M7" s="29">
        <v>2020</v>
      </c>
      <c r="N7" s="29" t="s">
        <v>35</v>
      </c>
      <c r="O7" s="30" t="s">
        <v>35</v>
      </c>
      <c r="P7" s="29" t="s">
        <v>35</v>
      </c>
      <c r="Q7" s="30" t="s">
        <v>35</v>
      </c>
      <c r="R7" s="29">
        <v>100</v>
      </c>
      <c r="S7" s="76">
        <v>0.5</v>
      </c>
      <c r="T7" s="29">
        <v>0</v>
      </c>
      <c r="U7" s="29">
        <v>0</v>
      </c>
      <c r="V7" s="72" t="s">
        <v>270</v>
      </c>
    </row>
    <row r="8" spans="1:22" s="72" customFormat="1" x14ac:dyDescent="0.2">
      <c r="A8" s="29" t="s">
        <v>37</v>
      </c>
      <c r="B8" s="29" t="s">
        <v>38</v>
      </c>
      <c r="C8" s="29" t="s">
        <v>39</v>
      </c>
      <c r="D8" s="29" t="s">
        <v>42</v>
      </c>
      <c r="E8" s="29" t="s">
        <v>43</v>
      </c>
      <c r="F8" s="29" t="s">
        <v>44</v>
      </c>
      <c r="G8" s="29" t="s">
        <v>86</v>
      </c>
      <c r="H8" s="29" t="s">
        <v>34</v>
      </c>
      <c r="I8" s="29" t="s">
        <v>78</v>
      </c>
      <c r="J8" s="29" t="s">
        <v>79</v>
      </c>
      <c r="K8" s="32">
        <v>0.5</v>
      </c>
      <c r="L8" s="29" t="s">
        <v>80</v>
      </c>
      <c r="M8" s="29">
        <v>2016</v>
      </c>
      <c r="N8" s="29" t="s">
        <v>40</v>
      </c>
      <c r="O8" s="30" t="s">
        <v>68</v>
      </c>
      <c r="P8" s="29" t="s">
        <v>35</v>
      </c>
      <c r="Q8" s="30" t="s">
        <v>35</v>
      </c>
      <c r="R8" s="31">
        <v>0</v>
      </c>
      <c r="S8" s="32">
        <v>0</v>
      </c>
      <c r="T8" s="75">
        <v>0.5</v>
      </c>
      <c r="U8" s="32">
        <v>0</v>
      </c>
    </row>
    <row r="9" spans="1:22" s="72" customFormat="1" x14ac:dyDescent="0.2">
      <c r="A9" s="29" t="s">
        <v>37</v>
      </c>
      <c r="B9" s="29" t="s">
        <v>38</v>
      </c>
      <c r="C9" s="29" t="s">
        <v>41</v>
      </c>
      <c r="D9" s="29" t="s">
        <v>88</v>
      </c>
      <c r="E9" s="29" t="s">
        <v>89</v>
      </c>
      <c r="F9" s="29" t="s">
        <v>61</v>
      </c>
      <c r="G9" s="29" t="s">
        <v>85</v>
      </c>
      <c r="H9" s="29" t="s">
        <v>34</v>
      </c>
      <c r="I9" s="29" t="s">
        <v>78</v>
      </c>
      <c r="J9" s="29" t="s">
        <v>79</v>
      </c>
      <c r="K9" s="32">
        <v>0.5</v>
      </c>
      <c r="L9" s="29" t="s">
        <v>80</v>
      </c>
      <c r="M9" s="29">
        <v>2016</v>
      </c>
      <c r="N9" s="29" t="s">
        <v>40</v>
      </c>
      <c r="O9" s="30" t="s">
        <v>62</v>
      </c>
      <c r="P9" s="29" t="s">
        <v>35</v>
      </c>
      <c r="Q9" s="30" t="s">
        <v>35</v>
      </c>
      <c r="R9" s="31">
        <v>90</v>
      </c>
      <c r="S9" s="32">
        <v>0.45</v>
      </c>
      <c r="T9" s="75">
        <v>0.05</v>
      </c>
      <c r="U9" s="32">
        <v>0</v>
      </c>
    </row>
    <row r="10" spans="1:22" s="72" customFormat="1" x14ac:dyDescent="0.2">
      <c r="A10" s="29" t="s">
        <v>37</v>
      </c>
      <c r="B10" s="29" t="s">
        <v>38</v>
      </c>
      <c r="C10" s="29" t="s">
        <v>41</v>
      </c>
      <c r="D10" s="29" t="s">
        <v>88</v>
      </c>
      <c r="E10" s="29" t="s">
        <v>89</v>
      </c>
      <c r="F10" s="29" t="s">
        <v>61</v>
      </c>
      <c r="G10" s="29" t="s">
        <v>82</v>
      </c>
      <c r="H10" s="29" t="s">
        <v>34</v>
      </c>
      <c r="I10" s="29" t="s">
        <v>78</v>
      </c>
      <c r="J10" s="29" t="s">
        <v>79</v>
      </c>
      <c r="K10" s="32">
        <v>0.5</v>
      </c>
      <c r="L10" s="29" t="s">
        <v>80</v>
      </c>
      <c r="M10" s="29">
        <v>2016</v>
      </c>
      <c r="N10" s="29" t="s">
        <v>40</v>
      </c>
      <c r="O10" s="30" t="s">
        <v>62</v>
      </c>
      <c r="P10" s="29" t="s">
        <v>35</v>
      </c>
      <c r="Q10" s="30" t="s">
        <v>35</v>
      </c>
      <c r="R10" s="31">
        <v>90</v>
      </c>
      <c r="S10" s="32">
        <v>0.45</v>
      </c>
      <c r="T10" s="75">
        <v>0.05</v>
      </c>
      <c r="U10" s="32">
        <v>0</v>
      </c>
    </row>
    <row r="11" spans="1:22" s="72" customFormat="1" x14ac:dyDescent="0.2">
      <c r="A11" s="29" t="s">
        <v>37</v>
      </c>
      <c r="B11" s="29" t="s">
        <v>38</v>
      </c>
      <c r="C11" s="29" t="s">
        <v>41</v>
      </c>
      <c r="D11" s="29" t="s">
        <v>90</v>
      </c>
      <c r="E11" s="29" t="s">
        <v>91</v>
      </c>
      <c r="F11" s="29" t="s">
        <v>61</v>
      </c>
      <c r="G11" s="29" t="s">
        <v>92</v>
      </c>
      <c r="H11" s="29" t="s">
        <v>34</v>
      </c>
      <c r="I11" s="29" t="s">
        <v>78</v>
      </c>
      <c r="J11" s="29" t="s">
        <v>79</v>
      </c>
      <c r="K11" s="32">
        <v>0.5</v>
      </c>
      <c r="L11" s="29" t="s">
        <v>80</v>
      </c>
      <c r="M11" s="29">
        <v>2016</v>
      </c>
      <c r="N11" s="29" t="s">
        <v>40</v>
      </c>
      <c r="O11" s="30" t="s">
        <v>68</v>
      </c>
      <c r="P11" s="29" t="s">
        <v>35</v>
      </c>
      <c r="Q11" s="30" t="s">
        <v>35</v>
      </c>
      <c r="R11" s="31">
        <v>0</v>
      </c>
      <c r="S11" s="32">
        <v>0</v>
      </c>
      <c r="T11" s="75">
        <v>0.5</v>
      </c>
      <c r="U11" s="32">
        <v>0</v>
      </c>
    </row>
    <row r="12" spans="1:22" s="72" customFormat="1" x14ac:dyDescent="0.2">
      <c r="A12" s="29" t="s">
        <v>37</v>
      </c>
      <c r="B12" s="29" t="s">
        <v>38</v>
      </c>
      <c r="C12" s="29" t="s">
        <v>41</v>
      </c>
      <c r="D12" s="29" t="s">
        <v>90</v>
      </c>
      <c r="E12" s="29" t="s">
        <v>91</v>
      </c>
      <c r="F12" s="29" t="s">
        <v>61</v>
      </c>
      <c r="G12" s="29" t="s">
        <v>77</v>
      </c>
      <c r="H12" s="29" t="s">
        <v>34</v>
      </c>
      <c r="I12" s="29" t="s">
        <v>78</v>
      </c>
      <c r="J12" s="29" t="s">
        <v>79</v>
      </c>
      <c r="K12" s="32">
        <v>0.5</v>
      </c>
      <c r="L12" s="29" t="s">
        <v>80</v>
      </c>
      <c r="M12" s="29">
        <v>2016</v>
      </c>
      <c r="N12" s="29" t="s">
        <v>40</v>
      </c>
      <c r="O12" s="30" t="s">
        <v>68</v>
      </c>
      <c r="P12" s="29" t="s">
        <v>35</v>
      </c>
      <c r="Q12" s="30" t="s">
        <v>35</v>
      </c>
      <c r="R12" s="31">
        <v>0</v>
      </c>
      <c r="S12" s="32">
        <v>0</v>
      </c>
      <c r="T12" s="75">
        <v>0.5</v>
      </c>
      <c r="U12" s="32">
        <v>0</v>
      </c>
    </row>
    <row r="13" spans="1:22" s="72" customFormat="1" x14ac:dyDescent="0.2">
      <c r="A13" s="29" t="s">
        <v>37</v>
      </c>
      <c r="B13" s="29" t="s">
        <v>38</v>
      </c>
      <c r="C13" s="29" t="s">
        <v>41</v>
      </c>
      <c r="D13" s="29" t="s">
        <v>93</v>
      </c>
      <c r="E13" s="29" t="s">
        <v>94</v>
      </c>
      <c r="F13" s="29" t="s">
        <v>95</v>
      </c>
      <c r="G13" s="29" t="s">
        <v>85</v>
      </c>
      <c r="H13" s="29" t="s">
        <v>36</v>
      </c>
      <c r="I13" s="29" t="s">
        <v>78</v>
      </c>
      <c r="J13" s="29" t="s">
        <v>79</v>
      </c>
      <c r="K13" s="32">
        <v>1</v>
      </c>
      <c r="L13" s="29" t="s">
        <v>80</v>
      </c>
      <c r="M13" s="29">
        <v>2016</v>
      </c>
      <c r="N13" s="29" t="s">
        <v>40</v>
      </c>
      <c r="O13" s="30" t="s">
        <v>62</v>
      </c>
      <c r="P13" s="29" t="s">
        <v>35</v>
      </c>
      <c r="Q13" s="30" t="s">
        <v>35</v>
      </c>
      <c r="R13" s="31">
        <v>90</v>
      </c>
      <c r="S13" s="32">
        <v>0.9</v>
      </c>
      <c r="T13" s="75">
        <v>0.1</v>
      </c>
      <c r="U13" s="32">
        <v>0</v>
      </c>
    </row>
    <row r="14" spans="1:22" s="72" customFormat="1" x14ac:dyDescent="0.2">
      <c r="A14" s="29" t="s">
        <v>63</v>
      </c>
      <c r="B14" s="29" t="s">
        <v>64</v>
      </c>
      <c r="C14" s="29" t="s">
        <v>65</v>
      </c>
      <c r="D14" s="29" t="s">
        <v>96</v>
      </c>
      <c r="E14" s="29" t="s">
        <v>97</v>
      </c>
      <c r="F14" s="29" t="s">
        <v>98</v>
      </c>
      <c r="G14" s="29" t="s">
        <v>82</v>
      </c>
      <c r="H14" s="29" t="s">
        <v>36</v>
      </c>
      <c r="I14" s="29" t="s">
        <v>78</v>
      </c>
      <c r="J14" s="29" t="s">
        <v>79</v>
      </c>
      <c r="K14" s="32">
        <v>1</v>
      </c>
      <c r="L14" s="29" t="s">
        <v>80</v>
      </c>
      <c r="M14" s="29">
        <v>2016</v>
      </c>
      <c r="N14" s="29" t="s">
        <v>40</v>
      </c>
      <c r="O14" s="30" t="s">
        <v>62</v>
      </c>
      <c r="P14" s="29" t="s">
        <v>35</v>
      </c>
      <c r="Q14" s="30" t="s">
        <v>35</v>
      </c>
      <c r="R14" s="31">
        <v>90</v>
      </c>
      <c r="S14" s="32">
        <v>0.9</v>
      </c>
      <c r="T14" s="75">
        <v>0.1</v>
      </c>
      <c r="U14" s="32">
        <v>0</v>
      </c>
    </row>
    <row r="15" spans="1:22" s="72" customFormat="1" x14ac:dyDescent="0.2">
      <c r="A15" s="29" t="s">
        <v>63</v>
      </c>
      <c r="B15" s="29" t="s">
        <v>64</v>
      </c>
      <c r="C15" s="29" t="s">
        <v>65</v>
      </c>
      <c r="D15" s="29" t="s">
        <v>99</v>
      </c>
      <c r="E15" s="29" t="s">
        <v>100</v>
      </c>
      <c r="F15" s="29" t="s">
        <v>101</v>
      </c>
      <c r="G15" s="29" t="s">
        <v>87</v>
      </c>
      <c r="H15" s="29" t="s">
        <v>36</v>
      </c>
      <c r="I15" s="29" t="s">
        <v>78</v>
      </c>
      <c r="J15" s="29" t="s">
        <v>79</v>
      </c>
      <c r="K15" s="32">
        <v>1</v>
      </c>
      <c r="L15" s="29" t="s">
        <v>80</v>
      </c>
      <c r="M15" s="29">
        <v>2016</v>
      </c>
      <c r="N15" s="29" t="s">
        <v>40</v>
      </c>
      <c r="O15" s="30" t="s">
        <v>62</v>
      </c>
      <c r="P15" s="29" t="s">
        <v>35</v>
      </c>
      <c r="Q15" s="30" t="s">
        <v>35</v>
      </c>
      <c r="R15" s="31">
        <v>90</v>
      </c>
      <c r="S15" s="32">
        <v>0.9</v>
      </c>
      <c r="T15" s="75">
        <v>0.1</v>
      </c>
      <c r="U15" s="32">
        <v>0</v>
      </c>
    </row>
    <row r="16" spans="1:22" s="72" customFormat="1" x14ac:dyDescent="0.2">
      <c r="A16" s="29" t="s">
        <v>37</v>
      </c>
      <c r="B16" s="29" t="s">
        <v>38</v>
      </c>
      <c r="C16" s="29" t="s">
        <v>41</v>
      </c>
      <c r="D16" s="29" t="s">
        <v>45</v>
      </c>
      <c r="E16" s="29" t="s">
        <v>46</v>
      </c>
      <c r="F16" s="29" t="s">
        <v>47</v>
      </c>
      <c r="G16" s="29" t="s">
        <v>81</v>
      </c>
      <c r="H16" s="29" t="s">
        <v>34</v>
      </c>
      <c r="I16" s="29" t="s">
        <v>78</v>
      </c>
      <c r="J16" s="29" t="s">
        <v>79</v>
      </c>
      <c r="K16" s="32">
        <v>0.5</v>
      </c>
      <c r="L16" s="29" t="s">
        <v>80</v>
      </c>
      <c r="M16" s="29">
        <v>2017</v>
      </c>
      <c r="N16" s="29" t="s">
        <v>40</v>
      </c>
      <c r="O16" s="30" t="s">
        <v>68</v>
      </c>
      <c r="P16" s="29" t="s">
        <v>35</v>
      </c>
      <c r="Q16" s="30" t="s">
        <v>35</v>
      </c>
      <c r="R16" s="31">
        <v>0</v>
      </c>
      <c r="S16" s="32">
        <v>0</v>
      </c>
      <c r="T16" s="75">
        <v>0.5</v>
      </c>
      <c r="U16" s="32">
        <v>0</v>
      </c>
    </row>
    <row r="17" spans="1:22" s="72" customFormat="1" x14ac:dyDescent="0.2">
      <c r="A17" s="29" t="s">
        <v>37</v>
      </c>
      <c r="B17" s="29" t="s">
        <v>38</v>
      </c>
      <c r="C17" s="29" t="s">
        <v>41</v>
      </c>
      <c r="D17" s="29" t="s">
        <v>102</v>
      </c>
      <c r="E17" s="29" t="s">
        <v>103</v>
      </c>
      <c r="F17" s="29" t="s">
        <v>104</v>
      </c>
      <c r="G17" s="29" t="s">
        <v>77</v>
      </c>
      <c r="H17" s="29" t="s">
        <v>34</v>
      </c>
      <c r="I17" s="29" t="s">
        <v>78</v>
      </c>
      <c r="J17" s="29" t="s">
        <v>79</v>
      </c>
      <c r="K17" s="32">
        <v>0.5</v>
      </c>
      <c r="L17" s="29" t="s">
        <v>80</v>
      </c>
      <c r="M17" s="29">
        <v>2017</v>
      </c>
      <c r="N17" s="29" t="s">
        <v>40</v>
      </c>
      <c r="O17" s="30" t="s">
        <v>68</v>
      </c>
      <c r="P17" s="29" t="s">
        <v>35</v>
      </c>
      <c r="Q17" s="30" t="s">
        <v>35</v>
      </c>
      <c r="R17" s="31">
        <v>0</v>
      </c>
      <c r="S17" s="32">
        <v>0</v>
      </c>
      <c r="T17" s="75">
        <v>0.5</v>
      </c>
      <c r="U17" s="32">
        <v>0</v>
      </c>
    </row>
    <row r="18" spans="1:22" s="72" customFormat="1" x14ac:dyDescent="0.2">
      <c r="A18" s="29" t="s">
        <v>37</v>
      </c>
      <c r="B18" s="29" t="s">
        <v>38</v>
      </c>
      <c r="C18" s="29" t="s">
        <v>41</v>
      </c>
      <c r="D18" s="29" t="s">
        <v>102</v>
      </c>
      <c r="E18" s="29" t="s">
        <v>103</v>
      </c>
      <c r="F18" s="29" t="s">
        <v>104</v>
      </c>
      <c r="G18" s="29" t="s">
        <v>81</v>
      </c>
      <c r="H18" s="29" t="s">
        <v>34</v>
      </c>
      <c r="I18" s="29" t="s">
        <v>78</v>
      </c>
      <c r="J18" s="29" t="s">
        <v>79</v>
      </c>
      <c r="K18" s="32">
        <v>0.5</v>
      </c>
      <c r="L18" s="29" t="s">
        <v>80</v>
      </c>
      <c r="M18" s="29">
        <v>2017</v>
      </c>
      <c r="N18" s="29" t="s">
        <v>40</v>
      </c>
      <c r="O18" s="30" t="s">
        <v>68</v>
      </c>
      <c r="P18" s="29" t="s">
        <v>35</v>
      </c>
      <c r="Q18" s="30" t="s">
        <v>35</v>
      </c>
      <c r="R18" s="31">
        <v>0</v>
      </c>
      <c r="S18" s="32">
        <v>0</v>
      </c>
      <c r="T18" s="75">
        <v>0.5</v>
      </c>
      <c r="U18" s="32">
        <v>0</v>
      </c>
    </row>
    <row r="19" spans="1:22" s="72" customFormat="1" x14ac:dyDescent="0.2">
      <c r="A19" s="29" t="s">
        <v>37</v>
      </c>
      <c r="B19" s="29" t="s">
        <v>38</v>
      </c>
      <c r="C19" s="29" t="s">
        <v>41</v>
      </c>
      <c r="D19" s="29" t="s">
        <v>105</v>
      </c>
      <c r="E19" s="29" t="s">
        <v>106</v>
      </c>
      <c r="F19" s="29" t="s">
        <v>107</v>
      </c>
      <c r="G19" s="29" t="s">
        <v>83</v>
      </c>
      <c r="H19" s="29" t="s">
        <v>34</v>
      </c>
      <c r="I19" s="29" t="s">
        <v>78</v>
      </c>
      <c r="J19" s="29" t="s">
        <v>79</v>
      </c>
      <c r="K19" s="32">
        <v>0.5</v>
      </c>
      <c r="L19" s="29" t="s">
        <v>80</v>
      </c>
      <c r="M19" s="29">
        <v>2017</v>
      </c>
      <c r="N19" s="29" t="s">
        <v>40</v>
      </c>
      <c r="O19" s="30" t="s">
        <v>62</v>
      </c>
      <c r="P19" s="29" t="s">
        <v>35</v>
      </c>
      <c r="Q19" s="30" t="s">
        <v>35</v>
      </c>
      <c r="R19" s="31">
        <v>90</v>
      </c>
      <c r="S19" s="32">
        <v>0.45</v>
      </c>
      <c r="T19" s="75">
        <v>0.05</v>
      </c>
      <c r="U19" s="32">
        <v>0</v>
      </c>
    </row>
    <row r="20" spans="1:22" s="72" customFormat="1" x14ac:dyDescent="0.2">
      <c r="A20" s="29" t="s">
        <v>37</v>
      </c>
      <c r="B20" s="29" t="s">
        <v>38</v>
      </c>
      <c r="C20" s="29" t="s">
        <v>41</v>
      </c>
      <c r="D20" s="29" t="s">
        <v>105</v>
      </c>
      <c r="E20" s="29" t="s">
        <v>106</v>
      </c>
      <c r="F20" s="29" t="s">
        <v>107</v>
      </c>
      <c r="G20" s="29" t="s">
        <v>82</v>
      </c>
      <c r="H20" s="29" t="s">
        <v>34</v>
      </c>
      <c r="I20" s="29" t="s">
        <v>78</v>
      </c>
      <c r="J20" s="29" t="s">
        <v>79</v>
      </c>
      <c r="K20" s="32">
        <v>0.5</v>
      </c>
      <c r="L20" s="29" t="s">
        <v>80</v>
      </c>
      <c r="M20" s="29">
        <v>2017</v>
      </c>
      <c r="N20" s="29" t="s">
        <v>40</v>
      </c>
      <c r="O20" s="30" t="s">
        <v>62</v>
      </c>
      <c r="P20" s="29" t="s">
        <v>35</v>
      </c>
      <c r="Q20" s="30" t="s">
        <v>35</v>
      </c>
      <c r="R20" s="31">
        <v>90</v>
      </c>
      <c r="S20" s="32">
        <v>0.45</v>
      </c>
      <c r="T20" s="75">
        <v>0.05</v>
      </c>
      <c r="U20" s="32">
        <v>0</v>
      </c>
    </row>
    <row r="21" spans="1:22" s="72" customFormat="1" x14ac:dyDescent="0.2">
      <c r="A21" s="29" t="s">
        <v>56</v>
      </c>
      <c r="B21" s="29" t="s">
        <v>57</v>
      </c>
      <c r="C21" s="29" t="s">
        <v>58</v>
      </c>
      <c r="D21" s="29" t="s">
        <v>111</v>
      </c>
      <c r="E21" s="29" t="s">
        <v>112</v>
      </c>
      <c r="F21" s="29" t="s">
        <v>113</v>
      </c>
      <c r="G21" s="29" t="s">
        <v>114</v>
      </c>
      <c r="H21" s="29" t="s">
        <v>36</v>
      </c>
      <c r="I21" s="29" t="s">
        <v>54</v>
      </c>
      <c r="J21" s="29" t="s">
        <v>55</v>
      </c>
      <c r="K21" s="32">
        <v>1</v>
      </c>
      <c r="L21" s="29" t="s">
        <v>59</v>
      </c>
      <c r="M21" s="29">
        <v>2017</v>
      </c>
      <c r="N21" s="29" t="s">
        <v>40</v>
      </c>
      <c r="O21" s="30" t="s">
        <v>62</v>
      </c>
      <c r="P21" s="29" t="s">
        <v>35</v>
      </c>
      <c r="Q21" s="30" t="s">
        <v>35</v>
      </c>
      <c r="R21" s="31">
        <v>90</v>
      </c>
      <c r="S21" s="32">
        <v>0.9</v>
      </c>
      <c r="T21" s="75">
        <v>0.1</v>
      </c>
      <c r="U21" s="32">
        <v>0</v>
      </c>
    </row>
    <row r="22" spans="1:22" s="72" customFormat="1" x14ac:dyDescent="0.2">
      <c r="A22" s="29" t="s">
        <v>37</v>
      </c>
      <c r="B22" s="29" t="s">
        <v>38</v>
      </c>
      <c r="C22" s="29" t="s">
        <v>41</v>
      </c>
      <c r="D22" s="29" t="s">
        <v>48</v>
      </c>
      <c r="E22" s="29" t="s">
        <v>49</v>
      </c>
      <c r="F22" s="29" t="s">
        <v>50</v>
      </c>
      <c r="G22" s="29" t="s">
        <v>92</v>
      </c>
      <c r="H22" s="29" t="s">
        <v>34</v>
      </c>
      <c r="I22" s="29" t="s">
        <v>78</v>
      </c>
      <c r="J22" s="29" t="s">
        <v>79</v>
      </c>
      <c r="K22" s="73">
        <v>0.5</v>
      </c>
      <c r="L22" s="29" t="s">
        <v>80</v>
      </c>
      <c r="M22" s="29">
        <v>2018</v>
      </c>
      <c r="N22" s="29" t="s">
        <v>40</v>
      </c>
      <c r="O22" s="30" t="s">
        <v>68</v>
      </c>
      <c r="P22" s="29" t="s">
        <v>35</v>
      </c>
      <c r="Q22" s="30" t="s">
        <v>35</v>
      </c>
      <c r="R22" s="31">
        <v>0</v>
      </c>
      <c r="S22" s="32">
        <v>0</v>
      </c>
      <c r="T22" s="75">
        <v>0.5</v>
      </c>
      <c r="U22" s="32">
        <v>0</v>
      </c>
    </row>
    <row r="23" spans="1:22" s="72" customFormat="1" x14ac:dyDescent="0.2">
      <c r="A23" s="29" t="s">
        <v>37</v>
      </c>
      <c r="B23" s="29" t="s">
        <v>38</v>
      </c>
      <c r="C23" s="29" t="s">
        <v>41</v>
      </c>
      <c r="D23" s="29" t="s">
        <v>108</v>
      </c>
      <c r="E23" s="29" t="s">
        <v>109</v>
      </c>
      <c r="F23" s="29" t="s">
        <v>110</v>
      </c>
      <c r="G23" s="29" t="s">
        <v>84</v>
      </c>
      <c r="H23" s="29" t="s">
        <v>36</v>
      </c>
      <c r="I23" s="29" t="s">
        <v>78</v>
      </c>
      <c r="J23" s="29" t="s">
        <v>79</v>
      </c>
      <c r="K23" s="73">
        <v>1</v>
      </c>
      <c r="L23" s="29" t="s">
        <v>80</v>
      </c>
      <c r="M23" s="29">
        <v>2018</v>
      </c>
      <c r="N23" s="29" t="s">
        <v>40</v>
      </c>
      <c r="O23" s="30" t="s">
        <v>68</v>
      </c>
      <c r="P23" s="29" t="s">
        <v>35</v>
      </c>
      <c r="Q23" s="30" t="s">
        <v>35</v>
      </c>
      <c r="R23" s="31">
        <v>0</v>
      </c>
      <c r="S23" s="32">
        <v>0</v>
      </c>
      <c r="T23" s="75">
        <v>1</v>
      </c>
      <c r="U23" s="32">
        <v>0</v>
      </c>
    </row>
    <row r="24" spans="1:22" s="72" customFormat="1" x14ac:dyDescent="0.2">
      <c r="A24" s="29" t="s">
        <v>63</v>
      </c>
      <c r="B24" s="29" t="s">
        <v>64</v>
      </c>
      <c r="C24" s="29" t="s">
        <v>65</v>
      </c>
      <c r="D24" s="29" t="s">
        <v>73</v>
      </c>
      <c r="E24" s="29" t="s">
        <v>74</v>
      </c>
      <c r="F24" s="29" t="s">
        <v>75</v>
      </c>
      <c r="G24" s="29" t="s">
        <v>69</v>
      </c>
      <c r="H24" s="29" t="s">
        <v>34</v>
      </c>
      <c r="I24" s="29" t="s">
        <v>70</v>
      </c>
      <c r="J24" s="29" t="s">
        <v>71</v>
      </c>
      <c r="K24" s="73">
        <v>0.5</v>
      </c>
      <c r="L24" s="29" t="s">
        <v>72</v>
      </c>
      <c r="M24" s="29">
        <v>2018</v>
      </c>
      <c r="N24" s="29" t="s">
        <v>40</v>
      </c>
      <c r="O24" s="30" t="s">
        <v>53</v>
      </c>
      <c r="P24" s="29" t="s">
        <v>35</v>
      </c>
      <c r="Q24" s="30" t="s">
        <v>35</v>
      </c>
      <c r="R24" s="31">
        <v>50</v>
      </c>
      <c r="S24" s="32">
        <v>0.25</v>
      </c>
      <c r="T24" s="75">
        <v>0.25</v>
      </c>
      <c r="U24" s="32">
        <v>0</v>
      </c>
    </row>
    <row r="25" spans="1:22" s="72" customFormat="1" x14ac:dyDescent="0.2">
      <c r="A25" s="29" t="s">
        <v>63</v>
      </c>
      <c r="B25" s="29" t="s">
        <v>64</v>
      </c>
      <c r="C25" s="29" t="s">
        <v>65</v>
      </c>
      <c r="D25" s="29" t="s">
        <v>73</v>
      </c>
      <c r="E25" s="29" t="s">
        <v>74</v>
      </c>
      <c r="F25" s="29" t="s">
        <v>75</v>
      </c>
      <c r="G25" s="29" t="s">
        <v>76</v>
      </c>
      <c r="H25" s="29" t="s">
        <v>34</v>
      </c>
      <c r="I25" s="29" t="s">
        <v>70</v>
      </c>
      <c r="J25" s="29" t="s">
        <v>71</v>
      </c>
      <c r="K25" s="73">
        <v>0.5</v>
      </c>
      <c r="L25" s="29" t="s">
        <v>72</v>
      </c>
      <c r="M25" s="29">
        <v>2018</v>
      </c>
      <c r="N25" s="29" t="s">
        <v>40</v>
      </c>
      <c r="O25" s="30" t="s">
        <v>53</v>
      </c>
      <c r="P25" s="29" t="s">
        <v>35</v>
      </c>
      <c r="Q25" s="30" t="s">
        <v>35</v>
      </c>
      <c r="R25" s="31">
        <v>50</v>
      </c>
      <c r="S25" s="32">
        <v>0.25</v>
      </c>
      <c r="T25" s="75">
        <v>0.25</v>
      </c>
      <c r="U25" s="32">
        <v>0</v>
      </c>
    </row>
    <row r="26" spans="1:22" s="72" customFormat="1" x14ac:dyDescent="0.2">
      <c r="A26" s="29" t="s">
        <v>56</v>
      </c>
      <c r="B26" s="29" t="s">
        <v>57</v>
      </c>
      <c r="C26" s="29" t="s">
        <v>58</v>
      </c>
      <c r="D26" s="29" t="s">
        <v>115</v>
      </c>
      <c r="E26" s="29" t="s">
        <v>116</v>
      </c>
      <c r="F26" s="29" t="s">
        <v>117</v>
      </c>
      <c r="G26" s="29" t="s">
        <v>114</v>
      </c>
      <c r="H26" s="29" t="s">
        <v>36</v>
      </c>
      <c r="I26" s="29" t="s">
        <v>54</v>
      </c>
      <c r="J26" s="29" t="s">
        <v>55</v>
      </c>
      <c r="K26" s="73">
        <v>1</v>
      </c>
      <c r="L26" s="29" t="s">
        <v>59</v>
      </c>
      <c r="M26" s="29">
        <v>2018</v>
      </c>
      <c r="N26" s="29" t="s">
        <v>40</v>
      </c>
      <c r="O26" s="30" t="s">
        <v>66</v>
      </c>
      <c r="P26" s="29" t="s">
        <v>35</v>
      </c>
      <c r="Q26" s="30" t="s">
        <v>35</v>
      </c>
      <c r="R26" s="31">
        <v>60</v>
      </c>
      <c r="S26" s="32">
        <v>0.6</v>
      </c>
      <c r="T26" s="75">
        <v>0.4</v>
      </c>
      <c r="U26" s="32">
        <v>0</v>
      </c>
    </row>
    <row r="27" spans="1:22" s="72" customFormat="1" x14ac:dyDescent="0.2">
      <c r="A27" s="33" t="s">
        <v>56</v>
      </c>
      <c r="B27" s="33" t="s">
        <v>57</v>
      </c>
      <c r="C27" s="33" t="s">
        <v>58</v>
      </c>
      <c r="D27" s="33" t="s">
        <v>186</v>
      </c>
      <c r="E27" s="33" t="s">
        <v>187</v>
      </c>
      <c r="F27" s="33" t="s">
        <v>188</v>
      </c>
      <c r="G27" s="33" t="s">
        <v>114</v>
      </c>
      <c r="H27" s="33" t="s">
        <v>36</v>
      </c>
      <c r="I27" s="33" t="s">
        <v>54</v>
      </c>
      <c r="J27" s="33" t="s">
        <v>55</v>
      </c>
      <c r="K27" s="74">
        <v>1</v>
      </c>
      <c r="L27" s="33" t="s">
        <v>59</v>
      </c>
      <c r="M27" s="33">
        <v>2019</v>
      </c>
      <c r="N27" s="33" t="s">
        <v>40</v>
      </c>
      <c r="O27" s="34" t="s">
        <v>66</v>
      </c>
      <c r="P27" s="33" t="s">
        <v>35</v>
      </c>
      <c r="Q27" s="34" t="s">
        <v>35</v>
      </c>
      <c r="R27" s="35">
        <v>60</v>
      </c>
      <c r="S27" s="36">
        <v>0.6</v>
      </c>
      <c r="T27" s="77">
        <v>0.4</v>
      </c>
      <c r="U27" s="36">
        <v>0</v>
      </c>
      <c r="V27" s="72" t="s">
        <v>270</v>
      </c>
    </row>
    <row r="28" spans="1:22" s="72" customFormat="1" x14ac:dyDescent="0.2">
      <c r="A28" s="29" t="s">
        <v>37</v>
      </c>
      <c r="B28" s="29" t="s">
        <v>38</v>
      </c>
      <c r="C28" s="29" t="s">
        <v>41</v>
      </c>
      <c r="D28" s="29" t="s">
        <v>196</v>
      </c>
      <c r="E28" s="29" t="s">
        <v>197</v>
      </c>
      <c r="F28" s="29" t="s">
        <v>198</v>
      </c>
      <c r="G28" s="29" t="s">
        <v>92</v>
      </c>
      <c r="H28" s="29" t="s">
        <v>34</v>
      </c>
      <c r="I28" s="29" t="s">
        <v>78</v>
      </c>
      <c r="J28" s="29" t="s">
        <v>79</v>
      </c>
      <c r="K28" s="37">
        <v>0.5</v>
      </c>
      <c r="L28" s="37" t="s">
        <v>80</v>
      </c>
      <c r="M28" s="38">
        <v>2019</v>
      </c>
      <c r="N28" s="29" t="s">
        <v>40</v>
      </c>
      <c r="O28" s="30" t="s">
        <v>68</v>
      </c>
      <c r="P28" s="29" t="s">
        <v>35</v>
      </c>
      <c r="Q28" s="30" t="s">
        <v>35</v>
      </c>
      <c r="R28" s="29">
        <v>0</v>
      </c>
      <c r="S28" s="29">
        <v>0</v>
      </c>
      <c r="T28" s="76">
        <v>0.5</v>
      </c>
      <c r="U28" s="29">
        <v>0</v>
      </c>
      <c r="V28" s="72" t="s">
        <v>270</v>
      </c>
    </row>
    <row r="29" spans="1:22" s="72" customFormat="1" x14ac:dyDescent="0.2">
      <c r="A29" s="29" t="s">
        <v>37</v>
      </c>
      <c r="B29" s="29" t="s">
        <v>38</v>
      </c>
      <c r="C29" s="29" t="s">
        <v>41</v>
      </c>
      <c r="D29" s="29" t="s">
        <v>199</v>
      </c>
      <c r="E29" s="29" t="s">
        <v>200</v>
      </c>
      <c r="F29" s="29" t="s">
        <v>201</v>
      </c>
      <c r="G29" s="29" t="s">
        <v>81</v>
      </c>
      <c r="H29" s="29" t="s">
        <v>34</v>
      </c>
      <c r="I29" s="29" t="s">
        <v>78</v>
      </c>
      <c r="J29" s="29" t="s">
        <v>79</v>
      </c>
      <c r="K29" s="37">
        <v>0.5</v>
      </c>
      <c r="L29" s="37" t="s">
        <v>80</v>
      </c>
      <c r="M29" s="38">
        <v>2019</v>
      </c>
      <c r="N29" s="29" t="s">
        <v>40</v>
      </c>
      <c r="O29" s="30" t="s">
        <v>68</v>
      </c>
      <c r="P29" s="29" t="s">
        <v>35</v>
      </c>
      <c r="Q29" s="30" t="s">
        <v>35</v>
      </c>
      <c r="R29" s="29">
        <v>0</v>
      </c>
      <c r="S29" s="29">
        <v>0</v>
      </c>
      <c r="T29" s="76">
        <v>0.5</v>
      </c>
      <c r="U29" s="29">
        <v>0</v>
      </c>
      <c r="V29" s="72" t="s">
        <v>270</v>
      </c>
    </row>
    <row r="30" spans="1:22" s="72" customFormat="1" x14ac:dyDescent="0.2">
      <c r="A30" s="29" t="s">
        <v>37</v>
      </c>
      <c r="B30" s="29" t="s">
        <v>38</v>
      </c>
      <c r="C30" s="29" t="s">
        <v>41</v>
      </c>
      <c r="D30" s="29" t="s">
        <v>202</v>
      </c>
      <c r="E30" s="29" t="s">
        <v>203</v>
      </c>
      <c r="F30" s="29" t="s">
        <v>204</v>
      </c>
      <c r="G30" s="29" t="s">
        <v>77</v>
      </c>
      <c r="H30" s="29" t="s">
        <v>34</v>
      </c>
      <c r="I30" s="29" t="s">
        <v>78</v>
      </c>
      <c r="J30" s="29" t="s">
        <v>79</v>
      </c>
      <c r="K30" s="37">
        <v>0.5</v>
      </c>
      <c r="L30" s="37" t="s">
        <v>80</v>
      </c>
      <c r="M30" s="38">
        <v>2019</v>
      </c>
      <c r="N30" s="29" t="s">
        <v>40</v>
      </c>
      <c r="O30" s="30" t="s">
        <v>68</v>
      </c>
      <c r="P30" s="29" t="s">
        <v>35</v>
      </c>
      <c r="Q30" s="30" t="s">
        <v>35</v>
      </c>
      <c r="R30" s="29">
        <v>0</v>
      </c>
      <c r="S30" s="29">
        <v>0</v>
      </c>
      <c r="T30" s="76">
        <v>0.5</v>
      </c>
      <c r="U30" s="29">
        <v>0</v>
      </c>
      <c r="V30" s="72" t="s">
        <v>270</v>
      </c>
    </row>
    <row r="31" spans="1:22" s="72" customFormat="1" ht="10.8" thickBot="1" x14ac:dyDescent="0.25">
      <c r="A31" s="29" t="s">
        <v>37</v>
      </c>
      <c r="B31" s="29" t="s">
        <v>38</v>
      </c>
      <c r="C31" s="29" t="s">
        <v>41</v>
      </c>
      <c r="D31" s="29" t="s">
        <v>202</v>
      </c>
      <c r="E31" s="29" t="s">
        <v>203</v>
      </c>
      <c r="F31" s="29" t="s">
        <v>204</v>
      </c>
      <c r="G31" s="29" t="s">
        <v>81</v>
      </c>
      <c r="H31" s="29" t="s">
        <v>34</v>
      </c>
      <c r="I31" s="29" t="s">
        <v>78</v>
      </c>
      <c r="J31" s="29" t="s">
        <v>79</v>
      </c>
      <c r="K31" s="37">
        <v>0.5</v>
      </c>
      <c r="L31" s="37" t="s">
        <v>80</v>
      </c>
      <c r="M31" s="38">
        <v>2019</v>
      </c>
      <c r="N31" s="29" t="s">
        <v>40</v>
      </c>
      <c r="O31" s="30" t="s">
        <v>68</v>
      </c>
      <c r="P31" s="29" t="s">
        <v>35</v>
      </c>
      <c r="Q31" s="30" t="s">
        <v>35</v>
      </c>
      <c r="R31" s="29">
        <v>0</v>
      </c>
      <c r="S31" s="29">
        <v>0</v>
      </c>
      <c r="T31" s="76">
        <v>0.5</v>
      </c>
      <c r="U31" s="29">
        <v>0</v>
      </c>
      <c r="V31" s="72" t="s">
        <v>270</v>
      </c>
    </row>
    <row r="32" spans="1:22" s="72" customFormat="1" ht="10.8" thickBot="1" x14ac:dyDescent="0.25">
      <c r="A32" s="39" t="s">
        <v>37</v>
      </c>
      <c r="B32" s="39" t="s">
        <v>38</v>
      </c>
      <c r="C32" s="39" t="s">
        <v>41</v>
      </c>
      <c r="D32" s="39" t="s">
        <v>205</v>
      </c>
      <c r="E32" s="39" t="s">
        <v>206</v>
      </c>
      <c r="F32" s="39" t="s">
        <v>207</v>
      </c>
      <c r="G32" s="40" t="s">
        <v>208</v>
      </c>
      <c r="H32" s="41" t="s">
        <v>34</v>
      </c>
      <c r="I32" s="41" t="s">
        <v>209</v>
      </c>
      <c r="J32" s="42" t="s">
        <v>210</v>
      </c>
      <c r="K32" s="37">
        <v>0.5</v>
      </c>
      <c r="L32" s="37" t="s">
        <v>67</v>
      </c>
      <c r="M32" s="29">
        <v>2020</v>
      </c>
      <c r="N32" s="29" t="s">
        <v>40</v>
      </c>
      <c r="O32" s="30" t="s">
        <v>60</v>
      </c>
      <c r="P32" s="29" t="s">
        <v>52</v>
      </c>
      <c r="Q32" s="30" t="s">
        <v>66</v>
      </c>
      <c r="R32" s="29">
        <v>40</v>
      </c>
      <c r="S32" s="29">
        <v>0.2</v>
      </c>
      <c r="T32" s="76">
        <v>0.1</v>
      </c>
      <c r="U32" s="29">
        <v>0.2</v>
      </c>
      <c r="V32" s="72" t="s">
        <v>270</v>
      </c>
    </row>
    <row r="33" spans="1:22" s="72" customFormat="1" ht="10.8" thickBot="1" x14ac:dyDescent="0.25">
      <c r="A33" s="39" t="s">
        <v>37</v>
      </c>
      <c r="B33" s="39" t="s">
        <v>38</v>
      </c>
      <c r="C33" s="39" t="s">
        <v>41</v>
      </c>
      <c r="D33" s="39" t="s">
        <v>205</v>
      </c>
      <c r="E33" s="39" t="s">
        <v>206</v>
      </c>
      <c r="F33" s="39" t="s">
        <v>207</v>
      </c>
      <c r="G33" s="40" t="s">
        <v>211</v>
      </c>
      <c r="H33" s="41" t="s">
        <v>34</v>
      </c>
      <c r="I33" s="41" t="s">
        <v>209</v>
      </c>
      <c r="J33" s="42" t="s">
        <v>210</v>
      </c>
      <c r="K33" s="37">
        <v>0.5</v>
      </c>
      <c r="L33" s="37" t="s">
        <v>67</v>
      </c>
      <c r="M33" s="29">
        <v>2020</v>
      </c>
      <c r="N33" s="29" t="s">
        <v>40</v>
      </c>
      <c r="O33" s="30" t="s">
        <v>60</v>
      </c>
      <c r="P33" s="29" t="s">
        <v>52</v>
      </c>
      <c r="Q33" s="30" t="s">
        <v>66</v>
      </c>
      <c r="R33" s="29">
        <v>40</v>
      </c>
      <c r="S33" s="29">
        <v>0.2</v>
      </c>
      <c r="T33" s="76">
        <v>0.1</v>
      </c>
      <c r="U33" s="29">
        <v>0.2</v>
      </c>
      <c r="V33" s="72" t="s">
        <v>270</v>
      </c>
    </row>
    <row r="34" spans="1:22" s="72" customFormat="1" ht="10.8" thickBot="1" x14ac:dyDescent="0.25">
      <c r="A34" s="39" t="s">
        <v>37</v>
      </c>
      <c r="B34" s="39" t="s">
        <v>38</v>
      </c>
      <c r="C34" s="39" t="s">
        <v>41</v>
      </c>
      <c r="D34" s="39" t="s">
        <v>212</v>
      </c>
      <c r="E34" s="39" t="s">
        <v>213</v>
      </c>
      <c r="F34" s="39" t="s">
        <v>214</v>
      </c>
      <c r="G34" s="40" t="s">
        <v>77</v>
      </c>
      <c r="H34" s="41" t="s">
        <v>34</v>
      </c>
      <c r="I34" s="41" t="s">
        <v>78</v>
      </c>
      <c r="J34" s="42" t="s">
        <v>79</v>
      </c>
      <c r="K34" s="37">
        <v>0.5</v>
      </c>
      <c r="L34" s="37" t="s">
        <v>80</v>
      </c>
      <c r="M34" s="29">
        <v>2020</v>
      </c>
      <c r="N34" s="29" t="s">
        <v>40</v>
      </c>
      <c r="O34" s="30" t="s">
        <v>68</v>
      </c>
      <c r="P34" s="29" t="s">
        <v>35</v>
      </c>
      <c r="Q34" s="30" t="s">
        <v>35</v>
      </c>
      <c r="R34" s="29">
        <v>0</v>
      </c>
      <c r="S34" s="29">
        <v>0</v>
      </c>
      <c r="T34" s="76">
        <v>0.5</v>
      </c>
      <c r="U34" s="29">
        <v>0</v>
      </c>
      <c r="V34" s="72" t="s">
        <v>270</v>
      </c>
    </row>
    <row r="35" spans="1:22" s="72" customFormat="1" ht="10.8" thickBot="1" x14ac:dyDescent="0.25">
      <c r="A35" s="39" t="s">
        <v>215</v>
      </c>
      <c r="B35" s="39" t="s">
        <v>216</v>
      </c>
      <c r="C35" s="39" t="s">
        <v>217</v>
      </c>
      <c r="D35" s="39" t="s">
        <v>218</v>
      </c>
      <c r="E35" s="39" t="s">
        <v>219</v>
      </c>
      <c r="F35" s="39" t="s">
        <v>220</v>
      </c>
      <c r="G35" s="40" t="s">
        <v>211</v>
      </c>
      <c r="H35" s="41" t="s">
        <v>36</v>
      </c>
      <c r="I35" s="41" t="s">
        <v>209</v>
      </c>
      <c r="J35" s="42" t="s">
        <v>210</v>
      </c>
      <c r="K35" s="37">
        <v>1</v>
      </c>
      <c r="L35" s="37" t="s">
        <v>67</v>
      </c>
      <c r="M35" s="29">
        <v>2020</v>
      </c>
      <c r="N35" s="29" t="s">
        <v>40</v>
      </c>
      <c r="O35" s="30" t="s">
        <v>60</v>
      </c>
      <c r="P35" s="29" t="s">
        <v>52</v>
      </c>
      <c r="Q35" s="30" t="s">
        <v>66</v>
      </c>
      <c r="R35" s="29">
        <v>40</v>
      </c>
      <c r="S35" s="29">
        <v>0.4</v>
      </c>
      <c r="T35" s="76">
        <v>0.2</v>
      </c>
      <c r="U35" s="29">
        <v>0.4</v>
      </c>
      <c r="V35" s="72" t="s">
        <v>270</v>
      </c>
    </row>
    <row r="36" spans="1:22" s="72" customFormat="1" ht="10.8" thickBot="1" x14ac:dyDescent="0.25">
      <c r="A36" s="39" t="s">
        <v>56</v>
      </c>
      <c r="B36" s="39" t="s">
        <v>57</v>
      </c>
      <c r="C36" s="39" t="s">
        <v>58</v>
      </c>
      <c r="D36" s="39" t="s">
        <v>221</v>
      </c>
      <c r="E36" s="39" t="s">
        <v>222</v>
      </c>
      <c r="F36" s="39" t="s">
        <v>223</v>
      </c>
      <c r="G36" s="40" t="s">
        <v>114</v>
      </c>
      <c r="H36" s="41" t="s">
        <v>34</v>
      </c>
      <c r="I36" s="41" t="s">
        <v>54</v>
      </c>
      <c r="J36" s="42" t="s">
        <v>55</v>
      </c>
      <c r="K36" s="37">
        <v>0.5</v>
      </c>
      <c r="L36" s="37" t="s">
        <v>59</v>
      </c>
      <c r="M36" s="29">
        <v>2020</v>
      </c>
      <c r="N36" s="29" t="s">
        <v>40</v>
      </c>
      <c r="O36" s="30" t="s">
        <v>66</v>
      </c>
      <c r="P36" s="29" t="s">
        <v>35</v>
      </c>
      <c r="Q36" s="30" t="s">
        <v>35</v>
      </c>
      <c r="R36" s="29">
        <v>60</v>
      </c>
      <c r="S36" s="78">
        <v>0.3</v>
      </c>
      <c r="T36" s="79">
        <v>0.2</v>
      </c>
      <c r="U36" s="29">
        <v>0</v>
      </c>
      <c r="V36" s="72" t="s">
        <v>270</v>
      </c>
    </row>
    <row r="37" spans="1:22" ht="10.8" thickBot="1" x14ac:dyDescent="0.25">
      <c r="S37" s="80">
        <f>SUM(T8:T36,S2:S7)</f>
        <v>12.499999999999998</v>
      </c>
      <c r="T37" s="81"/>
    </row>
  </sheetData>
  <autoFilter ref="A1:U1" xr:uid="{00000000-0009-0000-0000-000000000000}">
    <sortState xmlns:xlrd2="http://schemas.microsoft.com/office/spreadsheetml/2017/richdata2" ref="A2:T925">
      <sortCondition ref="M2:M925"/>
      <sortCondition ref="O2:O925"/>
    </sortState>
  </autoFilter>
  <mergeCells count="1">
    <mergeCell ref="S37:T37"/>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6"/>
  <sheetViews>
    <sheetView zoomScaleNormal="100" workbookViewId="0">
      <selection activeCell="S11" sqref="S11"/>
    </sheetView>
  </sheetViews>
  <sheetFormatPr baseColWidth="10" defaultColWidth="11.44140625" defaultRowHeight="13.2" x14ac:dyDescent="0.25"/>
  <cols>
    <col min="1" max="1" width="10.88671875" style="18" bestFit="1" customWidth="1"/>
    <col min="2" max="2" width="41.33203125" style="18" bestFit="1" customWidth="1"/>
    <col min="3" max="3" width="17"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21" bestFit="1" customWidth="1"/>
    <col min="15" max="15" width="5.6640625" style="18" bestFit="1" customWidth="1"/>
    <col min="16" max="16" width="5.6640625" style="21" bestFit="1" customWidth="1"/>
    <col min="17" max="19" width="5.6640625" style="18" bestFit="1" customWidth="1"/>
    <col min="20" max="16384" width="11.44140625" style="18"/>
  </cols>
  <sheetData>
    <row r="1" spans="1:19" s="17" customFormat="1" ht="65.099999999999994" customHeight="1" x14ac:dyDescent="0.25">
      <c r="A1" s="23" t="s">
        <v>118</v>
      </c>
      <c r="B1" s="23" t="s">
        <v>119</v>
      </c>
      <c r="C1" s="23" t="s">
        <v>120</v>
      </c>
      <c r="D1" s="24">
        <v>2016</v>
      </c>
      <c r="E1" s="24">
        <v>2017</v>
      </c>
      <c r="F1" s="24">
        <v>2018</v>
      </c>
      <c r="G1" s="24">
        <v>2019</v>
      </c>
      <c r="H1" s="24">
        <v>2020</v>
      </c>
      <c r="I1" s="24">
        <v>2021</v>
      </c>
      <c r="J1" s="23" t="s">
        <v>121</v>
      </c>
      <c r="K1" s="25" t="s">
        <v>193</v>
      </c>
      <c r="L1" s="15" t="s">
        <v>122</v>
      </c>
      <c r="M1" s="15" t="s">
        <v>123</v>
      </c>
      <c r="N1" s="15" t="s">
        <v>124</v>
      </c>
      <c r="O1" s="15" t="s">
        <v>125</v>
      </c>
      <c r="P1" s="16" t="s">
        <v>126</v>
      </c>
      <c r="Q1" s="16" t="s">
        <v>127</v>
      </c>
      <c r="R1" s="16" t="s">
        <v>128</v>
      </c>
      <c r="S1" s="16" t="s">
        <v>129</v>
      </c>
    </row>
    <row r="2" spans="1:19" ht="14.4" x14ac:dyDescent="0.3">
      <c r="A2" s="26" t="s">
        <v>132</v>
      </c>
      <c r="B2" s="26" t="s">
        <v>133</v>
      </c>
      <c r="C2" s="26" t="s">
        <v>130</v>
      </c>
      <c r="D2" s="27"/>
      <c r="E2" s="27"/>
      <c r="F2" s="27"/>
      <c r="G2" s="27">
        <v>1</v>
      </c>
      <c r="H2" s="27"/>
      <c r="I2" s="27"/>
      <c r="J2" s="27">
        <v>1</v>
      </c>
      <c r="K2" s="27" t="s">
        <v>59</v>
      </c>
      <c r="L2" s="28" t="s">
        <v>40</v>
      </c>
      <c r="M2" s="28" t="s">
        <v>62</v>
      </c>
      <c r="N2" s="28" t="s">
        <v>35</v>
      </c>
      <c r="O2" s="28">
        <v>0</v>
      </c>
      <c r="P2" s="28">
        <v>90</v>
      </c>
      <c r="Q2" s="28">
        <v>0.1</v>
      </c>
      <c r="R2" s="28">
        <v>0</v>
      </c>
      <c r="S2" s="28">
        <v>0.9</v>
      </c>
    </row>
    <row r="3" spans="1:19" ht="14.4" x14ac:dyDescent="0.3">
      <c r="A3" s="26" t="s">
        <v>134</v>
      </c>
      <c r="B3" s="26" t="s">
        <v>135</v>
      </c>
      <c r="C3" s="26" t="s">
        <v>130</v>
      </c>
      <c r="D3" s="27"/>
      <c r="E3" s="27">
        <v>1</v>
      </c>
      <c r="F3" s="27"/>
      <c r="G3" s="27"/>
      <c r="H3" s="27"/>
      <c r="I3" s="27"/>
      <c r="J3" s="27">
        <v>1</v>
      </c>
      <c r="K3" s="27" t="s">
        <v>80</v>
      </c>
      <c r="L3" s="28" t="s">
        <v>40</v>
      </c>
      <c r="M3" s="28" t="s">
        <v>68</v>
      </c>
      <c r="N3" s="28" t="s">
        <v>35</v>
      </c>
      <c r="O3" s="28">
        <v>0</v>
      </c>
      <c r="P3" s="28">
        <v>0</v>
      </c>
      <c r="Q3" s="28">
        <v>1</v>
      </c>
      <c r="R3" s="28">
        <v>0</v>
      </c>
      <c r="S3" s="28">
        <v>0</v>
      </c>
    </row>
    <row r="4" spans="1:19" ht="14.4" x14ac:dyDescent="0.3">
      <c r="A4" s="26" t="s">
        <v>191</v>
      </c>
      <c r="B4" s="26" t="s">
        <v>192</v>
      </c>
      <c r="C4" s="26" t="s">
        <v>131</v>
      </c>
      <c r="D4" s="27"/>
      <c r="E4" s="27"/>
      <c r="F4" s="27"/>
      <c r="G4" s="27"/>
      <c r="H4" s="27">
        <v>1</v>
      </c>
      <c r="I4" s="27"/>
      <c r="J4" s="27">
        <v>1</v>
      </c>
      <c r="K4" s="27" t="s">
        <v>72</v>
      </c>
      <c r="L4" s="28" t="s">
        <v>40</v>
      </c>
      <c r="M4" s="28" t="s">
        <v>53</v>
      </c>
      <c r="N4" s="28" t="s">
        <v>35</v>
      </c>
      <c r="O4" s="28">
        <v>0</v>
      </c>
      <c r="P4" s="28">
        <v>50</v>
      </c>
      <c r="Q4" s="28">
        <v>0.5</v>
      </c>
      <c r="R4" s="28">
        <v>0</v>
      </c>
      <c r="S4" s="28">
        <v>0.5</v>
      </c>
    </row>
    <row r="5" spans="1:19" ht="14.4" x14ac:dyDescent="0.3">
      <c r="A5" s="26" t="s">
        <v>136</v>
      </c>
      <c r="B5" s="26" t="s">
        <v>137</v>
      </c>
      <c r="C5" s="26">
        <v>6</v>
      </c>
      <c r="D5" s="27"/>
      <c r="E5" s="27"/>
      <c r="F5" s="27"/>
      <c r="G5" s="27">
        <v>2</v>
      </c>
      <c r="H5" s="27"/>
      <c r="I5" s="27"/>
      <c r="J5" s="27">
        <v>2</v>
      </c>
      <c r="K5" s="27" t="s">
        <v>80</v>
      </c>
      <c r="L5" s="28" t="s">
        <v>40</v>
      </c>
      <c r="M5" s="28" t="s">
        <v>68</v>
      </c>
      <c r="N5" s="28" t="s">
        <v>35</v>
      </c>
      <c r="O5" s="28">
        <v>0</v>
      </c>
      <c r="P5" s="28">
        <v>0</v>
      </c>
      <c r="Q5" s="28">
        <v>2</v>
      </c>
      <c r="R5" s="28">
        <v>0</v>
      </c>
      <c r="S5" s="28">
        <v>0</v>
      </c>
    </row>
    <row r="6" spans="1:19" ht="14.4" x14ac:dyDescent="0.3">
      <c r="A6" s="26" t="s">
        <v>150</v>
      </c>
      <c r="B6" s="26" t="s">
        <v>151</v>
      </c>
      <c r="C6" s="26" t="s">
        <v>130</v>
      </c>
      <c r="D6" s="27">
        <v>1</v>
      </c>
      <c r="E6" s="27"/>
      <c r="F6" s="27"/>
      <c r="G6" s="27"/>
      <c r="H6" s="27"/>
      <c r="I6" s="27"/>
      <c r="J6" s="27">
        <v>1</v>
      </c>
      <c r="K6" s="27" t="s">
        <v>67</v>
      </c>
      <c r="L6" s="28" t="s">
        <v>40</v>
      </c>
      <c r="M6" s="28" t="s">
        <v>60</v>
      </c>
      <c r="N6" s="28" t="s">
        <v>52</v>
      </c>
      <c r="O6" s="28" t="s">
        <v>53</v>
      </c>
      <c r="P6" s="28">
        <v>30</v>
      </c>
      <c r="Q6" s="28">
        <v>0.2</v>
      </c>
      <c r="R6" s="28">
        <v>0.5</v>
      </c>
      <c r="S6" s="28">
        <v>0.3</v>
      </c>
    </row>
    <row r="7" spans="1:19" ht="14.4" x14ac:dyDescent="0.3">
      <c r="A7" s="26" t="s">
        <v>189</v>
      </c>
      <c r="B7" s="26" t="s">
        <v>190</v>
      </c>
      <c r="C7" s="26" t="s">
        <v>130</v>
      </c>
      <c r="D7" s="27"/>
      <c r="E7" s="27"/>
      <c r="F7" s="27"/>
      <c r="G7" s="27"/>
      <c r="H7" s="27">
        <v>1</v>
      </c>
      <c r="I7" s="27"/>
      <c r="J7" s="27">
        <v>1</v>
      </c>
      <c r="K7" s="27" t="s">
        <v>67</v>
      </c>
      <c r="L7" s="28" t="s">
        <v>40</v>
      </c>
      <c r="M7" s="28" t="s">
        <v>60</v>
      </c>
      <c r="N7" s="28" t="s">
        <v>52</v>
      </c>
      <c r="O7" s="28" t="s">
        <v>66</v>
      </c>
      <c r="P7" s="28">
        <v>40</v>
      </c>
      <c r="Q7" s="28">
        <v>0.2</v>
      </c>
      <c r="R7" s="28">
        <v>0.4</v>
      </c>
      <c r="S7" s="28">
        <v>0.4</v>
      </c>
    </row>
    <row r="8" spans="1:19" ht="14.4" x14ac:dyDescent="0.3">
      <c r="A8" s="26" t="s">
        <v>138</v>
      </c>
      <c r="B8" s="26" t="s">
        <v>139</v>
      </c>
      <c r="C8" s="26" t="s">
        <v>130</v>
      </c>
      <c r="D8" s="27">
        <v>1</v>
      </c>
      <c r="E8" s="27"/>
      <c r="F8" s="27"/>
      <c r="G8" s="27">
        <v>1</v>
      </c>
      <c r="H8" s="27"/>
      <c r="I8" s="27"/>
      <c r="J8" s="27">
        <v>2</v>
      </c>
      <c r="K8" s="27" t="s">
        <v>80</v>
      </c>
      <c r="L8" s="28" t="s">
        <v>40</v>
      </c>
      <c r="M8" s="28" t="s">
        <v>68</v>
      </c>
      <c r="N8" s="28" t="s">
        <v>35</v>
      </c>
      <c r="O8" s="28">
        <v>0</v>
      </c>
      <c r="P8" s="28">
        <v>0</v>
      </c>
      <c r="Q8" s="28">
        <v>2</v>
      </c>
      <c r="R8" s="28">
        <v>0</v>
      </c>
      <c r="S8" s="28">
        <v>0</v>
      </c>
    </row>
    <row r="9" spans="1:19" ht="14.4" x14ac:dyDescent="0.3">
      <c r="A9" s="26" t="s">
        <v>140</v>
      </c>
      <c r="B9" s="26" t="s">
        <v>141</v>
      </c>
      <c r="C9" s="26" t="s">
        <v>130</v>
      </c>
      <c r="D9" s="27">
        <v>1</v>
      </c>
      <c r="E9" s="27"/>
      <c r="F9" s="27"/>
      <c r="G9" s="27"/>
      <c r="H9" s="27"/>
      <c r="I9" s="27"/>
      <c r="J9" s="27">
        <v>1</v>
      </c>
      <c r="K9" s="27" t="s">
        <v>80</v>
      </c>
      <c r="L9" s="28" t="s">
        <v>40</v>
      </c>
      <c r="M9" s="28" t="s">
        <v>68</v>
      </c>
      <c r="N9" s="28" t="s">
        <v>35</v>
      </c>
      <c r="O9" s="28">
        <v>0</v>
      </c>
      <c r="P9" s="28">
        <v>0</v>
      </c>
      <c r="Q9" s="28">
        <v>1</v>
      </c>
      <c r="R9" s="28">
        <v>0</v>
      </c>
      <c r="S9" s="28">
        <v>0</v>
      </c>
    </row>
    <row r="10" spans="1:19" ht="14.4" x14ac:dyDescent="0.3">
      <c r="A10" s="26" t="s">
        <v>142</v>
      </c>
      <c r="B10" s="26" t="s">
        <v>143</v>
      </c>
      <c r="C10" s="26" t="s">
        <v>130</v>
      </c>
      <c r="D10" s="27"/>
      <c r="E10" s="27"/>
      <c r="F10" s="27"/>
      <c r="G10" s="27">
        <v>1</v>
      </c>
      <c r="H10" s="27"/>
      <c r="I10" s="27"/>
      <c r="J10" s="27">
        <v>1</v>
      </c>
      <c r="K10" s="27" t="s">
        <v>59</v>
      </c>
      <c r="L10" s="28" t="s">
        <v>40</v>
      </c>
      <c r="M10" s="28" t="s">
        <v>66</v>
      </c>
      <c r="N10" s="28" t="s">
        <v>35</v>
      </c>
      <c r="O10" s="28">
        <v>0</v>
      </c>
      <c r="P10" s="28">
        <v>60</v>
      </c>
      <c r="Q10" s="28">
        <v>0.4</v>
      </c>
      <c r="R10" s="28">
        <v>0</v>
      </c>
      <c r="S10" s="28">
        <v>0.6</v>
      </c>
    </row>
    <row r="11" spans="1:19" ht="14.4" x14ac:dyDescent="0.3">
      <c r="A11" s="26" t="s">
        <v>247</v>
      </c>
      <c r="B11" s="26" t="s">
        <v>248</v>
      </c>
      <c r="C11" s="26" t="s">
        <v>131</v>
      </c>
      <c r="D11" s="27"/>
      <c r="E11" s="27">
        <v>1</v>
      </c>
      <c r="F11" s="27"/>
      <c r="G11" s="27"/>
      <c r="H11" s="27"/>
      <c r="I11" s="27"/>
      <c r="J11" s="27">
        <v>1</v>
      </c>
      <c r="K11" s="27" t="s">
        <v>40</v>
      </c>
      <c r="L11" s="28" t="s">
        <v>40</v>
      </c>
      <c r="M11" s="28">
        <v>100</v>
      </c>
      <c r="N11" s="28"/>
      <c r="O11" s="28"/>
      <c r="P11" s="28">
        <v>0</v>
      </c>
      <c r="Q11" s="28">
        <v>1</v>
      </c>
      <c r="R11" s="28">
        <v>0</v>
      </c>
      <c r="S11" s="28">
        <v>0</v>
      </c>
    </row>
    <row r="12" spans="1:19" ht="14.4" x14ac:dyDescent="0.3">
      <c r="A12" s="26" t="s">
        <v>194</v>
      </c>
      <c r="B12" s="26" t="s">
        <v>195</v>
      </c>
      <c r="C12" s="26" t="s">
        <v>130</v>
      </c>
      <c r="D12" s="27"/>
      <c r="E12" s="27"/>
      <c r="F12" s="27"/>
      <c r="G12" s="27"/>
      <c r="H12" s="27"/>
      <c r="I12" s="27">
        <v>1</v>
      </c>
      <c r="J12" s="27">
        <v>1</v>
      </c>
      <c r="K12" s="27" t="s">
        <v>67</v>
      </c>
      <c r="L12" s="28" t="s">
        <v>40</v>
      </c>
      <c r="M12" s="28" t="s">
        <v>60</v>
      </c>
      <c r="N12" s="28" t="s">
        <v>52</v>
      </c>
      <c r="O12" s="28" t="s">
        <v>66</v>
      </c>
      <c r="P12" s="28">
        <v>40</v>
      </c>
      <c r="Q12" s="28">
        <v>0.2</v>
      </c>
      <c r="R12" s="28">
        <v>0.4</v>
      </c>
      <c r="S12" s="28">
        <v>0.4</v>
      </c>
    </row>
    <row r="13" spans="1:19" ht="14.4" x14ac:dyDescent="0.3">
      <c r="A13" s="26" t="s">
        <v>144</v>
      </c>
      <c r="B13" s="26" t="s">
        <v>145</v>
      </c>
      <c r="C13" s="26" t="s">
        <v>130</v>
      </c>
      <c r="D13" s="27"/>
      <c r="E13" s="27"/>
      <c r="F13" s="27"/>
      <c r="G13" s="27">
        <v>1</v>
      </c>
      <c r="H13" s="27">
        <v>1</v>
      </c>
      <c r="I13" s="27"/>
      <c r="J13" s="27">
        <v>2</v>
      </c>
      <c r="K13" s="27" t="s">
        <v>80</v>
      </c>
      <c r="L13" s="28" t="s">
        <v>40</v>
      </c>
      <c r="M13" s="28" t="s">
        <v>68</v>
      </c>
      <c r="N13" s="28" t="s">
        <v>35</v>
      </c>
      <c r="O13" s="28">
        <v>0</v>
      </c>
      <c r="P13" s="28">
        <v>0</v>
      </c>
      <c r="Q13" s="28">
        <v>2</v>
      </c>
      <c r="R13" s="28">
        <v>0</v>
      </c>
      <c r="S13" s="28">
        <v>0</v>
      </c>
    </row>
    <row r="14" spans="1:19" ht="14.4" x14ac:dyDescent="0.3">
      <c r="A14" s="26" t="s">
        <v>146</v>
      </c>
      <c r="B14" s="26" t="s">
        <v>147</v>
      </c>
      <c r="C14" s="26" t="s">
        <v>131</v>
      </c>
      <c r="D14" s="27">
        <v>1</v>
      </c>
      <c r="E14" s="27"/>
      <c r="F14" s="27"/>
      <c r="G14" s="27"/>
      <c r="H14" s="27"/>
      <c r="I14" s="27"/>
      <c r="J14" s="27">
        <v>1</v>
      </c>
      <c r="K14" s="27" t="s">
        <v>72</v>
      </c>
      <c r="L14" s="28" t="s">
        <v>40</v>
      </c>
      <c r="M14" s="28" t="s">
        <v>53</v>
      </c>
      <c r="N14" s="28" t="s">
        <v>35</v>
      </c>
      <c r="O14" s="28">
        <v>0</v>
      </c>
      <c r="P14" s="28">
        <v>50</v>
      </c>
      <c r="Q14" s="28">
        <v>0.5</v>
      </c>
      <c r="R14" s="28">
        <v>0</v>
      </c>
      <c r="S14" s="28">
        <v>0.5</v>
      </c>
    </row>
    <row r="15" spans="1:19" ht="14.4" x14ac:dyDescent="0.3">
      <c r="A15" s="26" t="s">
        <v>148</v>
      </c>
      <c r="B15" s="26" t="s">
        <v>149</v>
      </c>
      <c r="C15" s="26" t="s">
        <v>130</v>
      </c>
      <c r="D15" s="27"/>
      <c r="E15" s="27"/>
      <c r="F15" s="27"/>
      <c r="G15" s="27"/>
      <c r="H15" s="27"/>
      <c r="I15" s="27">
        <v>1</v>
      </c>
      <c r="J15" s="27">
        <v>1</v>
      </c>
      <c r="K15" s="27" t="s">
        <v>80</v>
      </c>
      <c r="L15" s="28" t="s">
        <v>40</v>
      </c>
      <c r="M15" s="28" t="s">
        <v>68</v>
      </c>
      <c r="N15" s="28" t="s">
        <v>35</v>
      </c>
      <c r="O15" s="28">
        <v>0</v>
      </c>
      <c r="P15" s="28">
        <v>0</v>
      </c>
      <c r="Q15" s="28">
        <v>1</v>
      </c>
      <c r="R15" s="28">
        <v>0</v>
      </c>
      <c r="S15" s="28">
        <v>0</v>
      </c>
    </row>
    <row r="16" spans="1:19" x14ac:dyDescent="0.25">
      <c r="A16" s="19"/>
      <c r="B16" s="19"/>
      <c r="C16" s="19"/>
      <c r="D16" s="19"/>
      <c r="E16" s="19"/>
      <c r="F16" s="19"/>
      <c r="G16" s="19"/>
      <c r="H16" s="19"/>
      <c r="I16" s="19"/>
      <c r="J16" s="19"/>
      <c r="K16" s="19"/>
      <c r="L16" s="19"/>
      <c r="M16" s="20"/>
      <c r="N16" s="20"/>
      <c r="O16" s="19"/>
      <c r="P16" s="20"/>
      <c r="Q16" s="22">
        <f>SUM(Q2:Q15)</f>
        <v>12.1</v>
      </c>
      <c r="R16" s="19"/>
      <c r="S16" s="19"/>
    </row>
  </sheetData>
  <sortState xmlns:xlrd2="http://schemas.microsoft.com/office/spreadsheetml/2017/richdata2" ref="A2:S16">
    <sortCondition ref="B2"/>
  </sortState>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1"/>
  <sheetViews>
    <sheetView zoomScaleNormal="100" workbookViewId="0">
      <selection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152</v>
      </c>
      <c r="B3" s="5">
        <v>904</v>
      </c>
    </row>
    <row r="4" spans="1:2" x14ac:dyDescent="0.2">
      <c r="A4" s="4" t="s">
        <v>153</v>
      </c>
      <c r="B4" s="5">
        <v>575</v>
      </c>
    </row>
    <row r="5" spans="1:2" x14ac:dyDescent="0.2">
      <c r="A5" s="4" t="s">
        <v>154</v>
      </c>
      <c r="B5" s="5">
        <v>1017.35</v>
      </c>
    </row>
    <row r="6" spans="1:2" x14ac:dyDescent="0.2">
      <c r="A6" s="4" t="s">
        <v>155</v>
      </c>
      <c r="B6" s="5">
        <v>700</v>
      </c>
    </row>
    <row r="7" spans="1:2" x14ac:dyDescent="0.2">
      <c r="A7" s="4" t="s">
        <v>156</v>
      </c>
      <c r="B7" s="5">
        <v>1250</v>
      </c>
    </row>
    <row r="8" spans="1:2" x14ac:dyDescent="0.2">
      <c r="A8" s="4" t="s">
        <v>157</v>
      </c>
      <c r="B8" s="5">
        <v>25390</v>
      </c>
    </row>
    <row r="9" spans="1:2" x14ac:dyDescent="0.2">
      <c r="A9" s="4" t="s">
        <v>158</v>
      </c>
      <c r="B9" s="5">
        <v>6000</v>
      </c>
    </row>
    <row r="10" spans="1:2" x14ac:dyDescent="0.2">
      <c r="A10" s="4" t="s">
        <v>159</v>
      </c>
      <c r="B10" s="5">
        <v>12000</v>
      </c>
    </row>
    <row r="11" spans="1:2" x14ac:dyDescent="0.2">
      <c r="A11" s="4" t="s">
        <v>4</v>
      </c>
      <c r="B11" s="5"/>
    </row>
    <row r="12" spans="1:2" x14ac:dyDescent="0.2">
      <c r="A12" s="4" t="s">
        <v>160</v>
      </c>
      <c r="B12" s="5">
        <v>195.06</v>
      </c>
    </row>
    <row r="13" spans="1:2" x14ac:dyDescent="0.2">
      <c r="A13" s="4" t="s">
        <v>5</v>
      </c>
      <c r="B13" s="5"/>
    </row>
    <row r="14" spans="1:2" x14ac:dyDescent="0.2">
      <c r="A14" s="4" t="s">
        <v>161</v>
      </c>
      <c r="B14" s="5">
        <v>3000</v>
      </c>
    </row>
    <row r="15" spans="1:2" x14ac:dyDescent="0.2">
      <c r="A15" s="4" t="s">
        <v>162</v>
      </c>
      <c r="B15" s="5">
        <v>750</v>
      </c>
    </row>
    <row r="16" spans="1:2" x14ac:dyDescent="0.2">
      <c r="A16" s="4" t="s">
        <v>6</v>
      </c>
      <c r="B16" s="5"/>
    </row>
    <row r="17" spans="1:2" x14ac:dyDescent="0.2">
      <c r="A17" s="4" t="s">
        <v>163</v>
      </c>
      <c r="B17" s="5">
        <v>1000</v>
      </c>
    </row>
    <row r="18" spans="1:2" x14ac:dyDescent="0.2">
      <c r="A18" s="4" t="s">
        <v>164</v>
      </c>
      <c r="B18" s="5">
        <v>1000</v>
      </c>
    </row>
    <row r="19" spans="1:2" x14ac:dyDescent="0.2">
      <c r="A19" s="4" t="s">
        <v>165</v>
      </c>
      <c r="B19" s="5">
        <v>1000</v>
      </c>
    </row>
    <row r="20" spans="1:2" x14ac:dyDescent="0.2">
      <c r="A20" s="4" t="s">
        <v>166</v>
      </c>
      <c r="B20" s="5">
        <v>1000</v>
      </c>
    </row>
    <row r="21" spans="1:2" x14ac:dyDescent="0.2">
      <c r="A21" s="4" t="s">
        <v>7</v>
      </c>
      <c r="B21" s="5"/>
    </row>
    <row r="22" spans="1:2" x14ac:dyDescent="0.2">
      <c r="A22" s="4" t="s">
        <v>167</v>
      </c>
      <c r="B22" s="5">
        <v>6198.35</v>
      </c>
    </row>
    <row r="23" spans="1:2" x14ac:dyDescent="0.2">
      <c r="A23" s="4" t="s">
        <v>8</v>
      </c>
      <c r="B23" s="5"/>
    </row>
    <row r="24" spans="1:2" x14ac:dyDescent="0.2">
      <c r="A24" s="4" t="s">
        <v>168</v>
      </c>
      <c r="B24" s="5">
        <v>159.74</v>
      </c>
    </row>
    <row r="25" spans="1:2" x14ac:dyDescent="0.2">
      <c r="A25" s="4" t="s">
        <v>169</v>
      </c>
      <c r="B25" s="5"/>
    </row>
    <row r="26" spans="1:2" x14ac:dyDescent="0.2">
      <c r="A26" s="4" t="s">
        <v>170</v>
      </c>
      <c r="B26" s="5">
        <v>500</v>
      </c>
    </row>
    <row r="27" spans="1:2" x14ac:dyDescent="0.2">
      <c r="A27" s="4" t="s">
        <v>9</v>
      </c>
      <c r="B27" s="5"/>
    </row>
    <row r="28" spans="1:2" x14ac:dyDescent="0.2">
      <c r="A28" s="4" t="s">
        <v>171</v>
      </c>
      <c r="B28" s="5">
        <v>13000</v>
      </c>
    </row>
    <row r="29" spans="1:2" x14ac:dyDescent="0.2">
      <c r="A29" s="4" t="s">
        <v>10</v>
      </c>
      <c r="B29" s="5"/>
    </row>
    <row r="30" spans="1:2" x14ac:dyDescent="0.2">
      <c r="A30" s="4" t="s">
        <v>172</v>
      </c>
      <c r="B30" s="5">
        <v>27951</v>
      </c>
    </row>
    <row r="31" spans="1:2" x14ac:dyDescent="0.2">
      <c r="A31" s="4" t="s">
        <v>168</v>
      </c>
      <c r="B31" s="5">
        <v>15.86</v>
      </c>
    </row>
    <row r="32" spans="1:2" x14ac:dyDescent="0.2">
      <c r="A32" s="4" t="s">
        <v>11</v>
      </c>
      <c r="B32" s="5"/>
    </row>
    <row r="33" spans="1:2" x14ac:dyDescent="0.2">
      <c r="A33" s="4" t="s">
        <v>173</v>
      </c>
      <c r="B33" s="5">
        <v>40595.5</v>
      </c>
    </row>
    <row r="34" spans="1:2" x14ac:dyDescent="0.2">
      <c r="A34" s="4" t="s">
        <v>174</v>
      </c>
      <c r="B34" s="5"/>
    </row>
    <row r="35" spans="1:2" x14ac:dyDescent="0.2">
      <c r="A35" s="4" t="s">
        <v>175</v>
      </c>
      <c r="B35" s="5">
        <v>8796.34</v>
      </c>
    </row>
    <row r="36" spans="1:2" x14ac:dyDescent="0.2">
      <c r="A36" s="4" t="s">
        <v>176</v>
      </c>
      <c r="B36" s="5"/>
    </row>
    <row r="37" spans="1:2" x14ac:dyDescent="0.2">
      <c r="A37" s="4" t="s">
        <v>177</v>
      </c>
      <c r="B37" s="5">
        <v>46000</v>
      </c>
    </row>
    <row r="38" spans="1:2" x14ac:dyDescent="0.2">
      <c r="A38" s="4" t="s">
        <v>178</v>
      </c>
      <c r="B38" s="5">
        <v>22080</v>
      </c>
    </row>
    <row r="39" spans="1:2" x14ac:dyDescent="0.2">
      <c r="A39" s="4" t="s">
        <v>179</v>
      </c>
      <c r="B39" s="5"/>
    </row>
    <row r="40" spans="1:2" x14ac:dyDescent="0.2">
      <c r="A40" s="4" t="s">
        <v>180</v>
      </c>
      <c r="B40" s="5">
        <v>5437.78</v>
      </c>
    </row>
    <row r="41" spans="1:2" x14ac:dyDescent="0.2">
      <c r="A41" s="6" t="s">
        <v>2</v>
      </c>
      <c r="B41" s="7">
        <f>SUM(B3:B40)</f>
        <v>226515.97999999998</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FB4D-44BA-4FC5-8407-EF05C14B62BC}">
  <dimension ref="A1:B32"/>
  <sheetViews>
    <sheetView topLeftCell="B13" workbookViewId="0">
      <selection activeCell="A10" sqref="A10"/>
    </sheetView>
  </sheetViews>
  <sheetFormatPr baseColWidth="10" defaultRowHeight="14.4" x14ac:dyDescent="0.3"/>
  <cols>
    <col min="1" max="1" width="255.6640625" bestFit="1" customWidth="1"/>
  </cols>
  <sheetData>
    <row r="1" spans="1:2" ht="21.6" x14ac:dyDescent="0.3">
      <c r="A1" s="2" t="s">
        <v>0</v>
      </c>
      <c r="B1" s="3" t="s">
        <v>1</v>
      </c>
    </row>
    <row r="2" spans="1:2" x14ac:dyDescent="0.3">
      <c r="A2" s="43" t="s">
        <v>3</v>
      </c>
      <c r="B2" s="44"/>
    </row>
    <row r="3" spans="1:2" x14ac:dyDescent="0.3">
      <c r="A3" s="45" t="s">
        <v>224</v>
      </c>
      <c r="B3">
        <v>39063.199999999997</v>
      </c>
    </row>
    <row r="4" spans="1:2" x14ac:dyDescent="0.3">
      <c r="A4" s="45" t="s">
        <v>225</v>
      </c>
      <c r="B4">
        <v>8049.6</v>
      </c>
    </row>
    <row r="5" spans="1:2" x14ac:dyDescent="0.3">
      <c r="A5" s="43" t="s">
        <v>4</v>
      </c>
      <c r="B5" s="44"/>
    </row>
    <row r="6" spans="1:2" x14ac:dyDescent="0.3">
      <c r="A6" s="45" t="s">
        <v>226</v>
      </c>
      <c r="B6">
        <v>239.1</v>
      </c>
    </row>
    <row r="7" spans="1:2" x14ac:dyDescent="0.3">
      <c r="A7" s="43" t="s">
        <v>6</v>
      </c>
      <c r="B7" s="44"/>
    </row>
    <row r="8" spans="1:2" x14ac:dyDescent="0.3">
      <c r="A8" s="45" t="s">
        <v>227</v>
      </c>
      <c r="B8">
        <v>880</v>
      </c>
    </row>
    <row r="9" spans="1:2" x14ac:dyDescent="0.3">
      <c r="A9" s="45" t="s">
        <v>228</v>
      </c>
      <c r="B9">
        <v>880</v>
      </c>
    </row>
    <row r="10" spans="1:2" x14ac:dyDescent="0.3">
      <c r="A10" s="45" t="s">
        <v>229</v>
      </c>
      <c r="B10">
        <v>880</v>
      </c>
    </row>
    <row r="11" spans="1:2" x14ac:dyDescent="0.3">
      <c r="A11" s="45" t="s">
        <v>230</v>
      </c>
      <c r="B11">
        <v>880</v>
      </c>
    </row>
    <row r="12" spans="1:2" x14ac:dyDescent="0.3">
      <c r="A12" s="45" t="s">
        <v>231</v>
      </c>
      <c r="B12">
        <v>880</v>
      </c>
    </row>
    <row r="13" spans="1:2" x14ac:dyDescent="0.3">
      <c r="A13" s="43" t="s">
        <v>232</v>
      </c>
      <c r="B13" s="44"/>
    </row>
    <row r="14" spans="1:2" x14ac:dyDescent="0.3">
      <c r="A14" s="45" t="s">
        <v>233</v>
      </c>
      <c r="B14">
        <v>572</v>
      </c>
    </row>
    <row r="15" spans="1:2" x14ac:dyDescent="0.3">
      <c r="A15" s="43" t="s">
        <v>9</v>
      </c>
      <c r="B15" s="44"/>
    </row>
    <row r="16" spans="1:2" x14ac:dyDescent="0.3">
      <c r="A16" s="45" t="s">
        <v>234</v>
      </c>
      <c r="B16">
        <v>5413.7</v>
      </c>
    </row>
    <row r="17" spans="1:2" x14ac:dyDescent="0.3">
      <c r="A17" s="43" t="s">
        <v>235</v>
      </c>
      <c r="B17" s="44"/>
    </row>
    <row r="18" spans="1:2" x14ac:dyDescent="0.3">
      <c r="A18" s="45" t="s">
        <v>236</v>
      </c>
      <c r="B18">
        <v>440</v>
      </c>
    </row>
    <row r="19" spans="1:2" x14ac:dyDescent="0.3">
      <c r="A19" s="43" t="s">
        <v>237</v>
      </c>
      <c r="B19" s="44"/>
    </row>
    <row r="20" spans="1:2" x14ac:dyDescent="0.3">
      <c r="A20" s="45" t="s">
        <v>236</v>
      </c>
      <c r="B20">
        <v>1760</v>
      </c>
    </row>
    <row r="21" spans="1:2" x14ac:dyDescent="0.3">
      <c r="A21" s="45" t="s">
        <v>238</v>
      </c>
      <c r="B21">
        <v>264</v>
      </c>
    </row>
    <row r="22" spans="1:2" x14ac:dyDescent="0.3">
      <c r="A22" s="43" t="s">
        <v>239</v>
      </c>
      <c r="B22" s="44"/>
    </row>
    <row r="23" spans="1:2" x14ac:dyDescent="0.3">
      <c r="A23" s="45" t="s">
        <v>240</v>
      </c>
      <c r="B23">
        <v>4531.5200000000004</v>
      </c>
    </row>
    <row r="24" spans="1:2" x14ac:dyDescent="0.3">
      <c r="A24" s="43" t="s">
        <v>176</v>
      </c>
      <c r="B24" s="44"/>
    </row>
    <row r="25" spans="1:2" x14ac:dyDescent="0.3">
      <c r="A25" s="45" t="s">
        <v>241</v>
      </c>
      <c r="B25">
        <v>4600</v>
      </c>
    </row>
    <row r="26" spans="1:2" x14ac:dyDescent="0.3">
      <c r="A26" s="43" t="s">
        <v>242</v>
      </c>
      <c r="B26" s="44"/>
    </row>
    <row r="27" spans="1:2" x14ac:dyDescent="0.3">
      <c r="A27" s="45" t="s">
        <v>243</v>
      </c>
      <c r="B27">
        <v>12000</v>
      </c>
    </row>
    <row r="28" spans="1:2" x14ac:dyDescent="0.3">
      <c r="A28" s="43" t="s">
        <v>244</v>
      </c>
      <c r="B28" s="44"/>
    </row>
    <row r="29" spans="1:2" x14ac:dyDescent="0.3">
      <c r="A29" s="45" t="s">
        <v>245</v>
      </c>
      <c r="B29">
        <v>15100</v>
      </c>
    </row>
    <row r="30" spans="1:2" x14ac:dyDescent="0.3">
      <c r="A30" s="43" t="s">
        <v>246</v>
      </c>
      <c r="B30" s="44"/>
    </row>
    <row r="31" spans="1:2" x14ac:dyDescent="0.3">
      <c r="A31" s="45" t="s">
        <v>245</v>
      </c>
      <c r="B31">
        <v>20000</v>
      </c>
    </row>
    <row r="32" spans="1:2" x14ac:dyDescent="0.3">
      <c r="A32" s="46" t="s">
        <v>121</v>
      </c>
      <c r="B32" s="47">
        <v>116433.12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FD7F-85F0-4C65-BFFB-35C1D54F6749}">
  <dimension ref="A1:D20"/>
  <sheetViews>
    <sheetView workbookViewId="0">
      <selection activeCell="C23" sqref="C23"/>
    </sheetView>
  </sheetViews>
  <sheetFormatPr baseColWidth="10" defaultRowHeight="14.4" x14ac:dyDescent="0.3"/>
  <cols>
    <col min="2" max="2" width="13.5546875" customWidth="1"/>
    <col min="3" max="3" width="76" customWidth="1"/>
  </cols>
  <sheetData>
    <row r="1" spans="1:4" ht="15" thickBot="1" x14ac:dyDescent="0.35">
      <c r="A1" s="48" t="s">
        <v>249</v>
      </c>
      <c r="B1" s="49" t="s">
        <v>250</v>
      </c>
      <c r="C1" s="49" t="s">
        <v>251</v>
      </c>
      <c r="D1" s="50" t="s">
        <v>1</v>
      </c>
    </row>
    <row r="2" spans="1:4" ht="15" thickTop="1" x14ac:dyDescent="0.3">
      <c r="A2" s="51" t="s">
        <v>252</v>
      </c>
      <c r="B2" s="52" t="s">
        <v>3</v>
      </c>
      <c r="C2" s="52" t="s">
        <v>253</v>
      </c>
      <c r="D2" s="53">
        <v>268.39999999999998</v>
      </c>
    </row>
    <row r="3" spans="1:4" x14ac:dyDescent="0.3">
      <c r="A3" s="54" t="s">
        <v>252</v>
      </c>
      <c r="B3" s="55" t="s">
        <v>3</v>
      </c>
      <c r="C3" s="55" t="s">
        <v>253</v>
      </c>
      <c r="D3" s="56">
        <v>1284.8</v>
      </c>
    </row>
    <row r="4" spans="1:4" x14ac:dyDescent="0.3">
      <c r="A4" s="51" t="s">
        <v>252</v>
      </c>
      <c r="B4" s="52" t="s">
        <v>3</v>
      </c>
      <c r="C4" s="52" t="s">
        <v>254</v>
      </c>
      <c r="D4" s="53">
        <v>1408</v>
      </c>
    </row>
    <row r="5" spans="1:4" x14ac:dyDescent="0.3">
      <c r="A5" s="54" t="s">
        <v>252</v>
      </c>
      <c r="B5" s="55" t="s">
        <v>3</v>
      </c>
      <c r="C5" s="55" t="s">
        <v>255</v>
      </c>
      <c r="D5" s="56">
        <v>6160</v>
      </c>
    </row>
    <row r="6" spans="1:4" x14ac:dyDescent="0.3">
      <c r="A6" s="51" t="s">
        <v>252</v>
      </c>
      <c r="B6" s="52" t="s">
        <v>3</v>
      </c>
      <c r="C6" s="52" t="s">
        <v>256</v>
      </c>
      <c r="D6" s="53">
        <v>10560</v>
      </c>
    </row>
    <row r="7" spans="1:4" x14ac:dyDescent="0.3">
      <c r="A7" s="54" t="s">
        <v>252</v>
      </c>
      <c r="B7" s="55" t="s">
        <v>3</v>
      </c>
      <c r="C7" s="55" t="s">
        <v>257</v>
      </c>
      <c r="D7" s="56">
        <v>22343.200000000001</v>
      </c>
    </row>
    <row r="8" spans="1:4" x14ac:dyDescent="0.3">
      <c r="A8" s="51" t="s">
        <v>252</v>
      </c>
      <c r="B8" s="52" t="s">
        <v>6</v>
      </c>
      <c r="C8" s="52" t="s">
        <v>258</v>
      </c>
      <c r="D8" s="53">
        <v>880</v>
      </c>
    </row>
    <row r="9" spans="1:4" x14ac:dyDescent="0.3">
      <c r="A9" s="54" t="s">
        <v>252</v>
      </c>
      <c r="B9" s="55" t="s">
        <v>6</v>
      </c>
      <c r="C9" s="55" t="s">
        <v>259</v>
      </c>
      <c r="D9" s="56">
        <v>880</v>
      </c>
    </row>
    <row r="10" spans="1:4" x14ac:dyDescent="0.3">
      <c r="A10" s="51" t="s">
        <v>252</v>
      </c>
      <c r="B10" s="52" t="s">
        <v>6</v>
      </c>
      <c r="C10" s="52" t="s">
        <v>260</v>
      </c>
      <c r="D10" s="53">
        <v>880</v>
      </c>
    </row>
    <row r="11" spans="1:4" x14ac:dyDescent="0.3">
      <c r="A11" s="54" t="s">
        <v>252</v>
      </c>
      <c r="B11" s="55" t="s">
        <v>6</v>
      </c>
      <c r="C11" s="55" t="s">
        <v>261</v>
      </c>
      <c r="D11" s="56">
        <v>880</v>
      </c>
    </row>
    <row r="12" spans="1:4" x14ac:dyDescent="0.3">
      <c r="A12" s="51" t="s">
        <v>252</v>
      </c>
      <c r="B12" s="52" t="s">
        <v>176</v>
      </c>
      <c r="C12" s="52" t="s">
        <v>262</v>
      </c>
      <c r="D12" s="53">
        <v>19320</v>
      </c>
    </row>
    <row r="13" spans="1:4" x14ac:dyDescent="0.3">
      <c r="A13" s="54" t="s">
        <v>252</v>
      </c>
      <c r="B13" s="55" t="s">
        <v>242</v>
      </c>
      <c r="C13" s="55" t="s">
        <v>263</v>
      </c>
      <c r="D13" s="56">
        <v>60000</v>
      </c>
    </row>
    <row r="14" spans="1:4" x14ac:dyDescent="0.3">
      <c r="A14" s="51" t="s">
        <v>252</v>
      </c>
      <c r="B14" s="52" t="s">
        <v>244</v>
      </c>
      <c r="C14" s="52" t="s">
        <v>264</v>
      </c>
      <c r="D14" s="53">
        <v>17300</v>
      </c>
    </row>
    <row r="15" spans="1:4" x14ac:dyDescent="0.3">
      <c r="A15" s="54" t="s">
        <v>252</v>
      </c>
      <c r="B15" s="55" t="s">
        <v>246</v>
      </c>
      <c r="C15" s="55" t="s">
        <v>264</v>
      </c>
      <c r="D15" s="56">
        <v>20000</v>
      </c>
    </row>
    <row r="16" spans="1:4" ht="15" thickBot="1" x14ac:dyDescent="0.35">
      <c r="A16" s="51" t="s">
        <v>252</v>
      </c>
      <c r="B16" s="52" t="s">
        <v>265</v>
      </c>
      <c r="C16" s="52" t="s">
        <v>266</v>
      </c>
      <c r="D16" s="53">
        <v>11952</v>
      </c>
    </row>
    <row r="17" spans="1:4" ht="15" thickTop="1" x14ac:dyDescent="0.3">
      <c r="A17" s="57" t="s">
        <v>2</v>
      </c>
      <c r="B17" s="58"/>
      <c r="C17" s="58"/>
      <c r="D17" s="59">
        <v>174116.4</v>
      </c>
    </row>
    <row r="20" spans="1:4" x14ac:dyDescent="0.3">
      <c r="C20" s="82" t="s">
        <v>271</v>
      </c>
      <c r="D20" s="83">
        <f>D17+'ingresos investigación 2020'!B32+'Ingresos investigación 2019'!B41</f>
        <v>517065.5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zoomScaleNormal="100" workbookViewId="0">
      <selection activeCell="A28" sqref="A2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181</v>
      </c>
      <c r="B2" s="5"/>
    </row>
    <row r="3" spans="1:2" x14ac:dyDescent="0.2">
      <c r="A3" s="4" t="s">
        <v>182</v>
      </c>
      <c r="B3" s="5">
        <v>9450</v>
      </c>
    </row>
    <row r="4" spans="1:2" x14ac:dyDescent="0.2">
      <c r="A4" s="4" t="s">
        <v>183</v>
      </c>
      <c r="B4" s="5">
        <v>1500</v>
      </c>
    </row>
    <row r="5" spans="1:2" x14ac:dyDescent="0.2">
      <c r="A5" s="4" t="s">
        <v>184</v>
      </c>
      <c r="B5" s="5"/>
    </row>
    <row r="6" spans="1:2" x14ac:dyDescent="0.2">
      <c r="A6" s="4" t="s">
        <v>185</v>
      </c>
      <c r="B6" s="5">
        <v>525</v>
      </c>
    </row>
    <row r="7" spans="1:2" x14ac:dyDescent="0.2">
      <c r="A7" s="6" t="s">
        <v>2</v>
      </c>
      <c r="B7" s="7">
        <f>SUM(B3:B6)</f>
        <v>11475</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B233-4943-4DC7-87E4-016DB14B667C}">
  <dimension ref="A1:D7"/>
  <sheetViews>
    <sheetView workbookViewId="0">
      <selection activeCell="C7" sqref="C7:D7"/>
    </sheetView>
  </sheetViews>
  <sheetFormatPr baseColWidth="10" defaultRowHeight="14.4" x14ac:dyDescent="0.3"/>
  <cols>
    <col min="2" max="2" width="17.33203125" customWidth="1"/>
    <col min="3" max="3" width="73" customWidth="1"/>
  </cols>
  <sheetData>
    <row r="1" spans="1:4" x14ac:dyDescent="0.3">
      <c r="A1" s="60" t="s">
        <v>249</v>
      </c>
      <c r="B1" s="61" t="s">
        <v>250</v>
      </c>
      <c r="C1" s="61" t="s">
        <v>251</v>
      </c>
      <c r="D1" s="62" t="s">
        <v>1</v>
      </c>
    </row>
    <row r="2" spans="1:4" x14ac:dyDescent="0.3">
      <c r="A2" s="63" t="s">
        <v>252</v>
      </c>
      <c r="B2" s="64" t="s">
        <v>267</v>
      </c>
      <c r="C2" s="64" t="s">
        <v>268</v>
      </c>
      <c r="D2" s="65">
        <v>1537.41</v>
      </c>
    </row>
    <row r="3" spans="1:4" ht="15" thickBot="1" x14ac:dyDescent="0.35">
      <c r="A3" s="69" t="s">
        <v>252</v>
      </c>
      <c r="B3" s="70" t="s">
        <v>267</v>
      </c>
      <c r="C3" s="70" t="s">
        <v>269</v>
      </c>
      <c r="D3" s="71">
        <v>8925</v>
      </c>
    </row>
    <row r="4" spans="1:4" ht="15" thickTop="1" x14ac:dyDescent="0.3">
      <c r="A4" s="66" t="s">
        <v>2</v>
      </c>
      <c r="B4" s="67"/>
      <c r="C4" s="67"/>
      <c r="D4" s="68">
        <v>10462.41</v>
      </c>
    </row>
    <row r="7" spans="1:4" x14ac:dyDescent="0.3">
      <c r="C7" s="82" t="s">
        <v>272</v>
      </c>
      <c r="D7" s="83">
        <f>D4+'Ingresos formación 2019'!B7</f>
        <v>21937.41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Tesis</vt:lpstr>
      <vt:lpstr>Sexenios</vt:lpstr>
      <vt:lpstr>Ingresos investigación 2019</vt:lpstr>
      <vt:lpstr>ingresos investigación 2020</vt:lpstr>
      <vt:lpstr>Ingresos investigación 2021</vt:lpstr>
      <vt:lpstr>Ingresos formación 2019</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2022-10-18T15:51:04Z</dcterms:modified>
</cp:coreProperties>
</file>