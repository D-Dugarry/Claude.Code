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5777FFCA-C009-4C02-88FA-81913DCF8136}" xr6:coauthVersionLast="47" xr6:coauthVersionMax="47" xr10:uidLastSave="{00000000-0000-0000-0000-000000000000}"/>
  <bookViews>
    <workbookView xWindow="22932" yWindow="-108" windowWidth="23256" windowHeight="12456" xr2:uid="{00000000-000D-0000-FFFF-FFFF00000000}"/>
  </bookViews>
  <sheets>
    <sheet name="Tesis" sheetId="2" r:id="rId1"/>
    <sheet name="Sexenios" sheetId="3" r:id="rId2"/>
    <sheet name="Ingresos investigación 2019" sheetId="6" r:id="rId3"/>
    <sheet name="Ingresos investigación 2020" sheetId="7" r:id="rId4"/>
    <sheet name="Ingresos investigación 2021" sheetId="8" r:id="rId5"/>
  </sheets>
  <definedNames>
    <definedName name="_xlnm._FilterDatabase" localSheetId="1" hidden="1">Sexenios!$A$1:$S$16</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0" i="3" l="1"/>
  <c r="S15" i="2" l="1"/>
  <c r="B4" i="8" l="1"/>
  <c r="B4" i="7"/>
  <c r="B4" i="6" l="1"/>
</calcChain>
</file>

<file path=xl/sharedStrings.xml><?xml version="1.0" encoding="utf-8"?>
<sst xmlns="http://schemas.openxmlformats.org/spreadsheetml/2006/main" count="377" uniqueCount="142">
  <si>
    <t>Orgánica
Descripción justificante</t>
  </si>
  <si>
    <t>Importe</t>
  </si>
  <si>
    <t>Total</t>
  </si>
  <si>
    <t>30.60.6P.00.05</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</si>
  <si>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</si>
  <si>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</si>
  <si>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</si>
  <si>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</si>
  <si>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</si>
  <si>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</si>
  <si>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</si>
  <si>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</si>
  <si>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</si>
  <si>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</si>
  <si>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</si>
  <si>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</si>
  <si>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</si>
  <si>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</si>
  <si>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</si>
  <si>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</si>
  <si>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</si>
  <si>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</si>
  <si>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</si>
  <si>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</si>
  <si>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</si>
  <si>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</si>
  <si>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</si>
  <si>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</si>
  <si>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</si>
  <si>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t>
  </si>
  <si>
    <t>20</t>
  </si>
  <si>
    <t>B114 </t>
  </si>
  <si>
    <t>FILOLOGIAS INTEGRADAS </t>
  </si>
  <si>
    <t>22126243J </t>
  </si>
  <si>
    <t>B114</t>
  </si>
  <si>
    <t>10.15</t>
  </si>
  <si>
    <t>U023 </t>
  </si>
  <si>
    <t>ADM. FACULTAD DE FILOSOFIA Y LETRAS </t>
  </si>
  <si>
    <t>DOCTORADO EN TRANSFERENCIAS INTERCULTURALES E HISTÓRICAS EN LA EUROPA MEDIE </t>
  </si>
  <si>
    <t>21445654V </t>
  </si>
  <si>
    <t>DOCTORADO EN METODOLOGÍAS HUMANÍSTICAS EN LA ERA DIGITAL </t>
  </si>
  <si>
    <t>10.23</t>
  </si>
  <si>
    <t>B115 </t>
  </si>
  <si>
    <t>FILOL. ESPAÑOLA, LINGÜÍSTICA GENERAL Y TEORIA DE LA LITERATURA </t>
  </si>
  <si>
    <t>48392661V </t>
  </si>
  <si>
    <t>DOCTORADO EN FILOSOFÍA Y LETRAS </t>
  </si>
  <si>
    <t>Llopis Mena, María Isabel </t>
  </si>
  <si>
    <t>TEORÍA POLÍTICA ÁRABE Y PERSA EN LA CORTE DE FELIPE III: LA DOCTRINA PHÍSICA Y MORAL DE PRÍNCIPES DE FRANCISCO DE GURMENDI </t>
  </si>
  <si>
    <t>22/12/2016 </t>
  </si>
  <si>
    <t>DOCTORADO EN ESTUDIOS LITERARIOS </t>
  </si>
  <si>
    <t>Lomas López, Enrique </t>
  </si>
  <si>
    <t>LAS LITERATURAS HISPÁNICAS DEL MAGREB. DEL CONTEXTO FRANCÓFONO A LA REALIDAD HISPANO-CATALANA </t>
  </si>
  <si>
    <t>06/07/2017 </t>
  </si>
  <si>
    <t>Sánchez Lozano, Carlos </t>
  </si>
  <si>
    <t>EL TRATAMIENTO DE LA ENFERMEDAD Y DE LA SALUD COMO PARADIGMA EN LA NOVELA ESPAÑOLA Y ALEMANA MODERNA: PÍO BAROJA (1872-1956) Y THOMAS MANN (1875-1955) </t>
  </si>
  <si>
    <t>11/09/2017 </t>
  </si>
  <si>
    <t>73547310A </t>
  </si>
  <si>
    <t>Benaicha Ziani, Mekkia Naima </t>
  </si>
  <si>
    <t>"ABDELKADER ALLOULA Y SU TRILOGÍA: UN TEATRO, UNA LENGUA, UN ESTILO Y UNA IDEOLOGÍA" </t>
  </si>
  <si>
    <t>20/12/2018 </t>
  </si>
  <si>
    <t>21474507M </t>
  </si>
  <si>
    <t>Ramírez Munuera, Francisco </t>
  </si>
  <si>
    <t>GEOGRAFÍA CULTURAL Y LENGUAJE: ESTUDIO DEL SURESTE DE ESPAÑA </t>
  </si>
  <si>
    <t>17/09/2019 </t>
  </si>
  <si>
    <t>10.06</t>
  </si>
  <si>
    <t>NIF</t>
  </si>
  <si>
    <t>NOMBRE_COMPLETO</t>
  </si>
  <si>
    <t>TIPO_SEXENIO</t>
  </si>
  <si>
    <t>Total general</t>
  </si>
  <si>
    <t>INS
1</t>
  </si>
  <si>
    <t>DED
INS 1</t>
  </si>
  <si>
    <t>INS
2</t>
  </si>
  <si>
    <t>DED
INS 2</t>
  </si>
  <si>
    <t>DED
DEP</t>
  </si>
  <si>
    <t>SEX
INS 1</t>
  </si>
  <si>
    <t>SEX
INS 2</t>
  </si>
  <si>
    <t>SEX
DEP</t>
  </si>
  <si>
    <t>FUNCIONARIO</t>
  </si>
  <si>
    <t>NO FUNCIONARIO</t>
  </si>
  <si>
    <t>21471389S</t>
  </si>
  <si>
    <t>ARRAEZ LLOBREGAT, JOSE LUIS</t>
  </si>
  <si>
    <t>22126243J</t>
  </si>
  <si>
    <t>BERNABE PONS, LUIS FERNANDO</t>
  </si>
  <si>
    <t>22128337Z</t>
  </si>
  <si>
    <t>CORBI SAEZ, MARIA ISABEL</t>
  </si>
  <si>
    <t>21437862E</t>
  </si>
  <si>
    <t>CUTILLAS FERRER, JOSE FRANCISCO</t>
  </si>
  <si>
    <t>21672419W</t>
  </si>
  <si>
    <t>DONOSO JIMENEZ, ISAAC</t>
  </si>
  <si>
    <t>21445654V</t>
  </si>
  <si>
    <t>FRANCO SANCHEZ, FRANCISCO</t>
  </si>
  <si>
    <t>X1299790Z</t>
  </si>
  <si>
    <t>21474507M</t>
  </si>
  <si>
    <t>LAPIEDRA GUTIERREZ, EVA</t>
  </si>
  <si>
    <t>52781763Y</t>
  </si>
  <si>
    <t>LLORCA TONDA, MARIA DE LOS ANGELES</t>
  </si>
  <si>
    <t>73547310A</t>
  </si>
  <si>
    <t>MARTI MARCO, MARIA ROSARIO</t>
  </si>
  <si>
    <t>29013572S</t>
  </si>
  <si>
    <t>PEÑALVER VICEA, MARIA ISABEL</t>
  </si>
  <si>
    <t>33484860B</t>
  </si>
  <si>
    <t>PERAL CRESPO, AMELIA</t>
  </si>
  <si>
    <t>21436895K</t>
  </si>
  <si>
    <t>PLANELLES IVAÑEZ, MONSERRAT JOSEFA</t>
  </si>
  <si>
    <t>21417486R</t>
  </si>
  <si>
    <t>SIRVENT RAMOS, ANGELES</t>
  </si>
  <si>
    <t>LIBERADOS EL 23/04/2019, ANUALIDAD 2019 PROYECTOS I+D (PIA1) N EXPEDIENTE: PIA12015-1 -4 ANUALIDAD REFERENCIA:HAR2015-64574-C2-2-P. REF. DEL ORDENANTE PARA EL BENEFICIARIO: 27402219310017419.</t>
  </si>
  <si>
    <t>Bennas , Abdelkrim </t>
  </si>
  <si>
    <t>Al-In¿la l-`ilmiyya" de Ibn Luy¿n, resumen de "al-Ris¿la l-sustariyya", epístola de al-Sustar¿ en defensa de las prácticas de los sufíes. Estudio, edición crítica árabe y traducción española </t>
  </si>
  <si>
    <t>21/09/2020 </t>
  </si>
  <si>
    <t>48335892N</t>
  </si>
  <si>
    <t>EL ERIAN EL BASSAL, HANY</t>
  </si>
  <si>
    <t>GRUMPEL, CLAUDIA GISELA</t>
  </si>
  <si>
    <t>COD DEP</t>
  </si>
  <si>
    <t>Izquierdo Morales, Alexis Alfonso </t>
  </si>
  <si>
    <t>SCÈNE D¿ÉNONCIATION DANS LA RELATION ÉPISTOLAIRE ENTRE MÈRE MARIE DE LA CROIX ODIOT DE LA PAILLONNE, FONDATRICE ET PREMIÈRE ABBESSE DE SAINTEANNE DE BONLIEU ET MÈRE CÉCILE BRUYÈRE, FONDATRICE ET PREMIÈRE ABBESSE </t>
  </si>
  <si>
    <t>05/02/2021 </t>
  </si>
  <si>
    <t>29013572S </t>
  </si>
  <si>
    <t>Garro Sánchez, Inmaculada Teresa </t>
  </si>
  <si>
    <t>ESPACIOS Y GÉNERO. TRADICIÓN Y MODERNIDAD EN MARRUECOS </t>
  </si>
  <si>
    <t>19/07/2021 </t>
  </si>
  <si>
    <t>No existen ingresos de investigación en este año</t>
  </si>
  <si>
    <t>S</t>
  </si>
  <si>
    <t>Beltrá Navarro, Luis </t>
  </si>
  <si>
    <t>El francés en Luisiana: reflejos de diferentes identidades lingüísticas a través de la literatura del siglo xix: el caso de L'Habitation Saint-Ybars ou Maîtres et Esclaves en Louisiane (1881) de Alfred Mercier. Propuesta traductológica. </t>
  </si>
  <si>
    <t>21/07/2022 </t>
  </si>
  <si>
    <t>Lalinde González, Luis Miguel </t>
  </si>
  <si>
    <t>Japón y China ante las islas Senkaku/Diaoyu (1945-2020): análisis geopolítico e histórico-cultural de un conflicto marítimo en Asia-Pacífico </t>
  </si>
  <si>
    <t>17/12/2021 </t>
  </si>
  <si>
    <t>21672419W </t>
  </si>
  <si>
    <t>Hadef , Sarra Ikram </t>
  </si>
  <si>
    <t>El dialecto árabe hablado en Tremecén: Historiografía, sociolingüística y geografía lingüística </t>
  </si>
  <si>
    <t>19/07/2022 </t>
  </si>
  <si>
    <t>Ramos Rodríguez, Alejandro </t>
  </si>
  <si>
    <t>Simbología,Magía Y Religiosidad en la Cultura Material del Sarq al-Andalus (ss.X-XV). Análisis dede la Antropología y la Islamologí </t>
  </si>
  <si>
    <t>25/02/2022 </t>
  </si>
  <si>
    <t>21501071G</t>
  </si>
  <si>
    <t>LOPEZ SIMO, MIREIA</t>
  </si>
  <si>
    <t>48675459F</t>
  </si>
  <si>
    <t>BENAICHA ZIANI, M. NAIMA</t>
  </si>
  <si>
    <t>X7026779A</t>
  </si>
  <si>
    <t>MARTI, ALEXANDRA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</si>
</sst>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s>
  <fills count="8">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49">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2" borderId="0" xfId="1" applyFont="1" applyFill="1" applyAlignment="1"/>
    <xf numFmtId="0" fontId="3" fillId="2" borderId="0" xfId="1" applyFont="1" applyFill="1" applyAlignment="1">
      <alignment horizontal="right"/>
    </xf>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0" fillId="0" borderId="1" xfId="0" applyBorder="1"/>
    <xf numFmtId="0" fontId="0" fillId="0" borderId="1" xfId="0" applyBorder="1" applyAlignment="1">
      <alignment horizontal="center"/>
    </xf>
    <xf numFmtId="0" fontId="3" fillId="4" borderId="1" xfId="1" applyFill="1" applyBorder="1"/>
    <xf numFmtId="164" fontId="3" fillId="4" borderId="1" xfId="1" applyNumberFormat="1" applyFill="1" applyBorder="1"/>
    <xf numFmtId="0" fontId="3" fillId="4" borderId="1" xfId="1" applyFill="1" applyBorder="1" applyAlignment="1">
      <alignment horizontal="right"/>
    </xf>
    <xf numFmtId="1" fontId="3" fillId="4" borderId="1" xfId="1" applyNumberFormat="1" applyFill="1" applyBorder="1"/>
    <xf numFmtId="0" fontId="3" fillId="4" borderId="0" xfId="1" applyFill="1"/>
    <xf numFmtId="165" fontId="3" fillId="4" borderId="1" xfId="1" applyNumberFormat="1" applyFill="1" applyBorder="1"/>
    <xf numFmtId="0" fontId="3" fillId="4" borderId="2" xfId="1" applyFill="1" applyBorder="1"/>
    <xf numFmtId="165" fontId="3" fillId="4" borderId="2" xfId="1" applyNumberFormat="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11" fillId="6" borderId="1"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0" fontId="11" fillId="6" borderId="5" xfId="0" applyFont="1" applyFill="1" applyBorder="1" applyAlignment="1">
      <alignment horizontal="left" vertical="center"/>
    </xf>
    <xf numFmtId="0" fontId="3" fillId="0" borderId="1" xfId="1" applyBorder="1"/>
    <xf numFmtId="164" fontId="4" fillId="2" borderId="0" xfId="1" applyNumberFormat="1" applyFont="1" applyFill="1" applyAlignment="1"/>
    <xf numFmtId="0" fontId="4" fillId="2" borderId="0" xfId="1" applyFont="1" applyFill="1" applyAlignment="1"/>
    <xf numFmtId="0" fontId="0" fillId="0" borderId="1" xfId="0" applyBorder="1" applyAlignment="1">
      <alignment horizontal="left"/>
    </xf>
    <xf numFmtId="0" fontId="10" fillId="7" borderId="0" xfId="5" applyFont="1" applyFill="1"/>
    <xf numFmtId="0" fontId="10" fillId="7" borderId="0" xfId="5" applyFont="1" applyFill="1" applyAlignment="1">
      <alignment horizontal="right"/>
    </xf>
    <xf numFmtId="0" fontId="12" fillId="7" borderId="0" xfId="5" applyFont="1" applyFill="1"/>
    <xf numFmtId="0" fontId="9" fillId="3" borderId="1" xfId="3" applyFont="1" applyFill="1" applyBorder="1" applyAlignment="1">
      <alignment horizontal="center" wrapText="1"/>
    </xf>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5"/>
  <sheetViews>
    <sheetView showGridLines="0" tabSelected="1" zoomScale="120" zoomScaleNormal="120" workbookViewId="0">
      <pane xSplit="1" ySplit="1" topLeftCell="E2" activePane="bottomRight" state="frozen"/>
      <selection pane="topRight" activeCell="B1" sqref="B1"/>
      <selection pane="bottomLeft" activeCell="A2" sqref="A2"/>
      <selection pane="bottomRight" activeCell="S15" sqref="S15:T15"/>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6" customWidth="1"/>
    <col min="16" max="16" width="4.88671875" style="13" customWidth="1"/>
    <col min="17" max="17" width="3.5546875" style="16" customWidth="1"/>
    <col min="18" max="18" width="3.5546875" style="13" customWidth="1"/>
    <col min="19" max="21" width="5.109375" style="13" customWidth="1"/>
    <col min="22" max="16384" width="10.33203125" style="13"/>
  </cols>
  <sheetData>
    <row r="1" spans="1:22" ht="40.799999999999997" x14ac:dyDescent="0.2">
      <c r="A1" s="8" t="s">
        <v>4</v>
      </c>
      <c r="B1" s="9" t="s">
        <v>5</v>
      </c>
      <c r="C1" s="9" t="s">
        <v>6</v>
      </c>
      <c r="D1" s="9" t="s">
        <v>7</v>
      </c>
      <c r="E1" s="9" t="s">
        <v>8</v>
      </c>
      <c r="F1" s="9" t="s">
        <v>9</v>
      </c>
      <c r="G1" s="9" t="s">
        <v>10</v>
      </c>
      <c r="H1" s="9" t="s">
        <v>11</v>
      </c>
      <c r="I1" s="8" t="s">
        <v>12</v>
      </c>
      <c r="J1" s="9" t="s">
        <v>13</v>
      </c>
      <c r="K1" s="8" t="s">
        <v>14</v>
      </c>
      <c r="L1" s="9" t="s">
        <v>15</v>
      </c>
      <c r="M1" s="10" t="s">
        <v>16</v>
      </c>
      <c r="N1" s="11" t="s">
        <v>17</v>
      </c>
      <c r="O1" s="12" t="s">
        <v>18</v>
      </c>
      <c r="P1" s="11" t="s">
        <v>19</v>
      </c>
      <c r="Q1" s="12" t="s">
        <v>20</v>
      </c>
      <c r="R1" s="11" t="s">
        <v>21</v>
      </c>
      <c r="S1" s="11" t="s">
        <v>22</v>
      </c>
      <c r="T1" s="11" t="s">
        <v>23</v>
      </c>
      <c r="U1" s="11" t="s">
        <v>24</v>
      </c>
    </row>
    <row r="2" spans="1:22" s="30" customFormat="1" ht="12.75" customHeight="1" x14ac:dyDescent="0.2">
      <c r="A2" s="26" t="s">
        <v>42</v>
      </c>
      <c r="B2" s="26" t="s">
        <v>43</v>
      </c>
      <c r="C2" s="26" t="s">
        <v>49</v>
      </c>
      <c r="D2" s="26" t="s">
        <v>50</v>
      </c>
      <c r="E2" s="26" t="s">
        <v>51</v>
      </c>
      <c r="F2" s="26" t="s">
        <v>52</v>
      </c>
      <c r="G2" s="26" t="s">
        <v>44</v>
      </c>
      <c r="H2" s="26" t="s">
        <v>28</v>
      </c>
      <c r="I2" s="26" t="s">
        <v>31</v>
      </c>
      <c r="J2" s="26" t="s">
        <v>32</v>
      </c>
      <c r="K2" s="27">
        <v>1</v>
      </c>
      <c r="L2" s="26" t="s">
        <v>34</v>
      </c>
      <c r="M2" s="26">
        <v>2016</v>
      </c>
      <c r="N2" s="26" t="s">
        <v>41</v>
      </c>
      <c r="O2" s="28" t="s">
        <v>29</v>
      </c>
      <c r="P2" s="26" t="s">
        <v>35</v>
      </c>
      <c r="Q2" s="28" t="s">
        <v>29</v>
      </c>
      <c r="R2" s="29">
        <v>80</v>
      </c>
      <c r="S2" s="27">
        <v>0.8</v>
      </c>
      <c r="T2" s="27">
        <v>0.1</v>
      </c>
      <c r="U2" s="27">
        <v>0.1</v>
      </c>
    </row>
    <row r="3" spans="1:22" s="30" customFormat="1" x14ac:dyDescent="0.2">
      <c r="A3" s="26" t="s">
        <v>36</v>
      </c>
      <c r="B3" s="26" t="s">
        <v>37</v>
      </c>
      <c r="C3" s="26" t="s">
        <v>45</v>
      </c>
      <c r="D3" s="26" t="s">
        <v>46</v>
      </c>
      <c r="E3" s="26" t="s">
        <v>47</v>
      </c>
      <c r="F3" s="26" t="s">
        <v>48</v>
      </c>
      <c r="G3" s="26" t="s">
        <v>33</v>
      </c>
      <c r="H3" s="26" t="s">
        <v>25</v>
      </c>
      <c r="I3" s="26" t="s">
        <v>31</v>
      </c>
      <c r="J3" s="26" t="s">
        <v>32</v>
      </c>
      <c r="K3" s="27">
        <v>0.5</v>
      </c>
      <c r="L3" s="26" t="s">
        <v>34</v>
      </c>
      <c r="M3" s="26">
        <v>2016</v>
      </c>
      <c r="N3" s="26" t="s">
        <v>27</v>
      </c>
      <c r="O3" s="28" t="s">
        <v>27</v>
      </c>
      <c r="P3" s="26" t="s">
        <v>27</v>
      </c>
      <c r="Q3" s="28" t="s">
        <v>27</v>
      </c>
      <c r="R3" s="29">
        <v>100</v>
      </c>
      <c r="S3" s="27">
        <v>0.5</v>
      </c>
      <c r="T3" s="27">
        <v>0</v>
      </c>
      <c r="U3" s="27">
        <v>0</v>
      </c>
    </row>
    <row r="4" spans="1:22" s="30" customFormat="1" x14ac:dyDescent="0.2">
      <c r="A4" s="26" t="s">
        <v>36</v>
      </c>
      <c r="B4" s="26" t="s">
        <v>37</v>
      </c>
      <c r="C4" s="26" t="s">
        <v>40</v>
      </c>
      <c r="D4" s="26" t="s">
        <v>53</v>
      </c>
      <c r="E4" s="26" t="s">
        <v>54</v>
      </c>
      <c r="F4" s="26" t="s">
        <v>55</v>
      </c>
      <c r="G4" s="26" t="s">
        <v>56</v>
      </c>
      <c r="H4" s="26" t="s">
        <v>25</v>
      </c>
      <c r="I4" s="26" t="s">
        <v>31</v>
      </c>
      <c r="J4" s="26" t="s">
        <v>32</v>
      </c>
      <c r="K4" s="27">
        <v>0.5</v>
      </c>
      <c r="L4" s="26" t="s">
        <v>34</v>
      </c>
      <c r="M4" s="26">
        <v>2016</v>
      </c>
      <c r="N4" s="26" t="s">
        <v>27</v>
      </c>
      <c r="O4" s="28" t="s">
        <v>27</v>
      </c>
      <c r="P4" s="26" t="s">
        <v>27</v>
      </c>
      <c r="Q4" s="28" t="s">
        <v>27</v>
      </c>
      <c r="R4" s="29">
        <v>100</v>
      </c>
      <c r="S4" s="27">
        <v>0.5</v>
      </c>
      <c r="T4" s="27">
        <v>0</v>
      </c>
      <c r="U4" s="27">
        <v>0</v>
      </c>
    </row>
    <row r="5" spans="1:22" s="30" customFormat="1" x14ac:dyDescent="0.2">
      <c r="A5" s="26" t="s">
        <v>36</v>
      </c>
      <c r="B5" s="26" t="s">
        <v>37</v>
      </c>
      <c r="C5" s="26" t="s">
        <v>45</v>
      </c>
      <c r="D5" s="26" t="s">
        <v>61</v>
      </c>
      <c r="E5" s="26" t="s">
        <v>62</v>
      </c>
      <c r="F5" s="26" t="s">
        <v>63</v>
      </c>
      <c r="G5" s="26" t="s">
        <v>56</v>
      </c>
      <c r="H5" s="26" t="s">
        <v>25</v>
      </c>
      <c r="I5" s="26" t="s">
        <v>31</v>
      </c>
      <c r="J5" s="26" t="s">
        <v>32</v>
      </c>
      <c r="K5" s="31">
        <v>0.5</v>
      </c>
      <c r="L5" s="26" t="s">
        <v>34</v>
      </c>
      <c r="M5" s="26">
        <v>2018</v>
      </c>
      <c r="N5" s="26" t="s">
        <v>27</v>
      </c>
      <c r="O5" s="28" t="s">
        <v>27</v>
      </c>
      <c r="P5" s="26" t="s">
        <v>27</v>
      </c>
      <c r="Q5" s="28" t="s">
        <v>27</v>
      </c>
      <c r="R5" s="29">
        <v>100</v>
      </c>
      <c r="S5" s="27">
        <v>0.5</v>
      </c>
      <c r="T5" s="27">
        <v>0</v>
      </c>
      <c r="U5" s="27">
        <v>0</v>
      </c>
    </row>
    <row r="6" spans="1:22" s="30" customFormat="1" x14ac:dyDescent="0.2">
      <c r="A6" s="26" t="s">
        <v>36</v>
      </c>
      <c r="B6" s="26" t="s">
        <v>37</v>
      </c>
      <c r="C6" s="26" t="s">
        <v>45</v>
      </c>
      <c r="D6" s="26" t="s">
        <v>57</v>
      </c>
      <c r="E6" s="26" t="s">
        <v>58</v>
      </c>
      <c r="F6" s="26" t="s">
        <v>59</v>
      </c>
      <c r="G6" s="26" t="s">
        <v>60</v>
      </c>
      <c r="H6" s="26" t="s">
        <v>28</v>
      </c>
      <c r="I6" s="26" t="s">
        <v>31</v>
      </c>
      <c r="J6" s="26" t="s">
        <v>32</v>
      </c>
      <c r="K6" s="31">
        <v>1</v>
      </c>
      <c r="L6" s="26" t="s">
        <v>34</v>
      </c>
      <c r="M6" s="26">
        <v>2018</v>
      </c>
      <c r="N6" s="26" t="s">
        <v>41</v>
      </c>
      <c r="O6" s="28" t="s">
        <v>30</v>
      </c>
      <c r="P6" s="26" t="s">
        <v>27</v>
      </c>
      <c r="Q6" s="28" t="s">
        <v>27</v>
      </c>
      <c r="R6" s="29">
        <v>80</v>
      </c>
      <c r="S6" s="27">
        <v>0.8</v>
      </c>
      <c r="T6" s="27">
        <v>0.2</v>
      </c>
      <c r="U6" s="27">
        <v>0</v>
      </c>
    </row>
    <row r="7" spans="1:22" s="30" customFormat="1" ht="10.8" thickBot="1" x14ac:dyDescent="0.25">
      <c r="A7" s="32" t="s">
        <v>36</v>
      </c>
      <c r="B7" s="32" t="s">
        <v>37</v>
      </c>
      <c r="C7" s="32" t="s">
        <v>38</v>
      </c>
      <c r="D7" s="32" t="s">
        <v>107</v>
      </c>
      <c r="E7" s="32" t="s">
        <v>108</v>
      </c>
      <c r="F7" s="32" t="s">
        <v>109</v>
      </c>
      <c r="G7" s="32" t="s">
        <v>39</v>
      </c>
      <c r="H7" s="32" t="s">
        <v>28</v>
      </c>
      <c r="I7" s="32" t="s">
        <v>31</v>
      </c>
      <c r="J7" s="32" t="s">
        <v>32</v>
      </c>
      <c r="K7" s="33">
        <v>1</v>
      </c>
      <c r="L7" s="32" t="s">
        <v>34</v>
      </c>
      <c r="M7" s="32">
        <v>2019</v>
      </c>
      <c r="N7" s="32" t="s">
        <v>27</v>
      </c>
      <c r="O7" s="34" t="s">
        <v>27</v>
      </c>
      <c r="P7" s="32" t="s">
        <v>27</v>
      </c>
      <c r="Q7" s="34" t="s">
        <v>27</v>
      </c>
      <c r="R7" s="35">
        <v>100</v>
      </c>
      <c r="S7" s="36">
        <v>1</v>
      </c>
      <c r="T7" s="36">
        <v>0</v>
      </c>
      <c r="U7" s="36">
        <v>0</v>
      </c>
      <c r="V7" s="30" t="s">
        <v>122</v>
      </c>
    </row>
    <row r="8" spans="1:22" s="30" customFormat="1" ht="10.8" thickBot="1" x14ac:dyDescent="0.25">
      <c r="A8" s="37" t="s">
        <v>36</v>
      </c>
      <c r="B8" s="37" t="s">
        <v>37</v>
      </c>
      <c r="C8" s="37" t="s">
        <v>45</v>
      </c>
      <c r="D8" s="37" t="s">
        <v>114</v>
      </c>
      <c r="E8" s="37" t="s">
        <v>115</v>
      </c>
      <c r="F8" s="37" t="s">
        <v>116</v>
      </c>
      <c r="G8" s="38" t="s">
        <v>117</v>
      </c>
      <c r="H8" s="39" t="s">
        <v>28</v>
      </c>
      <c r="I8" s="39" t="s">
        <v>31</v>
      </c>
      <c r="J8" s="40" t="s">
        <v>32</v>
      </c>
      <c r="K8" s="41">
        <v>1</v>
      </c>
      <c r="L8" s="41" t="s">
        <v>34</v>
      </c>
      <c r="M8" s="26">
        <v>2020</v>
      </c>
      <c r="N8" s="26" t="s">
        <v>41</v>
      </c>
      <c r="O8" s="28" t="s">
        <v>26</v>
      </c>
      <c r="P8" s="26" t="s">
        <v>27</v>
      </c>
      <c r="Q8" s="28" t="s">
        <v>27</v>
      </c>
      <c r="R8" s="26">
        <v>50</v>
      </c>
      <c r="S8" s="26">
        <v>0.5</v>
      </c>
      <c r="T8" s="26">
        <v>0.5</v>
      </c>
      <c r="U8" s="26">
        <v>0</v>
      </c>
      <c r="V8" s="30" t="s">
        <v>122</v>
      </c>
    </row>
    <row r="9" spans="1:22" s="30" customFormat="1" ht="10.8" thickBot="1" x14ac:dyDescent="0.25">
      <c r="A9" s="37" t="s">
        <v>36</v>
      </c>
      <c r="B9" s="37" t="s">
        <v>37</v>
      </c>
      <c r="C9" s="37" t="s">
        <v>45</v>
      </c>
      <c r="D9" s="37" t="s">
        <v>118</v>
      </c>
      <c r="E9" s="37" t="s">
        <v>119</v>
      </c>
      <c r="F9" s="37" t="s">
        <v>120</v>
      </c>
      <c r="G9" s="38" t="s">
        <v>60</v>
      </c>
      <c r="H9" s="39" t="s">
        <v>28</v>
      </c>
      <c r="I9" s="39" t="s">
        <v>31</v>
      </c>
      <c r="J9" s="40" t="s">
        <v>32</v>
      </c>
      <c r="K9" s="41">
        <v>1</v>
      </c>
      <c r="L9" s="41" t="s">
        <v>34</v>
      </c>
      <c r="M9" s="26">
        <v>2020</v>
      </c>
      <c r="N9" s="26" t="s">
        <v>41</v>
      </c>
      <c r="O9" s="28" t="s">
        <v>30</v>
      </c>
      <c r="P9" s="26" t="s">
        <v>27</v>
      </c>
      <c r="Q9" s="28" t="s">
        <v>27</v>
      </c>
      <c r="R9" s="26">
        <v>80</v>
      </c>
      <c r="S9" s="26">
        <v>0.8</v>
      </c>
      <c r="T9" s="26">
        <v>0.2</v>
      </c>
      <c r="U9" s="26">
        <v>0</v>
      </c>
      <c r="V9" s="30" t="s">
        <v>122</v>
      </c>
    </row>
    <row r="10" spans="1:22" s="30" customFormat="1" x14ac:dyDescent="0.2">
      <c r="A10" s="26" t="s">
        <v>36</v>
      </c>
      <c r="B10" s="26" t="s">
        <v>37</v>
      </c>
      <c r="C10" s="26" t="s">
        <v>45</v>
      </c>
      <c r="D10" s="26" t="s">
        <v>123</v>
      </c>
      <c r="E10" s="26" t="s">
        <v>124</v>
      </c>
      <c r="F10" s="26" t="s">
        <v>125</v>
      </c>
      <c r="G10" s="26" t="s">
        <v>117</v>
      </c>
      <c r="H10" s="26" t="s">
        <v>28</v>
      </c>
      <c r="I10" s="26" t="s">
        <v>31</v>
      </c>
      <c r="J10" s="26" t="s">
        <v>32</v>
      </c>
      <c r="K10" s="41">
        <v>1</v>
      </c>
      <c r="L10" s="41" t="s">
        <v>34</v>
      </c>
      <c r="M10" s="26">
        <v>2021</v>
      </c>
      <c r="N10" s="26" t="s">
        <v>41</v>
      </c>
      <c r="O10" s="28" t="s">
        <v>26</v>
      </c>
      <c r="P10" s="26" t="s">
        <v>27</v>
      </c>
      <c r="Q10" s="28" t="s">
        <v>27</v>
      </c>
      <c r="R10" s="26">
        <v>50</v>
      </c>
      <c r="S10" s="26">
        <v>0.5</v>
      </c>
      <c r="T10" s="26">
        <v>0.5</v>
      </c>
      <c r="U10" s="26">
        <v>0</v>
      </c>
      <c r="V10" s="30" t="s">
        <v>122</v>
      </c>
    </row>
    <row r="11" spans="1:22" s="30" customFormat="1" x14ac:dyDescent="0.2">
      <c r="A11" s="26" t="s">
        <v>36</v>
      </c>
      <c r="B11" s="26" t="s">
        <v>37</v>
      </c>
      <c r="C11" s="26" t="s">
        <v>45</v>
      </c>
      <c r="D11" s="26" t="s">
        <v>126</v>
      </c>
      <c r="E11" s="26" t="s">
        <v>127</v>
      </c>
      <c r="F11" s="26" t="s">
        <v>128</v>
      </c>
      <c r="G11" s="26" t="s">
        <v>129</v>
      </c>
      <c r="H11" s="26" t="s">
        <v>25</v>
      </c>
      <c r="I11" s="26" t="s">
        <v>31</v>
      </c>
      <c r="J11" s="26" t="s">
        <v>32</v>
      </c>
      <c r="K11" s="41">
        <v>0.5</v>
      </c>
      <c r="L11" s="41" t="s">
        <v>34</v>
      </c>
      <c r="M11" s="26">
        <v>2021</v>
      </c>
      <c r="N11" s="26" t="s">
        <v>27</v>
      </c>
      <c r="O11" s="28" t="s">
        <v>27</v>
      </c>
      <c r="P11" s="26" t="s">
        <v>27</v>
      </c>
      <c r="Q11" s="28" t="s">
        <v>27</v>
      </c>
      <c r="R11" s="26">
        <v>100</v>
      </c>
      <c r="S11" s="26">
        <v>0.5</v>
      </c>
      <c r="T11" s="26">
        <v>0</v>
      </c>
      <c r="U11" s="26">
        <v>0</v>
      </c>
      <c r="V11" s="30" t="s">
        <v>122</v>
      </c>
    </row>
    <row r="12" spans="1:22" s="30" customFormat="1" x14ac:dyDescent="0.2">
      <c r="A12" s="26" t="s">
        <v>36</v>
      </c>
      <c r="B12" s="26" t="s">
        <v>37</v>
      </c>
      <c r="C12" s="26" t="s">
        <v>38</v>
      </c>
      <c r="D12" s="26" t="s">
        <v>130</v>
      </c>
      <c r="E12" s="26" t="s">
        <v>131</v>
      </c>
      <c r="F12" s="26" t="s">
        <v>132</v>
      </c>
      <c r="G12" s="26" t="s">
        <v>129</v>
      </c>
      <c r="H12" s="26" t="s">
        <v>25</v>
      </c>
      <c r="I12" s="26" t="s">
        <v>31</v>
      </c>
      <c r="J12" s="26" t="s">
        <v>32</v>
      </c>
      <c r="K12" s="41">
        <v>0.5</v>
      </c>
      <c r="L12" s="41" t="s">
        <v>34</v>
      </c>
      <c r="M12" s="26">
        <v>2021</v>
      </c>
      <c r="N12" s="26" t="s">
        <v>27</v>
      </c>
      <c r="O12" s="28" t="s">
        <v>27</v>
      </c>
      <c r="P12" s="26" t="s">
        <v>27</v>
      </c>
      <c r="Q12" s="28" t="s">
        <v>27</v>
      </c>
      <c r="R12" s="26">
        <v>100</v>
      </c>
      <c r="S12" s="26">
        <v>0.5</v>
      </c>
      <c r="T12" s="26">
        <v>0</v>
      </c>
      <c r="U12" s="26">
        <v>0</v>
      </c>
      <c r="V12" s="30" t="s">
        <v>122</v>
      </c>
    </row>
    <row r="13" spans="1:22" s="30" customFormat="1" x14ac:dyDescent="0.2">
      <c r="A13" s="26" t="s">
        <v>36</v>
      </c>
      <c r="B13" s="26" t="s">
        <v>37</v>
      </c>
      <c r="C13" s="26" t="s">
        <v>38</v>
      </c>
      <c r="D13" s="26" t="s">
        <v>130</v>
      </c>
      <c r="E13" s="26" t="s">
        <v>131</v>
      </c>
      <c r="F13" s="26" t="s">
        <v>132</v>
      </c>
      <c r="G13" s="26" t="s">
        <v>39</v>
      </c>
      <c r="H13" s="26" t="s">
        <v>25</v>
      </c>
      <c r="I13" s="26" t="s">
        <v>31</v>
      </c>
      <c r="J13" s="26" t="s">
        <v>32</v>
      </c>
      <c r="K13" s="41">
        <v>0.5</v>
      </c>
      <c r="L13" s="41" t="s">
        <v>34</v>
      </c>
      <c r="M13" s="26">
        <v>2021</v>
      </c>
      <c r="N13" s="26" t="s">
        <v>27</v>
      </c>
      <c r="O13" s="28" t="s">
        <v>27</v>
      </c>
      <c r="P13" s="26" t="s">
        <v>27</v>
      </c>
      <c r="Q13" s="28" t="s">
        <v>27</v>
      </c>
      <c r="R13" s="26">
        <v>100</v>
      </c>
      <c r="S13" s="26">
        <v>0.5</v>
      </c>
      <c r="T13" s="26">
        <v>0</v>
      </c>
      <c r="U13" s="26">
        <v>0</v>
      </c>
      <c r="V13" s="30" t="s">
        <v>122</v>
      </c>
    </row>
    <row r="14" spans="1:22" s="30" customFormat="1" x14ac:dyDescent="0.2">
      <c r="A14" s="26" t="s">
        <v>36</v>
      </c>
      <c r="B14" s="26" t="s">
        <v>37</v>
      </c>
      <c r="C14" s="26" t="s">
        <v>38</v>
      </c>
      <c r="D14" s="26" t="s">
        <v>133</v>
      </c>
      <c r="E14" s="26" t="s">
        <v>134</v>
      </c>
      <c r="F14" s="26" t="s">
        <v>135</v>
      </c>
      <c r="G14" s="26" t="s">
        <v>39</v>
      </c>
      <c r="H14" s="26" t="s">
        <v>28</v>
      </c>
      <c r="I14" s="26" t="s">
        <v>31</v>
      </c>
      <c r="J14" s="26" t="s">
        <v>32</v>
      </c>
      <c r="K14" s="41">
        <v>1</v>
      </c>
      <c r="L14" s="41" t="s">
        <v>34</v>
      </c>
      <c r="M14" s="26">
        <v>2021</v>
      </c>
      <c r="N14" s="26" t="s">
        <v>27</v>
      </c>
      <c r="O14" s="28" t="s">
        <v>27</v>
      </c>
      <c r="P14" s="26" t="s">
        <v>27</v>
      </c>
      <c r="Q14" s="28" t="s">
        <v>27</v>
      </c>
      <c r="R14" s="26">
        <v>100</v>
      </c>
      <c r="S14" s="26">
        <v>1</v>
      </c>
      <c r="T14" s="26">
        <v>0</v>
      </c>
      <c r="U14" s="26">
        <v>0</v>
      </c>
      <c r="V14" s="30" t="s">
        <v>122</v>
      </c>
    </row>
    <row r="15" spans="1:22" x14ac:dyDescent="0.2">
      <c r="A15" s="14"/>
      <c r="B15" s="14"/>
      <c r="C15" s="14"/>
      <c r="D15" s="14"/>
      <c r="E15" s="14"/>
      <c r="F15" s="14"/>
      <c r="G15" s="14"/>
      <c r="H15" s="14"/>
      <c r="I15" s="14"/>
      <c r="J15" s="14"/>
      <c r="K15" s="14"/>
      <c r="L15" s="14"/>
      <c r="M15" s="14"/>
      <c r="N15" s="14"/>
      <c r="O15" s="15"/>
      <c r="P15" s="14"/>
      <c r="Q15" s="15"/>
      <c r="R15" s="14"/>
      <c r="S15" s="42">
        <f>SUM(S2:S14)</f>
        <v>8.3999999999999986</v>
      </c>
      <c r="T15" s="43"/>
      <c r="U15" s="14"/>
    </row>
  </sheetData>
  <autoFilter ref="A1:U1" xr:uid="{00000000-0009-0000-0000-000000000000}">
    <sortState xmlns:xlrd2="http://schemas.microsoft.com/office/spreadsheetml/2017/richdata2" ref="A2:T1893">
      <sortCondition ref="K2:K1893"/>
      <sortCondition ref="L2:L1893"/>
      <sortCondition ref="D2:D1893"/>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0"/>
  <sheetViews>
    <sheetView zoomScaleNormal="100" workbookViewId="0">
      <selection activeCell="E21" sqref="E21"/>
    </sheetView>
  </sheetViews>
  <sheetFormatPr baseColWidth="10" defaultColWidth="11.44140625" defaultRowHeight="13.2" x14ac:dyDescent="0.25"/>
  <cols>
    <col min="1" max="1" width="10.88671875" style="20" bestFit="1" customWidth="1"/>
    <col min="2" max="2" width="40.33203125" style="20" bestFit="1" customWidth="1"/>
    <col min="3" max="3" width="17" style="20" bestFit="1" customWidth="1"/>
    <col min="4" max="9" width="3.33203125" style="20" bestFit="1" customWidth="1"/>
    <col min="10" max="10" width="13.109375" style="20" bestFit="1" customWidth="1"/>
    <col min="11" max="11" width="5.33203125" style="20" bestFit="1" customWidth="1"/>
    <col min="12" max="13" width="5.6640625" style="20" bestFit="1" customWidth="1"/>
    <col min="14" max="14" width="5.6640625" style="21" bestFit="1" customWidth="1"/>
    <col min="15" max="15" width="5.6640625" style="20" bestFit="1" customWidth="1"/>
    <col min="16" max="16" width="5.6640625" style="21" bestFit="1" customWidth="1"/>
    <col min="17" max="19" width="5.6640625" style="20" bestFit="1" customWidth="1"/>
    <col min="20" max="16384" width="11.44140625" style="20"/>
  </cols>
  <sheetData>
    <row r="1" spans="1:19" s="19" customFormat="1" ht="60" customHeight="1" x14ac:dyDescent="0.25">
      <c r="A1" s="22" t="s">
        <v>65</v>
      </c>
      <c r="B1" s="22" t="s">
        <v>66</v>
      </c>
      <c r="C1" s="22" t="s">
        <v>67</v>
      </c>
      <c r="D1" s="23">
        <v>2017</v>
      </c>
      <c r="E1" s="23">
        <v>2018</v>
      </c>
      <c r="F1" s="23">
        <v>2019</v>
      </c>
      <c r="G1" s="23">
        <v>2020</v>
      </c>
      <c r="H1" s="23">
        <v>2021</v>
      </c>
      <c r="I1" s="23">
        <v>2022</v>
      </c>
      <c r="J1" s="22" t="s">
        <v>68</v>
      </c>
      <c r="K1" s="48" t="s">
        <v>113</v>
      </c>
      <c r="L1" s="17" t="s">
        <v>69</v>
      </c>
      <c r="M1" s="17" t="s">
        <v>70</v>
      </c>
      <c r="N1" s="17" t="s">
        <v>71</v>
      </c>
      <c r="O1" s="17" t="s">
        <v>72</v>
      </c>
      <c r="P1" s="18" t="s">
        <v>73</v>
      </c>
      <c r="Q1" s="18" t="s">
        <v>74</v>
      </c>
      <c r="R1" s="18" t="s">
        <v>75</v>
      </c>
      <c r="S1" s="18" t="s">
        <v>76</v>
      </c>
    </row>
    <row r="2" spans="1:19" ht="14.4" x14ac:dyDescent="0.3">
      <c r="A2" s="24" t="s">
        <v>104</v>
      </c>
      <c r="B2" s="24" t="s">
        <v>105</v>
      </c>
      <c r="C2" s="24" t="s">
        <v>77</v>
      </c>
      <c r="D2" s="24"/>
      <c r="E2" s="24"/>
      <c r="F2" s="24">
        <v>1</v>
      </c>
      <c r="G2" s="24"/>
      <c r="H2" s="24"/>
      <c r="I2" s="24"/>
      <c r="J2" s="24">
        <v>1</v>
      </c>
      <c r="K2" s="24" t="s">
        <v>34</v>
      </c>
      <c r="L2" s="25" t="s">
        <v>35</v>
      </c>
      <c r="M2" s="25" t="s">
        <v>29</v>
      </c>
      <c r="N2" s="25" t="s">
        <v>41</v>
      </c>
      <c r="O2" s="25" t="s">
        <v>30</v>
      </c>
      <c r="P2" s="25">
        <v>70</v>
      </c>
      <c r="Q2" s="25">
        <v>0.1</v>
      </c>
      <c r="R2" s="25">
        <v>0.2</v>
      </c>
      <c r="S2" s="25">
        <v>0.7</v>
      </c>
    </row>
    <row r="3" spans="1:19" ht="14.4" x14ac:dyDescent="0.3">
      <c r="A3" s="24" t="s">
        <v>102</v>
      </c>
      <c r="B3" s="24" t="s">
        <v>103</v>
      </c>
      <c r="C3" s="24" t="s">
        <v>77</v>
      </c>
      <c r="D3" s="24"/>
      <c r="E3" s="24"/>
      <c r="F3" s="24"/>
      <c r="G3" s="24"/>
      <c r="H3" s="24">
        <v>1</v>
      </c>
      <c r="I3" s="24"/>
      <c r="J3" s="24">
        <v>1</v>
      </c>
      <c r="K3" s="24" t="s">
        <v>34</v>
      </c>
      <c r="L3" s="25" t="s">
        <v>35</v>
      </c>
      <c r="M3" s="25" t="s">
        <v>30</v>
      </c>
      <c r="N3" s="25" t="s">
        <v>27</v>
      </c>
      <c r="O3" s="25" t="s">
        <v>27</v>
      </c>
      <c r="P3" s="25">
        <v>80</v>
      </c>
      <c r="Q3" s="25">
        <v>0.2</v>
      </c>
      <c r="R3" s="25">
        <v>0</v>
      </c>
      <c r="S3" s="25">
        <v>0.8</v>
      </c>
    </row>
    <row r="4" spans="1:19" ht="14.4" x14ac:dyDescent="0.3">
      <c r="A4" s="24" t="s">
        <v>85</v>
      </c>
      <c r="B4" s="24" t="s">
        <v>86</v>
      </c>
      <c r="C4" s="24" t="s">
        <v>77</v>
      </c>
      <c r="D4" s="24"/>
      <c r="E4" s="24"/>
      <c r="F4" s="24">
        <v>2</v>
      </c>
      <c r="G4" s="24"/>
      <c r="H4" s="24"/>
      <c r="I4" s="24"/>
      <c r="J4" s="24">
        <v>2</v>
      </c>
      <c r="K4" s="24" t="s">
        <v>34</v>
      </c>
      <c r="L4" s="25">
        <v>0</v>
      </c>
      <c r="M4" s="25">
        <v>0</v>
      </c>
      <c r="N4" s="25" t="s">
        <v>27</v>
      </c>
      <c r="O4" s="25" t="s">
        <v>27</v>
      </c>
      <c r="P4" s="25">
        <v>100</v>
      </c>
      <c r="Q4" s="25">
        <v>0</v>
      </c>
      <c r="R4" s="25">
        <v>0</v>
      </c>
      <c r="S4" s="25">
        <v>2</v>
      </c>
    </row>
    <row r="5" spans="1:19" ht="14.4" x14ac:dyDescent="0.3">
      <c r="A5" s="24" t="s">
        <v>89</v>
      </c>
      <c r="B5" s="24" t="s">
        <v>90</v>
      </c>
      <c r="C5" s="24">
        <v>6</v>
      </c>
      <c r="D5" s="24"/>
      <c r="E5" s="24">
        <v>1</v>
      </c>
      <c r="F5" s="24">
        <v>1</v>
      </c>
      <c r="G5" s="24"/>
      <c r="H5" s="24"/>
      <c r="I5" s="24"/>
      <c r="J5" s="24">
        <v>2</v>
      </c>
      <c r="K5" s="24" t="s">
        <v>34</v>
      </c>
      <c r="L5" s="25">
        <v>0</v>
      </c>
      <c r="M5" s="25">
        <v>0</v>
      </c>
      <c r="N5" s="25" t="s">
        <v>27</v>
      </c>
      <c r="O5" s="25" t="s">
        <v>27</v>
      </c>
      <c r="P5" s="25">
        <v>100</v>
      </c>
      <c r="Q5" s="25">
        <v>0</v>
      </c>
      <c r="R5" s="25">
        <v>0</v>
      </c>
      <c r="S5" s="25">
        <v>2</v>
      </c>
    </row>
    <row r="6" spans="1:19" ht="14.4" x14ac:dyDescent="0.3">
      <c r="A6" s="24" t="s">
        <v>79</v>
      </c>
      <c r="B6" s="24" t="s">
        <v>80</v>
      </c>
      <c r="C6" s="24" t="s">
        <v>77</v>
      </c>
      <c r="D6" s="24">
        <v>1</v>
      </c>
      <c r="E6" s="24"/>
      <c r="F6" s="24"/>
      <c r="G6" s="24"/>
      <c r="H6" s="24"/>
      <c r="I6" s="24"/>
      <c r="J6" s="24">
        <v>1</v>
      </c>
      <c r="K6" s="24" t="s">
        <v>34</v>
      </c>
      <c r="L6" s="25" t="s">
        <v>41</v>
      </c>
      <c r="M6" s="25" t="s">
        <v>30</v>
      </c>
      <c r="N6" s="25" t="s">
        <v>27</v>
      </c>
      <c r="O6" s="25" t="s">
        <v>27</v>
      </c>
      <c r="P6" s="25">
        <v>80</v>
      </c>
      <c r="Q6" s="25">
        <v>0.2</v>
      </c>
      <c r="R6" s="25">
        <v>0</v>
      </c>
      <c r="S6" s="25">
        <v>0.8</v>
      </c>
    </row>
    <row r="7" spans="1:19" ht="14.4" x14ac:dyDescent="0.3">
      <c r="A7" s="24" t="s">
        <v>92</v>
      </c>
      <c r="B7" s="24" t="s">
        <v>93</v>
      </c>
      <c r="C7" s="24" t="s">
        <v>77</v>
      </c>
      <c r="D7" s="24"/>
      <c r="E7" s="24"/>
      <c r="F7" s="24">
        <v>1</v>
      </c>
      <c r="G7" s="24"/>
      <c r="H7" s="24"/>
      <c r="I7" s="24"/>
      <c r="J7" s="24">
        <v>1</v>
      </c>
      <c r="K7" s="24" t="s">
        <v>34</v>
      </c>
      <c r="L7" s="25" t="s">
        <v>41</v>
      </c>
      <c r="M7" s="25" t="s">
        <v>30</v>
      </c>
      <c r="N7" s="25" t="s">
        <v>27</v>
      </c>
      <c r="O7" s="25" t="s">
        <v>27</v>
      </c>
      <c r="P7" s="25">
        <v>80</v>
      </c>
      <c r="Q7" s="25">
        <v>0.2</v>
      </c>
      <c r="R7" s="25">
        <v>0</v>
      </c>
      <c r="S7" s="25">
        <v>0.8</v>
      </c>
    </row>
    <row r="8" spans="1:19" ht="14.4" x14ac:dyDescent="0.3">
      <c r="A8" s="24" t="s">
        <v>136</v>
      </c>
      <c r="B8" s="24" t="s">
        <v>137</v>
      </c>
      <c r="C8" s="24" t="s">
        <v>78</v>
      </c>
      <c r="D8" s="24"/>
      <c r="E8" s="24"/>
      <c r="F8" s="24"/>
      <c r="G8" s="24"/>
      <c r="H8" s="24"/>
      <c r="I8" s="24">
        <v>1</v>
      </c>
      <c r="J8" s="24">
        <v>1</v>
      </c>
      <c r="K8" s="24" t="s">
        <v>34</v>
      </c>
      <c r="L8" s="25">
        <v>0</v>
      </c>
      <c r="M8" s="25">
        <v>0</v>
      </c>
      <c r="N8" s="25" t="s">
        <v>27</v>
      </c>
      <c r="O8" s="25" t="s">
        <v>27</v>
      </c>
      <c r="P8" s="25">
        <v>100</v>
      </c>
      <c r="Q8" s="25">
        <v>0</v>
      </c>
      <c r="R8" s="25">
        <v>0</v>
      </c>
      <c r="S8" s="25">
        <v>1</v>
      </c>
    </row>
    <row r="9" spans="1:19" ht="14.4" x14ac:dyDescent="0.3">
      <c r="A9" s="24" t="s">
        <v>87</v>
      </c>
      <c r="B9" s="24" t="s">
        <v>88</v>
      </c>
      <c r="C9" s="24" t="s">
        <v>77</v>
      </c>
      <c r="D9" s="24"/>
      <c r="E9" s="24"/>
      <c r="F9" s="24">
        <v>2</v>
      </c>
      <c r="G9" s="24"/>
      <c r="H9" s="24"/>
      <c r="I9" s="24"/>
      <c r="J9" s="24">
        <v>2</v>
      </c>
      <c r="K9" s="24" t="s">
        <v>34</v>
      </c>
      <c r="L9" s="25">
        <v>0</v>
      </c>
      <c r="M9" s="25">
        <v>0</v>
      </c>
      <c r="N9" s="25" t="s">
        <v>27</v>
      </c>
      <c r="O9" s="25" t="s">
        <v>27</v>
      </c>
      <c r="P9" s="25">
        <v>100</v>
      </c>
      <c r="Q9" s="25">
        <v>0</v>
      </c>
      <c r="R9" s="25">
        <v>0</v>
      </c>
      <c r="S9" s="25">
        <v>2</v>
      </c>
    </row>
    <row r="10" spans="1:19" ht="14.4" x14ac:dyDescent="0.3">
      <c r="A10" s="24" t="s">
        <v>81</v>
      </c>
      <c r="B10" s="24" t="s">
        <v>82</v>
      </c>
      <c r="C10" s="24" t="s">
        <v>77</v>
      </c>
      <c r="D10" s="24"/>
      <c r="E10" s="24">
        <v>1</v>
      </c>
      <c r="F10" s="24"/>
      <c r="G10" s="24"/>
      <c r="H10" s="24"/>
      <c r="I10" s="24"/>
      <c r="J10" s="24">
        <v>1</v>
      </c>
      <c r="K10" s="24" t="s">
        <v>34</v>
      </c>
      <c r="L10" s="25">
        <v>0</v>
      </c>
      <c r="M10" s="25">
        <v>0</v>
      </c>
      <c r="N10" s="25" t="s">
        <v>27</v>
      </c>
      <c r="O10" s="25" t="s">
        <v>27</v>
      </c>
      <c r="P10" s="25">
        <v>100</v>
      </c>
      <c r="Q10" s="25">
        <v>0</v>
      </c>
      <c r="R10" s="25">
        <v>0</v>
      </c>
      <c r="S10" s="25">
        <v>1</v>
      </c>
    </row>
    <row r="11" spans="1:19" ht="14.4" x14ac:dyDescent="0.3">
      <c r="A11" s="24" t="s">
        <v>83</v>
      </c>
      <c r="B11" s="24" t="s">
        <v>84</v>
      </c>
      <c r="C11" s="24" t="s">
        <v>77</v>
      </c>
      <c r="D11" s="24"/>
      <c r="E11" s="24"/>
      <c r="F11" s="24">
        <v>1</v>
      </c>
      <c r="G11" s="24"/>
      <c r="H11" s="24"/>
      <c r="I11" s="24"/>
      <c r="J11" s="24">
        <v>1</v>
      </c>
      <c r="K11" s="24" t="s">
        <v>34</v>
      </c>
      <c r="L11" s="25" t="s">
        <v>35</v>
      </c>
      <c r="M11" s="25" t="s">
        <v>29</v>
      </c>
      <c r="N11" s="25" t="s">
        <v>41</v>
      </c>
      <c r="O11" s="25" t="s">
        <v>30</v>
      </c>
      <c r="P11" s="25">
        <v>70</v>
      </c>
      <c r="Q11" s="25">
        <v>0.1</v>
      </c>
      <c r="R11" s="25">
        <v>0.2</v>
      </c>
      <c r="S11" s="25">
        <v>0.7</v>
      </c>
    </row>
    <row r="12" spans="1:19" ht="14.4" x14ac:dyDescent="0.3">
      <c r="A12" s="24" t="s">
        <v>98</v>
      </c>
      <c r="B12" s="24" t="s">
        <v>99</v>
      </c>
      <c r="C12" s="24" t="s">
        <v>77</v>
      </c>
      <c r="D12" s="24"/>
      <c r="E12" s="24"/>
      <c r="F12" s="24"/>
      <c r="G12" s="24">
        <v>1</v>
      </c>
      <c r="H12" s="24"/>
      <c r="I12" s="24"/>
      <c r="J12" s="24">
        <v>1</v>
      </c>
      <c r="K12" s="24" t="s">
        <v>34</v>
      </c>
      <c r="L12" s="25" t="s">
        <v>41</v>
      </c>
      <c r="M12" s="25" t="s">
        <v>26</v>
      </c>
      <c r="N12" s="25" t="s">
        <v>27</v>
      </c>
      <c r="O12" s="25" t="s">
        <v>27</v>
      </c>
      <c r="P12" s="25">
        <v>50</v>
      </c>
      <c r="Q12" s="25">
        <v>0.5</v>
      </c>
      <c r="R12" s="25">
        <v>0</v>
      </c>
      <c r="S12" s="25">
        <v>0.5</v>
      </c>
    </row>
    <row r="13" spans="1:19" ht="14.4" x14ac:dyDescent="0.3">
      <c r="A13" s="24" t="s">
        <v>100</v>
      </c>
      <c r="B13" s="24" t="s">
        <v>101</v>
      </c>
      <c r="C13" s="24" t="s">
        <v>78</v>
      </c>
      <c r="D13" s="24"/>
      <c r="E13" s="24"/>
      <c r="F13" s="24"/>
      <c r="G13" s="24">
        <v>1</v>
      </c>
      <c r="H13" s="24"/>
      <c r="I13" s="24"/>
      <c r="J13" s="24">
        <v>1</v>
      </c>
      <c r="K13" s="24" t="s">
        <v>34</v>
      </c>
      <c r="L13" s="25" t="s">
        <v>41</v>
      </c>
      <c r="M13" s="25" t="s">
        <v>30</v>
      </c>
      <c r="N13" s="25" t="s">
        <v>27</v>
      </c>
      <c r="O13" s="25" t="s">
        <v>27</v>
      </c>
      <c r="P13" s="25">
        <v>80</v>
      </c>
      <c r="Q13" s="25">
        <v>0.2</v>
      </c>
      <c r="R13" s="25">
        <v>0</v>
      </c>
      <c r="S13" s="25">
        <v>0.8</v>
      </c>
    </row>
    <row r="14" spans="1:19" ht="14.4" x14ac:dyDescent="0.3">
      <c r="A14" s="24" t="s">
        <v>110</v>
      </c>
      <c r="B14" s="24" t="s">
        <v>111</v>
      </c>
      <c r="C14" s="24" t="s">
        <v>77</v>
      </c>
      <c r="D14" s="24"/>
      <c r="E14" s="24"/>
      <c r="F14" s="24"/>
      <c r="G14" s="24"/>
      <c r="H14" s="24">
        <v>1</v>
      </c>
      <c r="I14" s="24">
        <v>1</v>
      </c>
      <c r="J14" s="24">
        <v>2</v>
      </c>
      <c r="K14" s="24" t="s">
        <v>34</v>
      </c>
      <c r="L14" s="25">
        <v>0</v>
      </c>
      <c r="M14" s="25">
        <v>0</v>
      </c>
      <c r="N14" s="25" t="s">
        <v>27</v>
      </c>
      <c r="O14" s="25" t="s">
        <v>27</v>
      </c>
      <c r="P14" s="25">
        <v>100</v>
      </c>
      <c r="Q14" s="25">
        <v>0</v>
      </c>
      <c r="R14" s="25">
        <v>0</v>
      </c>
      <c r="S14" s="25">
        <v>2</v>
      </c>
    </row>
    <row r="15" spans="1:19" ht="14.4" x14ac:dyDescent="0.3">
      <c r="A15" s="24" t="s">
        <v>138</v>
      </c>
      <c r="B15" s="24" t="s">
        <v>139</v>
      </c>
      <c r="C15" s="24" t="s">
        <v>78</v>
      </c>
      <c r="D15" s="24"/>
      <c r="E15" s="24"/>
      <c r="F15" s="24"/>
      <c r="G15" s="24"/>
      <c r="H15" s="24"/>
      <c r="I15" s="24">
        <v>1</v>
      </c>
      <c r="J15" s="24">
        <v>1</v>
      </c>
      <c r="K15" s="24" t="s">
        <v>34</v>
      </c>
      <c r="L15" s="25" t="s">
        <v>41</v>
      </c>
      <c r="M15" s="25" t="s">
        <v>30</v>
      </c>
      <c r="N15" s="25" t="s">
        <v>27</v>
      </c>
      <c r="O15" s="25" t="s">
        <v>27</v>
      </c>
      <c r="P15" s="25">
        <v>80</v>
      </c>
      <c r="Q15" s="25">
        <v>0.2</v>
      </c>
      <c r="R15" s="25">
        <v>0</v>
      </c>
      <c r="S15" s="25">
        <v>0.8</v>
      </c>
    </row>
    <row r="16" spans="1:19" ht="14.4" x14ac:dyDescent="0.3">
      <c r="A16" s="24" t="s">
        <v>94</v>
      </c>
      <c r="B16" s="24" t="s">
        <v>95</v>
      </c>
      <c r="C16" s="24" t="s">
        <v>77</v>
      </c>
      <c r="D16" s="24"/>
      <c r="E16" s="24">
        <v>1</v>
      </c>
      <c r="F16" s="24"/>
      <c r="G16" s="24"/>
      <c r="H16" s="24">
        <v>1</v>
      </c>
      <c r="I16" s="24"/>
      <c r="J16" s="24">
        <v>2</v>
      </c>
      <c r="K16" s="24" t="s">
        <v>34</v>
      </c>
      <c r="L16" s="25" t="s">
        <v>41</v>
      </c>
      <c r="M16" s="25" t="s">
        <v>30</v>
      </c>
      <c r="N16" s="25" t="s">
        <v>27</v>
      </c>
      <c r="O16" s="25" t="s">
        <v>27</v>
      </c>
      <c r="P16" s="25">
        <v>80</v>
      </c>
      <c r="Q16" s="25">
        <v>0.4</v>
      </c>
      <c r="R16" s="25">
        <v>0</v>
      </c>
      <c r="S16" s="25">
        <v>1.6</v>
      </c>
    </row>
    <row r="17" spans="1:19" ht="14.4" x14ac:dyDescent="0.3">
      <c r="A17" s="24" t="s">
        <v>96</v>
      </c>
      <c r="B17" s="24" t="s">
        <v>97</v>
      </c>
      <c r="C17" s="24" t="s">
        <v>77</v>
      </c>
      <c r="D17" s="24"/>
      <c r="E17" s="24"/>
      <c r="F17" s="24"/>
      <c r="G17" s="24">
        <v>1</v>
      </c>
      <c r="H17" s="24"/>
      <c r="I17" s="24"/>
      <c r="J17" s="24">
        <v>1</v>
      </c>
      <c r="K17" s="24" t="s">
        <v>34</v>
      </c>
      <c r="L17" s="25">
        <v>0</v>
      </c>
      <c r="M17" s="25">
        <v>0</v>
      </c>
      <c r="N17" s="25" t="s">
        <v>27</v>
      </c>
      <c r="O17" s="25" t="s">
        <v>27</v>
      </c>
      <c r="P17" s="25">
        <v>100</v>
      </c>
      <c r="Q17" s="25">
        <v>0</v>
      </c>
      <c r="R17" s="25">
        <v>0</v>
      </c>
      <c r="S17" s="25">
        <v>1</v>
      </c>
    </row>
    <row r="18" spans="1:19" ht="14.4" x14ac:dyDescent="0.3">
      <c r="A18" s="24" t="s">
        <v>91</v>
      </c>
      <c r="B18" s="24" t="s">
        <v>112</v>
      </c>
      <c r="C18" s="44" t="s">
        <v>77</v>
      </c>
      <c r="D18" s="24"/>
      <c r="E18" s="24"/>
      <c r="F18" s="24"/>
      <c r="G18" s="24">
        <v>1</v>
      </c>
      <c r="H18" s="24"/>
      <c r="I18" s="24"/>
      <c r="J18" s="24">
        <v>1</v>
      </c>
      <c r="K18" s="24" t="s">
        <v>34</v>
      </c>
      <c r="L18" s="25" t="s">
        <v>64</v>
      </c>
      <c r="M18" s="25" t="s">
        <v>26</v>
      </c>
      <c r="N18" s="25" t="s">
        <v>27</v>
      </c>
      <c r="O18" s="25" t="s">
        <v>27</v>
      </c>
      <c r="P18" s="25">
        <v>50</v>
      </c>
      <c r="Q18" s="25">
        <v>0.5</v>
      </c>
      <c r="R18" s="25">
        <v>0</v>
      </c>
      <c r="S18" s="25">
        <v>0.5</v>
      </c>
    </row>
    <row r="19" spans="1:19" ht="14.4" x14ac:dyDescent="0.3">
      <c r="A19" s="24" t="s">
        <v>140</v>
      </c>
      <c r="B19" s="24" t="s">
        <v>141</v>
      </c>
      <c r="C19" s="44" t="s">
        <v>78</v>
      </c>
      <c r="D19" s="24"/>
      <c r="E19" s="24"/>
      <c r="F19" s="24"/>
      <c r="G19" s="24"/>
      <c r="H19" s="24"/>
      <c r="I19" s="24">
        <v>1</v>
      </c>
      <c r="J19" s="24">
        <v>1</v>
      </c>
      <c r="K19" s="24" t="s">
        <v>34</v>
      </c>
      <c r="L19" s="25">
        <v>0</v>
      </c>
      <c r="M19" s="25">
        <v>0</v>
      </c>
      <c r="N19" s="25" t="s">
        <v>27</v>
      </c>
      <c r="O19" s="25" t="s">
        <v>27</v>
      </c>
      <c r="P19" s="25">
        <v>100</v>
      </c>
      <c r="Q19" s="25">
        <v>0</v>
      </c>
      <c r="R19" s="25">
        <v>0</v>
      </c>
      <c r="S19" s="25">
        <v>1</v>
      </c>
    </row>
    <row r="20" spans="1:19" x14ac:dyDescent="0.25">
      <c r="A20" s="45"/>
      <c r="B20" s="45"/>
      <c r="C20" s="45"/>
      <c r="D20" s="45"/>
      <c r="E20" s="45"/>
      <c r="F20" s="45"/>
      <c r="G20" s="45"/>
      <c r="H20" s="45"/>
      <c r="I20" s="45"/>
      <c r="J20" s="45"/>
      <c r="K20" s="45"/>
      <c r="L20" s="45"/>
      <c r="M20" s="45"/>
      <c r="N20" s="46"/>
      <c r="O20" s="45"/>
      <c r="P20" s="46"/>
      <c r="Q20" s="45"/>
      <c r="R20" s="45"/>
      <c r="S20" s="47">
        <f>SUM(S2:S19)</f>
        <v>20</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zoomScaleNormal="100" workbookViewId="0">
      <selection activeCell="A2" sqref="A2:B3"/>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106</v>
      </c>
      <c r="B3" s="5">
        <v>5880</v>
      </c>
    </row>
    <row r="4" spans="1:2" x14ac:dyDescent="0.2">
      <c r="A4" s="6" t="s">
        <v>2</v>
      </c>
      <c r="B4" s="7">
        <f>SUM(B3:B3)</f>
        <v>5880</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C1159-BD5F-4014-B207-FCCA1929F804}">
  <dimension ref="A1:B4"/>
  <sheetViews>
    <sheetView zoomScaleNormal="100" workbookViewId="0">
      <selection activeCell="A37" sqref="A3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121</v>
      </c>
      <c r="B2" s="5"/>
    </row>
    <row r="3" spans="1:2" x14ac:dyDescent="0.2">
      <c r="A3" s="4"/>
      <c r="B3" s="5"/>
    </row>
    <row r="4" spans="1:2" x14ac:dyDescent="0.2">
      <c r="A4" s="6" t="s">
        <v>2</v>
      </c>
      <c r="B4" s="7">
        <f>SUM(B3:B3)</f>
        <v>0</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577A-5C9F-44AD-983A-77B03E15A724}">
  <dimension ref="A1:B4"/>
  <sheetViews>
    <sheetView zoomScaleNormal="100" workbookViewId="0">
      <selection activeCell="A37" sqref="A37"/>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121</v>
      </c>
      <c r="B2" s="5"/>
    </row>
    <row r="3" spans="1:2" x14ac:dyDescent="0.2">
      <c r="A3" s="4"/>
      <c r="B3" s="5"/>
    </row>
    <row r="4" spans="1:2" x14ac:dyDescent="0.2">
      <c r="A4" s="6" t="s">
        <v>2</v>
      </c>
      <c r="B4" s="7">
        <f>SUM(B3:B3)</f>
        <v>0</v>
      </c>
    </row>
  </sheetData>
  <pageMargins left="0.39370078740157483" right="0.39370078740157483"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2019</vt:lpstr>
      <vt:lpstr>Ingresos investigación 2020</vt:lpstr>
      <vt:lpstr>Ingresos investigación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2022-10-18T14:15:54Z</dcterms:modified>
</cp:coreProperties>
</file>