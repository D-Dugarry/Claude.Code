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23C041A9-6410-4237-9E11-F446D1C3FE48}" xr6:coauthVersionLast="47" xr6:coauthVersionMax="47" xr10:uidLastSave="{00000000-0000-0000-0000-000000000000}"/>
  <bookViews>
    <workbookView xWindow="22932" yWindow="-108" windowWidth="23256" windowHeight="12456" tabRatio="760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1" r:id="rId4"/>
    <sheet name="Ingresos investigación 2021" sheetId="13" r:id="rId5"/>
    <sheet name="Ingresos formación 2019" sheetId="10" r:id="rId6"/>
    <sheet name="Ingresos formación 2020" sheetId="12" r:id="rId7"/>
    <sheet name="Ingresos formación 2021" sheetId="14" r:id="rId8"/>
  </sheets>
  <definedNames>
    <definedName name="_xlnm._FilterDatabase" localSheetId="1" hidden="1">Sexenios!$A$1:$S$20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6" l="1"/>
  <c r="S20" i="5" l="1"/>
  <c r="B9" i="12" l="1"/>
  <c r="B6" i="11"/>
  <c r="C8" i="14" l="1"/>
  <c r="B8" i="10"/>
  <c r="B16" i="9"/>
  <c r="C19" i="13" s="1"/>
</calcChain>
</file>

<file path=xl/sharedStrings.xml><?xml version="1.0" encoding="utf-8"?>
<sst xmlns="http://schemas.openxmlformats.org/spreadsheetml/2006/main" count="581" uniqueCount="234">
  <si>
    <t>Orgánica
Descripción justificante</t>
  </si>
  <si>
    <t>Importe</t>
  </si>
  <si>
    <t>Total</t>
  </si>
  <si>
    <t>30.80.6P.00.08</t>
  </si>
  <si>
    <t>30.80.2T.00.01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</si>
  <si>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</si>
  <si>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</si>
  <si>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</si>
  <si>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</si>
  <si>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</si>
  <si>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</si>
  <si>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</si>
  <si>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</si>
  <si>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</si>
  <si>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</si>
  <si>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</si>
  <si>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</si>
  <si>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</si>
  <si>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</si>
  <si>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</si>
  <si>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</si>
  <si>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</si>
  <si>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</si>
  <si>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</si>
  <si>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</si>
  <si>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</si>
  <si>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</si>
  <si>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</si>
  <si>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</si>
  <si>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</si>
  <si>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15/09/2017 </t>
  </si>
  <si>
    <t>10</t>
  </si>
  <si>
    <t>28/09/2018 </t>
  </si>
  <si>
    <t>15/07/2019 </t>
  </si>
  <si>
    <t>10.25</t>
  </si>
  <si>
    <t>30</t>
  </si>
  <si>
    <t>20</t>
  </si>
  <si>
    <t>10.15</t>
  </si>
  <si>
    <t>U023 </t>
  </si>
  <si>
    <t>ADM. FACULTAD DE FILOSOFIA Y LETRAS </t>
  </si>
  <si>
    <t>10.23</t>
  </si>
  <si>
    <t>B115 </t>
  </si>
  <si>
    <t>FILOL. ESPAÑOLA, LINGÜÍSTICA GENERAL Y TEORIA DE LA LITERATURA </t>
  </si>
  <si>
    <t>DOCTORADO EN FILOSOFÍA Y LETRAS </t>
  </si>
  <si>
    <t>DOCTORADO EN ESPAÑOL E INGLÉS COMO SEGUNDAS LEN. (L2) / LEN. EXTRANJ. (LE) </t>
  </si>
  <si>
    <t>Li , Hui </t>
  </si>
  <si>
    <t>ANÁLISIS DE EXPRESIÓN ESCRITA DE LOS ESTUDIANTES CHINOS EN SU APRENDIZAJE DE ELE BASADO EN LA TEORÍA DE GÉNERO: ACTUALIDAD Y FUTURO </t>
  </si>
  <si>
    <t>19/12/2016 </t>
  </si>
  <si>
    <t>B116 </t>
  </si>
  <si>
    <t>FILOLOGÍA INGLESA </t>
  </si>
  <si>
    <t>DOCTORADO EN ESTUDIOS INGLESES </t>
  </si>
  <si>
    <t>B116</t>
  </si>
  <si>
    <t>76414567B </t>
  </si>
  <si>
    <t>48345463S </t>
  </si>
  <si>
    <t>10.22</t>
  </si>
  <si>
    <t>53214805G </t>
  </si>
  <si>
    <t>26226014B </t>
  </si>
  <si>
    <t>LÓPEZ AVILÉS, AGUSTÍN </t>
  </si>
  <si>
    <t>PALLADINE OF ENGLAND (1588) TRANSLATED BY ANTHONY MUNDAY </t>
  </si>
  <si>
    <t>18989339X </t>
  </si>
  <si>
    <t>Pomata García, Anna </t>
  </si>
  <si>
    <t>"LA PRONUNCIACIÓN DE LOS GRUPOS CONSONÁNTICOS DEL INGLÉS: ERRORES FONÉTICO-FONOLÓGICOS EN EL HABLA DE LOS ESTUDIANTES ESPAÑOLES" </t>
  </si>
  <si>
    <t>24/02/2017 </t>
  </si>
  <si>
    <t>74192819V </t>
  </si>
  <si>
    <t>Poveda Balbuena, Miguel Luis </t>
  </si>
  <si>
    <t>ORÍGENES Y TIPOLOGÍA DE LA TERMINOLOGÍA ARMAMENTÍSTICA EN INGLÉS MEDIO </t>
  </si>
  <si>
    <t>08/11/2016 </t>
  </si>
  <si>
    <t>22145079N </t>
  </si>
  <si>
    <t>Garay Collcutt, Evelina </t>
  </si>
  <si>
    <t>WOMEN WRITERS ON A WARTIME LIMINAL VOYAGE </t>
  </si>
  <si>
    <t>24/05/2018 </t>
  </si>
  <si>
    <t>34895192Y </t>
  </si>
  <si>
    <t>Ruiz García, MarÍa Isabel </t>
  </si>
  <si>
    <t>WORD STRESS PATTERNS IN THE ENGLISH OF SPANISH SPEAKERS: A PERCEPTUAL ANALYSIS </t>
  </si>
  <si>
    <t>Clavijo Olmos, Sandra Bibiana </t>
  </si>
  <si>
    <t>EL TRADUCTOR ESPECIALIZADO EN LENGUAJE DE NEGOCIOS: NECESIDADES Y ESTRATEGIAS ACADÉMICAS PARA LA UNIVERSIDAD COLOMBIANA </t>
  </si>
  <si>
    <t>21378250A </t>
  </si>
  <si>
    <t>Mykytka , Iryna </t>
  </si>
  <si>
    <t>UNA APROXIMACIÓN LEXICOLÓGICA AL INGLÉS DE LA FOTOGRAFÍA </t>
  </si>
  <si>
    <t>15/11/2018 </t>
  </si>
  <si>
    <t>Roig Marín, Amanda Dafne </t>
  </si>
  <si>
    <t>LANGUAGE CONTACT IN LATE MEDIEVAL ENGLAND: MULTILINGUAL TEXTS AND PRACTICES </t>
  </si>
  <si>
    <t>12/09/2019 </t>
  </si>
  <si>
    <t>Serrano Bailen, Ariadna </t>
  </si>
  <si>
    <t>LA REESCRITURA DEL VICTORIANISMO Y LA SIGNIFICACIÓN DE LA LOCURA EN TIPPING THE VELVET,, AFFINITY Y FINGERSMITH DE SARAH WATERS </t>
  </si>
  <si>
    <t>31/10/2018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</si>
  <si>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</si>
  <si>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</si>
  <si>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</si>
  <si>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</si>
  <si>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</si>
  <si>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</si>
  <si>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</si>
  <si>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</si>
  <si>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</si>
  <si>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</si>
  <si>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</si>
  <si>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</si>
  <si>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</si>
  <si>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</si>
  <si>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21981283E</t>
  </si>
  <si>
    <t>ALVAREZ AMOROS, JOSE ANTONIO</t>
  </si>
  <si>
    <t>76414567B</t>
  </si>
  <si>
    <t>BALTEIRO FERNANDEZ, MARIA ISABEL</t>
  </si>
  <si>
    <t>74230456A</t>
  </si>
  <si>
    <t>CALVO FERRER, JOSE RAMON</t>
  </si>
  <si>
    <t>21455766D</t>
  </si>
  <si>
    <t>CAMPOS PARDILLOS, MIGUEL ANGEL</t>
  </si>
  <si>
    <t>48345463S</t>
  </si>
  <si>
    <t>CAPORALE BIZZINI, SILVIA JULIA</t>
  </si>
  <si>
    <t>21446823J</t>
  </si>
  <si>
    <t>CONGOST MAESTRE, NEREIDA</t>
  </si>
  <si>
    <t>05608762M</t>
  </si>
  <si>
    <t>GONZALEZ FERNANDEZ DE SEVILLA, JOSE MANUEL</t>
  </si>
  <si>
    <t>21436412K</t>
  </si>
  <si>
    <t>GUILLEN NIETO, VICTORIA</t>
  </si>
  <si>
    <t>26226014B</t>
  </si>
  <si>
    <t>MARTINEZ LIROLA, MARIA DOLORES</t>
  </si>
  <si>
    <t>52777966G</t>
  </si>
  <si>
    <t>MARTINEZ MOTOS, RAQUEL</t>
  </si>
  <si>
    <t>21378250A</t>
  </si>
  <si>
    <t>MATEO MARTINEZ, JOSE</t>
  </si>
  <si>
    <t>71661231Q</t>
  </si>
  <si>
    <t>PRIETO GARCIA-CAÑEDO, SARA</t>
  </si>
  <si>
    <t>18989339X</t>
  </si>
  <si>
    <t>SANCHEZ MARTI, JORDI</t>
  </si>
  <si>
    <t>48355574Y</t>
  </si>
  <si>
    <t>SANDERSON PASTOR, JOHN DOUGLAS</t>
  </si>
  <si>
    <t>21481015G</t>
  </si>
  <si>
    <t>VARGAS SIERRA, CHELO</t>
  </si>
  <si>
    <t>45273600D</t>
  </si>
  <si>
    <t>YUS RAMOS, FRANCISCO BENIGNO</t>
  </si>
  <si>
    <t>30.80.6C.00.08</t>
  </si>
  <si>
    <t>Elaboración de informe pericial lingüístico forense de Victoria Guillén Nieto.</t>
  </si>
  <si>
    <t>Elaboración de informe pericial lingüístico forense de Victoria Guillén Nieto. Ref. contrato: SRUIZGARCIA1-19TPA. PAGO-2 (PAGO FINAL).</t>
  </si>
  <si>
    <t>30.80.6P.00.02</t>
  </si>
  <si>
    <t>Devolución parcial JG2018/47457. ADO 2018/56202. Realizado por dinners y compensado en la liquidación de septiembre 2019. Factura 18F1912B00001156</t>
  </si>
  <si>
    <t xml:space="preserve">SUBVENCIONES PARA LA REALIZACIÓN DE PROYECTOS DE I+D+I DESARROLLADOS POR GRUPOS DE INVESTIGACIÓN EMERGENTES GV/2017-3ªA. </t>
  </si>
  <si>
    <t>30.80.6P.00.10</t>
  </si>
  <si>
    <t xml:space="preserve">AORG - ORGANITZACIÓ CONGRESSOS </t>
  </si>
  <si>
    <t>30.80.6P.00.11</t>
  </si>
  <si>
    <t xml:space="preserve">SUBVENCIONES REALIZACION PROYECTOS I+D+IGRUPOS INVESTIGACION EMERGENTES GV/2019 </t>
  </si>
  <si>
    <t>30.80.6C.00.07</t>
  </si>
  <si>
    <t>Elaboración de informe pericial lingüístico forense por la profesora Victoria Guillén Nieto. Ref. contrato: AYAGÜEBARREDO1-19TPA. PAGO-1.</t>
  </si>
  <si>
    <t>Elaboración de informe pericial lingüístico forense por la profesora Victoria Guillén Nieto. Ref. contrato: AYAGÜEBARREDO1-19TPA. PAGO-2 (PAGO FINAL).</t>
  </si>
  <si>
    <t>Liquidación  PLAN 9110 curso ''EXPERTO EN ARTE DRAMÁTICO'' ORDEN 5379</t>
  </si>
  <si>
    <t>30.80.2T.00.05</t>
  </si>
  <si>
    <t>Liquidación PLAN 9109 "Especialista en Arte Dramático aplicado"</t>
  </si>
  <si>
    <t>Liquidación PLAN 9110 "Experto en Arte dramático aplicado"</t>
  </si>
  <si>
    <t>Liquidación PLAN 9111 "Máster en arte dramático aplicado"</t>
  </si>
  <si>
    <t>Martínez Copete, Antonio </t>
  </si>
  <si>
    <t>The effects of captioning and viewing original versions in english on long-term acquisition and comprehension of the english language </t>
  </si>
  <si>
    <t>10/07/2020 </t>
  </si>
  <si>
    <t>Mateo Guillen, Copelia </t>
  </si>
  <si>
    <t>ONLINE STRATEGIES TO FOSTER AUTONOMOUS ENBLISH LANGUAGE LEARNING IN VIRUTAL ENVIRONMENTS: The case of teh COMALAT European Project </t>
  </si>
  <si>
    <t>29/07/2020 </t>
  </si>
  <si>
    <t>Sinyashina , Ekaterina </t>
  </si>
  <si>
    <t>THE EFFECTIVENESS OF WATHING CAPTIONED AUTHENTIC VIDEOS FOR INCIDENTAL VOCABULARY LEARNING: THE REPETITION VARIABLE </t>
  </si>
  <si>
    <t>10/06/2020 </t>
  </si>
  <si>
    <t>53626562S</t>
  </si>
  <si>
    <t>KERSLAKE YOUNG, LORRAINE JOANNA</t>
  </si>
  <si>
    <t>COD DEP</t>
  </si>
  <si>
    <t>21626813M</t>
  </si>
  <si>
    <t>GOMEZ REUS, MARIA TERESA</t>
  </si>
  <si>
    <t>74192819V</t>
  </si>
  <si>
    <t>LILLO BUADES, ANTONIO</t>
  </si>
  <si>
    <t>77706785C</t>
  </si>
  <si>
    <t>PERNI LLORENTE, REMEDIOS</t>
  </si>
  <si>
    <t>25</t>
  </si>
  <si>
    <t>Segura Martínez, Vicente </t>
  </si>
  <si>
    <t>Cultura industrial, ludismo y proyección literaria </t>
  </si>
  <si>
    <t>23/10/2020 </t>
  </si>
  <si>
    <t>SUBVENCIONES PARA LA REALIZACION DE PROYCTOS DE I+D+I GRUPOS INVESTIGACIÓN EMERGENTE GV/2019/2ªANUALIDAD (INNOVACIÓN,UNIVERSIDADES,CIENCIA SOC.DIG)</t>
  </si>
  <si>
    <t>30.80.6P.00.15</t>
  </si>
  <si>
    <t>SUBVENCIONES PARA LA REALIZACIÓN DE PROYECTOS DE I+D+I DESARROLLADOS POR GRUPOS DE INVESTIGACIÓN EMERGENTES GV/2020 (NNOVACIÓN,UNIVERSIDADES,CIENCIA SOC.DIG)</t>
  </si>
  <si>
    <t>Ajuste de reintegros de Nómina correspondiente al mes de noviembre 2020</t>
  </si>
  <si>
    <t>4ª Liquidación Master en Arte dramático aplicado</t>
  </si>
  <si>
    <t>Liquidación PLAN 9109 "Especialista en arte dramático"</t>
  </si>
  <si>
    <t xml:space="preserve">LIQUIDACIÓN PLAN 9111 CURSO 2020-21 MASTER EN ARTE DRAMÁTICO APLICADO.  REFERENCIA: 2020/9111 </t>
  </si>
  <si>
    <t>Plan 9110 Curso 2020-21 EXPERTO EN ARTE DRAMÁTICO APLICADO</t>
  </si>
  <si>
    <t>Cód. org. aplic.</t>
  </si>
  <si>
    <t>Descripción justificante</t>
  </si>
  <si>
    <t>30.80.6C.00.09</t>
  </si>
  <si>
    <t>Elaboración de informe pericial lingüístico de Victoria Guillén Nieto. Ref. contrato: MPILARGUERRA1-21TPA.</t>
  </si>
  <si>
    <t>30.80.6C.00.10</t>
  </si>
  <si>
    <t>Elaboración de informe pericial lingüístico de Victoria Guillén Nieto. Ref. contrato: PAFRANCO1-21TPA.</t>
  </si>
  <si>
    <t>30.80.6C.00.11</t>
  </si>
  <si>
    <t>INFORME PERICIAL LINGÜÍSTICO SOBRE EVALUACIÓN DE LOS CONTENIDOS DE UNA CONVERSACIÓN TELEFÓNICA.</t>
  </si>
  <si>
    <t>30.80.6G.00.02</t>
  </si>
  <si>
    <t>CONGRESO GENERAL DE LA ASOCIACIÓN INTERNACIONAL DE LENGUAJE Y DERECHO. BARTOSZ BISKUP</t>
  </si>
  <si>
    <t xml:space="preserve">CONGRESO GENERAL DE LA ASOCIACIÓN INTERNACIONAL DE LENGUAJE Y DERECHO. IZABELA SKOCZEN </t>
  </si>
  <si>
    <t>CONGRESO GENERAL DE LA ASOCIACIÓN INTERNACIONAL DE LENGUAJE Y DERECHO. ADAM DYRDA</t>
  </si>
  <si>
    <t>CONGRESO GENERAL DE LA ASOCIACIÓN INTERNACIONAL DE LENGUAJE Y DERECHO. ANNA JOPEK-BOSIACKA</t>
  </si>
  <si>
    <t>CONGRESO GENERAL DE LA ASOCIACIÓN INTERNACIONAL DE LENGUAJE Y DERECHO. TOMAS PIETRZYKOWSKI</t>
  </si>
  <si>
    <t>CONGRESO GENERAL DE LA ASOCIACIÓN INTERNACIONAL DE LENGUAJE Y DERECHO. WOJCIECH RZEPINSKI</t>
  </si>
  <si>
    <t>CONGRESO GENERAL DE LA ASOCIACIÓN INTERNACIONAL DE LENGUAJE Y DERECHO. MATEUSZ ZEIFERT</t>
  </si>
  <si>
    <t>CONGRESO GENERAL DE LA ASOCIACIÓN INTERNACIONAL DE LENGUAJE Y DERECHO. BARTOSZ JANIK</t>
  </si>
  <si>
    <t>CONGRESO GENERAL DE LA ASOCIACIÓN INTERNACIONAL DE LENGUAJE Y DERECHO. STANISLAW GOZDZ-ROSZKOWSKI</t>
  </si>
  <si>
    <t>RESOLUCIÓN CONCESIÓN SUBVENCIONESEMERGENTES GV 2020 EN 2021</t>
  </si>
  <si>
    <t>30.80.6P.00.16</t>
  </si>
  <si>
    <t>PID2020-115735GB-I00</t>
  </si>
  <si>
    <t>Plan 9110 Curso 2020-21 Experto en Arte Dramático Aplicado. COMPLEMENTARIO AL JI 2020/4975</t>
  </si>
  <si>
    <t xml:space="preserve">Plan 9111 curso 2021-22, MÁSTER EN ARTE DRAMÁTICO APLICADO - 30.80.2T.00.05 </t>
  </si>
  <si>
    <t>Plan 9110_Curso 2021-22_EXPERTO EN ARTE DRAMÁTICO APLICADO.</t>
  </si>
  <si>
    <t>30.80.2T.00.06</t>
  </si>
  <si>
    <t>Plan GF58_CURSO 2021-22_CONGRESO GENERAL DE LA ASOCIACIÓN INTERNACIONAL DE LENGUAJE Y DERECHO.</t>
  </si>
  <si>
    <t>Llorens Simón, Eva María </t>
  </si>
  <si>
    <t>"Emociones y polaridad en un corpus especializado sobre lenguaje turístico. Análisis contrastivo de elementos recurrentes y fundamentos cognitivos en inglés y en español" </t>
  </si>
  <si>
    <t>03/02/2022 </t>
  </si>
  <si>
    <t>21481015G </t>
  </si>
  <si>
    <t>Marrahi Gómez, Victor </t>
  </si>
  <si>
    <t>La Realidad Aumentada (RA) en el aprendizaje del inglés: análisis de la eficacia de su uso en el léxico y la gramática. </t>
  </si>
  <si>
    <t>22/07/2022 </t>
  </si>
  <si>
    <t>Espinosa Zaragoza, Isabel </t>
  </si>
  <si>
    <t>A STUDY OF COLOUR NAMES IN THE COSMETIC INDUSTRY </t>
  </si>
  <si>
    <t>04/04/2022 </t>
  </si>
  <si>
    <t>U073 </t>
  </si>
  <si>
    <t>ADM. I.U. INVESTIGACIÓN DE ESTUDIOS DE GÉNERO </t>
  </si>
  <si>
    <t>DOCTORADO EN ESTUDIOS INTERDISCIPLINARES DE GÉNERO </t>
  </si>
  <si>
    <t>Ráez Domínguez, María </t>
  </si>
  <si>
    <t>"Análisis discursivo y violencias simbólicas en torno a la mujer subsahariana. Una comparación de los discursos de violencia en servicios públicos y organizaciones no gubernamentales". </t>
  </si>
  <si>
    <t>04/05/2022 </t>
  </si>
  <si>
    <t>22145079N</t>
  </si>
  <si>
    <t>BELDA MEDINA, JOSE RAMON</t>
  </si>
  <si>
    <t>34895192Y</t>
  </si>
  <si>
    <t>LOPEZ ROPERO, MARIA LOURDES</t>
  </si>
  <si>
    <t>49625619Z</t>
  </si>
  <si>
    <t>SANCHEZ FAJARDO, JOSE ANTONIO</t>
  </si>
  <si>
    <t>77718607C</t>
  </si>
  <si>
    <t>SOTO ALMELA, JORGE</t>
  </si>
  <si>
    <t>X4438120V</t>
  </si>
  <si>
    <t>MARTIN, TANIA JOSEPHINE</t>
  </si>
  <si>
    <t>Total ingresos formación 2019, 2020 y 2021</t>
  </si>
  <si>
    <t>Total 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</si>
</sst>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1" fillId="6" borderId="2" xfId="0" applyFont="1" applyFill="1" applyBorder="1"/>
    <xf numFmtId="0" fontId="11" fillId="6" borderId="3" xfId="0" applyFont="1" applyFill="1" applyBorder="1" applyAlignment="1">
      <alignment horizontal="right"/>
    </xf>
    <xf numFmtId="0" fontId="11" fillId="6" borderId="6" xfId="0" applyFont="1" applyFill="1" applyBorder="1"/>
    <xf numFmtId="4" fontId="11" fillId="6" borderId="7" xfId="0" applyNumberFormat="1" applyFont="1" applyFill="1" applyBorder="1"/>
    <xf numFmtId="0" fontId="0" fillId="7" borderId="4" xfId="0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4" fontId="0" fillId="7" borderId="5" xfId="0" applyNumberForma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4" xfId="0" applyFill="1" applyBorder="1" applyAlignment="1">
      <alignment vertical="center" wrapText="1"/>
    </xf>
    <xf numFmtId="4" fontId="0" fillId="8" borderId="5" xfId="0" applyNumberFormat="1" applyFill="1" applyBorder="1" applyAlignment="1">
      <alignment vertical="center"/>
    </xf>
    <xf numFmtId="4" fontId="0" fillId="0" borderId="0" xfId="0" applyNumberFormat="1"/>
    <xf numFmtId="0" fontId="11" fillId="6" borderId="8" xfId="0" applyFont="1" applyFill="1" applyBorder="1"/>
    <xf numFmtId="0" fontId="11" fillId="6" borderId="9" xfId="0" applyFont="1" applyFill="1" applyBorder="1"/>
    <xf numFmtId="0" fontId="0" fillId="8" borderId="8" xfId="0" applyFill="1" applyBorder="1"/>
    <xf numFmtId="4" fontId="0" fillId="8" borderId="9" xfId="0" applyNumberFormat="1" applyFill="1" applyBorder="1"/>
    <xf numFmtId="0" fontId="0" fillId="0" borderId="8" xfId="0" applyBorder="1"/>
    <xf numFmtId="4" fontId="0" fillId="0" borderId="9" xfId="0" applyNumberFormat="1" applyBorder="1"/>
    <xf numFmtId="0" fontId="12" fillId="0" borderId="10" xfId="0" applyFont="1" applyBorder="1"/>
    <xf numFmtId="4" fontId="12" fillId="0" borderId="11" xfId="0" applyNumberFormat="1" applyFont="1" applyBorder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4" borderId="12" xfId="1" applyFill="1" applyBorder="1"/>
    <xf numFmtId="165" fontId="3" fillId="4" borderId="12" xfId="1" applyNumberFormat="1" applyFill="1" applyBorder="1"/>
    <xf numFmtId="0" fontId="3" fillId="4" borderId="12" xfId="1" applyFill="1" applyBorder="1" applyAlignment="1">
      <alignment horizontal="right"/>
    </xf>
    <xf numFmtId="1" fontId="3" fillId="4" borderId="12" xfId="1" applyNumberFormat="1" applyFill="1" applyBorder="1"/>
    <xf numFmtId="164" fontId="3" fillId="4" borderId="12" xfId="1" applyNumberFormat="1" applyFill="1" applyBorder="1"/>
    <xf numFmtId="0" fontId="3" fillId="0" borderId="1" xfId="1" applyBorder="1"/>
    <xf numFmtId="0" fontId="3" fillId="4" borderId="13" xfId="1" applyFill="1" applyBorder="1"/>
    <xf numFmtId="164" fontId="4" fillId="2" borderId="0" xfId="1" applyNumberFormat="1" applyFont="1" applyFill="1" applyAlignment="1"/>
    <xf numFmtId="0" fontId="0" fillId="0" borderId="1" xfId="0" applyBorder="1" applyAlignment="1">
      <alignment horizontal="left"/>
    </xf>
    <xf numFmtId="0" fontId="10" fillId="9" borderId="0" xfId="5" applyFont="1" applyFill="1"/>
    <xf numFmtId="0" fontId="10" fillId="9" borderId="0" xfId="5" applyFont="1" applyFill="1" applyAlignment="1">
      <alignment horizontal="right"/>
    </xf>
    <xf numFmtId="164" fontId="13" fillId="9" borderId="0" xfId="5" applyNumberFormat="1" applyFont="1" applyFill="1"/>
    <xf numFmtId="0" fontId="12" fillId="0" borderId="1" xfId="0" applyFont="1" applyBorder="1" applyAlignment="1">
      <alignment horizontal="right"/>
    </xf>
    <xf numFmtId="4" fontId="12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0"/>
  <sheetViews>
    <sheetView showGridLines="0" tabSelected="1" zoomScale="120" zoomScaleNormal="12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S20" sqref="S20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6" customWidth="1"/>
    <col min="16" max="16" width="4.88671875" style="13" customWidth="1"/>
    <col min="17" max="17" width="3.5546875" style="16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46" t="s">
        <v>41</v>
      </c>
      <c r="B2" s="46" t="s">
        <v>42</v>
      </c>
      <c r="C2" s="46" t="s">
        <v>44</v>
      </c>
      <c r="D2" s="46" t="s">
        <v>60</v>
      </c>
      <c r="E2" s="46" t="s">
        <v>61</v>
      </c>
      <c r="F2" s="46" t="s">
        <v>62</v>
      </c>
      <c r="G2" s="46" t="s">
        <v>63</v>
      </c>
      <c r="H2" s="46" t="s">
        <v>29</v>
      </c>
      <c r="I2" s="46" t="s">
        <v>48</v>
      </c>
      <c r="J2" s="46" t="s">
        <v>49</v>
      </c>
      <c r="K2" s="47">
        <v>1</v>
      </c>
      <c r="L2" s="46" t="s">
        <v>51</v>
      </c>
      <c r="M2" s="46">
        <v>2016</v>
      </c>
      <c r="N2" s="46" t="s">
        <v>37</v>
      </c>
      <c r="O2" s="48" t="s">
        <v>35</v>
      </c>
      <c r="P2" s="46" t="s">
        <v>34</v>
      </c>
      <c r="Q2" s="48" t="s">
        <v>35</v>
      </c>
      <c r="R2" s="49">
        <v>40</v>
      </c>
      <c r="S2" s="47">
        <v>0.4</v>
      </c>
      <c r="T2" s="47">
        <v>0.3</v>
      </c>
      <c r="U2" s="47">
        <v>0.3</v>
      </c>
    </row>
    <row r="3" spans="1:21" x14ac:dyDescent="0.2">
      <c r="A3" s="46" t="s">
        <v>41</v>
      </c>
      <c r="B3" s="46" t="s">
        <v>42</v>
      </c>
      <c r="C3" s="46" t="s">
        <v>44</v>
      </c>
      <c r="D3" s="46" t="s">
        <v>45</v>
      </c>
      <c r="E3" s="46" t="s">
        <v>46</v>
      </c>
      <c r="F3" s="46" t="s">
        <v>47</v>
      </c>
      <c r="G3" s="46" t="s">
        <v>56</v>
      </c>
      <c r="H3" s="46" t="s">
        <v>26</v>
      </c>
      <c r="I3" s="46" t="s">
        <v>48</v>
      </c>
      <c r="J3" s="46" t="s">
        <v>49</v>
      </c>
      <c r="K3" s="47">
        <v>0.5</v>
      </c>
      <c r="L3" s="46" t="s">
        <v>51</v>
      </c>
      <c r="M3" s="46">
        <v>2016</v>
      </c>
      <c r="N3" s="46" t="s">
        <v>40</v>
      </c>
      <c r="O3" s="48" t="s">
        <v>31</v>
      </c>
      <c r="P3" s="46" t="s">
        <v>37</v>
      </c>
      <c r="Q3" s="48" t="s">
        <v>31</v>
      </c>
      <c r="R3" s="49">
        <v>80</v>
      </c>
      <c r="S3" s="47">
        <v>0.4</v>
      </c>
      <c r="T3" s="47">
        <v>0.05</v>
      </c>
      <c r="U3" s="47">
        <v>0.05</v>
      </c>
    </row>
    <row r="4" spans="1:21" x14ac:dyDescent="0.2">
      <c r="A4" s="46" t="s">
        <v>48</v>
      </c>
      <c r="B4" s="46" t="s">
        <v>49</v>
      </c>
      <c r="C4" s="46" t="s">
        <v>50</v>
      </c>
      <c r="D4" s="46" t="s">
        <v>57</v>
      </c>
      <c r="E4" s="46" t="s">
        <v>58</v>
      </c>
      <c r="F4" s="46" t="s">
        <v>30</v>
      </c>
      <c r="G4" s="46" t="s">
        <v>59</v>
      </c>
      <c r="H4" s="46" t="s">
        <v>29</v>
      </c>
      <c r="I4" s="46" t="s">
        <v>48</v>
      </c>
      <c r="J4" s="46" t="s">
        <v>49</v>
      </c>
      <c r="K4" s="47">
        <v>1</v>
      </c>
      <c r="L4" s="46" t="s">
        <v>51</v>
      </c>
      <c r="M4" s="46">
        <v>2016</v>
      </c>
      <c r="N4" s="46" t="s">
        <v>28</v>
      </c>
      <c r="O4" s="48" t="s">
        <v>28</v>
      </c>
      <c r="P4" s="46" t="s">
        <v>28</v>
      </c>
      <c r="Q4" s="48" t="s">
        <v>28</v>
      </c>
      <c r="R4" s="49">
        <v>100</v>
      </c>
      <c r="S4" s="47">
        <v>1</v>
      </c>
      <c r="T4" s="47">
        <v>0</v>
      </c>
      <c r="U4" s="47">
        <v>0</v>
      </c>
    </row>
    <row r="5" spans="1:21" x14ac:dyDescent="0.2">
      <c r="A5" s="46" t="s">
        <v>38</v>
      </c>
      <c r="B5" s="46" t="s">
        <v>39</v>
      </c>
      <c r="C5" s="46" t="s">
        <v>43</v>
      </c>
      <c r="D5" s="46" t="s">
        <v>64</v>
      </c>
      <c r="E5" s="46" t="s">
        <v>65</v>
      </c>
      <c r="F5" s="46" t="s">
        <v>66</v>
      </c>
      <c r="G5" s="46" t="s">
        <v>67</v>
      </c>
      <c r="H5" s="46" t="s">
        <v>29</v>
      </c>
      <c r="I5" s="46" t="s">
        <v>48</v>
      </c>
      <c r="J5" s="46" t="s">
        <v>49</v>
      </c>
      <c r="K5" s="47">
        <v>1</v>
      </c>
      <c r="L5" s="46" t="s">
        <v>51</v>
      </c>
      <c r="M5" s="46">
        <v>2016</v>
      </c>
      <c r="N5" s="46" t="s">
        <v>37</v>
      </c>
      <c r="O5" s="48" t="s">
        <v>31</v>
      </c>
      <c r="P5" s="46" t="s">
        <v>28</v>
      </c>
      <c r="Q5" s="48" t="s">
        <v>28</v>
      </c>
      <c r="R5" s="49">
        <v>90</v>
      </c>
      <c r="S5" s="47">
        <v>0.9</v>
      </c>
      <c r="T5" s="47">
        <v>0.1</v>
      </c>
      <c r="U5" s="47">
        <v>0</v>
      </c>
    </row>
    <row r="6" spans="1:21" x14ac:dyDescent="0.2">
      <c r="A6" s="46" t="s">
        <v>38</v>
      </c>
      <c r="B6" s="46" t="s">
        <v>39</v>
      </c>
      <c r="C6" s="46" t="s">
        <v>43</v>
      </c>
      <c r="D6" s="46" t="s">
        <v>68</v>
      </c>
      <c r="E6" s="46" t="s">
        <v>69</v>
      </c>
      <c r="F6" s="46" t="s">
        <v>70</v>
      </c>
      <c r="G6" s="46" t="s">
        <v>71</v>
      </c>
      <c r="H6" s="46" t="s">
        <v>29</v>
      </c>
      <c r="I6" s="46" t="s">
        <v>48</v>
      </c>
      <c r="J6" s="46" t="s">
        <v>49</v>
      </c>
      <c r="K6" s="47">
        <v>1</v>
      </c>
      <c r="L6" s="46" t="s">
        <v>51</v>
      </c>
      <c r="M6" s="46">
        <v>2017</v>
      </c>
      <c r="N6" s="46" t="s">
        <v>37</v>
      </c>
      <c r="O6" s="48" t="s">
        <v>31</v>
      </c>
      <c r="P6" s="46" t="s">
        <v>28</v>
      </c>
      <c r="Q6" s="48" t="s">
        <v>28</v>
      </c>
      <c r="R6" s="49">
        <v>90</v>
      </c>
      <c r="S6" s="47">
        <v>0.9</v>
      </c>
      <c r="T6" s="47">
        <v>0.1</v>
      </c>
      <c r="U6" s="47">
        <v>0</v>
      </c>
    </row>
    <row r="7" spans="1:21" x14ac:dyDescent="0.2">
      <c r="A7" s="46" t="s">
        <v>38</v>
      </c>
      <c r="B7" s="46" t="s">
        <v>39</v>
      </c>
      <c r="C7" s="46" t="s">
        <v>43</v>
      </c>
      <c r="D7" s="46" t="s">
        <v>72</v>
      </c>
      <c r="E7" s="46" t="s">
        <v>73</v>
      </c>
      <c r="F7" s="46" t="s">
        <v>32</v>
      </c>
      <c r="G7" s="46" t="s">
        <v>63</v>
      </c>
      <c r="H7" s="46" t="s">
        <v>29</v>
      </c>
      <c r="I7" s="46" t="s">
        <v>48</v>
      </c>
      <c r="J7" s="46" t="s">
        <v>49</v>
      </c>
      <c r="K7" s="47">
        <v>1</v>
      </c>
      <c r="L7" s="46" t="s">
        <v>51</v>
      </c>
      <c r="M7" s="46">
        <v>2017</v>
      </c>
      <c r="N7" s="46" t="s">
        <v>37</v>
      </c>
      <c r="O7" s="48" t="s">
        <v>35</v>
      </c>
      <c r="P7" s="46" t="s">
        <v>34</v>
      </c>
      <c r="Q7" s="48" t="s">
        <v>35</v>
      </c>
      <c r="R7" s="49">
        <v>40</v>
      </c>
      <c r="S7" s="47">
        <v>0.4</v>
      </c>
      <c r="T7" s="47">
        <v>0.3</v>
      </c>
      <c r="U7" s="47">
        <v>0.3</v>
      </c>
    </row>
    <row r="8" spans="1:21" x14ac:dyDescent="0.2">
      <c r="A8" s="46" t="s">
        <v>38</v>
      </c>
      <c r="B8" s="46" t="s">
        <v>39</v>
      </c>
      <c r="C8" s="46" t="s">
        <v>43</v>
      </c>
      <c r="D8" s="46" t="s">
        <v>80</v>
      </c>
      <c r="E8" s="46" t="s">
        <v>81</v>
      </c>
      <c r="F8" s="46" t="s">
        <v>82</v>
      </c>
      <c r="G8" s="46" t="s">
        <v>59</v>
      </c>
      <c r="H8" s="46" t="s">
        <v>29</v>
      </c>
      <c r="I8" s="46" t="s">
        <v>48</v>
      </c>
      <c r="J8" s="46" t="s">
        <v>49</v>
      </c>
      <c r="K8" s="50">
        <v>1</v>
      </c>
      <c r="L8" s="46" t="s">
        <v>51</v>
      </c>
      <c r="M8" s="46">
        <v>2018</v>
      </c>
      <c r="N8" s="46" t="s">
        <v>28</v>
      </c>
      <c r="O8" s="48" t="s">
        <v>28</v>
      </c>
      <c r="P8" s="46" t="s">
        <v>28</v>
      </c>
      <c r="Q8" s="48" t="s">
        <v>28</v>
      </c>
      <c r="R8" s="49">
        <v>100</v>
      </c>
      <c r="S8" s="47">
        <v>1</v>
      </c>
      <c r="T8" s="47">
        <v>0</v>
      </c>
      <c r="U8" s="47">
        <v>0</v>
      </c>
    </row>
    <row r="9" spans="1:21" x14ac:dyDescent="0.2">
      <c r="A9" s="46" t="s">
        <v>38</v>
      </c>
      <c r="B9" s="46" t="s">
        <v>39</v>
      </c>
      <c r="C9" s="46" t="s">
        <v>43</v>
      </c>
      <c r="D9" s="46" t="s">
        <v>74</v>
      </c>
      <c r="E9" s="46" t="s">
        <v>75</v>
      </c>
      <c r="F9" s="46" t="s">
        <v>33</v>
      </c>
      <c r="G9" s="46" t="s">
        <v>76</v>
      </c>
      <c r="H9" s="46" t="s">
        <v>29</v>
      </c>
      <c r="I9" s="46" t="s">
        <v>48</v>
      </c>
      <c r="J9" s="46" t="s">
        <v>49</v>
      </c>
      <c r="K9" s="50">
        <v>1</v>
      </c>
      <c r="L9" s="46" t="s">
        <v>51</v>
      </c>
      <c r="M9" s="46">
        <v>2018</v>
      </c>
      <c r="N9" s="46" t="s">
        <v>37</v>
      </c>
      <c r="O9" s="48" t="s">
        <v>27</v>
      </c>
      <c r="P9" s="46" t="s">
        <v>28</v>
      </c>
      <c r="Q9" s="48" t="s">
        <v>28</v>
      </c>
      <c r="R9" s="49">
        <v>50</v>
      </c>
      <c r="S9" s="47">
        <v>0.5</v>
      </c>
      <c r="T9" s="47">
        <v>0.5</v>
      </c>
      <c r="U9" s="47">
        <v>0</v>
      </c>
    </row>
    <row r="10" spans="1:21" x14ac:dyDescent="0.2">
      <c r="A10" s="46" t="s">
        <v>38</v>
      </c>
      <c r="B10" s="46" t="s">
        <v>39</v>
      </c>
      <c r="C10" s="46" t="s">
        <v>43</v>
      </c>
      <c r="D10" s="46" t="s">
        <v>83</v>
      </c>
      <c r="E10" s="46" t="s">
        <v>84</v>
      </c>
      <c r="F10" s="46" t="s">
        <v>85</v>
      </c>
      <c r="G10" s="46" t="s">
        <v>53</v>
      </c>
      <c r="H10" s="46" t="s">
        <v>29</v>
      </c>
      <c r="I10" s="46" t="s">
        <v>48</v>
      </c>
      <c r="J10" s="46" t="s">
        <v>49</v>
      </c>
      <c r="K10" s="50">
        <v>1</v>
      </c>
      <c r="L10" s="46" t="s">
        <v>51</v>
      </c>
      <c r="M10" s="46">
        <v>2018</v>
      </c>
      <c r="N10" s="46" t="s">
        <v>54</v>
      </c>
      <c r="O10" s="48" t="s">
        <v>31</v>
      </c>
      <c r="P10" s="46" t="s">
        <v>40</v>
      </c>
      <c r="Q10" s="48" t="s">
        <v>36</v>
      </c>
      <c r="R10" s="49">
        <v>70</v>
      </c>
      <c r="S10" s="47">
        <v>0.7</v>
      </c>
      <c r="T10" s="47">
        <v>0.1</v>
      </c>
      <c r="U10" s="47">
        <v>0.2</v>
      </c>
    </row>
    <row r="11" spans="1:21" x14ac:dyDescent="0.2">
      <c r="A11" s="46" t="s">
        <v>38</v>
      </c>
      <c r="B11" s="46" t="s">
        <v>39</v>
      </c>
      <c r="C11" s="46" t="s">
        <v>43</v>
      </c>
      <c r="D11" s="46" t="s">
        <v>77</v>
      </c>
      <c r="E11" s="46" t="s">
        <v>78</v>
      </c>
      <c r="F11" s="46" t="s">
        <v>79</v>
      </c>
      <c r="G11" s="46" t="s">
        <v>52</v>
      </c>
      <c r="H11" s="46" t="s">
        <v>29</v>
      </c>
      <c r="I11" s="46" t="s">
        <v>48</v>
      </c>
      <c r="J11" s="46" t="s">
        <v>49</v>
      </c>
      <c r="K11" s="50">
        <v>1</v>
      </c>
      <c r="L11" s="46" t="s">
        <v>51</v>
      </c>
      <c r="M11" s="46">
        <v>2018</v>
      </c>
      <c r="N11" s="46" t="s">
        <v>40</v>
      </c>
      <c r="O11" s="48" t="s">
        <v>36</v>
      </c>
      <c r="P11" s="46" t="s">
        <v>37</v>
      </c>
      <c r="Q11" s="48" t="s">
        <v>36</v>
      </c>
      <c r="R11" s="49">
        <v>60</v>
      </c>
      <c r="S11" s="47">
        <v>0.6</v>
      </c>
      <c r="T11" s="47">
        <v>0.2</v>
      </c>
      <c r="U11" s="47">
        <v>0.2</v>
      </c>
    </row>
    <row r="12" spans="1:21" x14ac:dyDescent="0.2">
      <c r="A12" s="51" t="s">
        <v>38</v>
      </c>
      <c r="B12" s="51" t="s">
        <v>39</v>
      </c>
      <c r="C12" s="51" t="s">
        <v>43</v>
      </c>
      <c r="D12" s="51" t="s">
        <v>150</v>
      </c>
      <c r="E12" s="51" t="s">
        <v>151</v>
      </c>
      <c r="F12" s="51" t="s">
        <v>152</v>
      </c>
      <c r="G12" s="51" t="s">
        <v>52</v>
      </c>
      <c r="H12" s="51" t="s">
        <v>29</v>
      </c>
      <c r="I12" s="51" t="s">
        <v>48</v>
      </c>
      <c r="J12" s="51" t="s">
        <v>49</v>
      </c>
      <c r="K12" s="52">
        <v>1</v>
      </c>
      <c r="L12" s="51" t="s">
        <v>51</v>
      </c>
      <c r="M12" s="51">
        <v>2019</v>
      </c>
      <c r="N12" s="51" t="s">
        <v>28</v>
      </c>
      <c r="O12" s="53" t="s">
        <v>28</v>
      </c>
      <c r="P12" s="51" t="s">
        <v>28</v>
      </c>
      <c r="Q12" s="53" t="s">
        <v>28</v>
      </c>
      <c r="R12" s="54">
        <v>100</v>
      </c>
      <c r="S12" s="55">
        <v>1</v>
      </c>
      <c r="T12" s="55">
        <v>0</v>
      </c>
      <c r="U12" s="55">
        <v>0</v>
      </c>
    </row>
    <row r="13" spans="1:21" x14ac:dyDescent="0.2">
      <c r="A13" s="51" t="s">
        <v>38</v>
      </c>
      <c r="B13" s="51" t="s">
        <v>39</v>
      </c>
      <c r="C13" s="51" t="s">
        <v>43</v>
      </c>
      <c r="D13" s="51" t="s">
        <v>153</v>
      </c>
      <c r="E13" s="51" t="s">
        <v>154</v>
      </c>
      <c r="F13" s="51" t="s">
        <v>155</v>
      </c>
      <c r="G13" s="51" t="s">
        <v>55</v>
      </c>
      <c r="H13" s="51" t="s">
        <v>29</v>
      </c>
      <c r="I13" s="51" t="s">
        <v>48</v>
      </c>
      <c r="J13" s="51" t="s">
        <v>49</v>
      </c>
      <c r="K13" s="52">
        <v>1</v>
      </c>
      <c r="L13" s="51" t="s">
        <v>51</v>
      </c>
      <c r="M13" s="51">
        <v>2019</v>
      </c>
      <c r="N13" s="51" t="s">
        <v>37</v>
      </c>
      <c r="O13" s="53" t="s">
        <v>27</v>
      </c>
      <c r="P13" s="51" t="s">
        <v>28</v>
      </c>
      <c r="Q13" s="53" t="s">
        <v>28</v>
      </c>
      <c r="R13" s="54">
        <v>50</v>
      </c>
      <c r="S13" s="55">
        <v>0.5</v>
      </c>
      <c r="T13" s="55">
        <v>0.5</v>
      </c>
      <c r="U13" s="55">
        <v>0</v>
      </c>
    </row>
    <row r="14" spans="1:21" x14ac:dyDescent="0.2">
      <c r="A14" s="51" t="s">
        <v>38</v>
      </c>
      <c r="B14" s="51" t="s">
        <v>39</v>
      </c>
      <c r="C14" s="51" t="s">
        <v>43</v>
      </c>
      <c r="D14" s="51" t="s">
        <v>156</v>
      </c>
      <c r="E14" s="51" t="s">
        <v>157</v>
      </c>
      <c r="F14" s="51" t="s">
        <v>158</v>
      </c>
      <c r="G14" s="51" t="s">
        <v>52</v>
      </c>
      <c r="H14" s="51" t="s">
        <v>29</v>
      </c>
      <c r="I14" s="51" t="s">
        <v>48</v>
      </c>
      <c r="J14" s="51" t="s">
        <v>49</v>
      </c>
      <c r="K14" s="52">
        <v>1</v>
      </c>
      <c r="L14" s="51" t="s">
        <v>51</v>
      </c>
      <c r="M14" s="51">
        <v>2019</v>
      </c>
      <c r="N14" s="51" t="s">
        <v>28</v>
      </c>
      <c r="O14" s="53" t="s">
        <v>28</v>
      </c>
      <c r="P14" s="51" t="s">
        <v>28</v>
      </c>
      <c r="Q14" s="53" t="s">
        <v>28</v>
      </c>
      <c r="R14" s="54">
        <v>100</v>
      </c>
      <c r="S14" s="55">
        <v>1</v>
      </c>
      <c r="T14" s="55">
        <v>0</v>
      </c>
      <c r="U14" s="55">
        <v>0</v>
      </c>
    </row>
    <row r="15" spans="1:21" x14ac:dyDescent="0.2">
      <c r="A15" s="46" t="s">
        <v>38</v>
      </c>
      <c r="B15" s="46" t="s">
        <v>39</v>
      </c>
      <c r="C15" s="46" t="s">
        <v>43</v>
      </c>
      <c r="D15" s="46" t="s">
        <v>169</v>
      </c>
      <c r="E15" s="46" t="s">
        <v>170</v>
      </c>
      <c r="F15" s="46" t="s">
        <v>171</v>
      </c>
      <c r="G15" s="46" t="s">
        <v>53</v>
      </c>
      <c r="H15" s="46" t="s">
        <v>26</v>
      </c>
      <c r="I15" s="46" t="s">
        <v>48</v>
      </c>
      <c r="J15" s="46" t="s">
        <v>49</v>
      </c>
      <c r="K15" s="56">
        <v>0.5</v>
      </c>
      <c r="L15" s="56" t="s">
        <v>51</v>
      </c>
      <c r="M15" s="57">
        <v>2019</v>
      </c>
      <c r="N15" s="46" t="s">
        <v>54</v>
      </c>
      <c r="O15" s="48" t="s">
        <v>31</v>
      </c>
      <c r="P15" s="46" t="s">
        <v>40</v>
      </c>
      <c r="Q15" s="48" t="s">
        <v>36</v>
      </c>
      <c r="R15" s="46">
        <v>70</v>
      </c>
      <c r="S15" s="46">
        <v>0.35</v>
      </c>
      <c r="T15" s="46">
        <v>0.05</v>
      </c>
      <c r="U15" s="46">
        <v>0.1</v>
      </c>
    </row>
    <row r="16" spans="1:21" x14ac:dyDescent="0.2">
      <c r="A16" s="46" t="s">
        <v>38</v>
      </c>
      <c r="B16" s="46" t="s">
        <v>39</v>
      </c>
      <c r="C16" s="46" t="s">
        <v>43</v>
      </c>
      <c r="D16" s="46" t="s">
        <v>206</v>
      </c>
      <c r="E16" s="46" t="s">
        <v>207</v>
      </c>
      <c r="F16" s="46" t="s">
        <v>208</v>
      </c>
      <c r="G16" s="46" t="s">
        <v>209</v>
      </c>
      <c r="H16" s="46" t="s">
        <v>29</v>
      </c>
      <c r="I16" s="46" t="s">
        <v>48</v>
      </c>
      <c r="J16" s="46" t="s">
        <v>49</v>
      </c>
      <c r="K16" s="56">
        <v>1</v>
      </c>
      <c r="L16" s="56" t="s">
        <v>51</v>
      </c>
      <c r="M16" s="46">
        <v>2021</v>
      </c>
      <c r="N16" s="46" t="s">
        <v>37</v>
      </c>
      <c r="O16" s="48" t="s">
        <v>27</v>
      </c>
      <c r="P16" s="46" t="s">
        <v>28</v>
      </c>
      <c r="Q16" s="48" t="s">
        <v>28</v>
      </c>
      <c r="R16" s="46">
        <v>50</v>
      </c>
      <c r="S16" s="46">
        <v>0.5</v>
      </c>
      <c r="T16" s="46">
        <v>0.5</v>
      </c>
      <c r="U16" s="46">
        <v>0</v>
      </c>
    </row>
    <row r="17" spans="1:21" x14ac:dyDescent="0.2">
      <c r="A17" s="46" t="s">
        <v>38</v>
      </c>
      <c r="B17" s="46" t="s">
        <v>39</v>
      </c>
      <c r="C17" s="46" t="s">
        <v>43</v>
      </c>
      <c r="D17" s="46" t="s">
        <v>210</v>
      </c>
      <c r="E17" s="46" t="s">
        <v>211</v>
      </c>
      <c r="F17" s="46" t="s">
        <v>212</v>
      </c>
      <c r="G17" s="46" t="s">
        <v>67</v>
      </c>
      <c r="H17" s="46" t="s">
        <v>29</v>
      </c>
      <c r="I17" s="46" t="s">
        <v>48</v>
      </c>
      <c r="J17" s="46" t="s">
        <v>49</v>
      </c>
      <c r="K17" s="56">
        <v>1</v>
      </c>
      <c r="L17" s="56" t="s">
        <v>51</v>
      </c>
      <c r="M17" s="46">
        <v>2021</v>
      </c>
      <c r="N17" s="46" t="s">
        <v>37</v>
      </c>
      <c r="O17" s="48" t="s">
        <v>31</v>
      </c>
      <c r="P17" s="46" t="s">
        <v>28</v>
      </c>
      <c r="Q17" s="48" t="s">
        <v>28</v>
      </c>
      <c r="R17" s="46">
        <v>90</v>
      </c>
      <c r="S17" s="46">
        <v>0.9</v>
      </c>
      <c r="T17" s="46">
        <v>0.1</v>
      </c>
      <c r="U17" s="46">
        <v>0</v>
      </c>
    </row>
    <row r="18" spans="1:21" x14ac:dyDescent="0.2">
      <c r="A18" s="46" t="s">
        <v>38</v>
      </c>
      <c r="B18" s="46" t="s">
        <v>39</v>
      </c>
      <c r="C18" s="46" t="s">
        <v>43</v>
      </c>
      <c r="D18" s="46" t="s">
        <v>213</v>
      </c>
      <c r="E18" s="46" t="s">
        <v>214</v>
      </c>
      <c r="F18" s="46" t="s">
        <v>215</v>
      </c>
      <c r="G18" s="46" t="s">
        <v>52</v>
      </c>
      <c r="H18" s="46" t="s">
        <v>29</v>
      </c>
      <c r="I18" s="46" t="s">
        <v>48</v>
      </c>
      <c r="J18" s="46" t="s">
        <v>49</v>
      </c>
      <c r="K18" s="56">
        <v>1</v>
      </c>
      <c r="L18" s="56" t="s">
        <v>51</v>
      </c>
      <c r="M18" s="46">
        <v>2021</v>
      </c>
      <c r="N18" s="46" t="s">
        <v>40</v>
      </c>
      <c r="O18" s="48" t="s">
        <v>36</v>
      </c>
      <c r="P18" s="46" t="s">
        <v>37</v>
      </c>
      <c r="Q18" s="48" t="s">
        <v>36</v>
      </c>
      <c r="R18" s="46">
        <v>60</v>
      </c>
      <c r="S18" s="46">
        <v>0.6</v>
      </c>
      <c r="T18" s="46">
        <v>0.2</v>
      </c>
      <c r="U18" s="46">
        <v>0.2</v>
      </c>
    </row>
    <row r="19" spans="1:21" x14ac:dyDescent="0.2">
      <c r="A19" s="46" t="s">
        <v>216</v>
      </c>
      <c r="B19" s="46" t="s">
        <v>217</v>
      </c>
      <c r="C19" s="46" t="s">
        <v>218</v>
      </c>
      <c r="D19" s="46" t="s">
        <v>219</v>
      </c>
      <c r="E19" s="46" t="s">
        <v>220</v>
      </c>
      <c r="F19" s="46" t="s">
        <v>221</v>
      </c>
      <c r="G19" s="46" t="s">
        <v>56</v>
      </c>
      <c r="H19" s="46" t="s">
        <v>29</v>
      </c>
      <c r="I19" s="46" t="s">
        <v>48</v>
      </c>
      <c r="J19" s="46" t="s">
        <v>49</v>
      </c>
      <c r="K19" s="56">
        <v>1</v>
      </c>
      <c r="L19" s="56" t="s">
        <v>51</v>
      </c>
      <c r="M19" s="46">
        <v>2021</v>
      </c>
      <c r="N19" s="46" t="s">
        <v>37</v>
      </c>
      <c r="O19" s="48" t="s">
        <v>31</v>
      </c>
      <c r="P19" s="46" t="s">
        <v>40</v>
      </c>
      <c r="Q19" s="48" t="s">
        <v>36</v>
      </c>
      <c r="R19" s="46">
        <v>70</v>
      </c>
      <c r="S19" s="46">
        <v>0.7</v>
      </c>
      <c r="T19" s="46">
        <v>0.1</v>
      </c>
      <c r="U19" s="46">
        <v>0.2</v>
      </c>
    </row>
    <row r="20" spans="1:2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4"/>
      <c r="Q20" s="15"/>
      <c r="R20" s="14"/>
      <c r="S20" s="58">
        <f>SUM(S2:S19)</f>
        <v>12.35</v>
      </c>
      <c r="T20" s="14"/>
      <c r="U20" s="14"/>
    </row>
  </sheetData>
  <autoFilter ref="A1:U1" xr:uid="{00000000-0009-0000-0000-000000000000}">
    <sortState xmlns:xlrd2="http://schemas.microsoft.com/office/spreadsheetml/2017/richdata2" ref="A2:T1884">
      <sortCondition ref="K3:K1884"/>
      <sortCondition ref="L3:L1884"/>
      <sortCondition ref="D3:D188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7"/>
  <sheetViews>
    <sheetView topLeftCell="A7" zoomScaleNormal="100" workbookViewId="0">
      <selection activeCell="A27" sqref="A27:S27"/>
    </sheetView>
  </sheetViews>
  <sheetFormatPr baseColWidth="10" defaultColWidth="11.44140625" defaultRowHeight="13.2" x14ac:dyDescent="0.25"/>
  <cols>
    <col min="1" max="1" width="10.5546875" style="20" bestFit="1" customWidth="1"/>
    <col min="2" max="2" width="49" style="20" bestFit="1" customWidth="1"/>
    <col min="3" max="3" width="17" style="20" bestFit="1" customWidth="1"/>
    <col min="4" max="9" width="3.33203125" style="20" bestFit="1" customWidth="1"/>
    <col min="10" max="10" width="13.109375" style="20" bestFit="1" customWidth="1"/>
    <col min="11" max="11" width="5.33203125" style="20" bestFit="1" customWidth="1"/>
    <col min="12" max="13" width="5.6640625" style="20" bestFit="1" customWidth="1"/>
    <col min="14" max="14" width="5.6640625" style="21" bestFit="1" customWidth="1"/>
    <col min="15" max="15" width="5.6640625" style="20" bestFit="1" customWidth="1"/>
    <col min="16" max="16" width="5.6640625" style="21" bestFit="1" customWidth="1"/>
    <col min="17" max="19" width="5.6640625" style="20" bestFit="1" customWidth="1"/>
    <col min="20" max="16384" width="11.44140625" style="20"/>
  </cols>
  <sheetData>
    <row r="1" spans="1:19" s="19" customFormat="1" ht="60" customHeight="1" x14ac:dyDescent="0.25">
      <c r="A1" s="22" t="s">
        <v>86</v>
      </c>
      <c r="B1" s="22" t="s">
        <v>87</v>
      </c>
      <c r="C1" s="22" t="s">
        <v>88</v>
      </c>
      <c r="D1" s="23">
        <v>2017</v>
      </c>
      <c r="E1" s="23">
        <v>2018</v>
      </c>
      <c r="F1" s="23">
        <v>2019</v>
      </c>
      <c r="G1" s="23">
        <v>2020</v>
      </c>
      <c r="H1" s="23">
        <v>2021</v>
      </c>
      <c r="I1" s="23">
        <v>2022</v>
      </c>
      <c r="J1" s="22" t="s">
        <v>89</v>
      </c>
      <c r="K1" s="24" t="s">
        <v>161</v>
      </c>
      <c r="L1" s="17" t="s">
        <v>90</v>
      </c>
      <c r="M1" s="17" t="s">
        <v>91</v>
      </c>
      <c r="N1" s="17" t="s">
        <v>92</v>
      </c>
      <c r="O1" s="17" t="s">
        <v>93</v>
      </c>
      <c r="P1" s="18" t="s">
        <v>94</v>
      </c>
      <c r="Q1" s="18" t="s">
        <v>95</v>
      </c>
      <c r="R1" s="18" t="s">
        <v>96</v>
      </c>
      <c r="S1" s="18" t="s">
        <v>97</v>
      </c>
    </row>
    <row r="2" spans="1:19" ht="14.4" x14ac:dyDescent="0.3">
      <c r="A2" s="25" t="s">
        <v>112</v>
      </c>
      <c r="B2" s="25" t="s">
        <v>113</v>
      </c>
      <c r="C2" s="25" t="s">
        <v>98</v>
      </c>
      <c r="D2" s="25"/>
      <c r="E2" s="25"/>
      <c r="F2" s="25"/>
      <c r="G2" s="25">
        <v>1</v>
      </c>
      <c r="H2" s="25"/>
      <c r="I2" s="25"/>
      <c r="J2" s="25">
        <v>1</v>
      </c>
      <c r="K2" s="25" t="s">
        <v>51</v>
      </c>
      <c r="L2" s="26">
        <v>0</v>
      </c>
      <c r="M2" s="26">
        <v>0</v>
      </c>
      <c r="N2" s="26" t="s">
        <v>28</v>
      </c>
      <c r="O2" s="26" t="s">
        <v>28</v>
      </c>
      <c r="P2" s="26">
        <v>100</v>
      </c>
      <c r="Q2" s="26">
        <v>0</v>
      </c>
      <c r="R2" s="26">
        <v>0</v>
      </c>
      <c r="S2" s="26">
        <v>1</v>
      </c>
    </row>
    <row r="3" spans="1:19" ht="14.4" x14ac:dyDescent="0.3">
      <c r="A3" s="25" t="s">
        <v>124</v>
      </c>
      <c r="B3" s="25" t="s">
        <v>125</v>
      </c>
      <c r="C3" s="25" t="s">
        <v>98</v>
      </c>
      <c r="D3" s="25"/>
      <c r="E3" s="25"/>
      <c r="F3" s="25"/>
      <c r="G3" s="25">
        <v>1</v>
      </c>
      <c r="H3" s="25"/>
      <c r="I3" s="25"/>
      <c r="J3" s="25">
        <v>1</v>
      </c>
      <c r="K3" s="25" t="s">
        <v>51</v>
      </c>
      <c r="L3" s="26">
        <v>0</v>
      </c>
      <c r="M3" s="26">
        <v>0</v>
      </c>
      <c r="N3" s="26" t="s">
        <v>28</v>
      </c>
      <c r="O3" s="26" t="s">
        <v>28</v>
      </c>
      <c r="P3" s="26">
        <v>100</v>
      </c>
      <c r="Q3" s="26">
        <v>0</v>
      </c>
      <c r="R3" s="26">
        <v>0</v>
      </c>
      <c r="S3" s="26">
        <v>1</v>
      </c>
    </row>
    <row r="4" spans="1:19" ht="14.4" x14ac:dyDescent="0.3">
      <c r="A4" s="25" t="s">
        <v>120</v>
      </c>
      <c r="B4" s="25" t="s">
        <v>121</v>
      </c>
      <c r="C4" s="25" t="s">
        <v>98</v>
      </c>
      <c r="D4" s="25">
        <v>1</v>
      </c>
      <c r="E4" s="25"/>
      <c r="F4" s="25"/>
      <c r="G4" s="25"/>
      <c r="H4" s="25"/>
      <c r="I4" s="25"/>
      <c r="J4" s="25">
        <v>1</v>
      </c>
      <c r="K4" s="25" t="s">
        <v>51</v>
      </c>
      <c r="L4" s="26" t="s">
        <v>37</v>
      </c>
      <c r="M4" s="26" t="s">
        <v>27</v>
      </c>
      <c r="N4" s="26" t="s">
        <v>28</v>
      </c>
      <c r="O4" s="26" t="s">
        <v>28</v>
      </c>
      <c r="P4" s="26">
        <v>50</v>
      </c>
      <c r="Q4" s="26">
        <v>0.5</v>
      </c>
      <c r="R4" s="26">
        <v>0</v>
      </c>
      <c r="S4" s="26">
        <v>0.5</v>
      </c>
    </row>
    <row r="5" spans="1:19" ht="14.4" x14ac:dyDescent="0.3">
      <c r="A5" s="25" t="s">
        <v>114</v>
      </c>
      <c r="B5" s="25" t="s">
        <v>115</v>
      </c>
      <c r="C5" s="59" t="s">
        <v>98</v>
      </c>
      <c r="D5" s="25"/>
      <c r="E5" s="25"/>
      <c r="F5" s="25">
        <v>1</v>
      </c>
      <c r="G5" s="25"/>
      <c r="H5" s="25"/>
      <c r="I5" s="25">
        <v>1</v>
      </c>
      <c r="J5" s="25">
        <v>2</v>
      </c>
      <c r="K5" s="25" t="s">
        <v>51</v>
      </c>
      <c r="L5" s="26" t="s">
        <v>37</v>
      </c>
      <c r="M5" s="26" t="s">
        <v>27</v>
      </c>
      <c r="N5" s="26" t="s">
        <v>28</v>
      </c>
      <c r="O5" s="26" t="s">
        <v>28</v>
      </c>
      <c r="P5" s="26">
        <v>50</v>
      </c>
      <c r="Q5" s="26">
        <v>1</v>
      </c>
      <c r="R5" s="26">
        <v>0</v>
      </c>
      <c r="S5" s="26">
        <v>1</v>
      </c>
    </row>
    <row r="6" spans="1:19" ht="14.4" x14ac:dyDescent="0.3">
      <c r="A6" s="25" t="s">
        <v>110</v>
      </c>
      <c r="B6" s="25" t="s">
        <v>111</v>
      </c>
      <c r="C6" s="25" t="s">
        <v>98</v>
      </c>
      <c r="D6" s="25"/>
      <c r="E6" s="25"/>
      <c r="F6" s="25"/>
      <c r="G6" s="25"/>
      <c r="H6" s="25"/>
      <c r="I6" s="25">
        <v>1</v>
      </c>
      <c r="J6" s="25">
        <v>1</v>
      </c>
      <c r="K6" s="25" t="s">
        <v>51</v>
      </c>
      <c r="L6" s="26" t="s">
        <v>37</v>
      </c>
      <c r="M6" s="26" t="s">
        <v>27</v>
      </c>
      <c r="N6" s="26" t="s">
        <v>28</v>
      </c>
      <c r="O6" s="26" t="s">
        <v>28</v>
      </c>
      <c r="P6" s="26">
        <v>50</v>
      </c>
      <c r="Q6" s="26">
        <v>0.5</v>
      </c>
      <c r="R6" s="26">
        <v>0</v>
      </c>
      <c r="S6" s="26">
        <v>0.5</v>
      </c>
    </row>
    <row r="7" spans="1:19" ht="14.4" x14ac:dyDescent="0.3">
      <c r="A7" s="25" t="s">
        <v>106</v>
      </c>
      <c r="B7" s="25" t="s">
        <v>107</v>
      </c>
      <c r="C7" s="25" t="s">
        <v>98</v>
      </c>
      <c r="D7" s="25"/>
      <c r="E7" s="25">
        <v>1</v>
      </c>
      <c r="F7" s="25">
        <v>1</v>
      </c>
      <c r="G7" s="25"/>
      <c r="H7" s="25"/>
      <c r="I7" s="25"/>
      <c r="J7" s="25">
        <v>2</v>
      </c>
      <c r="K7" s="25" t="s">
        <v>51</v>
      </c>
      <c r="L7" s="26" t="s">
        <v>37</v>
      </c>
      <c r="M7" s="26" t="s">
        <v>27</v>
      </c>
      <c r="N7" s="26" t="s">
        <v>28</v>
      </c>
      <c r="O7" s="26" t="s">
        <v>28</v>
      </c>
      <c r="P7" s="26">
        <v>50</v>
      </c>
      <c r="Q7" s="26">
        <v>1</v>
      </c>
      <c r="R7" s="26">
        <v>0</v>
      </c>
      <c r="S7" s="26">
        <v>1</v>
      </c>
    </row>
    <row r="8" spans="1:19" ht="14.4" x14ac:dyDescent="0.3">
      <c r="A8" s="25" t="s">
        <v>128</v>
      </c>
      <c r="B8" s="25" t="s">
        <v>129</v>
      </c>
      <c r="C8" s="25" t="s">
        <v>98</v>
      </c>
      <c r="D8" s="25"/>
      <c r="E8" s="25"/>
      <c r="F8" s="25">
        <v>1</v>
      </c>
      <c r="G8" s="25"/>
      <c r="H8" s="25"/>
      <c r="I8" s="25">
        <v>1</v>
      </c>
      <c r="J8" s="25">
        <v>2</v>
      </c>
      <c r="K8" s="25" t="s">
        <v>51</v>
      </c>
      <c r="L8" s="26" t="s">
        <v>37</v>
      </c>
      <c r="M8" s="26" t="s">
        <v>27</v>
      </c>
      <c r="N8" s="26" t="s">
        <v>28</v>
      </c>
      <c r="O8" s="26" t="s">
        <v>28</v>
      </c>
      <c r="P8" s="26">
        <v>50</v>
      </c>
      <c r="Q8" s="26">
        <v>1</v>
      </c>
      <c r="R8" s="26">
        <v>0</v>
      </c>
      <c r="S8" s="26">
        <v>1</v>
      </c>
    </row>
    <row r="9" spans="1:19" ht="14.4" x14ac:dyDescent="0.3">
      <c r="A9" s="25" t="s">
        <v>162</v>
      </c>
      <c r="B9" s="25" t="s">
        <v>163</v>
      </c>
      <c r="C9" s="25" t="s">
        <v>98</v>
      </c>
      <c r="D9" s="25"/>
      <c r="E9" s="25"/>
      <c r="F9" s="25"/>
      <c r="G9" s="25"/>
      <c r="H9" s="25">
        <v>1</v>
      </c>
      <c r="I9" s="25"/>
      <c r="J9" s="25">
        <v>1</v>
      </c>
      <c r="K9" s="25" t="s">
        <v>51</v>
      </c>
      <c r="L9" s="26" t="s">
        <v>40</v>
      </c>
      <c r="M9" s="26" t="s">
        <v>36</v>
      </c>
      <c r="N9" s="26" t="s">
        <v>28</v>
      </c>
      <c r="O9" s="26" t="s">
        <v>28</v>
      </c>
      <c r="P9" s="26">
        <v>80</v>
      </c>
      <c r="Q9" s="26">
        <v>0.2</v>
      </c>
      <c r="R9" s="26">
        <v>0</v>
      </c>
      <c r="S9" s="26">
        <v>0.8</v>
      </c>
    </row>
    <row r="10" spans="1:19" ht="14.4" x14ac:dyDescent="0.3">
      <c r="A10" s="25" t="s">
        <v>100</v>
      </c>
      <c r="B10" s="25" t="s">
        <v>101</v>
      </c>
      <c r="C10" s="25" t="s">
        <v>98</v>
      </c>
      <c r="D10" s="25"/>
      <c r="E10" s="25"/>
      <c r="F10" s="25"/>
      <c r="G10" s="25"/>
      <c r="H10" s="25">
        <v>1</v>
      </c>
      <c r="I10" s="25"/>
      <c r="J10" s="25">
        <v>1</v>
      </c>
      <c r="K10" s="25" t="s">
        <v>51</v>
      </c>
      <c r="L10" s="26">
        <v>0</v>
      </c>
      <c r="M10" s="26">
        <v>0</v>
      </c>
      <c r="N10" s="26" t="s">
        <v>28</v>
      </c>
      <c r="O10" s="26" t="s">
        <v>28</v>
      </c>
      <c r="P10" s="26">
        <v>100</v>
      </c>
      <c r="Q10" s="26">
        <v>0</v>
      </c>
      <c r="R10" s="26">
        <v>0</v>
      </c>
      <c r="S10" s="26">
        <v>1</v>
      </c>
    </row>
    <row r="11" spans="1:19" ht="14.4" x14ac:dyDescent="0.3">
      <c r="A11" s="25" t="s">
        <v>222</v>
      </c>
      <c r="B11" s="25" t="s">
        <v>223</v>
      </c>
      <c r="C11" s="25" t="s">
        <v>98</v>
      </c>
      <c r="D11" s="25"/>
      <c r="E11" s="25"/>
      <c r="F11" s="25"/>
      <c r="G11" s="25"/>
      <c r="H11" s="25"/>
      <c r="I11" s="25">
        <v>1</v>
      </c>
      <c r="J11" s="25">
        <v>1</v>
      </c>
      <c r="K11" s="25" t="s">
        <v>51</v>
      </c>
      <c r="L11" s="26" t="s">
        <v>37</v>
      </c>
      <c r="M11" s="26" t="s">
        <v>31</v>
      </c>
      <c r="N11" s="26" t="s">
        <v>28</v>
      </c>
      <c r="O11" s="26" t="s">
        <v>28</v>
      </c>
      <c r="P11" s="26">
        <v>90</v>
      </c>
      <c r="Q11" s="26">
        <v>0.1</v>
      </c>
      <c r="R11" s="26">
        <v>0</v>
      </c>
      <c r="S11" s="26">
        <v>0.9</v>
      </c>
    </row>
    <row r="12" spans="1:19" ht="14.4" x14ac:dyDescent="0.3">
      <c r="A12" s="25" t="s">
        <v>116</v>
      </c>
      <c r="B12" s="25" t="s">
        <v>117</v>
      </c>
      <c r="C12" s="25" t="s">
        <v>98</v>
      </c>
      <c r="D12" s="25"/>
      <c r="E12" s="25"/>
      <c r="F12" s="25"/>
      <c r="G12" s="25"/>
      <c r="H12" s="25"/>
      <c r="I12" s="25">
        <v>1</v>
      </c>
      <c r="J12" s="25">
        <v>1</v>
      </c>
      <c r="K12" s="25" t="s">
        <v>51</v>
      </c>
      <c r="L12" s="26" t="s">
        <v>37</v>
      </c>
      <c r="M12" s="26" t="s">
        <v>31</v>
      </c>
      <c r="N12" s="26" t="s">
        <v>40</v>
      </c>
      <c r="O12" s="26" t="s">
        <v>36</v>
      </c>
      <c r="P12" s="26">
        <v>70</v>
      </c>
      <c r="Q12" s="26">
        <v>0.1</v>
      </c>
      <c r="R12" s="26">
        <v>0.2</v>
      </c>
      <c r="S12" s="26">
        <v>0.7</v>
      </c>
    </row>
    <row r="13" spans="1:19" ht="14.4" x14ac:dyDescent="0.3">
      <c r="A13" s="25" t="s">
        <v>224</v>
      </c>
      <c r="B13" s="25" t="s">
        <v>225</v>
      </c>
      <c r="C13" s="25" t="s">
        <v>98</v>
      </c>
      <c r="D13" s="25"/>
      <c r="E13" s="25"/>
      <c r="F13" s="25"/>
      <c r="G13" s="25"/>
      <c r="H13" s="25"/>
      <c r="I13" s="25">
        <v>1</v>
      </c>
      <c r="J13" s="25">
        <v>1</v>
      </c>
      <c r="K13" s="25" t="s">
        <v>51</v>
      </c>
      <c r="L13" s="26" t="s">
        <v>37</v>
      </c>
      <c r="M13" s="26" t="s">
        <v>31</v>
      </c>
      <c r="N13" s="26" t="s">
        <v>28</v>
      </c>
      <c r="O13" s="26" t="s">
        <v>28</v>
      </c>
      <c r="P13" s="26">
        <v>90</v>
      </c>
      <c r="Q13" s="26">
        <v>0.1</v>
      </c>
      <c r="R13" s="26">
        <v>0</v>
      </c>
      <c r="S13" s="26">
        <v>0.9</v>
      </c>
    </row>
    <row r="14" spans="1:19" ht="14.4" x14ac:dyDescent="0.3">
      <c r="A14" s="25" t="s">
        <v>130</v>
      </c>
      <c r="B14" s="25" t="s">
        <v>131</v>
      </c>
      <c r="C14" s="25" t="s">
        <v>98</v>
      </c>
      <c r="D14" s="25"/>
      <c r="E14" s="25">
        <v>1</v>
      </c>
      <c r="F14" s="25"/>
      <c r="G14" s="25"/>
      <c r="H14" s="25"/>
      <c r="I14" s="25"/>
      <c r="J14" s="25">
        <v>1</v>
      </c>
      <c r="K14" s="25" t="s">
        <v>51</v>
      </c>
      <c r="L14" s="26" t="s">
        <v>37</v>
      </c>
      <c r="M14" s="26" t="s">
        <v>27</v>
      </c>
      <c r="N14" s="26" t="s">
        <v>28</v>
      </c>
      <c r="O14" s="26" t="s">
        <v>28</v>
      </c>
      <c r="P14" s="26">
        <v>50</v>
      </c>
      <c r="Q14" s="26">
        <v>0.5</v>
      </c>
      <c r="R14" s="26">
        <v>0</v>
      </c>
      <c r="S14" s="26">
        <v>0.5</v>
      </c>
    </row>
    <row r="15" spans="1:19" ht="14.4" x14ac:dyDescent="0.3">
      <c r="A15" s="25" t="s">
        <v>108</v>
      </c>
      <c r="B15" s="25" t="s">
        <v>109</v>
      </c>
      <c r="C15" s="25" t="s">
        <v>98</v>
      </c>
      <c r="D15" s="25"/>
      <c r="E15" s="25"/>
      <c r="F15" s="25"/>
      <c r="G15" s="25"/>
      <c r="H15" s="25">
        <v>1</v>
      </c>
      <c r="I15" s="25"/>
      <c r="J15" s="25">
        <v>1</v>
      </c>
      <c r="K15" s="25" t="s">
        <v>51</v>
      </c>
      <c r="L15" s="26" t="s">
        <v>54</v>
      </c>
      <c r="M15" s="26" t="s">
        <v>31</v>
      </c>
      <c r="N15" s="26" t="s">
        <v>40</v>
      </c>
      <c r="O15" s="26" t="s">
        <v>36</v>
      </c>
      <c r="P15" s="26">
        <v>70</v>
      </c>
      <c r="Q15" s="26">
        <v>0.1</v>
      </c>
      <c r="R15" s="26">
        <v>0.2</v>
      </c>
      <c r="S15" s="26">
        <v>0.7</v>
      </c>
    </row>
    <row r="16" spans="1:19" ht="14.4" x14ac:dyDescent="0.3">
      <c r="A16" s="25" t="s">
        <v>126</v>
      </c>
      <c r="B16" s="25" t="s">
        <v>127</v>
      </c>
      <c r="C16" s="25" t="s">
        <v>98</v>
      </c>
      <c r="D16" s="25"/>
      <c r="E16" s="25"/>
      <c r="F16" s="25">
        <v>1</v>
      </c>
      <c r="G16" s="25"/>
      <c r="H16" s="25"/>
      <c r="I16" s="25"/>
      <c r="J16" s="25">
        <v>1</v>
      </c>
      <c r="K16" s="25" t="s">
        <v>51</v>
      </c>
      <c r="L16" s="26" t="s">
        <v>37</v>
      </c>
      <c r="M16" s="26" t="s">
        <v>31</v>
      </c>
      <c r="N16" s="26" t="s">
        <v>28</v>
      </c>
      <c r="O16" s="26" t="s">
        <v>28</v>
      </c>
      <c r="P16" s="26">
        <v>90</v>
      </c>
      <c r="Q16" s="26">
        <v>0.1</v>
      </c>
      <c r="R16" s="26">
        <v>0</v>
      </c>
      <c r="S16" s="26">
        <v>0.9</v>
      </c>
    </row>
    <row r="17" spans="1:19" ht="14.4" x14ac:dyDescent="0.3">
      <c r="A17" s="25" t="s">
        <v>226</v>
      </c>
      <c r="B17" s="25" t="s">
        <v>227</v>
      </c>
      <c r="C17" s="25" t="s">
        <v>99</v>
      </c>
      <c r="D17" s="25"/>
      <c r="E17" s="25"/>
      <c r="F17" s="25"/>
      <c r="G17" s="25"/>
      <c r="H17" s="25"/>
      <c r="I17" s="25">
        <v>1</v>
      </c>
      <c r="J17" s="25">
        <v>1</v>
      </c>
      <c r="K17" s="25" t="s">
        <v>51</v>
      </c>
      <c r="L17" s="26" t="s">
        <v>37</v>
      </c>
      <c r="M17" s="26" t="s">
        <v>36</v>
      </c>
      <c r="N17" s="26" t="s">
        <v>34</v>
      </c>
      <c r="O17" s="26" t="s">
        <v>36</v>
      </c>
      <c r="P17" s="26">
        <v>60</v>
      </c>
      <c r="Q17" s="26">
        <v>0.2</v>
      </c>
      <c r="R17" s="26">
        <v>0.2</v>
      </c>
      <c r="S17" s="26">
        <v>0.6</v>
      </c>
    </row>
    <row r="18" spans="1:19" ht="14.4" x14ac:dyDescent="0.3">
      <c r="A18" s="25" t="s">
        <v>118</v>
      </c>
      <c r="B18" s="25" t="s">
        <v>119</v>
      </c>
      <c r="C18" s="25" t="s">
        <v>99</v>
      </c>
      <c r="D18" s="25"/>
      <c r="E18" s="25">
        <v>1</v>
      </c>
      <c r="F18" s="25"/>
      <c r="G18" s="25"/>
      <c r="H18" s="25"/>
      <c r="I18" s="25"/>
      <c r="J18" s="25">
        <v>1</v>
      </c>
      <c r="K18" s="25" t="s">
        <v>51</v>
      </c>
      <c r="L18" s="26">
        <v>0</v>
      </c>
      <c r="M18" s="26">
        <v>0</v>
      </c>
      <c r="N18" s="26" t="s">
        <v>28</v>
      </c>
      <c r="O18" s="26" t="s">
        <v>28</v>
      </c>
      <c r="P18" s="26">
        <v>100</v>
      </c>
      <c r="Q18" s="26">
        <v>0</v>
      </c>
      <c r="R18" s="26">
        <v>0</v>
      </c>
      <c r="S18" s="26">
        <v>1</v>
      </c>
    </row>
    <row r="19" spans="1:19" ht="14.4" x14ac:dyDescent="0.3">
      <c r="A19" s="25" t="s">
        <v>159</v>
      </c>
      <c r="B19" s="25" t="s">
        <v>160</v>
      </c>
      <c r="C19" s="25" t="s">
        <v>99</v>
      </c>
      <c r="D19" s="25"/>
      <c r="E19" s="25"/>
      <c r="F19" s="25"/>
      <c r="G19" s="25"/>
      <c r="H19" s="25"/>
      <c r="I19" s="25">
        <v>1</v>
      </c>
      <c r="J19" s="25">
        <v>1</v>
      </c>
      <c r="K19" s="25" t="s">
        <v>51</v>
      </c>
      <c r="L19" s="26" t="s">
        <v>40</v>
      </c>
      <c r="M19" s="26" t="s">
        <v>36</v>
      </c>
      <c r="N19" s="26" t="s">
        <v>28</v>
      </c>
      <c r="O19" s="26" t="s">
        <v>28</v>
      </c>
      <c r="P19" s="26">
        <v>80</v>
      </c>
      <c r="Q19" s="26">
        <v>0.2</v>
      </c>
      <c r="R19" s="26">
        <v>0</v>
      </c>
      <c r="S19" s="26">
        <v>0.8</v>
      </c>
    </row>
    <row r="20" spans="1:19" ht="14.4" x14ac:dyDescent="0.3">
      <c r="A20" s="25" t="s">
        <v>122</v>
      </c>
      <c r="B20" s="25" t="s">
        <v>123</v>
      </c>
      <c r="C20" s="25" t="s">
        <v>99</v>
      </c>
      <c r="D20" s="25"/>
      <c r="E20" s="25"/>
      <c r="F20" s="25"/>
      <c r="G20" s="25"/>
      <c r="H20" s="25"/>
      <c r="I20" s="25">
        <v>1</v>
      </c>
      <c r="J20" s="25">
        <v>1</v>
      </c>
      <c r="K20" s="25" t="s">
        <v>51</v>
      </c>
      <c r="L20" s="26" t="s">
        <v>40</v>
      </c>
      <c r="M20" s="26" t="s">
        <v>27</v>
      </c>
      <c r="N20" s="26" t="s">
        <v>28</v>
      </c>
      <c r="O20" s="26" t="s">
        <v>28</v>
      </c>
      <c r="P20" s="26">
        <v>50</v>
      </c>
      <c r="Q20" s="26">
        <v>0.5</v>
      </c>
      <c r="R20" s="26">
        <v>0</v>
      </c>
      <c r="S20" s="26">
        <v>0.5</v>
      </c>
    </row>
    <row r="21" spans="1:19" ht="14.4" x14ac:dyDescent="0.3">
      <c r="A21" s="25" t="s">
        <v>164</v>
      </c>
      <c r="B21" s="25" t="s">
        <v>165</v>
      </c>
      <c r="C21" s="25" t="s">
        <v>98</v>
      </c>
      <c r="D21" s="25"/>
      <c r="E21" s="25"/>
      <c r="F21" s="25"/>
      <c r="G21" s="25"/>
      <c r="H21" s="25">
        <v>1</v>
      </c>
      <c r="I21" s="25"/>
      <c r="J21" s="25">
        <v>1</v>
      </c>
      <c r="K21" s="25" t="s">
        <v>51</v>
      </c>
      <c r="L21" s="26" t="s">
        <v>34</v>
      </c>
      <c r="M21" s="26" t="s">
        <v>35</v>
      </c>
      <c r="N21" s="26" t="s">
        <v>37</v>
      </c>
      <c r="O21" s="26" t="s">
        <v>35</v>
      </c>
      <c r="P21" s="26">
        <v>40</v>
      </c>
      <c r="Q21" s="26">
        <v>0.3</v>
      </c>
      <c r="R21" s="26">
        <v>0.3</v>
      </c>
      <c r="S21" s="26">
        <v>0.4</v>
      </c>
    </row>
    <row r="22" spans="1:19" ht="14.4" x14ac:dyDescent="0.3">
      <c r="A22" s="25" t="s">
        <v>104</v>
      </c>
      <c r="B22" s="25" t="s">
        <v>105</v>
      </c>
      <c r="C22" s="25" t="s">
        <v>99</v>
      </c>
      <c r="D22" s="25"/>
      <c r="E22" s="25"/>
      <c r="F22" s="25"/>
      <c r="G22" s="25"/>
      <c r="H22" s="25">
        <v>1</v>
      </c>
      <c r="I22" s="25">
        <v>1</v>
      </c>
      <c r="J22" s="25">
        <v>2</v>
      </c>
      <c r="K22" s="25" t="s">
        <v>51</v>
      </c>
      <c r="L22" s="26">
        <v>0</v>
      </c>
      <c r="M22" s="26">
        <v>0</v>
      </c>
      <c r="N22" s="26" t="s">
        <v>28</v>
      </c>
      <c r="O22" s="26" t="s">
        <v>28</v>
      </c>
      <c r="P22" s="26">
        <v>100</v>
      </c>
      <c r="Q22" s="26">
        <v>0</v>
      </c>
      <c r="R22" s="26">
        <v>0</v>
      </c>
      <c r="S22" s="26">
        <v>2</v>
      </c>
    </row>
    <row r="23" spans="1:19" ht="14.4" x14ac:dyDescent="0.3">
      <c r="A23" s="25" t="s">
        <v>102</v>
      </c>
      <c r="B23" s="25" t="s">
        <v>103</v>
      </c>
      <c r="C23" s="59" t="s">
        <v>98</v>
      </c>
      <c r="D23" s="25"/>
      <c r="E23" s="25"/>
      <c r="F23" s="25"/>
      <c r="G23" s="25">
        <v>1</v>
      </c>
      <c r="H23" s="25"/>
      <c r="I23" s="25"/>
      <c r="J23" s="25">
        <v>1</v>
      </c>
      <c r="K23" s="25" t="s">
        <v>51</v>
      </c>
      <c r="L23" s="26" t="s">
        <v>40</v>
      </c>
      <c r="M23" s="26" t="s">
        <v>36</v>
      </c>
      <c r="N23" s="26" t="s">
        <v>37</v>
      </c>
      <c r="O23" s="26" t="s">
        <v>36</v>
      </c>
      <c r="P23" s="26">
        <v>60</v>
      </c>
      <c r="Q23" s="26">
        <v>0.2</v>
      </c>
      <c r="R23" s="26">
        <v>0.2</v>
      </c>
      <c r="S23" s="26">
        <v>0.6</v>
      </c>
    </row>
    <row r="24" spans="1:19" ht="14.4" x14ac:dyDescent="0.3">
      <c r="A24" s="25" t="s">
        <v>166</v>
      </c>
      <c r="B24" s="25" t="s">
        <v>167</v>
      </c>
      <c r="C24" s="59" t="s">
        <v>99</v>
      </c>
      <c r="D24" s="25"/>
      <c r="E24" s="25"/>
      <c r="F24" s="25"/>
      <c r="G24" s="25"/>
      <c r="H24" s="25"/>
      <c r="I24" s="25">
        <v>1</v>
      </c>
      <c r="J24" s="25">
        <v>1</v>
      </c>
      <c r="K24" s="25" t="s">
        <v>51</v>
      </c>
      <c r="L24" s="26" t="s">
        <v>40</v>
      </c>
      <c r="M24" s="26" t="s">
        <v>168</v>
      </c>
      <c r="N24" s="26" t="s">
        <v>28</v>
      </c>
      <c r="O24" s="26" t="s">
        <v>28</v>
      </c>
      <c r="P24" s="26">
        <v>75</v>
      </c>
      <c r="Q24" s="26">
        <v>0.25</v>
      </c>
      <c r="R24" s="26">
        <v>0</v>
      </c>
      <c r="S24" s="26">
        <v>0.75</v>
      </c>
    </row>
    <row r="25" spans="1:19" ht="14.4" x14ac:dyDescent="0.3">
      <c r="A25" s="25" t="s">
        <v>228</v>
      </c>
      <c r="B25" s="25" t="s">
        <v>229</v>
      </c>
      <c r="C25" s="59" t="s">
        <v>99</v>
      </c>
      <c r="D25" s="25"/>
      <c r="E25" s="25"/>
      <c r="F25" s="25"/>
      <c r="G25" s="25"/>
      <c r="H25" s="25">
        <v>1</v>
      </c>
      <c r="I25" s="25"/>
      <c r="J25" s="25">
        <v>1</v>
      </c>
      <c r="K25" s="25" t="s">
        <v>51</v>
      </c>
      <c r="L25" s="26" t="s">
        <v>37</v>
      </c>
      <c r="M25" s="26" t="s">
        <v>36</v>
      </c>
      <c r="N25" s="26" t="s">
        <v>28</v>
      </c>
      <c r="O25" s="26" t="s">
        <v>28</v>
      </c>
      <c r="P25" s="26">
        <v>80</v>
      </c>
      <c r="Q25" s="26">
        <v>0.2</v>
      </c>
      <c r="R25" s="26">
        <v>0</v>
      </c>
      <c r="S25" s="26">
        <v>0.8</v>
      </c>
    </row>
    <row r="26" spans="1:19" ht="14.4" x14ac:dyDescent="0.3">
      <c r="A26" s="25" t="s">
        <v>230</v>
      </c>
      <c r="B26" s="25" t="s">
        <v>231</v>
      </c>
      <c r="C26" s="59" t="s">
        <v>99</v>
      </c>
      <c r="D26" s="25"/>
      <c r="E26" s="25"/>
      <c r="F26" s="25"/>
      <c r="G26" s="25"/>
      <c r="H26" s="25"/>
      <c r="I26" s="25">
        <v>1</v>
      </c>
      <c r="J26" s="25">
        <v>1</v>
      </c>
      <c r="K26" s="25" t="s">
        <v>51</v>
      </c>
      <c r="L26" s="26" t="s">
        <v>37</v>
      </c>
      <c r="M26" s="26" t="s">
        <v>27</v>
      </c>
      <c r="N26" s="26" t="s">
        <v>28</v>
      </c>
      <c r="O26" s="26" t="s">
        <v>28</v>
      </c>
      <c r="P26" s="26">
        <v>50</v>
      </c>
      <c r="Q26" s="26">
        <v>0.5</v>
      </c>
      <c r="R26" s="26">
        <v>0</v>
      </c>
      <c r="S26" s="26">
        <v>0.5</v>
      </c>
    </row>
    <row r="27" spans="1:19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1"/>
      <c r="O27" s="60"/>
      <c r="P27" s="61"/>
      <c r="Q27" s="60"/>
      <c r="R27" s="60"/>
      <c r="S27" s="62">
        <f>SUM(S2:S26)</f>
        <v>20.350000000000001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zoomScaleNormal="100" workbookViewId="0">
      <selection activeCell="A14" sqref="A14:B1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142</v>
      </c>
      <c r="B2" s="5"/>
    </row>
    <row r="3" spans="1:2" x14ac:dyDescent="0.2">
      <c r="A3" s="4" t="s">
        <v>143</v>
      </c>
      <c r="B3" s="5">
        <v>2100</v>
      </c>
    </row>
    <row r="4" spans="1:2" x14ac:dyDescent="0.2">
      <c r="A4" s="4" t="s">
        <v>144</v>
      </c>
      <c r="B4" s="7">
        <v>1400</v>
      </c>
    </row>
    <row r="5" spans="1:2" x14ac:dyDescent="0.2">
      <c r="A5" s="4" t="s">
        <v>132</v>
      </c>
      <c r="B5" s="5"/>
    </row>
    <row r="6" spans="1:2" x14ac:dyDescent="0.2">
      <c r="A6" s="4" t="s">
        <v>133</v>
      </c>
      <c r="B6" s="5">
        <v>1080</v>
      </c>
    </row>
    <row r="7" spans="1:2" x14ac:dyDescent="0.2">
      <c r="A7" s="4" t="s">
        <v>134</v>
      </c>
      <c r="B7" s="5">
        <v>720</v>
      </c>
    </row>
    <row r="8" spans="1:2" x14ac:dyDescent="0.2">
      <c r="A8" s="4" t="s">
        <v>135</v>
      </c>
      <c r="B8" s="5"/>
    </row>
    <row r="9" spans="1:2" x14ac:dyDescent="0.2">
      <c r="A9" s="4" t="s">
        <v>136</v>
      </c>
      <c r="B9" s="5">
        <v>46.12</v>
      </c>
    </row>
    <row r="10" spans="1:2" x14ac:dyDescent="0.2">
      <c r="A10" s="4" t="s">
        <v>3</v>
      </c>
      <c r="B10" s="5"/>
    </row>
    <row r="11" spans="1:2" x14ac:dyDescent="0.2">
      <c r="A11" s="4" t="s">
        <v>137</v>
      </c>
      <c r="B11" s="5">
        <v>5200</v>
      </c>
    </row>
    <row r="12" spans="1:2" x14ac:dyDescent="0.2">
      <c r="A12" s="4" t="s">
        <v>138</v>
      </c>
      <c r="B12" s="5"/>
    </row>
    <row r="13" spans="1:2" x14ac:dyDescent="0.2">
      <c r="A13" s="4" t="s">
        <v>139</v>
      </c>
      <c r="B13" s="5">
        <v>5500</v>
      </c>
    </row>
    <row r="14" spans="1:2" x14ac:dyDescent="0.2">
      <c r="A14" s="4" t="s">
        <v>140</v>
      </c>
      <c r="B14" s="5"/>
    </row>
    <row r="15" spans="1:2" x14ac:dyDescent="0.2">
      <c r="A15" s="4" t="s">
        <v>141</v>
      </c>
      <c r="B15" s="5">
        <v>8000</v>
      </c>
    </row>
    <row r="16" spans="1:2" x14ac:dyDescent="0.2">
      <c r="A16" s="6" t="s">
        <v>2</v>
      </c>
      <c r="B16" s="7">
        <f>SUM(B3:B15)</f>
        <v>24046.12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9711-DF48-4615-BE33-B32F144D5AEC}">
  <dimension ref="A1:B6"/>
  <sheetViews>
    <sheetView zoomScaleNormal="100" workbookViewId="0">
      <selection activeCell="A33" sqref="A3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140</v>
      </c>
      <c r="B2" s="5"/>
    </row>
    <row r="3" spans="1:2" x14ac:dyDescent="0.2">
      <c r="A3" s="4" t="s">
        <v>172</v>
      </c>
      <c r="B3" s="5">
        <v>8000</v>
      </c>
    </row>
    <row r="4" spans="1:2" x14ac:dyDescent="0.2">
      <c r="A4" s="4" t="s">
        <v>173</v>
      </c>
      <c r="B4" s="7"/>
    </row>
    <row r="5" spans="1:2" x14ac:dyDescent="0.2">
      <c r="A5" s="4" t="s">
        <v>174</v>
      </c>
      <c r="B5" s="5">
        <v>8000</v>
      </c>
    </row>
    <row r="6" spans="1:2" x14ac:dyDescent="0.2">
      <c r="A6" s="6" t="s">
        <v>2</v>
      </c>
      <c r="B6" s="7">
        <f>SUM(B3:B5)</f>
        <v>16000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F2F7-89FD-4796-9C64-61AC4E08683B}">
  <dimension ref="A1:C19"/>
  <sheetViews>
    <sheetView zoomScaleNormal="100" workbookViewId="0">
      <selection activeCell="B21" sqref="B21"/>
    </sheetView>
  </sheetViews>
  <sheetFormatPr baseColWidth="10" defaultColWidth="11.44140625" defaultRowHeight="14.4" x14ac:dyDescent="0.3"/>
  <cols>
    <col min="1" max="1" width="13.5546875" bestFit="1" customWidth="1"/>
    <col min="2" max="2" width="97.109375" customWidth="1"/>
  </cols>
  <sheetData>
    <row r="1" spans="1:3" ht="15" thickBot="1" x14ac:dyDescent="0.35">
      <c r="A1" s="27" t="s">
        <v>180</v>
      </c>
      <c r="B1" s="27" t="s">
        <v>181</v>
      </c>
      <c r="C1" s="28" t="s">
        <v>1</v>
      </c>
    </row>
    <row r="2" spans="1:3" ht="15" thickTop="1" x14ac:dyDescent="0.3">
      <c r="A2" s="31" t="s">
        <v>182</v>
      </c>
      <c r="B2" s="32" t="s">
        <v>183</v>
      </c>
      <c r="C2" s="33">
        <v>528</v>
      </c>
    </row>
    <row r="3" spans="1:3" x14ac:dyDescent="0.3">
      <c r="A3" s="34" t="s">
        <v>184</v>
      </c>
      <c r="B3" s="35" t="s">
        <v>185</v>
      </c>
      <c r="C3" s="36">
        <v>792</v>
      </c>
    </row>
    <row r="4" spans="1:3" x14ac:dyDescent="0.3">
      <c r="A4" s="31" t="s">
        <v>186</v>
      </c>
      <c r="B4" s="32" t="s">
        <v>187</v>
      </c>
      <c r="C4" s="33">
        <v>264</v>
      </c>
    </row>
    <row r="5" spans="1:3" x14ac:dyDescent="0.3">
      <c r="A5" s="34" t="s">
        <v>188</v>
      </c>
      <c r="B5" s="35" t="s">
        <v>189</v>
      </c>
      <c r="C5" s="36">
        <v>150</v>
      </c>
    </row>
    <row r="6" spans="1:3" x14ac:dyDescent="0.3">
      <c r="A6" s="31" t="s">
        <v>188</v>
      </c>
      <c r="B6" s="32" t="s">
        <v>190</v>
      </c>
      <c r="C6" s="33">
        <v>300</v>
      </c>
    </row>
    <row r="7" spans="1:3" x14ac:dyDescent="0.3">
      <c r="A7" s="34" t="s">
        <v>188</v>
      </c>
      <c r="B7" s="35" t="s">
        <v>191</v>
      </c>
      <c r="C7" s="36">
        <v>300</v>
      </c>
    </row>
    <row r="8" spans="1:3" x14ac:dyDescent="0.3">
      <c r="A8" s="31" t="s">
        <v>188</v>
      </c>
      <c r="B8" s="32" t="s">
        <v>192</v>
      </c>
      <c r="C8" s="33">
        <v>300</v>
      </c>
    </row>
    <row r="9" spans="1:3" x14ac:dyDescent="0.3">
      <c r="A9" s="34" t="s">
        <v>188</v>
      </c>
      <c r="B9" s="35" t="s">
        <v>193</v>
      </c>
      <c r="C9" s="36">
        <v>300</v>
      </c>
    </row>
    <row r="10" spans="1:3" x14ac:dyDescent="0.3">
      <c r="A10" s="31" t="s">
        <v>188</v>
      </c>
      <c r="B10" s="32" t="s">
        <v>194</v>
      </c>
      <c r="C10" s="33">
        <v>300</v>
      </c>
    </row>
    <row r="11" spans="1:3" x14ac:dyDescent="0.3">
      <c r="A11" s="34" t="s">
        <v>188</v>
      </c>
      <c r="B11" s="35" t="s">
        <v>195</v>
      </c>
      <c r="C11" s="36">
        <v>300</v>
      </c>
    </row>
    <row r="12" spans="1:3" x14ac:dyDescent="0.3">
      <c r="A12" s="31" t="s">
        <v>188</v>
      </c>
      <c r="B12" s="32" t="s">
        <v>196</v>
      </c>
      <c r="C12" s="33">
        <v>300</v>
      </c>
    </row>
    <row r="13" spans="1:3" ht="28.8" x14ac:dyDescent="0.3">
      <c r="A13" s="34" t="s">
        <v>188</v>
      </c>
      <c r="B13" s="35" t="s">
        <v>197</v>
      </c>
      <c r="C13" s="36">
        <v>300</v>
      </c>
    </row>
    <row r="14" spans="1:3" x14ac:dyDescent="0.3">
      <c r="A14" s="31" t="s">
        <v>173</v>
      </c>
      <c r="B14" s="32" t="s">
        <v>198</v>
      </c>
      <c r="C14" s="33">
        <v>8000</v>
      </c>
    </row>
    <row r="15" spans="1:3" ht="15" thickBot="1" x14ac:dyDescent="0.35">
      <c r="A15" s="34" t="s">
        <v>199</v>
      </c>
      <c r="B15" s="35" t="s">
        <v>200</v>
      </c>
      <c r="C15" s="36">
        <v>6120</v>
      </c>
    </row>
    <row r="16" spans="1:3" ht="15" thickTop="1" x14ac:dyDescent="0.3">
      <c r="A16" s="29"/>
      <c r="B16" s="29"/>
      <c r="C16" s="30">
        <v>18254</v>
      </c>
    </row>
    <row r="18" spans="2:3" x14ac:dyDescent="0.3">
      <c r="C18" s="37"/>
    </row>
    <row r="19" spans="2:3" x14ac:dyDescent="0.3">
      <c r="B19" s="63" t="s">
        <v>232</v>
      </c>
      <c r="C19" s="64">
        <f>C16+'Ingresos investigación 2020'!B6+'Ingresos investigación 2019'!B16</f>
        <v>58300.119999999995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A8" sqref="A8:XFD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145</v>
      </c>
      <c r="B3" s="5">
        <v>3800</v>
      </c>
    </row>
    <row r="4" spans="1:2" x14ac:dyDescent="0.2">
      <c r="A4" s="4" t="s">
        <v>146</v>
      </c>
      <c r="B4" s="5"/>
    </row>
    <row r="5" spans="1:2" x14ac:dyDescent="0.2">
      <c r="A5" s="4" t="s">
        <v>147</v>
      </c>
      <c r="B5" s="5">
        <v>5699.9999999999991</v>
      </c>
    </row>
    <row r="6" spans="1:2" x14ac:dyDescent="0.2">
      <c r="A6" s="4" t="s">
        <v>148</v>
      </c>
      <c r="B6" s="5">
        <v>5672.34</v>
      </c>
    </row>
    <row r="7" spans="1:2" x14ac:dyDescent="0.2">
      <c r="A7" s="4" t="s">
        <v>149</v>
      </c>
      <c r="B7" s="5">
        <v>9690</v>
      </c>
    </row>
    <row r="8" spans="1:2" x14ac:dyDescent="0.2">
      <c r="A8" s="6" t="s">
        <v>2</v>
      </c>
      <c r="B8" s="7">
        <f>SUM(B3:B7)</f>
        <v>24862.34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D547-C40B-494D-BB77-547534988D67}">
  <dimension ref="A1:B9"/>
  <sheetViews>
    <sheetView zoomScaleNormal="100" workbookViewId="0">
      <selection activeCell="B10" sqref="B1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175</v>
      </c>
      <c r="B3" s="5">
        <v>1400</v>
      </c>
    </row>
    <row r="4" spans="1:2" x14ac:dyDescent="0.2">
      <c r="A4" s="4" t="s">
        <v>146</v>
      </c>
      <c r="B4" s="5"/>
    </row>
    <row r="5" spans="1:2" x14ac:dyDescent="0.2">
      <c r="A5" s="4" t="s">
        <v>176</v>
      </c>
      <c r="B5" s="5">
        <v>1419.23</v>
      </c>
    </row>
    <row r="6" spans="1:2" x14ac:dyDescent="0.2">
      <c r="A6" s="4" t="s">
        <v>177</v>
      </c>
      <c r="B6" s="5">
        <v>4845</v>
      </c>
    </row>
    <row r="7" spans="1:2" x14ac:dyDescent="0.2">
      <c r="A7" s="4" t="s">
        <v>178</v>
      </c>
      <c r="B7" s="5">
        <v>2653.54</v>
      </c>
    </row>
    <row r="8" spans="1:2" x14ac:dyDescent="0.2">
      <c r="A8" s="4" t="s">
        <v>179</v>
      </c>
      <c r="B8" s="5">
        <v>4040.41</v>
      </c>
    </row>
    <row r="9" spans="1:2" x14ac:dyDescent="0.2">
      <c r="A9" s="6" t="s">
        <v>2</v>
      </c>
      <c r="B9" s="7">
        <f>SUM(B2:B8)</f>
        <v>14358.18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9879-F07D-44B9-80A2-61CEED07B8DE}">
  <dimension ref="A1:C8"/>
  <sheetViews>
    <sheetView zoomScaleNormal="100" workbookViewId="0">
      <selection activeCell="B8" sqref="B8:C8"/>
    </sheetView>
  </sheetViews>
  <sheetFormatPr baseColWidth="10" defaultColWidth="11.44140625" defaultRowHeight="14.4" x14ac:dyDescent="0.3"/>
  <cols>
    <col min="1" max="1" width="13.5546875" bestFit="1" customWidth="1"/>
    <col min="2" max="2" width="97" customWidth="1"/>
  </cols>
  <sheetData>
    <row r="1" spans="1:3" x14ac:dyDescent="0.3">
      <c r="A1" s="38" t="s">
        <v>180</v>
      </c>
      <c r="B1" s="38" t="s">
        <v>181</v>
      </c>
      <c r="C1" s="39" t="s">
        <v>1</v>
      </c>
    </row>
    <row r="2" spans="1:3" x14ac:dyDescent="0.3">
      <c r="A2" s="40" t="s">
        <v>146</v>
      </c>
      <c r="B2" s="40" t="s">
        <v>201</v>
      </c>
      <c r="C2" s="41">
        <v>3205.93</v>
      </c>
    </row>
    <row r="3" spans="1:3" x14ac:dyDescent="0.3">
      <c r="A3" s="42" t="s">
        <v>146</v>
      </c>
      <c r="B3" s="42" t="s">
        <v>202</v>
      </c>
      <c r="C3" s="43">
        <v>4169.1099999999997</v>
      </c>
    </row>
    <row r="4" spans="1:3" x14ac:dyDescent="0.3">
      <c r="A4" s="40" t="s">
        <v>146</v>
      </c>
      <c r="B4" s="40" t="s">
        <v>203</v>
      </c>
      <c r="C4" s="41">
        <v>6460</v>
      </c>
    </row>
    <row r="5" spans="1:3" ht="15" thickBot="1" x14ac:dyDescent="0.35">
      <c r="A5" s="42" t="s">
        <v>204</v>
      </c>
      <c r="B5" s="42" t="s">
        <v>205</v>
      </c>
      <c r="C5" s="43">
        <v>21870</v>
      </c>
    </row>
    <row r="6" spans="1:3" ht="15" thickTop="1" x14ac:dyDescent="0.3">
      <c r="A6" s="44"/>
      <c r="B6" s="44"/>
      <c r="C6" s="45">
        <v>35705.040000000001</v>
      </c>
    </row>
    <row r="8" spans="1:3" x14ac:dyDescent="0.3">
      <c r="B8" s="63" t="s">
        <v>233</v>
      </c>
      <c r="C8" s="64">
        <f>C6+'Ingresos formación 2020'!B9+'Ingresos formación 2019'!B8</f>
        <v>74925.56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2022-10-18T14:13:30Z</dcterms:modified>
</cp:coreProperties>
</file>