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H:\Mi unidad\Presupuestación\Presupuesto 2023\Departamentos\Departamentos\"/>
    </mc:Choice>
  </mc:AlternateContent>
  <xr:revisionPtr revIDLastSave="0" documentId="13_ncr:1_{9F01A75C-A495-4A78-AF0D-41EA2CE483C1}" xr6:coauthVersionLast="47" xr6:coauthVersionMax="47" xr10:uidLastSave="{00000000-0000-0000-0000-000000000000}"/>
  <bookViews>
    <workbookView xWindow="22932" yWindow="-108" windowWidth="23256" windowHeight="12456" xr2:uid="{00000000-000D-0000-FFFF-FFFF00000000}"/>
  </bookViews>
  <sheets>
    <sheet name="Tesis" sheetId="2" r:id="rId1"/>
    <sheet name="Sexenios" sheetId="3" r:id="rId2"/>
    <sheet name="Ingresos investigación 2018" sheetId="1" r:id="rId3"/>
    <sheet name="Ingresos investigación 2019" sheetId="6" r:id="rId4"/>
    <sheet name="Ingresos investigación 2020" sheetId="7" r:id="rId5"/>
    <sheet name="Ingresos investigación 2021" sheetId="8" r:id="rId6"/>
    <sheet name="Ingresos Docencia 2021" sheetId="9" r:id="rId7"/>
  </sheets>
  <definedNames>
    <definedName name="_xlnm._FilterDatabase" localSheetId="1" hidden="1">Sexenios!$A$1:$S$12</definedName>
    <definedName name="_xlnm._FilterDatabase" localSheetId="0" hidden="1">Tesis!$A$1:$U$1</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6" i="3" l="1"/>
  <c r="S15" i="2" l="1"/>
  <c r="B7" i="9" l="1"/>
  <c r="B10" i="8"/>
  <c r="B10" i="1" l="1"/>
  <c r="B12" i="7" l="1"/>
  <c r="B10" i="6" l="1"/>
  <c r="B12" i="8" s="1"/>
</calcChain>
</file>

<file path=xl/sharedStrings.xml><?xml version="1.0" encoding="utf-8"?>
<sst xmlns="http://schemas.openxmlformats.org/spreadsheetml/2006/main" count="370" uniqueCount="141">
  <si>
    <t>Orgánica
Descripción justificante</t>
  </si>
  <si>
    <t>Importe</t>
  </si>
  <si>
    <t>Total</t>
  </si>
  <si>
    <t>PARA EL PAGO ANUALIDAD 2018 CONVOCATORIA PROYECTOS EXCELENCIA 2017. JUSTIFICACIÓN EN EXPEDIENTES RESOL. 2018 Y FISCALES PROYECTOS I+D (PIA1). REF. DEL ORDENANTE PARA EL BENEFICIARIO: 27402218310019316.</t>
  </si>
  <si>
    <t>PARA EL PAGO DE LA 1 ANUALIDAD CONVOCATORIA DE PROYECTOS RETOS 2017. ANUAL 2018. JUSTIFICACIÓN PIA132017 Y FISCALES PROYECTOS I+D RETOS (PI. REF. DEL ORDENANTE PARA EL BENEFICIARIO 27402218310019450.</t>
  </si>
  <si>
    <t>31.60.6P.00.05</t>
  </si>
  <si>
    <t>1ER PAGO CONVOCATORIA PROYECTOS RETOS 2017. AUAL 2018. (A). JUSTIFICACIÓN EXPEDIENTE PIA132017 PROYECTOS I+D RETOS (PIA13) N EXPEDIENTE: P. REF. DEL ORDENANTE PARA EL BENEFICIARIO 00175218310048876-2018/007611.</t>
  </si>
  <si>
    <t>31.60.6P.00.06</t>
  </si>
  <si>
    <t>1ER PAGO CONVOCATORIA PROYECTOS EXCELENCIA 2017. ANUAL 2018. (A). JUSTIFICACIÓN EXPEDIENTE PIA12017 PROYECTOS I+D (PIA1) N EXPEDIENTE: PIA1. REF. DEL ORDENANTE PARA EL BENEFICIARIO 00175218310049190 - 2018/008268.</t>
  </si>
  <si>
    <t>31.60.6P.00.07</t>
  </si>
  <si>
    <t xml:space="preserve">RESOLUCIÓN CONCESIÓN PROMETEO 2018        </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</si>
  <si>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</si>
  <si>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</si>
  <si>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</si>
  <si>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</si>
  <si>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</si>
  <si>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</si>
  <si>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</si>
  <si>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</si>
  <si>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</si>
  <si>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</si>
  <si>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</si>
  <si>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</si>
  <si>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</si>
  <si>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</si>
  <si>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</si>
  <si>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</si>
  <si>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</si>
  <si>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</si>
  <si>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</si>
  <si>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</si>
  <si>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</si>
  <si>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</si>
  <si>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
  </si>
  <si>
    <t>Director de tesis </t>
  </si>
  <si>
    <t>U025 </t>
  </si>
  <si>
    <t>ADM. FACULTAD DE DERECHO </t>
  </si>
  <si>
    <t>DOCTORADO EN DERECHO </t>
  </si>
  <si>
    <t>21422601X </t>
  </si>
  <si>
    <t>B107 </t>
  </si>
  <si>
    <t>DERECHO CIVIL </t>
  </si>
  <si>
    <t>B107</t>
  </si>
  <si>
    <t>Martínez Martínez, Nuria </t>
  </si>
  <si>
    <t>EL LÍMITE DE LA ILUSTRACIÓN CON FINES EDUCATIVOS Y DE INVESTIGACIÓN CIENTÍFICA A LA PROPIEDAD INTELECTUAL </t>
  </si>
  <si>
    <t>27/07/2018 </t>
  </si>
  <si>
    <t>Guilabert Vidal, María Remedios </t>
  </si>
  <si>
    <t>ACOSO ESCOLAR Y CIBERACOSO: TUTELA CIVIL Y PENAL </t>
  </si>
  <si>
    <t>19/07/2019 </t>
  </si>
  <si>
    <t>33484045R </t>
  </si>
  <si>
    <t>NIF</t>
  </si>
  <si>
    <t>NOMBRE_COMPLETO</t>
  </si>
  <si>
    <t>TIPO_SEXENIO</t>
  </si>
  <si>
    <t>Total general</t>
  </si>
  <si>
    <t>INS
1</t>
  </si>
  <si>
    <t>DED
INS 1</t>
  </si>
  <si>
    <t>INS
2</t>
  </si>
  <si>
    <t>DED
INS 2</t>
  </si>
  <si>
    <t>DED
DEP</t>
  </si>
  <si>
    <t>SEX
INS 1</t>
  </si>
  <si>
    <t>SEX
INS 2</t>
  </si>
  <si>
    <t>SEX
DEP</t>
  </si>
  <si>
    <t>FUNCIONARIO</t>
  </si>
  <si>
    <t>NO FUNCIONARIO</t>
  </si>
  <si>
    <t>21468249A</t>
  </si>
  <si>
    <t>ALGARRA PRATS, ESTHER</t>
  </si>
  <si>
    <t>74086111Y</t>
  </si>
  <si>
    <t>BARCELO DOMENECH, JAVIER</t>
  </si>
  <si>
    <t>48361709T</t>
  </si>
  <si>
    <t>BERENGUER ALBALADEJO, MARIA CRISTINA</t>
  </si>
  <si>
    <t>21491593W</t>
  </si>
  <si>
    <t>CABEDO SERNA, LLANOS</t>
  </si>
  <si>
    <t>25128665S</t>
  </si>
  <si>
    <t>EVANGELIO LLORCA, MARIA RAQUEL</t>
  </si>
  <si>
    <t>21484360Z</t>
  </si>
  <si>
    <t>FEMENIA LOPEZ, PEDRO JOSE</t>
  </si>
  <si>
    <t>52774099R</t>
  </si>
  <si>
    <t>LOPEZ RICHART, JULIAN</t>
  </si>
  <si>
    <t>21422601X</t>
  </si>
  <si>
    <t>MORENO MARTINEZ, JUAN ANTONIO</t>
  </si>
  <si>
    <t>21485458P</t>
  </si>
  <si>
    <t>MURTULA LAFUENTE, VIRGINIA</t>
  </si>
  <si>
    <t>21985902H</t>
  </si>
  <si>
    <t>RAMOS MAESTRE, AUREA</t>
  </si>
  <si>
    <t>21664172N</t>
  </si>
  <si>
    <t>RIBERA BLANES, MARIA BEGOÑA</t>
  </si>
  <si>
    <t>31.60.6C.00.01</t>
  </si>
  <si>
    <t>Realización de un dictamen jurídico relativo a la validez y posible eficacia de un contrato de reconocimiento de derechos de propiedad intelectual celebrado entre dos partes que mantienen una disputa extrajudicial sobre el uso de tales derechos. Valoración de las diferentes alternativas de defensa posibles tras analizar el estado de la cuestión en la doctrina y la jurisprudencia civil.</t>
  </si>
  <si>
    <t>FLIB 18/03/19. PROYECTOS I+D+I RETOS 2017. ANUAL 2019. UNIV2 PROYECTOS I+D RETOS (PIA13) N EXPEDIENTE: PIA132017-1 - 2 ANUALIDAD REFERENCI. REF. ORDENANTE: 27402219310014396.</t>
  </si>
  <si>
    <t>LIBERADOS EL 18/03/19, ANUALIDAD 2019 PROYECTOS I+D (PIA1) N EXPEDIENTE: PIA12017-1 -2 ANUALIDAD REFERENCIA: DER2017-85756-P. REF. ORDENANTE: 27402219310015478.</t>
  </si>
  <si>
    <t xml:space="preserve">PROMETEO 2018 EN 2019 </t>
  </si>
  <si>
    <t>17/09/2020 </t>
  </si>
  <si>
    <t>Configuración actual del consentimiento informado en la lex artis y como garantía de los derechos constitucionales; presupuestos de la responsabilidad civil ante su vulneración </t>
  </si>
  <si>
    <t>Ortiz Fernández, Manuel </t>
  </si>
  <si>
    <t>21484360Z </t>
  </si>
  <si>
    <t>09/12/2019 </t>
  </si>
  <si>
    <t>RESPONSABILIDADE CIVIL POR DANO AO MEIO AMBIENTE: DA PROBABILIDADE PELA PERDA DA CHANCE À POSSIBILIDADE PELA APLICAÇAO DA LÓGICA FUZZY </t>
  </si>
  <si>
    <t>Enzweiler , Romano José </t>
  </si>
  <si>
    <t>COD DEP</t>
  </si>
  <si>
    <t>vivos</t>
  </si>
  <si>
    <t>Navas Segura, Antonio </t>
  </si>
  <si>
    <t>El deslinde como instrumento para la gestión de la información territorial y su configuración jurídica tras la Ley 13/2015, de 24 de junio </t>
  </si>
  <si>
    <t>18/02/2021 </t>
  </si>
  <si>
    <t>López Mas, Pedro José </t>
  </si>
  <si>
    <t>Configuración actual del lucro cesante: su apreciación jurisprudencial y análisis de los criterios para su determinación judicial </t>
  </si>
  <si>
    <t>28/05/2021 </t>
  </si>
  <si>
    <t>52774099R </t>
  </si>
  <si>
    <t>FLIB 13/04/2020. PROYECTOS RETOS INVESTIGACION 2017. ANUAL 2020 PROYECTOS I+D RETOS (PIA13) N EXPEDIENTE: PIA132017-1 - 3 ANUALIDAD REFERE</t>
  </si>
  <si>
    <t>LIBERADOS EL 2/04/2020, ANUALIDAD 2020 PROYECTOS I+D (PIA1) N EXPEDIENTE: PIA12017-1 - 3 ANUALIDAD REFERENCIA: DER2017-85756-P</t>
  </si>
  <si>
    <t>PROMETEO 2018 EN 2020 (CONSELLERÍA INNOVACIÓN,UNIVERSIDADES,CIENCIA SOC.DIG)</t>
  </si>
  <si>
    <t>31.60.6P.00.08</t>
  </si>
  <si>
    <t xml:space="preserve">RESOLUCIÓN CONCESIÓN DE 16/06/2020 SUBV.AORG/2020 (INNOVACIÓN,UNIVERSIDADES,CIENCIA SOC.DIG). </t>
  </si>
  <si>
    <t>31.60.6P.00.09</t>
  </si>
  <si>
    <t>PROMETEO 2018 EN 2021 (INNOVACIÓN,UNIVERSIDADES,CIENCIA SOC.DIG)</t>
  </si>
  <si>
    <t>31.60.6P.00.10</t>
  </si>
  <si>
    <t>AYUDAS GRUPOS EMERGENTES ANUALIDAD 2021</t>
  </si>
  <si>
    <t>31.60.6P.00.11</t>
  </si>
  <si>
    <t>PID2020-116185GB-I00</t>
  </si>
  <si>
    <t>31.60.6Q.00.01</t>
  </si>
  <si>
    <t>Primer pago financiación Curso 2021/2022 Cátedra de Derecho Notarial de la Universidad de Alicante, conforme acuerdo de colaboración de 14 de octubre de 2021</t>
  </si>
  <si>
    <t>31.60.2T.00.02</t>
  </si>
  <si>
    <t>Plan 9342 Curso 2020-21 EXPERTO EN GESTIÓN E INTERMEDIACIÓN INMOBILIARIA</t>
  </si>
  <si>
    <t>Plan 9342 Curso 2021-22 Experto en Gestión e Intermediación Inmobiliaria</t>
  </si>
  <si>
    <t>31.60.2T.00.03</t>
  </si>
  <si>
    <t>Plan 9344_Curso 2021-22_MÁSTER EN DERECHO DE LA SOCIEDAD DIGITAL.</t>
  </si>
  <si>
    <t>De Blas Javaloyas, José Ramón </t>
  </si>
  <si>
    <t>El necesario reequilibrio de la compensación equitativa por copia privada en el mercado único digital </t>
  </si>
  <si>
    <t>17/12/2021 </t>
  </si>
  <si>
    <t>21664172N </t>
  </si>
  <si>
    <t>Extremera Fernández, Beatriz </t>
  </si>
  <si>
    <t>La carga de mitigar el daño </t>
  </si>
  <si>
    <t>25/11/2021 </t>
  </si>
  <si>
    <t>25128665S </t>
  </si>
  <si>
    <t>10.23</t>
  </si>
  <si>
    <t>20</t>
  </si>
  <si>
    <t>21504263E</t>
  </si>
  <si>
    <t>BUSTOS MORENO, YOLANDA</t>
  </si>
  <si>
    <t>29039351B</t>
  </si>
  <si>
    <t>DE LAS HERAS GARCIA, MANUEL ANGEL</t>
  </si>
  <si>
    <t>48566867K</t>
  </si>
  <si>
    <t>MARTINEZ MARTINEZ, NURIA</t>
  </si>
  <si>
    <t>Total ingresos formación 2019, 2020 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</si>
</sst>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Calibri"/>
      <family val="2"/>
      <scheme val="minor"/>
    </font>
    <font>
      <sz val="8"/>
      <color theme="1"/>
      <name val="Arial"/>
      <family val="2"/>
    </font>
    <font>
      <b/>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b/>
      <sz val="10"/>
      <color theme="1"/>
      <name val="Arial"/>
      <family val="2"/>
    </font>
    <font>
      <sz val="8"/>
      <color rgb="FF000000"/>
      <name val="Arial"/>
      <family val="2"/>
    </font>
  </fonts>
  <fills count="8">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s>
  <cellStyleXfs count="6">
    <xf numFmtId="0" fontId="0" fillId="0" borderId="0"/>
    <xf numFmtId="0" fontId="3" fillId="0" borderId="0"/>
    <xf numFmtId="0" fontId="6" fillId="0" borderId="0"/>
    <xf numFmtId="0" fontId="6" fillId="0" borderId="0"/>
    <xf numFmtId="0" fontId="7" fillId="0" borderId="0"/>
    <xf numFmtId="0" fontId="1" fillId="0" borderId="0"/>
  </cellStyleXfs>
  <cellXfs count="49">
    <xf numFmtId="0" fontId="0" fillId="0" borderId="0" xfId="0"/>
    <xf numFmtId="0" fontId="1" fillId="0" borderId="0" xfId="0" applyFont="1"/>
    <xf numFmtId="0" fontId="2" fillId="2" borderId="1" xfId="0" applyFont="1" applyFill="1" applyBorder="1" applyAlignment="1">
      <alignment horizontal="left" wrapText="1"/>
    </xf>
    <xf numFmtId="0" fontId="2" fillId="2" borderId="1" xfId="0" applyFont="1" applyFill="1" applyBorder="1" applyAlignment="1">
      <alignment horizontal="center"/>
    </xf>
    <xf numFmtId="0" fontId="1" fillId="0" borderId="1" xfId="0" applyFont="1" applyBorder="1"/>
    <xf numFmtId="4" fontId="1" fillId="0" borderId="1" xfId="0" applyNumberFormat="1" applyFont="1" applyBorder="1"/>
    <xf numFmtId="0" fontId="2" fillId="0" borderId="1" xfId="0" applyFont="1" applyBorder="1"/>
    <xf numFmtId="4" fontId="2" fillId="0" borderId="1" xfId="0" applyNumberFormat="1" applyFont="1" applyBorder="1"/>
    <xf numFmtId="0" fontId="4" fillId="3" borderId="1" xfId="1" applyFont="1" applyFill="1" applyBorder="1" applyAlignment="1">
      <alignment horizontal="center"/>
    </xf>
    <xf numFmtId="0" fontId="5" fillId="3" borderId="1" xfId="1" applyFont="1" applyFill="1" applyBorder="1" applyAlignment="1">
      <alignment horizontal="center"/>
    </xf>
    <xf numFmtId="0" fontId="5" fillId="3" borderId="1" xfId="2" applyFont="1" applyFill="1" applyBorder="1" applyAlignment="1">
      <alignment horizontal="center"/>
    </xf>
    <xf numFmtId="0" fontId="5" fillId="3" borderId="1" xfId="3" applyFont="1" applyFill="1" applyBorder="1" applyAlignment="1">
      <alignment horizontal="center" wrapText="1"/>
    </xf>
    <xf numFmtId="0" fontId="5" fillId="3" borderId="1" xfId="3" applyFont="1" applyFill="1" applyBorder="1" applyAlignment="1">
      <alignment horizontal="right" wrapText="1"/>
    </xf>
    <xf numFmtId="0" fontId="3" fillId="4" borderId="0" xfId="1" applyFont="1" applyFill="1" applyAlignment="1"/>
    <xf numFmtId="0" fontId="3" fillId="4" borderId="0" xfId="1" applyFont="1" applyFill="1" applyAlignment="1">
      <alignment horizontal="right"/>
    </xf>
    <xf numFmtId="0" fontId="9" fillId="5" borderId="1" xfId="3" applyFont="1" applyFill="1" applyBorder="1" applyAlignment="1">
      <alignment horizontal="center" textRotation="90" wrapText="1"/>
    </xf>
    <xf numFmtId="0" fontId="9" fillId="3" borderId="1" xfId="3" applyFont="1" applyFill="1" applyBorder="1" applyAlignment="1">
      <alignment horizontal="center" textRotation="90" wrapText="1"/>
    </xf>
    <xf numFmtId="0" fontId="6" fillId="0" borderId="0" xfId="5" applyFont="1"/>
    <xf numFmtId="0" fontId="10" fillId="0" borderId="0" xfId="5" applyFont="1"/>
    <xf numFmtId="0" fontId="10" fillId="0" borderId="0" xfId="5" applyFont="1" applyAlignment="1">
      <alignment horizontal="right"/>
    </xf>
    <xf numFmtId="0" fontId="8" fillId="2" borderId="1" xfId="0" applyFont="1" applyFill="1" applyBorder="1"/>
    <xf numFmtId="0" fontId="8" fillId="2" borderId="1" xfId="0" applyFont="1" applyFill="1" applyBorder="1" applyAlignment="1">
      <alignment textRotation="90"/>
    </xf>
    <xf numFmtId="0" fontId="0" fillId="0" borderId="1" xfId="0" applyBorder="1"/>
    <xf numFmtId="0" fontId="0" fillId="0" borderId="1" xfId="0" applyBorder="1" applyAlignment="1">
      <alignment horizontal="center"/>
    </xf>
    <xf numFmtId="0" fontId="0" fillId="0" borderId="1" xfId="0" applyBorder="1" applyAlignment="1">
      <alignment horizontal="left"/>
    </xf>
    <xf numFmtId="4" fontId="1" fillId="0" borderId="0" xfId="0" applyNumberFormat="1" applyFont="1"/>
    <xf numFmtId="0" fontId="3" fillId="4" borderId="1" xfId="1" applyFill="1" applyBorder="1"/>
    <xf numFmtId="0" fontId="3" fillId="4" borderId="2" xfId="1" applyFill="1" applyBorder="1"/>
    <xf numFmtId="0" fontId="12" fillId="6" borderId="1" xfId="0" applyFont="1" applyFill="1" applyBorder="1" applyAlignment="1">
      <alignment horizontal="left" vertical="center"/>
    </xf>
    <xf numFmtId="0" fontId="12" fillId="6" borderId="3" xfId="0" applyFont="1" applyFill="1" applyBorder="1" applyAlignment="1">
      <alignment horizontal="left" vertical="center"/>
    </xf>
    <xf numFmtId="0" fontId="12" fillId="6" borderId="4" xfId="0" applyFont="1" applyFill="1" applyBorder="1" applyAlignment="1">
      <alignment horizontal="left" vertical="center"/>
    </xf>
    <xf numFmtId="0" fontId="12" fillId="6" borderId="5" xfId="0" applyFont="1" applyFill="1" applyBorder="1" applyAlignment="1">
      <alignment horizontal="left" vertical="center"/>
    </xf>
    <xf numFmtId="164" fontId="3" fillId="4" borderId="1" xfId="1" applyNumberFormat="1" applyFill="1" applyBorder="1"/>
    <xf numFmtId="0" fontId="3" fillId="4" borderId="1" xfId="1" applyFill="1" applyBorder="1" applyAlignment="1">
      <alignment horizontal="right"/>
    </xf>
    <xf numFmtId="1" fontId="3" fillId="4" borderId="1" xfId="1" applyNumberFormat="1" applyFill="1" applyBorder="1"/>
    <xf numFmtId="165" fontId="3" fillId="4" borderId="1" xfId="1" applyNumberFormat="1" applyFill="1" applyBorder="1"/>
    <xf numFmtId="165" fontId="3" fillId="4" borderId="2" xfId="1" applyNumberFormat="1" applyFill="1" applyBorder="1"/>
    <xf numFmtId="0" fontId="3" fillId="4" borderId="2" xfId="1" applyFill="1" applyBorder="1" applyAlignment="1">
      <alignment horizontal="right"/>
    </xf>
    <xf numFmtId="1" fontId="3" fillId="4" borderId="2" xfId="1" applyNumberFormat="1" applyFill="1" applyBorder="1"/>
    <xf numFmtId="164" fontId="3" fillId="4" borderId="2" xfId="1" applyNumberFormat="1" applyFill="1" applyBorder="1"/>
    <xf numFmtId="0" fontId="3" fillId="0" borderId="1" xfId="1" applyBorder="1"/>
    <xf numFmtId="0" fontId="2" fillId="0" borderId="1" xfId="0" applyFont="1" applyBorder="1" applyAlignment="1">
      <alignment horizontal="right"/>
    </xf>
    <xf numFmtId="0" fontId="9" fillId="3" borderId="1" xfId="3" applyFont="1" applyFill="1" applyBorder="1" applyAlignment="1">
      <alignment horizontal="center" wrapText="1"/>
    </xf>
    <xf numFmtId="0" fontId="10" fillId="7" borderId="0" xfId="5" applyFont="1" applyFill="1"/>
    <xf numFmtId="0" fontId="10" fillId="7" borderId="0" xfId="5" applyFont="1" applyFill="1" applyAlignment="1">
      <alignment horizontal="right"/>
    </xf>
    <xf numFmtId="0" fontId="11" fillId="7" borderId="0" xfId="5" applyFont="1" applyFill="1"/>
    <xf numFmtId="0" fontId="3" fillId="7" borderId="0" xfId="1" applyFont="1" applyFill="1" applyAlignment="1"/>
    <xf numFmtId="0" fontId="3" fillId="7" borderId="0" xfId="1" applyFont="1" applyFill="1" applyAlignment="1">
      <alignment horizontal="right"/>
    </xf>
    <xf numFmtId="164" fontId="4" fillId="7" borderId="0" xfId="1" applyNumberFormat="1" applyFont="1" applyFill="1" applyAlignment="1"/>
  </cellXfs>
  <cellStyles count="6">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5"/>
  <sheetViews>
    <sheetView showGridLines="0" tabSelected="1" zoomScale="120" zoomScaleNormal="120" workbookViewId="0">
      <pane xSplit="1" ySplit="1" topLeftCell="B2" activePane="bottomRight" state="frozen"/>
      <selection pane="topRight" activeCell="B1" sqref="B1"/>
      <selection pane="bottomLeft" activeCell="A2" sqref="A2"/>
      <selection pane="bottomRight" activeCell="A15" sqref="A15:U15"/>
    </sheetView>
  </sheetViews>
  <sheetFormatPr baseColWidth="10" defaultColWidth="10.33203125" defaultRowHeight="10.199999999999999" x14ac:dyDescent="0.2"/>
  <cols>
    <col min="1" max="1" width="5" style="13" customWidth="1"/>
    <col min="2" max="4" width="29.6640625" style="13" customWidth="1"/>
    <col min="5" max="5" width="40.6640625" style="13" customWidth="1"/>
    <col min="6" max="6" width="9.109375" style="13" customWidth="1"/>
    <col min="7" max="7" width="9.6640625" style="13" customWidth="1"/>
    <col min="8" max="8" width="14.44140625" style="13" customWidth="1"/>
    <col min="9" max="9" width="5.88671875" style="13" customWidth="1"/>
    <col min="10" max="10" width="25.6640625" style="13" customWidth="1"/>
    <col min="11" max="12" width="5.109375" style="13" customWidth="1"/>
    <col min="13" max="13" width="4.44140625" style="13" customWidth="1"/>
    <col min="14" max="14" width="4.88671875" style="13" customWidth="1"/>
    <col min="15" max="15" width="4.88671875" style="14" customWidth="1"/>
    <col min="16" max="16" width="4.88671875" style="13" customWidth="1"/>
    <col min="17" max="17" width="3.5546875" style="14" customWidth="1"/>
    <col min="18" max="18" width="3.5546875" style="13" customWidth="1"/>
    <col min="19" max="21" width="5.109375" style="13" customWidth="1"/>
    <col min="22" max="16384" width="10.33203125" style="13"/>
  </cols>
  <sheetData>
    <row r="1" spans="1:21" ht="40.799999999999997" x14ac:dyDescent="0.2">
      <c r="A1" s="8" t="s">
        <v>11</v>
      </c>
      <c r="B1" s="9" t="s">
        <v>12</v>
      </c>
      <c r="C1" s="9" t="s">
        <v>13</v>
      </c>
      <c r="D1" s="9" t="s">
        <v>14</v>
      </c>
      <c r="E1" s="9" t="s">
        <v>15</v>
      </c>
      <c r="F1" s="9" t="s">
        <v>16</v>
      </c>
      <c r="G1" s="9" t="s">
        <v>17</v>
      </c>
      <c r="H1" s="9" t="s">
        <v>18</v>
      </c>
      <c r="I1" s="8" t="s">
        <v>19</v>
      </c>
      <c r="J1" s="9" t="s">
        <v>20</v>
      </c>
      <c r="K1" s="8" t="s">
        <v>21</v>
      </c>
      <c r="L1" s="9" t="s">
        <v>22</v>
      </c>
      <c r="M1" s="10" t="s">
        <v>23</v>
      </c>
      <c r="N1" s="11" t="s">
        <v>24</v>
      </c>
      <c r="O1" s="12" t="s">
        <v>25</v>
      </c>
      <c r="P1" s="11" t="s">
        <v>26</v>
      </c>
      <c r="Q1" s="12" t="s">
        <v>27</v>
      </c>
      <c r="R1" s="11" t="s">
        <v>28</v>
      </c>
      <c r="S1" s="11" t="s">
        <v>29</v>
      </c>
      <c r="T1" s="11" t="s">
        <v>30</v>
      </c>
      <c r="U1" s="11" t="s">
        <v>31</v>
      </c>
    </row>
    <row r="2" spans="1:21" x14ac:dyDescent="0.2">
      <c r="A2" s="26" t="s">
        <v>35</v>
      </c>
      <c r="B2" s="26" t="s">
        <v>36</v>
      </c>
      <c r="C2" s="26" t="s">
        <v>37</v>
      </c>
      <c r="D2" s="26" t="s">
        <v>42</v>
      </c>
      <c r="E2" s="26" t="s">
        <v>43</v>
      </c>
      <c r="F2" s="26" t="s">
        <v>44</v>
      </c>
      <c r="G2" s="26" t="s">
        <v>38</v>
      </c>
      <c r="H2" s="26" t="s">
        <v>34</v>
      </c>
      <c r="I2" s="26" t="s">
        <v>39</v>
      </c>
      <c r="J2" s="26" t="s">
        <v>40</v>
      </c>
      <c r="K2" s="32">
        <v>1</v>
      </c>
      <c r="L2" s="26" t="s">
        <v>41</v>
      </c>
      <c r="M2" s="26">
        <v>2017</v>
      </c>
      <c r="N2" s="26" t="s">
        <v>33</v>
      </c>
      <c r="O2" s="33" t="s">
        <v>33</v>
      </c>
      <c r="P2" s="26" t="s">
        <v>33</v>
      </c>
      <c r="Q2" s="33" t="s">
        <v>33</v>
      </c>
      <c r="R2" s="34">
        <v>100</v>
      </c>
      <c r="S2" s="32">
        <v>1</v>
      </c>
      <c r="T2" s="32">
        <v>0</v>
      </c>
      <c r="U2" s="32">
        <v>0</v>
      </c>
    </row>
    <row r="3" spans="1:21" x14ac:dyDescent="0.2">
      <c r="A3" s="26" t="s">
        <v>35</v>
      </c>
      <c r="B3" s="26" t="s">
        <v>36</v>
      </c>
      <c r="C3" s="26" t="s">
        <v>37</v>
      </c>
      <c r="D3" s="26" t="s">
        <v>45</v>
      </c>
      <c r="E3" s="26" t="s">
        <v>46</v>
      </c>
      <c r="F3" s="26" t="s">
        <v>47</v>
      </c>
      <c r="G3" s="26" t="s">
        <v>38</v>
      </c>
      <c r="H3" s="26" t="s">
        <v>32</v>
      </c>
      <c r="I3" s="26" t="s">
        <v>39</v>
      </c>
      <c r="J3" s="26" t="s">
        <v>40</v>
      </c>
      <c r="K3" s="35">
        <v>0.5</v>
      </c>
      <c r="L3" s="26" t="s">
        <v>41</v>
      </c>
      <c r="M3" s="26">
        <v>2018</v>
      </c>
      <c r="N3" s="26" t="s">
        <v>33</v>
      </c>
      <c r="O3" s="33" t="s">
        <v>33</v>
      </c>
      <c r="P3" s="26" t="s">
        <v>33</v>
      </c>
      <c r="Q3" s="33" t="s">
        <v>33</v>
      </c>
      <c r="R3" s="34">
        <v>100</v>
      </c>
      <c r="S3" s="32">
        <v>0.5</v>
      </c>
      <c r="T3" s="32">
        <v>0</v>
      </c>
      <c r="U3" s="32">
        <v>0</v>
      </c>
    </row>
    <row r="4" spans="1:21" x14ac:dyDescent="0.2">
      <c r="A4" s="26" t="s">
        <v>35</v>
      </c>
      <c r="B4" s="26" t="s">
        <v>36</v>
      </c>
      <c r="C4" s="26" t="s">
        <v>37</v>
      </c>
      <c r="D4" s="26" t="s">
        <v>45</v>
      </c>
      <c r="E4" s="26" t="s">
        <v>46</v>
      </c>
      <c r="F4" s="26" t="s">
        <v>47</v>
      </c>
      <c r="G4" s="26" t="s">
        <v>48</v>
      </c>
      <c r="H4" s="26" t="s">
        <v>32</v>
      </c>
      <c r="I4" s="26" t="s">
        <v>39</v>
      </c>
      <c r="J4" s="26" t="s">
        <v>40</v>
      </c>
      <c r="K4" s="35">
        <v>0.5</v>
      </c>
      <c r="L4" s="26" t="s">
        <v>41</v>
      </c>
      <c r="M4" s="26">
        <v>2018</v>
      </c>
      <c r="N4" s="26" t="s">
        <v>33</v>
      </c>
      <c r="O4" s="33" t="s">
        <v>33</v>
      </c>
      <c r="P4" s="26" t="s">
        <v>33</v>
      </c>
      <c r="Q4" s="33" t="s">
        <v>33</v>
      </c>
      <c r="R4" s="34">
        <v>100</v>
      </c>
      <c r="S4" s="32">
        <v>0.5</v>
      </c>
      <c r="T4" s="32">
        <v>0</v>
      </c>
      <c r="U4" s="32">
        <v>0</v>
      </c>
    </row>
    <row r="5" spans="1:21" x14ac:dyDescent="0.2">
      <c r="A5" s="27" t="s">
        <v>35</v>
      </c>
      <c r="B5" s="27" t="s">
        <v>36</v>
      </c>
      <c r="C5" s="27" t="s">
        <v>37</v>
      </c>
      <c r="D5" s="27" t="s">
        <v>92</v>
      </c>
      <c r="E5" s="27" t="s">
        <v>91</v>
      </c>
      <c r="F5" s="27" t="s">
        <v>90</v>
      </c>
      <c r="G5" s="27" t="s">
        <v>38</v>
      </c>
      <c r="H5" s="27" t="s">
        <v>32</v>
      </c>
      <c r="I5" s="27" t="s">
        <v>39</v>
      </c>
      <c r="J5" s="27" t="s">
        <v>40</v>
      </c>
      <c r="K5" s="36">
        <v>0.5</v>
      </c>
      <c r="L5" s="27" t="s">
        <v>41</v>
      </c>
      <c r="M5" s="27">
        <v>2019</v>
      </c>
      <c r="N5" s="27" t="s">
        <v>33</v>
      </c>
      <c r="O5" s="37" t="s">
        <v>33</v>
      </c>
      <c r="P5" s="27" t="s">
        <v>33</v>
      </c>
      <c r="Q5" s="37" t="s">
        <v>33</v>
      </c>
      <c r="R5" s="38">
        <v>100</v>
      </c>
      <c r="S5" s="39">
        <v>0.5</v>
      </c>
      <c r="T5" s="39">
        <v>0</v>
      </c>
      <c r="U5" s="39">
        <v>0</v>
      </c>
    </row>
    <row r="6" spans="1:21" x14ac:dyDescent="0.2">
      <c r="A6" s="27" t="s">
        <v>35</v>
      </c>
      <c r="B6" s="27" t="s">
        <v>36</v>
      </c>
      <c r="C6" s="27" t="s">
        <v>37</v>
      </c>
      <c r="D6" s="27" t="s">
        <v>92</v>
      </c>
      <c r="E6" s="27" t="s">
        <v>91</v>
      </c>
      <c r="F6" s="27" t="s">
        <v>90</v>
      </c>
      <c r="G6" s="27" t="s">
        <v>48</v>
      </c>
      <c r="H6" s="27" t="s">
        <v>32</v>
      </c>
      <c r="I6" s="27" t="s">
        <v>39</v>
      </c>
      <c r="J6" s="27" t="s">
        <v>40</v>
      </c>
      <c r="K6" s="36">
        <v>0.5</v>
      </c>
      <c r="L6" s="27" t="s">
        <v>41</v>
      </c>
      <c r="M6" s="27">
        <v>2019</v>
      </c>
      <c r="N6" s="27" t="s">
        <v>33</v>
      </c>
      <c r="O6" s="37" t="s">
        <v>33</v>
      </c>
      <c r="P6" s="27" t="s">
        <v>33</v>
      </c>
      <c r="Q6" s="37" t="s">
        <v>33</v>
      </c>
      <c r="R6" s="38">
        <v>100</v>
      </c>
      <c r="S6" s="39">
        <v>0.5</v>
      </c>
      <c r="T6" s="39">
        <v>0</v>
      </c>
      <c r="U6" s="39">
        <v>0</v>
      </c>
    </row>
    <row r="7" spans="1:21" ht="10.8" thickBot="1" x14ac:dyDescent="0.25">
      <c r="A7" s="27" t="s">
        <v>35</v>
      </c>
      <c r="B7" s="27" t="s">
        <v>36</v>
      </c>
      <c r="C7" s="27" t="s">
        <v>37</v>
      </c>
      <c r="D7" s="27" t="s">
        <v>96</v>
      </c>
      <c r="E7" s="27" t="s">
        <v>95</v>
      </c>
      <c r="F7" s="27" t="s">
        <v>94</v>
      </c>
      <c r="G7" s="27" t="s">
        <v>93</v>
      </c>
      <c r="H7" s="27" t="s">
        <v>32</v>
      </c>
      <c r="I7" s="27" t="s">
        <v>39</v>
      </c>
      <c r="J7" s="27" t="s">
        <v>40</v>
      </c>
      <c r="K7" s="36">
        <v>0.5</v>
      </c>
      <c r="L7" s="27" t="s">
        <v>41</v>
      </c>
      <c r="M7" s="27">
        <v>2019</v>
      </c>
      <c r="N7" s="27" t="s">
        <v>33</v>
      </c>
      <c r="O7" s="37" t="s">
        <v>33</v>
      </c>
      <c r="P7" s="27" t="s">
        <v>33</v>
      </c>
      <c r="Q7" s="37" t="s">
        <v>33</v>
      </c>
      <c r="R7" s="38">
        <v>100</v>
      </c>
      <c r="S7" s="39">
        <v>0.5</v>
      </c>
      <c r="T7" s="39">
        <v>0</v>
      </c>
      <c r="U7" s="39">
        <v>0</v>
      </c>
    </row>
    <row r="8" spans="1:21" ht="10.8" thickBot="1" x14ac:dyDescent="0.25">
      <c r="A8" s="28" t="s">
        <v>35</v>
      </c>
      <c r="B8" s="28" t="s">
        <v>36</v>
      </c>
      <c r="C8" s="28" t="s">
        <v>37</v>
      </c>
      <c r="D8" s="28" t="s">
        <v>99</v>
      </c>
      <c r="E8" s="28" t="s">
        <v>100</v>
      </c>
      <c r="F8" s="28" t="s">
        <v>101</v>
      </c>
      <c r="G8" s="29" t="s">
        <v>38</v>
      </c>
      <c r="H8" s="30" t="s">
        <v>34</v>
      </c>
      <c r="I8" s="30" t="s">
        <v>39</v>
      </c>
      <c r="J8" s="31" t="s">
        <v>40</v>
      </c>
      <c r="K8" s="40">
        <v>1</v>
      </c>
      <c r="L8" s="40" t="s">
        <v>41</v>
      </c>
      <c r="M8" s="26">
        <v>2020</v>
      </c>
      <c r="N8" s="26" t="s">
        <v>33</v>
      </c>
      <c r="O8" s="33" t="s">
        <v>33</v>
      </c>
      <c r="P8" s="26" t="s">
        <v>33</v>
      </c>
      <c r="Q8" s="33" t="s">
        <v>33</v>
      </c>
      <c r="R8" s="26">
        <v>100</v>
      </c>
      <c r="S8" s="26">
        <v>1</v>
      </c>
      <c r="T8" s="26">
        <v>0</v>
      </c>
      <c r="U8" s="26">
        <v>0</v>
      </c>
    </row>
    <row r="9" spans="1:21" ht="10.8" thickBot="1" x14ac:dyDescent="0.25">
      <c r="A9" s="28" t="s">
        <v>35</v>
      </c>
      <c r="B9" s="28" t="s">
        <v>36</v>
      </c>
      <c r="C9" s="28" t="s">
        <v>37</v>
      </c>
      <c r="D9" s="28" t="s">
        <v>102</v>
      </c>
      <c r="E9" s="28" t="s">
        <v>103</v>
      </c>
      <c r="F9" s="28" t="s">
        <v>104</v>
      </c>
      <c r="G9" s="29" t="s">
        <v>38</v>
      </c>
      <c r="H9" s="30" t="s">
        <v>32</v>
      </c>
      <c r="I9" s="30" t="s">
        <v>39</v>
      </c>
      <c r="J9" s="31" t="s">
        <v>40</v>
      </c>
      <c r="K9" s="40">
        <v>0.5</v>
      </c>
      <c r="L9" s="40" t="s">
        <v>41</v>
      </c>
      <c r="M9" s="26">
        <v>2020</v>
      </c>
      <c r="N9" s="26" t="s">
        <v>33</v>
      </c>
      <c r="O9" s="33" t="s">
        <v>33</v>
      </c>
      <c r="P9" s="26" t="s">
        <v>33</v>
      </c>
      <c r="Q9" s="33" t="s">
        <v>33</v>
      </c>
      <c r="R9" s="26">
        <v>100</v>
      </c>
      <c r="S9" s="26">
        <v>0.5</v>
      </c>
      <c r="T9" s="26">
        <v>0</v>
      </c>
      <c r="U9" s="26">
        <v>0</v>
      </c>
    </row>
    <row r="10" spans="1:21" ht="10.8" thickBot="1" x14ac:dyDescent="0.25">
      <c r="A10" s="28" t="s">
        <v>35</v>
      </c>
      <c r="B10" s="28" t="s">
        <v>36</v>
      </c>
      <c r="C10" s="28" t="s">
        <v>37</v>
      </c>
      <c r="D10" s="28" t="s">
        <v>102</v>
      </c>
      <c r="E10" s="28" t="s">
        <v>103</v>
      </c>
      <c r="F10" s="28" t="s">
        <v>104</v>
      </c>
      <c r="G10" s="29" t="s">
        <v>105</v>
      </c>
      <c r="H10" s="30" t="s">
        <v>32</v>
      </c>
      <c r="I10" s="30" t="s">
        <v>39</v>
      </c>
      <c r="J10" s="31" t="s">
        <v>40</v>
      </c>
      <c r="K10" s="40">
        <v>0.5</v>
      </c>
      <c r="L10" s="40" t="s">
        <v>41</v>
      </c>
      <c r="M10" s="26">
        <v>2020</v>
      </c>
      <c r="N10" s="26" t="s">
        <v>33</v>
      </c>
      <c r="O10" s="33" t="s">
        <v>33</v>
      </c>
      <c r="P10" s="26" t="s">
        <v>33</v>
      </c>
      <c r="Q10" s="33" t="s">
        <v>33</v>
      </c>
      <c r="R10" s="26">
        <v>100</v>
      </c>
      <c r="S10" s="26">
        <v>0.5</v>
      </c>
      <c r="T10" s="26">
        <v>0</v>
      </c>
      <c r="U10" s="26">
        <v>0</v>
      </c>
    </row>
    <row r="11" spans="1:21" x14ac:dyDescent="0.2">
      <c r="A11" s="26" t="s">
        <v>35</v>
      </c>
      <c r="B11" s="26" t="s">
        <v>36</v>
      </c>
      <c r="C11" s="26" t="s">
        <v>37</v>
      </c>
      <c r="D11" s="26" t="s">
        <v>124</v>
      </c>
      <c r="E11" s="26" t="s">
        <v>125</v>
      </c>
      <c r="F11" s="26" t="s">
        <v>126</v>
      </c>
      <c r="G11" s="26" t="s">
        <v>127</v>
      </c>
      <c r="H11" s="26" t="s">
        <v>32</v>
      </c>
      <c r="I11" s="26" t="s">
        <v>39</v>
      </c>
      <c r="J11" s="26" t="s">
        <v>40</v>
      </c>
      <c r="K11" s="40">
        <v>0.5</v>
      </c>
      <c r="L11" s="40" t="s">
        <v>41</v>
      </c>
      <c r="M11" s="26">
        <v>2021</v>
      </c>
      <c r="N11" s="26" t="s">
        <v>33</v>
      </c>
      <c r="O11" s="33" t="s">
        <v>33</v>
      </c>
      <c r="P11" s="26" t="s">
        <v>33</v>
      </c>
      <c r="Q11" s="33" t="s">
        <v>33</v>
      </c>
      <c r="R11" s="26">
        <v>100</v>
      </c>
      <c r="S11" s="26">
        <v>0.5</v>
      </c>
      <c r="T11" s="26">
        <v>0</v>
      </c>
      <c r="U11" s="26">
        <v>0</v>
      </c>
    </row>
    <row r="12" spans="1:21" x14ac:dyDescent="0.2">
      <c r="A12" s="26" t="s">
        <v>35</v>
      </c>
      <c r="B12" s="26" t="s">
        <v>36</v>
      </c>
      <c r="C12" s="26" t="s">
        <v>37</v>
      </c>
      <c r="D12" s="26" t="s">
        <v>124</v>
      </c>
      <c r="E12" s="26" t="s">
        <v>125</v>
      </c>
      <c r="F12" s="26" t="s">
        <v>126</v>
      </c>
      <c r="G12" s="26" t="s">
        <v>38</v>
      </c>
      <c r="H12" s="26" t="s">
        <v>32</v>
      </c>
      <c r="I12" s="26" t="s">
        <v>39</v>
      </c>
      <c r="J12" s="26" t="s">
        <v>40</v>
      </c>
      <c r="K12" s="40">
        <v>0.5</v>
      </c>
      <c r="L12" s="40" t="s">
        <v>41</v>
      </c>
      <c r="M12" s="26">
        <v>2021</v>
      </c>
      <c r="N12" s="26" t="s">
        <v>33</v>
      </c>
      <c r="O12" s="33" t="s">
        <v>33</v>
      </c>
      <c r="P12" s="26" t="s">
        <v>33</v>
      </c>
      <c r="Q12" s="33" t="s">
        <v>33</v>
      </c>
      <c r="R12" s="26">
        <v>100</v>
      </c>
      <c r="S12" s="26">
        <v>0.5</v>
      </c>
      <c r="T12" s="26">
        <v>0</v>
      </c>
      <c r="U12" s="26">
        <v>0</v>
      </c>
    </row>
    <row r="13" spans="1:21" x14ac:dyDescent="0.2">
      <c r="A13" s="26" t="s">
        <v>35</v>
      </c>
      <c r="B13" s="26" t="s">
        <v>36</v>
      </c>
      <c r="C13" s="26" t="s">
        <v>37</v>
      </c>
      <c r="D13" s="26" t="s">
        <v>128</v>
      </c>
      <c r="E13" s="26" t="s">
        <v>129</v>
      </c>
      <c r="F13" s="26" t="s">
        <v>130</v>
      </c>
      <c r="G13" s="26" t="s">
        <v>131</v>
      </c>
      <c r="H13" s="26" t="s">
        <v>32</v>
      </c>
      <c r="I13" s="26" t="s">
        <v>39</v>
      </c>
      <c r="J13" s="26" t="s">
        <v>40</v>
      </c>
      <c r="K13" s="40">
        <v>0.5</v>
      </c>
      <c r="L13" s="40" t="s">
        <v>41</v>
      </c>
      <c r="M13" s="26">
        <v>2021</v>
      </c>
      <c r="N13" s="26" t="s">
        <v>33</v>
      </c>
      <c r="O13" s="33" t="s">
        <v>33</v>
      </c>
      <c r="P13" s="26" t="s">
        <v>33</v>
      </c>
      <c r="Q13" s="33" t="s">
        <v>33</v>
      </c>
      <c r="R13" s="26">
        <v>100</v>
      </c>
      <c r="S13" s="26">
        <v>0.5</v>
      </c>
      <c r="T13" s="26">
        <v>0</v>
      </c>
      <c r="U13" s="26">
        <v>0</v>
      </c>
    </row>
    <row r="14" spans="1:21" x14ac:dyDescent="0.2">
      <c r="A14" s="26" t="s">
        <v>35</v>
      </c>
      <c r="B14" s="26" t="s">
        <v>36</v>
      </c>
      <c r="C14" s="26" t="s">
        <v>37</v>
      </c>
      <c r="D14" s="26" t="s">
        <v>128</v>
      </c>
      <c r="E14" s="26" t="s">
        <v>129</v>
      </c>
      <c r="F14" s="26" t="s">
        <v>130</v>
      </c>
      <c r="G14" s="26" t="s">
        <v>38</v>
      </c>
      <c r="H14" s="26" t="s">
        <v>32</v>
      </c>
      <c r="I14" s="26" t="s">
        <v>39</v>
      </c>
      <c r="J14" s="26" t="s">
        <v>40</v>
      </c>
      <c r="K14" s="40">
        <v>0.5</v>
      </c>
      <c r="L14" s="40" t="s">
        <v>41</v>
      </c>
      <c r="M14" s="26">
        <v>2021</v>
      </c>
      <c r="N14" s="26" t="s">
        <v>33</v>
      </c>
      <c r="O14" s="33" t="s">
        <v>33</v>
      </c>
      <c r="P14" s="26" t="s">
        <v>33</v>
      </c>
      <c r="Q14" s="33" t="s">
        <v>33</v>
      </c>
      <c r="R14" s="26">
        <v>100</v>
      </c>
      <c r="S14" s="26">
        <v>0.5</v>
      </c>
      <c r="T14" s="26">
        <v>0</v>
      </c>
      <c r="U14" s="26">
        <v>0</v>
      </c>
    </row>
    <row r="15" spans="1:21" x14ac:dyDescent="0.2">
      <c r="A15" s="46"/>
      <c r="B15" s="46"/>
      <c r="C15" s="46"/>
      <c r="D15" s="46"/>
      <c r="E15" s="46"/>
      <c r="F15" s="46"/>
      <c r="G15" s="46"/>
      <c r="H15" s="46"/>
      <c r="I15" s="46"/>
      <c r="J15" s="46"/>
      <c r="K15" s="46"/>
      <c r="L15" s="46"/>
      <c r="M15" s="46"/>
      <c r="N15" s="46"/>
      <c r="O15" s="47"/>
      <c r="P15" s="46"/>
      <c r="Q15" s="47"/>
      <c r="R15" s="46"/>
      <c r="S15" s="48">
        <f>SUM(S2:S14)</f>
        <v>7.5</v>
      </c>
      <c r="T15" s="46"/>
      <c r="U15" s="46"/>
    </row>
  </sheetData>
  <autoFilter ref="A1:U7" xr:uid="{00000000-0009-0000-0000-000000000000}">
    <sortState xmlns:xlrd2="http://schemas.microsoft.com/office/spreadsheetml/2017/richdata2" ref="A2:U1912">
      <sortCondition ref="L2:L1912"/>
      <sortCondition ref="M2:M1912"/>
      <sortCondition ref="D2:D1912"/>
    </sortState>
  </autoFilter>
  <printOptions horizontalCentered="1"/>
  <pageMargins left="0.19685039370078741" right="0.19685039370078741" top="0.39370078740157483" bottom="0.39370078740157483" header="0.78740157480314965" footer="0"/>
  <pageSetup paperSize="9" scale="93" fitToWidth="2" fitToHeight="5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16"/>
  <sheetViews>
    <sheetView zoomScaleNormal="100" workbookViewId="0">
      <selection activeCell="A16" sqref="A16"/>
    </sheetView>
  </sheetViews>
  <sheetFormatPr baseColWidth="10" defaultColWidth="11.44140625" defaultRowHeight="13.2" x14ac:dyDescent="0.25"/>
  <cols>
    <col min="1" max="1" width="10.88671875" style="18" bestFit="1" customWidth="1"/>
    <col min="2" max="2" width="42" style="18" bestFit="1" customWidth="1"/>
    <col min="3" max="3" width="17" style="18" bestFit="1" customWidth="1"/>
    <col min="4" max="9" width="3.33203125" style="18" bestFit="1" customWidth="1"/>
    <col min="10" max="10" width="13.109375" style="18" bestFit="1" customWidth="1"/>
    <col min="11" max="11" width="5.33203125" style="18" bestFit="1" customWidth="1"/>
    <col min="12" max="13" width="5.6640625" style="18" bestFit="1" customWidth="1"/>
    <col min="14" max="14" width="5.6640625" style="19" bestFit="1" customWidth="1"/>
    <col min="15" max="15" width="5.6640625" style="18" bestFit="1" customWidth="1"/>
    <col min="16" max="16" width="5.6640625" style="19" bestFit="1" customWidth="1"/>
    <col min="17" max="19" width="5.6640625" style="18" bestFit="1" customWidth="1"/>
    <col min="20" max="16384" width="11.44140625" style="18"/>
  </cols>
  <sheetData>
    <row r="1" spans="1:19" s="17" customFormat="1" ht="60" customHeight="1" x14ac:dyDescent="0.25">
      <c r="A1" s="20" t="s">
        <v>49</v>
      </c>
      <c r="B1" s="20" t="s">
        <v>50</v>
      </c>
      <c r="C1" s="20" t="s">
        <v>51</v>
      </c>
      <c r="D1" s="21">
        <v>2017</v>
      </c>
      <c r="E1" s="21">
        <v>2018</v>
      </c>
      <c r="F1" s="21">
        <v>2019</v>
      </c>
      <c r="G1" s="21">
        <v>2020</v>
      </c>
      <c r="H1" s="21">
        <v>2021</v>
      </c>
      <c r="I1" s="21">
        <v>2022</v>
      </c>
      <c r="J1" s="20" t="s">
        <v>52</v>
      </c>
      <c r="K1" s="42" t="s">
        <v>97</v>
      </c>
      <c r="L1" s="15" t="s">
        <v>53</v>
      </c>
      <c r="M1" s="15" t="s">
        <v>54</v>
      </c>
      <c r="N1" s="15" t="s">
        <v>55</v>
      </c>
      <c r="O1" s="15" t="s">
        <v>56</v>
      </c>
      <c r="P1" s="16" t="s">
        <v>57</v>
      </c>
      <c r="Q1" s="16" t="s">
        <v>58</v>
      </c>
      <c r="R1" s="16" t="s">
        <v>59</v>
      </c>
      <c r="S1" s="16" t="s">
        <v>60</v>
      </c>
    </row>
    <row r="2" spans="1:19" ht="14.4" x14ac:dyDescent="0.3">
      <c r="A2" s="22" t="s">
        <v>77</v>
      </c>
      <c r="B2" s="22" t="s">
        <v>78</v>
      </c>
      <c r="C2" s="22" t="s">
        <v>61</v>
      </c>
      <c r="D2" s="22"/>
      <c r="E2" s="22"/>
      <c r="F2" s="22">
        <v>2</v>
      </c>
      <c r="G2" s="22"/>
      <c r="H2" s="22"/>
      <c r="I2" s="22"/>
      <c r="J2" s="22">
        <v>2</v>
      </c>
      <c r="K2" s="22" t="s">
        <v>41</v>
      </c>
      <c r="L2" s="23">
        <v>0</v>
      </c>
      <c r="M2" s="23">
        <v>0</v>
      </c>
      <c r="N2" s="23" t="s">
        <v>33</v>
      </c>
      <c r="O2" s="23" t="s">
        <v>33</v>
      </c>
      <c r="P2" s="23">
        <v>100</v>
      </c>
      <c r="Q2" s="23">
        <v>0</v>
      </c>
      <c r="R2" s="23">
        <v>0</v>
      </c>
      <c r="S2" s="23">
        <v>2</v>
      </c>
    </row>
    <row r="3" spans="1:19" ht="14.4" x14ac:dyDescent="0.3">
      <c r="A3" s="22" t="s">
        <v>63</v>
      </c>
      <c r="B3" s="22" t="s">
        <v>64</v>
      </c>
      <c r="C3" s="22" t="s">
        <v>61</v>
      </c>
      <c r="D3" s="22"/>
      <c r="E3" s="22"/>
      <c r="F3" s="22">
        <v>1</v>
      </c>
      <c r="G3" s="22"/>
      <c r="H3" s="22"/>
      <c r="I3" s="22"/>
      <c r="J3" s="22">
        <v>1</v>
      </c>
      <c r="K3" s="22" t="s">
        <v>41</v>
      </c>
      <c r="L3" s="23">
        <v>0</v>
      </c>
      <c r="M3" s="23">
        <v>0</v>
      </c>
      <c r="N3" s="23" t="s">
        <v>33</v>
      </c>
      <c r="O3" s="23" t="s">
        <v>33</v>
      </c>
      <c r="P3" s="23">
        <v>100</v>
      </c>
      <c r="Q3" s="23">
        <v>0</v>
      </c>
      <c r="R3" s="23">
        <v>0</v>
      </c>
      <c r="S3" s="23">
        <v>1</v>
      </c>
    </row>
    <row r="4" spans="1:19" ht="14.4" x14ac:dyDescent="0.3">
      <c r="A4" s="22" t="s">
        <v>73</v>
      </c>
      <c r="B4" s="22" t="s">
        <v>74</v>
      </c>
      <c r="C4" s="22" t="s">
        <v>61</v>
      </c>
      <c r="D4" s="22"/>
      <c r="E4" s="22"/>
      <c r="F4" s="22">
        <v>1</v>
      </c>
      <c r="G4" s="22">
        <v>1</v>
      </c>
      <c r="H4" s="22"/>
      <c r="I4" s="22"/>
      <c r="J4" s="22">
        <v>2</v>
      </c>
      <c r="K4" s="22" t="s">
        <v>41</v>
      </c>
      <c r="L4" s="23">
        <v>0</v>
      </c>
      <c r="M4" s="23">
        <v>0</v>
      </c>
      <c r="N4" s="23" t="s">
        <v>33</v>
      </c>
      <c r="O4" s="23" t="s">
        <v>33</v>
      </c>
      <c r="P4" s="23">
        <v>100</v>
      </c>
      <c r="Q4" s="23">
        <v>0</v>
      </c>
      <c r="R4" s="23">
        <v>0</v>
      </c>
      <c r="S4" s="23">
        <v>2</v>
      </c>
    </row>
    <row r="5" spans="1:19" ht="14.4" x14ac:dyDescent="0.3">
      <c r="A5" s="22" t="s">
        <v>79</v>
      </c>
      <c r="B5" s="22" t="s">
        <v>80</v>
      </c>
      <c r="C5" s="22" t="s">
        <v>61</v>
      </c>
      <c r="D5" s="22"/>
      <c r="E5" s="22"/>
      <c r="F5" s="22"/>
      <c r="G5" s="22">
        <v>1</v>
      </c>
      <c r="H5" s="22"/>
      <c r="I5" s="22"/>
      <c r="J5" s="22">
        <v>1</v>
      </c>
      <c r="K5" s="22" t="s">
        <v>41</v>
      </c>
      <c r="L5" s="23" t="s">
        <v>132</v>
      </c>
      <c r="M5" s="23" t="s">
        <v>133</v>
      </c>
      <c r="N5" s="23" t="s">
        <v>33</v>
      </c>
      <c r="O5" s="23" t="s">
        <v>33</v>
      </c>
      <c r="P5" s="23">
        <v>80</v>
      </c>
      <c r="Q5" s="23">
        <v>0.2</v>
      </c>
      <c r="R5" s="23">
        <v>0</v>
      </c>
      <c r="S5" s="23">
        <v>0.8</v>
      </c>
    </row>
    <row r="6" spans="1:19" ht="14.4" x14ac:dyDescent="0.3">
      <c r="A6" s="22" t="s">
        <v>69</v>
      </c>
      <c r="B6" s="22" t="s">
        <v>70</v>
      </c>
      <c r="C6" s="22" t="s">
        <v>62</v>
      </c>
      <c r="D6" s="22"/>
      <c r="E6" s="22"/>
      <c r="F6" s="22"/>
      <c r="G6" s="22"/>
      <c r="H6" s="22">
        <v>1</v>
      </c>
      <c r="I6" s="22"/>
      <c r="J6" s="22">
        <v>1</v>
      </c>
      <c r="K6" s="22" t="s">
        <v>41</v>
      </c>
      <c r="L6" s="23">
        <v>0</v>
      </c>
      <c r="M6" s="23">
        <v>0</v>
      </c>
      <c r="N6" s="23" t="s">
        <v>33</v>
      </c>
      <c r="O6" s="23" t="s">
        <v>33</v>
      </c>
      <c r="P6" s="23">
        <v>100</v>
      </c>
      <c r="Q6" s="23">
        <v>0</v>
      </c>
      <c r="R6" s="23">
        <v>0</v>
      </c>
      <c r="S6" s="23">
        <v>1</v>
      </c>
    </row>
    <row r="7" spans="1:19" ht="14.4" x14ac:dyDescent="0.3">
      <c r="A7" s="22" t="s">
        <v>134</v>
      </c>
      <c r="B7" s="22" t="s">
        <v>135</v>
      </c>
      <c r="C7" s="24" t="s">
        <v>61</v>
      </c>
      <c r="D7" s="22"/>
      <c r="E7" s="22"/>
      <c r="F7" s="22"/>
      <c r="G7" s="22"/>
      <c r="H7" s="22"/>
      <c r="I7" s="22">
        <v>1</v>
      </c>
      <c r="J7" s="22">
        <v>1</v>
      </c>
      <c r="K7" s="22" t="s">
        <v>41</v>
      </c>
      <c r="L7" s="23">
        <v>0</v>
      </c>
      <c r="M7" s="23">
        <v>0</v>
      </c>
      <c r="N7" s="23" t="s">
        <v>33</v>
      </c>
      <c r="O7" s="23" t="s">
        <v>33</v>
      </c>
      <c r="P7" s="23">
        <v>100</v>
      </c>
      <c r="Q7" s="23">
        <v>0</v>
      </c>
      <c r="R7" s="23">
        <v>0</v>
      </c>
      <c r="S7" s="23">
        <v>1</v>
      </c>
    </row>
    <row r="8" spans="1:19" ht="14.4" x14ac:dyDescent="0.3">
      <c r="A8" s="22" t="s">
        <v>83</v>
      </c>
      <c r="B8" s="22" t="s">
        <v>84</v>
      </c>
      <c r="C8" s="22" t="s">
        <v>61</v>
      </c>
      <c r="D8" s="22"/>
      <c r="E8" s="22">
        <v>1</v>
      </c>
      <c r="F8" s="22"/>
      <c r="G8" s="22"/>
      <c r="H8" s="22"/>
      <c r="I8" s="22"/>
      <c r="J8" s="22">
        <v>1</v>
      </c>
      <c r="K8" s="22" t="s">
        <v>41</v>
      </c>
      <c r="L8" s="23">
        <v>0</v>
      </c>
      <c r="M8" s="23">
        <v>0</v>
      </c>
      <c r="N8" s="23" t="s">
        <v>33</v>
      </c>
      <c r="O8" s="23" t="s">
        <v>33</v>
      </c>
      <c r="P8" s="23">
        <v>100</v>
      </c>
      <c r="Q8" s="23">
        <v>0</v>
      </c>
      <c r="R8" s="23">
        <v>0</v>
      </c>
      <c r="S8" s="23">
        <v>1</v>
      </c>
    </row>
    <row r="9" spans="1:19" ht="14.4" x14ac:dyDescent="0.3">
      <c r="A9" s="22" t="s">
        <v>71</v>
      </c>
      <c r="B9" s="22" t="s">
        <v>72</v>
      </c>
      <c r="C9" s="22" t="s">
        <v>61</v>
      </c>
      <c r="D9" s="22"/>
      <c r="E9" s="22"/>
      <c r="F9" s="22">
        <v>1</v>
      </c>
      <c r="G9" s="22"/>
      <c r="H9" s="22"/>
      <c r="I9" s="22"/>
      <c r="J9" s="22">
        <v>1</v>
      </c>
      <c r="K9" s="22" t="s">
        <v>41</v>
      </c>
      <c r="L9" s="23">
        <v>0</v>
      </c>
      <c r="M9" s="23">
        <v>0</v>
      </c>
      <c r="N9" s="23" t="s">
        <v>33</v>
      </c>
      <c r="O9" s="23" t="s">
        <v>33</v>
      </c>
      <c r="P9" s="23">
        <v>100</v>
      </c>
      <c r="Q9" s="23">
        <v>0</v>
      </c>
      <c r="R9" s="23">
        <v>0</v>
      </c>
      <c r="S9" s="23">
        <v>1</v>
      </c>
    </row>
    <row r="10" spans="1:19" ht="14.4" x14ac:dyDescent="0.3">
      <c r="A10" s="22" t="s">
        <v>136</v>
      </c>
      <c r="B10" s="22" t="s">
        <v>137</v>
      </c>
      <c r="C10" s="22" t="s">
        <v>62</v>
      </c>
      <c r="D10" s="22"/>
      <c r="E10" s="22"/>
      <c r="F10" s="22"/>
      <c r="G10" s="22"/>
      <c r="H10" s="22"/>
      <c r="I10" s="22">
        <v>1</v>
      </c>
      <c r="J10" s="22">
        <v>1</v>
      </c>
      <c r="K10" s="22" t="s">
        <v>41</v>
      </c>
      <c r="L10" s="23">
        <v>0</v>
      </c>
      <c r="M10" s="23">
        <v>0</v>
      </c>
      <c r="N10" s="23" t="s">
        <v>33</v>
      </c>
      <c r="O10" s="23" t="s">
        <v>33</v>
      </c>
      <c r="P10" s="23">
        <v>100</v>
      </c>
      <c r="Q10" s="23">
        <v>0</v>
      </c>
      <c r="R10" s="23">
        <v>0</v>
      </c>
      <c r="S10" s="23">
        <v>1</v>
      </c>
    </row>
    <row r="11" spans="1:19" ht="14.4" x14ac:dyDescent="0.3">
      <c r="A11" s="22" t="s">
        <v>67</v>
      </c>
      <c r="B11" s="22" t="s">
        <v>68</v>
      </c>
      <c r="C11" s="22" t="s">
        <v>62</v>
      </c>
      <c r="D11" s="22"/>
      <c r="E11" s="22">
        <v>1</v>
      </c>
      <c r="F11" s="22"/>
      <c r="G11" s="22"/>
      <c r="H11" s="22"/>
      <c r="I11" s="22"/>
      <c r="J11" s="22">
        <v>1</v>
      </c>
      <c r="K11" s="22" t="s">
        <v>41</v>
      </c>
      <c r="L11" s="23">
        <v>0</v>
      </c>
      <c r="M11" s="23">
        <v>0</v>
      </c>
      <c r="N11" s="23" t="s">
        <v>33</v>
      </c>
      <c r="O11" s="23" t="s">
        <v>33</v>
      </c>
      <c r="P11" s="23">
        <v>100</v>
      </c>
      <c r="Q11" s="23">
        <v>0</v>
      </c>
      <c r="R11" s="23">
        <v>0</v>
      </c>
      <c r="S11" s="23">
        <v>1</v>
      </c>
    </row>
    <row r="12" spans="1:19" ht="14.4" x14ac:dyDescent="0.3">
      <c r="A12" s="22" t="s">
        <v>138</v>
      </c>
      <c r="B12" s="22" t="s">
        <v>139</v>
      </c>
      <c r="C12" s="22" t="s">
        <v>62</v>
      </c>
      <c r="D12" s="22"/>
      <c r="E12" s="22"/>
      <c r="F12" s="22"/>
      <c r="G12" s="22"/>
      <c r="H12" s="22"/>
      <c r="I12" s="22">
        <v>1</v>
      </c>
      <c r="J12" s="22">
        <v>1</v>
      </c>
      <c r="K12" s="22" t="s">
        <v>41</v>
      </c>
      <c r="L12" s="23">
        <v>0</v>
      </c>
      <c r="M12" s="23">
        <v>0</v>
      </c>
      <c r="N12" s="23" t="s">
        <v>33</v>
      </c>
      <c r="O12" s="23" t="s">
        <v>33</v>
      </c>
      <c r="P12" s="23">
        <v>100</v>
      </c>
      <c r="Q12" s="23">
        <v>0</v>
      </c>
      <c r="R12" s="23">
        <v>0</v>
      </c>
      <c r="S12" s="23">
        <v>1</v>
      </c>
    </row>
    <row r="13" spans="1:19" ht="14.4" x14ac:dyDescent="0.3">
      <c r="A13" s="22" t="s">
        <v>75</v>
      </c>
      <c r="B13" s="22" t="s">
        <v>76</v>
      </c>
      <c r="C13" s="22" t="s">
        <v>61</v>
      </c>
      <c r="D13" s="22"/>
      <c r="E13" s="22"/>
      <c r="F13" s="22">
        <v>1</v>
      </c>
      <c r="G13" s="22"/>
      <c r="H13" s="22"/>
      <c r="I13" s="22"/>
      <c r="J13" s="22">
        <v>1</v>
      </c>
      <c r="K13" s="22" t="s">
        <v>41</v>
      </c>
      <c r="L13" s="23">
        <v>0</v>
      </c>
      <c r="M13" s="23">
        <v>0</v>
      </c>
      <c r="N13" s="23" t="s">
        <v>33</v>
      </c>
      <c r="O13" s="23" t="s">
        <v>33</v>
      </c>
      <c r="P13" s="23">
        <v>100</v>
      </c>
      <c r="Q13" s="23">
        <v>0</v>
      </c>
      <c r="R13" s="23">
        <v>0</v>
      </c>
      <c r="S13" s="23">
        <v>1</v>
      </c>
    </row>
    <row r="14" spans="1:19" ht="14.4" x14ac:dyDescent="0.3">
      <c r="A14" s="22" t="s">
        <v>65</v>
      </c>
      <c r="B14" s="22" t="s">
        <v>66</v>
      </c>
      <c r="C14" s="22" t="s">
        <v>61</v>
      </c>
      <c r="D14" s="22"/>
      <c r="E14" s="22"/>
      <c r="F14" s="22">
        <v>2</v>
      </c>
      <c r="G14" s="22"/>
      <c r="H14" s="22"/>
      <c r="I14" s="22"/>
      <c r="J14" s="22">
        <v>2</v>
      </c>
      <c r="K14" s="22" t="s">
        <v>41</v>
      </c>
      <c r="L14" s="23">
        <v>0</v>
      </c>
      <c r="M14" s="23">
        <v>0</v>
      </c>
      <c r="N14" s="23" t="s">
        <v>33</v>
      </c>
      <c r="O14" s="23" t="s">
        <v>33</v>
      </c>
      <c r="P14" s="23">
        <v>100</v>
      </c>
      <c r="Q14" s="23">
        <v>0</v>
      </c>
      <c r="R14" s="23">
        <v>0</v>
      </c>
      <c r="S14" s="23">
        <v>2</v>
      </c>
    </row>
    <row r="15" spans="1:19" ht="14.4" x14ac:dyDescent="0.3">
      <c r="A15" s="22" t="s">
        <v>81</v>
      </c>
      <c r="B15" s="22" t="s">
        <v>82</v>
      </c>
      <c r="C15" s="24" t="s">
        <v>98</v>
      </c>
      <c r="D15" s="22"/>
      <c r="E15" s="22"/>
      <c r="F15" s="22"/>
      <c r="G15" s="22"/>
      <c r="H15" s="22"/>
      <c r="I15" s="22">
        <v>1</v>
      </c>
      <c r="J15" s="22">
        <v>1</v>
      </c>
      <c r="K15" s="22" t="s">
        <v>41</v>
      </c>
      <c r="L15" s="23">
        <v>0</v>
      </c>
      <c r="M15" s="23">
        <v>0</v>
      </c>
      <c r="N15" s="23" t="s">
        <v>33</v>
      </c>
      <c r="O15" s="23" t="s">
        <v>33</v>
      </c>
      <c r="P15" s="23">
        <v>100</v>
      </c>
      <c r="Q15" s="23">
        <v>0</v>
      </c>
      <c r="R15" s="23">
        <v>0</v>
      </c>
      <c r="S15" s="23">
        <v>1</v>
      </c>
    </row>
    <row r="16" spans="1:19" x14ac:dyDescent="0.25">
      <c r="A16" s="43"/>
      <c r="B16" s="43"/>
      <c r="C16" s="43"/>
      <c r="D16" s="43"/>
      <c r="E16" s="43"/>
      <c r="F16" s="43"/>
      <c r="G16" s="43"/>
      <c r="H16" s="43"/>
      <c r="I16" s="43"/>
      <c r="J16" s="43"/>
      <c r="K16" s="43"/>
      <c r="L16" s="43"/>
      <c r="M16" s="43"/>
      <c r="N16" s="44"/>
      <c r="O16" s="43"/>
      <c r="P16" s="44"/>
      <c r="Q16" s="43"/>
      <c r="R16" s="43"/>
      <c r="S16" s="45">
        <f>SUM(S2:S15)</f>
        <v>16.8</v>
      </c>
    </row>
  </sheetData>
  <pageMargins left="0.39370078740157483" right="0.39370078740157483" top="0.39370078740157483" bottom="0.39370078740157483" header="0.31496062992125984" footer="0.31496062992125984"/>
  <pageSetup paperSize="9" scale="1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1"/>
  <sheetViews>
    <sheetView zoomScaleNormal="100" workbookViewId="0">
      <selection activeCell="B14" sqref="B14"/>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5</v>
      </c>
      <c r="B2" s="5"/>
    </row>
    <row r="3" spans="1:2" x14ac:dyDescent="0.2">
      <c r="A3" s="4" t="s">
        <v>6</v>
      </c>
      <c r="B3" s="5">
        <v>8000</v>
      </c>
    </row>
    <row r="4" spans="1:2" x14ac:dyDescent="0.2">
      <c r="A4" s="4" t="s">
        <v>4</v>
      </c>
      <c r="B4" s="5">
        <v>800</v>
      </c>
    </row>
    <row r="5" spans="1:2" x14ac:dyDescent="0.2">
      <c r="A5" s="4" t="s">
        <v>7</v>
      </c>
      <c r="B5" s="5"/>
    </row>
    <row r="6" spans="1:2" x14ac:dyDescent="0.2">
      <c r="A6" s="4" t="s">
        <v>8</v>
      </c>
      <c r="B6" s="5">
        <v>4500</v>
      </c>
    </row>
    <row r="7" spans="1:2" x14ac:dyDescent="0.2">
      <c r="A7" s="4" t="s">
        <v>3</v>
      </c>
      <c r="B7" s="5">
        <v>1125</v>
      </c>
    </row>
    <row r="8" spans="1:2" x14ac:dyDescent="0.2">
      <c r="A8" s="6" t="s">
        <v>9</v>
      </c>
      <c r="B8" s="7"/>
    </row>
    <row r="9" spans="1:2" x14ac:dyDescent="0.2">
      <c r="A9" s="4" t="s">
        <v>10</v>
      </c>
      <c r="B9" s="5">
        <v>35000</v>
      </c>
    </row>
    <row r="10" spans="1:2" x14ac:dyDescent="0.2">
      <c r="A10" s="6" t="s">
        <v>2</v>
      </c>
      <c r="B10" s="5">
        <f>SUM(B3:B9)</f>
        <v>49425</v>
      </c>
    </row>
    <row r="11" spans="1:2" x14ac:dyDescent="0.2">
      <c r="B11" s="25"/>
    </row>
  </sheetData>
  <pageMargins left="0.39370078740157483" right="0.39370078740157483" top="0.74803149606299213" bottom="0.74803149606299213"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
  <sheetViews>
    <sheetView zoomScaleNormal="100" workbookViewId="0">
      <selection activeCell="A2" sqref="A2:B9"/>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85</v>
      </c>
      <c r="B2" s="5"/>
    </row>
    <row r="3" spans="1:2" x14ac:dyDescent="0.2">
      <c r="A3" s="4" t="s">
        <v>86</v>
      </c>
      <c r="B3" s="5">
        <v>1500</v>
      </c>
    </row>
    <row r="4" spans="1:2" x14ac:dyDescent="0.2">
      <c r="A4" s="4" t="s">
        <v>5</v>
      </c>
      <c r="B4" s="5"/>
    </row>
    <row r="5" spans="1:2" x14ac:dyDescent="0.2">
      <c r="A5" s="4" t="s">
        <v>87</v>
      </c>
      <c r="B5" s="5">
        <v>2400</v>
      </c>
    </row>
    <row r="6" spans="1:2" x14ac:dyDescent="0.2">
      <c r="A6" s="4" t="s">
        <v>7</v>
      </c>
      <c r="B6" s="5"/>
    </row>
    <row r="7" spans="1:2" x14ac:dyDescent="0.2">
      <c r="A7" s="4" t="s">
        <v>88</v>
      </c>
      <c r="B7" s="5">
        <v>1125</v>
      </c>
    </row>
    <row r="8" spans="1:2" x14ac:dyDescent="0.2">
      <c r="A8" s="6" t="s">
        <v>9</v>
      </c>
      <c r="B8" s="7"/>
    </row>
    <row r="9" spans="1:2" x14ac:dyDescent="0.2">
      <c r="A9" s="4" t="s">
        <v>89</v>
      </c>
      <c r="B9" s="5">
        <v>42324.29</v>
      </c>
    </row>
    <row r="10" spans="1:2" x14ac:dyDescent="0.2">
      <c r="A10" s="6" t="s">
        <v>2</v>
      </c>
      <c r="B10" s="5">
        <f>SUM(B3:B9)</f>
        <v>47349.29</v>
      </c>
    </row>
  </sheetData>
  <pageMargins left="0.39370078740157483" right="0.39370078740157483" top="0.74803149606299213" bottom="0.7480314960629921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817-865F-48BB-AD46-06F6404CD338}">
  <dimension ref="A1:B12"/>
  <sheetViews>
    <sheetView zoomScaleNormal="100" workbookViewId="0">
      <selection activeCell="B13" sqref="B13"/>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5</v>
      </c>
      <c r="B2" s="5"/>
    </row>
    <row r="3" spans="1:2" x14ac:dyDescent="0.2">
      <c r="A3" s="4" t="s">
        <v>106</v>
      </c>
      <c r="B3" s="5">
        <v>4800</v>
      </c>
    </row>
    <row r="4" spans="1:2" x14ac:dyDescent="0.2">
      <c r="A4" s="4" t="s">
        <v>7</v>
      </c>
      <c r="B4" s="5"/>
    </row>
    <row r="5" spans="1:2" x14ac:dyDescent="0.2">
      <c r="A5" s="4" t="s">
        <v>107</v>
      </c>
      <c r="B5" s="5">
        <v>2250</v>
      </c>
    </row>
    <row r="6" spans="1:2" x14ac:dyDescent="0.2">
      <c r="A6" s="4" t="s">
        <v>9</v>
      </c>
      <c r="B6" s="5"/>
    </row>
    <row r="7" spans="1:2" x14ac:dyDescent="0.2">
      <c r="A7" s="4" t="s">
        <v>108</v>
      </c>
      <c r="B7" s="5">
        <v>41792.800000000003</v>
      </c>
    </row>
    <row r="8" spans="1:2" x14ac:dyDescent="0.2">
      <c r="A8" s="4" t="s">
        <v>109</v>
      </c>
      <c r="B8" s="5"/>
    </row>
    <row r="9" spans="1:2" x14ac:dyDescent="0.2">
      <c r="A9" s="4" t="s">
        <v>110</v>
      </c>
      <c r="B9" s="5">
        <v>5448.46</v>
      </c>
    </row>
    <row r="10" spans="1:2" x14ac:dyDescent="0.2">
      <c r="A10" s="4" t="s">
        <v>111</v>
      </c>
      <c r="B10" s="5"/>
    </row>
    <row r="11" spans="1:2" x14ac:dyDescent="0.2">
      <c r="A11" s="4" t="s">
        <v>110</v>
      </c>
      <c r="B11" s="5">
        <v>4200.6499999999996</v>
      </c>
    </row>
    <row r="12" spans="1:2" x14ac:dyDescent="0.2">
      <c r="A12" s="6" t="s">
        <v>2</v>
      </c>
      <c r="B12" s="5">
        <f>SUM(B2:B11)</f>
        <v>58491.91</v>
      </c>
    </row>
  </sheetData>
  <pageMargins left="0.39370078740157483" right="0.39370078740157483" top="0.74803149606299213" bottom="0.74803149606299213"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BE718-34E9-478A-996A-6FD3386A6C09}">
  <dimension ref="A1:B12"/>
  <sheetViews>
    <sheetView zoomScaleNormal="100" workbookViewId="0">
      <selection activeCell="B23" sqref="B23"/>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9</v>
      </c>
      <c r="B2" s="5"/>
    </row>
    <row r="3" spans="1:2" x14ac:dyDescent="0.2">
      <c r="A3" s="4" t="s">
        <v>112</v>
      </c>
      <c r="B3" s="5">
        <v>41792.800000000003</v>
      </c>
    </row>
    <row r="4" spans="1:2" x14ac:dyDescent="0.2">
      <c r="A4" s="4" t="s">
        <v>113</v>
      </c>
      <c r="B4" s="5"/>
    </row>
    <row r="5" spans="1:2" x14ac:dyDescent="0.2">
      <c r="A5" s="4" t="s">
        <v>114</v>
      </c>
      <c r="B5" s="5">
        <v>10000</v>
      </c>
    </row>
    <row r="6" spans="1:2" x14ac:dyDescent="0.2">
      <c r="A6" s="4" t="s">
        <v>115</v>
      </c>
      <c r="B6" s="5"/>
    </row>
    <row r="7" spans="1:2" x14ac:dyDescent="0.2">
      <c r="A7" s="4" t="s">
        <v>116</v>
      </c>
      <c r="B7" s="5">
        <v>5360</v>
      </c>
    </row>
    <row r="8" spans="1:2" x14ac:dyDescent="0.2">
      <c r="A8" s="4" t="s">
        <v>117</v>
      </c>
      <c r="B8" s="5"/>
    </row>
    <row r="9" spans="1:2" x14ac:dyDescent="0.2">
      <c r="A9" s="4" t="s">
        <v>118</v>
      </c>
      <c r="B9" s="5">
        <v>15000</v>
      </c>
    </row>
    <row r="10" spans="1:2" x14ac:dyDescent="0.2">
      <c r="A10" s="6" t="s">
        <v>2</v>
      </c>
      <c r="B10" s="5">
        <f>SUM(B2:B9)</f>
        <v>72152.800000000003</v>
      </c>
    </row>
    <row r="12" spans="1:2" x14ac:dyDescent="0.2">
      <c r="A12" s="41" t="s">
        <v>140</v>
      </c>
      <c r="B12" s="7">
        <f>+B10+'Ingresos investigación 2020'!B12+'Ingresos investigación 2019'!B10</f>
        <v>177994</v>
      </c>
    </row>
  </sheetData>
  <pageMargins left="0.39370078740157483" right="0.39370078740157483" top="0.74803149606299213" bottom="0.74803149606299213"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2ABD2-4963-4037-B31C-A5FDAE26BC72}">
  <dimension ref="A1:B9"/>
  <sheetViews>
    <sheetView zoomScaleNormal="100" workbookViewId="0">
      <selection activeCell="A17" sqref="A17"/>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119</v>
      </c>
      <c r="B2" s="5"/>
    </row>
    <row r="3" spans="1:2" x14ac:dyDescent="0.2">
      <c r="A3" s="4" t="s">
        <v>120</v>
      </c>
      <c r="B3" s="5">
        <v>26771.43</v>
      </c>
    </row>
    <row r="4" spans="1:2" x14ac:dyDescent="0.2">
      <c r="A4" s="4" t="s">
        <v>121</v>
      </c>
      <c r="B4" s="5">
        <v>14726.52</v>
      </c>
    </row>
    <row r="5" spans="1:2" x14ac:dyDescent="0.2">
      <c r="A5" s="4" t="s">
        <v>122</v>
      </c>
      <c r="B5" s="5"/>
    </row>
    <row r="6" spans="1:2" x14ac:dyDescent="0.2">
      <c r="A6" s="4" t="s">
        <v>123</v>
      </c>
      <c r="B6" s="5">
        <v>19616.830000000002</v>
      </c>
    </row>
    <row r="7" spans="1:2" x14ac:dyDescent="0.2">
      <c r="A7" s="6" t="s">
        <v>2</v>
      </c>
      <c r="B7" s="7">
        <f>SUM(B2:B6)</f>
        <v>61114.78</v>
      </c>
    </row>
    <row r="9" spans="1:2" x14ac:dyDescent="0.2">
      <c r="B9" s="25"/>
    </row>
  </sheetData>
  <pageMargins left="0.39370078740157483" right="0.39370078740157483"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2</vt:i4>
      </vt:variant>
    </vt:vector>
  </HeadingPairs>
  <TitlesOfParts>
    <vt:vector size="9" baseType="lpstr">
      <vt:lpstr>Tesis</vt:lpstr>
      <vt:lpstr>Sexenios</vt:lpstr>
      <vt:lpstr>Ingresos investigación 2018</vt:lpstr>
      <vt:lpstr>Ingresos investigación 2019</vt:lpstr>
      <vt:lpstr>Ingresos investigación 2020</vt:lpstr>
      <vt:lpstr>Ingresos investigación 2021</vt:lpstr>
      <vt:lpstr>Ingresos Docencia 2021</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21511974M</cp:lastModifiedBy>
  <dcterms:created xsi:type="dcterms:W3CDTF">2019-07-03T07:15:54Z</dcterms:created>
  <dcterms:modified xsi:type="dcterms:W3CDTF">2022-10-18T10:07:44Z</dcterms:modified>
</cp:coreProperties>
</file>