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D620194A-AD0E-47CA-87AA-6D7B46D14838}" xr6:coauthVersionLast="47" xr6:coauthVersionMax="47" xr10:uidLastSave="{00000000-0000-0000-0000-000000000000}"/>
  <bookViews>
    <workbookView xWindow="22932" yWindow="-108" windowWidth="23256" windowHeight="12456" tabRatio="776" xr2:uid="{00000000-000D-0000-FFFF-FFFF00000000}"/>
  </bookViews>
  <sheets>
    <sheet name="Tesis" sheetId="10" r:id="rId1"/>
    <sheet name="Sexenios" sheetId="11" r:id="rId2"/>
    <sheet name="Ingresos investigación 2019" sheetId="14" r:id="rId3"/>
    <sheet name="Ingresos investigación 2020" sheetId="16" r:id="rId4"/>
    <sheet name="Ingresos investigación 2021" sheetId="18" r:id="rId5"/>
    <sheet name="Ingresos formación 2019" sheetId="15" r:id="rId6"/>
    <sheet name="Ingresos formación 2020" sheetId="17" r:id="rId7"/>
    <sheet name="Ingresos formación 2021" sheetId="19" r:id="rId8"/>
  </sheets>
  <definedNames>
    <definedName name="_xlnm._FilterDatabase" localSheetId="1" hidden="1">Sexenios!$A$1:$S$1</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2" i="10" l="1"/>
  <c r="B5" i="19" l="1"/>
  <c r="B5" i="17" l="1"/>
  <c r="B116" i="16"/>
  <c r="S27" i="11" l="1"/>
  <c r="B4" i="15" l="1"/>
  <c r="B8" i="19" s="1"/>
  <c r="B117" i="14"/>
  <c r="D52" i="18" s="1"/>
</calcChain>
</file>

<file path=xl/sharedStrings.xml><?xml version="1.0" encoding="utf-8"?>
<sst xmlns="http://schemas.openxmlformats.org/spreadsheetml/2006/main" count="1381" uniqueCount="536">
  <si>
    <t>Orgánica
Descripción justificante</t>
  </si>
  <si>
    <t>Importe</t>
  </si>
  <si>
    <t>Total</t>
  </si>
  <si>
    <t>34.70.6C.00.12</t>
  </si>
  <si>
    <t>34.70.6C.00.38</t>
  </si>
  <si>
    <t>34.70.6C.00.48</t>
  </si>
  <si>
    <t>34.70.6C.00.50</t>
  </si>
  <si>
    <t>34.70.6C.00.54</t>
  </si>
  <si>
    <t>34.70.6C.00.56</t>
  </si>
  <si>
    <t>34.70.6P.00.14</t>
  </si>
  <si>
    <t>34.70.6P.00.15</t>
  </si>
  <si>
    <t>34.70.6P.00.17</t>
  </si>
  <si>
    <t>34.70.6P.00.18</t>
  </si>
  <si>
    <t>34.70.2T.00.01</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</si>
  <si>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</si>
  <si>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</si>
  <si>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</si>
  <si>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</si>
  <si>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</si>
  <si>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</si>
  <si>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</si>
  <si>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</si>
  <si>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</si>
  <si>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</si>
  <si>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</si>
  <si>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</si>
  <si>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</si>
  <si>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</si>
  <si>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</si>
  <si>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</si>
  <si>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</si>
  <si>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</si>
  <si>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</si>
  <si>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</si>
  <si>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</si>
  <si>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</si>
  <si>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</si>
  <si>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</si>
  <si>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</si>
  <si>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10</t>
  </si>
  <si>
    <t>10.25</t>
  </si>
  <si>
    <t>12/07/2019 </t>
  </si>
  <si>
    <t>20</t>
  </si>
  <si>
    <t>10.19</t>
  </si>
  <si>
    <t>19/09/2017 </t>
  </si>
  <si>
    <t>16/07/2018 </t>
  </si>
  <si>
    <t>17/09/2018 </t>
  </si>
  <si>
    <t>11/06/2019 </t>
  </si>
  <si>
    <t>30/06/2017 </t>
  </si>
  <si>
    <t>24/02/2017 </t>
  </si>
  <si>
    <t>25/09/2017 </t>
  </si>
  <si>
    <t>U044 </t>
  </si>
  <si>
    <t>ADM. FACULTAD DE CIENCIAS DE LA SALUD </t>
  </si>
  <si>
    <t>DOCTORADO EN CIENCIAS DE LA SALUD </t>
  </si>
  <si>
    <t>Bellod Guillen, Jose Miguel </t>
  </si>
  <si>
    <t>DESARROLLO DE UN SISTEMA DE TRIAJE DE URGENCIAS ESCALABLE, REPRODUCIBLE Y CON INTEROPERABILIDAD SEMÁNTICA </t>
  </si>
  <si>
    <t>B148 </t>
  </si>
  <si>
    <t>TECNOLOGÍA INFORMÁTICA Y COMPUTACIÓN </t>
  </si>
  <si>
    <t>DOCTORADO EN TECNOLOGÍAS DE LA SOCIEDAD DE LA INFORMACIÓN </t>
  </si>
  <si>
    <t>33476663W </t>
  </si>
  <si>
    <t>B148</t>
  </si>
  <si>
    <t>31251007X </t>
  </si>
  <si>
    <t>21474037H </t>
  </si>
  <si>
    <t>21486541X </t>
  </si>
  <si>
    <t>21964202F </t>
  </si>
  <si>
    <t>52764803C </t>
  </si>
  <si>
    <t>22000675W </t>
  </si>
  <si>
    <t>50735030C </t>
  </si>
  <si>
    <t>U062 </t>
  </si>
  <si>
    <t>ADM. I.U. DE INVESTIGACIÓN INFORMÁTICA </t>
  </si>
  <si>
    <t>DOCTORADO EN INFORMÁTICA </t>
  </si>
  <si>
    <t>33489374V </t>
  </si>
  <si>
    <t>50170678L </t>
  </si>
  <si>
    <t>Albentosa Mora, Jose Luis </t>
  </si>
  <si>
    <t>MODELO Y ARQUITECTURA PARA LAPROVISIÓN EN LA NUBE DE SERVICIOS Y APLICACIONES HETEROGÉNEAS </t>
  </si>
  <si>
    <t>33475167R </t>
  </si>
  <si>
    <t>Monsalve Torra, Ana Eddy </t>
  </si>
  <si>
    <t>SISTEMAS DE AYUDA A LA DECISIÓN CLÍNICA EN ENFERMEDADES DE DIAGNÓSTICO COMPLEJO </t>
  </si>
  <si>
    <t>21510176R </t>
  </si>
  <si>
    <t>22135677V </t>
  </si>
  <si>
    <t>Nieto Hidalgo, Mario </t>
  </si>
  <si>
    <t>"GAIT ANALYSIS USING COMPUTER VISION FOR THE EARLY DETECTION OF ELDERLY SYNDROMES. A FORMAL PROPOSAL" </t>
  </si>
  <si>
    <t>03/03/2017 </t>
  </si>
  <si>
    <t>Sirvent Llamas, Alejandro </t>
  </si>
  <si>
    <t>ARQUITECTURAS DE INTERNET DE LAS COSAS PARA LA GESTIÓN DE INFRAESTRUCTURAS EN CIUDADES INTELIGENTES </t>
  </si>
  <si>
    <t>Hinojo Pérez, Juan José </t>
  </si>
  <si>
    <t>INVESTIGACIÓN INDUSTRIAL ORIENTADA A LA ADECUACIÓN DE LOS SISTEMAS PRODUCTIVOS ACTUALES DEL SECTOR CALZADO A TECNOLOGÍAS DE RECIENTE DESARROLLO </t>
  </si>
  <si>
    <t>07/09/2018 </t>
  </si>
  <si>
    <t>22144890F </t>
  </si>
  <si>
    <t>29011916S </t>
  </si>
  <si>
    <t>Isaza González, José Iván </t>
  </si>
  <si>
    <t>APORTACIONES A LA TOLERANCIA A FALLOS EN MICROPROCESADORES BAJO EFECTOS DE LA RADIACIÓN </t>
  </si>
  <si>
    <t>74653004H </t>
  </si>
  <si>
    <t>Román Ibáñez, Vicente </t>
  </si>
  <si>
    <t>MODELADO E IMPLEMENTACIÓN DE SISTEMAS ROBÓTICOS ORIENTADOS AL SECTOR CALZADO </t>
  </si>
  <si>
    <t>44752524K </t>
  </si>
  <si>
    <t>Albandes Cunha Gomes, Iuri </t>
  </si>
  <si>
    <t>USE OF APPROXIMATE TRIPLE MODULAR REDUNDANCY FOR FAULT TOLERANCE IN DIGITAL CIRCUITS </t>
  </si>
  <si>
    <t>26/11/2018 </t>
  </si>
  <si>
    <t>De Ramón Fernández, Alberto Antonio </t>
  </si>
  <si>
    <t>MODELO BASADO EN MONITORIZACIÓN PARA EL EMPODERAMIENTO EN SALUD. UN ENFOQUE CENTRADO EN ARQUITECTURAS DISTRIBUIDAS Y DISPOSITIVOS EMBEBIDOS </t>
  </si>
  <si>
    <t>29/03/2019 </t>
  </si>
  <si>
    <t>33491634T </t>
  </si>
  <si>
    <t>Mendoza Tello, Julio César </t>
  </si>
  <si>
    <t>INNOVACIÓN DISRUPTIVA DE LAS CRIPTOMONEDAS PARA LA SOCIEDAD Y EL COMERCIO ELECTRÓNICO </t>
  </si>
  <si>
    <t>14/06/2019 </t>
  </si>
  <si>
    <t>Ruiz Chávez, Zoila de Lourdes </t>
  </si>
  <si>
    <t>TÉCNICAS DE APRENDIZAJE AUTOMÁTICO APLICADAS AL PROCESAMIENTO DE INFORMACIÓN DEMOGRÁFICA </t>
  </si>
  <si>
    <t>Salvador Meneses, Jaime Oswaldo </t>
  </si>
  <si>
    <t>OPTIMIZACIÓN Y PROCESAMIENTO INTELIGENTE DE GRANDES VOLÚMENES DE DATOS CATEGÓRICOS </t>
  </si>
  <si>
    <t>Zambrano Méndez, Leandro </t>
  </si>
  <si>
    <t>DISEÑO SYSTEM ON CHIP DE LOS CENTROS NERVIOSOS DEL SISTEMA NEURORREGULADOR DE LOS HUMANOS. APLICACIÓN AL CENTRO CÓRTICO-DIENCEFÁLICO </t>
  </si>
  <si>
    <t>48375795X </t>
  </si>
  <si>
    <t>NIF</t>
  </si>
  <si>
    <t>NOMBRE_COMPLETO</t>
  </si>
  <si>
    <t>TIPO_SEXENIO</t>
  </si>
  <si>
    <t>Total general</t>
  </si>
  <si>
    <t>INS
1</t>
  </si>
  <si>
    <t>DED
INS 1</t>
  </si>
  <si>
    <t>INS
2</t>
  </si>
  <si>
    <t>DED
INS 2</t>
  </si>
  <si>
    <t>DED
DEP</t>
  </si>
  <si>
    <t>SEX
INS 1</t>
  </si>
  <si>
    <t>SEX
INS 2</t>
  </si>
  <si>
    <t>SEX
DEP</t>
  </si>
  <si>
    <t>FUNCIONARIO</t>
  </si>
  <si>
    <t>NO FUNCIONARIO</t>
  </si>
  <si>
    <t>52764803C</t>
  </si>
  <si>
    <t>AZORIN LOPEZ, JORGE</t>
  </si>
  <si>
    <t>48375795X</t>
  </si>
  <si>
    <t>BERNA MARTINEZ, JOSE VICENTE</t>
  </si>
  <si>
    <t>31251007X</t>
  </si>
  <si>
    <t>CUENCA ASENSI, SERGIO ANTONIO</t>
  </si>
  <si>
    <t>09371918Q</t>
  </si>
  <si>
    <t>FERRANDEZ PASTOR, FRANCISCO JAVIER</t>
  </si>
  <si>
    <t>33476663W</t>
  </si>
  <si>
    <t>22000675W</t>
  </si>
  <si>
    <t>FUSTER GUILLO, ANDRES</t>
  </si>
  <si>
    <t>21964202F</t>
  </si>
  <si>
    <t>GARCIA CHAMIZO, JUAN MANUEL</t>
  </si>
  <si>
    <t>21486541X</t>
  </si>
  <si>
    <t>GARCIA RODRIGUEZ, JOSE</t>
  </si>
  <si>
    <t>50170678L</t>
  </si>
  <si>
    <t>GIL MENDEZ, DAVID</t>
  </si>
  <si>
    <t>50735030C</t>
  </si>
  <si>
    <t>GILART IGLESIAS, VIRGILIO</t>
  </si>
  <si>
    <t>21397854B</t>
  </si>
  <si>
    <t>GREDIAGA OLIVO, ANGEL</t>
  </si>
  <si>
    <t>29011916S</t>
  </si>
  <si>
    <t>JIMENO MORENILLA, ANTONIO MANUEL</t>
  </si>
  <si>
    <t>21474037H</t>
  </si>
  <si>
    <t>MACIA PEREZ, FRANCISCO</t>
  </si>
  <si>
    <t>33491634T</t>
  </si>
  <si>
    <t>MARCOS JORQUERA, DIEGO</t>
  </si>
  <si>
    <t>74653004H</t>
  </si>
  <si>
    <t>MARTINEZ ALVAREZ, ANTONIO</t>
  </si>
  <si>
    <t>33489374V</t>
  </si>
  <si>
    <t>MORA MORA, HIGINIO</t>
  </si>
  <si>
    <t>33475167R</t>
  </si>
  <si>
    <t>MORA PASCUAL, JERONIMO MANUEL</t>
  </si>
  <si>
    <t>44752524K</t>
  </si>
  <si>
    <t>PUJOL LOPEZ, FRANCISCO ANTONIO</t>
  </si>
  <si>
    <t>21510176R</t>
  </si>
  <si>
    <t>RUIZ FERNANDEZ, DANIEL</t>
  </si>
  <si>
    <t>33485105A</t>
  </si>
  <si>
    <t>SANCHEZ ROMERO, JOSE LUIS</t>
  </si>
  <si>
    <t>21411855M</t>
  </si>
  <si>
    <t>SIGNES PONT, MARIA TERESA</t>
  </si>
  <si>
    <t>22135677V</t>
  </si>
  <si>
    <t>SORIANO PAYA, ANTONIO</t>
  </si>
  <si>
    <t>34.70.6C.00.01</t>
  </si>
  <si>
    <t xml:space="preserve">EVALUACIÓN POR PARTE DE JUAN MANUEL GARCÍA CHAMIZO DE LOS EXPEDIENTES CON CÓDIGO Nº 46.116.16d, 46.116.17 Y 1379.013.17 ACIE8-15TD </t>
  </si>
  <si>
    <t xml:space="preserve">EVALUACIÓN TÉCNICA DE JUAN MANUEL GARCÍA CHAMIZO DEL PROYECTO CON NÚMERO DE EXPEDIENTE 04.015.17 Y 13.320.17  </t>
  </si>
  <si>
    <t>EVALUACIÓN TÉCNICA POR PARTE DE JUAN MANUEL GARCÍA CHAMIZO DEL EXPEDIENTE Nº 623.052.17</t>
  </si>
  <si>
    <t>ASESORAMIENTO Y ASISTENCIA TÉCNICA PARA EL DESARROLLO DEL PROYECTO "BASE DE DATOS DE JURISPRUDENCIA LOCAL"</t>
  </si>
  <si>
    <t>REMISIÓN DE INFORME DE ACCIONES CORRECTORAS EN FORMATO F.36 ANTE TRÁMITE DE AUDIENCIA DE ACUERDO CON LA CLÁUSULA OCTAVA DEL CONTRATO CON NÚMERO DE EXPEDIENTE 2340.001.17 ACIE6-18TPA</t>
  </si>
  <si>
    <t>ÚLTIMO PAGO POR FIRMA DEL CONVENIO "DISEÑO DE SISTEMA EMBEBIDO PARA GENERADOR EÓLICO BASADO EN TECNOLOGÍAS DE LA INFORMACIÓN, COMUNICACIÓN Y CONTROL"</t>
  </si>
  <si>
    <t>REINTEGRO CUOTA PATRONAL CORRESPONDIENTE AL MES DE DICIEMBRE DE 2019</t>
  </si>
  <si>
    <t>REINTEGRO CUOTA PATRONAL CORRESPONDIENTE AL MES DE NOVIEMBRE 2019.</t>
  </si>
  <si>
    <t>34.70.6C.00.55</t>
  </si>
  <si>
    <t xml:space="preserve">EVALUACIÓN POR PARTE DE JOSÉ VICENTE BERNÁ MARTÍNEZ DEL PROYECTO DE I+D+i EXTRANGEX1. PEDIDO Nº 6028536 SGS29-18TPA </t>
  </si>
  <si>
    <t>Reintegro de cuota patronal del mes de julio 2019</t>
  </si>
  <si>
    <t>34.70.6C.00.57</t>
  </si>
  <si>
    <t>EVALUACIÓN POR PARTE DE JOSÉ VICENTE BERNÁ MARTÍNEZ DEL PROYECTO DE I+D+i TVICGEST17. NÚMERO DE PEDIDO 6029308 SGS32-18TPA</t>
  </si>
  <si>
    <t>Reintegro de Cuota Patronal del mes de diciembre 2019</t>
  </si>
  <si>
    <t>34.70.6C.00.58</t>
  </si>
  <si>
    <t xml:space="preserve">EVALUACION POR PARTE DE JOSE VICENTE BERNA MARTINEZ DEL PROYECTO I+D+i QARTECOM17 NÚMERO DE PEDIDO 6029384 SGS33-18TPA </t>
  </si>
  <si>
    <t>34.70.6C.00.59</t>
  </si>
  <si>
    <t>PRIMERA MENSUALIDAD POR LA FIRMA DEL CONTRATO "INVESTIGACIÓN Y DESARROLLO DE SISTEMAS DE PROCESAMIENTO AVANZADO BASADOS EN EL PARADIGMA CLOUD COMPUTING".  Nº DE PEDIDO 9000015677 EVERIS1-18I</t>
  </si>
  <si>
    <t xml:space="preserve">SEGUNDA MENSUALIDAD PARA LA REALIZACIÓN DEL PROYECTO DE ACUERDO CON EL CONTRATO "INVESTIGACIÓN Y DESARROLLO DE SISTEMAS DE PROCESAMIENTO AVANZADO BASADOS EN EL PARADIGMA CLOUD COMPUTING" Nº DE PEDIDO 9000015677 EVERIS1-18I </t>
  </si>
  <si>
    <t>TERCERA MENSUALIDAD PARA LA REALIZACIÓN DEL PROYECTO DE ACUERDO CON EL CONTRATO "INVESTIGACIÓN Y DESARROLLO DE SISTEMAS DE PROCESAMIENTO AVANZADOS BASADOS EN EL PARADIGMA CLOUD COMPUTING" Nº DE PEDIDO 9000015677</t>
  </si>
  <si>
    <t xml:space="preserve">ULTIMO PAGO POR LA REALIZACIÓN DEL PROYECTO DE ACUERDO CON EL ANEJO DE MODIFICACIÓN DEL CONTRATO "INVESTIGACIÓN Y DESARROLLO DE SISTEMAS DE PROCESAMIENTO AVANZADOS BASADOS EN EL PARADIGMA </t>
  </si>
  <si>
    <t>34.70.6C.00.60</t>
  </si>
  <si>
    <t>EVALUACIÓN POR PARTE DE EXP. T.  HIGINIO MORA MORA DEL PROYECTO "DESARROLLO DE UNA HERRAMIENTA DE SUMINISTRO DE INFORMACIÓN PARA OPERACIONES OTC" CON CÓDIGO ACIE DE EXPEDIENTE 2396.002.18</t>
  </si>
  <si>
    <t>34.70.6C.00.61</t>
  </si>
  <si>
    <t>EVALUACIÓN POR PARTE DEL EXP. T. HIGINIO MORA MORA DEL PROYECTO "BANCA MÓVIL INTELIGENTE DE EVO BANCO" CÓDIGO ACIE DE EXPEDIENTE 1773.005.18</t>
  </si>
  <si>
    <t>34.70.6C.00.62</t>
  </si>
  <si>
    <t>ACIE5-19TPA EVALUACIÓN POR PARTE DEL EXP. T. HIGINIO MORA MORA DEL PROYECTO "MARTE NUEVA PLATAFORMA DE MEDIOS DE PAGO" CÓDIGO ACIE DE EXPEDIENTE 1773.006.18</t>
  </si>
  <si>
    <t>34.70.6C.00.63</t>
  </si>
  <si>
    <t>EVALUACIÓN POR PARTE DEL EXP. T. HIGINIO MORA MORA DEL PROYECTO "SISTEMA DE GESTIÓN DEL LEASING PARA EL SECTOR DE LA AUTOMOCIÓN" CÓDIGO ACIE DE EXPEDIENTE 506.014.18</t>
  </si>
  <si>
    <t>34.70.6C.00.64</t>
  </si>
  <si>
    <t>EVALUACIÓN DEL PROYECTO DE I+D+i SEEKERLINE (ANUALIDAD 2016) BAJO LA DIRECCIÓN DEL EXPERTO TECNICO: JOSÉ VICENTE BERNA MARTÍNEZ. NÚMERO DE PEDIDO 6030688</t>
  </si>
  <si>
    <t>34.70.6C.00.65</t>
  </si>
  <si>
    <t>EVALUACIÓN POR PARTE DEL EXP. T. HIGINIO MORA MORA DEL PROYECTO  CON CÓDIGO ACIE 2704.001.19</t>
  </si>
  <si>
    <t>34.70.6C.00.66</t>
  </si>
  <si>
    <t>EVALUACIÓN POR PARTE DEL EXP. T. HIGINIO MORA MORA DEL PROYECTO  CON CÓDIGO ACIE 2704.001.19d</t>
  </si>
  <si>
    <t>34.70.6C.00.67</t>
  </si>
  <si>
    <t>EVALUACIÓN POR PARTE DEL EXP. T. HIGINIO MORA MORA DEL PROYECTO  CON CÓDIGO ACIE 2711.001.19d</t>
  </si>
  <si>
    <t>34.70.6C.00.68</t>
  </si>
  <si>
    <t>EVALUACIÓN POR PARTE DEL EXP. T. HIGINIO MORA MORA DEL PROYECTO  CON CÓDIGO ACIE 1252.005.19</t>
  </si>
  <si>
    <t>34.70.6C.00.69</t>
  </si>
  <si>
    <t>EVALUACIÓN POR PARTE DEL EXP. T. HIGINIO MORA MORA DEL PROYECTO  CON CÓDIGO ACIE 2168.002.19</t>
  </si>
  <si>
    <t>34.70.6C.00.70</t>
  </si>
  <si>
    <t>EVALUACIÓN POR PARTE DEL EXP. T. HIGINIO MORA MORA DEL PROYECTO  CON CÓDIGO ACIE 2711.001.19</t>
  </si>
  <si>
    <t>34.70.6C.00.71</t>
  </si>
  <si>
    <t>Trabajos de I+D desarrollados como parte del Contrato de Asesoramiento y Asistencia Científico-Técnica del NOUSS SMART PLANNER</t>
  </si>
  <si>
    <t>34.70.6C.00.72</t>
  </si>
  <si>
    <t>REALIZACIÓN POR PARTE DE JOSÉ VICENTE BERNA MARTÍNEZ  DE INFORME DE 2ª OPINIÓN DEL PROYECTO "MODELO DE PREDICCIÓN PARA LA OPTIMIZACIÓN DEL PROCESO DE CAPTACIÓN DE CLIENTES BASADO EN LA IA"</t>
  </si>
  <si>
    <t>34.70.6C.00.73</t>
  </si>
  <si>
    <t>EVALUACIÓN POR PARTE DE JOSÉ VICENTE BERNÁ MARTÍNEZ  DEL PROYECTO DE I+D+i MGSGDA2018 (ANUALIDAD 2018), CON NÚMERO DE PEDIDO 6033809</t>
  </si>
  <si>
    <t>34.70.6C.00.74</t>
  </si>
  <si>
    <t>EVALUACIÓN POR PARTE DE JOSÉ VICENTE BERNÁ MARTÍNEZ DEL PROYETO DE I+D+i SEEKERLINE (ANUALIDAD 2017), CON NÚMERO DE PEDIDO 6033843</t>
  </si>
  <si>
    <t>34.70.6C.00.75</t>
  </si>
  <si>
    <t>EVALUACIÓN POR PARTE DE JOSÉ VICENTE BERNÁ MARTÍNEZ DEL PROYECTO DE I+D+i VEXIZGIS18 (ANUALIDAD 2018), CON NÚMERO DE PEDIDO 6034457</t>
  </si>
  <si>
    <t>34.70.6C.00.76</t>
  </si>
  <si>
    <t>EVALUACIÓN POR PARTE DE JOSÉ VICENTE BERNÁ MARTÍNEZ DEL PROYECTO DE I+D+i WEPREVENT8 (ANUALIDAD 2018), CON NÚMERO DE PEDIDO 6033317</t>
  </si>
  <si>
    <t>34.70.6C.00.77</t>
  </si>
  <si>
    <t>REALIZACION POR PARTE DEL EXP-T HIGINIO MORA MORA DEL SERVICIO DE EVALUACIÓN DEL PROYECTO "DESARROLLO DE UN SUPER-ROBOT PARA MEJORAR Y FACILITAR LA GESTIÓN Y SUPERVICIOS DE GRANJA DE ROBOTS CON  ÓDIGO ACIE DE EXPEDIENTE 186.017.19</t>
  </si>
  <si>
    <t>34.70.6C.00.78</t>
  </si>
  <si>
    <t>REALIZACION POR PARTE DEL EXP-T HIGINIO MORA MORA DEL SERVICIO DE EVALUACIÓN DEL PROYECTO "NUEVO SISTEMA INTELIGENTE DE INSPECCIÓN DE INFRAESTRUCTURAS EN CONSTRUCCIÓN" CON  CÓDIGO ACIE DE EXPEDIENTE 2116.030.19</t>
  </si>
  <si>
    <t>34.70.6C.00.79</t>
  </si>
  <si>
    <t>REALIZACION POR PARTE DEL EXP-T HIGINIO MORA MORA DEL SERVICIO DE EVALUACIÓN DEL PROYECTO "PLATAFORMA DE TRABAJO COLABORATIVO" CON  CÓDIGO ACIE DE EXPEDIENTE 2474.001.19</t>
  </si>
  <si>
    <t>34.70.6C.00.80</t>
  </si>
  <si>
    <t>REALIZACION POR PARTE DEL EXP-T HIGINIO MORA MORA DEL SERVICIO DE EVALUACIÓN DEL PROYECTO "DESARROLLO DE NUEVAS SOLUCIONES PARA LA GESTIÓN Y TRAZABILIDAD DE LA INFORMACIÓN EN LUMINARIAS LED" CON  CÓDIGO ACIE DE EXPEDIENTE 2501.008.19</t>
  </si>
  <si>
    <t>34.70.6C.00.81</t>
  </si>
  <si>
    <t>ASESORAMIENTO CIENTÍFICO-TÉCNICO Y ELABORACIÓN DE PROPUESTA DE PRUEBA DE CONCEPTO DE UNA PLATAFORMA BAJO LA DIRECCIÓN DE FRANCISCO MACIÁ PÉREZ Y JOSE VICENTE BERNÁ MARTÍNEZ EN RELACIÓN AL EXPEDIENTE INNACC00/19/063 DE LA AVI</t>
  </si>
  <si>
    <t>34.70.6C.00.82</t>
  </si>
  <si>
    <t>EVALUACIÓN DEL PROYECTO DE I+D+i TOMMONIT18 NÚMERO DE PEDIDO 6035203 EXPERTO TECNICO: JOSE VICENTE BERNA MARTINEZ</t>
  </si>
  <si>
    <t>34.70.6C.00.83</t>
  </si>
  <si>
    <t>PAGO ANTICIPO 75.CONVENIO UNI. ALICANTE PARA LA CREACIÓN UCIE EN I2RC GRUPO DE INVESTIGACIÓN DE INFORMÁTICA 2019.</t>
  </si>
  <si>
    <t>34.70.6C.00.84</t>
  </si>
  <si>
    <t>EVALUACIÓN DEL PROYECTO DE I+D+i GLBHND2018. NÚMERO DE PEDIDO 6035865 Experto Técnico: José Vicente Berna Martínez</t>
  </si>
  <si>
    <t>34.70.6C.00.85</t>
  </si>
  <si>
    <t>EVALUACIÓN DEL PROYECTO DE I+D+i SOLUXFORCE (ANUALIDAD 2018). NÚMERO DE PEDIDO 6036069</t>
  </si>
  <si>
    <t>34.70.6C.00.86</t>
  </si>
  <si>
    <t>Realización  por parte del Exp. T. del servicio  de evaluación del proyecto  NUEVO SISTEMA PARA GENERACION AUTOMATICA  DE CODIGO con código AClE de Expediente  2710.002.19</t>
  </si>
  <si>
    <t>34.70.6C.00.87</t>
  </si>
  <si>
    <t>Realización  por parte del Exp. T.  del servicio  de  evaluación  del proyecto  PLATAFORMA  PARA LA MONITORIZACION  Y EVALUACION  DE AERONAVES  con  código  AClE  de  Expediente  1379.064.19</t>
  </si>
  <si>
    <t>34.70.6C.00.88</t>
  </si>
  <si>
    <t>Realización  por parte del ExpT  del servicio de evaluación del proyecto DESARROLLO  DE UNA HERRAMIENTA DE SUMINISTRO  DE INFORMACION  PARA OPERACIONES  OTC con código AClE  de Expediente  2396.002.19</t>
  </si>
  <si>
    <t>34.70.6C.00.89</t>
  </si>
  <si>
    <t>Realización  por parte del Exp. T. del servicio  de  evaluación  del  proyecto  DESARROLLO   DE  NUEVOS  MODULOS  DE GESTION  DE LA INFORMACION  PARA PROCESOS  OPERATIVOS con código AClE de Expediente 1596.001.19</t>
  </si>
  <si>
    <t>34.70.6C.00.90</t>
  </si>
  <si>
    <t>Realización por parte del Exp. T. del servicio  de  evaluación  del  proyecto  DESARROLLO   DE  NUEVA PLATAFORMA  DE GESTION  DIGITAL DE LA PRODUCCION  BASADA  EN FABRICACION AVANZADA con código AClE  de Expediente  1075.015.19</t>
  </si>
  <si>
    <t>34.70.6C.00.91</t>
  </si>
  <si>
    <t>Reconocimiento de emociones a partir de señales adquiridas con la pulsera inteligente Empatica E4 (interihotel BCN19). Actuació 11.2 - Ubicació, disseny i equipament del Lab.  Aquest servei està cofinançat pel Fons Europeu de Desenvolupament Regional (FEDER) de la Unió Europea en el marc del programa operatiu FEDER de Catalunya 2014-2020. Objectiu d'inversió en creixement i ocupació. Aquest servei està emmarcat dins la iniciativa d'intervenció coordinada PECT Turis-TIC en Família, operació "Laboratori hàbitat"</t>
  </si>
  <si>
    <t xml:space="preserve">SUBVENCIONES PARA GRUPOS DE INVESTIGACIÓN CONSOLIDABLES AICO/2017-3ª ANUALIDAD </t>
  </si>
  <si>
    <t>LIBERADOS EL 21/10/2019, ANUALIDAD 2019 AC. PROG. CONJUNTA INTERNACIONAL (PI A10) N EXPEDIENTE: PIA 102017-1 -3 ANUALIDAD REFERENCIA: PCIN- 2017- 114. REFERENCIA DEL ORDENANTE PARA EL BENEFICIARIO: 27402219310029900</t>
  </si>
  <si>
    <t>FLIB 18/03/19. PROYECTOS I+D+I RETOS 2017. ANUAL 2019. UNIV2 PROYECTOS I+D RETOS (PIA13) N EXPEDIENTE: PIA132017-1 - 2 ANUALIDAD REFERENCI. REF. ORDENANTE: 27402219310014367.</t>
  </si>
  <si>
    <t>FLIB 18/03/19. PROYECTOS I+D+I RETOS 2017. ANUAL 2019. UNIV2 PROYECTOS I+D RETOS (PIA13) N EXPEDIENTE: PIA132017-1 - 2 ANUALIDAD REFERENCI.</t>
  </si>
  <si>
    <t>34.70.6P.00.23</t>
  </si>
  <si>
    <t>PAGO AYUDA INNACCOO/18/008 ACCIONES COMPLEMENTARIAS DE IMPULSO Y FORTALECIMIENTO DE LA INNOVACIÓN 2018. 220190002769.</t>
  </si>
  <si>
    <t>34.70.6P.00.24</t>
  </si>
  <si>
    <t xml:space="preserve">APE - CAPTACIÓ PROJECTES EUROPEUS </t>
  </si>
  <si>
    <t>34.70.6X.00.01</t>
  </si>
  <si>
    <t>LIQUIDACIÓN FINAL ERASMUS: EUROBOTIQUE - IES TORRELLANO. LA OFICINA DE GESTIÓN DE PROYECTOS INTERNACIONES INFORMA QUE SE TRATA DEL ÚLTIMO PAGO DEL PROYECTO EUROBOTIQUE. DEPARTAMENTO DE TECNOLOGÍA INFORMÁTICA Y COMPUTACIÓN.</t>
  </si>
  <si>
    <t>Liquidación  PLAN GB47 curso ''PROGRAMACIÓN DE PROCESADORES GRÁFICOS: JUGANDO Y ACELERANDO APLICACIONES'' ORDEN 5447</t>
  </si>
  <si>
    <t>16/01/2020 </t>
  </si>
  <si>
    <t>ARQUITECTURA PARA ANALÍTICAS DE DATOS ORIENTADA A LA AYUDA DEL PROCESO DE LA TOMA DE DECISIONES </t>
  </si>
  <si>
    <t>Kauffmann Incer, Erick </t>
  </si>
  <si>
    <t>28/10/2019 </t>
  </si>
  <si>
    <t>DEEP LEARNING FOR 3D PERCEPTION: COMPUTER VISION AND TACTILE SENSING </t>
  </si>
  <si>
    <t>García García, Alberto </t>
  </si>
  <si>
    <t>29/07/2020 </t>
  </si>
  <si>
    <t>NUEVAS TECNOLOGÍAS Y CÁNCER DE MAMA. ANÁLISIS MEDIANTE E-HEALTH DE LA ANSIEDAD DURANTE LA FASE DIAGNÓSTICA DE UNA LESIÓN MAMARIA SOSPECHOSA </t>
  </si>
  <si>
    <t>Fernández Frías, Ana María </t>
  </si>
  <si>
    <t>06/07/2020 </t>
  </si>
  <si>
    <t>MODELIZACIÓN DE LA PROPAGACIÓN DE INFORMACIÓN A TRAVÉS DE LAS REDES INFORMÁTICAS </t>
  </si>
  <si>
    <t>Espín León, Aldrin Marcel </t>
  </si>
  <si>
    <t>20/11/2019 </t>
  </si>
  <si>
    <t>SELECCIÓN DE CONJUNTOS DE DATOS A PUBLICAR EN ABIERTO BASADA EN EL MÉTODO DELPHI DIFUSO </t>
  </si>
  <si>
    <t>Enríquez Reyes, Robert </t>
  </si>
  <si>
    <t>21411855M </t>
  </si>
  <si>
    <t>16/07/2020 </t>
  </si>
  <si>
    <t>Cortes Castillo, Antonio </t>
  </si>
  <si>
    <t>MARCO DE REFERENCIA PARA LA PUBLICACIÓN DE DATOS ABIERTOS COMPRENSIBLES BASADO EN ESTÁNDARES DE CALIDAD </t>
  </si>
  <si>
    <t>Cadena Vela, Susana Graciela </t>
  </si>
  <si>
    <t>19/06/2020 </t>
  </si>
  <si>
    <t>PROPUESTA DE UN CONJUNTO DE HERRAMIENTAS DE MINERÍA DE DATOS PARA EVALUAR EL DESEMPEÑO DE LOS ESTUDIANTES Y LOS PROCESOS DE ENSEÑANZA-APRENDIZAJE EN EL ÁMBITO DE LA EDUACIÓN EN LA INGENIERÍA </t>
  </si>
  <si>
    <t>Buenaño Fernández, Diego Patricio </t>
  </si>
  <si>
    <t>48325227L </t>
  </si>
  <si>
    <t>25/06/2020 </t>
  </si>
  <si>
    <t>Arquitectura de visión y aprendizaje para el reconocimiento de actividades de grupos usando descriptores de movimient </t>
  </si>
  <si>
    <t>Borja Borja, Luis Felipe </t>
  </si>
  <si>
    <t>SAVAL CALVO, MARCELO</t>
  </si>
  <si>
    <t>48325227L</t>
  </si>
  <si>
    <t>21653548Z</t>
  </si>
  <si>
    <t>MORA GIMENO, FRANCISCO JOSE</t>
  </si>
  <si>
    <t>vivos</t>
  </si>
  <si>
    <t>74085674Y</t>
  </si>
  <si>
    <t>RICO SOLIVERES, MARIA LUISA</t>
  </si>
  <si>
    <t>Caracterización y cuantificación de la identidad cultural; aplicación a la cultura indígena amazónica</t>
  </si>
  <si>
    <t>Zamora Hernández, Mauricio Andrés </t>
  </si>
  <si>
    <t>Arquitectura para el control visual de ensambles en Industria 4.0 basado en aprendizaje </t>
  </si>
  <si>
    <t>27/10/2020 </t>
  </si>
  <si>
    <t>Serrano Cases, Alejandro </t>
  </si>
  <si>
    <t>Fault tolerance in critical aerospace embedded systems: Multi-threaded mitigation, non-intrusive compiler-guided hardening, and early prediction of proton and neutron induced soft errors </t>
  </si>
  <si>
    <t>30/10/2020 </t>
  </si>
  <si>
    <t>Duque Gomez, Henry </t>
  </si>
  <si>
    <t>ARQUITECTURAS INTELIGENTES PARA GESTIÓN DE SISTEMAS CIBERFÍSICOS EN AMBIENTES IoT </t>
  </si>
  <si>
    <t>Jiménez Álvarez, Luis Gonzalo </t>
  </si>
  <si>
    <t>Diseño y Especificación del ocio digital con fines de aprendizaje ODFA Subproblema: Ocio digital formativo en competencias ODFC para la UCE </t>
  </si>
  <si>
    <t>25/02/2021 </t>
  </si>
  <si>
    <t>Bravo Fuentes, Paloma </t>
  </si>
  <si>
    <t>Propuesta metodológica para la enseñanza de la flauta dulce en educación primaria mediante el soporte de complementos tecnológicos para el aprendizaje autónomo. </t>
  </si>
  <si>
    <t>29/07/2021 </t>
  </si>
  <si>
    <t>09371918Q </t>
  </si>
  <si>
    <t>Morales Morales, Mario Raúl </t>
  </si>
  <si>
    <t>Criptomonedas de ámbito social como herramienta de gobierno electrónico para el desarrollo sostenible </t>
  </si>
  <si>
    <t>01/06/2021 </t>
  </si>
  <si>
    <t>Cortés Blasco, Daniel </t>
  </si>
  <si>
    <t>Modelado y simulación para la predicción de explosiones en espacios confinados </t>
  </si>
  <si>
    <t>03/03/2021 </t>
  </si>
  <si>
    <t>Rosa de Rivera, Verónica Idalia </t>
  </si>
  <si>
    <t>21/07/2021 </t>
  </si>
  <si>
    <t>Aguirre Ayala, Carlos Antonio </t>
  </si>
  <si>
    <t>"Diseño causal de sistema piramidal para aprendizaje colaborativo sobre la ingeniería web". </t>
  </si>
  <si>
    <t>22/07/2021 </t>
  </si>
  <si>
    <t>34.70.6C.00.27</t>
  </si>
  <si>
    <t>Pago mínimo regalías por transferencia de tecnología 2019  (Ref. contrato: NOUSS(EBT)1-17O)</t>
  </si>
  <si>
    <t>REINTEGRO CUOTA PATRONAL CORRESPONDIENTE A SEPTIEMBRE DE 2020.</t>
  </si>
  <si>
    <t>REINTEGRO CUOTA PATRONAL CORRESPONDIENTE A DICIEMBRE DE 2020.</t>
  </si>
  <si>
    <t>RESOLUCIÓN DE PAGO DE CONVENIO 2019 CON I2RC GRUPO DE INVESTIGACIÓN INFORMATICA Y REDES DE COMPUTACIÓN . EXP. INNCONOO/19/007</t>
  </si>
  <si>
    <t>34.70.6C.00.92</t>
  </si>
  <si>
    <t>CUARTA MENSUALIDAD POR LA FIRMA DEL CONTRATO "INVESTIGACIÓN Y DESARROLLO DE ARQUITECTURAS INTELIGENTESAPLICADAS A LA INDUSTRIA". Nº DEPEDIDO 900001567</t>
  </si>
  <si>
    <t>EVERIS1-19I SEGUNDA MENSUALIDAD POR LA FIRMA DEL CONTRATO "INVESTIGACIÓN Y DESARROLLO DE ARQUITECTURAS INTELIGENTES APLICADAS A LA INDUSTRIA"</t>
  </si>
  <si>
    <t>EVERIS1-19I TERCERA MENSUALIDAD POR LA FIRMA DEL CONTRATO "INVESTIGACIÓN Y DESARROLLO DE ARQUITECTURAS INTELIGENTES APLICADAS A LA INDUSTRIA". Nº DE PEDIDO 9000015677</t>
  </si>
  <si>
    <t>PRIMERA MENSUALIDAD POR LA FIRMA DEL CONTRATO "INVESTIGACIÓN Y DESARROLLO DE ARQUITECTURAS INTELIGENTES APLICADAS A LA INDUSTRIA. Nº DE PEDIDO 9000015677.</t>
  </si>
  <si>
    <t>ÚLTIMO PAGO TRAS LA FIRMA DEL ANEJO DE MODIFICACIÓN DEL CONTRATO "INVESTIGACIÓN Y DESARROLLO DE ARQUITECTURAS INTELIGENTES APLICADAS A LA INDUSTRIA" Nº DEPEDIDO 900001567</t>
  </si>
  <si>
    <t>34.70.6C.00.93</t>
  </si>
  <si>
    <t>DIRECCIÓN DE FRANCISCO JAVIER FERRÁNDEZ PASTOR DE LA PRESTACIÓN DE SERVICIO "725.175 - PLATAFORMA PARA LA GESTIÓN DE FLOTAS DE VEHÍCULOS ELÉCTRICOS DENTRO DE LOS SERVICIOS DE CARSHARING"</t>
  </si>
  <si>
    <t>34.70.6C.00.94</t>
  </si>
  <si>
    <t>EVALUACIÓN POR PARTE DEL EXPERTO TÉCNICO DEL PROYECTO EXPEDIENTE 1379.062.19</t>
  </si>
  <si>
    <t>34.70.6C.00.95</t>
  </si>
  <si>
    <t>EVALUACIÓN POR PARTE DEL EXPERTO TÉCNICO DEL PROYECTO EXPEDIENTE 2894.001.19</t>
  </si>
  <si>
    <t>34.70.6C.00.96</t>
  </si>
  <si>
    <t>EVALUACIÓN POR PARTE DEL EXPERTO TÉCNICO DEL PROYECTO EXPEDIENTE 2873.001.19</t>
  </si>
  <si>
    <t>34.70.6C.00.97</t>
  </si>
  <si>
    <t xml:space="preserve">ACIE4-20TPA EVALUACIÓN POR PARTE DEL EXPERTO TÉCNICO DEL PROYECTO EXPEDIENTE 1075.014.19 </t>
  </si>
  <si>
    <t>34.70.6C.00.98</t>
  </si>
  <si>
    <t>EVALUACIÓN BAJO LA DIRECCIÓN DE JOSÉ VICENTE BERNA MARTÍNEZ DEL PROYECTO DE I+D+i TALENT+SILSPORT18. NÚMERO DE PEDIDO 6037112</t>
  </si>
  <si>
    <t>34.70.6C.00.99</t>
  </si>
  <si>
    <t>EVALUACIÓN DEL PROYECTO DE I+D+i TALENT+ZINKEE001 BAJO LA DIRECCIÓN DE JOSÉ VICENTE BERNÁ MARTÍNEZ. NÚMERO PEDIDO NÚMERO 6037125</t>
  </si>
  <si>
    <t>34.70.6C.01.00</t>
  </si>
  <si>
    <t>EVALUACIÓN DEL PROYECTO DE I+D+i TALENT+TVICKAIS18 BAJO LA DIRECCIÓN DE JOSÉ VICENTE BERNA MARTÍNEZ. NÚMERO DE PEDIDO 6093904</t>
  </si>
  <si>
    <t>34.70.6C.01.01</t>
  </si>
  <si>
    <t>SGS12-20TPA EVALUACIÓN DEL PROYECTO DE I+D+i TALENT+KUBOP NÚMERO DE PEDIDO  6038158</t>
  </si>
  <si>
    <t>34.70.6C.01.02</t>
  </si>
  <si>
    <t>1º Pago contrato "Hogar2030. Plataforma digital de servicios para la vida asistida y gestión sostenible en escenarios domésticos"</t>
  </si>
  <si>
    <t>2º Pago contrato "Hogar2030. Plataforma digital de servicios para la vida asistida y gestión sostenible en escenarios domésticos"</t>
  </si>
  <si>
    <t>34.70.6C.01.03</t>
  </si>
  <si>
    <t>SERVICIO DE EVALUACIÓN POR PARTE DEL EXPERTO-T DEL PROYECTO EXPEDIENTE 2.873.001.20</t>
  </si>
  <si>
    <t>34.70.6C.01.04</t>
  </si>
  <si>
    <t>SERVICIO DE EVALUACIÓN POR PARTE DEL EXPERTO-T DEL PROYECTO EXPEDIENTE 325.036.20</t>
  </si>
  <si>
    <t>34.70.6C.01.05</t>
  </si>
  <si>
    <t xml:space="preserve">SERVICIO DE EVALUACIÓN POR PARTE DEL ESP-4D DEL PROYECTO EXPEDIENTE 1.421.006.20 </t>
  </si>
  <si>
    <t>34.70.6C.01.06</t>
  </si>
  <si>
    <t>SERVICIO DE EVALUACIÓN POR PARTE DEL ESP-4D DEL PROYECTO EXPEDIENTE 2.237.004.20</t>
  </si>
  <si>
    <t>34.70.6C.01.07</t>
  </si>
  <si>
    <t xml:space="preserve">SERVICIO DE EVALUACIÓN POR PARTE DEL EXP-T DEL PROYECTO EXPEDIENTE 325.052.020 </t>
  </si>
  <si>
    <t>34.70.6C.01.08</t>
  </si>
  <si>
    <t xml:space="preserve">SERVICIO DE EVALUACIÓN POR PARTE DEL ESP-4D DEL PROYECTO EXPEDIENTE 2.677.002.20 </t>
  </si>
  <si>
    <t>34.70.6C.01.10</t>
  </si>
  <si>
    <t xml:space="preserve">  EVALUACIÓN POR PARTE DEL EXPERTO T DEL PROYECTO EXPEDIENTE 2974.002.20 </t>
  </si>
  <si>
    <t>34.70.6C.01.11</t>
  </si>
  <si>
    <t xml:space="preserve">EVALUACIÓN POR PARTE DEL EXPERTO T. DEL PROYECTO EXPEDIENTE 905.012.20 </t>
  </si>
  <si>
    <t>34.70.6C.01.12</t>
  </si>
  <si>
    <t>EVALUACIÓN POR PARTE DEL EXPERTO T DEL PROYECTO EXPEDIENTE 325.049.20</t>
  </si>
  <si>
    <t>34.70.6C.01.13</t>
  </si>
  <si>
    <t>EVALUACIÓN POR PARTE DEL EXPERTO T DEL PROYECTO EXPEDIENTE 2974.002.20d</t>
  </si>
  <si>
    <t>34.70.6C.01.14</t>
  </si>
  <si>
    <t xml:space="preserve">EVALUACIÓN POR PARTE DEL EXPERTO T DEL PROYECTO EXPEDIENTE 1979.004.20 </t>
  </si>
  <si>
    <t>34.70.6C.01.15</t>
  </si>
  <si>
    <t xml:space="preserve">EVALUACIÓN POR PARTE DEL EXPERTO T DEL PROYECTO EXPEDIENTE 2974.001.20d </t>
  </si>
  <si>
    <t>34.70.6C.01.16</t>
  </si>
  <si>
    <t xml:space="preserve">EVALUACIÓN POR PARTE DEL EXPERTO T DEL PROYECTO EXPEDIENTE 2711.001.20 </t>
  </si>
  <si>
    <t>34.70.6C.01.17</t>
  </si>
  <si>
    <t xml:space="preserve">  EVALUACIÓN POR PARTE DEL EXPERTO T DEL PROYECTO EXPEDIENTE 2974.001.20 </t>
  </si>
  <si>
    <t>34.70.6C.01.18</t>
  </si>
  <si>
    <t>SGS22-20TPA EVALUACIÓN  BAJO LA DIRECCIÓN DE JOSÉ VICENTE BERNA MARTÍNEZ DEL PROYECTO DE I+D+i TOMMONIT18. NÚMERO DE PEDIDO 6040514</t>
  </si>
  <si>
    <t>34.70.6C.01.19</t>
  </si>
  <si>
    <t>SGS23-20TPA EVALUACIÓN BAJO LA DIRECCIÓN DE JOSÉ VICENTE BERNA MARTÍNEZ DEL PROYECTO  DE I+D+i FANDIT2019. NÚMERO DE PEDIDO 6039511</t>
  </si>
  <si>
    <t>34.70.6C.01.20</t>
  </si>
  <si>
    <t xml:space="preserve">ACIE29-20TPA EVALUACIÓN POR PARTE DEL ESP-4D HIGINIO MORA MORA  DEL PROYECTO EXPEDIENTE 1988.005.20 </t>
  </si>
  <si>
    <t>34.70.6C.01.21</t>
  </si>
  <si>
    <t xml:space="preserve">ACIE30-20TPA EVALUACIÓN POR PARTE DEL EXPERTO T HIGINIO MORA MORA DEL PROYECTO EXPEDIENTE 2469.003.20 </t>
  </si>
  <si>
    <t>34.70.6C.01.22</t>
  </si>
  <si>
    <t xml:space="preserve">ACIE31-20TPA EVALUACIÓN POR PARTE DEL EXPERTO T HIGINIO MORA MORA DEL PROYECTO EXPEDIENTE 1252.009.20 </t>
  </si>
  <si>
    <t>34.70.6C.01.23</t>
  </si>
  <si>
    <t xml:space="preserve">ACIE32-20TPA EVALUACIÓN POR PARTE DEL EXPERTO T HIGINIO MORA MORA DEL PROYECTO EXPEDIENTE 1596.002.20 </t>
  </si>
  <si>
    <t>34.70.6C.01.24</t>
  </si>
  <si>
    <t xml:space="preserve">EVALUACIÓN ACELERADA POR PARTE DEL EXPERTO T HIGINIO MORA MORA DEL PROYECTO EXPEDIENTE 950.019.20 </t>
  </si>
  <si>
    <t>Realización por parte del Exp. T. del servicio de evaluación del proyecto  con código ACIE de Expediente 950.019.20</t>
  </si>
  <si>
    <t>34.70.6C.01.25</t>
  </si>
  <si>
    <t xml:space="preserve">ACIE34-20TPA  EVALUACIÓN POR PARTE DEL EXPERTO T HIGINIO MORA MORA DEL PROYECTO EXPEDIENTE 2501.008.20 </t>
  </si>
  <si>
    <t>34.70.6C.01.26</t>
  </si>
  <si>
    <t xml:space="preserve">ACIE35-20TPA EVALUACIÓN POR PARTE DEL EXPERTO T HIGINIO MORA MORA DEL PROYECTO EXPEDIENTE 2234.003.20 </t>
  </si>
  <si>
    <t>34.70.6C.01.27</t>
  </si>
  <si>
    <t xml:space="preserve">ACIE36-20TPA EVALUACIÓN POR PARTE DEL EXPERTO T HIGINIO MORA MORA DEL PROYECTO EXPEDIENTE 242.011.20 </t>
  </si>
  <si>
    <t>34.70.6C.01.29</t>
  </si>
  <si>
    <t>Asesoramiento técnico sobre el diseño e instalación de una plataforma de paneles de monitorización y control para alcanzar una mejor compresión del funcionamiento de los servicios instalados en el demostrador domótico de FEMPA.</t>
  </si>
  <si>
    <t>34.70.6C.01.30</t>
  </si>
  <si>
    <t>EVALUACIÓN POR PARTE DEL EXPERTO INVESTIGADOR DEL PROYECTO DE I+D+I GLBHND2018 (ANUALIDAD 2019). NÚMERO DE PEDIDO 6041896</t>
  </si>
  <si>
    <t>34.70.6C.01.31</t>
  </si>
  <si>
    <t>EVALUACIÓN DEL PROYECTO DE I+D+i SISTIN2019 (ANUALIDAD 2019). NÚMERO DE PEDIDO 6042201.</t>
  </si>
  <si>
    <t>34.70.6C.01.32</t>
  </si>
  <si>
    <t>EVALUACIÓN DEL PROYECTO DE I+D+i GOTRENDIER(ANUALIDAD 2019). NÚMERO DE PEDIDO 6042118</t>
  </si>
  <si>
    <t>34.70.6C.01.33</t>
  </si>
  <si>
    <t xml:space="preserve">EVALUACIÓN POR PARTE DEL EXPERTO INVESTIGADOR DEL PROYECTO DE I+D+I SILICIETLS (ANUALIDAD 2019). NÚMERO DE PEDIDO 6042575. </t>
  </si>
  <si>
    <t>34.70.6C.01.36</t>
  </si>
  <si>
    <t>EVALUACIÓN POR PARTE DEL EXPERTO INVESTIGADOR JOSÉ VICENTE BERNA MARTINEZ DEL PROYECTO DE I+D+i VASBPMC19 (ANUALIDAD 2019). NÚMERO DE PEDIDO 6043132</t>
  </si>
  <si>
    <t>34.70.6C.01.37</t>
  </si>
  <si>
    <t>EVALUACIÓN POR PARTE DEL EXPERTO INVESTIGADOR JOSE VICENTE BERNA MARTINEZ DEL PROYECTO DE I+D+i CATREWAR02 (ANUALIDAD 2019). NÚMERO DE PEDIDO 6043121</t>
  </si>
  <si>
    <t>34.70.6C.01.38</t>
  </si>
  <si>
    <t>EVALUACIÓN POR PARTE DEL EXPERTO INVESTIGADOR JOSE VICENTE BERNA MARTINEA DEL PROYECTO DE I+D+i CATREWAR01 (ANUALIDAD 2019). NÚMERO DE PEDIDO 6043120</t>
  </si>
  <si>
    <t>34.70.6M.00.03</t>
  </si>
  <si>
    <t>OVHHISPANO1-19XPA MECENAZGO DE LAS ACTIVIDADES DE ORGANIZACIÓN Y REALIZACIÓN  DEL DESARROLLO DE LA METODOLOGÍA "APRENDIZAJE BASADO EN PROYECTOS DE INGENIERÍA MULTIMEDIA POR LA UNIVERSIDAD DE ALICANTE" REALIZADA BAJO LA DIRECCIÓN DE JOSÉ VICENTE BERNÁ MARTÍNEZ</t>
  </si>
  <si>
    <t>FLIB. 27/05/2020. PROYECTOS RETOS INVESTIGACION 2017. ANUAL 2020 PROYE CTOS I+D RETOS (PIA13) N EXPEDIENTE: PIA132017-1 - 3 ANUALIDAD REFER</t>
  </si>
  <si>
    <t>FLIB. 23/04/20. PROYECTOS RETOS INVESTIGACION 2017. ANUAL 2020 PROYECTOS I+D RETOS (PIA13) N EXPEDIENTE: PIA132017-1 - 3 ANUALIDAD REFEREN</t>
  </si>
  <si>
    <t>34.70.6P.00.28</t>
  </si>
  <si>
    <t>SUBVENCIONES PARA LA REALIZACIÓN DE PROYECTOS DE I+D+I DESARROLLADOS POR GRUPOS DE INVESTIGACIÓN EMERGENTES GV/2020 (NNOVACIÓN,UNIVERSIDADES,CIENCIA SOC.DIG)</t>
  </si>
  <si>
    <t>34.70.6P.00.31</t>
  </si>
  <si>
    <t>RESOLUCIÓN CONCESIÓN DE FECHA 8 DE OCTUBRE DE 2020 SUBVENCIÓN AICO 2020 (INNOVACIÓN,UNIVERSIDADES,CIENCIA SOC.DIG)</t>
  </si>
  <si>
    <t>34.70.6P.00.32</t>
  </si>
  <si>
    <t>REINTEGRO CUOTA PATRONAL CORRESPONDIENTE A JULIO 2020.</t>
  </si>
  <si>
    <t>REINTEGRO CUOTA PATRONAL CORRESPONDIENTE AL MES DE ENERO DE 2020.</t>
  </si>
  <si>
    <t>De los 9000€ el 50% tiene que computarse a Psicología de la salud según email 04/11/2021 del IP Jorge Azorín López</t>
  </si>
  <si>
    <t>Unidad</t>
  </si>
  <si>
    <t>Cód. org. aplic.</t>
  </si>
  <si>
    <t>Descripción justificante</t>
  </si>
  <si>
    <t>34.70</t>
  </si>
  <si>
    <t>Asesoría y asistencia técnica para el desarrollo del proyecto "base de datos de jurisprudencia local"</t>
  </si>
  <si>
    <t>ANTICIPO INNCON/2021/6. CONVENIO CON UA (I2RC) PARA MANTENIMIENTO Y DESARROLLO DE UNIDAD CIENTIFICA DE INN. EMP, SEGÚN INFORMA SERVICIO GESTIÓN ECONÓMICA DE LA INVESTIGACIÓN</t>
  </si>
  <si>
    <t>PAGO EXP INNCON/2020/7 CONVENIO GRUPO INVEST. INF. Y REDES COMP UCIE TRANS CONOC</t>
  </si>
  <si>
    <t>34.70.6C.01.28</t>
  </si>
  <si>
    <t>Realización por parte del Exp. T. Higinio Mora Mora del servicio de evaluación del proyecto PLATAFORMA AVANZADA PARA LA GESTION, DISTRIBUCIÓN Y VENTA DE PRODUCTOS Y SERVICIOS con código ACIE de Expediente 1391.007.20</t>
  </si>
  <si>
    <t>34.70.6C.01.34</t>
  </si>
  <si>
    <t>ACIE27-20T REALIZACIÓN DE EVALUACIONES DE PROYECTOS POR PARTE DEL EXPERTO TÉCNICO HIGINIO MORA MORA</t>
  </si>
  <si>
    <t>Asesoramiento científico-técnico y la realización de evaluaciones técnicas de proyectos de I+D+I y la toma de decisión sobre la emisión de los correspondientes informes científico-técnicos del por parte del profesor Higinio Mora mora</t>
  </si>
  <si>
    <t>ASESORAMIENTO CIENTÍFICO-TÉCNICO, EVALUACIONES Y CERTIFICACIONES DE PROYECTOS DE I+D+I REALIZADAS POR HIGINIO MORA MORA</t>
  </si>
  <si>
    <t>34.70.6C.01.40</t>
  </si>
  <si>
    <t>REALIZACIÓN DE CONTRAINFORME DE 2ª OPINIÓN, RELATIVO AL PROYECTO MODELO DE PREDICCIÓN PARA LA OPTIMIZACIÓN DEL PROCESO DE CAPTACIÓN DE CLIENTES BASADO EN IA DE LA ENTIDAD REDEXIS GAS S.A.  - Nº de Expediente de Isdefe IN 2020-01779</t>
  </si>
  <si>
    <t>34.70.6C.01.41</t>
  </si>
  <si>
    <t>CERTIFICAID1-21TPA  Evaluación por parte de Daniel Ruiz Fernández de un proyecto como Experto Técnico con la entrega de un informe.</t>
  </si>
  <si>
    <t>34.70.6C.01.42</t>
  </si>
  <si>
    <t>Último pago a facturar tras la firma del anejo de modificación del Contrato "INVESTIGACIÓN Y DESARROLLO DE ARQUITECTURAS PARA LA TRANSFORMACIÓN DIGITAL" Nº DE ORDEN DE PEDIDO 4110025587</t>
  </si>
  <si>
    <t>Primera mensualidad por la realización, bajo la dirección del profesor D.Higinio Mora, del Proyecto de Investigación y Desarrollo titulado ¿INVESTIGACIÓN Y  DESARROLLO DE ARQUITECTURAS PARA LA TRANSFORMACIÓN DIGITAL". Nº DE PEDIDO 9000015677</t>
  </si>
  <si>
    <t>Quinta mensualidad por la realización, bajo la dirección del profesor D. Higinio Mora, del Proyecto de Investigación y Desarrollo titulado "INVESTIGACIÓN Y DESARROLLO DE ARQUITECTURAS PARA LA TRANSFORMACIÓN DIGITAL". Nº DE ORDEN DE PEDIDO 4110025587</t>
  </si>
  <si>
    <t>Tercera mensualidad por la realización, bajo la dirección del profesor D. Higinio Mora, del Proyecto de Investigación y Desarrollo titulado "INVESTIGACIÓN Y DESARROLLO DE ARQUITECTURAS PARA LA TRANSFORMACIÓN DIGITAL". Nº DE ORDEN DE PEDIDO 4110025587</t>
  </si>
  <si>
    <t>Segunda mensualidad por la realización, bajo la dirección del profesor D. Higinio Mora, del Proyecto de Investigación y Desarrollo titulado "INVESTIGACIÓN YDESARROLLO DE ARQUITECTURAS PARA LA TRANSFORMACIÓN DIGITAL". Nº DE PEDIDO 9000015677</t>
  </si>
  <si>
    <t xml:space="preserve">Cuarta mensualidad por la realización, bajo la dirección del profesor D. Higinio Mora, del Proyecto de Investigación y Desarrollo titulado "INVESTIGACIÓN Y DESARROLLO DE ARQUITECTURAS PARA LA TRANSFORMACIÓN DIGITAL". Nº DE ORDEN DE PEDIDO 4110025587 </t>
  </si>
  <si>
    <t>34.70.6C.01.43</t>
  </si>
  <si>
    <t xml:space="preserve"> EVALUACIÓN DEL PROYECTO DE I+D+i VASSINTI9 (ANUALIDAD 2019).  NÚMERO DE PEDIDO: 6043284</t>
  </si>
  <si>
    <t>34.70.6C.01.44</t>
  </si>
  <si>
    <t>EVALUACIÓN DEL PROYECTO DE I+D+i SUCESSPV19 (ANUALIDAD 2019). NÚMERO DE PEDIDO: 6043672.</t>
  </si>
  <si>
    <t>34.70.6C.01.45</t>
  </si>
  <si>
    <t>EVALUACIÓN DEL PROYECTO DE I+D+i SGAAUTOMAT (ANUALIDAD 2019). NÚMERO DE PEDIDO: 6043689.</t>
  </si>
  <si>
    <t>34.70.6C.01.46</t>
  </si>
  <si>
    <t>Software License between University of Alicante and European Handball Analytics V1.0</t>
  </si>
  <si>
    <t>34.70.6C.01.47</t>
  </si>
  <si>
    <t>1º Pago, al firmar contrato, Software Handball Analytics maintenance, infrastructure and service.</t>
  </si>
  <si>
    <t>2º Pago Software Handball Analytics maintenance, infrastructure and service</t>
  </si>
  <si>
    <t>34.70.6C.01.48</t>
  </si>
  <si>
    <t>ESTUDIO DE LA TÉCNICA ACTUAL Y ANÁLISIS DE RIESGOS EN LA CREACIÓN DE UNA PLATAFORMA PARA EL FOMENTO DEL ENVEJECIMIENTO SALUDABLE PARA EL AYUNTAMIENTO DE TORRENT bajo la dirección de los profesores D. FRANCISCO MACIÁ PÉREZ Y D. JOSÉ VICENTE BERNA MARTÍNEZ.</t>
  </si>
  <si>
    <t>34.70.6C.01.49</t>
  </si>
  <si>
    <t>REALIZACIÓN POR PARTE DE JOSÉ VICENTE BERNÁ MARTÍNEZ DEL SERVICIO DE EVALUACIÓN DEL PROYECTO DE I+D+i PRODUCTIVE (2019-2020). NÚMERO DE PEDIDO 6046810</t>
  </si>
  <si>
    <t>34.70.6C.01.50</t>
  </si>
  <si>
    <t>Incorporación de una mano robótica a cuadro eléctrico, que permita actuar mecánicamente con los dispositivos del cuadro</t>
  </si>
  <si>
    <t>34.70.6C.01.51</t>
  </si>
  <si>
    <t>Entrega del informe de resultados del Proyecto Smart City: Fomento el envejecimiento saludable entre las personas mayores. Asistencia científico-técnica para identificar los principales requerimientos funcionales y operativos que proporcionen criterio para el posterior diseño y creación del sistema para el fomento del envejecimiento saludable entre las personas mayores.</t>
  </si>
  <si>
    <t>34.70.6C.01.52</t>
  </si>
  <si>
    <t>EVALUACIÓN POR PARTE DE JOSÉ VICENTE BERNÁ MARTÍNEZ DEL PROYECTO DE I+D+i SOCSAN2020 (2020). NÚMERO DE PEDIDO: 6047565</t>
  </si>
  <si>
    <t>34.70.6C.01.53</t>
  </si>
  <si>
    <t>EVALUACIÓN POR PARTE DE JOSÉ VICENTE BERNÁ MARTÍNEZ DEL PROYECTO DE I+D+i INTGESTPRO (2020). NÚMERO DE PEDIDO: 6048357</t>
  </si>
  <si>
    <t>34.70.6C.01.54</t>
  </si>
  <si>
    <t>EVALUACIÓN POR PARTE DE JOSÉ VICENTE BERNÁ MARTÍNEZ DEL PROYECTO DE I+D+i SISTIN2019 (2020). NÚMERO DE PEDIDO: 6047240</t>
  </si>
  <si>
    <t>34.70.6C.01.55</t>
  </si>
  <si>
    <t>EVALUACIÓN POR PARTE DE JOSÉ VICENTE BERNÁ MARTÍNEZ DE DEL PROYECTO DE I+D+i DELIVERSYS (2020). NÚMERO DE PEDIDO: 6048084</t>
  </si>
  <si>
    <t>34.70.6C.01.57</t>
  </si>
  <si>
    <t xml:space="preserve">Primer pago convenio INESCOP3-21I. DISEÑO E IMPLEMENTACIÓN DE ALGORITMOS DE DISCRETIZACIÓN EFICIENTE DE SUPERFICIES ADAPTADOS A LOS MODELOS GEOMÉTRICOS PROPIOS DE LA INDUSTRIA DEL CALZADO Número de pedido 57441 </t>
  </si>
  <si>
    <t>34.70.6C.01.58</t>
  </si>
  <si>
    <t>PRIMERA MENSUALIDAD POR LA FIRMA DEL CONTRATO "PROYECTO BLOCKCHAIN EN EL ÁMBITO DEL COMPLIANCE"</t>
  </si>
  <si>
    <t>34.70.6C.01.59</t>
  </si>
  <si>
    <t>EVALUACIÓN BAJO LA DIRECCIÓN DE JOSÉ VICENTE BERNÁ MARTINEZ DEL PROYECTO DE I+D+i HSWGPRECON (2019). NÚMERO DE PEDIDO 6049289</t>
  </si>
  <si>
    <t>34.70.6C.01.60</t>
  </si>
  <si>
    <t>EVALUACIÓN BAJO LA DIRECCIÓN DE JOSÉ VICENTE BERNÁ MARTÍNEZ DEL PROYECTO DE I+D+i HSWGPRECON (2020). NÚMERO DE PEDIDO 6049314</t>
  </si>
  <si>
    <t>34.70.6C.01.61</t>
  </si>
  <si>
    <t>EVALUACIÓN BAJO LA DIRECCIÓN DE JOSÉ VICENTE BERNÁ MARTÍNEZ DEL PROYECTO DE I+D+i PREINFLU21 (2020).  NÚMERO DE PEDIDO 6049931</t>
  </si>
  <si>
    <t>34.70.6C.01.62</t>
  </si>
  <si>
    <t>EVALUACIÓN BAJO LA DIRECCIÓN DE JOSÉ VICENTE BERNÁ MARTÍNEZ DEL PROYECTO DE I+D+i REPORTSTIC (2020). NÚMERO DE PEDIDO 6049100.</t>
  </si>
  <si>
    <t>34.70.6C.01.63</t>
  </si>
  <si>
    <t>EVALUACIÓN BAJO LA DIRECCIÓN DE JOSÉ VICENTE BERNÁ MARTÍNEZ DEL PROYECTO DE I+D+i VASSINT19 (2020). NÚMERO DE PEDIDO: 6050272.</t>
  </si>
  <si>
    <t>34.70.6C.01.64</t>
  </si>
  <si>
    <t>EVALUACIÓN BAJO LA DIRECCIÓN DE JOSÉ VICENTE BERNÁ MARTÍNEZ DEL PROYECTO DE I+D+i HSWSGPBI20 (2020). NÚMERO DE PEDIDO 6050476.</t>
  </si>
  <si>
    <t>34.70.6C.01.65</t>
  </si>
  <si>
    <t>EVALUACIÓN BAJO LA DIRECCIÓN DE JOSÉ VICENTE BERNÁ MARTÍNEZ DEL PROYECTO DE I+D+i WEBFLEET20 (2020). NÚMERO DE PEDIDO 6048700.</t>
  </si>
  <si>
    <t>34.70.6C.01.66</t>
  </si>
  <si>
    <t>EVALUACIÓN POR PARTE DEL EXPERTO INVESTIGADOR DEL PROYECTO DE I+D+i VASSBPMC19 (2020). NÚMERO DE PEDIDO 6050368.</t>
  </si>
  <si>
    <t>34.70.6C.01.67</t>
  </si>
  <si>
    <t>PRIMER PAGO POR LA FIRMA DEL CONTRATO "ASESORÍA Y ASISTENCIA TÉCNICA PARA VALIDAR LA LABOR DE TRANSFERENCIA MEDIANTE MÉTODO DE ANÁLISIS CASUAL"</t>
  </si>
  <si>
    <t>34.70.6C.01.68</t>
  </si>
  <si>
    <t>EVALUACIÓN BAJO LA DIRECCIÓN DE JOSÉ VICENTE BERNÁ MARTÍNEZ DEL PROYECTO I+D+i GESROBOTAG (2020). NÚMERO DE PEDIDO 6050518</t>
  </si>
  <si>
    <t>RESOLUCIÓN CONCESIÓN SUBVENCIONESEMERGENTES GV 2020 EN 2021</t>
  </si>
  <si>
    <t>RES. CONCESIÓN SUBVENCIONES PARA GRUPOSINVESTIGACIÓN CONSOLIDABLES AICO 2020 EN2021</t>
  </si>
  <si>
    <t>34.70.6P.00.33</t>
  </si>
  <si>
    <t>N/P ANTICIPO PLEAMAR 2020 PARTE FEMP, SEGÚN INFORMAN DESDE INVESTIGACIÓN</t>
  </si>
  <si>
    <t>34.70.6P.00.34</t>
  </si>
  <si>
    <t>PID2020-119144RB-I00</t>
  </si>
  <si>
    <t>34.70.6P.00.35</t>
  </si>
  <si>
    <t>PID2020-120213RB-I00</t>
  </si>
  <si>
    <t>no tiene formación el año 2021</t>
  </si>
  <si>
    <t>Diseño causal de sistema piramidal para aprendizaje colaborativo de los lenguajes de programación </t>
  </si>
  <si>
    <t>Arrebola Moreno, Clara </t>
  </si>
  <si>
    <t>Tecnologías aplicadas al proceso de enseñanza-aprendizaje del repertorio del Canto Lírico </t>
  </si>
  <si>
    <t>19/11/2021 </t>
  </si>
  <si>
    <t>Rico García, Héctor </t>
  </si>
  <si>
    <t>APLICACIÓN DE TÉCNICAS DE COMPUTACIÓN PARALELA PARA ACELERACIÓN DE ALGORITMOS EN INGENIERÍA </t>
  </si>
  <si>
    <t>02/12/2021 </t>
  </si>
  <si>
    <t>33485105A </t>
  </si>
  <si>
    <t>Vives Boix, Víctor </t>
  </si>
  <si>
    <t>¿Modelos neuronales basados en la metaplasticidad para la ayuda al diagnóstico clínico¿ </t>
  </si>
  <si>
    <t>03/12/2021 </t>
  </si>
  <si>
    <t>COD DEP</t>
  </si>
  <si>
    <t>FLOREZ REVUELTA, FRANCISCO ASIS</t>
  </si>
  <si>
    <t>total ingresos investigación 2019-2020-2021</t>
  </si>
  <si>
    <t>Total ingresos formación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</si>
</sst>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
      <b/>
      <sz val="11"/>
      <color theme="0"/>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rgb="FFFFFF0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right/>
      <top style="thin">
        <color indexed="64"/>
      </top>
      <bottom style="thin">
        <color indexed="64"/>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68">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3" fillId="0" borderId="1" xfId="1" applyBorder="1"/>
    <xf numFmtId="0" fontId="3" fillId="4" borderId="2" xfId="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4" borderId="3" xfId="1" applyFill="1" applyBorder="1"/>
    <xf numFmtId="0" fontId="12" fillId="6" borderId="1"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2" fillId="6" borderId="6" xfId="0" applyFont="1" applyFill="1" applyBorder="1" applyAlignment="1">
      <alignment horizontal="left" vertical="center"/>
    </xf>
    <xf numFmtId="0" fontId="1" fillId="7" borderId="1" xfId="0" applyFont="1" applyFill="1" applyBorder="1"/>
    <xf numFmtId="4" fontId="1" fillId="7" borderId="1" xfId="0" applyNumberFormat="1" applyFont="1" applyFill="1" applyBorder="1"/>
    <xf numFmtId="0" fontId="13" fillId="8" borderId="7" xfId="0" applyNumberFormat="1" applyFont="1" applyFill="1" applyBorder="1"/>
    <xf numFmtId="0" fontId="13" fillId="8" borderId="8" xfId="0" applyNumberFormat="1" applyFont="1" applyFill="1" applyBorder="1"/>
    <xf numFmtId="0" fontId="13" fillId="8" borderId="9" xfId="0" applyFont="1" applyFill="1" applyBorder="1" applyAlignment="1">
      <alignment horizontal="right"/>
    </xf>
    <xf numFmtId="0" fontId="0" fillId="9" borderId="10" xfId="0" applyNumberFormat="1" applyFont="1" applyFill="1" applyBorder="1"/>
    <xf numFmtId="0" fontId="0" fillId="9" borderId="11" xfId="0" applyFont="1" applyFill="1" applyBorder="1"/>
    <xf numFmtId="4" fontId="0" fillId="9" borderId="12" xfId="0" applyNumberFormat="1" applyFont="1" applyFill="1" applyBorder="1"/>
    <xf numFmtId="0" fontId="0" fillId="10" borderId="10" xfId="0" applyNumberFormat="1" applyFont="1" applyFill="1" applyBorder="1"/>
    <xf numFmtId="0" fontId="0" fillId="10" borderId="11" xfId="0" applyFont="1" applyFill="1" applyBorder="1"/>
    <xf numFmtId="4" fontId="0" fillId="10" borderId="12" xfId="0" applyNumberFormat="1" applyFont="1" applyFill="1" applyBorder="1"/>
    <xf numFmtId="0" fontId="13" fillId="8" borderId="13" xfId="0" applyFont="1" applyFill="1" applyBorder="1"/>
    <xf numFmtId="0" fontId="13" fillId="8" borderId="14" xfId="0" applyFont="1" applyFill="1" applyBorder="1"/>
    <xf numFmtId="4" fontId="13" fillId="8" borderId="15" xfId="0" applyNumberFormat="1" applyFont="1" applyFill="1" applyBorder="1"/>
    <xf numFmtId="4" fontId="0" fillId="0" borderId="0" xfId="0" applyNumberFormat="1"/>
    <xf numFmtId="4" fontId="1" fillId="0" borderId="0" xfId="0" applyNumberFormat="1" applyFont="1"/>
    <xf numFmtId="165" fontId="3" fillId="4" borderId="1" xfId="1" applyNumberFormat="1" applyFill="1" applyBorder="1"/>
    <xf numFmtId="165" fontId="3" fillId="4" borderId="2" xfId="1" applyNumberFormat="1" applyFill="1" applyBorder="1"/>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7" fillId="0" borderId="1" xfId="0" applyFont="1" applyBorder="1"/>
    <xf numFmtId="0" fontId="7" fillId="0" borderId="1" xfId="0" applyFont="1" applyBorder="1" applyAlignment="1">
      <alignment horizontal="left"/>
    </xf>
    <xf numFmtId="0" fontId="10" fillId="11" borderId="0" xfId="5" applyFont="1" applyFill="1"/>
    <xf numFmtId="0" fontId="10" fillId="11" borderId="0" xfId="5" applyFont="1" applyFill="1" applyAlignment="1">
      <alignment horizontal="right"/>
    </xf>
    <xf numFmtId="164" fontId="11" fillId="11" borderId="1" xfId="5" applyNumberFormat="1" applyFont="1" applyFill="1" applyBorder="1"/>
    <xf numFmtId="0" fontId="3" fillId="11" borderId="0" xfId="1" applyFont="1" applyFill="1" applyAlignment="1"/>
    <xf numFmtId="0" fontId="3" fillId="11" borderId="0" xfId="1" applyFont="1" applyFill="1" applyAlignment="1">
      <alignment horizontal="right"/>
    </xf>
    <xf numFmtId="0" fontId="0" fillId="11" borderId="1" xfId="0" applyFill="1" applyBorder="1" applyAlignment="1">
      <alignment horizontal="right"/>
    </xf>
    <xf numFmtId="4" fontId="0" fillId="11" borderId="1" xfId="0" applyNumberFormat="1" applyFill="1" applyBorder="1" applyAlignment="1">
      <alignment horizontal="right"/>
    </xf>
    <xf numFmtId="164" fontId="4" fillId="11" borderId="16" xfId="1" applyNumberFormat="1" applyFont="1" applyFill="1" applyBorder="1" applyAlignment="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2"/>
  <sheetViews>
    <sheetView showGridLines="0" tabSelected="1" zoomScale="120" zoomScaleNormal="120" workbookViewId="0">
      <pane xSplit="1" ySplit="1" topLeftCell="E2" activePane="bottomRight" state="frozen"/>
      <selection pane="topRight" activeCell="B1" sqref="B1"/>
      <selection pane="bottomLeft" activeCell="A2" sqref="A2"/>
      <selection pane="bottomRight" activeCell="S52" sqref="S52"/>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4.44140625" style="13" customWidth="1"/>
    <col min="14" max="14" width="4.88671875" style="13" customWidth="1"/>
    <col min="15" max="15" width="4.88671875" style="14" customWidth="1"/>
    <col min="16" max="16" width="4.88671875" style="13" customWidth="1"/>
    <col min="17" max="17" width="3.5546875" style="14" customWidth="1"/>
    <col min="18" max="18" width="5.44140625" style="13" customWidth="1"/>
    <col min="19" max="21" width="5.109375" style="13" customWidth="1"/>
    <col min="22" max="16384" width="10.33203125" style="13"/>
  </cols>
  <sheetData>
    <row r="1" spans="1:21" ht="40.799999999999997" x14ac:dyDescent="0.2">
      <c r="A1" s="8" t="s">
        <v>14</v>
      </c>
      <c r="B1" s="9" t="s">
        <v>15</v>
      </c>
      <c r="C1" s="9" t="s">
        <v>16</v>
      </c>
      <c r="D1" s="9" t="s">
        <v>17</v>
      </c>
      <c r="E1" s="9" t="s">
        <v>18</v>
      </c>
      <c r="F1" s="9" t="s">
        <v>19</v>
      </c>
      <c r="G1" s="9" t="s">
        <v>20</v>
      </c>
      <c r="H1" s="9" t="s">
        <v>21</v>
      </c>
      <c r="I1" s="8" t="s">
        <v>22</v>
      </c>
      <c r="J1" s="9" t="s">
        <v>23</v>
      </c>
      <c r="K1" s="8" t="s">
        <v>24</v>
      </c>
      <c r="L1" s="9" t="s">
        <v>25</v>
      </c>
      <c r="M1" s="10" t="s">
        <v>26</v>
      </c>
      <c r="N1" s="11" t="s">
        <v>27</v>
      </c>
      <c r="O1" s="12" t="s">
        <v>28</v>
      </c>
      <c r="P1" s="11" t="s">
        <v>29</v>
      </c>
      <c r="Q1" s="12" t="s">
        <v>30</v>
      </c>
      <c r="R1" s="11" t="s">
        <v>31</v>
      </c>
      <c r="S1" s="11" t="s">
        <v>32</v>
      </c>
      <c r="T1" s="11" t="s">
        <v>33</v>
      </c>
      <c r="U1" s="11" t="s">
        <v>34</v>
      </c>
    </row>
    <row r="2" spans="1:21" x14ac:dyDescent="0.2">
      <c r="A2" s="23" t="s">
        <v>56</v>
      </c>
      <c r="B2" s="23" t="s">
        <v>57</v>
      </c>
      <c r="C2" s="23" t="s">
        <v>58</v>
      </c>
      <c r="D2" s="23" t="s">
        <v>80</v>
      </c>
      <c r="E2" s="23" t="s">
        <v>81</v>
      </c>
      <c r="F2" s="23" t="s">
        <v>82</v>
      </c>
      <c r="G2" s="23" t="s">
        <v>64</v>
      </c>
      <c r="H2" s="23" t="s">
        <v>38</v>
      </c>
      <c r="I2" s="23" t="s">
        <v>56</v>
      </c>
      <c r="J2" s="23" t="s">
        <v>57</v>
      </c>
      <c r="K2" s="26">
        <v>1</v>
      </c>
      <c r="L2" s="23" t="s">
        <v>60</v>
      </c>
      <c r="M2" s="23">
        <v>2016</v>
      </c>
      <c r="N2" s="23" t="s">
        <v>40</v>
      </c>
      <c r="O2" s="24" t="s">
        <v>39</v>
      </c>
      <c r="P2" s="23" t="s">
        <v>43</v>
      </c>
      <c r="Q2" s="24" t="s">
        <v>42</v>
      </c>
      <c r="R2" s="25">
        <v>70</v>
      </c>
      <c r="S2" s="26">
        <v>0.7</v>
      </c>
      <c r="T2" s="26">
        <v>0.1</v>
      </c>
      <c r="U2" s="26">
        <v>0.2</v>
      </c>
    </row>
    <row r="3" spans="1:21" x14ac:dyDescent="0.2">
      <c r="A3" s="23" t="s">
        <v>56</v>
      </c>
      <c r="B3" s="23" t="s">
        <v>57</v>
      </c>
      <c r="C3" s="23" t="s">
        <v>58</v>
      </c>
      <c r="D3" s="23" t="s">
        <v>76</v>
      </c>
      <c r="E3" s="23" t="s">
        <v>77</v>
      </c>
      <c r="F3" s="23" t="s">
        <v>49</v>
      </c>
      <c r="G3" s="23" t="s">
        <v>78</v>
      </c>
      <c r="H3" s="23" t="s">
        <v>35</v>
      </c>
      <c r="I3" s="23" t="s">
        <v>56</v>
      </c>
      <c r="J3" s="23" t="s">
        <v>57</v>
      </c>
      <c r="K3" s="26">
        <v>0.5</v>
      </c>
      <c r="L3" s="23" t="s">
        <v>60</v>
      </c>
      <c r="M3" s="23">
        <v>2016</v>
      </c>
      <c r="N3" s="23" t="s">
        <v>43</v>
      </c>
      <c r="O3" s="24" t="s">
        <v>42</v>
      </c>
      <c r="P3" s="23" t="s">
        <v>37</v>
      </c>
      <c r="Q3" s="24" t="s">
        <v>37</v>
      </c>
      <c r="R3" s="25">
        <v>80</v>
      </c>
      <c r="S3" s="26">
        <v>0.4</v>
      </c>
      <c r="T3" s="26">
        <v>0.1</v>
      </c>
      <c r="U3" s="26">
        <v>0</v>
      </c>
    </row>
    <row r="4" spans="1:21" x14ac:dyDescent="0.2">
      <c r="A4" s="23" t="s">
        <v>56</v>
      </c>
      <c r="B4" s="23" t="s">
        <v>57</v>
      </c>
      <c r="C4" s="23" t="s">
        <v>58</v>
      </c>
      <c r="D4" s="23" t="s">
        <v>76</v>
      </c>
      <c r="E4" s="23" t="s">
        <v>77</v>
      </c>
      <c r="F4" s="23" t="s">
        <v>49</v>
      </c>
      <c r="G4" s="23" t="s">
        <v>79</v>
      </c>
      <c r="H4" s="23" t="s">
        <v>35</v>
      </c>
      <c r="I4" s="23" t="s">
        <v>56</v>
      </c>
      <c r="J4" s="23" t="s">
        <v>57</v>
      </c>
      <c r="K4" s="26">
        <v>0.5</v>
      </c>
      <c r="L4" s="23" t="s">
        <v>60</v>
      </c>
      <c r="M4" s="23">
        <v>2016</v>
      </c>
      <c r="N4" s="23" t="s">
        <v>43</v>
      </c>
      <c r="O4" s="24" t="s">
        <v>42</v>
      </c>
      <c r="P4" s="23" t="s">
        <v>37</v>
      </c>
      <c r="Q4" s="24" t="s">
        <v>37</v>
      </c>
      <c r="R4" s="25">
        <v>80</v>
      </c>
      <c r="S4" s="26">
        <v>0.4</v>
      </c>
      <c r="T4" s="26">
        <v>0.1</v>
      </c>
      <c r="U4" s="26">
        <v>0</v>
      </c>
    </row>
    <row r="5" spans="1:21" x14ac:dyDescent="0.2">
      <c r="A5" s="23" t="s">
        <v>51</v>
      </c>
      <c r="B5" s="23" t="s">
        <v>52</v>
      </c>
      <c r="C5" s="23" t="s">
        <v>53</v>
      </c>
      <c r="D5" s="23" t="s">
        <v>54</v>
      </c>
      <c r="E5" s="23" t="s">
        <v>55</v>
      </c>
      <c r="F5" s="23" t="s">
        <v>48</v>
      </c>
      <c r="G5" s="23" t="s">
        <v>59</v>
      </c>
      <c r="H5" s="23" t="s">
        <v>35</v>
      </c>
      <c r="I5" s="23" t="s">
        <v>56</v>
      </c>
      <c r="J5" s="23" t="s">
        <v>57</v>
      </c>
      <c r="K5" s="26">
        <v>0.5</v>
      </c>
      <c r="L5" s="23" t="s">
        <v>60</v>
      </c>
      <c r="M5" s="23">
        <v>2016</v>
      </c>
      <c r="N5" s="23" t="s">
        <v>43</v>
      </c>
      <c r="O5" s="24" t="s">
        <v>42</v>
      </c>
      <c r="P5" s="23" t="s">
        <v>37</v>
      </c>
      <c r="Q5" s="24" t="s">
        <v>37</v>
      </c>
      <c r="R5" s="25">
        <v>80</v>
      </c>
      <c r="S5" s="26">
        <v>0.4</v>
      </c>
      <c r="T5" s="26">
        <v>0.1</v>
      </c>
      <c r="U5" s="26">
        <v>0</v>
      </c>
    </row>
    <row r="6" spans="1:21" x14ac:dyDescent="0.2">
      <c r="A6" s="23" t="s">
        <v>68</v>
      </c>
      <c r="B6" s="23" t="s">
        <v>69</v>
      </c>
      <c r="C6" s="23" t="s">
        <v>70</v>
      </c>
      <c r="D6" s="23" t="s">
        <v>73</v>
      </c>
      <c r="E6" s="23" t="s">
        <v>74</v>
      </c>
      <c r="F6" s="23" t="s">
        <v>50</v>
      </c>
      <c r="G6" s="23" t="s">
        <v>71</v>
      </c>
      <c r="H6" s="23" t="s">
        <v>35</v>
      </c>
      <c r="I6" s="23" t="s">
        <v>56</v>
      </c>
      <c r="J6" s="23" t="s">
        <v>57</v>
      </c>
      <c r="K6" s="26">
        <v>0.5</v>
      </c>
      <c r="L6" s="23" t="s">
        <v>60</v>
      </c>
      <c r="M6" s="23">
        <v>2016</v>
      </c>
      <c r="N6" s="23" t="s">
        <v>43</v>
      </c>
      <c r="O6" s="24" t="s">
        <v>42</v>
      </c>
      <c r="P6" s="23" t="s">
        <v>37</v>
      </c>
      <c r="Q6" s="24" t="s">
        <v>37</v>
      </c>
      <c r="R6" s="25">
        <v>80</v>
      </c>
      <c r="S6" s="26">
        <v>0.4</v>
      </c>
      <c r="T6" s="26">
        <v>0.1</v>
      </c>
      <c r="U6" s="26">
        <v>0</v>
      </c>
    </row>
    <row r="7" spans="1:21" x14ac:dyDescent="0.2">
      <c r="A7" s="23" t="s">
        <v>68</v>
      </c>
      <c r="B7" s="23" t="s">
        <v>69</v>
      </c>
      <c r="C7" s="23" t="s">
        <v>70</v>
      </c>
      <c r="D7" s="23" t="s">
        <v>73</v>
      </c>
      <c r="E7" s="23" t="s">
        <v>74</v>
      </c>
      <c r="F7" s="23" t="s">
        <v>50</v>
      </c>
      <c r="G7" s="23" t="s">
        <v>75</v>
      </c>
      <c r="H7" s="23" t="s">
        <v>35</v>
      </c>
      <c r="I7" s="23" t="s">
        <v>56</v>
      </c>
      <c r="J7" s="23" t="s">
        <v>57</v>
      </c>
      <c r="K7" s="26">
        <v>0.5</v>
      </c>
      <c r="L7" s="23" t="s">
        <v>60</v>
      </c>
      <c r="M7" s="23">
        <v>2016</v>
      </c>
      <c r="N7" s="23" t="s">
        <v>40</v>
      </c>
      <c r="O7" s="24" t="s">
        <v>39</v>
      </c>
      <c r="P7" s="23" t="s">
        <v>43</v>
      </c>
      <c r="Q7" s="24" t="s">
        <v>42</v>
      </c>
      <c r="R7" s="25">
        <v>70</v>
      </c>
      <c r="S7" s="26">
        <v>0.35</v>
      </c>
      <c r="T7" s="26">
        <v>0.05</v>
      </c>
      <c r="U7" s="26">
        <v>0.1</v>
      </c>
    </row>
    <row r="8" spans="1:21" x14ac:dyDescent="0.2">
      <c r="A8" s="23" t="s">
        <v>68</v>
      </c>
      <c r="B8" s="23" t="s">
        <v>69</v>
      </c>
      <c r="C8" s="23" t="s">
        <v>70</v>
      </c>
      <c r="D8" s="23" t="s">
        <v>83</v>
      </c>
      <c r="E8" s="23" t="s">
        <v>84</v>
      </c>
      <c r="F8" s="23" t="s">
        <v>44</v>
      </c>
      <c r="G8" s="23" t="s">
        <v>71</v>
      </c>
      <c r="H8" s="23" t="s">
        <v>35</v>
      </c>
      <c r="I8" s="23" t="s">
        <v>56</v>
      </c>
      <c r="J8" s="23" t="s">
        <v>57</v>
      </c>
      <c r="K8" s="26">
        <v>0.5</v>
      </c>
      <c r="L8" s="23" t="s">
        <v>60</v>
      </c>
      <c r="M8" s="23">
        <v>2016</v>
      </c>
      <c r="N8" s="23" t="s">
        <v>43</v>
      </c>
      <c r="O8" s="24" t="s">
        <v>42</v>
      </c>
      <c r="P8" s="23" t="s">
        <v>37</v>
      </c>
      <c r="Q8" s="24" t="s">
        <v>37</v>
      </c>
      <c r="R8" s="25">
        <v>80</v>
      </c>
      <c r="S8" s="26">
        <v>0.4</v>
      </c>
      <c r="T8" s="26">
        <v>0.1</v>
      </c>
      <c r="U8" s="26">
        <v>0</v>
      </c>
    </row>
    <row r="9" spans="1:21" x14ac:dyDescent="0.2">
      <c r="A9" s="23" t="s">
        <v>68</v>
      </c>
      <c r="B9" s="23" t="s">
        <v>69</v>
      </c>
      <c r="C9" s="23" t="s">
        <v>70</v>
      </c>
      <c r="D9" s="23" t="s">
        <v>83</v>
      </c>
      <c r="E9" s="23" t="s">
        <v>84</v>
      </c>
      <c r="F9" s="23" t="s">
        <v>44</v>
      </c>
      <c r="G9" s="23" t="s">
        <v>67</v>
      </c>
      <c r="H9" s="23" t="s">
        <v>35</v>
      </c>
      <c r="I9" s="23" t="s">
        <v>56</v>
      </c>
      <c r="J9" s="23" t="s">
        <v>57</v>
      </c>
      <c r="K9" s="26">
        <v>0.5</v>
      </c>
      <c r="L9" s="23" t="s">
        <v>60</v>
      </c>
      <c r="M9" s="23">
        <v>2016</v>
      </c>
      <c r="N9" s="23" t="s">
        <v>43</v>
      </c>
      <c r="O9" s="24" t="s">
        <v>42</v>
      </c>
      <c r="P9" s="23" t="s">
        <v>37</v>
      </c>
      <c r="Q9" s="24" t="s">
        <v>37</v>
      </c>
      <c r="R9" s="25">
        <v>80</v>
      </c>
      <c r="S9" s="26">
        <v>0.4</v>
      </c>
      <c r="T9" s="26">
        <v>0.1</v>
      </c>
      <c r="U9" s="26">
        <v>0</v>
      </c>
    </row>
    <row r="10" spans="1:21" x14ac:dyDescent="0.2">
      <c r="A10" s="23" t="s">
        <v>68</v>
      </c>
      <c r="B10" s="23" t="s">
        <v>69</v>
      </c>
      <c r="C10" s="23" t="s">
        <v>70</v>
      </c>
      <c r="D10" s="23" t="s">
        <v>85</v>
      </c>
      <c r="E10" s="23" t="s">
        <v>86</v>
      </c>
      <c r="F10" s="23" t="s">
        <v>87</v>
      </c>
      <c r="G10" s="23" t="s">
        <v>88</v>
      </c>
      <c r="H10" s="23" t="s">
        <v>35</v>
      </c>
      <c r="I10" s="23" t="s">
        <v>56</v>
      </c>
      <c r="J10" s="23" t="s">
        <v>57</v>
      </c>
      <c r="K10" s="26">
        <v>0.5</v>
      </c>
      <c r="L10" s="23" t="s">
        <v>60</v>
      </c>
      <c r="M10" s="23">
        <v>2017</v>
      </c>
      <c r="N10" s="23" t="s">
        <v>37</v>
      </c>
      <c r="O10" s="24" t="s">
        <v>37</v>
      </c>
      <c r="P10" s="23" t="s">
        <v>37</v>
      </c>
      <c r="Q10" s="24" t="s">
        <v>37</v>
      </c>
      <c r="R10" s="25">
        <v>100</v>
      </c>
      <c r="S10" s="26">
        <v>0.5</v>
      </c>
      <c r="T10" s="26">
        <v>0</v>
      </c>
      <c r="U10" s="26">
        <v>0</v>
      </c>
    </row>
    <row r="11" spans="1:21" x14ac:dyDescent="0.2">
      <c r="A11" s="23" t="s">
        <v>68</v>
      </c>
      <c r="B11" s="23" t="s">
        <v>69</v>
      </c>
      <c r="C11" s="23" t="s">
        <v>70</v>
      </c>
      <c r="D11" s="23" t="s">
        <v>85</v>
      </c>
      <c r="E11" s="23" t="s">
        <v>86</v>
      </c>
      <c r="F11" s="23" t="s">
        <v>87</v>
      </c>
      <c r="G11" s="23" t="s">
        <v>89</v>
      </c>
      <c r="H11" s="23" t="s">
        <v>35</v>
      </c>
      <c r="I11" s="23" t="s">
        <v>56</v>
      </c>
      <c r="J11" s="23" t="s">
        <v>57</v>
      </c>
      <c r="K11" s="26">
        <v>0.5</v>
      </c>
      <c r="L11" s="23" t="s">
        <v>60</v>
      </c>
      <c r="M11" s="23">
        <v>2017</v>
      </c>
      <c r="N11" s="23" t="s">
        <v>43</v>
      </c>
      <c r="O11" s="24" t="s">
        <v>42</v>
      </c>
      <c r="P11" s="23" t="s">
        <v>37</v>
      </c>
      <c r="Q11" s="24" t="s">
        <v>37</v>
      </c>
      <c r="R11" s="25">
        <v>80</v>
      </c>
      <c r="S11" s="26">
        <v>0.4</v>
      </c>
      <c r="T11" s="26">
        <v>0.1</v>
      </c>
      <c r="U11" s="26">
        <v>0</v>
      </c>
    </row>
    <row r="12" spans="1:21" x14ac:dyDescent="0.2">
      <c r="A12" s="23" t="s">
        <v>68</v>
      </c>
      <c r="B12" s="23" t="s">
        <v>69</v>
      </c>
      <c r="C12" s="23" t="s">
        <v>70</v>
      </c>
      <c r="D12" s="23" t="s">
        <v>93</v>
      </c>
      <c r="E12" s="23" t="s">
        <v>94</v>
      </c>
      <c r="F12" s="23" t="s">
        <v>46</v>
      </c>
      <c r="G12" s="23" t="s">
        <v>89</v>
      </c>
      <c r="H12" s="23" t="s">
        <v>35</v>
      </c>
      <c r="I12" s="23" t="s">
        <v>56</v>
      </c>
      <c r="J12" s="23" t="s">
        <v>57</v>
      </c>
      <c r="K12" s="26">
        <v>0.5</v>
      </c>
      <c r="L12" s="23" t="s">
        <v>60</v>
      </c>
      <c r="M12" s="23">
        <v>2017</v>
      </c>
      <c r="N12" s="23" t="s">
        <v>43</v>
      </c>
      <c r="O12" s="24" t="s">
        <v>42</v>
      </c>
      <c r="P12" s="23" t="s">
        <v>37</v>
      </c>
      <c r="Q12" s="24" t="s">
        <v>37</v>
      </c>
      <c r="R12" s="25">
        <v>80</v>
      </c>
      <c r="S12" s="26">
        <v>0.4</v>
      </c>
      <c r="T12" s="26">
        <v>0.1</v>
      </c>
      <c r="U12" s="26">
        <v>0</v>
      </c>
    </row>
    <row r="13" spans="1:21" x14ac:dyDescent="0.2">
      <c r="A13" s="23" t="s">
        <v>68</v>
      </c>
      <c r="B13" s="23" t="s">
        <v>69</v>
      </c>
      <c r="C13" s="23" t="s">
        <v>70</v>
      </c>
      <c r="D13" s="23" t="s">
        <v>93</v>
      </c>
      <c r="E13" s="23" t="s">
        <v>94</v>
      </c>
      <c r="F13" s="23" t="s">
        <v>46</v>
      </c>
      <c r="G13" s="23" t="s">
        <v>95</v>
      </c>
      <c r="H13" s="23" t="s">
        <v>35</v>
      </c>
      <c r="I13" s="23" t="s">
        <v>56</v>
      </c>
      <c r="J13" s="23" t="s">
        <v>57</v>
      </c>
      <c r="K13" s="26">
        <v>0.5</v>
      </c>
      <c r="L13" s="23" t="s">
        <v>60</v>
      </c>
      <c r="M13" s="23">
        <v>2017</v>
      </c>
      <c r="N13" s="23" t="s">
        <v>43</v>
      </c>
      <c r="O13" s="24" t="s">
        <v>42</v>
      </c>
      <c r="P13" s="23" t="s">
        <v>37</v>
      </c>
      <c r="Q13" s="24" t="s">
        <v>37</v>
      </c>
      <c r="R13" s="25">
        <v>80</v>
      </c>
      <c r="S13" s="26">
        <v>0.4</v>
      </c>
      <c r="T13" s="26">
        <v>0.1</v>
      </c>
      <c r="U13" s="26">
        <v>0</v>
      </c>
    </row>
    <row r="14" spans="1:21" x14ac:dyDescent="0.2">
      <c r="A14" s="23" t="s">
        <v>68</v>
      </c>
      <c r="B14" s="23" t="s">
        <v>69</v>
      </c>
      <c r="C14" s="23" t="s">
        <v>70</v>
      </c>
      <c r="D14" s="23" t="s">
        <v>90</v>
      </c>
      <c r="E14" s="23" t="s">
        <v>91</v>
      </c>
      <c r="F14" s="23" t="s">
        <v>45</v>
      </c>
      <c r="G14" s="23" t="s">
        <v>92</v>
      </c>
      <c r="H14" s="23" t="s">
        <v>35</v>
      </c>
      <c r="I14" s="23" t="s">
        <v>56</v>
      </c>
      <c r="J14" s="23" t="s">
        <v>57</v>
      </c>
      <c r="K14" s="26">
        <v>0.5</v>
      </c>
      <c r="L14" s="23" t="s">
        <v>60</v>
      </c>
      <c r="M14" s="23">
        <v>2017</v>
      </c>
      <c r="N14" s="23" t="s">
        <v>43</v>
      </c>
      <c r="O14" s="24" t="s">
        <v>42</v>
      </c>
      <c r="P14" s="23" t="s">
        <v>37</v>
      </c>
      <c r="Q14" s="24" t="s">
        <v>37</v>
      </c>
      <c r="R14" s="25">
        <v>80</v>
      </c>
      <c r="S14" s="26">
        <v>0.4</v>
      </c>
      <c r="T14" s="26">
        <v>0.1</v>
      </c>
      <c r="U14" s="26">
        <v>0</v>
      </c>
    </row>
    <row r="15" spans="1:21" x14ac:dyDescent="0.2">
      <c r="A15" s="23" t="s">
        <v>68</v>
      </c>
      <c r="B15" s="23" t="s">
        <v>69</v>
      </c>
      <c r="C15" s="23" t="s">
        <v>70</v>
      </c>
      <c r="D15" s="23" t="s">
        <v>90</v>
      </c>
      <c r="E15" s="23" t="s">
        <v>91</v>
      </c>
      <c r="F15" s="23" t="s">
        <v>45</v>
      </c>
      <c r="G15" s="23" t="s">
        <v>61</v>
      </c>
      <c r="H15" s="23" t="s">
        <v>35</v>
      </c>
      <c r="I15" s="23" t="s">
        <v>56</v>
      </c>
      <c r="J15" s="23" t="s">
        <v>57</v>
      </c>
      <c r="K15" s="26">
        <v>0.5</v>
      </c>
      <c r="L15" s="23" t="s">
        <v>60</v>
      </c>
      <c r="M15" s="23">
        <v>2017</v>
      </c>
      <c r="N15" s="23" t="s">
        <v>43</v>
      </c>
      <c r="O15" s="24" t="s">
        <v>42</v>
      </c>
      <c r="P15" s="23" t="s">
        <v>37</v>
      </c>
      <c r="Q15" s="24" t="s">
        <v>37</v>
      </c>
      <c r="R15" s="25">
        <v>80</v>
      </c>
      <c r="S15" s="26">
        <v>0.4</v>
      </c>
      <c r="T15" s="26">
        <v>0.1</v>
      </c>
      <c r="U15" s="26">
        <v>0</v>
      </c>
    </row>
    <row r="16" spans="1:21" x14ac:dyDescent="0.2">
      <c r="A16" s="23" t="s">
        <v>68</v>
      </c>
      <c r="B16" s="23" t="s">
        <v>69</v>
      </c>
      <c r="C16" s="23" t="s">
        <v>70</v>
      </c>
      <c r="D16" s="23" t="s">
        <v>103</v>
      </c>
      <c r="E16" s="23" t="s">
        <v>104</v>
      </c>
      <c r="F16" s="23" t="s">
        <v>105</v>
      </c>
      <c r="G16" s="23" t="s">
        <v>71</v>
      </c>
      <c r="H16" s="23" t="s">
        <v>35</v>
      </c>
      <c r="I16" s="23" t="s">
        <v>56</v>
      </c>
      <c r="J16" s="23" t="s">
        <v>57</v>
      </c>
      <c r="K16" s="53">
        <v>0.5</v>
      </c>
      <c r="L16" s="23" t="s">
        <v>60</v>
      </c>
      <c r="M16" s="23">
        <v>2018</v>
      </c>
      <c r="N16" s="23" t="s">
        <v>43</v>
      </c>
      <c r="O16" s="24" t="s">
        <v>42</v>
      </c>
      <c r="P16" s="23" t="s">
        <v>37</v>
      </c>
      <c r="Q16" s="24" t="s">
        <v>37</v>
      </c>
      <c r="R16" s="25">
        <v>80</v>
      </c>
      <c r="S16" s="26">
        <v>0.4</v>
      </c>
      <c r="T16" s="26">
        <v>0.1</v>
      </c>
      <c r="U16" s="26">
        <v>0</v>
      </c>
    </row>
    <row r="17" spans="1:21" x14ac:dyDescent="0.2">
      <c r="A17" s="23" t="s">
        <v>68</v>
      </c>
      <c r="B17" s="23" t="s">
        <v>69</v>
      </c>
      <c r="C17" s="23" t="s">
        <v>70</v>
      </c>
      <c r="D17" s="23" t="s">
        <v>103</v>
      </c>
      <c r="E17" s="23" t="s">
        <v>104</v>
      </c>
      <c r="F17" s="23" t="s">
        <v>105</v>
      </c>
      <c r="G17" s="23" t="s">
        <v>95</v>
      </c>
      <c r="H17" s="23" t="s">
        <v>35</v>
      </c>
      <c r="I17" s="23" t="s">
        <v>56</v>
      </c>
      <c r="J17" s="23" t="s">
        <v>57</v>
      </c>
      <c r="K17" s="53">
        <v>0.5</v>
      </c>
      <c r="L17" s="23" t="s">
        <v>60</v>
      </c>
      <c r="M17" s="23">
        <v>2018</v>
      </c>
      <c r="N17" s="23" t="s">
        <v>43</v>
      </c>
      <c r="O17" s="24" t="s">
        <v>42</v>
      </c>
      <c r="P17" s="23" t="s">
        <v>37</v>
      </c>
      <c r="Q17" s="24" t="s">
        <v>37</v>
      </c>
      <c r="R17" s="25">
        <v>80</v>
      </c>
      <c r="S17" s="26">
        <v>0.4</v>
      </c>
      <c r="T17" s="26">
        <v>0.1</v>
      </c>
      <c r="U17" s="26">
        <v>0</v>
      </c>
    </row>
    <row r="18" spans="1:21" x14ac:dyDescent="0.2">
      <c r="A18" s="23" t="s">
        <v>68</v>
      </c>
      <c r="B18" s="23" t="s">
        <v>69</v>
      </c>
      <c r="C18" s="23" t="s">
        <v>70</v>
      </c>
      <c r="D18" s="23" t="s">
        <v>108</v>
      </c>
      <c r="E18" s="23" t="s">
        <v>109</v>
      </c>
      <c r="F18" s="23" t="s">
        <v>47</v>
      </c>
      <c r="G18" s="23" t="s">
        <v>63</v>
      </c>
      <c r="H18" s="23" t="s">
        <v>38</v>
      </c>
      <c r="I18" s="23" t="s">
        <v>56</v>
      </c>
      <c r="J18" s="23" t="s">
        <v>57</v>
      </c>
      <c r="K18" s="53">
        <v>1</v>
      </c>
      <c r="L18" s="23" t="s">
        <v>60</v>
      </c>
      <c r="M18" s="23">
        <v>2018</v>
      </c>
      <c r="N18" s="23" t="s">
        <v>43</v>
      </c>
      <c r="O18" s="24" t="s">
        <v>42</v>
      </c>
      <c r="P18" s="23" t="s">
        <v>37</v>
      </c>
      <c r="Q18" s="24" t="s">
        <v>37</v>
      </c>
      <c r="R18" s="25">
        <v>80</v>
      </c>
      <c r="S18" s="26">
        <v>0.8</v>
      </c>
      <c r="T18" s="26">
        <v>0.2</v>
      </c>
      <c r="U18" s="26">
        <v>0</v>
      </c>
    </row>
    <row r="19" spans="1:21" x14ac:dyDescent="0.2">
      <c r="A19" s="23" t="s">
        <v>68</v>
      </c>
      <c r="B19" s="23" t="s">
        <v>69</v>
      </c>
      <c r="C19" s="23" t="s">
        <v>70</v>
      </c>
      <c r="D19" s="23" t="s">
        <v>106</v>
      </c>
      <c r="E19" s="23" t="s">
        <v>107</v>
      </c>
      <c r="F19" s="23" t="s">
        <v>47</v>
      </c>
      <c r="G19" s="23" t="s">
        <v>63</v>
      </c>
      <c r="H19" s="23" t="s">
        <v>38</v>
      </c>
      <c r="I19" s="23" t="s">
        <v>56</v>
      </c>
      <c r="J19" s="23" t="s">
        <v>57</v>
      </c>
      <c r="K19" s="53">
        <v>1</v>
      </c>
      <c r="L19" s="23" t="s">
        <v>60</v>
      </c>
      <c r="M19" s="23">
        <v>2018</v>
      </c>
      <c r="N19" s="23" t="s">
        <v>43</v>
      </c>
      <c r="O19" s="24" t="s">
        <v>42</v>
      </c>
      <c r="P19" s="23" t="s">
        <v>37</v>
      </c>
      <c r="Q19" s="24" t="s">
        <v>37</v>
      </c>
      <c r="R19" s="25">
        <v>80</v>
      </c>
      <c r="S19" s="26">
        <v>0.8</v>
      </c>
      <c r="T19" s="26">
        <v>0.2</v>
      </c>
      <c r="U19" s="26">
        <v>0</v>
      </c>
    </row>
    <row r="20" spans="1:21" x14ac:dyDescent="0.2">
      <c r="A20" s="23" t="s">
        <v>68</v>
      </c>
      <c r="B20" s="23" t="s">
        <v>69</v>
      </c>
      <c r="C20" s="23" t="s">
        <v>70</v>
      </c>
      <c r="D20" s="23" t="s">
        <v>99</v>
      </c>
      <c r="E20" s="23" t="s">
        <v>100</v>
      </c>
      <c r="F20" s="23" t="s">
        <v>101</v>
      </c>
      <c r="G20" s="23" t="s">
        <v>78</v>
      </c>
      <c r="H20" s="23" t="s">
        <v>35</v>
      </c>
      <c r="I20" s="23" t="s">
        <v>56</v>
      </c>
      <c r="J20" s="23" t="s">
        <v>57</v>
      </c>
      <c r="K20" s="53">
        <v>0.5</v>
      </c>
      <c r="L20" s="23" t="s">
        <v>60</v>
      </c>
      <c r="M20" s="23">
        <v>2018</v>
      </c>
      <c r="N20" s="23" t="s">
        <v>43</v>
      </c>
      <c r="O20" s="24" t="s">
        <v>42</v>
      </c>
      <c r="P20" s="23" t="s">
        <v>37</v>
      </c>
      <c r="Q20" s="24" t="s">
        <v>37</v>
      </c>
      <c r="R20" s="25">
        <v>80</v>
      </c>
      <c r="S20" s="26">
        <v>0.4</v>
      </c>
      <c r="T20" s="26">
        <v>0.1</v>
      </c>
      <c r="U20" s="26">
        <v>0</v>
      </c>
    </row>
    <row r="21" spans="1:21" x14ac:dyDescent="0.2">
      <c r="A21" s="23" t="s">
        <v>68</v>
      </c>
      <c r="B21" s="23" t="s">
        <v>69</v>
      </c>
      <c r="C21" s="23" t="s">
        <v>70</v>
      </c>
      <c r="D21" s="23" t="s">
        <v>99</v>
      </c>
      <c r="E21" s="23" t="s">
        <v>100</v>
      </c>
      <c r="F21" s="23" t="s">
        <v>101</v>
      </c>
      <c r="G21" s="23" t="s">
        <v>102</v>
      </c>
      <c r="H21" s="23" t="s">
        <v>35</v>
      </c>
      <c r="I21" s="23" t="s">
        <v>56</v>
      </c>
      <c r="J21" s="23" t="s">
        <v>57</v>
      </c>
      <c r="K21" s="53">
        <v>0.5</v>
      </c>
      <c r="L21" s="23" t="s">
        <v>60</v>
      </c>
      <c r="M21" s="23">
        <v>2018</v>
      </c>
      <c r="N21" s="23" t="s">
        <v>43</v>
      </c>
      <c r="O21" s="24" t="s">
        <v>42</v>
      </c>
      <c r="P21" s="23" t="s">
        <v>37</v>
      </c>
      <c r="Q21" s="24" t="s">
        <v>37</v>
      </c>
      <c r="R21" s="25">
        <v>80</v>
      </c>
      <c r="S21" s="26">
        <v>0.4</v>
      </c>
      <c r="T21" s="26">
        <v>0.1</v>
      </c>
      <c r="U21" s="26">
        <v>0</v>
      </c>
    </row>
    <row r="22" spans="1:21" x14ac:dyDescent="0.2">
      <c r="A22" s="23" t="s">
        <v>68</v>
      </c>
      <c r="B22" s="23" t="s">
        <v>69</v>
      </c>
      <c r="C22" s="23" t="s">
        <v>70</v>
      </c>
      <c r="D22" s="23" t="s">
        <v>110</v>
      </c>
      <c r="E22" s="23" t="s">
        <v>111</v>
      </c>
      <c r="F22" s="23" t="s">
        <v>41</v>
      </c>
      <c r="G22" s="23" t="s">
        <v>112</v>
      </c>
      <c r="H22" s="23" t="s">
        <v>35</v>
      </c>
      <c r="I22" s="23" t="s">
        <v>56</v>
      </c>
      <c r="J22" s="23" t="s">
        <v>57</v>
      </c>
      <c r="K22" s="53">
        <v>0.33333333333333331</v>
      </c>
      <c r="L22" s="23" t="s">
        <v>60</v>
      </c>
      <c r="M22" s="23">
        <v>2018</v>
      </c>
      <c r="N22" s="23" t="s">
        <v>43</v>
      </c>
      <c r="O22" s="24" t="s">
        <v>42</v>
      </c>
      <c r="P22" s="23" t="s">
        <v>37</v>
      </c>
      <c r="Q22" s="24" t="s">
        <v>37</v>
      </c>
      <c r="R22" s="25">
        <v>80</v>
      </c>
      <c r="S22" s="26">
        <v>0.26666666666666666</v>
      </c>
      <c r="T22" s="26">
        <v>6.6666666666666666E-2</v>
      </c>
      <c r="U22" s="26">
        <v>0</v>
      </c>
    </row>
    <row r="23" spans="1:21" x14ac:dyDescent="0.2">
      <c r="A23" s="23" t="s">
        <v>68</v>
      </c>
      <c r="B23" s="23" t="s">
        <v>69</v>
      </c>
      <c r="C23" s="23" t="s">
        <v>70</v>
      </c>
      <c r="D23" s="23" t="s">
        <v>110</v>
      </c>
      <c r="E23" s="23" t="s">
        <v>111</v>
      </c>
      <c r="F23" s="23" t="s">
        <v>41</v>
      </c>
      <c r="G23" s="23" t="s">
        <v>62</v>
      </c>
      <c r="H23" s="23" t="s">
        <v>35</v>
      </c>
      <c r="I23" s="23" t="s">
        <v>56</v>
      </c>
      <c r="J23" s="23" t="s">
        <v>57</v>
      </c>
      <c r="K23" s="53">
        <v>0.33333333333333331</v>
      </c>
      <c r="L23" s="23" t="s">
        <v>60</v>
      </c>
      <c r="M23" s="23">
        <v>2018</v>
      </c>
      <c r="N23" s="23" t="s">
        <v>43</v>
      </c>
      <c r="O23" s="24" t="s">
        <v>42</v>
      </c>
      <c r="P23" s="23" t="s">
        <v>37</v>
      </c>
      <c r="Q23" s="24" t="s">
        <v>37</v>
      </c>
      <c r="R23" s="25">
        <v>80</v>
      </c>
      <c r="S23" s="26">
        <v>0.26666666666666666</v>
      </c>
      <c r="T23" s="26">
        <v>6.6666666666666666E-2</v>
      </c>
      <c r="U23" s="26">
        <v>0</v>
      </c>
    </row>
    <row r="24" spans="1:21" x14ac:dyDescent="0.2">
      <c r="A24" s="23" t="s">
        <v>68</v>
      </c>
      <c r="B24" s="23" t="s">
        <v>69</v>
      </c>
      <c r="C24" s="23" t="s">
        <v>70</v>
      </c>
      <c r="D24" s="23" t="s">
        <v>96</v>
      </c>
      <c r="E24" s="23" t="s">
        <v>97</v>
      </c>
      <c r="F24" s="23" t="s">
        <v>98</v>
      </c>
      <c r="G24" s="23" t="s">
        <v>61</v>
      </c>
      <c r="H24" s="23" t="s">
        <v>35</v>
      </c>
      <c r="I24" s="23" t="s">
        <v>56</v>
      </c>
      <c r="J24" s="23" t="s">
        <v>57</v>
      </c>
      <c r="K24" s="53">
        <v>0.5</v>
      </c>
      <c r="L24" s="23" t="s">
        <v>60</v>
      </c>
      <c r="M24" s="23">
        <v>2018</v>
      </c>
      <c r="N24" s="23" t="s">
        <v>43</v>
      </c>
      <c r="O24" s="24" t="s">
        <v>42</v>
      </c>
      <c r="P24" s="23" t="s">
        <v>37</v>
      </c>
      <c r="Q24" s="24" t="s">
        <v>37</v>
      </c>
      <c r="R24" s="25">
        <v>80</v>
      </c>
      <c r="S24" s="26">
        <v>0.4</v>
      </c>
      <c r="T24" s="26">
        <v>0.1</v>
      </c>
      <c r="U24" s="26">
        <v>0</v>
      </c>
    </row>
    <row r="25" spans="1:21" x14ac:dyDescent="0.2">
      <c r="A25" s="28" t="s">
        <v>51</v>
      </c>
      <c r="B25" s="28" t="s">
        <v>52</v>
      </c>
      <c r="C25" s="28" t="s">
        <v>53</v>
      </c>
      <c r="D25" s="28" t="s">
        <v>275</v>
      </c>
      <c r="E25" s="28" t="s">
        <v>274</v>
      </c>
      <c r="F25" s="28" t="s">
        <v>273</v>
      </c>
      <c r="G25" s="28" t="s">
        <v>78</v>
      </c>
      <c r="H25" s="28" t="s">
        <v>38</v>
      </c>
      <c r="I25" s="28" t="s">
        <v>56</v>
      </c>
      <c r="J25" s="28" t="s">
        <v>57</v>
      </c>
      <c r="K25" s="54">
        <v>1</v>
      </c>
      <c r="L25" s="28" t="s">
        <v>60</v>
      </c>
      <c r="M25" s="28">
        <v>2019</v>
      </c>
      <c r="N25" s="28" t="s">
        <v>43</v>
      </c>
      <c r="O25" s="29" t="s">
        <v>42</v>
      </c>
      <c r="P25" s="28" t="s">
        <v>37</v>
      </c>
      <c r="Q25" s="29" t="s">
        <v>37</v>
      </c>
      <c r="R25" s="30">
        <v>80</v>
      </c>
      <c r="S25" s="31">
        <v>0.8</v>
      </c>
      <c r="T25" s="31">
        <v>0.2</v>
      </c>
      <c r="U25" s="31">
        <v>0</v>
      </c>
    </row>
    <row r="26" spans="1:21" x14ac:dyDescent="0.2">
      <c r="A26" s="28" t="s">
        <v>68</v>
      </c>
      <c r="B26" s="28" t="s">
        <v>69</v>
      </c>
      <c r="C26" s="28" t="s">
        <v>70</v>
      </c>
      <c r="D26" s="28" t="s">
        <v>286</v>
      </c>
      <c r="E26" s="28" t="s">
        <v>285</v>
      </c>
      <c r="F26" s="28" t="s">
        <v>279</v>
      </c>
      <c r="G26" s="28" t="s">
        <v>66</v>
      </c>
      <c r="H26" s="28" t="s">
        <v>35</v>
      </c>
      <c r="I26" s="28" t="s">
        <v>56</v>
      </c>
      <c r="J26" s="28" t="s">
        <v>57</v>
      </c>
      <c r="K26" s="54">
        <v>0.5</v>
      </c>
      <c r="L26" s="28" t="s">
        <v>60</v>
      </c>
      <c r="M26" s="28">
        <v>2019</v>
      </c>
      <c r="N26" s="28" t="s">
        <v>43</v>
      </c>
      <c r="O26" s="29" t="s">
        <v>36</v>
      </c>
      <c r="P26" s="28" t="s">
        <v>37</v>
      </c>
      <c r="Q26" s="29" t="s">
        <v>37</v>
      </c>
      <c r="R26" s="30">
        <v>50</v>
      </c>
      <c r="S26" s="31">
        <v>0.25</v>
      </c>
      <c r="T26" s="31">
        <v>0.25</v>
      </c>
      <c r="U26" s="31">
        <v>0</v>
      </c>
    </row>
    <row r="27" spans="1:21" x14ac:dyDescent="0.2">
      <c r="A27" s="28" t="s">
        <v>68</v>
      </c>
      <c r="B27" s="28" t="s">
        <v>69</v>
      </c>
      <c r="C27" s="28" t="s">
        <v>70</v>
      </c>
      <c r="D27" s="28" t="s">
        <v>284</v>
      </c>
      <c r="E27" s="28" t="s">
        <v>277</v>
      </c>
      <c r="F27" s="28" t="s">
        <v>283</v>
      </c>
      <c r="G27" s="28" t="s">
        <v>282</v>
      </c>
      <c r="H27" s="28" t="s">
        <v>38</v>
      </c>
      <c r="I27" s="28" t="s">
        <v>56</v>
      </c>
      <c r="J27" s="28" t="s">
        <v>57</v>
      </c>
      <c r="K27" s="54">
        <v>1</v>
      </c>
      <c r="L27" s="28" t="s">
        <v>60</v>
      </c>
      <c r="M27" s="28">
        <v>2019</v>
      </c>
      <c r="N27" s="28" t="s">
        <v>43</v>
      </c>
      <c r="O27" s="29" t="s">
        <v>42</v>
      </c>
      <c r="P27" s="28" t="s">
        <v>37</v>
      </c>
      <c r="Q27" s="29" t="s">
        <v>37</v>
      </c>
      <c r="R27" s="30">
        <v>80</v>
      </c>
      <c r="S27" s="31">
        <v>0.8</v>
      </c>
      <c r="T27" s="31">
        <v>0.2</v>
      </c>
      <c r="U27" s="31">
        <v>0</v>
      </c>
    </row>
    <row r="28" spans="1:21" x14ac:dyDescent="0.2">
      <c r="A28" s="28" t="s">
        <v>68</v>
      </c>
      <c r="B28" s="28" t="s">
        <v>69</v>
      </c>
      <c r="C28" s="28" t="s">
        <v>70</v>
      </c>
      <c r="D28" s="28" t="s">
        <v>278</v>
      </c>
      <c r="E28" s="28" t="s">
        <v>301</v>
      </c>
      <c r="F28" s="28" t="s">
        <v>276</v>
      </c>
      <c r="G28" s="28" t="s">
        <v>89</v>
      </c>
      <c r="H28" s="28" t="s">
        <v>35</v>
      </c>
      <c r="I28" s="28" t="s">
        <v>56</v>
      </c>
      <c r="J28" s="28" t="s">
        <v>57</v>
      </c>
      <c r="K28" s="54">
        <v>0.5</v>
      </c>
      <c r="L28" s="28" t="s">
        <v>60</v>
      </c>
      <c r="M28" s="28">
        <v>2019</v>
      </c>
      <c r="N28" s="28" t="s">
        <v>43</v>
      </c>
      <c r="O28" s="29" t="s">
        <v>42</v>
      </c>
      <c r="P28" s="28" t="s">
        <v>37</v>
      </c>
      <c r="Q28" s="29" t="s">
        <v>37</v>
      </c>
      <c r="R28" s="30">
        <v>80</v>
      </c>
      <c r="S28" s="31">
        <v>0.4</v>
      </c>
      <c r="T28" s="31">
        <v>0.1</v>
      </c>
      <c r="U28" s="31">
        <v>0</v>
      </c>
    </row>
    <row r="29" spans="1:21" x14ac:dyDescent="0.2">
      <c r="A29" s="28" t="s">
        <v>68</v>
      </c>
      <c r="B29" s="28" t="s">
        <v>69</v>
      </c>
      <c r="C29" s="28" t="s">
        <v>70</v>
      </c>
      <c r="D29" s="28" t="s">
        <v>281</v>
      </c>
      <c r="E29" s="28" t="s">
        <v>280</v>
      </c>
      <c r="F29" s="28" t="s">
        <v>279</v>
      </c>
      <c r="G29" s="28" t="s">
        <v>66</v>
      </c>
      <c r="H29" s="28" t="s">
        <v>35</v>
      </c>
      <c r="I29" s="28" t="s">
        <v>56</v>
      </c>
      <c r="J29" s="28" t="s">
        <v>57</v>
      </c>
      <c r="K29" s="54">
        <v>0.5</v>
      </c>
      <c r="L29" s="28" t="s">
        <v>60</v>
      </c>
      <c r="M29" s="28">
        <v>2019</v>
      </c>
      <c r="N29" s="28" t="s">
        <v>43</v>
      </c>
      <c r="O29" s="29" t="s">
        <v>36</v>
      </c>
      <c r="P29" s="28" t="s">
        <v>37</v>
      </c>
      <c r="Q29" s="29" t="s">
        <v>37</v>
      </c>
      <c r="R29" s="30">
        <v>50</v>
      </c>
      <c r="S29" s="31">
        <v>0.25</v>
      </c>
      <c r="T29" s="31">
        <v>0.25</v>
      </c>
      <c r="U29" s="31">
        <v>0</v>
      </c>
    </row>
    <row r="30" spans="1:21" x14ac:dyDescent="0.2">
      <c r="A30" s="28" t="s">
        <v>68</v>
      </c>
      <c r="B30" s="28" t="s">
        <v>69</v>
      </c>
      <c r="C30" s="28" t="s">
        <v>70</v>
      </c>
      <c r="D30" s="28" t="s">
        <v>289</v>
      </c>
      <c r="E30" s="28" t="s">
        <v>288</v>
      </c>
      <c r="F30" s="28" t="s">
        <v>287</v>
      </c>
      <c r="G30" s="28" t="s">
        <v>72</v>
      </c>
      <c r="H30" s="28" t="s">
        <v>35</v>
      </c>
      <c r="I30" s="28" t="s">
        <v>56</v>
      </c>
      <c r="J30" s="28" t="s">
        <v>57</v>
      </c>
      <c r="K30" s="54">
        <v>0.5</v>
      </c>
      <c r="L30" s="28" t="s">
        <v>60</v>
      </c>
      <c r="M30" s="28">
        <v>2019</v>
      </c>
      <c r="N30" s="28" t="s">
        <v>43</v>
      </c>
      <c r="O30" s="29" t="s">
        <v>42</v>
      </c>
      <c r="P30" s="28" t="s">
        <v>37</v>
      </c>
      <c r="Q30" s="29" t="s">
        <v>37</v>
      </c>
      <c r="R30" s="30">
        <v>80</v>
      </c>
      <c r="S30" s="31">
        <v>0.4</v>
      </c>
      <c r="T30" s="31">
        <v>0.1</v>
      </c>
      <c r="U30" s="31">
        <v>0</v>
      </c>
    </row>
    <row r="31" spans="1:21" x14ac:dyDescent="0.2">
      <c r="A31" s="28" t="s">
        <v>68</v>
      </c>
      <c r="B31" s="28" t="s">
        <v>69</v>
      </c>
      <c r="C31" s="28" t="s">
        <v>70</v>
      </c>
      <c r="D31" s="28" t="s">
        <v>293</v>
      </c>
      <c r="E31" s="28" t="s">
        <v>292</v>
      </c>
      <c r="F31" s="28" t="s">
        <v>291</v>
      </c>
      <c r="G31" s="28" t="s">
        <v>65</v>
      </c>
      <c r="H31" s="28" t="s">
        <v>35</v>
      </c>
      <c r="I31" s="28" t="s">
        <v>56</v>
      </c>
      <c r="J31" s="28" t="s">
        <v>57</v>
      </c>
      <c r="K31" s="54">
        <v>0.5</v>
      </c>
      <c r="L31" s="28" t="s">
        <v>60</v>
      </c>
      <c r="M31" s="28">
        <v>2019</v>
      </c>
      <c r="N31" s="28" t="s">
        <v>43</v>
      </c>
      <c r="O31" s="29" t="s">
        <v>36</v>
      </c>
      <c r="P31" s="28" t="s">
        <v>37</v>
      </c>
      <c r="Q31" s="29" t="s">
        <v>37</v>
      </c>
      <c r="R31" s="30">
        <v>50</v>
      </c>
      <c r="S31" s="31">
        <v>0.25</v>
      </c>
      <c r="T31" s="31">
        <v>0.25</v>
      </c>
      <c r="U31" s="31">
        <v>0</v>
      </c>
    </row>
    <row r="32" spans="1:21" x14ac:dyDescent="0.2">
      <c r="A32" s="28" t="s">
        <v>68</v>
      </c>
      <c r="B32" s="28" t="s">
        <v>69</v>
      </c>
      <c r="C32" s="28" t="s">
        <v>70</v>
      </c>
      <c r="D32" s="28" t="s">
        <v>293</v>
      </c>
      <c r="E32" s="28" t="s">
        <v>292</v>
      </c>
      <c r="F32" s="28" t="s">
        <v>291</v>
      </c>
      <c r="G32" s="28" t="s">
        <v>290</v>
      </c>
      <c r="H32" s="28" t="s">
        <v>35</v>
      </c>
      <c r="I32" s="28" t="s">
        <v>56</v>
      </c>
      <c r="J32" s="28" t="s">
        <v>57</v>
      </c>
      <c r="K32" s="54">
        <v>0.5</v>
      </c>
      <c r="L32" s="28" t="s">
        <v>60</v>
      </c>
      <c r="M32" s="28">
        <v>2019</v>
      </c>
      <c r="N32" s="28" t="s">
        <v>43</v>
      </c>
      <c r="O32" s="29" t="s">
        <v>42</v>
      </c>
      <c r="P32" s="28" t="s">
        <v>37</v>
      </c>
      <c r="Q32" s="29" t="s">
        <v>37</v>
      </c>
      <c r="R32" s="30">
        <v>80</v>
      </c>
      <c r="S32" s="31">
        <v>0.4</v>
      </c>
      <c r="T32" s="31">
        <v>0.1</v>
      </c>
      <c r="U32" s="31">
        <v>0</v>
      </c>
    </row>
    <row r="33" spans="1:21" x14ac:dyDescent="0.2">
      <c r="A33" s="28" t="s">
        <v>68</v>
      </c>
      <c r="B33" s="28" t="s">
        <v>69</v>
      </c>
      <c r="C33" s="28" t="s">
        <v>70</v>
      </c>
      <c r="D33" s="28" t="s">
        <v>272</v>
      </c>
      <c r="E33" s="28" t="s">
        <v>271</v>
      </c>
      <c r="F33" s="28" t="s">
        <v>270</v>
      </c>
      <c r="G33" s="28" t="s">
        <v>63</v>
      </c>
      <c r="H33" s="28" t="s">
        <v>35</v>
      </c>
      <c r="I33" s="28" t="s">
        <v>56</v>
      </c>
      <c r="J33" s="28" t="s">
        <v>57</v>
      </c>
      <c r="K33" s="54">
        <v>0.5</v>
      </c>
      <c r="L33" s="28" t="s">
        <v>60</v>
      </c>
      <c r="M33" s="28">
        <v>2019</v>
      </c>
      <c r="N33" s="28" t="s">
        <v>43</v>
      </c>
      <c r="O33" s="29" t="s">
        <v>42</v>
      </c>
      <c r="P33" s="28" t="s">
        <v>37</v>
      </c>
      <c r="Q33" s="29" t="s">
        <v>37</v>
      </c>
      <c r="R33" s="30">
        <v>80</v>
      </c>
      <c r="S33" s="31">
        <v>0.4</v>
      </c>
      <c r="T33" s="31">
        <v>0.1</v>
      </c>
      <c r="U33" s="31">
        <v>0</v>
      </c>
    </row>
    <row r="34" spans="1:21" x14ac:dyDescent="0.2">
      <c r="A34" s="28" t="s">
        <v>68</v>
      </c>
      <c r="B34" s="28" t="s">
        <v>69</v>
      </c>
      <c r="C34" s="28" t="s">
        <v>70</v>
      </c>
      <c r="D34" s="28" t="s">
        <v>269</v>
      </c>
      <c r="E34" s="28" t="s">
        <v>268</v>
      </c>
      <c r="F34" s="28" t="s">
        <v>267</v>
      </c>
      <c r="G34" s="28" t="s">
        <v>72</v>
      </c>
      <c r="H34" s="28" t="s">
        <v>35</v>
      </c>
      <c r="I34" s="28" t="s">
        <v>56</v>
      </c>
      <c r="J34" s="28" t="s">
        <v>57</v>
      </c>
      <c r="K34" s="54">
        <v>0.5</v>
      </c>
      <c r="L34" s="28" t="s">
        <v>60</v>
      </c>
      <c r="M34" s="28">
        <v>2019</v>
      </c>
      <c r="N34" s="28" t="s">
        <v>43</v>
      </c>
      <c r="O34" s="29" t="s">
        <v>42</v>
      </c>
      <c r="P34" s="28" t="s">
        <v>37</v>
      </c>
      <c r="Q34" s="29" t="s">
        <v>37</v>
      </c>
      <c r="R34" s="30">
        <v>80</v>
      </c>
      <c r="S34" s="31">
        <v>0.4</v>
      </c>
      <c r="T34" s="31">
        <v>0.1</v>
      </c>
      <c r="U34" s="31">
        <v>0</v>
      </c>
    </row>
    <row r="35" spans="1:21" x14ac:dyDescent="0.2">
      <c r="A35" s="23" t="s">
        <v>68</v>
      </c>
      <c r="B35" s="23" t="s">
        <v>69</v>
      </c>
      <c r="C35" s="23" t="s">
        <v>70</v>
      </c>
      <c r="D35" s="23" t="s">
        <v>302</v>
      </c>
      <c r="E35" s="23" t="s">
        <v>303</v>
      </c>
      <c r="F35" s="23" t="s">
        <v>304</v>
      </c>
      <c r="G35" s="23" t="s">
        <v>63</v>
      </c>
      <c r="H35" s="23" t="s">
        <v>35</v>
      </c>
      <c r="I35" s="23" t="s">
        <v>56</v>
      </c>
      <c r="J35" s="23" t="s">
        <v>57</v>
      </c>
      <c r="K35" s="27">
        <v>0.5</v>
      </c>
      <c r="L35" s="27" t="s">
        <v>60</v>
      </c>
      <c r="M35" s="32">
        <v>2019</v>
      </c>
      <c r="N35" s="23" t="s">
        <v>43</v>
      </c>
      <c r="O35" s="24" t="s">
        <v>42</v>
      </c>
      <c r="P35" s="23" t="s">
        <v>37</v>
      </c>
      <c r="Q35" s="24" t="s">
        <v>37</v>
      </c>
      <c r="R35" s="23">
        <v>80</v>
      </c>
      <c r="S35" s="23">
        <v>0.4</v>
      </c>
      <c r="T35" s="23">
        <v>0.1</v>
      </c>
      <c r="U35" s="23">
        <v>0</v>
      </c>
    </row>
    <row r="36" spans="1:21" x14ac:dyDescent="0.2">
      <c r="A36" s="23" t="s">
        <v>68</v>
      </c>
      <c r="B36" s="23" t="s">
        <v>69</v>
      </c>
      <c r="C36" s="23" t="s">
        <v>70</v>
      </c>
      <c r="D36" s="23" t="s">
        <v>302</v>
      </c>
      <c r="E36" s="23" t="s">
        <v>303</v>
      </c>
      <c r="F36" s="23" t="s">
        <v>304</v>
      </c>
      <c r="G36" s="23" t="s">
        <v>65</v>
      </c>
      <c r="H36" s="23" t="s">
        <v>35</v>
      </c>
      <c r="I36" s="23" t="s">
        <v>56</v>
      </c>
      <c r="J36" s="23" t="s">
        <v>57</v>
      </c>
      <c r="K36" s="27">
        <v>0.5</v>
      </c>
      <c r="L36" s="27" t="s">
        <v>60</v>
      </c>
      <c r="M36" s="32">
        <v>2019</v>
      </c>
      <c r="N36" s="23" t="s">
        <v>43</v>
      </c>
      <c r="O36" s="24" t="s">
        <v>36</v>
      </c>
      <c r="P36" s="23" t="s">
        <v>37</v>
      </c>
      <c r="Q36" s="24" t="s">
        <v>37</v>
      </c>
      <c r="R36" s="23">
        <v>50</v>
      </c>
      <c r="S36" s="23">
        <v>0.25</v>
      </c>
      <c r="T36" s="23">
        <v>0.25</v>
      </c>
      <c r="U36" s="23">
        <v>0</v>
      </c>
    </row>
    <row r="37" spans="1:21" x14ac:dyDescent="0.2">
      <c r="A37" s="23" t="s">
        <v>68</v>
      </c>
      <c r="B37" s="23" t="s">
        <v>69</v>
      </c>
      <c r="C37" s="23" t="s">
        <v>70</v>
      </c>
      <c r="D37" s="23" t="s">
        <v>305</v>
      </c>
      <c r="E37" s="23" t="s">
        <v>306</v>
      </c>
      <c r="F37" s="23" t="s">
        <v>307</v>
      </c>
      <c r="G37" s="23" t="s">
        <v>92</v>
      </c>
      <c r="H37" s="23" t="s">
        <v>38</v>
      </c>
      <c r="I37" s="23" t="s">
        <v>56</v>
      </c>
      <c r="J37" s="23" t="s">
        <v>57</v>
      </c>
      <c r="K37" s="27">
        <v>1</v>
      </c>
      <c r="L37" s="27" t="s">
        <v>60</v>
      </c>
      <c r="M37" s="32">
        <v>2019</v>
      </c>
      <c r="N37" s="23" t="s">
        <v>43</v>
      </c>
      <c r="O37" s="24" t="s">
        <v>42</v>
      </c>
      <c r="P37" s="23" t="s">
        <v>37</v>
      </c>
      <c r="Q37" s="24" t="s">
        <v>37</v>
      </c>
      <c r="R37" s="23">
        <v>80</v>
      </c>
      <c r="S37" s="23">
        <v>0.8</v>
      </c>
      <c r="T37" s="23">
        <v>0.2</v>
      </c>
      <c r="U37" s="23">
        <v>0</v>
      </c>
    </row>
    <row r="38" spans="1:21" x14ac:dyDescent="0.2">
      <c r="A38" s="23" t="s">
        <v>68</v>
      </c>
      <c r="B38" s="23" t="s">
        <v>69</v>
      </c>
      <c r="C38" s="23" t="s">
        <v>70</v>
      </c>
      <c r="D38" s="23" t="s">
        <v>308</v>
      </c>
      <c r="E38" s="23" t="s">
        <v>309</v>
      </c>
      <c r="F38" s="23" t="s">
        <v>304</v>
      </c>
      <c r="G38" s="23" t="s">
        <v>63</v>
      </c>
      <c r="H38" s="23" t="s">
        <v>35</v>
      </c>
      <c r="I38" s="23" t="s">
        <v>56</v>
      </c>
      <c r="J38" s="23" t="s">
        <v>57</v>
      </c>
      <c r="K38" s="27">
        <v>0.5</v>
      </c>
      <c r="L38" s="27" t="s">
        <v>60</v>
      </c>
      <c r="M38" s="32">
        <v>2019</v>
      </c>
      <c r="N38" s="23" t="s">
        <v>43</v>
      </c>
      <c r="O38" s="24" t="s">
        <v>42</v>
      </c>
      <c r="P38" s="23" t="s">
        <v>37</v>
      </c>
      <c r="Q38" s="24" t="s">
        <v>37</v>
      </c>
      <c r="R38" s="23">
        <v>80</v>
      </c>
      <c r="S38" s="23">
        <v>0.4</v>
      </c>
      <c r="T38" s="23">
        <v>0.1</v>
      </c>
      <c r="U38" s="23">
        <v>0</v>
      </c>
    </row>
    <row r="39" spans="1:21" ht="10.8" thickBot="1" x14ac:dyDescent="0.25">
      <c r="A39" s="23" t="s">
        <v>68</v>
      </c>
      <c r="B39" s="23" t="s">
        <v>69</v>
      </c>
      <c r="C39" s="23" t="s">
        <v>70</v>
      </c>
      <c r="D39" s="23" t="s">
        <v>308</v>
      </c>
      <c r="E39" s="23" t="s">
        <v>309</v>
      </c>
      <c r="F39" s="23" t="s">
        <v>304</v>
      </c>
      <c r="G39" s="23" t="s">
        <v>65</v>
      </c>
      <c r="H39" s="23" t="s">
        <v>35</v>
      </c>
      <c r="I39" s="23" t="s">
        <v>56</v>
      </c>
      <c r="J39" s="23" t="s">
        <v>57</v>
      </c>
      <c r="K39" s="27">
        <v>0.5</v>
      </c>
      <c r="L39" s="27" t="s">
        <v>60</v>
      </c>
      <c r="M39" s="32">
        <v>2019</v>
      </c>
      <c r="N39" s="23" t="s">
        <v>43</v>
      </c>
      <c r="O39" s="24" t="s">
        <v>36</v>
      </c>
      <c r="P39" s="23" t="s">
        <v>37</v>
      </c>
      <c r="Q39" s="24" t="s">
        <v>37</v>
      </c>
      <c r="R39" s="23">
        <v>50</v>
      </c>
      <c r="S39" s="23">
        <v>0.25</v>
      </c>
      <c r="T39" s="23">
        <v>0.25</v>
      </c>
      <c r="U39" s="23">
        <v>0</v>
      </c>
    </row>
    <row r="40" spans="1:21" ht="10.8" thickBot="1" x14ac:dyDescent="0.25">
      <c r="A40" s="33" t="s">
        <v>68</v>
      </c>
      <c r="B40" s="33" t="s">
        <v>69</v>
      </c>
      <c r="C40" s="33" t="s">
        <v>70</v>
      </c>
      <c r="D40" s="33" t="s">
        <v>310</v>
      </c>
      <c r="E40" s="33" t="s">
        <v>311</v>
      </c>
      <c r="F40" s="33" t="s">
        <v>312</v>
      </c>
      <c r="G40" s="34" t="s">
        <v>64</v>
      </c>
      <c r="H40" s="35" t="s">
        <v>35</v>
      </c>
      <c r="I40" s="35" t="s">
        <v>56</v>
      </c>
      <c r="J40" s="36" t="s">
        <v>57</v>
      </c>
      <c r="K40" s="27">
        <v>0.5</v>
      </c>
      <c r="L40" s="27" t="s">
        <v>60</v>
      </c>
      <c r="M40" s="23">
        <v>2020</v>
      </c>
      <c r="N40" s="23" t="s">
        <v>43</v>
      </c>
      <c r="O40" s="24" t="s">
        <v>42</v>
      </c>
      <c r="P40" s="23" t="s">
        <v>40</v>
      </c>
      <c r="Q40" s="24" t="s">
        <v>39</v>
      </c>
      <c r="R40" s="23">
        <v>70</v>
      </c>
      <c r="S40" s="23">
        <v>0.35</v>
      </c>
      <c r="T40" s="23">
        <v>0.1</v>
      </c>
      <c r="U40" s="23">
        <v>0.05</v>
      </c>
    </row>
    <row r="41" spans="1:21" ht="10.8" thickBot="1" x14ac:dyDescent="0.25">
      <c r="A41" s="33" t="s">
        <v>68</v>
      </c>
      <c r="B41" s="33" t="s">
        <v>69</v>
      </c>
      <c r="C41" s="33" t="s">
        <v>70</v>
      </c>
      <c r="D41" s="33" t="s">
        <v>313</v>
      </c>
      <c r="E41" s="33" t="s">
        <v>314</v>
      </c>
      <c r="F41" s="33" t="s">
        <v>315</v>
      </c>
      <c r="G41" s="34" t="s">
        <v>316</v>
      </c>
      <c r="H41" s="35" t="s">
        <v>35</v>
      </c>
      <c r="I41" s="35" t="s">
        <v>56</v>
      </c>
      <c r="J41" s="36" t="s">
        <v>57</v>
      </c>
      <c r="K41" s="27">
        <v>0.5</v>
      </c>
      <c r="L41" s="27" t="s">
        <v>60</v>
      </c>
      <c r="M41" s="23">
        <v>2020</v>
      </c>
      <c r="N41" s="23" t="s">
        <v>40</v>
      </c>
      <c r="O41" s="24" t="s">
        <v>39</v>
      </c>
      <c r="P41" s="23" t="s">
        <v>43</v>
      </c>
      <c r="Q41" s="24" t="s">
        <v>39</v>
      </c>
      <c r="R41" s="23">
        <v>80</v>
      </c>
      <c r="S41" s="23">
        <v>0.4</v>
      </c>
      <c r="T41" s="23">
        <v>0.05</v>
      </c>
      <c r="U41" s="23">
        <v>0.05</v>
      </c>
    </row>
    <row r="42" spans="1:21" ht="10.8" thickBot="1" x14ac:dyDescent="0.25">
      <c r="A42" s="33" t="s">
        <v>68</v>
      </c>
      <c r="B42" s="33" t="s">
        <v>69</v>
      </c>
      <c r="C42" s="33" t="s">
        <v>70</v>
      </c>
      <c r="D42" s="33" t="s">
        <v>317</v>
      </c>
      <c r="E42" s="33" t="s">
        <v>318</v>
      </c>
      <c r="F42" s="33" t="s">
        <v>319</v>
      </c>
      <c r="G42" s="34" t="s">
        <v>71</v>
      </c>
      <c r="H42" s="35" t="s">
        <v>35</v>
      </c>
      <c r="I42" s="35" t="s">
        <v>56</v>
      </c>
      <c r="J42" s="36" t="s">
        <v>57</v>
      </c>
      <c r="K42" s="27">
        <v>0.5</v>
      </c>
      <c r="L42" s="27" t="s">
        <v>60</v>
      </c>
      <c r="M42" s="23">
        <v>2020</v>
      </c>
      <c r="N42" s="23" t="s">
        <v>43</v>
      </c>
      <c r="O42" s="24" t="s">
        <v>42</v>
      </c>
      <c r="P42" s="23" t="s">
        <v>37</v>
      </c>
      <c r="Q42" s="24" t="s">
        <v>37</v>
      </c>
      <c r="R42" s="23">
        <v>80</v>
      </c>
      <c r="S42" s="23">
        <v>0.4</v>
      </c>
      <c r="T42" s="23">
        <v>0.1</v>
      </c>
      <c r="U42" s="23">
        <v>0</v>
      </c>
    </row>
    <row r="43" spans="1:21" ht="10.8" thickBot="1" x14ac:dyDescent="0.25">
      <c r="A43" s="33" t="s">
        <v>68</v>
      </c>
      <c r="B43" s="33" t="s">
        <v>69</v>
      </c>
      <c r="C43" s="33" t="s">
        <v>70</v>
      </c>
      <c r="D43" s="33" t="s">
        <v>317</v>
      </c>
      <c r="E43" s="33" t="s">
        <v>318</v>
      </c>
      <c r="F43" s="33" t="s">
        <v>319</v>
      </c>
      <c r="G43" s="34" t="s">
        <v>95</v>
      </c>
      <c r="H43" s="35" t="s">
        <v>35</v>
      </c>
      <c r="I43" s="35" t="s">
        <v>56</v>
      </c>
      <c r="J43" s="36" t="s">
        <v>57</v>
      </c>
      <c r="K43" s="27">
        <v>0.5</v>
      </c>
      <c r="L43" s="27" t="s">
        <v>60</v>
      </c>
      <c r="M43" s="23">
        <v>2020</v>
      </c>
      <c r="N43" s="23" t="s">
        <v>43</v>
      </c>
      <c r="O43" s="24" t="s">
        <v>42</v>
      </c>
      <c r="P43" s="23" t="s">
        <v>37</v>
      </c>
      <c r="Q43" s="24" t="s">
        <v>37</v>
      </c>
      <c r="R43" s="23">
        <v>80</v>
      </c>
      <c r="S43" s="23">
        <v>0.4</v>
      </c>
      <c r="T43" s="23">
        <v>0.1</v>
      </c>
      <c r="U43" s="23">
        <v>0</v>
      </c>
    </row>
    <row r="44" spans="1:21" ht="10.8" thickBot="1" x14ac:dyDescent="0.25">
      <c r="A44" s="33" t="s">
        <v>68</v>
      </c>
      <c r="B44" s="33" t="s">
        <v>69</v>
      </c>
      <c r="C44" s="33" t="s">
        <v>70</v>
      </c>
      <c r="D44" s="33" t="s">
        <v>320</v>
      </c>
      <c r="E44" s="33" t="s">
        <v>321</v>
      </c>
      <c r="F44" s="33" t="s">
        <v>322</v>
      </c>
      <c r="G44" s="34" t="s">
        <v>65</v>
      </c>
      <c r="H44" s="35" t="s">
        <v>35</v>
      </c>
      <c r="I44" s="35" t="s">
        <v>56</v>
      </c>
      <c r="J44" s="36" t="s">
        <v>57</v>
      </c>
      <c r="K44" s="27">
        <v>0.5</v>
      </c>
      <c r="L44" s="27" t="s">
        <v>60</v>
      </c>
      <c r="M44" s="23">
        <v>2020</v>
      </c>
      <c r="N44" s="23" t="s">
        <v>43</v>
      </c>
      <c r="O44" s="24" t="s">
        <v>36</v>
      </c>
      <c r="P44" s="23" t="s">
        <v>37</v>
      </c>
      <c r="Q44" s="24" t="s">
        <v>37</v>
      </c>
      <c r="R44" s="23">
        <v>50</v>
      </c>
      <c r="S44" s="23">
        <v>0.25</v>
      </c>
      <c r="T44" s="23">
        <v>0.25</v>
      </c>
      <c r="U44" s="23">
        <v>0</v>
      </c>
    </row>
    <row r="45" spans="1:21" ht="10.8" thickBot="1" x14ac:dyDescent="0.25">
      <c r="A45" s="33" t="s">
        <v>68</v>
      </c>
      <c r="B45" s="33" t="s">
        <v>69</v>
      </c>
      <c r="C45" s="33" t="s">
        <v>70</v>
      </c>
      <c r="D45" s="33" t="s">
        <v>320</v>
      </c>
      <c r="E45" s="33" t="s">
        <v>321</v>
      </c>
      <c r="F45" s="33" t="s">
        <v>322</v>
      </c>
      <c r="G45" s="34" t="s">
        <v>72</v>
      </c>
      <c r="H45" s="35" t="s">
        <v>35</v>
      </c>
      <c r="I45" s="35" t="s">
        <v>56</v>
      </c>
      <c r="J45" s="36" t="s">
        <v>57</v>
      </c>
      <c r="K45" s="27">
        <v>0.5</v>
      </c>
      <c r="L45" s="27" t="s">
        <v>60</v>
      </c>
      <c r="M45" s="23">
        <v>2020</v>
      </c>
      <c r="N45" s="23" t="s">
        <v>43</v>
      </c>
      <c r="O45" s="24" t="s">
        <v>42</v>
      </c>
      <c r="P45" s="23" t="s">
        <v>37</v>
      </c>
      <c r="Q45" s="24" t="s">
        <v>37</v>
      </c>
      <c r="R45" s="23">
        <v>80</v>
      </c>
      <c r="S45" s="23">
        <v>0.4</v>
      </c>
      <c r="T45" s="23">
        <v>0.1</v>
      </c>
      <c r="U45" s="23">
        <v>0</v>
      </c>
    </row>
    <row r="46" spans="1:21" ht="10.8" thickBot="1" x14ac:dyDescent="0.25">
      <c r="A46" s="33" t="s">
        <v>68</v>
      </c>
      <c r="B46" s="33" t="s">
        <v>69</v>
      </c>
      <c r="C46" s="33" t="s">
        <v>70</v>
      </c>
      <c r="D46" s="33" t="s">
        <v>323</v>
      </c>
      <c r="E46" s="33" t="s">
        <v>521</v>
      </c>
      <c r="F46" s="33" t="s">
        <v>324</v>
      </c>
      <c r="G46" s="34" t="s">
        <v>64</v>
      </c>
      <c r="H46" s="35" t="s">
        <v>38</v>
      </c>
      <c r="I46" s="35" t="s">
        <v>56</v>
      </c>
      <c r="J46" s="36" t="s">
        <v>57</v>
      </c>
      <c r="K46" s="27">
        <v>1</v>
      </c>
      <c r="L46" s="27" t="s">
        <v>60</v>
      </c>
      <c r="M46" s="23">
        <v>2020</v>
      </c>
      <c r="N46" s="23" t="s">
        <v>43</v>
      </c>
      <c r="O46" s="24" t="s">
        <v>42</v>
      </c>
      <c r="P46" s="23" t="s">
        <v>40</v>
      </c>
      <c r="Q46" s="24" t="s">
        <v>39</v>
      </c>
      <c r="R46" s="23">
        <v>70</v>
      </c>
      <c r="S46" s="23">
        <v>0.7</v>
      </c>
      <c r="T46" s="23">
        <v>0.2</v>
      </c>
      <c r="U46" s="23">
        <v>0.1</v>
      </c>
    </row>
    <row r="47" spans="1:21" ht="10.8" thickBot="1" x14ac:dyDescent="0.25">
      <c r="A47" s="33" t="s">
        <v>68</v>
      </c>
      <c r="B47" s="33" t="s">
        <v>69</v>
      </c>
      <c r="C47" s="33" t="s">
        <v>70</v>
      </c>
      <c r="D47" s="33" t="s">
        <v>325</v>
      </c>
      <c r="E47" s="33" t="s">
        <v>326</v>
      </c>
      <c r="F47" s="33" t="s">
        <v>327</v>
      </c>
      <c r="G47" s="34" t="s">
        <v>64</v>
      </c>
      <c r="H47" s="35" t="s">
        <v>38</v>
      </c>
      <c r="I47" s="35" t="s">
        <v>56</v>
      </c>
      <c r="J47" s="36" t="s">
        <v>57</v>
      </c>
      <c r="K47" s="27">
        <v>1</v>
      </c>
      <c r="L47" s="27" t="s">
        <v>60</v>
      </c>
      <c r="M47" s="23">
        <v>2020</v>
      </c>
      <c r="N47" s="23" t="s">
        <v>43</v>
      </c>
      <c r="O47" s="24" t="s">
        <v>42</v>
      </c>
      <c r="P47" s="23" t="s">
        <v>40</v>
      </c>
      <c r="Q47" s="24" t="s">
        <v>39</v>
      </c>
      <c r="R47" s="23">
        <v>70</v>
      </c>
      <c r="S47" s="23">
        <v>0.7</v>
      </c>
      <c r="T47" s="23">
        <v>0.2</v>
      </c>
      <c r="U47" s="23">
        <v>0.1</v>
      </c>
    </row>
    <row r="48" spans="1:21" x14ac:dyDescent="0.2">
      <c r="A48" s="23" t="s">
        <v>68</v>
      </c>
      <c r="B48" s="23" t="s">
        <v>69</v>
      </c>
      <c r="C48" s="23" t="s">
        <v>70</v>
      </c>
      <c r="D48" s="23" t="s">
        <v>522</v>
      </c>
      <c r="E48" s="23" t="s">
        <v>523</v>
      </c>
      <c r="F48" s="23" t="s">
        <v>524</v>
      </c>
      <c r="G48" s="23" t="s">
        <v>316</v>
      </c>
      <c r="H48" s="23" t="s">
        <v>35</v>
      </c>
      <c r="I48" s="23" t="s">
        <v>56</v>
      </c>
      <c r="J48" s="23" t="s">
        <v>57</v>
      </c>
      <c r="K48" s="27">
        <v>0.5</v>
      </c>
      <c r="L48" s="27" t="s">
        <v>60</v>
      </c>
      <c r="M48" s="23">
        <v>2021</v>
      </c>
      <c r="N48" s="23" t="s">
        <v>40</v>
      </c>
      <c r="O48" s="24" t="s">
        <v>39</v>
      </c>
      <c r="P48" s="23" t="s">
        <v>43</v>
      </c>
      <c r="Q48" s="24" t="s">
        <v>39</v>
      </c>
      <c r="R48" s="23">
        <v>80</v>
      </c>
      <c r="S48" s="23">
        <v>0.4</v>
      </c>
      <c r="T48" s="23">
        <v>0.05</v>
      </c>
      <c r="U48" s="23">
        <v>0.05</v>
      </c>
    </row>
    <row r="49" spans="1:21" x14ac:dyDescent="0.2">
      <c r="A49" s="23" t="s">
        <v>68</v>
      </c>
      <c r="B49" s="23" t="s">
        <v>69</v>
      </c>
      <c r="C49" s="23" t="s">
        <v>70</v>
      </c>
      <c r="D49" s="23" t="s">
        <v>525</v>
      </c>
      <c r="E49" s="23" t="s">
        <v>526</v>
      </c>
      <c r="F49" s="23" t="s">
        <v>527</v>
      </c>
      <c r="G49" s="23" t="s">
        <v>89</v>
      </c>
      <c r="H49" s="23" t="s">
        <v>35</v>
      </c>
      <c r="I49" s="23" t="s">
        <v>56</v>
      </c>
      <c r="J49" s="23" t="s">
        <v>57</v>
      </c>
      <c r="K49" s="27">
        <v>0.5</v>
      </c>
      <c r="L49" s="27" t="s">
        <v>60</v>
      </c>
      <c r="M49" s="23">
        <v>2021</v>
      </c>
      <c r="N49" s="23" t="s">
        <v>43</v>
      </c>
      <c r="O49" s="24" t="s">
        <v>42</v>
      </c>
      <c r="P49" s="23" t="s">
        <v>37</v>
      </c>
      <c r="Q49" s="24" t="s">
        <v>37</v>
      </c>
      <c r="R49" s="23">
        <v>80</v>
      </c>
      <c r="S49" s="23">
        <v>0.4</v>
      </c>
      <c r="T49" s="23">
        <v>0.1</v>
      </c>
      <c r="U49" s="23">
        <v>0</v>
      </c>
    </row>
    <row r="50" spans="1:21" x14ac:dyDescent="0.2">
      <c r="A50" s="23" t="s">
        <v>68</v>
      </c>
      <c r="B50" s="23" t="s">
        <v>69</v>
      </c>
      <c r="C50" s="23" t="s">
        <v>70</v>
      </c>
      <c r="D50" s="23" t="s">
        <v>525</v>
      </c>
      <c r="E50" s="23" t="s">
        <v>526</v>
      </c>
      <c r="F50" s="23" t="s">
        <v>527</v>
      </c>
      <c r="G50" s="23" t="s">
        <v>528</v>
      </c>
      <c r="H50" s="23" t="s">
        <v>35</v>
      </c>
      <c r="I50" s="23" t="s">
        <v>56</v>
      </c>
      <c r="J50" s="23" t="s">
        <v>57</v>
      </c>
      <c r="K50" s="27">
        <v>0.5</v>
      </c>
      <c r="L50" s="27" t="s">
        <v>60</v>
      </c>
      <c r="M50" s="23">
        <v>2021</v>
      </c>
      <c r="N50" s="23" t="s">
        <v>43</v>
      </c>
      <c r="O50" s="24" t="s">
        <v>42</v>
      </c>
      <c r="P50" s="23" t="s">
        <v>37</v>
      </c>
      <c r="Q50" s="24" t="s">
        <v>37</v>
      </c>
      <c r="R50" s="23">
        <v>80</v>
      </c>
      <c r="S50" s="23">
        <v>0.4</v>
      </c>
      <c r="T50" s="23">
        <v>0.1</v>
      </c>
      <c r="U50" s="23">
        <v>0</v>
      </c>
    </row>
    <row r="51" spans="1:21" x14ac:dyDescent="0.2">
      <c r="A51" s="23" t="s">
        <v>68</v>
      </c>
      <c r="B51" s="23" t="s">
        <v>69</v>
      </c>
      <c r="C51" s="23" t="s">
        <v>70</v>
      </c>
      <c r="D51" s="23" t="s">
        <v>529</v>
      </c>
      <c r="E51" s="23" t="s">
        <v>530</v>
      </c>
      <c r="F51" s="23" t="s">
        <v>531</v>
      </c>
      <c r="G51" s="23" t="s">
        <v>78</v>
      </c>
      <c r="H51" s="23" t="s">
        <v>38</v>
      </c>
      <c r="I51" s="23" t="s">
        <v>56</v>
      </c>
      <c r="J51" s="23" t="s">
        <v>57</v>
      </c>
      <c r="K51" s="27">
        <v>1</v>
      </c>
      <c r="L51" s="27" t="s">
        <v>60</v>
      </c>
      <c r="M51" s="23">
        <v>2021</v>
      </c>
      <c r="N51" s="23" t="s">
        <v>43</v>
      </c>
      <c r="O51" s="24" t="s">
        <v>42</v>
      </c>
      <c r="P51" s="23" t="s">
        <v>37</v>
      </c>
      <c r="Q51" s="24" t="s">
        <v>37</v>
      </c>
      <c r="R51" s="23">
        <v>80</v>
      </c>
      <c r="S51" s="23">
        <v>0.8</v>
      </c>
      <c r="T51" s="23">
        <v>0.2</v>
      </c>
      <c r="U51" s="23">
        <v>0</v>
      </c>
    </row>
    <row r="52" spans="1:21" x14ac:dyDescent="0.2">
      <c r="A52" s="63"/>
      <c r="B52" s="63"/>
      <c r="C52" s="63"/>
      <c r="D52" s="63"/>
      <c r="E52" s="63"/>
      <c r="F52" s="63"/>
      <c r="G52" s="63"/>
      <c r="H52" s="63"/>
      <c r="I52" s="63"/>
      <c r="J52" s="63"/>
      <c r="K52" s="63"/>
      <c r="L52" s="63"/>
      <c r="M52" s="63"/>
      <c r="N52" s="63"/>
      <c r="O52" s="64"/>
      <c r="P52" s="63"/>
      <c r="Q52" s="64"/>
      <c r="R52" s="63"/>
      <c r="S52" s="67">
        <f>SUM(S2:S51)</f>
        <v>22.133333333333333</v>
      </c>
      <c r="T52" s="63"/>
      <c r="U52" s="63"/>
    </row>
  </sheetData>
  <autoFilter ref="A1:U1" xr:uid="{00000000-0009-0000-0000-000000000000}">
    <sortState xmlns:xlrd2="http://schemas.microsoft.com/office/spreadsheetml/2017/richdata2" ref="A2:T1860">
      <sortCondition ref="K2:K1860"/>
      <sortCondition ref="L2:L1860"/>
      <sortCondition ref="D2:D1860"/>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7"/>
  <sheetViews>
    <sheetView topLeftCell="A7" zoomScaleNormal="100" workbookViewId="0">
      <selection activeCell="Q32" sqref="Q32"/>
    </sheetView>
  </sheetViews>
  <sheetFormatPr baseColWidth="10" defaultColWidth="11.44140625" defaultRowHeight="13.2" x14ac:dyDescent="0.25"/>
  <cols>
    <col min="1" max="1" width="10.88671875" style="18" bestFit="1" customWidth="1"/>
    <col min="2" max="2" width="39.88671875" style="18" bestFit="1" customWidth="1"/>
    <col min="3" max="3" width="17" style="18" bestFit="1" customWidth="1"/>
    <col min="4" max="9" width="3.33203125" style="18" bestFit="1" customWidth="1"/>
    <col min="10" max="10" width="13.109375" style="18" bestFit="1" customWidth="1"/>
    <col min="11" max="11" width="5.33203125" style="18" bestFit="1" customWidth="1"/>
    <col min="12" max="13" width="5.6640625" style="18" bestFit="1" customWidth="1"/>
    <col min="14"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0" customHeight="1" x14ac:dyDescent="0.25">
      <c r="A1" s="55" t="s">
        <v>113</v>
      </c>
      <c r="B1" s="55" t="s">
        <v>114</v>
      </c>
      <c r="C1" s="55" t="s">
        <v>115</v>
      </c>
      <c r="D1" s="56">
        <v>2017</v>
      </c>
      <c r="E1" s="56">
        <v>2018</v>
      </c>
      <c r="F1" s="56">
        <v>2019</v>
      </c>
      <c r="G1" s="56">
        <v>2020</v>
      </c>
      <c r="H1" s="56">
        <v>2021</v>
      </c>
      <c r="I1" s="56">
        <v>2022</v>
      </c>
      <c r="J1" s="55" t="s">
        <v>116</v>
      </c>
      <c r="K1" s="57" t="s">
        <v>532</v>
      </c>
      <c r="L1" s="15" t="s">
        <v>117</v>
      </c>
      <c r="M1" s="15" t="s">
        <v>118</v>
      </c>
      <c r="N1" s="15" t="s">
        <v>119</v>
      </c>
      <c r="O1" s="15" t="s">
        <v>120</v>
      </c>
      <c r="P1" s="16" t="s">
        <v>121</v>
      </c>
      <c r="Q1" s="16" t="s">
        <v>122</v>
      </c>
      <c r="R1" s="16" t="s">
        <v>123</v>
      </c>
      <c r="S1" s="16" t="s">
        <v>124</v>
      </c>
    </row>
    <row r="2" spans="1:19" ht="14.4" x14ac:dyDescent="0.3">
      <c r="A2" s="20" t="s">
        <v>133</v>
      </c>
      <c r="B2" s="20" t="s">
        <v>134</v>
      </c>
      <c r="C2" s="20" t="s">
        <v>125</v>
      </c>
      <c r="D2" s="20">
        <v>1</v>
      </c>
      <c r="E2" s="20"/>
      <c r="F2" s="20">
        <v>1</v>
      </c>
      <c r="G2" s="20"/>
      <c r="H2" s="20"/>
      <c r="I2" s="20"/>
      <c r="J2" s="20">
        <v>2</v>
      </c>
      <c r="K2" s="20" t="s">
        <v>60</v>
      </c>
      <c r="L2" s="21" t="s">
        <v>40</v>
      </c>
      <c r="M2" s="21" t="s">
        <v>39</v>
      </c>
      <c r="N2" s="21" t="s">
        <v>43</v>
      </c>
      <c r="O2" s="21" t="s">
        <v>39</v>
      </c>
      <c r="P2" s="21">
        <v>80</v>
      </c>
      <c r="Q2" s="21">
        <v>0.2</v>
      </c>
      <c r="R2" s="21">
        <v>0.2</v>
      </c>
      <c r="S2" s="21">
        <v>1.6</v>
      </c>
    </row>
    <row r="3" spans="1:19" ht="14.4" x14ac:dyDescent="0.3">
      <c r="A3" s="20" t="s">
        <v>146</v>
      </c>
      <c r="B3" s="20" t="s">
        <v>147</v>
      </c>
      <c r="C3" s="20" t="s">
        <v>125</v>
      </c>
      <c r="D3" s="20">
        <v>1</v>
      </c>
      <c r="E3" s="20"/>
      <c r="F3" s="20"/>
      <c r="G3" s="20"/>
      <c r="H3" s="20"/>
      <c r="I3" s="20"/>
      <c r="J3" s="20">
        <v>1</v>
      </c>
      <c r="K3" s="20" t="s">
        <v>60</v>
      </c>
      <c r="L3" s="21" t="s">
        <v>43</v>
      </c>
      <c r="M3" s="21" t="s">
        <v>42</v>
      </c>
      <c r="N3" s="21" t="s">
        <v>37</v>
      </c>
      <c r="O3" s="21" t="s">
        <v>37</v>
      </c>
      <c r="P3" s="21">
        <v>80</v>
      </c>
      <c r="Q3" s="21">
        <v>0.2</v>
      </c>
      <c r="R3" s="21">
        <v>0</v>
      </c>
      <c r="S3" s="21">
        <v>0.8</v>
      </c>
    </row>
    <row r="4" spans="1:19" ht="14.4" x14ac:dyDescent="0.3">
      <c r="A4" s="20" t="s">
        <v>166</v>
      </c>
      <c r="B4" s="20" t="s">
        <v>167</v>
      </c>
      <c r="C4" s="22" t="s">
        <v>125</v>
      </c>
      <c r="D4" s="20">
        <v>1</v>
      </c>
      <c r="E4" s="20"/>
      <c r="F4" s="20"/>
      <c r="G4" s="20"/>
      <c r="H4" s="20"/>
      <c r="I4" s="20"/>
      <c r="J4" s="20">
        <v>1</v>
      </c>
      <c r="K4" s="20" t="s">
        <v>60</v>
      </c>
      <c r="L4" s="21" t="s">
        <v>43</v>
      </c>
      <c r="M4" s="21" t="s">
        <v>42</v>
      </c>
      <c r="N4" s="21" t="s">
        <v>37</v>
      </c>
      <c r="O4" s="21" t="s">
        <v>37</v>
      </c>
      <c r="P4" s="21">
        <v>80</v>
      </c>
      <c r="Q4" s="21">
        <v>0.2</v>
      </c>
      <c r="R4" s="21">
        <v>0</v>
      </c>
      <c r="S4" s="21">
        <v>0.8</v>
      </c>
    </row>
    <row r="5" spans="1:19" ht="14.4" x14ac:dyDescent="0.3">
      <c r="A5" s="20" t="s">
        <v>150</v>
      </c>
      <c r="B5" s="20" t="s">
        <v>151</v>
      </c>
      <c r="C5" s="20" t="s">
        <v>125</v>
      </c>
      <c r="D5" s="20"/>
      <c r="E5" s="20"/>
      <c r="F5" s="20">
        <v>1</v>
      </c>
      <c r="G5" s="20">
        <v>1</v>
      </c>
      <c r="H5" s="20"/>
      <c r="I5" s="20"/>
      <c r="J5" s="20">
        <v>2</v>
      </c>
      <c r="K5" s="20" t="s">
        <v>60</v>
      </c>
      <c r="L5" s="21" t="s">
        <v>43</v>
      </c>
      <c r="M5" s="21" t="s">
        <v>42</v>
      </c>
      <c r="N5" s="21" t="s">
        <v>37</v>
      </c>
      <c r="O5" s="21" t="s">
        <v>37</v>
      </c>
      <c r="P5" s="21">
        <v>80</v>
      </c>
      <c r="Q5" s="21">
        <v>0.4</v>
      </c>
      <c r="R5" s="21">
        <v>0</v>
      </c>
      <c r="S5" s="21">
        <v>1.6</v>
      </c>
    </row>
    <row r="6" spans="1:19" ht="14.4" x14ac:dyDescent="0.3">
      <c r="A6" s="20" t="s">
        <v>140</v>
      </c>
      <c r="B6" s="20" t="s">
        <v>141</v>
      </c>
      <c r="C6" s="20" t="s">
        <v>125</v>
      </c>
      <c r="D6" s="20"/>
      <c r="E6" s="20"/>
      <c r="F6" s="20">
        <v>1</v>
      </c>
      <c r="G6" s="20"/>
      <c r="H6" s="20"/>
      <c r="I6" s="20"/>
      <c r="J6" s="20">
        <v>1</v>
      </c>
      <c r="K6" s="20" t="s">
        <v>60</v>
      </c>
      <c r="L6" s="21" t="s">
        <v>43</v>
      </c>
      <c r="M6" s="21" t="s">
        <v>42</v>
      </c>
      <c r="N6" s="21" t="s">
        <v>37</v>
      </c>
      <c r="O6" s="21" t="s">
        <v>37</v>
      </c>
      <c r="P6" s="21">
        <v>80</v>
      </c>
      <c r="Q6" s="21">
        <v>0.2</v>
      </c>
      <c r="R6" s="21">
        <v>0</v>
      </c>
      <c r="S6" s="21">
        <v>0.8</v>
      </c>
    </row>
    <row r="7" spans="1:19" ht="14.4" x14ac:dyDescent="0.3">
      <c r="A7" s="20" t="s">
        <v>162</v>
      </c>
      <c r="B7" s="20" t="s">
        <v>163</v>
      </c>
      <c r="C7" s="20" t="s">
        <v>125</v>
      </c>
      <c r="D7" s="20"/>
      <c r="E7" s="20"/>
      <c r="F7" s="20">
        <v>1</v>
      </c>
      <c r="G7" s="20"/>
      <c r="H7" s="20">
        <v>1</v>
      </c>
      <c r="I7" s="20"/>
      <c r="J7" s="20">
        <v>2</v>
      </c>
      <c r="K7" s="20" t="s">
        <v>60</v>
      </c>
      <c r="L7" s="21" t="s">
        <v>43</v>
      </c>
      <c r="M7" s="21" t="s">
        <v>42</v>
      </c>
      <c r="N7" s="21" t="s">
        <v>37</v>
      </c>
      <c r="O7" s="21" t="s">
        <v>37</v>
      </c>
      <c r="P7" s="21">
        <v>80</v>
      </c>
      <c r="Q7" s="21">
        <v>0.4</v>
      </c>
      <c r="R7" s="21">
        <v>0</v>
      </c>
      <c r="S7" s="21">
        <v>1.6</v>
      </c>
    </row>
    <row r="8" spans="1:19" ht="14.4" x14ac:dyDescent="0.3">
      <c r="A8" s="20" t="s">
        <v>296</v>
      </c>
      <c r="B8" s="20" t="s">
        <v>297</v>
      </c>
      <c r="C8" s="20" t="s">
        <v>125</v>
      </c>
      <c r="D8" s="20"/>
      <c r="E8" s="20"/>
      <c r="F8" s="20"/>
      <c r="G8" s="20"/>
      <c r="H8" s="20">
        <v>1</v>
      </c>
      <c r="I8" s="20"/>
      <c r="J8" s="20">
        <v>1</v>
      </c>
      <c r="K8" s="20" t="s">
        <v>60</v>
      </c>
      <c r="L8" s="21">
        <v>0</v>
      </c>
      <c r="M8" s="21">
        <v>0</v>
      </c>
      <c r="N8" s="21" t="s">
        <v>37</v>
      </c>
      <c r="O8" s="21" t="s">
        <v>37</v>
      </c>
      <c r="P8" s="21">
        <v>100</v>
      </c>
      <c r="Q8" s="21">
        <v>0</v>
      </c>
      <c r="R8" s="21">
        <v>0</v>
      </c>
      <c r="S8" s="21">
        <v>1</v>
      </c>
    </row>
    <row r="9" spans="1:19" ht="14.4" x14ac:dyDescent="0.3">
      <c r="A9" s="20" t="s">
        <v>138</v>
      </c>
      <c r="B9" s="20" t="s">
        <v>139</v>
      </c>
      <c r="C9" s="20" t="s">
        <v>125</v>
      </c>
      <c r="D9" s="20"/>
      <c r="E9" s="20"/>
      <c r="F9" s="20"/>
      <c r="G9" s="20">
        <v>1</v>
      </c>
      <c r="H9" s="20"/>
      <c r="I9" s="20"/>
      <c r="J9" s="20">
        <v>1</v>
      </c>
      <c r="K9" s="20" t="s">
        <v>60</v>
      </c>
      <c r="L9" s="21" t="s">
        <v>43</v>
      </c>
      <c r="M9" s="21" t="s">
        <v>42</v>
      </c>
      <c r="N9" s="21" t="s">
        <v>40</v>
      </c>
      <c r="O9" s="21" t="s">
        <v>39</v>
      </c>
      <c r="P9" s="21">
        <v>70</v>
      </c>
      <c r="Q9" s="21">
        <v>0.2</v>
      </c>
      <c r="R9" s="21">
        <v>0.1</v>
      </c>
      <c r="S9" s="21">
        <v>0.7</v>
      </c>
    </row>
    <row r="10" spans="1:19" ht="14.4" x14ac:dyDescent="0.3">
      <c r="A10" s="20" t="s">
        <v>136</v>
      </c>
      <c r="B10" s="20" t="s">
        <v>137</v>
      </c>
      <c r="C10" s="20" t="s">
        <v>125</v>
      </c>
      <c r="D10" s="20"/>
      <c r="E10" s="20"/>
      <c r="F10" s="20"/>
      <c r="G10" s="20"/>
      <c r="H10" s="20"/>
      <c r="I10" s="20">
        <v>1</v>
      </c>
      <c r="J10" s="20">
        <v>1</v>
      </c>
      <c r="K10" s="20" t="s">
        <v>60</v>
      </c>
      <c r="L10" s="21" t="s">
        <v>43</v>
      </c>
      <c r="M10" s="21" t="s">
        <v>36</v>
      </c>
      <c r="N10" s="21" t="s">
        <v>37</v>
      </c>
      <c r="O10" s="21" t="s">
        <v>37</v>
      </c>
      <c r="P10" s="21">
        <v>50</v>
      </c>
      <c r="Q10" s="21">
        <v>0.5</v>
      </c>
      <c r="R10" s="21">
        <v>0</v>
      </c>
      <c r="S10" s="21">
        <v>0.5</v>
      </c>
    </row>
    <row r="11" spans="1:19" ht="14.4" x14ac:dyDescent="0.3">
      <c r="A11" s="20" t="s">
        <v>148</v>
      </c>
      <c r="B11" s="20" t="s">
        <v>149</v>
      </c>
      <c r="C11" s="20" t="s">
        <v>125</v>
      </c>
      <c r="D11" s="20">
        <v>1</v>
      </c>
      <c r="E11" s="20"/>
      <c r="F11" s="20">
        <v>1</v>
      </c>
      <c r="G11" s="20"/>
      <c r="H11" s="20"/>
      <c r="I11" s="20"/>
      <c r="J11" s="20">
        <v>2</v>
      </c>
      <c r="K11" s="20" t="s">
        <v>60</v>
      </c>
      <c r="L11" s="21" t="s">
        <v>43</v>
      </c>
      <c r="M11" s="21" t="s">
        <v>42</v>
      </c>
      <c r="N11" s="21" t="s">
        <v>37</v>
      </c>
      <c r="O11" s="21" t="s">
        <v>37</v>
      </c>
      <c r="P11" s="21">
        <v>80</v>
      </c>
      <c r="Q11" s="21">
        <v>0.4</v>
      </c>
      <c r="R11" s="21">
        <v>0</v>
      </c>
      <c r="S11" s="21">
        <v>1.6</v>
      </c>
    </row>
    <row r="12" spans="1:19" ht="14.4" x14ac:dyDescent="0.3">
      <c r="A12" s="20" t="s">
        <v>131</v>
      </c>
      <c r="B12" s="20" t="s">
        <v>132</v>
      </c>
      <c r="C12" s="20" t="s">
        <v>125</v>
      </c>
      <c r="D12" s="20"/>
      <c r="E12" s="20">
        <v>1</v>
      </c>
      <c r="F12" s="20">
        <v>1</v>
      </c>
      <c r="G12" s="20"/>
      <c r="H12" s="20"/>
      <c r="I12" s="20"/>
      <c r="J12" s="20">
        <v>2</v>
      </c>
      <c r="K12" s="20" t="s">
        <v>60</v>
      </c>
      <c r="L12" s="21" t="s">
        <v>43</v>
      </c>
      <c r="M12" s="21" t="s">
        <v>42</v>
      </c>
      <c r="N12" s="21" t="s">
        <v>37</v>
      </c>
      <c r="O12" s="21" t="s">
        <v>37</v>
      </c>
      <c r="P12" s="21">
        <v>80</v>
      </c>
      <c r="Q12" s="21">
        <v>0.4</v>
      </c>
      <c r="R12" s="21">
        <v>0</v>
      </c>
      <c r="S12" s="21">
        <v>1.6</v>
      </c>
    </row>
    <row r="13" spans="1:19" ht="14.4" x14ac:dyDescent="0.3">
      <c r="A13" s="58" t="s">
        <v>158</v>
      </c>
      <c r="B13" s="58" t="s">
        <v>159</v>
      </c>
      <c r="C13" s="59" t="s">
        <v>125</v>
      </c>
      <c r="D13" s="58"/>
      <c r="E13" s="58"/>
      <c r="F13" s="58">
        <v>2</v>
      </c>
      <c r="G13" s="58"/>
      <c r="H13" s="58"/>
      <c r="I13" s="58"/>
      <c r="J13" s="20">
        <v>2</v>
      </c>
      <c r="K13" s="20" t="s">
        <v>60</v>
      </c>
      <c r="L13" s="21" t="s">
        <v>43</v>
      </c>
      <c r="M13" s="21" t="s">
        <v>42</v>
      </c>
      <c r="N13" s="21" t="s">
        <v>40</v>
      </c>
      <c r="O13" s="21" t="s">
        <v>39</v>
      </c>
      <c r="P13" s="21">
        <v>70</v>
      </c>
      <c r="Q13" s="21">
        <v>0.4</v>
      </c>
      <c r="R13" s="21">
        <v>0.2</v>
      </c>
      <c r="S13" s="21">
        <v>1.4</v>
      </c>
    </row>
    <row r="14" spans="1:19" ht="14.4" x14ac:dyDescent="0.3">
      <c r="A14" s="20" t="s">
        <v>135</v>
      </c>
      <c r="B14" s="20" t="s">
        <v>533</v>
      </c>
      <c r="C14" s="20" t="s">
        <v>125</v>
      </c>
      <c r="D14" s="20"/>
      <c r="E14" s="20"/>
      <c r="F14" s="20">
        <v>1</v>
      </c>
      <c r="G14" s="20"/>
      <c r="H14" s="20"/>
      <c r="I14" s="20">
        <v>1</v>
      </c>
      <c r="J14" s="20">
        <v>2</v>
      </c>
      <c r="K14" s="20" t="s">
        <v>60</v>
      </c>
      <c r="L14" s="21" t="s">
        <v>43</v>
      </c>
      <c r="M14" s="21" t="s">
        <v>42</v>
      </c>
      <c r="N14" s="21" t="s">
        <v>37</v>
      </c>
      <c r="O14" s="21" t="s">
        <v>37</v>
      </c>
      <c r="P14" s="21">
        <v>80</v>
      </c>
      <c r="Q14" s="21">
        <v>0.4</v>
      </c>
      <c r="R14" s="21">
        <v>0</v>
      </c>
      <c r="S14" s="21">
        <v>1.6</v>
      </c>
    </row>
    <row r="15" spans="1:19" ht="14.4" x14ac:dyDescent="0.3">
      <c r="A15" s="20" t="s">
        <v>164</v>
      </c>
      <c r="B15" s="20" t="s">
        <v>165</v>
      </c>
      <c r="C15" s="20" t="s">
        <v>125</v>
      </c>
      <c r="D15" s="20"/>
      <c r="E15" s="20"/>
      <c r="F15" s="20"/>
      <c r="G15" s="20"/>
      <c r="H15" s="20">
        <v>1</v>
      </c>
      <c r="I15" s="20"/>
      <c r="J15" s="20">
        <v>1</v>
      </c>
      <c r="K15" s="20" t="s">
        <v>60</v>
      </c>
      <c r="L15" s="21" t="s">
        <v>43</v>
      </c>
      <c r="M15" s="21" t="s">
        <v>42</v>
      </c>
      <c r="N15" s="21" t="s">
        <v>37</v>
      </c>
      <c r="O15" s="21" t="s">
        <v>37</v>
      </c>
      <c r="P15" s="21">
        <v>80</v>
      </c>
      <c r="Q15" s="21">
        <v>0.2</v>
      </c>
      <c r="R15" s="21">
        <v>0</v>
      </c>
      <c r="S15" s="21">
        <v>0.8</v>
      </c>
    </row>
    <row r="16" spans="1:19" ht="14.4" x14ac:dyDescent="0.3">
      <c r="A16" s="20" t="s">
        <v>156</v>
      </c>
      <c r="B16" s="20" t="s">
        <v>157</v>
      </c>
      <c r="C16" s="20" t="s">
        <v>125</v>
      </c>
      <c r="D16" s="20"/>
      <c r="E16" s="20"/>
      <c r="F16" s="20">
        <v>2</v>
      </c>
      <c r="G16" s="20"/>
      <c r="H16" s="20"/>
      <c r="I16" s="20"/>
      <c r="J16" s="20">
        <v>2</v>
      </c>
      <c r="K16" s="20" t="s">
        <v>60</v>
      </c>
      <c r="L16" s="21" t="s">
        <v>43</v>
      </c>
      <c r="M16" s="21" t="s">
        <v>42</v>
      </c>
      <c r="N16" s="21" t="s">
        <v>37</v>
      </c>
      <c r="O16" s="21" t="s">
        <v>37</v>
      </c>
      <c r="P16" s="21">
        <v>80</v>
      </c>
      <c r="Q16" s="21">
        <v>0.4</v>
      </c>
      <c r="R16" s="21">
        <v>0</v>
      </c>
      <c r="S16" s="21">
        <v>1.6</v>
      </c>
    </row>
    <row r="17" spans="1:19" ht="14.4" x14ac:dyDescent="0.3">
      <c r="A17" s="20" t="s">
        <v>152</v>
      </c>
      <c r="B17" s="20" t="s">
        <v>153</v>
      </c>
      <c r="C17" s="22" t="s">
        <v>126</v>
      </c>
      <c r="D17" s="20"/>
      <c r="E17" s="20">
        <v>1</v>
      </c>
      <c r="F17" s="20"/>
      <c r="G17" s="20"/>
      <c r="H17" s="20"/>
      <c r="I17" s="20">
        <v>1</v>
      </c>
      <c r="J17" s="20">
        <v>2</v>
      </c>
      <c r="K17" s="20" t="s">
        <v>60</v>
      </c>
      <c r="L17" s="21" t="s">
        <v>43</v>
      </c>
      <c r="M17" s="21" t="s">
        <v>42</v>
      </c>
      <c r="N17" s="21" t="s">
        <v>37</v>
      </c>
      <c r="O17" s="21" t="s">
        <v>37</v>
      </c>
      <c r="P17" s="21">
        <v>80</v>
      </c>
      <c r="Q17" s="21">
        <v>0.4</v>
      </c>
      <c r="R17" s="21">
        <v>0</v>
      </c>
      <c r="S17" s="21">
        <v>1.6</v>
      </c>
    </row>
    <row r="18" spans="1:19" ht="14.4" x14ac:dyDescent="0.3">
      <c r="A18" s="20" t="s">
        <v>160</v>
      </c>
      <c r="B18" s="20" t="s">
        <v>161</v>
      </c>
      <c r="C18" s="20" t="s">
        <v>125</v>
      </c>
      <c r="D18" s="20">
        <v>1</v>
      </c>
      <c r="E18" s="20"/>
      <c r="F18" s="20"/>
      <c r="G18" s="20"/>
      <c r="H18" s="20"/>
      <c r="I18" s="20"/>
      <c r="J18" s="20">
        <v>1</v>
      </c>
      <c r="K18" s="20" t="s">
        <v>60</v>
      </c>
      <c r="L18" s="21" t="s">
        <v>43</v>
      </c>
      <c r="M18" s="21" t="s">
        <v>42</v>
      </c>
      <c r="N18" s="21" t="s">
        <v>37</v>
      </c>
      <c r="O18" s="21" t="s">
        <v>37</v>
      </c>
      <c r="P18" s="21">
        <v>80</v>
      </c>
      <c r="Q18" s="21">
        <v>0.2</v>
      </c>
      <c r="R18" s="21">
        <v>0</v>
      </c>
      <c r="S18" s="21">
        <v>0.8</v>
      </c>
    </row>
    <row r="19" spans="1:19" ht="14.4" x14ac:dyDescent="0.3">
      <c r="A19" s="20" t="s">
        <v>295</v>
      </c>
      <c r="B19" s="20" t="s">
        <v>294</v>
      </c>
      <c r="C19" s="20" t="s">
        <v>125</v>
      </c>
      <c r="D19" s="20"/>
      <c r="E19" s="20"/>
      <c r="F19" s="20"/>
      <c r="G19" s="20"/>
      <c r="H19" s="20">
        <v>1</v>
      </c>
      <c r="I19" s="20"/>
      <c r="J19" s="20">
        <v>1</v>
      </c>
      <c r="K19" s="20" t="s">
        <v>60</v>
      </c>
      <c r="L19" s="21" t="s">
        <v>43</v>
      </c>
      <c r="M19" s="21" t="s">
        <v>42</v>
      </c>
      <c r="N19" s="21" t="s">
        <v>37</v>
      </c>
      <c r="O19" s="21" t="s">
        <v>37</v>
      </c>
      <c r="P19" s="21">
        <v>80</v>
      </c>
      <c r="Q19" s="21">
        <v>0.2</v>
      </c>
      <c r="R19" s="21">
        <v>0</v>
      </c>
      <c r="S19" s="21">
        <v>0.8</v>
      </c>
    </row>
    <row r="20" spans="1:19" ht="14.4" x14ac:dyDescent="0.3">
      <c r="A20" s="20" t="s">
        <v>129</v>
      </c>
      <c r="B20" s="20" t="s">
        <v>130</v>
      </c>
      <c r="C20" s="20" t="s">
        <v>126</v>
      </c>
      <c r="D20" s="20">
        <v>1</v>
      </c>
      <c r="E20" s="20"/>
      <c r="F20" s="20"/>
      <c r="G20" s="20"/>
      <c r="H20" s="20"/>
      <c r="I20" s="20"/>
      <c r="J20" s="20">
        <v>1</v>
      </c>
      <c r="K20" s="20" t="s">
        <v>60</v>
      </c>
      <c r="L20" s="21" t="s">
        <v>43</v>
      </c>
      <c r="M20" s="21" t="s">
        <v>42</v>
      </c>
      <c r="N20" s="21" t="s">
        <v>37</v>
      </c>
      <c r="O20" s="21" t="s">
        <v>37</v>
      </c>
      <c r="P20" s="21">
        <v>80</v>
      </c>
      <c r="Q20" s="21">
        <v>0.2</v>
      </c>
      <c r="R20" s="21">
        <v>0</v>
      </c>
      <c r="S20" s="21">
        <v>0.8</v>
      </c>
    </row>
    <row r="21" spans="1:19" ht="14.4" x14ac:dyDescent="0.3">
      <c r="A21" s="20" t="s">
        <v>142</v>
      </c>
      <c r="B21" s="20" t="s">
        <v>143</v>
      </c>
      <c r="C21" s="20" t="s">
        <v>125</v>
      </c>
      <c r="D21" s="20"/>
      <c r="E21" s="20">
        <v>2</v>
      </c>
      <c r="F21" s="20"/>
      <c r="G21" s="20"/>
      <c r="H21" s="20"/>
      <c r="I21" s="20">
        <v>1</v>
      </c>
      <c r="J21" s="20">
        <v>3</v>
      </c>
      <c r="K21" s="20" t="s">
        <v>60</v>
      </c>
      <c r="L21" s="21" t="s">
        <v>43</v>
      </c>
      <c r="M21" s="21" t="s">
        <v>42</v>
      </c>
      <c r="N21" s="21" t="s">
        <v>37</v>
      </c>
      <c r="O21" s="21" t="s">
        <v>37</v>
      </c>
      <c r="P21" s="21">
        <v>80</v>
      </c>
      <c r="Q21" s="21">
        <v>0.6</v>
      </c>
      <c r="R21" s="21">
        <v>0</v>
      </c>
      <c r="S21" s="21">
        <v>2.4</v>
      </c>
    </row>
    <row r="22" spans="1:19" ht="14.4" x14ac:dyDescent="0.3">
      <c r="A22" s="20" t="s">
        <v>144</v>
      </c>
      <c r="B22" s="20" t="s">
        <v>145</v>
      </c>
      <c r="C22" s="20" t="s">
        <v>125</v>
      </c>
      <c r="D22" s="20"/>
      <c r="E22" s="20"/>
      <c r="F22" s="20">
        <v>1</v>
      </c>
      <c r="G22" s="20"/>
      <c r="H22" s="20">
        <v>1</v>
      </c>
      <c r="I22" s="20"/>
      <c r="J22" s="20">
        <v>2</v>
      </c>
      <c r="K22" s="20" t="s">
        <v>60</v>
      </c>
      <c r="L22" s="21" t="s">
        <v>43</v>
      </c>
      <c r="M22" s="21" t="s">
        <v>42</v>
      </c>
      <c r="N22" s="21" t="s">
        <v>37</v>
      </c>
      <c r="O22" s="21" t="s">
        <v>37</v>
      </c>
      <c r="P22" s="21">
        <v>80</v>
      </c>
      <c r="Q22" s="21">
        <v>0.4</v>
      </c>
      <c r="R22" s="21">
        <v>0</v>
      </c>
      <c r="S22" s="21">
        <v>1.6</v>
      </c>
    </row>
    <row r="23" spans="1:19" ht="14.4" x14ac:dyDescent="0.3">
      <c r="A23" s="20" t="s">
        <v>127</v>
      </c>
      <c r="B23" s="20" t="s">
        <v>128</v>
      </c>
      <c r="C23" s="20" t="s">
        <v>125</v>
      </c>
      <c r="D23" s="20"/>
      <c r="E23" s="20"/>
      <c r="F23" s="20">
        <v>2</v>
      </c>
      <c r="G23" s="20"/>
      <c r="H23" s="20"/>
      <c r="I23" s="20">
        <v>1</v>
      </c>
      <c r="J23" s="20">
        <v>3</v>
      </c>
      <c r="K23" s="20" t="s">
        <v>60</v>
      </c>
      <c r="L23" s="21" t="s">
        <v>43</v>
      </c>
      <c r="M23" s="21" t="s">
        <v>36</v>
      </c>
      <c r="N23" s="21" t="s">
        <v>37</v>
      </c>
      <c r="O23" s="21" t="s">
        <v>37</v>
      </c>
      <c r="P23" s="21">
        <v>50</v>
      </c>
      <c r="Q23" s="21">
        <v>1.5</v>
      </c>
      <c r="R23" s="21">
        <v>0</v>
      </c>
      <c r="S23" s="21">
        <v>1.5</v>
      </c>
    </row>
    <row r="24" spans="1:19" ht="14.4" x14ac:dyDescent="0.3">
      <c r="A24" s="20" t="s">
        <v>299</v>
      </c>
      <c r="B24" s="20" t="s">
        <v>300</v>
      </c>
      <c r="C24" s="20" t="s">
        <v>125</v>
      </c>
      <c r="D24" s="20"/>
      <c r="E24" s="20"/>
      <c r="F24" s="20"/>
      <c r="G24" s="20"/>
      <c r="H24" s="20">
        <v>1</v>
      </c>
      <c r="I24" s="20"/>
      <c r="J24" s="20">
        <v>1</v>
      </c>
      <c r="K24" s="20" t="s">
        <v>60</v>
      </c>
      <c r="L24" s="21" t="s">
        <v>43</v>
      </c>
      <c r="M24" s="21" t="s">
        <v>42</v>
      </c>
      <c r="N24" s="21" t="s">
        <v>37</v>
      </c>
      <c r="O24" s="21" t="s">
        <v>37</v>
      </c>
      <c r="P24" s="21">
        <v>80</v>
      </c>
      <c r="Q24" s="21">
        <v>0.2</v>
      </c>
      <c r="R24" s="21">
        <v>0</v>
      </c>
      <c r="S24" s="21">
        <v>0.8</v>
      </c>
    </row>
    <row r="25" spans="1:19" ht="14.4" x14ac:dyDescent="0.3">
      <c r="A25" s="20" t="s">
        <v>154</v>
      </c>
      <c r="B25" s="20" t="s">
        <v>155</v>
      </c>
      <c r="C25" s="22" t="s">
        <v>125</v>
      </c>
      <c r="D25" s="20"/>
      <c r="E25" s="20">
        <v>2</v>
      </c>
      <c r="F25" s="20"/>
      <c r="G25" s="20"/>
      <c r="H25" s="20">
        <v>1</v>
      </c>
      <c r="I25" s="20"/>
      <c r="J25" s="20">
        <v>3</v>
      </c>
      <c r="K25" s="20" t="s">
        <v>60</v>
      </c>
      <c r="L25" s="21" t="s">
        <v>43</v>
      </c>
      <c r="M25" s="21" t="s">
        <v>42</v>
      </c>
      <c r="N25" s="21" t="s">
        <v>37</v>
      </c>
      <c r="O25" s="21" t="s">
        <v>37</v>
      </c>
      <c r="P25" s="21">
        <v>80</v>
      </c>
      <c r="Q25" s="21">
        <v>0.6</v>
      </c>
      <c r="R25" s="21">
        <v>0</v>
      </c>
      <c r="S25" s="21">
        <v>2.4</v>
      </c>
    </row>
    <row r="26" spans="1:19" ht="14.4" x14ac:dyDescent="0.3">
      <c r="A26" s="20" t="s">
        <v>168</v>
      </c>
      <c r="B26" s="20" t="s">
        <v>169</v>
      </c>
      <c r="C26" s="22" t="s">
        <v>298</v>
      </c>
      <c r="D26" s="20"/>
      <c r="E26" s="20"/>
      <c r="F26" s="20"/>
      <c r="G26" s="20"/>
      <c r="H26" s="20"/>
      <c r="I26" s="20">
        <v>1</v>
      </c>
      <c r="J26" s="20">
        <v>1</v>
      </c>
      <c r="K26" s="20" t="s">
        <v>60</v>
      </c>
      <c r="L26" s="21" t="s">
        <v>43</v>
      </c>
      <c r="M26" s="21" t="s">
        <v>42</v>
      </c>
      <c r="N26" s="21" t="s">
        <v>37</v>
      </c>
      <c r="O26" s="21" t="s">
        <v>37</v>
      </c>
      <c r="P26" s="21">
        <v>80</v>
      </c>
      <c r="Q26" s="21">
        <v>0.2</v>
      </c>
      <c r="R26" s="21">
        <v>0</v>
      </c>
      <c r="S26" s="21">
        <v>0.8</v>
      </c>
    </row>
    <row r="27" spans="1:19" x14ac:dyDescent="0.25">
      <c r="A27" s="60"/>
      <c r="B27" s="60"/>
      <c r="C27" s="60"/>
      <c r="D27" s="60"/>
      <c r="E27" s="60"/>
      <c r="F27" s="60"/>
      <c r="G27" s="60"/>
      <c r="H27" s="60"/>
      <c r="I27" s="60"/>
      <c r="J27" s="60"/>
      <c r="K27" s="60"/>
      <c r="L27" s="60"/>
      <c r="M27" s="60"/>
      <c r="N27" s="61"/>
      <c r="O27" s="60"/>
      <c r="P27" s="61"/>
      <c r="Q27" s="60"/>
      <c r="R27" s="60"/>
      <c r="S27" s="62">
        <f>SUM(S2:S26)</f>
        <v>31.500000000000004</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7"/>
  <sheetViews>
    <sheetView topLeftCell="A85" zoomScaleNormal="100" workbookViewId="0">
      <selection activeCell="A113" sqref="A113:C114"/>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170</v>
      </c>
      <c r="B2" s="5"/>
    </row>
    <row r="3" spans="1:2" x14ac:dyDescent="0.2">
      <c r="A3" s="4" t="s">
        <v>171</v>
      </c>
      <c r="B3" s="5">
        <v>2300</v>
      </c>
    </row>
    <row r="4" spans="1:2" x14ac:dyDescent="0.2">
      <c r="A4" s="4" t="s">
        <v>172</v>
      </c>
      <c r="B4" s="5">
        <v>1450</v>
      </c>
    </row>
    <row r="5" spans="1:2" x14ac:dyDescent="0.2">
      <c r="A5" s="4" t="s">
        <v>173</v>
      </c>
      <c r="B5" s="5">
        <v>500</v>
      </c>
    </row>
    <row r="6" spans="1:2" x14ac:dyDescent="0.2">
      <c r="A6" s="4" t="s">
        <v>3</v>
      </c>
      <c r="B6" s="5"/>
    </row>
    <row r="7" spans="1:2" x14ac:dyDescent="0.2">
      <c r="A7" s="4" t="s">
        <v>174</v>
      </c>
      <c r="B7" s="5">
        <v>3000</v>
      </c>
    </row>
    <row r="8" spans="1:2" x14ac:dyDescent="0.2">
      <c r="A8" s="4" t="s">
        <v>4</v>
      </c>
      <c r="B8" s="5"/>
    </row>
    <row r="9" spans="1:2" x14ac:dyDescent="0.2">
      <c r="A9" s="4" t="s">
        <v>175</v>
      </c>
      <c r="B9" s="5">
        <v>100</v>
      </c>
    </row>
    <row r="10" spans="1:2" x14ac:dyDescent="0.2">
      <c r="A10" s="4" t="s">
        <v>5</v>
      </c>
      <c r="B10" s="5"/>
    </row>
    <row r="11" spans="1:2" x14ac:dyDescent="0.2">
      <c r="A11" s="4" t="s">
        <v>176</v>
      </c>
      <c r="B11" s="5">
        <v>5000</v>
      </c>
    </row>
    <row r="12" spans="1:2" x14ac:dyDescent="0.2">
      <c r="A12" s="4" t="s">
        <v>7</v>
      </c>
      <c r="B12" s="5"/>
    </row>
    <row r="13" spans="1:2" x14ac:dyDescent="0.2">
      <c r="A13" s="4" t="s">
        <v>177</v>
      </c>
      <c r="B13" s="5">
        <v>2.1800000000000002</v>
      </c>
    </row>
    <row r="14" spans="1:2" x14ac:dyDescent="0.2">
      <c r="A14" s="4" t="s">
        <v>178</v>
      </c>
      <c r="B14" s="5">
        <v>26.21</v>
      </c>
    </row>
    <row r="15" spans="1:2" x14ac:dyDescent="0.2">
      <c r="A15" s="4" t="s">
        <v>179</v>
      </c>
      <c r="B15" s="5"/>
    </row>
    <row r="16" spans="1:2" x14ac:dyDescent="0.2">
      <c r="A16" s="4" t="s">
        <v>180</v>
      </c>
      <c r="B16" s="5">
        <v>215</v>
      </c>
    </row>
    <row r="17" spans="1:2" x14ac:dyDescent="0.2">
      <c r="A17" s="4" t="s">
        <v>177</v>
      </c>
      <c r="B17" s="5">
        <v>0.19</v>
      </c>
    </row>
    <row r="18" spans="1:2" x14ac:dyDescent="0.2">
      <c r="A18" s="4" t="s">
        <v>178</v>
      </c>
      <c r="B18" s="5">
        <v>2.38</v>
      </c>
    </row>
    <row r="19" spans="1:2" x14ac:dyDescent="0.2">
      <c r="A19" s="4" t="s">
        <v>8</v>
      </c>
      <c r="B19" s="5"/>
    </row>
    <row r="20" spans="1:2" x14ac:dyDescent="0.2">
      <c r="A20" s="4" t="s">
        <v>177</v>
      </c>
      <c r="B20" s="5">
        <v>5.38</v>
      </c>
    </row>
    <row r="21" spans="1:2" x14ac:dyDescent="0.2">
      <c r="A21" s="4" t="s">
        <v>178</v>
      </c>
      <c r="B21" s="5">
        <v>131.01</v>
      </c>
    </row>
    <row r="22" spans="1:2" x14ac:dyDescent="0.2">
      <c r="A22" s="4" t="s">
        <v>181</v>
      </c>
      <c r="B22" s="5">
        <v>10.53</v>
      </c>
    </row>
    <row r="23" spans="1:2" x14ac:dyDescent="0.2">
      <c r="A23" s="4" t="s">
        <v>182</v>
      </c>
      <c r="B23" s="5"/>
    </row>
    <row r="24" spans="1:2" x14ac:dyDescent="0.2">
      <c r="A24" s="4" t="s">
        <v>183</v>
      </c>
      <c r="B24" s="5">
        <v>215</v>
      </c>
    </row>
    <row r="25" spans="1:2" x14ac:dyDescent="0.2">
      <c r="A25" s="4" t="s">
        <v>178</v>
      </c>
      <c r="B25" s="5">
        <v>2.38</v>
      </c>
    </row>
    <row r="26" spans="1:2" x14ac:dyDescent="0.2">
      <c r="A26" s="4" t="s">
        <v>184</v>
      </c>
      <c r="B26" s="5">
        <v>0.19</v>
      </c>
    </row>
    <row r="27" spans="1:2" x14ac:dyDescent="0.2">
      <c r="A27" s="4" t="s">
        <v>185</v>
      </c>
      <c r="B27" s="5"/>
    </row>
    <row r="28" spans="1:2" x14ac:dyDescent="0.2">
      <c r="A28" s="4" t="s">
        <v>186</v>
      </c>
      <c r="B28" s="5">
        <v>215</v>
      </c>
    </row>
    <row r="29" spans="1:2" x14ac:dyDescent="0.2">
      <c r="A29" s="4" t="s">
        <v>178</v>
      </c>
      <c r="B29" s="5">
        <v>2.38</v>
      </c>
    </row>
    <row r="30" spans="1:2" x14ac:dyDescent="0.2">
      <c r="A30" s="4" t="s">
        <v>184</v>
      </c>
      <c r="B30" s="5">
        <v>0.19</v>
      </c>
    </row>
    <row r="31" spans="1:2" x14ac:dyDescent="0.2">
      <c r="A31" s="4" t="s">
        <v>187</v>
      </c>
      <c r="B31" s="5"/>
    </row>
    <row r="32" spans="1:2" x14ac:dyDescent="0.2">
      <c r="A32" s="4" t="s">
        <v>188</v>
      </c>
      <c r="B32" s="5">
        <v>11107.95</v>
      </c>
    </row>
    <row r="33" spans="1:2" x14ac:dyDescent="0.2">
      <c r="A33" s="4" t="s">
        <v>189</v>
      </c>
      <c r="B33" s="5">
        <v>11107.95</v>
      </c>
    </row>
    <row r="34" spans="1:2" x14ac:dyDescent="0.2">
      <c r="A34" s="4" t="s">
        <v>190</v>
      </c>
      <c r="B34" s="5">
        <v>11107.95</v>
      </c>
    </row>
    <row r="35" spans="1:2" x14ac:dyDescent="0.2">
      <c r="A35" s="4" t="s">
        <v>191</v>
      </c>
      <c r="B35" s="5">
        <v>7514.21</v>
      </c>
    </row>
    <row r="36" spans="1:2" x14ac:dyDescent="0.2">
      <c r="A36" s="4" t="s">
        <v>192</v>
      </c>
      <c r="B36" s="5"/>
    </row>
    <row r="37" spans="1:2" x14ac:dyDescent="0.2">
      <c r="A37" s="4" t="s">
        <v>193</v>
      </c>
      <c r="B37" s="5">
        <v>800</v>
      </c>
    </row>
    <row r="38" spans="1:2" x14ac:dyDescent="0.2">
      <c r="A38" s="4" t="s">
        <v>194</v>
      </c>
      <c r="B38" s="5"/>
    </row>
    <row r="39" spans="1:2" x14ac:dyDescent="0.2">
      <c r="A39" s="4" t="s">
        <v>195</v>
      </c>
      <c r="B39" s="5">
        <v>800</v>
      </c>
    </row>
    <row r="40" spans="1:2" x14ac:dyDescent="0.2">
      <c r="A40" s="4" t="s">
        <v>196</v>
      </c>
      <c r="B40" s="5"/>
    </row>
    <row r="41" spans="1:2" x14ac:dyDescent="0.2">
      <c r="A41" s="4" t="s">
        <v>197</v>
      </c>
      <c r="B41" s="5">
        <v>1000</v>
      </c>
    </row>
    <row r="42" spans="1:2" x14ac:dyDescent="0.2">
      <c r="A42" s="4" t="s">
        <v>198</v>
      </c>
      <c r="B42" s="5"/>
    </row>
    <row r="43" spans="1:2" x14ac:dyDescent="0.2">
      <c r="A43" s="4" t="s">
        <v>199</v>
      </c>
      <c r="B43" s="5">
        <v>800</v>
      </c>
    </row>
    <row r="44" spans="1:2" x14ac:dyDescent="0.2">
      <c r="A44" s="4" t="s">
        <v>200</v>
      </c>
      <c r="B44" s="5"/>
    </row>
    <row r="45" spans="1:2" x14ac:dyDescent="0.2">
      <c r="A45" s="4" t="s">
        <v>201</v>
      </c>
      <c r="B45" s="5">
        <v>430</v>
      </c>
    </row>
    <row r="46" spans="1:2" x14ac:dyDescent="0.2">
      <c r="A46" s="4" t="s">
        <v>178</v>
      </c>
      <c r="B46" s="5">
        <v>4.8600000000000003</v>
      </c>
    </row>
    <row r="47" spans="1:2" x14ac:dyDescent="0.2">
      <c r="A47" s="4" t="s">
        <v>184</v>
      </c>
      <c r="B47" s="5">
        <v>0.36</v>
      </c>
    </row>
    <row r="48" spans="1:2" x14ac:dyDescent="0.2">
      <c r="A48" s="4" t="s">
        <v>202</v>
      </c>
      <c r="B48" s="5"/>
    </row>
    <row r="49" spans="1:2" x14ac:dyDescent="0.2">
      <c r="A49" s="4" t="s">
        <v>203</v>
      </c>
      <c r="B49" s="5">
        <v>800</v>
      </c>
    </row>
    <row r="50" spans="1:2" x14ac:dyDescent="0.2">
      <c r="A50" s="4" t="s">
        <v>204</v>
      </c>
      <c r="B50" s="5"/>
    </row>
    <row r="51" spans="1:2" x14ac:dyDescent="0.2">
      <c r="A51" s="4" t="s">
        <v>205</v>
      </c>
      <c r="B51" s="5">
        <v>500</v>
      </c>
    </row>
    <row r="52" spans="1:2" x14ac:dyDescent="0.2">
      <c r="A52" s="4" t="s">
        <v>206</v>
      </c>
      <c r="B52" s="5"/>
    </row>
    <row r="53" spans="1:2" x14ac:dyDescent="0.2">
      <c r="A53" s="4" t="s">
        <v>207</v>
      </c>
      <c r="B53" s="5">
        <v>800</v>
      </c>
    </row>
    <row r="54" spans="1:2" x14ac:dyDescent="0.2">
      <c r="A54" s="4" t="s">
        <v>208</v>
      </c>
      <c r="B54" s="5"/>
    </row>
    <row r="55" spans="1:2" x14ac:dyDescent="0.2">
      <c r="A55" s="4" t="s">
        <v>209</v>
      </c>
      <c r="B55" s="5">
        <v>650</v>
      </c>
    </row>
    <row r="56" spans="1:2" x14ac:dyDescent="0.2">
      <c r="A56" s="4" t="s">
        <v>210</v>
      </c>
      <c r="B56" s="5"/>
    </row>
    <row r="57" spans="1:2" x14ac:dyDescent="0.2">
      <c r="A57" s="4" t="s">
        <v>211</v>
      </c>
      <c r="B57" s="5">
        <v>650</v>
      </c>
    </row>
    <row r="58" spans="1:2" x14ac:dyDescent="0.2">
      <c r="A58" s="4" t="s">
        <v>212</v>
      </c>
      <c r="B58" s="5"/>
    </row>
    <row r="59" spans="1:2" x14ac:dyDescent="0.2">
      <c r="A59" s="4" t="s">
        <v>213</v>
      </c>
      <c r="B59" s="5">
        <v>950</v>
      </c>
    </row>
    <row r="60" spans="1:2" x14ac:dyDescent="0.2">
      <c r="A60" s="4" t="s">
        <v>214</v>
      </c>
      <c r="B60" s="5"/>
    </row>
    <row r="61" spans="1:2" x14ac:dyDescent="0.2">
      <c r="A61" s="4" t="s">
        <v>215</v>
      </c>
      <c r="B61" s="5">
        <v>14500</v>
      </c>
    </row>
    <row r="62" spans="1:2" x14ac:dyDescent="0.2">
      <c r="A62" s="4" t="s">
        <v>216</v>
      </c>
      <c r="B62" s="5"/>
    </row>
    <row r="63" spans="1:2" x14ac:dyDescent="0.2">
      <c r="A63" s="4" t="s">
        <v>217</v>
      </c>
      <c r="B63" s="5">
        <v>400</v>
      </c>
    </row>
    <row r="64" spans="1:2" x14ac:dyDescent="0.2">
      <c r="A64" s="4" t="s">
        <v>218</v>
      </c>
      <c r="B64" s="5"/>
    </row>
    <row r="65" spans="1:2" x14ac:dyDescent="0.2">
      <c r="A65" s="4" t="s">
        <v>219</v>
      </c>
      <c r="B65" s="5">
        <v>215</v>
      </c>
    </row>
    <row r="66" spans="1:2" x14ac:dyDescent="0.2">
      <c r="A66" s="4" t="s">
        <v>220</v>
      </c>
      <c r="B66" s="5"/>
    </row>
    <row r="67" spans="1:2" x14ac:dyDescent="0.2">
      <c r="A67" s="4" t="s">
        <v>221</v>
      </c>
      <c r="B67" s="5">
        <v>215</v>
      </c>
    </row>
    <row r="68" spans="1:2" x14ac:dyDescent="0.2">
      <c r="A68" s="4" t="s">
        <v>222</v>
      </c>
      <c r="B68" s="5"/>
    </row>
    <row r="69" spans="1:2" x14ac:dyDescent="0.2">
      <c r="A69" s="4" t="s">
        <v>223</v>
      </c>
      <c r="B69" s="5">
        <v>430</v>
      </c>
    </row>
    <row r="70" spans="1:2" x14ac:dyDescent="0.2">
      <c r="A70" s="4" t="s">
        <v>224</v>
      </c>
      <c r="B70" s="5"/>
    </row>
    <row r="71" spans="1:2" x14ac:dyDescent="0.2">
      <c r="A71" s="4" t="s">
        <v>225</v>
      </c>
      <c r="B71" s="5">
        <v>430</v>
      </c>
    </row>
    <row r="72" spans="1:2" x14ac:dyDescent="0.2">
      <c r="A72" s="4" t="s">
        <v>226</v>
      </c>
      <c r="B72" s="5"/>
    </row>
    <row r="73" spans="1:2" x14ac:dyDescent="0.2">
      <c r="A73" s="4" t="s">
        <v>227</v>
      </c>
      <c r="B73" s="5">
        <v>650</v>
      </c>
    </row>
    <row r="74" spans="1:2" x14ac:dyDescent="0.2">
      <c r="A74" s="4" t="s">
        <v>228</v>
      </c>
      <c r="B74" s="5"/>
    </row>
    <row r="75" spans="1:2" x14ac:dyDescent="0.2">
      <c r="A75" s="4" t="s">
        <v>229</v>
      </c>
      <c r="B75" s="5">
        <v>650</v>
      </c>
    </row>
    <row r="76" spans="1:2" x14ac:dyDescent="0.2">
      <c r="A76" s="4" t="s">
        <v>230</v>
      </c>
      <c r="B76" s="5"/>
    </row>
    <row r="77" spans="1:2" x14ac:dyDescent="0.2">
      <c r="A77" s="4" t="s">
        <v>231</v>
      </c>
      <c r="B77" s="5">
        <v>500</v>
      </c>
    </row>
    <row r="78" spans="1:2" x14ac:dyDescent="0.2">
      <c r="A78" s="4" t="s">
        <v>232</v>
      </c>
      <c r="B78" s="5"/>
    </row>
    <row r="79" spans="1:2" x14ac:dyDescent="0.2">
      <c r="A79" s="4" t="s">
        <v>233</v>
      </c>
      <c r="B79" s="5">
        <v>650</v>
      </c>
    </row>
    <row r="80" spans="1:2" x14ac:dyDescent="0.2">
      <c r="A80" s="4" t="s">
        <v>234</v>
      </c>
      <c r="B80" s="5"/>
    </row>
    <row r="81" spans="1:2" x14ac:dyDescent="0.2">
      <c r="A81" s="4" t="s">
        <v>235</v>
      </c>
      <c r="B81" s="5">
        <v>11570.25</v>
      </c>
    </row>
    <row r="82" spans="1:2" x14ac:dyDescent="0.2">
      <c r="A82" s="4" t="s">
        <v>236</v>
      </c>
      <c r="B82" s="5"/>
    </row>
    <row r="83" spans="1:2" x14ac:dyDescent="0.2">
      <c r="A83" s="4" t="s">
        <v>237</v>
      </c>
      <c r="B83" s="5">
        <v>430</v>
      </c>
    </row>
    <row r="84" spans="1:2" x14ac:dyDescent="0.2">
      <c r="A84" s="4" t="s">
        <v>238</v>
      </c>
      <c r="B84" s="5"/>
    </row>
    <row r="85" spans="1:2" x14ac:dyDescent="0.2">
      <c r="A85" s="4" t="s">
        <v>239</v>
      </c>
      <c r="B85" s="5">
        <v>187500</v>
      </c>
    </row>
    <row r="86" spans="1:2" x14ac:dyDescent="0.2">
      <c r="A86" s="4" t="s">
        <v>240</v>
      </c>
      <c r="B86" s="5"/>
    </row>
    <row r="87" spans="1:2" x14ac:dyDescent="0.2">
      <c r="A87" s="4" t="s">
        <v>241</v>
      </c>
      <c r="B87" s="5">
        <v>430</v>
      </c>
    </row>
    <row r="88" spans="1:2" x14ac:dyDescent="0.2">
      <c r="A88" s="4" t="s">
        <v>242</v>
      </c>
      <c r="B88" s="5"/>
    </row>
    <row r="89" spans="1:2" x14ac:dyDescent="0.2">
      <c r="A89" s="4" t="s">
        <v>243</v>
      </c>
      <c r="B89" s="5">
        <v>430</v>
      </c>
    </row>
    <row r="90" spans="1:2" x14ac:dyDescent="0.2">
      <c r="A90" s="4" t="s">
        <v>244</v>
      </c>
      <c r="B90" s="5"/>
    </row>
    <row r="91" spans="1:2" x14ac:dyDescent="0.2">
      <c r="A91" s="4" t="s">
        <v>245</v>
      </c>
      <c r="B91" s="5">
        <v>650</v>
      </c>
    </row>
    <row r="92" spans="1:2" x14ac:dyDescent="0.2">
      <c r="A92" s="4" t="s">
        <v>246</v>
      </c>
      <c r="B92" s="5"/>
    </row>
    <row r="93" spans="1:2" x14ac:dyDescent="0.2">
      <c r="A93" s="4" t="s">
        <v>247</v>
      </c>
      <c r="B93" s="5">
        <v>1400</v>
      </c>
    </row>
    <row r="94" spans="1:2" x14ac:dyDescent="0.2">
      <c r="A94" s="4" t="s">
        <v>248</v>
      </c>
      <c r="B94" s="5"/>
    </row>
    <row r="95" spans="1:2" x14ac:dyDescent="0.2">
      <c r="A95" s="4" t="s">
        <v>249</v>
      </c>
      <c r="B95" s="5">
        <v>600</v>
      </c>
    </row>
    <row r="96" spans="1:2" x14ac:dyDescent="0.2">
      <c r="A96" s="4" t="s">
        <v>250</v>
      </c>
      <c r="B96" s="5"/>
    </row>
    <row r="97" spans="1:2" x14ac:dyDescent="0.2">
      <c r="A97" s="4" t="s">
        <v>251</v>
      </c>
      <c r="B97" s="5">
        <v>800</v>
      </c>
    </row>
    <row r="98" spans="1:2" x14ac:dyDescent="0.2">
      <c r="A98" s="4" t="s">
        <v>252</v>
      </c>
      <c r="B98" s="5"/>
    </row>
    <row r="99" spans="1:2" x14ac:dyDescent="0.2">
      <c r="A99" s="4" t="s">
        <v>253</v>
      </c>
      <c r="B99" s="5">
        <v>800</v>
      </c>
    </row>
    <row r="100" spans="1:2" x14ac:dyDescent="0.2">
      <c r="A100" s="4" t="s">
        <v>254</v>
      </c>
      <c r="B100" s="5"/>
    </row>
    <row r="101" spans="1:2" x14ac:dyDescent="0.2">
      <c r="A101" s="4" t="s">
        <v>255</v>
      </c>
      <c r="B101" s="5">
        <v>2750</v>
      </c>
    </row>
    <row r="102" spans="1:2" x14ac:dyDescent="0.2">
      <c r="A102" s="4" t="s">
        <v>9</v>
      </c>
      <c r="B102" s="5"/>
    </row>
    <row r="103" spans="1:2" x14ac:dyDescent="0.2">
      <c r="A103" s="4" t="s">
        <v>184</v>
      </c>
      <c r="B103" s="5">
        <v>277.36</v>
      </c>
    </row>
    <row r="104" spans="1:2" x14ac:dyDescent="0.2">
      <c r="A104" s="4" t="s">
        <v>256</v>
      </c>
      <c r="B104" s="5">
        <v>11000</v>
      </c>
    </row>
    <row r="105" spans="1:2" x14ac:dyDescent="0.2">
      <c r="A105" s="4" t="s">
        <v>10</v>
      </c>
      <c r="B105" s="5"/>
    </row>
    <row r="106" spans="1:2" x14ac:dyDescent="0.2">
      <c r="A106" s="4" t="s">
        <v>257</v>
      </c>
      <c r="B106" s="5">
        <v>25620</v>
      </c>
    </row>
    <row r="107" spans="1:2" x14ac:dyDescent="0.2">
      <c r="A107" s="4" t="s">
        <v>11</v>
      </c>
      <c r="B107" s="5"/>
    </row>
    <row r="108" spans="1:2" x14ac:dyDescent="0.2">
      <c r="A108" s="4" t="s">
        <v>258</v>
      </c>
      <c r="B108" s="5">
        <v>6994.8</v>
      </c>
    </row>
    <row r="109" spans="1:2" x14ac:dyDescent="0.2">
      <c r="A109" s="4" t="s">
        <v>12</v>
      </c>
      <c r="B109" s="5"/>
    </row>
    <row r="110" spans="1:2" x14ac:dyDescent="0.2">
      <c r="A110" s="4" t="s">
        <v>259</v>
      </c>
      <c r="B110" s="5">
        <v>5160</v>
      </c>
    </row>
    <row r="111" spans="1:2" x14ac:dyDescent="0.2">
      <c r="A111" s="4" t="s">
        <v>260</v>
      </c>
      <c r="B111" s="5"/>
    </row>
    <row r="112" spans="1:2" x14ac:dyDescent="0.2">
      <c r="A112" s="4" t="s">
        <v>261</v>
      </c>
      <c r="B112" s="5">
        <v>26657.87</v>
      </c>
    </row>
    <row r="113" spans="1:3" x14ac:dyDescent="0.2">
      <c r="A113" s="37" t="s">
        <v>262</v>
      </c>
      <c r="B113" s="38"/>
    </row>
    <row r="114" spans="1:3" x14ac:dyDescent="0.2">
      <c r="A114" s="37" t="s">
        <v>263</v>
      </c>
      <c r="B114" s="38">
        <v>4500</v>
      </c>
      <c r="C114" s="1" t="s">
        <v>436</v>
      </c>
    </row>
    <row r="115" spans="1:3" x14ac:dyDescent="0.2">
      <c r="A115" s="4" t="s">
        <v>264</v>
      </c>
      <c r="B115" s="5"/>
    </row>
    <row r="116" spans="1:3" x14ac:dyDescent="0.2">
      <c r="A116" s="4" t="s">
        <v>265</v>
      </c>
      <c r="B116" s="5">
        <v>1107</v>
      </c>
    </row>
    <row r="117" spans="1:3" x14ac:dyDescent="0.2">
      <c r="A117" s="6" t="s">
        <v>2</v>
      </c>
      <c r="B117" s="7">
        <f>SUM(B3:B116)</f>
        <v>369518.57999999996</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B1D14-6C82-4EE2-83DB-E44D07316B67}">
  <dimension ref="A1:B116"/>
  <sheetViews>
    <sheetView topLeftCell="A83" zoomScaleNormal="100" workbookViewId="0">
      <selection activeCell="A118" sqref="A11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174</v>
      </c>
      <c r="B3" s="5">
        <v>2640</v>
      </c>
    </row>
    <row r="4" spans="1:2" x14ac:dyDescent="0.2">
      <c r="A4" s="4" t="s">
        <v>328</v>
      </c>
      <c r="B4" s="5"/>
    </row>
    <row r="5" spans="1:2" x14ac:dyDescent="0.2">
      <c r="A5" s="4" t="s">
        <v>329</v>
      </c>
      <c r="B5" s="5">
        <v>1800</v>
      </c>
    </row>
    <row r="6" spans="1:2" x14ac:dyDescent="0.2">
      <c r="A6" s="4" t="s">
        <v>6</v>
      </c>
      <c r="B6" s="5"/>
    </row>
    <row r="7" spans="1:2" x14ac:dyDescent="0.2">
      <c r="A7" s="4" t="s">
        <v>330</v>
      </c>
      <c r="B7" s="5">
        <v>38.58</v>
      </c>
    </row>
    <row r="8" spans="1:2" x14ac:dyDescent="0.2">
      <c r="A8" s="4" t="s">
        <v>182</v>
      </c>
      <c r="B8" s="5"/>
    </row>
    <row r="9" spans="1:2" x14ac:dyDescent="0.2">
      <c r="A9" s="4" t="s">
        <v>331</v>
      </c>
      <c r="B9" s="5">
        <v>3.3</v>
      </c>
    </row>
    <row r="10" spans="1:2" x14ac:dyDescent="0.2">
      <c r="A10" s="4" t="s">
        <v>238</v>
      </c>
      <c r="B10" s="5"/>
    </row>
    <row r="11" spans="1:2" x14ac:dyDescent="0.2">
      <c r="A11" s="4" t="s">
        <v>332</v>
      </c>
      <c r="B11" s="5">
        <v>61672.160000000003</v>
      </c>
    </row>
    <row r="12" spans="1:2" x14ac:dyDescent="0.2">
      <c r="A12" s="4" t="s">
        <v>333</v>
      </c>
      <c r="B12" s="5"/>
    </row>
    <row r="13" spans="1:2" x14ac:dyDescent="0.2">
      <c r="A13" s="4" t="s">
        <v>334</v>
      </c>
      <c r="B13" s="5">
        <v>3270.83</v>
      </c>
    </row>
    <row r="14" spans="1:2" x14ac:dyDescent="0.2">
      <c r="A14" s="4" t="s">
        <v>335</v>
      </c>
      <c r="B14" s="5">
        <v>3270.83</v>
      </c>
    </row>
    <row r="15" spans="1:2" x14ac:dyDescent="0.2">
      <c r="A15" s="4" t="s">
        <v>336</v>
      </c>
      <c r="B15" s="5">
        <v>3270.83</v>
      </c>
    </row>
    <row r="16" spans="1:2" x14ac:dyDescent="0.2">
      <c r="A16" s="4" t="s">
        <v>337</v>
      </c>
      <c r="B16" s="5">
        <v>3270.83</v>
      </c>
    </row>
    <row r="17" spans="1:2" x14ac:dyDescent="0.2">
      <c r="A17" s="4" t="s">
        <v>338</v>
      </c>
      <c r="B17" s="5">
        <v>3238.57</v>
      </c>
    </row>
    <row r="18" spans="1:2" x14ac:dyDescent="0.2">
      <c r="A18" s="4" t="s">
        <v>339</v>
      </c>
      <c r="B18" s="5"/>
    </row>
    <row r="19" spans="1:2" x14ac:dyDescent="0.2">
      <c r="A19" s="4" t="s">
        <v>340</v>
      </c>
      <c r="B19" s="5">
        <v>660</v>
      </c>
    </row>
    <row r="20" spans="1:2" x14ac:dyDescent="0.2">
      <c r="A20" s="4" t="s">
        <v>341</v>
      </c>
      <c r="B20" s="5"/>
    </row>
    <row r="21" spans="1:2" x14ac:dyDescent="0.2">
      <c r="A21" s="4" t="s">
        <v>342</v>
      </c>
      <c r="B21" s="5">
        <v>1232</v>
      </c>
    </row>
    <row r="22" spans="1:2" x14ac:dyDescent="0.2">
      <c r="A22" s="4" t="s">
        <v>343</v>
      </c>
      <c r="B22" s="5"/>
    </row>
    <row r="23" spans="1:2" x14ac:dyDescent="0.2">
      <c r="A23" s="4" t="s">
        <v>344</v>
      </c>
      <c r="B23" s="5">
        <v>572</v>
      </c>
    </row>
    <row r="24" spans="1:2" x14ac:dyDescent="0.2">
      <c r="A24" s="4" t="s">
        <v>345</v>
      </c>
      <c r="B24" s="5"/>
    </row>
    <row r="25" spans="1:2" x14ac:dyDescent="0.2">
      <c r="A25" s="4" t="s">
        <v>346</v>
      </c>
      <c r="B25" s="5">
        <v>572</v>
      </c>
    </row>
    <row r="26" spans="1:2" x14ac:dyDescent="0.2">
      <c r="A26" s="4" t="s">
        <v>347</v>
      </c>
      <c r="B26" s="5"/>
    </row>
    <row r="27" spans="1:2" x14ac:dyDescent="0.2">
      <c r="A27" s="4" t="s">
        <v>348</v>
      </c>
      <c r="B27" s="5">
        <v>924</v>
      </c>
    </row>
    <row r="28" spans="1:2" x14ac:dyDescent="0.2">
      <c r="A28" s="4" t="s">
        <v>349</v>
      </c>
      <c r="B28" s="5"/>
    </row>
    <row r="29" spans="1:2" x14ac:dyDescent="0.2">
      <c r="A29" s="4" t="s">
        <v>350</v>
      </c>
      <c r="B29" s="5">
        <v>378.4</v>
      </c>
    </row>
    <row r="30" spans="1:2" x14ac:dyDescent="0.2">
      <c r="A30" s="4" t="s">
        <v>351</v>
      </c>
      <c r="B30" s="5"/>
    </row>
    <row r="31" spans="1:2" x14ac:dyDescent="0.2">
      <c r="A31" s="4" t="s">
        <v>352</v>
      </c>
      <c r="B31" s="5">
        <v>378.4</v>
      </c>
    </row>
    <row r="32" spans="1:2" x14ac:dyDescent="0.2">
      <c r="A32" s="4" t="s">
        <v>353</v>
      </c>
      <c r="B32" s="5"/>
    </row>
    <row r="33" spans="1:2" x14ac:dyDescent="0.2">
      <c r="A33" s="4" t="s">
        <v>354</v>
      </c>
      <c r="B33" s="5">
        <v>378.4</v>
      </c>
    </row>
    <row r="34" spans="1:2" x14ac:dyDescent="0.2">
      <c r="A34" s="4" t="s">
        <v>355</v>
      </c>
      <c r="B34" s="5"/>
    </row>
    <row r="35" spans="1:2" x14ac:dyDescent="0.2">
      <c r="A35" s="4" t="s">
        <v>356</v>
      </c>
      <c r="B35" s="5">
        <v>176</v>
      </c>
    </row>
    <row r="36" spans="1:2" x14ac:dyDescent="0.2">
      <c r="A36" s="4" t="s">
        <v>357</v>
      </c>
      <c r="B36" s="5"/>
    </row>
    <row r="37" spans="1:2" x14ac:dyDescent="0.2">
      <c r="A37" s="4" t="s">
        <v>358</v>
      </c>
      <c r="B37" s="5">
        <v>3250</v>
      </c>
    </row>
    <row r="38" spans="1:2" x14ac:dyDescent="0.2">
      <c r="A38" s="4" t="s">
        <v>359</v>
      </c>
      <c r="B38" s="5">
        <v>3250</v>
      </c>
    </row>
    <row r="39" spans="1:2" x14ac:dyDescent="0.2">
      <c r="A39" s="4" t="s">
        <v>360</v>
      </c>
      <c r="B39" s="5"/>
    </row>
    <row r="40" spans="1:2" x14ac:dyDescent="0.2">
      <c r="A40" s="4" t="s">
        <v>361</v>
      </c>
      <c r="B40" s="5">
        <v>528</v>
      </c>
    </row>
    <row r="41" spans="1:2" x14ac:dyDescent="0.2">
      <c r="A41" s="4" t="s">
        <v>362</v>
      </c>
      <c r="B41" s="5"/>
    </row>
    <row r="42" spans="1:2" x14ac:dyDescent="0.2">
      <c r="A42" s="4" t="s">
        <v>363</v>
      </c>
      <c r="B42" s="5">
        <v>880</v>
      </c>
    </row>
    <row r="43" spans="1:2" x14ac:dyDescent="0.2">
      <c r="A43" s="4" t="s">
        <v>364</v>
      </c>
      <c r="B43" s="5"/>
    </row>
    <row r="44" spans="1:2" x14ac:dyDescent="0.2">
      <c r="A44" s="4" t="s">
        <v>365</v>
      </c>
      <c r="B44" s="5">
        <v>286</v>
      </c>
    </row>
    <row r="45" spans="1:2" x14ac:dyDescent="0.2">
      <c r="A45" s="4" t="s">
        <v>366</v>
      </c>
      <c r="B45" s="5"/>
    </row>
    <row r="46" spans="1:2" x14ac:dyDescent="0.2">
      <c r="A46" s="4" t="s">
        <v>367</v>
      </c>
      <c r="B46" s="5">
        <v>286</v>
      </c>
    </row>
    <row r="47" spans="1:2" x14ac:dyDescent="0.2">
      <c r="A47" s="4" t="s">
        <v>368</v>
      </c>
      <c r="B47" s="5"/>
    </row>
    <row r="48" spans="1:2" x14ac:dyDescent="0.2">
      <c r="A48" s="4" t="s">
        <v>369</v>
      </c>
      <c r="B48" s="5">
        <v>924</v>
      </c>
    </row>
    <row r="49" spans="1:2" x14ac:dyDescent="0.2">
      <c r="A49" s="4" t="s">
        <v>370</v>
      </c>
      <c r="B49" s="5"/>
    </row>
    <row r="50" spans="1:2" x14ac:dyDescent="0.2">
      <c r="A50" s="4" t="s">
        <v>371</v>
      </c>
      <c r="B50" s="5">
        <v>528</v>
      </c>
    </row>
    <row r="51" spans="1:2" x14ac:dyDescent="0.2">
      <c r="A51" s="4" t="s">
        <v>372</v>
      </c>
      <c r="B51" s="5"/>
    </row>
    <row r="52" spans="1:2" x14ac:dyDescent="0.2">
      <c r="A52" s="4" t="s">
        <v>373</v>
      </c>
      <c r="B52" s="5">
        <v>572</v>
      </c>
    </row>
    <row r="53" spans="1:2" x14ac:dyDescent="0.2">
      <c r="A53" s="4" t="s">
        <v>374</v>
      </c>
      <c r="B53" s="5"/>
    </row>
    <row r="54" spans="1:2" x14ac:dyDescent="0.2">
      <c r="A54" s="4" t="s">
        <v>375</v>
      </c>
      <c r="B54" s="5">
        <v>836</v>
      </c>
    </row>
    <row r="55" spans="1:2" x14ac:dyDescent="0.2">
      <c r="A55" s="4" t="s">
        <v>376</v>
      </c>
      <c r="B55" s="5"/>
    </row>
    <row r="56" spans="1:2" x14ac:dyDescent="0.2">
      <c r="A56" s="4" t="s">
        <v>377</v>
      </c>
      <c r="B56" s="5">
        <v>1584</v>
      </c>
    </row>
    <row r="57" spans="1:2" x14ac:dyDescent="0.2">
      <c r="A57" s="4" t="s">
        <v>378</v>
      </c>
      <c r="B57" s="5"/>
    </row>
    <row r="58" spans="1:2" x14ac:dyDescent="0.2">
      <c r="A58" s="4" t="s">
        <v>379</v>
      </c>
      <c r="B58" s="5">
        <v>528</v>
      </c>
    </row>
    <row r="59" spans="1:2" x14ac:dyDescent="0.2">
      <c r="A59" s="4" t="s">
        <v>380</v>
      </c>
      <c r="B59" s="5"/>
    </row>
    <row r="60" spans="1:2" x14ac:dyDescent="0.2">
      <c r="A60" s="4" t="s">
        <v>381</v>
      </c>
      <c r="B60" s="5">
        <v>1056</v>
      </c>
    </row>
    <row r="61" spans="1:2" x14ac:dyDescent="0.2">
      <c r="A61" s="4" t="s">
        <v>382</v>
      </c>
      <c r="B61" s="5"/>
    </row>
    <row r="62" spans="1:2" x14ac:dyDescent="0.2">
      <c r="A62" s="4" t="s">
        <v>383</v>
      </c>
      <c r="B62" s="5">
        <v>440</v>
      </c>
    </row>
    <row r="63" spans="1:2" x14ac:dyDescent="0.2">
      <c r="A63" s="4" t="s">
        <v>384</v>
      </c>
      <c r="B63" s="5"/>
    </row>
    <row r="64" spans="1:2" x14ac:dyDescent="0.2">
      <c r="A64" s="4" t="s">
        <v>385</v>
      </c>
      <c r="B64" s="5">
        <v>704</v>
      </c>
    </row>
    <row r="65" spans="1:2" x14ac:dyDescent="0.2">
      <c r="A65" s="4" t="s">
        <v>386</v>
      </c>
      <c r="B65" s="5"/>
    </row>
    <row r="66" spans="1:2" x14ac:dyDescent="0.2">
      <c r="A66" s="4" t="s">
        <v>387</v>
      </c>
      <c r="B66" s="5">
        <v>572</v>
      </c>
    </row>
    <row r="67" spans="1:2" x14ac:dyDescent="0.2">
      <c r="A67" s="4" t="s">
        <v>388</v>
      </c>
      <c r="B67" s="5"/>
    </row>
    <row r="68" spans="1:2" x14ac:dyDescent="0.2">
      <c r="A68" s="4" t="s">
        <v>389</v>
      </c>
      <c r="B68" s="5">
        <v>189.2</v>
      </c>
    </row>
    <row r="69" spans="1:2" x14ac:dyDescent="0.2">
      <c r="A69" s="4" t="s">
        <v>390</v>
      </c>
      <c r="B69" s="5"/>
    </row>
    <row r="70" spans="1:2" x14ac:dyDescent="0.2">
      <c r="A70" s="4" t="s">
        <v>391</v>
      </c>
      <c r="B70" s="5">
        <v>378.4</v>
      </c>
    </row>
    <row r="71" spans="1:2" x14ac:dyDescent="0.2">
      <c r="A71" s="4" t="s">
        <v>392</v>
      </c>
      <c r="B71" s="5"/>
    </row>
    <row r="72" spans="1:2" x14ac:dyDescent="0.2">
      <c r="A72" s="4" t="s">
        <v>393</v>
      </c>
      <c r="B72" s="5">
        <v>1232</v>
      </c>
    </row>
    <row r="73" spans="1:2" x14ac:dyDescent="0.2">
      <c r="A73" s="4" t="s">
        <v>394</v>
      </c>
      <c r="B73" s="5"/>
    </row>
    <row r="74" spans="1:2" x14ac:dyDescent="0.2">
      <c r="A74" s="4" t="s">
        <v>395</v>
      </c>
      <c r="B74" s="5">
        <v>704</v>
      </c>
    </row>
    <row r="75" spans="1:2" x14ac:dyDescent="0.2">
      <c r="A75" s="4" t="s">
        <v>396</v>
      </c>
      <c r="B75" s="5"/>
    </row>
    <row r="76" spans="1:2" x14ac:dyDescent="0.2">
      <c r="A76" s="4" t="s">
        <v>397</v>
      </c>
      <c r="B76" s="5">
        <v>704</v>
      </c>
    </row>
    <row r="77" spans="1:2" x14ac:dyDescent="0.2">
      <c r="A77" s="4" t="s">
        <v>398</v>
      </c>
      <c r="B77" s="5"/>
    </row>
    <row r="78" spans="1:2" x14ac:dyDescent="0.2">
      <c r="A78" s="4" t="s">
        <v>399</v>
      </c>
      <c r="B78" s="5">
        <v>836</v>
      </c>
    </row>
    <row r="79" spans="1:2" x14ac:dyDescent="0.2">
      <c r="A79" s="4" t="s">
        <v>400</v>
      </c>
      <c r="B79" s="5"/>
    </row>
    <row r="80" spans="1:2" x14ac:dyDescent="0.2">
      <c r="A80" s="4" t="s">
        <v>401</v>
      </c>
      <c r="B80" s="5">
        <v>528</v>
      </c>
    </row>
    <row r="81" spans="1:2" x14ac:dyDescent="0.2">
      <c r="A81" s="4" t="s">
        <v>402</v>
      </c>
      <c r="B81" s="5">
        <v>572</v>
      </c>
    </row>
    <row r="82" spans="1:2" x14ac:dyDescent="0.2">
      <c r="A82" s="4" t="s">
        <v>403</v>
      </c>
      <c r="B82" s="5"/>
    </row>
    <row r="83" spans="1:2" x14ac:dyDescent="0.2">
      <c r="A83" s="4" t="s">
        <v>404</v>
      </c>
      <c r="B83" s="5">
        <v>440</v>
      </c>
    </row>
    <row r="84" spans="1:2" x14ac:dyDescent="0.2">
      <c r="A84" s="4" t="s">
        <v>405</v>
      </c>
      <c r="B84" s="5"/>
    </row>
    <row r="85" spans="1:2" x14ac:dyDescent="0.2">
      <c r="A85" s="4" t="s">
        <v>406</v>
      </c>
      <c r="B85" s="5">
        <v>572</v>
      </c>
    </row>
    <row r="86" spans="1:2" x14ac:dyDescent="0.2">
      <c r="A86" s="4" t="s">
        <v>407</v>
      </c>
      <c r="B86" s="5"/>
    </row>
    <row r="87" spans="1:2" x14ac:dyDescent="0.2">
      <c r="A87" s="4" t="s">
        <v>408</v>
      </c>
      <c r="B87" s="5">
        <v>924</v>
      </c>
    </row>
    <row r="88" spans="1:2" x14ac:dyDescent="0.2">
      <c r="A88" s="4" t="s">
        <v>409</v>
      </c>
      <c r="B88" s="5"/>
    </row>
    <row r="89" spans="1:2" x14ac:dyDescent="0.2">
      <c r="A89" s="4" t="s">
        <v>410</v>
      </c>
      <c r="B89" s="5">
        <v>5005.4399999999996</v>
      </c>
    </row>
    <row r="90" spans="1:2" x14ac:dyDescent="0.2">
      <c r="A90" s="4" t="s">
        <v>411</v>
      </c>
      <c r="B90" s="5"/>
    </row>
    <row r="91" spans="1:2" x14ac:dyDescent="0.2">
      <c r="A91" s="4" t="s">
        <v>412</v>
      </c>
      <c r="B91" s="5">
        <v>378.4</v>
      </c>
    </row>
    <row r="92" spans="1:2" x14ac:dyDescent="0.2">
      <c r="A92" s="4" t="s">
        <v>413</v>
      </c>
      <c r="B92" s="5"/>
    </row>
    <row r="93" spans="1:2" x14ac:dyDescent="0.2">
      <c r="A93" s="4" t="s">
        <v>414</v>
      </c>
      <c r="B93" s="5">
        <v>378.4</v>
      </c>
    </row>
    <row r="94" spans="1:2" x14ac:dyDescent="0.2">
      <c r="A94" s="4" t="s">
        <v>415</v>
      </c>
      <c r="B94" s="5"/>
    </row>
    <row r="95" spans="1:2" x14ac:dyDescent="0.2">
      <c r="A95" s="4" t="s">
        <v>416</v>
      </c>
      <c r="B95" s="5">
        <v>378.4</v>
      </c>
    </row>
    <row r="96" spans="1:2" x14ac:dyDescent="0.2">
      <c r="A96" s="4" t="s">
        <v>417</v>
      </c>
      <c r="B96" s="5"/>
    </row>
    <row r="97" spans="1:2" x14ac:dyDescent="0.2">
      <c r="A97" s="4" t="s">
        <v>418</v>
      </c>
      <c r="B97" s="5">
        <v>378.4</v>
      </c>
    </row>
    <row r="98" spans="1:2" x14ac:dyDescent="0.2">
      <c r="A98" s="4" t="s">
        <v>419</v>
      </c>
      <c r="B98" s="5"/>
    </row>
    <row r="99" spans="1:2" x14ac:dyDescent="0.2">
      <c r="A99" s="4" t="s">
        <v>420</v>
      </c>
      <c r="B99" s="5">
        <v>378.4</v>
      </c>
    </row>
    <row r="100" spans="1:2" x14ac:dyDescent="0.2">
      <c r="A100" s="4" t="s">
        <v>421</v>
      </c>
      <c r="B100" s="5"/>
    </row>
    <row r="101" spans="1:2" x14ac:dyDescent="0.2">
      <c r="A101" s="4" t="s">
        <v>422</v>
      </c>
      <c r="B101" s="5">
        <v>378.4</v>
      </c>
    </row>
    <row r="102" spans="1:2" x14ac:dyDescent="0.2">
      <c r="A102" s="4" t="s">
        <v>423</v>
      </c>
      <c r="B102" s="5"/>
    </row>
    <row r="103" spans="1:2" x14ac:dyDescent="0.2">
      <c r="A103" s="4" t="s">
        <v>424</v>
      </c>
      <c r="B103" s="5">
        <v>378.4</v>
      </c>
    </row>
    <row r="104" spans="1:2" x14ac:dyDescent="0.2">
      <c r="A104" s="4" t="s">
        <v>425</v>
      </c>
      <c r="B104" s="5"/>
    </row>
    <row r="105" spans="1:2" x14ac:dyDescent="0.2">
      <c r="A105" s="4" t="s">
        <v>426</v>
      </c>
      <c r="B105" s="5">
        <v>352</v>
      </c>
    </row>
    <row r="106" spans="1:2" x14ac:dyDescent="0.2">
      <c r="A106" s="4" t="s">
        <v>11</v>
      </c>
      <c r="B106" s="5"/>
    </row>
    <row r="107" spans="1:2" x14ac:dyDescent="0.2">
      <c r="A107" s="4" t="s">
        <v>427</v>
      </c>
      <c r="B107" s="5">
        <v>20880</v>
      </c>
    </row>
    <row r="108" spans="1:2" x14ac:dyDescent="0.2">
      <c r="A108" s="4" t="s">
        <v>12</v>
      </c>
      <c r="B108" s="5"/>
    </row>
    <row r="109" spans="1:2" x14ac:dyDescent="0.2">
      <c r="A109" s="4" t="s">
        <v>428</v>
      </c>
      <c r="B109" s="5">
        <v>10320</v>
      </c>
    </row>
    <row r="110" spans="1:2" x14ac:dyDescent="0.2">
      <c r="A110" s="4" t="s">
        <v>429</v>
      </c>
      <c r="B110" s="5"/>
    </row>
    <row r="111" spans="1:2" x14ac:dyDescent="0.2">
      <c r="A111" s="4" t="s">
        <v>430</v>
      </c>
      <c r="B111" s="5">
        <v>6700</v>
      </c>
    </row>
    <row r="112" spans="1:2" x14ac:dyDescent="0.2">
      <c r="A112" s="4" t="s">
        <v>431</v>
      </c>
      <c r="B112" s="5"/>
    </row>
    <row r="113" spans="1:2" x14ac:dyDescent="0.2">
      <c r="A113" s="4" t="s">
        <v>432</v>
      </c>
      <c r="B113" s="5">
        <v>15270</v>
      </c>
    </row>
    <row r="114" spans="1:2" x14ac:dyDescent="0.2">
      <c r="A114" s="4" t="s">
        <v>433</v>
      </c>
      <c r="B114" s="5"/>
    </row>
    <row r="115" spans="1:2" x14ac:dyDescent="0.2">
      <c r="A115" s="4" t="s">
        <v>432</v>
      </c>
      <c r="B115" s="5">
        <v>14572.5</v>
      </c>
    </row>
    <row r="116" spans="1:2" x14ac:dyDescent="0.2">
      <c r="A116" s="6" t="s">
        <v>2</v>
      </c>
      <c r="B116" s="7">
        <f>SUM(B3:B115)</f>
        <v>186799.46999999997</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4F123-0267-4EA5-82BF-29FC76D8A2A5}">
  <dimension ref="A1:D52"/>
  <sheetViews>
    <sheetView topLeftCell="A28" zoomScale="85" zoomScaleNormal="85" workbookViewId="0">
      <selection activeCell="D52" sqref="D52"/>
    </sheetView>
  </sheetViews>
  <sheetFormatPr baseColWidth="10" defaultRowHeight="14.4" x14ac:dyDescent="0.3"/>
  <cols>
    <col min="1" max="1" width="7.44140625" bestFit="1" customWidth="1"/>
    <col min="2" max="2" width="14" bestFit="1" customWidth="1"/>
    <col min="3" max="3" width="163.88671875" customWidth="1"/>
    <col min="4" max="4" width="11.6640625" bestFit="1" customWidth="1"/>
  </cols>
  <sheetData>
    <row r="1" spans="1:4" ht="15" thickBot="1" x14ac:dyDescent="0.35">
      <c r="A1" s="39" t="s">
        <v>437</v>
      </c>
      <c r="B1" s="40" t="s">
        <v>438</v>
      </c>
      <c r="C1" s="40" t="s">
        <v>439</v>
      </c>
      <c r="D1" s="41" t="s">
        <v>1</v>
      </c>
    </row>
    <row r="2" spans="1:4" ht="15" thickTop="1" x14ac:dyDescent="0.3">
      <c r="A2" s="42" t="s">
        <v>440</v>
      </c>
      <c r="B2" s="43" t="s">
        <v>3</v>
      </c>
      <c r="C2" s="43" t="s">
        <v>441</v>
      </c>
      <c r="D2" s="44">
        <v>2640</v>
      </c>
    </row>
    <row r="3" spans="1:4" x14ac:dyDescent="0.3">
      <c r="A3" s="45" t="s">
        <v>440</v>
      </c>
      <c r="B3" s="46" t="s">
        <v>238</v>
      </c>
      <c r="C3" s="46" t="s">
        <v>442</v>
      </c>
      <c r="D3" s="47">
        <v>200000</v>
      </c>
    </row>
    <row r="4" spans="1:4" x14ac:dyDescent="0.3">
      <c r="A4" s="42" t="s">
        <v>440</v>
      </c>
      <c r="B4" s="43" t="s">
        <v>238</v>
      </c>
      <c r="C4" s="43" t="s">
        <v>443</v>
      </c>
      <c r="D4" s="44">
        <v>241720.95</v>
      </c>
    </row>
    <row r="5" spans="1:4" x14ac:dyDescent="0.3">
      <c r="A5" s="45" t="s">
        <v>440</v>
      </c>
      <c r="B5" s="46" t="s">
        <v>444</v>
      </c>
      <c r="C5" s="46" t="s">
        <v>445</v>
      </c>
      <c r="D5" s="47">
        <v>836</v>
      </c>
    </row>
    <row r="6" spans="1:4" x14ac:dyDescent="0.3">
      <c r="A6" s="42" t="s">
        <v>440</v>
      </c>
      <c r="B6" s="43" t="s">
        <v>446</v>
      </c>
      <c r="C6" s="43" t="s">
        <v>447</v>
      </c>
      <c r="D6" s="44">
        <v>5588</v>
      </c>
    </row>
    <row r="7" spans="1:4" x14ac:dyDescent="0.3">
      <c r="A7" s="45" t="s">
        <v>440</v>
      </c>
      <c r="B7" s="46" t="s">
        <v>446</v>
      </c>
      <c r="C7" s="46" t="s">
        <v>448</v>
      </c>
      <c r="D7" s="47">
        <v>8624</v>
      </c>
    </row>
    <row r="8" spans="1:4" x14ac:dyDescent="0.3">
      <c r="A8" s="42" t="s">
        <v>440</v>
      </c>
      <c r="B8" s="43" t="s">
        <v>446</v>
      </c>
      <c r="C8" s="43" t="s">
        <v>449</v>
      </c>
      <c r="D8" s="44">
        <v>19556.77</v>
      </c>
    </row>
    <row r="9" spans="1:4" x14ac:dyDescent="0.3">
      <c r="A9" s="45" t="s">
        <v>440</v>
      </c>
      <c r="B9" s="46" t="s">
        <v>450</v>
      </c>
      <c r="C9" s="46" t="s">
        <v>451</v>
      </c>
      <c r="D9" s="47">
        <v>211.2</v>
      </c>
    </row>
    <row r="10" spans="1:4" x14ac:dyDescent="0.3">
      <c r="A10" s="42" t="s">
        <v>440</v>
      </c>
      <c r="B10" s="43" t="s">
        <v>452</v>
      </c>
      <c r="C10" s="43" t="s">
        <v>453</v>
      </c>
      <c r="D10" s="44">
        <v>528</v>
      </c>
    </row>
    <row r="11" spans="1:4" x14ac:dyDescent="0.3">
      <c r="A11" s="45" t="s">
        <v>440</v>
      </c>
      <c r="B11" s="46" t="s">
        <v>454</v>
      </c>
      <c r="C11" s="46" t="s">
        <v>455</v>
      </c>
      <c r="D11" s="47">
        <v>1631.34</v>
      </c>
    </row>
    <row r="12" spans="1:4" x14ac:dyDescent="0.3">
      <c r="A12" s="42" t="s">
        <v>440</v>
      </c>
      <c r="B12" s="43" t="s">
        <v>454</v>
      </c>
      <c r="C12" s="43" t="s">
        <v>456</v>
      </c>
      <c r="D12" s="44">
        <v>3083.34</v>
      </c>
    </row>
    <row r="13" spans="1:4" x14ac:dyDescent="0.3">
      <c r="A13" s="45" t="s">
        <v>440</v>
      </c>
      <c r="B13" s="46" t="s">
        <v>454</v>
      </c>
      <c r="C13" s="46" t="s">
        <v>457</v>
      </c>
      <c r="D13" s="47">
        <v>3083.34</v>
      </c>
    </row>
    <row r="14" spans="1:4" x14ac:dyDescent="0.3">
      <c r="A14" s="42" t="s">
        <v>440</v>
      </c>
      <c r="B14" s="43" t="s">
        <v>454</v>
      </c>
      <c r="C14" s="43" t="s">
        <v>458</v>
      </c>
      <c r="D14" s="44">
        <v>3083.34</v>
      </c>
    </row>
    <row r="15" spans="1:4" x14ac:dyDescent="0.3">
      <c r="A15" s="45" t="s">
        <v>440</v>
      </c>
      <c r="B15" s="46" t="s">
        <v>454</v>
      </c>
      <c r="C15" s="46" t="s">
        <v>459</v>
      </c>
      <c r="D15" s="47">
        <v>3083.34</v>
      </c>
    </row>
    <row r="16" spans="1:4" x14ac:dyDescent="0.3">
      <c r="A16" s="42" t="s">
        <v>440</v>
      </c>
      <c r="B16" s="43" t="s">
        <v>454</v>
      </c>
      <c r="C16" s="43" t="s">
        <v>460</v>
      </c>
      <c r="D16" s="44">
        <v>3083.34</v>
      </c>
    </row>
    <row r="17" spans="1:4" x14ac:dyDescent="0.3">
      <c r="A17" s="45" t="s">
        <v>440</v>
      </c>
      <c r="B17" s="46" t="s">
        <v>461</v>
      </c>
      <c r="C17" s="46" t="s">
        <v>462</v>
      </c>
      <c r="D17" s="47">
        <v>378.4</v>
      </c>
    </row>
    <row r="18" spans="1:4" x14ac:dyDescent="0.3">
      <c r="A18" s="42" t="s">
        <v>440</v>
      </c>
      <c r="B18" s="43" t="s">
        <v>463</v>
      </c>
      <c r="C18" s="43" t="s">
        <v>464</v>
      </c>
      <c r="D18" s="44">
        <v>378.4</v>
      </c>
    </row>
    <row r="19" spans="1:4" x14ac:dyDescent="0.3">
      <c r="A19" s="45" t="s">
        <v>440</v>
      </c>
      <c r="B19" s="46" t="s">
        <v>465</v>
      </c>
      <c r="C19" s="46" t="s">
        <v>466</v>
      </c>
      <c r="D19" s="47">
        <v>378.4</v>
      </c>
    </row>
    <row r="20" spans="1:4" x14ac:dyDescent="0.3">
      <c r="A20" s="42" t="s">
        <v>440</v>
      </c>
      <c r="B20" s="43" t="s">
        <v>467</v>
      </c>
      <c r="C20" s="43" t="s">
        <v>468</v>
      </c>
      <c r="D20" s="44">
        <v>600</v>
      </c>
    </row>
    <row r="21" spans="1:4" x14ac:dyDescent="0.3">
      <c r="A21" s="45" t="s">
        <v>440</v>
      </c>
      <c r="B21" s="46" t="s">
        <v>469</v>
      </c>
      <c r="C21" s="46" t="s">
        <v>470</v>
      </c>
      <c r="D21" s="47">
        <v>2640</v>
      </c>
    </row>
    <row r="22" spans="1:4" x14ac:dyDescent="0.3">
      <c r="A22" s="42" t="s">
        <v>440</v>
      </c>
      <c r="B22" s="43" t="s">
        <v>469</v>
      </c>
      <c r="C22" s="43" t="s">
        <v>471</v>
      </c>
      <c r="D22" s="44">
        <v>4840</v>
      </c>
    </row>
    <row r="23" spans="1:4" x14ac:dyDescent="0.3">
      <c r="A23" s="45" t="s">
        <v>440</v>
      </c>
      <c r="B23" s="46" t="s">
        <v>472</v>
      </c>
      <c r="C23" s="46" t="s">
        <v>473</v>
      </c>
      <c r="D23" s="47">
        <v>12672</v>
      </c>
    </row>
    <row r="24" spans="1:4" x14ac:dyDescent="0.3">
      <c r="A24" s="42" t="s">
        <v>440</v>
      </c>
      <c r="B24" s="43" t="s">
        <v>474</v>
      </c>
      <c r="C24" s="43" t="s">
        <v>475</v>
      </c>
      <c r="D24" s="44">
        <v>378.4</v>
      </c>
    </row>
    <row r="25" spans="1:4" x14ac:dyDescent="0.3">
      <c r="A25" s="45" t="s">
        <v>440</v>
      </c>
      <c r="B25" s="46" t="s">
        <v>476</v>
      </c>
      <c r="C25" s="46" t="s">
        <v>477</v>
      </c>
      <c r="D25" s="47">
        <v>8518.4</v>
      </c>
    </row>
    <row r="26" spans="1:4" x14ac:dyDescent="0.3">
      <c r="A26" s="42" t="s">
        <v>440</v>
      </c>
      <c r="B26" s="43" t="s">
        <v>478</v>
      </c>
      <c r="C26" s="43" t="s">
        <v>479</v>
      </c>
      <c r="D26" s="44">
        <v>6952</v>
      </c>
    </row>
    <row r="27" spans="1:4" x14ac:dyDescent="0.3">
      <c r="A27" s="45" t="s">
        <v>440</v>
      </c>
      <c r="B27" s="46" t="s">
        <v>480</v>
      </c>
      <c r="C27" s="46" t="s">
        <v>481</v>
      </c>
      <c r="D27" s="47">
        <v>378.4</v>
      </c>
    </row>
    <row r="28" spans="1:4" x14ac:dyDescent="0.3">
      <c r="A28" s="42" t="s">
        <v>440</v>
      </c>
      <c r="B28" s="43" t="s">
        <v>482</v>
      </c>
      <c r="C28" s="43" t="s">
        <v>483</v>
      </c>
      <c r="D28" s="44">
        <v>378.4</v>
      </c>
    </row>
    <row r="29" spans="1:4" x14ac:dyDescent="0.3">
      <c r="A29" s="45" t="s">
        <v>440</v>
      </c>
      <c r="B29" s="46" t="s">
        <v>484</v>
      </c>
      <c r="C29" s="46" t="s">
        <v>485</v>
      </c>
      <c r="D29" s="47">
        <v>189.2</v>
      </c>
    </row>
    <row r="30" spans="1:4" x14ac:dyDescent="0.3">
      <c r="A30" s="42" t="s">
        <v>440</v>
      </c>
      <c r="B30" s="43" t="s">
        <v>486</v>
      </c>
      <c r="C30" s="43" t="s">
        <v>487</v>
      </c>
      <c r="D30" s="44">
        <v>378.4</v>
      </c>
    </row>
    <row r="31" spans="1:4" x14ac:dyDescent="0.3">
      <c r="A31" s="45" t="s">
        <v>440</v>
      </c>
      <c r="B31" s="46" t="s">
        <v>488</v>
      </c>
      <c r="C31" s="46" t="s">
        <v>489</v>
      </c>
      <c r="D31" s="47">
        <v>10120</v>
      </c>
    </row>
    <row r="32" spans="1:4" x14ac:dyDescent="0.3">
      <c r="A32" s="42" t="s">
        <v>440</v>
      </c>
      <c r="B32" s="43" t="s">
        <v>490</v>
      </c>
      <c r="C32" s="43" t="s">
        <v>491</v>
      </c>
      <c r="D32" s="44">
        <v>2608.36</v>
      </c>
    </row>
    <row r="33" spans="1:4" x14ac:dyDescent="0.3">
      <c r="A33" s="45" t="s">
        <v>440</v>
      </c>
      <c r="B33" s="46" t="s">
        <v>492</v>
      </c>
      <c r="C33" s="46" t="s">
        <v>493</v>
      </c>
      <c r="D33" s="47">
        <v>378.4</v>
      </c>
    </row>
    <row r="34" spans="1:4" x14ac:dyDescent="0.3">
      <c r="A34" s="42" t="s">
        <v>440</v>
      </c>
      <c r="B34" s="43" t="s">
        <v>494</v>
      </c>
      <c r="C34" s="43" t="s">
        <v>495</v>
      </c>
      <c r="D34" s="44">
        <v>189.2</v>
      </c>
    </row>
    <row r="35" spans="1:4" x14ac:dyDescent="0.3">
      <c r="A35" s="45" t="s">
        <v>440</v>
      </c>
      <c r="B35" s="46" t="s">
        <v>496</v>
      </c>
      <c r="C35" s="46" t="s">
        <v>497</v>
      </c>
      <c r="D35" s="47">
        <v>378.4</v>
      </c>
    </row>
    <row r="36" spans="1:4" x14ac:dyDescent="0.3">
      <c r="A36" s="42" t="s">
        <v>440</v>
      </c>
      <c r="B36" s="43" t="s">
        <v>498</v>
      </c>
      <c r="C36" s="43" t="s">
        <v>499</v>
      </c>
      <c r="D36" s="44">
        <v>378.4</v>
      </c>
    </row>
    <row r="37" spans="1:4" x14ac:dyDescent="0.3">
      <c r="A37" s="45" t="s">
        <v>440</v>
      </c>
      <c r="B37" s="46" t="s">
        <v>500</v>
      </c>
      <c r="C37" s="46" t="s">
        <v>501</v>
      </c>
      <c r="D37" s="47">
        <v>189.2</v>
      </c>
    </row>
    <row r="38" spans="1:4" x14ac:dyDescent="0.3">
      <c r="A38" s="42" t="s">
        <v>440</v>
      </c>
      <c r="B38" s="43" t="s">
        <v>502</v>
      </c>
      <c r="C38" s="43" t="s">
        <v>503</v>
      </c>
      <c r="D38" s="44">
        <v>378.4</v>
      </c>
    </row>
    <row r="39" spans="1:4" x14ac:dyDescent="0.3">
      <c r="A39" s="45" t="s">
        <v>440</v>
      </c>
      <c r="B39" s="46" t="s">
        <v>504</v>
      </c>
      <c r="C39" s="46" t="s">
        <v>505</v>
      </c>
      <c r="D39" s="47">
        <v>378.4</v>
      </c>
    </row>
    <row r="40" spans="1:4" x14ac:dyDescent="0.3">
      <c r="A40" s="42" t="s">
        <v>440</v>
      </c>
      <c r="B40" s="43" t="s">
        <v>506</v>
      </c>
      <c r="C40" s="43" t="s">
        <v>507</v>
      </c>
      <c r="D40" s="44">
        <v>189.2</v>
      </c>
    </row>
    <row r="41" spans="1:4" x14ac:dyDescent="0.3">
      <c r="A41" s="45" t="s">
        <v>440</v>
      </c>
      <c r="B41" s="46" t="s">
        <v>508</v>
      </c>
      <c r="C41" s="46" t="s">
        <v>509</v>
      </c>
      <c r="D41" s="47">
        <v>1760</v>
      </c>
    </row>
    <row r="42" spans="1:4" x14ac:dyDescent="0.3">
      <c r="A42" s="42" t="s">
        <v>440</v>
      </c>
      <c r="B42" s="43" t="s">
        <v>510</v>
      </c>
      <c r="C42" s="43" t="s">
        <v>511</v>
      </c>
      <c r="D42" s="44">
        <v>378.4</v>
      </c>
    </row>
    <row r="43" spans="1:4" x14ac:dyDescent="0.3">
      <c r="A43" s="45" t="s">
        <v>440</v>
      </c>
      <c r="B43" s="46" t="s">
        <v>429</v>
      </c>
      <c r="C43" s="46" t="s">
        <v>512</v>
      </c>
      <c r="D43" s="47">
        <v>7200</v>
      </c>
    </row>
    <row r="44" spans="1:4" x14ac:dyDescent="0.3">
      <c r="A44" s="42" t="s">
        <v>440</v>
      </c>
      <c r="B44" s="43" t="s">
        <v>431</v>
      </c>
      <c r="C44" s="43" t="s">
        <v>513</v>
      </c>
      <c r="D44" s="44">
        <v>17940</v>
      </c>
    </row>
    <row r="45" spans="1:4" x14ac:dyDescent="0.3">
      <c r="A45" s="45" t="s">
        <v>440</v>
      </c>
      <c r="B45" s="46" t="s">
        <v>433</v>
      </c>
      <c r="C45" s="46" t="s">
        <v>513</v>
      </c>
      <c r="D45" s="47">
        <v>19545</v>
      </c>
    </row>
    <row r="46" spans="1:4" x14ac:dyDescent="0.3">
      <c r="A46" s="42" t="s">
        <v>440</v>
      </c>
      <c r="B46" s="43" t="s">
        <v>514</v>
      </c>
      <c r="C46" s="43" t="s">
        <v>515</v>
      </c>
      <c r="D46" s="44">
        <v>9249.18</v>
      </c>
    </row>
    <row r="47" spans="1:4" x14ac:dyDescent="0.3">
      <c r="A47" s="45" t="s">
        <v>440</v>
      </c>
      <c r="B47" s="46" t="s">
        <v>516</v>
      </c>
      <c r="C47" s="46" t="s">
        <v>517</v>
      </c>
      <c r="D47" s="47">
        <v>3712</v>
      </c>
    </row>
    <row r="48" spans="1:4" ht="15" thickBot="1" x14ac:dyDescent="0.35">
      <c r="A48" s="42" t="s">
        <v>440</v>
      </c>
      <c r="B48" s="43" t="s">
        <v>518</v>
      </c>
      <c r="C48" s="43" t="s">
        <v>519</v>
      </c>
      <c r="D48" s="44">
        <v>11088</v>
      </c>
    </row>
    <row r="49" spans="1:4" ht="15" thickTop="1" x14ac:dyDescent="0.3">
      <c r="A49" s="48" t="s">
        <v>2</v>
      </c>
      <c r="B49" s="49"/>
      <c r="C49" s="49"/>
      <c r="D49" s="50">
        <v>621873.90000000037</v>
      </c>
    </row>
    <row r="51" spans="1:4" x14ac:dyDescent="0.3">
      <c r="D51" s="51"/>
    </row>
    <row r="52" spans="1:4" x14ac:dyDescent="0.3">
      <c r="C52" s="65" t="s">
        <v>534</v>
      </c>
      <c r="D52" s="66">
        <f>D49+'Ingresos investigación 2020'!B116+'Ingresos investigación 2019'!B117</f>
        <v>1178191.9500000002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zoomScaleNormal="100" workbookViewId="0">
      <selection activeCell="A2" sqref="A2:B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13</v>
      </c>
      <c r="B2" s="5"/>
    </row>
    <row r="3" spans="1:2" x14ac:dyDescent="0.2">
      <c r="A3" s="4" t="s">
        <v>266</v>
      </c>
      <c r="B3" s="5">
        <v>2055</v>
      </c>
    </row>
    <row r="4" spans="1:2" x14ac:dyDescent="0.2">
      <c r="A4" s="6" t="s">
        <v>2</v>
      </c>
      <c r="B4" s="7">
        <f>SUM(B3:B3)</f>
        <v>2055</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0120-1F06-4BBE-BD89-7DB61AC04919}">
  <dimension ref="A1:B8"/>
  <sheetViews>
    <sheetView zoomScaleNormal="100" workbookViewId="0">
      <selection activeCell="B8" sqref="B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13</v>
      </c>
      <c r="B2" s="5"/>
    </row>
    <row r="3" spans="1:2" x14ac:dyDescent="0.2">
      <c r="A3" s="4" t="s">
        <v>434</v>
      </c>
      <c r="B3" s="5">
        <v>4.24</v>
      </c>
    </row>
    <row r="4" spans="1:2" x14ac:dyDescent="0.2">
      <c r="A4" s="4" t="s">
        <v>435</v>
      </c>
      <c r="B4" s="5">
        <v>8.42</v>
      </c>
    </row>
    <row r="5" spans="1:2" x14ac:dyDescent="0.2">
      <c r="A5" s="6" t="s">
        <v>2</v>
      </c>
      <c r="B5" s="7">
        <f>SUM(B3:B4)</f>
        <v>12.66</v>
      </c>
    </row>
    <row r="8" spans="1:2" x14ac:dyDescent="0.2">
      <c r="B8" s="52"/>
    </row>
  </sheetData>
  <pageMargins left="0.39370078740157483" right="0.39370078740157483"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199E-9175-4671-A5B6-B6B4D28F62F3}">
  <dimension ref="A1:B8"/>
  <sheetViews>
    <sheetView workbookViewId="0">
      <selection activeCell="B23" sqref="B23"/>
    </sheetView>
  </sheetViews>
  <sheetFormatPr baseColWidth="10" defaultRowHeight="14.4" x14ac:dyDescent="0.3"/>
  <cols>
    <col min="1" max="1" width="58.6640625" bestFit="1" customWidth="1"/>
  </cols>
  <sheetData>
    <row r="1" spans="1:2" ht="21.6" x14ac:dyDescent="0.3">
      <c r="A1" s="2" t="s">
        <v>0</v>
      </c>
      <c r="B1" s="3" t="s">
        <v>1</v>
      </c>
    </row>
    <row r="2" spans="1:2" x14ac:dyDescent="0.3">
      <c r="A2" s="4" t="s">
        <v>520</v>
      </c>
      <c r="B2" s="5"/>
    </row>
    <row r="3" spans="1:2" x14ac:dyDescent="0.3">
      <c r="A3" s="4"/>
      <c r="B3" s="5"/>
    </row>
    <row r="4" spans="1:2" x14ac:dyDescent="0.3">
      <c r="A4" s="4"/>
      <c r="B4" s="5"/>
    </row>
    <row r="5" spans="1:2" x14ac:dyDescent="0.3">
      <c r="A5" s="6" t="s">
        <v>2</v>
      </c>
      <c r="B5" s="7">
        <f>SUM(B3:B4)</f>
        <v>0</v>
      </c>
    </row>
    <row r="8" spans="1:2" x14ac:dyDescent="0.3">
      <c r="A8" s="65" t="s">
        <v>535</v>
      </c>
      <c r="B8" s="66">
        <f>B5+'Ingresos formación 2020'!B5+'Ingresos formación 2019'!B4</f>
        <v>2067.66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2022-10-17T07:50:16Z</cp:lastPrinted>
  <dcterms:created xsi:type="dcterms:W3CDTF">2019-07-03T07:15:54Z</dcterms:created>
  <dcterms:modified xsi:type="dcterms:W3CDTF">2022-10-18T15:08:10Z</dcterms:modified>
</cp:coreProperties>
</file>