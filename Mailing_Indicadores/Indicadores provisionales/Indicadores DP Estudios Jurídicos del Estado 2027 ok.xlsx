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https://nexe.ua.es/remote.php/dav/files/mayte.pujalte@ua.es/_Unidad_Presupuestos/2_PRESUPUESTACIÓN/Presupuesto 2027/Datos/D-I/Indicadores provisionales/"/>
    </mc:Choice>
  </mc:AlternateContent>
  <xr:revisionPtr revIDLastSave="0" documentId="13_ncr:1_{1C824593-ABF5-4F7D-9DE1-8100A3D214CE}" xr6:coauthVersionLast="47" xr6:coauthVersionMax="47" xr10:uidLastSave="{00000000-0000-0000-0000-000000000000}"/>
  <bookViews>
    <workbookView xWindow="-108" yWindow="-108" windowWidth="23256" windowHeight="13896" tabRatio="819" firstSheet="3" activeTab="7" xr2:uid="{00000000-000D-0000-FFFF-FFFF00000000}"/>
  </bookViews>
  <sheets>
    <sheet name="Tesis" sheetId="6" r:id="rId1"/>
    <sheet name="Sexenios" sheetId="7" r:id="rId2"/>
    <sheet name="Ingresos investigación 2023" sheetId="19" r:id="rId3"/>
    <sheet name="Ingresos investigación 2024" sheetId="21" r:id="rId4"/>
    <sheet name="Ingresos investigación 2025" sheetId="23" r:id="rId5"/>
    <sheet name="Ingresos formación 2023" sheetId="20" r:id="rId6"/>
    <sheet name="Ingresos formación 2024" sheetId="22" r:id="rId7"/>
    <sheet name="Ingresos formación 2025" sheetId="24" r:id="rId8"/>
  </sheets>
  <definedNames>
    <definedName name="_xlnm._FilterDatabase" localSheetId="1" hidden="1">Sexenios!#REF!</definedName>
    <definedName name="_xlnm._FilterDatabase" localSheetId="0" hidden="1">Tesis!$A$1:$U$21</definedName>
    <definedName name="_xlnm.Print_Titles" localSheetId="1">Sexenios!$1:$1</definedName>
    <definedName name="_xlnm.Print_Titles" localSheetId="0">Tesis!$D:$D,Tesis!$1:$1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36" i="24" l="1"/>
  <c r="C32" i="24"/>
  <c r="C11" i="23"/>
  <c r="C6" i="20"/>
  <c r="C16" i="21" l="1"/>
  <c r="C9" i="22"/>
  <c r="C23" i="19"/>
  <c r="S37" i="6"/>
  <c r="S23" i="7" l="1"/>
</calcChain>
</file>

<file path=xl/sharedStrings.xml><?xml version="1.0" encoding="utf-8"?>
<sst xmlns="http://schemas.openxmlformats.org/spreadsheetml/2006/main" count="884" uniqueCount="350">
  <si>
    <t>Total</t>
  </si>
  <si>
    <t>C.D.</t>
  </si>
  <si>
    <t>Departamento</t>
  </si>
  <si>
    <t>Plan</t>
  </si>
  <si>
    <t>Alumno</t>
  </si>
  <si>
    <t>Tesis</t>
  </si>
  <si>
    <t>Fecha</t>
  </si>
  <si>
    <t>Tutor</t>
  </si>
  <si>
    <t>Rol</t>
  </si>
  <si>
    <t>C.DEP.</t>
  </si>
  <si>
    <t>Departamento Tutor</t>
  </si>
  <si>
    <t>ASIGNACIÓN</t>
  </si>
  <si>
    <t>DEP.ASIG.</t>
  </si>
  <si>
    <t>EJERCICIO</t>
  </si>
  <si>
    <t>INS 1</t>
  </si>
  <si>
    <t>DED INS 1</t>
  </si>
  <si>
    <t>INS 2</t>
  </si>
  <si>
    <t>DED INS 2</t>
  </si>
  <si>
    <t>DED DEP</t>
  </si>
  <si>
    <t>TDOC DEP</t>
  </si>
  <si>
    <t>TDOC INST 1</t>
  </si>
  <si>
    <t>TDOC INST 2</t>
  </si>
  <si>
    <t>Codirector de tesis </t>
  </si>
  <si>
    <t>10.13</t>
  </si>
  <si>
    <t>50</t>
  </si>
  <si>
    <t/>
  </si>
  <si>
    <t>Director de tesis </t>
  </si>
  <si>
    <t>10</t>
  </si>
  <si>
    <t>U025 </t>
  </si>
  <si>
    <t>ADM. FACULTAD DE DERECHO </t>
  </si>
  <si>
    <t>DOCTORADO EN DERECHO </t>
  </si>
  <si>
    <t>B113 </t>
  </si>
  <si>
    <t>ESTUDIOS JURIDICOS DEL ESTADO </t>
  </si>
  <si>
    <t>10.05</t>
  </si>
  <si>
    <t>10.25</t>
  </si>
  <si>
    <t>30</t>
  </si>
  <si>
    <t>21357027D </t>
  </si>
  <si>
    <t>B113</t>
  </si>
  <si>
    <t>21384689W </t>
  </si>
  <si>
    <t>10.24</t>
  </si>
  <si>
    <t>21445733G </t>
  </si>
  <si>
    <t>21502998E </t>
  </si>
  <si>
    <t>60</t>
  </si>
  <si>
    <t>21474705L </t>
  </si>
  <si>
    <t>U020 </t>
  </si>
  <si>
    <t>ADM. I.U. DEL AGUA Y DE LAS CIENCIAS AMBIENTALES </t>
  </si>
  <si>
    <t>DOCTORADO EN AGUA Y DESARROLLO SOSTENIBLE </t>
  </si>
  <si>
    <t>40</t>
  </si>
  <si>
    <t>10.23</t>
  </si>
  <si>
    <t>10.06</t>
  </si>
  <si>
    <t>NIF</t>
  </si>
  <si>
    <t>NOMBRE_COMPLETO</t>
  </si>
  <si>
    <t>TIPO_SEXENIO</t>
  </si>
  <si>
    <t>Total general</t>
  </si>
  <si>
    <t>INS
1</t>
  </si>
  <si>
    <t>DED
INS 1</t>
  </si>
  <si>
    <t>INS
2</t>
  </si>
  <si>
    <t>DED
INS 2</t>
  </si>
  <si>
    <t>DED
DEP</t>
  </si>
  <si>
    <t>SEX
INS 1</t>
  </si>
  <si>
    <t>SEX
INS 2</t>
  </si>
  <si>
    <t>SEX
DEP</t>
  </si>
  <si>
    <t>FUNCIONARIO</t>
  </si>
  <si>
    <t>21407194J</t>
  </si>
  <si>
    <t>33490890S</t>
  </si>
  <si>
    <t>52774665S</t>
  </si>
  <si>
    <t>21401019W</t>
  </si>
  <si>
    <t>21384689W</t>
  </si>
  <si>
    <t>09753530N</t>
  </si>
  <si>
    <t>48323376P</t>
  </si>
  <si>
    <t>21502998E</t>
  </si>
  <si>
    <t>21474705L</t>
  </si>
  <si>
    <t>21450008R</t>
  </si>
  <si>
    <t>21474106H</t>
  </si>
  <si>
    <t>21436027G</t>
  </si>
  <si>
    <t>31.90.6Q.00.01</t>
  </si>
  <si>
    <t>Fernández Álvaro, Alfonso </t>
  </si>
  <si>
    <t>EL TRATAMIENTO DE LA RELACIÓN BILATERAL ENTRE ESPAÑA Y ESTADOS UNIDOS POR EL PERIODISMO ESPAÑOL DURANTE EL PERIODO 1975-2005 (LOS CASOS DE LOS PERIÓDICOS, ABD, LA VANGUARDIA Y EL PAÍS) </t>
  </si>
  <si>
    <t>02/03/2020 </t>
  </si>
  <si>
    <t>Morelle Hungría, Esteban </t>
  </si>
  <si>
    <t>Nuevos retos en la protección del medio marino. La reconexión verde: entre el derecho ambiental y la criminología para la conservación de la biodiversidad </t>
  </si>
  <si>
    <t>10/07/2020 </t>
  </si>
  <si>
    <t>09019643D</t>
  </si>
  <si>
    <t>74217631N</t>
  </si>
  <si>
    <t>COD DEP</t>
  </si>
  <si>
    <t>15423534X</t>
  </si>
  <si>
    <t>NO FUNCIONARIO</t>
  </si>
  <si>
    <t>48525115Z</t>
  </si>
  <si>
    <t>Fuentes Santamaria, Asuncion </t>
  </si>
  <si>
    <t>EL CARÁCTER CONTINGENTE DE LA ADMINISTRACIÓN MUNICIPAL: SU MODERNIZACIÓN HACIA LA ADMINISTRACIÓN ELECTRÓNICA. UN ESTUDIO DEL AYUNTAMIENTO DE ALICANTE Y SUS ORGANISMOS AUTÓNOMOS. </t>
  </si>
  <si>
    <t>04/12/2020 </t>
  </si>
  <si>
    <t>De Souza Nunes Filho, Paulo </t>
  </si>
  <si>
    <t>EL ORIGEN Y LA INSTITUCIONALIZACIÓN DEL PODER JUDICIAL DE BRASIL </t>
  </si>
  <si>
    <t>26/11/2020 </t>
  </si>
  <si>
    <t>Ribeiro Freyesleben, Luiz Eduardo </t>
  </si>
  <si>
    <t>O RENASCIMENTO DO ULTRANACIONALISMO COMO AMEAÇA À CONSTRUÇÃO DE UMA GOVERNANÇA GLOBAL AMBIENTAL </t>
  </si>
  <si>
    <t>13/05/2021 </t>
  </si>
  <si>
    <t>Maas dos Anjos, Rafael </t>
  </si>
  <si>
    <t>ECONOMIA CIRCULAR NA PÓS-MODERNIDADE: GESTÃO SUSTENTÁVEL E RESPONSÁVEL DOS RESÍDUOS SÓLIDOS PÓS-CONSUMO EM TEMPOS DE OBSOLESCÊNCIA PLANEJADA </t>
  </si>
  <si>
    <t>14/05/2021 </t>
  </si>
  <si>
    <t>U023 </t>
  </si>
  <si>
    <t>ADM. FACULTAD DE FILOSOFIA Y LETRAS </t>
  </si>
  <si>
    <t>DOCTORADO EN FILOSOFÍA Y LETRAS </t>
  </si>
  <si>
    <t>Molina Burguera, Guillermo </t>
  </si>
  <si>
    <t>LA GESTIÓN DEL ENTORNO HISTÓRICO: CASOS DE ESTUDIO EN ESPAÑA, FRANCIA Y REINO UNIDO </t>
  </si>
  <si>
    <t>02/03/2021 </t>
  </si>
  <si>
    <t>Torres Díaz, María Concepción </t>
  </si>
  <si>
    <t>El sexo de la Constitución. El discurso jurídico frente a la realidad socio-sexual de las mujeres. Un análisis crítico sobre las categorías "sexo" y "género" como categorías de relevancia constitucional </t>
  </si>
  <si>
    <t>29/06/2021 </t>
  </si>
  <si>
    <t>33487725R </t>
  </si>
  <si>
    <t>Abib Hecktheuer, Pedro </t>
  </si>
  <si>
    <t>A IMPOSSIBILIDADE DE MEGAPROJETOS HIDRELÉTRICOS QUE VIOLAM A SUSTENTABILIDADE DOS POVOS E COMUNIDADES TRADICIONAIS DA AMAZÔNIA COMO UM DIREITO CONSTITUCIONAL DIFUSO E INVIOLÁVEL. </t>
  </si>
  <si>
    <t>20/01/2021 </t>
  </si>
  <si>
    <t>31.90.6M.00.01</t>
  </si>
  <si>
    <t>31.90.6Q.00.02</t>
  </si>
  <si>
    <t>Cód. org. aplic.</t>
  </si>
  <si>
    <t>Descripción justificante</t>
  </si>
  <si>
    <t>García Ortiz, Adrián </t>
  </si>
  <si>
    <t>Orden público y Unión Europea. Una contribución a la construcción constitucional europea </t>
  </si>
  <si>
    <t>30/09/2021 </t>
  </si>
  <si>
    <t>21401019W </t>
  </si>
  <si>
    <t>Villalba Clemente, Francisco Gabriel </t>
  </si>
  <si>
    <t>El modelo constitucional de organización y financiación territorial en la República Federal de Alemania: Aportaciones al modelo español </t>
  </si>
  <si>
    <t>17/06/2022 </t>
  </si>
  <si>
    <t>09019643D </t>
  </si>
  <si>
    <t>Lima Dos Santos, Daiane </t>
  </si>
  <si>
    <t>Prisión, trabajo, derechos fundamentales y políticas públicas: Un enfoque sociojurídico de género en Brasil </t>
  </si>
  <si>
    <t>14/01/2022 </t>
  </si>
  <si>
    <t>Cordero Cervantes, Felipe Bernardo </t>
  </si>
  <si>
    <t>La nueva perspectiva de la acción de amparo en Bolivia. Referencias al recurso de amparo español </t>
  </si>
  <si>
    <t>04/02/2022 </t>
  </si>
  <si>
    <t>29075312T</t>
  </si>
  <si>
    <t>31.90.6C.00.74</t>
  </si>
  <si>
    <t>Imp.cob.aplic.</t>
  </si>
  <si>
    <t>31.90.6P.00.16</t>
  </si>
  <si>
    <t>31.90.6P.00.17</t>
  </si>
  <si>
    <t>U058 </t>
  </si>
  <si>
    <t>ADM. I.U. DE INVESTIGACIONES TURÍSTICAS</t>
  </si>
  <si>
    <t>DOCTORADO EN TURISMO </t>
  </si>
  <si>
    <t>Garulo Ramón, Carlos</t>
  </si>
  <si>
    <t>Externalización de servicios de información turística en la red tourist info de la provincia de Alicante.</t>
  </si>
  <si>
    <t>20/09/2022 </t>
  </si>
  <si>
    <t>I.U. DEL AGUA Y DE LAS CIENCIAS AMBIENTALES (10.05) </t>
  </si>
  <si>
    <t>Brasil Soldati Bortolon , Manoelle </t>
  </si>
  <si>
    <t>Nova abordagem jurídica para as águas subterrâneas e aquíferos no ordenamento jurídico brasileiro: uma proposta qualificada. </t>
  </si>
  <si>
    <t>22/09/2022 </t>
  </si>
  <si>
    <t>borges moreira lourenço, bruna </t>
  </si>
  <si>
    <t>EL DERECHO DEPORTIVO TRANSNACIONAL COMO MECANISMO PARA REDUCIR LA DESIGUALDAD DE GÉNERO EN EL DEPORTE. </t>
  </si>
  <si>
    <t>13/09/2023 </t>
  </si>
  <si>
    <t>Pizolati , Marcelo </t>
  </si>
  <si>
    <t>PARA UMA TEORIA DA DECISÃO JUDICIAL DE URGÊNCIA EM MATÉRIA AMBIENTAL: EM </t>
  </si>
  <si>
    <t>30/05/2023 </t>
  </si>
  <si>
    <t>Sánchez García de las Bayonas, Salvador </t>
  </si>
  <si>
    <t>Estudio comparado del impacto de las políticas de internacionalización de las universidades públicas de la Comunidad Valenciana. </t>
  </si>
  <si>
    <t>11/01/2023 </t>
  </si>
  <si>
    <t>03421922M </t>
  </si>
  <si>
    <t>Rubenich , Welton </t>
  </si>
  <si>
    <t>Tutela jurídica dos animais: limites jurídico-sociológicos da dignidade animal no Brasil e na Espanha </t>
  </si>
  <si>
    <t>26/04/2023 </t>
  </si>
  <si>
    <t>74217631N </t>
  </si>
  <si>
    <t>Vivos</t>
  </si>
  <si>
    <t xml:space="preserve">EBNOMI/2023/10. Convenio Resilencia </t>
  </si>
  <si>
    <t>S</t>
  </si>
  <si>
    <t>13425 EBNOMI/2022/10 PAGO (CONTABLIZACIÓN INGRESO EN FORMALIZACIÓN PARA JUSTIFICACIÓN DE CRÉDITOS, POR DESCONOCER LA ORGÁNICA CUANDO SE RECONOCIÓ EL DERECHO, DE 50.00.0I.00.00 A 31.90.6C.00.74)</t>
  </si>
  <si>
    <t>31.90.6C.00.82</t>
  </si>
  <si>
    <t xml:space="preserve">PAGO EN CONCEPTO DE EQUIVALENTE A 5 ASESORAMIENTOS COMO CONSECUENCIA DE LA PARTICIPACIÓN EN EL PROCESO DE CONTRATACIÓN EN CALIDAD DE COLABORADOR. </t>
  </si>
  <si>
    <t>PAGO  EN CONCEPTO DE EQUIVALENTE A 5 ASESORAMIENTOS COMO CONSECUENCIA DE LA CONSULTA TELEFÓNICA E INFORME SOBRE "LEGITIMACIÓN DEL TRATAMIENTO USO DE DATOS DE SALUD Y BIOMÉTRICOS EN EL CONTROL DE ACCESO DE ACUERDO CON EL CONTRATO DE SUMINISTRO E INSTALACIÓN DEL SISTEMA DE CONTROL DE ACCESOS DE LA UPTC</t>
  </si>
  <si>
    <t>31.90.6C.00.96</t>
  </si>
  <si>
    <t>Informe de apoyo a la solicitante para lograr mejor puntuación en oposiciones del INAP de Secretarios municipales</t>
  </si>
  <si>
    <t>31.90.6C.00.99</t>
  </si>
  <si>
    <t>INFORME DE DEFENSA EN LAS DILIGENCIAS PREVIAS NUMERO 2335/2018, ANTE EL JUZGADO DE INSTRUCCION NUMERO CUATRO DE ELCHE</t>
  </si>
  <si>
    <t>31.90.6C.01.00</t>
  </si>
  <si>
    <t>INFORME DE DEFENSA EN LAS DILIGENCIAS PREVIAS NUMERO 2335/2018 ANTE EL JUZGADO DE INSTRUCCION NUMERO CUATRO DE ELCHE</t>
  </si>
  <si>
    <t>31.90.6C.01.01</t>
  </si>
  <si>
    <t>ELABORACIÓ INFORME SOBRE "EL RÈGIM JURÍDIC DEL VALENCIÀ A LES ADMINISTRACIONS PÚBLIQUES"</t>
  </si>
  <si>
    <t>31.90.6C.01.02</t>
  </si>
  <si>
    <t>ASISTENCIA Y ASESORAMIENTO TURÍSTICO EN RELACION CON EL ESTATUTO DEL MUNICIPIO TURÍSTICO Y LA DOCUMENTACIÓN IVET, ASÍ COMO LA ACTUALIZACIÓN DE LOS MATERIALES TURÍSTICOS SEGÚN MODELO PET MUNICIPIOS SINGULARIDAD, CAJA DE HERRAMIENTAS Y DOCUMENTACIÓN, IMPULSADAS POR LA FEDERACIÓN VALENCIANA DE MUNICIPIOS Y PROVINCIAS (FVMP)</t>
  </si>
  <si>
    <t>31.90.6C.01.03</t>
  </si>
  <si>
    <t>REALIZACIÓN DE LA INVESTIGACIÓN TURÍSTICA: MODELO TIPO DE DESTINO TURÍSTICO INTELIGENTE PARA MUNICIPIOS, IMPULSADA POR LA FEDERACIÓN VALENCIANA DE MUNICIPIOS Y PROVINCIAS (FVMP)</t>
  </si>
  <si>
    <t>31.90.6C.01.06</t>
  </si>
  <si>
    <t>INFORME EN RELACIÓN CON EL SECTOR 14 UGARTE IGARA DE LAS NORMAS SUBSIDIARIAS DE AZKOITIA ESTUDIANDO LA REGULACIÓN DE LAS UNIDADES DE EJECUCIÓN 14.1 Y 14.2 DEL MUNICIPIO DE AZKOITIA</t>
  </si>
  <si>
    <t>31.90.6C.01.07</t>
  </si>
  <si>
    <t>INFORME PARA LA DEFENSA DE LOS BOMBEROS DEL CONSORCIO DE EMERGENCIAS DE GRAN CANARIA CON EL OBJETO DE DETERMINAR QUE SE ESTÁ APLICANDO REINCIDENTEMENTE POR EL CABILDO NORMATIVA QUE ESTÁ DEROGADA</t>
  </si>
  <si>
    <t xml:space="preserve">UA/2023 FOMENTO ACTIVIDADES UNIVERSIPUBLICAS DE LA C.V. MAT TRANSPA. </t>
  </si>
  <si>
    <t>DEVOLUCIÓN DE INGRESOS_MODELO 047_CIACO 2021 EN 2022_Nº de liquidación:46/2023/RAS/10205/1 047/_Número de justificante:047/1/002362793_Nº de referencia:047/1/002362793</t>
  </si>
  <si>
    <t xml:space="preserve">CIAICO/2021/019/074/124/158/167/173/221/279/305/328/335/339/345/348 </t>
  </si>
  <si>
    <t xml:space="preserve">DEVOLUCIÓN DE INGRESOS_MODELO 047_Nº de liquidación:46/2023/RAS/10276/1_ Número de justificante:047/1/002376790_Nº de referencia:047/1/002376790 </t>
  </si>
  <si>
    <t>31.90.6P.00.20</t>
  </si>
  <si>
    <t>ayudas CIGE/2022/4-6-8-10-15-16-21-30-36-45-46-51-52- 54-55-105-170-179</t>
  </si>
  <si>
    <t xml:space="preserve">9331 EBNOMI/2022/6 PAGO (CONTABLIZACIÓN INGRESO EN FORMALIZACIÓN PARA JUSTIFICACIÓN DE CRÉDITOS, POR DESCONOCER LA ORGÁNICA CUANDO SE RECONOCIÓ EL DERECHO, DE 50.00.0I.00.00 A 31.90.6Q.00.01 ) </t>
  </si>
  <si>
    <t>EBNOMI/2023/6. CÁTEDRA ECONOMÍA AZUL</t>
  </si>
  <si>
    <t>2306005CU0. LIB. 1 S/PPTA. D.G.DE 06/04/23(50% CONVEN.) ACUERDO DE COOPERACIÓN DE LA CÁTEDRA NUEVA TRANS.VERDE DE LA UA.</t>
  </si>
  <si>
    <t>23-06-005-CU-0. SUBVENCION LIQUIDACION DEL CONVENIO DE COOPERACION DE LA CATEDRA DE NUEVA TRANSICIÓN VERDE E LA UA</t>
  </si>
  <si>
    <t>U020</t>
  </si>
  <si>
    <t>I.U. DEL AGUA Y DE LAS CIENCIAS AMBIENTALES (10.05)</t>
  </si>
  <si>
    <t>DOCTORADO EN AGUA Y DESARROLLO SOSTENIBLE</t>
  </si>
  <si>
    <t>Jenichen Filho , Artur</t>
  </si>
  <si>
    <t>O EFETIVO ACESSO À ÁGUA POTÁVEL COMO DIREITO FUNDAMENTAL NO ORDENAMENTO JURÍDICO BRASILEIRO: DEMONSTRAÇÃO DESSA POSSIBILIDADE A PARTIR DE ANÁLISES DE NORMAS DE DIREITO BRASILEIRO E ESPANHOL</t>
  </si>
  <si>
    <t>23/02/2024</t>
  </si>
  <si>
    <t>Codirector de tesis</t>
  </si>
  <si>
    <t>ESTUDIOS JURIDICOS DEL ESTADO</t>
  </si>
  <si>
    <t>U025</t>
  </si>
  <si>
    <t>ADM. FACULTAD DE DERECHO</t>
  </si>
  <si>
    <t>DOCTORADO EN DERECHO</t>
  </si>
  <si>
    <t>Zambrano Yépez, René Alejandro</t>
  </si>
  <si>
    <t>La responsabilidad extracontractual del estado en El Ecuador</t>
  </si>
  <si>
    <t>23/11/2023</t>
  </si>
  <si>
    <t>Barbera Bustos, José Luis</t>
  </si>
  <si>
    <t>Disciplina urbanística: configuración normativa y análisis jurisprudencial</t>
  </si>
  <si>
    <t>06/11/2023</t>
  </si>
  <si>
    <t>Director de tesis</t>
  </si>
  <si>
    <t>Retamal Valenzuela, Jorge Roberto</t>
  </si>
  <si>
    <t>Tribunales ambientales y medidas cautelares en el proceso ambiental chileno (descripción y estándares mínimos de admisibilidad)</t>
  </si>
  <si>
    <t>U075</t>
  </si>
  <si>
    <t>I.U.INVESTIGACIÓN DE ESTUDIOS SOCIALES DE AMÉRICA LATINA (10.25)</t>
  </si>
  <si>
    <t>DOCTORADO EN HUMANIDADES Y ESTUDIOS SOCIALES DE AMÉRICA LATINA</t>
  </si>
  <si>
    <t>Gómez Pulgarin, Dora</t>
  </si>
  <si>
    <t>Impacto de la Educación para el Desarrollo Sostenible en las Universidades de Alta Calidad asociadas a la Corporación de Universidades del Centro de Bogotá y su alineación con el Plan Distrital de Desarrollo 2020-2024</t>
  </si>
  <si>
    <t>29/07/2024</t>
  </si>
  <si>
    <t>03421922M</t>
  </si>
  <si>
    <t>21445733G</t>
  </si>
  <si>
    <t>21697052W</t>
  </si>
  <si>
    <t>20</t>
  </si>
  <si>
    <t>Box Berna, Miguel Pascual</t>
  </si>
  <si>
    <t>Hacia un nuevo modelo de la policía española</t>
  </si>
  <si>
    <t>20/09/2024</t>
  </si>
  <si>
    <t>Furtado Loubet, Luciano</t>
  </si>
  <si>
    <t>Tutela jurídica da paisagem: elementos essenciais, instrumentos de proteção e critérios de ponderação</t>
  </si>
  <si>
    <t>24/09/2024</t>
  </si>
  <si>
    <t>Org. aplic.</t>
  </si>
  <si>
    <t>Imp. aplic.</t>
  </si>
  <si>
    <t>31.90.2T.00.14</t>
  </si>
  <si>
    <t xml:space="preserve">LIQ-TitProp_9440-1-2 Curso_2023-24 AñoCont_2023 - EXPERTO/A EN CONTRATACIÓN PÚBLICA </t>
  </si>
  <si>
    <t xml:space="preserve">LIQ-TitProp_9440-2 Curso_2023-24 AñoCont_2023 - EXPERTO/A EN CONTRATACIÓN PÚBLICA </t>
  </si>
  <si>
    <t>INGRESO PERCIBIDO POR LA UNIVERSIDAD DE ALICANTE EN CONCEPTO DE 50% DE TASAS DE MATRÍCULA DEL CURSO DE EXPERTO EN CONTRATACIÓN PÚBLICA.</t>
  </si>
  <si>
    <t>INGRESO PERCIBIDO POR LA UNIVERSIDAD DE ALICANTE EN VIRTUD DE CONVENIO ESPECÍFICO ENTRE LA UNIVERSIDAD DE ALICANTE Y LA ESCUELA UNIVERSITARIA DE RELACIONES LABORALES DE ELDA, CON EL AYUNTAMIENTO DE ELDA, PARA LA REALIZACIÓN DE"TÍTULO PROPIO/PROGRAMA DE ESTUDIOS PROPIOS EN CONTRATACIÓN PÚBLICA".</t>
  </si>
  <si>
    <t xml:space="preserve">Liq.PPub_311,00__ADRmsa_2024__EFP Enseñanzas Formación Permanente - Master, Especialista y Experto.  LIQ-TitProp_9440- Curso_2024-25 AñoCont_2024 - EXPERTO/A EN CONTRATACIÓN PÚBLICA </t>
  </si>
  <si>
    <t xml:space="preserve">AD_Liq.PPub_311,00__ADRmsa_2024__EFP Enseñanzas Formación Permanente - Master, Especialista y Experto.  LIQ-TitProp_9440- Curso_2024-25 AñoCont_2024 - EXPERTO/A EN CONTRATACIÓN PÚBLICA </t>
  </si>
  <si>
    <t xml:space="preserve">LIQ-EP_Plan_9440-N Curso_2024-25_AñoCont_2024 TipoRec_Emitido - EXPERTO/A EN CONTRATACIÓN PÚBLICA _ (Cierre-24) </t>
  </si>
  <si>
    <t>Tercer pago de 833,33 tras la realización de los cinco asesoramientos anteriores a la empresa</t>
  </si>
  <si>
    <t>31.90.6C.00.98</t>
  </si>
  <si>
    <t>Prestación de asesoramiento y asistencia científico-técnica en materia de protección de datos y su aplicación en el ámbito de las administraciones públicas, mediante la colaboración en los procesos de contratación pública.</t>
  </si>
  <si>
    <t>31.90.6C.01.10</t>
  </si>
  <si>
    <t>ELABORACIÓN INFORME PARA SOLICITUD DE RECLAMACION DE RESPONSABILIDAD PATRIMONIAL EN CUMPLIMIENTO DE LA SENTENCIA 387/23, DICTADA EL 12 DE MAYO DE 2023 POR LA SECCIÓN 2ª, SALA DE LO CONTENCIOSO ADMINISTRATIVO DEL TRIBUNAL SUPERIOR DE JUSTICIA DE LA COMUNIDAD VALENCIANA, RECURSO DE APELACIÓN 367/2022</t>
  </si>
  <si>
    <t>31.90.6C.01.11</t>
  </si>
  <si>
    <t>Informe sobre la vigencia de la memoria ambiental o declaración ambiental estratégica de la revisión del PGOU de Aledo (Murcia) suscrita por resolución de la DG de Medio Ambiente el 30 de junio de 2017.</t>
  </si>
  <si>
    <t>31.90.6C.01.12</t>
  </si>
  <si>
    <t>Dictamen para el análisis de motivos de interés casacional autonómico tras Sentencia del TSJ de la Comunidad Valenciana con estimación parcial relativa a la Ordenación Farmacéutica de la Comunidad Valenciana y su normativa de desarrollo para la continuidad del servicio de dispensación de medicamentos en oficina de farmacia</t>
  </si>
  <si>
    <t xml:space="preserve">UA/2023 CONVENI FOMENT CÀTEDRA TRANSPARÈNCIA I BON GOVERN                       UNIV. ALACANT (BESTRETA 30%) </t>
  </si>
  <si>
    <t>31.90.6N.00.03</t>
  </si>
  <si>
    <t>12110 S8333 BESTRETA 30% CONVENI AMB LAU.A.2020 MATERIA TRANSPARENCIA I BON    GOVERN (PARTICIPACIÓN TRANSPAR.COOPERACIÓ YC.DEM)</t>
  </si>
  <si>
    <t>DEVOLUCIÓN DE INGRESOS_MODELO 047_Nº DE LIQUIDACIÓN: 46/2024/RAS/10135/1_ Nº DE JUSTIFICANTE: 047/1/002493531/ Nº DE REFERENCIA: 047/1/002493531</t>
  </si>
  <si>
    <t>ayudas CIGE/2022/4, CIGE/2022/6, CIGE/2022/8, CIGE/2022/15, CIGE/2022/16, CIGE/2022/21, CIGE/2022/30, CIGE/2022/45, CIGE/2022/46, CIGE/2022/51, CIGE/2022/52, CIGE/2022/54, CIGE/2022/55, CIGE/2022/105, CIGE/2022/170, CIGE/2022/179</t>
  </si>
  <si>
    <t>DEVOLUCIÓN DE INGRESOS_ MODELO 047_ Nº DE LIQUIDACIÓN: 46/2024/RAS/10325/1 Nº DE JUSTIFICANTE: 047/1/002551836_Nº DE REFERENCIA: 047/1/002551836</t>
  </si>
  <si>
    <t>31.90.6P.00.21</t>
  </si>
  <si>
    <t>ayudas CIAORG/2023/2, CIAORG/2023/4, CIAORG/2023/11, CIAORG/2023/15, CIAORG/2023/28, CIAORG/2023/40, CIAORG/2023/43, CIAORG/2023/54, CIAORG/2023/62, CIAORG/2023/65, CIAORG/2023/73, CIAORG/2023/91, CIAORG/2023/152, CIAORG/2023/154, CIAORG/2023/169, CIAORG/2023/170, CIAORG/2023/178 (LINEA DE SUBVENCIÓN S0296)</t>
  </si>
  <si>
    <t>Convenio CÁTEDRA ECONOMÍA AZUL. Exp RESOL1/2024/S1437000. Fac. 6003580363. Presup. S143700000</t>
  </si>
  <si>
    <t>31.90.6Q.00.03</t>
  </si>
  <si>
    <t>CATEDRA BUEN GOBIERNO Y TRANSPARENCIA (30%)</t>
  </si>
  <si>
    <t>CÁTEDRA BUEN GOBIERNO (S081400000. FACT: 6003378156)</t>
  </si>
  <si>
    <t>10.91.2T.00.01</t>
  </si>
  <si>
    <t xml:space="preserve">Plan_9360 Curso_2022-23_Emitido_2023 ___ EXPERTO/A EN CONTRATACIÓN PÚBLICA </t>
  </si>
  <si>
    <t xml:space="preserve">INGRESO CORRESPONDIENTE A SUBVENCIÓN CONVENIO Y ADENDA EXPERTO UNIVERSITARIO EN CONTRATACIÓN PÚBLICA. EL CENTRO DE FORMACIÓN CONTINUA, QUE INFORMA DE ESTE INGRESO,  NOS COMUNICA QUE NO HAY QUE APLICARLE RETENCIÓN VÍA TELEFÓNICA. </t>
  </si>
  <si>
    <t>REMESA DEVOLUCIÓN DE TASAS NÓMINAS_REMESA Nº 2023DTR218373_RDT INVERSA:2023EXPADM1357</t>
  </si>
  <si>
    <t>INGRESO CORRESPONDIENTE A SUBVENCIÓN CONVENIO Y ADENDA EXPERTO UNIVERSITARIO EN CONTRATACIÓN PÚBLICA. EL CENTRO DE FORMACIÓN CONTINUA, QUE INFORMA DE ESTE INGRESO,  NOS COMUNICA QUE NO HAY QUE APLICARLE RETENCIÓN.</t>
  </si>
  <si>
    <t>Administración Facultad de Derecho</t>
  </si>
  <si>
    <t>Marco Sánchez, María Pilara</t>
  </si>
  <si>
    <t>La regulación del dato sanitario en la era de la inteligencia artificial</t>
  </si>
  <si>
    <t>13/02/2025</t>
  </si>
  <si>
    <t>Estudios Jurídicos del Estado</t>
  </si>
  <si>
    <t>Esteve Girbés, Jorge</t>
  </si>
  <si>
    <t>La leyenda negra de la responsabilidad patrimonial española. Una crítica al mito de la objetividad global</t>
  </si>
  <si>
    <t>27/06/2025</t>
  </si>
  <si>
    <t>Fresno Llopis, Francisco</t>
  </si>
  <si>
    <t>Sociedades y deporte profesional. Régimen jurídico, Derecho de la Competencia y control económico</t>
  </si>
  <si>
    <t>30/06/2025</t>
  </si>
  <si>
    <t>de Bom de Souza, Alisson</t>
  </si>
  <si>
    <t>Direito Fundamental à Infraestrutura Sustentável: reconhecimento a partir dos desafios socioambientais do século XXI, da teoria da tríplice função infraestrutural e da cláusula aberta dos direitos fundamentais</t>
  </si>
  <si>
    <t>22/11/2024</t>
  </si>
  <si>
    <t>Teixeira De Souza , Aulus Eduardo Teixeira De Souza</t>
  </si>
  <si>
    <t>Fundamentos teórico-filosóficos da sustentabilidade para o direito</t>
  </si>
  <si>
    <t>17/03/2025</t>
  </si>
  <si>
    <t>Williams García, Mario</t>
  </si>
  <si>
    <t>Régimen jurídico de la minería aurífera en Colombia. Impactos en su ejecución</t>
  </si>
  <si>
    <t>29/11/2024</t>
  </si>
  <si>
    <t>Camisón Yagüe, Jose Ángel</t>
  </si>
  <si>
    <t>González-Varas Ibáñez, Santiago</t>
  </si>
  <si>
    <t>80</t>
  </si>
  <si>
    <t>Beltrán Castellanos, José Miguel</t>
  </si>
  <si>
    <t>Díez Sánchez, Juan José</t>
  </si>
  <si>
    <t>Emérito</t>
  </si>
  <si>
    <t>Chofre Sirvent, José Francisco</t>
  </si>
  <si>
    <t>Alcaraz Ramos, Manuel Francisco</t>
  </si>
  <si>
    <t>Valencia Martín, Germán</t>
  </si>
  <si>
    <t>Menéndez Alzamora, Manuel</t>
  </si>
  <si>
    <t>Rosa Moreno, Juan</t>
  </si>
  <si>
    <t>Terol Gómez, Ramón</t>
  </si>
  <si>
    <t>Ortiz García, María Mercedes</t>
  </si>
  <si>
    <t>Molina Giménez, Andrés</t>
  </si>
  <si>
    <t>García Ortiz, Adrián</t>
  </si>
  <si>
    <t>Torres Díaz, María Concepción</t>
  </si>
  <si>
    <t>33487725R</t>
  </si>
  <si>
    <t>Esquembre Cerdá, María del Mar</t>
  </si>
  <si>
    <t>Almodovar Iñesta, Maria</t>
  </si>
  <si>
    <t>Martínez Gutiérrez, Rubén</t>
  </si>
  <si>
    <t>Romero Tarín, Adela</t>
  </si>
  <si>
    <t>Cantó López, María Teresa</t>
  </si>
  <si>
    <t>Ochoa Monzó, Josep</t>
  </si>
  <si>
    <t>74362926Q</t>
  </si>
  <si>
    <t>Soriano Moreno, Silvia</t>
  </si>
  <si>
    <t>31.90.6C.01.05</t>
  </si>
  <si>
    <t>Elaboración de informe y asesoramiento sobre el procedimiento a seguir para la contratación de la recogida de residuos y adaptación a la legislación vigente y para la liquidación del contrato por desequilibrios económicos del canon de vertido desde el 2006 al 2020</t>
  </si>
  <si>
    <t>31.90.6C.01.13</t>
  </si>
  <si>
    <t>ANÁLISIS DE LA NATURALEZA JURÍDICA DEL DECRETO 61/2021, Y SU MODIFICACIÓN MEDIANTE EL DECRETO 192/2021, DEL CONSELL, Y SUS CONSECUENCIAS EN EL EXP. ADM. SEGUIDO PARA EL REINTEGRO DE SUBVENCIÓN CONTRA LA MERCANTIL LEVANTINA MARKET</t>
  </si>
  <si>
    <t>31.90.6C.01.14</t>
  </si>
  <si>
    <t>Elaboración de la Valoración de Puestos de Trabajo y de propuesta de Relación de Puestos de Trabajo de l'Ajuntament de Callosa d'en Sarrià.</t>
  </si>
  <si>
    <t>DEVOLUCIÓN DE INGRESOS_MODELO 047_CIGE 2022</t>
  </si>
  <si>
    <t>Minoración ayudas CIAORG/2023/2,  CIAORG/2023/11, CIAORG/2023/15, CIAORG/2023/28, CIAORG/2023/40, CIAORG/2023/43, CIAORG/2023/54, CIAORG/2023/62, CIAORG/2023/65, CIAORG/2023/73, CIAORG/2023/91, CIAORG/2023/152, CIAORG/2023/154,  CIAORG/2023/170, CIAORG/2023/178 (LINEA DE SUBVENCIÓN S0296)</t>
  </si>
  <si>
    <t>Total ingresos de investigación 2023-25</t>
  </si>
  <si>
    <t>JOSÉ ANDRÉS NOGUERA BALLESTER, EXPERTO/A EN CONTRATACIÓN PÚBLICA (PLAN 9440), RECIBO Nº 2024745401326</t>
  </si>
  <si>
    <t xml:space="preserve">LIQ-TitProp_9440-N Curso_2024-25 AñoCont_2025 - EXPERTO/A EN CONTRATACIÓN PÚBLICA (PARTE 443 DEL 25-24-6815)  </t>
  </si>
  <si>
    <t xml:space="preserve">LIQ-TitProp_9440-1 Curso_2024-25 AñoCont_2025 - EXPERTO/A EN CONTRATACIÓN PÚBLICA </t>
  </si>
  <si>
    <t xml:space="preserve">LIQ-TitProp_9440-2 Curso_2024-25 AñoCont_2025 - EXPERTO/A EN CONTRATACIÓN PÚBLICA (PARTE 25) </t>
  </si>
  <si>
    <t>INGRESO PERCIBIDO POR LA UNIVERSIDAD DE ALICANTE EN VIRTUD DE CONVENIO ESPECÍFICO ENTRE LA UNIVERSIDAD DE ALICANTE Y LA ESCUELA UNIVERSITARIA DE RELACIONES LABORALES DE ELDA, CON EL AYUNTAMIENTO DE ELDA, PARA LA REALIZACIÓN DE"TÍTULO PROPIO/PROGRAMA DE ESTUDIOS PROPIOS EN CONTRATACIÓN PÚBLICA"_CURSO 2024-2025.</t>
  </si>
  <si>
    <t>INGRESO PERCIBIDO POR LA UNIVERSIDAD DE ALICANTE EN VIRTUD DE CONVENIO PARA LA REALIZACIÓN DE "TÍTULO PROPIO/PROGRAMA DE ESTUDIOS CONTRATACIÓN PÚBLICA".</t>
  </si>
  <si>
    <t xml:space="preserve">LIQ-TitProp_9440-N Curso_2025-26 AñoCont_2025 - EXPERTO/A EN CONTRATACIÓN PÚBLICA (CIERRE 25 APLAZADO) </t>
  </si>
  <si>
    <t>10.91.2T.00.27</t>
  </si>
  <si>
    <t xml:space="preserve">MARIA AURELIA LOPEZ LOPEZ, ESPECIALISTA EN DESALINIZACIÓN Y REUTILIZACIÓN DEL AGUA (PLAN 9398), Nº RECIBO 2024745457069 </t>
  </si>
  <si>
    <t>JUAN LUIS MARTIN ANDRADE, ESPECIALISTA EN DESALINIZACIÓN Y REUTILIZACIÓN DEL AGUA (PLAN 9398), Nº RECIBO 2024745441231</t>
  </si>
  <si>
    <t xml:space="preserve">MARC SAUCHELLI TORAN, ESPECIALISTA EN DESALINIZACIÓN Y REUTILIZACIÓN DEL AGUA (PLAN 9398), RECIBO Nº 2024745469837 </t>
  </si>
  <si>
    <t xml:space="preserve">MIQUEL PUMAROLA GARCÍA, ESPECIALISTA EN DESALINIZACIÓN Y REUTILIZACIÓN DEL AGUA (9398), RECIBO 2024740791468 </t>
  </si>
  <si>
    <t>Ana María Cachón Martín, Especialista en Desalinización y Reutilización del Agua (9398), recibo 2024738563635</t>
  </si>
  <si>
    <t>Irma Montesinos Ramón, Especialista en Desalinización y Reutilización del Agua (9398), recibo 2024738566109</t>
  </si>
  <si>
    <t>Oriol Iglesias Redondo, Especialista en Desalinización y Reutilización del Agua (9398), recibos nº  2024742387710, 2024742387894 y 2024746064491.</t>
  </si>
  <si>
    <t xml:space="preserve">LIQ-TitProp_9398-2 Curso_2024-25 AñoCont_2024 - ESPECIALISTA EN DESALINIZACIÓN Y REUTILIZACIÓN DEL AGUA (parte 25/25) </t>
  </si>
  <si>
    <t>Jan Pérez Reverte, Especialista en Desalinización y Reutilización del Agua (9398), recibos nº 2024742356927, 2024742357012 y 2024742357111.</t>
  </si>
  <si>
    <t xml:space="preserve">LIQ-TitProp_9398- Curso_2024-25 AñoCont_2025 - ESPECIALISTA EN DESALINIZACIÓN Y REUTILIZACIÓN DEL AGUA (parte 443 ad-24-6819) </t>
  </si>
  <si>
    <t xml:space="preserve">LIQ-TitProp_9398-3 Curso_2024-25 AñoCont_2025 - ESPECIALISTA EN DESALINIZACIÓN Y REUTILIZACIÓN DEL AGUA (PARTE 25/25) </t>
  </si>
  <si>
    <t>Luis Manuel Pérez Magallón, Especialista en Desalinización y Reutilización del Agua (9398), recibos nº 2024745481416, 2024745481500, 2024745481699</t>
  </si>
  <si>
    <t xml:space="preserve">LIQ-TitProp_9398-N Curso_2024-25 AñoCont_2025 - ESPECIALISTA EN DESALINIZACIÓN Y REUTILIZACIÓN DEL AGUA (JI PROCEDENTE DE AD_2024-6819 PARA INTRODUCIR EN PGCP 443).   </t>
  </si>
  <si>
    <t xml:space="preserve">LIQ-TitProp_9398-1 Curso_2025-26 AñoCont_2025 - ESPECIALISTA EN DESALINIZACIÓN Y REUTILIZACIÓN DEL AGUA (CIERRE 25 EMITIDO 25 COBRADO 25) </t>
  </si>
  <si>
    <t>LIQ-TitProp_9398-N Curso_2025-26 AñoCont_2025 - ESPECIALISTA EN DESALINIZACIÓN Y REUTILIZACIÓN DEL AGUA. (CIERRE 25 APLAZADO)</t>
  </si>
  <si>
    <t>10.91.2T.01.55</t>
  </si>
  <si>
    <t xml:space="preserve">LIQ-TitProp_9366-N Curso_2024-25 AñoCont_2025 - MÁSTER DE FORMACIÓN PERMANENTE EN TECNOLOGÍAS Y POLÍTICAS PÚBLICAS SOBRE LA </t>
  </si>
  <si>
    <t xml:space="preserve">LIQ-TitProp_GM39-N Curso_2024-25 AñoCont_2025 - EXCELENCIA COMERCIAL: MEJORA CONTINUA Y OPTIMIZACIÓN DE PROCESOS  </t>
  </si>
  <si>
    <t xml:space="preserve">LIQ-TitProp_9463-1 Curso_2024-25 AñoCont_2025 - MÁSTER DE FORMACIÓN PERMANENTE EN TECNOLOGÍAS Y POLÍTICAS PÚBLICAS SOBRE LA </t>
  </si>
  <si>
    <t xml:space="preserve">LIQ-TitProp_9463-2 Curso_2024-25 AñoCont_2025 - MÁSTER DE FORMACIÓN PERMANENTE EN TECNOLOGÍAS Y POLÍTICAS PÚBLICAS SOBRE LA </t>
  </si>
  <si>
    <t xml:space="preserve">LIQ-TitProp_9366-N Curso_2024-25 AñoCont_2025 - MÁSTER DE FORMACIÓN PERMANENTE EN TECNOLOGÍAS Y POLÍTICAS PÚBLICAS SOBRE LA (PARTE DEL 2024 QUE TENIA OTRA ORGÁNICA ASIGNADA) </t>
  </si>
  <si>
    <t xml:space="preserve">LIQ-TitProp_9463-N Curso_2025-26 AñoCont_2025 - MÁSTER DE FORMACIÓN PERMANENTE EN TECNOLOGÍAS Y POLÍTICAS PÚBLICAS SOBRE LA (CIERRE 25 EMITIDO 25 COBRADO 25) </t>
  </si>
  <si>
    <t>Total ingresos formación 2023-25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</si>
</sst>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00\ _€_-;\-* #,##0.00\ _€_-;_-* &quot;-&quot;??\ _€_-;_-@_-"/>
    <numFmt numFmtId="165" formatCode="0.0"/>
    <numFmt numFmtId="166" formatCode="#,##0.0"/>
  </numFmts>
  <fonts count="22" x14ac:knownFonts="1">
    <font>
      <sz val="11"/>
      <color theme="1"/>
      <name val="Calibri"/>
      <family val="2"/>
      <scheme val="minor"/>
    </font>
    <font>
      <sz val="8"/>
      <color theme="1"/>
      <name val="Arial"/>
      <family val="2"/>
    </font>
    <font>
      <sz val="8"/>
      <name val="Arial"/>
      <family val="2"/>
    </font>
    <font>
      <b/>
      <sz val="8"/>
      <name val="Arial"/>
      <family val="2"/>
    </font>
    <font>
      <b/>
      <sz val="8"/>
      <color indexed="8"/>
      <name val="Arial"/>
      <family val="2"/>
    </font>
    <font>
      <sz val="10"/>
      <color indexed="8"/>
      <name val="Arial"/>
      <family val="2"/>
    </font>
    <font>
      <sz val="10"/>
      <name val="Arial"/>
      <family val="2"/>
    </font>
    <font>
      <b/>
      <sz val="10"/>
      <color indexed="8"/>
      <name val="Arial"/>
      <family val="2"/>
    </font>
    <font>
      <b/>
      <sz val="10"/>
      <name val="Arial"/>
      <family val="2"/>
    </font>
    <font>
      <sz val="10"/>
      <color theme="1"/>
      <name val="Arial"/>
      <family val="2"/>
    </font>
    <font>
      <b/>
      <sz val="11"/>
      <color theme="0"/>
      <name val="Calibri"/>
      <family val="2"/>
      <scheme val="minor"/>
    </font>
    <font>
      <b/>
      <sz val="11"/>
      <color theme="1"/>
      <name val="Calibri"/>
      <family val="2"/>
      <scheme val="minor"/>
    </font>
    <font>
      <sz val="8"/>
      <color rgb="FF000000"/>
      <name val="Arial"/>
      <family val="2"/>
    </font>
    <font>
      <b/>
      <sz val="10"/>
      <color theme="1"/>
      <name val="Arial"/>
      <family val="2"/>
    </font>
    <font>
      <sz val="11"/>
      <color theme="1"/>
      <name val="Calibri"/>
      <family val="2"/>
      <scheme val="minor"/>
    </font>
    <font>
      <b/>
      <sz val="10"/>
      <color theme="0"/>
      <name val="Arial"/>
      <family val="2"/>
    </font>
    <font>
      <sz val="10"/>
      <color theme="1"/>
      <name val="Arial"/>
      <family val="2"/>
    </font>
    <font>
      <b/>
      <sz val="10"/>
      <color theme="0"/>
      <name val="Arial"/>
      <family val="2"/>
    </font>
    <font>
      <sz val="10"/>
      <color theme="1"/>
      <name val="Arial"/>
      <family val="2"/>
    </font>
    <font>
      <b/>
      <sz val="10"/>
      <color theme="0"/>
      <name val="Arial"/>
    </font>
    <font>
      <sz val="10"/>
      <color theme="1"/>
      <name val="Arial"/>
    </font>
    <font>
      <b/>
      <sz val="10"/>
      <color theme="1"/>
      <name val="Arial"/>
    </font>
  </fonts>
  <fills count="14">
    <fill>
      <patternFill patternType="none"/>
    </fill>
    <fill>
      <patternFill patternType="gray125"/>
    </fill>
    <fill>
      <patternFill patternType="solid">
        <fgColor theme="0" tint="-0.249977111117893"/>
        <bgColor indexed="64"/>
      </patternFill>
    </fill>
    <fill>
      <patternFill patternType="solid">
        <fgColor indexed="22"/>
        <bgColor indexed="64"/>
      </patternFill>
    </fill>
    <fill>
      <patternFill patternType="solid">
        <fgColor indexed="9"/>
        <bgColor indexed="64"/>
      </patternFill>
    </fill>
    <fill>
      <patternFill patternType="solid">
        <fgColor theme="9" tint="0.39997558519241921"/>
        <bgColor indexed="64"/>
      </patternFill>
    </fill>
    <fill>
      <patternFill patternType="solid">
        <fgColor rgb="FFFFFFFF"/>
        <bgColor indexed="64"/>
      </patternFill>
    </fill>
    <fill>
      <patternFill patternType="solid">
        <fgColor theme="9" tint="0.79998168889431442"/>
        <bgColor theme="9" tint="0.79998168889431442"/>
      </patternFill>
    </fill>
    <fill>
      <patternFill patternType="solid">
        <fgColor theme="9"/>
        <bgColor theme="9"/>
      </patternFill>
    </fill>
    <fill>
      <patternFill patternType="solid">
        <fgColor theme="0" tint="-0.34998626667073579"/>
        <bgColor indexed="64"/>
      </patternFill>
    </fill>
    <fill>
      <patternFill patternType="solid">
        <fgColor theme="0"/>
        <bgColor theme="9" tint="0.79998168889431442"/>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right style="medium">
        <color rgb="FF878787"/>
      </right>
      <top style="medium">
        <color rgb="FF878787"/>
      </top>
      <bottom style="medium">
        <color rgb="FF878787"/>
      </bottom>
      <diagonal/>
    </border>
    <border>
      <left style="medium">
        <color rgb="FF878787"/>
      </left>
      <right style="medium">
        <color rgb="FF878787"/>
      </right>
      <top style="medium">
        <color rgb="FF878787"/>
      </top>
      <bottom style="medium">
        <color rgb="FF878787"/>
      </bottom>
      <diagonal/>
    </border>
    <border>
      <left style="medium">
        <color rgb="FF878787"/>
      </left>
      <right/>
      <top style="medium">
        <color rgb="FF878787"/>
      </top>
      <bottom style="medium">
        <color rgb="FF878787"/>
      </bottom>
      <diagonal/>
    </border>
    <border>
      <left style="thin">
        <color theme="1"/>
      </left>
      <right style="thin">
        <color theme="1"/>
      </right>
      <top style="thin">
        <color theme="1"/>
      </top>
      <bottom/>
      <diagonal/>
    </border>
    <border>
      <left/>
      <right/>
      <top style="thin">
        <color theme="9" tint="0.39997558519241921"/>
      </top>
      <bottom style="thin">
        <color theme="9" tint="0.39997558519241921"/>
      </bottom>
      <diagonal/>
    </border>
    <border>
      <left style="thin">
        <color auto="1"/>
      </left>
      <right style="thin">
        <color auto="1"/>
      </right>
      <top/>
      <bottom style="thin">
        <color auto="1"/>
      </bottom>
      <diagonal/>
    </border>
    <border>
      <left/>
      <right/>
      <top/>
      <bottom style="thin">
        <color theme="9" tint="0.39997558519241921"/>
      </bottom>
      <diagonal/>
    </border>
    <border>
      <left/>
      <right/>
      <top style="thin">
        <color theme="9" tint="0.39997558519241921"/>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style="thin">
        <color theme="4" tint="0.39997558519241921"/>
      </left>
      <right/>
      <top style="double">
        <color theme="4"/>
      </top>
      <bottom style="thin">
        <color theme="4" tint="0.39997558519241921"/>
      </bottom>
      <diagonal/>
    </border>
    <border>
      <left/>
      <right/>
      <top style="double">
        <color theme="4"/>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s>
  <cellStyleXfs count="7">
    <xf numFmtId="0" fontId="0" fillId="0" borderId="0"/>
    <xf numFmtId="0" fontId="2" fillId="0" borderId="0"/>
    <xf numFmtId="0" fontId="5" fillId="0" borderId="0"/>
    <xf numFmtId="0" fontId="5" fillId="0" borderId="0"/>
    <xf numFmtId="0" fontId="6" fillId="0" borderId="0"/>
    <xf numFmtId="0" fontId="1" fillId="0" borderId="0"/>
    <xf numFmtId="164" fontId="14" fillId="0" borderId="0" applyFont="0" applyFill="0" applyBorder="0" applyAlignment="0" applyProtection="0"/>
  </cellStyleXfs>
  <cellXfs count="96">
    <xf numFmtId="0" fontId="0" fillId="0" borderId="0" xfId="0"/>
    <xf numFmtId="0" fontId="3" fillId="3" borderId="1" xfId="1" applyFont="1" applyFill="1" applyBorder="1" applyAlignment="1">
      <alignment horizontal="center"/>
    </xf>
    <xf numFmtId="0" fontId="4" fillId="3" borderId="1" xfId="1" applyFont="1" applyFill="1" applyBorder="1" applyAlignment="1">
      <alignment horizontal="center"/>
    </xf>
    <xf numFmtId="0" fontId="4" fillId="3" borderId="1" xfId="2" applyFont="1" applyFill="1" applyBorder="1" applyAlignment="1">
      <alignment horizontal="center"/>
    </xf>
    <xf numFmtId="0" fontId="4" fillId="3" borderId="1" xfId="3" applyFont="1" applyFill="1" applyBorder="1" applyAlignment="1">
      <alignment horizontal="center" wrapText="1"/>
    </xf>
    <xf numFmtId="0" fontId="4" fillId="3" borderId="1" xfId="3" applyFont="1" applyFill="1" applyBorder="1" applyAlignment="1">
      <alignment horizontal="right" wrapText="1"/>
    </xf>
    <xf numFmtId="0" fontId="2" fillId="4" borderId="0" xfId="1" applyFill="1"/>
    <xf numFmtId="0" fontId="2" fillId="4" borderId="0" xfId="1" applyFill="1" applyAlignment="1">
      <alignment horizontal="right"/>
    </xf>
    <xf numFmtId="0" fontId="8" fillId="5" borderId="1" xfId="3" applyFont="1" applyFill="1" applyBorder="1" applyAlignment="1">
      <alignment horizontal="center" textRotation="90" wrapText="1"/>
    </xf>
    <xf numFmtId="0" fontId="8" fillId="3" borderId="1" xfId="3" applyFont="1" applyFill="1" applyBorder="1" applyAlignment="1">
      <alignment horizontal="center" textRotation="90" wrapText="1"/>
    </xf>
    <xf numFmtId="0" fontId="5" fillId="0" borderId="0" xfId="5" applyFont="1"/>
    <xf numFmtId="0" fontId="9" fillId="0" borderId="0" xfId="5" applyFont="1"/>
    <xf numFmtId="0" fontId="9" fillId="0" borderId="0" xfId="5" applyFont="1" applyAlignment="1">
      <alignment horizontal="right"/>
    </xf>
    <xf numFmtId="0" fontId="7" fillId="2" borderId="1" xfId="0" applyFont="1" applyFill="1" applyBorder="1"/>
    <xf numFmtId="0" fontId="7" fillId="2" borderId="1" xfId="0" applyFont="1" applyFill="1" applyBorder="1" applyAlignment="1">
      <alignment textRotation="90"/>
    </xf>
    <xf numFmtId="0" fontId="0" fillId="0" borderId="1" xfId="0" applyBorder="1" applyAlignment="1">
      <alignment horizontal="center"/>
    </xf>
    <xf numFmtId="0" fontId="2" fillId="4" borderId="1" xfId="1" applyFill="1" applyBorder="1"/>
    <xf numFmtId="0" fontId="2" fillId="4" borderId="2" xfId="1" applyFill="1" applyBorder="1"/>
    <xf numFmtId="0" fontId="12" fillId="6" borderId="1" xfId="0" applyFont="1" applyFill="1" applyBorder="1" applyAlignment="1">
      <alignment horizontal="left" vertical="center"/>
    </xf>
    <xf numFmtId="0" fontId="12" fillId="6" borderId="3" xfId="0" applyFont="1" applyFill="1" applyBorder="1" applyAlignment="1">
      <alignment horizontal="left" vertical="center"/>
    </xf>
    <xf numFmtId="0" fontId="12" fillId="6" borderId="4" xfId="0" applyFont="1" applyFill="1" applyBorder="1" applyAlignment="1">
      <alignment horizontal="left" vertical="center"/>
    </xf>
    <xf numFmtId="0" fontId="12" fillId="6" borderId="5" xfId="0" applyFont="1" applyFill="1" applyBorder="1" applyAlignment="1">
      <alignment horizontal="left" vertical="center"/>
    </xf>
    <xf numFmtId="0" fontId="2" fillId="4" borderId="1" xfId="1" applyFill="1" applyBorder="1" applyAlignment="1">
      <alignment horizontal="right"/>
    </xf>
    <xf numFmtId="166" fontId="2" fillId="4" borderId="2" xfId="1" applyNumberFormat="1" applyFill="1" applyBorder="1"/>
    <xf numFmtId="0" fontId="2" fillId="4" borderId="2" xfId="1" applyFill="1" applyBorder="1" applyAlignment="1">
      <alignment horizontal="right"/>
    </xf>
    <xf numFmtId="1" fontId="2" fillId="4" borderId="2" xfId="1" applyNumberFormat="1" applyFill="1" applyBorder="1"/>
    <xf numFmtId="165" fontId="2" fillId="4" borderId="2" xfId="1" applyNumberFormat="1" applyFill="1" applyBorder="1"/>
    <xf numFmtId="0" fontId="2" fillId="0" borderId="1" xfId="1" applyBorder="1"/>
    <xf numFmtId="0" fontId="2" fillId="4" borderId="6" xfId="1" applyFill="1" applyBorder="1"/>
    <xf numFmtId="0" fontId="8" fillId="3" borderId="1" xfId="3" applyFont="1" applyFill="1" applyBorder="1" applyAlignment="1">
      <alignment horizontal="center" wrapText="1"/>
    </xf>
    <xf numFmtId="0" fontId="16" fillId="7" borderId="7" xfId="0" applyFont="1" applyFill="1" applyBorder="1"/>
    <xf numFmtId="0" fontId="2" fillId="4" borderId="8" xfId="1" applyFill="1" applyBorder="1"/>
    <xf numFmtId="0" fontId="2" fillId="0" borderId="8" xfId="0" applyFont="1" applyBorder="1"/>
    <xf numFmtId="0" fontId="2" fillId="0" borderId="1" xfId="0" applyFont="1" applyBorder="1"/>
    <xf numFmtId="0" fontId="18" fillId="7" borderId="7" xfId="0" applyFont="1" applyFill="1" applyBorder="1"/>
    <xf numFmtId="43" fontId="0" fillId="7" borderId="7" xfId="6" applyNumberFormat="1" applyFont="1" applyFill="1" applyBorder="1"/>
    <xf numFmtId="0" fontId="18" fillId="0" borderId="7" xfId="0" applyFont="1" applyBorder="1"/>
    <xf numFmtId="43" fontId="0" fillId="0" borderId="7" xfId="6" applyNumberFormat="1" applyFont="1" applyBorder="1"/>
    <xf numFmtId="43" fontId="0" fillId="0" borderId="0" xfId="0" applyNumberFormat="1"/>
    <xf numFmtId="165" fontId="4" fillId="3" borderId="1" xfId="1" applyNumberFormat="1" applyFont="1" applyFill="1" applyBorder="1" applyAlignment="1">
      <alignment horizontal="center"/>
    </xf>
    <xf numFmtId="0" fontId="9" fillId="9" borderId="0" xfId="5" applyFont="1" applyFill="1"/>
    <xf numFmtId="0" fontId="9" fillId="9" borderId="0" xfId="5" applyFont="1" applyFill="1" applyAlignment="1">
      <alignment horizontal="right"/>
    </xf>
    <xf numFmtId="0" fontId="13" fillId="9" borderId="0" xfId="5" applyFont="1" applyFill="1"/>
    <xf numFmtId="0" fontId="9" fillId="0" borderId="10" xfId="0" applyFont="1" applyBorder="1"/>
    <xf numFmtId="0" fontId="17" fillId="8" borderId="9" xfId="0" applyFont="1" applyFill="1" applyBorder="1"/>
    <xf numFmtId="0" fontId="18" fillId="7" borderId="10" xfId="0" applyFont="1" applyFill="1" applyBorder="1"/>
    <xf numFmtId="43" fontId="0" fillId="7" borderId="10" xfId="6" applyNumberFormat="1" applyFont="1" applyFill="1" applyBorder="1"/>
    <xf numFmtId="0" fontId="9" fillId="7" borderId="10" xfId="0" applyFont="1" applyFill="1" applyBorder="1"/>
    <xf numFmtId="43" fontId="14" fillId="7" borderId="10" xfId="0" applyNumberFormat="1" applyFont="1" applyFill="1" applyBorder="1"/>
    <xf numFmtId="0" fontId="0" fillId="7" borderId="7" xfId="0" applyNumberFormat="1" applyFont="1" applyFill="1" applyBorder="1"/>
    <xf numFmtId="0" fontId="0" fillId="0" borderId="7" xfId="0" applyNumberFormat="1" applyFont="1" applyBorder="1"/>
    <xf numFmtId="0" fontId="10" fillId="8" borderId="9" xfId="0" applyFont="1" applyFill="1" applyBorder="1"/>
    <xf numFmtId="0" fontId="0" fillId="10" borderId="10" xfId="0" applyFont="1" applyFill="1" applyBorder="1"/>
    <xf numFmtId="0" fontId="0" fillId="11" borderId="0" xfId="0" applyFill="1"/>
    <xf numFmtId="0" fontId="15" fillId="8" borderId="9" xfId="0" applyFont="1" applyFill="1" applyBorder="1"/>
    <xf numFmtId="0" fontId="16" fillId="0" borderId="10" xfId="0" applyFont="1" applyBorder="1"/>
    <xf numFmtId="164" fontId="16" fillId="7" borderId="7" xfId="6" applyFont="1" applyFill="1" applyBorder="1"/>
    <xf numFmtId="164" fontId="16" fillId="0" borderId="10" xfId="6" applyFont="1" applyBorder="1"/>
    <xf numFmtId="43" fontId="0" fillId="10" borderId="10" xfId="0" applyNumberFormat="1" applyFont="1" applyFill="1" applyBorder="1"/>
    <xf numFmtId="43" fontId="10" fillId="8" borderId="9" xfId="6" applyNumberFormat="1" applyFont="1" applyFill="1" applyBorder="1"/>
    <xf numFmtId="0" fontId="0" fillId="0" borderId="10" xfId="0" applyNumberFormat="1" applyFont="1" applyBorder="1"/>
    <xf numFmtId="43" fontId="0" fillId="0" borderId="10" xfId="6" applyNumberFormat="1" applyFont="1" applyBorder="1"/>
    <xf numFmtId="0" fontId="0" fillId="0" borderId="10" xfId="0" applyFont="1" applyBorder="1"/>
    <xf numFmtId="43" fontId="14" fillId="0" borderId="10" xfId="0" applyNumberFormat="1" applyFont="1" applyBorder="1"/>
    <xf numFmtId="164" fontId="9" fillId="0" borderId="10" xfId="0" applyNumberFormat="1" applyFont="1" applyBorder="1"/>
    <xf numFmtId="0" fontId="9" fillId="7" borderId="7" xfId="0" applyNumberFormat="1" applyFont="1" applyFill="1" applyBorder="1"/>
    <xf numFmtId="43" fontId="9" fillId="7" borderId="7" xfId="6" applyNumberFormat="1" applyFont="1" applyFill="1" applyBorder="1"/>
    <xf numFmtId="0" fontId="9" fillId="0" borderId="7" xfId="0" applyNumberFormat="1" applyFont="1" applyBorder="1"/>
    <xf numFmtId="43" fontId="9" fillId="0" borderId="7" xfId="6" applyNumberFormat="1" applyFont="1" applyBorder="1"/>
    <xf numFmtId="0" fontId="9" fillId="7" borderId="10" xfId="0" applyNumberFormat="1" applyFont="1" applyFill="1" applyBorder="1"/>
    <xf numFmtId="43" fontId="9" fillId="7" borderId="10" xfId="6" applyNumberFormat="1" applyFont="1" applyFill="1" applyBorder="1"/>
    <xf numFmtId="43" fontId="9" fillId="10" borderId="10" xfId="0" applyNumberFormat="1" applyFont="1" applyFill="1" applyBorder="1"/>
    <xf numFmtId="0" fontId="13" fillId="0" borderId="1" xfId="0" applyFont="1" applyBorder="1"/>
    <xf numFmtId="164" fontId="13" fillId="0" borderId="1" xfId="6" applyFont="1" applyBorder="1"/>
    <xf numFmtId="0" fontId="19" fillId="12" borderId="11" xfId="0" applyFont="1" applyFill="1" applyBorder="1"/>
    <xf numFmtId="0" fontId="19" fillId="12" borderId="12" xfId="0" applyFont="1" applyFill="1" applyBorder="1"/>
    <xf numFmtId="0" fontId="20" fillId="13" borderId="11" xfId="0" applyFont="1" applyFill="1" applyBorder="1"/>
    <xf numFmtId="0" fontId="20" fillId="13" borderId="12" xfId="0" applyFont="1" applyFill="1" applyBorder="1"/>
    <xf numFmtId="164" fontId="20" fillId="13" borderId="12" xfId="6" applyFont="1" applyFill="1" applyBorder="1"/>
    <xf numFmtId="0" fontId="20" fillId="0" borderId="11" xfId="0" applyFont="1" applyBorder="1"/>
    <xf numFmtId="0" fontId="20" fillId="0" borderId="12" xfId="0" applyFont="1" applyBorder="1"/>
    <xf numFmtId="164" fontId="20" fillId="0" borderId="12" xfId="6" applyFont="1" applyBorder="1"/>
    <xf numFmtId="0" fontId="21" fillId="0" borderId="13" xfId="0" applyFont="1" applyBorder="1"/>
    <xf numFmtId="0" fontId="21" fillId="0" borderId="14" xfId="0" applyFont="1" applyBorder="1"/>
    <xf numFmtId="164" fontId="21" fillId="0" borderId="14" xfId="6" applyFont="1" applyBorder="1"/>
    <xf numFmtId="0" fontId="11" fillId="0" borderId="1" xfId="0" applyFont="1" applyBorder="1"/>
    <xf numFmtId="164" fontId="11" fillId="0" borderId="1" xfId="6" applyFont="1" applyBorder="1"/>
    <xf numFmtId="164" fontId="11" fillId="0" borderId="0" xfId="0" applyNumberFormat="1" applyFont="1"/>
    <xf numFmtId="0" fontId="19" fillId="12" borderId="15" xfId="0" applyFont="1" applyFill="1" applyBorder="1"/>
    <xf numFmtId="164" fontId="19" fillId="12" borderId="15" xfId="6" applyFont="1" applyFill="1" applyBorder="1"/>
    <xf numFmtId="0" fontId="20" fillId="0" borderId="16" xfId="0" applyFont="1" applyBorder="1"/>
    <xf numFmtId="164" fontId="20" fillId="0" borderId="16" xfId="6" applyFont="1" applyBorder="1"/>
    <xf numFmtId="0" fontId="9" fillId="0" borderId="16" xfId="0" applyFont="1" applyBorder="1"/>
    <xf numFmtId="164" fontId="9" fillId="0" borderId="16" xfId="0" applyNumberFormat="1" applyFont="1" applyBorder="1"/>
    <xf numFmtId="0" fontId="9" fillId="13" borderId="12" xfId="0" applyFont="1" applyFill="1" applyBorder="1"/>
    <xf numFmtId="164" fontId="9" fillId="13" borderId="12" xfId="6" applyFont="1" applyFill="1" applyBorder="1"/>
  </cellXfs>
  <cellStyles count="7">
    <cellStyle name="Millares" xfId="6" builtinId="3"/>
    <cellStyle name="Normal" xfId="0" builtinId="0"/>
    <cellStyle name="Normal 2" xfId="4" xr:uid="{00000000-0005-0000-0000-000001000000}"/>
    <cellStyle name="Normal 3" xfId="5" xr:uid="{00000000-0005-0000-0000-000002000000}"/>
    <cellStyle name="Normal_Becas 14_9_2005" xfId="2" xr:uid="{00000000-0005-0000-0000-000003000000}"/>
    <cellStyle name="Normal_Ind.2010" xfId="1" xr:uid="{00000000-0005-0000-0000-000004000000}"/>
    <cellStyle name="Normal_PDI por Centro" xfId="3" xr:uid="{00000000-0005-0000-0000-000007000000}"/>
  </cellStyles>
  <dxfs count="49">
    <dxf>
      <font>
        <b val="0"/>
        <i val="0"/>
        <strike val="0"/>
        <condense val="0"/>
        <extend val="0"/>
        <outline val="0"/>
        <shadow val="0"/>
        <u val="none"/>
        <vertAlign val="baseline"/>
        <sz val="10"/>
        <color theme="1"/>
        <name val="Arial"/>
        <scheme val="none"/>
      </font>
      <border diagonalUp="0" diagonalDown="0" outline="0">
        <left/>
        <right/>
        <top/>
        <bottom/>
      </border>
    </dxf>
    <dxf>
      <font>
        <b val="0"/>
        <i val="0"/>
        <strike val="0"/>
        <condense val="0"/>
        <extend val="0"/>
        <outline val="0"/>
        <shadow val="0"/>
        <u val="none"/>
        <vertAlign val="baseline"/>
        <sz val="10"/>
        <color theme="1"/>
        <name val="Arial"/>
        <scheme val="none"/>
      </font>
      <border diagonalUp="0" diagonalDown="0" outline="0">
        <left/>
        <right/>
        <top/>
        <bottom/>
      </border>
    </dxf>
    <dxf>
      <font>
        <b val="0"/>
        <i val="0"/>
        <strike val="0"/>
        <condense val="0"/>
        <extend val="0"/>
        <outline val="0"/>
        <shadow val="0"/>
        <u val="none"/>
        <vertAlign val="baseline"/>
        <sz val="10"/>
        <color theme="1"/>
        <name val="Arial"/>
        <scheme val="none"/>
      </font>
      <border diagonalUp="0" diagonalDown="0" outline="0">
        <left/>
        <right/>
        <top/>
        <bottom/>
      </border>
    </dxf>
    <dxf>
      <font>
        <b/>
        <i val="0"/>
        <strike val="0"/>
        <condense val="0"/>
        <extend val="0"/>
        <outline val="0"/>
        <shadow val="0"/>
        <u val="none"/>
        <vertAlign val="baseline"/>
        <sz val="10"/>
        <color theme="0"/>
        <name val="Arial"/>
        <scheme val="none"/>
      </font>
      <fill>
        <patternFill patternType="solid">
          <fgColor theme="4"/>
          <bgColor theme="4"/>
        </patternFill>
      </fill>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0"/>
        <color theme="1"/>
        <name val="Arial"/>
        <scheme val="none"/>
      </font>
      <border diagonalUp="0" diagonalDown="0">
        <left/>
        <right/>
        <top style="thin">
          <color theme="4" tint="0.39997558519241921"/>
        </top>
        <bottom style="thin">
          <color theme="4" tint="0.39997558519241921"/>
        </bottom>
        <vertical/>
        <horizontal/>
      </border>
    </dxf>
    <dxf>
      <border outline="0">
        <top style="thin">
          <color theme="4" tint="0.39997558519241921"/>
        </top>
      </border>
    </dxf>
    <dxf>
      <border outline="0">
        <bottom style="thin">
          <color theme="4" tint="0.39997558519241921"/>
        </bottom>
      </border>
    </dxf>
    <dxf>
      <border outline="0">
        <left style="thin">
          <color theme="4" tint="0.39997558519241921"/>
        </left>
        <top style="thin">
          <color theme="4" tint="0.39997558519241921"/>
        </top>
        <bottom style="thin">
          <color theme="4" tint="0.39997558519241921"/>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numFmt numFmtId="35" formatCode="_-* #,##0.00_-;\-* #,##0.00_-;_-* &quot;-&quot;??_-;_-@_-"/>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0"/>
        </patternFill>
      </fill>
    </dxf>
    <dxf>
      <font>
        <b val="0"/>
        <i val="0"/>
        <strike val="0"/>
        <condense val="0"/>
        <extend val="0"/>
        <outline val="0"/>
        <shadow val="0"/>
        <u val="none"/>
        <vertAlign val="baseline"/>
        <sz val="10"/>
        <color theme="1"/>
        <name val="Arial"/>
        <family val="2"/>
        <scheme val="none"/>
      </font>
      <numFmt numFmtId="0" formatCode="General"/>
      <fill>
        <patternFill patternType="solid">
          <fgColor theme="9" tint="0.79998168889431442"/>
          <bgColor theme="9" tint="0.79998168889431442"/>
        </patternFill>
      </fill>
      <border diagonalUp="0" diagonalDown="0" outline="0">
        <left/>
        <right/>
        <top style="thin">
          <color theme="9" tint="0.39997558519241921"/>
        </top>
        <bottom style="thin">
          <color theme="9" tint="0.39997558519241921"/>
        </bottom>
      </border>
    </dxf>
    <dxf>
      <border outline="0">
        <top style="thin">
          <color theme="9" tint="0.39997558519241921"/>
        </top>
      </border>
    </dxf>
    <dxf>
      <fill>
        <patternFill>
          <bgColor theme="0"/>
        </patternFill>
      </fill>
    </dxf>
    <dxf>
      <border outline="0">
        <left style="thin">
          <color theme="9" tint="0.39997558519241921"/>
        </left>
        <top style="thin">
          <color theme="9" tint="0.39997558519241921"/>
        </top>
        <bottom style="thin">
          <color theme="9" tint="0.39997558519241921"/>
        </bottom>
      </border>
    </dxf>
    <dxf>
      <font>
        <strike val="0"/>
        <outline val="0"/>
        <shadow val="0"/>
        <u val="none"/>
        <vertAlign val="baseline"/>
        <sz val="10"/>
        <color theme="1"/>
        <name val="Arial"/>
        <family val="2"/>
        <scheme val="none"/>
      </font>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font>
        <b val="0"/>
        <i val="0"/>
        <strike val="0"/>
        <condense val="0"/>
        <extend val="0"/>
        <outline val="0"/>
        <shadow val="0"/>
        <u val="none"/>
        <vertAlign val="baseline"/>
        <sz val="10"/>
        <color theme="1"/>
        <name val="Arial"/>
        <family val="2"/>
        <scheme val="none"/>
      </font>
      <numFmt numFmtId="164" formatCode="_-* #,##0.00\ _€_-;\-* #,##0.00\ _€_-;_-* &quot;-&quot;??\ _€_-;_-@_-"/>
      <border diagonalUp="0" diagonalDown="0" outline="0">
        <left/>
        <right/>
        <top style="thin">
          <color theme="9" tint="0.39997558519241921"/>
        </top>
        <bottom/>
      </border>
    </dxf>
    <dxf>
      <font>
        <strike val="0"/>
        <outline val="0"/>
        <shadow val="0"/>
        <u val="none"/>
        <vertAlign val="baseline"/>
        <sz val="10"/>
        <color theme="1"/>
        <name val="Arial"/>
        <family val="2"/>
        <scheme val="none"/>
      </font>
      <border diagonalUp="0" diagonalDown="0" outline="0">
        <left/>
        <right/>
        <top style="thin">
          <color theme="9" tint="0.39997558519241921"/>
        </top>
        <bottom/>
      </border>
    </dxf>
    <dxf>
      <font>
        <strike val="0"/>
        <outline val="0"/>
        <shadow val="0"/>
        <u val="none"/>
        <vertAlign val="baseline"/>
        <sz val="10"/>
        <color theme="1"/>
        <name val="Arial"/>
        <family val="2"/>
        <scheme val="none"/>
      </font>
      <border diagonalUp="0" diagonalDown="0" outline="0">
        <left/>
        <right/>
        <top style="thin">
          <color theme="9" tint="0.39997558519241921"/>
        </top>
        <bottom/>
      </border>
    </dxf>
    <dxf>
      <border outline="0">
        <top style="thin">
          <color theme="9" tint="0.39997558519241921"/>
        </top>
      </border>
    </dxf>
    <dxf>
      <font>
        <strike val="0"/>
        <outline val="0"/>
        <shadow val="0"/>
        <u val="none"/>
        <vertAlign val="baseline"/>
        <sz val="10"/>
        <color theme="1"/>
        <name val="Arial"/>
        <family val="2"/>
        <scheme val="none"/>
      </font>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0" formatCode="Genera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1"/>
        <color theme="1"/>
        <name val="Calibri"/>
        <family val="2"/>
        <scheme val="minor"/>
      </font>
      <numFmt numFmtId="35" formatCode="_-* #,##0.00_-;\-* #,##0.00_-;_-* &quot;-&quot;??_-;_-@_-"/>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outline="0">
        <left/>
        <right/>
        <top/>
        <bottom/>
      </border>
    </dxf>
    <dxf>
      <font>
        <b val="0"/>
        <i val="0"/>
        <strike val="0"/>
        <condense val="0"/>
        <extend val="0"/>
        <outline val="0"/>
        <shadow val="0"/>
        <u val="none"/>
        <vertAlign val="baseline"/>
        <sz val="10"/>
        <color theme="1"/>
        <name val="Arial"/>
        <family val="2"/>
        <scheme val="none"/>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top style="thin">
          <color theme="9" tint="0.39997558519241921"/>
        </top>
        <bottom style="thin">
          <color theme="9" tint="0.39997558519241921"/>
        </bottom>
      </border>
    </dxf>
    <dxf>
      <border outline="0">
        <bottom style="thin">
          <color theme="9" tint="0.39997558519241921"/>
        </bottom>
      </border>
    </dxf>
    <dxf>
      <font>
        <b/>
        <i val="0"/>
        <strike val="0"/>
        <condense val="0"/>
        <extend val="0"/>
        <outline val="0"/>
        <shadow val="0"/>
        <u val="none"/>
        <vertAlign val="baseline"/>
        <sz val="10"/>
        <color theme="0"/>
        <name val="Arial"/>
        <family val="2"/>
        <scheme val="none"/>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2AFBD7-083C-4778-8CFF-B5C24D03F80B}" name="Tabla2" displayName="Tabla2" ref="A1:C23" totalsRowCount="1" headerRowDxfId="48" headerRowBorderDxfId="47" tableBorderDxfId="46" totalsRowBorderDxfId="45">
  <autoFilter ref="A1:C22" xr:uid="{08608252-F06D-4314-9E8E-20C4DA98BE83}"/>
  <tableColumns count="3">
    <tableColumn id="1" xr3:uid="{5CC232EF-263D-4C11-A09F-A0FB7D460DE4}" name="Cód. org. aplic." totalsRowLabel="Total" dataDxfId="44" totalsRowDxfId="43"/>
    <tableColumn id="2" xr3:uid="{AE3D0145-42CD-4824-93A9-64B3E9F4F5EC}" name="Descripción justificante" dataDxfId="42" totalsRowDxfId="41"/>
    <tableColumn id="3" xr3:uid="{DFB9C253-250F-4CF6-AE6D-9C912A5D4899}" name="Imp.cob.aplic." totalsRowFunction="sum" dataDxfId="40" totalsRowDxfId="39" dataCellStyle="Millares" totalsRowCellStyle="Millar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96BED1C-8A5A-4793-987F-F003482D6FDD}" name="Tabla6" displayName="Tabla6" ref="A1:C16" totalsRowCount="1" headerRowBorderDxfId="38" tableBorderDxfId="37" totalsRowBorderDxfId="36">
  <autoFilter ref="A1:C15" xr:uid="{6BA074F9-A5FE-4F37-87DD-B5A123D72D3C}"/>
  <tableColumns count="3">
    <tableColumn id="1" xr3:uid="{FFA4FB3F-9612-4816-B9F3-D87CB2761E0F}" name="Org. aplic." totalsRowLabel="Total" dataDxfId="35" totalsRowDxfId="34"/>
    <tableColumn id="2" xr3:uid="{9B875565-8613-4E41-AB65-89CEEB32CBC1}" name="Descripción justificante" dataDxfId="33" totalsRowDxfId="32"/>
    <tableColumn id="3" xr3:uid="{D110ACED-CC06-44BF-A859-78338A42F877}" name="Imp. aplic." totalsRowFunction="sum" dataDxfId="31" totalsRowDxfId="30" dataCellStyle="Millares" totalsRowCellStyle="Millare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84E0EF-0944-4153-A5E7-15BB22EA6BD0}" name="Tabla44" displayName="Tabla44" ref="A1:C6" totalsRowCount="1" headerRowDxfId="29" totalsRowDxfId="26" headerRowBorderDxfId="28" tableBorderDxfId="27" totalsRowBorderDxfId="25">
  <autoFilter ref="A1:C5" xr:uid="{EB945060-930C-424D-9456-5063A50FAD47}"/>
  <tableColumns count="3">
    <tableColumn id="1" xr3:uid="{AD737EFB-39D5-4638-A56E-0509BB595103}" name="Cód. org. aplic." totalsRowLabel="Total" totalsRowDxfId="24"/>
    <tableColumn id="2" xr3:uid="{69F3B983-EC74-4A00-A79D-9FFCFF027F05}" name="Descripción justificante" totalsRowDxfId="23"/>
    <tableColumn id="3" xr3:uid="{9CA769CE-F28C-4DC1-A4E5-520EDEFEC0E8}" name="Imp.cob.aplic." totalsRowFunction="sum" totalsRowDxfId="22" dataCellStyle="Millares"/>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D05B781-B26C-4C8B-9549-B592F150E16E}" name="Tabla5" displayName="Tabla5" ref="A1:C9" totalsRowCount="1" headerRowDxfId="21" dataDxfId="19" totalsRowDxfId="17" headerRowBorderDxfId="20" tableBorderDxfId="18" totalsRowBorderDxfId="16">
  <autoFilter ref="A1:C8" xr:uid="{78D021CC-A9B5-4420-B771-230AF197ABE0}"/>
  <tableColumns count="3">
    <tableColumn id="1" xr3:uid="{0B541C20-5938-4FFA-9016-C66CE46D14E6}" name="Org. aplic." totalsRowLabel="Total" dataDxfId="15" totalsRowDxfId="14"/>
    <tableColumn id="2" xr3:uid="{22EE79EE-3BCF-4B45-828E-D9B10C8A275D}" name="Descripción justificante" dataDxfId="13" totalsRowDxfId="12"/>
    <tableColumn id="3" xr3:uid="{44BA48DA-A76D-4769-B573-6C3AAF2B2A0A}" name="Imp. aplic." totalsRowFunction="sum" dataDxfId="11" totalsRowDxfId="10" dataCellStyle="Millares" totalsRowCellStyle="Millare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8C1B30-31FD-42AA-85B7-361C31FC0F7C}" name="Tabla1" displayName="Tabla1" ref="A1:C32" totalsRowCount="1" headerRowDxfId="3" headerRowBorderDxfId="8" tableBorderDxfId="9" totalsRowBorderDxfId="7">
  <autoFilter ref="A1:C31" xr:uid="{278C1B30-31FD-42AA-85B7-361C31FC0F7C}"/>
  <tableColumns count="3">
    <tableColumn id="1" xr3:uid="{F218851F-7247-4ABD-ADE8-D58F620A14CA}" name="Org. aplic." totalsRowLabel="Total" dataDxfId="6" totalsRowDxfId="2"/>
    <tableColumn id="2" xr3:uid="{D3CE52F5-DE7D-48D8-A223-038AEF3CAA73}" name="Descripción justificante" dataDxfId="5" totalsRowDxfId="1"/>
    <tableColumn id="3" xr3:uid="{2D89B405-9BAE-46C9-AAE3-3D1DFED38EB8}" name="Imp. aplic." totalsRowFunction="sum" dataDxfId="4" totalsRowDxfId="0" dataCellStyle="Millares" totalsRowCellStyle="Millare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8.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V37"/>
  <sheetViews>
    <sheetView showGridLines="0" zoomScale="98" zoomScaleNormal="98" workbookViewId="0">
      <pane xSplit="1" ySplit="1" topLeftCell="B2" activePane="bottomRight" state="frozen"/>
      <selection pane="topRight" activeCell="B1" sqref="B1"/>
      <selection pane="bottomLeft" activeCell="A2" sqref="A2"/>
      <selection pane="bottomRight" activeCell="E43" sqref="E43"/>
    </sheetView>
  </sheetViews>
  <sheetFormatPr baseColWidth="10" defaultColWidth="10.33203125" defaultRowHeight="10.199999999999999" x14ac:dyDescent="0.2"/>
  <cols>
    <col min="1" max="1" width="5" style="6" customWidth="1"/>
    <col min="2" max="4" width="29.6640625" style="6" customWidth="1"/>
    <col min="5" max="5" width="40.6640625" style="6" customWidth="1"/>
    <col min="6" max="6" width="9.109375" style="6" customWidth="1"/>
    <col min="7" max="7" width="9.6640625" style="6" customWidth="1"/>
    <col min="8" max="8" width="14.44140625" style="6" customWidth="1"/>
    <col min="9" max="9" width="5.88671875" style="6" customWidth="1"/>
    <col min="10" max="10" width="25.6640625" style="6" customWidth="1"/>
    <col min="11" max="12" width="5.109375" style="6" customWidth="1"/>
    <col min="13" max="13" width="4.44140625" style="6" customWidth="1"/>
    <col min="14" max="14" width="4.88671875" style="6" customWidth="1"/>
    <col min="15" max="15" width="4.88671875" style="7" customWidth="1"/>
    <col min="16" max="16" width="4.88671875" style="6" customWidth="1"/>
    <col min="17" max="17" width="3.5546875" style="7" customWidth="1"/>
    <col min="18" max="18" width="3.5546875" style="6" customWidth="1"/>
    <col min="19" max="21" width="5.109375" style="6" customWidth="1"/>
    <col min="22" max="16384" width="10.33203125" style="6"/>
  </cols>
  <sheetData>
    <row r="1" spans="1:21" ht="40.799999999999997" x14ac:dyDescent="0.2">
      <c r="A1" s="1" t="s">
        <v>1</v>
      </c>
      <c r="B1" s="2" t="s">
        <v>2</v>
      </c>
      <c r="C1" s="2" t="s">
        <v>3</v>
      </c>
      <c r="D1" s="2" t="s">
        <v>4</v>
      </c>
      <c r="E1" s="2" t="s">
        <v>5</v>
      </c>
      <c r="F1" s="2" t="s">
        <v>6</v>
      </c>
      <c r="G1" s="2" t="s">
        <v>7</v>
      </c>
      <c r="H1" s="2" t="s">
        <v>8</v>
      </c>
      <c r="I1" s="1" t="s">
        <v>9</v>
      </c>
      <c r="J1" s="2" t="s">
        <v>10</v>
      </c>
      <c r="K1" s="1" t="s">
        <v>11</v>
      </c>
      <c r="L1" s="2" t="s">
        <v>12</v>
      </c>
      <c r="M1" s="3" t="s">
        <v>13</v>
      </c>
      <c r="N1" s="4" t="s">
        <v>14</v>
      </c>
      <c r="O1" s="5" t="s">
        <v>15</v>
      </c>
      <c r="P1" s="4" t="s">
        <v>16</v>
      </c>
      <c r="Q1" s="5" t="s">
        <v>17</v>
      </c>
      <c r="R1" s="4" t="s">
        <v>18</v>
      </c>
      <c r="S1" s="4" t="s">
        <v>19</v>
      </c>
      <c r="T1" s="4" t="s">
        <v>20</v>
      </c>
      <c r="U1" s="4" t="s">
        <v>21</v>
      </c>
    </row>
    <row r="2" spans="1:21" x14ac:dyDescent="0.2">
      <c r="A2" s="17" t="s">
        <v>28</v>
      </c>
      <c r="B2" s="17" t="s">
        <v>29</v>
      </c>
      <c r="C2" s="17" t="s">
        <v>30</v>
      </c>
      <c r="D2" s="17" t="s">
        <v>76</v>
      </c>
      <c r="E2" s="17" t="s">
        <v>77</v>
      </c>
      <c r="F2" s="17" t="s">
        <v>78</v>
      </c>
      <c r="G2" s="17" t="s">
        <v>40</v>
      </c>
      <c r="H2" s="17" t="s">
        <v>26</v>
      </c>
      <c r="I2" s="17" t="s">
        <v>31</v>
      </c>
      <c r="J2" s="17" t="s">
        <v>32</v>
      </c>
      <c r="K2" s="23">
        <v>1</v>
      </c>
      <c r="L2" s="17" t="s">
        <v>37</v>
      </c>
      <c r="M2" s="17">
        <v>2019</v>
      </c>
      <c r="N2" s="17" t="s">
        <v>34</v>
      </c>
      <c r="O2" s="24" t="s">
        <v>27</v>
      </c>
      <c r="P2" s="17" t="s">
        <v>25</v>
      </c>
      <c r="Q2" s="24" t="s">
        <v>25</v>
      </c>
      <c r="R2" s="25">
        <v>90</v>
      </c>
      <c r="S2" s="26">
        <v>0.9</v>
      </c>
      <c r="T2" s="26">
        <v>0.1</v>
      </c>
      <c r="U2" s="26">
        <v>0</v>
      </c>
    </row>
    <row r="3" spans="1:21" x14ac:dyDescent="0.2">
      <c r="A3" s="17" t="s">
        <v>28</v>
      </c>
      <c r="B3" s="17" t="s">
        <v>29</v>
      </c>
      <c r="C3" s="17" t="s">
        <v>30</v>
      </c>
      <c r="D3" s="17" t="s">
        <v>79</v>
      </c>
      <c r="E3" s="17" t="s">
        <v>80</v>
      </c>
      <c r="F3" s="17" t="s">
        <v>81</v>
      </c>
      <c r="G3" s="17" t="s">
        <v>43</v>
      </c>
      <c r="H3" s="17" t="s">
        <v>26</v>
      </c>
      <c r="I3" s="17" t="s">
        <v>31</v>
      </c>
      <c r="J3" s="17" t="s">
        <v>32</v>
      </c>
      <c r="K3" s="23">
        <v>1</v>
      </c>
      <c r="L3" s="17" t="s">
        <v>37</v>
      </c>
      <c r="M3" s="17">
        <v>2019</v>
      </c>
      <c r="N3" s="17" t="s">
        <v>23</v>
      </c>
      <c r="O3" s="24" t="s">
        <v>47</v>
      </c>
      <c r="P3" s="17" t="s">
        <v>25</v>
      </c>
      <c r="Q3" s="24" t="s">
        <v>25</v>
      </c>
      <c r="R3" s="25">
        <v>60</v>
      </c>
      <c r="S3" s="26">
        <v>0.6</v>
      </c>
      <c r="T3" s="26">
        <v>0.4</v>
      </c>
      <c r="U3" s="26">
        <v>0</v>
      </c>
    </row>
    <row r="4" spans="1:21" x14ac:dyDescent="0.2">
      <c r="A4" s="16" t="s">
        <v>28</v>
      </c>
      <c r="B4" s="16" t="s">
        <v>29</v>
      </c>
      <c r="C4" s="16" t="s">
        <v>30</v>
      </c>
      <c r="D4" s="16" t="s">
        <v>88</v>
      </c>
      <c r="E4" s="16" t="s">
        <v>89</v>
      </c>
      <c r="F4" s="16" t="s">
        <v>90</v>
      </c>
      <c r="G4" s="16" t="s">
        <v>36</v>
      </c>
      <c r="H4" s="16" t="s">
        <v>26</v>
      </c>
      <c r="I4" s="16" t="s">
        <v>31</v>
      </c>
      <c r="J4" s="16" t="s">
        <v>32</v>
      </c>
      <c r="K4" s="27">
        <v>1</v>
      </c>
      <c r="L4" s="27" t="s">
        <v>37</v>
      </c>
      <c r="M4" s="28">
        <v>2019</v>
      </c>
      <c r="N4" s="16" t="s">
        <v>25</v>
      </c>
      <c r="O4" s="22" t="s">
        <v>25</v>
      </c>
      <c r="P4" s="16" t="s">
        <v>25</v>
      </c>
      <c r="Q4" s="22" t="s">
        <v>25</v>
      </c>
      <c r="R4" s="16">
        <v>100</v>
      </c>
      <c r="S4" s="16">
        <v>1</v>
      </c>
      <c r="T4" s="16">
        <v>0</v>
      </c>
      <c r="U4" s="16">
        <v>0</v>
      </c>
    </row>
    <row r="5" spans="1:21" ht="10.8" thickBot="1" x14ac:dyDescent="0.25">
      <c r="A5" s="16" t="s">
        <v>28</v>
      </c>
      <c r="B5" s="16" t="s">
        <v>29</v>
      </c>
      <c r="C5" s="16" t="s">
        <v>30</v>
      </c>
      <c r="D5" s="16" t="s">
        <v>91</v>
      </c>
      <c r="E5" s="16" t="s">
        <v>92</v>
      </c>
      <c r="F5" s="16" t="s">
        <v>93</v>
      </c>
      <c r="G5" s="16" t="s">
        <v>36</v>
      </c>
      <c r="H5" s="16" t="s">
        <v>26</v>
      </c>
      <c r="I5" s="16" t="s">
        <v>31</v>
      </c>
      <c r="J5" s="16" t="s">
        <v>32</v>
      </c>
      <c r="K5" s="27">
        <v>1</v>
      </c>
      <c r="L5" s="27" t="s">
        <v>37</v>
      </c>
      <c r="M5" s="28">
        <v>2019</v>
      </c>
      <c r="N5" s="16" t="s">
        <v>25</v>
      </c>
      <c r="O5" s="22" t="s">
        <v>25</v>
      </c>
      <c r="P5" s="16" t="s">
        <v>25</v>
      </c>
      <c r="Q5" s="22" t="s">
        <v>25</v>
      </c>
      <c r="R5" s="16">
        <v>100</v>
      </c>
      <c r="S5" s="16">
        <v>1</v>
      </c>
      <c r="T5" s="16">
        <v>0</v>
      </c>
      <c r="U5" s="16">
        <v>0</v>
      </c>
    </row>
    <row r="6" spans="1:21" ht="10.8" thickBot="1" x14ac:dyDescent="0.25">
      <c r="A6" s="18" t="s">
        <v>44</v>
      </c>
      <c r="B6" s="18" t="s">
        <v>45</v>
      </c>
      <c r="C6" s="18" t="s">
        <v>46</v>
      </c>
      <c r="D6" s="18" t="s">
        <v>94</v>
      </c>
      <c r="E6" s="18" t="s">
        <v>95</v>
      </c>
      <c r="F6" s="18" t="s">
        <v>96</v>
      </c>
      <c r="G6" s="19" t="s">
        <v>41</v>
      </c>
      <c r="H6" s="20" t="s">
        <v>22</v>
      </c>
      <c r="I6" s="20" t="s">
        <v>31</v>
      </c>
      <c r="J6" s="21" t="s">
        <v>32</v>
      </c>
      <c r="K6" s="27">
        <v>0.5</v>
      </c>
      <c r="L6" s="27" t="s">
        <v>37</v>
      </c>
      <c r="M6" s="16">
        <v>2020</v>
      </c>
      <c r="N6" s="16" t="s">
        <v>33</v>
      </c>
      <c r="O6" s="22">
        <v>60</v>
      </c>
      <c r="P6" s="16" t="s">
        <v>25</v>
      </c>
      <c r="Q6" s="22">
        <v>0</v>
      </c>
      <c r="R6" s="16">
        <v>40</v>
      </c>
      <c r="S6" s="16">
        <v>0.2</v>
      </c>
      <c r="T6" s="16">
        <v>0.3</v>
      </c>
      <c r="U6" s="16">
        <v>0</v>
      </c>
    </row>
    <row r="7" spans="1:21" ht="10.8" thickBot="1" x14ac:dyDescent="0.25">
      <c r="A7" s="18" t="s">
        <v>44</v>
      </c>
      <c r="B7" s="18" t="s">
        <v>45</v>
      </c>
      <c r="C7" s="18" t="s">
        <v>46</v>
      </c>
      <c r="D7" s="18" t="s">
        <v>97</v>
      </c>
      <c r="E7" s="18" t="s">
        <v>98</v>
      </c>
      <c r="F7" s="18" t="s">
        <v>99</v>
      </c>
      <c r="G7" s="19" t="s">
        <v>41</v>
      </c>
      <c r="H7" s="20" t="s">
        <v>22</v>
      </c>
      <c r="I7" s="20" t="s">
        <v>31</v>
      </c>
      <c r="J7" s="21" t="s">
        <v>32</v>
      </c>
      <c r="K7" s="27">
        <v>0.5</v>
      </c>
      <c r="L7" s="27" t="s">
        <v>37</v>
      </c>
      <c r="M7" s="16">
        <v>2020</v>
      </c>
      <c r="N7" s="16" t="s">
        <v>33</v>
      </c>
      <c r="O7" s="22">
        <v>60</v>
      </c>
      <c r="P7" s="16" t="s">
        <v>25</v>
      </c>
      <c r="Q7" s="22">
        <v>0</v>
      </c>
      <c r="R7" s="16">
        <v>40</v>
      </c>
      <c r="S7" s="16">
        <v>0.2</v>
      </c>
      <c r="T7" s="16">
        <v>0.3</v>
      </c>
      <c r="U7" s="16">
        <v>0</v>
      </c>
    </row>
    <row r="8" spans="1:21" ht="10.8" thickBot="1" x14ac:dyDescent="0.25">
      <c r="A8" s="18" t="s">
        <v>100</v>
      </c>
      <c r="B8" s="18" t="s">
        <v>101</v>
      </c>
      <c r="C8" s="18" t="s">
        <v>102</v>
      </c>
      <c r="D8" s="18" t="s">
        <v>103</v>
      </c>
      <c r="E8" s="18" t="s">
        <v>104</v>
      </c>
      <c r="F8" s="18" t="s">
        <v>105</v>
      </c>
      <c r="G8" s="19" t="s">
        <v>38</v>
      </c>
      <c r="H8" s="20" t="s">
        <v>22</v>
      </c>
      <c r="I8" s="20" t="s">
        <v>31</v>
      </c>
      <c r="J8" s="21" t="s">
        <v>32</v>
      </c>
      <c r="K8" s="27">
        <v>0.5</v>
      </c>
      <c r="L8" s="27" t="s">
        <v>37</v>
      </c>
      <c r="M8" s="16">
        <v>2020</v>
      </c>
      <c r="N8" s="16" t="s">
        <v>39</v>
      </c>
      <c r="O8" s="22">
        <v>10</v>
      </c>
      <c r="P8" s="16" t="s">
        <v>25</v>
      </c>
      <c r="Q8" s="22">
        <v>0</v>
      </c>
      <c r="R8" s="16">
        <v>90</v>
      </c>
      <c r="S8" s="16">
        <v>0.45</v>
      </c>
      <c r="T8" s="16">
        <v>0.05</v>
      </c>
      <c r="U8" s="16">
        <v>0</v>
      </c>
    </row>
    <row r="9" spans="1:21" ht="10.8" thickBot="1" x14ac:dyDescent="0.25">
      <c r="A9" s="18" t="s">
        <v>28</v>
      </c>
      <c r="B9" s="18" t="s">
        <v>29</v>
      </c>
      <c r="C9" s="18" t="s">
        <v>30</v>
      </c>
      <c r="D9" s="18" t="s">
        <v>117</v>
      </c>
      <c r="E9" s="18" t="s">
        <v>118</v>
      </c>
      <c r="F9" s="18" t="s">
        <v>119</v>
      </c>
      <c r="G9" s="19" t="s">
        <v>120</v>
      </c>
      <c r="H9" s="20" t="s">
        <v>26</v>
      </c>
      <c r="I9" s="20" t="s">
        <v>31</v>
      </c>
      <c r="J9" s="21" t="s">
        <v>32</v>
      </c>
      <c r="K9" s="27">
        <v>1</v>
      </c>
      <c r="L9" s="27" t="s">
        <v>37</v>
      </c>
      <c r="M9" s="16">
        <v>2020</v>
      </c>
      <c r="N9" s="16" t="s">
        <v>33</v>
      </c>
      <c r="O9" s="22">
        <v>30</v>
      </c>
      <c r="P9" s="16" t="s">
        <v>25</v>
      </c>
      <c r="Q9" s="22">
        <v>0</v>
      </c>
      <c r="R9" s="16">
        <v>70</v>
      </c>
      <c r="S9" s="16">
        <v>0.7</v>
      </c>
      <c r="T9" s="16">
        <v>0.3</v>
      </c>
      <c r="U9" s="16">
        <v>0</v>
      </c>
    </row>
    <row r="10" spans="1:21" ht="10.8" thickBot="1" x14ac:dyDescent="0.25">
      <c r="A10" s="18" t="s">
        <v>28</v>
      </c>
      <c r="B10" s="18" t="s">
        <v>29</v>
      </c>
      <c r="C10" s="18" t="s">
        <v>30</v>
      </c>
      <c r="D10" s="18" t="s">
        <v>106</v>
      </c>
      <c r="E10" s="18" t="s">
        <v>107</v>
      </c>
      <c r="F10" s="18" t="s">
        <v>108</v>
      </c>
      <c r="G10" s="19" t="s">
        <v>109</v>
      </c>
      <c r="H10" s="20" t="s">
        <v>26</v>
      </c>
      <c r="I10" s="20" t="s">
        <v>31</v>
      </c>
      <c r="J10" s="21" t="s">
        <v>32</v>
      </c>
      <c r="K10" s="27">
        <v>1</v>
      </c>
      <c r="L10" s="27" t="s">
        <v>37</v>
      </c>
      <c r="M10" s="16">
        <v>2020</v>
      </c>
      <c r="N10" s="16" t="s">
        <v>48</v>
      </c>
      <c r="O10" s="22">
        <v>60</v>
      </c>
      <c r="P10" s="16" t="s">
        <v>25</v>
      </c>
      <c r="Q10" s="22">
        <v>0</v>
      </c>
      <c r="R10" s="16">
        <v>40</v>
      </c>
      <c r="S10" s="16">
        <v>0.4</v>
      </c>
      <c r="T10" s="16">
        <v>0.6</v>
      </c>
      <c r="U10" s="16">
        <v>0</v>
      </c>
    </row>
    <row r="11" spans="1:21" ht="10.8" thickBot="1" x14ac:dyDescent="0.25">
      <c r="A11" s="18" t="s">
        <v>28</v>
      </c>
      <c r="B11" s="18" t="s">
        <v>29</v>
      </c>
      <c r="C11" s="18" t="s">
        <v>30</v>
      </c>
      <c r="D11" s="18" t="s">
        <v>110</v>
      </c>
      <c r="E11" s="18" t="s">
        <v>111</v>
      </c>
      <c r="F11" s="18" t="s">
        <v>112</v>
      </c>
      <c r="G11" s="19" t="s">
        <v>43</v>
      </c>
      <c r="H11" s="20" t="s">
        <v>22</v>
      </c>
      <c r="I11" s="20" t="s">
        <v>31</v>
      </c>
      <c r="J11" s="21" t="s">
        <v>32</v>
      </c>
      <c r="K11" s="27">
        <v>0.5</v>
      </c>
      <c r="L11" s="27" t="s">
        <v>37</v>
      </c>
      <c r="M11" s="16">
        <v>2020</v>
      </c>
      <c r="N11" s="16" t="s">
        <v>23</v>
      </c>
      <c r="O11" s="22">
        <v>40</v>
      </c>
      <c r="P11" s="16" t="s">
        <v>25</v>
      </c>
      <c r="Q11" s="22">
        <v>0</v>
      </c>
      <c r="R11" s="16">
        <v>60</v>
      </c>
      <c r="S11" s="16">
        <v>0.3</v>
      </c>
      <c r="T11" s="16">
        <v>0.2</v>
      </c>
      <c r="U11" s="16">
        <v>0</v>
      </c>
    </row>
    <row r="12" spans="1:21" x14ac:dyDescent="0.2">
      <c r="A12" s="16" t="s">
        <v>28</v>
      </c>
      <c r="B12" s="16" t="s">
        <v>29</v>
      </c>
      <c r="C12" s="16" t="s">
        <v>30</v>
      </c>
      <c r="D12" s="16" t="s">
        <v>121</v>
      </c>
      <c r="E12" s="16" t="s">
        <v>122</v>
      </c>
      <c r="F12" s="16" t="s">
        <v>123</v>
      </c>
      <c r="G12" s="16" t="s">
        <v>120</v>
      </c>
      <c r="H12" s="16" t="s">
        <v>22</v>
      </c>
      <c r="I12" s="16" t="s">
        <v>31</v>
      </c>
      <c r="J12" s="16" t="s">
        <v>32</v>
      </c>
      <c r="K12" s="27">
        <v>0.5</v>
      </c>
      <c r="L12" s="27" t="s">
        <v>37</v>
      </c>
      <c r="M12" s="16">
        <v>2021</v>
      </c>
      <c r="N12" s="16" t="s">
        <v>33</v>
      </c>
      <c r="O12" s="22">
        <v>30</v>
      </c>
      <c r="P12" s="16" t="s">
        <v>25</v>
      </c>
      <c r="Q12" s="22">
        <v>0</v>
      </c>
      <c r="R12" s="16">
        <v>70</v>
      </c>
      <c r="S12" s="16">
        <v>0.35</v>
      </c>
      <c r="T12" s="16">
        <v>0.15</v>
      </c>
      <c r="U12" s="16">
        <v>0</v>
      </c>
    </row>
    <row r="13" spans="1:21" x14ac:dyDescent="0.2">
      <c r="A13" s="16" t="s">
        <v>28</v>
      </c>
      <c r="B13" s="16" t="s">
        <v>29</v>
      </c>
      <c r="C13" s="16" t="s">
        <v>30</v>
      </c>
      <c r="D13" s="16" t="s">
        <v>121</v>
      </c>
      <c r="E13" s="16" t="s">
        <v>122</v>
      </c>
      <c r="F13" s="16" t="s">
        <v>123</v>
      </c>
      <c r="G13" s="16" t="s">
        <v>124</v>
      </c>
      <c r="H13" s="16" t="s">
        <v>22</v>
      </c>
      <c r="I13" s="16" t="s">
        <v>31</v>
      </c>
      <c r="J13" s="16" t="s">
        <v>32</v>
      </c>
      <c r="K13" s="27">
        <v>0.5</v>
      </c>
      <c r="L13" s="27" t="s">
        <v>37</v>
      </c>
      <c r="M13" s="16">
        <v>2021</v>
      </c>
      <c r="N13" s="16" t="s">
        <v>34</v>
      </c>
      <c r="O13" s="22">
        <v>30</v>
      </c>
      <c r="P13" s="16" t="s">
        <v>25</v>
      </c>
      <c r="Q13" s="22">
        <v>0</v>
      </c>
      <c r="R13" s="16">
        <v>70</v>
      </c>
      <c r="S13" s="16">
        <v>0.35</v>
      </c>
      <c r="T13" s="16">
        <v>0.15</v>
      </c>
      <c r="U13" s="16">
        <v>0</v>
      </c>
    </row>
    <row r="14" spans="1:21" x14ac:dyDescent="0.2">
      <c r="A14" s="16" t="s">
        <v>28</v>
      </c>
      <c r="B14" s="16" t="s">
        <v>29</v>
      </c>
      <c r="C14" s="16" t="s">
        <v>30</v>
      </c>
      <c r="D14" s="16" t="s">
        <v>125</v>
      </c>
      <c r="E14" s="16" t="s">
        <v>126</v>
      </c>
      <c r="F14" s="16" t="s">
        <v>127</v>
      </c>
      <c r="G14" s="16" t="s">
        <v>109</v>
      </c>
      <c r="H14" s="16" t="s">
        <v>26</v>
      </c>
      <c r="I14" s="16" t="s">
        <v>31</v>
      </c>
      <c r="J14" s="16" t="s">
        <v>32</v>
      </c>
      <c r="K14" s="27">
        <v>1</v>
      </c>
      <c r="L14" s="27" t="s">
        <v>37</v>
      </c>
      <c r="M14" s="16">
        <v>2021</v>
      </c>
      <c r="N14" s="16" t="s">
        <v>48</v>
      </c>
      <c r="O14" s="22">
        <v>60</v>
      </c>
      <c r="P14" s="16" t="s">
        <v>25</v>
      </c>
      <c r="Q14" s="22">
        <v>0</v>
      </c>
      <c r="R14" s="16">
        <v>40</v>
      </c>
      <c r="S14" s="16">
        <v>0.4</v>
      </c>
      <c r="T14" s="16">
        <v>0.6</v>
      </c>
      <c r="U14" s="16">
        <v>0</v>
      </c>
    </row>
    <row r="15" spans="1:21" x14ac:dyDescent="0.2">
      <c r="A15" s="16" t="s">
        <v>28</v>
      </c>
      <c r="B15" s="16" t="s">
        <v>29</v>
      </c>
      <c r="C15" s="16" t="s">
        <v>30</v>
      </c>
      <c r="D15" s="16" t="s">
        <v>128</v>
      </c>
      <c r="E15" s="16" t="s">
        <v>129</v>
      </c>
      <c r="F15" s="16" t="s">
        <v>130</v>
      </c>
      <c r="G15" s="16" t="s">
        <v>120</v>
      </c>
      <c r="H15" s="16" t="s">
        <v>26</v>
      </c>
      <c r="I15" s="16" t="s">
        <v>31</v>
      </c>
      <c r="J15" s="16" t="s">
        <v>32</v>
      </c>
      <c r="K15" s="27">
        <v>1</v>
      </c>
      <c r="L15" s="27" t="s">
        <v>37</v>
      </c>
      <c r="M15" s="16">
        <v>2021</v>
      </c>
      <c r="N15" s="16" t="s">
        <v>33</v>
      </c>
      <c r="O15" s="22">
        <v>30</v>
      </c>
      <c r="P15" s="16" t="s">
        <v>25</v>
      </c>
      <c r="Q15" s="22">
        <v>0</v>
      </c>
      <c r="R15" s="16">
        <v>70</v>
      </c>
      <c r="S15" s="16">
        <v>0.7</v>
      </c>
      <c r="T15" s="16">
        <v>0.3</v>
      </c>
      <c r="U15" s="16">
        <v>0</v>
      </c>
    </row>
    <row r="16" spans="1:21" x14ac:dyDescent="0.2">
      <c r="A16" s="31" t="s">
        <v>136</v>
      </c>
      <c r="B16" s="31" t="s">
        <v>137</v>
      </c>
      <c r="C16" s="31" t="s">
        <v>138</v>
      </c>
      <c r="D16" s="31" t="s">
        <v>139</v>
      </c>
      <c r="E16" s="31" t="s">
        <v>140</v>
      </c>
      <c r="F16" s="31" t="s">
        <v>141</v>
      </c>
      <c r="G16" s="31" t="s">
        <v>38</v>
      </c>
      <c r="H16" s="31" t="s">
        <v>22</v>
      </c>
      <c r="I16" s="31" t="s">
        <v>31</v>
      </c>
      <c r="J16" s="31" t="s">
        <v>32</v>
      </c>
      <c r="K16" s="32">
        <v>0.5</v>
      </c>
      <c r="L16" s="32" t="s">
        <v>37</v>
      </c>
      <c r="M16" s="31">
        <v>2021</v>
      </c>
      <c r="N16" s="32" t="s">
        <v>39</v>
      </c>
      <c r="O16" s="32">
        <v>10</v>
      </c>
      <c r="P16" s="32" t="s">
        <v>25</v>
      </c>
      <c r="Q16" s="32">
        <v>0</v>
      </c>
      <c r="R16" s="32">
        <v>90</v>
      </c>
      <c r="S16" s="32">
        <v>0.45</v>
      </c>
      <c r="T16" s="32">
        <v>0.05</v>
      </c>
      <c r="U16" s="32">
        <v>0</v>
      </c>
    </row>
    <row r="17" spans="1:22" x14ac:dyDescent="0.2">
      <c r="A17" s="16" t="s">
        <v>44</v>
      </c>
      <c r="B17" s="16" t="s">
        <v>142</v>
      </c>
      <c r="C17" s="16" t="s">
        <v>46</v>
      </c>
      <c r="D17" s="16" t="s">
        <v>143</v>
      </c>
      <c r="E17" s="16" t="s">
        <v>144</v>
      </c>
      <c r="F17" s="16" t="s">
        <v>145</v>
      </c>
      <c r="G17" s="16" t="s">
        <v>41</v>
      </c>
      <c r="H17" s="16" t="s">
        <v>22</v>
      </c>
      <c r="I17" s="16" t="s">
        <v>31</v>
      </c>
      <c r="J17" s="16" t="s">
        <v>32</v>
      </c>
      <c r="K17" s="33">
        <v>0.5</v>
      </c>
      <c r="L17" s="33" t="s">
        <v>37</v>
      </c>
      <c r="M17" s="16">
        <v>2021</v>
      </c>
      <c r="N17" s="33" t="s">
        <v>33</v>
      </c>
      <c r="O17" s="33">
        <v>60</v>
      </c>
      <c r="P17" s="33" t="s">
        <v>25</v>
      </c>
      <c r="Q17" s="33">
        <v>0</v>
      </c>
      <c r="R17" s="33">
        <v>40</v>
      </c>
      <c r="S17" s="33">
        <v>0.2</v>
      </c>
      <c r="T17" s="33">
        <v>0.3</v>
      </c>
      <c r="U17" s="33">
        <v>0</v>
      </c>
    </row>
    <row r="18" spans="1:22" x14ac:dyDescent="0.2">
      <c r="A18" s="16" t="s">
        <v>44</v>
      </c>
      <c r="B18" s="16" t="s">
        <v>142</v>
      </c>
      <c r="C18" s="16" t="s">
        <v>46</v>
      </c>
      <c r="D18" s="16" t="s">
        <v>146</v>
      </c>
      <c r="E18" s="16" t="s">
        <v>147</v>
      </c>
      <c r="F18" s="16" t="s">
        <v>148</v>
      </c>
      <c r="G18" s="16" t="s">
        <v>41</v>
      </c>
      <c r="H18" s="16" t="s">
        <v>22</v>
      </c>
      <c r="I18" s="16" t="s">
        <v>31</v>
      </c>
      <c r="J18" s="16" t="s">
        <v>32</v>
      </c>
      <c r="K18" s="33">
        <v>0.5</v>
      </c>
      <c r="L18" s="33" t="s">
        <v>37</v>
      </c>
      <c r="M18" s="16">
        <v>2022</v>
      </c>
      <c r="N18" s="33" t="s">
        <v>33</v>
      </c>
      <c r="O18" s="33">
        <v>60</v>
      </c>
      <c r="P18" s="33" t="s">
        <v>25</v>
      </c>
      <c r="Q18" s="33">
        <v>0</v>
      </c>
      <c r="R18" s="33">
        <v>40</v>
      </c>
      <c r="S18" s="33">
        <v>0.2</v>
      </c>
      <c r="T18" s="33">
        <v>0.3</v>
      </c>
      <c r="U18" s="33">
        <v>0</v>
      </c>
    </row>
    <row r="19" spans="1:22" x14ac:dyDescent="0.2">
      <c r="A19" s="16" t="s">
        <v>44</v>
      </c>
      <c r="B19" s="16" t="s">
        <v>142</v>
      </c>
      <c r="C19" s="16" t="s">
        <v>46</v>
      </c>
      <c r="D19" s="16" t="s">
        <v>149</v>
      </c>
      <c r="E19" s="16" t="s">
        <v>150</v>
      </c>
      <c r="F19" s="16" t="s">
        <v>151</v>
      </c>
      <c r="G19" s="16" t="s">
        <v>41</v>
      </c>
      <c r="H19" s="16" t="s">
        <v>22</v>
      </c>
      <c r="I19" s="16" t="s">
        <v>31</v>
      </c>
      <c r="J19" s="16" t="s">
        <v>32</v>
      </c>
      <c r="K19" s="33">
        <v>0.5</v>
      </c>
      <c r="L19" s="33" t="s">
        <v>37</v>
      </c>
      <c r="M19" s="16">
        <v>2022</v>
      </c>
      <c r="N19" s="33" t="s">
        <v>33</v>
      </c>
      <c r="O19" s="33">
        <v>60</v>
      </c>
      <c r="P19" s="33" t="s">
        <v>25</v>
      </c>
      <c r="Q19" s="33">
        <v>0</v>
      </c>
      <c r="R19" s="33">
        <v>40</v>
      </c>
      <c r="S19" s="33">
        <v>0.2</v>
      </c>
      <c r="T19" s="33">
        <v>0.3</v>
      </c>
      <c r="U19" s="33">
        <v>0</v>
      </c>
    </row>
    <row r="20" spans="1:22" x14ac:dyDescent="0.2">
      <c r="A20" s="16" t="s">
        <v>28</v>
      </c>
      <c r="B20" s="16" t="s">
        <v>29</v>
      </c>
      <c r="C20" s="16" t="s">
        <v>30</v>
      </c>
      <c r="D20" s="16" t="s">
        <v>152</v>
      </c>
      <c r="E20" s="16" t="s">
        <v>153</v>
      </c>
      <c r="F20" s="16" t="s">
        <v>154</v>
      </c>
      <c r="G20" s="16" t="s">
        <v>155</v>
      </c>
      <c r="H20" s="16" t="s">
        <v>22</v>
      </c>
      <c r="I20" s="16" t="s">
        <v>31</v>
      </c>
      <c r="J20" s="16" t="s">
        <v>32</v>
      </c>
      <c r="K20" s="33">
        <v>0.5</v>
      </c>
      <c r="L20" s="33" t="s">
        <v>37</v>
      </c>
      <c r="M20" s="16">
        <v>2022</v>
      </c>
      <c r="N20" s="33" t="s">
        <v>34</v>
      </c>
      <c r="O20" s="33">
        <v>70</v>
      </c>
      <c r="P20" s="33" t="s">
        <v>25</v>
      </c>
      <c r="Q20" s="33">
        <v>0</v>
      </c>
      <c r="R20" s="33">
        <v>30</v>
      </c>
      <c r="S20" s="33">
        <v>0.15</v>
      </c>
      <c r="T20" s="33">
        <v>0.35</v>
      </c>
      <c r="U20" s="33">
        <v>0</v>
      </c>
    </row>
    <row r="21" spans="1:22" x14ac:dyDescent="0.2">
      <c r="A21" s="16" t="s">
        <v>28</v>
      </c>
      <c r="B21" s="16" t="s">
        <v>29</v>
      </c>
      <c r="C21" s="16" t="s">
        <v>30</v>
      </c>
      <c r="D21" s="16" t="s">
        <v>156</v>
      </c>
      <c r="E21" s="16" t="s">
        <v>157</v>
      </c>
      <c r="F21" s="16" t="s">
        <v>158</v>
      </c>
      <c r="G21" s="16" t="s">
        <v>159</v>
      </c>
      <c r="H21" s="16" t="s">
        <v>22</v>
      </c>
      <c r="I21" s="16" t="s">
        <v>31</v>
      </c>
      <c r="J21" s="16" t="s">
        <v>32</v>
      </c>
      <c r="K21" s="33">
        <v>0.5</v>
      </c>
      <c r="L21" s="33" t="s">
        <v>37</v>
      </c>
      <c r="M21" s="16">
        <v>2022</v>
      </c>
      <c r="N21" s="33" t="s">
        <v>25</v>
      </c>
      <c r="O21" s="33" t="s">
        <v>25</v>
      </c>
      <c r="P21" s="33" t="s">
        <v>25</v>
      </c>
      <c r="Q21" s="33" t="s">
        <v>25</v>
      </c>
      <c r="R21" s="33">
        <v>100</v>
      </c>
      <c r="S21" s="33">
        <v>0.5</v>
      </c>
      <c r="T21" s="33">
        <v>0</v>
      </c>
      <c r="U21" s="33">
        <v>0</v>
      </c>
    </row>
    <row r="22" spans="1:22" x14ac:dyDescent="0.2">
      <c r="A22" s="16" t="s">
        <v>193</v>
      </c>
      <c r="B22" s="16" t="s">
        <v>194</v>
      </c>
      <c r="C22" s="16" t="s">
        <v>195</v>
      </c>
      <c r="D22" s="16" t="s">
        <v>196</v>
      </c>
      <c r="E22" s="16" t="s">
        <v>197</v>
      </c>
      <c r="F22" s="16" t="s">
        <v>198</v>
      </c>
      <c r="G22" s="16" t="s">
        <v>70</v>
      </c>
      <c r="H22" s="16" t="s">
        <v>199</v>
      </c>
      <c r="I22" s="16" t="s">
        <v>37</v>
      </c>
      <c r="J22" s="16" t="s">
        <v>200</v>
      </c>
      <c r="K22" s="33">
        <v>0.5</v>
      </c>
      <c r="L22" s="33" t="s">
        <v>37</v>
      </c>
      <c r="M22" s="16">
        <v>2023</v>
      </c>
      <c r="N22" s="33" t="s">
        <v>33</v>
      </c>
      <c r="O22" s="33" t="s">
        <v>42</v>
      </c>
      <c r="P22" s="33" t="s">
        <v>25</v>
      </c>
      <c r="Q22" s="33" t="s">
        <v>25</v>
      </c>
      <c r="R22" s="33">
        <v>40</v>
      </c>
      <c r="S22" s="33">
        <v>0.2</v>
      </c>
      <c r="T22" s="33">
        <v>0.3</v>
      </c>
      <c r="U22" s="33">
        <v>0</v>
      </c>
      <c r="V22" s="6" t="s">
        <v>162</v>
      </c>
    </row>
    <row r="23" spans="1:22" x14ac:dyDescent="0.2">
      <c r="A23" s="16" t="s">
        <v>201</v>
      </c>
      <c r="B23" s="16" t="s">
        <v>202</v>
      </c>
      <c r="C23" s="16" t="s">
        <v>203</v>
      </c>
      <c r="D23" s="16" t="s">
        <v>204</v>
      </c>
      <c r="E23" s="16" t="s">
        <v>205</v>
      </c>
      <c r="F23" s="16" t="s">
        <v>206</v>
      </c>
      <c r="G23" s="16" t="s">
        <v>74</v>
      </c>
      <c r="H23" s="16" t="s">
        <v>199</v>
      </c>
      <c r="I23" s="16" t="s">
        <v>37</v>
      </c>
      <c r="J23" s="16" t="s">
        <v>200</v>
      </c>
      <c r="K23" s="33">
        <v>0.5</v>
      </c>
      <c r="L23" s="33" t="s">
        <v>37</v>
      </c>
      <c r="M23" s="16">
        <v>2023</v>
      </c>
      <c r="N23" s="33" t="s">
        <v>25</v>
      </c>
      <c r="O23" s="33" t="s">
        <v>25</v>
      </c>
      <c r="P23" s="33" t="s">
        <v>25</v>
      </c>
      <c r="Q23" s="33" t="s">
        <v>25</v>
      </c>
      <c r="R23" s="33">
        <v>100</v>
      </c>
      <c r="S23" s="33">
        <v>0.5</v>
      </c>
      <c r="T23" s="33">
        <v>0</v>
      </c>
      <c r="U23" s="33">
        <v>0</v>
      </c>
      <c r="V23" s="6" t="s">
        <v>162</v>
      </c>
    </row>
    <row r="24" spans="1:22" x14ac:dyDescent="0.2">
      <c r="A24" s="16" t="s">
        <v>201</v>
      </c>
      <c r="B24" s="16" t="s">
        <v>202</v>
      </c>
      <c r="C24" s="16" t="s">
        <v>203</v>
      </c>
      <c r="D24" s="16" t="s">
        <v>204</v>
      </c>
      <c r="E24" s="16" t="s">
        <v>205</v>
      </c>
      <c r="F24" s="16" t="s">
        <v>206</v>
      </c>
      <c r="G24" s="16" t="s">
        <v>72</v>
      </c>
      <c r="H24" s="16" t="s">
        <v>199</v>
      </c>
      <c r="I24" s="16" t="s">
        <v>37</v>
      </c>
      <c r="J24" s="16" t="s">
        <v>200</v>
      </c>
      <c r="K24" s="33">
        <v>0.5</v>
      </c>
      <c r="L24" s="33" t="s">
        <v>37</v>
      </c>
      <c r="M24" s="16">
        <v>2023</v>
      </c>
      <c r="N24" s="33" t="s">
        <v>34</v>
      </c>
      <c r="O24" s="33" t="s">
        <v>24</v>
      </c>
      <c r="P24" s="33" t="s">
        <v>25</v>
      </c>
      <c r="Q24" s="33" t="s">
        <v>25</v>
      </c>
      <c r="R24" s="33">
        <v>50</v>
      </c>
      <c r="S24" s="33">
        <v>0.25</v>
      </c>
      <c r="T24" s="33">
        <v>0.25</v>
      </c>
      <c r="U24" s="33">
        <v>0</v>
      </c>
      <c r="V24" s="6" t="s">
        <v>162</v>
      </c>
    </row>
    <row r="25" spans="1:22" x14ac:dyDescent="0.2">
      <c r="A25" s="16" t="s">
        <v>201</v>
      </c>
      <c r="B25" s="16" t="s">
        <v>202</v>
      </c>
      <c r="C25" s="16" t="s">
        <v>203</v>
      </c>
      <c r="D25" s="16" t="s">
        <v>207</v>
      </c>
      <c r="E25" s="16" t="s">
        <v>208</v>
      </c>
      <c r="F25" s="16" t="s">
        <v>209</v>
      </c>
      <c r="G25" s="16" t="s">
        <v>68</v>
      </c>
      <c r="H25" s="16" t="s">
        <v>210</v>
      </c>
      <c r="I25" s="16" t="s">
        <v>37</v>
      </c>
      <c r="J25" s="16" t="s">
        <v>200</v>
      </c>
      <c r="K25" s="33">
        <v>1</v>
      </c>
      <c r="L25" s="33" t="s">
        <v>37</v>
      </c>
      <c r="M25" s="16">
        <v>2023</v>
      </c>
      <c r="N25" s="33" t="s">
        <v>34</v>
      </c>
      <c r="O25" s="33" t="s">
        <v>35</v>
      </c>
      <c r="P25" s="33" t="s">
        <v>25</v>
      </c>
      <c r="Q25" s="33" t="s">
        <v>25</v>
      </c>
      <c r="R25" s="33">
        <v>70</v>
      </c>
      <c r="S25" s="33">
        <v>0.7</v>
      </c>
      <c r="T25" s="33">
        <v>0.3</v>
      </c>
      <c r="U25" s="33">
        <v>0</v>
      </c>
      <c r="V25" s="6" t="s">
        <v>162</v>
      </c>
    </row>
    <row r="26" spans="1:22" x14ac:dyDescent="0.2">
      <c r="A26" s="16" t="s">
        <v>201</v>
      </c>
      <c r="B26" s="16" t="s">
        <v>202</v>
      </c>
      <c r="C26" s="16" t="s">
        <v>203</v>
      </c>
      <c r="D26" s="16" t="s">
        <v>211</v>
      </c>
      <c r="E26" s="16" t="s">
        <v>212</v>
      </c>
      <c r="F26" s="16" t="s">
        <v>206</v>
      </c>
      <c r="G26" s="16" t="s">
        <v>74</v>
      </c>
      <c r="H26" s="16" t="s">
        <v>199</v>
      </c>
      <c r="I26" s="16" t="s">
        <v>37</v>
      </c>
      <c r="J26" s="16" t="s">
        <v>200</v>
      </c>
      <c r="K26" s="33">
        <v>0.5</v>
      </c>
      <c r="L26" s="33" t="s">
        <v>37</v>
      </c>
      <c r="M26" s="16">
        <v>2023</v>
      </c>
      <c r="N26" s="33" t="s">
        <v>25</v>
      </c>
      <c r="O26" s="33" t="s">
        <v>25</v>
      </c>
      <c r="P26" s="33" t="s">
        <v>25</v>
      </c>
      <c r="Q26" s="33" t="s">
        <v>25</v>
      </c>
      <c r="R26" s="33">
        <v>100</v>
      </c>
      <c r="S26" s="33">
        <v>0.5</v>
      </c>
      <c r="T26" s="33">
        <v>0</v>
      </c>
      <c r="U26" s="33">
        <v>0</v>
      </c>
      <c r="V26" s="6" t="s">
        <v>162</v>
      </c>
    </row>
    <row r="27" spans="1:22" x14ac:dyDescent="0.2">
      <c r="A27" s="16" t="s">
        <v>201</v>
      </c>
      <c r="B27" s="16" t="s">
        <v>202</v>
      </c>
      <c r="C27" s="16" t="s">
        <v>203</v>
      </c>
      <c r="D27" s="16" t="s">
        <v>211</v>
      </c>
      <c r="E27" s="16" t="s">
        <v>212</v>
      </c>
      <c r="F27" s="16" t="s">
        <v>206</v>
      </c>
      <c r="G27" s="16" t="s">
        <v>72</v>
      </c>
      <c r="H27" s="16" t="s">
        <v>199</v>
      </c>
      <c r="I27" s="16" t="s">
        <v>37</v>
      </c>
      <c r="J27" s="16" t="s">
        <v>200</v>
      </c>
      <c r="K27" s="33">
        <v>0.5</v>
      </c>
      <c r="L27" s="33" t="s">
        <v>37</v>
      </c>
      <c r="M27" s="16">
        <v>2023</v>
      </c>
      <c r="N27" s="33" t="s">
        <v>34</v>
      </c>
      <c r="O27" s="33" t="s">
        <v>24</v>
      </c>
      <c r="P27" s="33" t="s">
        <v>25</v>
      </c>
      <c r="Q27" s="33" t="s">
        <v>25</v>
      </c>
      <c r="R27" s="33">
        <v>50</v>
      </c>
      <c r="S27" s="33">
        <v>0.25</v>
      </c>
      <c r="T27" s="33">
        <v>0.25</v>
      </c>
      <c r="U27" s="33">
        <v>0</v>
      </c>
      <c r="V27" s="6" t="s">
        <v>162</v>
      </c>
    </row>
    <row r="28" spans="1:22" x14ac:dyDescent="0.2">
      <c r="A28" s="16" t="s">
        <v>213</v>
      </c>
      <c r="B28" s="16" t="s">
        <v>214</v>
      </c>
      <c r="C28" s="16" t="s">
        <v>215</v>
      </c>
      <c r="D28" s="16" t="s">
        <v>216</v>
      </c>
      <c r="E28" s="16" t="s">
        <v>217</v>
      </c>
      <c r="F28" s="16" t="s">
        <v>218</v>
      </c>
      <c r="G28" s="16" t="s">
        <v>219</v>
      </c>
      <c r="H28" s="16" t="s">
        <v>199</v>
      </c>
      <c r="I28" s="16" t="s">
        <v>37</v>
      </c>
      <c r="J28" s="16" t="s">
        <v>200</v>
      </c>
      <c r="K28" s="33">
        <v>0.5</v>
      </c>
      <c r="L28" s="33" t="s">
        <v>37</v>
      </c>
      <c r="M28" s="16">
        <v>2023</v>
      </c>
      <c r="N28" s="33" t="s">
        <v>25</v>
      </c>
      <c r="O28" s="33" t="s">
        <v>25</v>
      </c>
      <c r="P28" s="33" t="s">
        <v>25</v>
      </c>
      <c r="Q28" s="33" t="s">
        <v>25</v>
      </c>
      <c r="R28" s="33">
        <v>100</v>
      </c>
      <c r="S28" s="33">
        <v>0.5</v>
      </c>
      <c r="T28" s="33">
        <v>0</v>
      </c>
      <c r="U28" s="33">
        <v>0</v>
      </c>
      <c r="V28" s="6" t="s">
        <v>162</v>
      </c>
    </row>
    <row r="29" spans="1:22" x14ac:dyDescent="0.2">
      <c r="A29" s="16" t="s">
        <v>201</v>
      </c>
      <c r="B29" s="16" t="s">
        <v>202</v>
      </c>
      <c r="C29" s="16" t="s">
        <v>203</v>
      </c>
      <c r="D29" s="16" t="s">
        <v>223</v>
      </c>
      <c r="E29" s="16" t="s">
        <v>224</v>
      </c>
      <c r="F29" s="16" t="s">
        <v>225</v>
      </c>
      <c r="G29" s="16" t="s">
        <v>71</v>
      </c>
      <c r="H29" s="16" t="s">
        <v>210</v>
      </c>
      <c r="I29" s="16" t="s">
        <v>37</v>
      </c>
      <c r="J29" s="16" t="s">
        <v>200</v>
      </c>
      <c r="K29" s="33">
        <v>1</v>
      </c>
      <c r="L29" s="33" t="s">
        <v>37</v>
      </c>
      <c r="M29" s="16">
        <v>2023</v>
      </c>
      <c r="N29" s="33" t="s">
        <v>23</v>
      </c>
      <c r="O29" s="33" t="s">
        <v>47</v>
      </c>
      <c r="P29" s="33" t="s">
        <v>25</v>
      </c>
      <c r="Q29" s="33" t="s">
        <v>25</v>
      </c>
      <c r="R29" s="33">
        <v>60</v>
      </c>
      <c r="S29" s="33">
        <v>0.6</v>
      </c>
      <c r="T29" s="33">
        <v>0.4</v>
      </c>
      <c r="U29" s="33">
        <v>0</v>
      </c>
    </row>
    <row r="30" spans="1:22" x14ac:dyDescent="0.2">
      <c r="A30" s="16" t="s">
        <v>201</v>
      </c>
      <c r="B30" s="16" t="s">
        <v>202</v>
      </c>
      <c r="C30" s="16" t="s">
        <v>203</v>
      </c>
      <c r="D30" s="16" t="s">
        <v>226</v>
      </c>
      <c r="E30" s="16" t="s">
        <v>227</v>
      </c>
      <c r="F30" s="16" t="s">
        <v>228</v>
      </c>
      <c r="G30" s="16" t="s">
        <v>74</v>
      </c>
      <c r="H30" s="16" t="s">
        <v>199</v>
      </c>
      <c r="I30" s="16" t="s">
        <v>37</v>
      </c>
      <c r="J30" s="16" t="s">
        <v>200</v>
      </c>
      <c r="K30" s="33">
        <v>0.5</v>
      </c>
      <c r="L30" s="33" t="s">
        <v>37</v>
      </c>
      <c r="M30" s="16">
        <v>2023</v>
      </c>
      <c r="N30" s="33" t="s">
        <v>25</v>
      </c>
      <c r="O30" s="33" t="s">
        <v>25</v>
      </c>
      <c r="P30" s="33" t="s">
        <v>25</v>
      </c>
      <c r="Q30" s="33" t="s">
        <v>25</v>
      </c>
      <c r="R30" s="33">
        <v>100</v>
      </c>
      <c r="S30" s="33">
        <v>0.5</v>
      </c>
      <c r="T30" s="33">
        <v>0</v>
      </c>
      <c r="U30" s="33">
        <v>0</v>
      </c>
    </row>
    <row r="31" spans="1:22" x14ac:dyDescent="0.2">
      <c r="A31" s="16" t="s">
        <v>201</v>
      </c>
      <c r="B31" s="16" t="s">
        <v>265</v>
      </c>
      <c r="C31" s="16" t="s">
        <v>203</v>
      </c>
      <c r="D31" s="16" t="s">
        <v>266</v>
      </c>
      <c r="E31" s="16" t="s">
        <v>267</v>
      </c>
      <c r="F31" s="16" t="s">
        <v>268</v>
      </c>
      <c r="G31" s="16" t="s">
        <v>69</v>
      </c>
      <c r="H31" s="16" t="s">
        <v>210</v>
      </c>
      <c r="I31" s="16" t="s">
        <v>37</v>
      </c>
      <c r="J31" s="16" t="s">
        <v>269</v>
      </c>
      <c r="K31" s="16">
        <v>1</v>
      </c>
      <c r="L31" s="16" t="s">
        <v>37</v>
      </c>
      <c r="M31" s="16">
        <v>2024</v>
      </c>
      <c r="N31" s="16" t="s">
        <v>25</v>
      </c>
      <c r="O31" s="22" t="s">
        <v>25</v>
      </c>
      <c r="P31" s="16" t="s">
        <v>25</v>
      </c>
      <c r="Q31" s="22" t="s">
        <v>25</v>
      </c>
      <c r="R31" s="16">
        <v>100</v>
      </c>
      <c r="S31" s="16">
        <v>1</v>
      </c>
      <c r="T31" s="16">
        <v>0</v>
      </c>
      <c r="U31" s="16">
        <v>0</v>
      </c>
    </row>
    <row r="32" spans="1:22" x14ac:dyDescent="0.2">
      <c r="A32" s="16" t="s">
        <v>201</v>
      </c>
      <c r="B32" s="16" t="s">
        <v>265</v>
      </c>
      <c r="C32" s="16" t="s">
        <v>203</v>
      </c>
      <c r="D32" s="16" t="s">
        <v>270</v>
      </c>
      <c r="E32" s="16" t="s">
        <v>271</v>
      </c>
      <c r="F32" s="16" t="s">
        <v>272</v>
      </c>
      <c r="G32" s="16" t="s">
        <v>74</v>
      </c>
      <c r="H32" s="16" t="s">
        <v>210</v>
      </c>
      <c r="I32" s="16" t="s">
        <v>37</v>
      </c>
      <c r="J32" s="16" t="s">
        <v>269</v>
      </c>
      <c r="K32" s="16">
        <v>1</v>
      </c>
      <c r="L32" s="16" t="s">
        <v>37</v>
      </c>
      <c r="M32" s="16">
        <v>2024</v>
      </c>
      <c r="N32" s="16" t="s">
        <v>25</v>
      </c>
      <c r="O32" s="22" t="s">
        <v>25</v>
      </c>
      <c r="P32" s="16" t="s">
        <v>25</v>
      </c>
      <c r="Q32" s="22" t="s">
        <v>25</v>
      </c>
      <c r="R32" s="16">
        <v>100</v>
      </c>
      <c r="S32" s="16">
        <v>1</v>
      </c>
      <c r="T32" s="16">
        <v>0</v>
      </c>
      <c r="U32" s="16">
        <v>0</v>
      </c>
    </row>
    <row r="33" spans="1:21" x14ac:dyDescent="0.2">
      <c r="A33" s="16" t="s">
        <v>201</v>
      </c>
      <c r="B33" s="16" t="s">
        <v>265</v>
      </c>
      <c r="C33" s="16" t="s">
        <v>203</v>
      </c>
      <c r="D33" s="16" t="s">
        <v>273</v>
      </c>
      <c r="E33" s="16" t="s">
        <v>274</v>
      </c>
      <c r="F33" s="16" t="s">
        <v>275</v>
      </c>
      <c r="G33" s="16" t="s">
        <v>73</v>
      </c>
      <c r="H33" s="16" t="s">
        <v>210</v>
      </c>
      <c r="I33" s="16" t="s">
        <v>37</v>
      </c>
      <c r="J33" s="16" t="s">
        <v>269</v>
      </c>
      <c r="K33" s="16">
        <v>1</v>
      </c>
      <c r="L33" s="16" t="s">
        <v>37</v>
      </c>
      <c r="M33" s="16">
        <v>2024</v>
      </c>
      <c r="N33" s="16" t="s">
        <v>34</v>
      </c>
      <c r="O33" s="22" t="s">
        <v>24</v>
      </c>
      <c r="P33" s="16" t="s">
        <v>25</v>
      </c>
      <c r="Q33" s="22" t="s">
        <v>25</v>
      </c>
      <c r="R33" s="16">
        <v>50</v>
      </c>
      <c r="S33" s="16">
        <v>0.5</v>
      </c>
      <c r="T33" s="16">
        <v>0.5</v>
      </c>
      <c r="U33" s="16">
        <v>0</v>
      </c>
    </row>
    <row r="34" spans="1:21" x14ac:dyDescent="0.2">
      <c r="A34" s="16" t="s">
        <v>201</v>
      </c>
      <c r="B34" s="16" t="s">
        <v>265</v>
      </c>
      <c r="C34" s="16" t="s">
        <v>203</v>
      </c>
      <c r="D34" s="16" t="s">
        <v>276</v>
      </c>
      <c r="E34" s="16" t="s">
        <v>277</v>
      </c>
      <c r="F34" s="16" t="s">
        <v>278</v>
      </c>
      <c r="G34" s="16" t="s">
        <v>74</v>
      </c>
      <c r="H34" s="16" t="s">
        <v>199</v>
      </c>
      <c r="I34" s="16" t="s">
        <v>37</v>
      </c>
      <c r="J34" s="16" t="s">
        <v>269</v>
      </c>
      <c r="K34" s="16">
        <v>0.5</v>
      </c>
      <c r="L34" s="16" t="s">
        <v>37</v>
      </c>
      <c r="M34" s="16">
        <v>2024</v>
      </c>
      <c r="N34" s="16" t="s">
        <v>25</v>
      </c>
      <c r="O34" s="22" t="s">
        <v>25</v>
      </c>
      <c r="P34" s="16" t="s">
        <v>25</v>
      </c>
      <c r="Q34" s="22" t="s">
        <v>25</v>
      </c>
      <c r="R34" s="16">
        <v>100</v>
      </c>
      <c r="S34" s="16">
        <v>0.5</v>
      </c>
      <c r="T34" s="16">
        <v>0</v>
      </c>
      <c r="U34" s="16">
        <v>0</v>
      </c>
    </row>
    <row r="35" spans="1:21" x14ac:dyDescent="0.2">
      <c r="A35" s="16" t="s">
        <v>201</v>
      </c>
      <c r="B35" s="16" t="s">
        <v>265</v>
      </c>
      <c r="C35" s="16" t="s">
        <v>203</v>
      </c>
      <c r="D35" s="16" t="s">
        <v>279</v>
      </c>
      <c r="E35" s="16" t="s">
        <v>280</v>
      </c>
      <c r="F35" s="16" t="s">
        <v>281</v>
      </c>
      <c r="G35" s="16" t="s">
        <v>83</v>
      </c>
      <c r="H35" s="16" t="s">
        <v>199</v>
      </c>
      <c r="I35" s="16" t="s">
        <v>37</v>
      </c>
      <c r="J35" s="16" t="s">
        <v>269</v>
      </c>
      <c r="K35" s="16">
        <v>0.33333333333333331</v>
      </c>
      <c r="L35" s="16" t="s">
        <v>37</v>
      </c>
      <c r="M35" s="16">
        <v>2024</v>
      </c>
      <c r="N35" s="16" t="s">
        <v>25</v>
      </c>
      <c r="O35" s="22" t="s">
        <v>25</v>
      </c>
      <c r="P35" s="16" t="s">
        <v>25</v>
      </c>
      <c r="Q35" s="22" t="s">
        <v>25</v>
      </c>
      <c r="R35" s="16">
        <v>100</v>
      </c>
      <c r="S35" s="16">
        <v>0.33333333333333326</v>
      </c>
      <c r="T35" s="16">
        <v>0</v>
      </c>
      <c r="U35" s="16">
        <v>0</v>
      </c>
    </row>
    <row r="36" spans="1:21" x14ac:dyDescent="0.2">
      <c r="A36" s="16" t="s">
        <v>201</v>
      </c>
      <c r="B36" s="16" t="s">
        <v>265</v>
      </c>
      <c r="C36" s="16" t="s">
        <v>203</v>
      </c>
      <c r="D36" s="16" t="s">
        <v>282</v>
      </c>
      <c r="E36" s="16" t="s">
        <v>283</v>
      </c>
      <c r="F36" s="16" t="s">
        <v>284</v>
      </c>
      <c r="G36" s="16" t="s">
        <v>73</v>
      </c>
      <c r="H36" s="16" t="s">
        <v>210</v>
      </c>
      <c r="I36" s="16" t="s">
        <v>37</v>
      </c>
      <c r="J36" s="16" t="s">
        <v>269</v>
      </c>
      <c r="K36" s="16">
        <v>1</v>
      </c>
      <c r="L36" s="16" t="s">
        <v>37</v>
      </c>
      <c r="M36" s="16">
        <v>2024</v>
      </c>
      <c r="N36" s="16" t="s">
        <v>34</v>
      </c>
      <c r="O36" s="22" t="s">
        <v>24</v>
      </c>
      <c r="P36" s="16" t="s">
        <v>25</v>
      </c>
      <c r="Q36" s="22" t="s">
        <v>25</v>
      </c>
      <c r="R36" s="16">
        <v>50</v>
      </c>
      <c r="S36" s="16">
        <v>0.5</v>
      </c>
      <c r="T36" s="16">
        <v>0.5</v>
      </c>
      <c r="U36" s="16">
        <v>0</v>
      </c>
    </row>
    <row r="37" spans="1:21" x14ac:dyDescent="0.2">
      <c r="A37" s="2"/>
      <c r="B37" s="2"/>
      <c r="C37" s="2"/>
      <c r="D37" s="2"/>
      <c r="E37" s="2"/>
      <c r="F37" s="2"/>
      <c r="G37" s="2"/>
      <c r="H37" s="2"/>
      <c r="I37" s="2"/>
      <c r="J37" s="2"/>
      <c r="K37" s="2"/>
      <c r="L37" s="2"/>
      <c r="M37" s="2"/>
      <c r="N37" s="2"/>
      <c r="O37" s="2"/>
      <c r="P37" s="2"/>
      <c r="Q37" s="2"/>
      <c r="R37" s="2"/>
      <c r="S37" s="39">
        <f>SUM(S2:S36)</f>
        <v>17.083333333333329</v>
      </c>
      <c r="T37" s="2"/>
      <c r="U37" s="2"/>
    </row>
  </sheetData>
  <autoFilter ref="A1:U21" xr:uid="{00000000-0009-0000-0000-000000000000}">
    <sortState xmlns:xlrd2="http://schemas.microsoft.com/office/spreadsheetml/2017/richdata2" ref="A2:U1867">
      <sortCondition ref="L2:L1867"/>
      <sortCondition ref="M2:M1867"/>
      <sortCondition ref="D2:D1867"/>
    </sortState>
  </autoFilter>
  <printOptions horizontalCentered="1"/>
  <pageMargins left="0.19685039370078741" right="0.19685039370078741" top="0.39370078740157483" bottom="0.39370078740157483" header="0.78740157480314965" footer="0"/>
  <pageSetup paperSize="9" scale="93" fitToWidth="2" fitToHeight="50"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25"/>
  <sheetViews>
    <sheetView zoomScaleNormal="100" workbookViewId="0">
      <selection activeCell="X8" sqref="X8"/>
    </sheetView>
  </sheetViews>
  <sheetFormatPr baseColWidth="10" defaultColWidth="11.44140625" defaultRowHeight="13.2" x14ac:dyDescent="0.25"/>
  <cols>
    <col min="1" max="1" width="10.88671875" style="11" bestFit="1" customWidth="1"/>
    <col min="2" max="2" width="37.6640625" style="11" bestFit="1" customWidth="1"/>
    <col min="3" max="3" width="14.5546875" style="11" bestFit="1" customWidth="1"/>
    <col min="4" max="9" width="3.33203125" style="11" bestFit="1" customWidth="1"/>
    <col min="10" max="10" width="13.109375" style="11" bestFit="1" customWidth="1"/>
    <col min="11" max="11" width="5.33203125" style="11" bestFit="1" customWidth="1"/>
    <col min="12" max="13" width="5.6640625" style="11" bestFit="1" customWidth="1"/>
    <col min="14" max="14" width="5.6640625" style="12" bestFit="1" customWidth="1"/>
    <col min="15" max="15" width="5.6640625" style="11" bestFit="1" customWidth="1"/>
    <col min="16" max="16" width="5.6640625" style="12" bestFit="1" customWidth="1"/>
    <col min="17" max="19" width="5.6640625" style="11" bestFit="1" customWidth="1"/>
    <col min="20" max="16384" width="11.44140625" style="11"/>
  </cols>
  <sheetData>
    <row r="1" spans="1:19" s="10" customFormat="1" ht="60" customHeight="1" x14ac:dyDescent="0.25">
      <c r="A1" s="13" t="s">
        <v>50</v>
      </c>
      <c r="B1" s="13" t="s">
        <v>51</v>
      </c>
      <c r="C1" s="13" t="s">
        <v>52</v>
      </c>
      <c r="D1" s="14">
        <v>2019</v>
      </c>
      <c r="E1" s="14">
        <v>2020</v>
      </c>
      <c r="F1" s="14">
        <v>2021</v>
      </c>
      <c r="G1" s="14">
        <v>2022</v>
      </c>
      <c r="H1" s="14">
        <v>2023</v>
      </c>
      <c r="I1" s="14">
        <v>2024</v>
      </c>
      <c r="J1" s="13" t="s">
        <v>53</v>
      </c>
      <c r="K1" s="29" t="s">
        <v>84</v>
      </c>
      <c r="L1" s="8" t="s">
        <v>54</v>
      </c>
      <c r="M1" s="8" t="s">
        <v>55</v>
      </c>
      <c r="N1" s="8" t="s">
        <v>56</v>
      </c>
      <c r="O1" s="8" t="s">
        <v>57</v>
      </c>
      <c r="P1" s="9" t="s">
        <v>58</v>
      </c>
      <c r="Q1" s="9" t="s">
        <v>59</v>
      </c>
      <c r="R1" s="9" t="s">
        <v>60</v>
      </c>
      <c r="S1" s="9" t="s">
        <v>61</v>
      </c>
    </row>
    <row r="2" spans="1:19" ht="14.4" x14ac:dyDescent="0.3">
      <c r="A2" s="15" t="s">
        <v>82</v>
      </c>
      <c r="B2" s="15" t="s">
        <v>285</v>
      </c>
      <c r="C2" s="15" t="s">
        <v>62</v>
      </c>
      <c r="D2" s="15">
        <v>2</v>
      </c>
      <c r="E2" s="15"/>
      <c r="F2" s="15"/>
      <c r="G2" s="15"/>
      <c r="H2" s="15"/>
      <c r="I2" s="15">
        <v>1</v>
      </c>
      <c r="J2" s="15">
        <v>3</v>
      </c>
      <c r="K2" s="15" t="s">
        <v>37</v>
      </c>
      <c r="L2" s="15" t="s">
        <v>34</v>
      </c>
      <c r="M2" s="15" t="s">
        <v>35</v>
      </c>
      <c r="N2" s="15" t="s">
        <v>25</v>
      </c>
      <c r="O2" s="15" t="s">
        <v>25</v>
      </c>
      <c r="P2" s="15">
        <v>70</v>
      </c>
      <c r="Q2" s="15">
        <v>0.9</v>
      </c>
      <c r="R2" s="15">
        <v>0</v>
      </c>
      <c r="S2" s="15">
        <v>2.1</v>
      </c>
    </row>
    <row r="3" spans="1:19" ht="14.4" x14ac:dyDescent="0.3">
      <c r="A3" s="15" t="s">
        <v>68</v>
      </c>
      <c r="B3" s="15" t="s">
        <v>286</v>
      </c>
      <c r="C3" s="15" t="s">
        <v>62</v>
      </c>
      <c r="D3" s="15">
        <v>1</v>
      </c>
      <c r="E3" s="15"/>
      <c r="F3" s="15"/>
      <c r="G3" s="15"/>
      <c r="H3" s="15"/>
      <c r="I3" s="15"/>
      <c r="J3" s="15">
        <v>1</v>
      </c>
      <c r="K3" s="15" t="s">
        <v>37</v>
      </c>
      <c r="L3" s="15" t="s">
        <v>34</v>
      </c>
      <c r="M3" s="15" t="s">
        <v>287</v>
      </c>
      <c r="N3" s="15" t="s">
        <v>25</v>
      </c>
      <c r="O3" s="15" t="s">
        <v>25</v>
      </c>
      <c r="P3" s="15">
        <v>20</v>
      </c>
      <c r="Q3" s="15">
        <v>0.8</v>
      </c>
      <c r="R3" s="15">
        <v>0</v>
      </c>
      <c r="S3" s="15">
        <v>0.2</v>
      </c>
    </row>
    <row r="4" spans="1:19" ht="14.4" x14ac:dyDescent="0.3">
      <c r="A4" s="15" t="s">
        <v>85</v>
      </c>
      <c r="B4" s="15" t="s">
        <v>288</v>
      </c>
      <c r="C4" s="15" t="s">
        <v>62</v>
      </c>
      <c r="D4" s="15"/>
      <c r="E4" s="15"/>
      <c r="F4" s="15"/>
      <c r="G4" s="15">
        <v>1</v>
      </c>
      <c r="H4" s="15"/>
      <c r="I4" s="15"/>
      <c r="J4" s="15">
        <v>1</v>
      </c>
      <c r="K4" s="15" t="s">
        <v>37</v>
      </c>
      <c r="L4" s="15" t="s">
        <v>33</v>
      </c>
      <c r="M4" s="15" t="s">
        <v>27</v>
      </c>
      <c r="N4" s="15" t="s">
        <v>25</v>
      </c>
      <c r="O4" s="15" t="s">
        <v>25</v>
      </c>
      <c r="P4" s="15">
        <v>90</v>
      </c>
      <c r="Q4" s="15">
        <v>0.1</v>
      </c>
      <c r="R4" s="15">
        <v>0</v>
      </c>
      <c r="S4" s="15">
        <v>0.9</v>
      </c>
    </row>
    <row r="5" spans="1:19" ht="14.4" x14ac:dyDescent="0.3">
      <c r="A5" s="15" t="s">
        <v>67</v>
      </c>
      <c r="B5" s="15" t="s">
        <v>289</v>
      </c>
      <c r="C5" s="15" t="s">
        <v>290</v>
      </c>
      <c r="D5" s="15"/>
      <c r="E5" s="15"/>
      <c r="F5" s="15"/>
      <c r="G5" s="15"/>
      <c r="H5" s="15"/>
      <c r="I5" s="15">
        <v>1</v>
      </c>
      <c r="J5" s="15">
        <v>1</v>
      </c>
      <c r="K5" s="15" t="s">
        <v>37</v>
      </c>
      <c r="L5" s="15" t="s">
        <v>39</v>
      </c>
      <c r="M5" s="15" t="s">
        <v>27</v>
      </c>
      <c r="N5" s="15" t="s">
        <v>25</v>
      </c>
      <c r="O5" s="15" t="s">
        <v>25</v>
      </c>
      <c r="P5" s="15">
        <v>90</v>
      </c>
      <c r="Q5" s="15">
        <v>0.1</v>
      </c>
      <c r="R5" s="15">
        <v>0</v>
      </c>
      <c r="S5" s="15">
        <v>0.9</v>
      </c>
    </row>
    <row r="6" spans="1:19" ht="14.4" x14ac:dyDescent="0.3">
      <c r="A6" s="15" t="s">
        <v>66</v>
      </c>
      <c r="B6" s="15" t="s">
        <v>291</v>
      </c>
      <c r="C6" s="15" t="s">
        <v>160</v>
      </c>
      <c r="D6" s="15"/>
      <c r="E6" s="15"/>
      <c r="F6" s="15"/>
      <c r="G6" s="15"/>
      <c r="H6" s="15"/>
      <c r="I6" s="15">
        <v>1</v>
      </c>
      <c r="J6" s="15">
        <v>1</v>
      </c>
      <c r="K6" s="15" t="s">
        <v>37</v>
      </c>
      <c r="L6" s="15" t="s">
        <v>33</v>
      </c>
      <c r="M6" s="15" t="s">
        <v>35</v>
      </c>
      <c r="N6" s="15" t="s">
        <v>25</v>
      </c>
      <c r="O6" s="15" t="s">
        <v>25</v>
      </c>
      <c r="P6" s="15">
        <v>70</v>
      </c>
      <c r="Q6" s="15">
        <v>0.3</v>
      </c>
      <c r="R6" s="15">
        <v>0</v>
      </c>
      <c r="S6" s="15">
        <v>0.7</v>
      </c>
    </row>
    <row r="7" spans="1:19" ht="14.4" x14ac:dyDescent="0.3">
      <c r="A7" s="15" t="s">
        <v>63</v>
      </c>
      <c r="B7" s="15" t="s">
        <v>292</v>
      </c>
      <c r="C7" s="15" t="s">
        <v>160</v>
      </c>
      <c r="D7" s="15"/>
      <c r="E7" s="15"/>
      <c r="F7" s="15"/>
      <c r="G7" s="15"/>
      <c r="H7" s="15"/>
      <c r="I7" s="15">
        <v>1</v>
      </c>
      <c r="J7" s="15">
        <v>1</v>
      </c>
      <c r="K7" s="15" t="s">
        <v>37</v>
      </c>
      <c r="L7" s="15" t="s">
        <v>49</v>
      </c>
      <c r="M7" s="15" t="s">
        <v>27</v>
      </c>
      <c r="N7" s="15" t="s">
        <v>25</v>
      </c>
      <c r="O7" s="15" t="s">
        <v>25</v>
      </c>
      <c r="P7" s="15">
        <v>90</v>
      </c>
      <c r="Q7" s="15">
        <v>0.1</v>
      </c>
      <c r="R7" s="15">
        <v>0</v>
      </c>
      <c r="S7" s="15">
        <v>0.9</v>
      </c>
    </row>
    <row r="8" spans="1:19" ht="14.4" x14ac:dyDescent="0.3">
      <c r="A8" s="15" t="s">
        <v>74</v>
      </c>
      <c r="B8" s="15" t="s">
        <v>293</v>
      </c>
      <c r="C8" s="15" t="s">
        <v>62</v>
      </c>
      <c r="D8" s="15"/>
      <c r="E8" s="15"/>
      <c r="F8" s="15"/>
      <c r="G8" s="15"/>
      <c r="H8" s="15">
        <v>1</v>
      </c>
      <c r="I8" s="15"/>
      <c r="J8" s="15">
        <v>1</v>
      </c>
      <c r="K8" s="15" t="s">
        <v>37</v>
      </c>
      <c r="L8" s="15">
        <v>0</v>
      </c>
      <c r="M8" s="15">
        <v>0</v>
      </c>
      <c r="N8" s="15" t="s">
        <v>25</v>
      </c>
      <c r="O8" s="15" t="s">
        <v>25</v>
      </c>
      <c r="P8" s="15">
        <v>100</v>
      </c>
      <c r="Q8" s="15">
        <v>0</v>
      </c>
      <c r="R8" s="15">
        <v>0</v>
      </c>
      <c r="S8" s="15">
        <v>1</v>
      </c>
    </row>
    <row r="9" spans="1:19" ht="14.4" x14ac:dyDescent="0.3">
      <c r="A9" s="15" t="s">
        <v>220</v>
      </c>
      <c r="B9" s="15" t="s">
        <v>294</v>
      </c>
      <c r="C9" s="15" t="s">
        <v>62</v>
      </c>
      <c r="D9" s="15"/>
      <c r="E9" s="15"/>
      <c r="F9" s="15"/>
      <c r="G9" s="15"/>
      <c r="H9" s="15">
        <v>1</v>
      </c>
      <c r="I9" s="15">
        <v>1</v>
      </c>
      <c r="J9" s="15">
        <v>2</v>
      </c>
      <c r="K9" s="15" t="s">
        <v>37</v>
      </c>
      <c r="L9" s="15" t="s">
        <v>34</v>
      </c>
      <c r="M9" s="15" t="s">
        <v>27</v>
      </c>
      <c r="N9" s="15" t="s">
        <v>25</v>
      </c>
      <c r="O9" s="15" t="s">
        <v>25</v>
      </c>
      <c r="P9" s="15">
        <v>90</v>
      </c>
      <c r="Q9" s="15">
        <v>0.2</v>
      </c>
      <c r="R9" s="15">
        <v>0</v>
      </c>
      <c r="S9" s="15">
        <v>1.8</v>
      </c>
    </row>
    <row r="10" spans="1:19" ht="14.4" x14ac:dyDescent="0.3">
      <c r="A10" s="15" t="s">
        <v>72</v>
      </c>
      <c r="B10" s="15" t="s">
        <v>295</v>
      </c>
      <c r="C10" s="15" t="s">
        <v>160</v>
      </c>
      <c r="D10" s="15"/>
      <c r="E10" s="15"/>
      <c r="F10" s="15"/>
      <c r="G10" s="15"/>
      <c r="H10" s="15"/>
      <c r="I10" s="15">
        <v>1</v>
      </c>
      <c r="J10" s="15">
        <v>1</v>
      </c>
      <c r="K10" s="15" t="s">
        <v>37</v>
      </c>
      <c r="L10" s="15" t="s">
        <v>34</v>
      </c>
      <c r="M10" s="15" t="s">
        <v>24</v>
      </c>
      <c r="N10" s="15" t="s">
        <v>25</v>
      </c>
      <c r="O10" s="15" t="s">
        <v>25</v>
      </c>
      <c r="P10" s="15">
        <v>50</v>
      </c>
      <c r="Q10" s="15">
        <v>0.5</v>
      </c>
      <c r="R10" s="15">
        <v>0</v>
      </c>
      <c r="S10" s="15">
        <v>0.5</v>
      </c>
    </row>
    <row r="11" spans="1:19" ht="14.4" x14ac:dyDescent="0.3">
      <c r="A11" s="15" t="s">
        <v>73</v>
      </c>
      <c r="B11" s="15" t="s">
        <v>296</v>
      </c>
      <c r="C11" s="15" t="s">
        <v>62</v>
      </c>
      <c r="D11" s="15"/>
      <c r="E11" s="15"/>
      <c r="F11" s="15"/>
      <c r="G11" s="15"/>
      <c r="H11" s="15">
        <v>1</v>
      </c>
      <c r="I11" s="15"/>
      <c r="J11" s="15">
        <v>1</v>
      </c>
      <c r="K11" s="15" t="s">
        <v>37</v>
      </c>
      <c r="L11" s="15" t="s">
        <v>34</v>
      </c>
      <c r="M11" s="15" t="s">
        <v>24</v>
      </c>
      <c r="N11" s="15" t="s">
        <v>25</v>
      </c>
      <c r="O11" s="15" t="s">
        <v>25</v>
      </c>
      <c r="P11" s="15">
        <v>50</v>
      </c>
      <c r="Q11" s="15">
        <v>0.5</v>
      </c>
      <c r="R11" s="15">
        <v>0</v>
      </c>
      <c r="S11" s="15">
        <v>0.5</v>
      </c>
    </row>
    <row r="12" spans="1:19" ht="14.4" x14ac:dyDescent="0.3">
      <c r="A12" s="15" t="s">
        <v>71</v>
      </c>
      <c r="B12" s="15" t="s">
        <v>297</v>
      </c>
      <c r="C12" s="15" t="s">
        <v>62</v>
      </c>
      <c r="D12" s="15"/>
      <c r="E12" s="15"/>
      <c r="F12" s="15"/>
      <c r="G12" s="15"/>
      <c r="H12" s="15"/>
      <c r="I12" s="15">
        <v>1</v>
      </c>
      <c r="J12" s="15">
        <v>1</v>
      </c>
      <c r="K12" s="15" t="s">
        <v>37</v>
      </c>
      <c r="L12" s="15" t="s">
        <v>23</v>
      </c>
      <c r="M12" s="15" t="s">
        <v>47</v>
      </c>
      <c r="N12" s="15" t="s">
        <v>25</v>
      </c>
      <c r="O12" s="15" t="s">
        <v>25</v>
      </c>
      <c r="P12" s="15">
        <v>60</v>
      </c>
      <c r="Q12" s="15">
        <v>0.4</v>
      </c>
      <c r="R12" s="15">
        <v>0</v>
      </c>
      <c r="S12" s="15">
        <v>0.6</v>
      </c>
    </row>
    <row r="13" spans="1:19" ht="14.4" x14ac:dyDescent="0.3">
      <c r="A13" s="15" t="s">
        <v>70</v>
      </c>
      <c r="B13" s="15" t="s">
        <v>298</v>
      </c>
      <c r="C13" s="15" t="s">
        <v>62</v>
      </c>
      <c r="D13" s="15"/>
      <c r="E13" s="15"/>
      <c r="F13" s="15"/>
      <c r="G13" s="15">
        <v>1</v>
      </c>
      <c r="H13" s="15"/>
      <c r="I13" s="15"/>
      <c r="J13" s="15">
        <v>1</v>
      </c>
      <c r="K13" s="15" t="s">
        <v>37</v>
      </c>
      <c r="L13" s="15" t="s">
        <v>33</v>
      </c>
      <c r="M13" s="15" t="s">
        <v>42</v>
      </c>
      <c r="N13" s="15" t="s">
        <v>25</v>
      </c>
      <c r="O13" s="15" t="s">
        <v>25</v>
      </c>
      <c r="P13" s="15">
        <v>40</v>
      </c>
      <c r="Q13" s="15">
        <v>0.6</v>
      </c>
      <c r="R13" s="15">
        <v>0</v>
      </c>
      <c r="S13" s="15">
        <v>0.4</v>
      </c>
    </row>
    <row r="14" spans="1:19" ht="14.4" x14ac:dyDescent="0.3">
      <c r="A14" s="15" t="s">
        <v>221</v>
      </c>
      <c r="B14" s="15" t="s">
        <v>299</v>
      </c>
      <c r="C14" s="15" t="s">
        <v>62</v>
      </c>
      <c r="D14" s="15"/>
      <c r="E14" s="15"/>
      <c r="F14" s="15"/>
      <c r="G14" s="15"/>
      <c r="H14" s="15"/>
      <c r="I14" s="15">
        <v>1</v>
      </c>
      <c r="J14" s="15">
        <v>1</v>
      </c>
      <c r="K14" s="15" t="s">
        <v>37</v>
      </c>
      <c r="L14" s="15" t="s">
        <v>34</v>
      </c>
      <c r="M14" s="15" t="s">
        <v>35</v>
      </c>
      <c r="N14" s="15" t="s">
        <v>25</v>
      </c>
      <c r="O14" s="15" t="s">
        <v>25</v>
      </c>
      <c r="P14" s="15">
        <v>70</v>
      </c>
      <c r="Q14" s="15">
        <v>0.3</v>
      </c>
      <c r="R14" s="15">
        <v>0</v>
      </c>
      <c r="S14" s="15">
        <v>0.7</v>
      </c>
    </row>
    <row r="15" spans="1:19" ht="14.4" x14ac:dyDescent="0.3">
      <c r="A15" s="15" t="s">
        <v>131</v>
      </c>
      <c r="B15" s="15" t="s">
        <v>300</v>
      </c>
      <c r="C15" s="15" t="s">
        <v>86</v>
      </c>
      <c r="D15" s="15"/>
      <c r="E15" s="15"/>
      <c r="F15" s="15"/>
      <c r="G15" s="15"/>
      <c r="H15" s="15">
        <v>1</v>
      </c>
      <c r="I15" s="15"/>
      <c r="J15" s="15">
        <v>1</v>
      </c>
      <c r="K15" s="15" t="s">
        <v>37</v>
      </c>
      <c r="L15" s="15" t="s">
        <v>48</v>
      </c>
      <c r="M15" s="15" t="s">
        <v>222</v>
      </c>
      <c r="N15" s="15" t="s">
        <v>25</v>
      </c>
      <c r="O15" s="15" t="s">
        <v>25</v>
      </c>
      <c r="P15" s="15">
        <v>80</v>
      </c>
      <c r="Q15" s="15">
        <v>0.2</v>
      </c>
      <c r="R15" s="15">
        <v>0</v>
      </c>
      <c r="S15" s="15">
        <v>0.8</v>
      </c>
    </row>
    <row r="16" spans="1:19" ht="14.4" x14ac:dyDescent="0.3">
      <c r="A16" s="15" t="s">
        <v>301</v>
      </c>
      <c r="B16" s="15" t="s">
        <v>302</v>
      </c>
      <c r="C16" s="15" t="s">
        <v>160</v>
      </c>
      <c r="D16" s="15"/>
      <c r="E16" s="15"/>
      <c r="F16" s="15"/>
      <c r="G16" s="15"/>
      <c r="H16" s="15"/>
      <c r="I16" s="15">
        <v>1</v>
      </c>
      <c r="J16" s="15">
        <v>1</v>
      </c>
      <c r="K16" s="15" t="s">
        <v>37</v>
      </c>
      <c r="L16" s="15" t="s">
        <v>48</v>
      </c>
      <c r="M16" s="15" t="s">
        <v>42</v>
      </c>
      <c r="N16" s="15" t="s">
        <v>25</v>
      </c>
      <c r="O16" s="15" t="s">
        <v>25</v>
      </c>
      <c r="P16" s="15">
        <v>40</v>
      </c>
      <c r="Q16" s="15">
        <v>0.6</v>
      </c>
      <c r="R16" s="15">
        <v>0</v>
      </c>
      <c r="S16" s="15">
        <v>0.4</v>
      </c>
    </row>
    <row r="17" spans="1:20" ht="14.4" x14ac:dyDescent="0.3">
      <c r="A17" s="15" t="s">
        <v>64</v>
      </c>
      <c r="B17" s="15" t="s">
        <v>303</v>
      </c>
      <c r="C17" s="15" t="s">
        <v>62</v>
      </c>
      <c r="D17" s="15"/>
      <c r="E17" s="15"/>
      <c r="F17" s="15"/>
      <c r="G17" s="15">
        <v>1</v>
      </c>
      <c r="H17" s="15"/>
      <c r="I17" s="15"/>
      <c r="J17" s="15">
        <v>1</v>
      </c>
      <c r="K17" s="15" t="s">
        <v>37</v>
      </c>
      <c r="L17" s="15" t="s">
        <v>33</v>
      </c>
      <c r="M17" s="15" t="s">
        <v>27</v>
      </c>
      <c r="N17" s="15" t="s">
        <v>25</v>
      </c>
      <c r="O17" s="15" t="s">
        <v>25</v>
      </c>
      <c r="P17" s="15">
        <v>90</v>
      </c>
      <c r="Q17" s="15">
        <v>0.1</v>
      </c>
      <c r="R17" s="15">
        <v>0</v>
      </c>
      <c r="S17" s="15">
        <v>0.9</v>
      </c>
    </row>
    <row r="18" spans="1:20" ht="14.4" x14ac:dyDescent="0.3">
      <c r="A18" s="15" t="s">
        <v>69</v>
      </c>
      <c r="B18" s="15" t="s">
        <v>304</v>
      </c>
      <c r="C18" s="15" t="s">
        <v>62</v>
      </c>
      <c r="D18" s="15"/>
      <c r="E18" s="15"/>
      <c r="F18" s="15"/>
      <c r="G18" s="15">
        <v>1</v>
      </c>
      <c r="H18" s="15"/>
      <c r="I18" s="15"/>
      <c r="J18" s="15">
        <v>1</v>
      </c>
      <c r="K18" s="15" t="s">
        <v>37</v>
      </c>
      <c r="L18" s="15">
        <v>0</v>
      </c>
      <c r="M18" s="15">
        <v>0</v>
      </c>
      <c r="N18" s="15" t="s">
        <v>25</v>
      </c>
      <c r="O18" s="15" t="s">
        <v>25</v>
      </c>
      <c r="P18" s="15">
        <v>100</v>
      </c>
      <c r="Q18" s="15">
        <v>0</v>
      </c>
      <c r="R18" s="15">
        <v>0</v>
      </c>
      <c r="S18" s="15">
        <v>1</v>
      </c>
    </row>
    <row r="19" spans="1:20" ht="14.4" x14ac:dyDescent="0.3">
      <c r="A19" s="15" t="s">
        <v>87</v>
      </c>
      <c r="B19" s="15" t="s">
        <v>305</v>
      </c>
      <c r="C19" s="15" t="s">
        <v>86</v>
      </c>
      <c r="D19" s="15"/>
      <c r="E19" s="15">
        <v>1</v>
      </c>
      <c r="F19" s="15"/>
      <c r="G19" s="15"/>
      <c r="H19" s="15"/>
      <c r="I19" s="15"/>
      <c r="J19" s="15">
        <v>1</v>
      </c>
      <c r="K19" s="15" t="s">
        <v>37</v>
      </c>
      <c r="L19" s="15" t="s">
        <v>34</v>
      </c>
      <c r="M19" s="15" t="s">
        <v>35</v>
      </c>
      <c r="N19" s="15" t="s">
        <v>25</v>
      </c>
      <c r="O19" s="15" t="s">
        <v>25</v>
      </c>
      <c r="P19" s="15">
        <v>70</v>
      </c>
      <c r="Q19" s="15">
        <v>0.3</v>
      </c>
      <c r="R19" s="15">
        <v>0</v>
      </c>
      <c r="S19" s="15">
        <v>0.7</v>
      </c>
    </row>
    <row r="20" spans="1:20" ht="14.4" x14ac:dyDescent="0.3">
      <c r="A20" s="15" t="s">
        <v>65</v>
      </c>
      <c r="B20" s="15" t="s">
        <v>306</v>
      </c>
      <c r="C20" s="15" t="s">
        <v>62</v>
      </c>
      <c r="D20" s="15"/>
      <c r="E20" s="15"/>
      <c r="F20" s="15"/>
      <c r="G20" s="15"/>
      <c r="H20" s="15"/>
      <c r="I20" s="15">
        <v>1</v>
      </c>
      <c r="J20" s="15">
        <v>1</v>
      </c>
      <c r="K20" s="15" t="s">
        <v>37</v>
      </c>
      <c r="L20" s="15" t="s">
        <v>23</v>
      </c>
      <c r="M20" s="15" t="s">
        <v>27</v>
      </c>
      <c r="N20" s="15" t="s">
        <v>25</v>
      </c>
      <c r="O20" s="15" t="s">
        <v>25</v>
      </c>
      <c r="P20" s="15">
        <v>90</v>
      </c>
      <c r="Q20" s="15">
        <v>0.1</v>
      </c>
      <c r="R20" s="15">
        <v>0</v>
      </c>
      <c r="S20" s="15">
        <v>0.9</v>
      </c>
    </row>
    <row r="21" spans="1:20" ht="14.4" x14ac:dyDescent="0.3">
      <c r="A21" s="15" t="s">
        <v>83</v>
      </c>
      <c r="B21" s="15" t="s">
        <v>307</v>
      </c>
      <c r="C21" s="15" t="s">
        <v>62</v>
      </c>
      <c r="D21" s="15">
        <v>1</v>
      </c>
      <c r="E21" s="15"/>
      <c r="F21" s="15"/>
      <c r="G21" s="15"/>
      <c r="H21" s="15"/>
      <c r="I21" s="15">
        <v>1</v>
      </c>
      <c r="J21" s="15">
        <v>2</v>
      </c>
      <c r="K21" s="15" t="s">
        <v>37</v>
      </c>
      <c r="L21" s="15">
        <v>0</v>
      </c>
      <c r="M21" s="15">
        <v>0</v>
      </c>
      <c r="N21" s="15" t="s">
        <v>25</v>
      </c>
      <c r="O21" s="15" t="s">
        <v>25</v>
      </c>
      <c r="P21" s="15">
        <v>100</v>
      </c>
      <c r="Q21" s="15">
        <v>0</v>
      </c>
      <c r="R21" s="15">
        <v>0</v>
      </c>
      <c r="S21" s="15">
        <v>2</v>
      </c>
    </row>
    <row r="22" spans="1:20" ht="14.4" x14ac:dyDescent="0.3">
      <c r="A22" s="15" t="s">
        <v>308</v>
      </c>
      <c r="B22" s="15" t="s">
        <v>309</v>
      </c>
      <c r="C22" s="15" t="s">
        <v>86</v>
      </c>
      <c r="D22" s="15"/>
      <c r="E22" s="15"/>
      <c r="F22" s="15"/>
      <c r="G22" s="15"/>
      <c r="H22" s="15"/>
      <c r="I22" s="15">
        <v>1</v>
      </c>
      <c r="J22" s="15">
        <v>1</v>
      </c>
      <c r="K22" s="15" t="s">
        <v>37</v>
      </c>
      <c r="L22" s="15">
        <v>0</v>
      </c>
      <c r="M22" s="15">
        <v>0</v>
      </c>
      <c r="N22" s="15" t="s">
        <v>25</v>
      </c>
      <c r="O22" s="15" t="s">
        <v>25</v>
      </c>
      <c r="P22" s="15">
        <v>100</v>
      </c>
      <c r="Q22" s="15">
        <v>0</v>
      </c>
      <c r="R22" s="15">
        <v>0</v>
      </c>
      <c r="S22" s="15">
        <v>1</v>
      </c>
    </row>
    <row r="23" spans="1:20" x14ac:dyDescent="0.25">
      <c r="A23" s="40"/>
      <c r="B23" s="40"/>
      <c r="C23" s="40"/>
      <c r="D23" s="40"/>
      <c r="E23" s="40"/>
      <c r="F23" s="40"/>
      <c r="G23" s="40"/>
      <c r="H23" s="40"/>
      <c r="I23" s="40"/>
      <c r="J23" s="40"/>
      <c r="K23" s="40"/>
      <c r="L23" s="40"/>
      <c r="M23" s="40"/>
      <c r="N23" s="41"/>
      <c r="O23" s="40"/>
      <c r="P23" s="41"/>
      <c r="Q23" s="40"/>
      <c r="R23" s="40"/>
      <c r="S23" s="42">
        <f>SUM(S2:S22)</f>
        <v>18.900000000000002</v>
      </c>
    </row>
    <row r="25" spans="1:20" s="10" customFormat="1" ht="60" customHeight="1" x14ac:dyDescent="0.25">
      <c r="A25" s="11"/>
      <c r="B25" s="11"/>
      <c r="C25" s="11"/>
      <c r="D25" s="11"/>
      <c r="E25" s="11"/>
      <c r="F25" s="11"/>
      <c r="G25" s="11"/>
      <c r="H25" s="11"/>
      <c r="I25" s="11"/>
      <c r="J25" s="11"/>
      <c r="K25" s="11"/>
      <c r="L25" s="11"/>
      <c r="M25" s="11"/>
      <c r="N25" s="12"/>
      <c r="O25" s="11"/>
      <c r="P25" s="12"/>
      <c r="Q25" s="11"/>
      <c r="R25" s="11"/>
      <c r="S25" s="11"/>
      <c r="T25" s="11"/>
    </row>
  </sheetData>
  <pageMargins left="0.39370078740157483" right="0.39370078740157483" top="0.39370078740157483" bottom="0.39370078740157483" header="0.31496062992125984" footer="0.31496062992125984"/>
  <pageSetup paperSize="9" scale="1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71091-C109-4338-8190-4A9E50110808}">
  <dimension ref="A1:C24"/>
  <sheetViews>
    <sheetView workbookViewId="0">
      <selection activeCell="E23" sqref="E23"/>
    </sheetView>
  </sheetViews>
  <sheetFormatPr baseColWidth="10" defaultRowHeight="14.4" x14ac:dyDescent="0.3"/>
  <cols>
    <col min="1" max="1" width="17" customWidth="1"/>
    <col min="2" max="2" width="86.33203125" customWidth="1"/>
    <col min="3" max="3" width="16" customWidth="1"/>
  </cols>
  <sheetData>
    <row r="1" spans="1:3" x14ac:dyDescent="0.3">
      <c r="A1" s="44" t="s">
        <v>115</v>
      </c>
      <c r="B1" s="44" t="s">
        <v>116</v>
      </c>
      <c r="C1" s="44" t="s">
        <v>133</v>
      </c>
    </row>
    <row r="2" spans="1:3" x14ac:dyDescent="0.3">
      <c r="A2" s="34" t="s">
        <v>132</v>
      </c>
      <c r="B2" s="34" t="s">
        <v>161</v>
      </c>
      <c r="C2" s="35">
        <v>28531.94</v>
      </c>
    </row>
    <row r="3" spans="1:3" x14ac:dyDescent="0.3">
      <c r="A3" s="36" t="s">
        <v>132</v>
      </c>
      <c r="B3" s="36" t="s">
        <v>163</v>
      </c>
      <c r="C3" s="37">
        <v>29223</v>
      </c>
    </row>
    <row r="4" spans="1:3" x14ac:dyDescent="0.3">
      <c r="A4" s="34" t="s">
        <v>164</v>
      </c>
      <c r="B4" s="34" t="s">
        <v>165</v>
      </c>
      <c r="C4" s="35">
        <v>733.34</v>
      </c>
    </row>
    <row r="5" spans="1:3" x14ac:dyDescent="0.3">
      <c r="A5" s="36" t="s">
        <v>164</v>
      </c>
      <c r="B5" s="36" t="s">
        <v>166</v>
      </c>
      <c r="C5" s="37">
        <v>733.33</v>
      </c>
    </row>
    <row r="6" spans="1:3" x14ac:dyDescent="0.3">
      <c r="A6" s="34" t="s">
        <v>167</v>
      </c>
      <c r="B6" s="34" t="s">
        <v>168</v>
      </c>
      <c r="C6" s="35">
        <v>1408</v>
      </c>
    </row>
    <row r="7" spans="1:3" x14ac:dyDescent="0.3">
      <c r="A7" s="36" t="s">
        <v>169</v>
      </c>
      <c r="B7" s="36" t="s">
        <v>170</v>
      </c>
      <c r="C7" s="37">
        <v>1650</v>
      </c>
    </row>
    <row r="8" spans="1:3" x14ac:dyDescent="0.3">
      <c r="A8" s="34" t="s">
        <v>171</v>
      </c>
      <c r="B8" s="34" t="s">
        <v>172</v>
      </c>
      <c r="C8" s="35">
        <v>1650</v>
      </c>
    </row>
    <row r="9" spans="1:3" x14ac:dyDescent="0.3">
      <c r="A9" s="36" t="s">
        <v>173</v>
      </c>
      <c r="B9" s="36" t="s">
        <v>174</v>
      </c>
      <c r="C9" s="37">
        <v>880</v>
      </c>
    </row>
    <row r="10" spans="1:3" x14ac:dyDescent="0.3">
      <c r="A10" s="34" t="s">
        <v>175</v>
      </c>
      <c r="B10" s="34" t="s">
        <v>176</v>
      </c>
      <c r="C10" s="35">
        <v>10182.48</v>
      </c>
    </row>
    <row r="11" spans="1:3" x14ac:dyDescent="0.3">
      <c r="A11" s="36" t="s">
        <v>177</v>
      </c>
      <c r="B11" s="36" t="s">
        <v>178</v>
      </c>
      <c r="C11" s="37">
        <v>7273.2</v>
      </c>
    </row>
    <row r="12" spans="1:3" x14ac:dyDescent="0.3">
      <c r="A12" s="34" t="s">
        <v>179</v>
      </c>
      <c r="B12" s="34" t="s">
        <v>180</v>
      </c>
      <c r="C12" s="35">
        <v>1320</v>
      </c>
    </row>
    <row r="13" spans="1:3" x14ac:dyDescent="0.3">
      <c r="A13" s="36" t="s">
        <v>181</v>
      </c>
      <c r="B13" s="36" t="s">
        <v>182</v>
      </c>
      <c r="C13" s="37">
        <v>2200</v>
      </c>
    </row>
    <row r="14" spans="1:3" x14ac:dyDescent="0.3">
      <c r="A14" s="34" t="s">
        <v>113</v>
      </c>
      <c r="B14" s="34" t="s">
        <v>183</v>
      </c>
      <c r="C14" s="35">
        <v>14258.23</v>
      </c>
    </row>
    <row r="15" spans="1:3" x14ac:dyDescent="0.3">
      <c r="A15" s="36" t="s">
        <v>134</v>
      </c>
      <c r="B15" s="36" t="s">
        <v>184</v>
      </c>
      <c r="C15" s="37">
        <v>-601.91</v>
      </c>
    </row>
    <row r="16" spans="1:3" x14ac:dyDescent="0.3">
      <c r="A16" s="34" t="s">
        <v>134</v>
      </c>
      <c r="B16" s="34" t="s">
        <v>185</v>
      </c>
      <c r="C16" s="35">
        <v>10500</v>
      </c>
    </row>
    <row r="17" spans="1:3" x14ac:dyDescent="0.3">
      <c r="A17" s="36" t="s">
        <v>135</v>
      </c>
      <c r="B17" s="36" t="s">
        <v>186</v>
      </c>
      <c r="C17" s="37">
        <v>-6091.96</v>
      </c>
    </row>
    <row r="18" spans="1:3" x14ac:dyDescent="0.3">
      <c r="A18" s="34" t="s">
        <v>187</v>
      </c>
      <c r="B18" s="34" t="s">
        <v>188</v>
      </c>
      <c r="C18" s="35">
        <v>7500</v>
      </c>
    </row>
    <row r="19" spans="1:3" x14ac:dyDescent="0.3">
      <c r="A19" s="36" t="s">
        <v>75</v>
      </c>
      <c r="B19" s="36" t="s">
        <v>189</v>
      </c>
      <c r="C19" s="37">
        <v>11877.75</v>
      </c>
    </row>
    <row r="20" spans="1:3" x14ac:dyDescent="0.3">
      <c r="A20" s="34" t="s">
        <v>75</v>
      </c>
      <c r="B20" s="34" t="s">
        <v>190</v>
      </c>
      <c r="C20" s="35">
        <v>21076.3</v>
      </c>
    </row>
    <row r="21" spans="1:3" x14ac:dyDescent="0.3">
      <c r="A21" s="36" t="s">
        <v>114</v>
      </c>
      <c r="B21" s="36" t="s">
        <v>191</v>
      </c>
      <c r="C21" s="37">
        <v>17500</v>
      </c>
    </row>
    <row r="22" spans="1:3" x14ac:dyDescent="0.3">
      <c r="A22" s="45" t="s">
        <v>114</v>
      </c>
      <c r="B22" s="45" t="s">
        <v>192</v>
      </c>
      <c r="C22" s="46">
        <v>17500</v>
      </c>
    </row>
    <row r="23" spans="1:3" x14ac:dyDescent="0.3">
      <c r="A23" s="47" t="s">
        <v>0</v>
      </c>
      <c r="B23" s="47"/>
      <c r="C23" s="48">
        <f>SUBTOTAL(109,Tabla2[Imp.cob.aplic.])</f>
        <v>179303.69999999998</v>
      </c>
    </row>
    <row r="24" spans="1:3" x14ac:dyDescent="0.3">
      <c r="C24" s="38"/>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00039-5E4A-4EA7-ACEE-ADEE327D1A9A}">
  <dimension ref="A1:C17"/>
  <sheetViews>
    <sheetView workbookViewId="0">
      <selection activeCell="B19" sqref="B19:C19"/>
    </sheetView>
  </sheetViews>
  <sheetFormatPr baseColWidth="10" defaultRowHeight="14.4" x14ac:dyDescent="0.3"/>
  <cols>
    <col min="1" max="1" width="15.44140625" customWidth="1"/>
    <col min="2" max="2" width="95.33203125" customWidth="1"/>
    <col min="3" max="3" width="16.109375" customWidth="1"/>
  </cols>
  <sheetData>
    <row r="1" spans="1:3" x14ac:dyDescent="0.3">
      <c r="A1" s="51" t="s">
        <v>229</v>
      </c>
      <c r="B1" s="51" t="s">
        <v>116</v>
      </c>
      <c r="C1" s="59" t="s">
        <v>230</v>
      </c>
    </row>
    <row r="2" spans="1:3" x14ac:dyDescent="0.3">
      <c r="A2" s="49" t="s">
        <v>164</v>
      </c>
      <c r="B2" s="49" t="s">
        <v>239</v>
      </c>
      <c r="C2" s="35">
        <v>733.33</v>
      </c>
    </row>
    <row r="3" spans="1:3" x14ac:dyDescent="0.3">
      <c r="A3" s="50" t="s">
        <v>240</v>
      </c>
      <c r="B3" s="50" t="s">
        <v>241</v>
      </c>
      <c r="C3" s="37">
        <v>1320</v>
      </c>
    </row>
    <row r="4" spans="1:3" x14ac:dyDescent="0.3">
      <c r="A4" s="49" t="s">
        <v>242</v>
      </c>
      <c r="B4" s="49" t="s">
        <v>243</v>
      </c>
      <c r="C4" s="35">
        <v>1496</v>
      </c>
    </row>
    <row r="5" spans="1:3" x14ac:dyDescent="0.3">
      <c r="A5" s="50" t="s">
        <v>244</v>
      </c>
      <c r="B5" s="50" t="s">
        <v>245</v>
      </c>
      <c r="C5" s="37">
        <v>2420</v>
      </c>
    </row>
    <row r="6" spans="1:3" x14ac:dyDescent="0.3">
      <c r="A6" s="49" t="s">
        <v>246</v>
      </c>
      <c r="B6" s="49" t="s">
        <v>247</v>
      </c>
      <c r="C6" s="35">
        <v>1760</v>
      </c>
    </row>
    <row r="7" spans="1:3" x14ac:dyDescent="0.3">
      <c r="A7" s="50" t="s">
        <v>113</v>
      </c>
      <c r="B7" s="50" t="s">
        <v>248</v>
      </c>
      <c r="C7" s="37">
        <v>10500</v>
      </c>
    </row>
    <row r="8" spans="1:3" x14ac:dyDescent="0.3">
      <c r="A8" s="49" t="s">
        <v>249</v>
      </c>
      <c r="B8" s="49" t="s">
        <v>250</v>
      </c>
      <c r="C8" s="35">
        <v>-9000</v>
      </c>
    </row>
    <row r="9" spans="1:3" s="53" customFormat="1" x14ac:dyDescent="0.3">
      <c r="A9" s="50" t="s">
        <v>134</v>
      </c>
      <c r="B9" s="50" t="s">
        <v>251</v>
      </c>
      <c r="C9" s="37">
        <v>-1331.88</v>
      </c>
    </row>
    <row r="10" spans="1:3" x14ac:dyDescent="0.3">
      <c r="A10" s="49" t="s">
        <v>187</v>
      </c>
      <c r="B10" s="49" t="s">
        <v>252</v>
      </c>
      <c r="C10" s="35">
        <v>10000</v>
      </c>
    </row>
    <row r="11" spans="1:3" x14ac:dyDescent="0.3">
      <c r="A11" s="50" t="s">
        <v>187</v>
      </c>
      <c r="B11" s="50" t="s">
        <v>253</v>
      </c>
      <c r="C11" s="37">
        <v>-4067.38</v>
      </c>
    </row>
    <row r="12" spans="1:3" x14ac:dyDescent="0.3">
      <c r="A12" s="49" t="s">
        <v>254</v>
      </c>
      <c r="B12" s="49" t="s">
        <v>255</v>
      </c>
      <c r="C12" s="35">
        <v>9000</v>
      </c>
    </row>
    <row r="13" spans="1:3" x14ac:dyDescent="0.3">
      <c r="A13" s="50" t="s">
        <v>75</v>
      </c>
      <c r="B13" s="50" t="s">
        <v>256</v>
      </c>
      <c r="C13" s="37">
        <v>16080.14</v>
      </c>
    </row>
    <row r="14" spans="1:3" x14ac:dyDescent="0.3">
      <c r="A14" s="49" t="s">
        <v>257</v>
      </c>
      <c r="B14" s="49" t="s">
        <v>258</v>
      </c>
      <c r="C14" s="35">
        <v>9600</v>
      </c>
    </row>
    <row r="15" spans="1:3" x14ac:dyDescent="0.3">
      <c r="A15" s="60" t="s">
        <v>257</v>
      </c>
      <c r="B15" s="60" t="s">
        <v>259</v>
      </c>
      <c r="C15" s="61">
        <v>16720.91</v>
      </c>
    </row>
    <row r="16" spans="1:3" x14ac:dyDescent="0.3">
      <c r="A16" s="62" t="s">
        <v>0</v>
      </c>
      <c r="B16" s="62"/>
      <c r="C16" s="63">
        <f>SUBTOTAL(109,Tabla6[Imp. aplic.])</f>
        <v>65231.119999999995</v>
      </c>
    </row>
    <row r="17" spans="1:3" x14ac:dyDescent="0.3">
      <c r="A17" s="52"/>
      <c r="B17" s="52"/>
      <c r="C17" s="58"/>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C32FA-FC3F-474B-9809-C2C2BB5D7614}">
  <dimension ref="A1:C11"/>
  <sheetViews>
    <sheetView workbookViewId="0">
      <selection activeCell="B18" sqref="B18"/>
    </sheetView>
  </sheetViews>
  <sheetFormatPr baseColWidth="10" defaultRowHeight="14.4" x14ac:dyDescent="0.3"/>
  <cols>
    <col min="1" max="1" width="17.109375" customWidth="1"/>
    <col min="2" max="2" width="63.33203125" customWidth="1"/>
    <col min="3" max="3" width="23.109375" customWidth="1"/>
  </cols>
  <sheetData>
    <row r="1" spans="1:3" x14ac:dyDescent="0.3">
      <c r="A1" s="74" t="s">
        <v>229</v>
      </c>
      <c r="B1" s="75" t="s">
        <v>116</v>
      </c>
      <c r="C1" s="75" t="s">
        <v>230</v>
      </c>
    </row>
    <row r="2" spans="1:3" x14ac:dyDescent="0.3">
      <c r="A2" s="76" t="s">
        <v>310</v>
      </c>
      <c r="B2" s="77" t="s">
        <v>311</v>
      </c>
      <c r="C2" s="78">
        <v>2640</v>
      </c>
    </row>
    <row r="3" spans="1:3" x14ac:dyDescent="0.3">
      <c r="A3" s="79" t="s">
        <v>312</v>
      </c>
      <c r="B3" s="80" t="s">
        <v>313</v>
      </c>
      <c r="C3" s="81">
        <v>528</v>
      </c>
    </row>
    <row r="4" spans="1:3" x14ac:dyDescent="0.3">
      <c r="A4" s="76" t="s">
        <v>314</v>
      </c>
      <c r="B4" s="77" t="s">
        <v>315</v>
      </c>
      <c r="C4" s="78">
        <v>10560</v>
      </c>
    </row>
    <row r="5" spans="1:3" x14ac:dyDescent="0.3">
      <c r="A5" s="79" t="s">
        <v>187</v>
      </c>
      <c r="B5" s="80" t="s">
        <v>316</v>
      </c>
      <c r="C5" s="81">
        <v>-1383.86</v>
      </c>
    </row>
    <row r="6" spans="1:3" ht="15" thickBot="1" x14ac:dyDescent="0.35">
      <c r="A6" s="76" t="s">
        <v>254</v>
      </c>
      <c r="B6" s="77" t="s">
        <v>317</v>
      </c>
      <c r="C6" s="78">
        <v>-1735.62</v>
      </c>
    </row>
    <row r="7" spans="1:3" ht="15" thickTop="1" x14ac:dyDescent="0.3">
      <c r="A7" s="82" t="s">
        <v>0</v>
      </c>
      <c r="B7" s="83"/>
      <c r="C7" s="84">
        <v>10608.52</v>
      </c>
    </row>
    <row r="11" spans="1:3" x14ac:dyDescent="0.3">
      <c r="B11" s="85" t="s">
        <v>318</v>
      </c>
      <c r="C11" s="86">
        <f>C7+Tabla2[[#Totals],[Imp.cob.aplic.]]+Tabla6[[#Totals],[Imp. aplic.]]</f>
        <v>255143.33999999997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E24A5-899D-44BE-A3E1-8F125D2760D7}">
  <dimension ref="A1:C6"/>
  <sheetViews>
    <sheetView workbookViewId="0">
      <selection activeCell="B5" sqref="B5"/>
    </sheetView>
  </sheetViews>
  <sheetFormatPr baseColWidth="10" defaultRowHeight="14.4" x14ac:dyDescent="0.3"/>
  <cols>
    <col min="1" max="1" width="17" customWidth="1"/>
    <col min="2" max="2" width="78" customWidth="1"/>
    <col min="3" max="3" width="16" customWidth="1"/>
  </cols>
  <sheetData>
    <row r="1" spans="1:3" x14ac:dyDescent="0.3">
      <c r="A1" s="54" t="s">
        <v>115</v>
      </c>
      <c r="B1" s="54" t="s">
        <v>116</v>
      </c>
      <c r="C1" s="54" t="s">
        <v>133</v>
      </c>
    </row>
    <row r="2" spans="1:3" x14ac:dyDescent="0.3">
      <c r="A2" s="30" t="s">
        <v>260</v>
      </c>
      <c r="B2" s="30" t="s">
        <v>261</v>
      </c>
      <c r="C2" s="56">
        <v>21600</v>
      </c>
    </row>
    <row r="3" spans="1:3" x14ac:dyDescent="0.3">
      <c r="A3" s="55" t="s">
        <v>260</v>
      </c>
      <c r="B3" s="55" t="s">
        <v>262</v>
      </c>
      <c r="C3" s="57">
        <v>4000</v>
      </c>
    </row>
    <row r="4" spans="1:3" x14ac:dyDescent="0.3">
      <c r="A4" s="55" t="s">
        <v>260</v>
      </c>
      <c r="B4" s="55" t="s">
        <v>263</v>
      </c>
      <c r="C4" s="57">
        <v>-600</v>
      </c>
    </row>
    <row r="5" spans="1:3" x14ac:dyDescent="0.3">
      <c r="A5" s="55" t="s">
        <v>260</v>
      </c>
      <c r="B5" s="55" t="s">
        <v>264</v>
      </c>
      <c r="C5" s="57">
        <v>4000</v>
      </c>
    </row>
    <row r="6" spans="1:3" x14ac:dyDescent="0.3">
      <c r="A6" s="43" t="s">
        <v>0</v>
      </c>
      <c r="B6" s="43"/>
      <c r="C6" s="64">
        <f>SUBTOTAL(109,Tabla44[Imp.cob.aplic.])</f>
        <v>29000</v>
      </c>
    </row>
  </sheetData>
  <pageMargins left="0.7" right="0.7" top="0.75" bottom="0.75" header="0.3" footer="0.3"/>
  <pageSetup paperSize="9" orientation="portrait" horizontalDpi="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2465-4636-46C0-B116-D01590BD512F}">
  <dimension ref="A1:C9"/>
  <sheetViews>
    <sheetView workbookViewId="0">
      <selection activeCell="E23" sqref="E23"/>
    </sheetView>
  </sheetViews>
  <sheetFormatPr baseColWidth="10" defaultRowHeight="14.4" x14ac:dyDescent="0.3"/>
  <cols>
    <col min="1" max="1" width="19.44140625" customWidth="1"/>
    <col min="2" max="2" width="61" customWidth="1"/>
    <col min="3" max="3" width="12.33203125" customWidth="1"/>
  </cols>
  <sheetData>
    <row r="1" spans="1:3" x14ac:dyDescent="0.3">
      <c r="A1" s="51" t="s">
        <v>229</v>
      </c>
      <c r="B1" s="51" t="s">
        <v>116</v>
      </c>
      <c r="C1" s="51" t="s">
        <v>230</v>
      </c>
    </row>
    <row r="2" spans="1:3" x14ac:dyDescent="0.3">
      <c r="A2" s="65" t="s">
        <v>231</v>
      </c>
      <c r="B2" s="65" t="s">
        <v>232</v>
      </c>
      <c r="C2" s="66">
        <v>8925</v>
      </c>
    </row>
    <row r="3" spans="1:3" x14ac:dyDescent="0.3">
      <c r="A3" s="67" t="s">
        <v>231</v>
      </c>
      <c r="B3" s="67" t="s">
        <v>233</v>
      </c>
      <c r="C3" s="68">
        <v>8925</v>
      </c>
    </row>
    <row r="4" spans="1:3" x14ac:dyDescent="0.3">
      <c r="A4" s="65" t="s">
        <v>231</v>
      </c>
      <c r="B4" s="65" t="s">
        <v>234</v>
      </c>
      <c r="C4" s="66">
        <v>4000</v>
      </c>
    </row>
    <row r="5" spans="1:3" x14ac:dyDescent="0.3">
      <c r="A5" s="67" t="s">
        <v>231</v>
      </c>
      <c r="B5" s="67" t="s">
        <v>235</v>
      </c>
      <c r="C5" s="68">
        <v>4000</v>
      </c>
    </row>
    <row r="6" spans="1:3" x14ac:dyDescent="0.3">
      <c r="A6" s="65" t="s">
        <v>231</v>
      </c>
      <c r="B6" s="65" t="s">
        <v>236</v>
      </c>
      <c r="C6" s="66">
        <v>4462.5</v>
      </c>
    </row>
    <row r="7" spans="1:3" x14ac:dyDescent="0.3">
      <c r="A7" s="67" t="s">
        <v>231</v>
      </c>
      <c r="B7" s="67" t="s">
        <v>237</v>
      </c>
      <c r="C7" s="68">
        <v>-4462.5</v>
      </c>
    </row>
    <row r="8" spans="1:3" x14ac:dyDescent="0.3">
      <c r="A8" s="69" t="s">
        <v>231</v>
      </c>
      <c r="B8" s="69" t="s">
        <v>238</v>
      </c>
      <c r="C8" s="70">
        <v>5737.5</v>
      </c>
    </row>
    <row r="9" spans="1:3" s="53" customFormat="1" x14ac:dyDescent="0.3">
      <c r="A9" s="52" t="s">
        <v>0</v>
      </c>
      <c r="B9" s="52"/>
      <c r="C9" s="71">
        <f>SUBTOTAL(109,Tabla5[Imp. aplic.])</f>
        <v>31587.5</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8DD32-743A-4EB4-885C-8F3CAED4E366}">
  <dimension ref="A1:C36"/>
  <sheetViews>
    <sheetView tabSelected="1" topLeftCell="A12" workbookViewId="0">
      <selection activeCell="G27" sqref="G27"/>
    </sheetView>
  </sheetViews>
  <sheetFormatPr baseColWidth="10" defaultRowHeight="14.4" x14ac:dyDescent="0.3"/>
  <cols>
    <col min="1" max="1" width="20.44140625" customWidth="1"/>
    <col min="2" max="2" width="47.6640625" customWidth="1"/>
    <col min="3" max="3" width="24.44140625" customWidth="1"/>
  </cols>
  <sheetData>
    <row r="1" spans="1:3" x14ac:dyDescent="0.3">
      <c r="A1" s="88" t="s">
        <v>229</v>
      </c>
      <c r="B1" s="88" t="s">
        <v>116</v>
      </c>
      <c r="C1" s="89" t="s">
        <v>230</v>
      </c>
    </row>
    <row r="2" spans="1:3" x14ac:dyDescent="0.3">
      <c r="A2" s="77" t="s">
        <v>231</v>
      </c>
      <c r="B2" s="77" t="s">
        <v>319</v>
      </c>
      <c r="C2" s="78">
        <v>1536.97</v>
      </c>
    </row>
    <row r="3" spans="1:3" x14ac:dyDescent="0.3">
      <c r="A3" s="80" t="s">
        <v>231</v>
      </c>
      <c r="B3" s="80" t="s">
        <v>320</v>
      </c>
      <c r="C3" s="81">
        <v>4462.5</v>
      </c>
    </row>
    <row r="4" spans="1:3" x14ac:dyDescent="0.3">
      <c r="A4" s="77" t="s">
        <v>231</v>
      </c>
      <c r="B4" s="77" t="s">
        <v>321</v>
      </c>
      <c r="C4" s="78">
        <v>637.5</v>
      </c>
    </row>
    <row r="5" spans="1:3" x14ac:dyDescent="0.3">
      <c r="A5" s="80" t="s">
        <v>231</v>
      </c>
      <c r="B5" s="80" t="s">
        <v>322</v>
      </c>
      <c r="C5" s="81">
        <v>637.5</v>
      </c>
    </row>
    <row r="6" spans="1:3" x14ac:dyDescent="0.3">
      <c r="A6" s="77" t="s">
        <v>231</v>
      </c>
      <c r="B6" s="77" t="s">
        <v>323</v>
      </c>
      <c r="C6" s="78">
        <v>6000</v>
      </c>
    </row>
    <row r="7" spans="1:3" x14ac:dyDescent="0.3">
      <c r="A7" s="80" t="s">
        <v>231</v>
      </c>
      <c r="B7" s="80" t="s">
        <v>324</v>
      </c>
      <c r="C7" s="81">
        <v>6000</v>
      </c>
    </row>
    <row r="8" spans="1:3" x14ac:dyDescent="0.3">
      <c r="A8" s="77" t="s">
        <v>231</v>
      </c>
      <c r="B8" s="77" t="s">
        <v>325</v>
      </c>
      <c r="C8" s="78">
        <v>1275</v>
      </c>
    </row>
    <row r="9" spans="1:3" x14ac:dyDescent="0.3">
      <c r="A9" s="80" t="s">
        <v>231</v>
      </c>
      <c r="B9" s="80" t="s">
        <v>325</v>
      </c>
      <c r="C9" s="81">
        <v>-1275</v>
      </c>
    </row>
    <row r="10" spans="1:3" x14ac:dyDescent="0.3">
      <c r="A10" s="77" t="s">
        <v>326</v>
      </c>
      <c r="B10" s="77" t="s">
        <v>327</v>
      </c>
      <c r="C10" s="78">
        <v>2436.9699999999998</v>
      </c>
    </row>
    <row r="11" spans="1:3" x14ac:dyDescent="0.3">
      <c r="A11" s="80" t="s">
        <v>326</v>
      </c>
      <c r="B11" s="80" t="s">
        <v>328</v>
      </c>
      <c r="C11" s="81">
        <v>2436.9699999999998</v>
      </c>
    </row>
    <row r="12" spans="1:3" x14ac:dyDescent="0.3">
      <c r="A12" s="77" t="s">
        <v>326</v>
      </c>
      <c r="B12" s="94" t="s">
        <v>329</v>
      </c>
      <c r="C12" s="95">
        <v>2436.9699999999998</v>
      </c>
    </row>
    <row r="13" spans="1:3" x14ac:dyDescent="0.3">
      <c r="A13" s="80" t="s">
        <v>326</v>
      </c>
      <c r="B13" s="80" t="s">
        <v>330</v>
      </c>
      <c r="C13" s="81">
        <v>2436.9699999999998</v>
      </c>
    </row>
    <row r="14" spans="1:3" x14ac:dyDescent="0.3">
      <c r="A14" s="77" t="s">
        <v>326</v>
      </c>
      <c r="B14" s="77" t="s">
        <v>331</v>
      </c>
      <c r="C14" s="78">
        <v>2436.9699999999998</v>
      </c>
    </row>
    <row r="15" spans="1:3" x14ac:dyDescent="0.3">
      <c r="A15" s="80" t="s">
        <v>326</v>
      </c>
      <c r="B15" s="80" t="s">
        <v>332</v>
      </c>
      <c r="C15" s="81">
        <v>2436.9699999999998</v>
      </c>
    </row>
    <row r="16" spans="1:3" x14ac:dyDescent="0.3">
      <c r="A16" s="77" t="s">
        <v>326</v>
      </c>
      <c r="B16" s="77" t="s">
        <v>333</v>
      </c>
      <c r="C16" s="78">
        <v>2436.9699999999998</v>
      </c>
    </row>
    <row r="17" spans="1:3" x14ac:dyDescent="0.3">
      <c r="A17" s="80" t="s">
        <v>326</v>
      </c>
      <c r="B17" s="80" t="s">
        <v>334</v>
      </c>
      <c r="C17" s="81">
        <v>652.79999999999995</v>
      </c>
    </row>
    <row r="18" spans="1:3" x14ac:dyDescent="0.3">
      <c r="A18" s="77" t="s">
        <v>326</v>
      </c>
      <c r="B18" s="77" t="s">
        <v>335</v>
      </c>
      <c r="C18" s="78">
        <v>2436.9699999999998</v>
      </c>
    </row>
    <row r="19" spans="1:3" x14ac:dyDescent="0.3">
      <c r="A19" s="80" t="s">
        <v>326</v>
      </c>
      <c r="B19" s="80" t="s">
        <v>336</v>
      </c>
      <c r="C19" s="81">
        <v>10771.2</v>
      </c>
    </row>
    <row r="20" spans="1:3" x14ac:dyDescent="0.3">
      <c r="A20" s="77" t="s">
        <v>326</v>
      </c>
      <c r="B20" s="77" t="s">
        <v>337</v>
      </c>
      <c r="C20" s="78">
        <v>6355.18</v>
      </c>
    </row>
    <row r="21" spans="1:3" x14ac:dyDescent="0.3">
      <c r="A21" s="80" t="s">
        <v>326</v>
      </c>
      <c r="B21" s="80" t="s">
        <v>338</v>
      </c>
      <c r="C21" s="81">
        <v>2436.9699999999998</v>
      </c>
    </row>
    <row r="22" spans="1:3" x14ac:dyDescent="0.3">
      <c r="A22" s="77" t="s">
        <v>326</v>
      </c>
      <c r="B22" s="77" t="s">
        <v>339</v>
      </c>
      <c r="C22" s="78">
        <v>3200</v>
      </c>
    </row>
    <row r="23" spans="1:3" x14ac:dyDescent="0.3">
      <c r="A23" s="80" t="s">
        <v>326</v>
      </c>
      <c r="B23" s="80" t="s">
        <v>340</v>
      </c>
      <c r="C23" s="81">
        <v>37955.54</v>
      </c>
    </row>
    <row r="24" spans="1:3" x14ac:dyDescent="0.3">
      <c r="A24" s="77" t="s">
        <v>326</v>
      </c>
      <c r="B24" s="77" t="s">
        <v>341</v>
      </c>
      <c r="C24" s="78">
        <v>29246.53</v>
      </c>
    </row>
    <row r="25" spans="1:3" x14ac:dyDescent="0.3">
      <c r="A25" s="80" t="s">
        <v>326</v>
      </c>
      <c r="B25" s="80" t="s">
        <v>341</v>
      </c>
      <c r="C25" s="81">
        <v>-29246.53</v>
      </c>
    </row>
    <row r="26" spans="1:3" x14ac:dyDescent="0.3">
      <c r="A26" s="77" t="s">
        <v>342</v>
      </c>
      <c r="B26" s="77" t="s">
        <v>343</v>
      </c>
      <c r="C26" s="78">
        <v>75.599999999999994</v>
      </c>
    </row>
    <row r="27" spans="1:3" x14ac:dyDescent="0.3">
      <c r="A27" s="80" t="s">
        <v>342</v>
      </c>
      <c r="B27" s="80" t="s">
        <v>344</v>
      </c>
      <c r="C27" s="81">
        <v>2199.6</v>
      </c>
    </row>
    <row r="28" spans="1:3" x14ac:dyDescent="0.3">
      <c r="A28" s="77" t="s">
        <v>342</v>
      </c>
      <c r="B28" s="77" t="s">
        <v>345</v>
      </c>
      <c r="C28" s="78">
        <v>2713.6</v>
      </c>
    </row>
    <row r="29" spans="1:3" x14ac:dyDescent="0.3">
      <c r="A29" s="80" t="s">
        <v>342</v>
      </c>
      <c r="B29" s="80" t="s">
        <v>346</v>
      </c>
      <c r="C29" s="81">
        <v>1356.8</v>
      </c>
    </row>
    <row r="30" spans="1:3" x14ac:dyDescent="0.3">
      <c r="A30" s="77" t="s">
        <v>342</v>
      </c>
      <c r="B30" s="77" t="s">
        <v>347</v>
      </c>
      <c r="C30" s="78">
        <v>1411.2</v>
      </c>
    </row>
    <row r="31" spans="1:3" x14ac:dyDescent="0.3">
      <c r="A31" s="90" t="s">
        <v>342</v>
      </c>
      <c r="B31" s="90" t="s">
        <v>348</v>
      </c>
      <c r="C31" s="91">
        <v>1187.8900000000001</v>
      </c>
    </row>
    <row r="32" spans="1:3" x14ac:dyDescent="0.3">
      <c r="A32" s="92" t="s">
        <v>0</v>
      </c>
      <c r="B32" s="92"/>
      <c r="C32" s="93">
        <f>SUBTOTAL(109,Tabla1[Imp. aplic.])</f>
        <v>109086.61000000003</v>
      </c>
    </row>
    <row r="33" spans="2:3" x14ac:dyDescent="0.3">
      <c r="C33" s="87"/>
    </row>
    <row r="36" spans="2:3" x14ac:dyDescent="0.3">
      <c r="B36" s="72" t="s">
        <v>349</v>
      </c>
      <c r="C36" s="73">
        <f>Tabla1[[#Totals],[Imp. aplic.]]+Tabla44[[#Totals],[Imp.cob.aplic.]]+Tabla5[[#Totals],[Imp. aplic.]]</f>
        <v>169674.11000000004</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2</vt:i4>
      </vt:variant>
    </vt:vector>
  </HeadingPairs>
  <TitlesOfParts>
    <vt:vector size="10" baseType="lpstr">
      <vt:lpstr>Tesis</vt:lpstr>
      <vt:lpstr>Sexenios</vt:lpstr>
      <vt:lpstr>Ingresos investigación 2023</vt:lpstr>
      <vt:lpstr>Ingresos investigación 2024</vt:lpstr>
      <vt:lpstr>Ingresos investigación 2025</vt:lpstr>
      <vt:lpstr>Ingresos formación 2023</vt:lpstr>
      <vt:lpstr>Ingresos formación 2024</vt:lpstr>
      <vt:lpstr>Ingresos formación 2025</vt:lpstr>
      <vt:lpstr>Sexenios!Títulos_a_imprimir</vt:lpstr>
      <vt:lpstr>Tesis!Títulos_a_imprimir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21387280V</dc:creator>
  <cp:lastModifiedBy>MARIA TERESA PUJALTE DEVIS</cp:lastModifiedBy>
  <dcterms:created xsi:type="dcterms:W3CDTF">2019-07-03T07:15:54Z</dcterms:created>
  <dcterms:modified xsi:type="dcterms:W3CDTF">2026-05-26T11:01:20Z</dcterms:modified>
</cp:coreProperties>
</file>