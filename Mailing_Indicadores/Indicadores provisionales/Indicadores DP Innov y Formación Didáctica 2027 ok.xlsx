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D73FFE3B-425F-45B7-878D-7F69445526A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1" l="1"/>
  <c r="C22" i="10"/>
  <c r="C15" i="9" l="1"/>
  <c r="S23" i="3" l="1"/>
  <c r="S32" i="2"/>
</calcChain>
</file>

<file path=xl/sharedStrings.xml><?xml version="1.0" encoding="utf-8"?>
<sst xmlns="http://schemas.openxmlformats.org/spreadsheetml/2006/main" count="712" uniqueCount="252">
  <si>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</si>
  <si>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</si>
  <si>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</si>
  <si>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</si>
  <si>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</si>
  <si>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</si>
  <si>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</si>
  <si>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</si>
  <si>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</si>
  <si>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</si>
  <si>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</si>
  <si>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</si>
  <si>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</si>
  <si>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</si>
  <si>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</si>
  <si>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</si>
  <si>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</si>
  <si>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</si>
  <si>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</si>
  <si>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</si>
  <si>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</si>
  <si>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</si>
  <si>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</si>
  <si>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</si>
  <si>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</si>
  <si>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DOCTORADO EN INVESTIGACIÓN EDUCATIVA </t>
  </si>
  <si>
    <t>B177 </t>
  </si>
  <si>
    <t>PSICOLOGÍA EVOLUTIVA Y DIDÁCTICA </t>
  </si>
  <si>
    <t>U023 </t>
  </si>
  <si>
    <t>ADM. FACULTAD DE FILOSOFIA Y LETRAS </t>
  </si>
  <si>
    <t>DOCTORADO EN FILOSOFÍA Y LETRAS </t>
  </si>
  <si>
    <t>B166 </t>
  </si>
  <si>
    <t>INNOVACIÓN Y FORMACIÓN DIDÁCTICA </t>
  </si>
  <si>
    <t>13052559J </t>
  </si>
  <si>
    <t>B166</t>
  </si>
  <si>
    <t>73906426C </t>
  </si>
  <si>
    <t>22099909Z </t>
  </si>
  <si>
    <t>21427493A </t>
  </si>
  <si>
    <t>21681750H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</si>
  <si>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</si>
  <si>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</si>
  <si>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</si>
  <si>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</si>
  <si>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</si>
  <si>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</si>
  <si>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</si>
  <si>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</si>
  <si>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</si>
  <si>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</si>
  <si>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</si>
  <si>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</si>
  <si>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</si>
  <si>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</si>
  <si>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21428371F</t>
  </si>
  <si>
    <t>21681750H</t>
  </si>
  <si>
    <t>73906426C</t>
  </si>
  <si>
    <t>42878165R</t>
  </si>
  <si>
    <t>48358135Z</t>
  </si>
  <si>
    <t>González Forte, Juan Manuel </t>
  </si>
  <si>
    <t>CARACTERÍSTICAS DE LA COMPRENSIÓN DE LOS NÚMEROS RACIONALES EN ESTUDIANTES DE EDUCACIÓN PRIMARIA Y SECUNDARIA </t>
  </si>
  <si>
    <t>02/09/2020 </t>
  </si>
  <si>
    <t>51380679J</t>
  </si>
  <si>
    <t>48341376E</t>
  </si>
  <si>
    <t>COD DEP</t>
  </si>
  <si>
    <t>Munizza , Elisa Teresa </t>
  </si>
  <si>
    <t>RAÚL ZURITA Y EL MUNDO ITALIANO. LA CREACIÓN DE UNA POÉTICA A TRAVÉS DE DANTE, MIGUEL ÁNGEL Y LOS CREADORES DE LA MODERNIDAD </t>
  </si>
  <si>
    <t>05/11/2020 </t>
  </si>
  <si>
    <t>45835535P </t>
  </si>
  <si>
    <t>Bolaños Salvador, Carlos Miguel </t>
  </si>
  <si>
    <t>LA PREOCUPACIÓN TEATRAL DE JUAN CERVERA Y SU CORRESPONDIENTE APORTACIÓN PEDAGÓCICA A LA ESCUELA ESPAÑOLA </t>
  </si>
  <si>
    <t>24/09/2021 </t>
  </si>
  <si>
    <t>Martín Martín, María Aránzazu </t>
  </si>
  <si>
    <t>La educación literaria en Secundaria: propuesta ética y estética con álbumes ilustrados. La construcción de la identidad en adolescentes </t>
  </si>
  <si>
    <t>23/07/2021 </t>
  </si>
  <si>
    <t>Bernabeu Martínez, Melania </t>
  </si>
  <si>
    <t>Niveles de comprensión del concepto de polígono y de las clases de polígonos en estudiantes de educación primaria </t>
  </si>
  <si>
    <t>18/06/2021 </t>
  </si>
  <si>
    <t>51380679J </t>
  </si>
  <si>
    <t>Rojas Avilés, Héctor Francisco </t>
  </si>
  <si>
    <t>Características del desarrollo del razonamiento proporcional en estudiantes de Ecuador de 11 a 16 años: una trayetoria de aprendizaje </t>
  </si>
  <si>
    <t>03/03/2021 </t>
  </si>
  <si>
    <t>Crespo Rodríguez, Antonio </t>
  </si>
  <si>
    <t>El teatro para la infancia en España: 1985-1995 </t>
  </si>
  <si>
    <t>23/09/2021 </t>
  </si>
  <si>
    <t>Clemente Egío, Vicente </t>
  </si>
  <si>
    <t>La competencia lectora. Una aproximación teórica y práctica para su evaluación en el aula </t>
  </si>
  <si>
    <t>25/03/2021 </t>
  </si>
  <si>
    <t>Cueva Rodríguez, Ruth Amelia </t>
  </si>
  <si>
    <t>Regularidades entre los desenlaces del razonamiento configural y el razonamiento discursivo teórico en estudiantes ecuatorianos de nivelación para ingeniería al resolver problemas de geometría en un entorno de lápiz y papel </t>
  </si>
  <si>
    <t>09/02/2021 </t>
  </si>
  <si>
    <t>Puma Torres, Paúl Fernando </t>
  </si>
  <si>
    <t>El juego de la imagen/acto poético liberador en Pluma y la tempestad, La casa de Rigoberta mira al sur y Foto de señoritas y esclusas, de Arístides Vargas" </t>
  </si>
  <si>
    <t>12/03/2021 </t>
  </si>
  <si>
    <t>36.30.6X.00.02</t>
  </si>
  <si>
    <t>Cód. org. aplic.</t>
  </si>
  <si>
    <t>Descripción justificante</t>
  </si>
  <si>
    <t>36.30.6G.00.04</t>
  </si>
  <si>
    <t>36.30.6P.00.11</t>
  </si>
  <si>
    <t>Contreras de la Llave, Natalia </t>
  </si>
  <si>
    <t>Cine y prespetiva de género como herramientas de transformación social en la didáctica del Español como Lengua Extranjera </t>
  </si>
  <si>
    <t>18/02/2022 </t>
  </si>
  <si>
    <t>López Medina, Julián </t>
  </si>
  <si>
    <t>La dimensión intercultural en una pedagogía crítica de lenguas adicionales: creencias del profesorado en formación </t>
  </si>
  <si>
    <t>14/02/2022 </t>
  </si>
  <si>
    <t>Prior Martínez, Juan </t>
  </si>
  <si>
    <t>RAZONAMIENTO CONFIGURAL Y RESOLUCIÓN DE PROBLEMAS DE PROBAR </t>
  </si>
  <si>
    <t>21/01/2022 </t>
  </si>
  <si>
    <t>Serna Rodrigo, Rocío </t>
  </si>
  <si>
    <t>Videojuegos para la educación literaria: criterios de selección y análisis, corpus y propuesta de actuación didáctica en educación primaria </t>
  </si>
  <si>
    <t>23/02/2022 </t>
  </si>
  <si>
    <t>48341376E </t>
  </si>
  <si>
    <t>Pan , Lili </t>
  </si>
  <si>
    <t>Analysis of development of communication skills for chine in Spain </t>
  </si>
  <si>
    <t>08/02/2022 </t>
  </si>
  <si>
    <t>Draghia , Ana Maria </t>
  </si>
  <si>
    <t>Transtextualidad en la narrativa juvenil. Posibilidades didácticas y claves para el desasrrollo de la educación literaria </t>
  </si>
  <si>
    <t>27/01/2022 </t>
  </si>
  <si>
    <t>48298700B</t>
  </si>
  <si>
    <t>48344747N</t>
  </si>
  <si>
    <t>48493006J</t>
  </si>
  <si>
    <t>52789309P</t>
  </si>
  <si>
    <t>Imp.cob.aplic.</t>
  </si>
  <si>
    <t>36.30.6P.00.13</t>
  </si>
  <si>
    <t>36.30.6P.00.14</t>
  </si>
  <si>
    <t>Zorrilla Victoria, Cristina </t>
  </si>
  <si>
    <t>CARACTERÍSTICAS DE TRAYECTORIAS DE APRENDIZAJE EN LA TRANSICIÓN DE LOS NÚMEROS NATURALES A LOS RACIONALES </t>
  </si>
  <si>
    <t>29/05/2023 </t>
  </si>
  <si>
    <t>Mendiola Oñate, Pedro Javier </t>
  </si>
  <si>
    <t>Educación literaria y educación intercultural en la narrativa juvenil española de tema americano </t>
  </si>
  <si>
    <t>15/03/2023 </t>
  </si>
  <si>
    <t>10.15</t>
  </si>
  <si>
    <t>48337017X</t>
  </si>
  <si>
    <t>Saorín Villa, Antonio </t>
  </si>
  <si>
    <t>Razonamiento configural y procesos discursivos en la resolución de problemas geométricos </t>
  </si>
  <si>
    <t xml:space="preserve">DEVOLUCIÓN DEBIDO A PAGO EN EXCESO EN LA INSCRIPCIÓN AL "PME_45, 45th CONFERENCE OF THE INTERNATIONAL GROUP FOR THE PSYCHOLOGY OF MATHEMATICS EDUCATION" </t>
  </si>
  <si>
    <t>S</t>
  </si>
  <si>
    <t>INGRESO DE INSCRIIPCIÓN A JORNADAS Y CONGRESOS, COBRADO EN TESORERÍA EN 2022 E INTRODUCIDO EN EL CNP 320.028 EN EL JI 6604. CON ESTE INGRESO LO SACAMOS DEL CNP Y REALIZAMOS RDT CORRESPONDIENTE.</t>
  </si>
  <si>
    <t xml:space="preserve">DEVOLUCIÓN PARCIAL DEBIDO A "LATE REGISTRATION" EN LA INSCRIPCIÓN AL "PME_45, 45th CONFERENCE OF THE INTERNATIONAL GROUP FOR THE PSYCHOLOGY OF MATHEMATICS EDUCATION" </t>
  </si>
  <si>
    <t>Inscripción de Matías Camacho Machín en la 45th Conference of the International Group for the Psychology of Mathematics Education (PME45), del 18 al 24/07/2022.</t>
  </si>
  <si>
    <t xml:space="preserve">Devolución de inscripción al "PME_45,45th Conference of the International Group for the Psychology of Mathematics Education" debido a pago duplicado . </t>
  </si>
  <si>
    <t>DEVOLUCIÓN DE LA INSCRIPCIÓN AL "PME_45, 45th CONFERENCE OF THE INTERNATIONAL GROUP FOR THE PSYCHOLOGY OF MATHEMATICS EDUCATION" DEBIDO A NO ASISTENCIA AL MISMO.</t>
  </si>
  <si>
    <t>DEVOLUCIÓN DE MATRÍCULAS DE CONGRESISTAS,UNA VEZ FINALIZADO EL CONGRESO PME45. SEGÚN ACUERDO FIRMADO CON EL INTERNATIONAL GROUP FOR THE PSICOLOGY OF MATHEMATICS EDUCATION.</t>
  </si>
  <si>
    <t>PID2020-115956GB-I00/116185GB-I00/116496RB-C21/116514GB-I00/116998RB-I00/117303GBC22/118006RB-I00/118322RB-I00/118447RA-I00/118476RR-C22</t>
  </si>
  <si>
    <t>DEVOLUCIÓN DE INGRESOS_MODELO 047_CIACO 2021 EN 2022_Nº de liquidación:46/2023/RAS/10205/1 047/_Número de justificante:047/1/002362793_Nº de referencia:047/1/002362793</t>
  </si>
  <si>
    <t xml:space="preserve">CIAICO/2021/019/074/124/158/167/173/221/279/305/328/335/339/345/348 </t>
  </si>
  <si>
    <t xml:space="preserve">DEVOLUCIÓN DE INGRESOS_MODELO 047_Nº de liquidación:46/2023/RAS/10276/1_ Número de justificante:047/1/002376790_Nº de referencia:047/1/002376790 </t>
  </si>
  <si>
    <t xml:space="preserve">Último cobro del proyecto coReflect </t>
  </si>
  <si>
    <t>INNOVACIÓN Y FORMACIÓN DIDÁCTICA</t>
  </si>
  <si>
    <t>DOCTORADO EN INVESTIGACIÓN EDUCATIVA</t>
  </si>
  <si>
    <t>Aráuz Chévez, Domingo Felipe</t>
  </si>
  <si>
    <t>Indicios del desarrollo profesional de tres estudiantes para profesor de matemáticas de educación secundaria desde sus trayectorias documentales.</t>
  </si>
  <si>
    <t>12/12/2023</t>
  </si>
  <si>
    <t>Director de tesis</t>
  </si>
  <si>
    <t>B177</t>
  </si>
  <si>
    <t>PSICOLOGÍA EVOLUTIVA Y DIDÁCTICA</t>
  </si>
  <si>
    <t>Martínez Carratala, Francisco Antonio</t>
  </si>
  <si>
    <t>Lectura multimodal y educación literaria: análisis e innovación educativa</t>
  </si>
  <si>
    <t>03/05/2024</t>
  </si>
  <si>
    <t>Castillo Bresó, Salvador</t>
  </si>
  <si>
    <t>Características de la comprensión de los conceptos de razón y tasa en estudiantes de primaria y secundaria</t>
  </si>
  <si>
    <t>15/12/2023</t>
  </si>
  <si>
    <t>ZZ</t>
  </si>
  <si>
    <t>SIN ASIGNAR</t>
  </si>
  <si>
    <t>DOCTORADO EN TRANSFERENCIAS INTERCULTURALES E HISTÓRICAS EN LA EUROPA MEDIE</t>
  </si>
  <si>
    <t>Nicolás Flores, Fernando</t>
  </si>
  <si>
    <t>EL TEATRO DE TEMÁTICA GRECOLATINA Y SU APLICACIÓN DIDÁCTICA EN EL ÁMBITO LAS HUMANIDADES. ESTUDIO DE CASO PARTICULAR</t>
  </si>
  <si>
    <t>17/07/2024</t>
  </si>
  <si>
    <t>Codirector de tesis</t>
  </si>
  <si>
    <t>20</t>
  </si>
  <si>
    <t>01826959T</t>
  </si>
  <si>
    <t>21694054V</t>
  </si>
  <si>
    <t>48530217X</t>
  </si>
  <si>
    <t>48578098M</t>
  </si>
  <si>
    <t>74217445X</t>
  </si>
  <si>
    <t>74380156L</t>
  </si>
  <si>
    <t>Fernández Molina, Javier</t>
  </si>
  <si>
    <t>Understanding English Literacy Instruction at Pre-primary and Primary: Teachers'
Perspectives and Practices on Phonics, Challenges and Opportunities</t>
  </si>
  <si>
    <t>23/09/2024</t>
  </si>
  <si>
    <t>INNOVACION Y FORMACION DIDACTICA</t>
  </si>
  <si>
    <t>Org. aplic.</t>
  </si>
  <si>
    <t>Imp. aplic.</t>
  </si>
  <si>
    <t>DEVOLUCIÓN DE IMPORTE NO EJECUTADO PARA LA REALIZACIÓN DEL CONGRESO PME45 PERTENECIENTE AL DPTO. INNOVACIÓN Y FORMACIÓN DIDÁCTICA.</t>
  </si>
  <si>
    <t>36.30.6G.00.06</t>
  </si>
  <si>
    <t>Liq_JyC_2024__Unicómic_24_01__UNICÒMIC 2024. III Congreso Internacional de Estudios Universitarios sobre el Cómic/ II International Conference Teaching with Comics</t>
  </si>
  <si>
    <t>Inscripción de Carlos Roma Mateo en el Congreso UNICÒMIC 2024. III Congreso Internacional de Estudios Universitarios sobre el Cómic. II International Conference Teaching with Comics, del 3 al 5 de julio de 2024.</t>
  </si>
  <si>
    <t xml:space="preserve">Inscripción de Manuel Jesús Maldonado Lozano en el Congreso UNICÒMIC 2024. III Congreso Internacional de Estudios Universitarios sobre el Cómic. II International Conference Teaching with Comics, del 3 al 5 de julio de 2024. Facultad Trabajo Social Cuenca - Orgánica: 00440650 </t>
  </si>
  <si>
    <t>Inscripción de Myriam Gutiérrez Zornoza en el Congreso UNICÒMIC 2024. III Congreso Internacional de Estudios Universitarios sobre el Cómic. II International Conference Teaching with Comics, del 3 al 5 de julio de 2024. Facultad Trabajo Social Cuenca - Orgánica: 00440650</t>
  </si>
  <si>
    <t>Inscripción de Magda Potok en el Congreso UNICÒMIC 2024. III Congreso Internacional de Estudios Universitarios sobre el Cómic. II International Conference Teaching with Comics, del 3 al 5 de julio de 2024 en la Universidad de Alicante.</t>
  </si>
  <si>
    <t>Inscripción de Patricia Martínez León en el Congreso UNICÒMIC 2024 III Congreso Internacional de Estudios Universitarios sobre el Cómic. II International Conference Teaching with Comics, del 3 al 5 de julio de 2024 en la Universidad de Alicante.</t>
  </si>
  <si>
    <t>Inscripción de María Arantzazu Fraile Rey en el Congreso UNICÒMIC 2024 III Congreso Internacional de Estudios Universitarios sobre el Cómic. II International Conference Teaching with Comics, del 3 al 5 de julio de 2024 en la Universidad de Alicante.</t>
  </si>
  <si>
    <t xml:space="preserve">Liq_JyC_2024__Unicómic_24_02__UNICÒMIC 2024. III Congreso Internacional de Estudios Universitarios sobre el Cómic/ II International Conference Teaching with Comics </t>
  </si>
  <si>
    <t>Liq_JyC_2024__Unicómic_24_03__UNICÒMIC 2024. III Congreso Internacional de Estudios Universitarios sobre el Cómic/ II International Conference Teaching with Comics</t>
  </si>
  <si>
    <t>Inscripción de Vicent Gimeno Bosch en el Congreso UNICÒMIC 2024. III Congreso Internacional de Estudios Universitarios sobre el Cómic. II International Conference Teaching with Comics, del 3 al 5 de julio de 2024.  Dep. Didàctica de la Llengua i la Literatura  Facultat de Magisteri  Universitat de València Av. Tarongers, 4</t>
  </si>
  <si>
    <t>Inscripción de Paul Mitchell en el Congreso UNICÒMIC 2024. III Congreso Internacional de Estudios Universitarios sobre el Cómic. II International Conference Teaching with Comics, del 3 al 5 de julio de 2024.</t>
  </si>
  <si>
    <t>Liq_JyC_2024__Unicómic_24_04__UNICÒMIC 2024. III Congreso Internacional de Estudios Universitarios sobre el Cómic/ II International Conference Teaching with Comics</t>
  </si>
  <si>
    <t>Liq_JyC_2024__Unicómic_24_05__UNICÒMIC 2024. III Congreso Internacional de Estudios Universitarios sobre el Cómic/ II International Conference Teaching with Comics</t>
  </si>
  <si>
    <t>DEVOLUCIÓN DE INGRESO_ CARTA DE PAGO_ REFERENCIA: PID2020-116514GB-I00, ANUALIDAD: 2021</t>
  </si>
  <si>
    <t xml:space="preserve">CIAICO/2021/019/074/124/158/167/173/279/305/328/335/345/348/339 </t>
  </si>
  <si>
    <t>DEVOLUCIÓN DE INGRESOS_MODELO 047_Nº DE LIQUIDACIÓN: 46/2024/RAS/10135/1_ Nº DE JUSTIFICANTE: 047/1/002493531/ Nº DE REFERENCIA: 047/1/002493531</t>
  </si>
  <si>
    <t>36.30.6P.00.15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</si>
  <si>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</si>
  <si>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>36.30.6P.00.16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</si>
  <si>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</si>
  <si>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</si>
  <si>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B112</t>
  </si>
  <si>
    <t>Didáctica General y Didácticas específicas</t>
  </si>
  <si>
    <t>Alpízar Vargas, Marianela</t>
  </si>
  <si>
    <t>Características del desarrollo de la competencia mirar profesionalmente en docentes de educación primaria: Magnitud y su medida.</t>
  </si>
  <si>
    <t>26/09/2025</t>
  </si>
  <si>
    <t>Innovación y Formación Didáctica</t>
  </si>
  <si>
    <t>Psicología Evolutiva y Didáctica</t>
  </si>
  <si>
    <t>Arnau Mollá, Antonio Francisco</t>
  </si>
  <si>
    <t>Neuromotricidad y cognición en el método BAPNE. Estudio cuantitativo en alumnado
 universitario</t>
  </si>
  <si>
    <t>13/02/2025</t>
  </si>
  <si>
    <t>2020</t>
  </si>
  <si>
    <t>2021</t>
  </si>
  <si>
    <t>2022</t>
  </si>
  <si>
    <t>2023</t>
  </si>
  <si>
    <t>2024</t>
  </si>
  <si>
    <t>2025</t>
  </si>
  <si>
    <t>Villarrubia Zúñiga, María Soledad</t>
  </si>
  <si>
    <t>15423042R</t>
  </si>
  <si>
    <t>Ballester Pardo, Ignacio</t>
  </si>
  <si>
    <t>del Olmo Ibáñez, María Teresa</t>
  </si>
  <si>
    <t>21513230L</t>
  </si>
  <si>
    <t>Fernández Verdú, Ceneida</t>
  </si>
  <si>
    <t>González Forte, Juan Manuel</t>
  </si>
  <si>
    <t>Romero Naranjo, Francisco Javier</t>
  </si>
  <si>
    <t>Ivars Santacreu, Pedro José</t>
  </si>
  <si>
    <t>48325914Q</t>
  </si>
  <si>
    <t>Zapatera Llinares, Alberto</t>
  </si>
  <si>
    <t>Buforn Lloret, Àngela</t>
  </si>
  <si>
    <t>Rovira Collado, José</t>
  </si>
  <si>
    <t>Ruiz Bañuls, Mónica</t>
  </si>
  <si>
    <t>Tabuenca Cuevas, Maria Felicidad</t>
  </si>
  <si>
    <t>Andúgar Soto, Ana</t>
  </si>
  <si>
    <t>Monje Parrilla, Francisco Javier</t>
  </si>
  <si>
    <t>Mateo Guillén, Copelia</t>
  </si>
  <si>
    <t>Moreno Moreno, María del Mar</t>
  </si>
  <si>
    <t>Pérez Tyteca, Patricia</t>
  </si>
  <si>
    <t>Llinares Ciscar, Salvador</t>
  </si>
  <si>
    <t>Miralles Alberola, Maria Dolores</t>
  </si>
  <si>
    <t>Bernabeu Martínez, Melania</t>
  </si>
  <si>
    <t>36.30.6C.00.01</t>
  </si>
  <si>
    <t>Asesoramiento y asistencia técnica en planes docentes a solicitud de la empresa</t>
  </si>
  <si>
    <t>DEVOLUCIÓN DE INGRESOS_MODELO 047_  REFERENCIA: CIACO/2021/158/279/339/124/348/074/345/173</t>
  </si>
  <si>
    <t xml:space="preserve">CIGE/2023/52/94/129/146/165/175/181/184/188/196/197/216/225/227. EN CIGE/2023/196 HAY UNA REASIGNACIÓN DEL IMPORTE (EN JI-2024-3632 SE PRODUCE UNA MINORACIÓN DE 9879,02 Y SE ASIGNA A ESTE AÑO) </t>
  </si>
  <si>
    <t>Minoración Ayudas CIGE/2023/52, CIGE/2023/94, CIGE/2023/129, CIGE/2023/146, CIGE/2023/165, CIGE/2023/175, CIGE/2023/181, CIGE/2023/184, CIGE/2023/188, CIGE/2023/197, CIGE/2023/216,  CIGE/2023/227 (LINEA SUBVENCIÓN S0296)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</si>
  <si>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</si>
  <si>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36.30.6P.00.18</t>
  </si>
  <si>
    <t>Ayudas CIAICO 2024/6/31/81/130/150/168/186/204/238/296/319</t>
  </si>
  <si>
    <t>Total ingresos de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</si>
</sst>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76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166" fontId="2" fillId="4" borderId="2" xfId="1" applyNumberFormat="1" applyFill="1" applyBorder="1"/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9" fillId="8" borderId="7" xfId="0" applyFont="1" applyFill="1" applyBorder="1"/>
    <xf numFmtId="43" fontId="6" fillId="8" borderId="7" xfId="6" applyNumberFormat="1" applyFont="1" applyFill="1" applyBorder="1"/>
    <xf numFmtId="0" fontId="9" fillId="0" borderId="7" xfId="0" applyFont="1" applyBorder="1"/>
    <xf numFmtId="43" fontId="6" fillId="0" borderId="7" xfId="6" applyNumberFormat="1" applyFont="1" applyBorder="1"/>
    <xf numFmtId="43" fontId="0" fillId="0" borderId="0" xfId="0" applyNumberFormat="1"/>
    <xf numFmtId="0" fontId="2" fillId="9" borderId="0" xfId="1" applyFill="1"/>
    <xf numFmtId="0" fontId="2" fillId="9" borderId="0" xfId="1" applyFill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4" fillId="9" borderId="0" xfId="0" applyFont="1" applyFill="1"/>
    <xf numFmtId="165" fontId="3" fillId="9" borderId="0" xfId="1" applyNumberFormat="1" applyFont="1" applyFill="1"/>
    <xf numFmtId="0" fontId="13" fillId="7" borderId="8" xfId="0" applyFont="1" applyFill="1" applyBorder="1"/>
    <xf numFmtId="43" fontId="0" fillId="0" borderId="9" xfId="6" applyNumberFormat="1" applyFont="1" applyBorder="1"/>
    <xf numFmtId="43" fontId="12" fillId="0" borderId="9" xfId="0" applyNumberFormat="1" applyFont="1" applyBorder="1"/>
    <xf numFmtId="0" fontId="9" fillId="8" borderId="9" xfId="0" applyFont="1" applyFill="1" applyBorder="1"/>
    <xf numFmtId="43" fontId="6" fillId="8" borderId="9" xfId="6" applyNumberFormat="1" applyFont="1" applyFill="1" applyBorder="1"/>
    <xf numFmtId="0" fontId="0" fillId="8" borderId="7" xfId="0" applyNumberFormat="1" applyFont="1" applyFill="1" applyBorder="1"/>
    <xf numFmtId="0" fontId="0" fillId="0" borderId="7" xfId="0" applyNumberFormat="1" applyFont="1" applyBorder="1"/>
    <xf numFmtId="0" fontId="11" fillId="7" borderId="8" xfId="0" applyFont="1" applyFill="1" applyBorder="1"/>
    <xf numFmtId="43" fontId="11" fillId="7" borderId="8" xfId="6" applyNumberFormat="1" applyFont="1" applyFill="1" applyBorder="1"/>
    <xf numFmtId="0" fontId="0" fillId="0" borderId="9" xfId="0" applyNumberFormat="1" applyFont="1" applyBorder="1"/>
    <xf numFmtId="0" fontId="0" fillId="0" borderId="9" xfId="0" applyFont="1" applyBorder="1"/>
    <xf numFmtId="0" fontId="9" fillId="10" borderId="9" xfId="0" applyFont="1" applyFill="1" applyBorder="1"/>
    <xf numFmtId="43" fontId="6" fillId="10" borderId="9" xfId="0" applyNumberFormat="1" applyFont="1" applyFill="1" applyBorder="1"/>
    <xf numFmtId="0" fontId="0" fillId="11" borderId="0" xfId="0" applyFill="1"/>
    <xf numFmtId="0" fontId="14" fillId="0" borderId="1" xfId="0" applyFont="1" applyBorder="1"/>
    <xf numFmtId="164" fontId="14" fillId="0" borderId="1" xfId="6" applyFont="1" applyBorder="1"/>
    <xf numFmtId="0" fontId="15" fillId="12" borderId="10" xfId="0" applyFont="1" applyFill="1" applyBorder="1"/>
    <xf numFmtId="0" fontId="15" fillId="12" borderId="11" xfId="0" applyFont="1" applyFill="1" applyBorder="1"/>
    <xf numFmtId="0" fontId="16" fillId="13" borderId="10" xfId="0" applyFont="1" applyFill="1" applyBorder="1"/>
    <xf numFmtId="0" fontId="16" fillId="13" borderId="11" xfId="0" applyFont="1" applyFill="1" applyBorder="1"/>
    <xf numFmtId="164" fontId="16" fillId="13" borderId="11" xfId="6" applyFont="1" applyFill="1" applyBorder="1"/>
    <xf numFmtId="0" fontId="16" fillId="0" borderId="10" xfId="0" applyFont="1" applyBorder="1"/>
    <xf numFmtId="0" fontId="16" fillId="0" borderId="11" xfId="0" applyFont="1" applyBorder="1"/>
    <xf numFmtId="164" fontId="16" fillId="0" borderId="11" xfId="6" applyFont="1" applyBorder="1"/>
    <xf numFmtId="0" fontId="17" fillId="0" borderId="12" xfId="0" applyFont="1" applyBorder="1"/>
    <xf numFmtId="0" fontId="17" fillId="0" borderId="13" xfId="0" applyFont="1" applyBorder="1"/>
    <xf numFmtId="164" fontId="17" fillId="0" borderId="13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321AD-8070-47E0-9B11-81550BE248DF}" name="Tabla2" displayName="Tabla2" ref="A1:C15" totalsRowCount="1" headerRowDxfId="19" totalsRowDxfId="16" headerRowBorderDxfId="18" tableBorderDxfId="17" totalsRowBorderDxfId="15">
  <autoFilter ref="A1:C14" xr:uid="{CF5DB4FF-1DB5-44F5-8AEF-DBDEA8F5B267}"/>
  <tableColumns count="3">
    <tableColumn id="1" xr3:uid="{6CE24C07-3B1D-4645-8454-58F8E5AACC07}" name="Cód. org. aplic." totalsRowLabel="Total" dataDxfId="14" totalsRowDxfId="13"/>
    <tableColumn id="2" xr3:uid="{3A6356B0-3BFE-44EB-94F0-728AD8D0133B}" name="Descripción justificante" dataDxfId="12" totalsRowDxfId="11"/>
    <tableColumn id="3" xr3:uid="{824AC00F-BB7D-4E67-8879-29E91D791557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38FAA-E210-4E6B-9597-EAE1F9DF8618}" name="Tabla3" displayName="Tabla3" ref="A1:C22" totalsRowCount="1" headerRowBorderDxfId="8" tableBorderDxfId="7" totalsRowBorderDxfId="6">
  <autoFilter ref="A1:C21" xr:uid="{6F585772-E0D4-4C33-8AB8-7BA8755669B8}"/>
  <tableColumns count="3">
    <tableColumn id="1" xr3:uid="{45751D73-C684-479B-B05A-5C8D65999EDD}" name="Org. aplic." totalsRowLabel="Total" dataDxfId="5" totalsRowDxfId="4"/>
    <tableColumn id="2" xr3:uid="{92A14480-D29E-4547-9A85-81FFC48CF917}" name="Descripción justificante" dataDxfId="3" totalsRowDxfId="2"/>
    <tableColumn id="3" xr3:uid="{D72C2B0D-25B0-4CD5-B476-915D47B2CC7A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2"/>
  <sheetViews>
    <sheetView showGridLines="0" topLeftCell="H1" zoomScale="124" zoomScaleNormal="124" workbookViewId="0">
      <selection activeCell="W35" sqref="W35"/>
    </sheetView>
  </sheetViews>
  <sheetFormatPr baseColWidth="10" defaultColWidth="10.33203125" defaultRowHeight="10.199999999999999" x14ac:dyDescent="0.2"/>
  <cols>
    <col min="1" max="1" width="16.4414062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20" t="s">
        <v>26</v>
      </c>
      <c r="B2" s="20" t="s">
        <v>27</v>
      </c>
      <c r="C2" s="20" t="s">
        <v>25</v>
      </c>
      <c r="D2" s="20" t="s">
        <v>58</v>
      </c>
      <c r="E2" s="20" t="s">
        <v>59</v>
      </c>
      <c r="F2" s="20" t="s">
        <v>60</v>
      </c>
      <c r="G2" s="20" t="s">
        <v>38</v>
      </c>
      <c r="H2" s="20" t="s">
        <v>24</v>
      </c>
      <c r="I2" s="20" t="s">
        <v>31</v>
      </c>
      <c r="J2" s="20" t="s">
        <v>32</v>
      </c>
      <c r="K2" s="30">
        <v>1</v>
      </c>
      <c r="L2" s="20" t="s">
        <v>34</v>
      </c>
      <c r="M2" s="20">
        <v>2019</v>
      </c>
      <c r="N2" s="20" t="s">
        <v>23</v>
      </c>
      <c r="O2" s="21" t="s">
        <v>23</v>
      </c>
      <c r="P2" s="20" t="s">
        <v>23</v>
      </c>
      <c r="Q2" s="21" t="s">
        <v>23</v>
      </c>
      <c r="R2" s="22">
        <v>100</v>
      </c>
      <c r="S2" s="23">
        <v>1</v>
      </c>
      <c r="T2" s="23">
        <v>0</v>
      </c>
      <c r="U2" s="23">
        <v>0</v>
      </c>
    </row>
    <row r="3" spans="1:21" ht="10.8" thickBot="1" x14ac:dyDescent="0.25">
      <c r="A3" s="18" t="s">
        <v>28</v>
      </c>
      <c r="B3" s="18" t="s">
        <v>29</v>
      </c>
      <c r="C3" s="18" t="s">
        <v>30</v>
      </c>
      <c r="D3" s="18" t="s">
        <v>64</v>
      </c>
      <c r="E3" s="18" t="s">
        <v>65</v>
      </c>
      <c r="F3" s="18" t="s">
        <v>66</v>
      </c>
      <c r="G3" s="18" t="s">
        <v>67</v>
      </c>
      <c r="H3" s="18" t="s">
        <v>22</v>
      </c>
      <c r="I3" s="18" t="s">
        <v>31</v>
      </c>
      <c r="J3" s="18" t="s">
        <v>32</v>
      </c>
      <c r="K3" s="24">
        <v>0.5</v>
      </c>
      <c r="L3" s="24" t="s">
        <v>34</v>
      </c>
      <c r="M3" s="25">
        <v>2019</v>
      </c>
      <c r="N3" s="18" t="s">
        <v>23</v>
      </c>
      <c r="O3" s="19" t="s">
        <v>23</v>
      </c>
      <c r="P3" s="18" t="s">
        <v>23</v>
      </c>
      <c r="Q3" s="19" t="s">
        <v>23</v>
      </c>
      <c r="R3" s="18">
        <v>100</v>
      </c>
      <c r="S3" s="18">
        <v>0.5</v>
      </c>
      <c r="T3" s="18">
        <v>0</v>
      </c>
      <c r="U3" s="18">
        <v>0</v>
      </c>
    </row>
    <row r="4" spans="1:21" ht="10.8" thickBot="1" x14ac:dyDescent="0.25">
      <c r="A4" s="26" t="s">
        <v>31</v>
      </c>
      <c r="B4" s="26" t="s">
        <v>32</v>
      </c>
      <c r="C4" s="26" t="s">
        <v>25</v>
      </c>
      <c r="D4" s="26" t="s">
        <v>68</v>
      </c>
      <c r="E4" s="26" t="s">
        <v>69</v>
      </c>
      <c r="F4" s="26" t="s">
        <v>70</v>
      </c>
      <c r="G4" s="27" t="s">
        <v>33</v>
      </c>
      <c r="H4" s="28" t="s">
        <v>24</v>
      </c>
      <c r="I4" s="28" t="s">
        <v>31</v>
      </c>
      <c r="J4" s="29" t="s">
        <v>32</v>
      </c>
      <c r="K4" s="24">
        <v>1</v>
      </c>
      <c r="L4" s="24" t="s">
        <v>34</v>
      </c>
      <c r="M4" s="18">
        <v>2020</v>
      </c>
      <c r="N4" s="18" t="s">
        <v>23</v>
      </c>
      <c r="O4" s="19" t="s">
        <v>23</v>
      </c>
      <c r="P4" s="18" t="s">
        <v>23</v>
      </c>
      <c r="Q4" s="19" t="s">
        <v>23</v>
      </c>
      <c r="R4" s="18">
        <v>100</v>
      </c>
      <c r="S4" s="18">
        <v>1</v>
      </c>
      <c r="T4" s="18">
        <v>0</v>
      </c>
      <c r="U4" s="18">
        <v>0</v>
      </c>
    </row>
    <row r="5" spans="1:21" ht="10.8" thickBot="1" x14ac:dyDescent="0.25">
      <c r="A5" s="26" t="s">
        <v>31</v>
      </c>
      <c r="B5" s="26" t="s">
        <v>32</v>
      </c>
      <c r="C5" s="26" t="s">
        <v>25</v>
      </c>
      <c r="D5" s="26" t="s">
        <v>71</v>
      </c>
      <c r="E5" s="26" t="s">
        <v>72</v>
      </c>
      <c r="F5" s="26" t="s">
        <v>73</v>
      </c>
      <c r="G5" s="27" t="s">
        <v>37</v>
      </c>
      <c r="H5" s="28" t="s">
        <v>24</v>
      </c>
      <c r="I5" s="28" t="s">
        <v>31</v>
      </c>
      <c r="J5" s="29" t="s">
        <v>32</v>
      </c>
      <c r="K5" s="24">
        <v>1</v>
      </c>
      <c r="L5" s="24" t="s">
        <v>34</v>
      </c>
      <c r="M5" s="18">
        <v>2020</v>
      </c>
      <c r="N5" s="18" t="s">
        <v>23</v>
      </c>
      <c r="O5" s="19" t="s">
        <v>23</v>
      </c>
      <c r="P5" s="18" t="s">
        <v>23</v>
      </c>
      <c r="Q5" s="19" t="s">
        <v>23</v>
      </c>
      <c r="R5" s="18">
        <v>100</v>
      </c>
      <c r="S5" s="18">
        <v>1</v>
      </c>
      <c r="T5" s="18">
        <v>0</v>
      </c>
      <c r="U5" s="18">
        <v>0</v>
      </c>
    </row>
    <row r="6" spans="1:21" ht="10.8" thickBot="1" x14ac:dyDescent="0.25">
      <c r="A6" s="26" t="s">
        <v>31</v>
      </c>
      <c r="B6" s="26" t="s">
        <v>32</v>
      </c>
      <c r="C6" s="26" t="s">
        <v>25</v>
      </c>
      <c r="D6" s="26" t="s">
        <v>74</v>
      </c>
      <c r="E6" s="26" t="s">
        <v>75</v>
      </c>
      <c r="F6" s="26" t="s">
        <v>76</v>
      </c>
      <c r="G6" s="27" t="s">
        <v>35</v>
      </c>
      <c r="H6" s="28" t="s">
        <v>22</v>
      </c>
      <c r="I6" s="28" t="s">
        <v>31</v>
      </c>
      <c r="J6" s="29" t="s">
        <v>32</v>
      </c>
      <c r="K6" s="24">
        <v>0.5</v>
      </c>
      <c r="L6" s="24" t="s">
        <v>34</v>
      </c>
      <c r="M6" s="18">
        <v>2020</v>
      </c>
      <c r="N6" s="18" t="s">
        <v>23</v>
      </c>
      <c r="O6" s="19" t="s">
        <v>23</v>
      </c>
      <c r="P6" s="18" t="s">
        <v>23</v>
      </c>
      <c r="Q6" s="19" t="s">
        <v>23</v>
      </c>
      <c r="R6" s="18">
        <v>100</v>
      </c>
      <c r="S6" s="18">
        <v>0.5</v>
      </c>
      <c r="T6" s="18">
        <v>0</v>
      </c>
      <c r="U6" s="18">
        <v>0</v>
      </c>
    </row>
    <row r="7" spans="1:21" ht="10.8" thickBot="1" x14ac:dyDescent="0.25">
      <c r="A7" s="26" t="s">
        <v>31</v>
      </c>
      <c r="B7" s="26" t="s">
        <v>32</v>
      </c>
      <c r="C7" s="26" t="s">
        <v>25</v>
      </c>
      <c r="D7" s="26" t="s">
        <v>74</v>
      </c>
      <c r="E7" s="26" t="s">
        <v>75</v>
      </c>
      <c r="F7" s="26" t="s">
        <v>76</v>
      </c>
      <c r="G7" s="27" t="s">
        <v>77</v>
      </c>
      <c r="H7" s="28" t="s">
        <v>22</v>
      </c>
      <c r="I7" s="28" t="s">
        <v>31</v>
      </c>
      <c r="J7" s="29" t="s">
        <v>32</v>
      </c>
      <c r="K7" s="24">
        <v>0.5</v>
      </c>
      <c r="L7" s="24" t="s">
        <v>34</v>
      </c>
      <c r="M7" s="18">
        <v>2020</v>
      </c>
      <c r="N7" s="18" t="s">
        <v>23</v>
      </c>
      <c r="O7" s="19" t="s">
        <v>23</v>
      </c>
      <c r="P7" s="18" t="s">
        <v>23</v>
      </c>
      <c r="Q7" s="19" t="s">
        <v>23</v>
      </c>
      <c r="R7" s="18">
        <v>100</v>
      </c>
      <c r="S7" s="18">
        <v>0.5</v>
      </c>
      <c r="T7" s="18">
        <v>0</v>
      </c>
      <c r="U7" s="18">
        <v>0</v>
      </c>
    </row>
    <row r="8" spans="1:21" ht="10.8" thickBot="1" x14ac:dyDescent="0.25">
      <c r="A8" s="26" t="s">
        <v>26</v>
      </c>
      <c r="B8" s="26" t="s">
        <v>27</v>
      </c>
      <c r="C8" s="26" t="s">
        <v>25</v>
      </c>
      <c r="D8" s="26" t="s">
        <v>78</v>
      </c>
      <c r="E8" s="26" t="s">
        <v>79</v>
      </c>
      <c r="F8" s="26" t="s">
        <v>80</v>
      </c>
      <c r="G8" s="27" t="s">
        <v>38</v>
      </c>
      <c r="H8" s="28" t="s">
        <v>24</v>
      </c>
      <c r="I8" s="28" t="s">
        <v>31</v>
      </c>
      <c r="J8" s="29" t="s">
        <v>32</v>
      </c>
      <c r="K8" s="24">
        <v>1</v>
      </c>
      <c r="L8" s="24" t="s">
        <v>34</v>
      </c>
      <c r="M8" s="18">
        <v>2020</v>
      </c>
      <c r="N8" s="18" t="s">
        <v>23</v>
      </c>
      <c r="O8" s="19" t="s">
        <v>23</v>
      </c>
      <c r="P8" s="18" t="s">
        <v>23</v>
      </c>
      <c r="Q8" s="19" t="s">
        <v>23</v>
      </c>
      <c r="R8" s="18">
        <v>100</v>
      </c>
      <c r="S8" s="18">
        <v>1</v>
      </c>
      <c r="T8" s="18">
        <v>0</v>
      </c>
      <c r="U8" s="18">
        <v>0</v>
      </c>
    </row>
    <row r="9" spans="1:21" ht="10.8" thickBot="1" x14ac:dyDescent="0.25">
      <c r="A9" s="26" t="s">
        <v>26</v>
      </c>
      <c r="B9" s="26" t="s">
        <v>27</v>
      </c>
      <c r="C9" s="26" t="s">
        <v>25</v>
      </c>
      <c r="D9" s="26" t="s">
        <v>81</v>
      </c>
      <c r="E9" s="26" t="s">
        <v>82</v>
      </c>
      <c r="F9" s="26" t="s">
        <v>83</v>
      </c>
      <c r="G9" s="27" t="s">
        <v>33</v>
      </c>
      <c r="H9" s="28" t="s">
        <v>24</v>
      </c>
      <c r="I9" s="28" t="s">
        <v>31</v>
      </c>
      <c r="J9" s="29" t="s">
        <v>32</v>
      </c>
      <c r="K9" s="24">
        <v>1</v>
      </c>
      <c r="L9" s="24" t="s">
        <v>34</v>
      </c>
      <c r="M9" s="18">
        <v>2020</v>
      </c>
      <c r="N9" s="18" t="s">
        <v>23</v>
      </c>
      <c r="O9" s="19" t="s">
        <v>23</v>
      </c>
      <c r="P9" s="18" t="s">
        <v>23</v>
      </c>
      <c r="Q9" s="19" t="s">
        <v>23</v>
      </c>
      <c r="R9" s="18">
        <v>100</v>
      </c>
      <c r="S9" s="18">
        <v>1</v>
      </c>
      <c r="T9" s="18">
        <v>0</v>
      </c>
      <c r="U9" s="18">
        <v>0</v>
      </c>
    </row>
    <row r="10" spans="1:21" ht="10.8" thickBot="1" x14ac:dyDescent="0.25">
      <c r="A10" s="26" t="s">
        <v>26</v>
      </c>
      <c r="B10" s="26" t="s">
        <v>27</v>
      </c>
      <c r="C10" s="26" t="s">
        <v>25</v>
      </c>
      <c r="D10" s="26" t="s">
        <v>84</v>
      </c>
      <c r="E10" s="26" t="s">
        <v>85</v>
      </c>
      <c r="F10" s="26" t="s">
        <v>86</v>
      </c>
      <c r="G10" s="27" t="s">
        <v>33</v>
      </c>
      <c r="H10" s="28" t="s">
        <v>24</v>
      </c>
      <c r="I10" s="28" t="s">
        <v>31</v>
      </c>
      <c r="J10" s="29" t="s">
        <v>32</v>
      </c>
      <c r="K10" s="24">
        <v>1</v>
      </c>
      <c r="L10" s="24" t="s">
        <v>34</v>
      </c>
      <c r="M10" s="18">
        <v>2020</v>
      </c>
      <c r="N10" s="18" t="s">
        <v>23</v>
      </c>
      <c r="O10" s="19" t="s">
        <v>23</v>
      </c>
      <c r="P10" s="18" t="s">
        <v>23</v>
      </c>
      <c r="Q10" s="19" t="s">
        <v>23</v>
      </c>
      <c r="R10" s="18">
        <v>100</v>
      </c>
      <c r="S10" s="18">
        <v>1</v>
      </c>
      <c r="T10" s="18">
        <v>0</v>
      </c>
      <c r="U10" s="18">
        <v>0</v>
      </c>
    </row>
    <row r="11" spans="1:21" ht="10.8" thickBot="1" x14ac:dyDescent="0.25">
      <c r="A11" s="26" t="s">
        <v>26</v>
      </c>
      <c r="B11" s="26" t="s">
        <v>27</v>
      </c>
      <c r="C11" s="26" t="s">
        <v>25</v>
      </c>
      <c r="D11" s="26" t="s">
        <v>87</v>
      </c>
      <c r="E11" s="26" t="s">
        <v>88</v>
      </c>
      <c r="F11" s="26" t="s">
        <v>89</v>
      </c>
      <c r="G11" s="27" t="s">
        <v>35</v>
      </c>
      <c r="H11" s="28" t="s">
        <v>24</v>
      </c>
      <c r="I11" s="28" t="s">
        <v>31</v>
      </c>
      <c r="J11" s="29" t="s">
        <v>32</v>
      </c>
      <c r="K11" s="24">
        <v>1</v>
      </c>
      <c r="L11" s="24" t="s">
        <v>34</v>
      </c>
      <c r="M11" s="18">
        <v>2020</v>
      </c>
      <c r="N11" s="18" t="s">
        <v>23</v>
      </c>
      <c r="O11" s="19" t="s">
        <v>23</v>
      </c>
      <c r="P11" s="18" t="s">
        <v>23</v>
      </c>
      <c r="Q11" s="19" t="s">
        <v>23</v>
      </c>
      <c r="R11" s="18">
        <v>100</v>
      </c>
      <c r="S11" s="18">
        <v>1</v>
      </c>
      <c r="T11" s="18">
        <v>0</v>
      </c>
      <c r="U11" s="18">
        <v>0</v>
      </c>
    </row>
    <row r="12" spans="1:21" ht="10.8" thickBot="1" x14ac:dyDescent="0.25">
      <c r="A12" s="26" t="s">
        <v>28</v>
      </c>
      <c r="B12" s="26" t="s">
        <v>29</v>
      </c>
      <c r="C12" s="26" t="s">
        <v>30</v>
      </c>
      <c r="D12" s="26" t="s">
        <v>90</v>
      </c>
      <c r="E12" s="26" t="s">
        <v>91</v>
      </c>
      <c r="F12" s="26" t="s">
        <v>92</v>
      </c>
      <c r="G12" s="27" t="s">
        <v>33</v>
      </c>
      <c r="H12" s="28" t="s">
        <v>22</v>
      </c>
      <c r="I12" s="28" t="s">
        <v>31</v>
      </c>
      <c r="J12" s="29" t="s">
        <v>32</v>
      </c>
      <c r="K12" s="24">
        <v>0.5</v>
      </c>
      <c r="L12" s="24" t="s">
        <v>34</v>
      </c>
      <c r="M12" s="18">
        <v>2020</v>
      </c>
      <c r="N12" s="18" t="s">
        <v>23</v>
      </c>
      <c r="O12" s="19" t="s">
        <v>23</v>
      </c>
      <c r="P12" s="18" t="s">
        <v>23</v>
      </c>
      <c r="Q12" s="19" t="s">
        <v>23</v>
      </c>
      <c r="R12" s="18">
        <v>100</v>
      </c>
      <c r="S12" s="18">
        <v>0.5</v>
      </c>
      <c r="T12" s="18">
        <v>0</v>
      </c>
      <c r="U12" s="18">
        <v>0</v>
      </c>
    </row>
    <row r="13" spans="1:21" x14ac:dyDescent="0.2">
      <c r="A13" s="18" t="s">
        <v>31</v>
      </c>
      <c r="B13" s="18" t="s">
        <v>32</v>
      </c>
      <c r="C13" s="18" t="s">
        <v>25</v>
      </c>
      <c r="D13" s="18" t="s">
        <v>98</v>
      </c>
      <c r="E13" s="18" t="s">
        <v>99</v>
      </c>
      <c r="F13" s="18" t="s">
        <v>100</v>
      </c>
      <c r="G13" s="18" t="s">
        <v>37</v>
      </c>
      <c r="H13" s="18" t="s">
        <v>22</v>
      </c>
      <c r="I13" s="18" t="s">
        <v>31</v>
      </c>
      <c r="J13" s="18" t="s">
        <v>32</v>
      </c>
      <c r="K13" s="24">
        <v>0.5</v>
      </c>
      <c r="L13" s="24" t="s">
        <v>34</v>
      </c>
      <c r="M13" s="18">
        <v>2021</v>
      </c>
      <c r="N13" s="18" t="s">
        <v>23</v>
      </c>
      <c r="O13" s="19" t="s">
        <v>23</v>
      </c>
      <c r="P13" s="18" t="s">
        <v>23</v>
      </c>
      <c r="Q13" s="19" t="s">
        <v>23</v>
      </c>
      <c r="R13" s="18">
        <v>100</v>
      </c>
      <c r="S13" s="18">
        <v>0.5</v>
      </c>
      <c r="T13" s="18">
        <v>0</v>
      </c>
      <c r="U13" s="18">
        <v>0</v>
      </c>
    </row>
    <row r="14" spans="1:21" x14ac:dyDescent="0.2">
      <c r="A14" s="18" t="s">
        <v>31</v>
      </c>
      <c r="B14" s="18" t="s">
        <v>32</v>
      </c>
      <c r="C14" s="18" t="s">
        <v>25</v>
      </c>
      <c r="D14" s="18" t="s">
        <v>101</v>
      </c>
      <c r="E14" s="18" t="s">
        <v>102</v>
      </c>
      <c r="F14" s="18" t="s">
        <v>103</v>
      </c>
      <c r="G14" s="18" t="s">
        <v>33</v>
      </c>
      <c r="H14" s="18" t="s">
        <v>22</v>
      </c>
      <c r="I14" s="18" t="s">
        <v>31</v>
      </c>
      <c r="J14" s="18" t="s">
        <v>32</v>
      </c>
      <c r="K14" s="24">
        <v>0.5</v>
      </c>
      <c r="L14" s="24" t="s">
        <v>34</v>
      </c>
      <c r="M14" s="18">
        <v>2021</v>
      </c>
      <c r="N14" s="18" t="s">
        <v>23</v>
      </c>
      <c r="O14" s="19" t="s">
        <v>23</v>
      </c>
      <c r="P14" s="18" t="s">
        <v>23</v>
      </c>
      <c r="Q14" s="19" t="s">
        <v>23</v>
      </c>
      <c r="R14" s="18">
        <v>100</v>
      </c>
      <c r="S14" s="18">
        <v>0.5</v>
      </c>
      <c r="T14" s="18">
        <v>0</v>
      </c>
      <c r="U14" s="18">
        <v>0</v>
      </c>
    </row>
    <row r="15" spans="1:21" x14ac:dyDescent="0.2">
      <c r="A15" s="18" t="s">
        <v>31</v>
      </c>
      <c r="B15" s="18" t="s">
        <v>32</v>
      </c>
      <c r="C15" s="18" t="s">
        <v>25</v>
      </c>
      <c r="D15" s="18" t="s">
        <v>104</v>
      </c>
      <c r="E15" s="18" t="s">
        <v>105</v>
      </c>
      <c r="F15" s="18" t="s">
        <v>106</v>
      </c>
      <c r="G15" s="18" t="s">
        <v>36</v>
      </c>
      <c r="H15" s="18" t="s">
        <v>24</v>
      </c>
      <c r="I15" s="18" t="s">
        <v>31</v>
      </c>
      <c r="J15" s="18" t="s">
        <v>32</v>
      </c>
      <c r="K15" s="24">
        <v>1</v>
      </c>
      <c r="L15" s="24" t="s">
        <v>34</v>
      </c>
      <c r="M15" s="18">
        <v>2021</v>
      </c>
      <c r="N15" s="18" t="s">
        <v>23</v>
      </c>
      <c r="O15" s="19" t="s">
        <v>23</v>
      </c>
      <c r="P15" s="18" t="s">
        <v>23</v>
      </c>
      <c r="Q15" s="19" t="s">
        <v>23</v>
      </c>
      <c r="R15" s="18">
        <v>100</v>
      </c>
      <c r="S15" s="18">
        <v>1</v>
      </c>
      <c r="T15" s="18">
        <v>0</v>
      </c>
      <c r="U15" s="18">
        <v>0</v>
      </c>
    </row>
    <row r="16" spans="1:21" x14ac:dyDescent="0.2">
      <c r="A16" s="18" t="s">
        <v>31</v>
      </c>
      <c r="B16" s="18" t="s">
        <v>32</v>
      </c>
      <c r="C16" s="18" t="s">
        <v>25</v>
      </c>
      <c r="D16" s="18" t="s">
        <v>107</v>
      </c>
      <c r="E16" s="18" t="s">
        <v>108</v>
      </c>
      <c r="F16" s="18" t="s">
        <v>109</v>
      </c>
      <c r="G16" s="18" t="s">
        <v>110</v>
      </c>
      <c r="H16" s="18" t="s">
        <v>22</v>
      </c>
      <c r="I16" s="18" t="s">
        <v>31</v>
      </c>
      <c r="J16" s="18" t="s">
        <v>32</v>
      </c>
      <c r="K16" s="24">
        <v>0.5</v>
      </c>
      <c r="L16" s="24" t="s">
        <v>34</v>
      </c>
      <c r="M16" s="18">
        <v>2021</v>
      </c>
      <c r="N16" s="18" t="s">
        <v>23</v>
      </c>
      <c r="O16" s="19" t="s">
        <v>23</v>
      </c>
      <c r="P16" s="18" t="s">
        <v>23</v>
      </c>
      <c r="Q16" s="19" t="s">
        <v>23</v>
      </c>
      <c r="R16" s="18">
        <v>100</v>
      </c>
      <c r="S16" s="18">
        <v>0.5</v>
      </c>
      <c r="T16" s="18">
        <v>0</v>
      </c>
      <c r="U16" s="18">
        <v>0</v>
      </c>
    </row>
    <row r="17" spans="1:22" x14ac:dyDescent="0.2">
      <c r="A17" s="18" t="s">
        <v>31</v>
      </c>
      <c r="B17" s="18" t="s">
        <v>32</v>
      </c>
      <c r="C17" s="18" t="s">
        <v>25</v>
      </c>
      <c r="D17" s="18" t="s">
        <v>107</v>
      </c>
      <c r="E17" s="18" t="s">
        <v>108</v>
      </c>
      <c r="F17" s="18" t="s">
        <v>109</v>
      </c>
      <c r="G17" s="18" t="s">
        <v>37</v>
      </c>
      <c r="H17" s="18" t="s">
        <v>22</v>
      </c>
      <c r="I17" s="18" t="s">
        <v>31</v>
      </c>
      <c r="J17" s="18" t="s">
        <v>32</v>
      </c>
      <c r="K17" s="24">
        <v>0.5</v>
      </c>
      <c r="L17" s="24" t="s">
        <v>34</v>
      </c>
      <c r="M17" s="18">
        <v>2021</v>
      </c>
      <c r="N17" s="18" t="s">
        <v>23</v>
      </c>
      <c r="O17" s="19" t="s">
        <v>23</v>
      </c>
      <c r="P17" s="18" t="s">
        <v>23</v>
      </c>
      <c r="Q17" s="19" t="s">
        <v>23</v>
      </c>
      <c r="R17" s="18">
        <v>100</v>
      </c>
      <c r="S17" s="18">
        <v>0.5</v>
      </c>
      <c r="T17" s="18">
        <v>0</v>
      </c>
      <c r="U17" s="18">
        <v>0</v>
      </c>
    </row>
    <row r="18" spans="1:22" x14ac:dyDescent="0.2">
      <c r="A18" s="18" t="s">
        <v>31</v>
      </c>
      <c r="B18" s="18" t="s">
        <v>32</v>
      </c>
      <c r="C18" s="18" t="s">
        <v>25</v>
      </c>
      <c r="D18" s="18" t="s">
        <v>111</v>
      </c>
      <c r="E18" s="18" t="s">
        <v>112</v>
      </c>
      <c r="F18" s="18" t="s">
        <v>113</v>
      </c>
      <c r="G18" s="18" t="s">
        <v>33</v>
      </c>
      <c r="H18" s="18" t="s">
        <v>24</v>
      </c>
      <c r="I18" s="18" t="s">
        <v>31</v>
      </c>
      <c r="J18" s="18" t="s">
        <v>32</v>
      </c>
      <c r="K18" s="24">
        <v>1</v>
      </c>
      <c r="L18" s="24" t="s">
        <v>34</v>
      </c>
      <c r="M18" s="18">
        <v>2021</v>
      </c>
      <c r="N18" s="18" t="s">
        <v>23</v>
      </c>
      <c r="O18" s="19" t="s">
        <v>23</v>
      </c>
      <c r="P18" s="18" t="s">
        <v>23</v>
      </c>
      <c r="Q18" s="19" t="s">
        <v>23</v>
      </c>
      <c r="R18" s="18">
        <v>100</v>
      </c>
      <c r="S18" s="18">
        <v>1</v>
      </c>
      <c r="T18" s="18">
        <v>0</v>
      </c>
      <c r="U18" s="18">
        <v>0</v>
      </c>
    </row>
    <row r="19" spans="1:22" x14ac:dyDescent="0.2">
      <c r="A19" s="18" t="s">
        <v>26</v>
      </c>
      <c r="B19" s="18" t="s">
        <v>27</v>
      </c>
      <c r="C19" s="18" t="s">
        <v>25</v>
      </c>
      <c r="D19" s="18" t="s">
        <v>114</v>
      </c>
      <c r="E19" s="18" t="s">
        <v>115</v>
      </c>
      <c r="F19" s="18" t="s">
        <v>116</v>
      </c>
      <c r="G19" s="18" t="s">
        <v>37</v>
      </c>
      <c r="H19" s="18" t="s">
        <v>24</v>
      </c>
      <c r="I19" s="18" t="s">
        <v>31</v>
      </c>
      <c r="J19" s="18" t="s">
        <v>32</v>
      </c>
      <c r="K19" s="24">
        <v>1</v>
      </c>
      <c r="L19" s="24" t="s">
        <v>34</v>
      </c>
      <c r="M19" s="18">
        <v>2021</v>
      </c>
      <c r="N19" s="18" t="s">
        <v>23</v>
      </c>
      <c r="O19" s="19" t="s">
        <v>23</v>
      </c>
      <c r="P19" s="18" t="s">
        <v>23</v>
      </c>
      <c r="Q19" s="19" t="s">
        <v>23</v>
      </c>
      <c r="R19" s="18">
        <v>100</v>
      </c>
      <c r="S19" s="18">
        <v>1</v>
      </c>
      <c r="T19" s="18">
        <v>0</v>
      </c>
      <c r="U19" s="18">
        <v>0</v>
      </c>
    </row>
    <row r="20" spans="1:22" x14ac:dyDescent="0.2">
      <c r="A20" s="18" t="s">
        <v>31</v>
      </c>
      <c r="B20" s="18" t="s">
        <v>32</v>
      </c>
      <c r="C20" s="18" t="s">
        <v>25</v>
      </c>
      <c r="D20" s="18" t="s">
        <v>124</v>
      </c>
      <c r="E20" s="18" t="s">
        <v>125</v>
      </c>
      <c r="F20" s="18" t="s">
        <v>126</v>
      </c>
      <c r="G20" s="18" t="s">
        <v>35</v>
      </c>
      <c r="H20" s="18" t="s">
        <v>22</v>
      </c>
      <c r="I20" s="18" t="s">
        <v>31</v>
      </c>
      <c r="J20" s="18" t="s">
        <v>32</v>
      </c>
      <c r="K20" s="33">
        <v>0.5</v>
      </c>
      <c r="L20" s="33" t="s">
        <v>34</v>
      </c>
      <c r="M20" s="18">
        <v>2022</v>
      </c>
      <c r="N20" s="33" t="s">
        <v>23</v>
      </c>
      <c r="O20" s="33" t="s">
        <v>23</v>
      </c>
      <c r="P20" s="33" t="s">
        <v>23</v>
      </c>
      <c r="Q20" s="33" t="s">
        <v>23</v>
      </c>
      <c r="R20" s="33">
        <v>100</v>
      </c>
      <c r="S20" s="33">
        <v>0.5</v>
      </c>
      <c r="T20" s="33">
        <v>0</v>
      </c>
      <c r="U20" s="33">
        <v>0</v>
      </c>
    </row>
    <row r="21" spans="1:22" x14ac:dyDescent="0.2">
      <c r="A21" s="18" t="s">
        <v>31</v>
      </c>
      <c r="B21" s="18" t="s">
        <v>32</v>
      </c>
      <c r="C21" s="18" t="s">
        <v>25</v>
      </c>
      <c r="D21" s="18" t="s">
        <v>124</v>
      </c>
      <c r="E21" s="18" t="s">
        <v>125</v>
      </c>
      <c r="F21" s="18" t="s">
        <v>126</v>
      </c>
      <c r="G21" s="18" t="s">
        <v>38</v>
      </c>
      <c r="H21" s="18" t="s">
        <v>22</v>
      </c>
      <c r="I21" s="18" t="s">
        <v>31</v>
      </c>
      <c r="J21" s="18" t="s">
        <v>32</v>
      </c>
      <c r="K21" s="33">
        <v>0.5</v>
      </c>
      <c r="L21" s="33" t="s">
        <v>34</v>
      </c>
      <c r="M21" s="18">
        <v>2022</v>
      </c>
      <c r="N21" s="33" t="s">
        <v>23</v>
      </c>
      <c r="O21" s="33" t="s">
        <v>23</v>
      </c>
      <c r="P21" s="33" t="s">
        <v>23</v>
      </c>
      <c r="Q21" s="33" t="s">
        <v>23</v>
      </c>
      <c r="R21" s="33">
        <v>100</v>
      </c>
      <c r="S21" s="33">
        <v>0.5</v>
      </c>
      <c r="T21" s="33">
        <v>0</v>
      </c>
      <c r="U21" s="33">
        <v>0</v>
      </c>
    </row>
    <row r="22" spans="1:22" x14ac:dyDescent="0.2">
      <c r="A22" s="18" t="s">
        <v>26</v>
      </c>
      <c r="B22" s="18" t="s">
        <v>27</v>
      </c>
      <c r="C22" s="18" t="s">
        <v>25</v>
      </c>
      <c r="D22" s="18" t="s">
        <v>127</v>
      </c>
      <c r="E22" s="18" t="s">
        <v>128</v>
      </c>
      <c r="F22" s="18" t="s">
        <v>129</v>
      </c>
      <c r="G22" s="18" t="s">
        <v>37</v>
      </c>
      <c r="H22" s="18" t="s">
        <v>24</v>
      </c>
      <c r="I22" s="18" t="s">
        <v>31</v>
      </c>
      <c r="J22" s="18" t="s">
        <v>32</v>
      </c>
      <c r="K22" s="33">
        <v>1</v>
      </c>
      <c r="L22" s="33" t="s">
        <v>34</v>
      </c>
      <c r="M22" s="18">
        <v>2022</v>
      </c>
      <c r="N22" s="33" t="s">
        <v>23</v>
      </c>
      <c r="O22" s="33" t="s">
        <v>23</v>
      </c>
      <c r="P22" s="33" t="s">
        <v>23</v>
      </c>
      <c r="Q22" s="33" t="s">
        <v>23</v>
      </c>
      <c r="R22" s="33">
        <v>100</v>
      </c>
      <c r="S22" s="33">
        <v>1</v>
      </c>
      <c r="T22" s="33">
        <v>0</v>
      </c>
      <c r="U22" s="33">
        <v>0</v>
      </c>
    </row>
    <row r="23" spans="1:22" x14ac:dyDescent="0.2">
      <c r="A23" s="18" t="s">
        <v>26</v>
      </c>
      <c r="B23" s="18" t="s">
        <v>27</v>
      </c>
      <c r="C23" s="18" t="s">
        <v>25</v>
      </c>
      <c r="D23" s="18" t="s">
        <v>132</v>
      </c>
      <c r="E23" s="18" t="s">
        <v>133</v>
      </c>
      <c r="F23" s="18" t="s">
        <v>106</v>
      </c>
      <c r="G23" s="18" t="s">
        <v>36</v>
      </c>
      <c r="H23" s="18" t="s">
        <v>24</v>
      </c>
      <c r="I23" s="18" t="s">
        <v>31</v>
      </c>
      <c r="J23" s="18" t="s">
        <v>32</v>
      </c>
      <c r="K23" s="33">
        <v>1</v>
      </c>
      <c r="L23" s="33" t="s">
        <v>34</v>
      </c>
      <c r="M23" s="18">
        <v>2021</v>
      </c>
      <c r="N23" s="33" t="s">
        <v>23</v>
      </c>
      <c r="O23" s="33" t="s">
        <v>23</v>
      </c>
      <c r="P23" s="33" t="s">
        <v>23</v>
      </c>
      <c r="Q23" s="33" t="s">
        <v>23</v>
      </c>
      <c r="R23" s="33">
        <v>100</v>
      </c>
      <c r="S23" s="33">
        <v>1</v>
      </c>
      <c r="T23" s="33">
        <v>0</v>
      </c>
      <c r="U23" s="33">
        <v>0</v>
      </c>
    </row>
    <row r="24" spans="1:22" x14ac:dyDescent="0.2">
      <c r="A24" s="18" t="s">
        <v>34</v>
      </c>
      <c r="B24" s="18" t="s">
        <v>147</v>
      </c>
      <c r="C24" s="18" t="s">
        <v>148</v>
      </c>
      <c r="D24" s="18" t="s">
        <v>149</v>
      </c>
      <c r="E24" s="18" t="s">
        <v>150</v>
      </c>
      <c r="F24" s="18" t="s">
        <v>151</v>
      </c>
      <c r="G24" s="18" t="s">
        <v>61</v>
      </c>
      <c r="H24" s="18" t="s">
        <v>152</v>
      </c>
      <c r="I24" s="18" t="s">
        <v>34</v>
      </c>
      <c r="J24" s="18" t="s">
        <v>147</v>
      </c>
      <c r="K24" s="33">
        <v>1</v>
      </c>
      <c r="L24" s="18" t="s">
        <v>34</v>
      </c>
      <c r="M24" s="33">
        <v>2023</v>
      </c>
      <c r="N24" s="33" t="s">
        <v>23</v>
      </c>
      <c r="O24" s="33" t="s">
        <v>23</v>
      </c>
      <c r="P24" s="33" t="s">
        <v>23</v>
      </c>
      <c r="Q24" s="33" t="s">
        <v>23</v>
      </c>
      <c r="R24" s="33">
        <v>100</v>
      </c>
      <c r="S24" s="33">
        <v>1</v>
      </c>
      <c r="T24" s="33">
        <v>0</v>
      </c>
      <c r="U24" s="33">
        <v>0</v>
      </c>
      <c r="V24" s="6" t="s">
        <v>135</v>
      </c>
    </row>
    <row r="25" spans="1:22" x14ac:dyDescent="0.2">
      <c r="A25" s="18" t="s">
        <v>153</v>
      </c>
      <c r="B25" s="18" t="s">
        <v>154</v>
      </c>
      <c r="C25" s="18" t="s">
        <v>148</v>
      </c>
      <c r="D25" s="18" t="s">
        <v>155</v>
      </c>
      <c r="E25" s="18" t="s">
        <v>156</v>
      </c>
      <c r="F25" s="18" t="s">
        <v>157</v>
      </c>
      <c r="G25" s="18" t="s">
        <v>62</v>
      </c>
      <c r="H25" s="18" t="s">
        <v>152</v>
      </c>
      <c r="I25" s="18" t="s">
        <v>34</v>
      </c>
      <c r="J25" s="18" t="s">
        <v>147</v>
      </c>
      <c r="K25" s="33">
        <v>1</v>
      </c>
      <c r="L25" s="18" t="s">
        <v>34</v>
      </c>
      <c r="M25" s="33">
        <v>2023</v>
      </c>
      <c r="N25" s="33" t="s">
        <v>23</v>
      </c>
      <c r="O25" s="33" t="s">
        <v>23</v>
      </c>
      <c r="P25" s="33" t="s">
        <v>23</v>
      </c>
      <c r="Q25" s="33" t="s">
        <v>23</v>
      </c>
      <c r="R25" s="33">
        <v>100</v>
      </c>
      <c r="S25" s="33">
        <v>1</v>
      </c>
      <c r="T25" s="33">
        <v>0</v>
      </c>
      <c r="U25" s="33">
        <v>0</v>
      </c>
      <c r="V25" s="6" t="s">
        <v>135</v>
      </c>
    </row>
    <row r="26" spans="1:22" x14ac:dyDescent="0.2">
      <c r="A26" s="18" t="s">
        <v>153</v>
      </c>
      <c r="B26" s="18" t="s">
        <v>154</v>
      </c>
      <c r="C26" s="18" t="s">
        <v>148</v>
      </c>
      <c r="D26" s="18" t="s">
        <v>158</v>
      </c>
      <c r="E26" s="18" t="s">
        <v>159</v>
      </c>
      <c r="F26" s="18" t="s">
        <v>160</v>
      </c>
      <c r="G26" s="18" t="s">
        <v>54</v>
      </c>
      <c r="H26" s="18" t="s">
        <v>152</v>
      </c>
      <c r="I26" s="18" t="s">
        <v>34</v>
      </c>
      <c r="J26" s="18" t="s">
        <v>147</v>
      </c>
      <c r="K26" s="33">
        <v>1</v>
      </c>
      <c r="L26" s="18" t="s">
        <v>34</v>
      </c>
      <c r="M26" s="33">
        <v>2023</v>
      </c>
      <c r="N26" s="33" t="s">
        <v>23</v>
      </c>
      <c r="O26" s="33" t="s">
        <v>23</v>
      </c>
      <c r="P26" s="33" t="s">
        <v>23</v>
      </c>
      <c r="Q26" s="33" t="s">
        <v>23</v>
      </c>
      <c r="R26" s="33">
        <v>100</v>
      </c>
      <c r="S26" s="33">
        <v>1</v>
      </c>
      <c r="T26" s="33">
        <v>0</v>
      </c>
      <c r="U26" s="33">
        <v>0</v>
      </c>
      <c r="V26" s="6" t="s">
        <v>135</v>
      </c>
    </row>
    <row r="27" spans="1:22" x14ac:dyDescent="0.2">
      <c r="A27" s="18" t="s">
        <v>153</v>
      </c>
      <c r="B27" s="18" t="s">
        <v>154</v>
      </c>
      <c r="C27" s="18" t="s">
        <v>148</v>
      </c>
      <c r="D27" s="18" t="s">
        <v>175</v>
      </c>
      <c r="E27" s="18" t="s">
        <v>176</v>
      </c>
      <c r="F27" s="18" t="s">
        <v>177</v>
      </c>
      <c r="G27" s="18" t="s">
        <v>57</v>
      </c>
      <c r="H27" s="18" t="s">
        <v>152</v>
      </c>
      <c r="I27" s="18" t="s">
        <v>34</v>
      </c>
      <c r="J27" s="18" t="s">
        <v>178</v>
      </c>
      <c r="K27" s="33">
        <v>1</v>
      </c>
      <c r="L27" s="18" t="s">
        <v>34</v>
      </c>
      <c r="M27" s="33">
        <v>2023</v>
      </c>
      <c r="N27" s="33" t="s">
        <v>23</v>
      </c>
      <c r="O27" s="33" t="s">
        <v>23</v>
      </c>
      <c r="P27" s="33" t="s">
        <v>23</v>
      </c>
      <c r="Q27" s="33" t="s">
        <v>23</v>
      </c>
      <c r="R27" s="33">
        <v>100</v>
      </c>
      <c r="S27" s="33">
        <v>1</v>
      </c>
      <c r="T27" s="33">
        <v>0</v>
      </c>
      <c r="U27" s="33">
        <v>0</v>
      </c>
      <c r="V27" s="6" t="s">
        <v>135</v>
      </c>
    </row>
    <row r="28" spans="1:22" x14ac:dyDescent="0.2">
      <c r="A28" s="18" t="s">
        <v>161</v>
      </c>
      <c r="B28" s="18" t="s">
        <v>162</v>
      </c>
      <c r="C28" s="18" t="s">
        <v>163</v>
      </c>
      <c r="D28" s="18" t="s">
        <v>164</v>
      </c>
      <c r="E28" s="18" t="s">
        <v>165</v>
      </c>
      <c r="F28" s="18" t="s">
        <v>166</v>
      </c>
      <c r="G28" s="18" t="s">
        <v>53</v>
      </c>
      <c r="H28" s="18" t="s">
        <v>167</v>
      </c>
      <c r="I28" s="18" t="s">
        <v>34</v>
      </c>
      <c r="J28" s="18" t="s">
        <v>147</v>
      </c>
      <c r="K28" s="33">
        <v>0.5</v>
      </c>
      <c r="L28" s="18" t="s">
        <v>34</v>
      </c>
      <c r="M28" s="33">
        <v>2023</v>
      </c>
      <c r="N28" s="33" t="s">
        <v>130</v>
      </c>
      <c r="O28" s="33" t="s">
        <v>168</v>
      </c>
      <c r="P28" s="33" t="s">
        <v>23</v>
      </c>
      <c r="Q28" s="33" t="s">
        <v>23</v>
      </c>
      <c r="R28" s="33">
        <v>80</v>
      </c>
      <c r="S28" s="33">
        <v>0.4</v>
      </c>
      <c r="T28" s="33">
        <v>0.1</v>
      </c>
      <c r="U28" s="33">
        <v>0</v>
      </c>
      <c r="V28" s="6" t="s">
        <v>135</v>
      </c>
    </row>
    <row r="29" spans="1:22" x14ac:dyDescent="0.2">
      <c r="A29" s="18" t="s">
        <v>204</v>
      </c>
      <c r="B29" s="18" t="s">
        <v>205</v>
      </c>
      <c r="C29" s="18" t="s">
        <v>148</v>
      </c>
      <c r="D29" s="18" t="s">
        <v>206</v>
      </c>
      <c r="E29" s="18" t="s">
        <v>207</v>
      </c>
      <c r="F29" s="18" t="s">
        <v>208</v>
      </c>
      <c r="G29" s="18" t="s">
        <v>55</v>
      </c>
      <c r="H29" s="18" t="s">
        <v>167</v>
      </c>
      <c r="I29" s="18" t="s">
        <v>34</v>
      </c>
      <c r="J29" s="18" t="s">
        <v>209</v>
      </c>
      <c r="K29" s="33">
        <v>0.5</v>
      </c>
      <c r="L29" s="18" t="s">
        <v>34</v>
      </c>
      <c r="M29" s="33">
        <v>2024</v>
      </c>
      <c r="N29" s="33" t="s">
        <v>23</v>
      </c>
      <c r="O29" s="33" t="s">
        <v>23</v>
      </c>
      <c r="P29" s="33" t="s">
        <v>23</v>
      </c>
      <c r="Q29" s="33" t="s">
        <v>23</v>
      </c>
      <c r="R29" s="33">
        <v>100</v>
      </c>
      <c r="S29" s="33">
        <v>0.5</v>
      </c>
      <c r="T29" s="33">
        <v>0</v>
      </c>
      <c r="U29" s="33">
        <v>0</v>
      </c>
    </row>
    <row r="30" spans="1:22" x14ac:dyDescent="0.2">
      <c r="A30" s="18" t="s">
        <v>204</v>
      </c>
      <c r="B30" s="18" t="s">
        <v>205</v>
      </c>
      <c r="C30" s="18" t="s">
        <v>148</v>
      </c>
      <c r="D30" s="18" t="s">
        <v>206</v>
      </c>
      <c r="E30" s="18" t="s">
        <v>207</v>
      </c>
      <c r="F30" s="18" t="s">
        <v>208</v>
      </c>
      <c r="G30" s="18" t="s">
        <v>54</v>
      </c>
      <c r="H30" s="18" t="s">
        <v>167</v>
      </c>
      <c r="I30" s="18" t="s">
        <v>34</v>
      </c>
      <c r="J30" s="18" t="s">
        <v>209</v>
      </c>
      <c r="K30" s="33">
        <v>0.5</v>
      </c>
      <c r="L30" s="18" t="s">
        <v>34</v>
      </c>
      <c r="M30" s="33">
        <v>2024</v>
      </c>
      <c r="N30" s="33" t="s">
        <v>23</v>
      </c>
      <c r="O30" s="33" t="s">
        <v>23</v>
      </c>
      <c r="P30" s="33" t="s">
        <v>23</v>
      </c>
      <c r="Q30" s="33" t="s">
        <v>23</v>
      </c>
      <c r="R30" s="33">
        <v>100</v>
      </c>
      <c r="S30" s="33">
        <v>0.5</v>
      </c>
      <c r="T30" s="33">
        <v>0</v>
      </c>
      <c r="U30" s="33">
        <v>0</v>
      </c>
    </row>
    <row r="31" spans="1:22" x14ac:dyDescent="0.2">
      <c r="A31" s="18" t="s">
        <v>153</v>
      </c>
      <c r="B31" s="18" t="s">
        <v>210</v>
      </c>
      <c r="C31" s="18" t="s">
        <v>148</v>
      </c>
      <c r="D31" s="18" t="s">
        <v>211</v>
      </c>
      <c r="E31" s="18" t="s">
        <v>212</v>
      </c>
      <c r="F31" s="18" t="s">
        <v>213</v>
      </c>
      <c r="G31" s="18" t="s">
        <v>56</v>
      </c>
      <c r="H31" s="18" t="s">
        <v>152</v>
      </c>
      <c r="I31" s="18" t="s">
        <v>34</v>
      </c>
      <c r="J31" s="18" t="s">
        <v>209</v>
      </c>
      <c r="K31" s="33">
        <v>1</v>
      </c>
      <c r="L31" s="18" t="s">
        <v>34</v>
      </c>
      <c r="M31" s="33">
        <v>2024</v>
      </c>
      <c r="N31" s="33" t="s">
        <v>23</v>
      </c>
      <c r="O31" s="33" t="s">
        <v>23</v>
      </c>
      <c r="P31" s="33" t="s">
        <v>23</v>
      </c>
      <c r="Q31" s="33" t="s">
        <v>23</v>
      </c>
      <c r="R31" s="33">
        <v>100</v>
      </c>
      <c r="S31" s="33">
        <v>1</v>
      </c>
      <c r="T31" s="33">
        <v>0</v>
      </c>
      <c r="U31" s="33">
        <v>0</v>
      </c>
    </row>
    <row r="32" spans="1:22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1"/>
      <c r="P32" s="40"/>
      <c r="Q32" s="41"/>
      <c r="R32" s="40"/>
      <c r="S32" s="48">
        <f>SUM(S2:S31)</f>
        <v>23.4</v>
      </c>
      <c r="T32" s="40"/>
      <c r="U32" s="40"/>
    </row>
  </sheetData>
  <autoFilter ref="A1:U1" xr:uid="{00000000-0009-0000-0000-000000000000}">
    <sortState xmlns:xlrd2="http://schemas.microsoft.com/office/spreadsheetml/2017/richdata2" ref="A2:T1877">
      <sortCondition ref="K2:K1877"/>
      <sortCondition ref="L2:L1877"/>
      <sortCondition ref="D2:D1877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3"/>
  <sheetViews>
    <sheetView zoomScaleNormal="100" workbookViewId="0">
      <selection activeCell="V7" sqref="V7"/>
    </sheetView>
  </sheetViews>
  <sheetFormatPr baseColWidth="10" defaultColWidth="11.44140625" defaultRowHeight="13.2" x14ac:dyDescent="0.25"/>
  <cols>
    <col min="1" max="1" width="10.33203125" style="11" bestFit="1" customWidth="1"/>
    <col min="2" max="2" width="38.10937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3" t="s">
        <v>39</v>
      </c>
      <c r="B1" s="13" t="s">
        <v>40</v>
      </c>
      <c r="C1" s="13" t="s">
        <v>41</v>
      </c>
      <c r="D1" s="14" t="s">
        <v>214</v>
      </c>
      <c r="E1" s="14" t="s">
        <v>215</v>
      </c>
      <c r="F1" s="14" t="s">
        <v>216</v>
      </c>
      <c r="G1" s="14" t="s">
        <v>217</v>
      </c>
      <c r="H1" s="14" t="s">
        <v>218</v>
      </c>
      <c r="I1" s="14" t="s">
        <v>219</v>
      </c>
      <c r="J1" s="13" t="s">
        <v>42</v>
      </c>
      <c r="K1" s="15" t="s">
        <v>63</v>
      </c>
      <c r="L1" s="8" t="s">
        <v>43</v>
      </c>
      <c r="M1" s="8" t="s">
        <v>44</v>
      </c>
      <c r="N1" s="8" t="s">
        <v>45</v>
      </c>
      <c r="O1" s="8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11"/>
    </row>
    <row r="2" spans="1:20" ht="14.4" x14ac:dyDescent="0.3">
      <c r="A2" s="16" t="s">
        <v>169</v>
      </c>
      <c r="B2" s="16" t="s">
        <v>220</v>
      </c>
      <c r="C2" s="16" t="s">
        <v>52</v>
      </c>
      <c r="D2" s="16"/>
      <c r="E2" s="16"/>
      <c r="F2" s="16"/>
      <c r="G2" s="16"/>
      <c r="H2" s="16">
        <v>1</v>
      </c>
      <c r="I2" s="16"/>
      <c r="J2" s="16">
        <v>1</v>
      </c>
      <c r="K2" s="16" t="s">
        <v>34</v>
      </c>
      <c r="L2" s="17">
        <v>0</v>
      </c>
      <c r="M2" s="17">
        <v>0</v>
      </c>
      <c r="N2" s="17" t="s">
        <v>23</v>
      </c>
      <c r="O2" s="17" t="s">
        <v>23</v>
      </c>
      <c r="P2" s="17">
        <v>100</v>
      </c>
      <c r="Q2" s="17">
        <v>0</v>
      </c>
      <c r="R2" s="17">
        <v>0</v>
      </c>
      <c r="S2" s="17">
        <v>1</v>
      </c>
    </row>
    <row r="3" spans="1:20" ht="14.4" x14ac:dyDescent="0.3">
      <c r="A3" s="16" t="s">
        <v>221</v>
      </c>
      <c r="B3" s="16" t="s">
        <v>222</v>
      </c>
      <c r="C3" s="34" t="s">
        <v>52</v>
      </c>
      <c r="D3" s="16"/>
      <c r="E3" s="16"/>
      <c r="F3" s="16"/>
      <c r="G3" s="16"/>
      <c r="H3" s="16"/>
      <c r="I3" s="16">
        <v>1</v>
      </c>
      <c r="J3" s="16">
        <v>1</v>
      </c>
      <c r="K3" s="16" t="s">
        <v>34</v>
      </c>
      <c r="L3" s="17">
        <v>0</v>
      </c>
      <c r="M3" s="17">
        <v>0</v>
      </c>
      <c r="N3" s="17" t="s">
        <v>23</v>
      </c>
      <c r="O3" s="17" t="s">
        <v>23</v>
      </c>
      <c r="P3" s="17">
        <v>100</v>
      </c>
      <c r="Q3" s="17">
        <v>0</v>
      </c>
      <c r="R3" s="17">
        <v>0</v>
      </c>
      <c r="S3" s="17">
        <v>1</v>
      </c>
    </row>
    <row r="4" spans="1:20" ht="14.4" x14ac:dyDescent="0.3">
      <c r="A4" s="16" t="s">
        <v>53</v>
      </c>
      <c r="B4" s="16" t="s">
        <v>223</v>
      </c>
      <c r="C4" s="16" t="s">
        <v>52</v>
      </c>
      <c r="D4" s="16"/>
      <c r="E4" s="16"/>
      <c r="F4" s="16"/>
      <c r="G4" s="16"/>
      <c r="H4" s="16"/>
      <c r="I4" s="16">
        <v>1</v>
      </c>
      <c r="J4" s="16">
        <v>1</v>
      </c>
      <c r="K4" s="16" t="s">
        <v>34</v>
      </c>
      <c r="L4" s="17" t="s">
        <v>130</v>
      </c>
      <c r="M4" s="17" t="s">
        <v>168</v>
      </c>
      <c r="N4" s="17" t="s">
        <v>23</v>
      </c>
      <c r="O4" s="17" t="s">
        <v>23</v>
      </c>
      <c r="P4" s="17">
        <v>80</v>
      </c>
      <c r="Q4" s="17">
        <v>0.2</v>
      </c>
      <c r="R4" s="17">
        <v>0</v>
      </c>
      <c r="S4" s="17">
        <v>0.8</v>
      </c>
    </row>
    <row r="5" spans="1:20" ht="14.4" x14ac:dyDescent="0.3">
      <c r="A5" s="16" t="s">
        <v>224</v>
      </c>
      <c r="B5" s="16" t="s">
        <v>175</v>
      </c>
      <c r="C5" s="16" t="s">
        <v>52</v>
      </c>
      <c r="D5" s="16"/>
      <c r="E5" s="16"/>
      <c r="F5" s="16"/>
      <c r="G5" s="16"/>
      <c r="H5" s="16"/>
      <c r="I5" s="16">
        <v>1</v>
      </c>
      <c r="J5" s="16">
        <v>1</v>
      </c>
      <c r="K5" s="16" t="s">
        <v>34</v>
      </c>
      <c r="L5" s="17">
        <v>0</v>
      </c>
      <c r="M5" s="17">
        <v>0</v>
      </c>
      <c r="N5" s="17" t="s">
        <v>23</v>
      </c>
      <c r="O5" s="17" t="s">
        <v>23</v>
      </c>
      <c r="P5" s="17">
        <v>100</v>
      </c>
      <c r="Q5" s="17">
        <v>0</v>
      </c>
      <c r="R5" s="17">
        <v>0</v>
      </c>
      <c r="S5" s="17">
        <v>1</v>
      </c>
    </row>
    <row r="6" spans="1:20" ht="14.4" x14ac:dyDescent="0.3">
      <c r="A6" s="16" t="s">
        <v>54</v>
      </c>
      <c r="B6" s="16" t="s">
        <v>225</v>
      </c>
      <c r="C6" s="16" t="s">
        <v>51</v>
      </c>
      <c r="D6" s="16">
        <v>2</v>
      </c>
      <c r="E6" s="16"/>
      <c r="F6" s="16"/>
      <c r="G6" s="16"/>
      <c r="H6" s="16"/>
      <c r="I6" s="16"/>
      <c r="J6" s="16">
        <v>2</v>
      </c>
      <c r="K6" s="16" t="s">
        <v>34</v>
      </c>
      <c r="L6" s="17">
        <v>0</v>
      </c>
      <c r="M6" s="17">
        <v>0</v>
      </c>
      <c r="N6" s="17" t="s">
        <v>23</v>
      </c>
      <c r="O6" s="17" t="s">
        <v>23</v>
      </c>
      <c r="P6" s="17">
        <v>100</v>
      </c>
      <c r="Q6" s="17">
        <v>0</v>
      </c>
      <c r="R6" s="17">
        <v>0</v>
      </c>
      <c r="S6" s="17">
        <v>2</v>
      </c>
    </row>
    <row r="7" spans="1:20" ht="14.4" x14ac:dyDescent="0.3">
      <c r="A7" s="16" t="s">
        <v>170</v>
      </c>
      <c r="B7" s="16" t="s">
        <v>226</v>
      </c>
      <c r="C7" s="16" t="s">
        <v>52</v>
      </c>
      <c r="D7" s="16"/>
      <c r="E7" s="16"/>
      <c r="F7" s="16"/>
      <c r="G7" s="16"/>
      <c r="H7" s="16"/>
      <c r="I7" s="16">
        <v>1</v>
      </c>
      <c r="J7" s="16">
        <v>1</v>
      </c>
      <c r="K7" s="16" t="s">
        <v>34</v>
      </c>
      <c r="L7" s="17">
        <v>0</v>
      </c>
      <c r="M7" s="17">
        <v>0</v>
      </c>
      <c r="N7" s="17" t="s">
        <v>23</v>
      </c>
      <c r="O7" s="17" t="s">
        <v>23</v>
      </c>
      <c r="P7" s="17">
        <v>100</v>
      </c>
      <c r="Q7" s="17">
        <v>0</v>
      </c>
      <c r="R7" s="17">
        <v>0</v>
      </c>
      <c r="S7" s="17">
        <v>1</v>
      </c>
    </row>
    <row r="8" spans="1:20" ht="14.4" x14ac:dyDescent="0.3">
      <c r="A8" s="16" t="s">
        <v>56</v>
      </c>
      <c r="B8" s="16" t="s">
        <v>227</v>
      </c>
      <c r="C8" s="16" t="s">
        <v>51</v>
      </c>
      <c r="D8" s="16"/>
      <c r="E8" s="16"/>
      <c r="F8" s="16"/>
      <c r="G8" s="16">
        <v>1</v>
      </c>
      <c r="H8" s="16"/>
      <c r="I8" s="16"/>
      <c r="J8" s="16">
        <v>1</v>
      </c>
      <c r="K8" s="16" t="s">
        <v>34</v>
      </c>
      <c r="L8" s="17">
        <v>0</v>
      </c>
      <c r="M8" s="17">
        <v>0</v>
      </c>
      <c r="N8" s="17" t="s">
        <v>23</v>
      </c>
      <c r="O8" s="17" t="s">
        <v>23</v>
      </c>
      <c r="P8" s="17">
        <v>100</v>
      </c>
      <c r="Q8" s="17">
        <v>0</v>
      </c>
      <c r="R8" s="17">
        <v>0</v>
      </c>
      <c r="S8" s="17">
        <v>1</v>
      </c>
    </row>
    <row r="9" spans="1:20" ht="14.4" x14ac:dyDescent="0.3">
      <c r="A9" s="16" t="s">
        <v>117</v>
      </c>
      <c r="B9" s="16" t="s">
        <v>228</v>
      </c>
      <c r="C9" s="16" t="s">
        <v>51</v>
      </c>
      <c r="D9" s="16"/>
      <c r="E9" s="16"/>
      <c r="F9" s="16"/>
      <c r="G9" s="16"/>
      <c r="H9" s="16">
        <v>1</v>
      </c>
      <c r="I9" s="16"/>
      <c r="J9" s="16">
        <v>1</v>
      </c>
      <c r="K9" s="16" t="s">
        <v>34</v>
      </c>
      <c r="L9" s="17">
        <v>0</v>
      </c>
      <c r="M9" s="17">
        <v>0</v>
      </c>
      <c r="N9" s="17" t="s">
        <v>23</v>
      </c>
      <c r="O9" s="17" t="s">
        <v>23</v>
      </c>
      <c r="P9" s="17">
        <v>100</v>
      </c>
      <c r="Q9" s="17">
        <v>0</v>
      </c>
      <c r="R9" s="17">
        <v>0</v>
      </c>
      <c r="S9" s="17">
        <v>1</v>
      </c>
    </row>
    <row r="10" spans="1:20" ht="14.4" x14ac:dyDescent="0.3">
      <c r="A10" s="16" t="s">
        <v>229</v>
      </c>
      <c r="B10" s="16" t="s">
        <v>230</v>
      </c>
      <c r="C10" s="16" t="s">
        <v>51</v>
      </c>
      <c r="D10" s="16"/>
      <c r="E10" s="16"/>
      <c r="F10" s="16"/>
      <c r="G10" s="16"/>
      <c r="H10" s="16"/>
      <c r="I10" s="16">
        <v>2</v>
      </c>
      <c r="J10" s="16">
        <v>2</v>
      </c>
      <c r="K10" s="16" t="s">
        <v>34</v>
      </c>
      <c r="L10" s="17">
        <v>0</v>
      </c>
      <c r="M10" s="17">
        <v>0</v>
      </c>
      <c r="N10" s="17" t="s">
        <v>23</v>
      </c>
      <c r="O10" s="17" t="s">
        <v>23</v>
      </c>
      <c r="P10" s="17">
        <v>100</v>
      </c>
      <c r="Q10" s="17">
        <v>0</v>
      </c>
      <c r="R10" s="17">
        <v>0</v>
      </c>
      <c r="S10" s="17">
        <v>2</v>
      </c>
    </row>
    <row r="11" spans="1:20" ht="14.4" x14ac:dyDescent="0.3">
      <c r="A11" s="16" t="s">
        <v>131</v>
      </c>
      <c r="B11" s="16" t="s">
        <v>231</v>
      </c>
      <c r="C11" s="16" t="s">
        <v>52</v>
      </c>
      <c r="D11" s="16"/>
      <c r="E11" s="16"/>
      <c r="F11" s="16"/>
      <c r="G11" s="16">
        <v>1</v>
      </c>
      <c r="H11" s="16"/>
      <c r="I11" s="16"/>
      <c r="J11" s="16">
        <v>1</v>
      </c>
      <c r="K11" s="16" t="s">
        <v>34</v>
      </c>
      <c r="L11" s="17">
        <v>0</v>
      </c>
      <c r="M11" s="17">
        <v>0</v>
      </c>
      <c r="N11" s="17" t="s">
        <v>23</v>
      </c>
      <c r="O11" s="17" t="s">
        <v>23</v>
      </c>
      <c r="P11" s="17">
        <v>100</v>
      </c>
      <c r="Q11" s="17">
        <v>0</v>
      </c>
      <c r="R11" s="17">
        <v>0</v>
      </c>
      <c r="S11" s="17">
        <v>1</v>
      </c>
    </row>
    <row r="12" spans="1:20" ht="14.4" x14ac:dyDescent="0.3">
      <c r="A12" s="16" t="s">
        <v>62</v>
      </c>
      <c r="B12" s="16" t="s">
        <v>232</v>
      </c>
      <c r="C12" s="16" t="s">
        <v>52</v>
      </c>
      <c r="D12" s="16">
        <v>1</v>
      </c>
      <c r="E12" s="16"/>
      <c r="F12" s="16"/>
      <c r="G12" s="16"/>
      <c r="H12" s="16"/>
      <c r="I12" s="16"/>
      <c r="J12" s="16">
        <v>1</v>
      </c>
      <c r="K12" s="16" t="s">
        <v>34</v>
      </c>
      <c r="L12" s="17">
        <v>0</v>
      </c>
      <c r="M12" s="17">
        <v>0</v>
      </c>
      <c r="N12" s="17" t="s">
        <v>23</v>
      </c>
      <c r="O12" s="17" t="s">
        <v>23</v>
      </c>
      <c r="P12" s="17">
        <v>100</v>
      </c>
      <c r="Q12" s="17">
        <v>0</v>
      </c>
      <c r="R12" s="17">
        <v>0</v>
      </c>
      <c r="S12" s="17">
        <v>1</v>
      </c>
    </row>
    <row r="13" spans="1:20" ht="14.4" x14ac:dyDescent="0.3">
      <c r="A13" s="16" t="s">
        <v>118</v>
      </c>
      <c r="B13" s="16" t="s">
        <v>233</v>
      </c>
      <c r="C13" s="16" t="s">
        <v>51</v>
      </c>
      <c r="D13" s="16"/>
      <c r="E13" s="16"/>
      <c r="F13" s="16"/>
      <c r="G13" s="16"/>
      <c r="H13" s="16"/>
      <c r="I13" s="16">
        <v>2</v>
      </c>
      <c r="J13" s="16">
        <v>2</v>
      </c>
      <c r="K13" s="16" t="s">
        <v>34</v>
      </c>
      <c r="L13" s="17">
        <v>0</v>
      </c>
      <c r="M13" s="17">
        <v>0</v>
      </c>
      <c r="N13" s="17" t="s">
        <v>23</v>
      </c>
      <c r="O13" s="17" t="s">
        <v>23</v>
      </c>
      <c r="P13" s="17">
        <v>100</v>
      </c>
      <c r="Q13" s="17">
        <v>0</v>
      </c>
      <c r="R13" s="17">
        <v>0</v>
      </c>
      <c r="S13" s="17">
        <v>2</v>
      </c>
    </row>
    <row r="14" spans="1:20" ht="14.4" x14ac:dyDescent="0.3">
      <c r="A14" s="16" t="s">
        <v>57</v>
      </c>
      <c r="B14" s="16" t="s">
        <v>234</v>
      </c>
      <c r="C14" s="16" t="s">
        <v>51</v>
      </c>
      <c r="D14" s="16"/>
      <c r="E14" s="16"/>
      <c r="F14" s="16"/>
      <c r="G14" s="16"/>
      <c r="H14" s="16"/>
      <c r="I14" s="16">
        <v>3</v>
      </c>
      <c r="J14" s="16">
        <v>3</v>
      </c>
      <c r="K14" s="16" t="s">
        <v>34</v>
      </c>
      <c r="L14" s="17">
        <v>0</v>
      </c>
      <c r="M14" s="17">
        <v>0</v>
      </c>
      <c r="N14" s="17" t="s">
        <v>23</v>
      </c>
      <c r="O14" s="17" t="s">
        <v>23</v>
      </c>
      <c r="P14" s="17">
        <v>100</v>
      </c>
      <c r="Q14" s="17">
        <v>0</v>
      </c>
      <c r="R14" s="17">
        <v>0</v>
      </c>
      <c r="S14" s="17">
        <v>3</v>
      </c>
    </row>
    <row r="15" spans="1:20" ht="14.4" x14ac:dyDescent="0.3">
      <c r="A15" s="16" t="s">
        <v>119</v>
      </c>
      <c r="B15" s="16" t="s">
        <v>235</v>
      </c>
      <c r="C15" s="16" t="s">
        <v>52</v>
      </c>
      <c r="D15" s="16"/>
      <c r="E15" s="16"/>
      <c r="F15" s="16"/>
      <c r="G15" s="16"/>
      <c r="H15" s="16">
        <v>1</v>
      </c>
      <c r="I15" s="16"/>
      <c r="J15" s="16">
        <v>1</v>
      </c>
      <c r="K15" s="16" t="s">
        <v>34</v>
      </c>
      <c r="L15" s="17">
        <v>0</v>
      </c>
      <c r="M15" s="17">
        <v>0</v>
      </c>
      <c r="N15" s="17" t="s">
        <v>23</v>
      </c>
      <c r="O15" s="17" t="s">
        <v>23</v>
      </c>
      <c r="P15" s="17">
        <v>100</v>
      </c>
      <c r="Q15" s="17">
        <v>0</v>
      </c>
      <c r="R15" s="17">
        <v>0</v>
      </c>
      <c r="S15" s="17">
        <v>1</v>
      </c>
    </row>
    <row r="16" spans="1:20" ht="14.4" x14ac:dyDescent="0.3">
      <c r="A16" s="16" t="s">
        <v>171</v>
      </c>
      <c r="B16" s="16" t="s">
        <v>236</v>
      </c>
      <c r="C16" s="16" t="s">
        <v>52</v>
      </c>
      <c r="D16" s="16"/>
      <c r="E16" s="16"/>
      <c r="F16" s="16"/>
      <c r="G16" s="16"/>
      <c r="H16" s="16">
        <v>1</v>
      </c>
      <c r="I16" s="16"/>
      <c r="J16" s="16">
        <v>1</v>
      </c>
      <c r="K16" s="16" t="s">
        <v>34</v>
      </c>
      <c r="L16" s="17">
        <v>0</v>
      </c>
      <c r="M16" s="17">
        <v>0</v>
      </c>
      <c r="N16" s="17" t="s">
        <v>23</v>
      </c>
      <c r="O16" s="17" t="s">
        <v>23</v>
      </c>
      <c r="P16" s="17">
        <v>100</v>
      </c>
      <c r="Q16" s="17">
        <v>0</v>
      </c>
      <c r="R16" s="17">
        <v>0</v>
      </c>
      <c r="S16" s="17">
        <v>1</v>
      </c>
    </row>
    <row r="17" spans="1:19" ht="14.4" x14ac:dyDescent="0.3">
      <c r="A17" s="16" t="s">
        <v>172</v>
      </c>
      <c r="B17" s="16" t="s">
        <v>237</v>
      </c>
      <c r="C17" s="34" t="s">
        <v>52</v>
      </c>
      <c r="D17" s="16"/>
      <c r="E17" s="16"/>
      <c r="F17" s="16"/>
      <c r="G17" s="16"/>
      <c r="H17" s="16">
        <v>1</v>
      </c>
      <c r="I17" s="16"/>
      <c r="J17" s="16">
        <v>1</v>
      </c>
      <c r="K17" s="16" t="s">
        <v>34</v>
      </c>
      <c r="L17" s="17">
        <v>0</v>
      </c>
      <c r="M17" s="17">
        <v>0</v>
      </c>
      <c r="N17" s="17"/>
      <c r="O17" s="17"/>
      <c r="P17" s="17">
        <v>100</v>
      </c>
      <c r="Q17" s="17">
        <v>0</v>
      </c>
      <c r="R17" s="17">
        <v>0</v>
      </c>
      <c r="S17" s="17">
        <v>1</v>
      </c>
    </row>
    <row r="18" spans="1:19" ht="14.4" x14ac:dyDescent="0.3">
      <c r="A18" s="42" t="s">
        <v>61</v>
      </c>
      <c r="B18" s="42" t="s">
        <v>238</v>
      </c>
      <c r="C18" s="43" t="s">
        <v>51</v>
      </c>
      <c r="D18" s="42">
        <v>1</v>
      </c>
      <c r="E18" s="42"/>
      <c r="F18" s="42"/>
      <c r="G18" s="42"/>
      <c r="H18" s="42"/>
      <c r="I18" s="42">
        <v>1</v>
      </c>
      <c r="J18" s="42">
        <v>2</v>
      </c>
      <c r="K18" s="16" t="s">
        <v>34</v>
      </c>
      <c r="L18" s="44">
        <v>0</v>
      </c>
      <c r="M18" s="44">
        <v>0</v>
      </c>
      <c r="N18" s="44" t="s">
        <v>23</v>
      </c>
      <c r="O18" s="44" t="s">
        <v>23</v>
      </c>
      <c r="P18" s="44">
        <v>100</v>
      </c>
      <c r="Q18" s="44">
        <v>0</v>
      </c>
      <c r="R18" s="44">
        <v>0</v>
      </c>
      <c r="S18" s="44">
        <v>2</v>
      </c>
    </row>
    <row r="19" spans="1:19" ht="14.4" x14ac:dyDescent="0.3">
      <c r="A19" s="42" t="s">
        <v>120</v>
      </c>
      <c r="B19" s="42" t="s">
        <v>239</v>
      </c>
      <c r="C19" s="43" t="s">
        <v>51</v>
      </c>
      <c r="D19" s="42"/>
      <c r="E19" s="42"/>
      <c r="F19" s="42"/>
      <c r="G19" s="42"/>
      <c r="H19" s="42"/>
      <c r="I19" s="42">
        <v>1</v>
      </c>
      <c r="J19" s="42">
        <v>1</v>
      </c>
      <c r="K19" s="16" t="s">
        <v>34</v>
      </c>
      <c r="L19" s="44">
        <v>0</v>
      </c>
      <c r="M19" s="44">
        <v>0</v>
      </c>
      <c r="N19" s="44" t="s">
        <v>23</v>
      </c>
      <c r="O19" s="44" t="s">
        <v>23</v>
      </c>
      <c r="P19" s="44">
        <v>100</v>
      </c>
      <c r="Q19" s="44">
        <v>0</v>
      </c>
      <c r="R19" s="44">
        <v>0</v>
      </c>
      <c r="S19" s="44">
        <v>1</v>
      </c>
    </row>
    <row r="20" spans="1:19" ht="14.4" x14ac:dyDescent="0.3">
      <c r="A20" s="42" t="s">
        <v>55</v>
      </c>
      <c r="B20" s="42" t="s">
        <v>240</v>
      </c>
      <c r="C20" s="43" t="s">
        <v>51</v>
      </c>
      <c r="D20" s="42"/>
      <c r="E20" s="42">
        <v>1</v>
      </c>
      <c r="F20" s="42"/>
      <c r="G20" s="42"/>
      <c r="H20" s="42"/>
      <c r="I20" s="42"/>
      <c r="J20" s="42">
        <v>1</v>
      </c>
      <c r="K20" s="16" t="s">
        <v>34</v>
      </c>
      <c r="L20" s="44">
        <v>0</v>
      </c>
      <c r="M20" s="44">
        <v>0</v>
      </c>
      <c r="N20" s="44" t="s">
        <v>23</v>
      </c>
      <c r="O20" s="44" t="s">
        <v>23</v>
      </c>
      <c r="P20" s="44">
        <v>100</v>
      </c>
      <c r="Q20" s="44">
        <v>0</v>
      </c>
      <c r="R20" s="44">
        <v>0</v>
      </c>
      <c r="S20" s="44">
        <v>1</v>
      </c>
    </row>
    <row r="21" spans="1:19" ht="14.4" x14ac:dyDescent="0.3">
      <c r="A21" s="42" t="s">
        <v>173</v>
      </c>
      <c r="B21" s="42" t="s">
        <v>241</v>
      </c>
      <c r="C21" s="43" t="s">
        <v>52</v>
      </c>
      <c r="D21" s="42"/>
      <c r="E21" s="42"/>
      <c r="F21" s="42"/>
      <c r="G21" s="42"/>
      <c r="H21" s="42">
        <v>1</v>
      </c>
      <c r="I21" s="42"/>
      <c r="J21" s="42">
        <v>1</v>
      </c>
      <c r="K21" s="16" t="s">
        <v>34</v>
      </c>
      <c r="L21" s="44">
        <v>0</v>
      </c>
      <c r="M21" s="44">
        <v>0</v>
      </c>
      <c r="N21" s="44" t="s">
        <v>23</v>
      </c>
      <c r="O21" s="44" t="s">
        <v>23</v>
      </c>
      <c r="P21" s="44">
        <v>100</v>
      </c>
      <c r="Q21" s="44">
        <v>0</v>
      </c>
      <c r="R21" s="44">
        <v>0</v>
      </c>
      <c r="S21" s="44">
        <v>1</v>
      </c>
    </row>
    <row r="22" spans="1:19" ht="14.4" x14ac:dyDescent="0.3">
      <c r="A22" s="42" t="s">
        <v>174</v>
      </c>
      <c r="B22" s="42" t="s">
        <v>242</v>
      </c>
      <c r="C22" s="43" t="s">
        <v>52</v>
      </c>
      <c r="D22" s="42"/>
      <c r="E22" s="42"/>
      <c r="F22" s="42"/>
      <c r="G22" s="42"/>
      <c r="H22" s="42">
        <v>1</v>
      </c>
      <c r="I22" s="42"/>
      <c r="J22" s="42">
        <v>1</v>
      </c>
      <c r="K22" s="16" t="s">
        <v>34</v>
      </c>
      <c r="L22" s="44">
        <v>0</v>
      </c>
      <c r="M22" s="44">
        <v>0</v>
      </c>
      <c r="N22" s="44" t="s">
        <v>23</v>
      </c>
      <c r="O22" s="44" t="s">
        <v>23</v>
      </c>
      <c r="P22" s="44">
        <v>100</v>
      </c>
      <c r="Q22" s="44">
        <v>0</v>
      </c>
      <c r="R22" s="44">
        <v>0</v>
      </c>
      <c r="S22" s="44">
        <v>1</v>
      </c>
    </row>
    <row r="23" spans="1:19" ht="14.4" x14ac:dyDescent="0.3">
      <c r="A23" s="45"/>
      <c r="B23" s="45"/>
      <c r="C23" s="46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7">
        <f>SUM(S2:S22)</f>
        <v>26.8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464-5A91-4432-BF62-347614B17198}">
  <dimension ref="A1:C16"/>
  <sheetViews>
    <sheetView workbookViewId="0">
      <selection activeCell="B30" sqref="B30"/>
    </sheetView>
  </sheetViews>
  <sheetFormatPr baseColWidth="10" defaultRowHeight="14.4" x14ac:dyDescent="0.3"/>
  <cols>
    <col min="1" max="1" width="17" customWidth="1"/>
    <col min="2" max="2" width="90.6640625" customWidth="1"/>
    <col min="3" max="3" width="16" customWidth="1"/>
  </cols>
  <sheetData>
    <row r="1" spans="1:3" x14ac:dyDescent="0.3">
      <c r="A1" s="49" t="s">
        <v>94</v>
      </c>
      <c r="B1" s="49" t="s">
        <v>95</v>
      </c>
      <c r="C1" s="49" t="s">
        <v>121</v>
      </c>
    </row>
    <row r="2" spans="1:3" x14ac:dyDescent="0.3">
      <c r="A2" s="35" t="s">
        <v>96</v>
      </c>
      <c r="B2" s="35" t="s">
        <v>134</v>
      </c>
      <c r="C2" s="36">
        <v>-50</v>
      </c>
    </row>
    <row r="3" spans="1:3" x14ac:dyDescent="0.3">
      <c r="A3" s="37" t="s">
        <v>96</v>
      </c>
      <c r="B3" s="37" t="s">
        <v>136</v>
      </c>
      <c r="C3" s="38">
        <v>245</v>
      </c>
    </row>
    <row r="4" spans="1:3" x14ac:dyDescent="0.3">
      <c r="A4" s="35" t="s">
        <v>96</v>
      </c>
      <c r="B4" s="35" t="s">
        <v>136</v>
      </c>
      <c r="C4" s="36">
        <v>210</v>
      </c>
    </row>
    <row r="5" spans="1:3" x14ac:dyDescent="0.3">
      <c r="A5" s="37" t="s">
        <v>96</v>
      </c>
      <c r="B5" s="37" t="s">
        <v>137</v>
      </c>
      <c r="C5" s="38">
        <v>-50</v>
      </c>
    </row>
    <row r="6" spans="1:3" x14ac:dyDescent="0.3">
      <c r="A6" s="35" t="s">
        <v>96</v>
      </c>
      <c r="B6" s="35" t="s">
        <v>138</v>
      </c>
      <c r="C6" s="36">
        <v>220</v>
      </c>
    </row>
    <row r="7" spans="1:3" x14ac:dyDescent="0.3">
      <c r="A7" s="37" t="s">
        <v>96</v>
      </c>
      <c r="B7" s="37" t="s">
        <v>139</v>
      </c>
      <c r="C7" s="38">
        <v>-260</v>
      </c>
    </row>
    <row r="8" spans="1:3" x14ac:dyDescent="0.3">
      <c r="A8" s="35" t="s">
        <v>96</v>
      </c>
      <c r="B8" s="35" t="s">
        <v>140</v>
      </c>
      <c r="C8" s="36">
        <v>-105</v>
      </c>
    </row>
    <row r="9" spans="1:3" x14ac:dyDescent="0.3">
      <c r="A9" s="37" t="s">
        <v>96</v>
      </c>
      <c r="B9" s="37" t="s">
        <v>141</v>
      </c>
      <c r="C9" s="38">
        <v>-85800</v>
      </c>
    </row>
    <row r="10" spans="1:3" x14ac:dyDescent="0.3">
      <c r="A10" s="35" t="s">
        <v>97</v>
      </c>
      <c r="B10" s="35" t="s">
        <v>142</v>
      </c>
      <c r="C10" s="36">
        <v>21247.16</v>
      </c>
    </row>
    <row r="11" spans="1:3" x14ac:dyDescent="0.3">
      <c r="A11" s="37" t="s">
        <v>122</v>
      </c>
      <c r="B11" s="37" t="s">
        <v>143</v>
      </c>
      <c r="C11" s="38">
        <v>-24205.17</v>
      </c>
    </row>
    <row r="12" spans="1:3" x14ac:dyDescent="0.3">
      <c r="A12" s="35" t="s">
        <v>122</v>
      </c>
      <c r="B12" s="35" t="s">
        <v>144</v>
      </c>
      <c r="C12" s="36">
        <v>27660</v>
      </c>
    </row>
    <row r="13" spans="1:3" x14ac:dyDescent="0.3">
      <c r="A13" s="37" t="s">
        <v>123</v>
      </c>
      <c r="B13" s="37" t="s">
        <v>145</v>
      </c>
      <c r="C13" s="38">
        <v>-3290.16</v>
      </c>
    </row>
    <row r="14" spans="1:3" x14ac:dyDescent="0.3">
      <c r="A14" s="52" t="s">
        <v>93</v>
      </c>
      <c r="B14" s="52" t="s">
        <v>146</v>
      </c>
      <c r="C14" s="53">
        <v>33651.870000000003</v>
      </c>
    </row>
    <row r="15" spans="1:3" s="62" customFormat="1" x14ac:dyDescent="0.3">
      <c r="A15" s="60" t="s">
        <v>0</v>
      </c>
      <c r="B15" s="60"/>
      <c r="C15" s="61">
        <f>SUBTOTAL(109,Tabla2[Imp.cob.aplic.])</f>
        <v>-30526.299999999996</v>
      </c>
    </row>
    <row r="16" spans="1:3" x14ac:dyDescent="0.3">
      <c r="C16" s="3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63B0-8192-4BE4-B932-FD235503F1A3}">
  <dimension ref="A1:C22"/>
  <sheetViews>
    <sheetView workbookViewId="0">
      <selection activeCell="B25" sqref="B25:C25"/>
    </sheetView>
  </sheetViews>
  <sheetFormatPr baseColWidth="10" defaultRowHeight="14.4" x14ac:dyDescent="0.3"/>
  <cols>
    <col min="1" max="1" width="15" customWidth="1"/>
    <col min="2" max="2" width="72.109375" customWidth="1"/>
    <col min="3" max="3" width="18.109375" customWidth="1"/>
  </cols>
  <sheetData>
    <row r="1" spans="1:3" x14ac:dyDescent="0.3">
      <c r="A1" s="56" t="s">
        <v>179</v>
      </c>
      <c r="B1" s="56" t="s">
        <v>95</v>
      </c>
      <c r="C1" s="57" t="s">
        <v>180</v>
      </c>
    </row>
    <row r="2" spans="1:3" x14ac:dyDescent="0.3">
      <c r="A2" s="54" t="s">
        <v>96</v>
      </c>
      <c r="B2" s="54" t="s">
        <v>181</v>
      </c>
      <c r="C2" s="31">
        <v>-215.67</v>
      </c>
    </row>
    <row r="3" spans="1:3" x14ac:dyDescent="0.3">
      <c r="A3" s="55" t="s">
        <v>182</v>
      </c>
      <c r="B3" s="55" t="s">
        <v>183</v>
      </c>
      <c r="C3" s="32">
        <v>2970</v>
      </c>
    </row>
    <row r="4" spans="1:3" x14ac:dyDescent="0.3">
      <c r="A4" s="54" t="s">
        <v>182</v>
      </c>
      <c r="B4" s="54" t="s">
        <v>184</v>
      </c>
      <c r="C4" s="31">
        <v>100</v>
      </c>
    </row>
    <row r="5" spans="1:3" x14ac:dyDescent="0.3">
      <c r="A5" s="55" t="s">
        <v>182</v>
      </c>
      <c r="B5" s="55" t="s">
        <v>185</v>
      </c>
      <c r="C5" s="32">
        <v>100</v>
      </c>
    </row>
    <row r="6" spans="1:3" x14ac:dyDescent="0.3">
      <c r="A6" s="54" t="s">
        <v>182</v>
      </c>
      <c r="B6" s="54" t="s">
        <v>186</v>
      </c>
      <c r="C6" s="31">
        <v>100</v>
      </c>
    </row>
    <row r="7" spans="1:3" x14ac:dyDescent="0.3">
      <c r="A7" s="55" t="s">
        <v>182</v>
      </c>
      <c r="B7" s="55" t="s">
        <v>187</v>
      </c>
      <c r="C7" s="32">
        <v>150</v>
      </c>
    </row>
    <row r="8" spans="1:3" x14ac:dyDescent="0.3">
      <c r="A8" s="54" t="s">
        <v>182</v>
      </c>
      <c r="B8" s="54" t="s">
        <v>188</v>
      </c>
      <c r="C8" s="31">
        <v>150</v>
      </c>
    </row>
    <row r="9" spans="1:3" x14ac:dyDescent="0.3">
      <c r="A9" s="55" t="s">
        <v>182</v>
      </c>
      <c r="B9" s="55" t="s">
        <v>189</v>
      </c>
      <c r="C9" s="32">
        <v>120</v>
      </c>
    </row>
    <row r="10" spans="1:3" x14ac:dyDescent="0.3">
      <c r="A10" s="54" t="s">
        <v>182</v>
      </c>
      <c r="B10" s="54" t="s">
        <v>190</v>
      </c>
      <c r="C10" s="31">
        <v>100</v>
      </c>
    </row>
    <row r="11" spans="1:3" x14ac:dyDescent="0.3">
      <c r="A11" s="55" t="s">
        <v>182</v>
      </c>
      <c r="B11" s="55" t="s">
        <v>191</v>
      </c>
      <c r="C11" s="32">
        <v>150</v>
      </c>
    </row>
    <row r="12" spans="1:3" x14ac:dyDescent="0.3">
      <c r="A12" s="54" t="s">
        <v>182</v>
      </c>
      <c r="B12" s="54" t="s">
        <v>192</v>
      </c>
      <c r="C12" s="31">
        <v>150</v>
      </c>
    </row>
    <row r="13" spans="1:3" x14ac:dyDescent="0.3">
      <c r="A13" s="55" t="s">
        <v>182</v>
      </c>
      <c r="B13" s="55" t="s">
        <v>193</v>
      </c>
      <c r="C13" s="32">
        <v>150</v>
      </c>
    </row>
    <row r="14" spans="1:3" x14ac:dyDescent="0.3">
      <c r="A14" s="54" t="s">
        <v>182</v>
      </c>
      <c r="B14" s="54" t="s">
        <v>194</v>
      </c>
      <c r="C14" s="31">
        <v>200</v>
      </c>
    </row>
    <row r="15" spans="1:3" x14ac:dyDescent="0.3">
      <c r="A15" s="55" t="s">
        <v>182</v>
      </c>
      <c r="B15" s="55" t="s">
        <v>195</v>
      </c>
      <c r="C15" s="32">
        <v>300</v>
      </c>
    </row>
    <row r="16" spans="1:3" x14ac:dyDescent="0.3">
      <c r="A16" s="54" t="s">
        <v>97</v>
      </c>
      <c r="B16" s="54" t="s">
        <v>196</v>
      </c>
      <c r="C16" s="31">
        <v>-12597.72</v>
      </c>
    </row>
    <row r="17" spans="1:3" x14ac:dyDescent="0.3">
      <c r="A17" s="55" t="s">
        <v>122</v>
      </c>
      <c r="B17" s="55" t="s">
        <v>197</v>
      </c>
      <c r="C17" s="32">
        <v>28610</v>
      </c>
    </row>
    <row r="18" spans="1:3" x14ac:dyDescent="0.3">
      <c r="A18" s="54" t="s">
        <v>122</v>
      </c>
      <c r="B18" s="54" t="s">
        <v>198</v>
      </c>
      <c r="C18" s="31">
        <v>-7442.75</v>
      </c>
    </row>
    <row r="19" spans="1:3" x14ac:dyDescent="0.3">
      <c r="A19" s="55" t="s">
        <v>199</v>
      </c>
      <c r="B19" s="55" t="s">
        <v>200</v>
      </c>
      <c r="C19" s="32">
        <v>9890</v>
      </c>
    </row>
    <row r="20" spans="1:3" x14ac:dyDescent="0.3">
      <c r="A20" s="54" t="s">
        <v>201</v>
      </c>
      <c r="B20" s="54" t="s">
        <v>202</v>
      </c>
      <c r="C20" s="31">
        <v>47820</v>
      </c>
    </row>
    <row r="21" spans="1:3" x14ac:dyDescent="0.3">
      <c r="A21" s="58" t="s">
        <v>201</v>
      </c>
      <c r="B21" s="58" t="s">
        <v>203</v>
      </c>
      <c r="C21" s="50">
        <v>8575.7199999999993</v>
      </c>
    </row>
    <row r="22" spans="1:3" x14ac:dyDescent="0.3">
      <c r="A22" s="59" t="s">
        <v>0</v>
      </c>
      <c r="B22" s="59"/>
      <c r="C22" s="51">
        <f>SUBTOTAL(109,Tabla3[Imp. aplic.])</f>
        <v>79379.58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336E-52EF-4B49-B943-5F6FC137D1C5}">
  <dimension ref="A1:C11"/>
  <sheetViews>
    <sheetView tabSelected="1" workbookViewId="0">
      <selection activeCell="D13" sqref="D13"/>
    </sheetView>
  </sheetViews>
  <sheetFormatPr baseColWidth="10" defaultRowHeight="14.4" x14ac:dyDescent="0.3"/>
  <cols>
    <col min="1" max="1" width="18.21875" customWidth="1"/>
    <col min="2" max="2" width="63.109375" customWidth="1"/>
    <col min="3" max="3" width="14.5546875" customWidth="1"/>
  </cols>
  <sheetData>
    <row r="1" spans="1:3" x14ac:dyDescent="0.3">
      <c r="A1" s="65" t="s">
        <v>179</v>
      </c>
      <c r="B1" s="66" t="s">
        <v>95</v>
      </c>
      <c r="C1" s="66" t="s">
        <v>180</v>
      </c>
    </row>
    <row r="2" spans="1:3" x14ac:dyDescent="0.3">
      <c r="A2" s="67" t="s">
        <v>243</v>
      </c>
      <c r="B2" s="68" t="s">
        <v>244</v>
      </c>
      <c r="C2" s="69">
        <v>1980</v>
      </c>
    </row>
    <row r="3" spans="1:3" x14ac:dyDescent="0.3">
      <c r="A3" s="70" t="s">
        <v>122</v>
      </c>
      <c r="B3" s="71" t="s">
        <v>245</v>
      </c>
      <c r="C3" s="72">
        <v>-8106.38</v>
      </c>
    </row>
    <row r="4" spans="1:3" x14ac:dyDescent="0.3">
      <c r="A4" s="67" t="s">
        <v>199</v>
      </c>
      <c r="B4" s="68" t="s">
        <v>246</v>
      </c>
      <c r="C4" s="69">
        <v>9340</v>
      </c>
    </row>
    <row r="5" spans="1:3" x14ac:dyDescent="0.3">
      <c r="A5" s="70" t="s">
        <v>199</v>
      </c>
      <c r="B5" s="71" t="s">
        <v>247</v>
      </c>
      <c r="C5" s="72">
        <v>-5345.85</v>
      </c>
    </row>
    <row r="6" spans="1:3" x14ac:dyDescent="0.3">
      <c r="A6" s="67" t="s">
        <v>201</v>
      </c>
      <c r="B6" s="68" t="s">
        <v>248</v>
      </c>
      <c r="C6" s="69">
        <v>7077.36</v>
      </c>
    </row>
    <row r="7" spans="1:3" ht="15" thickBot="1" x14ac:dyDescent="0.35">
      <c r="A7" s="70" t="s">
        <v>249</v>
      </c>
      <c r="B7" s="71" t="s">
        <v>250</v>
      </c>
      <c r="C7" s="72">
        <v>2500</v>
      </c>
    </row>
    <row r="8" spans="1:3" ht="15" thickTop="1" x14ac:dyDescent="0.3">
      <c r="A8" s="73" t="s">
        <v>0</v>
      </c>
      <c r="B8" s="74"/>
      <c r="C8" s="75">
        <v>7445.1299999999992</v>
      </c>
    </row>
    <row r="11" spans="1:3" x14ac:dyDescent="0.3">
      <c r="B11" s="63" t="s">
        <v>251</v>
      </c>
      <c r="C11" s="64">
        <f>C8+Tabla2[[#Totals],[Imp.cob.aplic.]]+Tabla3[[#Totals],[Imp. aplic.]]</f>
        <v>56298.41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2026-05-22T10:43:57Z</dcterms:modified>
</cp:coreProperties>
</file>