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N:\_Unidad_Presupuestos\2_PRESUPUESTACIÓN\Presupuesto 2027\Datos\D-I\Indicadores provisionales\"/>
    </mc:Choice>
  </mc:AlternateContent>
  <xr:revisionPtr revIDLastSave="0" documentId="13_ncr:1_{3C74485E-7087-4DF9-859D-2E6671F46E75}" xr6:coauthVersionLast="47" xr6:coauthVersionMax="47" xr10:uidLastSave="{00000000-0000-0000-0000-000000000000}"/>
  <bookViews>
    <workbookView xWindow="-120" yWindow="-120" windowWidth="29040" windowHeight="15720" tabRatio="784" activeTab="7" xr2:uid="{00000000-000D-0000-FFFF-FFFF00000000}"/>
  </bookViews>
  <sheets>
    <sheet name="Tesis" sheetId="11" r:id="rId1"/>
    <sheet name="Sexenios" sheetId="12" r:id="rId2"/>
    <sheet name="Ingresos investigación 2023" sheetId="23" r:id="rId3"/>
    <sheet name="Ingresos investigación 2024" sheetId="25" r:id="rId4"/>
    <sheet name="Ingresos investigación 2025" sheetId="27" r:id="rId5"/>
    <sheet name="Ingresos formación 2023" sheetId="24" r:id="rId6"/>
    <sheet name="Ingresos formación 2024" sheetId="26" r:id="rId7"/>
    <sheet name="Ingresos formación 2025" sheetId="28" r:id="rId8"/>
  </sheets>
  <definedNames>
    <definedName name="_xlnm._FilterDatabase" localSheetId="1" hidden="1">Sexenios!#REF!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3" i="28" l="1"/>
  <c r="C9" i="28"/>
  <c r="C64" i="27"/>
  <c r="C9" i="26"/>
  <c r="C4" i="24"/>
  <c r="C60" i="25"/>
  <c r="C54" i="23"/>
  <c r="S23" i="12" l="1"/>
  <c r="S33" i="11" l="1"/>
</calcChain>
</file>

<file path=xl/sharedStrings.xml><?xml version="1.0" encoding="utf-8"?>
<sst xmlns="http://schemas.openxmlformats.org/spreadsheetml/2006/main" count="1031" uniqueCount="500">
  <si>
    <t>Total</t>
  </si>
  <si>
    <t>35.30.6C.00.04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</si>
  <si>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</si>
  <si>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</si>
  <si>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</si>
  <si>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</si>
  <si>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</si>
  <si>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</si>
  <si>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</si>
  <si>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</si>
  <si>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</si>
  <si>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</si>
  <si>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</si>
  <si>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</si>
  <si>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</si>
  <si>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</si>
  <si>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</si>
  <si>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</si>
  <si>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</si>
  <si>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</si>
  <si>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</si>
  <si>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</si>
  <si>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</si>
  <si>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B169 </t>
  </si>
  <si>
    <t>QUÍMICA ANALÍTICA, NUTRICIÓN Y BROMATOLOGÍA </t>
  </si>
  <si>
    <t>Codirector de tesis </t>
  </si>
  <si>
    <t>50</t>
  </si>
  <si>
    <t/>
  </si>
  <si>
    <t>U022 </t>
  </si>
  <si>
    <t>ADM. FACULTAD DE CIENCIAS </t>
  </si>
  <si>
    <t>DOCTORADO EN CIENCIAS EXPERIMENTALES Y BIOSANITARIAS </t>
  </si>
  <si>
    <t>Director de tesis </t>
  </si>
  <si>
    <t>10</t>
  </si>
  <si>
    <t>10.05</t>
  </si>
  <si>
    <t>20</t>
  </si>
  <si>
    <t>10.14</t>
  </si>
  <si>
    <t>U052 </t>
  </si>
  <si>
    <t>ADM. I.U. DE MATERIALES </t>
  </si>
  <si>
    <t>DOCTORADO EN CIENCIA DE MATERIALES </t>
  </si>
  <si>
    <t>U044 </t>
  </si>
  <si>
    <t>ADM. FACULTAD DE CIENCIAS DE LA SALUD </t>
  </si>
  <si>
    <t>DOCTORADO EN CIENCIAS DE LA SALUD </t>
  </si>
  <si>
    <t>33364292D </t>
  </si>
  <si>
    <t>B169</t>
  </si>
  <si>
    <t>21415868Q </t>
  </si>
  <si>
    <t>33482359V </t>
  </si>
  <si>
    <t>21469491A </t>
  </si>
  <si>
    <t>44766117K </t>
  </si>
  <si>
    <t>21649127D </t>
  </si>
  <si>
    <t>48348315S </t>
  </si>
  <si>
    <t>21989827X </t>
  </si>
  <si>
    <t>22006105G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</si>
  <si>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</si>
  <si>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</si>
  <si>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</si>
  <si>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</si>
  <si>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</si>
  <si>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</si>
  <si>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</si>
  <si>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</si>
  <si>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</si>
  <si>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</si>
  <si>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</si>
  <si>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</si>
  <si>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</si>
  <si>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</si>
  <si>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74222681W</t>
  </si>
  <si>
    <t>21415868Q</t>
  </si>
  <si>
    <t>33482359V</t>
  </si>
  <si>
    <t>22006105G</t>
  </si>
  <si>
    <t>48348315S</t>
  </si>
  <si>
    <t>33364292D</t>
  </si>
  <si>
    <t>21469491A</t>
  </si>
  <si>
    <t>52773246E</t>
  </si>
  <si>
    <t>21989827X</t>
  </si>
  <si>
    <t>41448684Q</t>
  </si>
  <si>
    <t>74003073K</t>
  </si>
  <si>
    <t>21649127D</t>
  </si>
  <si>
    <t>44766117K</t>
  </si>
  <si>
    <t>35.30.6C.00.89</t>
  </si>
  <si>
    <t>35.30.6X.00.04</t>
  </si>
  <si>
    <t>35.30.2T.00.03</t>
  </si>
  <si>
    <t>B164 </t>
  </si>
  <si>
    <t>FISIOLOGÍA, GENÉTICA Y MICROBIOLOGÍA </t>
  </si>
  <si>
    <t>DOCTORADO EN BIOLOGÍA EXPERIMENTAL Y APLICADA </t>
  </si>
  <si>
    <t>Alustiza Fernandez, Miren </t>
  </si>
  <si>
    <t>Búsqueda de biomarcadores para la detección de enfermedades gastrointestinales </t>
  </si>
  <si>
    <t>18/09/2020 </t>
  </si>
  <si>
    <t>Baile Pomares, Paola </t>
  </si>
  <si>
    <t>DESARROLLO DE NUEVAS METODOLOGÍAS ECOLÓGICAS APLICADAS AL ANÁLISIS CLÍNICO </t>
  </si>
  <si>
    <t>18/11/2019 </t>
  </si>
  <si>
    <t>48539721S</t>
  </si>
  <si>
    <t>48561318S</t>
  </si>
  <si>
    <t>48572463M</t>
  </si>
  <si>
    <t>Rubio Silva, Patricia </t>
  </si>
  <si>
    <t>Determinación del contenido elemental de "Hermetia illucens" y otros dípteros descomponedores, como fuentes de proteínas en alimentación animal </t>
  </si>
  <si>
    <t>30/11/2020 </t>
  </si>
  <si>
    <t>Ripoll Seguer, Laura </t>
  </si>
  <si>
    <t>Sensibilización de la técnica Espectroscopía de Plasmas Producidos por Laser para el análisis de muestras líquidas mediante el uso de procedimientos de preparación de la muestra eficientes y fácilmente automatizables </t>
  </si>
  <si>
    <t>28/10/2020 </t>
  </si>
  <si>
    <t>Mellinas Ciller, Ana Cristina </t>
  </si>
  <si>
    <t>¿Revalorización de residuos agro-industriales de cacao para su aplicación en el desarrollo de sistemas sostenibles y avanzados de envasado activo¿ </t>
  </si>
  <si>
    <t>24/02/2021 </t>
  </si>
  <si>
    <t>Lledó García, David </t>
  </si>
  <si>
    <t>APPLICATIONS OF IONIC LIQUIDS IN CATALYSIS AND METAL EXTRACTION </t>
  </si>
  <si>
    <t>19/02/2021 </t>
  </si>
  <si>
    <t>García Martínez, Miriam </t>
  </si>
  <si>
    <t>Diseño, construcción y evaluación de un nuevo nebulizador multiconducto como estrategia innovadora para mejorar los parámetros analíticos de calidad en los análisis de muestras de matriz compleja mediante técnicas basadas en plasma: (ICP OES e ICP-MS </t>
  </si>
  <si>
    <t>10/05/2021 </t>
  </si>
  <si>
    <t>48561318S </t>
  </si>
  <si>
    <t>35.30.6C.00.22</t>
  </si>
  <si>
    <t>Cód. org. aplic.</t>
  </si>
  <si>
    <t>Descripción justificante</t>
  </si>
  <si>
    <t>35.30.6P.00.36</t>
  </si>
  <si>
    <t>Martínez del Olmo, Santiago </t>
  </si>
  <si>
    <t>¿Development of new methodologies based on icp techniques for the elemental analysis of renewable fuel feedstock and light petroleum products¿ </t>
  </si>
  <si>
    <t>27/04/2022 </t>
  </si>
  <si>
    <t>74003073K </t>
  </si>
  <si>
    <t>Rubio Barber, Gemma Maria </t>
  </si>
  <si>
    <t>Estudio de la problemática y resolución en la cuantificación de ftalatos en el sector calzado </t>
  </si>
  <si>
    <t>10/06/2022 </t>
  </si>
  <si>
    <t>COD DEP</t>
  </si>
  <si>
    <t>74244305Y</t>
  </si>
  <si>
    <t>Imp.cob.aplic.</t>
  </si>
  <si>
    <t>35.30.6C.01.54</t>
  </si>
  <si>
    <t>35.30.6C.01.66</t>
  </si>
  <si>
    <t>35.30.6P.00.42</t>
  </si>
  <si>
    <t>35.30.6P.00.45</t>
  </si>
  <si>
    <t>35.30.6P.00.46</t>
  </si>
  <si>
    <t>Solaberrieta Gonnet, Ignacio </t>
  </si>
  <si>
    <t>Desarrollo de biomateriales con aplicación en envasado activo de alimentos a partir de residuos agro-industriales de Aloe barbadensis </t>
  </si>
  <si>
    <t>21/09/2023 </t>
  </si>
  <si>
    <t>Torregrosa Carretero, Daniel </t>
  </si>
  <si>
    <t>SINGLE PARTICLE INDUCTIVELY COUPLED PLASMA MASS SPECTROMETRY AS ANALYTICAL TOOL FOR NANOMATERIALS AND BIOMOLECULES DETERMINATION: FUNDAMENTAL STUDIES </t>
  </si>
  <si>
    <t>10/03/2023 </t>
  </si>
  <si>
    <t>Juan Polo, Adriana </t>
  </si>
  <si>
    <t>Desarrollo de un envase activo con capacidad de absorción de oxígeno y potenciador del aroma para frutos secos </t>
  </si>
  <si>
    <t>28/06/2023 </t>
  </si>
  <si>
    <t>74222681W </t>
  </si>
  <si>
    <t>52773246E </t>
  </si>
  <si>
    <t>48333839Y</t>
  </si>
  <si>
    <t>35.30.6P.00.44</t>
  </si>
  <si>
    <t>1,5% SOBRE LA FACTURACIÓN DE PRODUCTOS ASOCIADOS A LA REIVINDICACIÓN 8 DE LA PATENTE ES2265270 DEL PERÍODO DEL 01/01/2022 AL 31/12/2022</t>
  </si>
  <si>
    <t>S</t>
  </si>
  <si>
    <t>5% SOBRE LA FACTURACIÓN DEL PERÍODO 01/01/2022 AL 31/12/2022 DE PRODUCTOS ASOCIADOS DE LA PATENTE P201431797</t>
  </si>
  <si>
    <t>TOTAL1-19I:PURCHASE ORDER FC05034423 50005416 13.06.2022 D16 ETUDES SCIENTIFIQUES ET TECHNIQUES D16 ETUDES RECHERCHE</t>
  </si>
  <si>
    <t>PURCHASE ORDER 4505034423  50005416  13.06.2022 D16 ÉTUDES SCIENTIFIQUES ET TECHNIQUES D16 ETUDES RECHERCHE</t>
  </si>
  <si>
    <t>REGALÍA FIJO ANUAL 2022 CORRESPONDIENTE A LA PATENTE PCT/EP2020/025293</t>
  </si>
  <si>
    <t>Tercer pago a la entrega del informe del contrato "Determinación de nutrientes en muestras de agua de mar II"</t>
  </si>
  <si>
    <t>35.30.6C.01.79</t>
  </si>
  <si>
    <t>CARACTERIZACIÓN QUÍMICA DE MUESTRAS DE CARNE DE CERDO (HARINA); EN CONCRETO, PERFIL DE AMINOÁCIDOS, HUMEDAD, CENIZAS, PROTEÍNAS TOTALES, GRASAS, CARBOHIDRATOS TOTALES (POR DIFERENCIA) Y KCAL/100 G EN TRES MUESTRAS</t>
  </si>
  <si>
    <t>35.30.6C.01.95</t>
  </si>
  <si>
    <t>Upon signature of the Agreement of the Project System for liquid sample introduction and arsenic speciation by ICP-MS. IFPEN Ref nº 2022-0170  order form number 316579</t>
  </si>
  <si>
    <t>Upon receipt by IFPEN of the final report and the h-TISIS system Ref nº 2022-0170 Orden form number 316579</t>
  </si>
  <si>
    <t>35.30.6C.01.97</t>
  </si>
  <si>
    <t>ANÁLISIS DE LOS CATIONES Mg, Na y K EN 6 MUESTRAS DE YESO. REALIZADOS 01/12/2022</t>
  </si>
  <si>
    <t>35.30.6C.01.98</t>
  </si>
  <si>
    <t>CARACTERIZACIÓN QUÍMICA DE COMPUESTOS LIGNOCELULÓSICOS DERIVADOS DE RESIDUOS CÍTRICOS. Nº EXPEDIENTE: PC000284185</t>
  </si>
  <si>
    <t>35.30.6C.02.00</t>
  </si>
  <si>
    <t>ANÁLISIS DE LOS CATIONES Mg, Na y K EN TRES MUESTRAS DE YESO REALIZADOS 20/01/2023</t>
  </si>
  <si>
    <t>35.30.6C.02.01</t>
  </si>
  <si>
    <t>ANÁLISIS DE LOS CATIONES Mg, Na y K EN TRES MUESTRAS DE YESO REALIZADOS 03/02/2023</t>
  </si>
  <si>
    <t>35.30.6C.02.02</t>
  </si>
  <si>
    <t>ANÁLISIS DE 4 MUESTRAS DE PIGMENTOS NATURALES PARA CUANTIFICAR CONTENIDO DE INDIGOTINA. Nº PEDIDO: PC.23-0704. PROYECTO: P23-017 APRONATEX</t>
  </si>
  <si>
    <t>35.30.6C.02.03</t>
  </si>
  <si>
    <t>Influencia de los acabados en el compostaje del cuero (COMPOST-LEATHER-ABLE) NP061280 - Analisis de diversos materiales mediante espectroscopia infraroja con fuente de laser modulable (LDIR)</t>
  </si>
  <si>
    <t>35.30.6C.02.04</t>
  </si>
  <si>
    <t>ANÁLISIS DE LOS CATIONES Mg, Na y K EN 10 MUESTRAS DE YESO. REALIZADOS 03/03/2023</t>
  </si>
  <si>
    <t>35.30.6C.02.05</t>
  </si>
  <si>
    <t>Análisis de los cationes Mg, Na y K en DOS muestras de yeso. Fecha ensayo 31 de marzo de 2023</t>
  </si>
  <si>
    <t>35.30.6C.02.06</t>
  </si>
  <si>
    <t>DETERMINACIÓN DEL CONTENIDO DE SILICIO EN 40 MUESTRAS DE PET.</t>
  </si>
  <si>
    <t>DETERMINACIÓN DEL CONTENIDO DE SILICIO EN 40 MUESTRAS DE PET</t>
  </si>
  <si>
    <t>35.30.6C.02.07</t>
  </si>
  <si>
    <t>"939.153 - ENVASES ALIMENTARIOS TERMOSELLADOS CON RECUBRIMIENTOS APTOS PARA CONDICIONES EXTREMAS"</t>
  </si>
  <si>
    <t>35.30.6C.02.08</t>
  </si>
  <si>
    <t xml:space="preserve">ANÁLISIS DE LOS CATIONES MG. NA Y K EN NUEVE MUESTRAS DE YESO  </t>
  </si>
  <si>
    <t>35.30.6C.02.10</t>
  </si>
  <si>
    <t>Evaluación de Contenido del ejercicio N/A del proyecto 940.551 - de la empresa UNIVERSITAT POLITÈCNICA DE VALÈNCIA, titulado "INNVA1/2023/119: 119 ESCALADO SEMI-INDUSTRIAL DEL PROCESO DE OBTENCIÓN DE PRODUCTOS FUNCIONALES A PARTIR DEL APROVECHAMIENTO INTEGRAL DEL CAQUI", actuando como Experto Técnico.</t>
  </si>
  <si>
    <t>35.30.6C.02.11</t>
  </si>
  <si>
    <t>Determinación del contenido de silicio en 5 muestras de PET. El análisis se realizará por triplicado utilizando la técnica de Espectrometría de Masas con Plasma Acoplado Inductivamente (ICP-MS).  Para adecuar las muestras para su análisis, se llevará a cabo una digestión ácida de las mismas. (1er Pago)</t>
  </si>
  <si>
    <t>Determinación del contenido de silicio en 5 muestras de PET. El análisis se realizará por triplicado utilizando la técnica de Espectrometría de Masas con Plasma Acoplado Inductivamente (ICP-MS).  Para adecuar las muestras para su análisis, se llevará a cabo una digestión ácida de las misma. (2º pago)</t>
  </si>
  <si>
    <t>35.30.6C.02.13</t>
  </si>
  <si>
    <t>Evaluación de Contenido y Ejecución del ejercicio 2022 del proyecto 944.165 - de la empresa HAUSMANN, SL, titulado "DESARROLLO DE AROMA TIPO DONA", actuando como Experto Técnico.</t>
  </si>
  <si>
    <t>35.30.6C.02.15</t>
  </si>
  <si>
    <t>Nº pedido: PC23-1422: Determinación de parámetros fisicoquímicos en efluentes de la industria vinícola. Proyecto: P23-014 E-uplast.</t>
  </si>
  <si>
    <t>35.30.6C.02.17</t>
  </si>
  <si>
    <t>ANÁLISIS DE LOS CATIONES MG, NA Y K EN LAS 3 MUESTRAS DE YESOS</t>
  </si>
  <si>
    <t>35.30.6C.02.18</t>
  </si>
  <si>
    <t>ANÁLISIS DE LOS CATIONES MG, NA Y K EN LAS 2 MUESTRAS DE YESOS</t>
  </si>
  <si>
    <t>35.30.6C.02.19</t>
  </si>
  <si>
    <t>35.30.6C.02.20</t>
  </si>
  <si>
    <t>50% por la finalización de la prestación de servicios para estudiar la viabilidad de la obtención de compuestos aromáticos.  Nº de Pedido: PC.23-4303. Proyecto: WASTE2CHEMVALUES</t>
  </si>
  <si>
    <t>50% Inicio de la prestación de servicios para estudiar la viabilidad de la obtención de compuestos aromáticos. Nº de Pedido: PC.23-4303 Proyecto: WASTE2CHEMVALUES</t>
  </si>
  <si>
    <t>35.30.6C.02.21</t>
  </si>
  <si>
    <t>50% Inicio de la prestación de servicios para la determinación del contenido del calcio, magnesio y mercurio en muestras de cabello humano empleado en una metodología mixta.</t>
  </si>
  <si>
    <t>35.30.6C.02.22</t>
  </si>
  <si>
    <t>CARACTERIZACIÓN TÉRMICA DE MATERIALES BIOBASADOS REFORZADOS CON FIBRAS DE POSIDONIA OCEÁNICA. PEDIDO PK000316846</t>
  </si>
  <si>
    <t>35.30.6C.02.23</t>
  </si>
  <si>
    <t>POSICION 00001 EVALUACIÓN TECNOLOGÍA DE CUANTIFICACIÓN PEDIDO Nº AR 10052982</t>
  </si>
  <si>
    <t>35.30.6C.02.24</t>
  </si>
  <si>
    <t>Pedido: PC.23-6423 Determinación de polifenoles en efluentes de la industria olivinícola. Proyecto: P23-016 E-uplat.</t>
  </si>
  <si>
    <t>35.30.6C.02.25</t>
  </si>
  <si>
    <t>Validación de un método cromatográfico PROYECTO: BIOACTIVE P23_010 Nº DE PEDIDO: PC236581.</t>
  </si>
  <si>
    <t>35.30.6M.00.04</t>
  </si>
  <si>
    <t>PRESTACIÓN DE SERVICIOS PROFESIONALES PARA ACTIVIDADES DE 50 HORAS DE FORMACIÓN EN HERRAMIENTAS, TÉCNICAS Y PROCEDIMIENTOS EN LA VALORACIÓN DE LA COMPOSICIÓN CORPORAL Y SU INTERPRETACIÓN EN DIFERENTES POBLACIONES.</t>
  </si>
  <si>
    <t>35.30.6M.00.05</t>
  </si>
  <si>
    <t>PRESTACIÓN DE SERVICIOS PROFESIONALES PARA ACTIVIDADES DE 50 HORAS DE FORMACIÓN EN INGREDIENTES Y COMPUESTOS VEGETALES Y SU INFLUENCIA EN EL ORGANISMO</t>
  </si>
  <si>
    <t>PID2020-115956GB-I00/116185GB-I00/116496RB-C21/116514GB-I00/116998RB-I00/117303GBC22/118006RB-I00/118322RB-I00/118447RA-I00/118476RR-C22</t>
  </si>
  <si>
    <t>35.30.6P.00.41</t>
  </si>
  <si>
    <t xml:space="preserve">MINORACIÓN INNVA1/2022/16 </t>
  </si>
  <si>
    <t xml:space="preserve">INNVA1/2022/16 INNVA1/2022/26 INNVA1/2022/34 INNVA1/2022/36 </t>
  </si>
  <si>
    <t xml:space="preserve">PID2021-122320NA-I00/123699NB-I00/124741NB-I00/124860NB-I00/125387NB-I00/126485OB-I00/127332NB-I00/127566NB-I00/127967NB-I00 </t>
  </si>
  <si>
    <t>DEVOLUCIÓN DE INGRESOS_ MODELO 047_Nº de liquidación:46/2023/RAS/10335/1_ Número de justificante: 047/1/002404332_Nº de referencia: 047/1/002404332</t>
  </si>
  <si>
    <t xml:space="preserve">TED2021-130707B-I00, TED2021-129617B-I00, TED2021-129894B-I00, TED2021-129216B-I00, TED2021-130070B-I00, TED2021-130080B-I00, TED2021-130776A-I00, TED2021-132697B-I00, TED2021-131028B-I00, TED2021-132103A-I00, TED2021-130304B-I00 </t>
  </si>
  <si>
    <t>35.30.6P.00.49</t>
  </si>
  <si>
    <t>ayudas CIGE/2022/4-6-8-10-15-16-21-30-36-45-46-51-52- 54-55-105-170-179</t>
  </si>
  <si>
    <t>35.30.6P.00.50</t>
  </si>
  <si>
    <t xml:space="preserve">ayudas INNEST/2023/7, INNEST/2023/20, INNEST/2023/15, INNEST/2023/14, INNEST/2023/13, INNEST/2023/11, INNEST/2023/10 </t>
  </si>
  <si>
    <t>35.30.6S.00.09</t>
  </si>
  <si>
    <t xml:space="preserve">INGRESO CORRESPONDIENTE A LA LIQUIDACIÓN ECONÓMICA DEL CONGRESO 8TH INTERNATIONAL CONFERENCE ON BIOBASED AND BIODEGRADABLE POLYMERS (BIOPOL-2022). </t>
  </si>
  <si>
    <t>PAGO FINAL DEL PROYECTO ECOFUNCO</t>
  </si>
  <si>
    <t>35.30.6X.00.05</t>
  </si>
  <si>
    <t>PRIMER COBRO DEL PROYECTO FURIOUS</t>
  </si>
  <si>
    <t>35.30.6X.00.06</t>
  </si>
  <si>
    <t>Cobro del proyecto AlgaeR&amp;B Assessment of chemical risks and benefits connected with algae consumption (contrato EUBA-EFSA-2022-ENREL-02 ¿ GA01)</t>
  </si>
  <si>
    <t xml:space="preserve">LIQ-TitProp_9389-1 Curso_2023-24_AñoCont_2023 - EXPERTO/A EN ELABORACIÓN ARTESANAL DE HELADOS </t>
  </si>
  <si>
    <t xml:space="preserve">LIQ-TitProp_GK06-1 Curso_2023-24_AñoCont_2023 - ELABORACIÓN ARTESANAL DE HELADOS </t>
  </si>
  <si>
    <t>U022</t>
  </si>
  <si>
    <t>ADM. FACULTAD DE CIENCIAS</t>
  </si>
  <si>
    <t>DOCTORADO EN CIENCIAS EXPERIMENTALES Y BIOSANITARIAS</t>
  </si>
  <si>
    <t>Khalfi , Asma</t>
  </si>
  <si>
    <t>Development of new functional foods from food by-products rich in antioxidants and fatty acids</t>
  </si>
  <si>
    <t>19/09/2024</t>
  </si>
  <si>
    <t>Codirector de tesis</t>
  </si>
  <si>
    <t>QUÍMICA ANALÍTICA, NUTRICIÓN Y BROMATOLOGÍA</t>
  </si>
  <si>
    <t>Belhadj , Radia Niamet Allah</t>
  </si>
  <si>
    <t>Valorization of invasive aquatic plants and algae species as potential bioactive sources for sustainable food packaging applications</t>
  </si>
  <si>
    <t>18/09/2024</t>
  </si>
  <si>
    <t>Org. aplic.</t>
  </si>
  <si>
    <t>Imp. aplic.</t>
  </si>
  <si>
    <t xml:space="preserve">1'5% SOBRE LA FACTURACIÓN DEL PERÍODO 01/01/2023 A 31/12/2023 DE PRODUCTOS ASOCIADOS A LA REIVINDICACIÓN 8 DE LA PATENTE ES2265270 </t>
  </si>
  <si>
    <t>REGALIAS EN RELACIÓN AL 5% SOBRE LA FACTURACIÓN DEL PERÍODO 01/01/2023 A 31/12/2023 DE PRODUCTOS ASOCIADOS PATENTE P201431797</t>
  </si>
  <si>
    <t>REGALÍA 5% VENTAS 2023 CORRESPONDIENTE A LA PATENTE PCT/EP2020/025293</t>
  </si>
  <si>
    <t>35.30.6C.02.14</t>
  </si>
  <si>
    <t>Realización de análisis de aguas determinando DQO, cloro y metales pesados.  Investigador Responsable José Luis Todoli Torro.</t>
  </si>
  <si>
    <t>Realización de análisis de aguas determinando DQO, cloro y metales pesados. Investigador Responsable José Luis Todoli Torro</t>
  </si>
  <si>
    <t>35.30.6C.02.16</t>
  </si>
  <si>
    <t>DESARROLLO METODOLOGÍA DE ANÁLISIS DE AZÚCARES MEDIANTE TÉCNICAS CROMATOGRÁFICAS</t>
  </si>
  <si>
    <t>POSICION 00002 EVALUACIÓN TECNOLOGÍA DE CUANTIFICACIÓN PEDIDO Nº AR 10052982</t>
  </si>
  <si>
    <t>35.30.6C.02.26</t>
  </si>
  <si>
    <t>ANÁLISIS QUÍMICO DE BEBIDAS ENERGÉTICAS</t>
  </si>
  <si>
    <t>35.30.6C.02.27</t>
  </si>
  <si>
    <t>PEDIDO NP062931 INFLUENCIA DE LOS ACABADOS EN EL COMPOSTAJE DEL CUERO (COMPOST-LEATHER-ABLE II) INESCOP5-23TPA</t>
  </si>
  <si>
    <t>35.30.6C.02.29</t>
  </si>
  <si>
    <t>Análisis de los cationes Mg, Na y K en CINCO muestras de yeso</t>
  </si>
  <si>
    <t>35.30.6C.02.30</t>
  </si>
  <si>
    <t>Análisis de los cationes Mg, Na y K en DOS muestras de yeso</t>
  </si>
  <si>
    <t>35.30.6C.02.31</t>
  </si>
  <si>
    <t>Análisis de los cationes Mg, Na y K en CINCO muestras de yeso YESOSTORRIQUE3-24TPA</t>
  </si>
  <si>
    <t>35.30.6C.02.32</t>
  </si>
  <si>
    <t>35.30.6C.02.34</t>
  </si>
  <si>
    <t>Análisis de los cationes Mg, Na y K en CUATRO muestras de yeso</t>
  </si>
  <si>
    <t>35.30.6C.02.35</t>
  </si>
  <si>
    <t>REALIZACIÓN DE ENSAYOS DE ANÁLISIS TÉRMICO EN MATERIALES POLIMÉRICOS Referencia del pedido: PS000347913</t>
  </si>
  <si>
    <t>35.30.6C.02.36</t>
  </si>
  <si>
    <t>CARACTERIZACIÓN Y EXTRACCIÓN DE ALGAS AUTÓCTONAS DEL MEDITERRÁNEO Y SU APLICACIÓN COMO GELIFICANTES ALIMENTARIOS</t>
  </si>
  <si>
    <t>SEGUNDO PAGO DEL CONTRATO CARACTERIZACIÓN Y EXTRACCIÓN DE ALGAS AUTÓCTONAS DEL MEDITERRÁNEO Y SU APLICACIÓN COMO GELIFICANTES ALIMENTARIOS. INVESTIGACIÓN DE EXTRACTOS DE ALGA NOVEDOSOS APLICADOS AL DESARROLLO DE FORMULACIONES PARA GOLOSINAS VEGANAS. EXPEDIENTE IMIDCA/2023/23. CO-FINANCIADO POR EL INSTITUTO VALENCIANO DE COMPETITIVIDAD EMPRESARIAL (IVACE)</t>
  </si>
  <si>
    <t>35.30.6C.02.37</t>
  </si>
  <si>
    <t>Purchase order 0000322629 ANALYSIS OF PLASTIC SAMPLES BY USING FOURIER-TRANSFORM INFRARED SPECTROSCOPY (FTIR) AND RAMAN SPECTROSCOPY (IFP1-24TPA)</t>
  </si>
  <si>
    <t>35.30.6C.02.38</t>
  </si>
  <si>
    <t>Análisis de los cationes Mg, Na y K en TRES muestras de yeso</t>
  </si>
  <si>
    <t>35.30.6C.02.39</t>
  </si>
  <si>
    <t>Número PO 4624000283 DETERMINACIÓN DEL CONTENIDO DE METALES Y METALOIDES EN BIOMASA</t>
  </si>
  <si>
    <t>35.30.6C.02.40</t>
  </si>
  <si>
    <t>Nº de Pedido: PC.24-2604 Proyecto: P24-043 WASTE2CHEMVALUES2024</t>
  </si>
  <si>
    <t>Nº de Pedido: PC.24-2604 Proyecto: P24-043 WASTE2CHEMVALUES2024. "DEPOLIMERIZACIÓN DE LA LIGNINA  PARA LA GENERACIÓN DE PRODUCTOS DE ALTO VALOR AÑADIDO DE RESIDUOS DE BIOMASA" Segundo pago - 50% restante</t>
  </si>
  <si>
    <t>35.30.6C.02.41</t>
  </si>
  <si>
    <t>Pedido PC.24-4126  Proyecto HEATEX  Contrato AITEX4-24T</t>
  </si>
  <si>
    <t xml:space="preserve">Pedido PC.24-4126 Proyecto HEATEX Contrato AITEX4-24T - 2º PAGO "ADHESIVOS REVERSIBLES PARA LA UNIÓN Y EL DESENSAMBLADO DE PRODUCTOS DE CONSUMO COMPLEJOS" </t>
  </si>
  <si>
    <t>Pedido PC.24-6798 Proyecto HEATEX_ Contrato AITEX4Anejomodificación-24T - 3er PAGO ADHESIVOS REVERSIBLES PARA LA UNIÓN Y EL DESENSAMBLADO DE PRODUCTOS DE CONSUMO COMPLEJOS</t>
  </si>
  <si>
    <t>35.30.6C.02.42</t>
  </si>
  <si>
    <t>ANÁLISIS DE LOS CATIONES Mg, Na Y K EN DOS MUESTRAS DE YESO</t>
  </si>
  <si>
    <t>35.30.6C.02.43</t>
  </si>
  <si>
    <t>Determinación de la digestibilidad de piensos en acuicultura</t>
  </si>
  <si>
    <t>35.30.6C.02.45</t>
  </si>
  <si>
    <t>50% INICIO PRESTACIÓN SERVICIOS PROVITAL2-24TPA OPTIMIZACIÓN DE UNA METODOLOGÍA MEDIANTE EXTRACCIÓN ASISTIDA POR ULTRASONIDOS PARA LA OBTENCIÓN DE UN EXTRACTO LIOFILIZADO RICO EN BOERAVINONAS A PARTIR DE LA RAÍZ DE BOERHAVIA DIFFUSA</t>
  </si>
  <si>
    <t>OPTIMIZACIÓN DE UNA METODOLOGÍA MEDIANTE EXTRACCIÓN ASISTIDA POR ULTRASONIDOS PARA LA OBTENCIÓN DE UN EXTRACTO LIOFILIZADO RICO EN BOERAVINONAS A PARTIR DE LA RAÍZ DE BOERHAVIA DIFFUSA</t>
  </si>
  <si>
    <t>35.30.6C.02.46</t>
  </si>
  <si>
    <t>Nº de Pedido: PC.24-2480     Proyecto: BIOACTIVE 2024 CARACTERIZACIÓN FISICOQUÍMICA DE EXTRACTOS VEGETALES</t>
  </si>
  <si>
    <t>35.30.6C.02.47</t>
  </si>
  <si>
    <t>EXTRACCION DE POLIFENOLES POR METODO NADES; Proyecto: P24-023 BIOACTIVE 2024; Nº de Pedido: PC.24-3123</t>
  </si>
  <si>
    <t>35.30.6C.02.48</t>
  </si>
  <si>
    <t>NUTRICIONSELECTA1-23Y 1ª FACTURA 50% INICIO DE LA PRESTACIÓN SISTEMA DE APOYO INTEGRAL PARA LA GESTIÓN DEL SÍNDROME METABÓLICO: INTEGRACIÓN DE TECNOLOGÍAS AVANZADAS DE ENTRENAMIENTO Y MONITOREO DE GLUCOSA</t>
  </si>
  <si>
    <t>NUTRICIONSELECTA1-23Y 2ª FACTURA 50% SISTEMA DE APOYO INTEGRAL PARA LA GESTIÓN DEL SÍNDROME METABÓLICO: INTEGRACIÓN DE TECNOLOGÍAS AVANZADAS DE ENTRENAMIENTO Y MONITOREO DE GLUCOSA</t>
  </si>
  <si>
    <t>35.30.6C.02.49</t>
  </si>
  <si>
    <t>ANÁLISIS DE LOS CATIONES Mg, Na Y K EN SIETE MUESTRAS DE YESO</t>
  </si>
  <si>
    <t>35.30.6C.02.50</t>
  </si>
  <si>
    <t>EVALUACIÓN POR PARTE DEL EXPERTO TÉCNICO DEL PROYECTO 942.745</t>
  </si>
  <si>
    <t>35.30.6C.02.51</t>
  </si>
  <si>
    <t>ANÁLISIS DE POLIURETANOS MEDIANTE TÉCNICAS DE ESPECTROSCOPIA INFRARROJA Ref. pedido NP065212</t>
  </si>
  <si>
    <t>35.30.6C.02.54</t>
  </si>
  <si>
    <t xml:space="preserve">PROYECTO 949.738 - INVESTIGACIÓN PARA LA REDUCCIÓN DE PLÁSTICO EN ESTRUCTURAS FLEXIBLE A TRAVÉS DE PAPEL RECICLADO </t>
  </si>
  <si>
    <t>35.30.6C.02.55</t>
  </si>
  <si>
    <t>Evaluación de Contenido y Ejecución del ejercicio 2023 del proyecto 952.383 - de la empresa EUROFINS IPROMA, S.L.U, titulado DETERMINACION DE COMPUESTOS ORGANICOS SEMIVOLATILES EN SOLIDOS</t>
  </si>
  <si>
    <t>35.30.6C.02.56</t>
  </si>
  <si>
    <t>PROYECTO 949.737 - INVESTIGACIÓN Y DESARROLLO DE ESTRUCTURAS MULTICAPAS COMPATIBLES Y CIRCULARES</t>
  </si>
  <si>
    <t>35.30.6C.02.57</t>
  </si>
  <si>
    <t>EIEHINSTITUTE2-22Y-PREDOC-INDC. IP responsable D. Alejandro Martínez Rodríguez</t>
  </si>
  <si>
    <t>35.30.6C.02.58</t>
  </si>
  <si>
    <t xml:space="preserve">PROYECTO 952.162 - NOVEDOSO ESTUDIO DE MICROORGANISMOS EN PRODUCTOS ENVASADOS PARA MEJORAR LA SEGURIDAD ALIMENTARIA </t>
  </si>
  <si>
    <t>35.30.6C.02.60</t>
  </si>
  <si>
    <t>35.30.6C.02.61</t>
  </si>
  <si>
    <t>ANÁLISIS DE LOS CATIONES Mg, Na Y K EN SEIS MUESTRAS DE YESO</t>
  </si>
  <si>
    <t>35.30.6C.02.62</t>
  </si>
  <si>
    <t>Ref. Contrato: AITEX9-24I - Dra. Raquel Sánchez Romero DESARROLLO DE TÉCNICAS DE ADECUACIÓN PARA EL RECICLAJE DE ALTO VALOR DE RESIDUOS DEL TURISMO DE LA COMUNIDAD VALENCIANA  - PC24-4751 Proyecto P24-002 HOR-ECO</t>
  </si>
  <si>
    <t>DEVOLUCIÓN DE INGRESO_ CARTA DE PAGO_ REFERENCIA: PID2020-116496RB-C21, ANUALIDAD: 2021</t>
  </si>
  <si>
    <t xml:space="preserve">ayudas INNVA1/2022/16, INNVA1/2022/26, INNVA1/2022/34, INNVA1/2022/36 </t>
  </si>
  <si>
    <t xml:space="preserve">Minoración INNVA1/2022/16  </t>
  </si>
  <si>
    <t xml:space="preserve">Minoración ayudas INNVA1/2022/16 </t>
  </si>
  <si>
    <t>PID2021-126485OB-I00-126858NB-I00-126990NB-I00-127332NB-I00-127426OB-C22-127566NB-I00-127967NB-I00-127999NB-I00-128381NB-I00-128761OB-C21-128766OB-I00-128805NA-I00-128876OB-I00</t>
  </si>
  <si>
    <t xml:space="preserve">Ayudas MFA/2022/001, MFA/2022/036, MFA/2022/045, MFA/2022/048, MFA/2022/058, MFA/2022/059, MFA/2022/061, MFA/2022/062 </t>
  </si>
  <si>
    <t xml:space="preserve">Ayudas MFA/2022/001, MFA/2022/036, MFA/2022/045, MFA/2022/048, MFA/2022/058, MFA/2022/059, MFA/2022/061, MFA/2022/062 (ANUALIDAD 2023) </t>
  </si>
  <si>
    <t>DEVOLUCIÓN DE INGRESOS_ MODELO 047_ Nº DE LIQUIDACIÓN: 46/2024/RAS/10325/1 Nº DE JUSTIFICANTE: 047/1/002551836_Nº DE REFERENCIA: 047/1/002551836</t>
  </si>
  <si>
    <t xml:space="preserve">INNEST/2023/7/10/11/13/14/15/20  </t>
  </si>
  <si>
    <t>35.30.6P.00.51</t>
  </si>
  <si>
    <t>PROGRAMA AYUDAS ICAR 2023 PROYECTO LEVI</t>
  </si>
  <si>
    <t>35.30.6P.00.58</t>
  </si>
  <si>
    <t>AYUDAS PID2023-146660OB-I00, PID2023-148259NB-I00, PID2023-148881OB-I00, PID2023-149456NB-I00, PID2023-149624NB-I00, PID2023-149643NB-I00, PID2023-149994NB-I00, PID2023-150750NB-I00, PID2023-150795NB-C22,PID2023-151958NB-I00, PID2023-151982NB-I00, PID2023-152305NB-I00, PID2023-152358NA-I00, PID2023-152372NB-I00, PID2023-152734NB-I00, PID2023-152869OB-C21, PID2023-153032NB-I00</t>
  </si>
  <si>
    <t>Ayudas PID2023-146660OB-I00, PID2023-147126OB-I00, PID2023-148259NB-I00, PID2023-148881OB-I00, PID2023-149456NB-I00, PID2023-149562OB-I00, PID2023-149624NB-I00, PID2023-149643NB-I00, PID2023-149706OB-I00, PID2023-149994NB-I00, 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</t>
  </si>
  <si>
    <t>Cobro proyecto "Assessment of chemical risks and benefits connected with algae consumption"</t>
  </si>
  <si>
    <t>Saray  Simón Quijada. EXPERTO/A EN ELABORACIÓN ARTESANAL DE HELADOS</t>
  </si>
  <si>
    <t>DINA ALSINA PÉREZ - GK06 - ELABORACIÓN ARTESANAL DE HELADOS</t>
  </si>
  <si>
    <t>Regina Aparicio Bustabad. EXPERTO/A EN ELABORACIÓN ARTESANAL DE HELADOS</t>
  </si>
  <si>
    <t>SARAY RUIZ RODRIGUEZ - PAGO TASAS MATRÍCULA GK06 - ELABORACIÓN ARTESANAL DE HELADOS</t>
  </si>
  <si>
    <t xml:space="preserve">José Felipe Cortés Francés - GK35 Elaboración Artesanal de Helados (curso vinculado a experto) </t>
  </si>
  <si>
    <t xml:space="preserve">LIQ-TitProp_9389-1 Curso_2024-25 AñoCont_2024 - EXPERTO/A EN ELABORACIÓN ARTESANAL DE HELADOS </t>
  </si>
  <si>
    <t xml:space="preserve">LIQ-TitProp_GK35-1 Curso_2024-25 AñoCont_2024 - ELABORACIÓN ARTESANAL DE HELADOS </t>
  </si>
  <si>
    <t>Administración Facultad de Ciencias</t>
  </si>
  <si>
    <t>Pelegrín Perete, Carlos Javier</t>
  </si>
  <si>
    <t>REVALORIZACIÓN DE RESIDUOS AGRO-INDUSTRIALES DE CYPERUS ESCULENTUS Y
SUS TUBÉRCULOS</t>
  </si>
  <si>
    <t>29/09/2025</t>
  </si>
  <si>
    <t>Química Analítica, Nutrición y Bromatología</t>
  </si>
  <si>
    <t>U044</t>
  </si>
  <si>
    <t>Administración Facultad de Ciencias de la Salud</t>
  </si>
  <si>
    <t>DOCTORADO EN CIENCIAS DE LA SALUD</t>
  </si>
  <si>
    <t>Cenitagoya Alonso, Natalia</t>
  </si>
  <si>
    <t>Valorización de residuos de papaya para el desarrollo de biomateriales sostenibles aplicados a envases alimentarios.</t>
  </si>
  <si>
    <t>22/07/2025</t>
  </si>
  <si>
    <t>Martínez Olcina, María</t>
  </si>
  <si>
    <t>Study on the Effects of Lifestyle Changes and Nutraceutical Intake on Bioparameters and Health Indicators // Estudio de los efectos de cambios del estilo de vida y la ingesta de nutracéuticos sobre bioparámetros e indicadores de salud</t>
  </si>
  <si>
    <t>04/04/2025</t>
  </si>
  <si>
    <t>Director de tesis</t>
  </si>
  <si>
    <t>U052</t>
  </si>
  <si>
    <t>I.U. de Materiales (10.14)</t>
  </si>
  <si>
    <t>DOCTORADO EN CIENCIA DE MATERIALES</t>
  </si>
  <si>
    <t>Sáez Torregrosa, Carmen Joaquina</t>
  </si>
  <si>
    <t>Biomonitorización humana a metales y evaluación del riesgo en la población de la Comunidad Valenciana</t>
  </si>
  <si>
    <t>15/09/2025</t>
  </si>
  <si>
    <t>ZZ</t>
  </si>
  <si>
    <t>SIN ASIGNAR</t>
  </si>
  <si>
    <t>Abellán Martín, Sergio José</t>
  </si>
  <si>
    <t>DESARROLLO DE MÉTODOS ANALÍTICOS SENSIBLES, RÁPIDOS Y ECOLÓGICOS PARA ANÁLISIS ELEMENTAL CON TÉCNICAS</t>
  </si>
  <si>
    <t>26/09/2025</t>
  </si>
  <si>
    <t>2020</t>
  </si>
  <si>
    <t>2021</t>
  </si>
  <si>
    <t>2022</t>
  </si>
  <si>
    <t>2023</t>
  </si>
  <si>
    <t>2024</t>
  </si>
  <si>
    <t>2025</t>
  </si>
  <si>
    <t>01889788Q</t>
  </si>
  <si>
    <t>Solaberrieta Gonnet, Ignacio</t>
  </si>
  <si>
    <t>Canals Hernández, Antonio</t>
  </si>
  <si>
    <t>Jiménez Migallón, Alfonso</t>
  </si>
  <si>
    <t>Todolí Torró, José Luis</t>
  </si>
  <si>
    <t>Mora Pastor, Juan</t>
  </si>
  <si>
    <t>Gras García, Luis</t>
  </si>
  <si>
    <t>Hidalgo Núñez, María Montserrat</t>
  </si>
  <si>
    <t>Garrigós Selva, María del Carmen</t>
  </si>
  <si>
    <t>Prats Moya, María Soledad</t>
  </si>
  <si>
    <t>Vidal Martínez, Lorena</t>
  </si>
  <si>
    <t>Mellinas Ciller, Ana Cristina</t>
  </si>
  <si>
    <t>Grindlay Lledó, Guillermo</t>
  </si>
  <si>
    <t>Ramos Santonja, Marina</t>
  </si>
  <si>
    <t>Aguirre Pastor, Miguel Ángel</t>
  </si>
  <si>
    <t>Valdes García, Arantzazu</t>
  </si>
  <si>
    <t>48576651F</t>
  </si>
  <si>
    <t>Baenas Navarro, Nieves</t>
  </si>
  <si>
    <t>Maestre Pérez, Salvador Enrique</t>
  </si>
  <si>
    <t>73993402X</t>
  </si>
  <si>
    <t>Reig García Galbis, Manuel Felipe</t>
  </si>
  <si>
    <t>Sánchez Romero, Raquel</t>
  </si>
  <si>
    <t>Beltrán Sanahuja, Ana</t>
  </si>
  <si>
    <t>Martínez Rodríguez, Alejandro</t>
  </si>
  <si>
    <t>1'5% SOBRE LA FACTURACIÓN DEL PERÍODO 01/01/2024 A 31/12/2024 DE PRODUCTOS ASOCIADOS A LA REIVINDICACIÓN 8 DE LA PATENTE ES2265270</t>
  </si>
  <si>
    <t>REGALIA 5% VENTAS 2024 CORRESPONDIENTE A LA PATENTE P201431797</t>
  </si>
  <si>
    <t>REGALÍA EN RELACIÓN AL REPORTE DE VENTAS 2024 (5%) "SMARTSORTER VISION A" CORRESPONDIENTE A LA PATENTE PCT/EP2020/025293</t>
  </si>
  <si>
    <t>FISABIO1-23TPA - Segunda factura, 50% restante y fin de la prestación de servicios para la determinación del contenido del calcio, magnesio y mercurio en muestras de cabello humano empleado en una metodología mixta.</t>
  </si>
  <si>
    <t>35.30.6C.02.33</t>
  </si>
  <si>
    <t>SYNTHOS1-24TPA - TAREAS DE ANÁLISIS DE MATERIAS PRIMAS DE INTERÉS PARA LA EMPRESA Y ASISTENCIA CIENTÍFICA-TÉCNICA PARA EL DESARROLLO DE SUS ACTIVIDADES EN EL CAMPO DE LA QUÍMICA ANALÍTICA.  Purchase order no 4500088423</t>
  </si>
  <si>
    <t>TAREAS DE ANÁLISIS DE MATERIAS PRIMAS DE INTERÉS PARA LA EMPRESA Y ASISTENCIA CIENTÍFICA-TÉCNICA PARA EL DESARROLLO DE SUS ACTIVIDADES EN EL CAMPO DE LA QUÍMICA ANALÍTICA Purchase order no 4500088423</t>
  </si>
  <si>
    <t>Pedido PC.25-0575 Proyecto HEATEX_ Contrato AITEX4Anejomodificación-24T - 4º PAGO - Último</t>
  </si>
  <si>
    <t>35.30.6C.02.44</t>
  </si>
  <si>
    <t>TAREAS DE ANÁLISIS DE MATERIAS PRIMAS DE INTERÉS PARA LA EMPRESA Y ASISTENCIA CIENTÍFICA-TÉCNICA PARA EL DESARROLLO DE SUS ACTIVIDADES EN EL CAMPO DE LA QUÍMICA ANALÍTICA   Purchase order no 4500096190</t>
  </si>
  <si>
    <t>TAREAS DE ANÁLISIS DE MATERIAS PRIMAS DE INTERÉS PARA LA EMPRESA Y ASISTENCIA CIENTÍFICA-TÉCNICA PARA EL DESARROLLO DE SUS ACTIVIDADES EN EL CAMPO DE LA QUÍMICA ANALÍTICA. Purchase order no 4500096190</t>
  </si>
  <si>
    <t>35.30.6C.02.52</t>
  </si>
  <si>
    <t>ENSAYOS DE CARACTERIZACIÓN MEDIANTE DSC, TGA, FTIR DE 4 MUESTRAS DE PET</t>
  </si>
  <si>
    <t>35.30.6C.02.59</t>
  </si>
  <si>
    <t>UV7-24TPA - DETERMINACIÓN MEDIANTE UHPLC/QQQ</t>
  </si>
  <si>
    <t>35.30.6C.02.63</t>
  </si>
  <si>
    <t>PRIMER PAGO para cubrir gastos iniciales de laboratorio necesarios para iniciar la ejecución del proyecto EUROSOL3-24Y cuya investigadora responsable es la Dra. Arántzazu Valdés García</t>
  </si>
  <si>
    <t>35.30.6C.02.64</t>
  </si>
  <si>
    <t>Primer pago del 30% del presupuesto por los servicios del Proyecto Investigación y desarrollo SACIANS:  Estrategia Avanzada de Complementos Alimenticios para la Optimización de la Saciedad y Metabolismo Lipídico en la Madurez.</t>
  </si>
  <si>
    <t>Segundo y último pago del 70% del presupuesto por los servicios del Proyecto Investigación y desarrollo SACIANS - NUTRICIONSELECTA1-24Y.  Estrategia Avanzada de Complementos Alimenticios para la Optimización de la Saciedad y Metabolismo Lipídico en la Madurez.</t>
  </si>
  <si>
    <t>35.30.6C.02.65</t>
  </si>
  <si>
    <t>DETERMINACIÓN DE AZÚCARES EN PRODUCTOS DE CONFITERÍA MEDIANTE CROMATOGRAFÍA DE LÍQUIDOS</t>
  </si>
  <si>
    <t>35.30.6C.02.66</t>
  </si>
  <si>
    <t>ANÁLISIS DE LOS CATIONES Mg, Na y K EN CUATRO MUESTRAS DE YESO</t>
  </si>
  <si>
    <t>35.30.6C.02.67</t>
  </si>
  <si>
    <t xml:space="preserve">AITEX2-25TPA </t>
  </si>
  <si>
    <t>35.30.6C.02.68</t>
  </si>
  <si>
    <t>Pedido PC.25-1699 _ Contrato AITEX3-25TPA -  Primer pago 50% ESTUDIO DE LA VIABILIDAD DE LA OBTENCIÓN DE COMPUESTOS CON CAPACIDAD ANTIOXIDANTE A PARTIR DE RESIDUOS DE LIGNINA (P25-056 MAT4ENERGY)</t>
  </si>
  <si>
    <t>Pedido PC.25-1699 _ Contrato AITEX3-25TPA - Segundo y último pago 50% ESTUDIO DE LA VIABILIDAD DE LA OBTENCIÓN DE COMPUESTOS CON CAPACIDAD ANTIOXIDANTE A PARTIR DE RESIDUOS DE LIGNINA (P25-056 MAT4ENERGY)</t>
  </si>
  <si>
    <t>35.30.6C.02.69</t>
  </si>
  <si>
    <t>Analysis of plastic samples by using Fourier-transform infrared spectroscopy (FTIR) and Raman spectroscopy (134 samples) IFPEN Purchase Order_0000335132</t>
  </si>
  <si>
    <t>35.30.6C.02.70</t>
  </si>
  <si>
    <t>ANÁLISIS DE LOS CATIONES Mg, Na Y K EN SEIS MUESTRAS DE YESO MINERAL (3) Y SEMIHIDRATO (3)</t>
  </si>
  <si>
    <t>35.30.6C.02.71</t>
  </si>
  <si>
    <t>ANÁLISIS DE LOS CATIONES Mg, Na Y K EN SIETE MUESTRAS DE YESO MINERAL</t>
  </si>
  <si>
    <t>35.30.6C.02.72</t>
  </si>
  <si>
    <t xml:space="preserve">UPV1-25TPA - Análisis elemental de productos acuícolas </t>
  </si>
  <si>
    <t>35.30.6C.02.73</t>
  </si>
  <si>
    <t>Ref. Contrato: UPV2-25TPA_CARACTERIZACIÓN TÉRMICA DE MATERIALES COMPUESTOS DE ORIGEN RENOVABLE A PARTIR DE RESINAS TERMOPLÁSTICAS Y TERMOESTABLES NATURALES Y FIBRAS LIGNOCELULÓSICAS. Ref.: PB000424453</t>
  </si>
  <si>
    <t>35.30.6C.02.74</t>
  </si>
  <si>
    <t>INNDIH-ENTERPRISEINCORP1-25T  enmarcado en el proyecto "InnDIH - Valencia Region Digital Innovation Hub". DESARROLLO DE UN SENSOR PARA LA DETERMINACIÓN DEL CONTENIDO DE ETANOL EN LA INDUSTRIA VITIVINÍCOLA</t>
  </si>
  <si>
    <t>35.30.6C.02.75</t>
  </si>
  <si>
    <t>INNDIH-ENTERPRISEINCORP2-25T enmarcado en el proyecto "InnDIH - Valencia Region Digital Innovation Hub". DESARROLLO E IMPLEMENTACIÓN DE UN SISTEMA AVANZADO DE SENSORIZACIÓN PARA EL MONITOREO EN TIEMPO REAL DEL CONTENIDO DE SULFUROSO DURANTE EL PROCESO DE VINIFICACIÓN</t>
  </si>
  <si>
    <t>35.30.6C.02.76</t>
  </si>
  <si>
    <t>EQA16-25TPA - EVALUACIÓN POR PARTE DE LA EXPERTA TÉCNICA DEL PROYECTO 957.365</t>
  </si>
  <si>
    <t>35.30.6C.02.77</t>
  </si>
  <si>
    <t>ENSAYO DSC DE 5 MUESTRAS</t>
  </si>
  <si>
    <t>35.30.6C.02.78</t>
  </si>
  <si>
    <t>ANÁLISIS DE LOS CATIONES Mg, Na Y K EN DOS MUESTRAS DE YESO MINERAL</t>
  </si>
  <si>
    <t>35.30.6C.02.79</t>
  </si>
  <si>
    <t>YESOSTORRIQUE10-25TPA - ANÁLISIS DE LOS CATIONES MG, NA Y K EN DOS MUESTRAS DE YESO MINERAL</t>
  </si>
  <si>
    <t>35.30.6C.02.80</t>
  </si>
  <si>
    <t>INNDIH-MEDITERRANEANALGAE1-25T enmarcado en el proyecto "InnDIH - Valencia Region Digital Innovation Hub" DESARROLLO DE UNA SOLUCIÓN TECNOLÓGICA AVANZADA PARA LA DESINFECCIÓN DE MATERIAS PRIMAS DE ORIGEN MARINO, CON ESPECIAL ATENCIÓN A LA PRESERVACIÓN DE SUS PROPIEDADES FUNCIONALES Y AL CUMPLIMIENTO DE LOS PRINCIPIOS DE SOSTENIBILIDAD E INNOVACIÓN</t>
  </si>
  <si>
    <t>35.30.6C.02.81</t>
  </si>
  <si>
    <t>EVALUACIÓN POR PARTE DE LA EXPERTA TÉCNICA DEL PROYECTO 960.784  Ref. Contrato: EQA29-25TPA</t>
  </si>
  <si>
    <t>35.30.6C.02.82</t>
  </si>
  <si>
    <t>ICARBALLOTOME1-25TPA - Primer pago tras la autorización del servicios EVALUACIÓN DE TÉCNICAS DE TRITURADO DE HOJAS DE NÍSPERO Y LA DETERMINACIÓN DEL CONTENIDO TOTAL DE POLIFENOLES EN LAS MUESTRAS OBTENIDAS, INCLUYENDO  UNA MUESTRA DE REFERENCIA APORTADA POR LA EMPRESA</t>
  </si>
  <si>
    <t>ICARBALLOTOME1-25TPA - Segundo y último pago tras la realización de los servicios. EVALUACIÓN DE TÉCNICAS DE TRITURADO DE HOJAS DE NÍSPERO Y LA DETERMINACIÓN DEL CONTENIDO TOTAL DE POLIFENOLES EN LAS MUESTRAS OBTENIDAS, INCLUYENDO UNA MUESTRA DE REFERENCIA APORTADA POR LA EMPRESA</t>
  </si>
  <si>
    <t>35.30.6C.02.83</t>
  </si>
  <si>
    <t>ANÁLISIS DE LOS CATIONES Mg, Na Y K EN SEIS MUESTRAS DE YESO MINERAL Y UNA MUESTRA DE SH INTERPLAC</t>
  </si>
  <si>
    <t>35.30.6C.02.84</t>
  </si>
  <si>
    <t xml:space="preserve">AITEX11-25TPA - Proyecto MICRAM P24-030 (PC. 25-5444) ANÁLISIS FISICOQUÍMICO DE AEROGELES Y LAMINADOS </t>
  </si>
  <si>
    <t>35.30.6C.02.85</t>
  </si>
  <si>
    <t xml:space="preserve">BORRELL1-25Y-IVACE - Primer pago del 25% del importe total del contrato NUEVO SISTEMA DE DETECCIÓN DE AMIGDALINA EN ALMENDRA </t>
  </si>
  <si>
    <t>35.30.6C.02.87</t>
  </si>
  <si>
    <t>INNDIH-RUCHEY1-25T enmarcado en el proyecto "InnDIH - Valencia Region Digital Innovation Hub" DESARROLLO DE UNA SOLUCIÓN TECNOLÓGICA AVANZADA PARA LA DESINFECCIÓN DE MATERIAS PRIMAS DE ORIGEN VEGETAL</t>
  </si>
  <si>
    <t>35.30.6C.02.88</t>
  </si>
  <si>
    <t>DEFINIR PROCESOS VIABLES Y SEGUROS DE RECICLADO Y DESINFECCIÓN DE MATERIAL ORTOPÉDICO, CON FOCO EN LA APLICACIÓN DE TECNOLOGÍAS INNOVADORAS COMO RADIACIÓN ULTRAVIOLETA (UV-C) Y MICROONDAS</t>
  </si>
  <si>
    <t>35.30.6C.02.89</t>
  </si>
  <si>
    <t>UPV5-25TPA</t>
  </si>
  <si>
    <t>35.30.6C.02.90</t>
  </si>
  <si>
    <t>INNDIH-CALPECH2-25APA enmarcado en el proyecto "InnDIH - Valencia Region Digital Innovation Hub" ASESORAMIENTO EN BÚSQUEDA DE FINANCIACIÓN Y PARTNERS EN EL MARCO DEL PROYECTO "INNDIH - VALENCIA REGION DIGITAL INNOVATION HUB", FINANCIADO AL 50% POR LA UNIÓN EUROPEA A TRAVÉS DEL PROGRAMA EUROPA DIGITAL1, EN PARTICULAR ESTA AYUDA SE HA OTORGADO MEDIANTE EL CONSORTIUM AGREEMENT NÚMERO 101083002 SUSCRITO CON LA COMISIÓN EUROPEA.</t>
  </si>
  <si>
    <t>35.30.6C.02.91</t>
  </si>
  <si>
    <t>INNDIH-INTK1-25APA enmarcado en el proyecto "InnDIH - Valencia Region Digital Innovation Hub". ASESORAMIENTO EN BÚSQUEDA DE FINANCIACIÓN Y PARTNERS EN EL MARCO DEL PROYECTO "INNDIH - VALENCIA REGION DIGITAL INNOVATION HUB", FINANCIADO AL 50% POR LA UNIÓN EUROPEA A TRAVÉS DEL PROGRAMA EUROPA DIGITAL1, EN  PARTICULAR ESTA AYUDA SE HA OTORGADO MEDIANTE EL CONSORTIUM AGREEMENT NÚMERO 101083002 SUSCRITO CON LA COMISIÓN EUROPEA.</t>
  </si>
  <si>
    <t>35.30.6C.02.92</t>
  </si>
  <si>
    <t>INNDIH-HYDROSPOWER1-25APA enmarcado en el proyecto "InnDIH - Valencia Region Digital Innovation Hub". ASESORAMIENTO EN BÚSQUEDA DE FINANCIACIÓN Y PARTNERS EN EL MARCO DEL PROYECTO "INNDIH - VALENCIA REGION DIGITAL INNOVATION HUB", FINANCIADO AL 50% POR LA UNIÓN EUROPEA A TRAVÉS DEL PROGRAMA EUROPA DIGITAL1, EN PARTICULAR ESTA AYUDA SE HA OTORGADO MEDIANTE EL CONSORTIUM AGREEMENT NÚMERO 101083002 SUSCRITO CON LA COMISIÓN EUROPEA.</t>
  </si>
  <si>
    <t>35.30.6C.02.93</t>
  </si>
  <si>
    <t>INNDIH-GOLDENOWL1-25APA enmarcado en el proyecto "InnDIH - Valencia Region Digital Innovation Hub" ASESORAMIENTO EN BÚSQUEDA DE FINANCIACIÓN Y PARTNERS EN EL MARCO DEL PROYECTO "INNDIH - VALENCIA REGION DIGITAL INNOVATION HUB", FINANCIADO AL 50% POR LA UNIÓN EUROPEA A TRAVÉS DEL PROGRAMA EUROPA DIGITAL1, EN PARTICULAR ESTA AYUDA SE HA OTORGADO MEDIANTE EL CONSORTIUM AGREEMENT NÚMERO 101083002 SUSCRITO CON LA COMISIÓN EUROPEA.</t>
  </si>
  <si>
    <t>35.30.6C.02.94</t>
  </si>
  <si>
    <t>INNDIH-EIEHINSTITUTE2-25APA enmarcado en el proyecto "InnDIH - Valencia Region Digital Innovation Hub". ASESORAMIENTO EN BÚSQUEDA DE FINANCIACIÓN Y PARTNERS EN EL MARCO DEL PROYECTO "INNDIH - VALENCIA REGION DIGITAL INNOVATION HUB", FINANCIADO AL 50% POR LA UNIÓN EUROPEA A TRAVÉS DEL PROGRAMA EUROPA DIGITAL1, EN PARTICULAR ESTA AYUDA SE HA OTORGADO MEDIANTE EL CONSORTIUM AGREEMENT NÚMERO 101083002 SUSCRITO CON LA COMISIÓN EUROPEA.</t>
  </si>
  <si>
    <t xml:space="preserve">ayudas PID2021-122320NA-I00, PID2021-123699NB-I00, PID2021-124741NB-I00, PID2021-124860NB-I00,PID2021-125387NB-I00, PID2021-126485OB-I00, PID2021-127332NB-I00, PID2021-127566NB-I00, PID2021-127967NB-I00, </t>
  </si>
  <si>
    <t>DEVOLUCIÓN DE INGRESOS_ CARTA DE PAGO_ REFERENCIA: TED2021-130080B-I00, ANUALIDAD: 2023</t>
  </si>
  <si>
    <t>Ayudas INNEST/2023/7, INNEST/2023/10, INNEST/2023/11, INNEST/2023/13, INNEST/2023/14, INNEST/2023/15, INNEST/2023/20</t>
  </si>
  <si>
    <t>Minoración INNEST/2023/15  INNEST/2023/11</t>
  </si>
  <si>
    <t>AYUDAS PID2023-146660OB-I00,PID2023-147126OB-I00, PID2023-148259NB-I00, PID2023-148881OB-I00, , PID2023-149456NB-I00,PID2023-149562OB-I00, PID2023-149624NB-I00, ,PID2023-149643NB-I00,PID2023-149706OB-I00,PID2023-149994NB-I00,PID2023-150750NB-I00,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PID2023-153032NB-I00,</t>
  </si>
  <si>
    <t>35.30.6P.00.61</t>
  </si>
  <si>
    <t>PROGRAMA PROPIO DEL CENTRO DE GASTRONOMÍA DEL MEDITERRÁNEO (GASTERRA) UA_DENIA PARA EL FOMENTO DE LA I+D+I EN EL ÁMBITO DE LA GASTRONOMÍA 2025</t>
  </si>
  <si>
    <t>35.30.6P.00.62</t>
  </si>
  <si>
    <t>35.30.6P.00.63</t>
  </si>
  <si>
    <t>35.30.6P.00.64</t>
  </si>
  <si>
    <t>35.30.6P.00.65</t>
  </si>
  <si>
    <t>Ingreso ayudas CIGE/2024/56/95/108/145/178/184/194/199/200/201/202/203/204/205/208/209/212/213</t>
  </si>
  <si>
    <t>35.30.6P.00.66</t>
  </si>
  <si>
    <t>Ayudas JDC2024-053381-I, JDC2024-053381-I (DOT. ADICIONAL), JDC2024-055795-I, JDC2024-055795-I (DOT. ADICIONAL), JDC2024-055193-I, JDC2024-055193-I (DOT. ADICIONAL), JDC2024-054052-I,  JDC2024-053152-I, JDC2024-054052-I (DOT. ADICIONAL), JDC2024-053152-I (DOT. ADICIONAL), JDC2024-055709-I, JDC2024-055709-I (DOT. ADICIONAL)</t>
  </si>
  <si>
    <t>35.30.6Q.00.01</t>
  </si>
  <si>
    <t>Convenio ENTRE LA UNIVERSIDAD DE ALICANTE Y ALBIR CENTER S.L. Catedra SHA de Innovación en Salud y Bienestar, anualidad. octubre 2025 a octubre 2026</t>
  </si>
  <si>
    <t>Total ingresos de investigación 2023-25</t>
  </si>
  <si>
    <t>MONTIEL SILVESTRE ASENSI, EXPERTO/A EN ELABORACIÓN ARTESANAL DE HELADOS (PLAN 9398), RECIBO Nº2024735984372</t>
  </si>
  <si>
    <t>ALEJANDRA GONZÁLEZ CABRERA, EXPERTO EN ELABORACIÓN ARTESANAL DE HELADOS (9389) REC REF 2025998786969.</t>
  </si>
  <si>
    <t xml:space="preserve">LIQ-TitProp_GK35-N Curso_2025-26 AñoCont_2025 - ELABORACIÓN ARTESANAL DE HELADOS </t>
  </si>
  <si>
    <t xml:space="preserve">LIQ-TitProp_9389-1 Curso_2025-26 AñoCont_2025 - EXPERTO/A EN ELABORACIÓN ARTESANAL DE HELADOS </t>
  </si>
  <si>
    <t>LUIS FEDERICO MENÉNDEZ MOLINAS, ELABORACIÓN ARTESANAL DE HELADOS (GK35)  REF RECIBO:2025994285377.</t>
  </si>
  <si>
    <t>10.91.2T.02.00</t>
  </si>
  <si>
    <t>LIQ-TitProp_GN79-N Curso_2025-26 AñoCont_2025 - ANÁLISIS MORFOLÓGICO Y COLORIMÉTRICO ALIMENTOS MEDIANTE TÉCNICAS DE IMAGEN</t>
  </si>
  <si>
    <t xml:space="preserve">LIQ-TitProp_GN79-2 Curso_2025-26 AñoCont_2025 - ANÁLISIS MORFOLÓGICO Y COLORIMÉTRICO ALIMENTOS MEDIANTE TÉCNICAS DE IMAGEN </t>
  </si>
  <si>
    <t>Total ingresos formación 2023-25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</si>
</sst>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€_-;\-* #,##0.00\ _€_-;_-* &quot;-&quot;??\ _€_-;_-@_-"/>
    <numFmt numFmtId="165" formatCode="0.0"/>
    <numFmt numFmtId="166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0"/>
      <name val="Arial"/>
    </font>
    <font>
      <sz val="10"/>
      <color theme="1"/>
      <name val="Arial"/>
    </font>
    <font>
      <b/>
      <sz val="10"/>
      <color theme="1"/>
      <name val="Arial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7">
    <xf numFmtId="0" fontId="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4" fontId="13" fillId="0" borderId="0" applyFont="0" applyFill="0" applyBorder="0" applyAlignment="0" applyProtection="0"/>
  </cellStyleXfs>
  <cellXfs count="89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right" wrapText="1"/>
    </xf>
    <xf numFmtId="0" fontId="2" fillId="4" borderId="0" xfId="1" applyFill="1"/>
    <xf numFmtId="0" fontId="2" fillId="4" borderId="0" xfId="1" applyFill="1" applyAlignment="1">
      <alignment horizontal="right"/>
    </xf>
    <xf numFmtId="0" fontId="8" fillId="5" borderId="1" xfId="3" applyFont="1" applyFill="1" applyBorder="1" applyAlignment="1">
      <alignment horizontal="center" textRotation="90" wrapText="1"/>
    </xf>
    <xf numFmtId="0" fontId="8" fillId="3" borderId="1" xfId="3" applyFont="1" applyFill="1" applyBorder="1" applyAlignment="1">
      <alignment horizontal="center" textRotation="90" wrapText="1"/>
    </xf>
    <xf numFmtId="0" fontId="5" fillId="0" borderId="0" xfId="5" applyFont="1"/>
    <xf numFmtId="0" fontId="9" fillId="0" borderId="0" xfId="5" applyFont="1"/>
    <xf numFmtId="0" fontId="9" fillId="0" borderId="0" xfId="5" applyFont="1" applyAlignment="1">
      <alignment horizontal="right"/>
    </xf>
    <xf numFmtId="0" fontId="2" fillId="4" borderId="1" xfId="1" applyFill="1" applyBorder="1"/>
    <xf numFmtId="0" fontId="2" fillId="4" borderId="1" xfId="1" applyFill="1" applyBorder="1" applyAlignment="1">
      <alignment horizontal="right"/>
    </xf>
    <xf numFmtId="0" fontId="2" fillId="4" borderId="2" xfId="1" applyFill="1" applyBorder="1"/>
    <xf numFmtId="0" fontId="2" fillId="4" borderId="2" xfId="1" applyFill="1" applyBorder="1" applyAlignment="1">
      <alignment horizontal="right"/>
    </xf>
    <xf numFmtId="1" fontId="2" fillId="4" borderId="2" xfId="1" applyNumberFormat="1" applyFill="1" applyBorder="1"/>
    <xf numFmtId="165" fontId="2" fillId="4" borderId="2" xfId="1" applyNumberFormat="1" applyFill="1" applyBorder="1"/>
    <xf numFmtId="0" fontId="2" fillId="0" borderId="1" xfId="1" applyBorder="1"/>
    <xf numFmtId="0" fontId="2" fillId="4" borderId="3" xfId="1" applyFill="1" applyBorder="1"/>
    <xf numFmtId="0" fontId="10" fillId="6" borderId="1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horizontal="left" vertical="center"/>
    </xf>
    <xf numFmtId="0" fontId="10" fillId="6" borderId="5" xfId="0" applyFont="1" applyFill="1" applyBorder="1" applyAlignment="1">
      <alignment horizontal="left" vertical="center"/>
    </xf>
    <xf numFmtId="0" fontId="10" fillId="6" borderId="6" xfId="0" applyFont="1" applyFill="1" applyBorder="1" applyAlignment="1">
      <alignment horizontal="left" vertical="center"/>
    </xf>
    <xf numFmtId="166" fontId="2" fillId="4" borderId="2" xfId="1" applyNumberForma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textRotation="90"/>
    </xf>
    <xf numFmtId="0" fontId="8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43" fontId="6" fillId="8" borderId="7" xfId="6" applyNumberFormat="1" applyFont="1" applyFill="1" applyBorder="1"/>
    <xf numFmtId="43" fontId="6" fillId="0" borderId="7" xfId="6" applyNumberFormat="1" applyFont="1" applyBorder="1"/>
    <xf numFmtId="0" fontId="9" fillId="8" borderId="7" xfId="0" applyFont="1" applyFill="1" applyBorder="1"/>
    <xf numFmtId="0" fontId="9" fillId="0" borderId="7" xfId="0" applyFont="1" applyBorder="1"/>
    <xf numFmtId="43" fontId="0" fillId="0" borderId="0" xfId="0" applyNumberFormat="1"/>
    <xf numFmtId="0" fontId="0" fillId="0" borderId="1" xfId="0" applyBorder="1" applyAlignment="1">
      <alignment horizontal="left"/>
    </xf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left"/>
    </xf>
    <xf numFmtId="0" fontId="12" fillId="9" borderId="0" xfId="0" applyFont="1" applyFill="1"/>
    <xf numFmtId="0" fontId="2" fillId="2" borderId="0" xfId="1" applyFill="1"/>
    <xf numFmtId="0" fontId="2" fillId="2" borderId="0" xfId="1" applyFill="1" applyAlignment="1">
      <alignment horizontal="right"/>
    </xf>
    <xf numFmtId="165" fontId="3" fillId="2" borderId="0" xfId="1" applyNumberFormat="1" applyFont="1" applyFill="1"/>
    <xf numFmtId="43" fontId="6" fillId="8" borderId="9" xfId="6" applyNumberFormat="1" applyFont="1" applyFill="1" applyBorder="1"/>
    <xf numFmtId="0" fontId="0" fillId="0" borderId="9" xfId="0" applyBorder="1"/>
    <xf numFmtId="0" fontId="9" fillId="8" borderId="9" xfId="0" applyFont="1" applyFill="1" applyBorder="1"/>
    <xf numFmtId="0" fontId="9" fillId="10" borderId="9" xfId="0" applyFont="1" applyFill="1" applyBorder="1"/>
    <xf numFmtId="43" fontId="6" fillId="10" borderId="9" xfId="0" applyNumberFormat="1" applyFont="1" applyFill="1" applyBorder="1"/>
    <xf numFmtId="0" fontId="0" fillId="11" borderId="0" xfId="0" applyFill="1"/>
    <xf numFmtId="0" fontId="14" fillId="7" borderId="8" xfId="0" applyFont="1" applyFill="1" applyBorder="1"/>
    <xf numFmtId="0" fontId="0" fillId="8" borderId="7" xfId="0" applyFill="1" applyBorder="1"/>
    <xf numFmtId="43" fontId="0" fillId="8" borderId="7" xfId="6" applyNumberFormat="1" applyFont="1" applyFill="1" applyBorder="1"/>
    <xf numFmtId="0" fontId="0" fillId="0" borderId="7" xfId="0" applyBorder="1"/>
    <xf numFmtId="43" fontId="0" fillId="0" borderId="7" xfId="6" applyNumberFormat="1" applyFont="1" applyBorder="1"/>
    <xf numFmtId="0" fontId="11" fillId="7" borderId="8" xfId="0" applyFont="1" applyFill="1" applyBorder="1"/>
    <xf numFmtId="43" fontId="11" fillId="7" borderId="8" xfId="6" applyNumberFormat="1" applyFont="1" applyFill="1" applyBorder="1"/>
    <xf numFmtId="43" fontId="0" fillId="0" borderId="9" xfId="6" applyNumberFormat="1" applyFont="1" applyBorder="1"/>
    <xf numFmtId="43" fontId="13" fillId="0" borderId="9" xfId="0" applyNumberFormat="1" applyFont="1" applyBorder="1"/>
    <xf numFmtId="0" fontId="9" fillId="0" borderId="9" xfId="0" applyFont="1" applyBorder="1"/>
    <xf numFmtId="43" fontId="6" fillId="0" borderId="9" xfId="6" applyNumberFormat="1" applyFont="1" applyBorder="1"/>
    <xf numFmtId="43" fontId="0" fillId="0" borderId="9" xfId="0" applyNumberFormat="1" applyBorder="1"/>
    <xf numFmtId="0" fontId="0" fillId="8" borderId="9" xfId="0" applyFill="1" applyBorder="1"/>
    <xf numFmtId="43" fontId="0" fillId="8" borderId="9" xfId="6" applyNumberFormat="1" applyFont="1" applyFill="1" applyBorder="1"/>
    <xf numFmtId="0" fontId="0" fillId="10" borderId="9" xfId="0" applyFill="1" applyBorder="1"/>
    <xf numFmtId="43" fontId="13" fillId="10" borderId="9" xfId="0" applyNumberFormat="1" applyFont="1" applyFill="1" applyBorder="1"/>
    <xf numFmtId="0" fontId="12" fillId="0" borderId="1" xfId="0" applyFont="1" applyBorder="1"/>
    <xf numFmtId="164" fontId="12" fillId="0" borderId="1" xfId="0" applyNumberFormat="1" applyFont="1" applyBorder="1"/>
    <xf numFmtId="43" fontId="12" fillId="0" borderId="1" xfId="0" applyNumberFormat="1" applyFont="1" applyBorder="1"/>
    <xf numFmtId="0" fontId="15" fillId="12" borderId="10" xfId="0" applyFont="1" applyFill="1" applyBorder="1"/>
    <xf numFmtId="0" fontId="15" fillId="12" borderId="11" xfId="0" applyFont="1" applyFill="1" applyBorder="1"/>
    <xf numFmtId="0" fontId="16" fillId="13" borderId="10" xfId="0" applyFont="1" applyFill="1" applyBorder="1"/>
    <xf numFmtId="0" fontId="16" fillId="13" borderId="11" xfId="0" applyFont="1" applyFill="1" applyBorder="1"/>
    <xf numFmtId="164" fontId="16" fillId="13" borderId="11" xfId="6" applyFont="1" applyFill="1" applyBorder="1"/>
    <xf numFmtId="0" fontId="16" fillId="0" borderId="10" xfId="0" applyFont="1" applyBorder="1"/>
    <xf numFmtId="0" fontId="16" fillId="0" borderId="11" xfId="0" applyFont="1" applyBorder="1"/>
    <xf numFmtId="164" fontId="16" fillId="0" borderId="11" xfId="6" applyFont="1" applyBorder="1"/>
    <xf numFmtId="0" fontId="17" fillId="0" borderId="12" xfId="0" applyFont="1" applyBorder="1"/>
    <xf numFmtId="0" fontId="17" fillId="0" borderId="13" xfId="0" applyFont="1" applyBorder="1"/>
    <xf numFmtId="164" fontId="17" fillId="0" borderId="13" xfId="6" applyFont="1" applyBorder="1"/>
    <xf numFmtId="0" fontId="15" fillId="12" borderId="14" xfId="0" applyFont="1" applyFill="1" applyBorder="1"/>
    <xf numFmtId="164" fontId="15" fillId="12" borderId="14" xfId="6" applyFont="1" applyFill="1" applyBorder="1"/>
    <xf numFmtId="0" fontId="16" fillId="0" borderId="15" xfId="0" applyFont="1" applyBorder="1"/>
    <xf numFmtId="164" fontId="16" fillId="0" borderId="15" xfId="6" applyFont="1" applyBorder="1"/>
    <xf numFmtId="0" fontId="16" fillId="14" borderId="15" xfId="0" applyFont="1" applyFill="1" applyBorder="1"/>
    <xf numFmtId="164" fontId="16" fillId="14" borderId="15" xfId="0" applyNumberFormat="1" applyFont="1" applyFill="1" applyBorder="1"/>
  </cellXfs>
  <cellStyles count="7">
    <cellStyle name="Millares" xfId="6" builtinId="3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46">
    <dxf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79998168889431442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0"/>
        </patternFill>
      </fill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0"/>
        </patternFill>
      </fill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 outline="0">
        <left/>
        <right/>
        <top/>
        <bottom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 outline="0">
        <left/>
        <right/>
        <top/>
        <bottom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1420C0-7619-46BA-8DAA-C5BC4AE813F4}" name="Tabla2" displayName="Tabla2" ref="A1:C54" totalsRowCount="1" headerRowDxfId="45" totalsRowDxfId="42" headerRowBorderDxfId="44" tableBorderDxfId="43" totalsRowBorderDxfId="41">
  <autoFilter ref="A1:C53" xr:uid="{B91420C0-7619-46BA-8DAA-C5BC4AE813F4}"/>
  <tableColumns count="3">
    <tableColumn id="1" xr3:uid="{536A3AEE-528D-4DFF-8A14-36008C45A3FC}" name="Cód. org. aplic." totalsRowLabel="Total" dataDxfId="40" totalsRowDxfId="39"/>
    <tableColumn id="2" xr3:uid="{E3C5985D-EB71-4A9C-A24C-387FCFA022A2}" name="Descripción justificante" dataDxfId="38" totalsRowDxfId="37"/>
    <tableColumn id="3" xr3:uid="{18B08812-CB77-4275-A7CC-948751715E7E}" name="Imp.cob.aplic." totalsRowFunction="sum" dataDxfId="36" totalsRowDxfId="35" dataCellStyle="Millares" totalsRowCellStyle="Millares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61D659-623D-4D55-9BAE-6F584CA1BE77}" name="Tabla3" displayName="Tabla3" ref="A1:C60" totalsRowCount="1" headerRowBorderDxfId="34" tableBorderDxfId="33" totalsRowBorderDxfId="32">
  <autoFilter ref="A1:C59" xr:uid="{4D61D659-623D-4D55-9BAE-6F584CA1BE77}"/>
  <tableColumns count="3">
    <tableColumn id="1" xr3:uid="{AD92A076-01D5-4B0D-8D9A-A2BACD79BD85}" name="Org. aplic." totalsRowLabel="Total" dataDxfId="31" totalsRowDxfId="30"/>
    <tableColumn id="2" xr3:uid="{9BC20DC6-1E1D-4327-B971-8F33B26A0D1C}" name="Descripción justificante" dataDxfId="29" totalsRowDxfId="28"/>
    <tableColumn id="3" xr3:uid="{2698E869-EAC6-4E7D-91D0-7B31E231ED26}" name="Imp. aplic." totalsRowFunction="sum" dataDxfId="27" totalsRowDxfId="26" dataCellStyle="Millares" totalsRow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67233AA-7E0C-413D-9F18-C6A140F2D82B}" name="Tabla5" displayName="Tabla5" ref="A1:C4" totalsRowCount="1" headerRowDxfId="25" headerRowBorderDxfId="24" tableBorderDxfId="23" totalsRowBorderDxfId="22">
  <autoFilter ref="A1:C3" xr:uid="{E67233AA-7E0C-413D-9F18-C6A140F2D82B}"/>
  <tableColumns count="3">
    <tableColumn id="1" xr3:uid="{E49557A0-0EAA-40F0-BB3D-356F6DBF977F}" name="Cód. org. aplic." totalsRowLabel="Total"/>
    <tableColumn id="2" xr3:uid="{52081F1F-09DD-42FB-91AA-12750484998E}" name="Descripción justificante"/>
    <tableColumn id="3" xr3:uid="{C158AF03-F3DD-422A-9288-847629132E41}" name="Imp.cob.aplic.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818E7B-6D01-486B-88A9-3CC80D8FAE31}" name="Tabla7" displayName="Tabla7" ref="A1:C9" totalsRowCount="1" headerRowDxfId="21" totalsRowDxfId="18" headerRowBorderDxfId="20" tableBorderDxfId="19" totalsRowBorderDxfId="17">
  <autoFilter ref="A1:C8" xr:uid="{8D818E7B-6D01-486B-88A9-3CC80D8FAE31}"/>
  <tableColumns count="3">
    <tableColumn id="1" xr3:uid="{B8844BD3-F3D4-4D62-A128-E695900D64CB}" name="Org. aplic." totalsRowLabel="Total" dataDxfId="16" totalsRowDxfId="15"/>
    <tableColumn id="2" xr3:uid="{EA6A4108-2C21-497D-A175-0654CC1B52D3}" name="Descripción justificante" dataDxfId="14" totalsRowDxfId="13"/>
    <tableColumn id="3" xr3:uid="{E99180C9-E7D9-4BB2-A261-68681B7E9012}" name="Imp. aplic." totalsRowFunction="sum" dataDxfId="12" totalsRowDxfId="11" dataCellStyle="Millares" totalsRowCellStyle="Millar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866C9D-871C-4922-869A-A8A0D8722AC1}" name="Tabla1" displayName="Tabla1" ref="A1:C9" totalsRowCount="1" headerRowDxfId="4" totalsRowDxfId="0" headerRowBorderDxfId="9" tableBorderDxfId="10" totalsRowBorderDxfId="8">
  <autoFilter ref="A1:C8" xr:uid="{BF866C9D-871C-4922-869A-A8A0D8722AC1}"/>
  <tableColumns count="3">
    <tableColumn id="1" xr3:uid="{4D336122-EDEA-46B1-B6FD-568EFA01B7C7}" name="Org. aplic." totalsRowLabel="Total" dataDxfId="7" totalsRowDxfId="3"/>
    <tableColumn id="2" xr3:uid="{1DFE3165-3174-4FCC-9446-460A9AA679B8}" name="Descripción justificante" dataDxfId="6" totalsRowDxfId="2"/>
    <tableColumn id="3" xr3:uid="{A678B673-EE07-410E-A4EE-C57D691E0DF8}" name="Imp. aplic." totalsRowFunction="sum" dataDxfId="5" totalsRowDxfId="1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33"/>
  <sheetViews>
    <sheetView showGridLines="0" zoomScale="120" zoomScaleNormal="120" workbookViewId="0">
      <pane xSplit="1" ySplit="1" topLeftCell="C13" activePane="bottomRight" state="frozen"/>
      <selection pane="topRight" activeCell="B1" sqref="B1"/>
      <selection pane="bottomLeft" activeCell="A2" sqref="A2"/>
      <selection pane="bottomRight" activeCell="E39" sqref="E39"/>
    </sheetView>
  </sheetViews>
  <sheetFormatPr baseColWidth="10" defaultColWidth="10.28515625" defaultRowHeight="11.25" x14ac:dyDescent="0.2"/>
  <cols>
    <col min="1" max="1" width="5" style="6" customWidth="1"/>
    <col min="2" max="4" width="29.7109375" style="6" customWidth="1"/>
    <col min="5" max="5" width="40.7109375" style="6" customWidth="1"/>
    <col min="6" max="6" width="9.140625" style="6" customWidth="1"/>
    <col min="7" max="7" width="9.7109375" style="6" customWidth="1"/>
    <col min="8" max="8" width="14.42578125" style="6" customWidth="1"/>
    <col min="9" max="9" width="5.85546875" style="6" customWidth="1"/>
    <col min="10" max="10" width="25.7109375" style="6" customWidth="1"/>
    <col min="11" max="12" width="5.140625" style="6" customWidth="1"/>
    <col min="13" max="13" width="4.42578125" style="6" customWidth="1"/>
    <col min="14" max="14" width="4.85546875" style="6" customWidth="1"/>
    <col min="15" max="15" width="4.85546875" style="7" customWidth="1"/>
    <col min="16" max="16" width="4.85546875" style="6" customWidth="1"/>
    <col min="17" max="17" width="3.5703125" style="7" customWidth="1"/>
    <col min="18" max="18" width="3.5703125" style="6" customWidth="1"/>
    <col min="19" max="21" width="5.140625" style="6" customWidth="1"/>
    <col min="22" max="16384" width="10.28515625" style="6"/>
  </cols>
  <sheetData>
    <row r="1" spans="1:21" ht="45" x14ac:dyDescent="0.2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1" t="s">
        <v>10</v>
      </c>
      <c r="J1" s="2" t="s">
        <v>11</v>
      </c>
      <c r="K1" s="1" t="s">
        <v>12</v>
      </c>
      <c r="L1" s="2" t="s">
        <v>13</v>
      </c>
      <c r="M1" s="3" t="s">
        <v>14</v>
      </c>
      <c r="N1" s="4" t="s">
        <v>15</v>
      </c>
      <c r="O1" s="5" t="s">
        <v>16</v>
      </c>
      <c r="P1" s="4" t="s">
        <v>17</v>
      </c>
      <c r="Q1" s="5" t="s">
        <v>18</v>
      </c>
      <c r="R1" s="4" t="s">
        <v>19</v>
      </c>
      <c r="S1" s="4" t="s">
        <v>20</v>
      </c>
      <c r="T1" s="4" t="s">
        <v>21</v>
      </c>
      <c r="U1" s="4" t="s">
        <v>22</v>
      </c>
    </row>
    <row r="2" spans="1:21" x14ac:dyDescent="0.2">
      <c r="A2" s="15" t="s">
        <v>82</v>
      </c>
      <c r="B2" s="15" t="s">
        <v>83</v>
      </c>
      <c r="C2" s="15" t="s">
        <v>84</v>
      </c>
      <c r="D2" s="15" t="s">
        <v>85</v>
      </c>
      <c r="E2" s="15" t="s">
        <v>86</v>
      </c>
      <c r="F2" s="15" t="s">
        <v>87</v>
      </c>
      <c r="G2" s="15" t="s">
        <v>47</v>
      </c>
      <c r="H2" s="15" t="s">
        <v>25</v>
      </c>
      <c r="I2" s="15" t="s">
        <v>23</v>
      </c>
      <c r="J2" s="15" t="s">
        <v>24</v>
      </c>
      <c r="K2" s="25">
        <v>0.5</v>
      </c>
      <c r="L2" s="15" t="s">
        <v>43</v>
      </c>
      <c r="M2" s="15">
        <v>2019</v>
      </c>
      <c r="N2" s="15" t="s">
        <v>35</v>
      </c>
      <c r="O2" s="16" t="s">
        <v>34</v>
      </c>
      <c r="P2" s="15" t="s">
        <v>27</v>
      </c>
      <c r="Q2" s="16" t="s">
        <v>27</v>
      </c>
      <c r="R2" s="17">
        <v>80</v>
      </c>
      <c r="S2" s="18">
        <v>0.4</v>
      </c>
      <c r="T2" s="18">
        <v>0.1</v>
      </c>
      <c r="U2" s="18">
        <v>0</v>
      </c>
    </row>
    <row r="3" spans="1:21" x14ac:dyDescent="0.2">
      <c r="A3" s="15" t="s">
        <v>36</v>
      </c>
      <c r="B3" s="15" t="s">
        <v>37</v>
      </c>
      <c r="C3" s="15" t="s">
        <v>38</v>
      </c>
      <c r="D3" s="15" t="s">
        <v>88</v>
      </c>
      <c r="E3" s="15" t="s">
        <v>89</v>
      </c>
      <c r="F3" s="15" t="s">
        <v>90</v>
      </c>
      <c r="G3" s="15" t="s">
        <v>47</v>
      </c>
      <c r="H3" s="15" t="s">
        <v>25</v>
      </c>
      <c r="I3" s="15" t="s">
        <v>23</v>
      </c>
      <c r="J3" s="15" t="s">
        <v>24</v>
      </c>
      <c r="K3" s="25">
        <v>0.5</v>
      </c>
      <c r="L3" s="15" t="s">
        <v>43</v>
      </c>
      <c r="M3" s="15">
        <v>2019</v>
      </c>
      <c r="N3" s="15" t="s">
        <v>35</v>
      </c>
      <c r="O3" s="16" t="s">
        <v>34</v>
      </c>
      <c r="P3" s="15" t="s">
        <v>27</v>
      </c>
      <c r="Q3" s="16" t="s">
        <v>27</v>
      </c>
      <c r="R3" s="17">
        <v>80</v>
      </c>
      <c r="S3" s="18">
        <v>0.4</v>
      </c>
      <c r="T3" s="18">
        <v>0.1</v>
      </c>
      <c r="U3" s="18">
        <v>0</v>
      </c>
    </row>
    <row r="4" spans="1:21" x14ac:dyDescent="0.2">
      <c r="A4" s="15" t="s">
        <v>36</v>
      </c>
      <c r="B4" s="15" t="s">
        <v>37</v>
      </c>
      <c r="C4" s="15" t="s">
        <v>38</v>
      </c>
      <c r="D4" s="15" t="s">
        <v>88</v>
      </c>
      <c r="E4" s="15" t="s">
        <v>89</v>
      </c>
      <c r="F4" s="15" t="s">
        <v>90</v>
      </c>
      <c r="G4" s="15" t="s">
        <v>44</v>
      </c>
      <c r="H4" s="15" t="s">
        <v>25</v>
      </c>
      <c r="I4" s="15" t="s">
        <v>23</v>
      </c>
      <c r="J4" s="15" t="s">
        <v>24</v>
      </c>
      <c r="K4" s="25">
        <v>0.5</v>
      </c>
      <c r="L4" s="15" t="s">
        <v>43</v>
      </c>
      <c r="M4" s="15">
        <v>2019</v>
      </c>
      <c r="N4" s="15" t="s">
        <v>35</v>
      </c>
      <c r="O4" s="16" t="s">
        <v>26</v>
      </c>
      <c r="P4" s="15" t="s">
        <v>27</v>
      </c>
      <c r="Q4" s="16" t="s">
        <v>27</v>
      </c>
      <c r="R4" s="17">
        <v>50</v>
      </c>
      <c r="S4" s="18">
        <v>0.25</v>
      </c>
      <c r="T4" s="18">
        <v>0.25</v>
      </c>
      <c r="U4" s="18">
        <v>0</v>
      </c>
    </row>
    <row r="5" spans="1:21" x14ac:dyDescent="0.2">
      <c r="A5" s="13" t="s">
        <v>28</v>
      </c>
      <c r="B5" s="13" t="s">
        <v>29</v>
      </c>
      <c r="C5" s="13" t="s">
        <v>30</v>
      </c>
      <c r="D5" s="13" t="s">
        <v>94</v>
      </c>
      <c r="E5" s="13" t="s">
        <v>95</v>
      </c>
      <c r="F5" s="13" t="s">
        <v>96</v>
      </c>
      <c r="G5" s="13" t="s">
        <v>48</v>
      </c>
      <c r="H5" s="13" t="s">
        <v>25</v>
      </c>
      <c r="I5" s="13" t="s">
        <v>23</v>
      </c>
      <c r="J5" s="13" t="s">
        <v>24</v>
      </c>
      <c r="K5" s="19">
        <v>0.33333333333333331</v>
      </c>
      <c r="L5" s="19" t="s">
        <v>43</v>
      </c>
      <c r="M5" s="20">
        <v>2019</v>
      </c>
      <c r="N5" s="13" t="s">
        <v>27</v>
      </c>
      <c r="O5" s="14" t="s">
        <v>27</v>
      </c>
      <c r="P5" s="13" t="s">
        <v>27</v>
      </c>
      <c r="Q5" s="14" t="s">
        <v>27</v>
      </c>
      <c r="R5" s="13">
        <v>100</v>
      </c>
      <c r="S5" s="13">
        <v>0.33333333333333326</v>
      </c>
      <c r="T5" s="13">
        <v>0</v>
      </c>
      <c r="U5" s="13">
        <v>0</v>
      </c>
    </row>
    <row r="6" spans="1:21" ht="12" thickBot="1" x14ac:dyDescent="0.25">
      <c r="A6" s="13" t="s">
        <v>36</v>
      </c>
      <c r="B6" s="13" t="s">
        <v>37</v>
      </c>
      <c r="C6" s="13" t="s">
        <v>38</v>
      </c>
      <c r="D6" s="13" t="s">
        <v>97</v>
      </c>
      <c r="E6" s="13" t="s">
        <v>98</v>
      </c>
      <c r="F6" s="13" t="s">
        <v>99</v>
      </c>
      <c r="G6" s="13" t="s">
        <v>42</v>
      </c>
      <c r="H6" s="13" t="s">
        <v>31</v>
      </c>
      <c r="I6" s="13" t="s">
        <v>23</v>
      </c>
      <c r="J6" s="13" t="s">
        <v>24</v>
      </c>
      <c r="K6" s="19">
        <v>1</v>
      </c>
      <c r="L6" s="19" t="s">
        <v>43</v>
      </c>
      <c r="M6" s="20">
        <v>2019</v>
      </c>
      <c r="N6" s="13" t="s">
        <v>35</v>
      </c>
      <c r="O6" s="14">
        <v>50</v>
      </c>
      <c r="P6" s="13" t="s">
        <v>27</v>
      </c>
      <c r="Q6" s="14">
        <v>0</v>
      </c>
      <c r="R6" s="13">
        <v>50</v>
      </c>
      <c r="S6" s="13">
        <v>0.5</v>
      </c>
      <c r="T6" s="13">
        <v>0.5</v>
      </c>
      <c r="U6" s="13">
        <v>0</v>
      </c>
    </row>
    <row r="7" spans="1:21" ht="12" thickBot="1" x14ac:dyDescent="0.25">
      <c r="A7" s="21" t="s">
        <v>28</v>
      </c>
      <c r="B7" s="21" t="s">
        <v>29</v>
      </c>
      <c r="C7" s="21" t="s">
        <v>30</v>
      </c>
      <c r="D7" s="21" t="s">
        <v>100</v>
      </c>
      <c r="E7" s="21" t="s">
        <v>101</v>
      </c>
      <c r="F7" s="21" t="s">
        <v>102</v>
      </c>
      <c r="G7" s="22" t="s">
        <v>45</v>
      </c>
      <c r="H7" s="23" t="s">
        <v>25</v>
      </c>
      <c r="I7" s="23" t="s">
        <v>23</v>
      </c>
      <c r="J7" s="24" t="s">
        <v>24</v>
      </c>
      <c r="K7" s="19">
        <v>0.5</v>
      </c>
      <c r="L7" s="19" t="s">
        <v>43</v>
      </c>
      <c r="M7" s="13">
        <v>2020</v>
      </c>
      <c r="N7" s="13" t="s">
        <v>27</v>
      </c>
      <c r="O7" s="14" t="s">
        <v>27</v>
      </c>
      <c r="P7" s="13" t="s">
        <v>27</v>
      </c>
      <c r="Q7" s="14" t="s">
        <v>27</v>
      </c>
      <c r="R7" s="13">
        <v>100</v>
      </c>
      <c r="S7" s="13">
        <v>0.5</v>
      </c>
      <c r="T7" s="13">
        <v>0</v>
      </c>
      <c r="U7" s="13">
        <v>0</v>
      </c>
    </row>
    <row r="8" spans="1:21" ht="12" thickBot="1" x14ac:dyDescent="0.25">
      <c r="A8" s="21" t="s">
        <v>28</v>
      </c>
      <c r="B8" s="21" t="s">
        <v>29</v>
      </c>
      <c r="C8" s="21" t="s">
        <v>30</v>
      </c>
      <c r="D8" s="21" t="s">
        <v>100</v>
      </c>
      <c r="E8" s="21" t="s">
        <v>101</v>
      </c>
      <c r="F8" s="21" t="s">
        <v>102</v>
      </c>
      <c r="G8" s="22" t="s">
        <v>46</v>
      </c>
      <c r="H8" s="23" t="s">
        <v>25</v>
      </c>
      <c r="I8" s="23" t="s">
        <v>23</v>
      </c>
      <c r="J8" s="24" t="s">
        <v>24</v>
      </c>
      <c r="K8" s="19">
        <v>0.5</v>
      </c>
      <c r="L8" s="19" t="s">
        <v>43</v>
      </c>
      <c r="M8" s="13">
        <v>2020</v>
      </c>
      <c r="N8" s="13" t="s">
        <v>27</v>
      </c>
      <c r="O8" s="14" t="s">
        <v>27</v>
      </c>
      <c r="P8" s="13" t="s">
        <v>27</v>
      </c>
      <c r="Q8" s="14" t="s">
        <v>27</v>
      </c>
      <c r="R8" s="13">
        <v>100</v>
      </c>
      <c r="S8" s="13">
        <v>0.5</v>
      </c>
      <c r="T8" s="13">
        <v>0</v>
      </c>
      <c r="U8" s="13">
        <v>0</v>
      </c>
    </row>
    <row r="9" spans="1:21" ht="12" thickBot="1" x14ac:dyDescent="0.25">
      <c r="A9" s="21" t="s">
        <v>28</v>
      </c>
      <c r="B9" s="21" t="s">
        <v>29</v>
      </c>
      <c r="C9" s="21" t="s">
        <v>30</v>
      </c>
      <c r="D9" s="21" t="s">
        <v>103</v>
      </c>
      <c r="E9" s="21" t="s">
        <v>104</v>
      </c>
      <c r="F9" s="21" t="s">
        <v>105</v>
      </c>
      <c r="G9" s="22" t="s">
        <v>49</v>
      </c>
      <c r="H9" s="23" t="s">
        <v>25</v>
      </c>
      <c r="I9" s="23" t="s">
        <v>23</v>
      </c>
      <c r="J9" s="24" t="s">
        <v>24</v>
      </c>
      <c r="K9" s="19">
        <v>0.5</v>
      </c>
      <c r="L9" s="19" t="s">
        <v>43</v>
      </c>
      <c r="M9" s="13">
        <v>2020</v>
      </c>
      <c r="N9" s="13" t="s">
        <v>33</v>
      </c>
      <c r="O9" s="14">
        <v>10</v>
      </c>
      <c r="P9" s="13" t="s">
        <v>27</v>
      </c>
      <c r="Q9" s="14">
        <v>0</v>
      </c>
      <c r="R9" s="13">
        <v>90</v>
      </c>
      <c r="S9" s="13">
        <v>0.45</v>
      </c>
      <c r="T9" s="13">
        <v>0.05</v>
      </c>
      <c r="U9" s="13">
        <v>0</v>
      </c>
    </row>
    <row r="10" spans="1:21" ht="12" thickBot="1" x14ac:dyDescent="0.25">
      <c r="A10" s="21" t="s">
        <v>36</v>
      </c>
      <c r="B10" s="21" t="s">
        <v>37</v>
      </c>
      <c r="C10" s="21" t="s">
        <v>38</v>
      </c>
      <c r="D10" s="21" t="s">
        <v>106</v>
      </c>
      <c r="E10" s="21" t="s">
        <v>107</v>
      </c>
      <c r="F10" s="21" t="s">
        <v>108</v>
      </c>
      <c r="G10" s="22" t="s">
        <v>109</v>
      </c>
      <c r="H10" s="23" t="s">
        <v>25</v>
      </c>
      <c r="I10" s="23" t="s">
        <v>23</v>
      </c>
      <c r="J10" s="24" t="s">
        <v>24</v>
      </c>
      <c r="K10" s="19">
        <v>0.5</v>
      </c>
      <c r="L10" s="19" t="s">
        <v>43</v>
      </c>
      <c r="M10" s="13">
        <v>2020</v>
      </c>
      <c r="N10" s="13" t="s">
        <v>27</v>
      </c>
      <c r="O10" s="14" t="s">
        <v>27</v>
      </c>
      <c r="P10" s="13" t="s">
        <v>27</v>
      </c>
      <c r="Q10" s="14" t="s">
        <v>27</v>
      </c>
      <c r="R10" s="13">
        <v>100</v>
      </c>
      <c r="S10" s="13">
        <v>0.5</v>
      </c>
      <c r="T10" s="13">
        <v>0</v>
      </c>
      <c r="U10" s="13">
        <v>0</v>
      </c>
    </row>
    <row r="11" spans="1:21" ht="12" thickBot="1" x14ac:dyDescent="0.25">
      <c r="A11" s="21" t="s">
        <v>36</v>
      </c>
      <c r="B11" s="21" t="s">
        <v>37</v>
      </c>
      <c r="C11" s="21" t="s">
        <v>38</v>
      </c>
      <c r="D11" s="21" t="s">
        <v>106</v>
      </c>
      <c r="E11" s="21" t="s">
        <v>107</v>
      </c>
      <c r="F11" s="21" t="s">
        <v>108</v>
      </c>
      <c r="G11" s="22" t="s">
        <v>44</v>
      </c>
      <c r="H11" s="23" t="s">
        <v>25</v>
      </c>
      <c r="I11" s="23" t="s">
        <v>23</v>
      </c>
      <c r="J11" s="24" t="s">
        <v>24</v>
      </c>
      <c r="K11" s="19">
        <v>0.5</v>
      </c>
      <c r="L11" s="19" t="s">
        <v>43</v>
      </c>
      <c r="M11" s="13">
        <v>2020</v>
      </c>
      <c r="N11" s="13" t="s">
        <v>35</v>
      </c>
      <c r="O11" s="14">
        <v>50</v>
      </c>
      <c r="P11" s="13" t="s">
        <v>27</v>
      </c>
      <c r="Q11" s="14">
        <v>0</v>
      </c>
      <c r="R11" s="13">
        <v>50</v>
      </c>
      <c r="S11" s="13">
        <v>0.25</v>
      </c>
      <c r="T11" s="13">
        <v>0.25</v>
      </c>
      <c r="U11" s="13">
        <v>0</v>
      </c>
    </row>
    <row r="12" spans="1:21" x14ac:dyDescent="0.2">
      <c r="A12" s="13" t="s">
        <v>28</v>
      </c>
      <c r="B12" s="13" t="s">
        <v>29</v>
      </c>
      <c r="C12" s="13" t="s">
        <v>30</v>
      </c>
      <c r="D12" s="13" t="s">
        <v>114</v>
      </c>
      <c r="E12" s="13" t="s">
        <v>115</v>
      </c>
      <c r="F12" s="13" t="s">
        <v>116</v>
      </c>
      <c r="G12" s="13" t="s">
        <v>117</v>
      </c>
      <c r="H12" s="13" t="s">
        <v>25</v>
      </c>
      <c r="I12" s="13" t="s">
        <v>23</v>
      </c>
      <c r="J12" s="13" t="s">
        <v>24</v>
      </c>
      <c r="K12" s="19">
        <v>0.5</v>
      </c>
      <c r="L12" s="19" t="s">
        <v>43</v>
      </c>
      <c r="M12" s="13">
        <v>2021</v>
      </c>
      <c r="N12" s="13" t="s">
        <v>27</v>
      </c>
      <c r="O12" s="14" t="s">
        <v>27</v>
      </c>
      <c r="P12" s="13" t="s">
        <v>27</v>
      </c>
      <c r="Q12" s="14" t="s">
        <v>27</v>
      </c>
      <c r="R12" s="13">
        <v>100</v>
      </c>
      <c r="S12" s="13">
        <v>0.5</v>
      </c>
      <c r="T12" s="13">
        <v>0</v>
      </c>
      <c r="U12" s="13">
        <v>0</v>
      </c>
    </row>
    <row r="13" spans="1:21" x14ac:dyDescent="0.2">
      <c r="A13" s="13" t="s">
        <v>28</v>
      </c>
      <c r="B13" s="13" t="s">
        <v>29</v>
      </c>
      <c r="C13" s="13" t="s">
        <v>30</v>
      </c>
      <c r="D13" s="13" t="s">
        <v>114</v>
      </c>
      <c r="E13" s="13" t="s">
        <v>115</v>
      </c>
      <c r="F13" s="13" t="s">
        <v>116</v>
      </c>
      <c r="G13" s="13" t="s">
        <v>48</v>
      </c>
      <c r="H13" s="13" t="s">
        <v>25</v>
      </c>
      <c r="I13" s="13" t="s">
        <v>23</v>
      </c>
      <c r="J13" s="13" t="s">
        <v>24</v>
      </c>
      <c r="K13" s="19">
        <v>0.5</v>
      </c>
      <c r="L13" s="19" t="s">
        <v>43</v>
      </c>
      <c r="M13" s="13">
        <v>2021</v>
      </c>
      <c r="N13" s="13" t="s">
        <v>27</v>
      </c>
      <c r="O13" s="14" t="s">
        <v>27</v>
      </c>
      <c r="P13" s="13" t="s">
        <v>27</v>
      </c>
      <c r="Q13" s="14" t="s">
        <v>27</v>
      </c>
      <c r="R13" s="13">
        <v>100</v>
      </c>
      <c r="S13" s="13">
        <v>0.5</v>
      </c>
      <c r="T13" s="13">
        <v>0</v>
      </c>
      <c r="U13" s="13">
        <v>0</v>
      </c>
    </row>
    <row r="14" spans="1:21" x14ac:dyDescent="0.2">
      <c r="A14" s="13" t="s">
        <v>28</v>
      </c>
      <c r="B14" s="13" t="s">
        <v>29</v>
      </c>
      <c r="C14" s="13" t="s">
        <v>30</v>
      </c>
      <c r="D14" s="13" t="s">
        <v>118</v>
      </c>
      <c r="E14" s="13" t="s">
        <v>119</v>
      </c>
      <c r="F14" s="13" t="s">
        <v>120</v>
      </c>
      <c r="G14" s="13" t="s">
        <v>51</v>
      </c>
      <c r="H14" s="13" t="s">
        <v>25</v>
      </c>
      <c r="I14" s="13" t="s">
        <v>23</v>
      </c>
      <c r="J14" s="13" t="s">
        <v>24</v>
      </c>
      <c r="K14" s="19">
        <v>0.5</v>
      </c>
      <c r="L14" s="19" t="s">
        <v>43</v>
      </c>
      <c r="M14" s="13">
        <v>2021</v>
      </c>
      <c r="N14" s="13" t="s">
        <v>27</v>
      </c>
      <c r="O14" s="14" t="s">
        <v>27</v>
      </c>
      <c r="P14" s="13" t="s">
        <v>27</v>
      </c>
      <c r="Q14" s="14" t="s">
        <v>27</v>
      </c>
      <c r="R14" s="13">
        <v>100</v>
      </c>
      <c r="S14" s="13">
        <v>0.5</v>
      </c>
      <c r="T14" s="13">
        <v>0</v>
      </c>
      <c r="U14" s="13">
        <v>0</v>
      </c>
    </row>
    <row r="15" spans="1:21" x14ac:dyDescent="0.2">
      <c r="A15" s="13" t="s">
        <v>28</v>
      </c>
      <c r="B15" s="13" t="s">
        <v>29</v>
      </c>
      <c r="C15" s="13" t="s">
        <v>30</v>
      </c>
      <c r="D15" s="13" t="s">
        <v>129</v>
      </c>
      <c r="E15" s="13" t="s">
        <v>130</v>
      </c>
      <c r="F15" s="13" t="s">
        <v>131</v>
      </c>
      <c r="G15" s="13" t="s">
        <v>45</v>
      </c>
      <c r="H15" s="13" t="s">
        <v>25</v>
      </c>
      <c r="I15" s="13" t="s">
        <v>23</v>
      </c>
      <c r="J15" s="13" t="s">
        <v>24</v>
      </c>
      <c r="K15" s="31">
        <v>0.5</v>
      </c>
      <c r="L15" s="31" t="s">
        <v>43</v>
      </c>
      <c r="M15" s="13">
        <v>2022</v>
      </c>
      <c r="N15" s="31" t="s">
        <v>27</v>
      </c>
      <c r="O15" s="31" t="s">
        <v>27</v>
      </c>
      <c r="P15" s="31" t="s">
        <v>27</v>
      </c>
      <c r="Q15" s="31" t="s">
        <v>27</v>
      </c>
      <c r="R15" s="31">
        <v>100</v>
      </c>
      <c r="S15" s="31">
        <v>0.5</v>
      </c>
      <c r="T15" s="31">
        <v>0</v>
      </c>
      <c r="U15" s="31">
        <v>0</v>
      </c>
    </row>
    <row r="16" spans="1:21" x14ac:dyDescent="0.2">
      <c r="A16" s="13" t="s">
        <v>28</v>
      </c>
      <c r="B16" s="13" t="s">
        <v>29</v>
      </c>
      <c r="C16" s="13" t="s">
        <v>30</v>
      </c>
      <c r="D16" s="13" t="s">
        <v>129</v>
      </c>
      <c r="E16" s="13" t="s">
        <v>130</v>
      </c>
      <c r="F16" s="13" t="s">
        <v>131</v>
      </c>
      <c r="G16" s="13" t="s">
        <v>46</v>
      </c>
      <c r="H16" s="13" t="s">
        <v>25</v>
      </c>
      <c r="I16" s="13" t="s">
        <v>23</v>
      </c>
      <c r="J16" s="13" t="s">
        <v>24</v>
      </c>
      <c r="K16" s="31">
        <v>0.5</v>
      </c>
      <c r="L16" s="31" t="s">
        <v>43</v>
      </c>
      <c r="M16" s="13">
        <v>2022</v>
      </c>
      <c r="N16" s="31" t="s">
        <v>27</v>
      </c>
      <c r="O16" s="31" t="s">
        <v>27</v>
      </c>
      <c r="P16" s="31" t="s">
        <v>27</v>
      </c>
      <c r="Q16" s="31" t="s">
        <v>27</v>
      </c>
      <c r="R16" s="31">
        <v>100</v>
      </c>
      <c r="S16" s="31">
        <v>0.5</v>
      </c>
      <c r="T16" s="31">
        <v>0</v>
      </c>
      <c r="U16" s="31">
        <v>0</v>
      </c>
    </row>
    <row r="17" spans="1:22" x14ac:dyDescent="0.2">
      <c r="A17" s="13" t="s">
        <v>28</v>
      </c>
      <c r="B17" s="13" t="s">
        <v>29</v>
      </c>
      <c r="C17" s="13" t="s">
        <v>30</v>
      </c>
      <c r="D17" s="13" t="s">
        <v>132</v>
      </c>
      <c r="E17" s="13" t="s">
        <v>133</v>
      </c>
      <c r="F17" s="13" t="s">
        <v>134</v>
      </c>
      <c r="G17" s="13" t="s">
        <v>49</v>
      </c>
      <c r="H17" s="13" t="s">
        <v>25</v>
      </c>
      <c r="I17" s="13" t="s">
        <v>23</v>
      </c>
      <c r="J17" s="13" t="s">
        <v>24</v>
      </c>
      <c r="K17" s="31">
        <v>0.5</v>
      </c>
      <c r="L17" s="31" t="s">
        <v>43</v>
      </c>
      <c r="M17" s="13">
        <v>2022</v>
      </c>
      <c r="N17" s="31" t="s">
        <v>33</v>
      </c>
      <c r="O17" s="31">
        <v>10</v>
      </c>
      <c r="P17" s="31" t="s">
        <v>27</v>
      </c>
      <c r="Q17" s="31">
        <v>0</v>
      </c>
      <c r="R17" s="31">
        <v>90</v>
      </c>
      <c r="S17" s="31">
        <v>0.45</v>
      </c>
      <c r="T17" s="31">
        <v>0.05</v>
      </c>
      <c r="U17" s="31">
        <v>0</v>
      </c>
    </row>
    <row r="18" spans="1:22" x14ac:dyDescent="0.2">
      <c r="A18" s="13" t="s">
        <v>28</v>
      </c>
      <c r="B18" s="13" t="s">
        <v>29</v>
      </c>
      <c r="C18" s="13" t="s">
        <v>30</v>
      </c>
      <c r="D18" s="13" t="s">
        <v>132</v>
      </c>
      <c r="E18" s="13" t="s">
        <v>133</v>
      </c>
      <c r="F18" s="13" t="s">
        <v>134</v>
      </c>
      <c r="G18" s="13" t="s">
        <v>50</v>
      </c>
      <c r="H18" s="13" t="s">
        <v>25</v>
      </c>
      <c r="I18" s="13" t="s">
        <v>23</v>
      </c>
      <c r="J18" s="13" t="s">
        <v>24</v>
      </c>
      <c r="K18" s="31">
        <v>0.5</v>
      </c>
      <c r="L18" s="31" t="s">
        <v>43</v>
      </c>
      <c r="M18" s="13">
        <v>2022</v>
      </c>
      <c r="N18" s="31" t="s">
        <v>27</v>
      </c>
      <c r="O18" s="31" t="s">
        <v>27</v>
      </c>
      <c r="P18" s="31" t="s">
        <v>27</v>
      </c>
      <c r="Q18" s="31" t="s">
        <v>27</v>
      </c>
      <c r="R18" s="31">
        <v>100</v>
      </c>
      <c r="S18" s="31">
        <v>0.5</v>
      </c>
      <c r="T18" s="31">
        <v>0</v>
      </c>
      <c r="U18" s="31">
        <v>0</v>
      </c>
    </row>
    <row r="19" spans="1:22" x14ac:dyDescent="0.2">
      <c r="A19" s="13" t="s">
        <v>39</v>
      </c>
      <c r="B19" s="13" t="s">
        <v>40</v>
      </c>
      <c r="C19" s="13" t="s">
        <v>41</v>
      </c>
      <c r="D19" s="13" t="s">
        <v>135</v>
      </c>
      <c r="E19" s="13" t="s">
        <v>136</v>
      </c>
      <c r="F19" s="13" t="s">
        <v>137</v>
      </c>
      <c r="G19" s="13" t="s">
        <v>138</v>
      </c>
      <c r="H19" s="13" t="s">
        <v>25</v>
      </c>
      <c r="I19" s="13" t="s">
        <v>23</v>
      </c>
      <c r="J19" s="13" t="s">
        <v>24</v>
      </c>
      <c r="K19" s="31">
        <v>0.5</v>
      </c>
      <c r="L19" s="31" t="s">
        <v>43</v>
      </c>
      <c r="M19" s="13">
        <v>2022</v>
      </c>
      <c r="N19" s="31" t="s">
        <v>27</v>
      </c>
      <c r="O19" s="31" t="s">
        <v>27</v>
      </c>
      <c r="P19" s="31" t="s">
        <v>27</v>
      </c>
      <c r="Q19" s="31" t="s">
        <v>27</v>
      </c>
      <c r="R19" s="31">
        <v>100</v>
      </c>
      <c r="S19" s="31">
        <v>0.5</v>
      </c>
      <c r="T19" s="31">
        <v>0</v>
      </c>
      <c r="U19" s="31">
        <v>0</v>
      </c>
    </row>
    <row r="20" spans="1:22" x14ac:dyDescent="0.2">
      <c r="A20" s="13" t="s">
        <v>39</v>
      </c>
      <c r="B20" s="13" t="s">
        <v>40</v>
      </c>
      <c r="C20" s="13" t="s">
        <v>41</v>
      </c>
      <c r="D20" s="13" t="s">
        <v>135</v>
      </c>
      <c r="E20" s="13" t="s">
        <v>136</v>
      </c>
      <c r="F20" s="13" t="s">
        <v>137</v>
      </c>
      <c r="G20" s="13" t="s">
        <v>139</v>
      </c>
      <c r="H20" s="13" t="s">
        <v>25</v>
      </c>
      <c r="I20" s="13" t="s">
        <v>23</v>
      </c>
      <c r="J20" s="13" t="s">
        <v>24</v>
      </c>
      <c r="K20" s="31">
        <v>0.5</v>
      </c>
      <c r="L20" s="31" t="s">
        <v>43</v>
      </c>
      <c r="M20" s="13">
        <v>2022</v>
      </c>
      <c r="N20" s="31" t="s">
        <v>27</v>
      </c>
      <c r="O20" s="31" t="s">
        <v>27</v>
      </c>
      <c r="P20" s="31" t="s">
        <v>27</v>
      </c>
      <c r="Q20" s="31" t="s">
        <v>27</v>
      </c>
      <c r="R20" s="31">
        <v>100</v>
      </c>
      <c r="S20" s="31">
        <v>0.5</v>
      </c>
      <c r="T20" s="31">
        <v>0</v>
      </c>
      <c r="U20" s="31">
        <v>0</v>
      </c>
    </row>
    <row r="21" spans="1:22" x14ac:dyDescent="0.2">
      <c r="A21" s="31" t="s">
        <v>228</v>
      </c>
      <c r="B21" s="31" t="s">
        <v>229</v>
      </c>
      <c r="C21" s="31" t="s">
        <v>230</v>
      </c>
      <c r="D21" s="31" t="s">
        <v>231</v>
      </c>
      <c r="E21" s="31" t="s">
        <v>232</v>
      </c>
      <c r="F21" s="31" t="s">
        <v>233</v>
      </c>
      <c r="G21" s="31" t="s">
        <v>91</v>
      </c>
      <c r="H21" s="31" t="s">
        <v>234</v>
      </c>
      <c r="I21" s="31" t="s">
        <v>43</v>
      </c>
      <c r="J21" s="31" t="s">
        <v>235</v>
      </c>
      <c r="K21" s="31">
        <v>0.5</v>
      </c>
      <c r="L21" s="31" t="s">
        <v>43</v>
      </c>
      <c r="M21" s="31">
        <v>2023</v>
      </c>
      <c r="N21" s="31" t="s">
        <v>27</v>
      </c>
      <c r="O21" s="31" t="s">
        <v>27</v>
      </c>
      <c r="P21" s="31" t="s">
        <v>27</v>
      </c>
      <c r="Q21" s="31" t="s">
        <v>27</v>
      </c>
      <c r="R21" s="31">
        <v>100</v>
      </c>
      <c r="S21" s="31">
        <v>0.5</v>
      </c>
      <c r="T21" s="31">
        <v>0</v>
      </c>
      <c r="U21" s="31">
        <v>0</v>
      </c>
      <c r="V21" s="6" t="s">
        <v>143</v>
      </c>
    </row>
    <row r="22" spans="1:22" x14ac:dyDescent="0.2">
      <c r="A22" s="31" t="s">
        <v>228</v>
      </c>
      <c r="B22" s="31" t="s">
        <v>229</v>
      </c>
      <c r="C22" s="31" t="s">
        <v>230</v>
      </c>
      <c r="D22" s="31" t="s">
        <v>231</v>
      </c>
      <c r="E22" s="31" t="s">
        <v>232</v>
      </c>
      <c r="F22" s="31" t="s">
        <v>233</v>
      </c>
      <c r="G22" s="31" t="s">
        <v>72</v>
      </c>
      <c r="H22" s="31" t="s">
        <v>234</v>
      </c>
      <c r="I22" s="31" t="s">
        <v>43</v>
      </c>
      <c r="J22" s="31" t="s">
        <v>235</v>
      </c>
      <c r="K22" s="31">
        <v>0.5</v>
      </c>
      <c r="L22" s="31" t="s">
        <v>43</v>
      </c>
      <c r="M22" s="31">
        <v>2023</v>
      </c>
      <c r="N22" s="31" t="s">
        <v>27</v>
      </c>
      <c r="O22" s="31" t="s">
        <v>27</v>
      </c>
      <c r="P22" s="31" t="s">
        <v>27</v>
      </c>
      <c r="Q22" s="31" t="s">
        <v>27</v>
      </c>
      <c r="R22" s="31">
        <v>100</v>
      </c>
      <c r="S22" s="31">
        <v>0.5</v>
      </c>
      <c r="T22" s="31">
        <v>0</v>
      </c>
      <c r="U22" s="31">
        <v>0</v>
      </c>
      <c r="V22" s="6" t="s">
        <v>143</v>
      </c>
    </row>
    <row r="23" spans="1:22" x14ac:dyDescent="0.2">
      <c r="A23" s="31" t="s">
        <v>228</v>
      </c>
      <c r="B23" s="31" t="s">
        <v>229</v>
      </c>
      <c r="C23" s="31" t="s">
        <v>230</v>
      </c>
      <c r="D23" s="31" t="s">
        <v>236</v>
      </c>
      <c r="E23" s="31" t="s">
        <v>237</v>
      </c>
      <c r="F23" s="31" t="s">
        <v>238</v>
      </c>
      <c r="G23" s="31" t="s">
        <v>68</v>
      </c>
      <c r="H23" s="31" t="s">
        <v>234</v>
      </c>
      <c r="I23" s="31" t="s">
        <v>43</v>
      </c>
      <c r="J23" s="31" t="s">
        <v>235</v>
      </c>
      <c r="K23" s="31">
        <v>0.5</v>
      </c>
      <c r="L23" s="31" t="s">
        <v>43</v>
      </c>
      <c r="M23" s="31">
        <v>2023</v>
      </c>
      <c r="N23" s="31" t="s">
        <v>27</v>
      </c>
      <c r="O23" s="31" t="s">
        <v>27</v>
      </c>
      <c r="P23" s="31" t="s">
        <v>27</v>
      </c>
      <c r="Q23" s="31" t="s">
        <v>27</v>
      </c>
      <c r="R23" s="31">
        <v>100</v>
      </c>
      <c r="S23" s="31">
        <v>0.5</v>
      </c>
      <c r="T23" s="31">
        <v>0</v>
      </c>
      <c r="U23" s="31">
        <v>0</v>
      </c>
      <c r="V23" s="6" t="s">
        <v>143</v>
      </c>
    </row>
    <row r="24" spans="1:22" x14ac:dyDescent="0.2">
      <c r="A24" s="31" t="s">
        <v>228</v>
      </c>
      <c r="B24" s="31" t="s">
        <v>338</v>
      </c>
      <c r="C24" s="31" t="s">
        <v>230</v>
      </c>
      <c r="D24" s="31" t="s">
        <v>339</v>
      </c>
      <c r="E24" s="31" t="s">
        <v>340</v>
      </c>
      <c r="F24" s="31" t="s">
        <v>341</v>
      </c>
      <c r="G24" s="31" t="s">
        <v>68</v>
      </c>
      <c r="H24" s="31" t="s">
        <v>234</v>
      </c>
      <c r="I24" s="31" t="s">
        <v>43</v>
      </c>
      <c r="J24" s="31" t="s">
        <v>342</v>
      </c>
      <c r="K24" s="31">
        <v>0.5</v>
      </c>
      <c r="L24" s="31" t="s">
        <v>43</v>
      </c>
      <c r="M24" s="31">
        <v>2024</v>
      </c>
      <c r="N24" s="31" t="s">
        <v>27</v>
      </c>
      <c r="O24" s="31" t="s">
        <v>27</v>
      </c>
      <c r="P24" s="31" t="s">
        <v>27</v>
      </c>
      <c r="Q24" s="31" t="s">
        <v>27</v>
      </c>
      <c r="R24" s="31">
        <v>100</v>
      </c>
      <c r="S24" s="31">
        <v>0.5</v>
      </c>
      <c r="T24" s="31">
        <v>0</v>
      </c>
      <c r="U24" s="31">
        <v>0</v>
      </c>
    </row>
    <row r="25" spans="1:22" x14ac:dyDescent="0.2">
      <c r="A25" s="31" t="s">
        <v>228</v>
      </c>
      <c r="B25" s="31" t="s">
        <v>338</v>
      </c>
      <c r="C25" s="31" t="s">
        <v>230</v>
      </c>
      <c r="D25" s="31" t="s">
        <v>339</v>
      </c>
      <c r="E25" s="31" t="s">
        <v>340</v>
      </c>
      <c r="F25" s="31" t="s">
        <v>341</v>
      </c>
      <c r="G25" s="31" t="s">
        <v>72</v>
      </c>
      <c r="H25" s="31" t="s">
        <v>234</v>
      </c>
      <c r="I25" s="31" t="s">
        <v>43</v>
      </c>
      <c r="J25" s="31" t="s">
        <v>342</v>
      </c>
      <c r="K25" s="31">
        <v>0.5</v>
      </c>
      <c r="L25" s="31" t="s">
        <v>43</v>
      </c>
      <c r="M25" s="31">
        <v>2024</v>
      </c>
      <c r="N25" s="31" t="s">
        <v>27</v>
      </c>
      <c r="O25" s="31" t="s">
        <v>27</v>
      </c>
      <c r="P25" s="31" t="s">
        <v>27</v>
      </c>
      <c r="Q25" s="31" t="s">
        <v>27</v>
      </c>
      <c r="R25" s="31">
        <v>100</v>
      </c>
      <c r="S25" s="31">
        <v>0.5</v>
      </c>
      <c r="T25" s="31">
        <v>0</v>
      </c>
      <c r="U25" s="31">
        <v>0</v>
      </c>
    </row>
    <row r="26" spans="1:22" x14ac:dyDescent="0.2">
      <c r="A26" s="31" t="s">
        <v>343</v>
      </c>
      <c r="B26" s="31" t="s">
        <v>344</v>
      </c>
      <c r="C26" s="31" t="s">
        <v>345</v>
      </c>
      <c r="D26" s="31" t="s">
        <v>346</v>
      </c>
      <c r="E26" s="31" t="s">
        <v>347</v>
      </c>
      <c r="F26" s="31" t="s">
        <v>348</v>
      </c>
      <c r="G26" s="31" t="s">
        <v>66</v>
      </c>
      <c r="H26" s="31" t="s">
        <v>234</v>
      </c>
      <c r="I26" s="31" t="s">
        <v>43</v>
      </c>
      <c r="J26" s="31" t="s">
        <v>342</v>
      </c>
      <c r="K26" s="31">
        <v>0.5</v>
      </c>
      <c r="L26" s="31" t="s">
        <v>43</v>
      </c>
      <c r="M26" s="31">
        <v>2024</v>
      </c>
      <c r="N26" s="31" t="s">
        <v>27</v>
      </c>
      <c r="O26" s="31" t="s">
        <v>27</v>
      </c>
      <c r="P26" s="31" t="s">
        <v>27</v>
      </c>
      <c r="Q26" s="31" t="s">
        <v>27</v>
      </c>
      <c r="R26" s="31">
        <v>100</v>
      </c>
      <c r="S26" s="31">
        <v>0.5</v>
      </c>
      <c r="T26" s="31">
        <v>0</v>
      </c>
      <c r="U26" s="31">
        <v>0</v>
      </c>
    </row>
    <row r="27" spans="1:22" x14ac:dyDescent="0.2">
      <c r="A27" s="31" t="s">
        <v>343</v>
      </c>
      <c r="B27" s="31" t="s">
        <v>344</v>
      </c>
      <c r="C27" s="31" t="s">
        <v>345</v>
      </c>
      <c r="D27" s="31" t="s">
        <v>346</v>
      </c>
      <c r="E27" s="31" t="s">
        <v>347</v>
      </c>
      <c r="F27" s="31" t="s">
        <v>348</v>
      </c>
      <c r="G27" s="31" t="s">
        <v>93</v>
      </c>
      <c r="H27" s="31" t="s">
        <v>234</v>
      </c>
      <c r="I27" s="31" t="s">
        <v>43</v>
      </c>
      <c r="J27" s="31" t="s">
        <v>342</v>
      </c>
      <c r="K27" s="31">
        <v>0.5</v>
      </c>
      <c r="L27" s="31" t="s">
        <v>43</v>
      </c>
      <c r="M27" s="31">
        <v>2024</v>
      </c>
      <c r="N27" s="31" t="s">
        <v>27</v>
      </c>
      <c r="O27" s="31" t="s">
        <v>27</v>
      </c>
      <c r="P27" s="31" t="s">
        <v>27</v>
      </c>
      <c r="Q27" s="31" t="s">
        <v>27</v>
      </c>
      <c r="R27" s="31">
        <v>100</v>
      </c>
      <c r="S27" s="31">
        <v>0.5</v>
      </c>
      <c r="T27" s="31">
        <v>0</v>
      </c>
      <c r="U27" s="31">
        <v>0</v>
      </c>
    </row>
    <row r="28" spans="1:22" x14ac:dyDescent="0.2">
      <c r="A28" s="31" t="s">
        <v>343</v>
      </c>
      <c r="B28" s="31" t="s">
        <v>344</v>
      </c>
      <c r="C28" s="31" t="s">
        <v>345</v>
      </c>
      <c r="D28" s="31" t="s">
        <v>349</v>
      </c>
      <c r="E28" s="31" t="s">
        <v>350</v>
      </c>
      <c r="F28" s="31" t="s">
        <v>351</v>
      </c>
      <c r="G28" s="31" t="s">
        <v>122</v>
      </c>
      <c r="H28" s="31" t="s">
        <v>352</v>
      </c>
      <c r="I28" s="31" t="s">
        <v>43</v>
      </c>
      <c r="J28" s="31" t="s">
        <v>342</v>
      </c>
      <c r="K28" s="31">
        <v>1</v>
      </c>
      <c r="L28" s="31" t="s">
        <v>43</v>
      </c>
      <c r="M28" s="31">
        <v>2024</v>
      </c>
      <c r="N28" s="31" t="s">
        <v>27</v>
      </c>
      <c r="O28" s="31" t="s">
        <v>27</v>
      </c>
      <c r="P28" s="31" t="s">
        <v>27</v>
      </c>
      <c r="Q28" s="31" t="s">
        <v>27</v>
      </c>
      <c r="R28" s="31">
        <v>100</v>
      </c>
      <c r="S28" s="31">
        <v>1</v>
      </c>
      <c r="T28" s="31">
        <v>0</v>
      </c>
      <c r="U28" s="31">
        <v>0</v>
      </c>
    </row>
    <row r="29" spans="1:22" x14ac:dyDescent="0.2">
      <c r="A29" s="31" t="s">
        <v>353</v>
      </c>
      <c r="B29" s="31" t="s">
        <v>354</v>
      </c>
      <c r="C29" s="31" t="s">
        <v>355</v>
      </c>
      <c r="D29" s="31" t="s">
        <v>356</v>
      </c>
      <c r="E29" s="31" t="s">
        <v>357</v>
      </c>
      <c r="F29" s="31" t="s">
        <v>358</v>
      </c>
      <c r="G29" s="31" t="s">
        <v>92</v>
      </c>
      <c r="H29" s="31" t="s">
        <v>234</v>
      </c>
      <c r="I29" s="31" t="s">
        <v>43</v>
      </c>
      <c r="J29" s="31" t="s">
        <v>342</v>
      </c>
      <c r="K29" s="31">
        <v>0.33333333333333331</v>
      </c>
      <c r="L29" s="31" t="s">
        <v>43</v>
      </c>
      <c r="M29" s="31">
        <v>2024</v>
      </c>
      <c r="N29" s="31" t="s">
        <v>35</v>
      </c>
      <c r="O29" s="31" t="s">
        <v>26</v>
      </c>
      <c r="P29" s="31" t="s">
        <v>27</v>
      </c>
      <c r="Q29" s="31" t="s">
        <v>27</v>
      </c>
      <c r="R29" s="31">
        <v>50</v>
      </c>
      <c r="S29" s="31">
        <v>0.16666666666666663</v>
      </c>
      <c r="T29" s="31">
        <v>0.16666666666666663</v>
      </c>
      <c r="U29" s="31">
        <v>0</v>
      </c>
    </row>
    <row r="30" spans="1:22" x14ac:dyDescent="0.2">
      <c r="A30" s="31" t="s">
        <v>353</v>
      </c>
      <c r="B30" s="31" t="s">
        <v>354</v>
      </c>
      <c r="C30" s="31" t="s">
        <v>355</v>
      </c>
      <c r="D30" s="31" t="s">
        <v>356</v>
      </c>
      <c r="E30" s="31" t="s">
        <v>357</v>
      </c>
      <c r="F30" s="31" t="s">
        <v>358</v>
      </c>
      <c r="G30" s="31" t="s">
        <v>67</v>
      </c>
      <c r="H30" s="31" t="s">
        <v>234</v>
      </c>
      <c r="I30" s="31" t="s">
        <v>43</v>
      </c>
      <c r="J30" s="31" t="s">
        <v>342</v>
      </c>
      <c r="K30" s="31">
        <v>0.33333333333333331</v>
      </c>
      <c r="L30" s="31" t="s">
        <v>43</v>
      </c>
      <c r="M30" s="31">
        <v>2024</v>
      </c>
      <c r="N30" s="31" t="s">
        <v>35</v>
      </c>
      <c r="O30" s="31" t="s">
        <v>26</v>
      </c>
      <c r="P30" s="31" t="s">
        <v>27</v>
      </c>
      <c r="Q30" s="31" t="s">
        <v>27</v>
      </c>
      <c r="R30" s="31">
        <v>50</v>
      </c>
      <c r="S30" s="31">
        <v>0.16666666666666663</v>
      </c>
      <c r="T30" s="31">
        <v>0.16666666666666663</v>
      </c>
      <c r="U30" s="31">
        <v>0</v>
      </c>
    </row>
    <row r="31" spans="1:22" x14ac:dyDescent="0.2">
      <c r="A31" s="31" t="s">
        <v>359</v>
      </c>
      <c r="B31" s="31" t="s">
        <v>360</v>
      </c>
      <c r="C31" s="31" t="s">
        <v>355</v>
      </c>
      <c r="D31" s="31" t="s">
        <v>361</v>
      </c>
      <c r="E31" s="31" t="s">
        <v>362</v>
      </c>
      <c r="F31" s="31" t="s">
        <v>363</v>
      </c>
      <c r="G31" s="31" t="s">
        <v>92</v>
      </c>
      <c r="H31" s="31" t="s">
        <v>234</v>
      </c>
      <c r="I31" s="31" t="s">
        <v>43</v>
      </c>
      <c r="J31" s="31" t="s">
        <v>342</v>
      </c>
      <c r="K31" s="31">
        <v>0.5</v>
      </c>
      <c r="L31" s="31" t="s">
        <v>43</v>
      </c>
      <c r="M31" s="31">
        <v>2024</v>
      </c>
      <c r="N31" s="31" t="s">
        <v>35</v>
      </c>
      <c r="O31" s="31" t="s">
        <v>26</v>
      </c>
      <c r="P31" s="31" t="s">
        <v>27</v>
      </c>
      <c r="Q31" s="31" t="s">
        <v>27</v>
      </c>
      <c r="R31" s="31">
        <v>50</v>
      </c>
      <c r="S31" s="31">
        <v>0.25</v>
      </c>
      <c r="T31" s="31">
        <v>0.25</v>
      </c>
      <c r="U31" s="31">
        <v>0</v>
      </c>
    </row>
    <row r="32" spans="1:22" x14ac:dyDescent="0.2">
      <c r="A32" s="31" t="s">
        <v>359</v>
      </c>
      <c r="B32" s="31" t="s">
        <v>360</v>
      </c>
      <c r="C32" s="31" t="s">
        <v>355</v>
      </c>
      <c r="D32" s="31" t="s">
        <v>361</v>
      </c>
      <c r="E32" s="31" t="s">
        <v>362</v>
      </c>
      <c r="F32" s="31" t="s">
        <v>363</v>
      </c>
      <c r="G32" s="31" t="s">
        <v>67</v>
      </c>
      <c r="H32" s="31" t="s">
        <v>234</v>
      </c>
      <c r="I32" s="31" t="s">
        <v>43</v>
      </c>
      <c r="J32" s="31" t="s">
        <v>342</v>
      </c>
      <c r="K32" s="31">
        <v>0.5</v>
      </c>
      <c r="L32" s="31" t="s">
        <v>43</v>
      </c>
      <c r="M32" s="31">
        <v>2024</v>
      </c>
      <c r="N32" s="31" t="s">
        <v>35</v>
      </c>
      <c r="O32" s="31" t="s">
        <v>26</v>
      </c>
      <c r="P32" s="31" t="s">
        <v>27</v>
      </c>
      <c r="Q32" s="31" t="s">
        <v>27</v>
      </c>
      <c r="R32" s="31">
        <v>50</v>
      </c>
      <c r="S32" s="31">
        <v>0.25</v>
      </c>
      <c r="T32" s="31">
        <v>0.25</v>
      </c>
      <c r="U32" s="31">
        <v>0</v>
      </c>
    </row>
    <row r="33" spans="1:21" x14ac:dyDescent="0.2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5"/>
      <c r="P33" s="44"/>
      <c r="Q33" s="45"/>
      <c r="R33" s="44"/>
      <c r="S33" s="46">
        <f>SUM(S2:S32)</f>
        <v>13.866666666666667</v>
      </c>
      <c r="T33" s="44"/>
      <c r="U33" s="44"/>
    </row>
  </sheetData>
  <autoFilter ref="A1:U1" xr:uid="{00000000-0009-0000-0000-000000000000}">
    <sortState xmlns:xlrd2="http://schemas.microsoft.com/office/spreadsheetml/2017/richdata2" ref="A2:T1885">
      <sortCondition ref="K4:K1885"/>
      <sortCondition ref="L4:L1885"/>
      <sortCondition ref="D4:D1885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23"/>
  <sheetViews>
    <sheetView zoomScaleNormal="100" workbookViewId="0">
      <selection activeCell="V11" sqref="V11"/>
    </sheetView>
  </sheetViews>
  <sheetFormatPr baseColWidth="10" defaultColWidth="11.42578125" defaultRowHeight="12.75" x14ac:dyDescent="0.2"/>
  <cols>
    <col min="1" max="1" width="10.85546875" style="11" bestFit="1" customWidth="1"/>
    <col min="2" max="2" width="38" style="11" bestFit="1" customWidth="1"/>
    <col min="3" max="3" width="17" style="11" bestFit="1" customWidth="1"/>
    <col min="4" max="9" width="3.28515625" style="11" bestFit="1" customWidth="1"/>
    <col min="10" max="10" width="13.140625" style="11" bestFit="1" customWidth="1"/>
    <col min="11" max="11" width="5.28515625" style="11" bestFit="1" customWidth="1"/>
    <col min="12" max="13" width="5.7109375" style="11" bestFit="1" customWidth="1"/>
    <col min="14" max="14" width="5.7109375" style="12" bestFit="1" customWidth="1"/>
    <col min="15" max="15" width="5.7109375" style="11" bestFit="1" customWidth="1"/>
    <col min="16" max="16" width="5.7109375" style="12" bestFit="1" customWidth="1"/>
    <col min="17" max="19" width="5.7109375" style="11" bestFit="1" customWidth="1"/>
    <col min="20" max="16384" width="11.42578125" style="11"/>
  </cols>
  <sheetData>
    <row r="1" spans="1:20" s="10" customFormat="1" ht="60" customHeight="1" x14ac:dyDescent="0.2">
      <c r="A1" s="26" t="s">
        <v>52</v>
      </c>
      <c r="B1" s="26" t="s">
        <v>53</v>
      </c>
      <c r="C1" s="26" t="s">
        <v>54</v>
      </c>
      <c r="D1" s="27" t="s">
        <v>364</v>
      </c>
      <c r="E1" s="27" t="s">
        <v>365</v>
      </c>
      <c r="F1" s="27" t="s">
        <v>366</v>
      </c>
      <c r="G1" s="27" t="s">
        <v>367</v>
      </c>
      <c r="H1" s="27" t="s">
        <v>368</v>
      </c>
      <c r="I1" s="27" t="s">
        <v>369</v>
      </c>
      <c r="J1" s="26" t="s">
        <v>55</v>
      </c>
      <c r="K1" s="28" t="s">
        <v>121</v>
      </c>
      <c r="L1" s="8" t="s">
        <v>56</v>
      </c>
      <c r="M1" s="8" t="s">
        <v>57</v>
      </c>
      <c r="N1" s="8" t="s">
        <v>58</v>
      </c>
      <c r="O1" s="8" t="s">
        <v>59</v>
      </c>
      <c r="P1" s="9" t="s">
        <v>60</v>
      </c>
      <c r="Q1" s="9" t="s">
        <v>61</v>
      </c>
      <c r="R1" s="9" t="s">
        <v>62</v>
      </c>
      <c r="S1" s="9" t="s">
        <v>63</v>
      </c>
      <c r="T1" s="11"/>
    </row>
    <row r="2" spans="1:20" ht="15" x14ac:dyDescent="0.25">
      <c r="A2" s="29" t="s">
        <v>370</v>
      </c>
      <c r="B2" s="29" t="s">
        <v>371</v>
      </c>
      <c r="C2" s="29" t="s">
        <v>65</v>
      </c>
      <c r="D2" s="29"/>
      <c r="E2" s="29"/>
      <c r="F2" s="29"/>
      <c r="G2" s="29"/>
      <c r="H2" s="29"/>
      <c r="I2" s="29">
        <v>1</v>
      </c>
      <c r="J2" s="29">
        <v>1</v>
      </c>
      <c r="K2" s="29" t="s">
        <v>43</v>
      </c>
      <c r="L2" s="30">
        <v>0</v>
      </c>
      <c r="M2" s="30">
        <v>0</v>
      </c>
      <c r="N2" s="30" t="s">
        <v>27</v>
      </c>
      <c r="O2" s="30" t="s">
        <v>27</v>
      </c>
      <c r="P2" s="30">
        <v>100</v>
      </c>
      <c r="Q2" s="30">
        <v>0</v>
      </c>
      <c r="R2" s="30">
        <v>0</v>
      </c>
      <c r="S2" s="30">
        <v>1</v>
      </c>
    </row>
    <row r="3" spans="1:20" ht="15" x14ac:dyDescent="0.25">
      <c r="A3" s="29" t="s">
        <v>67</v>
      </c>
      <c r="B3" s="29" t="s">
        <v>372</v>
      </c>
      <c r="C3" s="29">
        <v>6</v>
      </c>
      <c r="D3" s="29"/>
      <c r="E3" s="29"/>
      <c r="F3" s="29"/>
      <c r="G3" s="29"/>
      <c r="H3" s="29"/>
      <c r="I3" s="29">
        <v>1</v>
      </c>
      <c r="J3" s="29">
        <v>1</v>
      </c>
      <c r="K3" s="29" t="s">
        <v>43</v>
      </c>
      <c r="L3" s="30" t="s">
        <v>35</v>
      </c>
      <c r="M3" s="30" t="s">
        <v>26</v>
      </c>
      <c r="N3" s="30" t="s">
        <v>27</v>
      </c>
      <c r="O3" s="30" t="s">
        <v>27</v>
      </c>
      <c r="P3" s="30">
        <v>50</v>
      </c>
      <c r="Q3" s="30">
        <v>0.5</v>
      </c>
      <c r="R3" s="30">
        <v>0</v>
      </c>
      <c r="S3" s="30">
        <v>0.5</v>
      </c>
    </row>
    <row r="4" spans="1:20" ht="15" x14ac:dyDescent="0.25">
      <c r="A4" s="29" t="s">
        <v>72</v>
      </c>
      <c r="B4" s="29" t="s">
        <v>373</v>
      </c>
      <c r="C4" s="29" t="s">
        <v>64</v>
      </c>
      <c r="D4" s="29">
        <v>1</v>
      </c>
      <c r="E4" s="29"/>
      <c r="F4" s="29"/>
      <c r="G4" s="29"/>
      <c r="H4" s="29"/>
      <c r="I4" s="29"/>
      <c r="J4" s="29">
        <v>1</v>
      </c>
      <c r="K4" s="29" t="s">
        <v>43</v>
      </c>
      <c r="L4" s="30">
        <v>0</v>
      </c>
      <c r="M4" s="30">
        <v>0</v>
      </c>
      <c r="N4" s="30" t="s">
        <v>27</v>
      </c>
      <c r="O4" s="30" t="s">
        <v>27</v>
      </c>
      <c r="P4" s="30">
        <v>100</v>
      </c>
      <c r="Q4" s="30">
        <v>0</v>
      </c>
      <c r="R4" s="30">
        <v>0</v>
      </c>
      <c r="S4" s="30">
        <v>1</v>
      </c>
    </row>
    <row r="5" spans="1:20" ht="15" x14ac:dyDescent="0.25">
      <c r="A5" s="29" t="s">
        <v>77</v>
      </c>
      <c r="B5" s="29" t="s">
        <v>374</v>
      </c>
      <c r="C5" s="29" t="s">
        <v>64</v>
      </c>
      <c r="D5" s="29"/>
      <c r="E5" s="29"/>
      <c r="F5" s="29">
        <v>1</v>
      </c>
      <c r="G5" s="29"/>
      <c r="H5" s="29"/>
      <c r="I5" s="29"/>
      <c r="J5" s="29">
        <v>1</v>
      </c>
      <c r="K5" s="29" t="s">
        <v>43</v>
      </c>
      <c r="L5" s="30">
        <v>0</v>
      </c>
      <c r="M5" s="30">
        <v>0</v>
      </c>
      <c r="N5" s="30" t="s">
        <v>27</v>
      </c>
      <c r="O5" s="30" t="s">
        <v>27</v>
      </c>
      <c r="P5" s="30">
        <v>100</v>
      </c>
      <c r="Q5" s="30">
        <v>0</v>
      </c>
      <c r="R5" s="30">
        <v>0</v>
      </c>
      <c r="S5" s="30">
        <v>1</v>
      </c>
    </row>
    <row r="6" spans="1:20" ht="15" x14ac:dyDescent="0.25">
      <c r="A6" s="29" t="s">
        <v>74</v>
      </c>
      <c r="B6" s="29" t="s">
        <v>375</v>
      </c>
      <c r="C6" s="29" t="s">
        <v>64</v>
      </c>
      <c r="D6" s="29"/>
      <c r="E6" s="29"/>
      <c r="F6" s="29">
        <v>1</v>
      </c>
      <c r="G6" s="29"/>
      <c r="H6" s="29"/>
      <c r="I6" s="29"/>
      <c r="J6" s="29">
        <v>1</v>
      </c>
      <c r="K6" s="29" t="s">
        <v>43</v>
      </c>
      <c r="L6" s="30">
        <v>0</v>
      </c>
      <c r="M6" s="30">
        <v>0</v>
      </c>
      <c r="N6" s="30" t="s">
        <v>27</v>
      </c>
      <c r="O6" s="30" t="s">
        <v>27</v>
      </c>
      <c r="P6" s="30">
        <v>100</v>
      </c>
      <c r="Q6" s="30">
        <v>0</v>
      </c>
      <c r="R6" s="30">
        <v>0</v>
      </c>
      <c r="S6" s="30">
        <v>1</v>
      </c>
    </row>
    <row r="7" spans="1:20" ht="15" x14ac:dyDescent="0.25">
      <c r="A7" s="29" t="s">
        <v>69</v>
      </c>
      <c r="B7" s="29" t="s">
        <v>376</v>
      </c>
      <c r="C7" s="29" t="s">
        <v>64</v>
      </c>
      <c r="D7" s="29"/>
      <c r="E7" s="29">
        <v>1</v>
      </c>
      <c r="F7" s="29"/>
      <c r="G7" s="29"/>
      <c r="H7" s="29"/>
      <c r="I7" s="29"/>
      <c r="J7" s="29">
        <v>1</v>
      </c>
      <c r="K7" s="29" t="s">
        <v>43</v>
      </c>
      <c r="L7" s="30">
        <v>0</v>
      </c>
      <c r="M7" s="30">
        <v>0</v>
      </c>
      <c r="N7" s="30" t="s">
        <v>27</v>
      </c>
      <c r="O7" s="30" t="s">
        <v>27</v>
      </c>
      <c r="P7" s="30">
        <v>100</v>
      </c>
      <c r="Q7" s="30">
        <v>0</v>
      </c>
      <c r="R7" s="30">
        <v>0</v>
      </c>
      <c r="S7" s="30">
        <v>1</v>
      </c>
    </row>
    <row r="8" spans="1:20" ht="15" x14ac:dyDescent="0.25">
      <c r="A8" s="29" t="s">
        <v>71</v>
      </c>
      <c r="B8" s="29" t="s">
        <v>377</v>
      </c>
      <c r="C8" s="29" t="s">
        <v>64</v>
      </c>
      <c r="D8" s="29"/>
      <c r="E8" s="29"/>
      <c r="F8" s="29"/>
      <c r="G8" s="29">
        <v>1</v>
      </c>
      <c r="H8" s="29"/>
      <c r="I8" s="29"/>
      <c r="J8" s="29">
        <v>1</v>
      </c>
      <c r="K8" s="29" t="s">
        <v>43</v>
      </c>
      <c r="L8" s="30" t="s">
        <v>35</v>
      </c>
      <c r="M8" s="30" t="s">
        <v>26</v>
      </c>
      <c r="N8" s="30" t="s">
        <v>27</v>
      </c>
      <c r="O8" s="30" t="s">
        <v>27</v>
      </c>
      <c r="P8" s="30">
        <v>50</v>
      </c>
      <c r="Q8" s="30">
        <v>0.5</v>
      </c>
      <c r="R8" s="30">
        <v>0</v>
      </c>
      <c r="S8" s="30">
        <v>0.5</v>
      </c>
    </row>
    <row r="9" spans="1:20" ht="15" x14ac:dyDescent="0.25">
      <c r="A9" s="29" t="s">
        <v>68</v>
      </c>
      <c r="B9" s="29" t="s">
        <v>378</v>
      </c>
      <c r="C9" s="29" t="s">
        <v>64</v>
      </c>
      <c r="D9" s="29"/>
      <c r="E9" s="29"/>
      <c r="F9" s="29"/>
      <c r="G9" s="29"/>
      <c r="H9" s="29"/>
      <c r="I9" s="29">
        <v>1</v>
      </c>
      <c r="J9" s="29">
        <v>1</v>
      </c>
      <c r="K9" s="29" t="s">
        <v>43</v>
      </c>
      <c r="L9" s="30">
        <v>0</v>
      </c>
      <c r="M9" s="30">
        <v>0</v>
      </c>
      <c r="N9" s="30" t="s">
        <v>27</v>
      </c>
      <c r="O9" s="30" t="s">
        <v>27</v>
      </c>
      <c r="P9" s="30">
        <v>100</v>
      </c>
      <c r="Q9" s="30">
        <v>0</v>
      </c>
      <c r="R9" s="30">
        <v>0</v>
      </c>
      <c r="S9" s="30">
        <v>1</v>
      </c>
    </row>
    <row r="10" spans="1:20" ht="15" x14ac:dyDescent="0.25">
      <c r="A10" s="29" t="s">
        <v>75</v>
      </c>
      <c r="B10" s="29" t="s">
        <v>379</v>
      </c>
      <c r="C10" s="29" t="s">
        <v>64</v>
      </c>
      <c r="D10" s="29"/>
      <c r="E10" s="29">
        <v>1</v>
      </c>
      <c r="F10" s="29"/>
      <c r="G10" s="29"/>
      <c r="H10" s="29"/>
      <c r="I10" s="29"/>
      <c r="J10" s="29">
        <v>1</v>
      </c>
      <c r="K10" s="29" t="s">
        <v>43</v>
      </c>
      <c r="L10" s="30">
        <v>0</v>
      </c>
      <c r="M10" s="30">
        <v>0</v>
      </c>
      <c r="N10" s="30" t="s">
        <v>27</v>
      </c>
      <c r="O10" s="30" t="s">
        <v>27</v>
      </c>
      <c r="P10" s="30">
        <v>100</v>
      </c>
      <c r="Q10" s="30">
        <v>0</v>
      </c>
      <c r="R10" s="30">
        <v>0</v>
      </c>
      <c r="S10" s="30">
        <v>1</v>
      </c>
    </row>
    <row r="11" spans="1:20" ht="15" x14ac:dyDescent="0.25">
      <c r="A11" s="29" t="s">
        <v>78</v>
      </c>
      <c r="B11" s="29" t="s">
        <v>380</v>
      </c>
      <c r="C11" s="29" t="s">
        <v>64</v>
      </c>
      <c r="D11" s="29"/>
      <c r="E11" s="29"/>
      <c r="F11" s="29"/>
      <c r="G11" s="29"/>
      <c r="H11" s="29"/>
      <c r="I11" s="29">
        <v>1</v>
      </c>
      <c r="J11" s="29">
        <v>1</v>
      </c>
      <c r="K11" s="29" t="s">
        <v>43</v>
      </c>
      <c r="L11" s="30" t="s">
        <v>35</v>
      </c>
      <c r="M11" s="30" t="s">
        <v>26</v>
      </c>
      <c r="N11" s="30" t="s">
        <v>27</v>
      </c>
      <c r="O11" s="30" t="s">
        <v>27</v>
      </c>
      <c r="P11" s="30">
        <v>50</v>
      </c>
      <c r="Q11" s="30">
        <v>0.5</v>
      </c>
      <c r="R11" s="30">
        <v>0</v>
      </c>
      <c r="S11" s="30">
        <v>0.5</v>
      </c>
    </row>
    <row r="12" spans="1:20" ht="15" x14ac:dyDescent="0.25">
      <c r="A12" s="29" t="s">
        <v>140</v>
      </c>
      <c r="B12" s="29" t="s">
        <v>381</v>
      </c>
      <c r="C12" s="29" t="s">
        <v>65</v>
      </c>
      <c r="D12" s="29"/>
      <c r="E12" s="29"/>
      <c r="F12" s="29"/>
      <c r="G12" s="29"/>
      <c r="H12" s="29"/>
      <c r="I12" s="29">
        <v>1</v>
      </c>
      <c r="J12" s="29">
        <v>1</v>
      </c>
      <c r="K12" s="29" t="s">
        <v>43</v>
      </c>
      <c r="L12" s="30">
        <v>0</v>
      </c>
      <c r="M12" s="30">
        <v>0</v>
      </c>
      <c r="N12" s="30" t="s">
        <v>27</v>
      </c>
      <c r="O12" s="30" t="s">
        <v>27</v>
      </c>
      <c r="P12" s="30">
        <v>100</v>
      </c>
      <c r="Q12" s="30">
        <v>0</v>
      </c>
      <c r="R12" s="30">
        <v>0</v>
      </c>
      <c r="S12" s="30">
        <v>1</v>
      </c>
    </row>
    <row r="13" spans="1:20" ht="15" x14ac:dyDescent="0.25">
      <c r="A13" s="29" t="s">
        <v>70</v>
      </c>
      <c r="B13" s="29" t="s">
        <v>382</v>
      </c>
      <c r="C13" s="29" t="s">
        <v>64</v>
      </c>
      <c r="D13" s="29">
        <v>2</v>
      </c>
      <c r="E13" s="29"/>
      <c r="F13" s="29">
        <v>1</v>
      </c>
      <c r="G13" s="29"/>
      <c r="H13" s="29"/>
      <c r="I13" s="29"/>
      <c r="J13" s="29">
        <v>3</v>
      </c>
      <c r="K13" s="29" t="s">
        <v>43</v>
      </c>
      <c r="L13" s="30" t="s">
        <v>33</v>
      </c>
      <c r="M13" s="30" t="s">
        <v>32</v>
      </c>
      <c r="N13" s="30" t="s">
        <v>27</v>
      </c>
      <c r="O13" s="30" t="s">
        <v>27</v>
      </c>
      <c r="P13" s="30">
        <v>90</v>
      </c>
      <c r="Q13" s="30">
        <v>0.3</v>
      </c>
      <c r="R13" s="30">
        <v>0</v>
      </c>
      <c r="S13" s="30">
        <v>2.7</v>
      </c>
    </row>
    <row r="14" spans="1:20" ht="15" x14ac:dyDescent="0.25">
      <c r="A14" s="29" t="s">
        <v>91</v>
      </c>
      <c r="B14" s="29" t="s">
        <v>383</v>
      </c>
      <c r="C14" s="29" t="s">
        <v>65</v>
      </c>
      <c r="D14" s="29"/>
      <c r="E14" s="29"/>
      <c r="F14" s="29"/>
      <c r="G14" s="29"/>
      <c r="H14" s="29">
        <v>2</v>
      </c>
      <c r="I14" s="29"/>
      <c r="J14" s="29">
        <v>2</v>
      </c>
      <c r="K14" s="29" t="s">
        <v>43</v>
      </c>
      <c r="L14" s="30">
        <v>0</v>
      </c>
      <c r="M14" s="30">
        <v>0</v>
      </c>
      <c r="N14" s="30" t="s">
        <v>27</v>
      </c>
      <c r="O14" s="30" t="s">
        <v>27</v>
      </c>
      <c r="P14" s="30">
        <v>100</v>
      </c>
      <c r="Q14" s="30">
        <v>0</v>
      </c>
      <c r="R14" s="30">
        <v>0</v>
      </c>
      <c r="S14" s="30">
        <v>2</v>
      </c>
    </row>
    <row r="15" spans="1:20" ht="15" x14ac:dyDescent="0.25">
      <c r="A15" s="29" t="s">
        <v>92</v>
      </c>
      <c r="B15" s="29" t="s">
        <v>384</v>
      </c>
      <c r="C15" s="29" t="s">
        <v>64</v>
      </c>
      <c r="D15" s="29"/>
      <c r="E15" s="29"/>
      <c r="F15" s="29"/>
      <c r="G15" s="29">
        <v>2</v>
      </c>
      <c r="H15" s="29"/>
      <c r="I15" s="29"/>
      <c r="J15" s="29">
        <v>2</v>
      </c>
      <c r="K15" s="29" t="s">
        <v>43</v>
      </c>
      <c r="L15" s="30" t="s">
        <v>35</v>
      </c>
      <c r="M15" s="30" t="s">
        <v>26</v>
      </c>
      <c r="N15" s="30" t="s">
        <v>27</v>
      </c>
      <c r="O15" s="30" t="s">
        <v>27</v>
      </c>
      <c r="P15" s="30">
        <v>50</v>
      </c>
      <c r="Q15" s="30">
        <v>1</v>
      </c>
      <c r="R15" s="30">
        <v>0</v>
      </c>
      <c r="S15" s="30">
        <v>1</v>
      </c>
    </row>
    <row r="16" spans="1:20" ht="15" x14ac:dyDescent="0.25">
      <c r="A16" s="29" t="s">
        <v>93</v>
      </c>
      <c r="B16" s="29" t="s">
        <v>385</v>
      </c>
      <c r="C16" s="29" t="s">
        <v>64</v>
      </c>
      <c r="D16" s="29"/>
      <c r="E16" s="29"/>
      <c r="F16" s="29"/>
      <c r="G16" s="29">
        <v>1</v>
      </c>
      <c r="H16" s="29"/>
      <c r="I16" s="29"/>
      <c r="J16" s="29">
        <v>1</v>
      </c>
      <c r="K16" s="29" t="s">
        <v>43</v>
      </c>
      <c r="L16" s="30">
        <v>0</v>
      </c>
      <c r="M16" s="30">
        <v>0</v>
      </c>
      <c r="N16" s="30" t="s">
        <v>27</v>
      </c>
      <c r="O16" s="30" t="s">
        <v>27</v>
      </c>
      <c r="P16" s="30">
        <v>100</v>
      </c>
      <c r="Q16" s="30">
        <v>0</v>
      </c>
      <c r="R16" s="30">
        <v>0</v>
      </c>
      <c r="S16" s="30">
        <v>1</v>
      </c>
    </row>
    <row r="17" spans="1:19" ht="15" x14ac:dyDescent="0.25">
      <c r="A17" s="29" t="s">
        <v>386</v>
      </c>
      <c r="B17" s="29" t="s">
        <v>387</v>
      </c>
      <c r="C17" s="29" t="s">
        <v>65</v>
      </c>
      <c r="D17" s="29"/>
      <c r="E17" s="29"/>
      <c r="F17" s="29"/>
      <c r="G17" s="29"/>
      <c r="H17" s="29"/>
      <c r="I17" s="29">
        <v>2</v>
      </c>
      <c r="J17" s="29">
        <v>2</v>
      </c>
      <c r="K17" s="29" t="s">
        <v>43</v>
      </c>
      <c r="L17" s="30">
        <v>0</v>
      </c>
      <c r="M17" s="30">
        <v>0</v>
      </c>
      <c r="N17" s="30" t="s">
        <v>27</v>
      </c>
      <c r="O17" s="30" t="s">
        <v>27</v>
      </c>
      <c r="P17" s="30">
        <v>100</v>
      </c>
      <c r="Q17" s="30">
        <v>0</v>
      </c>
      <c r="R17" s="30">
        <v>0</v>
      </c>
      <c r="S17" s="30">
        <v>2</v>
      </c>
    </row>
    <row r="18" spans="1:19" ht="15" x14ac:dyDescent="0.25">
      <c r="A18" s="29" t="s">
        <v>73</v>
      </c>
      <c r="B18" s="29" t="s">
        <v>388</v>
      </c>
      <c r="C18" s="37" t="s">
        <v>64</v>
      </c>
      <c r="D18" s="29"/>
      <c r="E18" s="29"/>
      <c r="F18" s="29"/>
      <c r="G18" s="29"/>
      <c r="H18" s="29"/>
      <c r="I18" s="29">
        <v>1</v>
      </c>
      <c r="J18" s="29">
        <v>1</v>
      </c>
      <c r="K18" s="29" t="s">
        <v>43</v>
      </c>
      <c r="L18" s="30">
        <v>0</v>
      </c>
      <c r="M18" s="30">
        <v>0</v>
      </c>
      <c r="N18" s="30" t="s">
        <v>27</v>
      </c>
      <c r="O18" s="30" t="s">
        <v>27</v>
      </c>
      <c r="P18" s="30">
        <v>100</v>
      </c>
      <c r="Q18" s="30">
        <v>0</v>
      </c>
      <c r="R18" s="30">
        <v>0</v>
      </c>
      <c r="S18" s="30">
        <v>1</v>
      </c>
    </row>
    <row r="19" spans="1:19" ht="15" x14ac:dyDescent="0.25">
      <c r="A19" s="38" t="s">
        <v>389</v>
      </c>
      <c r="B19" s="38" t="s">
        <v>390</v>
      </c>
      <c r="C19" s="39" t="s">
        <v>65</v>
      </c>
      <c r="D19" s="38"/>
      <c r="E19" s="38"/>
      <c r="F19" s="38"/>
      <c r="G19" s="38"/>
      <c r="H19" s="38">
        <v>1</v>
      </c>
      <c r="I19" s="38"/>
      <c r="J19" s="38">
        <v>1</v>
      </c>
      <c r="K19" s="29" t="s">
        <v>43</v>
      </c>
      <c r="L19" s="40">
        <v>0</v>
      </c>
      <c r="M19" s="40">
        <v>0</v>
      </c>
      <c r="N19" s="40" t="s">
        <v>27</v>
      </c>
      <c r="O19" s="40" t="s">
        <v>27</v>
      </c>
      <c r="P19" s="40">
        <v>100</v>
      </c>
      <c r="Q19" s="40">
        <v>0</v>
      </c>
      <c r="R19" s="40">
        <v>0</v>
      </c>
      <c r="S19" s="40">
        <v>1</v>
      </c>
    </row>
    <row r="20" spans="1:19" ht="15" x14ac:dyDescent="0.25">
      <c r="A20" s="38" t="s">
        <v>76</v>
      </c>
      <c r="B20" s="38" t="s">
        <v>391</v>
      </c>
      <c r="C20" s="39" t="s">
        <v>64</v>
      </c>
      <c r="D20" s="38"/>
      <c r="E20" s="38"/>
      <c r="F20" s="38"/>
      <c r="G20" s="38">
        <v>2</v>
      </c>
      <c r="H20" s="38"/>
      <c r="I20" s="38"/>
      <c r="J20" s="38">
        <v>2</v>
      </c>
      <c r="K20" s="29" t="s">
        <v>43</v>
      </c>
      <c r="L20" s="40">
        <v>0</v>
      </c>
      <c r="M20" s="40">
        <v>0</v>
      </c>
      <c r="N20" s="40" t="s">
        <v>27</v>
      </c>
      <c r="O20" s="40" t="s">
        <v>27</v>
      </c>
      <c r="P20" s="40">
        <v>100</v>
      </c>
      <c r="Q20" s="40">
        <v>0</v>
      </c>
      <c r="R20" s="40">
        <v>0</v>
      </c>
      <c r="S20" s="40">
        <v>2</v>
      </c>
    </row>
    <row r="21" spans="1:19" ht="15" x14ac:dyDescent="0.25">
      <c r="A21" s="38" t="s">
        <v>66</v>
      </c>
      <c r="B21" s="38" t="s">
        <v>392</v>
      </c>
      <c r="C21" s="39" t="s">
        <v>64</v>
      </c>
      <c r="D21" s="38"/>
      <c r="E21" s="38"/>
      <c r="F21" s="38"/>
      <c r="G21" s="38">
        <v>2</v>
      </c>
      <c r="H21" s="38"/>
      <c r="I21" s="38"/>
      <c r="J21" s="38">
        <v>2</v>
      </c>
      <c r="K21" s="29" t="s">
        <v>43</v>
      </c>
      <c r="L21" s="40">
        <v>0</v>
      </c>
      <c r="M21" s="40">
        <v>0</v>
      </c>
      <c r="N21" s="40" t="s">
        <v>27</v>
      </c>
      <c r="O21" s="40" t="s">
        <v>27</v>
      </c>
      <c r="P21" s="40">
        <v>100</v>
      </c>
      <c r="Q21" s="40">
        <v>0</v>
      </c>
      <c r="R21" s="40">
        <v>0</v>
      </c>
      <c r="S21" s="40">
        <v>2</v>
      </c>
    </row>
    <row r="22" spans="1:19" ht="15" x14ac:dyDescent="0.25">
      <c r="A22" s="38" t="s">
        <v>122</v>
      </c>
      <c r="B22" s="38" t="s">
        <v>393</v>
      </c>
      <c r="C22" s="39" t="s">
        <v>64</v>
      </c>
      <c r="D22" s="38"/>
      <c r="E22" s="38"/>
      <c r="F22" s="38"/>
      <c r="G22" s="38">
        <v>1</v>
      </c>
      <c r="H22" s="38"/>
      <c r="I22" s="38"/>
      <c r="J22" s="38">
        <v>1</v>
      </c>
      <c r="K22" s="29" t="s">
        <v>43</v>
      </c>
      <c r="L22" s="40">
        <v>0</v>
      </c>
      <c r="M22" s="40">
        <v>0</v>
      </c>
      <c r="N22" s="40" t="s">
        <v>27</v>
      </c>
      <c r="O22" s="40" t="s">
        <v>27</v>
      </c>
      <c r="P22" s="40">
        <v>100</v>
      </c>
      <c r="Q22" s="40">
        <v>0</v>
      </c>
      <c r="R22" s="40">
        <v>0</v>
      </c>
      <c r="S22" s="40">
        <v>1</v>
      </c>
    </row>
    <row r="23" spans="1:19" ht="15" x14ac:dyDescent="0.25">
      <c r="A23" s="41"/>
      <c r="B23" s="41"/>
      <c r="C23" s="42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3">
        <f>SUM(S2:S22)</f>
        <v>25.2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5DD46-8AEA-448E-B3BE-1F8DC66F1494}">
  <dimension ref="A1:C55"/>
  <sheetViews>
    <sheetView topLeftCell="A37" workbookViewId="0">
      <selection activeCell="H12" sqref="H12"/>
    </sheetView>
  </sheetViews>
  <sheetFormatPr baseColWidth="10" defaultRowHeight="15" x14ac:dyDescent="0.25"/>
  <cols>
    <col min="1" max="1" width="16.42578125" customWidth="1"/>
    <col min="2" max="2" width="65.28515625" customWidth="1"/>
    <col min="3" max="3" width="15.42578125" customWidth="1"/>
  </cols>
  <sheetData>
    <row r="1" spans="1:3" x14ac:dyDescent="0.25">
      <c r="A1" s="53" t="s">
        <v>111</v>
      </c>
      <c r="B1" s="53" t="s">
        <v>112</v>
      </c>
      <c r="C1" s="53" t="s">
        <v>123</v>
      </c>
    </row>
    <row r="2" spans="1:3" x14ac:dyDescent="0.25">
      <c r="A2" s="34" t="s">
        <v>1</v>
      </c>
      <c r="B2" s="34" t="s">
        <v>142</v>
      </c>
      <c r="C2" s="32">
        <v>15034.91</v>
      </c>
    </row>
    <row r="3" spans="1:3" x14ac:dyDescent="0.25">
      <c r="A3" s="35" t="s">
        <v>110</v>
      </c>
      <c r="B3" s="35" t="s">
        <v>144</v>
      </c>
      <c r="C3" s="33">
        <v>219.35</v>
      </c>
    </row>
    <row r="4" spans="1:3" x14ac:dyDescent="0.25">
      <c r="A4" s="34" t="s">
        <v>79</v>
      </c>
      <c r="B4" s="34" t="s">
        <v>145</v>
      </c>
      <c r="C4" s="32">
        <v>18480</v>
      </c>
    </row>
    <row r="5" spans="1:3" x14ac:dyDescent="0.25">
      <c r="A5" s="35" t="s">
        <v>79</v>
      </c>
      <c r="B5" s="35" t="s">
        <v>146</v>
      </c>
      <c r="C5" s="33">
        <v>-18480</v>
      </c>
    </row>
    <row r="6" spans="1:3" x14ac:dyDescent="0.25">
      <c r="A6" s="34" t="s">
        <v>124</v>
      </c>
      <c r="B6" s="34" t="s">
        <v>147</v>
      </c>
      <c r="C6" s="32">
        <v>1800</v>
      </c>
    </row>
    <row r="7" spans="1:3" x14ac:dyDescent="0.25">
      <c r="A7" s="35" t="s">
        <v>125</v>
      </c>
      <c r="B7" s="35" t="s">
        <v>148</v>
      </c>
      <c r="C7" s="33">
        <v>2515.81</v>
      </c>
    </row>
    <row r="8" spans="1:3" x14ac:dyDescent="0.25">
      <c r="A8" s="35" t="s">
        <v>149</v>
      </c>
      <c r="B8" s="35" t="s">
        <v>150</v>
      </c>
      <c r="C8" s="33">
        <v>643.72</v>
      </c>
    </row>
    <row r="9" spans="1:3" x14ac:dyDescent="0.25">
      <c r="A9" s="34" t="s">
        <v>151</v>
      </c>
      <c r="B9" s="34" t="s">
        <v>152</v>
      </c>
      <c r="C9" s="32">
        <v>4400</v>
      </c>
    </row>
    <row r="10" spans="1:3" x14ac:dyDescent="0.25">
      <c r="A10" s="35" t="s">
        <v>151</v>
      </c>
      <c r="B10" s="35" t="s">
        <v>153</v>
      </c>
      <c r="C10" s="33">
        <v>4400</v>
      </c>
    </row>
    <row r="11" spans="1:3" x14ac:dyDescent="0.25">
      <c r="A11" s="34" t="s">
        <v>154</v>
      </c>
      <c r="B11" s="34" t="s">
        <v>155</v>
      </c>
      <c r="C11" s="32">
        <v>607.20000000000005</v>
      </c>
    </row>
    <row r="12" spans="1:3" x14ac:dyDescent="0.25">
      <c r="A12" s="35" t="s">
        <v>156</v>
      </c>
      <c r="B12" s="35" t="s">
        <v>157</v>
      </c>
      <c r="C12" s="33">
        <v>3520</v>
      </c>
    </row>
    <row r="13" spans="1:3" x14ac:dyDescent="0.25">
      <c r="A13" s="34" t="s">
        <v>158</v>
      </c>
      <c r="B13" s="34" t="s">
        <v>159</v>
      </c>
      <c r="C13" s="32">
        <v>303.60000000000002</v>
      </c>
    </row>
    <row r="14" spans="1:3" x14ac:dyDescent="0.25">
      <c r="A14" s="35" t="s">
        <v>160</v>
      </c>
      <c r="B14" s="35" t="s">
        <v>161</v>
      </c>
      <c r="C14" s="33">
        <v>303.60000000000002</v>
      </c>
    </row>
    <row r="15" spans="1:3" x14ac:dyDescent="0.25">
      <c r="A15" s="34" t="s">
        <v>162</v>
      </c>
      <c r="B15" s="34" t="s">
        <v>163</v>
      </c>
      <c r="C15" s="32">
        <v>1183.5999999999999</v>
      </c>
    </row>
    <row r="16" spans="1:3" x14ac:dyDescent="0.25">
      <c r="A16" s="35" t="s">
        <v>164</v>
      </c>
      <c r="B16" s="35" t="s">
        <v>165</v>
      </c>
      <c r="C16" s="33">
        <v>3141.6</v>
      </c>
    </row>
    <row r="17" spans="1:3" x14ac:dyDescent="0.25">
      <c r="A17" s="34" t="s">
        <v>166</v>
      </c>
      <c r="B17" s="34" t="s">
        <v>167</v>
      </c>
      <c r="C17" s="32">
        <v>1012</v>
      </c>
    </row>
    <row r="18" spans="1:3" x14ac:dyDescent="0.25">
      <c r="A18" s="35" t="s">
        <v>168</v>
      </c>
      <c r="B18" s="35" t="s">
        <v>169</v>
      </c>
      <c r="C18" s="33">
        <v>290.39999999999998</v>
      </c>
    </row>
    <row r="19" spans="1:3" x14ac:dyDescent="0.25">
      <c r="A19" s="34" t="s">
        <v>170</v>
      </c>
      <c r="B19" s="34" t="s">
        <v>171</v>
      </c>
      <c r="C19" s="32">
        <v>985.6</v>
      </c>
    </row>
    <row r="20" spans="1:3" x14ac:dyDescent="0.25">
      <c r="A20" s="35" t="s">
        <v>170</v>
      </c>
      <c r="B20" s="35" t="s">
        <v>172</v>
      </c>
      <c r="C20" s="33">
        <v>985.6</v>
      </c>
    </row>
    <row r="21" spans="1:3" x14ac:dyDescent="0.25">
      <c r="A21" s="34" t="s">
        <v>173</v>
      </c>
      <c r="B21" s="34" t="s">
        <v>174</v>
      </c>
      <c r="C21" s="32">
        <v>378.4</v>
      </c>
    </row>
    <row r="22" spans="1:3" x14ac:dyDescent="0.25">
      <c r="A22" s="35" t="s">
        <v>175</v>
      </c>
      <c r="B22" s="35" t="s">
        <v>176</v>
      </c>
      <c r="C22" s="33">
        <v>822.73</v>
      </c>
    </row>
    <row r="23" spans="1:3" x14ac:dyDescent="0.25">
      <c r="A23" s="34" t="s">
        <v>177</v>
      </c>
      <c r="B23" s="34" t="s">
        <v>178</v>
      </c>
      <c r="C23" s="32">
        <v>158.4</v>
      </c>
    </row>
    <row r="24" spans="1:3" x14ac:dyDescent="0.25">
      <c r="A24" s="35" t="s">
        <v>179</v>
      </c>
      <c r="B24" s="35" t="s">
        <v>180</v>
      </c>
      <c r="C24" s="33">
        <v>98.56</v>
      </c>
    </row>
    <row r="25" spans="1:3" x14ac:dyDescent="0.25">
      <c r="A25" s="34" t="s">
        <v>179</v>
      </c>
      <c r="B25" s="34" t="s">
        <v>181</v>
      </c>
      <c r="C25" s="32">
        <v>98.56</v>
      </c>
    </row>
    <row r="26" spans="1:3" x14ac:dyDescent="0.25">
      <c r="A26" s="35" t="s">
        <v>182</v>
      </c>
      <c r="B26" s="35" t="s">
        <v>183</v>
      </c>
      <c r="C26" s="33">
        <v>660</v>
      </c>
    </row>
    <row r="27" spans="1:3" x14ac:dyDescent="0.25">
      <c r="A27" s="34" t="s">
        <v>184</v>
      </c>
      <c r="B27" s="34" t="s">
        <v>185</v>
      </c>
      <c r="C27" s="32">
        <v>1672</v>
      </c>
    </row>
    <row r="28" spans="1:3" x14ac:dyDescent="0.25">
      <c r="A28" s="35" t="s">
        <v>186</v>
      </c>
      <c r="B28" s="35" t="s">
        <v>187</v>
      </c>
      <c r="C28" s="33">
        <v>303.60000000000002</v>
      </c>
    </row>
    <row r="29" spans="1:3" x14ac:dyDescent="0.25">
      <c r="A29" s="34" t="s">
        <v>186</v>
      </c>
      <c r="B29" s="34" t="s">
        <v>187</v>
      </c>
      <c r="C29" s="32">
        <v>-303.60000000000002</v>
      </c>
    </row>
    <row r="30" spans="1:3" x14ac:dyDescent="0.25">
      <c r="A30" s="35" t="s">
        <v>186</v>
      </c>
      <c r="B30" s="35" t="s">
        <v>187</v>
      </c>
      <c r="C30" s="33">
        <v>303.60000000000002</v>
      </c>
    </row>
    <row r="31" spans="1:3" x14ac:dyDescent="0.25">
      <c r="A31" s="34" t="s">
        <v>188</v>
      </c>
      <c r="B31" s="34" t="s">
        <v>189</v>
      </c>
      <c r="C31" s="32">
        <v>202.4</v>
      </c>
    </row>
    <row r="32" spans="1:3" x14ac:dyDescent="0.25">
      <c r="A32" s="35" t="s">
        <v>190</v>
      </c>
      <c r="B32" s="35" t="s">
        <v>187</v>
      </c>
      <c r="C32" s="33">
        <v>303.60000000000002</v>
      </c>
    </row>
    <row r="33" spans="1:3" x14ac:dyDescent="0.25">
      <c r="A33" s="34" t="s">
        <v>191</v>
      </c>
      <c r="B33" s="34" t="s">
        <v>192</v>
      </c>
      <c r="C33" s="32">
        <v>2178</v>
      </c>
    </row>
    <row r="34" spans="1:3" x14ac:dyDescent="0.25">
      <c r="A34" s="35" t="s">
        <v>191</v>
      </c>
      <c r="B34" s="35" t="s">
        <v>193</v>
      </c>
      <c r="C34" s="33">
        <v>2178</v>
      </c>
    </row>
    <row r="35" spans="1:3" x14ac:dyDescent="0.25">
      <c r="A35" s="34" t="s">
        <v>194</v>
      </c>
      <c r="B35" s="34" t="s">
        <v>195</v>
      </c>
      <c r="C35" s="32">
        <v>3688.52</v>
      </c>
    </row>
    <row r="36" spans="1:3" x14ac:dyDescent="0.25">
      <c r="A36" s="35" t="s">
        <v>196</v>
      </c>
      <c r="B36" s="35" t="s">
        <v>197</v>
      </c>
      <c r="C36" s="33">
        <v>3960</v>
      </c>
    </row>
    <row r="37" spans="1:3" x14ac:dyDescent="0.25">
      <c r="A37" s="34" t="s">
        <v>198</v>
      </c>
      <c r="B37" s="34" t="s">
        <v>199</v>
      </c>
      <c r="C37" s="32">
        <v>5632</v>
      </c>
    </row>
    <row r="38" spans="1:3" x14ac:dyDescent="0.25">
      <c r="A38" s="35" t="s">
        <v>200</v>
      </c>
      <c r="B38" s="35" t="s">
        <v>201</v>
      </c>
      <c r="C38" s="33">
        <v>792</v>
      </c>
    </row>
    <row r="39" spans="1:3" x14ac:dyDescent="0.25">
      <c r="A39" s="34" t="s">
        <v>202</v>
      </c>
      <c r="B39" s="34" t="s">
        <v>203</v>
      </c>
      <c r="C39" s="32">
        <v>545.6</v>
      </c>
    </row>
    <row r="40" spans="1:3" x14ac:dyDescent="0.25">
      <c r="A40" s="35" t="s">
        <v>204</v>
      </c>
      <c r="B40" s="35" t="s">
        <v>205</v>
      </c>
      <c r="C40" s="33">
        <v>880</v>
      </c>
    </row>
    <row r="41" spans="1:3" x14ac:dyDescent="0.25">
      <c r="A41" s="34" t="s">
        <v>206</v>
      </c>
      <c r="B41" s="34" t="s">
        <v>207</v>
      </c>
      <c r="C41" s="32">
        <v>880</v>
      </c>
    </row>
    <row r="42" spans="1:3" x14ac:dyDescent="0.25">
      <c r="A42" s="35" t="s">
        <v>113</v>
      </c>
      <c r="B42" s="35" t="s">
        <v>208</v>
      </c>
      <c r="C42" s="33">
        <v>46724.07</v>
      </c>
    </row>
    <row r="43" spans="1:3" x14ac:dyDescent="0.25">
      <c r="A43" s="34" t="s">
        <v>209</v>
      </c>
      <c r="B43" s="34" t="s">
        <v>210</v>
      </c>
      <c r="C43" s="32">
        <v>-1741</v>
      </c>
    </row>
    <row r="44" spans="1:3" x14ac:dyDescent="0.25">
      <c r="A44" s="35" t="s">
        <v>209</v>
      </c>
      <c r="B44" s="35" t="s">
        <v>211</v>
      </c>
      <c r="C44" s="33">
        <v>97680.69</v>
      </c>
    </row>
    <row r="45" spans="1:3" x14ac:dyDescent="0.25">
      <c r="A45" s="34" t="s">
        <v>126</v>
      </c>
      <c r="B45" s="34" t="s">
        <v>212</v>
      </c>
      <c r="C45" s="32">
        <v>15865</v>
      </c>
    </row>
    <row r="46" spans="1:3" x14ac:dyDescent="0.25">
      <c r="A46" s="35" t="s">
        <v>127</v>
      </c>
      <c r="B46" s="35" t="s">
        <v>213</v>
      </c>
      <c r="C46" s="33">
        <v>-18000</v>
      </c>
    </row>
    <row r="47" spans="1:3" x14ac:dyDescent="0.25">
      <c r="A47" s="34" t="s">
        <v>128</v>
      </c>
      <c r="B47" s="34" t="s">
        <v>214</v>
      </c>
      <c r="C47" s="32">
        <v>80360</v>
      </c>
    </row>
    <row r="48" spans="1:3" x14ac:dyDescent="0.25">
      <c r="A48" s="35" t="s">
        <v>215</v>
      </c>
      <c r="B48" s="35" t="s">
        <v>216</v>
      </c>
      <c r="C48" s="33">
        <v>10000</v>
      </c>
    </row>
    <row r="49" spans="1:3" x14ac:dyDescent="0.25">
      <c r="A49" s="34" t="s">
        <v>217</v>
      </c>
      <c r="B49" s="34" t="s">
        <v>218</v>
      </c>
      <c r="C49" s="32">
        <v>9045</v>
      </c>
    </row>
    <row r="50" spans="1:3" x14ac:dyDescent="0.25">
      <c r="A50" s="35" t="s">
        <v>219</v>
      </c>
      <c r="B50" s="35" t="s">
        <v>220</v>
      </c>
      <c r="C50" s="33">
        <v>22902.21</v>
      </c>
    </row>
    <row r="51" spans="1:3" x14ac:dyDescent="0.25">
      <c r="A51" s="34" t="s">
        <v>80</v>
      </c>
      <c r="B51" s="34" t="s">
        <v>221</v>
      </c>
      <c r="C51" s="32">
        <v>71062.02</v>
      </c>
    </row>
    <row r="52" spans="1:3" x14ac:dyDescent="0.25">
      <c r="A52" s="35" t="s">
        <v>222</v>
      </c>
      <c r="B52" s="35" t="s">
        <v>223</v>
      </c>
      <c r="C52" s="33">
        <v>277200</v>
      </c>
    </row>
    <row r="53" spans="1:3" x14ac:dyDescent="0.25">
      <c r="A53" s="49" t="s">
        <v>224</v>
      </c>
      <c r="B53" s="49" t="s">
        <v>225</v>
      </c>
      <c r="C53" s="47">
        <v>6000</v>
      </c>
    </row>
    <row r="54" spans="1:3" s="52" customFormat="1" x14ac:dyDescent="0.25">
      <c r="A54" s="50" t="s">
        <v>0</v>
      </c>
      <c r="B54" s="50"/>
      <c r="C54" s="51">
        <f>SUBTOTAL(109,Tabla2[Imp.cob.aplic.])</f>
        <v>683877.35000000009</v>
      </c>
    </row>
    <row r="55" spans="1:3" x14ac:dyDescent="0.25">
      <c r="C55" s="3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56EA2-5B6D-4381-8AC0-524EA806F61A}">
  <dimension ref="A1:C60"/>
  <sheetViews>
    <sheetView topLeftCell="A46" workbookViewId="0">
      <selection activeCell="B63" sqref="B63:C63"/>
    </sheetView>
  </sheetViews>
  <sheetFormatPr baseColWidth="10" defaultRowHeight="15" x14ac:dyDescent="0.25"/>
  <cols>
    <col min="2" max="2" width="47.28515625" customWidth="1"/>
    <col min="3" max="3" width="13.28515625" customWidth="1"/>
  </cols>
  <sheetData>
    <row r="1" spans="1:3" x14ac:dyDescent="0.25">
      <c r="A1" s="58" t="s">
        <v>239</v>
      </c>
      <c r="B1" s="58" t="s">
        <v>112</v>
      </c>
      <c r="C1" s="59" t="s">
        <v>240</v>
      </c>
    </row>
    <row r="2" spans="1:3" x14ac:dyDescent="0.25">
      <c r="A2" s="54" t="s">
        <v>1</v>
      </c>
      <c r="B2" s="54" t="s">
        <v>241</v>
      </c>
      <c r="C2" s="55">
        <v>9245.3799999999992</v>
      </c>
    </row>
    <row r="3" spans="1:3" x14ac:dyDescent="0.25">
      <c r="A3" s="56" t="s">
        <v>110</v>
      </c>
      <c r="B3" s="56" t="s">
        <v>242</v>
      </c>
      <c r="C3" s="57">
        <v>202.27</v>
      </c>
    </row>
    <row r="4" spans="1:3" x14ac:dyDescent="0.25">
      <c r="A4" s="54" t="s">
        <v>79</v>
      </c>
      <c r="B4" s="54" t="s">
        <v>146</v>
      </c>
      <c r="C4" s="55">
        <v>-18480</v>
      </c>
    </row>
    <row r="5" spans="1:3" x14ac:dyDescent="0.25">
      <c r="A5" s="56" t="s">
        <v>124</v>
      </c>
      <c r="B5" s="56" t="s">
        <v>243</v>
      </c>
      <c r="C5" s="57">
        <v>2839.5</v>
      </c>
    </row>
    <row r="6" spans="1:3" x14ac:dyDescent="0.25">
      <c r="A6" s="54" t="s">
        <v>244</v>
      </c>
      <c r="B6" s="54" t="s">
        <v>245</v>
      </c>
      <c r="C6" s="55">
        <v>3740</v>
      </c>
    </row>
    <row r="7" spans="1:3" x14ac:dyDescent="0.25">
      <c r="A7" s="56" t="s">
        <v>244</v>
      </c>
      <c r="B7" s="56" t="s">
        <v>246</v>
      </c>
      <c r="C7" s="57">
        <v>3740</v>
      </c>
    </row>
    <row r="8" spans="1:3" x14ac:dyDescent="0.25">
      <c r="A8" s="54" t="s">
        <v>247</v>
      </c>
      <c r="B8" s="54" t="s">
        <v>248</v>
      </c>
      <c r="C8" s="55">
        <v>1056</v>
      </c>
    </row>
    <row r="9" spans="1:3" x14ac:dyDescent="0.25">
      <c r="A9" s="56" t="s">
        <v>198</v>
      </c>
      <c r="B9" s="56" t="s">
        <v>249</v>
      </c>
      <c r="C9" s="57">
        <v>5715.6</v>
      </c>
    </row>
    <row r="10" spans="1:3" x14ac:dyDescent="0.25">
      <c r="A10" s="54" t="s">
        <v>250</v>
      </c>
      <c r="B10" s="54" t="s">
        <v>251</v>
      </c>
      <c r="C10" s="55">
        <v>1936</v>
      </c>
    </row>
    <row r="11" spans="1:3" x14ac:dyDescent="0.25">
      <c r="A11" s="56" t="s">
        <v>252</v>
      </c>
      <c r="B11" s="56" t="s">
        <v>253</v>
      </c>
      <c r="C11" s="57">
        <v>4224</v>
      </c>
    </row>
    <row r="12" spans="1:3" x14ac:dyDescent="0.25">
      <c r="A12" s="54" t="s">
        <v>254</v>
      </c>
      <c r="B12" s="54" t="s">
        <v>255</v>
      </c>
      <c r="C12" s="55">
        <v>506</v>
      </c>
    </row>
    <row r="13" spans="1:3" x14ac:dyDescent="0.25">
      <c r="A13" s="56" t="s">
        <v>256</v>
      </c>
      <c r="B13" s="56" t="s">
        <v>257</v>
      </c>
      <c r="C13" s="57">
        <v>202.4</v>
      </c>
    </row>
    <row r="14" spans="1:3" x14ac:dyDescent="0.25">
      <c r="A14" s="54" t="s">
        <v>258</v>
      </c>
      <c r="B14" s="54" t="s">
        <v>259</v>
      </c>
      <c r="C14" s="55">
        <v>506</v>
      </c>
    </row>
    <row r="15" spans="1:3" x14ac:dyDescent="0.25">
      <c r="A15" s="56" t="s">
        <v>260</v>
      </c>
      <c r="B15" s="56" t="s">
        <v>257</v>
      </c>
      <c r="C15" s="57">
        <v>202.4</v>
      </c>
    </row>
    <row r="16" spans="1:3" x14ac:dyDescent="0.25">
      <c r="A16" s="54" t="s">
        <v>261</v>
      </c>
      <c r="B16" s="54" t="s">
        <v>262</v>
      </c>
      <c r="C16" s="55">
        <v>404.8</v>
      </c>
    </row>
    <row r="17" spans="1:3" x14ac:dyDescent="0.25">
      <c r="A17" s="56" t="s">
        <v>263</v>
      </c>
      <c r="B17" s="56" t="s">
        <v>264</v>
      </c>
      <c r="C17" s="57">
        <v>2640</v>
      </c>
    </row>
    <row r="18" spans="1:3" x14ac:dyDescent="0.25">
      <c r="A18" s="54" t="s">
        <v>265</v>
      </c>
      <c r="B18" s="54" t="s">
        <v>266</v>
      </c>
      <c r="C18" s="55">
        <v>6468</v>
      </c>
    </row>
    <row r="19" spans="1:3" x14ac:dyDescent="0.25">
      <c r="A19" s="56" t="s">
        <v>265</v>
      </c>
      <c r="B19" s="56" t="s">
        <v>267</v>
      </c>
      <c r="C19" s="57">
        <v>6468</v>
      </c>
    </row>
    <row r="20" spans="1:3" x14ac:dyDescent="0.25">
      <c r="A20" s="54" t="s">
        <v>268</v>
      </c>
      <c r="B20" s="54" t="s">
        <v>269</v>
      </c>
      <c r="C20" s="55">
        <v>2992</v>
      </c>
    </row>
    <row r="21" spans="1:3" x14ac:dyDescent="0.25">
      <c r="A21" s="56" t="s">
        <v>270</v>
      </c>
      <c r="B21" s="56" t="s">
        <v>271</v>
      </c>
      <c r="C21" s="57">
        <v>303.60000000000002</v>
      </c>
    </row>
    <row r="22" spans="1:3" x14ac:dyDescent="0.25">
      <c r="A22" s="54" t="s">
        <v>272</v>
      </c>
      <c r="B22" s="54" t="s">
        <v>273</v>
      </c>
      <c r="C22" s="55">
        <v>1848</v>
      </c>
    </row>
    <row r="23" spans="1:3" x14ac:dyDescent="0.25">
      <c r="A23" s="56" t="s">
        <v>274</v>
      </c>
      <c r="B23" s="56" t="s">
        <v>275</v>
      </c>
      <c r="C23" s="57">
        <v>5280</v>
      </c>
    </row>
    <row r="24" spans="1:3" x14ac:dyDescent="0.25">
      <c r="A24" s="54" t="s">
        <v>274</v>
      </c>
      <c r="B24" s="54" t="s">
        <v>276</v>
      </c>
      <c r="C24" s="55">
        <v>5280</v>
      </c>
    </row>
    <row r="25" spans="1:3" x14ac:dyDescent="0.25">
      <c r="A25" s="56" t="s">
        <v>277</v>
      </c>
      <c r="B25" s="56" t="s">
        <v>278</v>
      </c>
      <c r="C25" s="57">
        <v>4400</v>
      </c>
    </row>
    <row r="26" spans="1:3" x14ac:dyDescent="0.25">
      <c r="A26" s="54" t="s">
        <v>277</v>
      </c>
      <c r="B26" s="54" t="s">
        <v>279</v>
      </c>
      <c r="C26" s="55">
        <v>4400</v>
      </c>
    </row>
    <row r="27" spans="1:3" x14ac:dyDescent="0.25">
      <c r="A27" s="56" t="s">
        <v>277</v>
      </c>
      <c r="B27" s="56" t="s">
        <v>280</v>
      </c>
      <c r="C27" s="57">
        <v>8800</v>
      </c>
    </row>
    <row r="28" spans="1:3" x14ac:dyDescent="0.25">
      <c r="A28" s="54" t="s">
        <v>281</v>
      </c>
      <c r="B28" s="54" t="s">
        <v>282</v>
      </c>
      <c r="C28" s="55">
        <v>202.4</v>
      </c>
    </row>
    <row r="29" spans="1:3" x14ac:dyDescent="0.25">
      <c r="A29" s="56" t="s">
        <v>283</v>
      </c>
      <c r="B29" s="56" t="s">
        <v>284</v>
      </c>
      <c r="C29" s="57">
        <v>1056</v>
      </c>
    </row>
    <row r="30" spans="1:3" x14ac:dyDescent="0.25">
      <c r="A30" s="54" t="s">
        <v>285</v>
      </c>
      <c r="B30" s="54" t="s">
        <v>286</v>
      </c>
      <c r="C30" s="55">
        <v>2508</v>
      </c>
    </row>
    <row r="31" spans="1:3" x14ac:dyDescent="0.25">
      <c r="A31" s="56" t="s">
        <v>285</v>
      </c>
      <c r="B31" s="56" t="s">
        <v>287</v>
      </c>
      <c r="C31" s="57">
        <v>2508</v>
      </c>
    </row>
    <row r="32" spans="1:3" x14ac:dyDescent="0.25">
      <c r="A32" s="54" t="s">
        <v>288</v>
      </c>
      <c r="B32" s="54" t="s">
        <v>289</v>
      </c>
      <c r="C32" s="55">
        <v>206.8</v>
      </c>
    </row>
    <row r="33" spans="1:3" x14ac:dyDescent="0.25">
      <c r="A33" s="56" t="s">
        <v>290</v>
      </c>
      <c r="B33" s="56" t="s">
        <v>291</v>
      </c>
      <c r="C33" s="57">
        <v>2640</v>
      </c>
    </row>
    <row r="34" spans="1:3" x14ac:dyDescent="0.25">
      <c r="A34" s="54" t="s">
        <v>292</v>
      </c>
      <c r="B34" s="54" t="s">
        <v>293</v>
      </c>
      <c r="C34" s="55">
        <v>6000</v>
      </c>
    </row>
    <row r="35" spans="1:3" x14ac:dyDescent="0.25">
      <c r="A35" s="56" t="s">
        <v>292</v>
      </c>
      <c r="B35" s="56" t="s">
        <v>294</v>
      </c>
      <c r="C35" s="57">
        <v>6000</v>
      </c>
    </row>
    <row r="36" spans="1:3" x14ac:dyDescent="0.25">
      <c r="A36" s="54" t="s">
        <v>295</v>
      </c>
      <c r="B36" s="54" t="s">
        <v>296</v>
      </c>
      <c r="C36" s="55">
        <v>708.4</v>
      </c>
    </row>
    <row r="37" spans="1:3" x14ac:dyDescent="0.25">
      <c r="A37" s="56" t="s">
        <v>297</v>
      </c>
      <c r="B37" s="56" t="s">
        <v>298</v>
      </c>
      <c r="C37" s="57">
        <v>158.4</v>
      </c>
    </row>
    <row r="38" spans="1:3" x14ac:dyDescent="0.25">
      <c r="A38" s="54" t="s">
        <v>299</v>
      </c>
      <c r="B38" s="54" t="s">
        <v>300</v>
      </c>
      <c r="C38" s="55">
        <v>2816</v>
      </c>
    </row>
    <row r="39" spans="1:3" x14ac:dyDescent="0.25">
      <c r="A39" s="56" t="s">
        <v>301</v>
      </c>
      <c r="B39" s="56" t="s">
        <v>302</v>
      </c>
      <c r="C39" s="57">
        <v>660</v>
      </c>
    </row>
    <row r="40" spans="1:3" x14ac:dyDescent="0.25">
      <c r="A40" s="54" t="s">
        <v>303</v>
      </c>
      <c r="B40" s="54" t="s">
        <v>304</v>
      </c>
      <c r="C40" s="55">
        <v>308</v>
      </c>
    </row>
    <row r="41" spans="1:3" x14ac:dyDescent="0.25">
      <c r="A41" s="56" t="s">
        <v>305</v>
      </c>
      <c r="B41" s="56" t="s">
        <v>306</v>
      </c>
      <c r="C41" s="57">
        <v>660</v>
      </c>
    </row>
    <row r="42" spans="1:3" x14ac:dyDescent="0.25">
      <c r="A42" s="54" t="s">
        <v>307</v>
      </c>
      <c r="B42" s="54" t="s">
        <v>308</v>
      </c>
      <c r="C42" s="55">
        <v>6144.74</v>
      </c>
    </row>
    <row r="43" spans="1:3" x14ac:dyDescent="0.25">
      <c r="A43" s="56" t="s">
        <v>309</v>
      </c>
      <c r="B43" s="56" t="s">
        <v>310</v>
      </c>
      <c r="C43" s="57">
        <v>660</v>
      </c>
    </row>
    <row r="44" spans="1:3" x14ac:dyDescent="0.25">
      <c r="A44" s="54" t="s">
        <v>311</v>
      </c>
      <c r="B44" s="54" t="s">
        <v>282</v>
      </c>
      <c r="C44" s="55">
        <v>202.4</v>
      </c>
    </row>
    <row r="45" spans="1:3" x14ac:dyDescent="0.25">
      <c r="A45" s="56" t="s">
        <v>312</v>
      </c>
      <c r="B45" s="56" t="s">
        <v>313</v>
      </c>
      <c r="C45" s="57">
        <v>607.20000000000005</v>
      </c>
    </row>
    <row r="46" spans="1:3" x14ac:dyDescent="0.25">
      <c r="A46" s="54" t="s">
        <v>314</v>
      </c>
      <c r="B46" s="54" t="s">
        <v>315</v>
      </c>
      <c r="C46" s="55">
        <v>6160</v>
      </c>
    </row>
    <row r="47" spans="1:3" x14ac:dyDescent="0.25">
      <c r="A47" s="56" t="s">
        <v>113</v>
      </c>
      <c r="B47" s="56" t="s">
        <v>316</v>
      </c>
      <c r="C47" s="57">
        <v>-1202.9100000000001</v>
      </c>
    </row>
    <row r="48" spans="1:3" x14ac:dyDescent="0.25">
      <c r="A48" s="54" t="s">
        <v>209</v>
      </c>
      <c r="B48" s="54" t="s">
        <v>317</v>
      </c>
      <c r="C48" s="55">
        <v>110071.1</v>
      </c>
    </row>
    <row r="49" spans="1:3" x14ac:dyDescent="0.25">
      <c r="A49" s="56" t="s">
        <v>209</v>
      </c>
      <c r="B49" s="56" t="s">
        <v>318</v>
      </c>
      <c r="C49" s="57">
        <v>-2089.25</v>
      </c>
    </row>
    <row r="50" spans="1:3" x14ac:dyDescent="0.25">
      <c r="A50" s="54" t="s">
        <v>209</v>
      </c>
      <c r="B50" s="54" t="s">
        <v>319</v>
      </c>
      <c r="C50" s="55">
        <v>-2350.1999999999998</v>
      </c>
    </row>
    <row r="51" spans="1:3" x14ac:dyDescent="0.25">
      <c r="A51" s="56" t="s">
        <v>126</v>
      </c>
      <c r="B51" s="56" t="s">
        <v>320</v>
      </c>
      <c r="C51" s="57">
        <v>5700</v>
      </c>
    </row>
    <row r="52" spans="1:3" x14ac:dyDescent="0.25">
      <c r="A52" s="54" t="s">
        <v>141</v>
      </c>
      <c r="B52" s="54" t="s">
        <v>321</v>
      </c>
      <c r="C52" s="55">
        <v>38572.800000000003</v>
      </c>
    </row>
    <row r="53" spans="1:3" x14ac:dyDescent="0.25">
      <c r="A53" s="56" t="s">
        <v>141</v>
      </c>
      <c r="B53" s="56" t="s">
        <v>322</v>
      </c>
      <c r="C53" s="57">
        <v>38572.800000000003</v>
      </c>
    </row>
    <row r="54" spans="1:3" x14ac:dyDescent="0.25">
      <c r="A54" s="54" t="s">
        <v>215</v>
      </c>
      <c r="B54" s="54" t="s">
        <v>323</v>
      </c>
      <c r="C54" s="55">
        <v>-2410.64</v>
      </c>
    </row>
    <row r="55" spans="1:3" x14ac:dyDescent="0.25">
      <c r="A55" s="56" t="s">
        <v>217</v>
      </c>
      <c r="B55" s="56" t="s">
        <v>324</v>
      </c>
      <c r="C55" s="57">
        <v>32745</v>
      </c>
    </row>
    <row r="56" spans="1:3" x14ac:dyDescent="0.25">
      <c r="A56" s="54" t="s">
        <v>325</v>
      </c>
      <c r="B56" s="54" t="s">
        <v>326</v>
      </c>
      <c r="C56" s="55">
        <v>29621.74</v>
      </c>
    </row>
    <row r="57" spans="1:3" x14ac:dyDescent="0.25">
      <c r="A57" s="56" t="s">
        <v>327</v>
      </c>
      <c r="B57" s="56" t="s">
        <v>328</v>
      </c>
      <c r="C57" s="57">
        <v>90000</v>
      </c>
    </row>
    <row r="58" spans="1:3" x14ac:dyDescent="0.25">
      <c r="A58" s="54" t="s">
        <v>327</v>
      </c>
      <c r="B58" s="54" t="s">
        <v>329</v>
      </c>
      <c r="C58" s="55">
        <v>45480</v>
      </c>
    </row>
    <row r="59" spans="1:3" x14ac:dyDescent="0.25">
      <c r="A59" s="48" t="s">
        <v>224</v>
      </c>
      <c r="B59" s="48" t="s">
        <v>330</v>
      </c>
      <c r="C59" s="60">
        <v>14000</v>
      </c>
    </row>
    <row r="60" spans="1:3" x14ac:dyDescent="0.25">
      <c r="A60" s="48" t="s">
        <v>0</v>
      </c>
      <c r="B60" s="48"/>
      <c r="C60" s="61">
        <f>SUBTOTAL(109,Tabla3[Imp. aplic.])</f>
        <v>501836.72999999992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53639-212F-4B43-BCCA-ADF76605FD8B}">
  <dimension ref="A1:C64"/>
  <sheetViews>
    <sheetView topLeftCell="A37" workbookViewId="0">
      <selection activeCell="E54" sqref="E54"/>
    </sheetView>
  </sheetViews>
  <sheetFormatPr baseColWidth="10" defaultRowHeight="15" x14ac:dyDescent="0.25"/>
  <cols>
    <col min="1" max="1" width="17.42578125" customWidth="1"/>
    <col min="2" max="2" width="50.28515625" customWidth="1"/>
    <col min="3" max="3" width="15.28515625" customWidth="1"/>
  </cols>
  <sheetData>
    <row r="1" spans="1:3" x14ac:dyDescent="0.25">
      <c r="A1" s="72" t="s">
        <v>239</v>
      </c>
      <c r="B1" s="73" t="s">
        <v>112</v>
      </c>
      <c r="C1" s="73" t="s">
        <v>240</v>
      </c>
    </row>
    <row r="2" spans="1:3" x14ac:dyDescent="0.25">
      <c r="A2" s="74" t="s">
        <v>1</v>
      </c>
      <c r="B2" s="75" t="s">
        <v>394</v>
      </c>
      <c r="C2" s="76">
        <v>12495.31</v>
      </c>
    </row>
    <row r="3" spans="1:3" x14ac:dyDescent="0.25">
      <c r="A3" s="77" t="s">
        <v>110</v>
      </c>
      <c r="B3" s="78" t="s">
        <v>395</v>
      </c>
      <c r="C3" s="79">
        <v>360</v>
      </c>
    </row>
    <row r="4" spans="1:3" x14ac:dyDescent="0.25">
      <c r="A4" s="74" t="s">
        <v>124</v>
      </c>
      <c r="B4" s="75" t="s">
        <v>396</v>
      </c>
      <c r="C4" s="76">
        <v>1800</v>
      </c>
    </row>
    <row r="5" spans="1:3" x14ac:dyDescent="0.25">
      <c r="A5" s="77" t="s">
        <v>194</v>
      </c>
      <c r="B5" s="78" t="s">
        <v>397</v>
      </c>
      <c r="C5" s="79">
        <v>3688.52</v>
      </c>
    </row>
    <row r="6" spans="1:3" x14ac:dyDescent="0.25">
      <c r="A6" s="74" t="s">
        <v>398</v>
      </c>
      <c r="B6" s="75" t="s">
        <v>399</v>
      </c>
      <c r="C6" s="76">
        <v>5112.8</v>
      </c>
    </row>
    <row r="7" spans="1:3" x14ac:dyDescent="0.25">
      <c r="A7" s="77" t="s">
        <v>398</v>
      </c>
      <c r="B7" s="78" t="s">
        <v>399</v>
      </c>
      <c r="C7" s="79">
        <v>-5112.8</v>
      </c>
    </row>
    <row r="8" spans="1:3" x14ac:dyDescent="0.25">
      <c r="A8" s="74" t="s">
        <v>398</v>
      </c>
      <c r="B8" s="75" t="s">
        <v>400</v>
      </c>
      <c r="C8" s="76">
        <v>5112.8</v>
      </c>
    </row>
    <row r="9" spans="1:3" x14ac:dyDescent="0.25">
      <c r="A9" s="77" t="s">
        <v>277</v>
      </c>
      <c r="B9" s="78" t="s">
        <v>401</v>
      </c>
      <c r="C9" s="79">
        <v>8448</v>
      </c>
    </row>
    <row r="10" spans="1:3" x14ac:dyDescent="0.25">
      <c r="A10" s="74" t="s">
        <v>402</v>
      </c>
      <c r="B10" s="75" t="s">
        <v>403</v>
      </c>
      <c r="C10" s="76">
        <v>3744.4</v>
      </c>
    </row>
    <row r="11" spans="1:3" x14ac:dyDescent="0.25">
      <c r="A11" s="77" t="s">
        <v>402</v>
      </c>
      <c r="B11" s="78" t="s">
        <v>403</v>
      </c>
      <c r="C11" s="79">
        <v>-3744.4</v>
      </c>
    </row>
    <row r="12" spans="1:3" x14ac:dyDescent="0.25">
      <c r="A12" s="74" t="s">
        <v>402</v>
      </c>
      <c r="B12" s="75" t="s">
        <v>404</v>
      </c>
      <c r="C12" s="76">
        <v>3744.4</v>
      </c>
    </row>
    <row r="13" spans="1:3" x14ac:dyDescent="0.25">
      <c r="A13" s="77" t="s">
        <v>405</v>
      </c>
      <c r="B13" s="78" t="s">
        <v>406</v>
      </c>
      <c r="C13" s="79">
        <v>880</v>
      </c>
    </row>
    <row r="14" spans="1:3" x14ac:dyDescent="0.25">
      <c r="A14" s="74" t="s">
        <v>407</v>
      </c>
      <c r="B14" s="75" t="s">
        <v>408</v>
      </c>
      <c r="C14" s="76">
        <v>616</v>
      </c>
    </row>
    <row r="15" spans="1:3" x14ac:dyDescent="0.25">
      <c r="A15" s="77" t="s">
        <v>409</v>
      </c>
      <c r="B15" s="78" t="s">
        <v>410</v>
      </c>
      <c r="C15" s="79">
        <v>4400</v>
      </c>
    </row>
    <row r="16" spans="1:3" x14ac:dyDescent="0.25">
      <c r="A16" s="74" t="s">
        <v>411</v>
      </c>
      <c r="B16" s="75" t="s">
        <v>412</v>
      </c>
      <c r="C16" s="76">
        <v>13200</v>
      </c>
    </row>
    <row r="17" spans="1:3" x14ac:dyDescent="0.25">
      <c r="A17" s="77" t="s">
        <v>411</v>
      </c>
      <c r="B17" s="78" t="s">
        <v>413</v>
      </c>
      <c r="C17" s="79">
        <v>30800</v>
      </c>
    </row>
    <row r="18" spans="1:3" x14ac:dyDescent="0.25">
      <c r="A18" s="74" t="s">
        <v>414</v>
      </c>
      <c r="B18" s="75" t="s">
        <v>415</v>
      </c>
      <c r="C18" s="76">
        <v>2640</v>
      </c>
    </row>
    <row r="19" spans="1:3" x14ac:dyDescent="0.25">
      <c r="A19" s="77" t="s">
        <v>416</v>
      </c>
      <c r="B19" s="78" t="s">
        <v>417</v>
      </c>
      <c r="C19" s="79">
        <v>404.8</v>
      </c>
    </row>
    <row r="20" spans="1:3" x14ac:dyDescent="0.25">
      <c r="A20" s="74" t="s">
        <v>418</v>
      </c>
      <c r="B20" s="75" t="s">
        <v>419</v>
      </c>
      <c r="C20" s="76">
        <v>1584</v>
      </c>
    </row>
    <row r="21" spans="1:3" x14ac:dyDescent="0.25">
      <c r="A21" s="77" t="s">
        <v>420</v>
      </c>
      <c r="B21" s="78" t="s">
        <v>421</v>
      </c>
      <c r="C21" s="79">
        <v>1738</v>
      </c>
    </row>
    <row r="22" spans="1:3" x14ac:dyDescent="0.25">
      <c r="A22" s="74" t="s">
        <v>420</v>
      </c>
      <c r="B22" s="75" t="s">
        <v>422</v>
      </c>
      <c r="C22" s="76">
        <v>1738</v>
      </c>
    </row>
    <row r="23" spans="1:3" x14ac:dyDescent="0.25">
      <c r="A23" s="77" t="s">
        <v>423</v>
      </c>
      <c r="B23" s="78" t="s">
        <v>424</v>
      </c>
      <c r="C23" s="79">
        <v>4312</v>
      </c>
    </row>
    <row r="24" spans="1:3" x14ac:dyDescent="0.25">
      <c r="A24" s="74" t="s">
        <v>425</v>
      </c>
      <c r="B24" s="75" t="s">
        <v>426</v>
      </c>
      <c r="C24" s="76">
        <v>607.20000000000005</v>
      </c>
    </row>
    <row r="25" spans="1:3" x14ac:dyDescent="0.25">
      <c r="A25" s="77" t="s">
        <v>427</v>
      </c>
      <c r="B25" s="78" t="s">
        <v>428</v>
      </c>
      <c r="C25" s="79">
        <v>708.4</v>
      </c>
    </row>
    <row r="26" spans="1:3" x14ac:dyDescent="0.25">
      <c r="A26" s="74" t="s">
        <v>429</v>
      </c>
      <c r="B26" s="75" t="s">
        <v>430</v>
      </c>
      <c r="C26" s="76">
        <v>1742.4</v>
      </c>
    </row>
    <row r="27" spans="1:3" x14ac:dyDescent="0.25">
      <c r="A27" s="77" t="s">
        <v>431</v>
      </c>
      <c r="B27" s="78" t="s">
        <v>432</v>
      </c>
      <c r="C27" s="79">
        <v>4400</v>
      </c>
    </row>
    <row r="28" spans="1:3" x14ac:dyDescent="0.25">
      <c r="A28" s="74" t="s">
        <v>433</v>
      </c>
      <c r="B28" s="75" t="s">
        <v>434</v>
      </c>
      <c r="C28" s="76">
        <v>7500</v>
      </c>
    </row>
    <row r="29" spans="1:3" x14ac:dyDescent="0.25">
      <c r="A29" s="77" t="s">
        <v>435</v>
      </c>
      <c r="B29" s="78" t="s">
        <v>436</v>
      </c>
      <c r="C29" s="79">
        <v>7500</v>
      </c>
    </row>
    <row r="30" spans="1:3" x14ac:dyDescent="0.25">
      <c r="A30" s="74" t="s">
        <v>437</v>
      </c>
      <c r="B30" s="75" t="s">
        <v>438</v>
      </c>
      <c r="C30" s="76">
        <v>501.6</v>
      </c>
    </row>
    <row r="31" spans="1:3" x14ac:dyDescent="0.25">
      <c r="A31" s="77" t="s">
        <v>439</v>
      </c>
      <c r="B31" s="78" t="s">
        <v>440</v>
      </c>
      <c r="C31" s="79">
        <v>330</v>
      </c>
    </row>
    <row r="32" spans="1:3" x14ac:dyDescent="0.25">
      <c r="A32" s="74" t="s">
        <v>441</v>
      </c>
      <c r="B32" s="75" t="s">
        <v>442</v>
      </c>
      <c r="C32" s="76">
        <v>202.4</v>
      </c>
    </row>
    <row r="33" spans="1:3" x14ac:dyDescent="0.25">
      <c r="A33" s="77" t="s">
        <v>443</v>
      </c>
      <c r="B33" s="78" t="s">
        <v>444</v>
      </c>
      <c r="C33" s="79">
        <v>202.4</v>
      </c>
    </row>
    <row r="34" spans="1:3" x14ac:dyDescent="0.25">
      <c r="A34" s="74" t="s">
        <v>445</v>
      </c>
      <c r="B34" s="75" t="s">
        <v>446</v>
      </c>
      <c r="C34" s="76">
        <v>7500</v>
      </c>
    </row>
    <row r="35" spans="1:3" x14ac:dyDescent="0.25">
      <c r="A35" s="77" t="s">
        <v>447</v>
      </c>
      <c r="B35" s="78" t="s">
        <v>448</v>
      </c>
      <c r="C35" s="79">
        <v>308</v>
      </c>
    </row>
    <row r="36" spans="1:3" x14ac:dyDescent="0.25">
      <c r="A36" s="74" t="s">
        <v>449</v>
      </c>
      <c r="B36" s="75" t="s">
        <v>450</v>
      </c>
      <c r="C36" s="76">
        <v>162.80000000000001</v>
      </c>
    </row>
    <row r="37" spans="1:3" x14ac:dyDescent="0.25">
      <c r="A37" s="77" t="s">
        <v>449</v>
      </c>
      <c r="B37" s="78" t="s">
        <v>451</v>
      </c>
      <c r="C37" s="79">
        <v>127.6</v>
      </c>
    </row>
    <row r="38" spans="1:3" x14ac:dyDescent="0.25">
      <c r="A38" s="74" t="s">
        <v>452</v>
      </c>
      <c r="B38" s="75" t="s">
        <v>453</v>
      </c>
      <c r="C38" s="76">
        <v>708.4</v>
      </c>
    </row>
    <row r="39" spans="1:3" x14ac:dyDescent="0.25">
      <c r="A39" s="77" t="s">
        <v>454</v>
      </c>
      <c r="B39" s="78" t="s">
        <v>455</v>
      </c>
      <c r="C39" s="79">
        <v>4444</v>
      </c>
    </row>
    <row r="40" spans="1:3" x14ac:dyDescent="0.25">
      <c r="A40" s="74" t="s">
        <v>456</v>
      </c>
      <c r="B40" s="75" t="s">
        <v>457</v>
      </c>
      <c r="C40" s="76">
        <v>12012.5</v>
      </c>
    </row>
    <row r="41" spans="1:3" x14ac:dyDescent="0.25">
      <c r="A41" s="77" t="s">
        <v>458</v>
      </c>
      <c r="B41" s="78" t="s">
        <v>459</v>
      </c>
      <c r="C41" s="79">
        <v>7000</v>
      </c>
    </row>
    <row r="42" spans="1:3" x14ac:dyDescent="0.25">
      <c r="A42" s="74" t="s">
        <v>460</v>
      </c>
      <c r="B42" s="75" t="s">
        <v>461</v>
      </c>
      <c r="C42" s="76">
        <v>3960</v>
      </c>
    </row>
    <row r="43" spans="1:3" x14ac:dyDescent="0.25">
      <c r="A43" s="77" t="s">
        <v>462</v>
      </c>
      <c r="B43" s="78" t="s">
        <v>463</v>
      </c>
      <c r="C43" s="79">
        <v>2323.1999999999998</v>
      </c>
    </row>
    <row r="44" spans="1:3" x14ac:dyDescent="0.25">
      <c r="A44" s="74" t="s">
        <v>464</v>
      </c>
      <c r="B44" s="75" t="s">
        <v>465</v>
      </c>
      <c r="C44" s="76">
        <v>750</v>
      </c>
    </row>
    <row r="45" spans="1:3" x14ac:dyDescent="0.25">
      <c r="A45" s="77" t="s">
        <v>466</v>
      </c>
      <c r="B45" s="78" t="s">
        <v>467</v>
      </c>
      <c r="C45" s="79">
        <v>750</v>
      </c>
    </row>
    <row r="46" spans="1:3" x14ac:dyDescent="0.25">
      <c r="A46" s="74" t="s">
        <v>468</v>
      </c>
      <c r="B46" s="75" t="s">
        <v>469</v>
      </c>
      <c r="C46" s="76">
        <v>750</v>
      </c>
    </row>
    <row r="47" spans="1:3" x14ac:dyDescent="0.25">
      <c r="A47" s="77" t="s">
        <v>470</v>
      </c>
      <c r="B47" s="78" t="s">
        <v>471</v>
      </c>
      <c r="C47" s="79">
        <v>750</v>
      </c>
    </row>
    <row r="48" spans="1:3" x14ac:dyDescent="0.25">
      <c r="A48" s="74" t="s">
        <v>472</v>
      </c>
      <c r="B48" s="75" t="s">
        <v>473</v>
      </c>
      <c r="C48" s="76">
        <v>750</v>
      </c>
    </row>
    <row r="49" spans="1:3" x14ac:dyDescent="0.25">
      <c r="A49" s="77" t="s">
        <v>126</v>
      </c>
      <c r="B49" s="78" t="s">
        <v>474</v>
      </c>
      <c r="C49" s="79">
        <v>38000</v>
      </c>
    </row>
    <row r="50" spans="1:3" x14ac:dyDescent="0.25">
      <c r="A50" s="74" t="s">
        <v>128</v>
      </c>
      <c r="B50" s="75" t="s">
        <v>475</v>
      </c>
      <c r="C50" s="76">
        <v>-21650.83</v>
      </c>
    </row>
    <row r="51" spans="1:3" x14ac:dyDescent="0.25">
      <c r="A51" s="77" t="s">
        <v>217</v>
      </c>
      <c r="B51" s="78" t="s">
        <v>476</v>
      </c>
      <c r="C51" s="79">
        <v>47890</v>
      </c>
    </row>
    <row r="52" spans="1:3" x14ac:dyDescent="0.25">
      <c r="A52" s="74" t="s">
        <v>217</v>
      </c>
      <c r="B52" s="75" t="s">
        <v>477</v>
      </c>
      <c r="C52" s="76">
        <v>-7527.84</v>
      </c>
    </row>
    <row r="53" spans="1:3" x14ac:dyDescent="0.25">
      <c r="A53" s="77" t="s">
        <v>327</v>
      </c>
      <c r="B53" s="78" t="s">
        <v>478</v>
      </c>
      <c r="C53" s="79">
        <v>7920</v>
      </c>
    </row>
    <row r="54" spans="1:3" x14ac:dyDescent="0.25">
      <c r="A54" s="74" t="s">
        <v>479</v>
      </c>
      <c r="B54" s="75" t="s">
        <v>480</v>
      </c>
      <c r="C54" s="76">
        <v>3000</v>
      </c>
    </row>
    <row r="55" spans="1:3" x14ac:dyDescent="0.25">
      <c r="A55" s="77" t="s">
        <v>481</v>
      </c>
      <c r="B55" s="78" t="s">
        <v>480</v>
      </c>
      <c r="C55" s="79">
        <v>3000</v>
      </c>
    </row>
    <row r="56" spans="1:3" x14ac:dyDescent="0.25">
      <c r="A56" s="74" t="s">
        <v>482</v>
      </c>
      <c r="B56" s="75" t="s">
        <v>480</v>
      </c>
      <c r="C56" s="76">
        <v>3000</v>
      </c>
    </row>
    <row r="57" spans="1:3" x14ac:dyDescent="0.25">
      <c r="A57" s="77" t="s">
        <v>483</v>
      </c>
      <c r="B57" s="78" t="s">
        <v>480</v>
      </c>
      <c r="C57" s="79">
        <v>2300</v>
      </c>
    </row>
    <row r="58" spans="1:3" x14ac:dyDescent="0.25">
      <c r="A58" s="74" t="s">
        <v>484</v>
      </c>
      <c r="B58" s="75" t="s">
        <v>485</v>
      </c>
      <c r="C58" s="76">
        <v>2000</v>
      </c>
    </row>
    <row r="59" spans="1:3" x14ac:dyDescent="0.25">
      <c r="A59" s="77" t="s">
        <v>486</v>
      </c>
      <c r="B59" s="78" t="s">
        <v>487</v>
      </c>
      <c r="C59" s="79">
        <v>3700</v>
      </c>
    </row>
    <row r="60" spans="1:3" ht="15.75" thickBot="1" x14ac:dyDescent="0.3">
      <c r="A60" s="74" t="s">
        <v>488</v>
      </c>
      <c r="B60" s="75" t="s">
        <v>489</v>
      </c>
      <c r="C60" s="76">
        <v>30000</v>
      </c>
    </row>
    <row r="61" spans="1:3" ht="15.75" thickTop="1" x14ac:dyDescent="0.25">
      <c r="A61" s="80" t="s">
        <v>0</v>
      </c>
      <c r="B61" s="81"/>
      <c r="C61" s="82">
        <v>275584.05999999994</v>
      </c>
    </row>
    <row r="64" spans="1:3" x14ac:dyDescent="0.25">
      <c r="B64" s="69" t="s">
        <v>490</v>
      </c>
      <c r="C64" s="71">
        <f>C61+Tabla2[[#Totals],[Imp.cob.aplic.]]+Tabla3[[#Totals],[Imp. aplic.]]</f>
        <v>1461298.14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C8C1C-FD23-4FD9-9C35-F861AFE2857F}">
  <dimension ref="A1:C5"/>
  <sheetViews>
    <sheetView workbookViewId="0">
      <selection activeCell="D12" sqref="D12"/>
    </sheetView>
  </sheetViews>
  <sheetFormatPr baseColWidth="10" defaultRowHeight="15" x14ac:dyDescent="0.25"/>
  <cols>
    <col min="1" max="1" width="16.42578125" customWidth="1"/>
    <col min="2" max="2" width="81" customWidth="1"/>
    <col min="3" max="3" width="15.42578125" customWidth="1"/>
  </cols>
  <sheetData>
    <row r="1" spans="1:3" x14ac:dyDescent="0.25">
      <c r="A1" s="53" t="s">
        <v>111</v>
      </c>
      <c r="B1" s="53" t="s">
        <v>112</v>
      </c>
      <c r="C1" s="53" t="s">
        <v>123</v>
      </c>
    </row>
    <row r="2" spans="1:3" x14ac:dyDescent="0.25">
      <c r="A2" s="34" t="s">
        <v>81</v>
      </c>
      <c r="B2" s="34" t="s">
        <v>226</v>
      </c>
      <c r="C2" s="32">
        <v>20272.5</v>
      </c>
    </row>
    <row r="3" spans="1:3" x14ac:dyDescent="0.25">
      <c r="A3" s="62" t="s">
        <v>81</v>
      </c>
      <c r="B3" s="62" t="s">
        <v>227</v>
      </c>
      <c r="C3" s="63">
        <v>9540</v>
      </c>
    </row>
    <row r="4" spans="1:3" x14ac:dyDescent="0.25">
      <c r="A4" s="48" t="s">
        <v>0</v>
      </c>
      <c r="B4" s="48"/>
      <c r="C4" s="64">
        <f>SUBTOTAL(109,Tabla5[Imp.cob.aplic.])</f>
        <v>29812.5</v>
      </c>
    </row>
    <row r="5" spans="1:3" x14ac:dyDescent="0.25">
      <c r="C5" s="36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9D248-AA8B-48B4-9A56-9471A1D5442E}">
  <dimension ref="A1:C9"/>
  <sheetViews>
    <sheetView workbookViewId="0">
      <selection activeCell="B12" sqref="B12:C12"/>
    </sheetView>
  </sheetViews>
  <sheetFormatPr baseColWidth="10" defaultRowHeight="15" x14ac:dyDescent="0.25"/>
  <cols>
    <col min="2" max="2" width="45.42578125" customWidth="1"/>
    <col min="3" max="3" width="17.42578125" customWidth="1"/>
  </cols>
  <sheetData>
    <row r="1" spans="1:3" x14ac:dyDescent="0.25">
      <c r="A1" s="58" t="s">
        <v>239</v>
      </c>
      <c r="B1" s="58" t="s">
        <v>112</v>
      </c>
      <c r="C1" s="58" t="s">
        <v>240</v>
      </c>
    </row>
    <row r="2" spans="1:3" x14ac:dyDescent="0.25">
      <c r="A2" s="54" t="s">
        <v>81</v>
      </c>
      <c r="B2" s="54" t="s">
        <v>331</v>
      </c>
      <c r="C2" s="55">
        <v>2686.97</v>
      </c>
    </row>
    <row r="3" spans="1:3" x14ac:dyDescent="0.25">
      <c r="A3" s="56" t="s">
        <v>81</v>
      </c>
      <c r="B3" s="56" t="s">
        <v>332</v>
      </c>
      <c r="C3" s="57">
        <v>2650</v>
      </c>
    </row>
    <row r="4" spans="1:3" x14ac:dyDescent="0.25">
      <c r="A4" s="54" t="s">
        <v>81</v>
      </c>
      <c r="B4" s="54" t="s">
        <v>333</v>
      </c>
      <c r="C4" s="55">
        <v>2686.97</v>
      </c>
    </row>
    <row r="5" spans="1:3" x14ac:dyDescent="0.25">
      <c r="A5" s="56" t="s">
        <v>81</v>
      </c>
      <c r="B5" s="56" t="s">
        <v>334</v>
      </c>
      <c r="C5" s="57">
        <v>2650</v>
      </c>
    </row>
    <row r="6" spans="1:3" x14ac:dyDescent="0.25">
      <c r="A6" s="54" t="s">
        <v>81</v>
      </c>
      <c r="B6" s="54" t="s">
        <v>335</v>
      </c>
      <c r="C6" s="55">
        <v>2686.97</v>
      </c>
    </row>
    <row r="7" spans="1:3" x14ac:dyDescent="0.25">
      <c r="A7" s="56" t="s">
        <v>81</v>
      </c>
      <c r="B7" s="56" t="s">
        <v>336</v>
      </c>
      <c r="C7" s="57">
        <v>4279.75</v>
      </c>
    </row>
    <row r="8" spans="1:3" x14ac:dyDescent="0.25">
      <c r="A8" s="65" t="s">
        <v>81</v>
      </c>
      <c r="B8" s="65" t="s">
        <v>337</v>
      </c>
      <c r="C8" s="66">
        <v>20988</v>
      </c>
    </row>
    <row r="9" spans="1:3" s="52" customFormat="1" x14ac:dyDescent="0.25">
      <c r="A9" s="67" t="s">
        <v>0</v>
      </c>
      <c r="B9" s="67"/>
      <c r="C9" s="68">
        <f>SUBTOTAL(109,Tabla7[Imp. aplic.])</f>
        <v>38628.659999999996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B818A-2577-4A2D-930B-688092096BCC}">
  <dimension ref="A1:C13"/>
  <sheetViews>
    <sheetView tabSelected="1" workbookViewId="0">
      <selection activeCell="C19" sqref="C19"/>
    </sheetView>
  </sheetViews>
  <sheetFormatPr baseColWidth="10" defaultRowHeight="15" x14ac:dyDescent="0.25"/>
  <cols>
    <col min="1" max="1" width="18.42578125" customWidth="1"/>
    <col min="2" max="2" width="56.7109375" customWidth="1"/>
    <col min="3" max="3" width="19.7109375" customWidth="1"/>
  </cols>
  <sheetData>
    <row r="1" spans="1:3" x14ac:dyDescent="0.25">
      <c r="A1" s="83" t="s">
        <v>239</v>
      </c>
      <c r="B1" s="83" t="s">
        <v>112</v>
      </c>
      <c r="C1" s="84" t="s">
        <v>240</v>
      </c>
    </row>
    <row r="2" spans="1:3" x14ac:dyDescent="0.25">
      <c r="A2" s="75" t="s">
        <v>81</v>
      </c>
      <c r="B2" s="75" t="s">
        <v>491</v>
      </c>
      <c r="C2" s="76">
        <v>2421.9699999999998</v>
      </c>
    </row>
    <row r="3" spans="1:3" x14ac:dyDescent="0.25">
      <c r="A3" s="78" t="s">
        <v>81</v>
      </c>
      <c r="B3" s="78" t="s">
        <v>492</v>
      </c>
      <c r="C3" s="79">
        <v>2686.97</v>
      </c>
    </row>
    <row r="4" spans="1:3" x14ac:dyDescent="0.25">
      <c r="A4" s="75" t="s">
        <v>81</v>
      </c>
      <c r="B4" s="75" t="s">
        <v>493</v>
      </c>
      <c r="C4" s="76">
        <v>30528</v>
      </c>
    </row>
    <row r="5" spans="1:3" x14ac:dyDescent="0.25">
      <c r="A5" s="78" t="s">
        <v>81</v>
      </c>
      <c r="B5" s="78" t="s">
        <v>494</v>
      </c>
      <c r="C5" s="79">
        <v>4279.75</v>
      </c>
    </row>
    <row r="6" spans="1:3" x14ac:dyDescent="0.25">
      <c r="A6" s="75" t="s">
        <v>81</v>
      </c>
      <c r="B6" s="75" t="s">
        <v>495</v>
      </c>
      <c r="C6" s="76">
        <v>2686.97</v>
      </c>
    </row>
    <row r="7" spans="1:3" x14ac:dyDescent="0.25">
      <c r="A7" s="75" t="s">
        <v>496</v>
      </c>
      <c r="B7" s="75" t="s">
        <v>497</v>
      </c>
      <c r="C7" s="76">
        <v>106.25</v>
      </c>
    </row>
    <row r="8" spans="1:3" x14ac:dyDescent="0.25">
      <c r="A8" s="85" t="s">
        <v>496</v>
      </c>
      <c r="B8" s="85" t="s">
        <v>498</v>
      </c>
      <c r="C8" s="86">
        <v>63.75</v>
      </c>
    </row>
    <row r="9" spans="1:3" s="52" customFormat="1" x14ac:dyDescent="0.25">
      <c r="A9" s="87" t="s">
        <v>0</v>
      </c>
      <c r="B9" s="87"/>
      <c r="C9" s="88">
        <f>SUBTOTAL(109,Tabla1[Imp. aplic.])</f>
        <v>42773.66</v>
      </c>
    </row>
    <row r="13" spans="1:3" x14ac:dyDescent="0.25">
      <c r="B13" s="69" t="s">
        <v>499</v>
      </c>
      <c r="C13" s="70">
        <f>Tabla1[[#Totals],[Imp. aplic.]]+Tabla5[[#Totals],[Imp.cob.aplic.]]+Tabla7[[#Totals],[Imp. aplic.]]</f>
        <v>111214.82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Tesis</vt:lpstr>
      <vt:lpstr>Sexenios</vt:lpstr>
      <vt:lpstr>Ingresos investigación 2023</vt:lpstr>
      <vt:lpstr>Ingresos investigación 2024</vt:lpstr>
      <vt:lpstr>Ingresos investigación 2025</vt:lpstr>
      <vt:lpstr>Ingresos formación 2023</vt:lpstr>
      <vt:lpstr>Ingresos formación 2024</vt:lpstr>
      <vt:lpstr>Ingresos formación 2025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mayte.pujalte</cp:lastModifiedBy>
  <dcterms:created xsi:type="dcterms:W3CDTF">2019-07-03T07:15:54Z</dcterms:created>
  <dcterms:modified xsi:type="dcterms:W3CDTF">2026-05-27T09:53:31Z</dcterms:modified>
</cp:coreProperties>
</file>