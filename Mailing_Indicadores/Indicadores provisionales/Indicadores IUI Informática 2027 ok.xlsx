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F38AD03D-FEBC-4A89-A8EA-B75122C47DAC}" xr6:coauthVersionLast="47" xr6:coauthVersionMax="47" xr10:uidLastSave="{00000000-0000-0000-0000-000000000000}"/>
  <bookViews>
    <workbookView xWindow="-120" yWindow="-120" windowWidth="29040" windowHeight="15720" activeTab="4" xr2:uid="{00000000-000D-0000-FFFF-FFFF00000000}"/>
  </bookViews>
  <sheets>
    <sheet name="Tesis" sheetId="2" r:id="rId1"/>
    <sheet name="Sexenios" sheetId="3" r:id="rId2"/>
    <sheet name="Ingresos investigación 2023" sheetId="10" r:id="rId3"/>
    <sheet name="Ingresos investigación 2024" sheetId="11" r:id="rId4"/>
    <sheet name="Ingresos investigación 2025" sheetId="12" r:id="rId5"/>
  </sheets>
  <definedNames>
    <definedName name="_xlnm._FilterDatabase" localSheetId="1" hidden="1">Sexenios!$A$1:$S$105</definedName>
    <definedName name="_xlnm._FilterDatabase" localSheetId="0" hidden="1">Tesis!$A$1:$T$240</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40" i="2" l="1"/>
  <c r="C103" i="12"/>
  <c r="R105" i="3"/>
  <c r="C44" i="10" l="1"/>
  <c r="C65" i="11"/>
  <c r="C59" i="10"/>
</calcChain>
</file>

<file path=xl/sharedStrings.xml><?xml version="1.0" encoding="utf-8"?>
<sst xmlns="http://schemas.openxmlformats.org/spreadsheetml/2006/main" count="4699" uniqueCount="1145">
  <si>
    <t>Total</t>
  </si>
  <si>
    <t>41.50.6C.00.06</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</si>
  <si>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</si>
  <si>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</si>
  <si>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</si>
  <si>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</si>
  <si>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</si>
  <si>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</si>
  <si>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</si>
  <si>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</si>
  <si>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</si>
  <si>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</si>
  <si>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</si>
  <si>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</si>
  <si>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</si>
  <si>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</si>
  <si>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</si>
  <si>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</si>
  <si>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</si>
  <si>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</si>
  <si>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</si>
  <si>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</si>
  <si>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</si>
  <si>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 </t>
  </si>
  <si>
    <t>Codirector de tesis </t>
  </si>
  <si>
    <t/>
  </si>
  <si>
    <t>Director de tesis </t>
  </si>
  <si>
    <t>U062 </t>
  </si>
  <si>
    <t>ADM. I.U. DE INVESTIGACIÓN INFORMÁTICA </t>
  </si>
  <si>
    <t>DOCTORADO EN INFORMÁTICA </t>
  </si>
  <si>
    <t>10.19</t>
  </si>
  <si>
    <t>B112 </t>
  </si>
  <si>
    <t>DIDACTICA GENERAL Y DIDÁCTICAS ESPECÍFICAS </t>
  </si>
  <si>
    <t>DOCTORADO EN INVESTIGACIÓN EDUCATIVA </t>
  </si>
  <si>
    <t>50</t>
  </si>
  <si>
    <t>20</t>
  </si>
  <si>
    <t>10</t>
  </si>
  <si>
    <t>U044 </t>
  </si>
  <si>
    <t>ADM. FACULTAD DE CIENCIAS DE LA SALUD </t>
  </si>
  <si>
    <t>DOCTORADO EN CIENCIAS DE LA SALUD </t>
  </si>
  <si>
    <t>10.06</t>
  </si>
  <si>
    <t>B134</t>
  </si>
  <si>
    <t>B158 </t>
  </si>
  <si>
    <t>LENGUAJES Y SISTEMAS INFORMÁTICOS </t>
  </si>
  <si>
    <t>21513360B </t>
  </si>
  <si>
    <t>B158</t>
  </si>
  <si>
    <t>21395951V </t>
  </si>
  <si>
    <t>10.25</t>
  </si>
  <si>
    <t>B112</t>
  </si>
  <si>
    <t>21506145H </t>
  </si>
  <si>
    <t>B148 </t>
  </si>
  <si>
    <t>TECNOLOGÍA INFORMÁTICA Y COMPUTACIÓN </t>
  </si>
  <si>
    <t>B148</t>
  </si>
  <si>
    <t>21486541X </t>
  </si>
  <si>
    <t>21964202F </t>
  </si>
  <si>
    <t>52764803C </t>
  </si>
  <si>
    <t>22000675W </t>
  </si>
  <si>
    <t>B161 </t>
  </si>
  <si>
    <t>CIENCIA DE LA COMPUTACION E INTELIGENCIA ARTIFICIAL </t>
  </si>
  <si>
    <t>33489374V </t>
  </si>
  <si>
    <t>50170678L </t>
  </si>
  <si>
    <t>21510176R </t>
  </si>
  <si>
    <t>22135677V </t>
  </si>
  <si>
    <t>29011916S </t>
  </si>
  <si>
    <t>44752524K </t>
  </si>
  <si>
    <t>74653004H </t>
  </si>
  <si>
    <t>B149 </t>
  </si>
  <si>
    <t>FISICA, INGENIERIA DE SISTEMAS Y TEORIA DE LA SEÑAL </t>
  </si>
  <si>
    <t>B149</t>
  </si>
  <si>
    <t>21503683V </t>
  </si>
  <si>
    <t>52774982X </t>
  </si>
  <si>
    <t>24218798M </t>
  </si>
  <si>
    <t>21467137H </t>
  </si>
  <si>
    <t>21494991L </t>
  </si>
  <si>
    <t>21473652R </t>
  </si>
  <si>
    <t>21512592W </t>
  </si>
  <si>
    <t>21453179K </t>
  </si>
  <si>
    <t>73993969W </t>
  </si>
  <si>
    <t>21439614A </t>
  </si>
  <si>
    <t>73766251F </t>
  </si>
  <si>
    <t>33481301V </t>
  </si>
  <si>
    <t>21488273V </t>
  </si>
  <si>
    <t>21464202G </t>
  </si>
  <si>
    <t>44759120Q </t>
  </si>
  <si>
    <t>21645638Q </t>
  </si>
  <si>
    <t>48455569C </t>
  </si>
  <si>
    <t>53232971T </t>
  </si>
  <si>
    <t>B161</t>
  </si>
  <si>
    <t>21489731A </t>
  </si>
  <si>
    <t>22135596M </t>
  </si>
  <si>
    <t>21637322A </t>
  </si>
  <si>
    <t>03120050P </t>
  </si>
  <si>
    <t>NIF</t>
  </si>
  <si>
    <t>NOMBRE_COMPLETO</t>
  </si>
  <si>
    <t>TIPO_SEXENIO</t>
  </si>
  <si>
    <t>Total general</t>
  </si>
  <si>
    <t>INS
1</t>
  </si>
  <si>
    <t>DED
INS 1</t>
  </si>
  <si>
    <t>INS
2</t>
  </si>
  <si>
    <t>DED
INS 2</t>
  </si>
  <si>
    <t>DED
DEP</t>
  </si>
  <si>
    <t>SEX
INS 1</t>
  </si>
  <si>
    <t>SEX
INS 2</t>
  </si>
  <si>
    <t>SEX
DEP</t>
  </si>
  <si>
    <t>FUNCIONARIO</t>
  </si>
  <si>
    <t>NO FUNCIONARIO</t>
  </si>
  <si>
    <t>53231432W</t>
  </si>
  <si>
    <t>52793369C</t>
  </si>
  <si>
    <t>21672410Q</t>
  </si>
  <si>
    <t>52764803C</t>
  </si>
  <si>
    <t>21664897R</t>
  </si>
  <si>
    <t>48375795X</t>
  </si>
  <si>
    <t>52773069Y</t>
  </si>
  <si>
    <t>21489731A</t>
  </si>
  <si>
    <t>21496149G</t>
  </si>
  <si>
    <t>31251007X</t>
  </si>
  <si>
    <t>74193699T</t>
  </si>
  <si>
    <t>09371918Q</t>
  </si>
  <si>
    <t>21464202G</t>
  </si>
  <si>
    <t>33476663W</t>
  </si>
  <si>
    <t>21486541X</t>
  </si>
  <si>
    <t>50170678L</t>
  </si>
  <si>
    <t>52774982X</t>
  </si>
  <si>
    <t>50735030C</t>
  </si>
  <si>
    <t>21475880K</t>
  </si>
  <si>
    <t>21397854B</t>
  </si>
  <si>
    <t>21439614A</t>
  </si>
  <si>
    <t>29011916S</t>
  </si>
  <si>
    <t>21637322A</t>
  </si>
  <si>
    <t>21503683V</t>
  </si>
  <si>
    <t>48531413X</t>
  </si>
  <si>
    <t>21474037H</t>
  </si>
  <si>
    <t>33491634T</t>
  </si>
  <si>
    <t>21473652R</t>
  </si>
  <si>
    <t>21995314T</t>
  </si>
  <si>
    <t>53227471C</t>
  </si>
  <si>
    <t>73993969W</t>
  </si>
  <si>
    <t>52777349P</t>
  </si>
  <si>
    <t>21462550P</t>
  </si>
  <si>
    <t>22135596M</t>
  </si>
  <si>
    <t>21453179K</t>
  </si>
  <si>
    <t>33489374V</t>
  </si>
  <si>
    <t>21482756C</t>
  </si>
  <si>
    <t>21467137H</t>
  </si>
  <si>
    <t>53230124M</t>
  </si>
  <si>
    <t>20413324L</t>
  </si>
  <si>
    <t>21645324R</t>
  </si>
  <si>
    <t>21488273V</t>
  </si>
  <si>
    <t>48455569C</t>
  </si>
  <si>
    <t>52778442C</t>
  </si>
  <si>
    <t>44752524K</t>
  </si>
  <si>
    <t>74213842H</t>
  </si>
  <si>
    <t>73766251F</t>
  </si>
  <si>
    <t>21388068T</t>
  </si>
  <si>
    <t>21510176R</t>
  </si>
  <si>
    <t>52805806Z</t>
  </si>
  <si>
    <t>21512592W</t>
  </si>
  <si>
    <t>33485105A</t>
  </si>
  <si>
    <t>52778169T</t>
  </si>
  <si>
    <t>21649909D</t>
  </si>
  <si>
    <t>22136568B</t>
  </si>
  <si>
    <t>22135677V</t>
  </si>
  <si>
    <t>44759120Q</t>
  </si>
  <si>
    <t>24218798M</t>
  </si>
  <si>
    <t>21461233W</t>
  </si>
  <si>
    <t>21494991L</t>
  </si>
  <si>
    <t>21453332J</t>
  </si>
  <si>
    <t>03120050P</t>
  </si>
  <si>
    <t>21422399S</t>
  </si>
  <si>
    <t>21513360B</t>
  </si>
  <si>
    <t>21964202F</t>
  </si>
  <si>
    <t>Caldwell Marín, Eldon Glen </t>
  </si>
  <si>
    <t>ROBÓTICA ASISTENCIAL CIBER-FÍSICA PARA TERAPIA DEL HABLA-LENGUAJE </t>
  </si>
  <si>
    <t>27/04/2020 </t>
  </si>
  <si>
    <t>Cruz , Edmanuel Gaspar </t>
  </si>
  <si>
    <t>Robotics semantic localization using deep learning techniques </t>
  </si>
  <si>
    <t>28/04/2020 </t>
  </si>
  <si>
    <t>Acosta Vargas, Nelly Patricia </t>
  </si>
  <si>
    <t>EVALUACIÓN DE LA ACCESIBILIDAD WEB CON HERRAMIENTAS AUTOMÁTICAS Y UN MÉTODO HEURÍSTICO ARA USUARIOS CON BAJA VISIÓN </t>
  </si>
  <si>
    <t>11/02/2020 </t>
  </si>
  <si>
    <t>Arroba Rimassa, Jorge </t>
  </si>
  <si>
    <t>EL ANÁLISIS DE OPINIONES EN LA PREDICCIÓN POLÍTICA BASADOS EN TWITTER. UN NUEVO ENFOQUE </t>
  </si>
  <si>
    <t>28/10/2019 </t>
  </si>
  <si>
    <t>Borja Borja, Luis Felipe </t>
  </si>
  <si>
    <t>Arquitectura de visión y aprendizaje para el reconocimiento de actividades de grupos usando descriptores de movimient </t>
  </si>
  <si>
    <t>25/06/2020 </t>
  </si>
  <si>
    <t>48325227L </t>
  </si>
  <si>
    <t>Buenaño Fernández, Diego Patricio </t>
  </si>
  <si>
    <t>PROPUESTA DE UN CONJUNTO DE HERRAMIENTAS DE MINERÍA DE DATOS PARA EVALUAR EL DESEMPEÑO DE LOS ESTUDIANTES Y LOS PROCESOS DE ENSEÑANZA-APRENDIZAJE EN EL ÁMBITO DE LA EDUACIÓN EN LA INGENIERÍA </t>
  </si>
  <si>
    <t>19/06/2020 </t>
  </si>
  <si>
    <t>Cadena Vela, Susana Graciela </t>
  </si>
  <si>
    <t>MARCO DE REFERENCIA PARA LA PUBLICACIÓN DE DATOS ABIERTOS COMPRENSIBLES BASADO EN ESTÁNDARES DE CALIDAD </t>
  </si>
  <si>
    <t>20/11/2019 </t>
  </si>
  <si>
    <t>Cortes Castillo, Antonio </t>
  </si>
  <si>
    <t>MODELIZACIÓN DE LA PROPAGACIÓN DE INFORMACIÓN A TRAVÉS DE LAS REDES INFORMÁTICAS </t>
  </si>
  <si>
    <t>16/07/2020 </t>
  </si>
  <si>
    <t>21411855M </t>
  </si>
  <si>
    <t>Enríquez Reyes, Robert </t>
  </si>
  <si>
    <t>SELECCIÓN DE CONJUNTOS DE DATOS A PUBLICAR EN ABIERTO BASADA EN EL MÉTODO DELPHI DIFUSO </t>
  </si>
  <si>
    <t>Escobar Esteban, María Pilar </t>
  </si>
  <si>
    <t>UN ENFOQUE MULTIDIMENSIONAL BASADO EN RDF PARA LA PUBLICACIÓN DE LINKED OPEN DATA </t>
  </si>
  <si>
    <t>07/07/2020 </t>
  </si>
  <si>
    <t>Espín León, Aldrin Marcel </t>
  </si>
  <si>
    <t>06/07/2020 </t>
  </si>
  <si>
    <t>Fernández Frías, Ana María </t>
  </si>
  <si>
    <t>NUEVAS TECNOLOGÍAS Y CÁNCER DE MAMA. ANÁLISIS MEDIANTE E-HEALTH DE LA ANSIEDAD DURANTE LA FASE DIAGNÓSTICA DE UNA LESIÓN MAMARIA SOSPECHOSA </t>
  </si>
  <si>
    <t>29/07/2020 </t>
  </si>
  <si>
    <t>García García, Alberto </t>
  </si>
  <si>
    <t>DEEP LEARNING FOR 3D PERCEPTION: COMPUTER VISION AND TACTILE SENSING </t>
  </si>
  <si>
    <t>53240321J </t>
  </si>
  <si>
    <t>Gómez Donoso, Francisco </t>
  </si>
  <si>
    <t>Contributions to 3D object recognition and 3D hand pose estimation using deep learning techniques </t>
  </si>
  <si>
    <t>18/09/2020 </t>
  </si>
  <si>
    <t>Kauffmann Incer, Erick </t>
  </si>
  <si>
    <t>ARQUITECTURA PARA ANALÍTICAS DE DATOS ORIENTADA A LA AYUDA DEL PROCESO DE LA TOMA DE DECISIONES </t>
  </si>
  <si>
    <t>16/01/2020 </t>
  </si>
  <si>
    <t>Villegas Chiliquinga, William Eduardo </t>
  </si>
  <si>
    <t>ARQUITECTURA PARA LA GESTIÓN DE DATOS EN UN CAMPUS INTELIGENTE </t>
  </si>
  <si>
    <t>24/01/2020 </t>
  </si>
  <si>
    <t>Zapata Impatá, Brayan Stiven </t>
  </si>
  <si>
    <t>ROBOTIC MANIPULATION BASED ON VISUAL AND TACTILE PERCEPTION </t>
  </si>
  <si>
    <t>17/09/2020 </t>
  </si>
  <si>
    <t>74004743N</t>
  </si>
  <si>
    <t>53232971T</t>
  </si>
  <si>
    <t>52771535J</t>
  </si>
  <si>
    <t>48325227L</t>
  </si>
  <si>
    <t>02380426H</t>
  </si>
  <si>
    <t>COD DEP</t>
  </si>
  <si>
    <t>21472011Q</t>
  </si>
  <si>
    <t>44762540D</t>
  </si>
  <si>
    <t>48363194J</t>
  </si>
  <si>
    <t>52776534K</t>
  </si>
  <si>
    <t>74085674Y</t>
  </si>
  <si>
    <t>41.50.6C.00.52</t>
  </si>
  <si>
    <t>41.50.6P.00.38</t>
  </si>
  <si>
    <t>41.50.6X.00.01</t>
  </si>
  <si>
    <t>Caracterización y cuantificación de la identidad cultural; aplicación a la cultura indígena amazónica</t>
  </si>
  <si>
    <t>Silva Barrera, Blanca Patricia </t>
  </si>
  <si>
    <t>ESTUDIO DESCRIPTIVO SOBRE LOS FACTORES DE VULNERABILIDAD QUE AFECTAN AL INGRESO DE PACIENTES EN UN HOSPITAL PSIQUIÁTRICO ALEMÁN (2001-2014) </t>
  </si>
  <si>
    <t>12/11/2020 </t>
  </si>
  <si>
    <t>Zamora Hernández, Mauricio Andrés </t>
  </si>
  <si>
    <t>Arquitectura para el control visual de ensambles en Industria 4.0 basado en aprendizaje </t>
  </si>
  <si>
    <t>27/10/2020 </t>
  </si>
  <si>
    <t>Herrera Flores, Boris Enrique </t>
  </si>
  <si>
    <t>Propuesta metodológica para el desarrollo de sistemas automáticos de evaluación </t>
  </si>
  <si>
    <t>26/10/2020 </t>
  </si>
  <si>
    <t>02380426H </t>
  </si>
  <si>
    <t>Acosta Hurtado, Tania Aleyda </t>
  </si>
  <si>
    <t>LINEAMIENTOS PARA EL DISEÑO, PUBLICACIÓN Y EVALUACIÓN DEL CONTENIDO MULTIMEDIA ACCESIBLE EN LA WEB </t>
  </si>
  <si>
    <t>05/11/2020 </t>
  </si>
  <si>
    <t>Serrano Cases, Alejandro </t>
  </si>
  <si>
    <t>Fault tolerance in critical aerospace embedded systems: Multi-threaded mitigation, non-intrusive compiler-guided hardening, and early prediction of proton and neutron induced soft errors </t>
  </si>
  <si>
    <t>30/10/2020 </t>
  </si>
  <si>
    <t>Duque Gomez, Henry </t>
  </si>
  <si>
    <t>ARQUITECTURAS INTELIGENTES PARA GESTIÓN DE SISTEMAS CIBERFÍSICOS EN AMBIENTES IoT </t>
  </si>
  <si>
    <t>Sebastia Amat, Sergio </t>
  </si>
  <si>
    <t>Propuesta de evaluación motriz en personas com enfermedad de Parkinson / Motor evaluation proposal for people with Parkinson Disease </t>
  </si>
  <si>
    <t>20/07/2021 </t>
  </si>
  <si>
    <t>Startseva , Elena </t>
  </si>
  <si>
    <t>Líneas de investigación cibernética y biótica. Modelado y simulación de sistemas biológicos. Ingeniería de conocimiento para la mejora de la orientación académica. </t>
  </si>
  <si>
    <t>11/02/2021 </t>
  </si>
  <si>
    <t>Jiménez Álvarez, Luis Gonzalo </t>
  </si>
  <si>
    <t>Diseño y Especificación del ocio digital con fines de aprendizaje ODFA Subproblema: Ocio digital formativo en competencias ODFC para la UCE </t>
  </si>
  <si>
    <t>25/02/2021 </t>
  </si>
  <si>
    <t>Hochstetter Diez, Jorge Alberto </t>
  </si>
  <si>
    <t>Impacto de la calidad del documento de requisitos sobre el proceso de licitaciones públicas de proyectos de desarrollo software </t>
  </si>
  <si>
    <t>14/01/2021 </t>
  </si>
  <si>
    <t>Naranjo Zeledón, Luis Carlos </t>
  </si>
  <si>
    <t>¿Arquitectura de componentes de refuerzo del aprendizaje de lengua de señas empleando proximidad fonológica¿ </t>
  </si>
  <si>
    <t>27/09/2021 </t>
  </si>
  <si>
    <t>Morales Morales, Mario Raúl </t>
  </si>
  <si>
    <t>Criptomonedas de ámbito social como herramienta de gobierno electrónico para el desarrollo sostenible </t>
  </si>
  <si>
    <t>01/06/2021 </t>
  </si>
  <si>
    <t>Salvador Ullauri, Luis Antonio </t>
  </si>
  <si>
    <t>Evaluación de la accesibilidad para personas con deficiencia visual en juegos serios basados en la web </t>
  </si>
  <si>
    <t>Criollo Caizaguano, Luis </t>
  </si>
  <si>
    <t>Propuesta de un conjunto de herramientas para el análisis y evaluación de prácticas educativas innovadoras en el aprendizaje electrónico móvil </t>
  </si>
  <si>
    <t>08/09/2021 </t>
  </si>
  <si>
    <t>Mora Lizán, Francisco José </t>
  </si>
  <si>
    <t>Avances en modelado de sistemas multiagente. Propuesta de arquitectura híbrida multinivel </t>
  </si>
  <si>
    <t>26/01/2021 </t>
  </si>
  <si>
    <t>21672410Q </t>
  </si>
  <si>
    <t>Nasri Mohammadshahi, Nadia </t>
  </si>
  <si>
    <t>Hand gesture recognition using sEMG and deep learning </t>
  </si>
  <si>
    <t>17/06/2021 </t>
  </si>
  <si>
    <t>Cortés Blasco, Daniel </t>
  </si>
  <si>
    <t>Modelado y simulación para la predicción de explosiones en espacios confinados </t>
  </si>
  <si>
    <t>03/03/2021 </t>
  </si>
  <si>
    <t>Del Pino Bastida, Iván </t>
  </si>
  <si>
    <t>Desarrollo de un sistema completo de navegación autónoma basado en GNSS y LiDAR para robots terrestres que operan en entornos dinámicos y no estructurados </t>
  </si>
  <si>
    <t>02/09/2021 </t>
  </si>
  <si>
    <t>Lavalle López, Ana </t>
  </si>
  <si>
    <t>A methodology for the visual comprehension of Big Data </t>
  </si>
  <si>
    <t>15/07/2021 </t>
  </si>
  <si>
    <t>Escalona Moncholí, Félix </t>
  </si>
  <si>
    <t>Contributions to 3D data processing and social robotics </t>
  </si>
  <si>
    <t>30/09/2021 </t>
  </si>
  <si>
    <t>Romero Puig, Noelia </t>
  </si>
  <si>
    <t>Crop Monitoring by Satellite Polarimetric SAR Interferometry </t>
  </si>
  <si>
    <t>16/09/2021 </t>
  </si>
  <si>
    <t>21664897R </t>
  </si>
  <si>
    <t>Ortega Bastida, Javier </t>
  </si>
  <si>
    <t>Aproximación de soluciones multimodales para aplicaciones Deep Learning. </t>
  </si>
  <si>
    <t>48531956R </t>
  </si>
  <si>
    <t>Tardio Olmos, Roberto </t>
  </si>
  <si>
    <t>Un método iterativo y alineado con los planes estratégicos para modelar, integrar y analizar datos en escenarios Big Data. </t>
  </si>
  <si>
    <t>19/07/2021 </t>
  </si>
  <si>
    <t>Román García, Miguel Ángel </t>
  </si>
  <si>
    <t>An End-to-End Framework for Audio to Score Music Transcription </t>
  </si>
  <si>
    <t>20/01/2021 </t>
  </si>
  <si>
    <t>74004743N </t>
  </si>
  <si>
    <t>González Mora, César </t>
  </si>
  <si>
    <t>An APIfication Approach to Facilitate the Access and Reuse of Open Data </t>
  </si>
  <si>
    <t>10/09/2021 </t>
  </si>
  <si>
    <t>48351140B </t>
  </si>
  <si>
    <t>Rosa de Rivera, Verónica Idalia </t>
  </si>
  <si>
    <t>21/07/2021 </t>
  </si>
  <si>
    <t>Aguirre Ayala, Carlos Antonio </t>
  </si>
  <si>
    <t>"Diseño causal de sistema piramidal para aprendizaje colaborativo sobre la ingeniería web". </t>
  </si>
  <si>
    <t>22/07/2021 </t>
  </si>
  <si>
    <t>Bauer , Zuria </t>
  </si>
  <si>
    <t>Monocular Depth Estimation: Datasets, Methods, and Applications. </t>
  </si>
  <si>
    <t>15/09/2021 </t>
  </si>
  <si>
    <t>Ortega , John Evan </t>
  </si>
  <si>
    <t>Fuzzy-match repair in computer-aided translation using black-box machine translation </t>
  </si>
  <si>
    <t>01/03/2021 </t>
  </si>
  <si>
    <t>Xie , Qinghua </t>
  </si>
  <si>
    <t>Application of Polarimetric Model-based Decomposition for Crop Monitoring </t>
  </si>
  <si>
    <t>19/02/2021 </t>
  </si>
  <si>
    <t>Bravo Fuentes, Paloma </t>
  </si>
  <si>
    <t>Propuesta metodológica para la enseñanza de la flauta dulce en educación primaria mediante el soporte de complementos tecnológicos para el aprendizaje autónomo. </t>
  </si>
  <si>
    <t>29/07/2021 </t>
  </si>
  <si>
    <t>09371918Q </t>
  </si>
  <si>
    <t>Cód. org. aplic.</t>
  </si>
  <si>
    <t>Descripción justificante</t>
  </si>
  <si>
    <t>41.50.6C.01.01</t>
  </si>
  <si>
    <t>41.50.6P.00.44</t>
  </si>
  <si>
    <t>41.50.6P.00.45</t>
  </si>
  <si>
    <t>41.50.6P.00.46</t>
  </si>
  <si>
    <t>41.50.6P.00.47</t>
  </si>
  <si>
    <t>Diéguez Rebolledo, Mauricio Rubén </t>
  </si>
  <si>
    <t>Enfoque metodológico para la selección de controles de seguridad de la información </t>
  </si>
  <si>
    <t>18/02/2022 </t>
  </si>
  <si>
    <t>Arrebola Moreno, Clara </t>
  </si>
  <si>
    <t>Tecnologías aplicadas al proceso de enseñanza-aprendizaje del repertorio del Canto Lírico </t>
  </si>
  <si>
    <t>19/11/2021 </t>
  </si>
  <si>
    <t>Piad Morffis, Alejandro </t>
  </si>
  <si>
    <t>Ecosistema para el Descubrimiento de Conocimiento en Lenguaje Natural </t>
  </si>
  <si>
    <t>16/12/2021 </t>
  </si>
  <si>
    <t>Estévez Velarde, Suilan </t>
  </si>
  <si>
    <t>Descubrimiento Automático de Flujos de Aprendizaje de Máquina basado en Gramáticas Probabilísticas </t>
  </si>
  <si>
    <t>02/12/2021 </t>
  </si>
  <si>
    <t>Mahiques Segura, Gerard </t>
  </si>
  <si>
    <t>Artroplastia total de cadera primaria con vástago no cementado y par de fricción cerámica-cerámica en pacientes menores de 40 años </t>
  </si>
  <si>
    <t>16/10/2020 </t>
  </si>
  <si>
    <t>21510925Z </t>
  </si>
  <si>
    <t>B134 </t>
  </si>
  <si>
    <t>ENFERMERIA </t>
  </si>
  <si>
    <t>Asensio Pascual, Alfredo Elías </t>
  </si>
  <si>
    <t>Influencia de artroplastia total de cadera previa sobre la función de una subsecuente artropalstia total de rodilla ipsilateral </t>
  </si>
  <si>
    <t>06/10/2020 </t>
  </si>
  <si>
    <t>Sánchez García, Luis Fermín </t>
  </si>
  <si>
    <t>Factores condicionales de rendimiento deportivo en corredores jóvenes de trail running </t>
  </si>
  <si>
    <t>15/06/2021 </t>
  </si>
  <si>
    <t>U022 </t>
  </si>
  <si>
    <t>ADM. FACULTAD DE CIENCIAS </t>
  </si>
  <si>
    <t>DOCTORADO EN CIENCIAS EXPERIMENTALES Y BIOSANITARIAS </t>
  </si>
  <si>
    <t>Trigueros Páez, Emilio </t>
  </si>
  <si>
    <t>MONOS: Multiplicity Of Northern O-type Spectroscopic systems </t>
  </si>
  <si>
    <t>30/07/2021 </t>
  </si>
  <si>
    <t>16568682B </t>
  </si>
  <si>
    <t>B117 </t>
  </si>
  <si>
    <t>FISICA APLICADA </t>
  </si>
  <si>
    <t>B117</t>
  </si>
  <si>
    <t>Aguirre Pastor, Alfredo </t>
  </si>
  <si>
    <t>Influencia de la pseudopatela baja sobre la artroplastia de rodilla. </t>
  </si>
  <si>
    <t>Veracruz Gálvez, Eva María </t>
  </si>
  <si>
    <t>Influencia de la posición de los sesamoideos sobre el resultado funcional de la osteotomía del primer metatarsiano para hallux valgus </t>
  </si>
  <si>
    <t>16/06/2021 </t>
  </si>
  <si>
    <t>de Juan Pérez, Alba Isabel </t>
  </si>
  <si>
    <t>"Presencia y distribución de neuroreceptores de serotonina, GABA y dopamina en el espermatozoide humano. Estudio con técnicas de microscopía de alta resolución y análisis de grafos" </t>
  </si>
  <si>
    <t>25/03/2021 </t>
  </si>
  <si>
    <t>Jover Mendiola, Antonio Damián </t>
  </si>
  <si>
    <t>Efectividad de la artrodesis primaria posterior de columna lumbar con técnica mínimamente invasiva comparada a la cirugía abierta para potología degenerativa lumbar. </t>
  </si>
  <si>
    <t>25/05/2021 </t>
  </si>
  <si>
    <t>Rubio Morales, Marta </t>
  </si>
  <si>
    <t>Beneficios clínicos de la prótesis inversa de hombro e influencia del diagnóstico. </t>
  </si>
  <si>
    <t>48558539L </t>
  </si>
  <si>
    <t>Diseño causal de sistema piramidal para aprendizaje colaborativo de los lenguajes de programación </t>
  </si>
  <si>
    <t>Ruiz Lozano, Matías </t>
  </si>
  <si>
    <t>Influencia del portal femoral artroscópico sobre el resultado de la reconstrucción del ligamento cruzado anterior. </t>
  </si>
  <si>
    <t>08/04/2022 </t>
  </si>
  <si>
    <t>Martín Grandes, María del Rosario </t>
  </si>
  <si>
    <t>Efectividad del ácido tranexámico para reducir las pérdidas sanguíneas en pacientes con fracturas de cadera. </t>
  </si>
  <si>
    <t>13/06/2022 </t>
  </si>
  <si>
    <t>Larco Ampudia, Enrique Andrés </t>
  </si>
  <si>
    <t>Desarrollo de software basado en experiencia de usuario y prototipado para personas con discapacidad </t>
  </si>
  <si>
    <t>23/02/2022 </t>
  </si>
  <si>
    <t>Jaramillo Alcázar, Ángel Gabriel </t>
  </si>
  <si>
    <t>PROPUESTA DE UN MÉTODO PARA EL DESARROLLO DE VIDEOJUEGOS SERIOS </t>
  </si>
  <si>
    <t>08/06/2022 </t>
  </si>
  <si>
    <t>Martínez Mosquera, Silvia Diana </t>
  </si>
  <si>
    <t>Big data-driven optimization for performance management in mobile networks. </t>
  </si>
  <si>
    <t>15/11/2021 </t>
  </si>
  <si>
    <t>Bernabeu Lledó, María Luisa </t>
  </si>
  <si>
    <t>Búsqueda de imágenes similares usando técnicas de aprendizaje automático </t>
  </si>
  <si>
    <t>15/07/2022 </t>
  </si>
  <si>
    <t>Vicente Moreno, Esther Marta </t>
  </si>
  <si>
    <t>A Discourse-aware Macroplanning Approach for Text Generation and Beyond </t>
  </si>
  <si>
    <t>Rico García, Héctor </t>
  </si>
  <si>
    <t>APLICACIÓN DE TÉCNICAS DE COMPUTACIÓN PARALELA PARA ACELERACIÓN DE ALGORITMOS EN INGENIERÍA </t>
  </si>
  <si>
    <t>33485105A </t>
  </si>
  <si>
    <t>Real Fernández, Alberto </t>
  </si>
  <si>
    <t>CALM: un modelo de aprendizaje adaptativo y personalizado </t>
  </si>
  <si>
    <t>18/07/2022 </t>
  </si>
  <si>
    <t>Vives Boix, Víctor </t>
  </si>
  <si>
    <t>¿Modelos neuronales basados en la metaplasticidad para la ayuda al diagnóstico clínico¿ </t>
  </si>
  <si>
    <t>03/12/2021 </t>
  </si>
  <si>
    <t>Alashhab , Samer Refat Hamzeh </t>
  </si>
  <si>
    <t>Aplicaciones de Visión Artificial para Ayuda a Personas con Dificultades Visuales </t>
  </si>
  <si>
    <t>01/07/2022 </t>
  </si>
  <si>
    <t>48531413X </t>
  </si>
  <si>
    <t>Sepúlveda Torres, Robiert </t>
  </si>
  <si>
    <t>¿Detección de información engañosa mediante Tecnologías del Lenguaje Humano e Inteligencia Artificial¿ </t>
  </si>
  <si>
    <t>18/03/2022 </t>
  </si>
  <si>
    <t>52778169T </t>
  </si>
  <si>
    <t>48560510N </t>
  </si>
  <si>
    <t>B171 </t>
  </si>
  <si>
    <t>CIENCIAS DEL MAR Y BIOLOGÍA APLICADA </t>
  </si>
  <si>
    <t>B171</t>
  </si>
  <si>
    <t>10.16</t>
  </si>
  <si>
    <t>04296267M</t>
  </si>
  <si>
    <t>16568682B</t>
  </si>
  <si>
    <t>21510925Z</t>
  </si>
  <si>
    <t>47075279Y</t>
  </si>
  <si>
    <t>48531956R</t>
  </si>
  <si>
    <t>48534266B</t>
  </si>
  <si>
    <t>48558539L</t>
  </si>
  <si>
    <t>72520384G</t>
  </si>
  <si>
    <t>48560510N</t>
  </si>
  <si>
    <t>Imp.cob.aplic.</t>
  </si>
  <si>
    <t>41.50.6P.00.50</t>
  </si>
  <si>
    <t>41.50.6C.01.26</t>
  </si>
  <si>
    <t>41.50.6C.01.29</t>
  </si>
  <si>
    <t>41.50.6C.01.44</t>
  </si>
  <si>
    <t>41.50.6C.01.47</t>
  </si>
  <si>
    <t>41.50.6P.00.51</t>
  </si>
  <si>
    <t>41.50.6P.00.52</t>
  </si>
  <si>
    <t>41.50.6P.00.53</t>
  </si>
  <si>
    <t>41.50.6P.00.54</t>
  </si>
  <si>
    <t>41.50.6P.00.55</t>
  </si>
  <si>
    <t>41.50.6P.00.56</t>
  </si>
  <si>
    <t>I.U. DE INVESTIGACIÓN INFORMÁTICA (10.19) </t>
  </si>
  <si>
    <t>Sánchez Torres, Fulgencio </t>
  </si>
  <si>
    <t>Data science como soporte al modelado del conocimiento para el análisis de costes en la empresa 4.0: la entidad turística </t>
  </si>
  <si>
    <t>22/09/2022 </t>
  </si>
  <si>
    <t>Contributions on 3D Human Computer-Interaction using Deep approaches </t>
  </si>
  <si>
    <t>16/03/2023 </t>
  </si>
  <si>
    <t>48718198N </t>
  </si>
  <si>
    <t>Modelos de gestión impulsados por la tecnología para el desarrollo de sociedades inteligentes </t>
  </si>
  <si>
    <t>08/09/2023 </t>
  </si>
  <si>
    <t>Predicción de deslizamientos aplicando técnicas de aprendizaje automático </t>
  </si>
  <si>
    <t>09/06/2023 </t>
  </si>
  <si>
    <t>Oprea , Sergiu Ovidiu </t>
  </si>
  <si>
    <t>Deep Predictive Learning: Understanding Interaction Dynamics from Synthetic Data </t>
  </si>
  <si>
    <t>26/09/2022 </t>
  </si>
  <si>
    <t>Osteotomía distal lineal percutánea vs. osteotomía en scarf para hallux valgus moderadosevero. </t>
  </si>
  <si>
    <t>08/05/2023 </t>
  </si>
  <si>
    <t>Influencia de la magnitud del desplazamiento lateral de la cabeza metatarsiana tras la osteotomía en chevron para hallux valgus sobre el resultado reportado por el paciente </t>
  </si>
  <si>
    <t>09/03/2023 </t>
  </si>
  <si>
    <t>La relajación distal del deltoides como alternativa para la rotura del manguito en pacientes con baja demanda. </t>
  </si>
  <si>
    <t>19/06/2023 </t>
  </si>
  <si>
    <t>Modelos de lenguaje contextuales para la búsqueda e integración de datos tabulares </t>
  </si>
  <si>
    <t>19/01/2023 </t>
  </si>
  <si>
    <t>Diseño y evaluación de un modelo de generación de secuencias de lectura para el </t>
  </si>
  <si>
    <t>25/09/2023 </t>
  </si>
  <si>
    <t>52776534K </t>
  </si>
  <si>
    <t>Abordando el tratamiento automático de la desinformación: modelado de la confiabilidad en noticias mediante Procesamiento del Lenguaje Natural </t>
  </si>
  <si>
    <t>20/03/2023 </t>
  </si>
  <si>
    <t>Analysis and extraction of features in video streaming </t>
  </si>
  <si>
    <t>14/07/2023 </t>
  </si>
  <si>
    <t>Contribution of New Types of Radar Data to Land Cover and Crop Classification in Remote Sensing </t>
  </si>
  <si>
    <t>20/07/2023 </t>
  </si>
  <si>
    <t>Procesamiento multimodal de datos extraídos de redes sociales mediante técnicas de inteligencia artificial. Aplicaciones al turismo </t>
  </si>
  <si>
    <t>Synthetic Data Generation for 6D Object Pose and Grasping Estimation </t>
  </si>
  <si>
    <t>Contributions to Document Image Analysis: Application to Music Score Images </t>
  </si>
  <si>
    <t>25/11/2022 </t>
  </si>
  <si>
    <t>Métodos paralelos para el filtrado de imágenes digitales con aplicación médica </t>
  </si>
  <si>
    <t>24/02/2023 </t>
  </si>
  <si>
    <t>52793369C </t>
  </si>
  <si>
    <t>Navegación Autónoma Basada en Mapas Públicos Geo-Referenciados </t>
  </si>
  <si>
    <t>07/12/2022 </t>
  </si>
  <si>
    <t>52773069Y </t>
  </si>
  <si>
    <t>New Approaches to Optical Music Recognition </t>
  </si>
  <si>
    <t>22/09/2023 </t>
  </si>
  <si>
    <t>Modelo Causal y Análisis de Factores para la Adopción del Teletrabajo en la Era de la Industria 4.0 y 5.0 </t>
  </si>
  <si>
    <t>17/07/2023 </t>
  </si>
  <si>
    <t>Aplicación de técnicas de Deep Learning para el reconocimiento de páginas Web y emociones faciales: Un estudio comparativo y experimental </t>
  </si>
  <si>
    <t>03/07/2023 </t>
  </si>
  <si>
    <t>53227471C </t>
  </si>
  <si>
    <t>U075 </t>
  </si>
  <si>
    <t>I.U.INVESTIGACIÓN DE ESTUDIOS SOCIALES DE AMÉRICA LATINA (10.25) </t>
  </si>
  <si>
    <t>DOCTORADO EN HUMANIDADES Y ESTUDIOS SOCIALES DE AMÉRICA LATINA </t>
  </si>
  <si>
    <t>Cine y turismo en la provincia de Alicante: las oportunidades perdidas para la creación de productos de turismo cinematográfico. </t>
  </si>
  <si>
    <t>24/11/2022 </t>
  </si>
  <si>
    <t>48331496D</t>
  </si>
  <si>
    <t>48457141M</t>
  </si>
  <si>
    <t>50750696T</t>
  </si>
  <si>
    <t>Vivos</t>
  </si>
  <si>
    <t>21395951V</t>
  </si>
  <si>
    <t>22000675W</t>
  </si>
  <si>
    <t>41.50.6H.00.04</t>
  </si>
  <si>
    <t>Pago regalías 2022 por transferencia de tecnología   -  Ref. contrato licencia: LUCENTIALAB(EBT)1-15O</t>
  </si>
  <si>
    <t>S</t>
  </si>
  <si>
    <t>Pago regalías 2022 por transferencia de tecnología   -  Ref. contrato licencia: QUIROBOT(EBT)1-17O  (Regalías 11.540,91 - 2.541,00 Reducción egresados)</t>
  </si>
  <si>
    <t>CONVENIO INTELIGENCIA DIGITAL AÑO 2023</t>
  </si>
  <si>
    <t>COBRO PARCIAL DEL CONVENIO UA -DIP ALICANTE (CENID)</t>
  </si>
  <si>
    <t>CONVENIO COLABORACIÓN UA DIPUTACIÓN DE ALICANTE PARA "IMPULSAR LOS PROYECTOS DE INNOVACIÓN TECNOLÓGICA Y GENERACIÓN DE CONOCIMIENTO EN EL ÁMBITO DE LA INTELIGENCIA DIGITAL EN LA PROVINCIA DE ALICANTE".</t>
  </si>
  <si>
    <t>ANULACIÓN DE DERECHO DEBIDO A DUPLICIDAD POR ERROR YA QUE ESTE INGRESO SE RECONOCIÓ Y APLICÓ EN 2022 (JI:20220000000003112), POR CONSIGUIENTE PROCEDEMOS A SU ANULACIÓN , TANTO DE JI COMO DE DOCUMENTOS CONTABLES (17361 Y 17357).</t>
  </si>
  <si>
    <t>Subcontract D/551/67299685. Final Settlement (MS-2): Upon the DLR's /Agency's acceptance of all deliverable items due under the Subcontract and the Subcontractor's fulfilment of all other contractual obligations</t>
  </si>
  <si>
    <t>FINAL: Upon successful completion of SInCohMap CCN activities and acceptance of all deliverable including contract closure documentation due under the Contract</t>
  </si>
  <si>
    <t>"DIGITALIZACIÓN DE SEGUROS Y PROYECTOS ASOCIADOS" (Periodo 1 de noviembre al 31 de diciembre 2022)</t>
  </si>
  <si>
    <t xml:space="preserve">Realización del proyecto"DIGITALIZACIÓN DE SEGUROS Y PROYECTOS ASOCIADOS" durante período 1/marzo/2023 a 30/abril/2023. </t>
  </si>
  <si>
    <t>Realización del proyecto "DIGITALIZACIÓN DE SEGUROS Y PROYECTOS ASOCIADOS" durante período 1/Enero/2023 a 28/Febrero/2023.</t>
  </si>
  <si>
    <t>41.50.6C.01.46</t>
  </si>
  <si>
    <t>EVALUACIÓN DEL PROYECTO 934.390 TITULADO "NUEVO SISTEMA DE MONITORIZACIÓIN DE CORROSIÓN DE ALTA PRECISIÓN EN AEROGENERADORES</t>
  </si>
  <si>
    <t xml:space="preserve">SGS3-23TPA que corresponde a la referencia 6059537 de la evaluación del proyecto I+D+i OMNITRAFIC (2021) </t>
  </si>
  <si>
    <t>Evaluación del proyecto I+D+i PREBRAKE21 (2022). Referencia pedido 6060832</t>
  </si>
  <si>
    <t>EVALUACIÓN DEL PROYECTO I+D+I POWERUP022 (2022) . NÚMERO DE PEDIDO : 6062693</t>
  </si>
  <si>
    <t>SGS2-23TPA que corresponde a la referencia 6059536 de la evaluación del proyecto I+D+i TRANSBANDE (2021)</t>
  </si>
  <si>
    <t>Evaluación del proyecto I+D+i EMDEPDCT22 (2022). Referencia 6061673</t>
  </si>
  <si>
    <t>Evaluación del proyecto  I+D+i POWERB2022 (2022). referencia 6061024.</t>
  </si>
  <si>
    <t>41.50.6C.01.55</t>
  </si>
  <si>
    <t>PROYECTO "GESTIÓN DE LIQUIDEZ SOBRE DINERO TOKENIZADO". Periodo del 15 de noviembre la 15 de diciembre de 2022</t>
  </si>
  <si>
    <t>PROYECTO "GESTIÓN DE LIQUIDEZ SOBRE DINERO TOKENIZADO". Periodo 16 de abril a 15 de mayo de 2023</t>
  </si>
  <si>
    <t>PROYECTO "GESTIÓN DE LIQUIDEZ SOBRE DINERO TOKENIZADO". Periodo del 16 de febrero al 15 de abril de 2023</t>
  </si>
  <si>
    <t>PROYECTO "GESTIÓN DE LIQUIDEZ SOBRE DINERO TOKENIZADO". Periodo del 16 de diciembre de 2022 al 15 de febrero de 2023</t>
  </si>
  <si>
    <t>41.50.6C.01.56</t>
  </si>
  <si>
    <t>ASESORÍA CIENTÍFICA SOBRE ONBOARDING DIGITAL, RECONOCIMIENTO DE CARAS, DETECCIÓN DE SPOOFING EN CARAS Y DOCUMENTOS Y TRATAMIENTO DE DOCUMENTOS MEDIANTE VISIÓN POR COMPUTADOR Y REDES NEURONALES</t>
  </si>
  <si>
    <t>50 % de la contraprestación tras los tres primeros meses de la colaboración del servicio ASESORÍA CIENTÍFICA SOBRE ONBOARDING DIGITAL, RECONOCIMIENTO DE CARAS, DETECCIÓN DE SPOOFING EN CARAS Y DOCUMENTOS Y TRATAMIENTO DE DOCUMENTOS MEDIANTE VISIÓN POR COMPUTADOR Y REDES NEURONALES</t>
  </si>
  <si>
    <t>41.50.6C.01.57</t>
  </si>
  <si>
    <t>Honorarios por los trabajos desarrollados en la Actividad 5.1 del proyecto "SMART CONSTRUCTION MANAGER - NUEVO SISTEMA "INTELIGENTE Y AUTÓNOMO PARA EL CONTROL Y GESTIÓN DE OBRA" Financiado a través del Programa Estratégico de Consorcios de Investigación Empresarial Nacional (CIEN), de CDTI, con número de expediente IDI-20230441</t>
  </si>
  <si>
    <t>41.50.6C.01.58</t>
  </si>
  <si>
    <t>937.576 - DISEÑO Y DESARROLLO DE UN NUEVO SISTEMA OPERATIVO UNICO PARA PRODUCTOS TCD</t>
  </si>
  <si>
    <t>41.50.6C.01.59</t>
  </si>
  <si>
    <t>AENOR1-23TPA que corresponde a la referencia 2012/0753/PIDI/12 PALHUM2021</t>
  </si>
  <si>
    <t>41.50.6C.01.60</t>
  </si>
  <si>
    <t>EVALUACIÓN Y SUPERVISIÓN DEL PROYECTO 2012/0753/PIDI/13 PALMOB2021 PERTENECIENTE A LA EMPRESA PAL ROBOTICS SL</t>
  </si>
  <si>
    <t>41.50.6C.01.61</t>
  </si>
  <si>
    <t>Finalización de la prestación de servicios y recepción del informe de resultados</t>
  </si>
  <si>
    <t>Firma del contrato de informe, consultoría y soporte de desarrollo para estimaciones de variación de humedad del suelo con satélites de radar de apertura sintética.</t>
  </si>
  <si>
    <t>41.50.6C.01.62</t>
  </si>
  <si>
    <t>(INESCOP1-23TPA)PATROCINIO ASOCIADO AL EVENTO "FIRST LEGO LEAGUE ALICANTE", COMPETICIÓN ROBÓTICA PARA ESTUDIANTES NO UNIVERSITARIOS  - NP061055</t>
  </si>
  <si>
    <t>41.50.6C.01.63</t>
  </si>
  <si>
    <t>Realización de la evaluación del proyecto 2022/2751/PIDI/01 - AUTOMATIZACION INTEGRAL DE LA INTRALOGÍSTICA, perteneciente a la empresa ARNOIA DISTRIBUCION DE LIBROS, S.A.</t>
  </si>
  <si>
    <t>41.50.6C.01.64</t>
  </si>
  <si>
    <t>REALIZACIÓN DE CONSULTORIA CIENTÍFICO-TÉCNICA SOBRE TÉCNICAS DE APRENDIZAJE PROFUNDO (DEEP LEARNING) APLICADAS A LAS TAREAS DE VERIFICACIÓN DE LIVENESS PASIVO, ATAQUES DE PRESENTACIÓN Y PROCESAMIENTO AUTOMÁTICO DE DOCUMENTOS. Finalización proyecto.</t>
  </si>
  <si>
    <t>CONSULTORÍA CIENTÍFICO-TÉCNICA SOBRE TÉCNICAS DE APRENDIZAJE PROFUNDO (DEEP LEARNING) APLICADAS A LAS TAREAS DE VERIFICACIÓN DE LIVENESS PASIVO, ATAQUES DE PRESENTACIÓN Y PROCESAMIENTO AUTOMÁTICO DE DOCUMENTOS  (50% tres primeros meses)</t>
  </si>
  <si>
    <t>41.50.6C.01.66</t>
  </si>
  <si>
    <t>SUPERVISIÓN DEL PROYECTO 2012/0753/PIDI/14 PERTE AGRO ROSALYA ROBOTS AUTÓNOMOS EN LOGÍSTICA Y ALIMENTACIÓN PERTENECIENTE A LA EMPRESA PAL ROBOTICS SL</t>
  </si>
  <si>
    <t>41.50.6C.01.68</t>
  </si>
  <si>
    <t>INVOICE FOR OPTICAL MUSIC RECOGNITION FOR LATE MEDIEVAL MANUSCRIPTS AND EARLY PRINTS</t>
  </si>
  <si>
    <t>41.50.6C.01.72</t>
  </si>
  <si>
    <t>REALIZACIÓN POR PARTE DEL EXPERTO TÉCNICO DE LA EVALUACIÓN DEL PROYECTO 945.100</t>
  </si>
  <si>
    <t>41.50.6H.00.05</t>
  </si>
  <si>
    <t>MINORACION CIAPOT/2022/13 ANUALIDAD 2023</t>
  </si>
  <si>
    <t>Resolución de la dirección general de Ciencia e Investigación por la que se conceden subvenciones para la contratación de personal de apoyo vinculado a un proyecto de transferencia tecnológica(APOTI/2023). CIAPOT/2022/11/13. ANUALIDAD 2023</t>
  </si>
  <si>
    <t>INGRESO PERCIBIDO REFERENTE A 10 BECAS LEONARDO 2021.</t>
  </si>
  <si>
    <t>PID2020-115956GB-I00/116185GB-I00/116496RB-C21/116514GB-I00/116998RB-I00/117303GBC22/118006RB-I00/118322RB-I00/118447RA-I00/118476RR-C22</t>
  </si>
  <si>
    <t xml:space="preserve">PROMETEO/2020/093/006/017/024/030/055/057/073/079/088 </t>
  </si>
  <si>
    <t>CIPROM/2021/001/006/017/021/022/027/057/060/062/068/070/074</t>
  </si>
  <si>
    <t xml:space="preserve">TED2021-131324B-C22, TED2021-131641B-C43, TED2021-130040B-C21, TED2021-129272B-C22, TED2021-130908B-C44, TED2021-130890B-C21 </t>
  </si>
  <si>
    <t xml:space="preserve">TED2021-130707B-I00, TED2021-129617B-I00, TED2021-129894B-I00, TED2021-129216B-I00, TED2021-130070B-I00, TED2021-130080B-I00, TED2021-130776A-I00, TED2021-132697B-I00, TED2021-131028B-I00, TED2021-132103A-I00, TED2021-130304B-I00 </t>
  </si>
  <si>
    <t>41.50.6P.00.59</t>
  </si>
  <si>
    <t xml:space="preserve">AYUDAS CIAORG/2022/45, CIAORG/2022/15, CIAORG/2022/44, CIAORG/2022/140, CIAORG/2022/89, CIAORG/2022/10, CIAORG/2022/115, CIAORG/2022/27, CIAORG/2022/117, CIAORG/2022/128, CIAORG/2022/83, CIAORG/2022/74, CIAORG/2022/125 </t>
  </si>
  <si>
    <t>41.50.6P.00.60</t>
  </si>
  <si>
    <t>ayudas CIGE/2022/4-6-8-10-15-16-21-30-36-45-46-51-52- 54-55-105-170-179</t>
  </si>
  <si>
    <t>41.50.6P.00.61</t>
  </si>
  <si>
    <t xml:space="preserve">AYUDAS CIAEST/2022/2, CIAEST/2022/25, CIAEST/2022/49, CIAEST/2022/78 </t>
  </si>
  <si>
    <t>41.50.6P.00.62</t>
  </si>
  <si>
    <t>ayudas CIAICO/2022/017, CIAICO/2022/019, CIAICO/2022/038, CIAICO/2022/046, CIAICO/2022/047, CIAICO/2022/049, CIAICO/2022/077, CIAICO/2022/078, CIAICO/2022/079, CIAICO/2022/112, CIAICO/2022/132 , CIAICO/2022/167, CIAICO/2022/177</t>
  </si>
  <si>
    <t>41.50.6P.00.63</t>
  </si>
  <si>
    <t xml:space="preserve">AYUDAS CISEJI/2023/9 </t>
  </si>
  <si>
    <t>41.50.6P.00.64</t>
  </si>
  <si>
    <t xml:space="preserve">ayudas PID2022 142159OB--137566OB-I00--139552OB-C22--142960OB-C21--137302NB-C33--139820NB-I00--138111NB-I00--141543OB-I00--138491OB-C32--137364OB-I00--138329NB-I00--142830NB-I00--138453OB-I00 PID2022-138696OB-C22 PID2022-138853NB-I00 PID2022-142712NB-I00 </t>
  </si>
  <si>
    <t>41.50.6P.00.65</t>
  </si>
  <si>
    <t>primer ingreso del proyecto CoMManDia (el día 18/12/2018 se puso en CNP 320016 ji-2018-6654 Fondos Feder SUDOE)</t>
  </si>
  <si>
    <t>ÚLTIMO COBRO DEL PROYECTO COMMANDIA (RET 7%) SEGÚN SERVICIO PROY INTERNACIONALES</t>
  </si>
  <si>
    <t>41.50.6X.00.02</t>
  </si>
  <si>
    <t xml:space="preserve">PRIMER INGRESO DEL PROYECTO REPERTORIUM </t>
  </si>
  <si>
    <t>B177</t>
  </si>
  <si>
    <t>PSICOLOGÍA EVOLUTIVA Y DIDÁCTICA</t>
  </si>
  <si>
    <t>DOCTORADO EN INVESTIGACIÓN EDUCATIVA</t>
  </si>
  <si>
    <t>Martínez Roig, Rosabel</t>
  </si>
  <si>
    <t>La integración de la robótica social y la Música como elemento transversal en los procesos de enseñanza-aprendizaje en el contexto de la Inteligencia Artificial</t>
  </si>
  <si>
    <t>28/06/2024</t>
  </si>
  <si>
    <t>Codirector de tesis</t>
  </si>
  <si>
    <t>CIENCIA DE LA COMPUTACION E INTELIGENCIA ARTIFICIAL</t>
  </si>
  <si>
    <t>U044</t>
  </si>
  <si>
    <t>ADM. FACULTAD DE CIENCIAS DE LA SALUD</t>
  </si>
  <si>
    <t>DOCTORADO EN CIENCIAS DE LA SALUD</t>
  </si>
  <si>
    <t>Ferragut Bria, Juan Carlos</t>
  </si>
  <si>
    <t>Seguridad y efectividad del alta rápida tras la artroplastia total de cadera</t>
  </si>
  <si>
    <t>22/03/2024</t>
  </si>
  <si>
    <t>ENFERMERIA</t>
  </si>
  <si>
    <t>Jiménez García, Segundo</t>
  </si>
  <si>
    <t>Seguridad y salud laboral de las enfermeras en la crisis sanitaria por pandemia COVID-19 en la Comunidad Valenciana</t>
  </si>
  <si>
    <t>09/09/2024</t>
  </si>
  <si>
    <t>U058</t>
  </si>
  <si>
    <t>I.U. DE INVESTIGACIONES TURÍSTICAS (10.17)</t>
  </si>
  <si>
    <t>DOCTORADO EN TURISMO</t>
  </si>
  <si>
    <t>Glass , Elke Marianne</t>
  </si>
  <si>
    <t>ESTRUCTURA Y ORGANIZACIÓN DEL TURISMO DE SALUD EN LA PROVINCIA DE ALICANTE</t>
  </si>
  <si>
    <t>09/02/2024</t>
  </si>
  <si>
    <t>74176634R</t>
  </si>
  <si>
    <t>Director de tesis</t>
  </si>
  <si>
    <t>B173</t>
  </si>
  <si>
    <t>ANÁLISIS GEOGRÁFICO REGIONAL Y GEOGRAFÍA FÍSICA</t>
  </si>
  <si>
    <t>U062</t>
  </si>
  <si>
    <t>I.U. DE INVESTIGACIÓN INFORMÁTICA (10.19)</t>
  </si>
  <si>
    <t>DOCTORADO EN INFORMÁTICA</t>
  </si>
  <si>
    <t>Consuegra Ayala, Juan Pablo</t>
  </si>
  <si>
    <t>Mitigación de Sesgos para la Automatización Justa de Tareas de Clasificación</t>
  </si>
  <si>
    <t>19/01/2024</t>
  </si>
  <si>
    <t>LENGUAJES Y SISTEMAS INFORMÁTICOS</t>
  </si>
  <si>
    <t>Fernández Martínez, Javier</t>
  </si>
  <si>
    <t>Análisis de sentimientos supervisado utilizando skipgrams y su aplicación a medios sociales</t>
  </si>
  <si>
    <t>28/02/2024</t>
  </si>
  <si>
    <t>Elouali , Aya</t>
  </si>
  <si>
    <t>Distributed Architectures for Enhancing Artificial Intelligence of Things Systems A Cloud Collaborative Model</t>
  </si>
  <si>
    <t>23/11/2023</t>
  </si>
  <si>
    <t>TECNOLOGÍA INFORMÁTICA Y COMPUTACIÓN</t>
  </si>
  <si>
    <t>Sánchez Ribes, Victor</t>
  </si>
  <si>
    <t>Arquitecturas para la computación de altas prestaciones en la nube. Aplicación a procesos de geometría computacional</t>
  </si>
  <si>
    <t>01/03/2024</t>
  </si>
  <si>
    <t>Torres Mendoza, Manuel</t>
  </si>
  <si>
    <t>AVANCES EN LA DETECCIÓN DE MALWARE MEDIANTE APRENDIZAJE PROFUNDO: UN ENFOQUE BASADO EN EL COMPORTAMIENTO DEL SOFTWARE</t>
  </si>
  <si>
    <t>11/07/2024</t>
  </si>
  <si>
    <t>Calabuig Barbero, Eduardo</t>
  </si>
  <si>
    <t>Investigación industrial en técnicas avanzadas de modelado por computador para la adaptación del diseño de calzado al paradigma de la Industria 4.0</t>
  </si>
  <si>
    <t>11/06/2024</t>
  </si>
  <si>
    <t>Barrera Arroyo, Jose Manuel</t>
  </si>
  <si>
    <t>Machine Learning: Requisitos y nuevas técnicas para la aplicación en entornos industriales e Internet of Things</t>
  </si>
  <si>
    <t>23/01/2024</t>
  </si>
  <si>
    <t>Álvarez Keskinen, Enrique</t>
  </si>
  <si>
    <t>Ataques adversarios en redes neuronales: análisis de transferabilidad y generación de imágenes adversarias mediante modelos difusos</t>
  </si>
  <si>
    <t>12/07/2024</t>
  </si>
  <si>
    <t>Francés Hernández, Olga</t>
  </si>
  <si>
    <t>Desarrollo de tecnologías basadas en Inteligencia Artificial para el análisis y la toma de decisiones en Parques Científicos y Tecnológicos</t>
  </si>
  <si>
    <t>Botella Gil, Beatriz</t>
  </si>
  <si>
    <t>LAS TECNOLOGÍAS DEL LENGUAJE HUMANO COMO HERRAMIENTA DE MITIGACIÓN DE LA VIOLENCIA EN REDES SOCIALES</t>
  </si>
  <si>
    <t>16/02/2024</t>
  </si>
  <si>
    <t>Reina Reina, Alejandro</t>
  </si>
  <si>
    <t>Requirements Analysis and Machine Learning for Diagnosis in eHealth</t>
  </si>
  <si>
    <t>16/01/2024</t>
  </si>
  <si>
    <t>Ríos Vila, Antonio</t>
  </si>
  <si>
    <t>End-to-end Optical Music Recognition Beyond Staff-Level Transcription</t>
  </si>
  <si>
    <t>04/07/2024</t>
  </si>
  <si>
    <t>Gómez Hernández, José Francisco</t>
  </si>
  <si>
    <t>Investigación industrial orientada a la adecuación del paradigma de la Industria 4.0 a los procesos de fabricación del calzado</t>
  </si>
  <si>
    <t>05/06/2024</t>
  </si>
  <si>
    <t>Pérez-Sala García-Plata, Luis</t>
  </si>
  <si>
    <t>Predicción de asistencia en accidentes de tráfico con un modelo de aprendizaje profundo</t>
  </si>
  <si>
    <t>13/09/2024</t>
  </si>
  <si>
    <t>Teterja , Dmitrij</t>
  </si>
  <si>
    <t>Mosaic-Based Deep Learning Approach for Bird Species Identification and Behavior Recognition</t>
  </si>
  <si>
    <t>19/07/2024</t>
  </si>
  <si>
    <t>Luo , Jiayin</t>
  </si>
  <si>
    <t>Processing and Exploitation of Multi-temporal Polarimetric and Interferometric SAR Data</t>
  </si>
  <si>
    <t>13/06/2024</t>
  </si>
  <si>
    <t>FISICA, INGENIERIA DE SISTEMAS Y TEORIA DE LA SEÑAL</t>
  </si>
  <si>
    <t>Güemes Esperón, Alejandro Miguel</t>
  </si>
  <si>
    <t>Modelo de generación de suites de pruebas efectivas a partir de requisitos para aplicaciones en entornos distribuidos</t>
  </si>
  <si>
    <t>23/07/2024</t>
  </si>
  <si>
    <t>'-</t>
  </si>
  <si>
    <t>Castro Vargas, John Alejandro</t>
  </si>
  <si>
    <t>Varela Guzmán, Erick Giovanni</t>
  </si>
  <si>
    <t>Guerrero Rodríguez, Byron Vicente</t>
  </si>
  <si>
    <t>Moril Peñalver, Lorena</t>
  </si>
  <si>
    <t>Bello Tejeda, Laíz Lissette</t>
  </si>
  <si>
    <t>Fayos Jordán, Juan Luis</t>
  </si>
  <si>
    <t>Pilaluisa Quinatoa, Jose Ramiro</t>
  </si>
  <si>
    <t>Hernández Blanco, Antonio Jesús</t>
  </si>
  <si>
    <t>Bonet Jover, Alba</t>
  </si>
  <si>
    <t>Esteve Brotons, Miguel Jose</t>
  </si>
  <si>
    <t>Busquier Martínez, Mario</t>
  </si>
  <si>
    <t>Lucas Ibañez, Luis</t>
  </si>
  <si>
    <t>Martínez González, Pablo</t>
  </si>
  <si>
    <t>Castellanos Regalado, Francisco José</t>
  </si>
  <si>
    <t>Súcar Segarra, Luis Beltrán</t>
  </si>
  <si>
    <t>Muñoz Bañon, Miguel Angel</t>
  </si>
  <si>
    <t>Alfaro Contreras, María</t>
  </si>
  <si>
    <t>Bedón Chamorro, César Arturo</t>
  </si>
  <si>
    <t>Mejía Escobar, Christian</t>
  </si>
  <si>
    <t>García Chamizo, Juan Manuel</t>
  </si>
  <si>
    <t xml:space="preserve">U044 </t>
  </si>
  <si>
    <t>González Casanueva, Julia</t>
  </si>
  <si>
    <t>EFECTIVIDAD A LO LARGO DEL TIEMPO DE LA PRÓTESIS INVERSA DE HOMBRO POR FRACTURA AGUDA</t>
  </si>
  <si>
    <t>25/09/2023</t>
  </si>
  <si>
    <t xml:space="preserve">21510925Z </t>
  </si>
  <si>
    <t>15</t>
  </si>
  <si>
    <t>48627745H</t>
  </si>
  <si>
    <t>53244622J</t>
  </si>
  <si>
    <t>10.17</t>
  </si>
  <si>
    <t>74227758L</t>
  </si>
  <si>
    <t>74363844Z</t>
  </si>
  <si>
    <t>74372523E</t>
  </si>
  <si>
    <t>74653004H</t>
  </si>
  <si>
    <t>Org. aplic.</t>
  </si>
  <si>
    <t>Imp. aplic.</t>
  </si>
  <si>
    <t xml:space="preserve">ANULACIÓN DE 20.374,54 EUROS DEBIDO A QUE LA DIPUTACIÓN PAGA FINALMENTE EL 27/01/2023 329.625,46 EUROS, CON LO CUAL HAY QUE ANULAR EL RESTANTE ANTICIPADO. </t>
  </si>
  <si>
    <t>ayudas CONVENIO INTELIGENCIA DIGITAL - 2024</t>
  </si>
  <si>
    <t>REALIZACIÓN POR PARTE DEL EXPERTO TÉCNICO DE LA EVALUACIÓN DE CONTENIDO Y EJECUCIÓN DEL PROYECTO 943.568</t>
  </si>
  <si>
    <t>Evaluación de Contenido y Ejecución con exante previo del ejercicio 2023 del proyecto 949.424 - de la empresa NUEVAS TÉCNICAS DE AUTOMATIZACIÓN INDUSTRIAL, SL, titulado "Diseño de sistema industrial robotizado de control de calidad mediante técnicas de visión artificial", actuando como Experto Técnico. Ref. proyecto: EQA31-24TPA</t>
  </si>
  <si>
    <t>EVALUACIÓN DEL PROYECTO DE I+D+I SAFENLOCK2 (2022 )- pedido 6066056</t>
  </si>
  <si>
    <t>EVALUACIÓN DEL PROYECTO DE I+D+I SIDERURGI1 (2022) - Pedido 6066977</t>
  </si>
  <si>
    <t>EVALUACIÓN DEL PROYECTO DE I+D+I BREADINSPT (2022) - Pedido 6066975</t>
  </si>
  <si>
    <t>EVALUACIÓN DEL PROYECTO DE I+D+I GESTELCARG (2022) - Pedido 6066971</t>
  </si>
  <si>
    <t>Honorarios por los trabajos desarrollados en el proyecto "SMART CONSTRUCTION MANAGER-NUEVO SISTEMA INTELIGENTE Y AUTÓNOMO PARA EL CONTROL Y GESTIÓN DE OBRA". Financiado a través del Programa Estratégico de Consorcios de Investigación Empresarial Nacional (CIEN), de CDTI, con nº de expediente IDI-20230441. Ref. proyecto UA: CYPE1-22Y</t>
  </si>
  <si>
    <t>41.50.6C.01.67</t>
  </si>
  <si>
    <t>Proyecto: ASESORAMIENTO CIENTÍFICO-TÉCNICO EN EL USO DE TÉCNICAS DE APRENDIZAJE PROFUNDO (DEEP LEARNING) PARA APLICACIONES EN BIOMETRÍA Y EMISIÓN DE INFORME RECOGIENDO LOS RESULTADOS Y PRINCIPALES CONCLUSIONES OBTENIDAS DURANTE EL PERIODO DE LA PRESTACIÓN</t>
  </si>
  <si>
    <t>50 % de la contraprestación tras finalizar la colaboración del servicio "Asesoramiento científico-técnico en el uso de técnicas de aprendizaje profundo (deep learning) para aplicaciones en biometría."</t>
  </si>
  <si>
    <t>41.50.6C.01.69</t>
  </si>
  <si>
    <t>Proyecto: VALIDACIÓN DE TÉCNICAS DE INTELIGENCIA ARTIFICIAL SOBRE IMÁGENES SAR DE ALTA RESOLUCIÓN DEL SATÉLITE PAZ PARA LA DETECCIÓN Y CLASIFICACIÓN DE ZONAS DE INTERÉS DENTRO DEL PROYECTO INCUBED ATR4PAZ. Primer pago al inicio del proyecto (30%)</t>
  </si>
  <si>
    <t>Proyecto: VALIDACIÓN DE TÉCNICAS DE INTELIGENCIA ARTIFICIAL SOBRE IMÁGENES SAR DE ALTA  RESOLUCIÓN DEL SATÉLITE PAZ PARA LA DETECCIÓN Y CLASIFICACIÓN DE ZONAS DE INTERÉS DENTRO DEL  PROYECTO INCUBED ATR4PAZ</t>
  </si>
  <si>
    <t>41.50.6C.01.70</t>
  </si>
  <si>
    <t>SUPERVISION DEL PROYECTO 2012/0753/PIDI/16 PALHUM2022 - INVESTIGACION DE PLATAFORMAS HUMANOIDES-PAL ROBOTICS S.L.</t>
  </si>
  <si>
    <t>41.50.6C.01.71</t>
  </si>
  <si>
    <t>SUPERVISION DEL PROYECTO 2012/0753/PIDI/15 PALMOB2022 - INVESTIGACION DEPLATAFORMAS ROBOTICAS INTERACTIVAS - PAL ROBOTICS S.L.</t>
  </si>
  <si>
    <t>41.50.6C.01.73</t>
  </si>
  <si>
    <t xml:space="preserve">TECNOLOGÍA INTELIGENTE LLM PARA MODELAR, EVALUAR Y ASISTIR DURANTE EL DISEÑO DE UN PROYECTO DE CONSTRUCCIÓN </t>
  </si>
  <si>
    <t>TECNOLOGÍA INTELIGENTE LLM PARA MODELAR, EVALUAR Y ASISTIR DURANTE EL DISEÑO DE UN PROYECTO DE CONSTRUCCIÓN</t>
  </si>
  <si>
    <t>TECNOLOGÍA INTELIGENTE LLM PARA MODELAR, EVALUAR Y ASISTIR MEDIANTE EL DISEÑO DE UN PROYECTO DE CONSTRUCCIÓN. Tercer pago.</t>
  </si>
  <si>
    <t>41.50.6C.01.74</t>
  </si>
  <si>
    <t xml:space="preserve">ASESORAMIENTO CIENTÍFICO-TÉCNICO SOBRE DEEP LEARNING APLICADO A LAS TAREAS DE RECONOCIMIENTO FACIAL </t>
  </si>
  <si>
    <t>ASESORAMIENTO CIENTÍFICO-TÉCNICO SOBRE DEEP LEARNING APLICADO A LAS TAREAS DE RECONOCIMIENTO FACIAL, ATAQUES DE PRESENTACIÓN Y PROCESAMIENTO DE DOCUMENTOS E INFORME FINAL RECOGIENDO LOS RESULTADOS Y PRINCIPALES CONCLUSIONES OBTENIDAS DURANTE EL PERIODO DE LA PRESTACIÓN. (50 % de la contraprestación tras finalizar la colaboración del servicio) Ref. proyecto: FACEPHI1-24TPA</t>
  </si>
  <si>
    <t>41.50.6C.01.75</t>
  </si>
  <si>
    <t xml:space="preserve">PAGO INICIAL DEL PROYECTO "IDENTIFICACIÓN DE MODELOS DE CALZADO EN IMÁGENES DE RX Y RECONOCIMIENTO DE MODELO Y TALLA A PARTIR DE ETIQUETA DE CAJA DE ZAPATOS". REFERENCIA DE LA EMPRESA NP064100 </t>
  </si>
  <si>
    <t xml:space="preserve">SEGUNDO PAGO DEL PROYECTO "IDENTIFICACIÓN DE MODELOS DE CALZADO EN IMÁGENES DE RX Y RECONOCIMIENTO DE MODELO Y TALLA A PARTIR DE ETIQUETA DE CAJA DE ZAPATOS". REFERENCIA DE LA EMPRESA NP064100. </t>
  </si>
  <si>
    <t>41.50.6C.01.77</t>
  </si>
  <si>
    <t>CONFIGURACIÓN DE INSTANCIA DE LA WEBAPP DE CADEL</t>
  </si>
  <si>
    <t>41.50.6C.01.78</t>
  </si>
  <si>
    <t>INTEGRACIÓN DE IA EN LA PLATAFORMA EGAMBPM DE PROCESOS DE GESTIÓN Y DATOS DE LA EMPRESA. Primera anualidad</t>
  </si>
  <si>
    <t>41.50.6C.01.79</t>
  </si>
  <si>
    <t>EVALUACIÓN DEL PROYECTO "DETECCIÓN EN TIEMPO REAL DE MICROORGANISMOS PATÓGENOS Y COES EN AGUAS DEPURADAS-PRJN-748525"</t>
  </si>
  <si>
    <t>41.50.6C.01.80</t>
  </si>
  <si>
    <t>EVALUACIÓN DEL PROYECTO "DESARROLLO DE NUEVOS SISTEMAS PARA TRATAMIENTOS DE REMODELACION CORPORAL PRJN-769719"</t>
  </si>
  <si>
    <t>41.50.6C.01.81</t>
  </si>
  <si>
    <t>EVALUACIÓN DEL PROYECTO "SOLUCIONES MEDIANTE DIODO LÁSER DE ALTA POTENCIA A TRATAMIENTOS MÉDICOS Y ESTÉTICOS PRJN-769708"</t>
  </si>
  <si>
    <t>INVEST/2022/419/431/450 (2º PAGO A UA PROGRAMA INVESTIGO 2022 DESPLAZAMIENT)</t>
  </si>
  <si>
    <t xml:space="preserve">AYUDAS CIAPOT/2022/11, CIAPOT/2022/13  </t>
  </si>
  <si>
    <t>41.50.6M.00.06</t>
  </si>
  <si>
    <t>PADCHEST GROUNDED RADIOLOGY REPORT DATA PROJECT Purchase order 100872353</t>
  </si>
  <si>
    <t>DEVOLUCIÓN DE INGRESOS_CARTA DE PAGO_REFERENCIA: PID2019-106455GB-C22, ANUALIDAD: 2020</t>
  </si>
  <si>
    <t xml:space="preserve">ayudas PROMETEO/2021/006, PROMETEO/2021/017, PROMETEO/2021/030, PROMETEO/2021/055, PROMETEO/2021/057, PROMETEO/2021/073, PROMETEO/2021/079, PROMETEO/2021/088 </t>
  </si>
  <si>
    <t>DEVOLUCIÓN DE INGRESOS_MODELO 047_GVA-COVID19-2021-103_Nº de liquidación: 46/2024/RAS/10043/1_Número de justificante: 047/1/002450283_Nº de referencia: 047/1/002450283</t>
  </si>
  <si>
    <t>ANULACIÓN PLAN FECYT PLAN FUNDACIÓN ESPAÑOLA 2021 (FCT-21)/FCT-21-/17266</t>
  </si>
  <si>
    <t>AYUDA CIPROM/2021/001, CIPROM/2021/006, CIPROM/2021/017, CIPROM/2021/021, CIPROM/2021/022, CIPROM/2021/027, CIPROM/2021/057, CIPROM/2021/060, CIPROM/2021/062, CIPROM/2021/068, CIPROM/2021/070, CIPROM/2021/074</t>
  </si>
  <si>
    <t xml:space="preserve">PID2021-122263OB-C22 -122320NA-I00 -122397NB-C22 --122500OB-I00 -122685OB-I00 -122988NB-I00 -123079OB-I00 -123091NB-C22 -123118NA-I00 -123124OB-I00 -123699NB-I00-123135OB-C21 -123453NB-I00 -123956OB-I00 </t>
  </si>
  <si>
    <t xml:space="preserve">DEVOLUCIÓN DE INGRESOS_MODELO 047_ Nº LIQUIDACIÓN:46/2024/RAS/10317/1 Nº DE JUSTIFICANTE: 047/1/002550144_Nº DE REFERENCIA:  047/1/002550144 </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</si>
  <si>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</si>
  <si>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</si>
  <si>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PLU.CIAEST 2022. RESOLUCION CONCESION 19/09/2023. CIAEST/2022/2/25/49/78. (LÍNEA S0296)</t>
  </si>
  <si>
    <t xml:space="preserve">AYUDAS CIAICO/2022/017, CIAICO/2022/019, CIAICO/2022/038, CIAICO/2022/046, CIAICO/2022/047, CIAICO/2022/049, CIAICO/2022/077, CIAICO/2022/078, CIAICO/2022/079, CIAICO/2022/112, CIAICO/2022/132 CIAICO/2022/167 CIAICO/2022/177 </t>
  </si>
  <si>
    <t>DEVOLUCIÓN DE INGRESOS_MODELO 047_ REFERENCIA: CIACO 2022 EN 2023.</t>
  </si>
  <si>
    <t>PID2022-138111NB-I00-141543OB-I00-137350NB-I00-138491OB-C32-137364OB-I00-138329NB-I00-142830NB-I00-138453OB-I00-138696OB-C22-138853NB-I00-142712NB-I00</t>
  </si>
  <si>
    <t>41.50.6P.00.66</t>
  </si>
  <si>
    <t>PROGRAMA AYUDAS ICAR 2023 PROYECTO SMARTHOME UA</t>
  </si>
  <si>
    <t>41.50.6P.00.67</t>
  </si>
  <si>
    <t>INGRESO PERCIBIDO EN CONCEPTO DE CONVENIO DE COLABORACIÓN ENTRE LA UNIVERSIDAD DE ALICANTE, INDRA SISTEMAS S.A. Y LA FUNDACIÓN UNIVERSIA PARA LA COLABORACIÓN CONJUNTA EN PROYECTO DE TECNOLOGÍA ACCESIBLE AL AMPARO DE LA "VII CONVOCATORIA DE AYUDAS A PROYECTOS DE INVESTIGACIÓN APLICADA AL DESARROLLO DE TECNOLOGÍAS ACCESIBLES".</t>
  </si>
  <si>
    <t>41.50.6P.00.68</t>
  </si>
  <si>
    <t xml:space="preserve">ayudas CIDEXG/2023/2, CIDEXG/2023/13, CIDEXG/2023/7, CIDEXG/2023/2, CIDEXG/2023/13, CIDEXG/2023/7 </t>
  </si>
  <si>
    <t>41.50.6P.00.70</t>
  </si>
  <si>
    <t>ayudas PDC2023-145852-C22</t>
  </si>
  <si>
    <t>41.50.6P.00.71</t>
  </si>
  <si>
    <t>ayudas CIGE/2023/52, CIGE/2023/94, CIGE/2023/129, CIGE/2023/146, CIGE/2023/165, CIGE/2023/175, CIGE/2023/181, CIGE/2023/184, CIGE/2023/188, CIGE/2023/196, CIGE/2023/197, CIGE/2023/216, CIGE/2023/225, CIGE/2023/227 (LINEA SUBVENCIÓN S0296)</t>
  </si>
  <si>
    <t>41.50.6P.00.72</t>
  </si>
  <si>
    <t xml:space="preserve">ayudas CIAEST/2023/31, CIAEST/2023/36, CIAEST/2023/12 (LINEA SUBVENCIÓN S0296) </t>
  </si>
  <si>
    <t>41.50.6P.00.73</t>
  </si>
  <si>
    <t>41.50.6P.00.76</t>
  </si>
  <si>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</si>
  <si>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</si>
  <si>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41.50.6P.00.77</t>
  </si>
  <si>
    <t>41.50.6P.00.78</t>
  </si>
  <si>
    <t>INGRESO : UNA APROXIMACIÓN HOLÍSTICA PARA EL DESARROLLO DE LA INTELIGENCIA ARTIFICIAL ETICA</t>
  </si>
  <si>
    <t>41.50.6P.00.79</t>
  </si>
  <si>
    <t>CIAICO/2023/134/178/179/203/250/255/266/268</t>
  </si>
  <si>
    <t xml:space="preserve">Segundo cobro del proyecto REPERTORIUM </t>
  </si>
  <si>
    <t>41.50.6X.00.03</t>
  </si>
  <si>
    <t>Primer cobro del Proyecto DINOSAR (Instituto de Investigación Informática)</t>
  </si>
  <si>
    <t>41.50.6X.00.05</t>
  </si>
  <si>
    <t>Advance payment for MS1 (2.688€) and MS2 (5.375€) TOTAL 8.063€ CONTRACT No 4000144699/24/I-NS-UA PROTOTYPE PROCESSOR FOR ARD OF COPERNICUS SAR MISSIONS</t>
  </si>
  <si>
    <t>Mujirishvili , Tamar</t>
  </si>
  <si>
    <t>Perceptions of personal safety and privacy in older adults and their caregivers in the context of video-based lifelogging technologies</t>
  </si>
  <si>
    <t>TECNOLOGIA INFORMATICA Y COMPUTACION</t>
  </si>
  <si>
    <t>Hojas Mazo, Wenny</t>
  </si>
  <si>
    <t>Clasificación inteligente de flujos no estacionarios de correos electrónicos: Un enfoque proactivo basado en metas</t>
  </si>
  <si>
    <t>06/09/2024</t>
  </si>
  <si>
    <t>Boters Pitarch, Joan</t>
  </si>
  <si>
    <t>Modelo computacional de expansión en eventos influidos por el viento. El caso de los incendios forestales</t>
  </si>
  <si>
    <t>23/09/2024</t>
  </si>
  <si>
    <t>Observaciones</t>
  </si>
  <si>
    <t>50 % de los 142.464,47 € al Insituto de Investigación en Ingeniería Informática y 50 % Psicología de la salud. Según email del Dpto de Psicología de la Salud 17/10/2024</t>
  </si>
  <si>
    <t>Instituto Universitario de Investigación Informática (10.19)</t>
  </si>
  <si>
    <t>Brenes Carranza, José Antonio</t>
  </si>
  <si>
    <t>ARQUITECTURA PARA MONITORIZACIÓN, CONTROL Y NOTIFICACIÓN PERSONALIZADA
PARA AGRICULTURA DE PRECISIÓN DIRIGIDA A PEQUEÑOS Y MEDIANOS
AGRICULTORES</t>
  </si>
  <si>
    <t>11/06/2025</t>
  </si>
  <si>
    <t>Crespo Cano, Rubén</t>
  </si>
  <si>
    <t>Estudio, caracterización y optimización mediante metaheurísticas multiobjetivo y modelos de
aprendizaje automático de modelos bioinspirados de visión / Study, characterization, and optimization through
multi-objective metaheuristics and machine learn</t>
  </si>
  <si>
    <t>28/03/2025</t>
  </si>
  <si>
    <t>Sáez Pérez, Javier</t>
  </si>
  <si>
    <t>Autonomous Off-Road Vehicles: Enhancing Perception, Remote Control, and Environmental Impact Through Advanced AI Techniques</t>
  </si>
  <si>
    <t>05/11/2024</t>
  </si>
  <si>
    <t>Gama García, Ángel Manuel</t>
  </si>
  <si>
    <t>End-To-End Service Management in Multi-tenant Beyond 5G Networks</t>
  </si>
  <si>
    <t>14/11/2024</t>
  </si>
  <si>
    <t>Arnaiz Rodríguez, Adrián</t>
  </si>
  <si>
    <t>A Sociotechnical Approach to Trustworthy AI: from Algorithms to Regulation</t>
  </si>
  <si>
    <t>26/09/2025</t>
  </si>
  <si>
    <t>Németh , Gergely Dániel</t>
  </si>
  <si>
    <t>Relaxing Core Assumptions: the Impact of Data, Model and Participation Heterogeneity
on Performance, Privacy and Fairness in Federated Learning</t>
  </si>
  <si>
    <t>12/09/2025</t>
  </si>
  <si>
    <t>Riccio , Piera</t>
  </si>
  <si>
    <t>Human aesthetics under the representational power of Artificial Intelligence</t>
  </si>
  <si>
    <t>22/09/2025</t>
  </si>
  <si>
    <t>Administración Facultad de Ciencias de la Salud</t>
  </si>
  <si>
    <t>Pagan Conesa, Jose Alejandro</t>
  </si>
  <si>
    <t>Influencia del grado de retracción del tendón supraespinoso sobre el resultado de la
reparación artroscópica</t>
  </si>
  <si>
    <t>11/03/2025</t>
  </si>
  <si>
    <t>Enfermería</t>
  </si>
  <si>
    <t>DEL ROSARIO GILABERT, David</t>
  </si>
  <si>
    <t>Efectos de las ondas mecánicas audibles sobre neuronas no auditivas: diseño e
implementación de dispositivos biocompatibles para aplicaciones de sonobiología</t>
  </si>
  <si>
    <t>25/03/2025</t>
  </si>
  <si>
    <t>Tecnología Informática y Computación</t>
  </si>
  <si>
    <t>Villarroya Carpio, Arturo</t>
  </si>
  <si>
    <t>Repeat-pass interferometric coherence as a SAR tool for crop monitoring</t>
  </si>
  <si>
    <t>07/03/2025</t>
  </si>
  <si>
    <t>Física, Ingeniería de Sistemas y Teoría de la Señal</t>
  </si>
  <si>
    <t>Sanchis Bernabeu, Francisco Javier</t>
  </si>
  <si>
    <t>Computer-Aided Diagnostic Tools based on Encephalography and Deep Learning for the detection of mental issues: case of Attention Deficit Hyperactivity Disorder</t>
  </si>
  <si>
    <t>19/11/2024</t>
  </si>
  <si>
    <t>Lenguajes y Sistemas Informáticos</t>
  </si>
  <si>
    <t>Miró Maestre, María</t>
  </si>
  <si>
    <t>Procesamiento automático de la pragmática en español a partir de las intenciones
comunicativas</t>
  </si>
  <si>
    <t>21457966R</t>
  </si>
  <si>
    <t>Villena Martínez, Víctor</t>
  </si>
  <si>
    <t>Computer vision and machine learning methodology for registering and reconstructing three-dimensional models</t>
  </si>
  <si>
    <t>12/12/2024</t>
  </si>
  <si>
    <t>Díez Díaz, Álvaro</t>
  </si>
  <si>
    <t>Navegación Visual Autónoma en Robótica de Enjambre mediante Control Distribuido: Un Enfoque Híbrido con Aprendizaje por Refuerzo Multiagente</t>
  </si>
  <si>
    <t>Ciencia de la Computación e Inteligencia Artificial</t>
  </si>
  <si>
    <t>Páez Ubieta, Ignacio de Loyola</t>
  </si>
  <si>
    <t>Multisensorial perception for grasping object with multifingered grippers</t>
  </si>
  <si>
    <t>30/07/2025</t>
  </si>
  <si>
    <t>Ortiz Pérez, David</t>
  </si>
  <si>
    <t>Multimodal Deep Learning Techniques for Cognitive Decline Detection and Emotional
Insights</t>
  </si>
  <si>
    <t>12/05/2025</t>
  </si>
  <si>
    <t>García D'Urso, Nahuel Emiliano</t>
  </si>
  <si>
    <t>3D Human Body Shape Analysis Using Deep Learning and Computer Vision Techniques</t>
  </si>
  <si>
    <t>15/01/2025</t>
  </si>
  <si>
    <t>Berenguer Pastor, Alberto</t>
  </si>
  <si>
    <t>Búsqueda de datos estructurados mediante técnicas de procesamiento del lenguaje natural</t>
  </si>
  <si>
    <t>10/03/2025</t>
  </si>
  <si>
    <t>Benavent Lledó, Manuel</t>
  </si>
  <si>
    <t>Action Understanding in RGB Videos Through Deep Learning and Multimodal Cues</t>
  </si>
  <si>
    <t>29/09/2025</t>
  </si>
  <si>
    <t>53240321J</t>
  </si>
  <si>
    <t>Maciá Lillo, Antonio</t>
  </si>
  <si>
    <t>Novel Algorithms and Architectures for High-Performance AI Applications</t>
  </si>
  <si>
    <t>Velasco Sánchez, Edison Patricio</t>
  </si>
  <si>
    <t>Estimación de pose y control de Robots Móviles en Entornos no Estructurados basado en LiDAR</t>
  </si>
  <si>
    <t>20/11/2024</t>
  </si>
  <si>
    <t>Ortega Candel, Jose Manuel</t>
  </si>
  <si>
    <t>Modelo híbrido para la detección de ataques de denegación de cartera en arquitecturas serverless</t>
  </si>
  <si>
    <t>05/09/2025</t>
  </si>
  <si>
    <t>Navarro López-Menchero, Álvaro</t>
  </si>
  <si>
    <t>Una propuesta para la captura e implementación de requisitos para eXplainable Artificial
Intelligence alineada con la Arquitectura Dirigida por Modelos</t>
  </si>
  <si>
    <t>04/02/2025</t>
  </si>
  <si>
    <t>García Sigüenza, Javier</t>
  </si>
  <si>
    <t>Proposal of an architecture for integrating explainability in deep learning models for
spatio-temporal problems</t>
  </si>
  <si>
    <t>30/04/2025</t>
  </si>
  <si>
    <t>Mulero Pérez, David</t>
  </si>
  <si>
    <t>Synthetic Generation and Reconstruction of Human-Centred Virtual Environments</t>
  </si>
  <si>
    <t>Begga Hachlafi, Ahmed</t>
  </si>
  <si>
    <t>Empirical Eigenfunctions for Graph Neural Networks</t>
  </si>
  <si>
    <t>19/05/2025</t>
  </si>
  <si>
    <t>Alfaro Víquez, David Gerardo</t>
  </si>
  <si>
    <t>Design of Intelligent Architectures for Activity Monitoring in Manufacturing 4.0 Environments</t>
  </si>
  <si>
    <t>16/06/2025</t>
  </si>
  <si>
    <t>U066</t>
  </si>
  <si>
    <t>Instituto Universitario de Física Aplicada a las Ciencias y las Tecnologías (10.</t>
  </si>
  <si>
    <t>DOCTORADO EN FÍSICA APLICADA A LAS CIENCIAS Y LAS TECNOLOGÍAS</t>
  </si>
  <si>
    <t>Sánchez Martínez, Daniel</t>
  </si>
  <si>
    <t>INTELLIGENT ROBOTIC MANIPULATION OF DEFORMABLE OBJECTS IN THE TOY INDUSTRY THROUGH LEARNING FROM
HUMAN DEMONSTRATION</t>
  </si>
  <si>
    <t>23/07/2025</t>
  </si>
  <si>
    <t>2020</t>
  </si>
  <si>
    <t>2021</t>
  </si>
  <si>
    <t>2022</t>
  </si>
  <si>
    <t>2023</t>
  </si>
  <si>
    <t>2024</t>
  </si>
  <si>
    <t>2025</t>
  </si>
  <si>
    <t>Gutiérrez Vázquez, Yoan</t>
  </si>
  <si>
    <t>Viejo Hernando, Diego</t>
  </si>
  <si>
    <t>Araujo da Silva Costa, Angelo Gonçalo</t>
  </si>
  <si>
    <t>Ferrández Pastor, Francisco Javier</t>
  </si>
  <si>
    <t>14075477Y</t>
  </si>
  <si>
    <t>Abreu Salas, José Ignacio</t>
  </si>
  <si>
    <t>Negueruela Díez, Ignacio</t>
  </si>
  <si>
    <t>B190</t>
  </si>
  <si>
    <t>Palomar Sanz, Manuel Javier</t>
  </si>
  <si>
    <t>Rizo Aldeguer, Ramón Luis</t>
  </si>
  <si>
    <t>Marco Such, Manuel</t>
  </si>
  <si>
    <t>Grediaga Olivo, Ángel</t>
  </si>
  <si>
    <t>21406895J</t>
  </si>
  <si>
    <t>Maciá Soler, María Loreto</t>
  </si>
  <si>
    <t>90</t>
  </si>
  <si>
    <t>Zamora Gómez, Antonio</t>
  </si>
  <si>
    <t>Iñesta Quereda, José Manuel</t>
  </si>
  <si>
    <t>Montoyo Guijarro, Juan Andrés</t>
  </si>
  <si>
    <t>Vicent Francés, José Francisco</t>
  </si>
  <si>
    <t>Tortosa Grau, Leandro</t>
  </si>
  <si>
    <t>Migallón Gomis, María Violeta</t>
  </si>
  <si>
    <t>Ferrández Rodríguez, Antonio</t>
  </si>
  <si>
    <t>Muñoz Guillena, Rafael</t>
  </si>
  <si>
    <t>Villagrá Arnedo, Carlos José</t>
  </si>
  <si>
    <t>Martínez Barco, Patricio Manuel</t>
  </si>
  <si>
    <t xml:space="preserve">Maciá Pérez, Francisco </t>
  </si>
  <si>
    <t>Gómez Ortega, Jaime</t>
  </si>
  <si>
    <t>Moreda Pozo, María Paloma</t>
  </si>
  <si>
    <t>García Rodríguez, José</t>
  </si>
  <si>
    <t>Peral Cortés, Jesús</t>
  </si>
  <si>
    <t>Cazorla Quevedo, Miguel Ángel</t>
  </si>
  <si>
    <t>Trujillo Mondejar, Juan Carlos</t>
  </si>
  <si>
    <t>Compañ Rosique, Patricia María</t>
  </si>
  <si>
    <t>López Sánchez, Juan Manuel</t>
  </si>
  <si>
    <t>Ruiz Fernández, Daniel</t>
  </si>
  <si>
    <t>Vizcaya Moreno, María Flores</t>
  </si>
  <si>
    <t>21510960A</t>
  </si>
  <si>
    <t>Escobar Esteban, María Pilar</t>
  </si>
  <si>
    <t>Sánchez Martínez, Felipe</t>
  </si>
  <si>
    <t>Luján Mora, Sergio</t>
  </si>
  <si>
    <t>Llorens Largo, Faraón</t>
  </si>
  <si>
    <t>Penadés Martínez, José Leandro</t>
  </si>
  <si>
    <t>Satorre Cuerda, Rosana</t>
  </si>
  <si>
    <t>Ballester Berman, Josep David</t>
  </si>
  <si>
    <t>Aznar Gregori, Fidel</t>
  </si>
  <si>
    <t>Martínez Marín, Tomás</t>
  </si>
  <si>
    <t>Fuster Guilló, Andrés</t>
  </si>
  <si>
    <t>Molina Carmona, Rafael</t>
  </si>
  <si>
    <t>Soriano Paya, Antonio</t>
  </si>
  <si>
    <t>Selva Vera, Jesús</t>
  </si>
  <si>
    <t>Torres Medina, Fernando</t>
  </si>
  <si>
    <t>Jimeno Morenilla, Antonio Manuel</t>
  </si>
  <si>
    <t>Cuenca Asensi, Sergio Antonio</t>
  </si>
  <si>
    <t>Florez Revuelta, Francisco Asis</t>
  </si>
  <si>
    <t>Sánchez Romero, José Luis</t>
  </si>
  <si>
    <t>Mora Mora, Higinio</t>
  </si>
  <si>
    <t>Marcos Jorquera, Diego</t>
  </si>
  <si>
    <t>Pujol López, Francisco Antonio</t>
  </si>
  <si>
    <t>Tomás Díaz, David</t>
  </si>
  <si>
    <t>Vázquez Pérez, Sonia</t>
  </si>
  <si>
    <t>44769416P</t>
  </si>
  <si>
    <t>Candela Romero, Gustavo</t>
  </si>
  <si>
    <t>45747088L</t>
  </si>
  <si>
    <t>Curado Navarro, Manuel</t>
  </si>
  <si>
    <t>Teruel Martínez, Miguel Ángel</t>
  </si>
  <si>
    <t>Saval Calvo, Marcelo</t>
  </si>
  <si>
    <t>Climent Pérez, Pau</t>
  </si>
  <si>
    <t>48351140B</t>
  </si>
  <si>
    <t>Garrigós Fernández, Irene</t>
  </si>
  <si>
    <t>Gallego Durán, Francisco José</t>
  </si>
  <si>
    <t>Berná Martínez, José Vicente</t>
  </si>
  <si>
    <t>48378635K</t>
  </si>
  <si>
    <t>Pérez Sancho, Carlos</t>
  </si>
  <si>
    <t>Pertusa Ibáñez, Antonio Jorge</t>
  </si>
  <si>
    <t>Salinas Serrano, José María</t>
  </si>
  <si>
    <t>Gallego Sánchez, Antonio Javier</t>
  </si>
  <si>
    <t>Esplà Gomis, Miquel</t>
  </si>
  <si>
    <t>Mate Morga, Alejandro</t>
  </si>
  <si>
    <t>Escalona Moncholí, Félix</t>
  </si>
  <si>
    <t>Gil Méndez, David</t>
  </si>
  <si>
    <t>Gilart Iglesias, Virgilio</t>
  </si>
  <si>
    <t>González Serrano, Germán</t>
  </si>
  <si>
    <t>Azorín López, Jorge</t>
  </si>
  <si>
    <t>Pérez Ortiz, Juan Antonio</t>
  </si>
  <si>
    <t>Candelas Herias, Francisco Andrés</t>
  </si>
  <si>
    <t>Gil Vázquez, Pablo</t>
  </si>
  <si>
    <t>Navarro Colorado, Francisco de Borja</t>
  </si>
  <si>
    <t>Melia Beigbeder, Santiago</t>
  </si>
  <si>
    <t>Saquete Boró, María Estela</t>
  </si>
  <si>
    <t>Puente Méndez, Santiago</t>
  </si>
  <si>
    <t>Arnal García, José</t>
  </si>
  <si>
    <t>Sáez Martínez, Juan Manuel</t>
  </si>
  <si>
    <t>Martínez Martín, Ester</t>
  </si>
  <si>
    <t>Muñoz Terol, Rafael</t>
  </si>
  <si>
    <t>Álvarez Sánchez, Rafael Ignacio</t>
  </si>
  <si>
    <t>Lloret Pastor, Elena</t>
  </si>
  <si>
    <t>Gómez Donoso, Francisco</t>
  </si>
  <si>
    <t>Marco Tobarra, Amparo</t>
  </si>
  <si>
    <t>Rico Juan, Juan Ramón</t>
  </si>
  <si>
    <t>Calvo Zaragoza, Jorge</t>
  </si>
  <si>
    <t>Rico Soliveres, María Luisa</t>
  </si>
  <si>
    <t>Escolano Ruiz, Francisco Javier</t>
  </si>
  <si>
    <t>Pujol López, María del Mar</t>
  </si>
  <si>
    <t>Lorenzo Lledó, Gonzalo</t>
  </si>
  <si>
    <t>Sánchez Cartagena, Víctor Manuel</t>
  </si>
  <si>
    <t>Valero Mas, José Javier</t>
  </si>
  <si>
    <t>Martínez Álvarez, Antonio</t>
  </si>
  <si>
    <t>78295956T</t>
  </si>
  <si>
    <t>Lorenzo Fonseca, Iren</t>
  </si>
  <si>
    <t>33475167R</t>
  </si>
  <si>
    <t>Mora Pascual, Jeronimo Manuel</t>
  </si>
  <si>
    <t>Zubcoff Vallejo, Jose</t>
  </si>
  <si>
    <t>30</t>
  </si>
  <si>
    <t>Mazón López, Jose Norberto</t>
  </si>
  <si>
    <t>Pago regalías 2023 por transferencia de tecnología - Ref. contrato licencia: QUIROBOT(EBT)1-17O (Regalías 7.989,82 - 2.000,00 Reducción egresados)</t>
  </si>
  <si>
    <t>41.50.6C.00.94</t>
  </si>
  <si>
    <t xml:space="preserve">Pago regalías 2024 por transferencia de tecnología  - Ref. contrato DCI1-20R ( 50% del valor neto de las ventas anuales: 1.777,50 ) </t>
  </si>
  <si>
    <t>ANULACIÓN DE DERECHOS REFERENTE AL INGRESO PREVISTO DESTINADO A LA ORGÁNICA 41.50.6C.01.01 _ REFERENCIA AYUDA CONVENIO INTELIGENCIA DIGITAL 2024.</t>
  </si>
  <si>
    <t>EVALUACIÓN POR PARTE DEL EXPERTO 4D DEL PROYECTO CON REF. "MANIFLODEX" Ref. proyecto: SGS6-25TPA. NÚMERO DE PEDIDO: 6073231</t>
  </si>
  <si>
    <t>EVALUACIÓN POR PARTE DEL EXPERTO 4D DEL PROYECTO ICFCPROC23 de SGS. NÚMERO DE PEDIDO: 6074658. Ref. proyecto: SGS7-25TPA</t>
  </si>
  <si>
    <t xml:space="preserve">EVALUACIÓN POR PARTE DEL EXPERTO TÉCNICO DEL EXPEDIENTE 378188_ICFCBNT23-TRABAJO REALIZADO POR FERNANDO TORRES. NUMERO DE PEDIDO: 6077286. REF: SGS8-25TPA </t>
  </si>
  <si>
    <t>EVALUACIÓN POR PARTE DEL EXPERTO 4D DEL PROYECTO "DIODOSINCL - SOLUCIONES MEDIANTE DIODO LASER DE ALTA POTENCIA A TRATAMIENTOS MEDICOS Y ESTETICOS" (SGS_651). NUMERO DE PEDIDO: 6078092. Ref: SGS9-25TPA</t>
  </si>
  <si>
    <t>COMITÉ POR PARTE DEL EXPERTO 4D DEL PROYECTO DESARROLLO DE NUEVOS SISTEMAS PARA TRATAMIENTOS DE REMODELACION CORPORAL" (652) NUMERO DE PEDIDO: 6077957. Ref: SGS10-25TPA</t>
  </si>
  <si>
    <t>Honorarios por los trabajos desarrollados en el proyecto "SMART CONSTRUCTION MANAGER - NUEVO SISTEMA INTELIGENTE Y AUTÓNOMO PARA EL CONTROL Y GESTIÓN DE OBRA". Financiado a través del Programa Estratégico de Consorcios de Investigación Empresarial Nacional (CIEN), de CDTI, con nº de expediente IDI-20230441. Ref. proyecto UA:CYPE1-22Y. Tercer pago</t>
  </si>
  <si>
    <t>VALIDACIÓN DE TÉCNICAS DE INTELIGENCIA ARTIFICIAL SOBRE IMÁGENES SAR DE ALTA RESOLUCIÓN DEL SATÉLITE PAZ PARA LA DETECCIÓN Y CLASIFICACIÓN DE ZONAS DE INTERÉS DENTRO DEL PROYECTO GSTP ATR4PAZ. Ref. proyecto: HISDESAT1-22Y. Tercer pago del 20% del total del contrato.</t>
  </si>
  <si>
    <t>41.50.6C.01.82</t>
  </si>
  <si>
    <t>ASESORAMIENTO CIENTÍFICO-TÉCNICO SOBRE MODELOS DE INTELIGENCIA ARTIFICIAL APLICADA A TAREAS DE BIOMETRÍA Y ONBOARDING DIGITAL. Primer pago del 50% del total. Ref. proyecto: FACEPHI2-24TPA</t>
  </si>
  <si>
    <t>ASESORAMIENTO CIENTÍFICO-TÉCNICO SOBRE MODELOS DE INTELIGENCIA ARTIFICIAL APLICADA A TAREAS DE BIOMETRÍA Y ONBOARDING DIGITAL. Segundo pago del 50% del total. Ref. proyecto: FACEPHI2-24TPA</t>
  </si>
  <si>
    <t>41.50.6C.01.83</t>
  </si>
  <si>
    <t xml:space="preserve">ASESORÍA SOBRE UN ENTORNO EDUCATIVO PARA LA FORMACIÓN EN ROBÓTICA UTILIZANDO ROS (ROBOT OPERATING SYSTEM) Ref. proyecto: JDEROBOT1-24APA </t>
  </si>
  <si>
    <t>41.50.6C.01.84</t>
  </si>
  <si>
    <t>ArcelorMittal España. SUPERVICIÓN DEL PROYECTO 1992/0090/PIDI/03 ECOCUCHARA. Ref. proyecto UA: AENOR6-24TPA</t>
  </si>
  <si>
    <t>41.50.6C.01.85</t>
  </si>
  <si>
    <t>PAL ROBOTICS, S.L. SUPERVISIÓN DEL PROYECTO 2012/0753/PIDI/17 ENPELI2023. Ref. proyecto UA: AENOR7-24TPA</t>
  </si>
  <si>
    <t>41.50.6C.01.87</t>
  </si>
  <si>
    <t>EVALUACIÓN POR PARTE DEL EXPERTO 4D DEL PROYECTO PRJN-840162_1/_2 DE DNV "BCNEFICI01/02- SISTEMA DE VISION ARTIFICIAL PARA LA INSPECCION EN LINEAS PRODUCTIVAS DE ALTA CADENCIA" (PRJN-840162_1/_2) de DNV. Ref. proyecto UA: DNV1-25TPA</t>
  </si>
  <si>
    <t>41.50.6C.01.88</t>
  </si>
  <si>
    <t>ESTUDIO Y DEFINICIÓN DE NUEVA TECNOLOGÍA PARA EL ANÁLISIS DE LDPE RECICLADO A PARTIR DEL TRATAMIENTO INTELIGENTE DE IMÁGENES MULTIESPECTRALES. Investigador responsable: Francisco Gómez Donoso. Ref proyecto: CADEL1-24Y</t>
  </si>
  <si>
    <t>ESTUDIO Y DEFINICIÓN DE NUEVA TECNOLOGÍA PARA EL ANÁLISIS DE LDPE RECICLADO A PARTIR DEL TRATAMIENTO INTELIGENTE DE IMÁGENES MULTIESPECTRALES. Ref. proyecto: CADEL1-24Y. Segundo pago. Investigador responsable: Francisco Gómez Donoso.</t>
  </si>
  <si>
    <t>ESTUDIO Y DEFINICIÓN DE NUEVA TECNOLOGÍA PARA EL ANÁLISIS DE LDPE RECICLADO A PARTIR DEL TRATAMIENTO INTELIGENTE DE IMÁGENES MULTIESPECTRALES. Ref. proyecto: CADEL1-24Y. Tercer pago. Investigador responsable: Francisco Gómez Donoso.</t>
  </si>
  <si>
    <t>41.50.6C.01.89</t>
  </si>
  <si>
    <t>EVALUACIÓN POR PARTE DEL EXPERTO 4D DEL PROYECTO PRJN-802660. Ref. proyecto: DNV2-25TPA</t>
  </si>
  <si>
    <t>41.50.6C.01.90</t>
  </si>
  <si>
    <t>EVALUACIÓN POR PARTE DEL EXPERTO 4D DEL PROYECTO PRJN-841622 DE DNV Ref. proyecto: DNV3-25TPA</t>
  </si>
  <si>
    <t>41.50.6C.01.91</t>
  </si>
  <si>
    <t>DESARROLLO DE UN CONJUNTO DE HERRAMIENTAS, CAPACES DE FUNCIONAR SOBRE EL ROBOT UNITREE GO2, QUE ENGLOBEN MAPEADO, NAVEGACIÓN AUTÓNOMA, RECONOCIMIENTO DE OBJETOS Y PERSONAS. Primer pago. Ref. proyecto: SYNERGYSMARTINV1-24I. Investigador responsable: Francisco Gómez Donoso</t>
  </si>
  <si>
    <t>DESARROLLO DE UN CONJUNTO DE HERRAMIENTAS, CAPACES DE FUNCIONAR SOBRE EL ROBOT UNITREE GO2, QUE ENGLOBEN MAPEADO, NAVEGACIÓN AUTÓNOMA, RECONOCIMIENTO DE OBJETOS Y PERSONAS. Segundo pago. Ref. proyecto: SYNERGYSMARTINV1-24I. Investigador responsable: Francisco Gómez Donoso</t>
  </si>
  <si>
    <t>41.50.6C.01.92</t>
  </si>
  <si>
    <t>IMPLEMENTACIÓN DE NUEVAS CARACTERÍSTICAS PARA EL SOFTWARE DE GESTIÓN DE PLÁSTICO RECICLADO QUANTUM. Ref. proyecto: CADEL1-25T Investigador responsable: Francisco Gómez Donoso</t>
  </si>
  <si>
    <t>IMPLEMENTACIÓN DE NUEVAS CARACTERÍSTICAS PARA EL SOFTWARE DE GESTIÓN DE PLÁSTICO RECICLADO QUANTUM. Ref. proyecto: CADEL1-25T Investigador responsable: Francisco Gómez Donoso. Segundo pago.</t>
  </si>
  <si>
    <t>INVESTIGACIÓN DE UN LDPE APTO PARA ENVASES ALIMENTARIOS DE ACUERDO CON LA NORMATIVA VIGENTE. PAG-020100-2023-217. SAFErLDPE1 Ref. proyecto: CADEL1-25T Investigador responsable: Francisco Gómez Donoso. Tercer pago.</t>
  </si>
  <si>
    <t>CONCEPTO INVESTIGACIÓN DE UN LDPE APTO PARA ENVASES ALIMENTARIOS DE ACUERDO CON LA NORMATIVA VIGENTE. PAG-020100-2023-217. SAFErLDPE1. Ref. proyecto: CADEL1-25T  Investigador responsable: Francisco Gómez Donoso. Cuarto pago.</t>
  </si>
  <si>
    <t>41.50.6C.01.93</t>
  </si>
  <si>
    <t>SCIENTIFIC SUPPORT FOR THE DEVELOPMENT OF A PROOF-OF-CONCEPT (POC) CONSISTING OF MAPPING DAMAGES (LOCATION AND DEGREE) IN AGRICULTURAL CROPS DUE TO WEATHER EVENTS (HAIL, STORMS, SNOW, ETC.) FOR INSURANCE COMPANIES, USING SATELLITE IMAGES. Work related to roof collapse study until the end of June 2025 (16 hours) Ref. proyecto: LAMBDAISPACE1-25A</t>
  </si>
  <si>
    <t>41.50.6C.01.94</t>
  </si>
  <si>
    <t>LICENCIA DE USO Y DE EXPLOTACIÓN COMERCIAL DEL PROGRAMA DE ORDENADOR "XATDOCS: SOFTWARE RAG PARA EL PROCESAMIENTO E INTERROGACIÓN SEMÁNTICA DE REPOSITORIOS DE DOCUMENTOS" Ref. proyecto: FRANCES1-25R. Primer pago a la firma del contrato.</t>
  </si>
  <si>
    <t>41.50.6C.01.96</t>
  </si>
  <si>
    <t>CONSULTORÍA CIENTÍFICO-TÉCNICA SOBRE MODELOS DE INTELIGENCIA ARTIFICIAL APLICADA A TAREAS DE BIOMETRÍA Y ANÁLISIS AUTOMÁTICO DE DOCUMENTOS. Ref. proyecto: FACEPHI1-25TPA</t>
  </si>
  <si>
    <t>CONSULTORÍA CIENTÍFICO-TÉCNICA SOBRE MODELOS DE INTELIGENCIA ARTIFICIAL APLICADA A TAREAS DE BIOMETRÍA Y ANÁLISIS AUTOMÁTICO DE DOCUMENTOS. SEGUNDO PAGO</t>
  </si>
  <si>
    <t>41.50.6C.01.97</t>
  </si>
  <si>
    <t>SERVICIOS DE ASESORAMIENTO DE INGENIERÍA DE PROGRAMAS Y APLICACIONES DE OBSERVACIÓN DE LA TIERRA. Primer pago. Ref. proyecto: HISDESAT1-25A</t>
  </si>
  <si>
    <t>SERVICIOS DE ASESORAMIENTO DE INGENIERÍA DE PROGRAMAS Y APLICACIONES DE OBSERVACIÓN DE LA TIERRA. Segundo pago. Ref. proyecto: HISDESAT1-25A</t>
  </si>
  <si>
    <t>SERVICIOS DE ASESORAMIENTO DE INGENIERÍA DE PROGRAMAS Y APLICACIONES DE OBSERVACIÓN DE LA TIERRA. Tercer pago. Ref.: HISDESAT1-25A</t>
  </si>
  <si>
    <t>41.50.6C.01.98</t>
  </si>
  <si>
    <t>EVALUACIÓN POR PARTE DEL EXPERTO FERNANDO TORRES MEDINA DEL PROYECTO PRJN-870406 Ref. proyecto: DNV4-25TPA</t>
  </si>
  <si>
    <t>41.50.6C.01.99</t>
  </si>
  <si>
    <t xml:space="preserve">EVALUACIÓN POR EL EXPERTO FERNANDO TORRES MEDINA DEL PROYECTO "SISTEMA POLARIMÉTRICO DE LOCALIZACIÓN Y ORIENTACIÓN BASADO EN TECNOLOGÍA NEUROMÓRFICA" BIFROST025 (PRJN-940750) Ref. proyecto: DNV5-25TPA </t>
  </si>
  <si>
    <t>41.50.6C.02.01</t>
  </si>
  <si>
    <t>EVALUACIÓN POR PARTE DEL EXPERTO 4D DEL PROYECTO 4694-INSPECXRA. Ref. proyecto: ICQD1-25TPA</t>
  </si>
  <si>
    <t>EVALUACIÓN POR PARTE DEL EXPERTO 4D DEL PROYECTO 4526-HPTXSENSOR. Ref. proyecto: ICQD2-25TPA</t>
  </si>
  <si>
    <t>41.50.6C.02.02</t>
  </si>
  <si>
    <t>EVALUACIÓN POR PARTE DEL EXPERTO COMITÉ 4D DEL PROYECTO "DETECCIÓN EN TIEMPO REAL DE MICROORGANISMOS PATÓGENOS Y COE EN AGUAS DEPURADAS -PRJN-949676. Ref. proyecto: DNV6-25TPA</t>
  </si>
  <si>
    <t>41.50.6C.02.03</t>
  </si>
  <si>
    <t xml:space="preserve">AENOR1-25TPA que corresponde a la referencia SUPERVISIÓN DEL PROYECTO 2003/2136/PIDI/05 TESTCOCK24- DESARROLLO DE SISTEMA ROBÓTICO DE PRUEBA CON ACTUACIÓN Y MEDICIÓN PARA COCKPITS DE AERONAVES PERTENECIENTE A LA ENTIDAD AIRTIFICIAL AEROSPACE &amp; DEFENSE ENGINEERING, S.A. </t>
  </si>
  <si>
    <t>41.50.6C.02.04</t>
  </si>
  <si>
    <t>EVALUACIÓN POR PARTE DEL EXPERTO 4D Y COMITÉ DEL PROYECTO "DIGIRREC24" (PRJN-871042) Ref. proyecto: DNV7-25TPA</t>
  </si>
  <si>
    <t>EVALUACIÓN POR PARTE DEL EXPERTO 4D Y COMITÉ DEL PROYECTO "SMARTGATES-COMPUERTA INTELIGENTE PARA EL CONTROL DE LOS FLUJOS DE AGUA Y FAUNA ACUÁTICA" (PRJN-939724) DE DNV. Ref. proyecto: DNV9-25TPA </t>
  </si>
  <si>
    <t>EVALUACIÓN POR PARTE DEL EXPERTO COMITÉ DEL PROYECTO "DIGIRREC24 - NUEVAS TECNOLOGIAS DE SOLDADURA AL ARCO PARA MEJORAR CALIDAD DE PRODUCTO Y REDUCIR MATERIA PRIMA (PRJN-971694). Ref: DNV10-25TPA</t>
  </si>
  <si>
    <t>41.50.6C.02.05</t>
  </si>
  <si>
    <t xml:space="preserve">DETERMINACIÓN DE DESPEGUE Y ATERRIZAJE SEGURO Y AUTÓNOMO MEDIANTE VISIÓN ARTIFICIAL E INTELIGENCIA ARTIFICIAL. Primer hito del proyecto. Primer pago </t>
  </si>
  <si>
    <t>41.50.6C.02.06</t>
  </si>
  <si>
    <t xml:space="preserve">DEVELOPMENT OF INFRASTRUCTURE FOR OPTICAL MUSIC RECOGNITION IN LATE MEDIEVAL MANUSCRIPTS AND EARLY PRINTS: TOOLS FOR MODEL TRAINING, DATA ANNOTATION, AND CONTENT SEARCH . Ref. proyecto: ACDH-CH1-25T Investigador principal Jorge Calvo Zaragoza </t>
  </si>
  <si>
    <t>41.50.6C.02.07</t>
  </si>
  <si>
    <t>Colaboración en Proyecto RiskIA: Herramienta de evaluación de riesgos para la Inteligencia Artificial.  EXP. 13/25/IN/024 Colaboración en las actividades: PT2. Realización de una revisión sistemática de la literatura sobre riesgos de la IA. PT4. Validación de la herramienta para la evaluación y auditoría de riesgos de sistemas de inteligencia artificial.  Ref: AQCLABSOFTWARE1-25T. Factura 1. Investigador Dr. Juan Carlos Trujillo Mondéjar</t>
  </si>
  <si>
    <t>Colaboración en Proyecto MMSIA: Entorno para la evaluación de la madurez del desarrollo de software en Sistemas de Inteligencia Artificial Colaboración en las actividades: PT2. Modelo de Evaluación de la madurez. PT4. Validación del entorno de evaluación y auditoría de la madurez del software en SIA.  Ref: AQCLABSOFTWARE1-25T. Factura 2. Investigador Dr. Juan Carlos Trujillo Mondéjar</t>
  </si>
  <si>
    <t>41.50.6C.02.09</t>
  </si>
  <si>
    <t>ASISTENCIA CIENTÍFICO-TÉCNICA PARA LA APLICACIÓN DE VARIAS TÉCNICAS DE VISIÓN ARTIFICIAL, BASADOS EN MODELOS CNN, GAN, LLM, ARQUITECTURAS BERT, ETC. Y ESTUDIO SOBRE LA APLICABILIDAD DE LOS RESULTADOS. Proyecto PREDERISK4CHILDREN. Nº de pedido de AIJU: 2025/12515. Ref: AIJU3-25TPA</t>
  </si>
  <si>
    <t>41.50.6C.02.10</t>
  </si>
  <si>
    <t xml:space="preserve">ASISTENCIA CIENTÍFICO-TÉCNICA PARA LA APLICACIÓN DE VARIAS TÉCNICAS DE VISIÓN ARTIFICIAL, BASADOS EN MODELOS CNN, GAN, LLM, ARQUITECTURAS BERT, ETC. Y ESTUDIO SOBRE LA APLICABILIDAD DE LOS RESULTADOS", Ref.: INESCOP4-25TPA IMDEEA/2025/34, NP068566 </t>
  </si>
  <si>
    <t>41.50.6C.02.11</t>
  </si>
  <si>
    <t>Colaboración en el PT2 y PT4 del proyecto MAGODS: Modelo de referenciA para la GObernanza y calidaD en eSpacios de datos. Ref: DQTEAM1-25A</t>
  </si>
  <si>
    <t>Entorno de autoevaluación y mejora de los procesos de datos organizacionales basado en las especificaciones UNE 0077 a 0080. En los Paquetes de trabajo: PT2. Desarrollo del módulo de propuestas de mejora de datos PT3. Metamodelo para la implantación de las mejoras para el proyecto DQPA. Ref. proyecto: DQTEAM1-25A</t>
  </si>
  <si>
    <t>41.50.6C.02.12</t>
  </si>
  <si>
    <t>MOVILIDAD SOSTENIBLE COMO FACTOR CLAVE PARA LA EFICIENCIA Y EL DESARROLLO DE NEGOCIOS. Ref: ONEMILLIONBOT1-25A</t>
  </si>
  <si>
    <t>41.50.6C.02.13</t>
  </si>
  <si>
    <t>CONSULTORIA PARA EL ANALISIS DEL PUNTO DE PARTIDA, DEFINICION DE CASOS DE USO Y REDACCION DEL DOCUMENTO DE ESPECIFICACIONES TECNICAS DEL GEMELO DIGITAL RODES. Ref: AYTOALCOI5-25T. Pago por el desarrollo del primer hito del proyecto.</t>
  </si>
  <si>
    <t>41.50.6G.00.05</t>
  </si>
  <si>
    <t>Ingresos por inscripciones al congreso TEEM 2024</t>
  </si>
  <si>
    <t>DEVOLUCIÓN DE INGRESOS_MODELO 047_ REFERENTE AL JI 20220000000004826_AYUDAS FINANCIACIÓN DEL PROGRAMA INVESTIGO (INVEST/2022/253/267/319/419/431/450/70)</t>
  </si>
  <si>
    <t>CIAPOT/2022/11/13</t>
  </si>
  <si>
    <t>DEVOLUCIÓN DE INGRESOS_CARTA DE PAGO_REFERENCIA: PID2020-118447RA-I00, ANUALIDAD: 2021</t>
  </si>
  <si>
    <t xml:space="preserve">DEVOLUCIÓN DE INGRESOS_MODELO 047_ REFERENCIA: PROMETEO 2021 EN 2024_PROMETEO/2021/006, PROMETEO/2021/017, PROMETEO/2021/030, PROMETEO/2021/055, PROMETEO/2021/057, PROMETEO/2021/073, PROMETEO/2021/079, PROMETEO/2021/088 </t>
  </si>
  <si>
    <t xml:space="preserve">CIPROM/2021/001/006/017/021/022/027/057/060/062/068/070/074 </t>
  </si>
  <si>
    <t>DEVOLUCIÓN DE INGRESOS_CARTA DE PAGO_REFERENCIA: TED2021-132103A-I00, ANUALIDAD: 2023</t>
  </si>
  <si>
    <t>DEVOLUCIÓN DE INGRESOS_MODELO 047_CIGE 2022</t>
  </si>
  <si>
    <t>Ayudas CIAICO/2022/017, CIAICO/2022/019, CIAICO/2022/038, CIAICO/2022/046, CIAICO/2022/047, CIAICO/2022/049, CIAICO/2022/077, CIAICO/2022/078,CIAICO/2022/079, CIAICO/2022/112, CIAICO/2022/132, CIAICO/2022/167, ,CIAICO/2022/177</t>
  </si>
  <si>
    <t xml:space="preserve">Minoración AYUDAS CIAICO/2022/017, CIAICO/2022/019,  CIAICO/2022/046, CIAICO/2022/047,  CIAICO/2022/077, CIAICO/2022/078, CIAICO/2022/079, CIAICO/2022/112, CIAICO/2022/132 CIAICO/2022/167 CIAICO/2022/177 </t>
  </si>
  <si>
    <t xml:space="preserve">Ayuda CISEJI/2023/9 </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</si>
  <si>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</si>
  <si>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Ayudas CIDEXG/2023/2, CIDEXG/2023/2, CIDEXG/2023/13, CIDEXG/2023/13, CIDEXG/2023/7, CIDEXG/2023/7 </t>
  </si>
  <si>
    <t xml:space="preserve">CIGE/2023/52/94/129/146/165/175/181/184/188/196/197/216/225/227. EN CIGE/2023/196 HAY UNA REASIGNACIÓN DEL IMPORTE (EN JI-2024-3632 SE PRODUCE UNA MINORACIÓN DE 9879,02 Y SE ASIGNA A ESTE AÑO) </t>
  </si>
  <si>
    <t>Minoración Ayudas CIGE/2023/52, CIGE/2023/94, CIGE/2023/129, CIGE/2023/146, CIGE/2023/165, CIGE/2023/175, CIGE/2023/181, CIGE/2023/184, CIGE/2023/188, CIGE/2023/197, CIGE/2023/216,  CIGE/2023/227 (LINEA SUBVENCIÓN S0296)</t>
  </si>
  <si>
    <t>CIAEST/2023/31/36/12</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</si>
  <si>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</si>
  <si>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 xml:space="preserve">Minoración parcial CIAICO/2023/178/179/203/250/255/266. </t>
  </si>
  <si>
    <t>41.50.6P.00.80</t>
  </si>
  <si>
    <t>TSI-100121-2024-10/ TSI-100121-2024-24</t>
  </si>
  <si>
    <t>41.50.6P.00.81</t>
  </si>
  <si>
    <t>41.50.6P.00.86</t>
  </si>
  <si>
    <t xml:space="preserve">TSI-100122-2024-10/  TSI-100130-2024-10/ TSI-100130-2024-69 </t>
  </si>
  <si>
    <t>41.50.6P.00.87</t>
  </si>
  <si>
    <t>41.50.6P.00.88</t>
  </si>
  <si>
    <t>41.50.6P.00.89</t>
  </si>
  <si>
    <t>INREIA/2024/151/176/188. AYUDAS PARA PROYECTOS DE DESARROLLO EXPERIMENTAL EN EL ÁREA DE LA INTELIGENCIA ARTIFICIAL Y EL IMPULSO AL DESARROLLO DE ESPACIOS DE DATOS SECTORIALES. Línea Subvención: S1470</t>
  </si>
  <si>
    <t>41.50.6P.00.90</t>
  </si>
  <si>
    <t>41.50.6P.00.91</t>
  </si>
  <si>
    <t>CIPROM/2024/03/13//90/92</t>
  </si>
  <si>
    <t>41.50.6P.00.92</t>
  </si>
  <si>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</si>
  <si>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</si>
  <si>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41.50.6P.00.93</t>
  </si>
  <si>
    <t>41.50.6P.00.94</t>
  </si>
  <si>
    <t>41.50.6P.00.95</t>
  </si>
  <si>
    <t>Ingreso ayudas CIGE/2024/56/95/108/145/178/184/194/199/200/201/202/203/204/205/208/209/212/213</t>
  </si>
  <si>
    <t>41.50.6P.00.96</t>
  </si>
  <si>
    <t>Ayudas CIAICO 2024/6/31/81/130/150/168/186/204/238/296/319</t>
  </si>
  <si>
    <t>41.50.6Q.00.01</t>
  </si>
  <si>
    <t>INGRESO PERCIBIDO POR LA UNIVERSIDAD DE ALICANTE EN VIRTUD DE CONVENIO PARA EL MANTENIMIENTO DE LA CÁTEDRA ENIA-UA SOBRE INTELIGENCIA ARTIFICIAL ÉTICA Y RESPONSABLE.</t>
  </si>
  <si>
    <t>ADENDA AL CONVENIO DE COLABORACIÓN ENTRE LA UNIVERSIDAD DE ALICANTE Y ONE MILLION BOT, S.L. PARA EL MANTENIMIENTO DE LA CÁTEDRA ENIA-UA SOBRE INTELIGENCIA ARTIFICIAL ÉTICA Y RESPONSABLE FIRMADO EL 9 DE MARZO DE 2023</t>
  </si>
  <si>
    <t>Project: PROTOTYPE PROCESSOR FOR ARD OF COPERNICUS SAR MISSIONS Sub contract No.: 4000144699/24/I-NS-UA Payment milestone MS1: Upon successful completion of WP 100 and WP 200, a successful Mid Term Review (MTR) and acceptance of all related deliverables.  Amount MS1: € 27.419,00 Advance payment received under Invoice 20240000000000582 dated 15/10/2024: € 2.688,00 Total amount payable: € 24.731,00.</t>
  </si>
  <si>
    <t xml:space="preserve">PROTOTYPE PROCESSOR FOR ARD OF COPERNICUS SAR MISSIONS. Contract No.: 4000144699/24/I-NS-UA  Payment milestone MS2: Progress: Upon successful completion of WP 300 and WP 400, a successful Requirements Review (RR) and acceptance of all related deliverables for an amount of € 12.898,00 (VAT excluded), which derives from the payment plan included in the above mentioned subcontract.  Advance payment received under Invoice 20240000000000582 dated 15/10/2024: € 5.375,00 Total amount payable: € 7.523,00. </t>
  </si>
  <si>
    <t>Advance payment for MS3 (2.312€) and MS4 (4.625€) TOTAL 6.937€ Contract No 4000144699/24/I-NS-UA PROTOTYPE PROCESSOR FOR ARD OF COPERNICUS SAR MISSIONS"</t>
  </si>
  <si>
    <t>Total ingresos investigación 2023-25</t>
  </si>
  <si>
    <t>50 % de los 142.494,49 € al Instituto de Investigación en Ingeniería Informática y 50 % Psicología de la salud. Según email del Dpto de Psicología de la Salud 17/10/2024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</si>
</sst>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
  </numFmts>
  <fonts count="17"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b/>
      <sz val="10"/>
      <color theme="0"/>
      <name val="Arial"/>
      <family val="2"/>
    </font>
    <font>
      <b/>
      <sz val="10"/>
      <color theme="1"/>
      <name val="Arial"/>
      <family val="2"/>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0" fillId="0" borderId="0" applyFont="0" applyFill="0" applyBorder="0" applyAlignment="0" applyProtection="0"/>
  </cellStyleXfs>
  <cellXfs count="65">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left"/>
    </xf>
    <xf numFmtId="0" fontId="4" fillId="3" borderId="1" xfId="2" applyFont="1" applyFill="1" applyBorder="1" applyAlignment="1">
      <alignment horizontal="center"/>
    </xf>
    <xf numFmtId="0" fontId="6" fillId="0" borderId="1" xfId="0" applyFont="1" applyBorder="1"/>
    <xf numFmtId="0" fontId="6" fillId="0" borderId="1" xfId="0" applyFont="1" applyBorder="1" applyAlignment="1">
      <alignment horizontal="left"/>
    </xf>
    <xf numFmtId="0" fontId="0" fillId="6" borderId="0" xfId="0" applyFill="1" applyAlignment="1">
      <alignment wrapText="1"/>
    </xf>
    <xf numFmtId="165" fontId="2" fillId="7" borderId="0" xfId="1" applyNumberFormat="1" applyFill="1" applyAlignment="1">
      <alignment horizontal="center"/>
    </xf>
    <xf numFmtId="0" fontId="2" fillId="4" borderId="1" xfId="1" applyFill="1" applyBorder="1"/>
    <xf numFmtId="0" fontId="2" fillId="4" borderId="1" xfId="1" applyFill="1" applyBorder="1" applyAlignment="1">
      <alignment horizontal="right"/>
    </xf>
    <xf numFmtId="0" fontId="2" fillId="2" borderId="0" xfId="1" applyFill="1"/>
    <xf numFmtId="0" fontId="2" fillId="2" borderId="0" xfId="1" applyFill="1" applyAlignment="1">
      <alignment horizontal="right"/>
    </xf>
    <xf numFmtId="0" fontId="0" fillId="7" borderId="0" xfId="0" applyFill="1"/>
    <xf numFmtId="0" fontId="0" fillId="7" borderId="0" xfId="0" applyFill="1" applyAlignment="1">
      <alignment horizontal="left"/>
    </xf>
    <xf numFmtId="165" fontId="11" fillId="7" borderId="0" xfId="0" applyNumberFormat="1" applyFont="1" applyFill="1"/>
    <xf numFmtId="164" fontId="0" fillId="0" borderId="0" xfId="0" applyNumberFormat="1"/>
    <xf numFmtId="0" fontId="0" fillId="6" borderId="0" xfId="0" applyFill="1"/>
    <xf numFmtId="164" fontId="0" fillId="0" borderId="0" xfId="6" applyFont="1"/>
    <xf numFmtId="164" fontId="0" fillId="6" borderId="0" xfId="6" applyFont="1" applyFill="1"/>
    <xf numFmtId="0" fontId="0" fillId="0" borderId="0" xfId="0" applyAlignment="1">
      <alignment wrapText="1"/>
    </xf>
    <xf numFmtId="0" fontId="11" fillId="0" borderId="1" xfId="0" applyFont="1" applyBorder="1"/>
    <xf numFmtId="164" fontId="11" fillId="0" borderId="1" xfId="6" applyFont="1" applyBorder="1"/>
    <xf numFmtId="0" fontId="0" fillId="6" borderId="3" xfId="0" applyFont="1" applyFill="1" applyBorder="1" applyAlignment="1">
      <alignment wrapText="1"/>
    </xf>
    <xf numFmtId="0" fontId="13" fillId="0" borderId="1" xfId="0" applyFont="1" applyBorder="1"/>
    <xf numFmtId="0" fontId="2" fillId="8" borderId="1" xfId="1" applyFill="1" applyBorder="1"/>
    <xf numFmtId="0" fontId="2" fillId="8" borderId="1" xfId="1" applyFill="1" applyBorder="1" applyAlignment="1">
      <alignment horizontal="right"/>
    </xf>
    <xf numFmtId="0" fontId="2" fillId="8" borderId="0" xfId="1" applyFill="1"/>
    <xf numFmtId="165" fontId="2" fillId="4" borderId="1" xfId="1" applyNumberFormat="1" applyFill="1" applyBorder="1"/>
    <xf numFmtId="165" fontId="2" fillId="8" borderId="1" xfId="1" applyNumberFormat="1" applyFill="1" applyBorder="1"/>
    <xf numFmtId="0" fontId="0" fillId="8" borderId="1" xfId="0" applyFill="1" applyBorder="1"/>
    <xf numFmtId="0" fontId="0" fillId="8" borderId="1" xfId="0" applyFill="1" applyBorder="1" applyAlignment="1">
      <alignment horizontal="left"/>
    </xf>
    <xf numFmtId="0" fontId="9" fillId="8" borderId="0" xfId="5" applyFont="1" applyFill="1"/>
    <xf numFmtId="0" fontId="6" fillId="8" borderId="1" xfId="0" applyFont="1" applyFill="1" applyBorder="1" applyAlignment="1">
      <alignment horizontal="center"/>
    </xf>
    <xf numFmtId="0" fontId="14" fillId="8" borderId="1" xfId="0" applyFont="1" applyFill="1" applyBorder="1" applyAlignment="1">
      <alignment horizontal="center"/>
    </xf>
    <xf numFmtId="0" fontId="15" fillId="9" borderId="4" xfId="0" applyFont="1" applyFill="1" applyBorder="1"/>
    <xf numFmtId="0" fontId="15" fillId="9" borderId="5" xfId="0" applyFont="1" applyFill="1" applyBorder="1"/>
    <xf numFmtId="0" fontId="9" fillId="10" borderId="4" xfId="0" applyFont="1" applyFill="1" applyBorder="1"/>
    <xf numFmtId="0" fontId="9" fillId="10" borderId="5" xfId="0" applyFont="1" applyFill="1" applyBorder="1"/>
    <xf numFmtId="164" fontId="9" fillId="10" borderId="5" xfId="6" applyFont="1" applyFill="1" applyBorder="1"/>
    <xf numFmtId="0" fontId="9" fillId="0" borderId="4" xfId="0" applyFont="1" applyBorder="1"/>
    <xf numFmtId="0" fontId="9" fillId="0" borderId="5" xfId="0" applyFont="1" applyBorder="1"/>
    <xf numFmtId="164" fontId="9" fillId="0" borderId="5" xfId="6" applyFont="1" applyBorder="1"/>
    <xf numFmtId="0" fontId="16" fillId="0" borderId="6" xfId="0" applyFont="1" applyBorder="1"/>
    <xf numFmtId="0" fontId="16" fillId="0" borderId="7" xfId="0" applyFont="1" applyBorder="1"/>
    <xf numFmtId="164" fontId="16" fillId="0" borderId="7" xfId="6" applyFont="1" applyBorder="1"/>
    <xf numFmtId="165" fontId="3" fillId="2" borderId="2" xfId="1" applyNumberFormat="1" applyFont="1" applyFill="1" applyBorder="1" applyAlignment="1">
      <alignment horizontal="center"/>
    </xf>
    <xf numFmtId="165" fontId="2" fillId="11" borderId="1" xfId="1" applyNumberFormat="1" applyFont="1" applyFill="1" applyBorder="1"/>
    <xf numFmtId="165" fontId="2" fillId="11" borderId="1" xfId="1" applyNumberFormat="1" applyFill="1" applyBorder="1"/>
    <xf numFmtId="0" fontId="2" fillId="6" borderId="1" xfId="1" applyFill="1" applyBorder="1"/>
    <xf numFmtId="0" fontId="2" fillId="6" borderId="1" xfId="1" applyFill="1" applyBorder="1" applyAlignment="1">
      <alignment horizontal="right"/>
    </xf>
    <xf numFmtId="165" fontId="2" fillId="6" borderId="1" xfId="1" applyNumberFormat="1" applyFill="1" applyBorder="1"/>
    <xf numFmtId="0" fontId="2" fillId="6" borderId="0" xfId="1" applyFill="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3">
    <dxf>
      <numFmt numFmtId="164" formatCode="_-* #,##0.00\ _€_-;\-* #,##0.00\ _€_-;_-* &quot;-&quot;??\ _€_-;_-@_-"/>
    </dxf>
    <dxf>
      <numFmt numFmtId="164" formatCode="_-* #,##0.00\ _€_-;\-* #,##0.00\ _€_-;_-* &quot;-&quot;??\ _€_-;_-@_-"/>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EB629A-C612-498E-872C-769D3A1A9EF3}" name="Tabla2" displayName="Tabla2" ref="A1:D59" totalsRowCount="1">
  <autoFilter ref="A1:D58" xr:uid="{1DEB629A-C612-498E-872C-769D3A1A9EF3}"/>
  <tableColumns count="4">
    <tableColumn id="1" xr3:uid="{C5DC4811-4023-4A6B-BCE9-BF55BA861FDE}" name="Cód. org. aplic." totalsRowLabel="Total"/>
    <tableColumn id="2" xr3:uid="{DCDA3514-0219-43B8-9C79-5F8B0B937442}" name="Descripción justificante"/>
    <tableColumn id="3" xr3:uid="{C1CE4623-1B9F-47E5-89AE-766D8D5EAB38}" name="Imp.cob.aplic." totalsRowFunction="sum" totalsRowDxfId="0" dataCellStyle="Millares"/>
    <tableColumn id="4" xr3:uid="{A79D67F8-EC4D-4EF3-9BDC-B7216D5E8576}" name="Observacion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9EE0B0-2589-48A4-98FD-93FFBFDAB742}" name="Tabla3" displayName="Tabla3" ref="A1:C65" totalsRowCount="1">
  <autoFilter ref="A1:C64" xr:uid="{BF9EE0B0-2589-48A4-98FD-93FFBFDAB742}"/>
  <tableColumns count="3">
    <tableColumn id="1" xr3:uid="{3003594D-67A8-4A64-8383-4E004B5DF062}" name="Org. aplic." totalsRowLabel="Total"/>
    <tableColumn id="2" xr3:uid="{340D7AAC-3E28-4651-B726-164220F4FFD6}" name="Descripción justificante" dataDxfId="2"/>
    <tableColumn id="3" xr3:uid="{BC6F7AA7-27A6-4F43-91D1-153631FBEA24}" name="Imp. aplic." totalsRowFunction="sum" totalsRowDxfId="1"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61"/>
  <sheetViews>
    <sheetView showGridLines="0" topLeftCell="B211" zoomScale="102" zoomScaleNormal="102" workbookViewId="0">
      <selection activeCell="U247" sqref="U247"/>
    </sheetView>
  </sheetViews>
  <sheetFormatPr baseColWidth="10" defaultColWidth="10.28515625" defaultRowHeight="11.25" x14ac:dyDescent="0.2"/>
  <cols>
    <col min="1" max="1" width="5" style="5" customWidth="1"/>
    <col min="2" max="4" width="29.7109375" style="5" customWidth="1"/>
    <col min="5" max="5" width="40.7109375" style="5" customWidth="1"/>
    <col min="6" max="6" width="9.140625" style="5" customWidth="1"/>
    <col min="7" max="7" width="9.7109375" style="5" customWidth="1"/>
    <col min="8" max="8" width="14.42578125" style="5" customWidth="1"/>
    <col min="9" max="9" width="5.85546875" style="5" customWidth="1"/>
    <col min="10" max="10" width="25.7109375" style="5" customWidth="1"/>
    <col min="11" max="11" width="5.140625" style="5" customWidth="1"/>
    <col min="12" max="12" width="5.28515625" style="6" customWidth="1"/>
    <col min="13" max="13" width="4.85546875" style="5" customWidth="1"/>
    <col min="14" max="14" width="5.28515625" style="6" customWidth="1"/>
    <col min="15" max="15" width="4.85546875" style="5" customWidth="1"/>
    <col min="16" max="16" width="4.7109375" style="6" customWidth="1"/>
    <col min="17" max="17" width="3.5703125" style="5" customWidth="1"/>
    <col min="18" max="20" width="5.140625" style="5" customWidth="1"/>
    <col min="21" max="21" width="6" style="5" customWidth="1"/>
    <col min="22" max="16384" width="10.28515625" style="5"/>
  </cols>
  <sheetData>
    <row r="1" spans="1:21" ht="45" x14ac:dyDescent="0.2">
      <c r="A1" s="1" t="s">
        <v>2</v>
      </c>
      <c r="B1" s="2" t="s">
        <v>3</v>
      </c>
      <c r="C1" s="2" t="s">
        <v>4</v>
      </c>
      <c r="D1" s="2" t="s">
        <v>5</v>
      </c>
      <c r="E1" s="2" t="s">
        <v>6</v>
      </c>
      <c r="F1" s="2" t="s">
        <v>7</v>
      </c>
      <c r="G1" s="2" t="s">
        <v>8</v>
      </c>
      <c r="H1" s="2" t="s">
        <v>9</v>
      </c>
      <c r="I1" s="1" t="s">
        <v>10</v>
      </c>
      <c r="J1" s="2" t="s">
        <v>11</v>
      </c>
      <c r="K1" s="1" t="s">
        <v>12</v>
      </c>
      <c r="L1" s="2" t="s">
        <v>13</v>
      </c>
      <c r="M1" s="16" t="s">
        <v>14</v>
      </c>
      <c r="N1" s="3" t="s">
        <v>15</v>
      </c>
      <c r="O1" s="4" t="s">
        <v>16</v>
      </c>
      <c r="P1" s="3" t="s">
        <v>17</v>
      </c>
      <c r="Q1" s="4" t="s">
        <v>18</v>
      </c>
      <c r="R1" s="3" t="s">
        <v>19</v>
      </c>
      <c r="S1" s="3" t="s">
        <v>20</v>
      </c>
      <c r="T1" s="3" t="s">
        <v>21</v>
      </c>
      <c r="U1" s="3" t="s">
        <v>22</v>
      </c>
    </row>
    <row r="2" spans="1:21" x14ac:dyDescent="0.2">
      <c r="A2" s="21" t="s">
        <v>27</v>
      </c>
      <c r="B2" s="21" t="s">
        <v>28</v>
      </c>
      <c r="C2" s="21" t="s">
        <v>29</v>
      </c>
      <c r="D2" s="21" t="s">
        <v>174</v>
      </c>
      <c r="E2" s="21" t="s">
        <v>175</v>
      </c>
      <c r="F2" s="21" t="s">
        <v>176</v>
      </c>
      <c r="G2" s="21" t="s">
        <v>23</v>
      </c>
      <c r="H2" s="21" t="s">
        <v>24</v>
      </c>
      <c r="I2" s="21" t="s">
        <v>27</v>
      </c>
      <c r="J2" s="21" t="s">
        <v>28</v>
      </c>
      <c r="K2" s="22">
        <v>0.5</v>
      </c>
      <c r="L2" s="21" t="s">
        <v>30</v>
      </c>
      <c r="M2" s="22">
        <v>2019</v>
      </c>
      <c r="N2" s="21" t="s">
        <v>25</v>
      </c>
      <c r="O2" s="22" t="s">
        <v>25</v>
      </c>
      <c r="P2" s="21" t="s">
        <v>25</v>
      </c>
      <c r="Q2" s="21" t="s">
        <v>25</v>
      </c>
      <c r="R2" s="21">
        <v>100</v>
      </c>
      <c r="S2" s="40">
        <v>0.5</v>
      </c>
      <c r="T2" s="40">
        <v>0</v>
      </c>
      <c r="U2" s="40">
        <v>0</v>
      </c>
    </row>
    <row r="3" spans="1:21" x14ac:dyDescent="0.2">
      <c r="A3" s="21" t="s">
        <v>27</v>
      </c>
      <c r="B3" s="21" t="s">
        <v>28</v>
      </c>
      <c r="C3" s="21" t="s">
        <v>29</v>
      </c>
      <c r="D3" s="21" t="s">
        <v>171</v>
      </c>
      <c r="E3" s="21" t="s">
        <v>172</v>
      </c>
      <c r="F3" s="21" t="s">
        <v>173</v>
      </c>
      <c r="G3" s="21" t="s">
        <v>23</v>
      </c>
      <c r="H3" s="21" t="s">
        <v>24</v>
      </c>
      <c r="I3" s="21" t="s">
        <v>27</v>
      </c>
      <c r="J3" s="21" t="s">
        <v>28</v>
      </c>
      <c r="K3" s="22">
        <v>0.5</v>
      </c>
      <c r="L3" s="21" t="s">
        <v>30</v>
      </c>
      <c r="M3" s="22">
        <v>2019</v>
      </c>
      <c r="N3" s="21" t="s">
        <v>25</v>
      </c>
      <c r="O3" s="22" t="s">
        <v>25</v>
      </c>
      <c r="P3" s="21" t="s">
        <v>25</v>
      </c>
      <c r="Q3" s="21" t="s">
        <v>25</v>
      </c>
      <c r="R3" s="21">
        <v>100</v>
      </c>
      <c r="S3" s="40">
        <v>0.5</v>
      </c>
      <c r="T3" s="40">
        <v>0</v>
      </c>
      <c r="U3" s="40">
        <v>0</v>
      </c>
    </row>
    <row r="4" spans="1:21" x14ac:dyDescent="0.2">
      <c r="A4" s="21" t="s">
        <v>27</v>
      </c>
      <c r="B4" s="21" t="s">
        <v>28</v>
      </c>
      <c r="C4" s="21" t="s">
        <v>29</v>
      </c>
      <c r="D4" s="21" t="s">
        <v>329</v>
      </c>
      <c r="E4" s="21" t="s">
        <v>330</v>
      </c>
      <c r="F4" s="21" t="s">
        <v>331</v>
      </c>
      <c r="G4" s="21" t="s">
        <v>23</v>
      </c>
      <c r="H4" s="21" t="s">
        <v>24</v>
      </c>
      <c r="I4" s="21" t="s">
        <v>27</v>
      </c>
      <c r="J4" s="21" t="s">
        <v>28</v>
      </c>
      <c r="K4" s="22">
        <v>0.5</v>
      </c>
      <c r="L4" s="21" t="s">
        <v>30</v>
      </c>
      <c r="M4" s="22">
        <v>2020</v>
      </c>
      <c r="N4" s="21" t="s">
        <v>25</v>
      </c>
      <c r="O4" s="22" t="s">
        <v>25</v>
      </c>
      <c r="P4" s="21" t="s">
        <v>25</v>
      </c>
      <c r="Q4" s="21" t="s">
        <v>25</v>
      </c>
      <c r="R4" s="21">
        <v>100</v>
      </c>
      <c r="S4" s="40">
        <v>0.5</v>
      </c>
      <c r="T4" s="40">
        <v>0</v>
      </c>
      <c r="U4" s="40">
        <v>0</v>
      </c>
    </row>
    <row r="5" spans="1:21" x14ac:dyDescent="0.2">
      <c r="A5" s="21" t="s">
        <v>27</v>
      </c>
      <c r="B5" s="21" t="s">
        <v>28</v>
      </c>
      <c r="C5" s="21" t="s">
        <v>29</v>
      </c>
      <c r="D5" s="21" t="s">
        <v>264</v>
      </c>
      <c r="E5" s="21" t="s">
        <v>265</v>
      </c>
      <c r="F5" s="21" t="s">
        <v>266</v>
      </c>
      <c r="G5" s="21" t="s">
        <v>23</v>
      </c>
      <c r="H5" s="21" t="s">
        <v>24</v>
      </c>
      <c r="I5" s="21" t="s">
        <v>27</v>
      </c>
      <c r="J5" s="21" t="s">
        <v>28</v>
      </c>
      <c r="K5" s="22">
        <v>0.5</v>
      </c>
      <c r="L5" s="21" t="s">
        <v>30</v>
      </c>
      <c r="M5" s="22">
        <v>2020</v>
      </c>
      <c r="N5" s="21" t="s">
        <v>25</v>
      </c>
      <c r="O5" s="22" t="s">
        <v>25</v>
      </c>
      <c r="P5" s="21" t="s">
        <v>25</v>
      </c>
      <c r="Q5" s="21" t="s">
        <v>25</v>
      </c>
      <c r="R5" s="21">
        <v>100</v>
      </c>
      <c r="S5" s="40">
        <v>0.5</v>
      </c>
      <c r="T5" s="40">
        <v>0</v>
      </c>
      <c r="U5" s="40">
        <v>0</v>
      </c>
    </row>
    <row r="6" spans="1:21" x14ac:dyDescent="0.2">
      <c r="A6" s="21" t="s">
        <v>27</v>
      </c>
      <c r="B6" s="21" t="s">
        <v>28</v>
      </c>
      <c r="C6" s="21" t="s">
        <v>29</v>
      </c>
      <c r="D6" s="21" t="s">
        <v>288</v>
      </c>
      <c r="E6" s="21" t="s">
        <v>289</v>
      </c>
      <c r="F6" s="21" t="s">
        <v>290</v>
      </c>
      <c r="G6" s="21" t="s">
        <v>23</v>
      </c>
      <c r="H6" s="21" t="s">
        <v>24</v>
      </c>
      <c r="I6" s="21" t="s">
        <v>27</v>
      </c>
      <c r="J6" s="21" t="s">
        <v>28</v>
      </c>
      <c r="K6" s="22">
        <v>0.5</v>
      </c>
      <c r="L6" s="21" t="s">
        <v>30</v>
      </c>
      <c r="M6" s="22">
        <v>2020</v>
      </c>
      <c r="N6" s="21" t="s">
        <v>25</v>
      </c>
      <c r="O6" s="22" t="s">
        <v>25</v>
      </c>
      <c r="P6" s="21" t="s">
        <v>25</v>
      </c>
      <c r="Q6" s="21" t="s">
        <v>25</v>
      </c>
      <c r="R6" s="21">
        <v>100</v>
      </c>
      <c r="S6" s="40">
        <v>0.5</v>
      </c>
      <c r="T6" s="40">
        <v>0</v>
      </c>
      <c r="U6" s="40">
        <v>0</v>
      </c>
    </row>
    <row r="7" spans="1:21" x14ac:dyDescent="0.2">
      <c r="A7" s="21" t="s">
        <v>27</v>
      </c>
      <c r="B7" s="21" t="s">
        <v>28</v>
      </c>
      <c r="C7" s="21" t="s">
        <v>29</v>
      </c>
      <c r="D7" s="21" t="s">
        <v>340</v>
      </c>
      <c r="E7" s="21" t="s">
        <v>341</v>
      </c>
      <c r="F7" s="21" t="s">
        <v>342</v>
      </c>
      <c r="G7" s="21" t="s">
        <v>23</v>
      </c>
      <c r="H7" s="21" t="s">
        <v>24</v>
      </c>
      <c r="I7" s="21" t="s">
        <v>27</v>
      </c>
      <c r="J7" s="21" t="s">
        <v>28</v>
      </c>
      <c r="K7" s="22">
        <v>0.5</v>
      </c>
      <c r="L7" s="21" t="s">
        <v>30</v>
      </c>
      <c r="M7" s="22">
        <v>2021</v>
      </c>
      <c r="N7" s="21" t="s">
        <v>25</v>
      </c>
      <c r="O7" s="22" t="s">
        <v>25</v>
      </c>
      <c r="P7" s="21" t="s">
        <v>25</v>
      </c>
      <c r="Q7" s="21" t="s">
        <v>25</v>
      </c>
      <c r="R7" s="21">
        <v>100</v>
      </c>
      <c r="S7" s="40">
        <v>0.5</v>
      </c>
      <c r="T7" s="40">
        <v>0</v>
      </c>
      <c r="U7" s="40">
        <v>0</v>
      </c>
    </row>
    <row r="8" spans="1:21" x14ac:dyDescent="0.2">
      <c r="A8" s="21" t="s">
        <v>27</v>
      </c>
      <c r="B8" s="21" t="s">
        <v>28</v>
      </c>
      <c r="C8" s="21" t="s">
        <v>29</v>
      </c>
      <c r="D8" s="21" t="s">
        <v>343</v>
      </c>
      <c r="E8" s="21" t="s">
        <v>344</v>
      </c>
      <c r="F8" s="21" t="s">
        <v>345</v>
      </c>
      <c r="G8" s="21" t="s">
        <v>23</v>
      </c>
      <c r="H8" s="21" t="s">
        <v>24</v>
      </c>
      <c r="I8" s="21" t="s">
        <v>27</v>
      </c>
      <c r="J8" s="21" t="s">
        <v>28</v>
      </c>
      <c r="K8" s="22">
        <v>0.5</v>
      </c>
      <c r="L8" s="21" t="s">
        <v>30</v>
      </c>
      <c r="M8" s="22">
        <v>2021</v>
      </c>
      <c r="N8" s="21" t="s">
        <v>25</v>
      </c>
      <c r="O8" s="22" t="s">
        <v>25</v>
      </c>
      <c r="P8" s="21" t="s">
        <v>25</v>
      </c>
      <c r="Q8" s="21" t="s">
        <v>25</v>
      </c>
      <c r="R8" s="21">
        <v>100</v>
      </c>
      <c r="S8" s="40">
        <v>0.5</v>
      </c>
      <c r="T8" s="40">
        <v>0</v>
      </c>
      <c r="U8" s="40">
        <v>0</v>
      </c>
    </row>
    <row r="9" spans="1:21" x14ac:dyDescent="0.2">
      <c r="A9" s="21" t="s">
        <v>27</v>
      </c>
      <c r="B9" s="21" t="s">
        <v>28</v>
      </c>
      <c r="C9" s="21" t="s">
        <v>29</v>
      </c>
      <c r="D9" s="21" t="s">
        <v>346</v>
      </c>
      <c r="E9" s="21" t="s">
        <v>347</v>
      </c>
      <c r="F9" s="21" t="s">
        <v>348</v>
      </c>
      <c r="G9" s="21" t="s">
        <v>23</v>
      </c>
      <c r="H9" s="21" t="s">
        <v>24</v>
      </c>
      <c r="I9" s="21" t="s">
        <v>27</v>
      </c>
      <c r="J9" s="21" t="s">
        <v>28</v>
      </c>
      <c r="K9" s="22">
        <v>0.33333333333333331</v>
      </c>
      <c r="L9" s="21" t="s">
        <v>30</v>
      </c>
      <c r="M9" s="22">
        <v>2021</v>
      </c>
      <c r="N9" s="21" t="s">
        <v>25</v>
      </c>
      <c r="O9" s="22" t="s">
        <v>25</v>
      </c>
      <c r="P9" s="21" t="s">
        <v>25</v>
      </c>
      <c r="Q9" s="21" t="s">
        <v>25</v>
      </c>
      <c r="R9" s="21">
        <v>100</v>
      </c>
      <c r="S9" s="40">
        <v>0.33333333333333326</v>
      </c>
      <c r="T9" s="40">
        <v>0</v>
      </c>
      <c r="U9" s="40">
        <v>0</v>
      </c>
    </row>
    <row r="10" spans="1:21" x14ac:dyDescent="0.2">
      <c r="A10" s="21" t="s">
        <v>27</v>
      </c>
      <c r="B10" s="21" t="s">
        <v>28</v>
      </c>
      <c r="C10" s="21" t="s">
        <v>29</v>
      </c>
      <c r="D10" s="21" t="s">
        <v>349</v>
      </c>
      <c r="E10" s="21" t="s">
        <v>350</v>
      </c>
      <c r="F10" s="21" t="s">
        <v>351</v>
      </c>
      <c r="G10" s="21" t="s">
        <v>23</v>
      </c>
      <c r="H10" s="21" t="s">
        <v>24</v>
      </c>
      <c r="I10" s="21" t="s">
        <v>27</v>
      </c>
      <c r="J10" s="21" t="s">
        <v>28</v>
      </c>
      <c r="K10" s="22">
        <v>0.33333333333333331</v>
      </c>
      <c r="L10" s="21" t="s">
        <v>30</v>
      </c>
      <c r="M10" s="22">
        <v>2021</v>
      </c>
      <c r="N10" s="21" t="s">
        <v>25</v>
      </c>
      <c r="O10" s="22" t="s">
        <v>25</v>
      </c>
      <c r="P10" s="21" t="s">
        <v>25</v>
      </c>
      <c r="Q10" s="21" t="s">
        <v>25</v>
      </c>
      <c r="R10" s="21">
        <v>100</v>
      </c>
      <c r="S10" s="40">
        <v>0.33333333333333326</v>
      </c>
      <c r="T10" s="40">
        <v>0</v>
      </c>
      <c r="U10" s="40">
        <v>0</v>
      </c>
    </row>
    <row r="11" spans="1:21" x14ac:dyDescent="0.2">
      <c r="A11" s="21" t="s">
        <v>27</v>
      </c>
      <c r="B11" s="21" t="s">
        <v>452</v>
      </c>
      <c r="C11" s="21" t="s">
        <v>29</v>
      </c>
      <c r="D11" s="21" t="s">
        <v>453</v>
      </c>
      <c r="E11" s="21" t="s">
        <v>454</v>
      </c>
      <c r="F11" s="21" t="s">
        <v>455</v>
      </c>
      <c r="G11" s="21" t="s">
        <v>23</v>
      </c>
      <c r="H11" s="21" t="s">
        <v>24</v>
      </c>
      <c r="I11" s="21" t="s">
        <v>27</v>
      </c>
      <c r="J11" s="21" t="s">
        <v>452</v>
      </c>
      <c r="K11" s="22">
        <v>0.5</v>
      </c>
      <c r="L11" s="21" t="s">
        <v>30</v>
      </c>
      <c r="M11" s="22">
        <v>2021</v>
      </c>
      <c r="N11" s="21" t="s">
        <v>25</v>
      </c>
      <c r="O11" s="22" t="s">
        <v>25</v>
      </c>
      <c r="P11" s="21" t="s">
        <v>25</v>
      </c>
      <c r="Q11" s="21" t="s">
        <v>25</v>
      </c>
      <c r="R11" s="21">
        <v>100</v>
      </c>
      <c r="S11" s="40">
        <v>0.5</v>
      </c>
      <c r="T11" s="40">
        <v>0</v>
      </c>
      <c r="U11" s="40">
        <v>0</v>
      </c>
    </row>
    <row r="12" spans="1:21" x14ac:dyDescent="0.2">
      <c r="A12" s="21" t="s">
        <v>27</v>
      </c>
      <c r="B12" s="21" t="s">
        <v>452</v>
      </c>
      <c r="C12" s="21" t="s">
        <v>29</v>
      </c>
      <c r="D12" s="21" t="s">
        <v>675</v>
      </c>
      <c r="E12" s="21" t="s">
        <v>456</v>
      </c>
      <c r="F12" s="21" t="s">
        <v>457</v>
      </c>
      <c r="G12" s="21" t="s">
        <v>458</v>
      </c>
      <c r="H12" s="21" t="s">
        <v>24</v>
      </c>
      <c r="I12" s="21" t="s">
        <v>27</v>
      </c>
      <c r="J12" s="21" t="s">
        <v>452</v>
      </c>
      <c r="K12" s="22">
        <v>0.5</v>
      </c>
      <c r="L12" s="21" t="s">
        <v>30</v>
      </c>
      <c r="M12" s="22">
        <v>2022</v>
      </c>
      <c r="N12" s="21" t="s">
        <v>25</v>
      </c>
      <c r="O12" s="22" t="s">
        <v>25</v>
      </c>
      <c r="P12" s="21" t="s">
        <v>25</v>
      </c>
      <c r="Q12" s="21" t="s">
        <v>25</v>
      </c>
      <c r="R12" s="21">
        <v>100</v>
      </c>
      <c r="S12" s="40">
        <v>0.5</v>
      </c>
      <c r="T12" s="40">
        <v>0</v>
      </c>
      <c r="U12" s="40">
        <v>0</v>
      </c>
    </row>
    <row r="13" spans="1:21" x14ac:dyDescent="0.2">
      <c r="A13" s="21" t="s">
        <v>27</v>
      </c>
      <c r="B13" s="21" t="s">
        <v>452</v>
      </c>
      <c r="C13" s="21" t="s">
        <v>29</v>
      </c>
      <c r="D13" s="21" t="s">
        <v>676</v>
      </c>
      <c r="E13" s="21" t="s">
        <v>459</v>
      </c>
      <c r="F13" s="21" t="s">
        <v>460</v>
      </c>
      <c r="G13" s="21" t="s">
        <v>23</v>
      </c>
      <c r="H13" s="21" t="s">
        <v>24</v>
      </c>
      <c r="I13" s="21" t="s">
        <v>27</v>
      </c>
      <c r="J13" s="21" t="s">
        <v>452</v>
      </c>
      <c r="K13" s="22">
        <v>0.5</v>
      </c>
      <c r="L13" s="21" t="s">
        <v>30</v>
      </c>
      <c r="M13" s="22">
        <v>2022</v>
      </c>
      <c r="N13" s="21" t="s">
        <v>25</v>
      </c>
      <c r="O13" s="22" t="s">
        <v>25</v>
      </c>
      <c r="P13" s="21" t="s">
        <v>25</v>
      </c>
      <c r="Q13" s="21" t="s">
        <v>25</v>
      </c>
      <c r="R13" s="21">
        <v>100</v>
      </c>
      <c r="S13" s="40">
        <v>0.5</v>
      </c>
      <c r="T13" s="40">
        <v>0</v>
      </c>
      <c r="U13" s="40">
        <v>0</v>
      </c>
    </row>
    <row r="14" spans="1:21" x14ac:dyDescent="0.2">
      <c r="A14" s="21" t="s">
        <v>27</v>
      </c>
      <c r="B14" s="21" t="s">
        <v>452</v>
      </c>
      <c r="C14" s="21" t="s">
        <v>29</v>
      </c>
      <c r="D14" s="21" t="s">
        <v>677</v>
      </c>
      <c r="E14" s="21" t="s">
        <v>461</v>
      </c>
      <c r="F14" s="21" t="s">
        <v>462</v>
      </c>
      <c r="G14" s="21" t="s">
        <v>23</v>
      </c>
      <c r="H14" s="21" t="s">
        <v>24</v>
      </c>
      <c r="I14" s="21" t="s">
        <v>27</v>
      </c>
      <c r="J14" s="21" t="s">
        <v>452</v>
      </c>
      <c r="K14" s="22">
        <v>0.5</v>
      </c>
      <c r="L14" s="21" t="s">
        <v>30</v>
      </c>
      <c r="M14" s="22">
        <v>2022</v>
      </c>
      <c r="N14" s="21" t="s">
        <v>25</v>
      </c>
      <c r="O14" s="22" t="s">
        <v>25</v>
      </c>
      <c r="P14" s="21" t="s">
        <v>25</v>
      </c>
      <c r="Q14" s="21" t="s">
        <v>25</v>
      </c>
      <c r="R14" s="21">
        <v>100</v>
      </c>
      <c r="S14" s="40">
        <v>0.5</v>
      </c>
      <c r="T14" s="40">
        <v>0</v>
      </c>
      <c r="U14" s="40">
        <v>0</v>
      </c>
    </row>
    <row r="15" spans="1:21" x14ac:dyDescent="0.2">
      <c r="A15" s="21" t="s">
        <v>618</v>
      </c>
      <c r="B15" s="21" t="s">
        <v>619</v>
      </c>
      <c r="C15" s="21" t="s">
        <v>620</v>
      </c>
      <c r="D15" s="21" t="s">
        <v>621</v>
      </c>
      <c r="E15" s="21" t="s">
        <v>622</v>
      </c>
      <c r="F15" s="21" t="s">
        <v>623</v>
      </c>
      <c r="G15" s="21" t="s">
        <v>674</v>
      </c>
      <c r="H15" s="21" t="s">
        <v>596</v>
      </c>
      <c r="I15" s="21" t="s">
        <v>618</v>
      </c>
      <c r="J15" s="21" t="s">
        <v>619</v>
      </c>
      <c r="K15" s="22">
        <v>0.33333333333333331</v>
      </c>
      <c r="L15" s="21" t="s">
        <v>30</v>
      </c>
      <c r="M15" s="22">
        <v>2023</v>
      </c>
      <c r="N15" s="21" t="s">
        <v>25</v>
      </c>
      <c r="O15" s="22" t="s">
        <v>25</v>
      </c>
      <c r="P15" s="21" t="s">
        <v>25</v>
      </c>
      <c r="Q15" s="21" t="s">
        <v>25</v>
      </c>
      <c r="R15" s="21">
        <v>100</v>
      </c>
      <c r="S15" s="40">
        <v>0.33333333333333326</v>
      </c>
      <c r="T15" s="40">
        <v>0</v>
      </c>
      <c r="U15" s="40">
        <v>0</v>
      </c>
    </row>
    <row r="16" spans="1:21" x14ac:dyDescent="0.2">
      <c r="A16" s="21" t="s">
        <v>618</v>
      </c>
      <c r="B16" s="21" t="s">
        <v>619</v>
      </c>
      <c r="C16" s="21" t="s">
        <v>620</v>
      </c>
      <c r="D16" s="21" t="s">
        <v>671</v>
      </c>
      <c r="E16" s="21" t="s">
        <v>672</v>
      </c>
      <c r="F16" s="21" t="s">
        <v>673</v>
      </c>
      <c r="G16" s="21" t="s">
        <v>674</v>
      </c>
      <c r="H16" s="21" t="s">
        <v>596</v>
      </c>
      <c r="I16" s="21" t="s">
        <v>618</v>
      </c>
      <c r="J16" s="21" t="s">
        <v>619</v>
      </c>
      <c r="K16" s="22">
        <v>0.33333333333333331</v>
      </c>
      <c r="L16" s="21" t="s">
        <v>30</v>
      </c>
      <c r="M16" s="22">
        <v>2023</v>
      </c>
      <c r="N16" s="21" t="s">
        <v>25</v>
      </c>
      <c r="O16" s="22" t="s">
        <v>25</v>
      </c>
      <c r="P16" s="21" t="s">
        <v>25</v>
      </c>
      <c r="Q16" s="21" t="s">
        <v>25</v>
      </c>
      <c r="R16" s="21">
        <v>100</v>
      </c>
      <c r="S16" s="40">
        <v>0.33333333333333326</v>
      </c>
      <c r="T16" s="40">
        <v>0</v>
      </c>
      <c r="U16" s="40">
        <v>0</v>
      </c>
    </row>
    <row r="17" spans="1:21" x14ac:dyDescent="0.2">
      <c r="A17" s="21" t="s">
        <v>618</v>
      </c>
      <c r="B17" s="21" t="s">
        <v>619</v>
      </c>
      <c r="C17" s="21" t="s">
        <v>620</v>
      </c>
      <c r="D17" s="21" t="s">
        <v>795</v>
      </c>
      <c r="E17" s="21" t="s">
        <v>796</v>
      </c>
      <c r="F17" s="21" t="s">
        <v>797</v>
      </c>
      <c r="G17" s="21" t="s">
        <v>674</v>
      </c>
      <c r="H17" s="21" t="s">
        <v>596</v>
      </c>
      <c r="I17" s="21" t="s">
        <v>618</v>
      </c>
      <c r="J17" s="21" t="s">
        <v>619</v>
      </c>
      <c r="K17" s="22">
        <v>0.33333333333333331</v>
      </c>
      <c r="L17" s="21" t="s">
        <v>30</v>
      </c>
      <c r="M17" s="22">
        <v>2023</v>
      </c>
      <c r="N17" s="21" t="s">
        <v>25</v>
      </c>
      <c r="O17" s="22" t="s">
        <v>25</v>
      </c>
      <c r="P17" s="21" t="s">
        <v>25</v>
      </c>
      <c r="Q17" s="21" t="s">
        <v>25</v>
      </c>
      <c r="R17" s="21">
        <v>100</v>
      </c>
      <c r="S17" s="40">
        <v>0.33333333333333326</v>
      </c>
      <c r="T17" s="40">
        <v>0</v>
      </c>
      <c r="U17" s="40">
        <v>0</v>
      </c>
    </row>
    <row r="18" spans="1:21" x14ac:dyDescent="0.2">
      <c r="A18" s="21" t="s">
        <v>37</v>
      </c>
      <c r="B18" s="21" t="s">
        <v>38</v>
      </c>
      <c r="C18" s="21" t="s">
        <v>39</v>
      </c>
      <c r="D18" s="21" t="s">
        <v>204</v>
      </c>
      <c r="E18" s="21" t="s">
        <v>205</v>
      </c>
      <c r="F18" s="21" t="s">
        <v>206</v>
      </c>
      <c r="G18" s="21" t="s">
        <v>61</v>
      </c>
      <c r="H18" s="21" t="s">
        <v>26</v>
      </c>
      <c r="I18" s="21" t="s">
        <v>50</v>
      </c>
      <c r="J18" s="21" t="s">
        <v>51</v>
      </c>
      <c r="K18" s="22">
        <v>1</v>
      </c>
      <c r="L18" s="21" t="s">
        <v>52</v>
      </c>
      <c r="M18" s="22">
        <v>2019</v>
      </c>
      <c r="N18" s="21" t="s">
        <v>30</v>
      </c>
      <c r="O18" s="22" t="s">
        <v>35</v>
      </c>
      <c r="P18" s="21" t="s">
        <v>25</v>
      </c>
      <c r="Q18" s="21" t="s">
        <v>25</v>
      </c>
      <c r="R18" s="21">
        <v>80</v>
      </c>
      <c r="S18" s="40">
        <v>0.8</v>
      </c>
      <c r="T18" s="40">
        <v>0.2</v>
      </c>
      <c r="U18" s="40">
        <v>0</v>
      </c>
    </row>
    <row r="19" spans="1:21" x14ac:dyDescent="0.2">
      <c r="A19" s="21" t="s">
        <v>27</v>
      </c>
      <c r="B19" s="21" t="s">
        <v>28</v>
      </c>
      <c r="C19" s="21" t="s">
        <v>29</v>
      </c>
      <c r="D19" s="21" t="s">
        <v>174</v>
      </c>
      <c r="E19" s="21" t="s">
        <v>175</v>
      </c>
      <c r="F19" s="21" t="s">
        <v>176</v>
      </c>
      <c r="G19" s="21" t="s">
        <v>88</v>
      </c>
      <c r="H19" s="21" t="s">
        <v>24</v>
      </c>
      <c r="I19" s="21" t="s">
        <v>57</v>
      </c>
      <c r="J19" s="21" t="s">
        <v>58</v>
      </c>
      <c r="K19" s="22">
        <v>0.5</v>
      </c>
      <c r="L19" s="21" t="s">
        <v>87</v>
      </c>
      <c r="M19" s="22">
        <v>2019</v>
      </c>
      <c r="N19" s="21" t="s">
        <v>30</v>
      </c>
      <c r="O19" s="22" t="s">
        <v>34</v>
      </c>
      <c r="P19" s="21" t="s">
        <v>25</v>
      </c>
      <c r="Q19" s="21" t="s">
        <v>25</v>
      </c>
      <c r="R19" s="21">
        <v>50</v>
      </c>
      <c r="S19" s="40">
        <v>0.25</v>
      </c>
      <c r="T19" s="40">
        <v>0.25</v>
      </c>
      <c r="U19" s="40">
        <v>0</v>
      </c>
    </row>
    <row r="20" spans="1:21" x14ac:dyDescent="0.2">
      <c r="A20" s="21" t="s">
        <v>27</v>
      </c>
      <c r="B20" s="21" t="s">
        <v>28</v>
      </c>
      <c r="C20" s="21" t="s">
        <v>29</v>
      </c>
      <c r="D20" s="21" t="s">
        <v>190</v>
      </c>
      <c r="E20" s="21" t="s">
        <v>191</v>
      </c>
      <c r="F20" s="21" t="s">
        <v>192</v>
      </c>
      <c r="G20" s="21" t="s">
        <v>77</v>
      </c>
      <c r="H20" s="21" t="s">
        <v>24</v>
      </c>
      <c r="I20" s="21" t="s">
        <v>42</v>
      </c>
      <c r="J20" s="21" t="s">
        <v>43</v>
      </c>
      <c r="K20" s="22">
        <v>0.5</v>
      </c>
      <c r="L20" s="21" t="s">
        <v>45</v>
      </c>
      <c r="M20" s="22">
        <v>2019</v>
      </c>
      <c r="N20" s="21" t="s">
        <v>30</v>
      </c>
      <c r="O20" s="22" t="s">
        <v>35</v>
      </c>
      <c r="P20" s="21" t="s">
        <v>25</v>
      </c>
      <c r="Q20" s="21" t="s">
        <v>25</v>
      </c>
      <c r="R20" s="21">
        <v>80</v>
      </c>
      <c r="S20" s="40">
        <v>0.4</v>
      </c>
      <c r="T20" s="40">
        <v>0.1</v>
      </c>
      <c r="U20" s="40">
        <v>0</v>
      </c>
    </row>
    <row r="21" spans="1:21" x14ac:dyDescent="0.2">
      <c r="A21" s="21" t="s">
        <v>27</v>
      </c>
      <c r="B21" s="21" t="s">
        <v>28</v>
      </c>
      <c r="C21" s="21" t="s">
        <v>29</v>
      </c>
      <c r="D21" s="21" t="s">
        <v>190</v>
      </c>
      <c r="E21" s="21" t="s">
        <v>191</v>
      </c>
      <c r="F21" s="21" t="s">
        <v>192</v>
      </c>
      <c r="G21" s="21" t="s">
        <v>56</v>
      </c>
      <c r="H21" s="21" t="s">
        <v>24</v>
      </c>
      <c r="I21" s="21" t="s">
        <v>50</v>
      </c>
      <c r="J21" s="21" t="s">
        <v>51</v>
      </c>
      <c r="K21" s="22">
        <v>0.5</v>
      </c>
      <c r="L21" s="21" t="s">
        <v>52</v>
      </c>
      <c r="M21" s="22">
        <v>2019</v>
      </c>
      <c r="N21" s="21" t="s">
        <v>30</v>
      </c>
      <c r="O21" s="22" t="s">
        <v>34</v>
      </c>
      <c r="P21" s="21" t="s">
        <v>25</v>
      </c>
      <c r="Q21" s="21" t="s">
        <v>25</v>
      </c>
      <c r="R21" s="21">
        <v>50</v>
      </c>
      <c r="S21" s="40">
        <v>0.25</v>
      </c>
      <c r="T21" s="40">
        <v>0.25</v>
      </c>
      <c r="U21" s="40">
        <v>0</v>
      </c>
    </row>
    <row r="22" spans="1:21" x14ac:dyDescent="0.2">
      <c r="A22" s="21" t="s">
        <v>27</v>
      </c>
      <c r="B22" s="21" t="s">
        <v>28</v>
      </c>
      <c r="C22" s="21" t="s">
        <v>29</v>
      </c>
      <c r="D22" s="21" t="s">
        <v>193</v>
      </c>
      <c r="E22" s="21" t="s">
        <v>194</v>
      </c>
      <c r="F22" s="21" t="s">
        <v>195</v>
      </c>
      <c r="G22" s="21" t="s">
        <v>196</v>
      </c>
      <c r="H22" s="21" t="s">
        <v>26</v>
      </c>
      <c r="I22" s="21" t="s">
        <v>50</v>
      </c>
      <c r="J22" s="21" t="s">
        <v>51</v>
      </c>
      <c r="K22" s="22">
        <v>1</v>
      </c>
      <c r="L22" s="21" t="s">
        <v>52</v>
      </c>
      <c r="M22" s="22">
        <v>2019</v>
      </c>
      <c r="N22" s="21" t="s">
        <v>30</v>
      </c>
      <c r="O22" s="22" t="s">
        <v>35</v>
      </c>
      <c r="P22" s="21" t="s">
        <v>25</v>
      </c>
      <c r="Q22" s="21" t="s">
        <v>25</v>
      </c>
      <c r="R22" s="21">
        <v>80</v>
      </c>
      <c r="S22" s="40">
        <v>0.8</v>
      </c>
      <c r="T22" s="40">
        <v>0.2</v>
      </c>
      <c r="U22" s="40">
        <v>0</v>
      </c>
    </row>
    <row r="23" spans="1:21" x14ac:dyDescent="0.2">
      <c r="A23" s="21" t="s">
        <v>27</v>
      </c>
      <c r="B23" s="21" t="s">
        <v>28</v>
      </c>
      <c r="C23" s="21" t="s">
        <v>29</v>
      </c>
      <c r="D23" s="21" t="s">
        <v>202</v>
      </c>
      <c r="E23" s="21" t="s">
        <v>236</v>
      </c>
      <c r="F23" s="21" t="s">
        <v>203</v>
      </c>
      <c r="G23" s="21" t="s">
        <v>63</v>
      </c>
      <c r="H23" s="21" t="s">
        <v>24</v>
      </c>
      <c r="I23" s="21" t="s">
        <v>50</v>
      </c>
      <c r="J23" s="21" t="s">
        <v>51</v>
      </c>
      <c r="K23" s="22">
        <v>0.5</v>
      </c>
      <c r="L23" s="21" t="s">
        <v>52</v>
      </c>
      <c r="M23" s="22">
        <v>2019</v>
      </c>
      <c r="N23" s="21" t="s">
        <v>30</v>
      </c>
      <c r="O23" s="22" t="s">
        <v>35</v>
      </c>
      <c r="P23" s="21" t="s">
        <v>25</v>
      </c>
      <c r="Q23" s="21" t="s">
        <v>25</v>
      </c>
      <c r="R23" s="21">
        <v>80</v>
      </c>
      <c r="S23" s="40">
        <v>0.4</v>
      </c>
      <c r="T23" s="40">
        <v>0.1</v>
      </c>
      <c r="U23" s="40">
        <v>0</v>
      </c>
    </row>
    <row r="24" spans="1:21" x14ac:dyDescent="0.2">
      <c r="A24" s="21" t="s">
        <v>27</v>
      </c>
      <c r="B24" s="21" t="s">
        <v>28</v>
      </c>
      <c r="C24" s="21" t="s">
        <v>29</v>
      </c>
      <c r="D24" s="21" t="s">
        <v>171</v>
      </c>
      <c r="E24" s="21" t="s">
        <v>172</v>
      </c>
      <c r="F24" s="21" t="s">
        <v>173</v>
      </c>
      <c r="G24" s="21" t="s">
        <v>88</v>
      </c>
      <c r="H24" s="21" t="s">
        <v>24</v>
      </c>
      <c r="I24" s="21" t="s">
        <v>57</v>
      </c>
      <c r="J24" s="21" t="s">
        <v>58</v>
      </c>
      <c r="K24" s="22">
        <v>0.5</v>
      </c>
      <c r="L24" s="21" t="s">
        <v>87</v>
      </c>
      <c r="M24" s="22">
        <v>2019</v>
      </c>
      <c r="N24" s="21" t="s">
        <v>30</v>
      </c>
      <c r="O24" s="22" t="s">
        <v>34</v>
      </c>
      <c r="P24" s="21" t="s">
        <v>25</v>
      </c>
      <c r="Q24" s="21" t="s">
        <v>25</v>
      </c>
      <c r="R24" s="21">
        <v>50</v>
      </c>
      <c r="S24" s="40">
        <v>0.25</v>
      </c>
      <c r="T24" s="40">
        <v>0.25</v>
      </c>
      <c r="U24" s="40">
        <v>0</v>
      </c>
    </row>
    <row r="25" spans="1:21" x14ac:dyDescent="0.2">
      <c r="A25" s="21" t="s">
        <v>27</v>
      </c>
      <c r="B25" s="21" t="s">
        <v>28</v>
      </c>
      <c r="C25" s="21" t="s">
        <v>29</v>
      </c>
      <c r="D25" s="21" t="s">
        <v>180</v>
      </c>
      <c r="E25" s="21" t="s">
        <v>181</v>
      </c>
      <c r="F25" s="21" t="s">
        <v>182</v>
      </c>
      <c r="G25" s="21" t="s">
        <v>72</v>
      </c>
      <c r="H25" s="21" t="s">
        <v>24</v>
      </c>
      <c r="I25" s="21" t="s">
        <v>42</v>
      </c>
      <c r="J25" s="21" t="s">
        <v>43</v>
      </c>
      <c r="K25" s="22">
        <v>0.5</v>
      </c>
      <c r="L25" s="21" t="s">
        <v>45</v>
      </c>
      <c r="M25" s="22">
        <v>2019</v>
      </c>
      <c r="N25" s="21" t="s">
        <v>30</v>
      </c>
      <c r="O25" s="22" t="s">
        <v>35</v>
      </c>
      <c r="P25" s="21" t="s">
        <v>25</v>
      </c>
      <c r="Q25" s="21" t="s">
        <v>25</v>
      </c>
      <c r="R25" s="21">
        <v>80</v>
      </c>
      <c r="S25" s="40">
        <v>0.4</v>
      </c>
      <c r="T25" s="40">
        <v>0.1</v>
      </c>
      <c r="U25" s="40">
        <v>0</v>
      </c>
    </row>
    <row r="26" spans="1:21" x14ac:dyDescent="0.2">
      <c r="A26" s="21" t="s">
        <v>27</v>
      </c>
      <c r="B26" s="21" t="s">
        <v>28</v>
      </c>
      <c r="C26" s="21" t="s">
        <v>29</v>
      </c>
      <c r="D26" s="21" t="s">
        <v>180</v>
      </c>
      <c r="E26" s="21" t="s">
        <v>181</v>
      </c>
      <c r="F26" s="21" t="s">
        <v>182</v>
      </c>
      <c r="G26" s="21" t="s">
        <v>84</v>
      </c>
      <c r="H26" s="21" t="s">
        <v>24</v>
      </c>
      <c r="I26" s="21" t="s">
        <v>42</v>
      </c>
      <c r="J26" s="21" t="s">
        <v>43</v>
      </c>
      <c r="K26" s="22">
        <v>0.5</v>
      </c>
      <c r="L26" s="21" t="s">
        <v>45</v>
      </c>
      <c r="M26" s="22">
        <v>2019</v>
      </c>
      <c r="N26" s="21" t="s">
        <v>30</v>
      </c>
      <c r="O26" s="22" t="s">
        <v>35</v>
      </c>
      <c r="P26" s="21" t="s">
        <v>25</v>
      </c>
      <c r="Q26" s="21" t="s">
        <v>25</v>
      </c>
      <c r="R26" s="21">
        <v>80</v>
      </c>
      <c r="S26" s="40">
        <v>0.4</v>
      </c>
      <c r="T26" s="40">
        <v>0.1</v>
      </c>
      <c r="U26" s="40">
        <v>0</v>
      </c>
    </row>
    <row r="27" spans="1:21" x14ac:dyDescent="0.2">
      <c r="A27" s="21" t="s">
        <v>27</v>
      </c>
      <c r="B27" s="21" t="s">
        <v>28</v>
      </c>
      <c r="C27" s="21" t="s">
        <v>29</v>
      </c>
      <c r="D27" s="21" t="s">
        <v>197</v>
      </c>
      <c r="E27" s="21" t="s">
        <v>198</v>
      </c>
      <c r="F27" s="21" t="s">
        <v>192</v>
      </c>
      <c r="G27" s="21" t="s">
        <v>77</v>
      </c>
      <c r="H27" s="21" t="s">
        <v>24</v>
      </c>
      <c r="I27" s="21" t="s">
        <v>42</v>
      </c>
      <c r="J27" s="21" t="s">
        <v>43</v>
      </c>
      <c r="K27" s="22">
        <v>0.5</v>
      </c>
      <c r="L27" s="21" t="s">
        <v>45</v>
      </c>
      <c r="M27" s="22">
        <v>2019</v>
      </c>
      <c r="N27" s="21" t="s">
        <v>30</v>
      </c>
      <c r="O27" s="22" t="s">
        <v>35</v>
      </c>
      <c r="P27" s="21" t="s">
        <v>25</v>
      </c>
      <c r="Q27" s="21" t="s">
        <v>25</v>
      </c>
      <c r="R27" s="21">
        <v>80</v>
      </c>
      <c r="S27" s="40">
        <v>0.4</v>
      </c>
      <c r="T27" s="40">
        <v>0.1</v>
      </c>
      <c r="U27" s="40">
        <v>0</v>
      </c>
    </row>
    <row r="28" spans="1:21" x14ac:dyDescent="0.2">
      <c r="A28" s="21" t="s">
        <v>27</v>
      </c>
      <c r="B28" s="21" t="s">
        <v>28</v>
      </c>
      <c r="C28" s="21" t="s">
        <v>29</v>
      </c>
      <c r="D28" s="21" t="s">
        <v>197</v>
      </c>
      <c r="E28" s="21" t="s">
        <v>198</v>
      </c>
      <c r="F28" s="21" t="s">
        <v>192</v>
      </c>
      <c r="G28" s="21" t="s">
        <v>56</v>
      </c>
      <c r="H28" s="21" t="s">
        <v>24</v>
      </c>
      <c r="I28" s="21" t="s">
        <v>50</v>
      </c>
      <c r="J28" s="21" t="s">
        <v>51</v>
      </c>
      <c r="K28" s="22">
        <v>0.5</v>
      </c>
      <c r="L28" s="21" t="s">
        <v>52</v>
      </c>
      <c r="M28" s="22">
        <v>2019</v>
      </c>
      <c r="N28" s="21" t="s">
        <v>30</v>
      </c>
      <c r="O28" s="22" t="s">
        <v>34</v>
      </c>
      <c r="P28" s="21" t="s">
        <v>25</v>
      </c>
      <c r="Q28" s="21" t="s">
        <v>25</v>
      </c>
      <c r="R28" s="21">
        <v>50</v>
      </c>
      <c r="S28" s="40">
        <v>0.25</v>
      </c>
      <c r="T28" s="40">
        <v>0.25</v>
      </c>
      <c r="U28" s="40">
        <v>0</v>
      </c>
    </row>
    <row r="29" spans="1:21" x14ac:dyDescent="0.2">
      <c r="A29" s="21" t="s">
        <v>27</v>
      </c>
      <c r="B29" s="21" t="s">
        <v>28</v>
      </c>
      <c r="C29" s="21" t="s">
        <v>29</v>
      </c>
      <c r="D29" s="21" t="s">
        <v>187</v>
      </c>
      <c r="E29" s="21" t="s">
        <v>188</v>
      </c>
      <c r="F29" s="21" t="s">
        <v>189</v>
      </c>
      <c r="G29" s="21" t="s">
        <v>44</v>
      </c>
      <c r="H29" s="21" t="s">
        <v>24</v>
      </c>
      <c r="I29" s="21" t="s">
        <v>42</v>
      </c>
      <c r="J29" s="21" t="s">
        <v>43</v>
      </c>
      <c r="K29" s="22">
        <v>0.5</v>
      </c>
      <c r="L29" s="21" t="s">
        <v>45</v>
      </c>
      <c r="M29" s="22">
        <v>2019</v>
      </c>
      <c r="N29" s="21" t="s">
        <v>30</v>
      </c>
      <c r="O29" s="22" t="s">
        <v>35</v>
      </c>
      <c r="P29" s="21" t="s">
        <v>25</v>
      </c>
      <c r="Q29" s="21" t="s">
        <v>25</v>
      </c>
      <c r="R29" s="21">
        <v>80</v>
      </c>
      <c r="S29" s="40">
        <v>0.4</v>
      </c>
      <c r="T29" s="40">
        <v>0.1</v>
      </c>
      <c r="U29" s="40">
        <v>0</v>
      </c>
    </row>
    <row r="30" spans="1:21" x14ac:dyDescent="0.2">
      <c r="A30" s="21" t="s">
        <v>27</v>
      </c>
      <c r="B30" s="21" t="s">
        <v>28</v>
      </c>
      <c r="C30" s="21" t="s">
        <v>29</v>
      </c>
      <c r="D30" s="21" t="s">
        <v>187</v>
      </c>
      <c r="E30" s="21" t="s">
        <v>188</v>
      </c>
      <c r="F30" s="21" t="s">
        <v>189</v>
      </c>
      <c r="G30" s="21" t="s">
        <v>60</v>
      </c>
      <c r="H30" s="21" t="s">
        <v>24</v>
      </c>
      <c r="I30" s="21" t="s">
        <v>50</v>
      </c>
      <c r="J30" s="21" t="s">
        <v>51</v>
      </c>
      <c r="K30" s="22">
        <v>0.5</v>
      </c>
      <c r="L30" s="21" t="s">
        <v>52</v>
      </c>
      <c r="M30" s="22">
        <v>2019</v>
      </c>
      <c r="N30" s="21" t="s">
        <v>30</v>
      </c>
      <c r="O30" s="22" t="s">
        <v>35</v>
      </c>
      <c r="P30" s="21" t="s">
        <v>25</v>
      </c>
      <c r="Q30" s="21" t="s">
        <v>25</v>
      </c>
      <c r="R30" s="21">
        <v>80</v>
      </c>
      <c r="S30" s="40">
        <v>0.4</v>
      </c>
      <c r="T30" s="40">
        <v>0.1</v>
      </c>
      <c r="U30" s="40">
        <v>0</v>
      </c>
    </row>
    <row r="31" spans="1:21" x14ac:dyDescent="0.2">
      <c r="A31" s="21" t="s">
        <v>27</v>
      </c>
      <c r="B31" s="21" t="s">
        <v>28</v>
      </c>
      <c r="C31" s="21" t="s">
        <v>29</v>
      </c>
      <c r="D31" s="21" t="s">
        <v>183</v>
      </c>
      <c r="E31" s="21" t="s">
        <v>184</v>
      </c>
      <c r="F31" s="21" t="s">
        <v>185</v>
      </c>
      <c r="G31" s="21" t="s">
        <v>55</v>
      </c>
      <c r="H31" s="21" t="s">
        <v>24</v>
      </c>
      <c r="I31" s="21" t="s">
        <v>50</v>
      </c>
      <c r="J31" s="21" t="s">
        <v>51</v>
      </c>
      <c r="K31" s="22">
        <v>0.5</v>
      </c>
      <c r="L31" s="21" t="s">
        <v>52</v>
      </c>
      <c r="M31" s="22">
        <v>2019</v>
      </c>
      <c r="N31" s="21" t="s">
        <v>30</v>
      </c>
      <c r="O31" s="22" t="s">
        <v>34</v>
      </c>
      <c r="P31" s="21" t="s">
        <v>25</v>
      </c>
      <c r="Q31" s="21" t="s">
        <v>25</v>
      </c>
      <c r="R31" s="21">
        <v>50</v>
      </c>
      <c r="S31" s="40">
        <v>0.25</v>
      </c>
      <c r="T31" s="40">
        <v>0.25</v>
      </c>
      <c r="U31" s="40">
        <v>0</v>
      </c>
    </row>
    <row r="32" spans="1:21" x14ac:dyDescent="0.2">
      <c r="A32" s="21" t="s">
        <v>27</v>
      </c>
      <c r="B32" s="21" t="s">
        <v>28</v>
      </c>
      <c r="C32" s="21" t="s">
        <v>29</v>
      </c>
      <c r="D32" s="21" t="s">
        <v>183</v>
      </c>
      <c r="E32" s="21" t="s">
        <v>184</v>
      </c>
      <c r="F32" s="21" t="s">
        <v>185</v>
      </c>
      <c r="G32" s="21" t="s">
        <v>186</v>
      </c>
      <c r="H32" s="21" t="s">
        <v>24</v>
      </c>
      <c r="I32" s="21" t="s">
        <v>50</v>
      </c>
      <c r="J32" s="21" t="s">
        <v>51</v>
      </c>
      <c r="K32" s="22">
        <v>0.5</v>
      </c>
      <c r="L32" s="21" t="s">
        <v>52</v>
      </c>
      <c r="M32" s="22">
        <v>2019</v>
      </c>
      <c r="N32" s="21" t="s">
        <v>30</v>
      </c>
      <c r="O32" s="22" t="s">
        <v>35</v>
      </c>
      <c r="P32" s="21" t="s">
        <v>25</v>
      </c>
      <c r="Q32" s="21" t="s">
        <v>25</v>
      </c>
      <c r="R32" s="21">
        <v>80</v>
      </c>
      <c r="S32" s="40">
        <v>0.4</v>
      </c>
      <c r="T32" s="40">
        <v>0.1</v>
      </c>
      <c r="U32" s="40">
        <v>0</v>
      </c>
    </row>
    <row r="33" spans="1:21" x14ac:dyDescent="0.2">
      <c r="A33" s="21" t="s">
        <v>27</v>
      </c>
      <c r="B33" s="21" t="s">
        <v>28</v>
      </c>
      <c r="C33" s="21" t="s">
        <v>29</v>
      </c>
      <c r="D33" s="21" t="s">
        <v>216</v>
      </c>
      <c r="E33" s="21" t="s">
        <v>217</v>
      </c>
      <c r="F33" s="21" t="s">
        <v>218</v>
      </c>
      <c r="G33" s="21" t="s">
        <v>44</v>
      </c>
      <c r="H33" s="21" t="s">
        <v>26</v>
      </c>
      <c r="I33" s="21" t="s">
        <v>42</v>
      </c>
      <c r="J33" s="21" t="s">
        <v>43</v>
      </c>
      <c r="K33" s="22">
        <v>1</v>
      </c>
      <c r="L33" s="21" t="s">
        <v>45</v>
      </c>
      <c r="M33" s="22">
        <v>2019</v>
      </c>
      <c r="N33" s="21" t="s">
        <v>30</v>
      </c>
      <c r="O33" s="22" t="s">
        <v>35</v>
      </c>
      <c r="P33" s="21" t="s">
        <v>25</v>
      </c>
      <c r="Q33" s="21" t="s">
        <v>25</v>
      </c>
      <c r="R33" s="21">
        <v>80</v>
      </c>
      <c r="S33" s="40">
        <v>0.8</v>
      </c>
      <c r="T33" s="40">
        <v>0.2</v>
      </c>
      <c r="U33" s="40">
        <v>0</v>
      </c>
    </row>
    <row r="34" spans="1:21" x14ac:dyDescent="0.2">
      <c r="A34" s="21" t="s">
        <v>27</v>
      </c>
      <c r="B34" s="21" t="s">
        <v>28</v>
      </c>
      <c r="C34" s="21" t="s">
        <v>29</v>
      </c>
      <c r="D34" s="21" t="s">
        <v>177</v>
      </c>
      <c r="E34" s="21" t="s">
        <v>178</v>
      </c>
      <c r="F34" s="21" t="s">
        <v>179</v>
      </c>
      <c r="G34" s="21" t="s">
        <v>44</v>
      </c>
      <c r="H34" s="21" t="s">
        <v>26</v>
      </c>
      <c r="I34" s="21" t="s">
        <v>42</v>
      </c>
      <c r="J34" s="21" t="s">
        <v>43</v>
      </c>
      <c r="K34" s="22">
        <v>1</v>
      </c>
      <c r="L34" s="21" t="s">
        <v>45</v>
      </c>
      <c r="M34" s="22">
        <v>2019</v>
      </c>
      <c r="N34" s="21" t="s">
        <v>30</v>
      </c>
      <c r="O34" s="22" t="s">
        <v>35</v>
      </c>
      <c r="P34" s="21" t="s">
        <v>25</v>
      </c>
      <c r="Q34" s="21" t="s">
        <v>25</v>
      </c>
      <c r="R34" s="21">
        <v>80</v>
      </c>
      <c r="S34" s="40">
        <v>0.8</v>
      </c>
      <c r="T34" s="40">
        <v>0.2</v>
      </c>
      <c r="U34" s="40">
        <v>0</v>
      </c>
    </row>
    <row r="35" spans="1:21" x14ac:dyDescent="0.2">
      <c r="A35" s="21" t="s">
        <v>27</v>
      </c>
      <c r="B35" s="21" t="s">
        <v>28</v>
      </c>
      <c r="C35" s="21" t="s">
        <v>29</v>
      </c>
      <c r="D35" s="21" t="s">
        <v>199</v>
      </c>
      <c r="E35" s="21" t="s">
        <v>200</v>
      </c>
      <c r="F35" s="21" t="s">
        <v>201</v>
      </c>
      <c r="G35" s="21" t="s">
        <v>81</v>
      </c>
      <c r="H35" s="21" t="s">
        <v>24</v>
      </c>
      <c r="I35" s="21" t="s">
        <v>42</v>
      </c>
      <c r="J35" s="21" t="s">
        <v>43</v>
      </c>
      <c r="K35" s="22">
        <v>0.5</v>
      </c>
      <c r="L35" s="21" t="s">
        <v>45</v>
      </c>
      <c r="M35" s="22">
        <v>2019</v>
      </c>
      <c r="N35" s="21" t="s">
        <v>30</v>
      </c>
      <c r="O35" s="22" t="s">
        <v>35</v>
      </c>
      <c r="P35" s="21" t="s">
        <v>25</v>
      </c>
      <c r="Q35" s="21" t="s">
        <v>25</v>
      </c>
      <c r="R35" s="21">
        <v>80</v>
      </c>
      <c r="S35" s="40">
        <v>0.4</v>
      </c>
      <c r="T35" s="40">
        <v>0.1</v>
      </c>
      <c r="U35" s="40">
        <v>0</v>
      </c>
    </row>
    <row r="36" spans="1:21" x14ac:dyDescent="0.2">
      <c r="A36" s="21" t="s">
        <v>27</v>
      </c>
      <c r="B36" s="21" t="s">
        <v>28</v>
      </c>
      <c r="C36" s="21" t="s">
        <v>29</v>
      </c>
      <c r="D36" s="21" t="s">
        <v>207</v>
      </c>
      <c r="E36" s="21" t="s">
        <v>208</v>
      </c>
      <c r="F36" s="21" t="s">
        <v>182</v>
      </c>
      <c r="G36" s="21" t="s">
        <v>53</v>
      </c>
      <c r="H36" s="21" t="s">
        <v>24</v>
      </c>
      <c r="I36" s="21" t="s">
        <v>50</v>
      </c>
      <c r="J36" s="21" t="s">
        <v>51</v>
      </c>
      <c r="K36" s="22">
        <v>0.5</v>
      </c>
      <c r="L36" s="21" t="s">
        <v>52</v>
      </c>
      <c r="M36" s="22">
        <v>2019</v>
      </c>
      <c r="N36" s="21" t="s">
        <v>30</v>
      </c>
      <c r="O36" s="22" t="s">
        <v>35</v>
      </c>
      <c r="P36" s="21" t="s">
        <v>25</v>
      </c>
      <c r="Q36" s="21" t="s">
        <v>25</v>
      </c>
      <c r="R36" s="21">
        <v>80</v>
      </c>
      <c r="S36" s="40">
        <v>0.4</v>
      </c>
      <c r="T36" s="40">
        <v>0.1</v>
      </c>
      <c r="U36" s="40">
        <v>0</v>
      </c>
    </row>
    <row r="37" spans="1:21" x14ac:dyDescent="0.2">
      <c r="A37" s="21" t="s">
        <v>27</v>
      </c>
      <c r="B37" s="21" t="s">
        <v>28</v>
      </c>
      <c r="C37" s="21" t="s">
        <v>29</v>
      </c>
      <c r="D37" s="21" t="s">
        <v>207</v>
      </c>
      <c r="E37" s="21" t="s">
        <v>208</v>
      </c>
      <c r="F37" s="21" t="s">
        <v>182</v>
      </c>
      <c r="G37" s="21" t="s">
        <v>209</v>
      </c>
      <c r="H37" s="21" t="s">
        <v>24</v>
      </c>
      <c r="I37" s="21" t="s">
        <v>57</v>
      </c>
      <c r="J37" s="21" t="s">
        <v>58</v>
      </c>
      <c r="K37" s="22">
        <v>0.5</v>
      </c>
      <c r="L37" s="21" t="s">
        <v>87</v>
      </c>
      <c r="M37" s="22">
        <v>2019</v>
      </c>
      <c r="N37" s="21" t="s">
        <v>30</v>
      </c>
      <c r="O37" s="22" t="s">
        <v>35</v>
      </c>
      <c r="P37" s="21" t="s">
        <v>25</v>
      </c>
      <c r="Q37" s="21" t="s">
        <v>25</v>
      </c>
      <c r="R37" s="21">
        <v>80</v>
      </c>
      <c r="S37" s="40">
        <v>0.4</v>
      </c>
      <c r="T37" s="40">
        <v>0.1</v>
      </c>
      <c r="U37" s="40">
        <v>0</v>
      </c>
    </row>
    <row r="38" spans="1:21" x14ac:dyDescent="0.2">
      <c r="A38" s="21" t="s">
        <v>27</v>
      </c>
      <c r="B38" s="21" t="s">
        <v>28</v>
      </c>
      <c r="C38" s="21" t="s">
        <v>29</v>
      </c>
      <c r="D38" s="21" t="s">
        <v>210</v>
      </c>
      <c r="E38" s="21" t="s">
        <v>211</v>
      </c>
      <c r="F38" s="21" t="s">
        <v>212</v>
      </c>
      <c r="G38" s="21" t="s">
        <v>88</v>
      </c>
      <c r="H38" s="21" t="s">
        <v>26</v>
      </c>
      <c r="I38" s="21" t="s">
        <v>57</v>
      </c>
      <c r="J38" s="21" t="s">
        <v>58</v>
      </c>
      <c r="K38" s="22">
        <v>1</v>
      </c>
      <c r="L38" s="21" t="s">
        <v>87</v>
      </c>
      <c r="M38" s="22">
        <v>2019</v>
      </c>
      <c r="N38" s="21" t="s">
        <v>30</v>
      </c>
      <c r="O38" s="22" t="s">
        <v>34</v>
      </c>
      <c r="P38" s="21" t="s">
        <v>25</v>
      </c>
      <c r="Q38" s="21" t="s">
        <v>25</v>
      </c>
      <c r="R38" s="21">
        <v>50</v>
      </c>
      <c r="S38" s="40">
        <v>0.5</v>
      </c>
      <c r="T38" s="40">
        <v>0.5</v>
      </c>
      <c r="U38" s="40">
        <v>0</v>
      </c>
    </row>
    <row r="39" spans="1:21" x14ac:dyDescent="0.2">
      <c r="A39" s="21" t="s">
        <v>27</v>
      </c>
      <c r="B39" s="21" t="s">
        <v>28</v>
      </c>
      <c r="C39" s="21" t="s">
        <v>29</v>
      </c>
      <c r="D39" s="21" t="s">
        <v>219</v>
      </c>
      <c r="E39" s="21" t="s">
        <v>220</v>
      </c>
      <c r="F39" s="21" t="s">
        <v>221</v>
      </c>
      <c r="G39" s="21" t="s">
        <v>70</v>
      </c>
      <c r="H39" s="21" t="s">
        <v>26</v>
      </c>
      <c r="I39" s="21" t="s">
        <v>66</v>
      </c>
      <c r="J39" s="21" t="s">
        <v>67</v>
      </c>
      <c r="K39" s="22">
        <v>1</v>
      </c>
      <c r="L39" s="21" t="s">
        <v>68</v>
      </c>
      <c r="M39" s="22">
        <v>2019</v>
      </c>
      <c r="N39" s="21" t="s">
        <v>30</v>
      </c>
      <c r="O39" s="22" t="s">
        <v>34</v>
      </c>
      <c r="P39" s="21" t="s">
        <v>25</v>
      </c>
      <c r="Q39" s="21" t="s">
        <v>25</v>
      </c>
      <c r="R39" s="21">
        <v>50</v>
      </c>
      <c r="S39" s="40">
        <v>0.5</v>
      </c>
      <c r="T39" s="40">
        <v>0.5</v>
      </c>
      <c r="U39" s="40">
        <v>0</v>
      </c>
    </row>
    <row r="40" spans="1:21" x14ac:dyDescent="0.2">
      <c r="A40" s="21" t="s">
        <v>27</v>
      </c>
      <c r="B40" s="21" t="s">
        <v>28</v>
      </c>
      <c r="C40" s="21" t="s">
        <v>29</v>
      </c>
      <c r="D40" s="21" t="s">
        <v>213</v>
      </c>
      <c r="E40" s="21" t="s">
        <v>214</v>
      </c>
      <c r="F40" s="21" t="s">
        <v>215</v>
      </c>
      <c r="G40" s="21" t="s">
        <v>81</v>
      </c>
      <c r="H40" s="21" t="s">
        <v>24</v>
      </c>
      <c r="I40" s="21" t="s">
        <v>42</v>
      </c>
      <c r="J40" s="21" t="s">
        <v>43</v>
      </c>
      <c r="K40" s="22">
        <v>0.5</v>
      </c>
      <c r="L40" s="21" t="s">
        <v>45</v>
      </c>
      <c r="M40" s="22">
        <v>2019</v>
      </c>
      <c r="N40" s="21" t="s">
        <v>30</v>
      </c>
      <c r="O40" s="22" t="s">
        <v>35</v>
      </c>
      <c r="P40" s="21" t="s">
        <v>25</v>
      </c>
      <c r="Q40" s="21" t="s">
        <v>25</v>
      </c>
      <c r="R40" s="21">
        <v>80</v>
      </c>
      <c r="S40" s="40">
        <v>0.4</v>
      </c>
      <c r="T40" s="40">
        <v>0.1</v>
      </c>
      <c r="U40" s="40">
        <v>0</v>
      </c>
    </row>
    <row r="41" spans="1:21" x14ac:dyDescent="0.2">
      <c r="A41" s="21" t="s">
        <v>27</v>
      </c>
      <c r="B41" s="21" t="s">
        <v>28</v>
      </c>
      <c r="C41" s="21" t="s">
        <v>29</v>
      </c>
      <c r="D41" s="21" t="s">
        <v>213</v>
      </c>
      <c r="E41" s="21" t="s">
        <v>214</v>
      </c>
      <c r="F41" s="21" t="s">
        <v>215</v>
      </c>
      <c r="G41" s="21" t="s">
        <v>60</v>
      </c>
      <c r="H41" s="21" t="s">
        <v>24</v>
      </c>
      <c r="I41" s="21" t="s">
        <v>50</v>
      </c>
      <c r="J41" s="21" t="s">
        <v>51</v>
      </c>
      <c r="K41" s="22">
        <v>0.5</v>
      </c>
      <c r="L41" s="21" t="s">
        <v>52</v>
      </c>
      <c r="M41" s="22">
        <v>2019</v>
      </c>
      <c r="N41" s="21" t="s">
        <v>30</v>
      </c>
      <c r="O41" s="22" t="s">
        <v>35</v>
      </c>
      <c r="P41" s="21" t="s">
        <v>25</v>
      </c>
      <c r="Q41" s="21" t="s">
        <v>25</v>
      </c>
      <c r="R41" s="21">
        <v>80</v>
      </c>
      <c r="S41" s="40">
        <v>0.4</v>
      </c>
      <c r="T41" s="40">
        <v>0.1</v>
      </c>
      <c r="U41" s="40">
        <v>0</v>
      </c>
    </row>
    <row r="42" spans="1:21" x14ac:dyDescent="0.2">
      <c r="A42" s="21" t="s">
        <v>37</v>
      </c>
      <c r="B42" s="21" t="s">
        <v>38</v>
      </c>
      <c r="C42" s="21" t="s">
        <v>39</v>
      </c>
      <c r="D42" s="21" t="s">
        <v>352</v>
      </c>
      <c r="E42" s="21" t="s">
        <v>353</v>
      </c>
      <c r="F42" s="21" t="s">
        <v>354</v>
      </c>
      <c r="G42" s="21" t="s">
        <v>355</v>
      </c>
      <c r="H42" s="21" t="s">
        <v>24</v>
      </c>
      <c r="I42" s="21" t="s">
        <v>356</v>
      </c>
      <c r="J42" s="21" t="s">
        <v>357</v>
      </c>
      <c r="K42" s="22">
        <v>0.5</v>
      </c>
      <c r="L42" s="21" t="s">
        <v>41</v>
      </c>
      <c r="M42" s="22">
        <v>2019</v>
      </c>
      <c r="N42" s="21" t="s">
        <v>30</v>
      </c>
      <c r="O42" s="22">
        <v>20</v>
      </c>
      <c r="P42" s="21" t="s">
        <v>25</v>
      </c>
      <c r="Q42" s="21">
        <v>0</v>
      </c>
      <c r="R42" s="21">
        <v>80</v>
      </c>
      <c r="S42" s="40">
        <v>0.4</v>
      </c>
      <c r="T42" s="40">
        <v>0.1</v>
      </c>
      <c r="U42" s="40">
        <v>0</v>
      </c>
    </row>
    <row r="43" spans="1:21" x14ac:dyDescent="0.2">
      <c r="A43" s="21" t="s">
        <v>37</v>
      </c>
      <c r="B43" s="21" t="s">
        <v>38</v>
      </c>
      <c r="C43" s="21" t="s">
        <v>39</v>
      </c>
      <c r="D43" s="21" t="s">
        <v>358</v>
      </c>
      <c r="E43" s="21" t="s">
        <v>359</v>
      </c>
      <c r="F43" s="21" t="s">
        <v>360</v>
      </c>
      <c r="G43" s="21" t="s">
        <v>355</v>
      </c>
      <c r="H43" s="21" t="s">
        <v>24</v>
      </c>
      <c r="I43" s="21" t="s">
        <v>356</v>
      </c>
      <c r="J43" s="21" t="s">
        <v>357</v>
      </c>
      <c r="K43" s="22">
        <v>0.5</v>
      </c>
      <c r="L43" s="21" t="s">
        <v>41</v>
      </c>
      <c r="M43" s="22">
        <v>2019</v>
      </c>
      <c r="N43" s="21" t="s">
        <v>30</v>
      </c>
      <c r="O43" s="22">
        <v>20</v>
      </c>
      <c r="P43" s="21" t="s">
        <v>25</v>
      </c>
      <c r="Q43" s="21">
        <v>0</v>
      </c>
      <c r="R43" s="21">
        <v>80</v>
      </c>
      <c r="S43" s="40">
        <v>0.4</v>
      </c>
      <c r="T43" s="40">
        <v>0.1</v>
      </c>
      <c r="U43" s="40">
        <v>0</v>
      </c>
    </row>
    <row r="44" spans="1:21" x14ac:dyDescent="0.2">
      <c r="A44" s="21" t="s">
        <v>37</v>
      </c>
      <c r="B44" s="21" t="s">
        <v>38</v>
      </c>
      <c r="C44" s="21" t="s">
        <v>39</v>
      </c>
      <c r="D44" s="21" t="s">
        <v>237</v>
      </c>
      <c r="E44" s="21" t="s">
        <v>238</v>
      </c>
      <c r="F44" s="21" t="s">
        <v>239</v>
      </c>
      <c r="G44" s="21" t="s">
        <v>76</v>
      </c>
      <c r="H44" s="21" t="s">
        <v>26</v>
      </c>
      <c r="I44" s="21" t="s">
        <v>42</v>
      </c>
      <c r="J44" s="21" t="s">
        <v>43</v>
      </c>
      <c r="K44" s="22">
        <v>1</v>
      </c>
      <c r="L44" s="21" t="s">
        <v>45</v>
      </c>
      <c r="M44" s="22">
        <v>2019</v>
      </c>
      <c r="N44" s="21" t="s">
        <v>30</v>
      </c>
      <c r="O44" s="22">
        <v>20</v>
      </c>
      <c r="P44" s="21" t="s">
        <v>25</v>
      </c>
      <c r="Q44" s="21">
        <v>0</v>
      </c>
      <c r="R44" s="21">
        <v>80</v>
      </c>
      <c r="S44" s="40">
        <v>0.8</v>
      </c>
      <c r="T44" s="40">
        <v>0.2</v>
      </c>
      <c r="U44" s="40">
        <v>0</v>
      </c>
    </row>
    <row r="45" spans="1:21" x14ac:dyDescent="0.2">
      <c r="A45" s="21" t="s">
        <v>27</v>
      </c>
      <c r="B45" s="21" t="s">
        <v>28</v>
      </c>
      <c r="C45" s="21" t="s">
        <v>29</v>
      </c>
      <c r="D45" s="21" t="s">
        <v>240</v>
      </c>
      <c r="E45" s="21" t="s">
        <v>241</v>
      </c>
      <c r="F45" s="21" t="s">
        <v>242</v>
      </c>
      <c r="G45" s="21" t="s">
        <v>53</v>
      </c>
      <c r="H45" s="21" t="s">
        <v>24</v>
      </c>
      <c r="I45" s="21" t="s">
        <v>50</v>
      </c>
      <c r="J45" s="21" t="s">
        <v>51</v>
      </c>
      <c r="K45" s="22">
        <v>0.5</v>
      </c>
      <c r="L45" s="21" t="s">
        <v>52</v>
      </c>
      <c r="M45" s="22">
        <v>2019</v>
      </c>
      <c r="N45" s="21" t="s">
        <v>30</v>
      </c>
      <c r="O45" s="22">
        <v>20</v>
      </c>
      <c r="P45" s="21" t="s">
        <v>25</v>
      </c>
      <c r="Q45" s="21">
        <v>0</v>
      </c>
      <c r="R45" s="21">
        <v>80</v>
      </c>
      <c r="S45" s="40">
        <v>0.4</v>
      </c>
      <c r="T45" s="40">
        <v>0.1</v>
      </c>
      <c r="U45" s="40">
        <v>0</v>
      </c>
    </row>
    <row r="46" spans="1:21" x14ac:dyDescent="0.2">
      <c r="A46" s="21" t="s">
        <v>27</v>
      </c>
      <c r="B46" s="21" t="s">
        <v>28</v>
      </c>
      <c r="C46" s="21" t="s">
        <v>29</v>
      </c>
      <c r="D46" s="21" t="s">
        <v>240</v>
      </c>
      <c r="E46" s="21" t="s">
        <v>241</v>
      </c>
      <c r="F46" s="21" t="s">
        <v>242</v>
      </c>
      <c r="G46" s="21" t="s">
        <v>55</v>
      </c>
      <c r="H46" s="21" t="s">
        <v>24</v>
      </c>
      <c r="I46" s="21" t="s">
        <v>50</v>
      </c>
      <c r="J46" s="21" t="s">
        <v>51</v>
      </c>
      <c r="K46" s="22">
        <v>0.5</v>
      </c>
      <c r="L46" s="21" t="s">
        <v>52</v>
      </c>
      <c r="M46" s="22">
        <v>2019</v>
      </c>
      <c r="N46" s="21" t="s">
        <v>30</v>
      </c>
      <c r="O46" s="22">
        <v>50</v>
      </c>
      <c r="P46" s="21" t="s">
        <v>25</v>
      </c>
      <c r="Q46" s="21">
        <v>0</v>
      </c>
      <c r="R46" s="21">
        <v>50</v>
      </c>
      <c r="S46" s="40">
        <v>0.25</v>
      </c>
      <c r="T46" s="40">
        <v>0.25</v>
      </c>
      <c r="U46" s="40">
        <v>0</v>
      </c>
    </row>
    <row r="47" spans="1:21" x14ac:dyDescent="0.2">
      <c r="A47" s="21" t="s">
        <v>27</v>
      </c>
      <c r="B47" s="21" t="s">
        <v>28</v>
      </c>
      <c r="C47" s="21" t="s">
        <v>29</v>
      </c>
      <c r="D47" s="21" t="s">
        <v>243</v>
      </c>
      <c r="E47" s="21" t="s">
        <v>244</v>
      </c>
      <c r="F47" s="21" t="s">
        <v>245</v>
      </c>
      <c r="G47" s="21" t="s">
        <v>83</v>
      </c>
      <c r="H47" s="21" t="s">
        <v>24</v>
      </c>
      <c r="I47" s="21" t="s">
        <v>42</v>
      </c>
      <c r="J47" s="21" t="s">
        <v>43</v>
      </c>
      <c r="K47" s="22">
        <v>0.5</v>
      </c>
      <c r="L47" s="21" t="s">
        <v>45</v>
      </c>
      <c r="M47" s="22">
        <v>2019</v>
      </c>
      <c r="N47" s="21" t="s">
        <v>30</v>
      </c>
      <c r="O47" s="22">
        <v>20</v>
      </c>
      <c r="P47" s="21" t="s">
        <v>25</v>
      </c>
      <c r="Q47" s="21">
        <v>0</v>
      </c>
      <c r="R47" s="21">
        <v>80</v>
      </c>
      <c r="S47" s="40">
        <v>0.4</v>
      </c>
      <c r="T47" s="40">
        <v>0.1</v>
      </c>
      <c r="U47" s="40">
        <v>0</v>
      </c>
    </row>
    <row r="48" spans="1:21" x14ac:dyDescent="0.2">
      <c r="A48" s="21" t="s">
        <v>27</v>
      </c>
      <c r="B48" s="21" t="s">
        <v>28</v>
      </c>
      <c r="C48" s="21" t="s">
        <v>29</v>
      </c>
      <c r="D48" s="21" t="s">
        <v>243</v>
      </c>
      <c r="E48" s="21" t="s">
        <v>244</v>
      </c>
      <c r="F48" s="21" t="s">
        <v>245</v>
      </c>
      <c r="G48" s="21" t="s">
        <v>246</v>
      </c>
      <c r="H48" s="21" t="s">
        <v>24</v>
      </c>
      <c r="I48" s="21" t="s">
        <v>42</v>
      </c>
      <c r="J48" s="21" t="s">
        <v>43</v>
      </c>
      <c r="K48" s="22">
        <v>0.5</v>
      </c>
      <c r="L48" s="21" t="s">
        <v>45</v>
      </c>
      <c r="M48" s="22">
        <v>2019</v>
      </c>
      <c r="N48" s="21" t="s">
        <v>30</v>
      </c>
      <c r="O48" s="22">
        <v>20</v>
      </c>
      <c r="P48" s="21" t="s">
        <v>25</v>
      </c>
      <c r="Q48" s="21">
        <v>0</v>
      </c>
      <c r="R48" s="21">
        <v>80</v>
      </c>
      <c r="S48" s="40">
        <v>0.4</v>
      </c>
      <c r="T48" s="40">
        <v>0.1</v>
      </c>
      <c r="U48" s="40">
        <v>0</v>
      </c>
    </row>
    <row r="49" spans="1:21" x14ac:dyDescent="0.2">
      <c r="A49" s="21" t="s">
        <v>27</v>
      </c>
      <c r="B49" s="21" t="s">
        <v>28</v>
      </c>
      <c r="C49" s="21" t="s">
        <v>29</v>
      </c>
      <c r="D49" s="21" t="s">
        <v>247</v>
      </c>
      <c r="E49" s="21" t="s">
        <v>248</v>
      </c>
      <c r="F49" s="21" t="s">
        <v>249</v>
      </c>
      <c r="G49" s="21" t="s">
        <v>44</v>
      </c>
      <c r="H49" s="21" t="s">
        <v>26</v>
      </c>
      <c r="I49" s="21" t="s">
        <v>42</v>
      </c>
      <c r="J49" s="21" t="s">
        <v>43</v>
      </c>
      <c r="K49" s="22">
        <v>1</v>
      </c>
      <c r="L49" s="21" t="s">
        <v>45</v>
      </c>
      <c r="M49" s="22">
        <v>2019</v>
      </c>
      <c r="N49" s="21" t="s">
        <v>30</v>
      </c>
      <c r="O49" s="22">
        <v>20</v>
      </c>
      <c r="P49" s="21" t="s">
        <v>25</v>
      </c>
      <c r="Q49" s="21">
        <v>0</v>
      </c>
      <c r="R49" s="21">
        <v>80</v>
      </c>
      <c r="S49" s="40">
        <v>0.8</v>
      </c>
      <c r="T49" s="40">
        <v>0.2</v>
      </c>
      <c r="U49" s="40">
        <v>0</v>
      </c>
    </row>
    <row r="50" spans="1:21" x14ac:dyDescent="0.2">
      <c r="A50" s="21" t="s">
        <v>27</v>
      </c>
      <c r="B50" s="21" t="s">
        <v>28</v>
      </c>
      <c r="C50" s="21" t="s">
        <v>29</v>
      </c>
      <c r="D50" s="21" t="s">
        <v>250</v>
      </c>
      <c r="E50" s="21" t="s">
        <v>251</v>
      </c>
      <c r="F50" s="21" t="s">
        <v>252</v>
      </c>
      <c r="G50" s="21" t="s">
        <v>65</v>
      </c>
      <c r="H50" s="21" t="s">
        <v>26</v>
      </c>
      <c r="I50" s="21" t="s">
        <v>50</v>
      </c>
      <c r="J50" s="21" t="s">
        <v>51</v>
      </c>
      <c r="K50" s="22">
        <v>1</v>
      </c>
      <c r="L50" s="21" t="s">
        <v>52</v>
      </c>
      <c r="M50" s="22">
        <v>2019</v>
      </c>
      <c r="N50" s="21" t="s">
        <v>30</v>
      </c>
      <c r="O50" s="22">
        <v>20</v>
      </c>
      <c r="P50" s="21" t="s">
        <v>25</v>
      </c>
      <c r="Q50" s="21">
        <v>0</v>
      </c>
      <c r="R50" s="21">
        <v>80</v>
      </c>
      <c r="S50" s="40">
        <v>0.8</v>
      </c>
      <c r="T50" s="40">
        <v>0.2</v>
      </c>
      <c r="U50" s="40">
        <v>0</v>
      </c>
    </row>
    <row r="51" spans="1:21" x14ac:dyDescent="0.2">
      <c r="A51" s="21" t="s">
        <v>27</v>
      </c>
      <c r="B51" s="21" t="s">
        <v>28</v>
      </c>
      <c r="C51" s="21" t="s">
        <v>29</v>
      </c>
      <c r="D51" s="21" t="s">
        <v>253</v>
      </c>
      <c r="E51" s="21" t="s">
        <v>254</v>
      </c>
      <c r="F51" s="21" t="s">
        <v>242</v>
      </c>
      <c r="G51" s="21" t="s">
        <v>53</v>
      </c>
      <c r="H51" s="21" t="s">
        <v>24</v>
      </c>
      <c r="I51" s="21" t="s">
        <v>50</v>
      </c>
      <c r="J51" s="21" t="s">
        <v>51</v>
      </c>
      <c r="K51" s="22">
        <v>0.5</v>
      </c>
      <c r="L51" s="21" t="s">
        <v>52</v>
      </c>
      <c r="M51" s="22">
        <v>2019</v>
      </c>
      <c r="N51" s="21" t="s">
        <v>30</v>
      </c>
      <c r="O51" s="22">
        <v>20</v>
      </c>
      <c r="P51" s="21" t="s">
        <v>25</v>
      </c>
      <c r="Q51" s="21">
        <v>0</v>
      </c>
      <c r="R51" s="21">
        <v>80</v>
      </c>
      <c r="S51" s="40">
        <v>0.4</v>
      </c>
      <c r="T51" s="40">
        <v>0.1</v>
      </c>
      <c r="U51" s="40">
        <v>0</v>
      </c>
    </row>
    <row r="52" spans="1:21" x14ac:dyDescent="0.2">
      <c r="A52" s="21" t="s">
        <v>27</v>
      </c>
      <c r="B52" s="21" t="s">
        <v>28</v>
      </c>
      <c r="C52" s="21" t="s">
        <v>29</v>
      </c>
      <c r="D52" s="21" t="s">
        <v>253</v>
      </c>
      <c r="E52" s="21" t="s">
        <v>254</v>
      </c>
      <c r="F52" s="21" t="s">
        <v>242</v>
      </c>
      <c r="G52" s="21" t="s">
        <v>55</v>
      </c>
      <c r="H52" s="21" t="s">
        <v>24</v>
      </c>
      <c r="I52" s="21" t="s">
        <v>50</v>
      </c>
      <c r="J52" s="21" t="s">
        <v>51</v>
      </c>
      <c r="K52" s="22">
        <v>0.5</v>
      </c>
      <c r="L52" s="21" t="s">
        <v>52</v>
      </c>
      <c r="M52" s="22">
        <v>2019</v>
      </c>
      <c r="N52" s="21" t="s">
        <v>30</v>
      </c>
      <c r="O52" s="22">
        <v>50</v>
      </c>
      <c r="P52" s="21" t="s">
        <v>25</v>
      </c>
      <c r="Q52" s="21">
        <v>0</v>
      </c>
      <c r="R52" s="21">
        <v>50</v>
      </c>
      <c r="S52" s="40">
        <v>0.25</v>
      </c>
      <c r="T52" s="40">
        <v>0.25</v>
      </c>
      <c r="U52" s="40">
        <v>0</v>
      </c>
    </row>
    <row r="53" spans="1:21" x14ac:dyDescent="0.2">
      <c r="A53" s="21" t="s">
        <v>31</v>
      </c>
      <c r="B53" s="21" t="s">
        <v>32</v>
      </c>
      <c r="C53" s="21" t="s">
        <v>33</v>
      </c>
      <c r="D53" s="21" t="s">
        <v>255</v>
      </c>
      <c r="E53" s="21" t="s">
        <v>256</v>
      </c>
      <c r="F53" s="21" t="s">
        <v>257</v>
      </c>
      <c r="G53" s="21" t="s">
        <v>49</v>
      </c>
      <c r="H53" s="21" t="s">
        <v>24</v>
      </c>
      <c r="I53" s="21" t="s">
        <v>31</v>
      </c>
      <c r="J53" s="21" t="s">
        <v>32</v>
      </c>
      <c r="K53" s="22">
        <v>0.5</v>
      </c>
      <c r="L53" s="21" t="s">
        <v>48</v>
      </c>
      <c r="M53" s="22">
        <v>2020</v>
      </c>
      <c r="N53" s="21" t="s">
        <v>30</v>
      </c>
      <c r="O53" s="22">
        <v>20</v>
      </c>
      <c r="P53" s="21" t="s">
        <v>25</v>
      </c>
      <c r="Q53" s="21">
        <v>0</v>
      </c>
      <c r="R53" s="21">
        <v>80</v>
      </c>
      <c r="S53" s="40">
        <v>0.4</v>
      </c>
      <c r="T53" s="40">
        <v>0.1</v>
      </c>
      <c r="U53" s="40">
        <v>0</v>
      </c>
    </row>
    <row r="54" spans="1:21" x14ac:dyDescent="0.2">
      <c r="A54" s="21" t="s">
        <v>31</v>
      </c>
      <c r="B54" s="21" t="s">
        <v>32</v>
      </c>
      <c r="C54" s="21" t="s">
        <v>33</v>
      </c>
      <c r="D54" s="21" t="s">
        <v>361</v>
      </c>
      <c r="E54" s="21" t="s">
        <v>362</v>
      </c>
      <c r="F54" s="21" t="s">
        <v>363</v>
      </c>
      <c r="G54" s="21" t="s">
        <v>49</v>
      </c>
      <c r="H54" s="21" t="s">
        <v>24</v>
      </c>
      <c r="I54" s="21" t="s">
        <v>31</v>
      </c>
      <c r="J54" s="21" t="s">
        <v>32</v>
      </c>
      <c r="K54" s="22">
        <v>0.5</v>
      </c>
      <c r="L54" s="21" t="s">
        <v>48</v>
      </c>
      <c r="M54" s="22">
        <v>2020</v>
      </c>
      <c r="N54" s="21" t="s">
        <v>30</v>
      </c>
      <c r="O54" s="22">
        <v>20</v>
      </c>
      <c r="P54" s="21" t="s">
        <v>25</v>
      </c>
      <c r="Q54" s="21">
        <v>0</v>
      </c>
      <c r="R54" s="21">
        <v>80</v>
      </c>
      <c r="S54" s="40">
        <v>0.4</v>
      </c>
      <c r="T54" s="40">
        <v>0.1</v>
      </c>
      <c r="U54" s="40">
        <v>0</v>
      </c>
    </row>
    <row r="55" spans="1:21" x14ac:dyDescent="0.2">
      <c r="A55" s="21" t="s">
        <v>364</v>
      </c>
      <c r="B55" s="21" t="s">
        <v>365</v>
      </c>
      <c r="C55" s="21" t="s">
        <v>366</v>
      </c>
      <c r="D55" s="21" t="s">
        <v>367</v>
      </c>
      <c r="E55" s="21" t="s">
        <v>368</v>
      </c>
      <c r="F55" s="21" t="s">
        <v>369</v>
      </c>
      <c r="G55" s="21" t="s">
        <v>370</v>
      </c>
      <c r="H55" s="21" t="s">
        <v>24</v>
      </c>
      <c r="I55" s="21" t="s">
        <v>371</v>
      </c>
      <c r="J55" s="21" t="s">
        <v>372</v>
      </c>
      <c r="K55" s="22">
        <v>0.5</v>
      </c>
      <c r="L55" s="21" t="s">
        <v>373</v>
      </c>
      <c r="M55" s="22">
        <v>2020</v>
      </c>
      <c r="N55" s="21" t="s">
        <v>30</v>
      </c>
      <c r="O55" s="22">
        <v>15</v>
      </c>
      <c r="P55" s="21" t="s">
        <v>25</v>
      </c>
      <c r="Q55" s="21">
        <v>0</v>
      </c>
      <c r="R55" s="21">
        <v>85</v>
      </c>
      <c r="S55" s="40">
        <v>0.42499999999999999</v>
      </c>
      <c r="T55" s="40">
        <v>7.4999999999999997E-2</v>
      </c>
      <c r="U55" s="40">
        <v>0</v>
      </c>
    </row>
    <row r="56" spans="1:21" x14ac:dyDescent="0.2">
      <c r="A56" s="21" t="s">
        <v>37</v>
      </c>
      <c r="B56" s="21" t="s">
        <v>38</v>
      </c>
      <c r="C56" s="21" t="s">
        <v>39</v>
      </c>
      <c r="D56" s="21" t="s">
        <v>374</v>
      </c>
      <c r="E56" s="21" t="s">
        <v>375</v>
      </c>
      <c r="F56" s="21" t="s">
        <v>331</v>
      </c>
      <c r="G56" s="21" t="s">
        <v>355</v>
      </c>
      <c r="H56" s="21" t="s">
        <v>24</v>
      </c>
      <c r="I56" s="21" t="s">
        <v>356</v>
      </c>
      <c r="J56" s="21" t="s">
        <v>357</v>
      </c>
      <c r="K56" s="22">
        <v>0.5</v>
      </c>
      <c r="L56" s="21" t="s">
        <v>41</v>
      </c>
      <c r="M56" s="22">
        <v>2020</v>
      </c>
      <c r="N56" s="21" t="s">
        <v>30</v>
      </c>
      <c r="O56" s="22">
        <v>20</v>
      </c>
      <c r="P56" s="21" t="s">
        <v>25</v>
      </c>
      <c r="Q56" s="21">
        <v>0</v>
      </c>
      <c r="R56" s="21">
        <v>80</v>
      </c>
      <c r="S56" s="40">
        <v>0.4</v>
      </c>
      <c r="T56" s="40">
        <v>0.1</v>
      </c>
      <c r="U56" s="40">
        <v>0</v>
      </c>
    </row>
    <row r="57" spans="1:21" x14ac:dyDescent="0.2">
      <c r="A57" s="21" t="s">
        <v>37</v>
      </c>
      <c r="B57" s="21" t="s">
        <v>38</v>
      </c>
      <c r="C57" s="21" t="s">
        <v>39</v>
      </c>
      <c r="D57" s="21" t="s">
        <v>376</v>
      </c>
      <c r="E57" s="21" t="s">
        <v>377</v>
      </c>
      <c r="F57" s="21" t="s">
        <v>378</v>
      </c>
      <c r="G57" s="21" t="s">
        <v>355</v>
      </c>
      <c r="H57" s="21" t="s">
        <v>24</v>
      </c>
      <c r="I57" s="21" t="s">
        <v>356</v>
      </c>
      <c r="J57" s="21" t="s">
        <v>357</v>
      </c>
      <c r="K57" s="22">
        <v>0.5</v>
      </c>
      <c r="L57" s="21" t="s">
        <v>41</v>
      </c>
      <c r="M57" s="22">
        <v>2020</v>
      </c>
      <c r="N57" s="21" t="s">
        <v>30</v>
      </c>
      <c r="O57" s="22">
        <v>20</v>
      </c>
      <c r="P57" s="21" t="s">
        <v>25</v>
      </c>
      <c r="Q57" s="21">
        <v>0</v>
      </c>
      <c r="R57" s="21">
        <v>80</v>
      </c>
      <c r="S57" s="40">
        <v>0.4</v>
      </c>
      <c r="T57" s="40">
        <v>0.1</v>
      </c>
      <c r="U57" s="40">
        <v>0</v>
      </c>
    </row>
    <row r="58" spans="1:21" x14ac:dyDescent="0.2">
      <c r="A58" s="21" t="s">
        <v>37</v>
      </c>
      <c r="B58" s="21" t="s">
        <v>38</v>
      </c>
      <c r="C58" s="21" t="s">
        <v>39</v>
      </c>
      <c r="D58" s="21" t="s">
        <v>379</v>
      </c>
      <c r="E58" s="21" t="s">
        <v>380</v>
      </c>
      <c r="F58" s="21" t="s">
        <v>381</v>
      </c>
      <c r="G58" s="21" t="s">
        <v>355</v>
      </c>
      <c r="H58" s="21" t="s">
        <v>24</v>
      </c>
      <c r="I58" s="21" t="s">
        <v>356</v>
      </c>
      <c r="J58" s="21" t="s">
        <v>357</v>
      </c>
      <c r="K58" s="22">
        <v>0.5</v>
      </c>
      <c r="L58" s="21" t="s">
        <v>41</v>
      </c>
      <c r="M58" s="22">
        <v>2020</v>
      </c>
      <c r="N58" s="21" t="s">
        <v>30</v>
      </c>
      <c r="O58" s="22">
        <v>20</v>
      </c>
      <c r="P58" s="21" t="s">
        <v>25</v>
      </c>
      <c r="Q58" s="21">
        <v>0</v>
      </c>
      <c r="R58" s="21">
        <v>80</v>
      </c>
      <c r="S58" s="40">
        <v>0.4</v>
      </c>
      <c r="T58" s="40">
        <v>0.1</v>
      </c>
      <c r="U58" s="40">
        <v>0</v>
      </c>
    </row>
    <row r="59" spans="1:21" x14ac:dyDescent="0.2">
      <c r="A59" s="21" t="s">
        <v>37</v>
      </c>
      <c r="B59" s="21" t="s">
        <v>38</v>
      </c>
      <c r="C59" s="21" t="s">
        <v>39</v>
      </c>
      <c r="D59" s="21" t="s">
        <v>382</v>
      </c>
      <c r="E59" s="21" t="s">
        <v>383</v>
      </c>
      <c r="F59" s="21" t="s">
        <v>384</v>
      </c>
      <c r="G59" s="21" t="s">
        <v>355</v>
      </c>
      <c r="H59" s="21" t="s">
        <v>24</v>
      </c>
      <c r="I59" s="21" t="s">
        <v>356</v>
      </c>
      <c r="J59" s="21" t="s">
        <v>357</v>
      </c>
      <c r="K59" s="22">
        <v>0.5</v>
      </c>
      <c r="L59" s="21" t="s">
        <v>41</v>
      </c>
      <c r="M59" s="22">
        <v>2020</v>
      </c>
      <c r="N59" s="21" t="s">
        <v>30</v>
      </c>
      <c r="O59" s="22">
        <v>20</v>
      </c>
      <c r="P59" s="21" t="s">
        <v>25</v>
      </c>
      <c r="Q59" s="21">
        <v>0</v>
      </c>
      <c r="R59" s="21">
        <v>80</v>
      </c>
      <c r="S59" s="40">
        <v>0.4</v>
      </c>
      <c r="T59" s="40">
        <v>0.1</v>
      </c>
      <c r="U59" s="40">
        <v>0</v>
      </c>
    </row>
    <row r="60" spans="1:21" x14ac:dyDescent="0.2">
      <c r="A60" s="21" t="s">
        <v>37</v>
      </c>
      <c r="B60" s="21" t="s">
        <v>38</v>
      </c>
      <c r="C60" s="21" t="s">
        <v>39</v>
      </c>
      <c r="D60" s="21" t="s">
        <v>385</v>
      </c>
      <c r="E60" s="21" t="s">
        <v>386</v>
      </c>
      <c r="F60" s="21" t="s">
        <v>272</v>
      </c>
      <c r="G60" s="21" t="s">
        <v>355</v>
      </c>
      <c r="H60" s="21" t="s">
        <v>24</v>
      </c>
      <c r="I60" s="21" t="s">
        <v>356</v>
      </c>
      <c r="J60" s="21" t="s">
        <v>357</v>
      </c>
      <c r="K60" s="22">
        <v>0.5</v>
      </c>
      <c r="L60" s="21" t="s">
        <v>41</v>
      </c>
      <c r="M60" s="22">
        <v>2020</v>
      </c>
      <c r="N60" s="21" t="s">
        <v>30</v>
      </c>
      <c r="O60" s="22">
        <v>20</v>
      </c>
      <c r="P60" s="21" t="s">
        <v>25</v>
      </c>
      <c r="Q60" s="21">
        <v>0</v>
      </c>
      <c r="R60" s="21">
        <v>80</v>
      </c>
      <c r="S60" s="40">
        <v>0.4</v>
      </c>
      <c r="T60" s="40">
        <v>0.1</v>
      </c>
      <c r="U60" s="40">
        <v>0</v>
      </c>
    </row>
    <row r="61" spans="1:21" x14ac:dyDescent="0.2">
      <c r="A61" s="21" t="s">
        <v>37</v>
      </c>
      <c r="B61" s="21" t="s">
        <v>38</v>
      </c>
      <c r="C61" s="21" t="s">
        <v>39</v>
      </c>
      <c r="D61" s="21" t="s">
        <v>258</v>
      </c>
      <c r="E61" s="21" t="s">
        <v>259</v>
      </c>
      <c r="F61" s="21" t="s">
        <v>260</v>
      </c>
      <c r="G61" s="21" t="s">
        <v>84</v>
      </c>
      <c r="H61" s="21" t="s">
        <v>26</v>
      </c>
      <c r="I61" s="21" t="s">
        <v>42</v>
      </c>
      <c r="J61" s="21" t="s">
        <v>43</v>
      </c>
      <c r="K61" s="22">
        <v>1</v>
      </c>
      <c r="L61" s="21" t="s">
        <v>45</v>
      </c>
      <c r="M61" s="22">
        <v>2020</v>
      </c>
      <c r="N61" s="21" t="s">
        <v>30</v>
      </c>
      <c r="O61" s="22">
        <v>20</v>
      </c>
      <c r="P61" s="21" t="s">
        <v>25</v>
      </c>
      <c r="Q61" s="21">
        <v>0</v>
      </c>
      <c r="R61" s="21">
        <v>80</v>
      </c>
      <c r="S61" s="40">
        <v>0.8</v>
      </c>
      <c r="T61" s="40">
        <v>0.2</v>
      </c>
      <c r="U61" s="40">
        <v>0</v>
      </c>
    </row>
    <row r="62" spans="1:21" x14ac:dyDescent="0.2">
      <c r="A62" s="21" t="s">
        <v>27</v>
      </c>
      <c r="B62" s="21" t="s">
        <v>28</v>
      </c>
      <c r="C62" s="21" t="s">
        <v>29</v>
      </c>
      <c r="D62" s="21" t="s">
        <v>261</v>
      </c>
      <c r="E62" s="21" t="s">
        <v>262</v>
      </c>
      <c r="F62" s="21" t="s">
        <v>263</v>
      </c>
      <c r="G62" s="21" t="s">
        <v>54</v>
      </c>
      <c r="H62" s="21" t="s">
        <v>24</v>
      </c>
      <c r="I62" s="21" t="s">
        <v>50</v>
      </c>
      <c r="J62" s="21" t="s">
        <v>51</v>
      </c>
      <c r="K62" s="22">
        <v>0.5</v>
      </c>
      <c r="L62" s="21" t="s">
        <v>52</v>
      </c>
      <c r="M62" s="22">
        <v>2020</v>
      </c>
      <c r="N62" s="21" t="s">
        <v>30</v>
      </c>
      <c r="O62" s="22">
        <v>20</v>
      </c>
      <c r="P62" s="21" t="s">
        <v>47</v>
      </c>
      <c r="Q62" s="21">
        <v>10</v>
      </c>
      <c r="R62" s="21">
        <v>70</v>
      </c>
      <c r="S62" s="40">
        <v>0.35</v>
      </c>
      <c r="T62" s="40">
        <v>0.1</v>
      </c>
      <c r="U62" s="40">
        <v>0.05</v>
      </c>
    </row>
    <row r="63" spans="1:21" x14ac:dyDescent="0.2">
      <c r="A63" s="21" t="s">
        <v>27</v>
      </c>
      <c r="B63" s="21" t="s">
        <v>28</v>
      </c>
      <c r="C63" s="21" t="s">
        <v>29</v>
      </c>
      <c r="D63" s="21" t="s">
        <v>264</v>
      </c>
      <c r="E63" s="21" t="s">
        <v>265</v>
      </c>
      <c r="F63" s="21" t="s">
        <v>266</v>
      </c>
      <c r="G63" s="21" t="s">
        <v>80</v>
      </c>
      <c r="H63" s="21" t="s">
        <v>24</v>
      </c>
      <c r="I63" s="21" t="s">
        <v>42</v>
      </c>
      <c r="J63" s="21" t="s">
        <v>43</v>
      </c>
      <c r="K63" s="22">
        <v>0.5</v>
      </c>
      <c r="L63" s="21" t="s">
        <v>45</v>
      </c>
      <c r="M63" s="22">
        <v>2020</v>
      </c>
      <c r="N63" s="21" t="s">
        <v>30</v>
      </c>
      <c r="O63" s="22">
        <v>20</v>
      </c>
      <c r="P63" s="21" t="s">
        <v>25</v>
      </c>
      <c r="Q63" s="21">
        <v>0</v>
      </c>
      <c r="R63" s="21">
        <v>80</v>
      </c>
      <c r="S63" s="40">
        <v>0.4</v>
      </c>
      <c r="T63" s="40">
        <v>0.1</v>
      </c>
      <c r="U63" s="40">
        <v>0</v>
      </c>
    </row>
    <row r="64" spans="1:21" x14ac:dyDescent="0.2">
      <c r="A64" s="21" t="s">
        <v>27</v>
      </c>
      <c r="B64" s="21" t="s">
        <v>28</v>
      </c>
      <c r="C64" s="21" t="s">
        <v>29</v>
      </c>
      <c r="D64" s="21" t="s">
        <v>267</v>
      </c>
      <c r="E64" s="21" t="s">
        <v>268</v>
      </c>
      <c r="F64" s="21" t="s">
        <v>269</v>
      </c>
      <c r="G64" s="21" t="s">
        <v>82</v>
      </c>
      <c r="H64" s="21" t="s">
        <v>24</v>
      </c>
      <c r="I64" s="21" t="s">
        <v>42</v>
      </c>
      <c r="J64" s="21" t="s">
        <v>43</v>
      </c>
      <c r="K64" s="22">
        <v>0.5</v>
      </c>
      <c r="L64" s="21" t="s">
        <v>45</v>
      </c>
      <c r="M64" s="22">
        <v>2020</v>
      </c>
      <c r="N64" s="21" t="s">
        <v>30</v>
      </c>
      <c r="O64" s="22">
        <v>20</v>
      </c>
      <c r="P64" s="21" t="s">
        <v>25</v>
      </c>
      <c r="Q64" s="21">
        <v>0</v>
      </c>
      <c r="R64" s="21">
        <v>80</v>
      </c>
      <c r="S64" s="40">
        <v>0.4</v>
      </c>
      <c r="T64" s="40">
        <v>0.1</v>
      </c>
      <c r="U64" s="40">
        <v>0</v>
      </c>
    </row>
    <row r="65" spans="1:21" x14ac:dyDescent="0.2">
      <c r="A65" s="21" t="s">
        <v>27</v>
      </c>
      <c r="B65" s="21" t="s">
        <v>28</v>
      </c>
      <c r="C65" s="21" t="s">
        <v>29</v>
      </c>
      <c r="D65" s="21" t="s">
        <v>267</v>
      </c>
      <c r="E65" s="21" t="s">
        <v>268</v>
      </c>
      <c r="F65" s="21" t="s">
        <v>269</v>
      </c>
      <c r="G65" s="21" t="s">
        <v>81</v>
      </c>
      <c r="H65" s="21" t="s">
        <v>24</v>
      </c>
      <c r="I65" s="21" t="s">
        <v>42</v>
      </c>
      <c r="J65" s="21" t="s">
        <v>43</v>
      </c>
      <c r="K65" s="22">
        <v>0.5</v>
      </c>
      <c r="L65" s="21" t="s">
        <v>45</v>
      </c>
      <c r="M65" s="22">
        <v>2020</v>
      </c>
      <c r="N65" s="21" t="s">
        <v>30</v>
      </c>
      <c r="O65" s="22">
        <v>20</v>
      </c>
      <c r="P65" s="21" t="s">
        <v>25</v>
      </c>
      <c r="Q65" s="21">
        <v>0</v>
      </c>
      <c r="R65" s="21">
        <v>80</v>
      </c>
      <c r="S65" s="40">
        <v>0.4</v>
      </c>
      <c r="T65" s="40">
        <v>0.1</v>
      </c>
      <c r="U65" s="40">
        <v>0</v>
      </c>
    </row>
    <row r="66" spans="1:21" x14ac:dyDescent="0.2">
      <c r="A66" s="21" t="s">
        <v>27</v>
      </c>
      <c r="B66" s="21" t="s">
        <v>28</v>
      </c>
      <c r="C66" s="21" t="s">
        <v>29</v>
      </c>
      <c r="D66" s="21" t="s">
        <v>270</v>
      </c>
      <c r="E66" s="21" t="s">
        <v>271</v>
      </c>
      <c r="F66" s="21" t="s">
        <v>272</v>
      </c>
      <c r="G66" s="21" t="s">
        <v>59</v>
      </c>
      <c r="H66" s="21" t="s">
        <v>24</v>
      </c>
      <c r="I66" s="21" t="s">
        <v>50</v>
      </c>
      <c r="J66" s="21" t="s">
        <v>51</v>
      </c>
      <c r="K66" s="22">
        <v>0.5</v>
      </c>
      <c r="L66" s="21" t="s">
        <v>52</v>
      </c>
      <c r="M66" s="22">
        <v>2020</v>
      </c>
      <c r="N66" s="21" t="s">
        <v>30</v>
      </c>
      <c r="O66" s="22">
        <v>20</v>
      </c>
      <c r="P66" s="21" t="s">
        <v>25</v>
      </c>
      <c r="Q66" s="21">
        <v>0</v>
      </c>
      <c r="R66" s="21">
        <v>80</v>
      </c>
      <c r="S66" s="40">
        <v>0.4</v>
      </c>
      <c r="T66" s="40">
        <v>0.1</v>
      </c>
      <c r="U66" s="40">
        <v>0</v>
      </c>
    </row>
    <row r="67" spans="1:21" x14ac:dyDescent="0.2">
      <c r="A67" s="21" t="s">
        <v>27</v>
      </c>
      <c r="B67" s="21" t="s">
        <v>28</v>
      </c>
      <c r="C67" s="21" t="s">
        <v>29</v>
      </c>
      <c r="D67" s="21" t="s">
        <v>270</v>
      </c>
      <c r="E67" s="21" t="s">
        <v>271</v>
      </c>
      <c r="F67" s="21" t="s">
        <v>272</v>
      </c>
      <c r="G67" s="21" t="s">
        <v>64</v>
      </c>
      <c r="H67" s="21" t="s">
        <v>24</v>
      </c>
      <c r="I67" s="21" t="s">
        <v>50</v>
      </c>
      <c r="J67" s="21" t="s">
        <v>51</v>
      </c>
      <c r="K67" s="22">
        <v>0.5</v>
      </c>
      <c r="L67" s="21" t="s">
        <v>52</v>
      </c>
      <c r="M67" s="22">
        <v>2020</v>
      </c>
      <c r="N67" s="21" t="s">
        <v>30</v>
      </c>
      <c r="O67" s="22">
        <v>20</v>
      </c>
      <c r="P67" s="21" t="s">
        <v>25</v>
      </c>
      <c r="Q67" s="21">
        <v>0</v>
      </c>
      <c r="R67" s="21">
        <v>80</v>
      </c>
      <c r="S67" s="40">
        <v>0.4</v>
      </c>
      <c r="T67" s="40">
        <v>0.1</v>
      </c>
      <c r="U67" s="40">
        <v>0</v>
      </c>
    </row>
    <row r="68" spans="1:21" x14ac:dyDescent="0.2">
      <c r="A68" s="21" t="s">
        <v>27</v>
      </c>
      <c r="B68" s="21" t="s">
        <v>28</v>
      </c>
      <c r="C68" s="21" t="s">
        <v>29</v>
      </c>
      <c r="D68" s="21" t="s">
        <v>273</v>
      </c>
      <c r="E68" s="21" t="s">
        <v>274</v>
      </c>
      <c r="F68" s="21" t="s">
        <v>263</v>
      </c>
      <c r="G68" s="21" t="s">
        <v>44</v>
      </c>
      <c r="H68" s="21" t="s">
        <v>26</v>
      </c>
      <c r="I68" s="21" t="s">
        <v>42</v>
      </c>
      <c r="J68" s="21" t="s">
        <v>43</v>
      </c>
      <c r="K68" s="22">
        <v>1</v>
      </c>
      <c r="L68" s="21" t="s">
        <v>45</v>
      </c>
      <c r="M68" s="22">
        <v>2020</v>
      </c>
      <c r="N68" s="21" t="s">
        <v>30</v>
      </c>
      <c r="O68" s="22">
        <v>20</v>
      </c>
      <c r="P68" s="21" t="s">
        <v>25</v>
      </c>
      <c r="Q68" s="21">
        <v>0</v>
      </c>
      <c r="R68" s="21">
        <v>80</v>
      </c>
      <c r="S68" s="40">
        <v>0.8</v>
      </c>
      <c r="T68" s="40">
        <v>0.2</v>
      </c>
      <c r="U68" s="40">
        <v>0</v>
      </c>
    </row>
    <row r="69" spans="1:21" x14ac:dyDescent="0.2">
      <c r="A69" s="21" t="s">
        <v>27</v>
      </c>
      <c r="B69" s="21" t="s">
        <v>28</v>
      </c>
      <c r="C69" s="21" t="s">
        <v>29</v>
      </c>
      <c r="D69" s="21" t="s">
        <v>275</v>
      </c>
      <c r="E69" s="21" t="s">
        <v>276</v>
      </c>
      <c r="F69" s="21" t="s">
        <v>277</v>
      </c>
      <c r="G69" s="21" t="s">
        <v>44</v>
      </c>
      <c r="H69" s="21" t="s">
        <v>26</v>
      </c>
      <c r="I69" s="21" t="s">
        <v>42</v>
      </c>
      <c r="J69" s="21" t="s">
        <v>43</v>
      </c>
      <c r="K69" s="22">
        <v>1</v>
      </c>
      <c r="L69" s="21" t="s">
        <v>45</v>
      </c>
      <c r="M69" s="22">
        <v>2020</v>
      </c>
      <c r="N69" s="21" t="s">
        <v>30</v>
      </c>
      <c r="O69" s="22">
        <v>20</v>
      </c>
      <c r="P69" s="21" t="s">
        <v>25</v>
      </c>
      <c r="Q69" s="21">
        <v>0</v>
      </c>
      <c r="R69" s="21">
        <v>80</v>
      </c>
      <c r="S69" s="40">
        <v>0.8</v>
      </c>
      <c r="T69" s="40">
        <v>0.2</v>
      </c>
      <c r="U69" s="40">
        <v>0</v>
      </c>
    </row>
    <row r="70" spans="1:21" x14ac:dyDescent="0.2">
      <c r="A70" s="21" t="s">
        <v>27</v>
      </c>
      <c r="B70" s="21" t="s">
        <v>28</v>
      </c>
      <c r="C70" s="21" t="s">
        <v>29</v>
      </c>
      <c r="D70" s="21" t="s">
        <v>278</v>
      </c>
      <c r="E70" s="21" t="s">
        <v>279</v>
      </c>
      <c r="F70" s="21" t="s">
        <v>280</v>
      </c>
      <c r="G70" s="21" t="s">
        <v>281</v>
      </c>
      <c r="H70" s="21" t="s">
        <v>24</v>
      </c>
      <c r="I70" s="21" t="s">
        <v>57</v>
      </c>
      <c r="J70" s="21" t="s">
        <v>58</v>
      </c>
      <c r="K70" s="22">
        <v>0.5</v>
      </c>
      <c r="L70" s="21" t="s">
        <v>87</v>
      </c>
      <c r="M70" s="22">
        <v>2020</v>
      </c>
      <c r="N70" s="21" t="s">
        <v>30</v>
      </c>
      <c r="O70" s="22">
        <v>20</v>
      </c>
      <c r="P70" s="21" t="s">
        <v>25</v>
      </c>
      <c r="Q70" s="21">
        <v>0</v>
      </c>
      <c r="R70" s="21">
        <v>80</v>
      </c>
      <c r="S70" s="40">
        <v>0.4</v>
      </c>
      <c r="T70" s="40">
        <v>0.1</v>
      </c>
      <c r="U70" s="40">
        <v>0</v>
      </c>
    </row>
    <row r="71" spans="1:21" x14ac:dyDescent="0.2">
      <c r="A71" s="21" t="s">
        <v>27</v>
      </c>
      <c r="B71" s="21" t="s">
        <v>28</v>
      </c>
      <c r="C71" s="21" t="s">
        <v>29</v>
      </c>
      <c r="D71" s="21" t="s">
        <v>282</v>
      </c>
      <c r="E71" s="21" t="s">
        <v>283</v>
      </c>
      <c r="F71" s="21" t="s">
        <v>284</v>
      </c>
      <c r="G71" s="21" t="s">
        <v>209</v>
      </c>
      <c r="H71" s="21" t="s">
        <v>24</v>
      </c>
      <c r="I71" s="21" t="s">
        <v>57</v>
      </c>
      <c r="J71" s="21" t="s">
        <v>58</v>
      </c>
      <c r="K71" s="22">
        <v>0.5</v>
      </c>
      <c r="L71" s="21" t="s">
        <v>87</v>
      </c>
      <c r="M71" s="22">
        <v>2020</v>
      </c>
      <c r="N71" s="21" t="s">
        <v>30</v>
      </c>
      <c r="O71" s="22">
        <v>20</v>
      </c>
      <c r="P71" s="21" t="s">
        <v>25</v>
      </c>
      <c r="Q71" s="21">
        <v>0</v>
      </c>
      <c r="R71" s="21">
        <v>80</v>
      </c>
      <c r="S71" s="40">
        <v>0.4</v>
      </c>
      <c r="T71" s="40">
        <v>0.1</v>
      </c>
      <c r="U71" s="40">
        <v>0</v>
      </c>
    </row>
    <row r="72" spans="1:21" x14ac:dyDescent="0.2">
      <c r="A72" s="21" t="s">
        <v>27</v>
      </c>
      <c r="B72" s="21" t="s">
        <v>28</v>
      </c>
      <c r="C72" s="21" t="s">
        <v>29</v>
      </c>
      <c r="D72" s="21" t="s">
        <v>282</v>
      </c>
      <c r="E72" s="21" t="s">
        <v>283</v>
      </c>
      <c r="F72" s="21" t="s">
        <v>284</v>
      </c>
      <c r="G72" s="21" t="s">
        <v>88</v>
      </c>
      <c r="H72" s="21" t="s">
        <v>24</v>
      </c>
      <c r="I72" s="21" t="s">
        <v>57</v>
      </c>
      <c r="J72" s="21" t="s">
        <v>58</v>
      </c>
      <c r="K72" s="22">
        <v>0.5</v>
      </c>
      <c r="L72" s="21" t="s">
        <v>87</v>
      </c>
      <c r="M72" s="22">
        <v>2020</v>
      </c>
      <c r="N72" s="21" t="s">
        <v>30</v>
      </c>
      <c r="O72" s="22">
        <v>50</v>
      </c>
      <c r="P72" s="21" t="s">
        <v>25</v>
      </c>
      <c r="Q72" s="21">
        <v>0</v>
      </c>
      <c r="R72" s="21">
        <v>50</v>
      </c>
      <c r="S72" s="40">
        <v>0.25</v>
      </c>
      <c r="T72" s="40">
        <v>0.25</v>
      </c>
      <c r="U72" s="40">
        <v>0</v>
      </c>
    </row>
    <row r="73" spans="1:21" x14ac:dyDescent="0.2">
      <c r="A73" s="21" t="s">
        <v>27</v>
      </c>
      <c r="B73" s="21" t="s">
        <v>28</v>
      </c>
      <c r="C73" s="21" t="s">
        <v>29</v>
      </c>
      <c r="D73" s="21" t="s">
        <v>285</v>
      </c>
      <c r="E73" s="21" t="s">
        <v>286</v>
      </c>
      <c r="F73" s="21" t="s">
        <v>287</v>
      </c>
      <c r="G73" s="21" t="s">
        <v>55</v>
      </c>
      <c r="H73" s="21" t="s">
        <v>24</v>
      </c>
      <c r="I73" s="21" t="s">
        <v>50</v>
      </c>
      <c r="J73" s="21" t="s">
        <v>51</v>
      </c>
      <c r="K73" s="22">
        <v>0.5</v>
      </c>
      <c r="L73" s="21" t="s">
        <v>52</v>
      </c>
      <c r="M73" s="22">
        <v>2020</v>
      </c>
      <c r="N73" s="21" t="s">
        <v>30</v>
      </c>
      <c r="O73" s="22">
        <v>50</v>
      </c>
      <c r="P73" s="21" t="s">
        <v>25</v>
      </c>
      <c r="Q73" s="21">
        <v>0</v>
      </c>
      <c r="R73" s="21">
        <v>50</v>
      </c>
      <c r="S73" s="40">
        <v>0.25</v>
      </c>
      <c r="T73" s="40">
        <v>0.25</v>
      </c>
      <c r="U73" s="40">
        <v>0</v>
      </c>
    </row>
    <row r="74" spans="1:21" x14ac:dyDescent="0.2">
      <c r="A74" s="21" t="s">
        <v>27</v>
      </c>
      <c r="B74" s="21" t="s">
        <v>28</v>
      </c>
      <c r="C74" s="21" t="s">
        <v>29</v>
      </c>
      <c r="D74" s="21" t="s">
        <v>285</v>
      </c>
      <c r="E74" s="21" t="s">
        <v>286</v>
      </c>
      <c r="F74" s="21" t="s">
        <v>287</v>
      </c>
      <c r="G74" s="21" t="s">
        <v>60</v>
      </c>
      <c r="H74" s="21" t="s">
        <v>24</v>
      </c>
      <c r="I74" s="21" t="s">
        <v>50</v>
      </c>
      <c r="J74" s="21" t="s">
        <v>51</v>
      </c>
      <c r="K74" s="22">
        <v>0.5</v>
      </c>
      <c r="L74" s="21" t="s">
        <v>52</v>
      </c>
      <c r="M74" s="22">
        <v>2020</v>
      </c>
      <c r="N74" s="21" t="s">
        <v>30</v>
      </c>
      <c r="O74" s="22">
        <v>20</v>
      </c>
      <c r="P74" s="21" t="s">
        <v>25</v>
      </c>
      <c r="Q74" s="21">
        <v>0</v>
      </c>
      <c r="R74" s="21">
        <v>80</v>
      </c>
      <c r="S74" s="40">
        <v>0.4</v>
      </c>
      <c r="T74" s="40">
        <v>0.1</v>
      </c>
      <c r="U74" s="40">
        <v>0</v>
      </c>
    </row>
    <row r="75" spans="1:21" x14ac:dyDescent="0.2">
      <c r="A75" s="21" t="s">
        <v>27</v>
      </c>
      <c r="B75" s="21" t="s">
        <v>28</v>
      </c>
      <c r="C75" s="21" t="s">
        <v>29</v>
      </c>
      <c r="D75" s="21" t="s">
        <v>288</v>
      </c>
      <c r="E75" s="21" t="s">
        <v>289</v>
      </c>
      <c r="F75" s="21" t="s">
        <v>290</v>
      </c>
      <c r="G75" s="21" t="s">
        <v>71</v>
      </c>
      <c r="H75" s="21" t="s">
        <v>24</v>
      </c>
      <c r="I75" s="21" t="s">
        <v>66</v>
      </c>
      <c r="J75" s="21" t="s">
        <v>67</v>
      </c>
      <c r="K75" s="22">
        <v>0.5</v>
      </c>
      <c r="L75" s="21" t="s">
        <v>68</v>
      </c>
      <c r="M75" s="22">
        <v>2020</v>
      </c>
      <c r="N75" s="21" t="s">
        <v>30</v>
      </c>
      <c r="O75" s="22">
        <v>50</v>
      </c>
      <c r="P75" s="21" t="s">
        <v>25</v>
      </c>
      <c r="Q75" s="21">
        <v>0</v>
      </c>
      <c r="R75" s="21">
        <v>50</v>
      </c>
      <c r="S75" s="40">
        <v>0.25</v>
      </c>
      <c r="T75" s="40">
        <v>0.25</v>
      </c>
      <c r="U75" s="40">
        <v>0</v>
      </c>
    </row>
    <row r="76" spans="1:21" x14ac:dyDescent="0.2">
      <c r="A76" s="21" t="s">
        <v>27</v>
      </c>
      <c r="B76" s="21" t="s">
        <v>28</v>
      </c>
      <c r="C76" s="21" t="s">
        <v>29</v>
      </c>
      <c r="D76" s="21" t="s">
        <v>291</v>
      </c>
      <c r="E76" s="21" t="s">
        <v>292</v>
      </c>
      <c r="F76" s="21" t="s">
        <v>293</v>
      </c>
      <c r="G76" s="21" t="s">
        <v>387</v>
      </c>
      <c r="H76" s="21" t="s">
        <v>24</v>
      </c>
      <c r="I76" s="21" t="s">
        <v>42</v>
      </c>
      <c r="J76" s="21" t="s">
        <v>43</v>
      </c>
      <c r="K76" s="22">
        <v>0.5</v>
      </c>
      <c r="L76" s="21" t="s">
        <v>45</v>
      </c>
      <c r="M76" s="22">
        <v>2020</v>
      </c>
      <c r="N76" s="21" t="s">
        <v>30</v>
      </c>
      <c r="O76" s="22">
        <v>20</v>
      </c>
      <c r="P76" s="21" t="s">
        <v>25</v>
      </c>
      <c r="Q76" s="21">
        <v>0</v>
      </c>
      <c r="R76" s="21">
        <v>80</v>
      </c>
      <c r="S76" s="40">
        <v>0.4</v>
      </c>
      <c r="T76" s="40">
        <v>0.1</v>
      </c>
      <c r="U76" s="40">
        <v>0</v>
      </c>
    </row>
    <row r="77" spans="1:21" x14ac:dyDescent="0.2">
      <c r="A77" s="21" t="s">
        <v>27</v>
      </c>
      <c r="B77" s="21" t="s">
        <v>28</v>
      </c>
      <c r="C77" s="21" t="s">
        <v>29</v>
      </c>
      <c r="D77" s="21" t="s">
        <v>291</v>
      </c>
      <c r="E77" s="21" t="s">
        <v>292</v>
      </c>
      <c r="F77" s="21" t="s">
        <v>293</v>
      </c>
      <c r="G77" s="21" t="s">
        <v>73</v>
      </c>
      <c r="H77" s="21" t="s">
        <v>24</v>
      </c>
      <c r="I77" s="21" t="s">
        <v>42</v>
      </c>
      <c r="J77" s="21" t="s">
        <v>43</v>
      </c>
      <c r="K77" s="22">
        <v>0.5</v>
      </c>
      <c r="L77" s="21" t="s">
        <v>45</v>
      </c>
      <c r="M77" s="22">
        <v>2020</v>
      </c>
      <c r="N77" s="21" t="s">
        <v>30</v>
      </c>
      <c r="O77" s="22">
        <v>20</v>
      </c>
      <c r="P77" s="21" t="s">
        <v>25</v>
      </c>
      <c r="Q77" s="21">
        <v>0</v>
      </c>
      <c r="R77" s="21">
        <v>80</v>
      </c>
      <c r="S77" s="40">
        <v>0.4</v>
      </c>
      <c r="T77" s="40">
        <v>0.1</v>
      </c>
      <c r="U77" s="40">
        <v>0</v>
      </c>
    </row>
    <row r="78" spans="1:21" x14ac:dyDescent="0.2">
      <c r="A78" s="21" t="s">
        <v>27</v>
      </c>
      <c r="B78" s="21" t="s">
        <v>28</v>
      </c>
      <c r="C78" s="21" t="s">
        <v>29</v>
      </c>
      <c r="D78" s="21" t="s">
        <v>294</v>
      </c>
      <c r="E78" s="21" t="s">
        <v>295</v>
      </c>
      <c r="F78" s="21" t="s">
        <v>296</v>
      </c>
      <c r="G78" s="21" t="s">
        <v>91</v>
      </c>
      <c r="H78" s="21" t="s">
        <v>24</v>
      </c>
      <c r="I78" s="21" t="s">
        <v>57</v>
      </c>
      <c r="J78" s="21" t="s">
        <v>58</v>
      </c>
      <c r="K78" s="22">
        <v>0.5</v>
      </c>
      <c r="L78" s="21" t="s">
        <v>87</v>
      </c>
      <c r="M78" s="22">
        <v>2020</v>
      </c>
      <c r="N78" s="21" t="s">
        <v>30</v>
      </c>
      <c r="O78" s="22">
        <v>20</v>
      </c>
      <c r="P78" s="21" t="s">
        <v>25</v>
      </c>
      <c r="Q78" s="21">
        <v>0</v>
      </c>
      <c r="R78" s="21">
        <v>80</v>
      </c>
      <c r="S78" s="40">
        <v>0.4</v>
      </c>
      <c r="T78" s="40">
        <v>0.1</v>
      </c>
      <c r="U78" s="40">
        <v>0</v>
      </c>
    </row>
    <row r="79" spans="1:21" x14ac:dyDescent="0.2">
      <c r="A79" s="21" t="s">
        <v>27</v>
      </c>
      <c r="B79" s="21" t="s">
        <v>28</v>
      </c>
      <c r="C79" s="21" t="s">
        <v>29</v>
      </c>
      <c r="D79" s="21" t="s">
        <v>294</v>
      </c>
      <c r="E79" s="21" t="s">
        <v>295</v>
      </c>
      <c r="F79" s="21" t="s">
        <v>296</v>
      </c>
      <c r="G79" s="21" t="s">
        <v>88</v>
      </c>
      <c r="H79" s="21" t="s">
        <v>24</v>
      </c>
      <c r="I79" s="21" t="s">
        <v>57</v>
      </c>
      <c r="J79" s="21" t="s">
        <v>58</v>
      </c>
      <c r="K79" s="22">
        <v>0.5</v>
      </c>
      <c r="L79" s="21" t="s">
        <v>87</v>
      </c>
      <c r="M79" s="22">
        <v>2020</v>
      </c>
      <c r="N79" s="21" t="s">
        <v>30</v>
      </c>
      <c r="O79" s="22">
        <v>50</v>
      </c>
      <c r="P79" s="21" t="s">
        <v>25</v>
      </c>
      <c r="Q79" s="21">
        <v>0</v>
      </c>
      <c r="R79" s="21">
        <v>50</v>
      </c>
      <c r="S79" s="40">
        <v>0.25</v>
      </c>
      <c r="T79" s="40">
        <v>0.25</v>
      </c>
      <c r="U79" s="40">
        <v>0</v>
      </c>
    </row>
    <row r="80" spans="1:21" x14ac:dyDescent="0.2">
      <c r="A80" s="21" t="s">
        <v>27</v>
      </c>
      <c r="B80" s="21" t="s">
        <v>28</v>
      </c>
      <c r="C80" s="21" t="s">
        <v>29</v>
      </c>
      <c r="D80" s="21" t="s">
        <v>297</v>
      </c>
      <c r="E80" s="21" t="s">
        <v>298</v>
      </c>
      <c r="F80" s="21" t="s">
        <v>299</v>
      </c>
      <c r="G80" s="21" t="s">
        <v>69</v>
      </c>
      <c r="H80" s="21" t="s">
        <v>24</v>
      </c>
      <c r="I80" s="21" t="s">
        <v>66</v>
      </c>
      <c r="J80" s="21" t="s">
        <v>67</v>
      </c>
      <c r="K80" s="22">
        <v>0.5</v>
      </c>
      <c r="L80" s="21" t="s">
        <v>68</v>
      </c>
      <c r="M80" s="22">
        <v>2020</v>
      </c>
      <c r="N80" s="21" t="s">
        <v>30</v>
      </c>
      <c r="O80" s="22">
        <v>50</v>
      </c>
      <c r="P80" s="21" t="s">
        <v>25</v>
      </c>
      <c r="Q80" s="21">
        <v>0</v>
      </c>
      <c r="R80" s="21">
        <v>50</v>
      </c>
      <c r="S80" s="40">
        <v>0.25</v>
      </c>
      <c r="T80" s="40">
        <v>0.25</v>
      </c>
      <c r="U80" s="40">
        <v>0</v>
      </c>
    </row>
    <row r="81" spans="1:21" x14ac:dyDescent="0.2">
      <c r="A81" s="21" t="s">
        <v>27</v>
      </c>
      <c r="B81" s="21" t="s">
        <v>28</v>
      </c>
      <c r="C81" s="21" t="s">
        <v>29</v>
      </c>
      <c r="D81" s="21" t="s">
        <v>297</v>
      </c>
      <c r="E81" s="21" t="s">
        <v>298</v>
      </c>
      <c r="F81" s="21" t="s">
        <v>299</v>
      </c>
      <c r="G81" s="21" t="s">
        <v>300</v>
      </c>
      <c r="H81" s="21" t="s">
        <v>24</v>
      </c>
      <c r="I81" s="21" t="s">
        <v>66</v>
      </c>
      <c r="J81" s="21" t="s">
        <v>67</v>
      </c>
      <c r="K81" s="22">
        <v>0.5</v>
      </c>
      <c r="L81" s="21" t="s">
        <v>68</v>
      </c>
      <c r="M81" s="22">
        <v>2020</v>
      </c>
      <c r="N81" s="21" t="s">
        <v>30</v>
      </c>
      <c r="O81" s="22">
        <v>20</v>
      </c>
      <c r="P81" s="21" t="s">
        <v>25</v>
      </c>
      <c r="Q81" s="21">
        <v>0</v>
      </c>
      <c r="R81" s="21">
        <v>80</v>
      </c>
      <c r="S81" s="40">
        <v>0.4</v>
      </c>
      <c r="T81" s="40">
        <v>0.1</v>
      </c>
      <c r="U81" s="40">
        <v>0</v>
      </c>
    </row>
    <row r="82" spans="1:21" x14ac:dyDescent="0.2">
      <c r="A82" s="21" t="s">
        <v>27</v>
      </c>
      <c r="B82" s="21" t="s">
        <v>28</v>
      </c>
      <c r="C82" s="21" t="s">
        <v>29</v>
      </c>
      <c r="D82" s="21" t="s">
        <v>301</v>
      </c>
      <c r="E82" s="21" t="s">
        <v>302</v>
      </c>
      <c r="F82" s="21" t="s">
        <v>296</v>
      </c>
      <c r="G82" s="21" t="s">
        <v>303</v>
      </c>
      <c r="H82" s="21" t="s">
        <v>24</v>
      </c>
      <c r="I82" s="21" t="s">
        <v>42</v>
      </c>
      <c r="J82" s="21" t="s">
        <v>43</v>
      </c>
      <c r="K82" s="22">
        <v>0.5</v>
      </c>
      <c r="L82" s="21" t="s">
        <v>45</v>
      </c>
      <c r="M82" s="22">
        <v>2020</v>
      </c>
      <c r="N82" s="21" t="s">
        <v>30</v>
      </c>
      <c r="O82" s="22">
        <v>20</v>
      </c>
      <c r="P82" s="21" t="s">
        <v>25</v>
      </c>
      <c r="Q82" s="21">
        <v>0</v>
      </c>
      <c r="R82" s="21">
        <v>80</v>
      </c>
      <c r="S82" s="40">
        <v>0.4</v>
      </c>
      <c r="T82" s="40">
        <v>0.1</v>
      </c>
      <c r="U82" s="40">
        <v>0</v>
      </c>
    </row>
    <row r="83" spans="1:21" x14ac:dyDescent="0.2">
      <c r="A83" s="21" t="s">
        <v>27</v>
      </c>
      <c r="B83" s="21" t="s">
        <v>28</v>
      </c>
      <c r="C83" s="21" t="s">
        <v>29</v>
      </c>
      <c r="D83" s="21" t="s">
        <v>301</v>
      </c>
      <c r="E83" s="21" t="s">
        <v>302</v>
      </c>
      <c r="F83" s="21" t="s">
        <v>296</v>
      </c>
      <c r="G83" s="21" t="s">
        <v>79</v>
      </c>
      <c r="H83" s="21" t="s">
        <v>24</v>
      </c>
      <c r="I83" s="21" t="s">
        <v>42</v>
      </c>
      <c r="J83" s="21" t="s">
        <v>43</v>
      </c>
      <c r="K83" s="22">
        <v>0.5</v>
      </c>
      <c r="L83" s="21" t="s">
        <v>45</v>
      </c>
      <c r="M83" s="22">
        <v>2020</v>
      </c>
      <c r="N83" s="21" t="s">
        <v>30</v>
      </c>
      <c r="O83" s="22">
        <v>20</v>
      </c>
      <c r="P83" s="21" t="s">
        <v>25</v>
      </c>
      <c r="Q83" s="21">
        <v>0</v>
      </c>
      <c r="R83" s="21">
        <v>80</v>
      </c>
      <c r="S83" s="40">
        <v>0.4</v>
      </c>
      <c r="T83" s="40">
        <v>0.1</v>
      </c>
      <c r="U83" s="40">
        <v>0</v>
      </c>
    </row>
    <row r="84" spans="1:21" x14ac:dyDescent="0.2">
      <c r="A84" s="21" t="s">
        <v>27</v>
      </c>
      <c r="B84" s="21" t="s">
        <v>28</v>
      </c>
      <c r="C84" s="21" t="s">
        <v>29</v>
      </c>
      <c r="D84" s="21" t="s">
        <v>304</v>
      </c>
      <c r="E84" s="21" t="s">
        <v>305</v>
      </c>
      <c r="F84" s="21" t="s">
        <v>306</v>
      </c>
      <c r="G84" s="21" t="s">
        <v>387</v>
      </c>
      <c r="H84" s="21" t="s">
        <v>24</v>
      </c>
      <c r="I84" s="21" t="s">
        <v>42</v>
      </c>
      <c r="J84" s="21" t="s">
        <v>43</v>
      </c>
      <c r="K84" s="22">
        <v>0.5</v>
      </c>
      <c r="L84" s="21" t="s">
        <v>45</v>
      </c>
      <c r="M84" s="22">
        <v>2020</v>
      </c>
      <c r="N84" s="21" t="s">
        <v>30</v>
      </c>
      <c r="O84" s="22">
        <v>20</v>
      </c>
      <c r="P84" s="21" t="s">
        <v>25</v>
      </c>
      <c r="Q84" s="21">
        <v>0</v>
      </c>
      <c r="R84" s="21">
        <v>80</v>
      </c>
      <c r="S84" s="40">
        <v>0.4</v>
      </c>
      <c r="T84" s="40">
        <v>0.1</v>
      </c>
      <c r="U84" s="40">
        <v>0</v>
      </c>
    </row>
    <row r="85" spans="1:21" x14ac:dyDescent="0.2">
      <c r="A85" s="21" t="s">
        <v>27</v>
      </c>
      <c r="B85" s="21" t="s">
        <v>28</v>
      </c>
      <c r="C85" s="21" t="s">
        <v>29</v>
      </c>
      <c r="D85" s="21" t="s">
        <v>304</v>
      </c>
      <c r="E85" s="21" t="s">
        <v>305</v>
      </c>
      <c r="F85" s="21" t="s">
        <v>306</v>
      </c>
      <c r="G85" s="21" t="s">
        <v>73</v>
      </c>
      <c r="H85" s="21" t="s">
        <v>24</v>
      </c>
      <c r="I85" s="21" t="s">
        <v>42</v>
      </c>
      <c r="J85" s="21" t="s">
        <v>43</v>
      </c>
      <c r="K85" s="22">
        <v>0.5</v>
      </c>
      <c r="L85" s="21" t="s">
        <v>45</v>
      </c>
      <c r="M85" s="22">
        <v>2020</v>
      </c>
      <c r="N85" s="21" t="s">
        <v>30</v>
      </c>
      <c r="O85" s="22">
        <v>20</v>
      </c>
      <c r="P85" s="21" t="s">
        <v>25</v>
      </c>
      <c r="Q85" s="21">
        <v>0</v>
      </c>
      <c r="R85" s="21">
        <v>80</v>
      </c>
      <c r="S85" s="40">
        <v>0.4</v>
      </c>
      <c r="T85" s="40">
        <v>0.1</v>
      </c>
      <c r="U85" s="40">
        <v>0</v>
      </c>
    </row>
    <row r="86" spans="1:21" x14ac:dyDescent="0.2">
      <c r="A86" s="21" t="s">
        <v>27</v>
      </c>
      <c r="B86" s="21" t="s">
        <v>28</v>
      </c>
      <c r="C86" s="21" t="s">
        <v>29</v>
      </c>
      <c r="D86" s="21" t="s">
        <v>307</v>
      </c>
      <c r="E86" s="21" t="s">
        <v>308</v>
      </c>
      <c r="F86" s="21" t="s">
        <v>309</v>
      </c>
      <c r="G86" s="21" t="s">
        <v>85</v>
      </c>
      <c r="H86" s="21" t="s">
        <v>24</v>
      </c>
      <c r="I86" s="21" t="s">
        <v>42</v>
      </c>
      <c r="J86" s="21" t="s">
        <v>43</v>
      </c>
      <c r="K86" s="22">
        <v>0.5</v>
      </c>
      <c r="L86" s="21" t="s">
        <v>45</v>
      </c>
      <c r="M86" s="22">
        <v>2020</v>
      </c>
      <c r="N86" s="21" t="s">
        <v>30</v>
      </c>
      <c r="O86" s="22">
        <v>50</v>
      </c>
      <c r="P86" s="21" t="s">
        <v>25</v>
      </c>
      <c r="Q86" s="21">
        <v>0</v>
      </c>
      <c r="R86" s="21">
        <v>50</v>
      </c>
      <c r="S86" s="40">
        <v>0.25</v>
      </c>
      <c r="T86" s="40">
        <v>0.25</v>
      </c>
      <c r="U86" s="40">
        <v>0</v>
      </c>
    </row>
    <row r="87" spans="1:21" x14ac:dyDescent="0.2">
      <c r="A87" s="21" t="s">
        <v>27</v>
      </c>
      <c r="B87" s="21" t="s">
        <v>28</v>
      </c>
      <c r="C87" s="21" t="s">
        <v>29</v>
      </c>
      <c r="D87" s="21" t="s">
        <v>307</v>
      </c>
      <c r="E87" s="21" t="s">
        <v>308</v>
      </c>
      <c r="F87" s="21" t="s">
        <v>309</v>
      </c>
      <c r="G87" s="21" t="s">
        <v>310</v>
      </c>
      <c r="H87" s="21" t="s">
        <v>24</v>
      </c>
      <c r="I87" s="21" t="s">
        <v>42</v>
      </c>
      <c r="J87" s="21" t="s">
        <v>43</v>
      </c>
      <c r="K87" s="22">
        <v>0.5</v>
      </c>
      <c r="L87" s="21" t="s">
        <v>45</v>
      </c>
      <c r="M87" s="22">
        <v>2020</v>
      </c>
      <c r="N87" s="21" t="s">
        <v>30</v>
      </c>
      <c r="O87" s="22">
        <v>20</v>
      </c>
      <c r="P87" s="21" t="s">
        <v>25</v>
      </c>
      <c r="Q87" s="21">
        <v>0</v>
      </c>
      <c r="R87" s="21">
        <v>80</v>
      </c>
      <c r="S87" s="40">
        <v>0.4</v>
      </c>
      <c r="T87" s="40">
        <v>0.1</v>
      </c>
      <c r="U87" s="40">
        <v>0</v>
      </c>
    </row>
    <row r="88" spans="1:21" x14ac:dyDescent="0.2">
      <c r="A88" s="21" t="s">
        <v>27</v>
      </c>
      <c r="B88" s="21" t="s">
        <v>28</v>
      </c>
      <c r="C88" s="21" t="s">
        <v>29</v>
      </c>
      <c r="D88" s="21" t="s">
        <v>311</v>
      </c>
      <c r="E88" s="21" t="s">
        <v>312</v>
      </c>
      <c r="F88" s="21" t="s">
        <v>313</v>
      </c>
      <c r="G88" s="21" t="s">
        <v>314</v>
      </c>
      <c r="H88" s="21" t="s">
        <v>24</v>
      </c>
      <c r="I88" s="21" t="s">
        <v>42</v>
      </c>
      <c r="J88" s="21" t="s">
        <v>43</v>
      </c>
      <c r="K88" s="22">
        <v>0.5</v>
      </c>
      <c r="L88" s="21" t="s">
        <v>45</v>
      </c>
      <c r="M88" s="22">
        <v>2020</v>
      </c>
      <c r="N88" s="21" t="s">
        <v>30</v>
      </c>
      <c r="O88" s="22">
        <v>20</v>
      </c>
      <c r="P88" s="21" t="s">
        <v>25</v>
      </c>
      <c r="Q88" s="21">
        <v>0</v>
      </c>
      <c r="R88" s="21">
        <v>80</v>
      </c>
      <c r="S88" s="40">
        <v>0.4</v>
      </c>
      <c r="T88" s="40">
        <v>0.1</v>
      </c>
      <c r="U88" s="40">
        <v>0</v>
      </c>
    </row>
    <row r="89" spans="1:21" x14ac:dyDescent="0.2">
      <c r="A89" s="21" t="s">
        <v>27</v>
      </c>
      <c r="B89" s="21" t="s">
        <v>28</v>
      </c>
      <c r="C89" s="21" t="s">
        <v>29</v>
      </c>
      <c r="D89" s="21" t="s">
        <v>315</v>
      </c>
      <c r="E89" s="21" t="s">
        <v>388</v>
      </c>
      <c r="F89" s="21" t="s">
        <v>316</v>
      </c>
      <c r="G89" s="21" t="s">
        <v>54</v>
      </c>
      <c r="H89" s="21" t="s">
        <v>26</v>
      </c>
      <c r="I89" s="21" t="s">
        <v>50</v>
      </c>
      <c r="J89" s="21" t="s">
        <v>51</v>
      </c>
      <c r="K89" s="22">
        <v>1</v>
      </c>
      <c r="L89" s="21" t="s">
        <v>52</v>
      </c>
      <c r="M89" s="22">
        <v>2020</v>
      </c>
      <c r="N89" s="21" t="s">
        <v>30</v>
      </c>
      <c r="O89" s="22">
        <v>20</v>
      </c>
      <c r="P89" s="21" t="s">
        <v>47</v>
      </c>
      <c r="Q89" s="21">
        <v>10</v>
      </c>
      <c r="R89" s="21">
        <v>70</v>
      </c>
      <c r="S89" s="40">
        <v>0.7</v>
      </c>
      <c r="T89" s="40">
        <v>0.2</v>
      </c>
      <c r="U89" s="40">
        <v>0.1</v>
      </c>
    </row>
    <row r="90" spans="1:21" x14ac:dyDescent="0.2">
      <c r="A90" s="21" t="s">
        <v>27</v>
      </c>
      <c r="B90" s="21" t="s">
        <v>28</v>
      </c>
      <c r="C90" s="21" t="s">
        <v>29</v>
      </c>
      <c r="D90" s="21" t="s">
        <v>317</v>
      </c>
      <c r="E90" s="21" t="s">
        <v>318</v>
      </c>
      <c r="F90" s="21" t="s">
        <v>319</v>
      </c>
      <c r="G90" s="21" t="s">
        <v>54</v>
      </c>
      <c r="H90" s="21" t="s">
        <v>26</v>
      </c>
      <c r="I90" s="21" t="s">
        <v>50</v>
      </c>
      <c r="J90" s="21" t="s">
        <v>51</v>
      </c>
      <c r="K90" s="22">
        <v>1</v>
      </c>
      <c r="L90" s="21" t="s">
        <v>52</v>
      </c>
      <c r="M90" s="22">
        <v>2020</v>
      </c>
      <c r="N90" s="21" t="s">
        <v>30</v>
      </c>
      <c r="O90" s="22">
        <v>20</v>
      </c>
      <c r="P90" s="21" t="s">
        <v>47</v>
      </c>
      <c r="Q90" s="21">
        <v>10</v>
      </c>
      <c r="R90" s="21">
        <v>70</v>
      </c>
      <c r="S90" s="40">
        <v>0.7</v>
      </c>
      <c r="T90" s="40">
        <v>0.2</v>
      </c>
      <c r="U90" s="40">
        <v>0.1</v>
      </c>
    </row>
    <row r="91" spans="1:21" x14ac:dyDescent="0.2">
      <c r="A91" s="21" t="s">
        <v>27</v>
      </c>
      <c r="B91" s="21" t="s">
        <v>28</v>
      </c>
      <c r="C91" s="21" t="s">
        <v>29</v>
      </c>
      <c r="D91" s="21" t="s">
        <v>320</v>
      </c>
      <c r="E91" s="21" t="s">
        <v>321</v>
      </c>
      <c r="F91" s="21" t="s">
        <v>322</v>
      </c>
      <c r="G91" s="21" t="s">
        <v>209</v>
      </c>
      <c r="H91" s="21" t="s">
        <v>24</v>
      </c>
      <c r="I91" s="21" t="s">
        <v>57</v>
      </c>
      <c r="J91" s="21" t="s">
        <v>58</v>
      </c>
      <c r="K91" s="22">
        <v>0.5</v>
      </c>
      <c r="L91" s="21" t="s">
        <v>87</v>
      </c>
      <c r="M91" s="22">
        <v>2020</v>
      </c>
      <c r="N91" s="21" t="s">
        <v>30</v>
      </c>
      <c r="O91" s="22">
        <v>20</v>
      </c>
      <c r="P91" s="21" t="s">
        <v>25</v>
      </c>
      <c r="Q91" s="21">
        <v>0</v>
      </c>
      <c r="R91" s="21">
        <v>80</v>
      </c>
      <c r="S91" s="40">
        <v>0.4</v>
      </c>
      <c r="T91" s="40">
        <v>0.1</v>
      </c>
      <c r="U91" s="40">
        <v>0</v>
      </c>
    </row>
    <row r="92" spans="1:21" x14ac:dyDescent="0.2">
      <c r="A92" s="21" t="s">
        <v>27</v>
      </c>
      <c r="B92" s="21" t="s">
        <v>28</v>
      </c>
      <c r="C92" s="21" t="s">
        <v>29</v>
      </c>
      <c r="D92" s="21" t="s">
        <v>320</v>
      </c>
      <c r="E92" s="21" t="s">
        <v>321</v>
      </c>
      <c r="F92" s="21" t="s">
        <v>322</v>
      </c>
      <c r="G92" s="21" t="s">
        <v>88</v>
      </c>
      <c r="H92" s="21" t="s">
        <v>24</v>
      </c>
      <c r="I92" s="21" t="s">
        <v>57</v>
      </c>
      <c r="J92" s="21" t="s">
        <v>58</v>
      </c>
      <c r="K92" s="22">
        <v>0.5</v>
      </c>
      <c r="L92" s="21" t="s">
        <v>87</v>
      </c>
      <c r="M92" s="22">
        <v>2020</v>
      </c>
      <c r="N92" s="21" t="s">
        <v>30</v>
      </c>
      <c r="O92" s="22">
        <v>50</v>
      </c>
      <c r="P92" s="21" t="s">
        <v>25</v>
      </c>
      <c r="Q92" s="21">
        <v>0</v>
      </c>
      <c r="R92" s="21">
        <v>50</v>
      </c>
      <c r="S92" s="40">
        <v>0.25</v>
      </c>
      <c r="T92" s="40">
        <v>0.25</v>
      </c>
      <c r="U92" s="40">
        <v>0</v>
      </c>
    </row>
    <row r="93" spans="1:21" x14ac:dyDescent="0.2">
      <c r="A93" s="21" t="s">
        <v>27</v>
      </c>
      <c r="B93" s="21" t="s">
        <v>28</v>
      </c>
      <c r="C93" s="21" t="s">
        <v>29</v>
      </c>
      <c r="D93" s="21" t="s">
        <v>323</v>
      </c>
      <c r="E93" s="21" t="s">
        <v>324</v>
      </c>
      <c r="F93" s="21" t="s">
        <v>325</v>
      </c>
      <c r="G93" s="21" t="s">
        <v>75</v>
      </c>
      <c r="H93" s="21" t="s">
        <v>26</v>
      </c>
      <c r="I93" s="21" t="s">
        <v>42</v>
      </c>
      <c r="J93" s="21" t="s">
        <v>43</v>
      </c>
      <c r="K93" s="22">
        <v>1</v>
      </c>
      <c r="L93" s="21" t="s">
        <v>45</v>
      </c>
      <c r="M93" s="22">
        <v>2020</v>
      </c>
      <c r="N93" s="21" t="s">
        <v>30</v>
      </c>
      <c r="O93" s="22">
        <v>20</v>
      </c>
      <c r="P93" s="21" t="s">
        <v>25</v>
      </c>
      <c r="Q93" s="21">
        <v>0</v>
      </c>
      <c r="R93" s="21">
        <v>80</v>
      </c>
      <c r="S93" s="40">
        <v>0.8</v>
      </c>
      <c r="T93" s="40">
        <v>0.2</v>
      </c>
      <c r="U93" s="40">
        <v>0</v>
      </c>
    </row>
    <row r="94" spans="1:21" x14ac:dyDescent="0.2">
      <c r="A94" s="21" t="s">
        <v>27</v>
      </c>
      <c r="B94" s="21" t="s">
        <v>28</v>
      </c>
      <c r="C94" s="21" t="s">
        <v>29</v>
      </c>
      <c r="D94" s="21" t="s">
        <v>326</v>
      </c>
      <c r="E94" s="21" t="s">
        <v>327</v>
      </c>
      <c r="F94" s="21" t="s">
        <v>328</v>
      </c>
      <c r="G94" s="21" t="s">
        <v>69</v>
      </c>
      <c r="H94" s="21" t="s">
        <v>24</v>
      </c>
      <c r="I94" s="21" t="s">
        <v>66</v>
      </c>
      <c r="J94" s="21" t="s">
        <v>67</v>
      </c>
      <c r="K94" s="22">
        <v>0.5</v>
      </c>
      <c r="L94" s="21" t="s">
        <v>68</v>
      </c>
      <c r="M94" s="22">
        <v>2020</v>
      </c>
      <c r="N94" s="21" t="s">
        <v>30</v>
      </c>
      <c r="O94" s="22">
        <v>50</v>
      </c>
      <c r="P94" s="21" t="s">
        <v>25</v>
      </c>
      <c r="Q94" s="21">
        <v>0</v>
      </c>
      <c r="R94" s="21">
        <v>50</v>
      </c>
      <c r="S94" s="40">
        <v>0.25</v>
      </c>
      <c r="T94" s="40">
        <v>0.25</v>
      </c>
      <c r="U94" s="40">
        <v>0</v>
      </c>
    </row>
    <row r="95" spans="1:21" x14ac:dyDescent="0.2">
      <c r="A95" s="21" t="s">
        <v>27</v>
      </c>
      <c r="B95" s="21" t="s">
        <v>28</v>
      </c>
      <c r="C95" s="21" t="s">
        <v>29</v>
      </c>
      <c r="D95" s="21" t="s">
        <v>326</v>
      </c>
      <c r="E95" s="21" t="s">
        <v>327</v>
      </c>
      <c r="F95" s="21" t="s">
        <v>328</v>
      </c>
      <c r="G95" s="21" t="s">
        <v>300</v>
      </c>
      <c r="H95" s="21" t="s">
        <v>24</v>
      </c>
      <c r="I95" s="21" t="s">
        <v>66</v>
      </c>
      <c r="J95" s="21" t="s">
        <v>67</v>
      </c>
      <c r="K95" s="22">
        <v>0.5</v>
      </c>
      <c r="L95" s="21" t="s">
        <v>68</v>
      </c>
      <c r="M95" s="22">
        <v>2020</v>
      </c>
      <c r="N95" s="21" t="s">
        <v>30</v>
      </c>
      <c r="O95" s="22">
        <v>20</v>
      </c>
      <c r="P95" s="21" t="s">
        <v>25</v>
      </c>
      <c r="Q95" s="21">
        <v>0</v>
      </c>
      <c r="R95" s="21">
        <v>80</v>
      </c>
      <c r="S95" s="40">
        <v>0.4</v>
      </c>
      <c r="T95" s="40">
        <v>0.1</v>
      </c>
      <c r="U95" s="40">
        <v>0</v>
      </c>
    </row>
    <row r="96" spans="1:21" x14ac:dyDescent="0.2">
      <c r="A96" s="21" t="s">
        <v>37</v>
      </c>
      <c r="B96" s="21" t="s">
        <v>38</v>
      </c>
      <c r="C96" s="21" t="s">
        <v>39</v>
      </c>
      <c r="D96" s="21" t="s">
        <v>389</v>
      </c>
      <c r="E96" s="21" t="s">
        <v>390</v>
      </c>
      <c r="F96" s="21" t="s">
        <v>391</v>
      </c>
      <c r="G96" s="21" t="s">
        <v>355</v>
      </c>
      <c r="H96" s="21" t="s">
        <v>24</v>
      </c>
      <c r="I96" s="21" t="s">
        <v>356</v>
      </c>
      <c r="J96" s="21" t="s">
        <v>357</v>
      </c>
      <c r="K96" s="22">
        <v>0.5</v>
      </c>
      <c r="L96" s="21" t="s">
        <v>41</v>
      </c>
      <c r="M96" s="22">
        <v>2021</v>
      </c>
      <c r="N96" s="21" t="s">
        <v>30</v>
      </c>
      <c r="O96" s="22">
        <v>20</v>
      </c>
      <c r="P96" s="21" t="s">
        <v>25</v>
      </c>
      <c r="Q96" s="21">
        <v>0</v>
      </c>
      <c r="R96" s="21">
        <v>80</v>
      </c>
      <c r="S96" s="40">
        <v>0.4</v>
      </c>
      <c r="T96" s="40">
        <v>0.1</v>
      </c>
      <c r="U96" s="40">
        <v>0</v>
      </c>
    </row>
    <row r="97" spans="1:21" x14ac:dyDescent="0.2">
      <c r="A97" s="21" t="s">
        <v>37</v>
      </c>
      <c r="B97" s="21" t="s">
        <v>38</v>
      </c>
      <c r="C97" s="21" t="s">
        <v>39</v>
      </c>
      <c r="D97" s="21" t="s">
        <v>392</v>
      </c>
      <c r="E97" s="21" t="s">
        <v>393</v>
      </c>
      <c r="F97" s="21" t="s">
        <v>394</v>
      </c>
      <c r="G97" s="21" t="s">
        <v>355</v>
      </c>
      <c r="H97" s="21" t="s">
        <v>24</v>
      </c>
      <c r="I97" s="21" t="s">
        <v>356</v>
      </c>
      <c r="J97" s="21" t="s">
        <v>357</v>
      </c>
      <c r="K97" s="22">
        <v>0.5</v>
      </c>
      <c r="L97" s="21" t="s">
        <v>41</v>
      </c>
      <c r="M97" s="22">
        <v>2021</v>
      </c>
      <c r="N97" s="21" t="s">
        <v>30</v>
      </c>
      <c r="O97" s="22">
        <v>20</v>
      </c>
      <c r="P97" s="21" t="s">
        <v>25</v>
      </c>
      <c r="Q97" s="21">
        <v>0</v>
      </c>
      <c r="R97" s="21">
        <v>80</v>
      </c>
      <c r="S97" s="40">
        <v>0.4</v>
      </c>
      <c r="T97" s="40">
        <v>0.1</v>
      </c>
      <c r="U97" s="40">
        <v>0</v>
      </c>
    </row>
    <row r="98" spans="1:21" x14ac:dyDescent="0.2">
      <c r="A98" s="21" t="s">
        <v>27</v>
      </c>
      <c r="B98" s="21" t="s">
        <v>28</v>
      </c>
      <c r="C98" s="21" t="s">
        <v>29</v>
      </c>
      <c r="D98" s="21" t="s">
        <v>340</v>
      </c>
      <c r="E98" s="21" t="s">
        <v>341</v>
      </c>
      <c r="F98" s="21" t="s">
        <v>342</v>
      </c>
      <c r="G98" s="21" t="s">
        <v>80</v>
      </c>
      <c r="H98" s="21" t="s">
        <v>24</v>
      </c>
      <c r="I98" s="21" t="s">
        <v>42</v>
      </c>
      <c r="J98" s="21" t="s">
        <v>43</v>
      </c>
      <c r="K98" s="22">
        <v>0.5</v>
      </c>
      <c r="L98" s="21" t="s">
        <v>45</v>
      </c>
      <c r="M98" s="22">
        <v>2021</v>
      </c>
      <c r="N98" s="21" t="s">
        <v>30</v>
      </c>
      <c r="O98" s="22">
        <v>20</v>
      </c>
      <c r="P98" s="21" t="s">
        <v>25</v>
      </c>
      <c r="Q98" s="21">
        <v>0</v>
      </c>
      <c r="R98" s="21">
        <v>80</v>
      </c>
      <c r="S98" s="40">
        <v>0.4</v>
      </c>
      <c r="T98" s="40">
        <v>0.1</v>
      </c>
      <c r="U98" s="40">
        <v>0</v>
      </c>
    </row>
    <row r="99" spans="1:21" x14ac:dyDescent="0.2">
      <c r="A99" s="21" t="s">
        <v>27</v>
      </c>
      <c r="B99" s="21" t="s">
        <v>28</v>
      </c>
      <c r="C99" s="21" t="s">
        <v>29</v>
      </c>
      <c r="D99" s="21" t="s">
        <v>395</v>
      </c>
      <c r="E99" s="21" t="s">
        <v>396</v>
      </c>
      <c r="F99" s="21" t="s">
        <v>397</v>
      </c>
      <c r="G99" s="21" t="s">
        <v>44</v>
      </c>
      <c r="H99" s="21" t="s">
        <v>26</v>
      </c>
      <c r="I99" s="21" t="s">
        <v>42</v>
      </c>
      <c r="J99" s="21" t="s">
        <v>43</v>
      </c>
      <c r="K99" s="22">
        <v>1</v>
      </c>
      <c r="L99" s="21" t="s">
        <v>45</v>
      </c>
      <c r="M99" s="22">
        <v>2021</v>
      </c>
      <c r="N99" s="21" t="s">
        <v>30</v>
      </c>
      <c r="O99" s="22">
        <v>20</v>
      </c>
      <c r="P99" s="21" t="s">
        <v>25</v>
      </c>
      <c r="Q99" s="21">
        <v>0</v>
      </c>
      <c r="R99" s="21">
        <v>80</v>
      </c>
      <c r="S99" s="40">
        <v>0.8</v>
      </c>
      <c r="T99" s="40">
        <v>0.2</v>
      </c>
      <c r="U99" s="40">
        <v>0</v>
      </c>
    </row>
    <row r="100" spans="1:21" x14ac:dyDescent="0.2">
      <c r="A100" s="21" t="s">
        <v>27</v>
      </c>
      <c r="B100" s="21" t="s">
        <v>28</v>
      </c>
      <c r="C100" s="21" t="s">
        <v>29</v>
      </c>
      <c r="D100" s="21" t="s">
        <v>398</v>
      </c>
      <c r="E100" s="21" t="s">
        <v>399</v>
      </c>
      <c r="F100" s="21" t="s">
        <v>400</v>
      </c>
      <c r="G100" s="21" t="s">
        <v>44</v>
      </c>
      <c r="H100" s="21" t="s">
        <v>26</v>
      </c>
      <c r="I100" s="21" t="s">
        <v>42</v>
      </c>
      <c r="J100" s="21" t="s">
        <v>43</v>
      </c>
      <c r="K100" s="22">
        <v>1</v>
      </c>
      <c r="L100" s="21" t="s">
        <v>45</v>
      </c>
      <c r="M100" s="22">
        <v>2021</v>
      </c>
      <c r="N100" s="21" t="s">
        <v>30</v>
      </c>
      <c r="O100" s="22">
        <v>20</v>
      </c>
      <c r="P100" s="21" t="s">
        <v>25</v>
      </c>
      <c r="Q100" s="21">
        <v>0</v>
      </c>
      <c r="R100" s="21">
        <v>80</v>
      </c>
      <c r="S100" s="40">
        <v>0.8</v>
      </c>
      <c r="T100" s="40">
        <v>0.2</v>
      </c>
      <c r="U100" s="40">
        <v>0</v>
      </c>
    </row>
    <row r="101" spans="1:21" x14ac:dyDescent="0.2">
      <c r="A101" s="21" t="s">
        <v>27</v>
      </c>
      <c r="B101" s="21" t="s">
        <v>28</v>
      </c>
      <c r="C101" s="21" t="s">
        <v>29</v>
      </c>
      <c r="D101" s="21" t="s">
        <v>401</v>
      </c>
      <c r="E101" s="21" t="s">
        <v>402</v>
      </c>
      <c r="F101" s="21" t="s">
        <v>403</v>
      </c>
      <c r="G101" s="21" t="s">
        <v>44</v>
      </c>
      <c r="H101" s="21" t="s">
        <v>26</v>
      </c>
      <c r="I101" s="21" t="s">
        <v>42</v>
      </c>
      <c r="J101" s="21" t="s">
        <v>43</v>
      </c>
      <c r="K101" s="22">
        <v>1</v>
      </c>
      <c r="L101" s="21" t="s">
        <v>45</v>
      </c>
      <c r="M101" s="22">
        <v>2021</v>
      </c>
      <c r="N101" s="21" t="s">
        <v>30</v>
      </c>
      <c r="O101" s="22">
        <v>20</v>
      </c>
      <c r="P101" s="21" t="s">
        <v>25</v>
      </c>
      <c r="Q101" s="21">
        <v>0</v>
      </c>
      <c r="R101" s="21">
        <v>80</v>
      </c>
      <c r="S101" s="40">
        <v>0.8</v>
      </c>
      <c r="T101" s="40">
        <v>0.2</v>
      </c>
      <c r="U101" s="40">
        <v>0</v>
      </c>
    </row>
    <row r="102" spans="1:21" x14ac:dyDescent="0.2">
      <c r="A102" s="21" t="s">
        <v>27</v>
      </c>
      <c r="B102" s="21" t="s">
        <v>28</v>
      </c>
      <c r="C102" s="21" t="s">
        <v>29</v>
      </c>
      <c r="D102" s="21" t="s">
        <v>404</v>
      </c>
      <c r="E102" s="21" t="s">
        <v>405</v>
      </c>
      <c r="F102" s="21" t="s">
        <v>406</v>
      </c>
      <c r="G102" s="21" t="s">
        <v>85</v>
      </c>
      <c r="H102" s="21" t="s">
        <v>24</v>
      </c>
      <c r="I102" s="21" t="s">
        <v>42</v>
      </c>
      <c r="J102" s="21" t="s">
        <v>43</v>
      </c>
      <c r="K102" s="22">
        <v>0.5</v>
      </c>
      <c r="L102" s="21" t="s">
        <v>45</v>
      </c>
      <c r="M102" s="22">
        <v>2021</v>
      </c>
      <c r="N102" s="21" t="s">
        <v>30</v>
      </c>
      <c r="O102" s="22">
        <v>50</v>
      </c>
      <c r="P102" s="21" t="s">
        <v>25</v>
      </c>
      <c r="Q102" s="21">
        <v>0</v>
      </c>
      <c r="R102" s="21">
        <v>50</v>
      </c>
      <c r="S102" s="40">
        <v>0.25</v>
      </c>
      <c r="T102" s="40">
        <v>0.25</v>
      </c>
      <c r="U102" s="40">
        <v>0</v>
      </c>
    </row>
    <row r="103" spans="1:21" x14ac:dyDescent="0.2">
      <c r="A103" s="21" t="s">
        <v>27</v>
      </c>
      <c r="B103" s="21" t="s">
        <v>28</v>
      </c>
      <c r="C103" s="21" t="s">
        <v>29</v>
      </c>
      <c r="D103" s="21" t="s">
        <v>404</v>
      </c>
      <c r="E103" s="21" t="s">
        <v>405</v>
      </c>
      <c r="F103" s="21" t="s">
        <v>406</v>
      </c>
      <c r="G103" s="21" t="s">
        <v>303</v>
      </c>
      <c r="H103" s="21" t="s">
        <v>24</v>
      </c>
      <c r="I103" s="21" t="s">
        <v>42</v>
      </c>
      <c r="J103" s="21" t="s">
        <v>43</v>
      </c>
      <c r="K103" s="22">
        <v>0.5</v>
      </c>
      <c r="L103" s="21" t="s">
        <v>45</v>
      </c>
      <c r="M103" s="22">
        <v>2021</v>
      </c>
      <c r="N103" s="21" t="s">
        <v>30</v>
      </c>
      <c r="O103" s="22">
        <v>20</v>
      </c>
      <c r="P103" s="21" t="s">
        <v>25</v>
      </c>
      <c r="Q103" s="21">
        <v>0</v>
      </c>
      <c r="R103" s="21">
        <v>80</v>
      </c>
      <c r="S103" s="40">
        <v>0.4</v>
      </c>
      <c r="T103" s="40">
        <v>0.1</v>
      </c>
      <c r="U103" s="40">
        <v>0</v>
      </c>
    </row>
    <row r="104" spans="1:21" x14ac:dyDescent="0.2">
      <c r="A104" s="21" t="s">
        <v>27</v>
      </c>
      <c r="B104" s="21" t="s">
        <v>28</v>
      </c>
      <c r="C104" s="21" t="s">
        <v>29</v>
      </c>
      <c r="D104" s="21" t="s">
        <v>407</v>
      </c>
      <c r="E104" s="21" t="s">
        <v>408</v>
      </c>
      <c r="F104" s="21" t="s">
        <v>348</v>
      </c>
      <c r="G104" s="21" t="s">
        <v>86</v>
      </c>
      <c r="H104" s="21" t="s">
        <v>26</v>
      </c>
      <c r="I104" s="21" t="s">
        <v>42</v>
      </c>
      <c r="J104" s="21" t="s">
        <v>43</v>
      </c>
      <c r="K104" s="22">
        <v>1</v>
      </c>
      <c r="L104" s="21" t="s">
        <v>45</v>
      </c>
      <c r="M104" s="22">
        <v>2021</v>
      </c>
      <c r="N104" s="21" t="s">
        <v>30</v>
      </c>
      <c r="O104" s="22">
        <v>20</v>
      </c>
      <c r="P104" s="21" t="s">
        <v>25</v>
      </c>
      <c r="Q104" s="21">
        <v>0</v>
      </c>
      <c r="R104" s="21">
        <v>80</v>
      </c>
      <c r="S104" s="40">
        <v>0.8</v>
      </c>
      <c r="T104" s="40">
        <v>0.2</v>
      </c>
      <c r="U104" s="40">
        <v>0</v>
      </c>
    </row>
    <row r="105" spans="1:21" x14ac:dyDescent="0.2">
      <c r="A105" s="21" t="s">
        <v>27</v>
      </c>
      <c r="B105" s="21" t="s">
        <v>28</v>
      </c>
      <c r="C105" s="21" t="s">
        <v>29</v>
      </c>
      <c r="D105" s="21" t="s">
        <v>409</v>
      </c>
      <c r="E105" s="21" t="s">
        <v>410</v>
      </c>
      <c r="F105" s="21" t="s">
        <v>351</v>
      </c>
      <c r="G105" s="21" t="s">
        <v>63</v>
      </c>
      <c r="H105" s="21" t="s">
        <v>24</v>
      </c>
      <c r="I105" s="21" t="s">
        <v>50</v>
      </c>
      <c r="J105" s="21" t="s">
        <v>51</v>
      </c>
      <c r="K105" s="22">
        <v>0.5</v>
      </c>
      <c r="L105" s="21" t="s">
        <v>52</v>
      </c>
      <c r="M105" s="22">
        <v>2021</v>
      </c>
      <c r="N105" s="21" t="s">
        <v>30</v>
      </c>
      <c r="O105" s="22">
        <v>20</v>
      </c>
      <c r="P105" s="21" t="s">
        <v>25</v>
      </c>
      <c r="Q105" s="21">
        <v>0</v>
      </c>
      <c r="R105" s="21">
        <v>80</v>
      </c>
      <c r="S105" s="40">
        <v>0.4</v>
      </c>
      <c r="T105" s="40">
        <v>0.1</v>
      </c>
      <c r="U105" s="40">
        <v>0</v>
      </c>
    </row>
    <row r="106" spans="1:21" x14ac:dyDescent="0.2">
      <c r="A106" s="21" t="s">
        <v>27</v>
      </c>
      <c r="B106" s="21" t="s">
        <v>28</v>
      </c>
      <c r="C106" s="21" t="s">
        <v>29</v>
      </c>
      <c r="D106" s="21" t="s">
        <v>409</v>
      </c>
      <c r="E106" s="21" t="s">
        <v>410</v>
      </c>
      <c r="F106" s="21" t="s">
        <v>351</v>
      </c>
      <c r="G106" s="21" t="s">
        <v>411</v>
      </c>
      <c r="H106" s="21" t="s">
        <v>24</v>
      </c>
      <c r="I106" s="21" t="s">
        <v>50</v>
      </c>
      <c r="J106" s="21" t="s">
        <v>51</v>
      </c>
      <c r="K106" s="22">
        <v>0.5</v>
      </c>
      <c r="L106" s="21" t="s">
        <v>52</v>
      </c>
      <c r="M106" s="22">
        <v>2021</v>
      </c>
      <c r="N106" s="21" t="s">
        <v>30</v>
      </c>
      <c r="O106" s="22">
        <v>20</v>
      </c>
      <c r="P106" s="21" t="s">
        <v>25</v>
      </c>
      <c r="Q106" s="21">
        <v>0</v>
      </c>
      <c r="R106" s="21">
        <v>80</v>
      </c>
      <c r="S106" s="40">
        <v>0.4</v>
      </c>
      <c r="T106" s="40">
        <v>0.1</v>
      </c>
      <c r="U106" s="40">
        <v>0</v>
      </c>
    </row>
    <row r="107" spans="1:21" x14ac:dyDescent="0.2">
      <c r="A107" s="21" t="s">
        <v>27</v>
      </c>
      <c r="B107" s="21" t="s">
        <v>28</v>
      </c>
      <c r="C107" s="21" t="s">
        <v>29</v>
      </c>
      <c r="D107" s="21" t="s">
        <v>412</v>
      </c>
      <c r="E107" s="21" t="s">
        <v>413</v>
      </c>
      <c r="F107" s="21" t="s">
        <v>414</v>
      </c>
      <c r="G107" s="21" t="s">
        <v>90</v>
      </c>
      <c r="H107" s="21" t="s">
        <v>24</v>
      </c>
      <c r="I107" s="21" t="s">
        <v>57</v>
      </c>
      <c r="J107" s="21" t="s">
        <v>58</v>
      </c>
      <c r="K107" s="22">
        <v>0.5</v>
      </c>
      <c r="L107" s="21" t="s">
        <v>87</v>
      </c>
      <c r="M107" s="22">
        <v>2021</v>
      </c>
      <c r="N107" s="21" t="s">
        <v>30</v>
      </c>
      <c r="O107" s="22">
        <v>20</v>
      </c>
      <c r="P107" s="21" t="s">
        <v>25</v>
      </c>
      <c r="Q107" s="21">
        <v>0</v>
      </c>
      <c r="R107" s="21">
        <v>80</v>
      </c>
      <c r="S107" s="40">
        <v>0.4</v>
      </c>
      <c r="T107" s="40">
        <v>0.1</v>
      </c>
      <c r="U107" s="40">
        <v>0</v>
      </c>
    </row>
    <row r="108" spans="1:21" x14ac:dyDescent="0.2">
      <c r="A108" s="21" t="s">
        <v>27</v>
      </c>
      <c r="B108" s="21" t="s">
        <v>28</v>
      </c>
      <c r="C108" s="21" t="s">
        <v>29</v>
      </c>
      <c r="D108" s="21" t="s">
        <v>412</v>
      </c>
      <c r="E108" s="21" t="s">
        <v>413</v>
      </c>
      <c r="F108" s="21" t="s">
        <v>414</v>
      </c>
      <c r="G108" s="21" t="s">
        <v>89</v>
      </c>
      <c r="H108" s="21" t="s">
        <v>24</v>
      </c>
      <c r="I108" s="21" t="s">
        <v>57</v>
      </c>
      <c r="J108" s="21" t="s">
        <v>58</v>
      </c>
      <c r="K108" s="22">
        <v>0.5</v>
      </c>
      <c r="L108" s="21" t="s">
        <v>87</v>
      </c>
      <c r="M108" s="22">
        <v>2021</v>
      </c>
      <c r="N108" s="21" t="s">
        <v>30</v>
      </c>
      <c r="O108" s="22">
        <v>20</v>
      </c>
      <c r="P108" s="21" t="s">
        <v>25</v>
      </c>
      <c r="Q108" s="21">
        <v>0</v>
      </c>
      <c r="R108" s="21">
        <v>80</v>
      </c>
      <c r="S108" s="40">
        <v>0.4</v>
      </c>
      <c r="T108" s="40">
        <v>0.1</v>
      </c>
      <c r="U108" s="40">
        <v>0</v>
      </c>
    </row>
    <row r="109" spans="1:21" x14ac:dyDescent="0.2">
      <c r="A109" s="21" t="s">
        <v>27</v>
      </c>
      <c r="B109" s="21" t="s">
        <v>28</v>
      </c>
      <c r="C109" s="21" t="s">
        <v>29</v>
      </c>
      <c r="D109" s="21" t="s">
        <v>415</v>
      </c>
      <c r="E109" s="21" t="s">
        <v>416</v>
      </c>
      <c r="F109" s="21" t="s">
        <v>417</v>
      </c>
      <c r="G109" s="21" t="s">
        <v>61</v>
      </c>
      <c r="H109" s="21" t="s">
        <v>26</v>
      </c>
      <c r="I109" s="21" t="s">
        <v>50</v>
      </c>
      <c r="J109" s="21" t="s">
        <v>51</v>
      </c>
      <c r="K109" s="22">
        <v>1</v>
      </c>
      <c r="L109" s="21" t="s">
        <v>52</v>
      </c>
      <c r="M109" s="22">
        <v>2021</v>
      </c>
      <c r="N109" s="21" t="s">
        <v>30</v>
      </c>
      <c r="O109" s="22">
        <v>20</v>
      </c>
      <c r="P109" s="21" t="s">
        <v>25</v>
      </c>
      <c r="Q109" s="21">
        <v>0</v>
      </c>
      <c r="R109" s="21">
        <v>80</v>
      </c>
      <c r="S109" s="40">
        <v>0.8</v>
      </c>
      <c r="T109" s="40">
        <v>0.2</v>
      </c>
      <c r="U109" s="40">
        <v>0</v>
      </c>
    </row>
    <row r="110" spans="1:21" x14ac:dyDescent="0.2">
      <c r="A110" s="21" t="s">
        <v>27</v>
      </c>
      <c r="B110" s="21" t="s">
        <v>28</v>
      </c>
      <c r="C110" s="21" t="s">
        <v>29</v>
      </c>
      <c r="D110" s="21" t="s">
        <v>346</v>
      </c>
      <c r="E110" s="21" t="s">
        <v>347</v>
      </c>
      <c r="F110" s="21" t="s">
        <v>348</v>
      </c>
      <c r="G110" s="21" t="s">
        <v>246</v>
      </c>
      <c r="H110" s="21" t="s">
        <v>24</v>
      </c>
      <c r="I110" s="21" t="s">
        <v>42</v>
      </c>
      <c r="J110" s="21" t="s">
        <v>43</v>
      </c>
      <c r="K110" s="22">
        <v>0.33333333333333331</v>
      </c>
      <c r="L110" s="21" t="s">
        <v>45</v>
      </c>
      <c r="M110" s="22">
        <v>2021</v>
      </c>
      <c r="N110" s="21" t="s">
        <v>30</v>
      </c>
      <c r="O110" s="22">
        <v>20</v>
      </c>
      <c r="P110" s="21" t="s">
        <v>25</v>
      </c>
      <c r="Q110" s="21">
        <v>0</v>
      </c>
      <c r="R110" s="21">
        <v>80</v>
      </c>
      <c r="S110" s="40">
        <v>0.26666666666666666</v>
      </c>
      <c r="T110" s="40">
        <v>6.6666666666666666E-2</v>
      </c>
      <c r="U110" s="40">
        <v>0</v>
      </c>
    </row>
    <row r="111" spans="1:21" x14ac:dyDescent="0.2">
      <c r="A111" s="21" t="s">
        <v>27</v>
      </c>
      <c r="B111" s="21" t="s">
        <v>28</v>
      </c>
      <c r="C111" s="21" t="s">
        <v>29</v>
      </c>
      <c r="D111" s="21" t="s">
        <v>346</v>
      </c>
      <c r="E111" s="21" t="s">
        <v>347</v>
      </c>
      <c r="F111" s="21" t="s">
        <v>348</v>
      </c>
      <c r="G111" s="21" t="s">
        <v>72</v>
      </c>
      <c r="H111" s="21" t="s">
        <v>24</v>
      </c>
      <c r="I111" s="21" t="s">
        <v>42</v>
      </c>
      <c r="J111" s="21" t="s">
        <v>43</v>
      </c>
      <c r="K111" s="22">
        <v>0.33333333333333331</v>
      </c>
      <c r="L111" s="21" t="s">
        <v>45</v>
      </c>
      <c r="M111" s="22">
        <v>2021</v>
      </c>
      <c r="N111" s="21" t="s">
        <v>30</v>
      </c>
      <c r="O111" s="22">
        <v>20</v>
      </c>
      <c r="P111" s="21" t="s">
        <v>25</v>
      </c>
      <c r="Q111" s="21">
        <v>0</v>
      </c>
      <c r="R111" s="21">
        <v>80</v>
      </c>
      <c r="S111" s="40">
        <v>0.26666666666666666</v>
      </c>
      <c r="T111" s="40">
        <v>6.6666666666666666E-2</v>
      </c>
      <c r="U111" s="40">
        <v>0</v>
      </c>
    </row>
    <row r="112" spans="1:21" x14ac:dyDescent="0.2">
      <c r="A112" s="21" t="s">
        <v>27</v>
      </c>
      <c r="B112" s="21" t="s">
        <v>28</v>
      </c>
      <c r="C112" s="21" t="s">
        <v>29</v>
      </c>
      <c r="D112" s="21" t="s">
        <v>349</v>
      </c>
      <c r="E112" s="21" t="s">
        <v>350</v>
      </c>
      <c r="F112" s="21" t="s">
        <v>351</v>
      </c>
      <c r="G112" s="21" t="s">
        <v>246</v>
      </c>
      <c r="H112" s="21" t="s">
        <v>24</v>
      </c>
      <c r="I112" s="21" t="s">
        <v>42</v>
      </c>
      <c r="J112" s="21" t="s">
        <v>43</v>
      </c>
      <c r="K112" s="22">
        <v>0.33333333333333331</v>
      </c>
      <c r="L112" s="21" t="s">
        <v>45</v>
      </c>
      <c r="M112" s="22">
        <v>2021</v>
      </c>
      <c r="N112" s="21" t="s">
        <v>30</v>
      </c>
      <c r="O112" s="22">
        <v>20</v>
      </c>
      <c r="P112" s="21" t="s">
        <v>25</v>
      </c>
      <c r="Q112" s="21">
        <v>0</v>
      </c>
      <c r="R112" s="21">
        <v>80</v>
      </c>
      <c r="S112" s="40">
        <v>0.26666666666666666</v>
      </c>
      <c r="T112" s="40">
        <v>6.6666666666666666E-2</v>
      </c>
      <c r="U112" s="40">
        <v>0</v>
      </c>
    </row>
    <row r="113" spans="1:21" x14ac:dyDescent="0.2">
      <c r="A113" s="21" t="s">
        <v>27</v>
      </c>
      <c r="B113" s="21" t="s">
        <v>28</v>
      </c>
      <c r="C113" s="21" t="s">
        <v>29</v>
      </c>
      <c r="D113" s="21" t="s">
        <v>349</v>
      </c>
      <c r="E113" s="21" t="s">
        <v>350</v>
      </c>
      <c r="F113" s="21" t="s">
        <v>351</v>
      </c>
      <c r="G113" s="21" t="s">
        <v>76</v>
      </c>
      <c r="H113" s="21" t="s">
        <v>24</v>
      </c>
      <c r="I113" s="21" t="s">
        <v>42</v>
      </c>
      <c r="J113" s="21" t="s">
        <v>43</v>
      </c>
      <c r="K113" s="22">
        <v>0.33333333333333331</v>
      </c>
      <c r="L113" s="21" t="s">
        <v>45</v>
      </c>
      <c r="M113" s="22">
        <v>2021</v>
      </c>
      <c r="N113" s="21" t="s">
        <v>30</v>
      </c>
      <c r="O113" s="22">
        <v>20</v>
      </c>
      <c r="P113" s="21" t="s">
        <v>25</v>
      </c>
      <c r="Q113" s="21">
        <v>0</v>
      </c>
      <c r="R113" s="21">
        <v>80</v>
      </c>
      <c r="S113" s="40">
        <v>0.26666666666666666</v>
      </c>
      <c r="T113" s="40">
        <v>6.6666666666666666E-2</v>
      </c>
      <c r="U113" s="40">
        <v>0</v>
      </c>
    </row>
    <row r="114" spans="1:21" x14ac:dyDescent="0.2">
      <c r="A114" s="21" t="s">
        <v>27</v>
      </c>
      <c r="B114" s="21" t="s">
        <v>28</v>
      </c>
      <c r="C114" s="21" t="s">
        <v>29</v>
      </c>
      <c r="D114" s="21" t="s">
        <v>418</v>
      </c>
      <c r="E114" s="21" t="s">
        <v>419</v>
      </c>
      <c r="F114" s="21" t="s">
        <v>420</v>
      </c>
      <c r="G114" s="21" t="s">
        <v>421</v>
      </c>
      <c r="H114" s="21" t="s">
        <v>24</v>
      </c>
      <c r="I114" s="21" t="s">
        <v>57</v>
      </c>
      <c r="J114" s="21" t="s">
        <v>58</v>
      </c>
      <c r="K114" s="22">
        <v>0.5</v>
      </c>
      <c r="L114" s="21" t="s">
        <v>87</v>
      </c>
      <c r="M114" s="22">
        <v>2021</v>
      </c>
      <c r="N114" s="21" t="s">
        <v>30</v>
      </c>
      <c r="O114" s="22">
        <v>20</v>
      </c>
      <c r="P114" s="21" t="s">
        <v>25</v>
      </c>
      <c r="Q114" s="21">
        <v>0</v>
      </c>
      <c r="R114" s="21">
        <v>80</v>
      </c>
      <c r="S114" s="40">
        <v>0.4</v>
      </c>
      <c r="T114" s="40">
        <v>0.1</v>
      </c>
      <c r="U114" s="40">
        <v>0</v>
      </c>
    </row>
    <row r="115" spans="1:21" x14ac:dyDescent="0.2">
      <c r="A115" s="21" t="s">
        <v>27</v>
      </c>
      <c r="B115" s="21" t="s">
        <v>28</v>
      </c>
      <c r="C115" s="21" t="s">
        <v>29</v>
      </c>
      <c r="D115" s="21" t="s">
        <v>418</v>
      </c>
      <c r="E115" s="21" t="s">
        <v>419</v>
      </c>
      <c r="F115" s="21" t="s">
        <v>420</v>
      </c>
      <c r="G115" s="21" t="s">
        <v>303</v>
      </c>
      <c r="H115" s="21" t="s">
        <v>24</v>
      </c>
      <c r="I115" s="21" t="s">
        <v>42</v>
      </c>
      <c r="J115" s="21" t="s">
        <v>43</v>
      </c>
      <c r="K115" s="22">
        <v>0.5</v>
      </c>
      <c r="L115" s="21" t="s">
        <v>45</v>
      </c>
      <c r="M115" s="22">
        <v>2021</v>
      </c>
      <c r="N115" s="21" t="s">
        <v>30</v>
      </c>
      <c r="O115" s="22">
        <v>20</v>
      </c>
      <c r="P115" s="21" t="s">
        <v>25</v>
      </c>
      <c r="Q115" s="21">
        <v>0</v>
      </c>
      <c r="R115" s="21">
        <v>80</v>
      </c>
      <c r="S115" s="40">
        <v>0.4</v>
      </c>
      <c r="T115" s="40">
        <v>0.1</v>
      </c>
      <c r="U115" s="40">
        <v>0</v>
      </c>
    </row>
    <row r="116" spans="1:21" x14ac:dyDescent="0.2">
      <c r="A116" s="21" t="s">
        <v>27</v>
      </c>
      <c r="B116" s="21" t="s">
        <v>28</v>
      </c>
      <c r="C116" s="21" t="s">
        <v>29</v>
      </c>
      <c r="D116" s="21" t="s">
        <v>422</v>
      </c>
      <c r="E116" s="21" t="s">
        <v>423</v>
      </c>
      <c r="F116" s="21" t="s">
        <v>424</v>
      </c>
      <c r="G116" s="21" t="s">
        <v>425</v>
      </c>
      <c r="H116" s="21" t="s">
        <v>26</v>
      </c>
      <c r="I116" s="21" t="s">
        <v>42</v>
      </c>
      <c r="J116" s="21" t="s">
        <v>43</v>
      </c>
      <c r="K116" s="22">
        <v>1</v>
      </c>
      <c r="L116" s="21" t="s">
        <v>45</v>
      </c>
      <c r="M116" s="22">
        <v>2021</v>
      </c>
      <c r="N116" s="21" t="s">
        <v>30</v>
      </c>
      <c r="O116" s="22">
        <v>20</v>
      </c>
      <c r="P116" s="21" t="s">
        <v>25</v>
      </c>
      <c r="Q116" s="21">
        <v>0</v>
      </c>
      <c r="R116" s="21">
        <v>80</v>
      </c>
      <c r="S116" s="40">
        <v>0.8</v>
      </c>
      <c r="T116" s="40">
        <v>0.2</v>
      </c>
      <c r="U116" s="40">
        <v>0</v>
      </c>
    </row>
    <row r="117" spans="1:21" x14ac:dyDescent="0.2">
      <c r="A117" s="21" t="s">
        <v>27</v>
      </c>
      <c r="B117" s="21" t="s">
        <v>452</v>
      </c>
      <c r="C117" s="21" t="s">
        <v>29</v>
      </c>
      <c r="D117" s="21" t="s">
        <v>453</v>
      </c>
      <c r="E117" s="21" t="s">
        <v>454</v>
      </c>
      <c r="F117" s="21" t="s">
        <v>455</v>
      </c>
      <c r="G117" s="21" t="s">
        <v>54</v>
      </c>
      <c r="H117" s="21" t="s">
        <v>24</v>
      </c>
      <c r="I117" s="21" t="s">
        <v>50</v>
      </c>
      <c r="J117" s="21" t="s">
        <v>51</v>
      </c>
      <c r="K117" s="22">
        <v>0.5</v>
      </c>
      <c r="L117" s="21" t="s">
        <v>52</v>
      </c>
      <c r="M117" s="22">
        <v>2021</v>
      </c>
      <c r="N117" s="21" t="s">
        <v>30</v>
      </c>
      <c r="O117" s="22">
        <v>20</v>
      </c>
      <c r="P117" s="21" t="s">
        <v>47</v>
      </c>
      <c r="Q117" s="21">
        <v>10</v>
      </c>
      <c r="R117" s="21">
        <v>70</v>
      </c>
      <c r="S117" s="40">
        <v>0.35</v>
      </c>
      <c r="T117" s="40">
        <v>0.1</v>
      </c>
      <c r="U117" s="40">
        <v>0.05</v>
      </c>
    </row>
    <row r="118" spans="1:21" x14ac:dyDescent="0.2">
      <c r="A118" s="21" t="s">
        <v>27</v>
      </c>
      <c r="B118" s="21" t="s">
        <v>452</v>
      </c>
      <c r="C118" s="21" t="s">
        <v>29</v>
      </c>
      <c r="D118" s="21" t="s">
        <v>463</v>
      </c>
      <c r="E118" s="21" t="s">
        <v>464</v>
      </c>
      <c r="F118" s="21" t="s">
        <v>465</v>
      </c>
      <c r="G118" s="21" t="s">
        <v>53</v>
      </c>
      <c r="H118" s="21" t="s">
        <v>24</v>
      </c>
      <c r="I118" s="21" t="s">
        <v>50</v>
      </c>
      <c r="J118" s="21" t="s">
        <v>51</v>
      </c>
      <c r="K118" s="22">
        <v>0.5</v>
      </c>
      <c r="L118" s="21" t="s">
        <v>52</v>
      </c>
      <c r="M118" s="22">
        <v>2021</v>
      </c>
      <c r="N118" s="21" t="s">
        <v>30</v>
      </c>
      <c r="O118" s="22">
        <v>20</v>
      </c>
      <c r="P118" s="21" t="s">
        <v>25</v>
      </c>
      <c r="Q118" s="21">
        <v>0</v>
      </c>
      <c r="R118" s="21">
        <v>80</v>
      </c>
      <c r="S118" s="40">
        <v>0.4</v>
      </c>
      <c r="T118" s="40">
        <v>0.1</v>
      </c>
      <c r="U118" s="40">
        <v>0</v>
      </c>
    </row>
    <row r="119" spans="1:21" x14ac:dyDescent="0.2">
      <c r="A119" s="21" t="s">
        <v>27</v>
      </c>
      <c r="B119" s="21" t="s">
        <v>452</v>
      </c>
      <c r="C119" s="21" t="s">
        <v>29</v>
      </c>
      <c r="D119" s="21" t="s">
        <v>463</v>
      </c>
      <c r="E119" s="21" t="s">
        <v>464</v>
      </c>
      <c r="F119" s="21" t="s">
        <v>465</v>
      </c>
      <c r="G119" s="21" t="s">
        <v>209</v>
      </c>
      <c r="H119" s="21" t="s">
        <v>24</v>
      </c>
      <c r="I119" s="21" t="s">
        <v>57</v>
      </c>
      <c r="J119" s="21" t="s">
        <v>58</v>
      </c>
      <c r="K119" s="22">
        <v>0.5</v>
      </c>
      <c r="L119" s="21" t="s">
        <v>87</v>
      </c>
      <c r="M119" s="22">
        <v>2021</v>
      </c>
      <c r="N119" s="21" t="s">
        <v>30</v>
      </c>
      <c r="O119" s="22">
        <v>20</v>
      </c>
      <c r="P119" s="21" t="s">
        <v>25</v>
      </c>
      <c r="Q119" s="21">
        <v>0</v>
      </c>
      <c r="R119" s="21">
        <v>80</v>
      </c>
      <c r="S119" s="40">
        <v>0.4</v>
      </c>
      <c r="T119" s="40">
        <v>0.1</v>
      </c>
      <c r="U119" s="40">
        <v>0</v>
      </c>
    </row>
    <row r="120" spans="1:21" x14ac:dyDescent="0.2">
      <c r="A120" s="21" t="s">
        <v>37</v>
      </c>
      <c r="B120" s="21" t="s">
        <v>38</v>
      </c>
      <c r="C120" s="21" t="s">
        <v>39</v>
      </c>
      <c r="D120" s="21" t="s">
        <v>678</v>
      </c>
      <c r="E120" s="21" t="s">
        <v>466</v>
      </c>
      <c r="F120" s="21" t="s">
        <v>467</v>
      </c>
      <c r="G120" s="21" t="s">
        <v>355</v>
      </c>
      <c r="H120" s="21" t="s">
        <v>24</v>
      </c>
      <c r="I120" s="21" t="s">
        <v>356</v>
      </c>
      <c r="J120" s="21" t="s">
        <v>357</v>
      </c>
      <c r="K120" s="22">
        <v>0.5</v>
      </c>
      <c r="L120" s="21" t="s">
        <v>41</v>
      </c>
      <c r="M120" s="22">
        <v>2022</v>
      </c>
      <c r="N120" s="21" t="s">
        <v>30</v>
      </c>
      <c r="O120" s="22">
        <v>20</v>
      </c>
      <c r="P120" s="21" t="s">
        <v>25</v>
      </c>
      <c r="Q120" s="21">
        <v>0</v>
      </c>
      <c r="R120" s="21">
        <v>80</v>
      </c>
      <c r="S120" s="40">
        <v>0.4</v>
      </c>
      <c r="T120" s="40">
        <v>0.1</v>
      </c>
      <c r="U120" s="40">
        <v>0</v>
      </c>
    </row>
    <row r="121" spans="1:21" x14ac:dyDescent="0.2">
      <c r="A121" s="21" t="s">
        <v>37</v>
      </c>
      <c r="B121" s="21" t="s">
        <v>38</v>
      </c>
      <c r="C121" s="21" t="s">
        <v>39</v>
      </c>
      <c r="D121" s="21" t="s">
        <v>679</v>
      </c>
      <c r="E121" s="21" t="s">
        <v>468</v>
      </c>
      <c r="F121" s="21" t="s">
        <v>469</v>
      </c>
      <c r="G121" s="21" t="s">
        <v>355</v>
      </c>
      <c r="H121" s="21" t="s">
        <v>24</v>
      </c>
      <c r="I121" s="21" t="s">
        <v>356</v>
      </c>
      <c r="J121" s="21" t="s">
        <v>357</v>
      </c>
      <c r="K121" s="22">
        <v>0.5</v>
      </c>
      <c r="L121" s="21" t="s">
        <v>41</v>
      </c>
      <c r="M121" s="22">
        <v>2022</v>
      </c>
      <c r="N121" s="21" t="s">
        <v>30</v>
      </c>
      <c r="O121" s="22">
        <v>20</v>
      </c>
      <c r="P121" s="21" t="s">
        <v>25</v>
      </c>
      <c r="Q121" s="21">
        <v>0</v>
      </c>
      <c r="R121" s="21">
        <v>80</v>
      </c>
      <c r="S121" s="40">
        <v>0.4</v>
      </c>
      <c r="T121" s="40">
        <v>0.1</v>
      </c>
      <c r="U121" s="40">
        <v>0</v>
      </c>
    </row>
    <row r="122" spans="1:21" x14ac:dyDescent="0.2">
      <c r="A122" s="21" t="s">
        <v>37</v>
      </c>
      <c r="B122" s="21" t="s">
        <v>38</v>
      </c>
      <c r="C122" s="21" t="s">
        <v>39</v>
      </c>
      <c r="D122" s="21" t="s">
        <v>680</v>
      </c>
      <c r="E122" s="21" t="s">
        <v>470</v>
      </c>
      <c r="F122" s="21" t="s">
        <v>471</v>
      </c>
      <c r="G122" s="21" t="s">
        <v>355</v>
      </c>
      <c r="H122" s="21" t="s">
        <v>24</v>
      </c>
      <c r="I122" s="21" t="s">
        <v>356</v>
      </c>
      <c r="J122" s="21" t="s">
        <v>357</v>
      </c>
      <c r="K122" s="22">
        <v>0.5</v>
      </c>
      <c r="L122" s="21" t="s">
        <v>41</v>
      </c>
      <c r="M122" s="22">
        <v>2022</v>
      </c>
      <c r="N122" s="21" t="s">
        <v>30</v>
      </c>
      <c r="O122" s="22">
        <v>20</v>
      </c>
      <c r="P122" s="21" t="s">
        <v>25</v>
      </c>
      <c r="Q122" s="21">
        <v>0</v>
      </c>
      <c r="R122" s="21">
        <v>80</v>
      </c>
      <c r="S122" s="40">
        <v>0.4</v>
      </c>
      <c r="T122" s="40">
        <v>0.1</v>
      </c>
      <c r="U122" s="40">
        <v>0</v>
      </c>
    </row>
    <row r="123" spans="1:21" x14ac:dyDescent="0.2">
      <c r="A123" s="21" t="s">
        <v>27</v>
      </c>
      <c r="B123" s="21" t="s">
        <v>452</v>
      </c>
      <c r="C123" s="21" t="s">
        <v>29</v>
      </c>
      <c r="D123" s="21" t="s">
        <v>681</v>
      </c>
      <c r="E123" s="21" t="s">
        <v>472</v>
      </c>
      <c r="F123" s="21" t="s">
        <v>473</v>
      </c>
      <c r="G123" s="21" t="s">
        <v>83</v>
      </c>
      <c r="H123" s="21" t="s">
        <v>26</v>
      </c>
      <c r="I123" s="21" t="s">
        <v>42</v>
      </c>
      <c r="J123" s="21" t="s">
        <v>43</v>
      </c>
      <c r="K123" s="22">
        <v>1</v>
      </c>
      <c r="L123" s="21" t="s">
        <v>45</v>
      </c>
      <c r="M123" s="22">
        <v>2022</v>
      </c>
      <c r="N123" s="21" t="s">
        <v>30</v>
      </c>
      <c r="O123" s="22">
        <v>20</v>
      </c>
      <c r="P123" s="21" t="s">
        <v>25</v>
      </c>
      <c r="Q123" s="21">
        <v>0</v>
      </c>
      <c r="R123" s="21">
        <v>80</v>
      </c>
      <c r="S123" s="40">
        <v>0.8</v>
      </c>
      <c r="T123" s="40">
        <v>0.2</v>
      </c>
      <c r="U123" s="40">
        <v>0</v>
      </c>
    </row>
    <row r="124" spans="1:21" x14ac:dyDescent="0.2">
      <c r="A124" s="21" t="s">
        <v>27</v>
      </c>
      <c r="B124" s="21" t="s">
        <v>452</v>
      </c>
      <c r="C124" s="21" t="s">
        <v>29</v>
      </c>
      <c r="D124" s="21" t="s">
        <v>682</v>
      </c>
      <c r="E124" s="21" t="s">
        <v>474</v>
      </c>
      <c r="F124" s="21" t="s">
        <v>475</v>
      </c>
      <c r="G124" s="21" t="s">
        <v>476</v>
      </c>
      <c r="H124" s="21" t="s">
        <v>24</v>
      </c>
      <c r="I124" s="21" t="s">
        <v>42</v>
      </c>
      <c r="J124" s="21" t="s">
        <v>43</v>
      </c>
      <c r="K124" s="22">
        <v>0.5</v>
      </c>
      <c r="L124" s="21" t="s">
        <v>45</v>
      </c>
      <c r="M124" s="22">
        <v>2022</v>
      </c>
      <c r="N124" s="21" t="s">
        <v>30</v>
      </c>
      <c r="O124" s="22">
        <v>20</v>
      </c>
      <c r="P124" s="21" t="s">
        <v>25</v>
      </c>
      <c r="Q124" s="21">
        <v>0</v>
      </c>
      <c r="R124" s="21">
        <v>80</v>
      </c>
      <c r="S124" s="40">
        <v>0.4</v>
      </c>
      <c r="T124" s="40">
        <v>0.1</v>
      </c>
      <c r="U124" s="40">
        <v>0</v>
      </c>
    </row>
    <row r="125" spans="1:21" x14ac:dyDescent="0.2">
      <c r="A125" s="21" t="s">
        <v>27</v>
      </c>
      <c r="B125" s="21" t="s">
        <v>452</v>
      </c>
      <c r="C125" s="21" t="s">
        <v>29</v>
      </c>
      <c r="D125" s="21" t="s">
        <v>682</v>
      </c>
      <c r="E125" s="21" t="s">
        <v>474</v>
      </c>
      <c r="F125" s="21" t="s">
        <v>475</v>
      </c>
      <c r="G125" s="21" t="s">
        <v>83</v>
      </c>
      <c r="H125" s="21" t="s">
        <v>24</v>
      </c>
      <c r="I125" s="21" t="s">
        <v>42</v>
      </c>
      <c r="J125" s="21" t="s">
        <v>43</v>
      </c>
      <c r="K125" s="22">
        <v>0.5</v>
      </c>
      <c r="L125" s="21" t="s">
        <v>45</v>
      </c>
      <c r="M125" s="22">
        <v>2022</v>
      </c>
      <c r="N125" s="21" t="s">
        <v>30</v>
      </c>
      <c r="O125" s="22">
        <v>20</v>
      </c>
      <c r="P125" s="21" t="s">
        <v>25</v>
      </c>
      <c r="Q125" s="21">
        <v>0</v>
      </c>
      <c r="R125" s="21">
        <v>80</v>
      </c>
      <c r="S125" s="40">
        <v>0.4</v>
      </c>
      <c r="T125" s="40">
        <v>0.1</v>
      </c>
      <c r="U125" s="40">
        <v>0</v>
      </c>
    </row>
    <row r="126" spans="1:21" x14ac:dyDescent="0.2">
      <c r="A126" s="21" t="s">
        <v>27</v>
      </c>
      <c r="B126" s="21" t="s">
        <v>452</v>
      </c>
      <c r="C126" s="21" t="s">
        <v>29</v>
      </c>
      <c r="D126" s="21" t="s">
        <v>683</v>
      </c>
      <c r="E126" s="21" t="s">
        <v>477</v>
      </c>
      <c r="F126" s="21" t="s">
        <v>478</v>
      </c>
      <c r="G126" s="21" t="s">
        <v>74</v>
      </c>
      <c r="H126" s="21" t="s">
        <v>24</v>
      </c>
      <c r="I126" s="21" t="s">
        <v>42</v>
      </c>
      <c r="J126" s="21" t="s">
        <v>43</v>
      </c>
      <c r="K126" s="22">
        <v>0.5</v>
      </c>
      <c r="L126" s="21" t="s">
        <v>45</v>
      </c>
      <c r="M126" s="22">
        <v>2022</v>
      </c>
      <c r="N126" s="21" t="s">
        <v>30</v>
      </c>
      <c r="O126" s="22">
        <v>50</v>
      </c>
      <c r="P126" s="21" t="s">
        <v>25</v>
      </c>
      <c r="Q126" s="21">
        <v>0</v>
      </c>
      <c r="R126" s="21">
        <v>50</v>
      </c>
      <c r="S126" s="40">
        <v>0.25</v>
      </c>
      <c r="T126" s="40">
        <v>0.25</v>
      </c>
      <c r="U126" s="40">
        <v>0</v>
      </c>
    </row>
    <row r="127" spans="1:21" x14ac:dyDescent="0.2">
      <c r="A127" s="21" t="s">
        <v>27</v>
      </c>
      <c r="B127" s="21" t="s">
        <v>452</v>
      </c>
      <c r="C127" s="21" t="s">
        <v>29</v>
      </c>
      <c r="D127" s="21" t="s">
        <v>683</v>
      </c>
      <c r="E127" s="21" t="s">
        <v>477</v>
      </c>
      <c r="F127" s="21" t="s">
        <v>478</v>
      </c>
      <c r="G127" s="21" t="s">
        <v>425</v>
      </c>
      <c r="H127" s="21" t="s">
        <v>24</v>
      </c>
      <c r="I127" s="21" t="s">
        <v>42</v>
      </c>
      <c r="J127" s="21" t="s">
        <v>43</v>
      </c>
      <c r="K127" s="22">
        <v>0.5</v>
      </c>
      <c r="L127" s="21" t="s">
        <v>45</v>
      </c>
      <c r="M127" s="22">
        <v>2022</v>
      </c>
      <c r="N127" s="21" t="s">
        <v>30</v>
      </c>
      <c r="O127" s="22">
        <v>20</v>
      </c>
      <c r="P127" s="21" t="s">
        <v>25</v>
      </c>
      <c r="Q127" s="21">
        <v>0</v>
      </c>
      <c r="R127" s="21">
        <v>80</v>
      </c>
      <c r="S127" s="40">
        <v>0.4</v>
      </c>
      <c r="T127" s="40">
        <v>0.1</v>
      </c>
      <c r="U127" s="40">
        <v>0</v>
      </c>
    </row>
    <row r="128" spans="1:21" x14ac:dyDescent="0.2">
      <c r="A128" s="21" t="s">
        <v>27</v>
      </c>
      <c r="B128" s="21" t="s">
        <v>452</v>
      </c>
      <c r="C128" s="21" t="s">
        <v>29</v>
      </c>
      <c r="D128" s="21" t="s">
        <v>684</v>
      </c>
      <c r="E128" s="21" t="s">
        <v>479</v>
      </c>
      <c r="F128" s="21" t="s">
        <v>480</v>
      </c>
      <c r="G128" s="21" t="s">
        <v>53</v>
      </c>
      <c r="H128" s="21" t="s">
        <v>26</v>
      </c>
      <c r="I128" s="21" t="s">
        <v>50</v>
      </c>
      <c r="J128" s="21" t="s">
        <v>51</v>
      </c>
      <c r="K128" s="22">
        <v>1</v>
      </c>
      <c r="L128" s="21" t="s">
        <v>52</v>
      </c>
      <c r="M128" s="22">
        <v>2022</v>
      </c>
      <c r="N128" s="21" t="s">
        <v>30</v>
      </c>
      <c r="O128" s="22">
        <v>20</v>
      </c>
      <c r="P128" s="21" t="s">
        <v>25</v>
      </c>
      <c r="Q128" s="21">
        <v>0</v>
      </c>
      <c r="R128" s="21">
        <v>80</v>
      </c>
      <c r="S128" s="40">
        <v>0.8</v>
      </c>
      <c r="T128" s="40">
        <v>0.2</v>
      </c>
      <c r="U128" s="40">
        <v>0</v>
      </c>
    </row>
    <row r="129" spans="1:21" x14ac:dyDescent="0.2">
      <c r="A129" s="21" t="s">
        <v>27</v>
      </c>
      <c r="B129" s="21" t="s">
        <v>452</v>
      </c>
      <c r="C129" s="21" t="s">
        <v>29</v>
      </c>
      <c r="D129" s="21" t="s">
        <v>685</v>
      </c>
      <c r="E129" s="21" t="s">
        <v>481</v>
      </c>
      <c r="F129" s="21" t="s">
        <v>482</v>
      </c>
      <c r="G129" s="21" t="s">
        <v>69</v>
      </c>
      <c r="H129" s="21" t="s">
        <v>26</v>
      </c>
      <c r="I129" s="21" t="s">
        <v>66</v>
      </c>
      <c r="J129" s="21" t="s">
        <v>67</v>
      </c>
      <c r="K129" s="22">
        <v>1</v>
      </c>
      <c r="L129" s="21" t="s">
        <v>68</v>
      </c>
      <c r="M129" s="22">
        <v>2022</v>
      </c>
      <c r="N129" s="21" t="s">
        <v>30</v>
      </c>
      <c r="O129" s="22">
        <v>50</v>
      </c>
      <c r="P129" s="21" t="s">
        <v>25</v>
      </c>
      <c r="Q129" s="21">
        <v>0</v>
      </c>
      <c r="R129" s="21">
        <v>50</v>
      </c>
      <c r="S129" s="40">
        <v>0.5</v>
      </c>
      <c r="T129" s="40">
        <v>0.5</v>
      </c>
      <c r="U129" s="40">
        <v>0</v>
      </c>
    </row>
    <row r="130" spans="1:21" x14ac:dyDescent="0.2">
      <c r="A130" s="21" t="s">
        <v>27</v>
      </c>
      <c r="B130" s="21" t="s">
        <v>452</v>
      </c>
      <c r="C130" s="21" t="s">
        <v>29</v>
      </c>
      <c r="D130" s="21" t="s">
        <v>686</v>
      </c>
      <c r="E130" s="21" t="s">
        <v>483</v>
      </c>
      <c r="F130" s="21" t="s">
        <v>473</v>
      </c>
      <c r="G130" s="21" t="s">
        <v>53</v>
      </c>
      <c r="H130" s="21" t="s">
        <v>24</v>
      </c>
      <c r="I130" s="21" t="s">
        <v>50</v>
      </c>
      <c r="J130" s="21" t="s">
        <v>51</v>
      </c>
      <c r="K130" s="22">
        <v>0.5</v>
      </c>
      <c r="L130" s="21" t="s">
        <v>52</v>
      </c>
      <c r="M130" s="22">
        <v>2022</v>
      </c>
      <c r="N130" s="21" t="s">
        <v>30</v>
      </c>
      <c r="O130" s="22">
        <v>20</v>
      </c>
      <c r="P130" s="21" t="s">
        <v>25</v>
      </c>
      <c r="Q130" s="21">
        <v>0</v>
      </c>
      <c r="R130" s="21">
        <v>80</v>
      </c>
      <c r="S130" s="40">
        <v>0.4</v>
      </c>
      <c r="T130" s="40">
        <v>0.1</v>
      </c>
      <c r="U130" s="40">
        <v>0</v>
      </c>
    </row>
    <row r="131" spans="1:21" x14ac:dyDescent="0.2">
      <c r="A131" s="21" t="s">
        <v>27</v>
      </c>
      <c r="B131" s="21" t="s">
        <v>452</v>
      </c>
      <c r="C131" s="21" t="s">
        <v>29</v>
      </c>
      <c r="D131" s="21" t="s">
        <v>686</v>
      </c>
      <c r="E131" s="21" t="s">
        <v>483</v>
      </c>
      <c r="F131" s="21" t="s">
        <v>473</v>
      </c>
      <c r="G131" s="21" t="s">
        <v>83</v>
      </c>
      <c r="H131" s="21" t="s">
        <v>24</v>
      </c>
      <c r="I131" s="21" t="s">
        <v>42</v>
      </c>
      <c r="J131" s="21" t="s">
        <v>43</v>
      </c>
      <c r="K131" s="22">
        <v>0.5</v>
      </c>
      <c r="L131" s="21" t="s">
        <v>45</v>
      </c>
      <c r="M131" s="22">
        <v>2022</v>
      </c>
      <c r="N131" s="21" t="s">
        <v>30</v>
      </c>
      <c r="O131" s="22">
        <v>20</v>
      </c>
      <c r="P131" s="21" t="s">
        <v>25</v>
      </c>
      <c r="Q131" s="21">
        <v>0</v>
      </c>
      <c r="R131" s="21">
        <v>80</v>
      </c>
      <c r="S131" s="40">
        <v>0.4</v>
      </c>
      <c r="T131" s="40">
        <v>0.1</v>
      </c>
      <c r="U131" s="40">
        <v>0</v>
      </c>
    </row>
    <row r="132" spans="1:21" x14ac:dyDescent="0.2">
      <c r="A132" s="21" t="s">
        <v>27</v>
      </c>
      <c r="B132" s="21" t="s">
        <v>452</v>
      </c>
      <c r="C132" s="21" t="s">
        <v>29</v>
      </c>
      <c r="D132" s="21" t="s">
        <v>687</v>
      </c>
      <c r="E132" s="21" t="s">
        <v>484</v>
      </c>
      <c r="F132" s="21" t="s">
        <v>457</v>
      </c>
      <c r="G132" s="21" t="s">
        <v>53</v>
      </c>
      <c r="H132" s="21" t="s">
        <v>24</v>
      </c>
      <c r="I132" s="21" t="s">
        <v>50</v>
      </c>
      <c r="J132" s="21" t="s">
        <v>51</v>
      </c>
      <c r="K132" s="22">
        <v>0.5</v>
      </c>
      <c r="L132" s="21" t="s">
        <v>52</v>
      </c>
      <c r="M132" s="22">
        <v>2022</v>
      </c>
      <c r="N132" s="21" t="s">
        <v>30</v>
      </c>
      <c r="O132" s="22">
        <v>20</v>
      </c>
      <c r="P132" s="21" t="s">
        <v>25</v>
      </c>
      <c r="Q132" s="21">
        <v>0</v>
      </c>
      <c r="R132" s="21">
        <v>80</v>
      </c>
      <c r="S132" s="40">
        <v>0.4</v>
      </c>
      <c r="T132" s="40">
        <v>0.1</v>
      </c>
      <c r="U132" s="40">
        <v>0</v>
      </c>
    </row>
    <row r="133" spans="1:21" x14ac:dyDescent="0.2">
      <c r="A133" s="21" t="s">
        <v>27</v>
      </c>
      <c r="B133" s="21" t="s">
        <v>452</v>
      </c>
      <c r="C133" s="21" t="s">
        <v>29</v>
      </c>
      <c r="D133" s="21" t="s">
        <v>687</v>
      </c>
      <c r="E133" s="21" t="s">
        <v>484</v>
      </c>
      <c r="F133" s="21" t="s">
        <v>457</v>
      </c>
      <c r="G133" s="21" t="s">
        <v>209</v>
      </c>
      <c r="H133" s="21" t="s">
        <v>24</v>
      </c>
      <c r="I133" s="21" t="s">
        <v>57</v>
      </c>
      <c r="J133" s="21" t="s">
        <v>58</v>
      </c>
      <c r="K133" s="22">
        <v>0.5</v>
      </c>
      <c r="L133" s="21" t="s">
        <v>87</v>
      </c>
      <c r="M133" s="22">
        <v>2022</v>
      </c>
      <c r="N133" s="21" t="s">
        <v>30</v>
      </c>
      <c r="O133" s="22">
        <v>20</v>
      </c>
      <c r="P133" s="21" t="s">
        <v>25</v>
      </c>
      <c r="Q133" s="21">
        <v>0</v>
      </c>
      <c r="R133" s="21">
        <v>80</v>
      </c>
      <c r="S133" s="40">
        <v>0.4</v>
      </c>
      <c r="T133" s="40">
        <v>0.1</v>
      </c>
      <c r="U133" s="40">
        <v>0</v>
      </c>
    </row>
    <row r="134" spans="1:21" x14ac:dyDescent="0.2">
      <c r="A134" s="21" t="s">
        <v>27</v>
      </c>
      <c r="B134" s="21" t="s">
        <v>452</v>
      </c>
      <c r="C134" s="21" t="s">
        <v>29</v>
      </c>
      <c r="D134" s="21" t="s">
        <v>675</v>
      </c>
      <c r="E134" s="21" t="s">
        <v>456</v>
      </c>
      <c r="F134" s="21" t="s">
        <v>457</v>
      </c>
      <c r="G134" s="21" t="s">
        <v>53</v>
      </c>
      <c r="H134" s="21" t="s">
        <v>24</v>
      </c>
      <c r="I134" s="21" t="s">
        <v>50</v>
      </c>
      <c r="J134" s="21" t="s">
        <v>51</v>
      </c>
      <c r="K134" s="22">
        <v>0.5</v>
      </c>
      <c r="L134" s="21" t="s">
        <v>52</v>
      </c>
      <c r="M134" s="22">
        <v>2022</v>
      </c>
      <c r="N134" s="21" t="s">
        <v>30</v>
      </c>
      <c r="O134" s="22">
        <v>20</v>
      </c>
      <c r="P134" s="21" t="s">
        <v>25</v>
      </c>
      <c r="Q134" s="21">
        <v>0</v>
      </c>
      <c r="R134" s="21">
        <v>80</v>
      </c>
      <c r="S134" s="40">
        <v>0.4</v>
      </c>
      <c r="T134" s="40">
        <v>0.1</v>
      </c>
      <c r="U134" s="40">
        <v>0</v>
      </c>
    </row>
    <row r="135" spans="1:21" x14ac:dyDescent="0.2">
      <c r="A135" s="21" t="s">
        <v>27</v>
      </c>
      <c r="B135" s="21" t="s">
        <v>452</v>
      </c>
      <c r="C135" s="21" t="s">
        <v>29</v>
      </c>
      <c r="D135" s="21" t="s">
        <v>688</v>
      </c>
      <c r="E135" s="21" t="s">
        <v>485</v>
      </c>
      <c r="F135" s="21" t="s">
        <v>486</v>
      </c>
      <c r="G135" s="21" t="s">
        <v>310</v>
      </c>
      <c r="H135" s="21" t="s">
        <v>24</v>
      </c>
      <c r="I135" s="21" t="s">
        <v>42</v>
      </c>
      <c r="J135" s="21" t="s">
        <v>43</v>
      </c>
      <c r="K135" s="22">
        <v>0.5</v>
      </c>
      <c r="L135" s="21" t="s">
        <v>45</v>
      </c>
      <c r="M135" s="22">
        <v>2022</v>
      </c>
      <c r="N135" s="21" t="s">
        <v>30</v>
      </c>
      <c r="O135" s="22">
        <v>20</v>
      </c>
      <c r="P135" s="21" t="s">
        <v>25</v>
      </c>
      <c r="Q135" s="21">
        <v>0</v>
      </c>
      <c r="R135" s="21">
        <v>80</v>
      </c>
      <c r="S135" s="40">
        <v>0.4</v>
      </c>
      <c r="T135" s="40">
        <v>0.1</v>
      </c>
      <c r="U135" s="40">
        <v>0</v>
      </c>
    </row>
    <row r="136" spans="1:21" x14ac:dyDescent="0.2">
      <c r="A136" s="21" t="s">
        <v>27</v>
      </c>
      <c r="B136" s="21" t="s">
        <v>452</v>
      </c>
      <c r="C136" s="21" t="s">
        <v>29</v>
      </c>
      <c r="D136" s="21" t="s">
        <v>688</v>
      </c>
      <c r="E136" s="21" t="s">
        <v>485</v>
      </c>
      <c r="F136" s="21" t="s">
        <v>486</v>
      </c>
      <c r="G136" s="21" t="s">
        <v>78</v>
      </c>
      <c r="H136" s="21" t="s">
        <v>24</v>
      </c>
      <c r="I136" s="21" t="s">
        <v>42</v>
      </c>
      <c r="J136" s="21" t="s">
        <v>43</v>
      </c>
      <c r="K136" s="22">
        <v>0.5</v>
      </c>
      <c r="L136" s="21" t="s">
        <v>45</v>
      </c>
      <c r="M136" s="22">
        <v>2022</v>
      </c>
      <c r="N136" s="21" t="s">
        <v>30</v>
      </c>
      <c r="O136" s="22">
        <v>20</v>
      </c>
      <c r="P136" s="21" t="s">
        <v>25</v>
      </c>
      <c r="Q136" s="21">
        <v>0</v>
      </c>
      <c r="R136" s="21">
        <v>80</v>
      </c>
      <c r="S136" s="40">
        <v>0.4</v>
      </c>
      <c r="T136" s="40">
        <v>0.1</v>
      </c>
      <c r="U136" s="40">
        <v>0</v>
      </c>
    </row>
    <row r="137" spans="1:21" x14ac:dyDescent="0.2">
      <c r="A137" s="21" t="s">
        <v>27</v>
      </c>
      <c r="B137" s="21" t="s">
        <v>452</v>
      </c>
      <c r="C137" s="21" t="s">
        <v>29</v>
      </c>
      <c r="D137" s="21" t="s">
        <v>689</v>
      </c>
      <c r="E137" s="21" t="s">
        <v>487</v>
      </c>
      <c r="F137" s="21" t="s">
        <v>488</v>
      </c>
      <c r="G137" s="21" t="s">
        <v>489</v>
      </c>
      <c r="H137" s="21" t="s">
        <v>26</v>
      </c>
      <c r="I137" s="21" t="s">
        <v>57</v>
      </c>
      <c r="J137" s="21" t="s">
        <v>58</v>
      </c>
      <c r="K137" s="22">
        <v>1</v>
      </c>
      <c r="L137" s="21" t="s">
        <v>87</v>
      </c>
      <c r="M137" s="22">
        <v>2022</v>
      </c>
      <c r="N137" s="21" t="s">
        <v>30</v>
      </c>
      <c r="O137" s="22">
        <v>20</v>
      </c>
      <c r="P137" s="21" t="s">
        <v>25</v>
      </c>
      <c r="Q137" s="21">
        <v>0</v>
      </c>
      <c r="R137" s="21">
        <v>80</v>
      </c>
      <c r="S137" s="40">
        <v>0.8</v>
      </c>
      <c r="T137" s="40">
        <v>0.2</v>
      </c>
      <c r="U137" s="40">
        <v>0</v>
      </c>
    </row>
    <row r="138" spans="1:21" x14ac:dyDescent="0.2">
      <c r="A138" s="21" t="s">
        <v>27</v>
      </c>
      <c r="B138" s="21" t="s">
        <v>452</v>
      </c>
      <c r="C138" s="21" t="s">
        <v>29</v>
      </c>
      <c r="D138" s="21" t="s">
        <v>690</v>
      </c>
      <c r="E138" s="21" t="s">
        <v>490</v>
      </c>
      <c r="F138" s="21" t="s">
        <v>491</v>
      </c>
      <c r="G138" s="21" t="s">
        <v>71</v>
      </c>
      <c r="H138" s="21" t="s">
        <v>24</v>
      </c>
      <c r="I138" s="21" t="s">
        <v>66</v>
      </c>
      <c r="J138" s="21" t="s">
        <v>67</v>
      </c>
      <c r="K138" s="22">
        <v>0.5</v>
      </c>
      <c r="L138" s="21" t="s">
        <v>68</v>
      </c>
      <c r="M138" s="22">
        <v>2022</v>
      </c>
      <c r="N138" s="21" t="s">
        <v>30</v>
      </c>
      <c r="O138" s="22">
        <v>50</v>
      </c>
      <c r="P138" s="21" t="s">
        <v>25</v>
      </c>
      <c r="Q138" s="21">
        <v>0</v>
      </c>
      <c r="R138" s="21">
        <v>50</v>
      </c>
      <c r="S138" s="40">
        <v>0.25</v>
      </c>
      <c r="T138" s="40">
        <v>0.25</v>
      </c>
      <c r="U138" s="40">
        <v>0</v>
      </c>
    </row>
    <row r="139" spans="1:21" x14ac:dyDescent="0.2">
      <c r="A139" s="21" t="s">
        <v>27</v>
      </c>
      <c r="B139" s="21" t="s">
        <v>452</v>
      </c>
      <c r="C139" s="21" t="s">
        <v>29</v>
      </c>
      <c r="D139" s="21" t="s">
        <v>690</v>
      </c>
      <c r="E139" s="21" t="s">
        <v>490</v>
      </c>
      <c r="F139" s="21" t="s">
        <v>491</v>
      </c>
      <c r="G139" s="21" t="s">
        <v>492</v>
      </c>
      <c r="H139" s="21" t="s">
        <v>24</v>
      </c>
      <c r="I139" s="21" t="s">
        <v>66</v>
      </c>
      <c r="J139" s="21" t="s">
        <v>67</v>
      </c>
      <c r="K139" s="22">
        <v>0.5</v>
      </c>
      <c r="L139" s="21" t="s">
        <v>68</v>
      </c>
      <c r="M139" s="22">
        <v>2022</v>
      </c>
      <c r="N139" s="21" t="s">
        <v>30</v>
      </c>
      <c r="O139" s="22">
        <v>20</v>
      </c>
      <c r="P139" s="21" t="s">
        <v>25</v>
      </c>
      <c r="Q139" s="21">
        <v>0</v>
      </c>
      <c r="R139" s="21">
        <v>80</v>
      </c>
      <c r="S139" s="40">
        <v>0.4</v>
      </c>
      <c r="T139" s="40">
        <v>0.1</v>
      </c>
      <c r="U139" s="40">
        <v>0</v>
      </c>
    </row>
    <row r="140" spans="1:21" x14ac:dyDescent="0.2">
      <c r="A140" s="21" t="s">
        <v>27</v>
      </c>
      <c r="B140" s="21" t="s">
        <v>452</v>
      </c>
      <c r="C140" s="21" t="s">
        <v>29</v>
      </c>
      <c r="D140" s="21" t="s">
        <v>691</v>
      </c>
      <c r="E140" s="21" t="s">
        <v>493</v>
      </c>
      <c r="F140" s="21" t="s">
        <v>494</v>
      </c>
      <c r="G140" s="21" t="s">
        <v>310</v>
      </c>
      <c r="H140" s="21" t="s">
        <v>24</v>
      </c>
      <c r="I140" s="21" t="s">
        <v>42</v>
      </c>
      <c r="J140" s="21" t="s">
        <v>43</v>
      </c>
      <c r="K140" s="22">
        <v>0.5</v>
      </c>
      <c r="L140" s="21" t="s">
        <v>45</v>
      </c>
      <c r="M140" s="22">
        <v>2022</v>
      </c>
      <c r="N140" s="21" t="s">
        <v>30</v>
      </c>
      <c r="O140" s="22">
        <v>20</v>
      </c>
      <c r="P140" s="21" t="s">
        <v>25</v>
      </c>
      <c r="Q140" s="21">
        <v>0</v>
      </c>
      <c r="R140" s="21">
        <v>80</v>
      </c>
      <c r="S140" s="40">
        <v>0.4</v>
      </c>
      <c r="T140" s="40">
        <v>0.1</v>
      </c>
      <c r="U140" s="40">
        <v>0</v>
      </c>
    </row>
    <row r="141" spans="1:21" x14ac:dyDescent="0.2">
      <c r="A141" s="21" t="s">
        <v>27</v>
      </c>
      <c r="B141" s="21" t="s">
        <v>452</v>
      </c>
      <c r="C141" s="21" t="s">
        <v>29</v>
      </c>
      <c r="D141" s="21" t="s">
        <v>691</v>
      </c>
      <c r="E141" s="21" t="s">
        <v>493</v>
      </c>
      <c r="F141" s="21" t="s">
        <v>494</v>
      </c>
      <c r="G141" s="21" t="s">
        <v>78</v>
      </c>
      <c r="H141" s="21" t="s">
        <v>24</v>
      </c>
      <c r="I141" s="21" t="s">
        <v>42</v>
      </c>
      <c r="J141" s="21" t="s">
        <v>43</v>
      </c>
      <c r="K141" s="22">
        <v>0.5</v>
      </c>
      <c r="L141" s="21" t="s">
        <v>45</v>
      </c>
      <c r="M141" s="22">
        <v>2022</v>
      </c>
      <c r="N141" s="21" t="s">
        <v>30</v>
      </c>
      <c r="O141" s="22">
        <v>20</v>
      </c>
      <c r="P141" s="21" t="s">
        <v>25</v>
      </c>
      <c r="Q141" s="21">
        <v>0</v>
      </c>
      <c r="R141" s="21">
        <v>80</v>
      </c>
      <c r="S141" s="40">
        <v>0.4</v>
      </c>
      <c r="T141" s="40">
        <v>0.1</v>
      </c>
      <c r="U141" s="40">
        <v>0</v>
      </c>
    </row>
    <row r="142" spans="1:21" x14ac:dyDescent="0.2">
      <c r="A142" s="21" t="s">
        <v>27</v>
      </c>
      <c r="B142" s="21" t="s">
        <v>452</v>
      </c>
      <c r="C142" s="21" t="s">
        <v>29</v>
      </c>
      <c r="D142" s="21" t="s">
        <v>676</v>
      </c>
      <c r="E142" s="21" t="s">
        <v>459</v>
      </c>
      <c r="F142" s="21" t="s">
        <v>460</v>
      </c>
      <c r="G142" s="21" t="s">
        <v>59</v>
      </c>
      <c r="H142" s="21" t="s">
        <v>24</v>
      </c>
      <c r="I142" s="21" t="s">
        <v>50</v>
      </c>
      <c r="J142" s="21" t="s">
        <v>51</v>
      </c>
      <c r="K142" s="22">
        <v>0.5</v>
      </c>
      <c r="L142" s="21" t="s">
        <v>52</v>
      </c>
      <c r="M142" s="22">
        <v>2022</v>
      </c>
      <c r="N142" s="21" t="s">
        <v>30</v>
      </c>
      <c r="O142" s="22">
        <v>20</v>
      </c>
      <c r="P142" s="21" t="s">
        <v>25</v>
      </c>
      <c r="Q142" s="21">
        <v>0</v>
      </c>
      <c r="R142" s="21">
        <v>80</v>
      </c>
      <c r="S142" s="40">
        <v>0.4</v>
      </c>
      <c r="T142" s="40">
        <v>0.1</v>
      </c>
      <c r="U142" s="40">
        <v>0</v>
      </c>
    </row>
    <row r="143" spans="1:21" x14ac:dyDescent="0.2">
      <c r="A143" s="21" t="s">
        <v>27</v>
      </c>
      <c r="B143" s="21" t="s">
        <v>452</v>
      </c>
      <c r="C143" s="21" t="s">
        <v>29</v>
      </c>
      <c r="D143" s="21" t="s">
        <v>692</v>
      </c>
      <c r="E143" s="21" t="s">
        <v>495</v>
      </c>
      <c r="F143" s="21" t="s">
        <v>496</v>
      </c>
      <c r="G143" s="21" t="s">
        <v>64</v>
      </c>
      <c r="H143" s="21" t="s">
        <v>26</v>
      </c>
      <c r="I143" s="21" t="s">
        <v>50</v>
      </c>
      <c r="J143" s="21" t="s">
        <v>51</v>
      </c>
      <c r="K143" s="22">
        <v>1</v>
      </c>
      <c r="L143" s="21" t="s">
        <v>52</v>
      </c>
      <c r="M143" s="22">
        <v>2022</v>
      </c>
      <c r="N143" s="21" t="s">
        <v>30</v>
      </c>
      <c r="O143" s="22">
        <v>20</v>
      </c>
      <c r="P143" s="21" t="s">
        <v>25</v>
      </c>
      <c r="Q143" s="21">
        <v>0</v>
      </c>
      <c r="R143" s="21">
        <v>80</v>
      </c>
      <c r="S143" s="40">
        <v>0.8</v>
      </c>
      <c r="T143" s="40">
        <v>0.2</v>
      </c>
      <c r="U143" s="40">
        <v>0</v>
      </c>
    </row>
    <row r="144" spans="1:21" x14ac:dyDescent="0.2">
      <c r="A144" s="21" t="s">
        <v>27</v>
      </c>
      <c r="B144" s="21" t="s">
        <v>452</v>
      </c>
      <c r="C144" s="21" t="s">
        <v>29</v>
      </c>
      <c r="D144" s="21" t="s">
        <v>677</v>
      </c>
      <c r="E144" s="21" t="s">
        <v>461</v>
      </c>
      <c r="F144" s="21" t="s">
        <v>462</v>
      </c>
      <c r="G144" s="21" t="s">
        <v>53</v>
      </c>
      <c r="H144" s="21" t="s">
        <v>24</v>
      </c>
      <c r="I144" s="21" t="s">
        <v>50</v>
      </c>
      <c r="J144" s="21" t="s">
        <v>51</v>
      </c>
      <c r="K144" s="22">
        <v>0.5</v>
      </c>
      <c r="L144" s="21" t="s">
        <v>52</v>
      </c>
      <c r="M144" s="22">
        <v>2022</v>
      </c>
      <c r="N144" s="21" t="s">
        <v>30</v>
      </c>
      <c r="O144" s="22">
        <v>20</v>
      </c>
      <c r="P144" s="21" t="s">
        <v>25</v>
      </c>
      <c r="Q144" s="21">
        <v>0</v>
      </c>
      <c r="R144" s="21">
        <v>80</v>
      </c>
      <c r="S144" s="40">
        <v>0.4</v>
      </c>
      <c r="T144" s="40">
        <v>0.1</v>
      </c>
      <c r="U144" s="40">
        <v>0</v>
      </c>
    </row>
    <row r="145" spans="1:21" x14ac:dyDescent="0.2">
      <c r="A145" s="21" t="s">
        <v>27</v>
      </c>
      <c r="B145" s="21" t="s">
        <v>452</v>
      </c>
      <c r="C145" s="21" t="s">
        <v>29</v>
      </c>
      <c r="D145" s="21" t="s">
        <v>693</v>
      </c>
      <c r="E145" s="21" t="s">
        <v>497</v>
      </c>
      <c r="F145" s="21" t="s">
        <v>498</v>
      </c>
      <c r="G145" s="21" t="s">
        <v>88</v>
      </c>
      <c r="H145" s="21" t="s">
        <v>24</v>
      </c>
      <c r="I145" s="21" t="s">
        <v>57</v>
      </c>
      <c r="J145" s="21" t="s">
        <v>58</v>
      </c>
      <c r="K145" s="22">
        <v>0.5</v>
      </c>
      <c r="L145" s="21" t="s">
        <v>87</v>
      </c>
      <c r="M145" s="22">
        <v>2022</v>
      </c>
      <c r="N145" s="21" t="s">
        <v>30</v>
      </c>
      <c r="O145" s="22">
        <v>50</v>
      </c>
      <c r="P145" s="21" t="s">
        <v>25</v>
      </c>
      <c r="Q145" s="21">
        <v>0</v>
      </c>
      <c r="R145" s="21">
        <v>50</v>
      </c>
      <c r="S145" s="40">
        <v>0.25</v>
      </c>
      <c r="T145" s="40">
        <v>0.25</v>
      </c>
      <c r="U145" s="40">
        <v>0</v>
      </c>
    </row>
    <row r="146" spans="1:21" x14ac:dyDescent="0.2">
      <c r="A146" s="21" t="s">
        <v>27</v>
      </c>
      <c r="B146" s="21" t="s">
        <v>452</v>
      </c>
      <c r="C146" s="21" t="s">
        <v>29</v>
      </c>
      <c r="D146" s="21" t="s">
        <v>693</v>
      </c>
      <c r="E146" s="21" t="s">
        <v>497</v>
      </c>
      <c r="F146" s="21" t="s">
        <v>498</v>
      </c>
      <c r="G146" s="21" t="s">
        <v>499</v>
      </c>
      <c r="H146" s="21" t="s">
        <v>24</v>
      </c>
      <c r="I146" s="21" t="s">
        <v>57</v>
      </c>
      <c r="J146" s="21" t="s">
        <v>58</v>
      </c>
      <c r="K146" s="22">
        <v>0.5</v>
      </c>
      <c r="L146" s="21" t="s">
        <v>87</v>
      </c>
      <c r="M146" s="22">
        <v>2022</v>
      </c>
      <c r="N146" s="21" t="s">
        <v>30</v>
      </c>
      <c r="O146" s="22">
        <v>20</v>
      </c>
      <c r="P146" s="21" t="s">
        <v>25</v>
      </c>
      <c r="Q146" s="21">
        <v>0</v>
      </c>
      <c r="R146" s="21">
        <v>80</v>
      </c>
      <c r="S146" s="40">
        <v>0.4</v>
      </c>
      <c r="T146" s="40">
        <v>0.1</v>
      </c>
      <c r="U146" s="40">
        <v>0</v>
      </c>
    </row>
    <row r="147" spans="1:21" x14ac:dyDescent="0.2">
      <c r="A147" s="21" t="s">
        <v>500</v>
      </c>
      <c r="B147" s="21" t="s">
        <v>501</v>
      </c>
      <c r="C147" s="21" t="s">
        <v>502</v>
      </c>
      <c r="D147" s="21" t="s">
        <v>694</v>
      </c>
      <c r="E147" s="21" t="s">
        <v>503</v>
      </c>
      <c r="F147" s="21" t="s">
        <v>504</v>
      </c>
      <c r="G147" s="21" t="s">
        <v>62</v>
      </c>
      <c r="H147" s="21" t="s">
        <v>24</v>
      </c>
      <c r="I147" s="21" t="s">
        <v>50</v>
      </c>
      <c r="J147" s="21" t="s">
        <v>51</v>
      </c>
      <c r="K147" s="22">
        <v>0.5</v>
      </c>
      <c r="L147" s="21" t="s">
        <v>52</v>
      </c>
      <c r="M147" s="22">
        <v>2022</v>
      </c>
      <c r="N147" s="21" t="s">
        <v>30</v>
      </c>
      <c r="O147" s="22">
        <v>20</v>
      </c>
      <c r="P147" s="21" t="s">
        <v>25</v>
      </c>
      <c r="Q147" s="21">
        <v>0</v>
      </c>
      <c r="R147" s="21">
        <v>80</v>
      </c>
      <c r="S147" s="40">
        <v>0.4</v>
      </c>
      <c r="T147" s="40">
        <v>0.1</v>
      </c>
      <c r="U147" s="40">
        <v>0</v>
      </c>
    </row>
    <row r="148" spans="1:21" x14ac:dyDescent="0.2">
      <c r="A148" s="21" t="s">
        <v>695</v>
      </c>
      <c r="B148" s="21" t="s">
        <v>599</v>
      </c>
      <c r="C148" s="21" t="s">
        <v>600</v>
      </c>
      <c r="D148" s="21" t="s">
        <v>696</v>
      </c>
      <c r="E148" s="21" t="s">
        <v>697</v>
      </c>
      <c r="F148" s="21" t="s">
        <v>698</v>
      </c>
      <c r="G148" s="21" t="s">
        <v>699</v>
      </c>
      <c r="H148" s="21" t="s">
        <v>596</v>
      </c>
      <c r="I148" s="21" t="s">
        <v>41</v>
      </c>
      <c r="J148" s="21" t="s">
        <v>604</v>
      </c>
      <c r="K148" s="22">
        <v>0.5</v>
      </c>
      <c r="L148" s="21" t="s">
        <v>41</v>
      </c>
      <c r="M148" s="22">
        <v>2022</v>
      </c>
      <c r="N148" s="21" t="s">
        <v>30</v>
      </c>
      <c r="O148" s="22">
        <v>20</v>
      </c>
      <c r="P148" s="21" t="s">
        <v>25</v>
      </c>
      <c r="Q148" s="21">
        <v>0</v>
      </c>
      <c r="R148" s="21">
        <v>80</v>
      </c>
      <c r="S148" s="40">
        <v>0.4</v>
      </c>
      <c r="T148" s="40">
        <v>0.1</v>
      </c>
      <c r="U148" s="40">
        <v>0</v>
      </c>
    </row>
    <row r="149" spans="1:21" x14ac:dyDescent="0.2">
      <c r="A149" s="21" t="s">
        <v>590</v>
      </c>
      <c r="B149" s="21" t="s">
        <v>591</v>
      </c>
      <c r="C149" s="21" t="s">
        <v>592</v>
      </c>
      <c r="D149" s="21" t="s">
        <v>593</v>
      </c>
      <c r="E149" s="21" t="s">
        <v>594</v>
      </c>
      <c r="F149" s="21" t="s">
        <v>595</v>
      </c>
      <c r="G149" s="21" t="s">
        <v>113</v>
      </c>
      <c r="H149" s="21" t="s">
        <v>596</v>
      </c>
      <c r="I149" s="21" t="s">
        <v>87</v>
      </c>
      <c r="J149" s="21" t="s">
        <v>597</v>
      </c>
      <c r="K149" s="22">
        <v>0.5</v>
      </c>
      <c r="L149" s="21" t="s">
        <v>87</v>
      </c>
      <c r="M149" s="22">
        <v>2023</v>
      </c>
      <c r="N149" s="21" t="s">
        <v>30</v>
      </c>
      <c r="O149" s="22" t="s">
        <v>34</v>
      </c>
      <c r="P149" s="21" t="s">
        <v>25</v>
      </c>
      <c r="Q149" s="21" t="s">
        <v>25</v>
      </c>
      <c r="R149" s="21">
        <v>50</v>
      </c>
      <c r="S149" s="40">
        <v>0.25</v>
      </c>
      <c r="T149" s="59">
        <v>0.25</v>
      </c>
      <c r="U149" s="40">
        <v>0</v>
      </c>
    </row>
    <row r="150" spans="1:21" x14ac:dyDescent="0.2">
      <c r="A150" s="21" t="s">
        <v>598</v>
      </c>
      <c r="B150" s="21" t="s">
        <v>599</v>
      </c>
      <c r="C150" s="21" t="s">
        <v>600</v>
      </c>
      <c r="D150" s="21" t="s">
        <v>601</v>
      </c>
      <c r="E150" s="21" t="s">
        <v>602</v>
      </c>
      <c r="F150" s="21" t="s">
        <v>603</v>
      </c>
      <c r="G150" s="21" t="s">
        <v>433</v>
      </c>
      <c r="H150" s="21" t="s">
        <v>596</v>
      </c>
      <c r="I150" s="21" t="s">
        <v>41</v>
      </c>
      <c r="J150" s="21" t="s">
        <v>604</v>
      </c>
      <c r="K150" s="22">
        <v>0.5</v>
      </c>
      <c r="L150" s="21" t="s">
        <v>41</v>
      </c>
      <c r="M150" s="22">
        <v>2023</v>
      </c>
      <c r="N150" s="21" t="s">
        <v>30</v>
      </c>
      <c r="O150" s="22" t="s">
        <v>35</v>
      </c>
      <c r="P150" s="21" t="s">
        <v>25</v>
      </c>
      <c r="Q150" s="21" t="s">
        <v>25</v>
      </c>
      <c r="R150" s="21">
        <v>80</v>
      </c>
      <c r="S150" s="40">
        <v>0.4</v>
      </c>
      <c r="T150" s="59">
        <v>0.1</v>
      </c>
      <c r="U150" s="40">
        <v>0</v>
      </c>
    </row>
    <row r="151" spans="1:21" s="39" customFormat="1" x14ac:dyDescent="0.2">
      <c r="A151" s="37" t="s">
        <v>598</v>
      </c>
      <c r="B151" s="37" t="s">
        <v>599</v>
      </c>
      <c r="C151" s="37" t="s">
        <v>600</v>
      </c>
      <c r="D151" s="37" t="s">
        <v>605</v>
      </c>
      <c r="E151" s="37" t="s">
        <v>606</v>
      </c>
      <c r="F151" s="37" t="s">
        <v>607</v>
      </c>
      <c r="G151" s="37" t="s">
        <v>433</v>
      </c>
      <c r="H151" s="37" t="s">
        <v>596</v>
      </c>
      <c r="I151" s="37" t="s">
        <v>41</v>
      </c>
      <c r="J151" s="37" t="s">
        <v>604</v>
      </c>
      <c r="K151" s="38">
        <v>0.5</v>
      </c>
      <c r="L151" s="37" t="s">
        <v>41</v>
      </c>
      <c r="M151" s="38">
        <v>2023</v>
      </c>
      <c r="N151" s="37" t="s">
        <v>30</v>
      </c>
      <c r="O151" s="38" t="s">
        <v>35</v>
      </c>
      <c r="P151" s="37" t="s">
        <v>25</v>
      </c>
      <c r="Q151" s="37" t="s">
        <v>25</v>
      </c>
      <c r="R151" s="37">
        <v>80</v>
      </c>
      <c r="S151" s="41">
        <v>0.4</v>
      </c>
      <c r="T151" s="59">
        <v>0.1</v>
      </c>
      <c r="U151" s="41">
        <v>0</v>
      </c>
    </row>
    <row r="152" spans="1:21" x14ac:dyDescent="0.2">
      <c r="A152" s="21" t="s">
        <v>608</v>
      </c>
      <c r="B152" s="21" t="s">
        <v>609</v>
      </c>
      <c r="C152" s="21" t="s">
        <v>610</v>
      </c>
      <c r="D152" s="21" t="s">
        <v>611</v>
      </c>
      <c r="E152" s="21" t="s">
        <v>612</v>
      </c>
      <c r="F152" s="21" t="s">
        <v>613</v>
      </c>
      <c r="G152" s="21" t="s">
        <v>614</v>
      </c>
      <c r="H152" s="21" t="s">
        <v>615</v>
      </c>
      <c r="I152" s="21" t="s">
        <v>616</v>
      </c>
      <c r="J152" s="21" t="s">
        <v>617</v>
      </c>
      <c r="K152" s="22">
        <v>1</v>
      </c>
      <c r="L152" s="21" t="s">
        <v>616</v>
      </c>
      <c r="M152" s="22">
        <v>2023</v>
      </c>
      <c r="N152" s="21" t="s">
        <v>30</v>
      </c>
      <c r="O152" s="22" t="s">
        <v>35</v>
      </c>
      <c r="P152" s="21" t="s">
        <v>25</v>
      </c>
      <c r="Q152" s="21" t="s">
        <v>25</v>
      </c>
      <c r="R152" s="21">
        <v>80</v>
      </c>
      <c r="S152" s="40">
        <v>0.8</v>
      </c>
      <c r="T152" s="60">
        <v>0.2</v>
      </c>
      <c r="U152" s="40">
        <v>0</v>
      </c>
    </row>
    <row r="153" spans="1:21" x14ac:dyDescent="0.2">
      <c r="A153" s="21" t="s">
        <v>618</v>
      </c>
      <c r="B153" s="21" t="s">
        <v>619</v>
      </c>
      <c r="C153" s="21" t="s">
        <v>620</v>
      </c>
      <c r="D153" s="21" t="s">
        <v>621</v>
      </c>
      <c r="E153" s="21" t="s">
        <v>622</v>
      </c>
      <c r="F153" s="21" t="s">
        <v>623</v>
      </c>
      <c r="G153" s="21" t="s">
        <v>226</v>
      </c>
      <c r="H153" s="21" t="s">
        <v>596</v>
      </c>
      <c r="I153" s="21" t="s">
        <v>45</v>
      </c>
      <c r="J153" s="21" t="s">
        <v>624</v>
      </c>
      <c r="K153" s="22">
        <v>0.33333333333333331</v>
      </c>
      <c r="L153" s="21" t="s">
        <v>45</v>
      </c>
      <c r="M153" s="22">
        <v>2023</v>
      </c>
      <c r="N153" s="21" t="s">
        <v>30</v>
      </c>
      <c r="O153" s="22" t="s">
        <v>35</v>
      </c>
      <c r="P153" s="21" t="s">
        <v>25</v>
      </c>
      <c r="Q153" s="21" t="s">
        <v>25</v>
      </c>
      <c r="R153" s="21">
        <v>80</v>
      </c>
      <c r="S153" s="40">
        <v>0.26666666666666666</v>
      </c>
      <c r="T153" s="60">
        <v>6.6666666666666666E-2</v>
      </c>
      <c r="U153" s="40">
        <v>0</v>
      </c>
    </row>
    <row r="154" spans="1:21" x14ac:dyDescent="0.2">
      <c r="A154" s="21" t="s">
        <v>618</v>
      </c>
      <c r="B154" s="21" t="s">
        <v>619</v>
      </c>
      <c r="C154" s="21" t="s">
        <v>620</v>
      </c>
      <c r="D154" s="21" t="s">
        <v>621</v>
      </c>
      <c r="E154" s="21" t="s">
        <v>622</v>
      </c>
      <c r="F154" s="21" t="s">
        <v>623</v>
      </c>
      <c r="G154" s="21" t="s">
        <v>145</v>
      </c>
      <c r="H154" s="21" t="s">
        <v>596</v>
      </c>
      <c r="I154" s="21" t="s">
        <v>45</v>
      </c>
      <c r="J154" s="21" t="s">
        <v>624</v>
      </c>
      <c r="K154" s="22">
        <v>0.33333333333333331</v>
      </c>
      <c r="L154" s="21" t="s">
        <v>45</v>
      </c>
      <c r="M154" s="22">
        <v>2023</v>
      </c>
      <c r="N154" s="21" t="s">
        <v>30</v>
      </c>
      <c r="O154" s="22" t="s">
        <v>34</v>
      </c>
      <c r="P154" s="21" t="s">
        <v>25</v>
      </c>
      <c r="Q154" s="21" t="s">
        <v>25</v>
      </c>
      <c r="R154" s="21">
        <v>50</v>
      </c>
      <c r="S154" s="40">
        <v>0.16666666666666663</v>
      </c>
      <c r="T154" s="60">
        <v>0.16666666666666663</v>
      </c>
      <c r="U154" s="40">
        <v>0</v>
      </c>
    </row>
    <row r="155" spans="1:21" x14ac:dyDescent="0.2">
      <c r="A155" s="21" t="s">
        <v>618</v>
      </c>
      <c r="B155" s="21" t="s">
        <v>619</v>
      </c>
      <c r="C155" s="21" t="s">
        <v>620</v>
      </c>
      <c r="D155" s="21" t="s">
        <v>625</v>
      </c>
      <c r="E155" s="21" t="s">
        <v>626</v>
      </c>
      <c r="F155" s="21" t="s">
        <v>627</v>
      </c>
      <c r="G155" s="21" t="s">
        <v>226</v>
      </c>
      <c r="H155" s="21" t="s">
        <v>596</v>
      </c>
      <c r="I155" s="21" t="s">
        <v>45</v>
      </c>
      <c r="J155" s="21" t="s">
        <v>624</v>
      </c>
      <c r="K155" s="22">
        <v>0.5</v>
      </c>
      <c r="L155" s="21" t="s">
        <v>45</v>
      </c>
      <c r="M155" s="22">
        <v>2023</v>
      </c>
      <c r="N155" s="21" t="s">
        <v>30</v>
      </c>
      <c r="O155" s="22" t="s">
        <v>35</v>
      </c>
      <c r="P155" s="21" t="s">
        <v>25</v>
      </c>
      <c r="Q155" s="21" t="s">
        <v>25</v>
      </c>
      <c r="R155" s="21">
        <v>80</v>
      </c>
      <c r="S155" s="40">
        <v>0.4</v>
      </c>
      <c r="T155" s="60">
        <v>0.1</v>
      </c>
      <c r="U155" s="40">
        <v>0</v>
      </c>
    </row>
    <row r="156" spans="1:21" x14ac:dyDescent="0.2">
      <c r="A156" s="21" t="s">
        <v>618</v>
      </c>
      <c r="B156" s="21" t="s">
        <v>619</v>
      </c>
      <c r="C156" s="21" t="s">
        <v>620</v>
      </c>
      <c r="D156" s="21" t="s">
        <v>625</v>
      </c>
      <c r="E156" s="21" t="s">
        <v>626</v>
      </c>
      <c r="F156" s="21" t="s">
        <v>627</v>
      </c>
      <c r="G156" s="21" t="s">
        <v>133</v>
      </c>
      <c r="H156" s="21" t="s">
        <v>596</v>
      </c>
      <c r="I156" s="21" t="s">
        <v>45</v>
      </c>
      <c r="J156" s="21" t="s">
        <v>624</v>
      </c>
      <c r="K156" s="22">
        <v>0.5</v>
      </c>
      <c r="L156" s="21" t="s">
        <v>45</v>
      </c>
      <c r="M156" s="22">
        <v>2023</v>
      </c>
      <c r="N156" s="21" t="s">
        <v>30</v>
      </c>
      <c r="O156" s="22" t="s">
        <v>34</v>
      </c>
      <c r="P156" s="21" t="s">
        <v>25</v>
      </c>
      <c r="Q156" s="21" t="s">
        <v>25</v>
      </c>
      <c r="R156" s="21">
        <v>50</v>
      </c>
      <c r="S156" s="40">
        <v>0.25</v>
      </c>
      <c r="T156" s="60">
        <v>0.25</v>
      </c>
      <c r="U156" s="40">
        <v>0</v>
      </c>
    </row>
    <row r="157" spans="1:21" x14ac:dyDescent="0.2">
      <c r="A157" s="21" t="s">
        <v>618</v>
      </c>
      <c r="B157" s="21" t="s">
        <v>619</v>
      </c>
      <c r="C157" s="21" t="s">
        <v>620</v>
      </c>
      <c r="D157" s="21" t="s">
        <v>628</v>
      </c>
      <c r="E157" s="21" t="s">
        <v>629</v>
      </c>
      <c r="F157" s="21" t="s">
        <v>630</v>
      </c>
      <c r="G157" s="21" t="s">
        <v>141</v>
      </c>
      <c r="H157" s="21" t="s">
        <v>596</v>
      </c>
      <c r="I157" s="21" t="s">
        <v>52</v>
      </c>
      <c r="J157" s="21" t="s">
        <v>631</v>
      </c>
      <c r="K157" s="22">
        <v>0.5</v>
      </c>
      <c r="L157" s="21" t="s">
        <v>52</v>
      </c>
      <c r="M157" s="22">
        <v>2023</v>
      </c>
      <c r="N157" s="21" t="s">
        <v>30</v>
      </c>
      <c r="O157" s="22" t="s">
        <v>35</v>
      </c>
      <c r="P157" s="21" t="s">
        <v>25</v>
      </c>
      <c r="Q157" s="21" t="s">
        <v>25</v>
      </c>
      <c r="R157" s="21">
        <v>80</v>
      </c>
      <c r="S157" s="40">
        <v>0.4</v>
      </c>
      <c r="T157" s="60">
        <v>0.1</v>
      </c>
      <c r="U157" s="40">
        <v>0</v>
      </c>
    </row>
    <row r="158" spans="1:21" x14ac:dyDescent="0.2">
      <c r="A158" s="21" t="s">
        <v>618</v>
      </c>
      <c r="B158" s="21" t="s">
        <v>619</v>
      </c>
      <c r="C158" s="21" t="s">
        <v>620</v>
      </c>
      <c r="D158" s="21" t="s">
        <v>632</v>
      </c>
      <c r="E158" s="21" t="s">
        <v>633</v>
      </c>
      <c r="F158" s="21" t="s">
        <v>634</v>
      </c>
      <c r="G158" s="21" t="s">
        <v>141</v>
      </c>
      <c r="H158" s="21" t="s">
        <v>596</v>
      </c>
      <c r="I158" s="21" t="s">
        <v>52</v>
      </c>
      <c r="J158" s="21" t="s">
        <v>631</v>
      </c>
      <c r="K158" s="22">
        <v>0.5</v>
      </c>
      <c r="L158" s="21" t="s">
        <v>52</v>
      </c>
      <c r="M158" s="22">
        <v>2023</v>
      </c>
      <c r="N158" s="21" t="s">
        <v>30</v>
      </c>
      <c r="O158" s="22" t="s">
        <v>35</v>
      </c>
      <c r="P158" s="21" t="s">
        <v>25</v>
      </c>
      <c r="Q158" s="21" t="s">
        <v>25</v>
      </c>
      <c r="R158" s="21">
        <v>80</v>
      </c>
      <c r="S158" s="40">
        <v>0.4</v>
      </c>
      <c r="T158" s="60">
        <v>0.1</v>
      </c>
      <c r="U158" s="40">
        <v>0</v>
      </c>
    </row>
    <row r="159" spans="1:21" x14ac:dyDescent="0.2">
      <c r="A159" s="21" t="s">
        <v>618</v>
      </c>
      <c r="B159" s="21" t="s">
        <v>619</v>
      </c>
      <c r="C159" s="21" t="s">
        <v>620</v>
      </c>
      <c r="D159" s="21" t="s">
        <v>632</v>
      </c>
      <c r="E159" s="21" t="s">
        <v>633</v>
      </c>
      <c r="F159" s="21" t="s">
        <v>634</v>
      </c>
      <c r="G159" s="21" t="s">
        <v>127</v>
      </c>
      <c r="H159" s="21" t="s">
        <v>596</v>
      </c>
      <c r="I159" s="21" t="s">
        <v>52</v>
      </c>
      <c r="J159" s="21" t="s">
        <v>631</v>
      </c>
      <c r="K159" s="22">
        <v>0.5</v>
      </c>
      <c r="L159" s="21" t="s">
        <v>52</v>
      </c>
      <c r="M159" s="22">
        <v>2023</v>
      </c>
      <c r="N159" s="21" t="s">
        <v>30</v>
      </c>
      <c r="O159" s="22" t="s">
        <v>35</v>
      </c>
      <c r="P159" s="21" t="s">
        <v>25</v>
      </c>
      <c r="Q159" s="21" t="s">
        <v>25</v>
      </c>
      <c r="R159" s="21">
        <v>80</v>
      </c>
      <c r="S159" s="40">
        <v>0.4</v>
      </c>
      <c r="T159" s="60">
        <v>0.1</v>
      </c>
      <c r="U159" s="40">
        <v>0</v>
      </c>
    </row>
    <row r="160" spans="1:21" x14ac:dyDescent="0.2">
      <c r="A160" s="21" t="s">
        <v>618</v>
      </c>
      <c r="B160" s="21" t="s">
        <v>619</v>
      </c>
      <c r="C160" s="21" t="s">
        <v>620</v>
      </c>
      <c r="D160" s="21" t="s">
        <v>635</v>
      </c>
      <c r="E160" s="21" t="s">
        <v>636</v>
      </c>
      <c r="F160" s="21" t="s">
        <v>637</v>
      </c>
      <c r="G160" s="21" t="s">
        <v>106</v>
      </c>
      <c r="H160" s="21" t="s">
        <v>596</v>
      </c>
      <c r="I160" s="21" t="s">
        <v>87</v>
      </c>
      <c r="J160" s="21" t="s">
        <v>597</v>
      </c>
      <c r="K160" s="22">
        <v>0.5</v>
      </c>
      <c r="L160" s="21" t="s">
        <v>87</v>
      </c>
      <c r="M160" s="22">
        <v>2023</v>
      </c>
      <c r="N160" s="21" t="s">
        <v>30</v>
      </c>
      <c r="O160" s="22" t="s">
        <v>35</v>
      </c>
      <c r="P160" s="21" t="s">
        <v>25</v>
      </c>
      <c r="Q160" s="21" t="s">
        <v>25</v>
      </c>
      <c r="R160" s="21">
        <v>80</v>
      </c>
      <c r="S160" s="40">
        <v>0.4</v>
      </c>
      <c r="T160" s="60">
        <v>0.1</v>
      </c>
      <c r="U160" s="40">
        <v>0</v>
      </c>
    </row>
    <row r="161" spans="1:21" x14ac:dyDescent="0.2">
      <c r="A161" s="21" t="s">
        <v>618</v>
      </c>
      <c r="B161" s="21" t="s">
        <v>619</v>
      </c>
      <c r="C161" s="21" t="s">
        <v>620</v>
      </c>
      <c r="D161" s="21" t="s">
        <v>635</v>
      </c>
      <c r="E161" s="21" t="s">
        <v>636</v>
      </c>
      <c r="F161" s="21" t="s">
        <v>637</v>
      </c>
      <c r="G161" s="21" t="s">
        <v>113</v>
      </c>
      <c r="H161" s="21" t="s">
        <v>596</v>
      </c>
      <c r="I161" s="21" t="s">
        <v>87</v>
      </c>
      <c r="J161" s="21" t="s">
        <v>597</v>
      </c>
      <c r="K161" s="22">
        <v>0.5</v>
      </c>
      <c r="L161" s="21" t="s">
        <v>87</v>
      </c>
      <c r="M161" s="22">
        <v>2023</v>
      </c>
      <c r="N161" s="21" t="s">
        <v>30</v>
      </c>
      <c r="O161" s="22" t="s">
        <v>34</v>
      </c>
      <c r="P161" s="21" t="s">
        <v>25</v>
      </c>
      <c r="Q161" s="21" t="s">
        <v>25</v>
      </c>
      <c r="R161" s="21">
        <v>50</v>
      </c>
      <c r="S161" s="40">
        <v>0.25</v>
      </c>
      <c r="T161" s="60">
        <v>0.25</v>
      </c>
      <c r="U161" s="40">
        <v>0</v>
      </c>
    </row>
    <row r="162" spans="1:21" x14ac:dyDescent="0.2">
      <c r="A162" s="21" t="s">
        <v>618</v>
      </c>
      <c r="B162" s="21" t="s">
        <v>619</v>
      </c>
      <c r="C162" s="21" t="s">
        <v>620</v>
      </c>
      <c r="D162" s="21" t="s">
        <v>638</v>
      </c>
      <c r="E162" s="21" t="s">
        <v>639</v>
      </c>
      <c r="F162" s="21" t="s">
        <v>640</v>
      </c>
      <c r="G162" s="21" t="s">
        <v>141</v>
      </c>
      <c r="H162" s="21" t="s">
        <v>596</v>
      </c>
      <c r="I162" s="21" t="s">
        <v>52</v>
      </c>
      <c r="J162" s="21" t="s">
        <v>631</v>
      </c>
      <c r="K162" s="22">
        <v>0.5</v>
      </c>
      <c r="L162" s="21" t="s">
        <v>52</v>
      </c>
      <c r="M162" s="22">
        <v>2023</v>
      </c>
      <c r="N162" s="21" t="s">
        <v>30</v>
      </c>
      <c r="O162" s="22" t="s">
        <v>35</v>
      </c>
      <c r="P162" s="21" t="s">
        <v>25</v>
      </c>
      <c r="Q162" s="21" t="s">
        <v>25</v>
      </c>
      <c r="R162" s="21">
        <v>80</v>
      </c>
      <c r="S162" s="40">
        <v>0.4</v>
      </c>
      <c r="T162" s="60">
        <v>0.1</v>
      </c>
      <c r="U162" s="40">
        <v>0</v>
      </c>
    </row>
    <row r="163" spans="1:21" x14ac:dyDescent="0.2">
      <c r="A163" s="21" t="s">
        <v>618</v>
      </c>
      <c r="B163" s="21" t="s">
        <v>619</v>
      </c>
      <c r="C163" s="21" t="s">
        <v>620</v>
      </c>
      <c r="D163" s="21" t="s">
        <v>638</v>
      </c>
      <c r="E163" s="21" t="s">
        <v>639</v>
      </c>
      <c r="F163" s="21" t="s">
        <v>640</v>
      </c>
      <c r="G163" s="21" t="s">
        <v>127</v>
      </c>
      <c r="H163" s="21" t="s">
        <v>596</v>
      </c>
      <c r="I163" s="21" t="s">
        <v>52</v>
      </c>
      <c r="J163" s="21" t="s">
        <v>631</v>
      </c>
      <c r="K163" s="22">
        <v>0.5</v>
      </c>
      <c r="L163" s="21" t="s">
        <v>52</v>
      </c>
      <c r="M163" s="22">
        <v>2023</v>
      </c>
      <c r="N163" s="21" t="s">
        <v>30</v>
      </c>
      <c r="O163" s="22" t="s">
        <v>35</v>
      </c>
      <c r="P163" s="21" t="s">
        <v>25</v>
      </c>
      <c r="Q163" s="21" t="s">
        <v>25</v>
      </c>
      <c r="R163" s="21">
        <v>80</v>
      </c>
      <c r="S163" s="40">
        <v>0.4</v>
      </c>
      <c r="T163" s="60">
        <v>0.1</v>
      </c>
      <c r="U163" s="40">
        <v>0</v>
      </c>
    </row>
    <row r="164" spans="1:21" x14ac:dyDescent="0.2">
      <c r="A164" s="21" t="s">
        <v>618</v>
      </c>
      <c r="B164" s="21" t="s">
        <v>619</v>
      </c>
      <c r="C164" s="21" t="s">
        <v>620</v>
      </c>
      <c r="D164" s="21" t="s">
        <v>641</v>
      </c>
      <c r="E164" s="21" t="s">
        <v>642</v>
      </c>
      <c r="F164" s="21" t="s">
        <v>643</v>
      </c>
      <c r="G164" s="21" t="s">
        <v>437</v>
      </c>
      <c r="H164" s="21" t="s">
        <v>596</v>
      </c>
      <c r="I164" s="21" t="s">
        <v>45</v>
      </c>
      <c r="J164" s="21" t="s">
        <v>624</v>
      </c>
      <c r="K164" s="22">
        <v>0.5</v>
      </c>
      <c r="L164" s="21" t="s">
        <v>45</v>
      </c>
      <c r="M164" s="22">
        <v>2023</v>
      </c>
      <c r="N164" s="21" t="s">
        <v>30</v>
      </c>
      <c r="O164" s="22" t="s">
        <v>35</v>
      </c>
      <c r="P164" s="21" t="s">
        <v>25</v>
      </c>
      <c r="Q164" s="21" t="s">
        <v>25</v>
      </c>
      <c r="R164" s="21">
        <v>80</v>
      </c>
      <c r="S164" s="40">
        <v>0.4</v>
      </c>
      <c r="T164" s="60">
        <v>0.1</v>
      </c>
      <c r="U164" s="40">
        <v>0</v>
      </c>
    </row>
    <row r="165" spans="1:21" x14ac:dyDescent="0.2">
      <c r="A165" s="21" t="s">
        <v>618</v>
      </c>
      <c r="B165" s="21" t="s">
        <v>619</v>
      </c>
      <c r="C165" s="21" t="s">
        <v>620</v>
      </c>
      <c r="D165" s="21" t="s">
        <v>641</v>
      </c>
      <c r="E165" s="21" t="s">
        <v>642</v>
      </c>
      <c r="F165" s="21" t="s">
        <v>643</v>
      </c>
      <c r="G165" s="21" t="s">
        <v>165</v>
      </c>
      <c r="H165" s="21" t="s">
        <v>596</v>
      </c>
      <c r="I165" s="21" t="s">
        <v>45</v>
      </c>
      <c r="J165" s="21" t="s">
        <v>624</v>
      </c>
      <c r="K165" s="22">
        <v>0.5</v>
      </c>
      <c r="L165" s="21" t="s">
        <v>45</v>
      </c>
      <c r="M165" s="22">
        <v>2023</v>
      </c>
      <c r="N165" s="21" t="s">
        <v>30</v>
      </c>
      <c r="O165" s="22" t="s">
        <v>35</v>
      </c>
      <c r="P165" s="21" t="s">
        <v>25</v>
      </c>
      <c r="Q165" s="21" t="s">
        <v>25</v>
      </c>
      <c r="R165" s="21">
        <v>80</v>
      </c>
      <c r="S165" s="40">
        <v>0.4</v>
      </c>
      <c r="T165" s="60">
        <v>0.1</v>
      </c>
      <c r="U165" s="40">
        <v>0</v>
      </c>
    </row>
    <row r="166" spans="1:21" x14ac:dyDescent="0.2">
      <c r="A166" s="21" t="s">
        <v>618</v>
      </c>
      <c r="B166" s="21" t="s">
        <v>619</v>
      </c>
      <c r="C166" s="21" t="s">
        <v>620</v>
      </c>
      <c r="D166" s="21" t="s">
        <v>644</v>
      </c>
      <c r="E166" s="21" t="s">
        <v>645</v>
      </c>
      <c r="F166" s="21" t="s">
        <v>646</v>
      </c>
      <c r="G166" s="21" t="s">
        <v>106</v>
      </c>
      <c r="H166" s="21" t="s">
        <v>596</v>
      </c>
      <c r="I166" s="21" t="s">
        <v>87</v>
      </c>
      <c r="J166" s="21" t="s">
        <v>597</v>
      </c>
      <c r="K166" s="22">
        <v>0.5</v>
      </c>
      <c r="L166" s="21" t="s">
        <v>87</v>
      </c>
      <c r="M166" s="22">
        <v>2023</v>
      </c>
      <c r="N166" s="21" t="s">
        <v>30</v>
      </c>
      <c r="O166" s="22" t="s">
        <v>35</v>
      </c>
      <c r="P166" s="21" t="s">
        <v>25</v>
      </c>
      <c r="Q166" s="21" t="s">
        <v>25</v>
      </c>
      <c r="R166" s="21">
        <v>80</v>
      </c>
      <c r="S166" s="40">
        <v>0.4</v>
      </c>
      <c r="T166" s="60">
        <v>0.1</v>
      </c>
      <c r="U166" s="40">
        <v>0</v>
      </c>
    </row>
    <row r="167" spans="1:21" x14ac:dyDescent="0.2">
      <c r="A167" s="21" t="s">
        <v>618</v>
      </c>
      <c r="B167" s="21" t="s">
        <v>619</v>
      </c>
      <c r="C167" s="21" t="s">
        <v>620</v>
      </c>
      <c r="D167" s="21" t="s">
        <v>644</v>
      </c>
      <c r="E167" s="21" t="s">
        <v>645</v>
      </c>
      <c r="F167" s="21" t="s">
        <v>646</v>
      </c>
      <c r="G167" s="21" t="s">
        <v>113</v>
      </c>
      <c r="H167" s="21" t="s">
        <v>596</v>
      </c>
      <c r="I167" s="21" t="s">
        <v>87</v>
      </c>
      <c r="J167" s="21" t="s">
        <v>597</v>
      </c>
      <c r="K167" s="22">
        <v>0.5</v>
      </c>
      <c r="L167" s="21" t="s">
        <v>87</v>
      </c>
      <c r="M167" s="22">
        <v>2023</v>
      </c>
      <c r="N167" s="21" t="s">
        <v>30</v>
      </c>
      <c r="O167" s="22" t="s">
        <v>34</v>
      </c>
      <c r="P167" s="21" t="s">
        <v>25</v>
      </c>
      <c r="Q167" s="21" t="s">
        <v>25</v>
      </c>
      <c r="R167" s="21">
        <v>50</v>
      </c>
      <c r="S167" s="40">
        <v>0.25</v>
      </c>
      <c r="T167" s="60">
        <v>0.25</v>
      </c>
      <c r="U167" s="40">
        <v>0</v>
      </c>
    </row>
    <row r="168" spans="1:21" x14ac:dyDescent="0.2">
      <c r="A168" s="21" t="s">
        <v>618</v>
      </c>
      <c r="B168" s="21" t="s">
        <v>619</v>
      </c>
      <c r="C168" s="21" t="s">
        <v>620</v>
      </c>
      <c r="D168" s="21" t="s">
        <v>647</v>
      </c>
      <c r="E168" s="21" t="s">
        <v>648</v>
      </c>
      <c r="F168" s="21" t="s">
        <v>613</v>
      </c>
      <c r="G168" s="21" t="s">
        <v>226</v>
      </c>
      <c r="H168" s="21" t="s">
        <v>596</v>
      </c>
      <c r="I168" s="21" t="s">
        <v>45</v>
      </c>
      <c r="J168" s="21" t="s">
        <v>624</v>
      </c>
      <c r="K168" s="22">
        <v>0.5</v>
      </c>
      <c r="L168" s="21" t="s">
        <v>45</v>
      </c>
      <c r="M168" s="22">
        <v>2023</v>
      </c>
      <c r="N168" s="21" t="s">
        <v>30</v>
      </c>
      <c r="O168" s="22" t="s">
        <v>35</v>
      </c>
      <c r="P168" s="21" t="s">
        <v>25</v>
      </c>
      <c r="Q168" s="21" t="s">
        <v>25</v>
      </c>
      <c r="R168" s="21">
        <v>80</v>
      </c>
      <c r="S168" s="40">
        <v>0.4</v>
      </c>
      <c r="T168" s="60">
        <v>0.1</v>
      </c>
      <c r="U168" s="40">
        <v>0</v>
      </c>
    </row>
    <row r="169" spans="1:21" x14ac:dyDescent="0.2">
      <c r="A169" s="21" t="s">
        <v>618</v>
      </c>
      <c r="B169" s="21" t="s">
        <v>619</v>
      </c>
      <c r="C169" s="21" t="s">
        <v>620</v>
      </c>
      <c r="D169" s="21" t="s">
        <v>647</v>
      </c>
      <c r="E169" s="21" t="s">
        <v>648</v>
      </c>
      <c r="F169" s="21" t="s">
        <v>613</v>
      </c>
      <c r="G169" s="21" t="s">
        <v>145</v>
      </c>
      <c r="H169" s="21" t="s">
        <v>596</v>
      </c>
      <c r="I169" s="21" t="s">
        <v>45</v>
      </c>
      <c r="J169" s="21" t="s">
        <v>624</v>
      </c>
      <c r="K169" s="22">
        <v>0.5</v>
      </c>
      <c r="L169" s="21" t="s">
        <v>45</v>
      </c>
      <c r="M169" s="22">
        <v>2023</v>
      </c>
      <c r="N169" s="21" t="s">
        <v>30</v>
      </c>
      <c r="O169" s="22" t="s">
        <v>34</v>
      </c>
      <c r="P169" s="21" t="s">
        <v>25</v>
      </c>
      <c r="Q169" s="21" t="s">
        <v>25</v>
      </c>
      <c r="R169" s="21">
        <v>50</v>
      </c>
      <c r="S169" s="40">
        <v>0.25</v>
      </c>
      <c r="T169" s="60">
        <v>0.25</v>
      </c>
      <c r="U169" s="40">
        <v>0</v>
      </c>
    </row>
    <row r="170" spans="1:21" x14ac:dyDescent="0.2">
      <c r="A170" s="21" t="s">
        <v>618</v>
      </c>
      <c r="B170" s="21" t="s">
        <v>619</v>
      </c>
      <c r="C170" s="21" t="s">
        <v>620</v>
      </c>
      <c r="D170" s="21" t="s">
        <v>649</v>
      </c>
      <c r="E170" s="21" t="s">
        <v>650</v>
      </c>
      <c r="F170" s="21" t="s">
        <v>651</v>
      </c>
      <c r="G170" s="21" t="s">
        <v>133</v>
      </c>
      <c r="H170" s="21" t="s">
        <v>596</v>
      </c>
      <c r="I170" s="21" t="s">
        <v>45</v>
      </c>
      <c r="J170" s="21" t="s">
        <v>624</v>
      </c>
      <c r="K170" s="22">
        <v>0.5</v>
      </c>
      <c r="L170" s="21" t="s">
        <v>45</v>
      </c>
      <c r="M170" s="22">
        <v>2023</v>
      </c>
      <c r="N170" s="21" t="s">
        <v>30</v>
      </c>
      <c r="O170" s="22" t="s">
        <v>34</v>
      </c>
      <c r="P170" s="21" t="s">
        <v>25</v>
      </c>
      <c r="Q170" s="21" t="s">
        <v>25</v>
      </c>
      <c r="R170" s="21">
        <v>50</v>
      </c>
      <c r="S170" s="40">
        <v>0.25</v>
      </c>
      <c r="T170" s="60">
        <v>0.25</v>
      </c>
      <c r="U170" s="40">
        <v>0</v>
      </c>
    </row>
    <row r="171" spans="1:21" x14ac:dyDescent="0.2">
      <c r="A171" s="21" t="s">
        <v>618</v>
      </c>
      <c r="B171" s="21" t="s">
        <v>619</v>
      </c>
      <c r="C171" s="21" t="s">
        <v>620</v>
      </c>
      <c r="D171" s="21" t="s">
        <v>649</v>
      </c>
      <c r="E171" s="21" t="s">
        <v>650</v>
      </c>
      <c r="F171" s="21" t="s">
        <v>651</v>
      </c>
      <c r="G171" s="21" t="s">
        <v>158</v>
      </c>
      <c r="H171" s="21" t="s">
        <v>596</v>
      </c>
      <c r="I171" s="21" t="s">
        <v>45</v>
      </c>
      <c r="J171" s="21" t="s">
        <v>624</v>
      </c>
      <c r="K171" s="22">
        <v>0.5</v>
      </c>
      <c r="L171" s="21" t="s">
        <v>45</v>
      </c>
      <c r="M171" s="22">
        <v>2023</v>
      </c>
      <c r="N171" s="21" t="s">
        <v>30</v>
      </c>
      <c r="O171" s="22" t="s">
        <v>35</v>
      </c>
      <c r="P171" s="21" t="s">
        <v>25</v>
      </c>
      <c r="Q171" s="21" t="s">
        <v>25</v>
      </c>
      <c r="R171" s="21">
        <v>80</v>
      </c>
      <c r="S171" s="40">
        <v>0.4</v>
      </c>
      <c r="T171" s="60">
        <v>0.1</v>
      </c>
      <c r="U171" s="40">
        <v>0</v>
      </c>
    </row>
    <row r="172" spans="1:21" x14ac:dyDescent="0.2">
      <c r="A172" s="21" t="s">
        <v>618</v>
      </c>
      <c r="B172" s="21" t="s">
        <v>619</v>
      </c>
      <c r="C172" s="21" t="s">
        <v>620</v>
      </c>
      <c r="D172" s="21" t="s">
        <v>652</v>
      </c>
      <c r="E172" s="21" t="s">
        <v>653</v>
      </c>
      <c r="F172" s="21" t="s">
        <v>654</v>
      </c>
      <c r="G172" s="21" t="s">
        <v>437</v>
      </c>
      <c r="H172" s="21" t="s">
        <v>596</v>
      </c>
      <c r="I172" s="21" t="s">
        <v>45</v>
      </c>
      <c r="J172" s="21" t="s">
        <v>624</v>
      </c>
      <c r="K172" s="22">
        <v>0.5</v>
      </c>
      <c r="L172" s="21" t="s">
        <v>45</v>
      </c>
      <c r="M172" s="22">
        <v>2023</v>
      </c>
      <c r="N172" s="21" t="s">
        <v>30</v>
      </c>
      <c r="O172" s="22" t="s">
        <v>35</v>
      </c>
      <c r="P172" s="21" t="s">
        <v>25</v>
      </c>
      <c r="Q172" s="21" t="s">
        <v>25</v>
      </c>
      <c r="R172" s="21">
        <v>80</v>
      </c>
      <c r="S172" s="40">
        <v>0.4</v>
      </c>
      <c r="T172" s="60">
        <v>0.1</v>
      </c>
      <c r="U172" s="40">
        <v>0</v>
      </c>
    </row>
    <row r="173" spans="1:21" x14ac:dyDescent="0.2">
      <c r="A173" s="21" t="s">
        <v>618</v>
      </c>
      <c r="B173" s="21" t="s">
        <v>619</v>
      </c>
      <c r="C173" s="21" t="s">
        <v>620</v>
      </c>
      <c r="D173" s="21" t="s">
        <v>652</v>
      </c>
      <c r="E173" s="21" t="s">
        <v>653</v>
      </c>
      <c r="F173" s="21" t="s">
        <v>654</v>
      </c>
      <c r="G173" s="21" t="s">
        <v>165</v>
      </c>
      <c r="H173" s="21" t="s">
        <v>596</v>
      </c>
      <c r="I173" s="21" t="s">
        <v>45</v>
      </c>
      <c r="J173" s="21" t="s">
        <v>624</v>
      </c>
      <c r="K173" s="22">
        <v>0.5</v>
      </c>
      <c r="L173" s="21" t="s">
        <v>45</v>
      </c>
      <c r="M173" s="22">
        <v>2023</v>
      </c>
      <c r="N173" s="21" t="s">
        <v>30</v>
      </c>
      <c r="O173" s="22" t="s">
        <v>35</v>
      </c>
      <c r="P173" s="21" t="s">
        <v>25</v>
      </c>
      <c r="Q173" s="21" t="s">
        <v>25</v>
      </c>
      <c r="R173" s="21">
        <v>80</v>
      </c>
      <c r="S173" s="40">
        <v>0.4</v>
      </c>
      <c r="T173" s="60">
        <v>0.1</v>
      </c>
      <c r="U173" s="40">
        <v>0</v>
      </c>
    </row>
    <row r="174" spans="1:21" s="64" customFormat="1" x14ac:dyDescent="0.2">
      <c r="A174" s="61" t="s">
        <v>618</v>
      </c>
      <c r="B174" s="61" t="s">
        <v>619</v>
      </c>
      <c r="C174" s="61" t="s">
        <v>620</v>
      </c>
      <c r="D174" s="61" t="s">
        <v>655</v>
      </c>
      <c r="E174" s="61" t="s">
        <v>656</v>
      </c>
      <c r="F174" s="61" t="s">
        <v>657</v>
      </c>
      <c r="G174" s="61" t="s">
        <v>222</v>
      </c>
      <c r="H174" s="61" t="s">
        <v>596</v>
      </c>
      <c r="I174" s="61" t="s">
        <v>45</v>
      </c>
      <c r="J174" s="61" t="s">
        <v>624</v>
      </c>
      <c r="K174" s="62">
        <v>0.5</v>
      </c>
      <c r="L174" s="61" t="s">
        <v>45</v>
      </c>
      <c r="M174" s="62">
        <v>2023</v>
      </c>
      <c r="N174" s="61" t="s">
        <v>30</v>
      </c>
      <c r="O174" s="62">
        <v>50</v>
      </c>
      <c r="P174" s="61" t="s">
        <v>25</v>
      </c>
      <c r="Q174" s="61" t="s">
        <v>25</v>
      </c>
      <c r="R174" s="61">
        <v>50</v>
      </c>
      <c r="S174" s="63">
        <v>0.25</v>
      </c>
      <c r="T174" s="63">
        <v>0.25</v>
      </c>
      <c r="U174" s="63">
        <v>0</v>
      </c>
    </row>
    <row r="175" spans="1:21" x14ac:dyDescent="0.2">
      <c r="A175" s="21" t="s">
        <v>618</v>
      </c>
      <c r="B175" s="21" t="s">
        <v>619</v>
      </c>
      <c r="C175" s="21" t="s">
        <v>620</v>
      </c>
      <c r="D175" s="21" t="s">
        <v>655</v>
      </c>
      <c r="E175" s="21" t="s">
        <v>656</v>
      </c>
      <c r="F175" s="21" t="s">
        <v>657</v>
      </c>
      <c r="G175" s="21" t="s">
        <v>126</v>
      </c>
      <c r="H175" s="21" t="s">
        <v>596</v>
      </c>
      <c r="I175" s="21" t="s">
        <v>45</v>
      </c>
      <c r="J175" s="21" t="s">
        <v>624</v>
      </c>
      <c r="K175" s="22">
        <v>0.5</v>
      </c>
      <c r="L175" s="21" t="s">
        <v>45</v>
      </c>
      <c r="M175" s="22">
        <v>2023</v>
      </c>
      <c r="N175" s="21" t="s">
        <v>30</v>
      </c>
      <c r="O175" s="22" t="s">
        <v>35</v>
      </c>
      <c r="P175" s="21" t="s">
        <v>25</v>
      </c>
      <c r="Q175" s="21" t="s">
        <v>25</v>
      </c>
      <c r="R175" s="21">
        <v>80</v>
      </c>
      <c r="S175" s="40">
        <v>0.4</v>
      </c>
      <c r="T175" s="41">
        <v>0.1</v>
      </c>
      <c r="U175" s="40">
        <v>0</v>
      </c>
    </row>
    <row r="176" spans="1:21" x14ac:dyDescent="0.2">
      <c r="A176" s="21" t="s">
        <v>618</v>
      </c>
      <c r="B176" s="21" t="s">
        <v>619</v>
      </c>
      <c r="C176" s="21" t="s">
        <v>620</v>
      </c>
      <c r="D176" s="21" t="s">
        <v>658</v>
      </c>
      <c r="E176" s="21" t="s">
        <v>659</v>
      </c>
      <c r="F176" s="21" t="s">
        <v>660</v>
      </c>
      <c r="G176" s="21" t="s">
        <v>127</v>
      </c>
      <c r="H176" s="21" t="s">
        <v>596</v>
      </c>
      <c r="I176" s="21" t="s">
        <v>52</v>
      </c>
      <c r="J176" s="21" t="s">
        <v>631</v>
      </c>
      <c r="K176" s="22">
        <v>0.5</v>
      </c>
      <c r="L176" s="21" t="s">
        <v>52</v>
      </c>
      <c r="M176" s="22">
        <v>2023</v>
      </c>
      <c r="N176" s="21" t="s">
        <v>30</v>
      </c>
      <c r="O176" s="22" t="s">
        <v>35</v>
      </c>
      <c r="P176" s="21" t="s">
        <v>25</v>
      </c>
      <c r="Q176" s="21" t="s">
        <v>25</v>
      </c>
      <c r="R176" s="21">
        <v>80</v>
      </c>
      <c r="S176" s="40">
        <v>0.4</v>
      </c>
      <c r="T176" s="41">
        <v>0.1</v>
      </c>
      <c r="U176" s="40">
        <v>0</v>
      </c>
    </row>
    <row r="177" spans="1:21" x14ac:dyDescent="0.2">
      <c r="A177" s="21" t="s">
        <v>618</v>
      </c>
      <c r="B177" s="21" t="s">
        <v>619</v>
      </c>
      <c r="C177" s="21" t="s">
        <v>620</v>
      </c>
      <c r="D177" s="21" t="s">
        <v>658</v>
      </c>
      <c r="E177" s="21" t="s">
        <v>659</v>
      </c>
      <c r="F177" s="21" t="s">
        <v>660</v>
      </c>
      <c r="G177" s="21" t="s">
        <v>157</v>
      </c>
      <c r="H177" s="21" t="s">
        <v>596</v>
      </c>
      <c r="I177" s="21" t="s">
        <v>52</v>
      </c>
      <c r="J177" s="21" t="s">
        <v>631</v>
      </c>
      <c r="K177" s="22">
        <v>0.5</v>
      </c>
      <c r="L177" s="21" t="s">
        <v>52</v>
      </c>
      <c r="M177" s="22">
        <v>2023</v>
      </c>
      <c r="N177" s="21" t="s">
        <v>30</v>
      </c>
      <c r="O177" s="22" t="s">
        <v>35</v>
      </c>
      <c r="P177" s="21" t="s">
        <v>25</v>
      </c>
      <c r="Q177" s="21" t="s">
        <v>25</v>
      </c>
      <c r="R177" s="21">
        <v>80</v>
      </c>
      <c r="S177" s="40">
        <v>0.4</v>
      </c>
      <c r="T177" s="41">
        <v>0.1</v>
      </c>
      <c r="U177" s="40">
        <v>0</v>
      </c>
    </row>
    <row r="178" spans="1:21" x14ac:dyDescent="0.2">
      <c r="A178" s="21" t="s">
        <v>618</v>
      </c>
      <c r="B178" s="21" t="s">
        <v>619</v>
      </c>
      <c r="C178" s="21" t="s">
        <v>620</v>
      </c>
      <c r="D178" s="21" t="s">
        <v>661</v>
      </c>
      <c r="E178" s="21" t="s">
        <v>662</v>
      </c>
      <c r="F178" s="21" t="s">
        <v>663</v>
      </c>
      <c r="G178" s="21" t="s">
        <v>166</v>
      </c>
      <c r="H178" s="21" t="s">
        <v>596</v>
      </c>
      <c r="I178" s="21" t="s">
        <v>87</v>
      </c>
      <c r="J178" s="21" t="s">
        <v>597</v>
      </c>
      <c r="K178" s="22">
        <v>0.5</v>
      </c>
      <c r="L178" s="21" t="s">
        <v>87</v>
      </c>
      <c r="M178" s="22">
        <v>2023</v>
      </c>
      <c r="N178" s="21" t="s">
        <v>30</v>
      </c>
      <c r="O178" s="22" t="s">
        <v>35</v>
      </c>
      <c r="P178" s="21" t="s">
        <v>25</v>
      </c>
      <c r="Q178" s="21" t="s">
        <v>25</v>
      </c>
      <c r="R178" s="21">
        <v>80</v>
      </c>
      <c r="S178" s="40">
        <v>0.4</v>
      </c>
      <c r="T178" s="41">
        <v>0.1</v>
      </c>
      <c r="U178" s="40">
        <v>0</v>
      </c>
    </row>
    <row r="179" spans="1:21" x14ac:dyDescent="0.2">
      <c r="A179" s="21" t="s">
        <v>618</v>
      </c>
      <c r="B179" s="21" t="s">
        <v>619</v>
      </c>
      <c r="C179" s="21" t="s">
        <v>620</v>
      </c>
      <c r="D179" s="21" t="s">
        <v>664</v>
      </c>
      <c r="E179" s="21" t="s">
        <v>665</v>
      </c>
      <c r="F179" s="21" t="s">
        <v>666</v>
      </c>
      <c r="G179" s="21" t="s">
        <v>120</v>
      </c>
      <c r="H179" s="21" t="s">
        <v>596</v>
      </c>
      <c r="I179" s="21" t="s">
        <v>52</v>
      </c>
      <c r="J179" s="21" t="s">
        <v>631</v>
      </c>
      <c r="K179" s="22">
        <v>0.5</v>
      </c>
      <c r="L179" s="21" t="s">
        <v>52</v>
      </c>
      <c r="M179" s="22">
        <v>2023</v>
      </c>
      <c r="N179" s="21" t="s">
        <v>30</v>
      </c>
      <c r="O179" s="22" t="s">
        <v>35</v>
      </c>
      <c r="P179" s="21" t="s">
        <v>25</v>
      </c>
      <c r="Q179" s="21" t="s">
        <v>25</v>
      </c>
      <c r="R179" s="21">
        <v>80</v>
      </c>
      <c r="S179" s="40">
        <v>0.4</v>
      </c>
      <c r="T179" s="41">
        <v>0.1</v>
      </c>
      <c r="U179" s="40">
        <v>0</v>
      </c>
    </row>
    <row r="180" spans="1:21" x14ac:dyDescent="0.2">
      <c r="A180" s="21" t="s">
        <v>618</v>
      </c>
      <c r="B180" s="21" t="s">
        <v>619</v>
      </c>
      <c r="C180" s="21" t="s">
        <v>620</v>
      </c>
      <c r="D180" s="21" t="s">
        <v>664</v>
      </c>
      <c r="E180" s="21" t="s">
        <v>665</v>
      </c>
      <c r="F180" s="21" t="s">
        <v>666</v>
      </c>
      <c r="G180" s="21" t="s">
        <v>109</v>
      </c>
      <c r="H180" s="21" t="s">
        <v>596</v>
      </c>
      <c r="I180" s="21" t="s">
        <v>52</v>
      </c>
      <c r="J180" s="21" t="s">
        <v>631</v>
      </c>
      <c r="K180" s="22">
        <v>0.5</v>
      </c>
      <c r="L180" s="21" t="s">
        <v>52</v>
      </c>
      <c r="M180" s="22">
        <v>2023</v>
      </c>
      <c r="N180" s="21" t="s">
        <v>30</v>
      </c>
      <c r="O180" s="22" t="s">
        <v>34</v>
      </c>
      <c r="P180" s="21" t="s">
        <v>25</v>
      </c>
      <c r="Q180" s="21" t="s">
        <v>25</v>
      </c>
      <c r="R180" s="21">
        <v>50</v>
      </c>
      <c r="S180" s="40">
        <v>0.25</v>
      </c>
      <c r="T180" s="41">
        <v>0.25</v>
      </c>
      <c r="U180" s="40">
        <v>0</v>
      </c>
    </row>
    <row r="181" spans="1:21" x14ac:dyDescent="0.2">
      <c r="A181" s="21" t="s">
        <v>618</v>
      </c>
      <c r="B181" s="21" t="s">
        <v>619</v>
      </c>
      <c r="C181" s="21" t="s">
        <v>620</v>
      </c>
      <c r="D181" s="21" t="s">
        <v>667</v>
      </c>
      <c r="E181" s="21" t="s">
        <v>668</v>
      </c>
      <c r="F181" s="21" t="s">
        <v>669</v>
      </c>
      <c r="G181" s="21" t="s">
        <v>129</v>
      </c>
      <c r="H181" s="21" t="s">
        <v>615</v>
      </c>
      <c r="I181" s="21" t="s">
        <v>68</v>
      </c>
      <c r="J181" s="21" t="s">
        <v>670</v>
      </c>
      <c r="K181" s="22">
        <v>1</v>
      </c>
      <c r="L181" s="21" t="s">
        <v>68</v>
      </c>
      <c r="M181" s="22">
        <v>2023</v>
      </c>
      <c r="N181" s="21" t="s">
        <v>30</v>
      </c>
      <c r="O181" s="22" t="s">
        <v>34</v>
      </c>
      <c r="P181" s="21" t="s">
        <v>25</v>
      </c>
      <c r="Q181" s="21" t="s">
        <v>25</v>
      </c>
      <c r="R181" s="21">
        <v>50</v>
      </c>
      <c r="S181" s="40">
        <v>0.5</v>
      </c>
      <c r="T181" s="41">
        <v>0.5</v>
      </c>
      <c r="U181" s="40">
        <v>0</v>
      </c>
    </row>
    <row r="182" spans="1:21" x14ac:dyDescent="0.2">
      <c r="A182" s="21" t="s">
        <v>618</v>
      </c>
      <c r="B182" s="21" t="s">
        <v>619</v>
      </c>
      <c r="C182" s="21" t="s">
        <v>620</v>
      </c>
      <c r="D182" s="21" t="s">
        <v>671</v>
      </c>
      <c r="E182" s="21" t="s">
        <v>672</v>
      </c>
      <c r="F182" s="21" t="s">
        <v>673</v>
      </c>
      <c r="G182" s="21" t="s">
        <v>111</v>
      </c>
      <c r="H182" s="21" t="s">
        <v>596</v>
      </c>
      <c r="I182" s="21" t="s">
        <v>52</v>
      </c>
      <c r="J182" s="21" t="s">
        <v>631</v>
      </c>
      <c r="K182" s="22">
        <v>0.33333333333333331</v>
      </c>
      <c r="L182" s="21" t="s">
        <v>52</v>
      </c>
      <c r="M182" s="22">
        <v>2023</v>
      </c>
      <c r="N182" s="21" t="s">
        <v>30</v>
      </c>
      <c r="O182" s="22" t="s">
        <v>35</v>
      </c>
      <c r="P182" s="21" t="s">
        <v>25</v>
      </c>
      <c r="Q182" s="21" t="s">
        <v>25</v>
      </c>
      <c r="R182" s="21">
        <v>80</v>
      </c>
      <c r="S182" s="40">
        <v>0.26666666666666666</v>
      </c>
      <c r="T182" s="41">
        <v>6.6666666666666666E-2</v>
      </c>
      <c r="U182" s="40">
        <v>0</v>
      </c>
    </row>
    <row r="183" spans="1:21" x14ac:dyDescent="0.2">
      <c r="A183" s="21" t="s">
        <v>618</v>
      </c>
      <c r="B183" s="21" t="s">
        <v>619</v>
      </c>
      <c r="C183" s="21" t="s">
        <v>620</v>
      </c>
      <c r="D183" s="21" t="s">
        <v>671</v>
      </c>
      <c r="E183" s="21" t="s">
        <v>672</v>
      </c>
      <c r="F183" s="21" t="s">
        <v>673</v>
      </c>
      <c r="G183" s="21" t="s">
        <v>131</v>
      </c>
      <c r="H183" s="21" t="s">
        <v>596</v>
      </c>
      <c r="I183" s="21" t="s">
        <v>52</v>
      </c>
      <c r="J183" s="21" t="s">
        <v>631</v>
      </c>
      <c r="K183" s="22">
        <v>0.33333333333333331</v>
      </c>
      <c r="L183" s="21" t="s">
        <v>52</v>
      </c>
      <c r="M183" s="22">
        <v>2023</v>
      </c>
      <c r="N183" s="21" t="s">
        <v>30</v>
      </c>
      <c r="O183" s="22" t="s">
        <v>35</v>
      </c>
      <c r="P183" s="21" t="s">
        <v>25</v>
      </c>
      <c r="Q183" s="21" t="s">
        <v>25</v>
      </c>
      <c r="R183" s="21">
        <v>80</v>
      </c>
      <c r="S183" s="40">
        <v>0.26666666666666666</v>
      </c>
      <c r="T183" s="41">
        <v>6.6666666666666666E-2</v>
      </c>
      <c r="U183" s="40">
        <v>0</v>
      </c>
    </row>
    <row r="184" spans="1:21" x14ac:dyDescent="0.2">
      <c r="A184" s="21" t="s">
        <v>27</v>
      </c>
      <c r="B184" s="21" t="s">
        <v>28</v>
      </c>
      <c r="C184" s="21" t="s">
        <v>29</v>
      </c>
      <c r="D184" s="21" t="s">
        <v>199</v>
      </c>
      <c r="E184" s="21" t="s">
        <v>200</v>
      </c>
      <c r="F184" s="21" t="s">
        <v>201</v>
      </c>
      <c r="G184" s="21" t="s">
        <v>46</v>
      </c>
      <c r="H184" s="21" t="s">
        <v>24</v>
      </c>
      <c r="I184" s="21" t="s">
        <v>42</v>
      </c>
      <c r="J184" s="21" t="s">
        <v>43</v>
      </c>
      <c r="K184" s="22">
        <v>0.5</v>
      </c>
      <c r="L184" s="21" t="s">
        <v>45</v>
      </c>
      <c r="M184" s="22">
        <v>2019</v>
      </c>
      <c r="N184" s="21" t="s">
        <v>40</v>
      </c>
      <c r="O184" s="22" t="s">
        <v>36</v>
      </c>
      <c r="P184" s="21" t="s">
        <v>30</v>
      </c>
      <c r="Q184" s="21" t="s">
        <v>36</v>
      </c>
      <c r="R184" s="21">
        <v>80</v>
      </c>
      <c r="S184" s="40">
        <v>0.4</v>
      </c>
      <c r="T184" s="40">
        <v>0.05</v>
      </c>
      <c r="U184" s="40">
        <v>0.05</v>
      </c>
    </row>
    <row r="185" spans="1:21" x14ac:dyDescent="0.2">
      <c r="A185" s="21" t="s">
        <v>27</v>
      </c>
      <c r="B185" s="21" t="s">
        <v>28</v>
      </c>
      <c r="C185" s="21" t="s">
        <v>29</v>
      </c>
      <c r="D185" s="21" t="s">
        <v>329</v>
      </c>
      <c r="E185" s="21" t="s">
        <v>330</v>
      </c>
      <c r="F185" s="21" t="s">
        <v>331</v>
      </c>
      <c r="G185" s="21" t="s">
        <v>332</v>
      </c>
      <c r="H185" s="21" t="s">
        <v>24</v>
      </c>
      <c r="I185" s="21" t="s">
        <v>50</v>
      </c>
      <c r="J185" s="21" t="s">
        <v>51</v>
      </c>
      <c r="K185" s="22">
        <v>0.5</v>
      </c>
      <c r="L185" s="21" t="s">
        <v>52</v>
      </c>
      <c r="M185" s="22">
        <v>2020</v>
      </c>
      <c r="N185" s="21" t="s">
        <v>47</v>
      </c>
      <c r="O185" s="22">
        <v>10</v>
      </c>
      <c r="P185" s="21" t="s">
        <v>30</v>
      </c>
      <c r="Q185" s="21">
        <v>10</v>
      </c>
      <c r="R185" s="21">
        <v>80</v>
      </c>
      <c r="S185" s="40">
        <v>0.4</v>
      </c>
      <c r="T185" s="40">
        <v>0.05</v>
      </c>
      <c r="U185" s="40">
        <v>0.05</v>
      </c>
    </row>
    <row r="186" spans="1:21" x14ac:dyDescent="0.2">
      <c r="A186" s="21" t="s">
        <v>27</v>
      </c>
      <c r="B186" s="21" t="s">
        <v>28</v>
      </c>
      <c r="C186" s="21" t="s">
        <v>29</v>
      </c>
      <c r="D186" s="21" t="s">
        <v>311</v>
      </c>
      <c r="E186" s="21" t="s">
        <v>312</v>
      </c>
      <c r="F186" s="21" t="s">
        <v>313</v>
      </c>
      <c r="G186" s="21" t="s">
        <v>426</v>
      </c>
      <c r="H186" s="21" t="s">
        <v>24</v>
      </c>
      <c r="I186" s="21" t="s">
        <v>427</v>
      </c>
      <c r="J186" s="21" t="s">
        <v>428</v>
      </c>
      <c r="K186" s="22">
        <v>0.5</v>
      </c>
      <c r="L186" s="21" t="s">
        <v>429</v>
      </c>
      <c r="M186" s="22">
        <v>2020</v>
      </c>
      <c r="N186" s="21" t="s">
        <v>430</v>
      </c>
      <c r="O186" s="22">
        <v>10</v>
      </c>
      <c r="P186" s="21" t="s">
        <v>30</v>
      </c>
      <c r="Q186" s="21">
        <v>10</v>
      </c>
      <c r="R186" s="21">
        <v>80</v>
      </c>
      <c r="S186" s="40">
        <v>0.4</v>
      </c>
      <c r="T186" s="40">
        <v>0.05</v>
      </c>
      <c r="U186" s="40">
        <v>0.05</v>
      </c>
    </row>
    <row r="187" spans="1:21" x14ac:dyDescent="0.2">
      <c r="A187" s="21" t="s">
        <v>27</v>
      </c>
      <c r="B187" s="21" t="s">
        <v>28</v>
      </c>
      <c r="C187" s="21" t="s">
        <v>29</v>
      </c>
      <c r="D187" s="21" t="s">
        <v>343</v>
      </c>
      <c r="E187" s="21" t="s">
        <v>344</v>
      </c>
      <c r="F187" s="21" t="s">
        <v>345</v>
      </c>
      <c r="G187" s="21" t="s">
        <v>332</v>
      </c>
      <c r="H187" s="21" t="s">
        <v>24</v>
      </c>
      <c r="I187" s="21" t="s">
        <v>50</v>
      </c>
      <c r="J187" s="21" t="s">
        <v>51</v>
      </c>
      <c r="K187" s="22">
        <v>0.5</v>
      </c>
      <c r="L187" s="21" t="s">
        <v>52</v>
      </c>
      <c r="M187" s="22">
        <v>2021</v>
      </c>
      <c r="N187" s="21" t="s">
        <v>47</v>
      </c>
      <c r="O187" s="22">
        <v>10</v>
      </c>
      <c r="P187" s="21" t="s">
        <v>30</v>
      </c>
      <c r="Q187" s="21">
        <v>10</v>
      </c>
      <c r="R187" s="21">
        <v>80</v>
      </c>
      <c r="S187" s="40">
        <v>0.4</v>
      </c>
      <c r="T187" s="40">
        <v>0.05</v>
      </c>
      <c r="U187" s="40">
        <v>0.05</v>
      </c>
    </row>
    <row r="188" spans="1:21" x14ac:dyDescent="0.2">
      <c r="A188" s="21" t="s">
        <v>500</v>
      </c>
      <c r="B188" s="21" t="s">
        <v>501</v>
      </c>
      <c r="C188" s="21" t="s">
        <v>502</v>
      </c>
      <c r="D188" s="21" t="s">
        <v>694</v>
      </c>
      <c r="E188" s="21" t="s">
        <v>503</v>
      </c>
      <c r="F188" s="21" t="s">
        <v>504</v>
      </c>
      <c r="G188" s="21" t="s">
        <v>332</v>
      </c>
      <c r="H188" s="21" t="s">
        <v>24</v>
      </c>
      <c r="I188" s="21" t="s">
        <v>50</v>
      </c>
      <c r="J188" s="21" t="s">
        <v>51</v>
      </c>
      <c r="K188" s="22">
        <v>0.5</v>
      </c>
      <c r="L188" s="21" t="s">
        <v>52</v>
      </c>
      <c r="M188" s="22">
        <v>2022</v>
      </c>
      <c r="N188" s="21" t="s">
        <v>47</v>
      </c>
      <c r="O188" s="22">
        <v>10</v>
      </c>
      <c r="P188" s="21" t="s">
        <v>30</v>
      </c>
      <c r="Q188" s="21">
        <v>10</v>
      </c>
      <c r="R188" s="21">
        <v>80</v>
      </c>
      <c r="S188" s="40">
        <v>0.4</v>
      </c>
      <c r="T188" s="40">
        <v>0.05</v>
      </c>
      <c r="U188" s="40">
        <v>0.05</v>
      </c>
    </row>
    <row r="189" spans="1:21" x14ac:dyDescent="0.2">
      <c r="A189" s="21" t="s">
        <v>598</v>
      </c>
      <c r="B189" s="21" t="s">
        <v>599</v>
      </c>
      <c r="C189" s="21" t="s">
        <v>600</v>
      </c>
      <c r="D189" s="21" t="s">
        <v>792</v>
      </c>
      <c r="E189" s="21" t="s">
        <v>793</v>
      </c>
      <c r="F189" s="21" t="s">
        <v>663</v>
      </c>
      <c r="G189" s="21" t="s">
        <v>119</v>
      </c>
      <c r="H189" s="21" t="s">
        <v>596</v>
      </c>
      <c r="I189" s="21" t="s">
        <v>52</v>
      </c>
      <c r="J189" s="21" t="s">
        <v>794</v>
      </c>
      <c r="K189" s="22">
        <v>0.33333333333333331</v>
      </c>
      <c r="L189" s="21" t="s">
        <v>52</v>
      </c>
      <c r="M189" s="22">
        <v>2023</v>
      </c>
      <c r="N189" s="21" t="s">
        <v>30</v>
      </c>
      <c r="O189" s="22" t="s">
        <v>35</v>
      </c>
      <c r="P189" s="21" t="s">
        <v>25</v>
      </c>
      <c r="Q189" s="21" t="s">
        <v>25</v>
      </c>
      <c r="R189" s="21">
        <v>80</v>
      </c>
      <c r="S189" s="40">
        <v>0.26666666666666666</v>
      </c>
      <c r="T189" s="60">
        <v>6.6666666666666666E-2</v>
      </c>
      <c r="U189" s="40">
        <v>0</v>
      </c>
    </row>
    <row r="190" spans="1:21" x14ac:dyDescent="0.2">
      <c r="A190" s="21" t="s">
        <v>618</v>
      </c>
      <c r="B190" s="21" t="s">
        <v>619</v>
      </c>
      <c r="C190" s="21" t="s">
        <v>620</v>
      </c>
      <c r="D190" s="21" t="s">
        <v>798</v>
      </c>
      <c r="E190" s="21" t="s">
        <v>799</v>
      </c>
      <c r="F190" s="21" t="s">
        <v>800</v>
      </c>
      <c r="G190" s="21" t="s">
        <v>141</v>
      </c>
      <c r="H190" s="21" t="s">
        <v>596</v>
      </c>
      <c r="I190" s="21" t="s">
        <v>52</v>
      </c>
      <c r="J190" s="21" t="s">
        <v>794</v>
      </c>
      <c r="K190" s="22">
        <v>0.5</v>
      </c>
      <c r="L190" s="21" t="s">
        <v>52</v>
      </c>
      <c r="M190" s="22">
        <v>2023</v>
      </c>
      <c r="N190" s="21" t="s">
        <v>30</v>
      </c>
      <c r="O190" s="22" t="s">
        <v>35</v>
      </c>
      <c r="P190" s="21" t="s">
        <v>25</v>
      </c>
      <c r="Q190" s="21" t="s">
        <v>25</v>
      </c>
      <c r="R190" s="21">
        <v>80</v>
      </c>
      <c r="S190" s="40">
        <v>0.4</v>
      </c>
      <c r="T190" s="41">
        <v>0.1</v>
      </c>
      <c r="U190" s="40">
        <v>0</v>
      </c>
    </row>
    <row r="191" spans="1:21" x14ac:dyDescent="0.2">
      <c r="A191" s="21" t="s">
        <v>618</v>
      </c>
      <c r="B191" s="21" t="s">
        <v>619</v>
      </c>
      <c r="C191" s="21" t="s">
        <v>620</v>
      </c>
      <c r="D191" s="21" t="s">
        <v>795</v>
      </c>
      <c r="E191" s="21" t="s">
        <v>796</v>
      </c>
      <c r="F191" s="21" t="s">
        <v>797</v>
      </c>
      <c r="G191" s="21" t="s">
        <v>111</v>
      </c>
      <c r="H191" s="21" t="s">
        <v>596</v>
      </c>
      <c r="I191" s="21" t="s">
        <v>52</v>
      </c>
      <c r="J191" s="21" t="s">
        <v>794</v>
      </c>
      <c r="K191" s="22">
        <v>0.33333333333333331</v>
      </c>
      <c r="L191" s="21" t="s">
        <v>52</v>
      </c>
      <c r="M191" s="22">
        <v>2023</v>
      </c>
      <c r="N191" s="21" t="s">
        <v>30</v>
      </c>
      <c r="O191" s="22" t="s">
        <v>35</v>
      </c>
      <c r="P191" s="21" t="s">
        <v>25</v>
      </c>
      <c r="Q191" s="21" t="s">
        <v>25</v>
      </c>
      <c r="R191" s="21">
        <v>80</v>
      </c>
      <c r="S191" s="40">
        <v>0.26666666666666666</v>
      </c>
      <c r="T191" s="41">
        <v>6.6666666666666666E-2</v>
      </c>
      <c r="U191" s="40">
        <v>0</v>
      </c>
    </row>
    <row r="192" spans="1:21" x14ac:dyDescent="0.2">
      <c r="A192" s="21" t="s">
        <v>618</v>
      </c>
      <c r="B192" s="21" t="s">
        <v>619</v>
      </c>
      <c r="C192" s="21" t="s">
        <v>620</v>
      </c>
      <c r="D192" s="21" t="s">
        <v>795</v>
      </c>
      <c r="E192" s="21" t="s">
        <v>796</v>
      </c>
      <c r="F192" s="21" t="s">
        <v>797</v>
      </c>
      <c r="G192" s="21" t="s">
        <v>131</v>
      </c>
      <c r="H192" s="21" t="s">
        <v>596</v>
      </c>
      <c r="I192" s="21" t="s">
        <v>52</v>
      </c>
      <c r="J192" s="21" t="s">
        <v>794</v>
      </c>
      <c r="K192" s="22">
        <v>0.33333333333333331</v>
      </c>
      <c r="L192" s="21" t="s">
        <v>52</v>
      </c>
      <c r="M192" s="22">
        <v>2023</v>
      </c>
      <c r="N192" s="21" t="s">
        <v>30</v>
      </c>
      <c r="O192" s="22" t="s">
        <v>35</v>
      </c>
      <c r="P192" s="21" t="s">
        <v>25</v>
      </c>
      <c r="Q192" s="21" t="s">
        <v>25</v>
      </c>
      <c r="R192" s="21">
        <v>80</v>
      </c>
      <c r="S192" s="40">
        <v>0.26666666666666666</v>
      </c>
      <c r="T192" s="41">
        <v>6.6666666666666666E-2</v>
      </c>
      <c r="U192" s="40">
        <v>0</v>
      </c>
    </row>
    <row r="193" spans="1:21" x14ac:dyDescent="0.2">
      <c r="A193" s="21" t="s">
        <v>618</v>
      </c>
      <c r="B193" s="21" t="s">
        <v>803</v>
      </c>
      <c r="C193" s="21" t="s">
        <v>620</v>
      </c>
      <c r="D193" s="21" t="s">
        <v>804</v>
      </c>
      <c r="E193" s="21" t="s">
        <v>805</v>
      </c>
      <c r="F193" s="21" t="s">
        <v>806</v>
      </c>
      <c r="G193" s="21" t="s">
        <v>674</v>
      </c>
      <c r="H193" s="21" t="s">
        <v>596</v>
      </c>
      <c r="I193" s="21" t="s">
        <v>618</v>
      </c>
      <c r="J193" s="21" t="s">
        <v>803</v>
      </c>
      <c r="K193" s="22">
        <v>0.5</v>
      </c>
      <c r="L193" s="21" t="s">
        <v>30</v>
      </c>
      <c r="M193" s="22">
        <v>2024</v>
      </c>
      <c r="N193" s="21" t="s">
        <v>25</v>
      </c>
      <c r="O193" s="22" t="s">
        <v>25</v>
      </c>
      <c r="P193" s="21" t="s">
        <v>25</v>
      </c>
      <c r="Q193" s="21" t="s">
        <v>25</v>
      </c>
      <c r="R193" s="21">
        <v>100</v>
      </c>
      <c r="S193" s="40">
        <v>0.5</v>
      </c>
      <c r="T193" s="40">
        <v>0</v>
      </c>
      <c r="U193" s="40">
        <v>0</v>
      </c>
    </row>
    <row r="194" spans="1:21" x14ac:dyDescent="0.2">
      <c r="A194" s="21" t="s">
        <v>618</v>
      </c>
      <c r="B194" s="21" t="s">
        <v>803</v>
      </c>
      <c r="C194" s="21" t="s">
        <v>620</v>
      </c>
      <c r="D194" s="21" t="s">
        <v>807</v>
      </c>
      <c r="E194" s="21" t="s">
        <v>808</v>
      </c>
      <c r="F194" s="21" t="s">
        <v>809</v>
      </c>
      <c r="G194" s="21" t="s">
        <v>674</v>
      </c>
      <c r="H194" s="21" t="s">
        <v>596</v>
      </c>
      <c r="I194" s="21" t="s">
        <v>618</v>
      </c>
      <c r="J194" s="21" t="s">
        <v>803</v>
      </c>
      <c r="K194" s="22">
        <v>0.5</v>
      </c>
      <c r="L194" s="21" t="s">
        <v>30</v>
      </c>
      <c r="M194" s="22">
        <v>2024</v>
      </c>
      <c r="N194" s="21" t="s">
        <v>25</v>
      </c>
      <c r="O194" s="22" t="s">
        <v>25</v>
      </c>
      <c r="P194" s="21" t="s">
        <v>25</v>
      </c>
      <c r="Q194" s="21" t="s">
        <v>25</v>
      </c>
      <c r="R194" s="21">
        <v>100</v>
      </c>
      <c r="S194" s="40">
        <v>0.5</v>
      </c>
      <c r="T194" s="40">
        <v>0</v>
      </c>
      <c r="U194" s="40">
        <v>0</v>
      </c>
    </row>
    <row r="195" spans="1:21" x14ac:dyDescent="0.2">
      <c r="A195" s="21" t="s">
        <v>618</v>
      </c>
      <c r="B195" s="21" t="s">
        <v>803</v>
      </c>
      <c r="C195" s="21" t="s">
        <v>620</v>
      </c>
      <c r="D195" s="21" t="s">
        <v>810</v>
      </c>
      <c r="E195" s="21" t="s">
        <v>811</v>
      </c>
      <c r="F195" s="21" t="s">
        <v>812</v>
      </c>
      <c r="G195" s="21" t="s">
        <v>674</v>
      </c>
      <c r="H195" s="21" t="s">
        <v>596</v>
      </c>
      <c r="I195" s="21" t="s">
        <v>618</v>
      </c>
      <c r="J195" s="21" t="s">
        <v>803</v>
      </c>
      <c r="K195" s="22">
        <v>0.5</v>
      </c>
      <c r="L195" s="21" t="s">
        <v>30</v>
      </c>
      <c r="M195" s="22">
        <v>2024</v>
      </c>
      <c r="N195" s="21" t="s">
        <v>25</v>
      </c>
      <c r="O195" s="22" t="s">
        <v>25</v>
      </c>
      <c r="P195" s="21" t="s">
        <v>25</v>
      </c>
      <c r="Q195" s="21" t="s">
        <v>25</v>
      </c>
      <c r="R195" s="21">
        <v>100</v>
      </c>
      <c r="S195" s="40">
        <v>0.5</v>
      </c>
      <c r="T195" s="40">
        <v>0</v>
      </c>
      <c r="U195" s="40">
        <v>0</v>
      </c>
    </row>
    <row r="196" spans="1:21" x14ac:dyDescent="0.2">
      <c r="A196" s="21" t="s">
        <v>618</v>
      </c>
      <c r="B196" s="21" t="s">
        <v>803</v>
      </c>
      <c r="C196" s="21" t="s">
        <v>620</v>
      </c>
      <c r="D196" s="21" t="s">
        <v>813</v>
      </c>
      <c r="E196" s="21" t="s">
        <v>814</v>
      </c>
      <c r="F196" s="21" t="s">
        <v>815</v>
      </c>
      <c r="G196" s="21" t="s">
        <v>674</v>
      </c>
      <c r="H196" s="21" t="s">
        <v>596</v>
      </c>
      <c r="I196" s="21" t="s">
        <v>618</v>
      </c>
      <c r="J196" s="21" t="s">
        <v>803</v>
      </c>
      <c r="K196" s="22">
        <v>0.5</v>
      </c>
      <c r="L196" s="21" t="s">
        <v>30</v>
      </c>
      <c r="M196" s="22">
        <v>2024</v>
      </c>
      <c r="N196" s="21" t="s">
        <v>25</v>
      </c>
      <c r="O196" s="22" t="s">
        <v>25</v>
      </c>
      <c r="P196" s="21" t="s">
        <v>25</v>
      </c>
      <c r="Q196" s="21" t="s">
        <v>25</v>
      </c>
      <c r="R196" s="21">
        <v>100</v>
      </c>
      <c r="S196" s="40">
        <v>0.5</v>
      </c>
      <c r="T196" s="40">
        <v>0</v>
      </c>
      <c r="U196" s="40">
        <v>0</v>
      </c>
    </row>
    <row r="197" spans="1:21" x14ac:dyDescent="0.2">
      <c r="A197" s="21" t="s">
        <v>618</v>
      </c>
      <c r="B197" s="21" t="s">
        <v>803</v>
      </c>
      <c r="C197" s="21" t="s">
        <v>620</v>
      </c>
      <c r="D197" s="21" t="s">
        <v>816</v>
      </c>
      <c r="E197" s="21" t="s">
        <v>817</v>
      </c>
      <c r="F197" s="21" t="s">
        <v>818</v>
      </c>
      <c r="G197" s="21" t="s">
        <v>674</v>
      </c>
      <c r="H197" s="21" t="s">
        <v>596</v>
      </c>
      <c r="I197" s="21" t="s">
        <v>618</v>
      </c>
      <c r="J197" s="21" t="s">
        <v>803</v>
      </c>
      <c r="K197" s="22">
        <v>0.5</v>
      </c>
      <c r="L197" s="21" t="s">
        <v>30</v>
      </c>
      <c r="M197" s="22">
        <v>2024</v>
      </c>
      <c r="N197" s="21" t="s">
        <v>25</v>
      </c>
      <c r="O197" s="22" t="s">
        <v>25</v>
      </c>
      <c r="P197" s="21" t="s">
        <v>25</v>
      </c>
      <c r="Q197" s="21" t="s">
        <v>25</v>
      </c>
      <c r="R197" s="21">
        <v>100</v>
      </c>
      <c r="S197" s="40">
        <v>0.5</v>
      </c>
      <c r="T197" s="40">
        <v>0</v>
      </c>
      <c r="U197" s="40">
        <v>0</v>
      </c>
    </row>
    <row r="198" spans="1:21" x14ac:dyDescent="0.2">
      <c r="A198" s="21" t="s">
        <v>618</v>
      </c>
      <c r="B198" s="21" t="s">
        <v>803</v>
      </c>
      <c r="C198" s="21" t="s">
        <v>620</v>
      </c>
      <c r="D198" s="21" t="s">
        <v>819</v>
      </c>
      <c r="E198" s="21" t="s">
        <v>820</v>
      </c>
      <c r="F198" s="21" t="s">
        <v>821</v>
      </c>
      <c r="G198" s="21" t="s">
        <v>674</v>
      </c>
      <c r="H198" s="21" t="s">
        <v>596</v>
      </c>
      <c r="I198" s="21" t="s">
        <v>618</v>
      </c>
      <c r="J198" s="21" t="s">
        <v>803</v>
      </c>
      <c r="K198" s="22">
        <v>0.5</v>
      </c>
      <c r="L198" s="21" t="s">
        <v>30</v>
      </c>
      <c r="M198" s="22">
        <v>2024</v>
      </c>
      <c r="N198" s="21" t="s">
        <v>25</v>
      </c>
      <c r="O198" s="22" t="s">
        <v>25</v>
      </c>
      <c r="P198" s="21" t="s">
        <v>25</v>
      </c>
      <c r="Q198" s="21" t="s">
        <v>25</v>
      </c>
      <c r="R198" s="21">
        <v>100</v>
      </c>
      <c r="S198" s="40">
        <v>0.5</v>
      </c>
      <c r="T198" s="40">
        <v>0</v>
      </c>
      <c r="U198" s="40">
        <v>0</v>
      </c>
    </row>
    <row r="199" spans="1:21" x14ac:dyDescent="0.2">
      <c r="A199" s="21" t="s">
        <v>618</v>
      </c>
      <c r="B199" s="21" t="s">
        <v>803</v>
      </c>
      <c r="C199" s="21" t="s">
        <v>620</v>
      </c>
      <c r="D199" s="21" t="s">
        <v>822</v>
      </c>
      <c r="E199" s="21" t="s">
        <v>823</v>
      </c>
      <c r="F199" s="21" t="s">
        <v>824</v>
      </c>
      <c r="G199" s="21" t="s">
        <v>674</v>
      </c>
      <c r="H199" s="21" t="s">
        <v>596</v>
      </c>
      <c r="I199" s="21" t="s">
        <v>618</v>
      </c>
      <c r="J199" s="21" t="s">
        <v>803</v>
      </c>
      <c r="K199" s="22">
        <v>0.5</v>
      </c>
      <c r="L199" s="21" t="s">
        <v>30</v>
      </c>
      <c r="M199" s="22">
        <v>2024</v>
      </c>
      <c r="N199" s="21" t="s">
        <v>25</v>
      </c>
      <c r="O199" s="22" t="s">
        <v>25</v>
      </c>
      <c r="P199" s="21" t="s">
        <v>25</v>
      </c>
      <c r="Q199" s="21" t="s">
        <v>25</v>
      </c>
      <c r="R199" s="21">
        <v>100</v>
      </c>
      <c r="S199" s="40">
        <v>0.5</v>
      </c>
      <c r="T199" s="40">
        <v>0</v>
      </c>
      <c r="U199" s="40">
        <v>0</v>
      </c>
    </row>
    <row r="200" spans="1:21" x14ac:dyDescent="0.2">
      <c r="A200" s="21" t="s">
        <v>598</v>
      </c>
      <c r="B200" s="21" t="s">
        <v>825</v>
      </c>
      <c r="C200" s="21" t="s">
        <v>600</v>
      </c>
      <c r="D200" s="21" t="s">
        <v>826</v>
      </c>
      <c r="E200" s="21" t="s">
        <v>827</v>
      </c>
      <c r="F200" s="21" t="s">
        <v>828</v>
      </c>
      <c r="G200" s="21" t="s">
        <v>433</v>
      </c>
      <c r="H200" s="21" t="s">
        <v>596</v>
      </c>
      <c r="I200" s="21" t="s">
        <v>41</v>
      </c>
      <c r="J200" s="21" t="s">
        <v>829</v>
      </c>
      <c r="K200" s="22">
        <v>0.5</v>
      </c>
      <c r="L200" s="21" t="s">
        <v>41</v>
      </c>
      <c r="M200" s="22">
        <v>2024</v>
      </c>
      <c r="N200" s="21" t="s">
        <v>30</v>
      </c>
      <c r="O200" s="22" t="s">
        <v>35</v>
      </c>
      <c r="P200" s="21" t="s">
        <v>25</v>
      </c>
      <c r="Q200" s="21" t="s">
        <v>25</v>
      </c>
      <c r="R200" s="21">
        <v>80</v>
      </c>
      <c r="S200" s="40">
        <v>0.4</v>
      </c>
      <c r="T200" s="40">
        <v>0.1</v>
      </c>
      <c r="U200" s="40">
        <v>0</v>
      </c>
    </row>
    <row r="201" spans="1:21" x14ac:dyDescent="0.2">
      <c r="A201" s="21" t="s">
        <v>598</v>
      </c>
      <c r="B201" s="21" t="s">
        <v>825</v>
      </c>
      <c r="C201" s="21" t="s">
        <v>600</v>
      </c>
      <c r="D201" s="21" t="s">
        <v>830</v>
      </c>
      <c r="E201" s="21" t="s">
        <v>831</v>
      </c>
      <c r="F201" s="21" t="s">
        <v>832</v>
      </c>
      <c r="G201" s="21" t="s">
        <v>154</v>
      </c>
      <c r="H201" s="21" t="s">
        <v>596</v>
      </c>
      <c r="I201" s="21" t="s">
        <v>52</v>
      </c>
      <c r="J201" s="21" t="s">
        <v>833</v>
      </c>
      <c r="K201" s="22">
        <v>0.5</v>
      </c>
      <c r="L201" s="21" t="s">
        <v>52</v>
      </c>
      <c r="M201" s="22">
        <v>2024</v>
      </c>
      <c r="N201" s="21" t="s">
        <v>30</v>
      </c>
      <c r="O201" s="22" t="s">
        <v>35</v>
      </c>
      <c r="P201" s="21" t="s">
        <v>25</v>
      </c>
      <c r="Q201" s="21" t="s">
        <v>25</v>
      </c>
      <c r="R201" s="21">
        <v>80</v>
      </c>
      <c r="S201" s="40">
        <v>0.4</v>
      </c>
      <c r="T201" s="40">
        <v>0.1</v>
      </c>
      <c r="U201" s="40">
        <v>0</v>
      </c>
    </row>
    <row r="202" spans="1:21" x14ac:dyDescent="0.2">
      <c r="A202" s="21" t="s">
        <v>618</v>
      </c>
      <c r="B202" s="21" t="s">
        <v>803</v>
      </c>
      <c r="C202" s="21" t="s">
        <v>620</v>
      </c>
      <c r="D202" s="21" t="s">
        <v>804</v>
      </c>
      <c r="E202" s="21" t="s">
        <v>805</v>
      </c>
      <c r="F202" s="21" t="s">
        <v>806</v>
      </c>
      <c r="G202" s="21" t="s">
        <v>117</v>
      </c>
      <c r="H202" s="21" t="s">
        <v>596</v>
      </c>
      <c r="I202" s="21" t="s">
        <v>52</v>
      </c>
      <c r="J202" s="21" t="s">
        <v>833</v>
      </c>
      <c r="K202" s="22">
        <v>0.5</v>
      </c>
      <c r="L202" s="21" t="s">
        <v>52</v>
      </c>
      <c r="M202" s="22">
        <v>2024</v>
      </c>
      <c r="N202" s="21" t="s">
        <v>30</v>
      </c>
      <c r="O202" s="22" t="s">
        <v>36</v>
      </c>
      <c r="P202" s="21" t="s">
        <v>47</v>
      </c>
      <c r="Q202" s="21" t="s">
        <v>36</v>
      </c>
      <c r="R202" s="21">
        <v>80</v>
      </c>
      <c r="S202" s="40">
        <v>0.4</v>
      </c>
      <c r="T202" s="40">
        <v>0.05</v>
      </c>
      <c r="U202" s="40">
        <v>0.05</v>
      </c>
    </row>
    <row r="203" spans="1:21" x14ac:dyDescent="0.2">
      <c r="A203" s="21" t="s">
        <v>618</v>
      </c>
      <c r="B203" s="21" t="s">
        <v>803</v>
      </c>
      <c r="C203" s="21" t="s">
        <v>620</v>
      </c>
      <c r="D203" s="21" t="s">
        <v>834</v>
      </c>
      <c r="E203" s="21" t="s">
        <v>835</v>
      </c>
      <c r="F203" s="21" t="s">
        <v>836</v>
      </c>
      <c r="G203" s="21" t="s">
        <v>129</v>
      </c>
      <c r="H203" s="21" t="s">
        <v>615</v>
      </c>
      <c r="I203" s="21" t="s">
        <v>68</v>
      </c>
      <c r="J203" s="21" t="s">
        <v>837</v>
      </c>
      <c r="K203" s="22">
        <v>1</v>
      </c>
      <c r="L203" s="21" t="s">
        <v>68</v>
      </c>
      <c r="M203" s="22">
        <v>2024</v>
      </c>
      <c r="N203" s="21" t="s">
        <v>30</v>
      </c>
      <c r="O203" s="22" t="s">
        <v>34</v>
      </c>
      <c r="P203" s="21" t="s">
        <v>25</v>
      </c>
      <c r="Q203" s="21" t="s">
        <v>25</v>
      </c>
      <c r="R203" s="21">
        <v>50</v>
      </c>
      <c r="S203" s="40">
        <v>0.5</v>
      </c>
      <c r="T203" s="40">
        <v>0.5</v>
      </c>
      <c r="U203" s="40">
        <v>0</v>
      </c>
    </row>
    <row r="204" spans="1:21" x14ac:dyDescent="0.2">
      <c r="A204" s="21" t="s">
        <v>618</v>
      </c>
      <c r="B204" s="21" t="s">
        <v>803</v>
      </c>
      <c r="C204" s="21" t="s">
        <v>620</v>
      </c>
      <c r="D204" s="21" t="s">
        <v>838</v>
      </c>
      <c r="E204" s="21" t="s">
        <v>839</v>
      </c>
      <c r="F204" s="21" t="s">
        <v>840</v>
      </c>
      <c r="G204" s="21" t="s">
        <v>165</v>
      </c>
      <c r="H204" s="21" t="s">
        <v>596</v>
      </c>
      <c r="I204" s="21" t="s">
        <v>45</v>
      </c>
      <c r="J204" s="21" t="s">
        <v>841</v>
      </c>
      <c r="K204" s="22">
        <v>0.5</v>
      </c>
      <c r="L204" s="21" t="s">
        <v>45</v>
      </c>
      <c r="M204" s="22">
        <v>2024</v>
      </c>
      <c r="N204" s="21" t="s">
        <v>30</v>
      </c>
      <c r="O204" s="22" t="s">
        <v>34</v>
      </c>
      <c r="P204" s="21" t="s">
        <v>25</v>
      </c>
      <c r="Q204" s="21" t="s">
        <v>25</v>
      </c>
      <c r="R204" s="21">
        <v>50</v>
      </c>
      <c r="S204" s="40">
        <v>0.25</v>
      </c>
      <c r="T204" s="40">
        <v>0.25</v>
      </c>
      <c r="U204" s="40">
        <v>0</v>
      </c>
    </row>
    <row r="205" spans="1:21" x14ac:dyDescent="0.2">
      <c r="A205" s="21" t="s">
        <v>618</v>
      </c>
      <c r="B205" s="21" t="s">
        <v>803</v>
      </c>
      <c r="C205" s="21" t="s">
        <v>620</v>
      </c>
      <c r="D205" s="21" t="s">
        <v>838</v>
      </c>
      <c r="E205" s="21" t="s">
        <v>839</v>
      </c>
      <c r="F205" s="21" t="s">
        <v>840</v>
      </c>
      <c r="G205" s="21" t="s">
        <v>434</v>
      </c>
      <c r="H205" s="21" t="s">
        <v>596</v>
      </c>
      <c r="I205" s="21" t="s">
        <v>45</v>
      </c>
      <c r="J205" s="21" t="s">
        <v>841</v>
      </c>
      <c r="K205" s="22">
        <v>0.5</v>
      </c>
      <c r="L205" s="21" t="s">
        <v>45</v>
      </c>
      <c r="M205" s="22">
        <v>2024</v>
      </c>
      <c r="N205" s="21" t="s">
        <v>30</v>
      </c>
      <c r="O205" s="22" t="s">
        <v>35</v>
      </c>
      <c r="P205" s="21" t="s">
        <v>25</v>
      </c>
      <c r="Q205" s="21" t="s">
        <v>25</v>
      </c>
      <c r="R205" s="21">
        <v>80</v>
      </c>
      <c r="S205" s="40">
        <v>0.4</v>
      </c>
      <c r="T205" s="40">
        <v>0.1</v>
      </c>
      <c r="U205" s="40">
        <v>0</v>
      </c>
    </row>
    <row r="206" spans="1:21" x14ac:dyDescent="0.2">
      <c r="A206" s="21" t="s">
        <v>618</v>
      </c>
      <c r="B206" s="21" t="s">
        <v>803</v>
      </c>
      <c r="C206" s="21" t="s">
        <v>620</v>
      </c>
      <c r="D206" s="21" t="s">
        <v>807</v>
      </c>
      <c r="E206" s="21" t="s">
        <v>808</v>
      </c>
      <c r="F206" s="21" t="s">
        <v>809</v>
      </c>
      <c r="G206" s="21" t="s">
        <v>707</v>
      </c>
      <c r="H206" s="21" t="s">
        <v>596</v>
      </c>
      <c r="I206" s="21" t="s">
        <v>52</v>
      </c>
      <c r="J206" s="21" t="s">
        <v>833</v>
      </c>
      <c r="K206" s="22">
        <v>0.5</v>
      </c>
      <c r="L206" s="21" t="s">
        <v>52</v>
      </c>
      <c r="M206" s="22">
        <v>2024</v>
      </c>
      <c r="N206" s="21" t="s">
        <v>30</v>
      </c>
      <c r="O206" s="22" t="s">
        <v>35</v>
      </c>
      <c r="P206" s="21" t="s">
        <v>25</v>
      </c>
      <c r="Q206" s="21" t="s">
        <v>25</v>
      </c>
      <c r="R206" s="21">
        <v>80</v>
      </c>
      <c r="S206" s="40">
        <v>0.4</v>
      </c>
      <c r="T206" s="40">
        <v>0.1</v>
      </c>
      <c r="U206" s="40">
        <v>0</v>
      </c>
    </row>
    <row r="207" spans="1:21" x14ac:dyDescent="0.2">
      <c r="A207" s="21" t="s">
        <v>618</v>
      </c>
      <c r="B207" s="21" t="s">
        <v>803</v>
      </c>
      <c r="C207" s="21" t="s">
        <v>620</v>
      </c>
      <c r="D207" s="21" t="s">
        <v>842</v>
      </c>
      <c r="E207" s="21" t="s">
        <v>843</v>
      </c>
      <c r="F207" s="21" t="s">
        <v>806</v>
      </c>
      <c r="G207" s="21" t="s">
        <v>844</v>
      </c>
      <c r="H207" s="21" t="s">
        <v>615</v>
      </c>
      <c r="I207" s="21" t="s">
        <v>45</v>
      </c>
      <c r="J207" s="21" t="s">
        <v>841</v>
      </c>
      <c r="K207" s="22">
        <v>1</v>
      </c>
      <c r="L207" s="21" t="s">
        <v>45</v>
      </c>
      <c r="M207" s="22">
        <v>2024</v>
      </c>
      <c r="N207" s="21" t="s">
        <v>30</v>
      </c>
      <c r="O207" s="22" t="s">
        <v>35</v>
      </c>
      <c r="P207" s="21" t="s">
        <v>25</v>
      </c>
      <c r="Q207" s="21" t="s">
        <v>25</v>
      </c>
      <c r="R207" s="21">
        <v>80</v>
      </c>
      <c r="S207" s="40">
        <v>0.8</v>
      </c>
      <c r="T207" s="40">
        <v>0.2</v>
      </c>
      <c r="U207" s="40">
        <v>0</v>
      </c>
    </row>
    <row r="208" spans="1:21" x14ac:dyDescent="0.2">
      <c r="A208" s="21" t="s">
        <v>618</v>
      </c>
      <c r="B208" s="21" t="s">
        <v>803</v>
      </c>
      <c r="C208" s="21" t="s">
        <v>620</v>
      </c>
      <c r="D208" s="21" t="s">
        <v>845</v>
      </c>
      <c r="E208" s="21" t="s">
        <v>846</v>
      </c>
      <c r="F208" s="21" t="s">
        <v>847</v>
      </c>
      <c r="G208" s="21" t="s">
        <v>109</v>
      </c>
      <c r="H208" s="21" t="s">
        <v>596</v>
      </c>
      <c r="I208" s="21" t="s">
        <v>52</v>
      </c>
      <c r="J208" s="21" t="s">
        <v>833</v>
      </c>
      <c r="K208" s="22">
        <v>0.5</v>
      </c>
      <c r="L208" s="21" t="s">
        <v>52</v>
      </c>
      <c r="M208" s="22">
        <v>2024</v>
      </c>
      <c r="N208" s="21" t="s">
        <v>30</v>
      </c>
      <c r="O208" s="22" t="s">
        <v>34</v>
      </c>
      <c r="P208" s="21" t="s">
        <v>25</v>
      </c>
      <c r="Q208" s="21" t="s">
        <v>25</v>
      </c>
      <c r="R208" s="21">
        <v>50</v>
      </c>
      <c r="S208" s="40">
        <v>0.25</v>
      </c>
      <c r="T208" s="40">
        <v>0.25</v>
      </c>
      <c r="U208" s="40">
        <v>0</v>
      </c>
    </row>
    <row r="209" spans="1:21" x14ac:dyDescent="0.2">
      <c r="A209" s="21" t="s">
        <v>618</v>
      </c>
      <c r="B209" s="21" t="s">
        <v>803</v>
      </c>
      <c r="C209" s="21" t="s">
        <v>620</v>
      </c>
      <c r="D209" s="21" t="s">
        <v>845</v>
      </c>
      <c r="E209" s="21" t="s">
        <v>846</v>
      </c>
      <c r="F209" s="21" t="s">
        <v>847</v>
      </c>
      <c r="G209" s="21" t="s">
        <v>510</v>
      </c>
      <c r="H209" s="21" t="s">
        <v>596</v>
      </c>
      <c r="I209" s="21" t="s">
        <v>52</v>
      </c>
      <c r="J209" s="21" t="s">
        <v>833</v>
      </c>
      <c r="K209" s="22">
        <v>0.5</v>
      </c>
      <c r="L209" s="21" t="s">
        <v>52</v>
      </c>
      <c r="M209" s="22">
        <v>2024</v>
      </c>
      <c r="N209" s="21" t="s">
        <v>30</v>
      </c>
      <c r="O209" s="22" t="s">
        <v>34</v>
      </c>
      <c r="P209" s="21" t="s">
        <v>25</v>
      </c>
      <c r="Q209" s="21" t="s">
        <v>25</v>
      </c>
      <c r="R209" s="21">
        <v>50</v>
      </c>
      <c r="S209" s="40">
        <v>0.25</v>
      </c>
      <c r="T209" s="40">
        <v>0.25</v>
      </c>
      <c r="U209" s="40">
        <v>0</v>
      </c>
    </row>
    <row r="210" spans="1:21" x14ac:dyDescent="0.2">
      <c r="A210" s="21" t="s">
        <v>618</v>
      </c>
      <c r="B210" s="21" t="s">
        <v>803</v>
      </c>
      <c r="C210" s="21" t="s">
        <v>620</v>
      </c>
      <c r="D210" s="21" t="s">
        <v>810</v>
      </c>
      <c r="E210" s="21" t="s">
        <v>811</v>
      </c>
      <c r="F210" s="21" t="s">
        <v>812</v>
      </c>
      <c r="G210" s="21" t="s">
        <v>120</v>
      </c>
      <c r="H210" s="21" t="s">
        <v>596</v>
      </c>
      <c r="I210" s="21" t="s">
        <v>52</v>
      </c>
      <c r="J210" s="21" t="s">
        <v>833</v>
      </c>
      <c r="K210" s="22">
        <v>0.5</v>
      </c>
      <c r="L210" s="21" t="s">
        <v>52</v>
      </c>
      <c r="M210" s="22">
        <v>2024</v>
      </c>
      <c r="N210" s="21" t="s">
        <v>30</v>
      </c>
      <c r="O210" s="22" t="s">
        <v>35</v>
      </c>
      <c r="P210" s="21" t="s">
        <v>25</v>
      </c>
      <c r="Q210" s="21" t="s">
        <v>25</v>
      </c>
      <c r="R210" s="21">
        <v>80</v>
      </c>
      <c r="S210" s="40">
        <v>0.4</v>
      </c>
      <c r="T210" s="40">
        <v>0.1</v>
      </c>
      <c r="U210" s="40">
        <v>0</v>
      </c>
    </row>
    <row r="211" spans="1:21" x14ac:dyDescent="0.2">
      <c r="A211" s="21" t="s">
        <v>618</v>
      </c>
      <c r="B211" s="21" t="s">
        <v>803</v>
      </c>
      <c r="C211" s="21" t="s">
        <v>620</v>
      </c>
      <c r="D211" s="21" t="s">
        <v>848</v>
      </c>
      <c r="E211" s="21" t="s">
        <v>849</v>
      </c>
      <c r="F211" s="21" t="s">
        <v>832</v>
      </c>
      <c r="G211" s="21" t="s">
        <v>108</v>
      </c>
      <c r="H211" s="21" t="s">
        <v>615</v>
      </c>
      <c r="I211" s="21" t="s">
        <v>87</v>
      </c>
      <c r="J211" s="21" t="s">
        <v>850</v>
      </c>
      <c r="K211" s="22">
        <v>1</v>
      </c>
      <c r="L211" s="21" t="s">
        <v>87</v>
      </c>
      <c r="M211" s="22">
        <v>2024</v>
      </c>
      <c r="N211" s="21" t="s">
        <v>30</v>
      </c>
      <c r="O211" s="22" t="s">
        <v>35</v>
      </c>
      <c r="P211" s="21" t="s">
        <v>25</v>
      </c>
      <c r="Q211" s="21" t="s">
        <v>25</v>
      </c>
      <c r="R211" s="21">
        <v>80</v>
      </c>
      <c r="S211" s="40">
        <v>0.8</v>
      </c>
      <c r="T211" s="40">
        <v>0.2</v>
      </c>
      <c r="U211" s="40">
        <v>0</v>
      </c>
    </row>
    <row r="212" spans="1:21" x14ac:dyDescent="0.2">
      <c r="A212" s="21" t="s">
        <v>618</v>
      </c>
      <c r="B212" s="21" t="s">
        <v>803</v>
      </c>
      <c r="C212" s="21" t="s">
        <v>620</v>
      </c>
      <c r="D212" s="21" t="s">
        <v>851</v>
      </c>
      <c r="E212" s="21" t="s">
        <v>852</v>
      </c>
      <c r="F212" s="21" t="s">
        <v>853</v>
      </c>
      <c r="G212" s="21" t="s">
        <v>149</v>
      </c>
      <c r="H212" s="21" t="s">
        <v>615</v>
      </c>
      <c r="I212" s="21" t="s">
        <v>68</v>
      </c>
      <c r="J212" s="21" t="s">
        <v>837</v>
      </c>
      <c r="K212" s="22">
        <v>1</v>
      </c>
      <c r="L212" s="21" t="s">
        <v>68</v>
      </c>
      <c r="M212" s="22">
        <v>2024</v>
      </c>
      <c r="N212" s="21" t="s">
        <v>30</v>
      </c>
      <c r="O212" s="22" t="s">
        <v>35</v>
      </c>
      <c r="P212" s="21" t="s">
        <v>25</v>
      </c>
      <c r="Q212" s="21" t="s">
        <v>25</v>
      </c>
      <c r="R212" s="21">
        <v>80</v>
      </c>
      <c r="S212" s="40">
        <v>0.8</v>
      </c>
      <c r="T212" s="40">
        <v>0.2</v>
      </c>
      <c r="U212" s="40">
        <v>0</v>
      </c>
    </row>
    <row r="213" spans="1:21" x14ac:dyDescent="0.2">
      <c r="A213" s="21" t="s">
        <v>618</v>
      </c>
      <c r="B213" s="21" t="s">
        <v>803</v>
      </c>
      <c r="C213" s="21" t="s">
        <v>620</v>
      </c>
      <c r="D213" s="21" t="s">
        <v>854</v>
      </c>
      <c r="E213" s="21" t="s">
        <v>855</v>
      </c>
      <c r="F213" s="21" t="s">
        <v>856</v>
      </c>
      <c r="G213" s="21" t="s">
        <v>120</v>
      </c>
      <c r="H213" s="21" t="s">
        <v>596</v>
      </c>
      <c r="I213" s="21" t="s">
        <v>52</v>
      </c>
      <c r="J213" s="21" t="s">
        <v>833</v>
      </c>
      <c r="K213" s="22">
        <v>0.5</v>
      </c>
      <c r="L213" s="21" t="s">
        <v>52</v>
      </c>
      <c r="M213" s="22">
        <v>2024</v>
      </c>
      <c r="N213" s="21" t="s">
        <v>30</v>
      </c>
      <c r="O213" s="22" t="s">
        <v>35</v>
      </c>
      <c r="P213" s="21" t="s">
        <v>25</v>
      </c>
      <c r="Q213" s="21" t="s">
        <v>25</v>
      </c>
      <c r="R213" s="21">
        <v>80</v>
      </c>
      <c r="S213" s="40">
        <v>0.4</v>
      </c>
      <c r="T213" s="40">
        <v>0.1</v>
      </c>
      <c r="U213" s="40">
        <v>0</v>
      </c>
    </row>
    <row r="214" spans="1:21" x14ac:dyDescent="0.2">
      <c r="A214" s="21" t="s">
        <v>618</v>
      </c>
      <c r="B214" s="21" t="s">
        <v>803</v>
      </c>
      <c r="C214" s="21" t="s">
        <v>620</v>
      </c>
      <c r="D214" s="21" t="s">
        <v>854</v>
      </c>
      <c r="E214" s="21" t="s">
        <v>855</v>
      </c>
      <c r="F214" s="21" t="s">
        <v>856</v>
      </c>
      <c r="G214" s="21" t="s">
        <v>162</v>
      </c>
      <c r="H214" s="21" t="s">
        <v>596</v>
      </c>
      <c r="I214" s="21" t="s">
        <v>45</v>
      </c>
      <c r="J214" s="21" t="s">
        <v>841</v>
      </c>
      <c r="K214" s="22">
        <v>0.5</v>
      </c>
      <c r="L214" s="21" t="s">
        <v>45</v>
      </c>
      <c r="M214" s="22">
        <v>2024</v>
      </c>
      <c r="N214" s="21" t="s">
        <v>30</v>
      </c>
      <c r="O214" s="22" t="s">
        <v>35</v>
      </c>
      <c r="P214" s="21" t="s">
        <v>25</v>
      </c>
      <c r="Q214" s="21" t="s">
        <v>25</v>
      </c>
      <c r="R214" s="21">
        <v>80</v>
      </c>
      <c r="S214" s="40">
        <v>0.4</v>
      </c>
      <c r="T214" s="40">
        <v>0.1</v>
      </c>
      <c r="U214" s="40">
        <v>0</v>
      </c>
    </row>
    <row r="215" spans="1:21" x14ac:dyDescent="0.2">
      <c r="A215" s="21" t="s">
        <v>618</v>
      </c>
      <c r="B215" s="21" t="s">
        <v>803</v>
      </c>
      <c r="C215" s="21" t="s">
        <v>620</v>
      </c>
      <c r="D215" s="21" t="s">
        <v>857</v>
      </c>
      <c r="E215" s="21" t="s">
        <v>858</v>
      </c>
      <c r="F215" s="21" t="s">
        <v>859</v>
      </c>
      <c r="G215" s="21" t="s">
        <v>109</v>
      </c>
      <c r="H215" s="21" t="s">
        <v>596</v>
      </c>
      <c r="I215" s="21" t="s">
        <v>52</v>
      </c>
      <c r="J215" s="21" t="s">
        <v>833</v>
      </c>
      <c r="K215" s="22">
        <v>0.5</v>
      </c>
      <c r="L215" s="21" t="s">
        <v>52</v>
      </c>
      <c r="M215" s="22">
        <v>2024</v>
      </c>
      <c r="N215" s="21" t="s">
        <v>30</v>
      </c>
      <c r="O215" s="22" t="s">
        <v>34</v>
      </c>
      <c r="P215" s="21" t="s">
        <v>25</v>
      </c>
      <c r="Q215" s="21" t="s">
        <v>25</v>
      </c>
      <c r="R215" s="21">
        <v>50</v>
      </c>
      <c r="S215" s="40">
        <v>0.25</v>
      </c>
      <c r="T215" s="40">
        <v>0.25</v>
      </c>
      <c r="U215" s="40">
        <v>0</v>
      </c>
    </row>
    <row r="216" spans="1:21" x14ac:dyDescent="0.2">
      <c r="A216" s="21" t="s">
        <v>618</v>
      </c>
      <c r="B216" s="21" t="s">
        <v>803</v>
      </c>
      <c r="C216" s="21" t="s">
        <v>620</v>
      </c>
      <c r="D216" s="21" t="s">
        <v>857</v>
      </c>
      <c r="E216" s="21" t="s">
        <v>858</v>
      </c>
      <c r="F216" s="21" t="s">
        <v>859</v>
      </c>
      <c r="G216" s="21" t="s">
        <v>510</v>
      </c>
      <c r="H216" s="21" t="s">
        <v>596</v>
      </c>
      <c r="I216" s="21" t="s">
        <v>52</v>
      </c>
      <c r="J216" s="21" t="s">
        <v>833</v>
      </c>
      <c r="K216" s="22">
        <v>0.5</v>
      </c>
      <c r="L216" s="21" t="s">
        <v>52</v>
      </c>
      <c r="M216" s="22">
        <v>2024</v>
      </c>
      <c r="N216" s="21" t="s">
        <v>30</v>
      </c>
      <c r="O216" s="22" t="s">
        <v>34</v>
      </c>
      <c r="P216" s="21" t="s">
        <v>25</v>
      </c>
      <c r="Q216" s="21" t="s">
        <v>25</v>
      </c>
      <c r="R216" s="21">
        <v>50</v>
      </c>
      <c r="S216" s="40">
        <v>0.25</v>
      </c>
      <c r="T216" s="40">
        <v>0.25</v>
      </c>
      <c r="U216" s="40">
        <v>0</v>
      </c>
    </row>
    <row r="217" spans="1:21" x14ac:dyDescent="0.2">
      <c r="A217" s="21" t="s">
        <v>618</v>
      </c>
      <c r="B217" s="21" t="s">
        <v>803</v>
      </c>
      <c r="C217" s="21" t="s">
        <v>620</v>
      </c>
      <c r="D217" s="21" t="s">
        <v>860</v>
      </c>
      <c r="E217" s="21" t="s">
        <v>861</v>
      </c>
      <c r="F217" s="21" t="s">
        <v>862</v>
      </c>
      <c r="G217" s="21" t="s">
        <v>162</v>
      </c>
      <c r="H217" s="21" t="s">
        <v>596</v>
      </c>
      <c r="I217" s="21" t="s">
        <v>45</v>
      </c>
      <c r="J217" s="21" t="s">
        <v>841</v>
      </c>
      <c r="K217" s="22">
        <v>0.5</v>
      </c>
      <c r="L217" s="21" t="s">
        <v>45</v>
      </c>
      <c r="M217" s="22">
        <v>2024</v>
      </c>
      <c r="N217" s="21" t="s">
        <v>30</v>
      </c>
      <c r="O217" s="22" t="s">
        <v>35</v>
      </c>
      <c r="P217" s="21" t="s">
        <v>25</v>
      </c>
      <c r="Q217" s="21" t="s">
        <v>25</v>
      </c>
      <c r="R217" s="21">
        <v>80</v>
      </c>
      <c r="S217" s="40">
        <v>0.4</v>
      </c>
      <c r="T217" s="40">
        <v>0.1</v>
      </c>
      <c r="U217" s="40">
        <v>0</v>
      </c>
    </row>
    <row r="218" spans="1:21" x14ac:dyDescent="0.2">
      <c r="A218" s="21" t="s">
        <v>618</v>
      </c>
      <c r="B218" s="21" t="s">
        <v>803</v>
      </c>
      <c r="C218" s="21" t="s">
        <v>620</v>
      </c>
      <c r="D218" s="21" t="s">
        <v>863</v>
      </c>
      <c r="E218" s="21" t="s">
        <v>864</v>
      </c>
      <c r="F218" s="21" t="s">
        <v>865</v>
      </c>
      <c r="G218" s="21" t="s">
        <v>120</v>
      </c>
      <c r="H218" s="21" t="s">
        <v>596</v>
      </c>
      <c r="I218" s="21" t="s">
        <v>52</v>
      </c>
      <c r="J218" s="21" t="s">
        <v>833</v>
      </c>
      <c r="K218" s="22">
        <v>0.5</v>
      </c>
      <c r="L218" s="21" t="s">
        <v>52</v>
      </c>
      <c r="M218" s="22">
        <v>2024</v>
      </c>
      <c r="N218" s="21" t="s">
        <v>30</v>
      </c>
      <c r="O218" s="22" t="s">
        <v>35</v>
      </c>
      <c r="P218" s="21" t="s">
        <v>25</v>
      </c>
      <c r="Q218" s="21" t="s">
        <v>25</v>
      </c>
      <c r="R218" s="21">
        <v>80</v>
      </c>
      <c r="S218" s="40">
        <v>0.4</v>
      </c>
      <c r="T218" s="40">
        <v>0.1</v>
      </c>
      <c r="U218" s="40">
        <v>0</v>
      </c>
    </row>
    <row r="219" spans="1:21" x14ac:dyDescent="0.2">
      <c r="A219" s="21" t="s">
        <v>618</v>
      </c>
      <c r="B219" s="21" t="s">
        <v>803</v>
      </c>
      <c r="C219" s="21" t="s">
        <v>620</v>
      </c>
      <c r="D219" s="21" t="s">
        <v>863</v>
      </c>
      <c r="E219" s="21" t="s">
        <v>864</v>
      </c>
      <c r="F219" s="21" t="s">
        <v>865</v>
      </c>
      <c r="G219" s="21" t="s">
        <v>866</v>
      </c>
      <c r="H219" s="21" t="s">
        <v>596</v>
      </c>
      <c r="I219" s="21" t="s">
        <v>87</v>
      </c>
      <c r="J219" s="21" t="s">
        <v>850</v>
      </c>
      <c r="K219" s="22">
        <v>0.5</v>
      </c>
      <c r="L219" s="21" t="s">
        <v>87</v>
      </c>
      <c r="M219" s="22">
        <v>2024</v>
      </c>
      <c r="N219" s="21" t="s">
        <v>30</v>
      </c>
      <c r="O219" s="22" t="s">
        <v>35</v>
      </c>
      <c r="P219" s="21" t="s">
        <v>25</v>
      </c>
      <c r="Q219" s="21" t="s">
        <v>25</v>
      </c>
      <c r="R219" s="21">
        <v>80</v>
      </c>
      <c r="S219" s="40">
        <v>0.4</v>
      </c>
      <c r="T219" s="40">
        <v>0.1</v>
      </c>
      <c r="U219" s="40">
        <v>0</v>
      </c>
    </row>
    <row r="220" spans="1:21" x14ac:dyDescent="0.2">
      <c r="A220" s="21" t="s">
        <v>618</v>
      </c>
      <c r="B220" s="21" t="s">
        <v>803</v>
      </c>
      <c r="C220" s="21" t="s">
        <v>620</v>
      </c>
      <c r="D220" s="21" t="s">
        <v>813</v>
      </c>
      <c r="E220" s="21" t="s">
        <v>814</v>
      </c>
      <c r="F220" s="21" t="s">
        <v>815</v>
      </c>
      <c r="G220" s="21" t="s">
        <v>141</v>
      </c>
      <c r="H220" s="21" t="s">
        <v>596</v>
      </c>
      <c r="I220" s="21" t="s">
        <v>52</v>
      </c>
      <c r="J220" s="21" t="s">
        <v>833</v>
      </c>
      <c r="K220" s="22">
        <v>0.5</v>
      </c>
      <c r="L220" s="21" t="s">
        <v>52</v>
      </c>
      <c r="M220" s="22">
        <v>2024</v>
      </c>
      <c r="N220" s="21" t="s">
        <v>30</v>
      </c>
      <c r="O220" s="22" t="s">
        <v>35</v>
      </c>
      <c r="P220" s="21" t="s">
        <v>25</v>
      </c>
      <c r="Q220" s="21" t="s">
        <v>25</v>
      </c>
      <c r="R220" s="21">
        <v>80</v>
      </c>
      <c r="S220" s="40">
        <v>0.4</v>
      </c>
      <c r="T220" s="40">
        <v>0.1</v>
      </c>
      <c r="U220" s="40">
        <v>0</v>
      </c>
    </row>
    <row r="221" spans="1:21" x14ac:dyDescent="0.2">
      <c r="A221" s="21" t="s">
        <v>618</v>
      </c>
      <c r="B221" s="21" t="s">
        <v>803</v>
      </c>
      <c r="C221" s="21" t="s">
        <v>620</v>
      </c>
      <c r="D221" s="21" t="s">
        <v>867</v>
      </c>
      <c r="E221" s="21" t="s">
        <v>868</v>
      </c>
      <c r="F221" s="21" t="s">
        <v>859</v>
      </c>
      <c r="G221" s="21" t="s">
        <v>141</v>
      </c>
      <c r="H221" s="21" t="s">
        <v>596</v>
      </c>
      <c r="I221" s="21" t="s">
        <v>52</v>
      </c>
      <c r="J221" s="21" t="s">
        <v>833</v>
      </c>
      <c r="K221" s="22">
        <v>0.5</v>
      </c>
      <c r="L221" s="21" t="s">
        <v>52</v>
      </c>
      <c r="M221" s="22">
        <v>2024</v>
      </c>
      <c r="N221" s="21" t="s">
        <v>30</v>
      </c>
      <c r="O221" s="22" t="s">
        <v>35</v>
      </c>
      <c r="P221" s="21" t="s">
        <v>25</v>
      </c>
      <c r="Q221" s="21" t="s">
        <v>25</v>
      </c>
      <c r="R221" s="21">
        <v>80</v>
      </c>
      <c r="S221" s="40">
        <v>0.4</v>
      </c>
      <c r="T221" s="40">
        <v>0.1</v>
      </c>
      <c r="U221" s="40">
        <v>0</v>
      </c>
    </row>
    <row r="222" spans="1:21" x14ac:dyDescent="0.2">
      <c r="A222" s="21" t="s">
        <v>618</v>
      </c>
      <c r="B222" s="21" t="s">
        <v>803</v>
      </c>
      <c r="C222" s="21" t="s">
        <v>620</v>
      </c>
      <c r="D222" s="21" t="s">
        <v>867</v>
      </c>
      <c r="E222" s="21" t="s">
        <v>868</v>
      </c>
      <c r="F222" s="21" t="s">
        <v>859</v>
      </c>
      <c r="G222" s="21" t="s">
        <v>127</v>
      </c>
      <c r="H222" s="21" t="s">
        <v>596</v>
      </c>
      <c r="I222" s="21" t="s">
        <v>52</v>
      </c>
      <c r="J222" s="21" t="s">
        <v>833</v>
      </c>
      <c r="K222" s="22">
        <v>0.5</v>
      </c>
      <c r="L222" s="21" t="s">
        <v>52</v>
      </c>
      <c r="M222" s="22">
        <v>2024</v>
      </c>
      <c r="N222" s="21" t="s">
        <v>30</v>
      </c>
      <c r="O222" s="22" t="s">
        <v>35</v>
      </c>
      <c r="P222" s="21" t="s">
        <v>25</v>
      </c>
      <c r="Q222" s="21" t="s">
        <v>25</v>
      </c>
      <c r="R222" s="21">
        <v>80</v>
      </c>
      <c r="S222" s="40">
        <v>0.4</v>
      </c>
      <c r="T222" s="40">
        <v>0.1</v>
      </c>
      <c r="U222" s="40">
        <v>0</v>
      </c>
    </row>
    <row r="223" spans="1:21" x14ac:dyDescent="0.2">
      <c r="A223" s="21" t="s">
        <v>618</v>
      </c>
      <c r="B223" s="21" t="s">
        <v>803</v>
      </c>
      <c r="C223" s="21" t="s">
        <v>620</v>
      </c>
      <c r="D223" s="21" t="s">
        <v>869</v>
      </c>
      <c r="E223" s="21" t="s">
        <v>870</v>
      </c>
      <c r="F223" s="21" t="s">
        <v>871</v>
      </c>
      <c r="G223" s="21" t="s">
        <v>149</v>
      </c>
      <c r="H223" s="21" t="s">
        <v>596</v>
      </c>
      <c r="I223" s="21" t="s">
        <v>68</v>
      </c>
      <c r="J223" s="21" t="s">
        <v>837</v>
      </c>
      <c r="K223" s="22">
        <v>0.5</v>
      </c>
      <c r="L223" s="21" t="s">
        <v>68</v>
      </c>
      <c r="M223" s="22">
        <v>2024</v>
      </c>
      <c r="N223" s="21" t="s">
        <v>30</v>
      </c>
      <c r="O223" s="22" t="s">
        <v>35</v>
      </c>
      <c r="P223" s="21" t="s">
        <v>25</v>
      </c>
      <c r="Q223" s="21" t="s">
        <v>25</v>
      </c>
      <c r="R223" s="21">
        <v>80</v>
      </c>
      <c r="S223" s="40">
        <v>0.4</v>
      </c>
      <c r="T223" s="40">
        <v>0.1</v>
      </c>
      <c r="U223" s="40">
        <v>0</v>
      </c>
    </row>
    <row r="224" spans="1:21" x14ac:dyDescent="0.2">
      <c r="A224" s="21" t="s">
        <v>618</v>
      </c>
      <c r="B224" s="21" t="s">
        <v>803</v>
      </c>
      <c r="C224" s="21" t="s">
        <v>620</v>
      </c>
      <c r="D224" s="21" t="s">
        <v>869</v>
      </c>
      <c r="E224" s="21" t="s">
        <v>870</v>
      </c>
      <c r="F224" s="21" t="s">
        <v>871</v>
      </c>
      <c r="G224" s="21" t="s">
        <v>112</v>
      </c>
      <c r="H224" s="21" t="s">
        <v>596</v>
      </c>
      <c r="I224" s="21" t="s">
        <v>68</v>
      </c>
      <c r="J224" s="21" t="s">
        <v>837</v>
      </c>
      <c r="K224" s="22">
        <v>0.5</v>
      </c>
      <c r="L224" s="21" t="s">
        <v>68</v>
      </c>
      <c r="M224" s="22">
        <v>2024</v>
      </c>
      <c r="N224" s="21" t="s">
        <v>30</v>
      </c>
      <c r="O224" s="22" t="s">
        <v>35</v>
      </c>
      <c r="P224" s="21" t="s">
        <v>25</v>
      </c>
      <c r="Q224" s="21" t="s">
        <v>25</v>
      </c>
      <c r="R224" s="21">
        <v>80</v>
      </c>
      <c r="S224" s="40">
        <v>0.4</v>
      </c>
      <c r="T224" s="40">
        <v>0.1</v>
      </c>
      <c r="U224" s="40">
        <v>0</v>
      </c>
    </row>
    <row r="225" spans="1:21" x14ac:dyDescent="0.2">
      <c r="A225" s="21" t="s">
        <v>618</v>
      </c>
      <c r="B225" s="21" t="s">
        <v>803</v>
      </c>
      <c r="C225" s="21" t="s">
        <v>620</v>
      </c>
      <c r="D225" s="21" t="s">
        <v>816</v>
      </c>
      <c r="E225" s="21" t="s">
        <v>817</v>
      </c>
      <c r="F225" s="21" t="s">
        <v>818</v>
      </c>
      <c r="G225" s="21" t="s">
        <v>130</v>
      </c>
      <c r="H225" s="21" t="s">
        <v>596</v>
      </c>
      <c r="I225" s="21" t="s">
        <v>87</v>
      </c>
      <c r="J225" s="21" t="s">
        <v>850</v>
      </c>
      <c r="K225" s="22">
        <v>0.5</v>
      </c>
      <c r="L225" s="21" t="s">
        <v>87</v>
      </c>
      <c r="M225" s="22">
        <v>2024</v>
      </c>
      <c r="N225" s="21" t="s">
        <v>30</v>
      </c>
      <c r="O225" s="22" t="s">
        <v>35</v>
      </c>
      <c r="P225" s="21" t="s">
        <v>25</v>
      </c>
      <c r="Q225" s="21" t="s">
        <v>25</v>
      </c>
      <c r="R225" s="21">
        <v>80</v>
      </c>
      <c r="S225" s="40">
        <v>0.4</v>
      </c>
      <c r="T225" s="40">
        <v>0.1</v>
      </c>
      <c r="U225" s="40">
        <v>0</v>
      </c>
    </row>
    <row r="226" spans="1:21" x14ac:dyDescent="0.2">
      <c r="A226" s="21" t="s">
        <v>618</v>
      </c>
      <c r="B226" s="21" t="s">
        <v>803</v>
      </c>
      <c r="C226" s="21" t="s">
        <v>620</v>
      </c>
      <c r="D226" s="21" t="s">
        <v>872</v>
      </c>
      <c r="E226" s="21" t="s">
        <v>873</v>
      </c>
      <c r="F226" s="21" t="s">
        <v>874</v>
      </c>
      <c r="G226" s="21" t="s">
        <v>141</v>
      </c>
      <c r="H226" s="21" t="s">
        <v>596</v>
      </c>
      <c r="I226" s="21" t="s">
        <v>52</v>
      </c>
      <c r="J226" s="21" t="s">
        <v>833</v>
      </c>
      <c r="K226" s="22">
        <v>0.5</v>
      </c>
      <c r="L226" s="21" t="s">
        <v>52</v>
      </c>
      <c r="M226" s="22">
        <v>2024</v>
      </c>
      <c r="N226" s="21" t="s">
        <v>30</v>
      </c>
      <c r="O226" s="22" t="s">
        <v>35</v>
      </c>
      <c r="P226" s="21" t="s">
        <v>25</v>
      </c>
      <c r="Q226" s="21" t="s">
        <v>25</v>
      </c>
      <c r="R226" s="21">
        <v>80</v>
      </c>
      <c r="S226" s="40">
        <v>0.4</v>
      </c>
      <c r="T226" s="40">
        <v>0.1</v>
      </c>
      <c r="U226" s="40">
        <v>0</v>
      </c>
    </row>
    <row r="227" spans="1:21" x14ac:dyDescent="0.2">
      <c r="A227" s="21" t="s">
        <v>618</v>
      </c>
      <c r="B227" s="21" t="s">
        <v>803</v>
      </c>
      <c r="C227" s="21" t="s">
        <v>620</v>
      </c>
      <c r="D227" s="21" t="s">
        <v>875</v>
      </c>
      <c r="E227" s="21" t="s">
        <v>876</v>
      </c>
      <c r="F227" s="21" t="s">
        <v>877</v>
      </c>
      <c r="G227" s="21" t="s">
        <v>437</v>
      </c>
      <c r="H227" s="21" t="s">
        <v>596</v>
      </c>
      <c r="I227" s="21" t="s">
        <v>45</v>
      </c>
      <c r="J227" s="21" t="s">
        <v>841</v>
      </c>
      <c r="K227" s="22">
        <v>0.5</v>
      </c>
      <c r="L227" s="21" t="s">
        <v>45</v>
      </c>
      <c r="M227" s="22">
        <v>2024</v>
      </c>
      <c r="N227" s="21" t="s">
        <v>30</v>
      </c>
      <c r="O227" s="22" t="s">
        <v>34</v>
      </c>
      <c r="P227" s="21" t="s">
        <v>25</v>
      </c>
      <c r="Q227" s="21" t="s">
        <v>25</v>
      </c>
      <c r="R227" s="21">
        <v>50</v>
      </c>
      <c r="S227" s="40">
        <v>0.25</v>
      </c>
      <c r="T227" s="40">
        <v>0.25</v>
      </c>
      <c r="U227" s="40">
        <v>0</v>
      </c>
    </row>
    <row r="228" spans="1:21" x14ac:dyDescent="0.2">
      <c r="A228" s="21" t="s">
        <v>618</v>
      </c>
      <c r="B228" s="21" t="s">
        <v>803</v>
      </c>
      <c r="C228" s="21" t="s">
        <v>620</v>
      </c>
      <c r="D228" s="21" t="s">
        <v>875</v>
      </c>
      <c r="E228" s="21" t="s">
        <v>876</v>
      </c>
      <c r="F228" s="21" t="s">
        <v>877</v>
      </c>
      <c r="G228" s="21" t="s">
        <v>165</v>
      </c>
      <c r="H228" s="21" t="s">
        <v>596</v>
      </c>
      <c r="I228" s="21" t="s">
        <v>45</v>
      </c>
      <c r="J228" s="21" t="s">
        <v>841</v>
      </c>
      <c r="K228" s="22">
        <v>0.5</v>
      </c>
      <c r="L228" s="21" t="s">
        <v>45</v>
      </c>
      <c r="M228" s="22">
        <v>2024</v>
      </c>
      <c r="N228" s="21" t="s">
        <v>30</v>
      </c>
      <c r="O228" s="22" t="s">
        <v>34</v>
      </c>
      <c r="P228" s="21" t="s">
        <v>25</v>
      </c>
      <c r="Q228" s="21" t="s">
        <v>25</v>
      </c>
      <c r="R228" s="21">
        <v>50</v>
      </c>
      <c r="S228" s="40">
        <v>0.25</v>
      </c>
      <c r="T228" s="40">
        <v>0.25</v>
      </c>
      <c r="U228" s="40">
        <v>0</v>
      </c>
    </row>
    <row r="229" spans="1:21" x14ac:dyDescent="0.2">
      <c r="A229" s="21" t="s">
        <v>618</v>
      </c>
      <c r="B229" s="21" t="s">
        <v>803</v>
      </c>
      <c r="C229" s="21" t="s">
        <v>620</v>
      </c>
      <c r="D229" s="21" t="s">
        <v>878</v>
      </c>
      <c r="E229" s="21" t="s">
        <v>879</v>
      </c>
      <c r="F229" s="21" t="s">
        <v>880</v>
      </c>
      <c r="G229" s="21" t="s">
        <v>166</v>
      </c>
      <c r="H229" s="21" t="s">
        <v>596</v>
      </c>
      <c r="I229" s="21" t="s">
        <v>87</v>
      </c>
      <c r="J229" s="21" t="s">
        <v>850</v>
      </c>
      <c r="K229" s="22">
        <v>0.5</v>
      </c>
      <c r="L229" s="21" t="s">
        <v>87</v>
      </c>
      <c r="M229" s="22">
        <v>2024</v>
      </c>
      <c r="N229" s="21" t="s">
        <v>30</v>
      </c>
      <c r="O229" s="22" t="s">
        <v>35</v>
      </c>
      <c r="P229" s="21" t="s">
        <v>25</v>
      </c>
      <c r="Q229" s="21" t="s">
        <v>25</v>
      </c>
      <c r="R229" s="21">
        <v>80</v>
      </c>
      <c r="S229" s="40">
        <v>0.4</v>
      </c>
      <c r="T229" s="40">
        <v>0.1</v>
      </c>
      <c r="U229" s="40">
        <v>0</v>
      </c>
    </row>
    <row r="230" spans="1:21" x14ac:dyDescent="0.2">
      <c r="A230" s="21" t="s">
        <v>618</v>
      </c>
      <c r="B230" s="21" t="s">
        <v>803</v>
      </c>
      <c r="C230" s="21" t="s">
        <v>620</v>
      </c>
      <c r="D230" s="21" t="s">
        <v>878</v>
      </c>
      <c r="E230" s="21" t="s">
        <v>879</v>
      </c>
      <c r="F230" s="21" t="s">
        <v>880</v>
      </c>
      <c r="G230" s="21" t="s">
        <v>128</v>
      </c>
      <c r="H230" s="21" t="s">
        <v>596</v>
      </c>
      <c r="I230" s="21" t="s">
        <v>87</v>
      </c>
      <c r="J230" s="21" t="s">
        <v>850</v>
      </c>
      <c r="K230" s="22">
        <v>0.5</v>
      </c>
      <c r="L230" s="21" t="s">
        <v>87</v>
      </c>
      <c r="M230" s="22">
        <v>2024</v>
      </c>
      <c r="N230" s="21" t="s">
        <v>30</v>
      </c>
      <c r="O230" s="22" t="s">
        <v>35</v>
      </c>
      <c r="P230" s="21" t="s">
        <v>25</v>
      </c>
      <c r="Q230" s="21" t="s">
        <v>25</v>
      </c>
      <c r="R230" s="21">
        <v>80</v>
      </c>
      <c r="S230" s="40">
        <v>0.4</v>
      </c>
      <c r="T230" s="40">
        <v>0.1</v>
      </c>
      <c r="U230" s="40">
        <v>0</v>
      </c>
    </row>
    <row r="231" spans="1:21" x14ac:dyDescent="0.2">
      <c r="A231" s="21" t="s">
        <v>618</v>
      </c>
      <c r="B231" s="21" t="s">
        <v>803</v>
      </c>
      <c r="C231" s="21" t="s">
        <v>620</v>
      </c>
      <c r="D231" s="21" t="s">
        <v>881</v>
      </c>
      <c r="E231" s="21" t="s">
        <v>882</v>
      </c>
      <c r="F231" s="21" t="s">
        <v>865</v>
      </c>
      <c r="G231" s="21" t="s">
        <v>120</v>
      </c>
      <c r="H231" s="21" t="s">
        <v>596</v>
      </c>
      <c r="I231" s="21" t="s">
        <v>52</v>
      </c>
      <c r="J231" s="21" t="s">
        <v>833</v>
      </c>
      <c r="K231" s="22">
        <v>0.5</v>
      </c>
      <c r="L231" s="21" t="s">
        <v>52</v>
      </c>
      <c r="M231" s="22">
        <v>2024</v>
      </c>
      <c r="N231" s="21" t="s">
        <v>30</v>
      </c>
      <c r="O231" s="22" t="s">
        <v>35</v>
      </c>
      <c r="P231" s="21" t="s">
        <v>25</v>
      </c>
      <c r="Q231" s="21" t="s">
        <v>25</v>
      </c>
      <c r="R231" s="21">
        <v>80</v>
      </c>
      <c r="S231" s="40">
        <v>0.4</v>
      </c>
      <c r="T231" s="40">
        <v>0.1</v>
      </c>
      <c r="U231" s="40">
        <v>0</v>
      </c>
    </row>
    <row r="232" spans="1:21" x14ac:dyDescent="0.2">
      <c r="A232" s="21" t="s">
        <v>618</v>
      </c>
      <c r="B232" s="21" t="s">
        <v>803</v>
      </c>
      <c r="C232" s="21" t="s">
        <v>620</v>
      </c>
      <c r="D232" s="21" t="s">
        <v>881</v>
      </c>
      <c r="E232" s="21" t="s">
        <v>882</v>
      </c>
      <c r="F232" s="21" t="s">
        <v>865</v>
      </c>
      <c r="G232" s="21" t="s">
        <v>109</v>
      </c>
      <c r="H232" s="21" t="s">
        <v>596</v>
      </c>
      <c r="I232" s="21" t="s">
        <v>52</v>
      </c>
      <c r="J232" s="21" t="s">
        <v>833</v>
      </c>
      <c r="K232" s="22">
        <v>0.5</v>
      </c>
      <c r="L232" s="21" t="s">
        <v>52</v>
      </c>
      <c r="M232" s="22">
        <v>2024</v>
      </c>
      <c r="N232" s="21" t="s">
        <v>30</v>
      </c>
      <c r="O232" s="22" t="s">
        <v>34</v>
      </c>
      <c r="P232" s="21" t="s">
        <v>25</v>
      </c>
      <c r="Q232" s="21" t="s">
        <v>25</v>
      </c>
      <c r="R232" s="21">
        <v>50</v>
      </c>
      <c r="S232" s="40">
        <v>0.25</v>
      </c>
      <c r="T232" s="40">
        <v>0.25</v>
      </c>
      <c r="U232" s="40">
        <v>0</v>
      </c>
    </row>
    <row r="233" spans="1:21" x14ac:dyDescent="0.2">
      <c r="A233" s="21" t="s">
        <v>618</v>
      </c>
      <c r="B233" s="21" t="s">
        <v>803</v>
      </c>
      <c r="C233" s="21" t="s">
        <v>620</v>
      </c>
      <c r="D233" s="21" t="s">
        <v>883</v>
      </c>
      <c r="E233" s="21" t="s">
        <v>884</v>
      </c>
      <c r="F233" s="21" t="s">
        <v>885</v>
      </c>
      <c r="G233" s="21" t="s">
        <v>130</v>
      </c>
      <c r="H233" s="21" t="s">
        <v>615</v>
      </c>
      <c r="I233" s="21" t="s">
        <v>87</v>
      </c>
      <c r="J233" s="21" t="s">
        <v>850</v>
      </c>
      <c r="K233" s="22">
        <v>1</v>
      </c>
      <c r="L233" s="21" t="s">
        <v>87</v>
      </c>
      <c r="M233" s="22">
        <v>2024</v>
      </c>
      <c r="N233" s="21" t="s">
        <v>30</v>
      </c>
      <c r="O233" s="22" t="s">
        <v>35</v>
      </c>
      <c r="P233" s="21" t="s">
        <v>25</v>
      </c>
      <c r="Q233" s="21" t="s">
        <v>25</v>
      </c>
      <c r="R233" s="21">
        <v>80</v>
      </c>
      <c r="S233" s="40">
        <v>0.8</v>
      </c>
      <c r="T233" s="40">
        <v>0.2</v>
      </c>
      <c r="U233" s="40">
        <v>0</v>
      </c>
    </row>
    <row r="234" spans="1:21" x14ac:dyDescent="0.2">
      <c r="A234" s="21" t="s">
        <v>618</v>
      </c>
      <c r="B234" s="21" t="s">
        <v>803</v>
      </c>
      <c r="C234" s="21" t="s">
        <v>620</v>
      </c>
      <c r="D234" s="21" t="s">
        <v>819</v>
      </c>
      <c r="E234" s="21" t="s">
        <v>820</v>
      </c>
      <c r="F234" s="21" t="s">
        <v>821</v>
      </c>
      <c r="G234" s="21" t="s">
        <v>130</v>
      </c>
      <c r="H234" s="21" t="s">
        <v>596</v>
      </c>
      <c r="I234" s="21" t="s">
        <v>87</v>
      </c>
      <c r="J234" s="21" t="s">
        <v>850</v>
      </c>
      <c r="K234" s="22">
        <v>0.5</v>
      </c>
      <c r="L234" s="21" t="s">
        <v>87</v>
      </c>
      <c r="M234" s="22">
        <v>2024</v>
      </c>
      <c r="N234" s="21" t="s">
        <v>30</v>
      </c>
      <c r="O234" s="22" t="s">
        <v>35</v>
      </c>
      <c r="P234" s="21" t="s">
        <v>25</v>
      </c>
      <c r="Q234" s="21" t="s">
        <v>25</v>
      </c>
      <c r="R234" s="21">
        <v>80</v>
      </c>
      <c r="S234" s="40">
        <v>0.4</v>
      </c>
      <c r="T234" s="40">
        <v>0.1</v>
      </c>
      <c r="U234" s="40">
        <v>0</v>
      </c>
    </row>
    <row r="235" spans="1:21" x14ac:dyDescent="0.2">
      <c r="A235" s="21" t="s">
        <v>618</v>
      </c>
      <c r="B235" s="21" t="s">
        <v>803</v>
      </c>
      <c r="C235" s="21" t="s">
        <v>620</v>
      </c>
      <c r="D235" s="21" t="s">
        <v>886</v>
      </c>
      <c r="E235" s="21" t="s">
        <v>887</v>
      </c>
      <c r="F235" s="21" t="s">
        <v>888</v>
      </c>
      <c r="G235" s="21" t="s">
        <v>120</v>
      </c>
      <c r="H235" s="21" t="s">
        <v>596</v>
      </c>
      <c r="I235" s="21" t="s">
        <v>52</v>
      </c>
      <c r="J235" s="21" t="s">
        <v>833</v>
      </c>
      <c r="K235" s="22">
        <v>0.5</v>
      </c>
      <c r="L235" s="21" t="s">
        <v>52</v>
      </c>
      <c r="M235" s="22">
        <v>2024</v>
      </c>
      <c r="N235" s="21" t="s">
        <v>30</v>
      </c>
      <c r="O235" s="22" t="s">
        <v>35</v>
      </c>
      <c r="P235" s="21" t="s">
        <v>25</v>
      </c>
      <c r="Q235" s="21" t="s">
        <v>25</v>
      </c>
      <c r="R235" s="21">
        <v>80</v>
      </c>
      <c r="S235" s="40">
        <v>0.4</v>
      </c>
      <c r="T235" s="40">
        <v>0.1</v>
      </c>
      <c r="U235" s="40">
        <v>0</v>
      </c>
    </row>
    <row r="236" spans="1:21" x14ac:dyDescent="0.2">
      <c r="A236" s="21" t="s">
        <v>618</v>
      </c>
      <c r="B236" s="21" t="s">
        <v>803</v>
      </c>
      <c r="C236" s="21" t="s">
        <v>620</v>
      </c>
      <c r="D236" s="21" t="s">
        <v>886</v>
      </c>
      <c r="E236" s="21" t="s">
        <v>887</v>
      </c>
      <c r="F236" s="21" t="s">
        <v>888</v>
      </c>
      <c r="G236" s="21" t="s">
        <v>109</v>
      </c>
      <c r="H236" s="21" t="s">
        <v>596</v>
      </c>
      <c r="I236" s="21" t="s">
        <v>52</v>
      </c>
      <c r="J236" s="21" t="s">
        <v>833</v>
      </c>
      <c r="K236" s="22">
        <v>0.5</v>
      </c>
      <c r="L236" s="21" t="s">
        <v>52</v>
      </c>
      <c r="M236" s="22">
        <v>2024</v>
      </c>
      <c r="N236" s="21" t="s">
        <v>30</v>
      </c>
      <c r="O236" s="22" t="s">
        <v>34</v>
      </c>
      <c r="P236" s="21" t="s">
        <v>25</v>
      </c>
      <c r="Q236" s="21" t="s">
        <v>25</v>
      </c>
      <c r="R236" s="21">
        <v>50</v>
      </c>
      <c r="S236" s="40">
        <v>0.25</v>
      </c>
      <c r="T236" s="40">
        <v>0.25</v>
      </c>
      <c r="U236" s="40">
        <v>0</v>
      </c>
    </row>
    <row r="237" spans="1:21" x14ac:dyDescent="0.2">
      <c r="A237" s="21" t="s">
        <v>618</v>
      </c>
      <c r="B237" s="21" t="s">
        <v>803</v>
      </c>
      <c r="C237" s="21" t="s">
        <v>620</v>
      </c>
      <c r="D237" s="21" t="s">
        <v>822</v>
      </c>
      <c r="E237" s="21" t="s">
        <v>823</v>
      </c>
      <c r="F237" s="21" t="s">
        <v>824</v>
      </c>
      <c r="G237" s="21" t="s">
        <v>130</v>
      </c>
      <c r="H237" s="21" t="s">
        <v>596</v>
      </c>
      <c r="I237" s="21" t="s">
        <v>87</v>
      </c>
      <c r="J237" s="21" t="s">
        <v>850</v>
      </c>
      <c r="K237" s="22">
        <v>0.5</v>
      </c>
      <c r="L237" s="21" t="s">
        <v>87</v>
      </c>
      <c r="M237" s="22">
        <v>2024</v>
      </c>
      <c r="N237" s="21" t="s">
        <v>30</v>
      </c>
      <c r="O237" s="22" t="s">
        <v>35</v>
      </c>
      <c r="P237" s="21" t="s">
        <v>25</v>
      </c>
      <c r="Q237" s="21" t="s">
        <v>25</v>
      </c>
      <c r="R237" s="21">
        <v>80</v>
      </c>
      <c r="S237" s="40">
        <v>0.4</v>
      </c>
      <c r="T237" s="40">
        <v>0.1</v>
      </c>
      <c r="U237" s="40">
        <v>0</v>
      </c>
    </row>
    <row r="238" spans="1:21" x14ac:dyDescent="0.2">
      <c r="A238" s="21" t="s">
        <v>889</v>
      </c>
      <c r="B238" s="21" t="s">
        <v>890</v>
      </c>
      <c r="C238" s="21" t="s">
        <v>891</v>
      </c>
      <c r="D238" s="21" t="s">
        <v>892</v>
      </c>
      <c r="E238" s="21" t="s">
        <v>893</v>
      </c>
      <c r="F238" s="21" t="s">
        <v>894</v>
      </c>
      <c r="G238" s="21" t="s">
        <v>702</v>
      </c>
      <c r="H238" s="21" t="s">
        <v>596</v>
      </c>
      <c r="I238" s="21" t="s">
        <v>87</v>
      </c>
      <c r="J238" s="21" t="s">
        <v>850</v>
      </c>
      <c r="K238" s="22">
        <v>0.5</v>
      </c>
      <c r="L238" s="21" t="s">
        <v>87</v>
      </c>
      <c r="M238" s="22">
        <v>2024</v>
      </c>
      <c r="N238" s="21" t="s">
        <v>30</v>
      </c>
      <c r="O238" s="22" t="s">
        <v>34</v>
      </c>
      <c r="P238" s="21" t="s">
        <v>25</v>
      </c>
      <c r="Q238" s="21" t="s">
        <v>25</v>
      </c>
      <c r="R238" s="21">
        <v>50</v>
      </c>
      <c r="S238" s="40">
        <v>0.25</v>
      </c>
      <c r="T238" s="40">
        <v>0.25</v>
      </c>
      <c r="U238" s="40">
        <v>0</v>
      </c>
    </row>
    <row r="239" spans="1:21" x14ac:dyDescent="0.2">
      <c r="A239" s="21" t="s">
        <v>618</v>
      </c>
      <c r="B239" s="21" t="s">
        <v>803</v>
      </c>
      <c r="C239" s="21" t="s">
        <v>620</v>
      </c>
      <c r="D239" s="21" t="s">
        <v>860</v>
      </c>
      <c r="E239" s="21" t="s">
        <v>861</v>
      </c>
      <c r="F239" s="21" t="s">
        <v>862</v>
      </c>
      <c r="G239" s="21" t="s">
        <v>136</v>
      </c>
      <c r="H239" s="21" t="s">
        <v>596</v>
      </c>
      <c r="I239" s="21" t="s">
        <v>45</v>
      </c>
      <c r="J239" s="21" t="s">
        <v>841</v>
      </c>
      <c r="K239" s="22">
        <v>0.5</v>
      </c>
      <c r="L239" s="21" t="s">
        <v>45</v>
      </c>
      <c r="M239" s="22">
        <v>2024</v>
      </c>
      <c r="N239" s="21" t="s">
        <v>703</v>
      </c>
      <c r="O239" s="22" t="s">
        <v>36</v>
      </c>
      <c r="P239" s="21" t="s">
        <v>30</v>
      </c>
      <c r="Q239" s="21" t="s">
        <v>35</v>
      </c>
      <c r="R239" s="21">
        <v>70</v>
      </c>
      <c r="S239" s="40">
        <v>0.35</v>
      </c>
      <c r="T239" s="40">
        <v>0.05</v>
      </c>
      <c r="U239" s="40">
        <v>0.1</v>
      </c>
    </row>
    <row r="240" spans="1:21" x14ac:dyDescent="0.2">
      <c r="A240" s="23"/>
      <c r="B240" s="23"/>
      <c r="C240" s="23"/>
      <c r="D240" s="23"/>
      <c r="E240" s="23"/>
      <c r="F240" s="23"/>
      <c r="G240" s="23"/>
      <c r="H240" s="23"/>
      <c r="I240" s="23"/>
      <c r="J240" s="23"/>
      <c r="K240" s="23"/>
      <c r="L240" s="24"/>
      <c r="M240" s="23"/>
      <c r="N240" s="24"/>
      <c r="O240" s="23"/>
      <c r="P240" s="24"/>
      <c r="Q240" s="23"/>
      <c r="R240" s="23"/>
      <c r="S240" s="58">
        <f>SUM(U184:U188,T18:T183,S2:S17,T189:T192,S193:S199,T200:T238,U239)</f>
        <v>41.925000000000068</v>
      </c>
      <c r="T240" s="58"/>
      <c r="U240" s="58"/>
    </row>
    <row r="263" spans="22:22" x14ac:dyDescent="0.2">
      <c r="V263" s="5" t="s">
        <v>513</v>
      </c>
    </row>
    <row r="264" spans="22:22" x14ac:dyDescent="0.2">
      <c r="V264" s="5" t="s">
        <v>513</v>
      </c>
    </row>
    <row r="421" spans="22:22" x14ac:dyDescent="0.2">
      <c r="V421" s="5" t="s">
        <v>513</v>
      </c>
    </row>
    <row r="422" spans="22:22" x14ac:dyDescent="0.2">
      <c r="V422" s="5" t="s">
        <v>513</v>
      </c>
    </row>
    <row r="423" spans="22:22" x14ac:dyDescent="0.2">
      <c r="V423" s="5" t="s">
        <v>513</v>
      </c>
    </row>
    <row r="424" spans="22:22" x14ac:dyDescent="0.2">
      <c r="V424" s="5" t="s">
        <v>513</v>
      </c>
    </row>
    <row r="425" spans="22:22" x14ac:dyDescent="0.2">
      <c r="V425" s="5" t="s">
        <v>513</v>
      </c>
    </row>
    <row r="426" spans="22:22" x14ac:dyDescent="0.2">
      <c r="V426" s="5" t="s">
        <v>513</v>
      </c>
    </row>
    <row r="427" spans="22:22" x14ac:dyDescent="0.2">
      <c r="V427" s="5" t="s">
        <v>513</v>
      </c>
    </row>
    <row r="428" spans="22:22" x14ac:dyDescent="0.2">
      <c r="V428" s="5" t="s">
        <v>513</v>
      </c>
    </row>
    <row r="429" spans="22:22" x14ac:dyDescent="0.2">
      <c r="V429" s="5" t="s">
        <v>513</v>
      </c>
    </row>
    <row r="430" spans="22:22" x14ac:dyDescent="0.2">
      <c r="V430" s="5" t="s">
        <v>513</v>
      </c>
    </row>
    <row r="431" spans="22:22" x14ac:dyDescent="0.2">
      <c r="V431" s="5" t="s">
        <v>513</v>
      </c>
    </row>
    <row r="432" spans="22:22" x14ac:dyDescent="0.2">
      <c r="V432" s="5" t="s">
        <v>513</v>
      </c>
    </row>
    <row r="433" spans="22:22" x14ac:dyDescent="0.2">
      <c r="V433" s="5" t="s">
        <v>513</v>
      </c>
    </row>
    <row r="434" spans="22:22" x14ac:dyDescent="0.2">
      <c r="V434" s="5" t="s">
        <v>513</v>
      </c>
    </row>
    <row r="435" spans="22:22" x14ac:dyDescent="0.2">
      <c r="V435" s="5" t="s">
        <v>513</v>
      </c>
    </row>
    <row r="436" spans="22:22" x14ac:dyDescent="0.2">
      <c r="V436" s="5" t="s">
        <v>513</v>
      </c>
    </row>
    <row r="437" spans="22:22" x14ac:dyDescent="0.2">
      <c r="V437" s="5" t="s">
        <v>513</v>
      </c>
    </row>
    <row r="438" spans="22:22" x14ac:dyDescent="0.2">
      <c r="V438" s="5" t="s">
        <v>513</v>
      </c>
    </row>
    <row r="439" spans="22:22" x14ac:dyDescent="0.2">
      <c r="V439" s="5" t="s">
        <v>513</v>
      </c>
    </row>
    <row r="440" spans="22:22" x14ac:dyDescent="0.2">
      <c r="V440" s="5" t="s">
        <v>513</v>
      </c>
    </row>
    <row r="441" spans="22:22" x14ac:dyDescent="0.2">
      <c r="V441" s="5" t="s">
        <v>513</v>
      </c>
    </row>
    <row r="442" spans="22:22" x14ac:dyDescent="0.2">
      <c r="V442" s="5" t="s">
        <v>513</v>
      </c>
    </row>
    <row r="443" spans="22:22" x14ac:dyDescent="0.2">
      <c r="V443" s="5" t="s">
        <v>513</v>
      </c>
    </row>
    <row r="444" spans="22:22" x14ac:dyDescent="0.2">
      <c r="V444" s="5" t="s">
        <v>513</v>
      </c>
    </row>
    <row r="445" spans="22:22" x14ac:dyDescent="0.2">
      <c r="V445" s="5" t="s">
        <v>513</v>
      </c>
    </row>
    <row r="446" spans="22:22" x14ac:dyDescent="0.2">
      <c r="V446" s="5" t="s">
        <v>513</v>
      </c>
    </row>
    <row r="447" spans="22:22" x14ac:dyDescent="0.2">
      <c r="V447" s="5" t="s">
        <v>513</v>
      </c>
    </row>
    <row r="448" spans="22:22" x14ac:dyDescent="0.2">
      <c r="V448" s="5" t="s">
        <v>513</v>
      </c>
    </row>
    <row r="449" spans="22:22" x14ac:dyDescent="0.2">
      <c r="V449" s="5" t="s">
        <v>513</v>
      </c>
    </row>
    <row r="450" spans="22:22" x14ac:dyDescent="0.2">
      <c r="V450" s="5" t="s">
        <v>513</v>
      </c>
    </row>
    <row r="451" spans="22:22" x14ac:dyDescent="0.2">
      <c r="V451" s="5" t="s">
        <v>513</v>
      </c>
    </row>
    <row r="452" spans="22:22" x14ac:dyDescent="0.2">
      <c r="V452" s="5" t="s">
        <v>513</v>
      </c>
    </row>
    <row r="453" spans="22:22" x14ac:dyDescent="0.2">
      <c r="V453" s="5" t="s">
        <v>513</v>
      </c>
    </row>
    <row r="454" spans="22:22" x14ac:dyDescent="0.2">
      <c r="V454" s="5" t="s">
        <v>513</v>
      </c>
    </row>
    <row r="461" spans="22:22" x14ac:dyDescent="0.2">
      <c r="V461" s="20"/>
    </row>
  </sheetData>
  <autoFilter ref="A1:T240" xr:uid="{00000000-0009-0000-0000-000000000000}"/>
  <mergeCells count="1">
    <mergeCell ref="S240:U240"/>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5"/>
  <sheetViews>
    <sheetView topLeftCell="A71" zoomScaleNormal="100" workbookViewId="0">
      <selection activeCell="B1" sqref="B1"/>
    </sheetView>
  </sheetViews>
  <sheetFormatPr baseColWidth="10" defaultColWidth="11.42578125" defaultRowHeight="12.75" x14ac:dyDescent="0.2"/>
  <cols>
    <col min="1" max="1" width="10.85546875" style="9" bestFit="1" customWidth="1"/>
    <col min="2" max="2" width="39.85546875" style="9" bestFit="1" customWidth="1"/>
    <col min="3" max="3" width="17" style="9" bestFit="1" customWidth="1"/>
    <col min="4" max="9" width="3.28515625" style="9" bestFit="1" customWidth="1"/>
    <col min="10" max="10" width="8.42578125" style="9" customWidth="1"/>
    <col min="11" max="11" width="5.28515625" style="9" bestFit="1" customWidth="1"/>
    <col min="12" max="12" width="5.7109375" style="9" bestFit="1" customWidth="1"/>
    <col min="13" max="14" width="5.7109375" style="10" bestFit="1" customWidth="1"/>
    <col min="15" max="15" width="5.7109375" style="9" bestFit="1" customWidth="1"/>
    <col min="16" max="16" width="5.7109375" style="10" bestFit="1" customWidth="1"/>
    <col min="17" max="19" width="5.7109375" style="9" bestFit="1" customWidth="1"/>
    <col min="20" max="16384" width="11.42578125" style="9"/>
  </cols>
  <sheetData>
    <row r="1" spans="1:19" ht="30" x14ac:dyDescent="0.2">
      <c r="A1" s="11" t="s">
        <v>92</v>
      </c>
      <c r="B1" s="11" t="s">
        <v>93</v>
      </c>
      <c r="C1" s="11" t="s">
        <v>94</v>
      </c>
      <c r="D1" s="12" t="s">
        <v>895</v>
      </c>
      <c r="E1" s="12" t="s">
        <v>896</v>
      </c>
      <c r="F1" s="12" t="s">
        <v>897</v>
      </c>
      <c r="G1" s="12" t="s">
        <v>898</v>
      </c>
      <c r="H1" s="12" t="s">
        <v>899</v>
      </c>
      <c r="I1" s="12" t="s">
        <v>900</v>
      </c>
      <c r="J1" s="11" t="s">
        <v>95</v>
      </c>
      <c r="K1" s="13" t="s">
        <v>227</v>
      </c>
      <c r="L1" s="7" t="s">
        <v>96</v>
      </c>
      <c r="M1" s="7" t="s">
        <v>97</v>
      </c>
      <c r="N1" s="7" t="s">
        <v>98</v>
      </c>
      <c r="O1" s="7" t="s">
        <v>99</v>
      </c>
      <c r="P1" s="8" t="s">
        <v>100</v>
      </c>
      <c r="Q1" s="8" t="s">
        <v>101</v>
      </c>
      <c r="R1" s="8" t="s">
        <v>102</v>
      </c>
      <c r="S1" s="8" t="s">
        <v>103</v>
      </c>
    </row>
    <row r="2" spans="1:19" ht="15" x14ac:dyDescent="0.25">
      <c r="A2" s="14" t="s">
        <v>226</v>
      </c>
      <c r="B2" s="14" t="s">
        <v>901</v>
      </c>
      <c r="C2" s="14" t="s">
        <v>104</v>
      </c>
      <c r="D2" s="14"/>
      <c r="E2" s="14"/>
      <c r="F2" s="14"/>
      <c r="G2" s="14">
        <v>1</v>
      </c>
      <c r="H2" s="14"/>
      <c r="I2" s="14">
        <v>1</v>
      </c>
      <c r="J2" s="14">
        <v>2</v>
      </c>
      <c r="K2" s="14" t="s">
        <v>45</v>
      </c>
      <c r="L2" s="46" t="s">
        <v>30</v>
      </c>
      <c r="M2" s="46" t="s">
        <v>35</v>
      </c>
      <c r="N2" s="46" t="s">
        <v>25</v>
      </c>
      <c r="O2" s="46" t="s">
        <v>25</v>
      </c>
      <c r="P2" s="46">
        <v>80</v>
      </c>
      <c r="Q2" s="46">
        <v>0.4</v>
      </c>
      <c r="R2" s="46">
        <v>0</v>
      </c>
      <c r="S2" s="46">
        <v>1.6</v>
      </c>
    </row>
    <row r="3" spans="1:19" ht="15" x14ac:dyDescent="0.25">
      <c r="A3" s="14" t="s">
        <v>167</v>
      </c>
      <c r="B3" s="14" t="s">
        <v>902</v>
      </c>
      <c r="C3" s="14" t="s">
        <v>104</v>
      </c>
      <c r="D3" s="14">
        <v>1</v>
      </c>
      <c r="E3" s="14">
        <v>1</v>
      </c>
      <c r="F3" s="14"/>
      <c r="G3" s="14"/>
      <c r="H3" s="14"/>
      <c r="I3" s="14"/>
      <c r="J3" s="14">
        <v>2</v>
      </c>
      <c r="K3" s="14" t="s">
        <v>87</v>
      </c>
      <c r="L3" s="46" t="s">
        <v>30</v>
      </c>
      <c r="M3" s="46" t="s">
        <v>35</v>
      </c>
      <c r="N3" s="46" t="s">
        <v>25</v>
      </c>
      <c r="O3" s="46" t="s">
        <v>25</v>
      </c>
      <c r="P3" s="46">
        <v>80</v>
      </c>
      <c r="Q3" s="46">
        <v>0.4</v>
      </c>
      <c r="R3" s="46">
        <v>0</v>
      </c>
      <c r="S3" s="46">
        <v>1.6</v>
      </c>
    </row>
    <row r="4" spans="1:19" ht="15" x14ac:dyDescent="0.25">
      <c r="A4" s="14" t="s">
        <v>431</v>
      </c>
      <c r="B4" s="14" t="s">
        <v>903</v>
      </c>
      <c r="C4" s="14" t="s">
        <v>104</v>
      </c>
      <c r="D4" s="14"/>
      <c r="E4" s="14"/>
      <c r="F4" s="14"/>
      <c r="G4" s="14"/>
      <c r="H4" s="14">
        <v>2</v>
      </c>
      <c r="I4" s="14"/>
      <c r="J4" s="14">
        <v>2</v>
      </c>
      <c r="K4" s="14" t="s">
        <v>87</v>
      </c>
      <c r="L4" s="46" t="s">
        <v>30</v>
      </c>
      <c r="M4" s="46" t="s">
        <v>34</v>
      </c>
      <c r="N4" s="46" t="s">
        <v>25</v>
      </c>
      <c r="O4" s="46" t="s">
        <v>25</v>
      </c>
      <c r="P4" s="46">
        <v>50</v>
      </c>
      <c r="Q4" s="46">
        <v>1</v>
      </c>
      <c r="R4" s="46">
        <v>0</v>
      </c>
      <c r="S4" s="46">
        <v>1</v>
      </c>
    </row>
    <row r="5" spans="1:19" ht="15" x14ac:dyDescent="0.25">
      <c r="A5" s="14" t="s">
        <v>117</v>
      </c>
      <c r="B5" s="14" t="s">
        <v>904</v>
      </c>
      <c r="C5" s="14" t="s">
        <v>104</v>
      </c>
      <c r="D5" s="14"/>
      <c r="E5" s="14"/>
      <c r="F5" s="14"/>
      <c r="G5" s="14">
        <v>1</v>
      </c>
      <c r="H5" s="14"/>
      <c r="I5" s="14"/>
      <c r="J5" s="14">
        <v>1</v>
      </c>
      <c r="K5" s="14" t="s">
        <v>52</v>
      </c>
      <c r="L5" s="46" t="s">
        <v>30</v>
      </c>
      <c r="M5" s="46" t="s">
        <v>36</v>
      </c>
      <c r="N5" s="46" t="s">
        <v>47</v>
      </c>
      <c r="O5" s="46" t="s">
        <v>36</v>
      </c>
      <c r="P5" s="46">
        <v>80</v>
      </c>
      <c r="Q5" s="46">
        <v>0.1</v>
      </c>
      <c r="R5" s="46">
        <v>0.1</v>
      </c>
      <c r="S5" s="46">
        <v>0.8</v>
      </c>
    </row>
    <row r="6" spans="1:19" ht="15" x14ac:dyDescent="0.25">
      <c r="A6" s="17" t="s">
        <v>905</v>
      </c>
      <c r="B6" s="17" t="s">
        <v>906</v>
      </c>
      <c r="C6" s="18" t="s">
        <v>104</v>
      </c>
      <c r="D6" s="17"/>
      <c r="E6" s="17"/>
      <c r="F6" s="17"/>
      <c r="G6" s="17"/>
      <c r="H6" s="17">
        <v>2</v>
      </c>
      <c r="I6" s="17"/>
      <c r="J6" s="14">
        <v>2</v>
      </c>
      <c r="K6" s="14" t="s">
        <v>45</v>
      </c>
      <c r="L6" s="46" t="s">
        <v>30</v>
      </c>
      <c r="M6" s="46" t="s">
        <v>35</v>
      </c>
      <c r="N6" s="46" t="s">
        <v>25</v>
      </c>
      <c r="O6" s="46" t="s">
        <v>25</v>
      </c>
      <c r="P6" s="46">
        <v>80</v>
      </c>
      <c r="Q6" s="46">
        <v>0.4</v>
      </c>
      <c r="R6" s="46">
        <v>0</v>
      </c>
      <c r="S6" s="46">
        <v>1.6</v>
      </c>
    </row>
    <row r="7" spans="1:19" ht="15" x14ac:dyDescent="0.25">
      <c r="A7" s="14" t="s">
        <v>432</v>
      </c>
      <c r="B7" s="14" t="s">
        <v>907</v>
      </c>
      <c r="C7" s="15" t="s">
        <v>104</v>
      </c>
      <c r="D7" s="14"/>
      <c r="E7" s="14"/>
      <c r="F7" s="14"/>
      <c r="G7" s="14"/>
      <c r="H7" s="14">
        <v>1</v>
      </c>
      <c r="I7" s="14"/>
      <c r="J7" s="14">
        <v>1</v>
      </c>
      <c r="K7" s="14" t="s">
        <v>908</v>
      </c>
      <c r="L7" s="46" t="s">
        <v>30</v>
      </c>
      <c r="M7" s="46" t="s">
        <v>700</v>
      </c>
      <c r="N7" s="46" t="s">
        <v>25</v>
      </c>
      <c r="O7" s="46" t="s">
        <v>25</v>
      </c>
      <c r="P7" s="46">
        <v>85</v>
      </c>
      <c r="Q7" s="46">
        <v>0.15</v>
      </c>
      <c r="R7" s="46">
        <v>0</v>
      </c>
      <c r="S7" s="46">
        <v>0.85</v>
      </c>
    </row>
    <row r="8" spans="1:19" ht="15" x14ac:dyDescent="0.25">
      <c r="A8" s="14" t="s">
        <v>145</v>
      </c>
      <c r="B8" s="14" t="s">
        <v>909</v>
      </c>
      <c r="C8" s="14" t="s">
        <v>104</v>
      </c>
      <c r="D8" s="14"/>
      <c r="E8" s="14"/>
      <c r="F8" s="14"/>
      <c r="G8" s="14"/>
      <c r="H8" s="14"/>
      <c r="I8" s="14">
        <v>1</v>
      </c>
      <c r="J8" s="14">
        <v>1</v>
      </c>
      <c r="K8" s="14" t="s">
        <v>45</v>
      </c>
      <c r="L8" s="46" t="s">
        <v>30</v>
      </c>
      <c r="M8" s="46" t="s">
        <v>34</v>
      </c>
      <c r="N8" s="46" t="s">
        <v>25</v>
      </c>
      <c r="O8" s="46" t="s">
        <v>25</v>
      </c>
      <c r="P8" s="46">
        <v>50</v>
      </c>
      <c r="Q8" s="46">
        <v>0.5</v>
      </c>
      <c r="R8" s="46">
        <v>0</v>
      </c>
      <c r="S8" s="46">
        <v>0.5</v>
      </c>
    </row>
    <row r="9" spans="1:19" ht="15" x14ac:dyDescent="0.25">
      <c r="A9" s="14" t="s">
        <v>153</v>
      </c>
      <c r="B9" s="14" t="s">
        <v>910</v>
      </c>
      <c r="C9" s="14" t="s">
        <v>104</v>
      </c>
      <c r="D9" s="14"/>
      <c r="E9" s="14"/>
      <c r="F9" s="14"/>
      <c r="G9" s="14">
        <v>1</v>
      </c>
      <c r="H9" s="14"/>
      <c r="I9" s="14"/>
      <c r="J9" s="14">
        <v>1</v>
      </c>
      <c r="K9" s="14" t="s">
        <v>87</v>
      </c>
      <c r="L9" s="46" t="s">
        <v>30</v>
      </c>
      <c r="M9" s="46" t="s">
        <v>35</v>
      </c>
      <c r="N9" s="46" t="s">
        <v>25</v>
      </c>
      <c r="O9" s="46" t="s">
        <v>25</v>
      </c>
      <c r="P9" s="46">
        <v>80</v>
      </c>
      <c r="Q9" s="46">
        <v>0.2</v>
      </c>
      <c r="R9" s="46">
        <v>0</v>
      </c>
      <c r="S9" s="46">
        <v>0.8</v>
      </c>
    </row>
    <row r="10" spans="1:19" ht="15" x14ac:dyDescent="0.25">
      <c r="A10" s="14" t="s">
        <v>509</v>
      </c>
      <c r="B10" s="14" t="s">
        <v>911</v>
      </c>
      <c r="C10" s="14" t="s">
        <v>508</v>
      </c>
      <c r="D10" s="14"/>
      <c r="E10" s="14"/>
      <c r="F10" s="14"/>
      <c r="G10" s="14"/>
      <c r="H10" s="14"/>
      <c r="I10" s="14">
        <v>1</v>
      </c>
      <c r="J10" s="14">
        <v>1</v>
      </c>
      <c r="K10" s="14" t="s">
        <v>45</v>
      </c>
      <c r="L10" s="46" t="s">
        <v>30</v>
      </c>
      <c r="M10" s="46" t="s">
        <v>36</v>
      </c>
      <c r="N10" s="46" t="s">
        <v>40</v>
      </c>
      <c r="O10" s="46" t="s">
        <v>36</v>
      </c>
      <c r="P10" s="46">
        <v>80</v>
      </c>
      <c r="Q10" s="46">
        <v>0.1</v>
      </c>
      <c r="R10" s="46">
        <v>0.1</v>
      </c>
      <c r="S10" s="46">
        <v>0.8</v>
      </c>
    </row>
    <row r="11" spans="1:19" ht="15" x14ac:dyDescent="0.25">
      <c r="A11" s="14" t="s">
        <v>125</v>
      </c>
      <c r="B11" s="14" t="s">
        <v>912</v>
      </c>
      <c r="C11" s="14" t="s">
        <v>508</v>
      </c>
      <c r="D11" s="14"/>
      <c r="E11" s="14"/>
      <c r="F11" s="14"/>
      <c r="G11" s="14"/>
      <c r="H11" s="14"/>
      <c r="I11" s="14">
        <v>1</v>
      </c>
      <c r="J11" s="14">
        <v>1</v>
      </c>
      <c r="K11" s="14" t="s">
        <v>52</v>
      </c>
      <c r="L11" s="46" t="s">
        <v>30</v>
      </c>
      <c r="M11" s="46" t="s">
        <v>35</v>
      </c>
      <c r="N11" s="46" t="s">
        <v>25</v>
      </c>
      <c r="O11" s="46" t="s">
        <v>25</v>
      </c>
      <c r="P11" s="46">
        <v>80</v>
      </c>
      <c r="Q11" s="46">
        <v>0.2</v>
      </c>
      <c r="R11" s="46">
        <v>0</v>
      </c>
      <c r="S11" s="46">
        <v>0.8</v>
      </c>
    </row>
    <row r="12" spans="1:19" ht="15" x14ac:dyDescent="0.25">
      <c r="A12" s="14" t="s">
        <v>913</v>
      </c>
      <c r="B12" s="14" t="s">
        <v>914</v>
      </c>
      <c r="C12" s="14" t="s">
        <v>104</v>
      </c>
      <c r="D12" s="14"/>
      <c r="E12" s="14"/>
      <c r="F12" s="14"/>
      <c r="G12" s="14"/>
      <c r="H12" s="14"/>
      <c r="I12" s="14">
        <v>1</v>
      </c>
      <c r="J12" s="14">
        <v>1</v>
      </c>
      <c r="K12" s="14" t="s">
        <v>41</v>
      </c>
      <c r="L12" s="46" t="s">
        <v>30</v>
      </c>
      <c r="M12" s="46" t="s">
        <v>915</v>
      </c>
      <c r="N12" s="46" t="s">
        <v>47</v>
      </c>
      <c r="O12" s="46" t="s">
        <v>36</v>
      </c>
      <c r="P12" s="46">
        <v>0</v>
      </c>
      <c r="Q12" s="46">
        <v>0.9</v>
      </c>
      <c r="R12" s="46">
        <v>0.1</v>
      </c>
      <c r="S12" s="46">
        <v>0</v>
      </c>
    </row>
    <row r="13" spans="1:19" ht="15" x14ac:dyDescent="0.25">
      <c r="A13" s="14" t="s">
        <v>168</v>
      </c>
      <c r="B13" s="14" t="s">
        <v>916</v>
      </c>
      <c r="C13" s="14" t="s">
        <v>508</v>
      </c>
      <c r="D13" s="14"/>
      <c r="E13" s="14"/>
      <c r="F13" s="14"/>
      <c r="G13" s="14"/>
      <c r="H13" s="14"/>
      <c r="I13" s="14">
        <v>1</v>
      </c>
      <c r="J13" s="14">
        <v>1</v>
      </c>
      <c r="K13" s="14" t="s">
        <v>87</v>
      </c>
      <c r="L13" s="46" t="s">
        <v>30</v>
      </c>
      <c r="M13" s="46" t="s">
        <v>35</v>
      </c>
      <c r="N13" s="46" t="s">
        <v>25</v>
      </c>
      <c r="O13" s="46" t="s">
        <v>25</v>
      </c>
      <c r="P13" s="46">
        <v>80</v>
      </c>
      <c r="Q13" s="46">
        <v>0.2</v>
      </c>
      <c r="R13" s="46">
        <v>0</v>
      </c>
      <c r="S13" s="46">
        <v>0.8</v>
      </c>
    </row>
    <row r="14" spans="1:19" ht="15" x14ac:dyDescent="0.25">
      <c r="A14" s="14" t="s">
        <v>126</v>
      </c>
      <c r="B14" s="14" t="s">
        <v>917</v>
      </c>
      <c r="C14" s="14" t="s">
        <v>104</v>
      </c>
      <c r="D14" s="14"/>
      <c r="E14" s="14"/>
      <c r="F14" s="14"/>
      <c r="G14" s="14">
        <v>1</v>
      </c>
      <c r="H14" s="14"/>
      <c r="I14" s="14"/>
      <c r="J14" s="14">
        <v>1</v>
      </c>
      <c r="K14" s="14" t="s">
        <v>45</v>
      </c>
      <c r="L14" s="46" t="s">
        <v>30</v>
      </c>
      <c r="M14" s="46" t="s">
        <v>35</v>
      </c>
      <c r="N14" s="46" t="s">
        <v>25</v>
      </c>
      <c r="O14" s="46" t="s">
        <v>25</v>
      </c>
      <c r="P14" s="46">
        <v>80</v>
      </c>
      <c r="Q14" s="46">
        <v>0.2</v>
      </c>
      <c r="R14" s="46">
        <v>0</v>
      </c>
      <c r="S14" s="46">
        <v>0.8</v>
      </c>
    </row>
    <row r="15" spans="1:19" ht="15" x14ac:dyDescent="0.25">
      <c r="A15" s="14" t="s">
        <v>140</v>
      </c>
      <c r="B15" s="14" t="s">
        <v>918</v>
      </c>
      <c r="C15" s="14" t="s">
        <v>104</v>
      </c>
      <c r="D15" s="14"/>
      <c r="E15" s="14">
        <v>1</v>
      </c>
      <c r="F15" s="14"/>
      <c r="G15" s="14"/>
      <c r="H15" s="14"/>
      <c r="I15" s="14"/>
      <c r="J15" s="14">
        <v>1</v>
      </c>
      <c r="K15" s="14" t="s">
        <v>45</v>
      </c>
      <c r="L15" s="46" t="s">
        <v>30</v>
      </c>
      <c r="M15" s="46" t="s">
        <v>35</v>
      </c>
      <c r="N15" s="46" t="s">
        <v>25</v>
      </c>
      <c r="O15" s="46" t="s">
        <v>25</v>
      </c>
      <c r="P15" s="46">
        <v>80</v>
      </c>
      <c r="Q15" s="46">
        <v>0.2</v>
      </c>
      <c r="R15" s="46">
        <v>0</v>
      </c>
      <c r="S15" s="46">
        <v>0.8</v>
      </c>
    </row>
    <row r="16" spans="1:19" ht="15" x14ac:dyDescent="0.25">
      <c r="A16" s="14" t="s">
        <v>166</v>
      </c>
      <c r="B16" s="14" t="s">
        <v>919</v>
      </c>
      <c r="C16" s="14" t="s">
        <v>104</v>
      </c>
      <c r="D16" s="14"/>
      <c r="E16" s="14"/>
      <c r="F16" s="14">
        <v>1</v>
      </c>
      <c r="G16" s="14"/>
      <c r="H16" s="14"/>
      <c r="I16" s="14"/>
      <c r="J16" s="14">
        <v>1</v>
      </c>
      <c r="K16" s="14" t="s">
        <v>87</v>
      </c>
      <c r="L16" s="46" t="s">
        <v>30</v>
      </c>
      <c r="M16" s="46" t="s">
        <v>35</v>
      </c>
      <c r="N16" s="46" t="s">
        <v>25</v>
      </c>
      <c r="O16" s="46" t="s">
        <v>25</v>
      </c>
      <c r="P16" s="46">
        <v>80</v>
      </c>
      <c r="Q16" s="46">
        <v>0.2</v>
      </c>
      <c r="R16" s="46">
        <v>0</v>
      </c>
      <c r="S16" s="46">
        <v>0.8</v>
      </c>
    </row>
    <row r="17" spans="1:19" ht="15" x14ac:dyDescent="0.25">
      <c r="A17" s="14" t="s">
        <v>164</v>
      </c>
      <c r="B17" s="14" t="s">
        <v>920</v>
      </c>
      <c r="C17" s="14" t="s">
        <v>104</v>
      </c>
      <c r="D17" s="14"/>
      <c r="E17" s="14"/>
      <c r="F17" s="14">
        <v>1</v>
      </c>
      <c r="G17" s="14"/>
      <c r="H17" s="14"/>
      <c r="I17" s="14"/>
      <c r="J17" s="14">
        <v>1</v>
      </c>
      <c r="K17" s="14" t="s">
        <v>87</v>
      </c>
      <c r="L17" s="46" t="s">
        <v>30</v>
      </c>
      <c r="M17" s="46" t="s">
        <v>35</v>
      </c>
      <c r="N17" s="46" t="s">
        <v>25</v>
      </c>
      <c r="O17" s="46" t="s">
        <v>25</v>
      </c>
      <c r="P17" s="46">
        <v>80</v>
      </c>
      <c r="Q17" s="46">
        <v>0.2</v>
      </c>
      <c r="R17" s="46">
        <v>0</v>
      </c>
      <c r="S17" s="46">
        <v>0.8</v>
      </c>
    </row>
    <row r="18" spans="1:19" ht="15" x14ac:dyDescent="0.25">
      <c r="A18" s="14" t="s">
        <v>138</v>
      </c>
      <c r="B18" s="14" t="s">
        <v>921</v>
      </c>
      <c r="C18" s="14" t="s">
        <v>104</v>
      </c>
      <c r="D18" s="14"/>
      <c r="E18" s="14">
        <v>1</v>
      </c>
      <c r="F18" s="14"/>
      <c r="G18" s="14"/>
      <c r="H18" s="14"/>
      <c r="I18" s="14"/>
      <c r="J18" s="14">
        <v>1</v>
      </c>
      <c r="K18" s="14" t="s">
        <v>87</v>
      </c>
      <c r="L18" s="46" t="s">
        <v>30</v>
      </c>
      <c r="M18" s="46" t="s">
        <v>35</v>
      </c>
      <c r="N18" s="46" t="s">
        <v>25</v>
      </c>
      <c r="O18" s="46" t="s">
        <v>25</v>
      </c>
      <c r="P18" s="46">
        <v>80</v>
      </c>
      <c r="Q18" s="46">
        <v>0.2</v>
      </c>
      <c r="R18" s="46">
        <v>0</v>
      </c>
      <c r="S18" s="46">
        <v>0.8</v>
      </c>
    </row>
    <row r="19" spans="1:19" ht="15" x14ac:dyDescent="0.25">
      <c r="A19" s="14" t="s">
        <v>118</v>
      </c>
      <c r="B19" s="14" t="s">
        <v>922</v>
      </c>
      <c r="C19" s="14" t="s">
        <v>104</v>
      </c>
      <c r="D19" s="14"/>
      <c r="E19" s="14"/>
      <c r="F19" s="14"/>
      <c r="G19" s="14"/>
      <c r="H19" s="14"/>
      <c r="I19" s="14">
        <v>1</v>
      </c>
      <c r="J19" s="14">
        <v>1</v>
      </c>
      <c r="K19" s="14" t="s">
        <v>45</v>
      </c>
      <c r="L19" s="46" t="s">
        <v>30</v>
      </c>
      <c r="M19" s="46" t="s">
        <v>35</v>
      </c>
      <c r="N19" s="46" t="s">
        <v>25</v>
      </c>
      <c r="O19" s="46" t="s">
        <v>25</v>
      </c>
      <c r="P19" s="46">
        <v>80</v>
      </c>
      <c r="Q19" s="46">
        <v>0.2</v>
      </c>
      <c r="R19" s="46">
        <v>0</v>
      </c>
      <c r="S19" s="46">
        <v>0.8</v>
      </c>
    </row>
    <row r="20" spans="1:19" ht="15" x14ac:dyDescent="0.25">
      <c r="A20" s="14" t="s">
        <v>143</v>
      </c>
      <c r="B20" s="14" t="s">
        <v>923</v>
      </c>
      <c r="C20" s="14" t="s">
        <v>104</v>
      </c>
      <c r="D20" s="14">
        <v>1</v>
      </c>
      <c r="E20" s="14"/>
      <c r="F20" s="14"/>
      <c r="G20" s="14"/>
      <c r="H20" s="14"/>
      <c r="I20" s="14"/>
      <c r="J20" s="14">
        <v>1</v>
      </c>
      <c r="K20" s="14" t="s">
        <v>45</v>
      </c>
      <c r="L20" s="46" t="s">
        <v>30</v>
      </c>
      <c r="M20" s="46" t="s">
        <v>35</v>
      </c>
      <c r="N20" s="46" t="s">
        <v>25</v>
      </c>
      <c r="O20" s="46" t="s">
        <v>25</v>
      </c>
      <c r="P20" s="46">
        <v>80</v>
      </c>
      <c r="Q20" s="46">
        <v>0.2</v>
      </c>
      <c r="R20" s="46">
        <v>0</v>
      </c>
      <c r="S20" s="46">
        <v>0.8</v>
      </c>
    </row>
    <row r="21" spans="1:19" ht="15" x14ac:dyDescent="0.25">
      <c r="A21" s="14" t="s">
        <v>228</v>
      </c>
      <c r="B21" s="14" t="s">
        <v>924</v>
      </c>
      <c r="C21" s="14" t="s">
        <v>104</v>
      </c>
      <c r="D21" s="14"/>
      <c r="E21" s="14">
        <v>1</v>
      </c>
      <c r="F21" s="14"/>
      <c r="G21" s="14"/>
      <c r="H21" s="14"/>
      <c r="I21" s="14"/>
      <c r="J21" s="14">
        <v>1</v>
      </c>
      <c r="K21" s="14" t="s">
        <v>87</v>
      </c>
      <c r="L21" s="46" t="s">
        <v>30</v>
      </c>
      <c r="M21" s="46" t="s">
        <v>35</v>
      </c>
      <c r="N21" s="46" t="s">
        <v>25</v>
      </c>
      <c r="O21" s="46" t="s">
        <v>25</v>
      </c>
      <c r="P21" s="46">
        <v>80</v>
      </c>
      <c r="Q21" s="46">
        <v>0.2</v>
      </c>
      <c r="R21" s="46">
        <v>0</v>
      </c>
      <c r="S21" s="46">
        <v>0.8</v>
      </c>
    </row>
    <row r="22" spans="1:19" ht="15" x14ac:dyDescent="0.25">
      <c r="A22" s="14" t="s">
        <v>133</v>
      </c>
      <c r="B22" s="14" t="s">
        <v>925</v>
      </c>
      <c r="C22" s="14" t="s">
        <v>104</v>
      </c>
      <c r="D22" s="14"/>
      <c r="E22" s="14">
        <v>1</v>
      </c>
      <c r="F22" s="14"/>
      <c r="G22" s="14"/>
      <c r="H22" s="14"/>
      <c r="I22" s="14"/>
      <c r="J22" s="14">
        <v>1</v>
      </c>
      <c r="K22" s="14" t="s">
        <v>45</v>
      </c>
      <c r="L22" s="46" t="s">
        <v>30</v>
      </c>
      <c r="M22" s="46" t="s">
        <v>34</v>
      </c>
      <c r="N22" s="46" t="s">
        <v>25</v>
      </c>
      <c r="O22" s="46" t="s">
        <v>25</v>
      </c>
      <c r="P22" s="46">
        <v>50</v>
      </c>
      <c r="Q22" s="46">
        <v>0.5</v>
      </c>
      <c r="R22" s="46">
        <v>0</v>
      </c>
      <c r="S22" s="46">
        <v>0.5</v>
      </c>
    </row>
    <row r="23" spans="1:19" ht="15" x14ac:dyDescent="0.25">
      <c r="A23" s="14" t="s">
        <v>131</v>
      </c>
      <c r="B23" s="14" t="s">
        <v>926</v>
      </c>
      <c r="C23" s="14" t="s">
        <v>104</v>
      </c>
      <c r="D23" s="14">
        <v>1</v>
      </c>
      <c r="E23" s="14"/>
      <c r="F23" s="14"/>
      <c r="G23" s="14"/>
      <c r="H23" s="14"/>
      <c r="I23" s="14"/>
      <c r="J23" s="14">
        <v>1</v>
      </c>
      <c r="K23" s="14" t="s">
        <v>52</v>
      </c>
      <c r="L23" s="46" t="s">
        <v>30</v>
      </c>
      <c r="M23" s="46" t="s">
        <v>35</v>
      </c>
      <c r="N23" s="46" t="s">
        <v>25</v>
      </c>
      <c r="O23" s="46" t="s">
        <v>25</v>
      </c>
      <c r="P23" s="46">
        <v>80</v>
      </c>
      <c r="Q23" s="46">
        <v>0.2</v>
      </c>
      <c r="R23" s="46">
        <v>0</v>
      </c>
      <c r="S23" s="46">
        <v>0.8</v>
      </c>
    </row>
    <row r="24" spans="1:19" ht="15" x14ac:dyDescent="0.25">
      <c r="A24" s="14" t="s">
        <v>124</v>
      </c>
      <c r="B24" s="14" t="s">
        <v>927</v>
      </c>
      <c r="C24" s="14" t="s">
        <v>508</v>
      </c>
      <c r="D24" s="14"/>
      <c r="E24" s="14"/>
      <c r="F24" s="14"/>
      <c r="G24" s="14"/>
      <c r="H24" s="14"/>
      <c r="I24" s="14">
        <v>1</v>
      </c>
      <c r="J24" s="14">
        <v>1</v>
      </c>
      <c r="K24" s="14" t="s">
        <v>45</v>
      </c>
      <c r="L24" s="46" t="s">
        <v>30</v>
      </c>
      <c r="M24" s="46" t="s">
        <v>35</v>
      </c>
      <c r="N24" s="46" t="s">
        <v>25</v>
      </c>
      <c r="O24" s="46" t="s">
        <v>25</v>
      </c>
      <c r="P24" s="46">
        <v>80</v>
      </c>
      <c r="Q24" s="46">
        <v>0.2</v>
      </c>
      <c r="R24" s="46">
        <v>0</v>
      </c>
      <c r="S24" s="46">
        <v>0.8</v>
      </c>
    </row>
    <row r="25" spans="1:19" ht="15" x14ac:dyDescent="0.25">
      <c r="A25" s="14" t="s">
        <v>142</v>
      </c>
      <c r="B25" s="14" t="s">
        <v>928</v>
      </c>
      <c r="C25" s="14" t="s">
        <v>508</v>
      </c>
      <c r="D25" s="14"/>
      <c r="E25" s="14"/>
      <c r="F25" s="14"/>
      <c r="G25" s="14"/>
      <c r="H25" s="14"/>
      <c r="I25" s="14">
        <v>1</v>
      </c>
      <c r="J25" s="14">
        <v>1</v>
      </c>
      <c r="K25" s="14" t="s">
        <v>45</v>
      </c>
      <c r="L25" s="46" t="s">
        <v>30</v>
      </c>
      <c r="M25" s="46" t="s">
        <v>35</v>
      </c>
      <c r="N25" s="46" t="s">
        <v>25</v>
      </c>
      <c r="O25" s="46" t="s">
        <v>25</v>
      </c>
      <c r="P25" s="46">
        <v>80</v>
      </c>
      <c r="Q25" s="46">
        <v>0.2</v>
      </c>
      <c r="R25" s="46">
        <v>0</v>
      </c>
      <c r="S25" s="46">
        <v>0.8</v>
      </c>
    </row>
    <row r="26" spans="1:19" ht="15" x14ac:dyDescent="0.25">
      <c r="A26" s="14" t="s">
        <v>120</v>
      </c>
      <c r="B26" s="14" t="s">
        <v>929</v>
      </c>
      <c r="C26" s="14" t="s">
        <v>104</v>
      </c>
      <c r="D26" s="14"/>
      <c r="E26" s="14"/>
      <c r="F26" s="14"/>
      <c r="G26" s="14"/>
      <c r="H26" s="14"/>
      <c r="I26" s="14">
        <v>1</v>
      </c>
      <c r="J26" s="14">
        <v>1</v>
      </c>
      <c r="K26" s="14" t="s">
        <v>52</v>
      </c>
      <c r="L26" s="46" t="s">
        <v>30</v>
      </c>
      <c r="M26" s="46" t="s">
        <v>35</v>
      </c>
      <c r="N26" s="46" t="s">
        <v>25</v>
      </c>
      <c r="O26" s="46" t="s">
        <v>25</v>
      </c>
      <c r="P26" s="46">
        <v>80</v>
      </c>
      <c r="Q26" s="46">
        <v>0.2</v>
      </c>
      <c r="R26" s="46">
        <v>0</v>
      </c>
      <c r="S26" s="46">
        <v>0.8</v>
      </c>
    </row>
    <row r="27" spans="1:19" ht="15" x14ac:dyDescent="0.25">
      <c r="A27" s="14" t="s">
        <v>147</v>
      </c>
      <c r="B27" s="14" t="s">
        <v>930</v>
      </c>
      <c r="C27" s="14" t="s">
        <v>104</v>
      </c>
      <c r="D27" s="14"/>
      <c r="E27" s="14"/>
      <c r="F27" s="14"/>
      <c r="G27" s="14">
        <v>1</v>
      </c>
      <c r="H27" s="14"/>
      <c r="I27" s="14"/>
      <c r="J27" s="14">
        <v>1</v>
      </c>
      <c r="K27" s="14" t="s">
        <v>45</v>
      </c>
      <c r="L27" s="46" t="s">
        <v>30</v>
      </c>
      <c r="M27" s="46" t="s">
        <v>35</v>
      </c>
      <c r="N27" s="46" t="s">
        <v>25</v>
      </c>
      <c r="O27" s="46" t="s">
        <v>25</v>
      </c>
      <c r="P27" s="46">
        <v>80</v>
      </c>
      <c r="Q27" s="46">
        <v>0.2</v>
      </c>
      <c r="R27" s="46">
        <v>0</v>
      </c>
      <c r="S27" s="46">
        <v>0.8</v>
      </c>
    </row>
    <row r="28" spans="1:19" ht="15" x14ac:dyDescent="0.25">
      <c r="A28" s="14" t="s">
        <v>113</v>
      </c>
      <c r="B28" s="14" t="s">
        <v>931</v>
      </c>
      <c r="C28" s="14" t="s">
        <v>104</v>
      </c>
      <c r="D28" s="14"/>
      <c r="E28" s="14"/>
      <c r="F28" s="14">
        <v>1</v>
      </c>
      <c r="G28" s="14"/>
      <c r="H28" s="14"/>
      <c r="I28" s="14"/>
      <c r="J28" s="14">
        <v>1</v>
      </c>
      <c r="K28" s="14" t="s">
        <v>87</v>
      </c>
      <c r="L28" s="46" t="s">
        <v>30</v>
      </c>
      <c r="M28" s="46" t="s">
        <v>34</v>
      </c>
      <c r="N28" s="46" t="s">
        <v>25</v>
      </c>
      <c r="O28" s="46" t="s">
        <v>25</v>
      </c>
      <c r="P28" s="46">
        <v>50</v>
      </c>
      <c r="Q28" s="46">
        <v>0.5</v>
      </c>
      <c r="R28" s="46">
        <v>0</v>
      </c>
      <c r="S28" s="46">
        <v>0.5</v>
      </c>
    </row>
    <row r="29" spans="1:19" ht="15" x14ac:dyDescent="0.25">
      <c r="A29" s="14" t="s">
        <v>165</v>
      </c>
      <c r="B29" s="14" t="s">
        <v>932</v>
      </c>
      <c r="C29" s="14" t="s">
        <v>104</v>
      </c>
      <c r="D29" s="14"/>
      <c r="E29" s="14">
        <v>1</v>
      </c>
      <c r="F29" s="14"/>
      <c r="G29" s="14"/>
      <c r="H29" s="14"/>
      <c r="I29" s="14"/>
      <c r="J29" s="14">
        <v>1</v>
      </c>
      <c r="K29" s="14" t="s">
        <v>45</v>
      </c>
      <c r="L29" s="46" t="s">
        <v>30</v>
      </c>
      <c r="M29" s="46" t="s">
        <v>34</v>
      </c>
      <c r="N29" s="46" t="s">
        <v>25</v>
      </c>
      <c r="O29" s="46" t="s">
        <v>25</v>
      </c>
      <c r="P29" s="46">
        <v>50</v>
      </c>
      <c r="Q29" s="46">
        <v>0.5</v>
      </c>
      <c r="R29" s="46">
        <v>0</v>
      </c>
      <c r="S29" s="46">
        <v>0.5</v>
      </c>
    </row>
    <row r="30" spans="1:19" ht="15" x14ac:dyDescent="0.25">
      <c r="A30" s="14" t="s">
        <v>114</v>
      </c>
      <c r="B30" s="14" t="s">
        <v>933</v>
      </c>
      <c r="C30" s="14" t="s">
        <v>104</v>
      </c>
      <c r="D30" s="14"/>
      <c r="E30" s="14"/>
      <c r="F30" s="14"/>
      <c r="G30" s="14">
        <v>1</v>
      </c>
      <c r="H30" s="14"/>
      <c r="I30" s="14"/>
      <c r="J30" s="14">
        <v>1</v>
      </c>
      <c r="K30" s="14" t="s">
        <v>87</v>
      </c>
      <c r="L30" s="46" t="s">
        <v>30</v>
      </c>
      <c r="M30" s="46" t="s">
        <v>35</v>
      </c>
      <c r="N30" s="46" t="s">
        <v>25</v>
      </c>
      <c r="O30" s="46" t="s">
        <v>25</v>
      </c>
      <c r="P30" s="46">
        <v>80</v>
      </c>
      <c r="Q30" s="46">
        <v>0.2</v>
      </c>
      <c r="R30" s="46">
        <v>0</v>
      </c>
      <c r="S30" s="46">
        <v>0.8</v>
      </c>
    </row>
    <row r="31" spans="1:19" ht="15" x14ac:dyDescent="0.25">
      <c r="A31" s="14" t="s">
        <v>129</v>
      </c>
      <c r="B31" s="14" t="s">
        <v>934</v>
      </c>
      <c r="C31" s="14" t="s">
        <v>104</v>
      </c>
      <c r="D31" s="14"/>
      <c r="E31" s="14">
        <v>1</v>
      </c>
      <c r="F31" s="14"/>
      <c r="G31" s="14"/>
      <c r="H31" s="14"/>
      <c r="I31" s="14"/>
      <c r="J31" s="14">
        <v>1</v>
      </c>
      <c r="K31" s="14" t="s">
        <v>68</v>
      </c>
      <c r="L31" s="46" t="s">
        <v>30</v>
      </c>
      <c r="M31" s="46" t="s">
        <v>34</v>
      </c>
      <c r="N31" s="46" t="s">
        <v>25</v>
      </c>
      <c r="O31" s="46" t="s">
        <v>25</v>
      </c>
      <c r="P31" s="46">
        <v>50</v>
      </c>
      <c r="Q31" s="46">
        <v>0.5</v>
      </c>
      <c r="R31" s="46">
        <v>0</v>
      </c>
      <c r="S31" s="46">
        <v>0.5</v>
      </c>
    </row>
    <row r="32" spans="1:19" ht="15" x14ac:dyDescent="0.25">
      <c r="A32" s="14" t="s">
        <v>154</v>
      </c>
      <c r="B32" s="14" t="s">
        <v>935</v>
      </c>
      <c r="C32" s="14" t="s">
        <v>104</v>
      </c>
      <c r="D32" s="14"/>
      <c r="E32" s="14">
        <v>1</v>
      </c>
      <c r="F32" s="14"/>
      <c r="G32" s="14"/>
      <c r="H32" s="14"/>
      <c r="I32" s="14"/>
      <c r="J32" s="14">
        <v>1</v>
      </c>
      <c r="K32" s="14" t="s">
        <v>52</v>
      </c>
      <c r="L32" s="46" t="s">
        <v>30</v>
      </c>
      <c r="M32" s="46" t="s">
        <v>35</v>
      </c>
      <c r="N32" s="46" t="s">
        <v>25</v>
      </c>
      <c r="O32" s="46" t="s">
        <v>25</v>
      </c>
      <c r="P32" s="46">
        <v>80</v>
      </c>
      <c r="Q32" s="46">
        <v>0.2</v>
      </c>
      <c r="R32" s="46">
        <v>0</v>
      </c>
      <c r="S32" s="46">
        <v>0.8</v>
      </c>
    </row>
    <row r="33" spans="1:19" ht="15" x14ac:dyDescent="0.25">
      <c r="A33" s="14" t="s">
        <v>433</v>
      </c>
      <c r="B33" s="14" t="s">
        <v>936</v>
      </c>
      <c r="C33" s="14" t="s">
        <v>104</v>
      </c>
      <c r="D33" s="14"/>
      <c r="E33" s="14"/>
      <c r="F33" s="14"/>
      <c r="G33" s="14">
        <v>1</v>
      </c>
      <c r="H33" s="14"/>
      <c r="I33" s="14"/>
      <c r="J33" s="14">
        <v>1</v>
      </c>
      <c r="K33" s="14" t="s">
        <v>41</v>
      </c>
      <c r="L33" s="46" t="s">
        <v>30</v>
      </c>
      <c r="M33" s="46" t="s">
        <v>35</v>
      </c>
      <c r="N33" s="46" t="s">
        <v>25</v>
      </c>
      <c r="O33" s="46" t="s">
        <v>25</v>
      </c>
      <c r="P33" s="46">
        <v>80</v>
      </c>
      <c r="Q33" s="46">
        <v>0.2</v>
      </c>
      <c r="R33" s="46">
        <v>0</v>
      </c>
      <c r="S33" s="46">
        <v>0.8</v>
      </c>
    </row>
    <row r="34" spans="1:19" ht="15" x14ac:dyDescent="0.25">
      <c r="A34" s="14" t="s">
        <v>937</v>
      </c>
      <c r="B34" s="14" t="s">
        <v>938</v>
      </c>
      <c r="C34" s="14" t="s">
        <v>105</v>
      </c>
      <c r="D34" s="14"/>
      <c r="E34" s="14"/>
      <c r="F34" s="14"/>
      <c r="G34" s="14"/>
      <c r="H34" s="14"/>
      <c r="I34" s="14">
        <v>1</v>
      </c>
      <c r="J34" s="14">
        <v>1</v>
      </c>
      <c r="K34" s="14" t="s">
        <v>45</v>
      </c>
      <c r="L34" s="46" t="s">
        <v>30</v>
      </c>
      <c r="M34" s="46" t="s">
        <v>35</v>
      </c>
      <c r="N34" s="46" t="s">
        <v>25</v>
      </c>
      <c r="O34" s="46" t="s">
        <v>25</v>
      </c>
      <c r="P34" s="46">
        <v>80</v>
      </c>
      <c r="Q34" s="46">
        <v>0.2</v>
      </c>
      <c r="R34" s="46">
        <v>0</v>
      </c>
      <c r="S34" s="46">
        <v>0.8</v>
      </c>
    </row>
    <row r="35" spans="1:19" ht="15" x14ac:dyDescent="0.25">
      <c r="A35" s="14" t="s">
        <v>156</v>
      </c>
      <c r="B35" s="14" t="s">
        <v>939</v>
      </c>
      <c r="C35" s="14" t="s">
        <v>104</v>
      </c>
      <c r="D35" s="14"/>
      <c r="E35" s="14">
        <v>1</v>
      </c>
      <c r="F35" s="14">
        <v>1</v>
      </c>
      <c r="G35" s="14"/>
      <c r="H35" s="14"/>
      <c r="I35" s="14"/>
      <c r="J35" s="14">
        <v>2</v>
      </c>
      <c r="K35" s="14" t="s">
        <v>45</v>
      </c>
      <c r="L35" s="46" t="s">
        <v>30</v>
      </c>
      <c r="M35" s="46" t="s">
        <v>35</v>
      </c>
      <c r="N35" s="46" t="s">
        <v>25</v>
      </c>
      <c r="O35" s="46" t="s">
        <v>25</v>
      </c>
      <c r="P35" s="46">
        <v>80</v>
      </c>
      <c r="Q35" s="46">
        <v>0.4</v>
      </c>
      <c r="R35" s="46">
        <v>0</v>
      </c>
      <c r="S35" s="46">
        <v>1.6</v>
      </c>
    </row>
    <row r="36" spans="1:19" ht="15" x14ac:dyDescent="0.25">
      <c r="A36" s="14" t="s">
        <v>169</v>
      </c>
      <c r="B36" s="14" t="s">
        <v>940</v>
      </c>
      <c r="C36" s="14" t="s">
        <v>104</v>
      </c>
      <c r="D36" s="14"/>
      <c r="E36" s="14"/>
      <c r="F36" s="14"/>
      <c r="G36" s="14"/>
      <c r="H36" s="14"/>
      <c r="I36" s="14">
        <v>1</v>
      </c>
      <c r="J36" s="14">
        <v>1</v>
      </c>
      <c r="K36" s="14" t="s">
        <v>45</v>
      </c>
      <c r="L36" s="46" t="s">
        <v>30</v>
      </c>
      <c r="M36" s="46" t="s">
        <v>35</v>
      </c>
      <c r="N36" s="46" t="s">
        <v>25</v>
      </c>
      <c r="O36" s="46" t="s">
        <v>25</v>
      </c>
      <c r="P36" s="46">
        <v>80</v>
      </c>
      <c r="Q36" s="46">
        <v>0.2</v>
      </c>
      <c r="R36" s="46">
        <v>0</v>
      </c>
      <c r="S36" s="46">
        <v>0.8</v>
      </c>
    </row>
    <row r="37" spans="1:19" ht="15" x14ac:dyDescent="0.25">
      <c r="A37" s="14" t="s">
        <v>128</v>
      </c>
      <c r="B37" s="14" t="s">
        <v>941</v>
      </c>
      <c r="C37" s="14" t="s">
        <v>104</v>
      </c>
      <c r="D37" s="14"/>
      <c r="E37" s="14"/>
      <c r="F37" s="14"/>
      <c r="G37" s="14"/>
      <c r="H37" s="14">
        <v>1</v>
      </c>
      <c r="I37" s="14"/>
      <c r="J37" s="14">
        <v>1</v>
      </c>
      <c r="K37" s="14" t="s">
        <v>87</v>
      </c>
      <c r="L37" s="46" t="s">
        <v>30</v>
      </c>
      <c r="M37" s="46" t="s">
        <v>35</v>
      </c>
      <c r="N37" s="46" t="s">
        <v>25</v>
      </c>
      <c r="O37" s="46" t="s">
        <v>25</v>
      </c>
      <c r="P37" s="46">
        <v>80</v>
      </c>
      <c r="Q37" s="46">
        <v>0.2</v>
      </c>
      <c r="R37" s="46">
        <v>0</v>
      </c>
      <c r="S37" s="46">
        <v>0.8</v>
      </c>
    </row>
    <row r="38" spans="1:19" ht="15" x14ac:dyDescent="0.25">
      <c r="A38" s="14" t="s">
        <v>146</v>
      </c>
      <c r="B38" s="14" t="s">
        <v>942</v>
      </c>
      <c r="C38" s="14" t="s">
        <v>104</v>
      </c>
      <c r="D38" s="14"/>
      <c r="E38" s="14">
        <v>1</v>
      </c>
      <c r="F38" s="14"/>
      <c r="G38" s="14"/>
      <c r="H38" s="14"/>
      <c r="I38" s="14"/>
      <c r="J38" s="14">
        <v>1</v>
      </c>
      <c r="K38" s="14" t="s">
        <v>87</v>
      </c>
      <c r="L38" s="46" t="s">
        <v>30</v>
      </c>
      <c r="M38" s="46" t="s">
        <v>35</v>
      </c>
      <c r="N38" s="46" t="s">
        <v>25</v>
      </c>
      <c r="O38" s="46" t="s">
        <v>25</v>
      </c>
      <c r="P38" s="46">
        <v>80</v>
      </c>
      <c r="Q38" s="46">
        <v>0.2</v>
      </c>
      <c r="R38" s="46">
        <v>0</v>
      </c>
      <c r="S38" s="46">
        <v>0.8</v>
      </c>
    </row>
    <row r="39" spans="1:19" ht="15" x14ac:dyDescent="0.25">
      <c r="A39" s="14" t="s">
        <v>159</v>
      </c>
      <c r="B39" s="14" t="s">
        <v>943</v>
      </c>
      <c r="C39" s="14" t="s">
        <v>104</v>
      </c>
      <c r="D39" s="14"/>
      <c r="E39" s="14"/>
      <c r="F39" s="14"/>
      <c r="G39" s="14">
        <v>1</v>
      </c>
      <c r="H39" s="14"/>
      <c r="I39" s="14"/>
      <c r="J39" s="14">
        <v>1</v>
      </c>
      <c r="K39" s="14" t="s">
        <v>87</v>
      </c>
      <c r="L39" s="46" t="s">
        <v>30</v>
      </c>
      <c r="M39" s="46" t="s">
        <v>35</v>
      </c>
      <c r="N39" s="46" t="s">
        <v>25</v>
      </c>
      <c r="O39" s="46" t="s">
        <v>25</v>
      </c>
      <c r="P39" s="46">
        <v>80</v>
      </c>
      <c r="Q39" s="46">
        <v>0.2</v>
      </c>
      <c r="R39" s="46">
        <v>0</v>
      </c>
      <c r="S39" s="46">
        <v>0.8</v>
      </c>
    </row>
    <row r="40" spans="1:19" ht="15" x14ac:dyDescent="0.25">
      <c r="A40" s="14" t="s">
        <v>110</v>
      </c>
      <c r="B40" s="14" t="s">
        <v>944</v>
      </c>
      <c r="C40" s="14" t="s">
        <v>104</v>
      </c>
      <c r="D40" s="14">
        <v>1</v>
      </c>
      <c r="E40" s="14"/>
      <c r="F40" s="14"/>
      <c r="G40" s="14"/>
      <c r="H40" s="14"/>
      <c r="I40" s="14"/>
      <c r="J40" s="14">
        <v>1</v>
      </c>
      <c r="K40" s="14" t="s">
        <v>68</v>
      </c>
      <c r="L40" s="46" t="s">
        <v>30</v>
      </c>
      <c r="M40" s="46" t="s">
        <v>35</v>
      </c>
      <c r="N40" s="46" t="s">
        <v>25</v>
      </c>
      <c r="O40" s="46" t="s">
        <v>25</v>
      </c>
      <c r="P40" s="46">
        <v>80</v>
      </c>
      <c r="Q40" s="46">
        <v>0.2</v>
      </c>
      <c r="R40" s="46">
        <v>0</v>
      </c>
      <c r="S40" s="46">
        <v>0.8</v>
      </c>
    </row>
    <row r="41" spans="1:19" ht="15" x14ac:dyDescent="0.25">
      <c r="A41" s="14" t="s">
        <v>108</v>
      </c>
      <c r="B41" s="14" t="s">
        <v>945</v>
      </c>
      <c r="C41" s="14" t="s">
        <v>104</v>
      </c>
      <c r="D41" s="14"/>
      <c r="E41" s="14">
        <v>1</v>
      </c>
      <c r="F41" s="14"/>
      <c r="G41" s="14"/>
      <c r="H41" s="14"/>
      <c r="I41" s="14"/>
      <c r="J41" s="14">
        <v>1</v>
      </c>
      <c r="K41" s="14" t="s">
        <v>87</v>
      </c>
      <c r="L41" s="46" t="s">
        <v>30</v>
      </c>
      <c r="M41" s="46" t="s">
        <v>35</v>
      </c>
      <c r="N41" s="46" t="s">
        <v>25</v>
      </c>
      <c r="O41" s="46" t="s">
        <v>25</v>
      </c>
      <c r="P41" s="46">
        <v>80</v>
      </c>
      <c r="Q41" s="46">
        <v>0.2</v>
      </c>
      <c r="R41" s="46">
        <v>0</v>
      </c>
      <c r="S41" s="46">
        <v>0.8</v>
      </c>
    </row>
    <row r="42" spans="1:19" ht="15" x14ac:dyDescent="0.25">
      <c r="A42" s="14" t="s">
        <v>134</v>
      </c>
      <c r="B42" s="14" t="s">
        <v>946</v>
      </c>
      <c r="C42" s="14" t="s">
        <v>104</v>
      </c>
      <c r="D42" s="14"/>
      <c r="E42" s="14"/>
      <c r="F42" s="14">
        <v>1</v>
      </c>
      <c r="G42" s="14"/>
      <c r="H42" s="14"/>
      <c r="I42" s="14"/>
      <c r="J42" s="14">
        <v>1</v>
      </c>
      <c r="K42" s="14" t="s">
        <v>68</v>
      </c>
      <c r="L42" s="46" t="s">
        <v>30</v>
      </c>
      <c r="M42" s="46" t="s">
        <v>34</v>
      </c>
      <c r="N42" s="46" t="s">
        <v>25</v>
      </c>
      <c r="O42" s="46" t="s">
        <v>25</v>
      </c>
      <c r="P42" s="46">
        <v>50</v>
      </c>
      <c r="Q42" s="46">
        <v>0.5</v>
      </c>
      <c r="R42" s="46">
        <v>0</v>
      </c>
      <c r="S42" s="46">
        <v>0.5</v>
      </c>
    </row>
    <row r="43" spans="1:19" ht="15" x14ac:dyDescent="0.25">
      <c r="A43" s="17" t="s">
        <v>510</v>
      </c>
      <c r="B43" s="17" t="s">
        <v>947</v>
      </c>
      <c r="C43" s="18" t="s">
        <v>104</v>
      </c>
      <c r="D43" s="17"/>
      <c r="E43" s="17"/>
      <c r="F43" s="17">
        <v>1</v>
      </c>
      <c r="G43" s="17"/>
      <c r="H43" s="17"/>
      <c r="I43" s="17"/>
      <c r="J43" s="14">
        <v>1</v>
      </c>
      <c r="K43" s="14" t="s">
        <v>52</v>
      </c>
      <c r="L43" s="46" t="s">
        <v>30</v>
      </c>
      <c r="M43" s="46" t="s">
        <v>34</v>
      </c>
      <c r="N43" s="46" t="s">
        <v>25</v>
      </c>
      <c r="O43" s="46" t="s">
        <v>25</v>
      </c>
      <c r="P43" s="46">
        <v>50</v>
      </c>
      <c r="Q43" s="46">
        <v>0.5</v>
      </c>
      <c r="R43" s="46">
        <v>0</v>
      </c>
      <c r="S43" s="46">
        <v>0.5</v>
      </c>
    </row>
    <row r="44" spans="1:19" ht="15" x14ac:dyDescent="0.25">
      <c r="A44" s="14" t="s">
        <v>139</v>
      </c>
      <c r="B44" s="14" t="s">
        <v>948</v>
      </c>
      <c r="C44" s="14" t="s">
        <v>104</v>
      </c>
      <c r="D44" s="14"/>
      <c r="E44" s="14"/>
      <c r="F44" s="14">
        <v>1</v>
      </c>
      <c r="G44" s="14"/>
      <c r="H44" s="14"/>
      <c r="I44" s="14"/>
      <c r="J44" s="14">
        <v>1</v>
      </c>
      <c r="K44" s="14" t="s">
        <v>87</v>
      </c>
      <c r="L44" s="46" t="s">
        <v>30</v>
      </c>
      <c r="M44" s="46" t="s">
        <v>35</v>
      </c>
      <c r="N44" s="46" t="s">
        <v>25</v>
      </c>
      <c r="O44" s="46" t="s">
        <v>25</v>
      </c>
      <c r="P44" s="46">
        <v>80</v>
      </c>
      <c r="Q44" s="46">
        <v>0.2</v>
      </c>
      <c r="R44" s="46">
        <v>0</v>
      </c>
      <c r="S44" s="46">
        <v>0.8</v>
      </c>
    </row>
    <row r="45" spans="1:19" ht="15" x14ac:dyDescent="0.25">
      <c r="A45" s="14" t="s">
        <v>161</v>
      </c>
      <c r="B45" s="14" t="s">
        <v>949</v>
      </c>
      <c r="C45" s="14" t="s">
        <v>508</v>
      </c>
      <c r="D45" s="14"/>
      <c r="E45" s="14"/>
      <c r="F45" s="14"/>
      <c r="G45" s="14"/>
      <c r="H45" s="14"/>
      <c r="I45" s="14">
        <v>1</v>
      </c>
      <c r="J45" s="14">
        <v>1</v>
      </c>
      <c r="K45" s="14" t="s">
        <v>52</v>
      </c>
      <c r="L45" s="46" t="s">
        <v>30</v>
      </c>
      <c r="M45" s="46" t="s">
        <v>35</v>
      </c>
      <c r="N45" s="46" t="s">
        <v>25</v>
      </c>
      <c r="O45" s="46" t="s">
        <v>25</v>
      </c>
      <c r="P45" s="46">
        <v>80</v>
      </c>
      <c r="Q45" s="46">
        <v>0.2</v>
      </c>
      <c r="R45" s="46">
        <v>0</v>
      </c>
      <c r="S45" s="46">
        <v>0.8</v>
      </c>
    </row>
    <row r="46" spans="1:19" ht="15" x14ac:dyDescent="0.25">
      <c r="A46" s="14" t="s">
        <v>160</v>
      </c>
      <c r="B46" s="14" t="s">
        <v>950</v>
      </c>
      <c r="C46" s="14" t="s">
        <v>104</v>
      </c>
      <c r="D46" s="14">
        <v>1</v>
      </c>
      <c r="E46" s="14"/>
      <c r="F46" s="14"/>
      <c r="G46" s="14"/>
      <c r="H46" s="14"/>
      <c r="I46" s="14"/>
      <c r="J46" s="14">
        <v>1</v>
      </c>
      <c r="K46" s="14" t="s">
        <v>68</v>
      </c>
      <c r="L46" s="46" t="s">
        <v>30</v>
      </c>
      <c r="M46" s="46" t="s">
        <v>35</v>
      </c>
      <c r="N46" s="46" t="s">
        <v>25</v>
      </c>
      <c r="O46" s="46" t="s">
        <v>25</v>
      </c>
      <c r="P46" s="46">
        <v>80</v>
      </c>
      <c r="Q46" s="46">
        <v>0.2</v>
      </c>
      <c r="R46" s="46">
        <v>0</v>
      </c>
      <c r="S46" s="46">
        <v>0.8</v>
      </c>
    </row>
    <row r="47" spans="1:19" ht="15" x14ac:dyDescent="0.25">
      <c r="A47" s="14" t="s">
        <v>163</v>
      </c>
      <c r="B47" s="14" t="s">
        <v>951</v>
      </c>
      <c r="C47" s="14" t="s">
        <v>104</v>
      </c>
      <c r="D47" s="14"/>
      <c r="E47" s="14"/>
      <c r="F47" s="14"/>
      <c r="G47" s="14"/>
      <c r="H47" s="14">
        <v>1</v>
      </c>
      <c r="I47" s="14"/>
      <c r="J47" s="14">
        <v>1</v>
      </c>
      <c r="K47" s="14" t="s">
        <v>68</v>
      </c>
      <c r="L47" s="46" t="s">
        <v>30</v>
      </c>
      <c r="M47" s="46" t="s">
        <v>34</v>
      </c>
      <c r="N47" s="46" t="s">
        <v>25</v>
      </c>
      <c r="O47" s="46" t="s">
        <v>25</v>
      </c>
      <c r="P47" s="46">
        <v>50</v>
      </c>
      <c r="Q47" s="46">
        <v>0.5</v>
      </c>
      <c r="R47" s="46">
        <v>0</v>
      </c>
      <c r="S47" s="46">
        <v>0.5</v>
      </c>
    </row>
    <row r="48" spans="1:19" ht="15" x14ac:dyDescent="0.25">
      <c r="A48" s="14" t="s">
        <v>127</v>
      </c>
      <c r="B48" s="14" t="s">
        <v>952</v>
      </c>
      <c r="C48" s="14" t="s">
        <v>104</v>
      </c>
      <c r="D48" s="14"/>
      <c r="E48" s="14"/>
      <c r="F48" s="14"/>
      <c r="G48" s="14">
        <v>1</v>
      </c>
      <c r="H48" s="14"/>
      <c r="I48" s="14"/>
      <c r="J48" s="14">
        <v>1</v>
      </c>
      <c r="K48" s="14" t="s">
        <v>52</v>
      </c>
      <c r="L48" s="46" t="s">
        <v>30</v>
      </c>
      <c r="M48" s="46" t="s">
        <v>35</v>
      </c>
      <c r="N48" s="46" t="s">
        <v>25</v>
      </c>
      <c r="O48" s="46" t="s">
        <v>25</v>
      </c>
      <c r="P48" s="46">
        <v>80</v>
      </c>
      <c r="Q48" s="46">
        <v>0.2</v>
      </c>
      <c r="R48" s="46">
        <v>0</v>
      </c>
      <c r="S48" s="46">
        <v>0.8</v>
      </c>
    </row>
    <row r="49" spans="1:19" ht="15" x14ac:dyDescent="0.25">
      <c r="A49" s="14" t="s">
        <v>115</v>
      </c>
      <c r="B49" s="14" t="s">
        <v>953</v>
      </c>
      <c r="C49" s="14" t="s">
        <v>104</v>
      </c>
      <c r="D49" s="14"/>
      <c r="E49" s="14"/>
      <c r="F49" s="14"/>
      <c r="G49" s="14"/>
      <c r="H49" s="14">
        <v>1</v>
      </c>
      <c r="I49" s="14"/>
      <c r="J49" s="14">
        <v>1</v>
      </c>
      <c r="K49" s="14" t="s">
        <v>52</v>
      </c>
      <c r="L49" s="46" t="s">
        <v>30</v>
      </c>
      <c r="M49" s="46" t="s">
        <v>35</v>
      </c>
      <c r="N49" s="46" t="s">
        <v>25</v>
      </c>
      <c r="O49" s="46" t="s">
        <v>25</v>
      </c>
      <c r="P49" s="46">
        <v>80</v>
      </c>
      <c r="Q49" s="46">
        <v>0.2</v>
      </c>
      <c r="R49" s="46">
        <v>0</v>
      </c>
      <c r="S49" s="46">
        <v>0.8</v>
      </c>
    </row>
    <row r="50" spans="1:19" ht="15" x14ac:dyDescent="0.25">
      <c r="A50" s="14" t="s">
        <v>119</v>
      </c>
      <c r="B50" s="14" t="s">
        <v>954</v>
      </c>
      <c r="C50" s="14" t="s">
        <v>104</v>
      </c>
      <c r="D50" s="14"/>
      <c r="E50" s="14"/>
      <c r="F50" s="14">
        <v>1</v>
      </c>
      <c r="G50" s="14"/>
      <c r="H50" s="14"/>
      <c r="I50" s="14"/>
      <c r="J50" s="14">
        <v>1</v>
      </c>
      <c r="K50" s="14" t="s">
        <v>52</v>
      </c>
      <c r="L50" s="46" t="s">
        <v>30</v>
      </c>
      <c r="M50" s="46" t="s">
        <v>35</v>
      </c>
      <c r="N50" s="46" t="s">
        <v>25</v>
      </c>
      <c r="O50" s="46" t="s">
        <v>25</v>
      </c>
      <c r="P50" s="46">
        <v>80</v>
      </c>
      <c r="Q50" s="46">
        <v>0.2</v>
      </c>
      <c r="R50" s="46">
        <v>0</v>
      </c>
      <c r="S50" s="46">
        <v>0.8</v>
      </c>
    </row>
    <row r="51" spans="1:19" ht="15" x14ac:dyDescent="0.25">
      <c r="A51" s="14" t="s">
        <v>157</v>
      </c>
      <c r="B51" s="14" t="s">
        <v>955</v>
      </c>
      <c r="C51" s="14" t="s">
        <v>104</v>
      </c>
      <c r="D51" s="14"/>
      <c r="E51" s="14">
        <v>1</v>
      </c>
      <c r="F51" s="14"/>
      <c r="G51" s="14"/>
      <c r="H51" s="14"/>
      <c r="I51" s="14"/>
      <c r="J51" s="14">
        <v>1</v>
      </c>
      <c r="K51" s="14" t="s">
        <v>52</v>
      </c>
      <c r="L51" s="46" t="s">
        <v>30</v>
      </c>
      <c r="M51" s="46" t="s">
        <v>35</v>
      </c>
      <c r="N51" s="46" t="s">
        <v>25</v>
      </c>
      <c r="O51" s="46" t="s">
        <v>25</v>
      </c>
      <c r="P51" s="46">
        <v>80</v>
      </c>
      <c r="Q51" s="46">
        <v>0.2</v>
      </c>
      <c r="R51" s="46">
        <v>0</v>
      </c>
      <c r="S51" s="46">
        <v>0.8</v>
      </c>
    </row>
    <row r="52" spans="1:19" ht="15" x14ac:dyDescent="0.25">
      <c r="A52" s="14" t="s">
        <v>141</v>
      </c>
      <c r="B52" s="14" t="s">
        <v>956</v>
      </c>
      <c r="C52" s="14" t="s">
        <v>104</v>
      </c>
      <c r="D52" s="14"/>
      <c r="E52" s="14"/>
      <c r="F52" s="14"/>
      <c r="G52" s="14"/>
      <c r="H52" s="14"/>
      <c r="I52" s="14">
        <v>1</v>
      </c>
      <c r="J52" s="14">
        <v>1</v>
      </c>
      <c r="K52" s="14" t="s">
        <v>52</v>
      </c>
      <c r="L52" s="46" t="s">
        <v>30</v>
      </c>
      <c r="M52" s="46" t="s">
        <v>35</v>
      </c>
      <c r="N52" s="46" t="s">
        <v>25</v>
      </c>
      <c r="O52" s="46" t="s">
        <v>25</v>
      </c>
      <c r="P52" s="46">
        <v>80</v>
      </c>
      <c r="Q52" s="46">
        <v>0.2</v>
      </c>
      <c r="R52" s="46">
        <v>0</v>
      </c>
      <c r="S52" s="46">
        <v>0.8</v>
      </c>
    </row>
    <row r="53" spans="1:19" ht="15" x14ac:dyDescent="0.25">
      <c r="A53" s="14" t="s">
        <v>132</v>
      </c>
      <c r="B53" s="14" t="s">
        <v>957</v>
      </c>
      <c r="C53" s="14" t="s">
        <v>104</v>
      </c>
      <c r="D53" s="14"/>
      <c r="E53" s="14"/>
      <c r="F53" s="14"/>
      <c r="G53" s="14"/>
      <c r="H53" s="14"/>
      <c r="I53" s="14">
        <v>2</v>
      </c>
      <c r="J53" s="14">
        <v>2</v>
      </c>
      <c r="K53" s="14" t="s">
        <v>52</v>
      </c>
      <c r="L53" s="46" t="s">
        <v>30</v>
      </c>
      <c r="M53" s="46" t="s">
        <v>35</v>
      </c>
      <c r="N53" s="46" t="s">
        <v>25</v>
      </c>
      <c r="O53" s="46" t="s">
        <v>25</v>
      </c>
      <c r="P53" s="46">
        <v>80</v>
      </c>
      <c r="Q53" s="46">
        <v>0.4</v>
      </c>
      <c r="R53" s="46">
        <v>0</v>
      </c>
      <c r="S53" s="46">
        <v>1.6</v>
      </c>
    </row>
    <row r="54" spans="1:19" ht="15" x14ac:dyDescent="0.25">
      <c r="A54" s="14" t="s">
        <v>150</v>
      </c>
      <c r="B54" s="14" t="s">
        <v>958</v>
      </c>
      <c r="C54" s="14" t="s">
        <v>104</v>
      </c>
      <c r="D54" s="14"/>
      <c r="E54" s="14"/>
      <c r="F54" s="14"/>
      <c r="G54" s="14">
        <v>1</v>
      </c>
      <c r="H54" s="14"/>
      <c r="I54" s="14"/>
      <c r="J54" s="14">
        <v>1</v>
      </c>
      <c r="K54" s="14" t="s">
        <v>52</v>
      </c>
      <c r="L54" s="46" t="s">
        <v>30</v>
      </c>
      <c r="M54" s="46" t="s">
        <v>35</v>
      </c>
      <c r="N54" s="46" t="s">
        <v>25</v>
      </c>
      <c r="O54" s="46" t="s">
        <v>25</v>
      </c>
      <c r="P54" s="46">
        <v>80</v>
      </c>
      <c r="Q54" s="46">
        <v>0.2</v>
      </c>
      <c r="R54" s="46">
        <v>0</v>
      </c>
      <c r="S54" s="46">
        <v>0.8</v>
      </c>
    </row>
    <row r="55" spans="1:19" ht="15" x14ac:dyDescent="0.25">
      <c r="A55" s="14" t="s">
        <v>162</v>
      </c>
      <c r="B55" s="14" t="s">
        <v>959</v>
      </c>
      <c r="C55" s="14" t="s">
        <v>104</v>
      </c>
      <c r="D55" s="14"/>
      <c r="E55" s="14"/>
      <c r="F55" s="14"/>
      <c r="G55" s="14">
        <v>2</v>
      </c>
      <c r="H55" s="14"/>
      <c r="I55" s="14"/>
      <c r="J55" s="14">
        <v>2</v>
      </c>
      <c r="K55" s="14" t="s">
        <v>45</v>
      </c>
      <c r="L55" s="46" t="s">
        <v>30</v>
      </c>
      <c r="M55" s="46" t="s">
        <v>35</v>
      </c>
      <c r="N55" s="46" t="s">
        <v>25</v>
      </c>
      <c r="O55" s="46" t="s">
        <v>25</v>
      </c>
      <c r="P55" s="46">
        <v>80</v>
      </c>
      <c r="Q55" s="46">
        <v>0.4</v>
      </c>
      <c r="R55" s="46">
        <v>0</v>
      </c>
      <c r="S55" s="46">
        <v>1.6</v>
      </c>
    </row>
    <row r="56" spans="1:19" ht="15" x14ac:dyDescent="0.25">
      <c r="A56" s="14" t="s">
        <v>229</v>
      </c>
      <c r="B56" s="14" t="s">
        <v>960</v>
      </c>
      <c r="C56" s="14" t="s">
        <v>105</v>
      </c>
      <c r="D56" s="14">
        <v>1</v>
      </c>
      <c r="E56" s="14"/>
      <c r="F56" s="14"/>
      <c r="G56" s="14"/>
      <c r="H56" s="14"/>
      <c r="I56" s="14"/>
      <c r="J56" s="14">
        <v>1</v>
      </c>
      <c r="K56" s="14" t="s">
        <v>45</v>
      </c>
      <c r="L56" s="46" t="s">
        <v>30</v>
      </c>
      <c r="M56" s="46" t="s">
        <v>35</v>
      </c>
      <c r="N56" s="46" t="s">
        <v>25</v>
      </c>
      <c r="O56" s="46" t="s">
        <v>25</v>
      </c>
      <c r="P56" s="46">
        <v>80</v>
      </c>
      <c r="Q56" s="46">
        <v>0.2</v>
      </c>
      <c r="R56" s="46">
        <v>0</v>
      </c>
      <c r="S56" s="46">
        <v>0.8</v>
      </c>
    </row>
    <row r="57" spans="1:19" ht="15" x14ac:dyDescent="0.25">
      <c r="A57" s="14" t="s">
        <v>961</v>
      </c>
      <c r="B57" s="14" t="s">
        <v>962</v>
      </c>
      <c r="C57" s="14" t="s">
        <v>105</v>
      </c>
      <c r="D57" s="14"/>
      <c r="E57" s="14"/>
      <c r="F57" s="14"/>
      <c r="G57" s="14"/>
      <c r="H57" s="14"/>
      <c r="I57" s="14">
        <v>1</v>
      </c>
      <c r="J57" s="14">
        <v>1</v>
      </c>
      <c r="K57" s="14" t="s">
        <v>45</v>
      </c>
      <c r="L57" s="46" t="s">
        <v>30</v>
      </c>
      <c r="M57" s="46" t="s">
        <v>34</v>
      </c>
      <c r="N57" s="46" t="s">
        <v>25</v>
      </c>
      <c r="O57" s="46" t="s">
        <v>25</v>
      </c>
      <c r="P57" s="46">
        <v>50</v>
      </c>
      <c r="Q57" s="46">
        <v>0.5</v>
      </c>
      <c r="R57" s="46">
        <v>0</v>
      </c>
      <c r="S57" s="46">
        <v>0.5</v>
      </c>
    </row>
    <row r="58" spans="1:19" ht="15" x14ac:dyDescent="0.25">
      <c r="A58" s="14" t="s">
        <v>963</v>
      </c>
      <c r="B58" s="14" t="s">
        <v>964</v>
      </c>
      <c r="C58" s="14" t="s">
        <v>104</v>
      </c>
      <c r="D58" s="14"/>
      <c r="E58" s="14"/>
      <c r="F58" s="14"/>
      <c r="G58" s="14"/>
      <c r="H58" s="14">
        <v>1</v>
      </c>
      <c r="I58" s="14"/>
      <c r="J58" s="14">
        <v>1</v>
      </c>
      <c r="K58" s="14" t="s">
        <v>87</v>
      </c>
      <c r="L58" s="46" t="s">
        <v>30</v>
      </c>
      <c r="M58" s="46" t="s">
        <v>35</v>
      </c>
      <c r="N58" s="46" t="s">
        <v>25</v>
      </c>
      <c r="O58" s="46" t="s">
        <v>25</v>
      </c>
      <c r="P58" s="46">
        <v>80</v>
      </c>
      <c r="Q58" s="46">
        <v>0.2</v>
      </c>
      <c r="R58" s="46">
        <v>0</v>
      </c>
      <c r="S58" s="46">
        <v>0.8</v>
      </c>
    </row>
    <row r="59" spans="1:19" ht="15" x14ac:dyDescent="0.25">
      <c r="A59" s="17" t="s">
        <v>434</v>
      </c>
      <c r="B59" s="17" t="s">
        <v>965</v>
      </c>
      <c r="C59" s="17" t="s">
        <v>104</v>
      </c>
      <c r="D59" s="17"/>
      <c r="E59" s="17"/>
      <c r="F59" s="17"/>
      <c r="G59" s="17"/>
      <c r="H59" s="17">
        <v>2</v>
      </c>
      <c r="I59" s="17"/>
      <c r="J59" s="17">
        <v>2</v>
      </c>
      <c r="K59" s="14" t="s">
        <v>45</v>
      </c>
      <c r="L59" s="46" t="s">
        <v>30</v>
      </c>
      <c r="M59" s="46" t="s">
        <v>35</v>
      </c>
      <c r="N59" s="46" t="s">
        <v>25</v>
      </c>
      <c r="O59" s="46" t="s">
        <v>25</v>
      </c>
      <c r="P59" s="46">
        <v>80</v>
      </c>
      <c r="Q59" s="46">
        <v>0.4</v>
      </c>
      <c r="R59" s="46">
        <v>0</v>
      </c>
      <c r="S59" s="46">
        <v>1.6</v>
      </c>
    </row>
    <row r="60" spans="1:19" ht="15" x14ac:dyDescent="0.25">
      <c r="A60" s="14" t="s">
        <v>225</v>
      </c>
      <c r="B60" s="14" t="s">
        <v>966</v>
      </c>
      <c r="C60" s="14" t="s">
        <v>104</v>
      </c>
      <c r="D60" s="14"/>
      <c r="E60" s="14">
        <v>1</v>
      </c>
      <c r="F60" s="14"/>
      <c r="G60" s="14"/>
      <c r="H60" s="14"/>
      <c r="I60" s="14">
        <v>1</v>
      </c>
      <c r="J60" s="14">
        <v>2</v>
      </c>
      <c r="K60" s="14" t="s">
        <v>52</v>
      </c>
      <c r="L60" s="46" t="s">
        <v>30</v>
      </c>
      <c r="M60" s="46" t="s">
        <v>35</v>
      </c>
      <c r="N60" s="46" t="s">
        <v>25</v>
      </c>
      <c r="O60" s="46" t="s">
        <v>25</v>
      </c>
      <c r="P60" s="46">
        <v>80</v>
      </c>
      <c r="Q60" s="46">
        <v>0.4</v>
      </c>
      <c r="R60" s="46">
        <v>0</v>
      </c>
      <c r="S60" s="46">
        <v>1.6</v>
      </c>
    </row>
    <row r="61" spans="1:19" ht="15" x14ac:dyDescent="0.25">
      <c r="A61" s="14" t="s">
        <v>505</v>
      </c>
      <c r="B61" s="14" t="s">
        <v>967</v>
      </c>
      <c r="C61" s="14" t="s">
        <v>104</v>
      </c>
      <c r="D61" s="14"/>
      <c r="E61" s="14"/>
      <c r="F61" s="14"/>
      <c r="G61" s="14"/>
      <c r="H61" s="14"/>
      <c r="I61" s="14">
        <v>1</v>
      </c>
      <c r="J61" s="14">
        <v>1</v>
      </c>
      <c r="K61" s="14" t="s">
        <v>52</v>
      </c>
      <c r="L61" s="46" t="s">
        <v>30</v>
      </c>
      <c r="M61" s="46" t="s">
        <v>35</v>
      </c>
      <c r="N61" s="46" t="s">
        <v>25</v>
      </c>
      <c r="O61" s="46" t="s">
        <v>25</v>
      </c>
      <c r="P61" s="46">
        <v>80</v>
      </c>
      <c r="Q61" s="46">
        <v>0.2</v>
      </c>
      <c r="R61" s="46">
        <v>0</v>
      </c>
      <c r="S61" s="46">
        <v>0.8</v>
      </c>
    </row>
    <row r="62" spans="1:19" ht="15" x14ac:dyDescent="0.25">
      <c r="A62" s="14" t="s">
        <v>968</v>
      </c>
      <c r="B62" s="14" t="s">
        <v>969</v>
      </c>
      <c r="C62" s="14" t="s">
        <v>104</v>
      </c>
      <c r="D62" s="14"/>
      <c r="E62" s="14"/>
      <c r="F62" s="14"/>
      <c r="G62" s="14">
        <v>1</v>
      </c>
      <c r="H62" s="14"/>
      <c r="I62" s="14"/>
      <c r="J62" s="14">
        <v>1</v>
      </c>
      <c r="K62" s="14" t="s">
        <v>45</v>
      </c>
      <c r="L62" s="46" t="s">
        <v>30</v>
      </c>
      <c r="M62" s="46" t="s">
        <v>35</v>
      </c>
      <c r="N62" s="46" t="s">
        <v>25</v>
      </c>
      <c r="O62" s="46" t="s">
        <v>25</v>
      </c>
      <c r="P62" s="46">
        <v>80</v>
      </c>
      <c r="Q62" s="46">
        <v>0.2</v>
      </c>
      <c r="R62" s="46">
        <v>0</v>
      </c>
      <c r="S62" s="46">
        <v>0.8</v>
      </c>
    </row>
    <row r="63" spans="1:19" ht="15" x14ac:dyDescent="0.25">
      <c r="A63" s="14" t="s">
        <v>230</v>
      </c>
      <c r="B63" s="14" t="s">
        <v>970</v>
      </c>
      <c r="C63" s="14" t="s">
        <v>105</v>
      </c>
      <c r="D63" s="14"/>
      <c r="E63" s="14">
        <v>1</v>
      </c>
      <c r="F63" s="14"/>
      <c r="G63" s="14"/>
      <c r="H63" s="14"/>
      <c r="I63" s="14"/>
      <c r="J63" s="14">
        <v>1</v>
      </c>
      <c r="K63" s="14" t="s">
        <v>87</v>
      </c>
      <c r="L63" s="46" t="s">
        <v>30</v>
      </c>
      <c r="M63" s="46" t="s">
        <v>35</v>
      </c>
      <c r="N63" s="46" t="s">
        <v>25</v>
      </c>
      <c r="O63" s="46" t="s">
        <v>25</v>
      </c>
      <c r="P63" s="46">
        <v>80</v>
      </c>
      <c r="Q63" s="46">
        <v>0.2</v>
      </c>
      <c r="R63" s="46">
        <v>0</v>
      </c>
      <c r="S63" s="46">
        <v>0.8</v>
      </c>
    </row>
    <row r="64" spans="1:19" ht="15" x14ac:dyDescent="0.25">
      <c r="A64" s="14" t="s">
        <v>111</v>
      </c>
      <c r="B64" s="14" t="s">
        <v>971</v>
      </c>
      <c r="C64" s="14" t="s">
        <v>104</v>
      </c>
      <c r="D64" s="14"/>
      <c r="E64" s="14"/>
      <c r="F64" s="14"/>
      <c r="G64" s="14"/>
      <c r="H64" s="14">
        <v>2</v>
      </c>
      <c r="I64" s="14"/>
      <c r="J64" s="14">
        <v>2</v>
      </c>
      <c r="K64" s="14" t="s">
        <v>52</v>
      </c>
      <c r="L64" s="46" t="s">
        <v>30</v>
      </c>
      <c r="M64" s="46" t="s">
        <v>35</v>
      </c>
      <c r="N64" s="46" t="s">
        <v>25</v>
      </c>
      <c r="O64" s="46" t="s">
        <v>25</v>
      </c>
      <c r="P64" s="46">
        <v>80</v>
      </c>
      <c r="Q64" s="46">
        <v>0.4</v>
      </c>
      <c r="R64" s="46">
        <v>0</v>
      </c>
      <c r="S64" s="46">
        <v>1.6</v>
      </c>
    </row>
    <row r="65" spans="1:19" ht="15" x14ac:dyDescent="0.25">
      <c r="A65" s="14" t="s">
        <v>972</v>
      </c>
      <c r="B65" s="14" t="s">
        <v>973</v>
      </c>
      <c r="C65" s="14" t="s">
        <v>105</v>
      </c>
      <c r="D65" s="14"/>
      <c r="E65" s="14"/>
      <c r="F65" s="14"/>
      <c r="G65" s="14"/>
      <c r="H65" s="14">
        <v>1</v>
      </c>
      <c r="I65" s="14"/>
      <c r="J65" s="14">
        <v>1</v>
      </c>
      <c r="K65" s="14" t="s">
        <v>45</v>
      </c>
      <c r="L65" s="46" t="s">
        <v>30</v>
      </c>
      <c r="M65" s="46" t="s">
        <v>35</v>
      </c>
      <c r="N65" s="46" t="s">
        <v>25</v>
      </c>
      <c r="O65" s="46" t="s">
        <v>25</v>
      </c>
      <c r="P65" s="46">
        <v>80</v>
      </c>
      <c r="Q65" s="46">
        <v>0.2</v>
      </c>
      <c r="R65" s="46">
        <v>0</v>
      </c>
      <c r="S65" s="46">
        <v>0.8</v>
      </c>
    </row>
    <row r="66" spans="1:19" ht="15" x14ac:dyDescent="0.25">
      <c r="A66" s="14" t="s">
        <v>148</v>
      </c>
      <c r="B66" s="14" t="s">
        <v>974</v>
      </c>
      <c r="C66" s="14" t="s">
        <v>104</v>
      </c>
      <c r="D66" s="14">
        <v>2</v>
      </c>
      <c r="E66" s="14"/>
      <c r="F66" s="14"/>
      <c r="G66" s="14"/>
      <c r="H66" s="14"/>
      <c r="I66" s="14"/>
      <c r="J66" s="14">
        <v>2</v>
      </c>
      <c r="K66" s="14" t="s">
        <v>45</v>
      </c>
      <c r="L66" s="46" t="s">
        <v>30</v>
      </c>
      <c r="M66" s="46" t="s">
        <v>34</v>
      </c>
      <c r="N66" s="46" t="s">
        <v>25</v>
      </c>
      <c r="O66" s="46" t="s">
        <v>25</v>
      </c>
      <c r="P66" s="46">
        <v>50</v>
      </c>
      <c r="Q66" s="46">
        <v>1</v>
      </c>
      <c r="R66" s="46">
        <v>0</v>
      </c>
      <c r="S66" s="46">
        <v>1</v>
      </c>
    </row>
    <row r="67" spans="1:19" ht="15" x14ac:dyDescent="0.25">
      <c r="A67" s="14" t="s">
        <v>506</v>
      </c>
      <c r="B67" s="14" t="s">
        <v>975</v>
      </c>
      <c r="C67" s="14" t="s">
        <v>105</v>
      </c>
      <c r="D67" s="14"/>
      <c r="E67" s="14"/>
      <c r="F67" s="14">
        <v>1</v>
      </c>
      <c r="G67" s="14"/>
      <c r="H67" s="14"/>
      <c r="I67" s="14"/>
      <c r="J67" s="14">
        <v>1</v>
      </c>
      <c r="K67" s="14" t="s">
        <v>87</v>
      </c>
      <c r="L67" s="46" t="s">
        <v>30</v>
      </c>
      <c r="M67" s="46" t="s">
        <v>35</v>
      </c>
      <c r="N67" s="46" t="s">
        <v>25</v>
      </c>
      <c r="O67" s="46" t="s">
        <v>25</v>
      </c>
      <c r="P67" s="46">
        <v>80</v>
      </c>
      <c r="Q67" s="46">
        <v>0.2</v>
      </c>
      <c r="R67" s="46">
        <v>0</v>
      </c>
      <c r="S67" s="46">
        <v>0.8</v>
      </c>
    </row>
    <row r="68" spans="1:19" ht="15" x14ac:dyDescent="0.25">
      <c r="A68" s="14" t="s">
        <v>435</v>
      </c>
      <c r="B68" s="14" t="s">
        <v>976</v>
      </c>
      <c r="C68" s="14" t="s">
        <v>104</v>
      </c>
      <c r="D68" s="14"/>
      <c r="E68" s="14"/>
      <c r="F68" s="14">
        <v>1</v>
      </c>
      <c r="G68" s="14"/>
      <c r="H68" s="14"/>
      <c r="I68" s="14"/>
      <c r="J68" s="14">
        <v>1</v>
      </c>
      <c r="K68" s="14" t="s">
        <v>45</v>
      </c>
      <c r="L68" s="46" t="s">
        <v>30</v>
      </c>
      <c r="M68" s="46" t="s">
        <v>34</v>
      </c>
      <c r="N68" s="46" t="s">
        <v>25</v>
      </c>
      <c r="O68" s="46" t="s">
        <v>25</v>
      </c>
      <c r="P68" s="46">
        <v>50</v>
      </c>
      <c r="Q68" s="46">
        <v>0.5</v>
      </c>
      <c r="R68" s="46">
        <v>0</v>
      </c>
      <c r="S68" s="46">
        <v>0.5</v>
      </c>
    </row>
    <row r="69" spans="1:19" ht="15" x14ac:dyDescent="0.25">
      <c r="A69" s="14" t="s">
        <v>436</v>
      </c>
      <c r="B69" s="14" t="s">
        <v>977</v>
      </c>
      <c r="C69" s="14" t="s">
        <v>104</v>
      </c>
      <c r="D69" s="14"/>
      <c r="E69" s="14"/>
      <c r="F69" s="14"/>
      <c r="G69" s="14"/>
      <c r="H69" s="14"/>
      <c r="I69" s="14">
        <v>1</v>
      </c>
      <c r="J69" s="14">
        <v>1</v>
      </c>
      <c r="K69" s="14" t="s">
        <v>45</v>
      </c>
      <c r="L69" s="46" t="s">
        <v>30</v>
      </c>
      <c r="M69" s="46" t="s">
        <v>35</v>
      </c>
      <c r="N69" s="46" t="s">
        <v>25</v>
      </c>
      <c r="O69" s="46" t="s">
        <v>25</v>
      </c>
      <c r="P69" s="46">
        <v>80</v>
      </c>
      <c r="Q69" s="46">
        <v>0.2</v>
      </c>
      <c r="R69" s="46">
        <v>0</v>
      </c>
      <c r="S69" s="46">
        <v>0.8</v>
      </c>
    </row>
    <row r="70" spans="1:19" ht="15" x14ac:dyDescent="0.25">
      <c r="A70" s="14" t="s">
        <v>437</v>
      </c>
      <c r="B70" s="14" t="s">
        <v>978</v>
      </c>
      <c r="C70" s="14" t="s">
        <v>104</v>
      </c>
      <c r="D70" s="14">
        <v>1</v>
      </c>
      <c r="E70" s="14"/>
      <c r="F70" s="14">
        <v>1</v>
      </c>
      <c r="G70" s="14"/>
      <c r="H70" s="14"/>
      <c r="I70" s="14"/>
      <c r="J70" s="14">
        <v>2</v>
      </c>
      <c r="K70" s="14" t="s">
        <v>45</v>
      </c>
      <c r="L70" s="46" t="s">
        <v>30</v>
      </c>
      <c r="M70" s="46" t="s">
        <v>34</v>
      </c>
      <c r="N70" s="46" t="s">
        <v>25</v>
      </c>
      <c r="O70" s="46" t="s">
        <v>25</v>
      </c>
      <c r="P70" s="46">
        <v>50</v>
      </c>
      <c r="Q70" s="46">
        <v>1</v>
      </c>
      <c r="R70" s="46">
        <v>0</v>
      </c>
      <c r="S70" s="46">
        <v>1</v>
      </c>
    </row>
    <row r="71" spans="1:19" ht="15" x14ac:dyDescent="0.25">
      <c r="A71" s="14" t="s">
        <v>701</v>
      </c>
      <c r="B71" s="14" t="s">
        <v>979</v>
      </c>
      <c r="C71" s="14" t="s">
        <v>105</v>
      </c>
      <c r="D71" s="14"/>
      <c r="E71" s="14"/>
      <c r="F71" s="14"/>
      <c r="G71" s="14"/>
      <c r="H71" s="14">
        <v>1</v>
      </c>
      <c r="I71" s="14"/>
      <c r="J71" s="14">
        <v>1</v>
      </c>
      <c r="K71" s="14" t="s">
        <v>87</v>
      </c>
      <c r="L71" s="46" t="s">
        <v>30</v>
      </c>
      <c r="M71" s="46" t="s">
        <v>35</v>
      </c>
      <c r="N71" s="46" t="s">
        <v>25</v>
      </c>
      <c r="O71" s="46" t="s">
        <v>25</v>
      </c>
      <c r="P71" s="46">
        <v>80</v>
      </c>
      <c r="Q71" s="46">
        <v>0.2</v>
      </c>
      <c r="R71" s="46">
        <v>0</v>
      </c>
      <c r="S71" s="46">
        <v>0.8</v>
      </c>
    </row>
    <row r="72" spans="1:19" ht="15" x14ac:dyDescent="0.25">
      <c r="A72" s="14" t="s">
        <v>121</v>
      </c>
      <c r="B72" s="14" t="s">
        <v>980</v>
      </c>
      <c r="C72" s="14" t="s">
        <v>104</v>
      </c>
      <c r="D72" s="14"/>
      <c r="E72" s="14"/>
      <c r="F72" s="14">
        <v>1</v>
      </c>
      <c r="G72" s="14"/>
      <c r="H72" s="14"/>
      <c r="I72" s="14"/>
      <c r="J72" s="14">
        <v>1</v>
      </c>
      <c r="K72" s="14" t="s">
        <v>52</v>
      </c>
      <c r="L72" s="46" t="s">
        <v>30</v>
      </c>
      <c r="M72" s="46" t="s">
        <v>35</v>
      </c>
      <c r="N72" s="46" t="s">
        <v>25</v>
      </c>
      <c r="O72" s="46" t="s">
        <v>25</v>
      </c>
      <c r="P72" s="46">
        <v>80</v>
      </c>
      <c r="Q72" s="46">
        <v>0.2</v>
      </c>
      <c r="R72" s="46">
        <v>0</v>
      </c>
      <c r="S72" s="46">
        <v>0.8</v>
      </c>
    </row>
    <row r="73" spans="1:19" ht="15" x14ac:dyDescent="0.25">
      <c r="A73" s="14" t="s">
        <v>123</v>
      </c>
      <c r="B73" s="14" t="s">
        <v>981</v>
      </c>
      <c r="C73" s="14" t="s">
        <v>104</v>
      </c>
      <c r="D73" s="14"/>
      <c r="E73" s="14">
        <v>1</v>
      </c>
      <c r="F73" s="14"/>
      <c r="G73" s="14"/>
      <c r="H73" s="14"/>
      <c r="I73" s="14"/>
      <c r="J73" s="14">
        <v>1</v>
      </c>
      <c r="K73" s="14" t="s">
        <v>52</v>
      </c>
      <c r="L73" s="46" t="s">
        <v>30</v>
      </c>
      <c r="M73" s="46" t="s">
        <v>35</v>
      </c>
      <c r="N73" s="46" t="s">
        <v>25</v>
      </c>
      <c r="O73" s="46" t="s">
        <v>25</v>
      </c>
      <c r="P73" s="46">
        <v>80</v>
      </c>
      <c r="Q73" s="46">
        <v>0.2</v>
      </c>
      <c r="R73" s="46">
        <v>0</v>
      </c>
      <c r="S73" s="46">
        <v>0.8</v>
      </c>
    </row>
    <row r="74" spans="1:19" ht="15" x14ac:dyDescent="0.25">
      <c r="A74" s="14" t="s">
        <v>507</v>
      </c>
      <c r="B74" s="14" t="s">
        <v>982</v>
      </c>
      <c r="C74" s="14" t="s">
        <v>105</v>
      </c>
      <c r="D74" s="14"/>
      <c r="E74" s="14"/>
      <c r="F74" s="14"/>
      <c r="G74" s="14"/>
      <c r="H74" s="14">
        <v>2</v>
      </c>
      <c r="I74" s="14"/>
      <c r="J74" s="14">
        <v>2</v>
      </c>
      <c r="K74" s="14" t="s">
        <v>87</v>
      </c>
      <c r="L74" s="46" t="s">
        <v>30</v>
      </c>
      <c r="M74" s="46" t="s">
        <v>35</v>
      </c>
      <c r="N74" s="46" t="s">
        <v>25</v>
      </c>
      <c r="O74" s="46" t="s">
        <v>25</v>
      </c>
      <c r="P74" s="46">
        <v>80</v>
      </c>
      <c r="Q74" s="46">
        <v>0.4</v>
      </c>
      <c r="R74" s="46">
        <v>0</v>
      </c>
      <c r="S74" s="46">
        <v>1.6</v>
      </c>
    </row>
    <row r="75" spans="1:19" ht="15" x14ac:dyDescent="0.25">
      <c r="A75" s="14" t="s">
        <v>109</v>
      </c>
      <c r="B75" s="14" t="s">
        <v>983</v>
      </c>
      <c r="C75" s="14" t="s">
        <v>104</v>
      </c>
      <c r="D75" s="14"/>
      <c r="E75" s="14"/>
      <c r="F75" s="14">
        <v>1</v>
      </c>
      <c r="G75" s="14"/>
      <c r="H75" s="14"/>
      <c r="I75" s="36"/>
      <c r="J75" s="36">
        <v>1</v>
      </c>
      <c r="K75" s="14" t="s">
        <v>52</v>
      </c>
      <c r="L75" s="46" t="s">
        <v>30</v>
      </c>
      <c r="M75" s="46" t="s">
        <v>34</v>
      </c>
      <c r="N75" s="46" t="s">
        <v>25</v>
      </c>
      <c r="O75" s="46" t="s">
        <v>25</v>
      </c>
      <c r="P75" s="46">
        <v>50</v>
      </c>
      <c r="Q75" s="46">
        <v>0.5</v>
      </c>
      <c r="R75" s="46">
        <v>0</v>
      </c>
      <c r="S75" s="46">
        <v>0.5</v>
      </c>
    </row>
    <row r="76" spans="1:19" ht="15" x14ac:dyDescent="0.25">
      <c r="A76" s="14" t="s">
        <v>224</v>
      </c>
      <c r="B76" s="14" t="s">
        <v>984</v>
      </c>
      <c r="C76" s="14" t="s">
        <v>104</v>
      </c>
      <c r="D76" s="14"/>
      <c r="E76" s="14"/>
      <c r="F76" s="14">
        <v>1</v>
      </c>
      <c r="G76" s="14"/>
      <c r="H76" s="14"/>
      <c r="I76" s="14"/>
      <c r="J76" s="14">
        <v>1</v>
      </c>
      <c r="K76" s="14" t="s">
        <v>45</v>
      </c>
      <c r="L76" s="46" t="s">
        <v>30</v>
      </c>
      <c r="M76" s="46" t="s">
        <v>35</v>
      </c>
      <c r="N76" s="46" t="s">
        <v>25</v>
      </c>
      <c r="O76" s="46" t="s">
        <v>25</v>
      </c>
      <c r="P76" s="46">
        <v>80</v>
      </c>
      <c r="Q76" s="46">
        <v>0.2</v>
      </c>
      <c r="R76" s="46">
        <v>0</v>
      </c>
      <c r="S76" s="46">
        <v>0.8</v>
      </c>
    </row>
    <row r="77" spans="1:19" ht="15" x14ac:dyDescent="0.25">
      <c r="A77" s="14" t="s">
        <v>112</v>
      </c>
      <c r="B77" s="14" t="s">
        <v>985</v>
      </c>
      <c r="C77" s="14" t="s">
        <v>104</v>
      </c>
      <c r="D77" s="14"/>
      <c r="E77" s="14"/>
      <c r="F77" s="14">
        <v>1</v>
      </c>
      <c r="G77" s="14"/>
      <c r="H77" s="14"/>
      <c r="I77" s="14"/>
      <c r="J77" s="14">
        <v>1</v>
      </c>
      <c r="K77" s="14" t="s">
        <v>68</v>
      </c>
      <c r="L77" s="46" t="s">
        <v>30</v>
      </c>
      <c r="M77" s="46" t="s">
        <v>35</v>
      </c>
      <c r="N77" s="46" t="s">
        <v>25</v>
      </c>
      <c r="O77" s="46" t="s">
        <v>25</v>
      </c>
      <c r="P77" s="46">
        <v>80</v>
      </c>
      <c r="Q77" s="46">
        <v>0.2</v>
      </c>
      <c r="R77" s="46">
        <v>0</v>
      </c>
      <c r="S77" s="46">
        <v>0.8</v>
      </c>
    </row>
    <row r="78" spans="1:19" ht="15" x14ac:dyDescent="0.25">
      <c r="A78" s="14" t="s">
        <v>122</v>
      </c>
      <c r="B78" s="14" t="s">
        <v>986</v>
      </c>
      <c r="C78" s="14" t="s">
        <v>104</v>
      </c>
      <c r="D78" s="14"/>
      <c r="E78" s="14"/>
      <c r="F78" s="14"/>
      <c r="G78" s="14"/>
      <c r="H78" s="14"/>
      <c r="I78" s="14">
        <v>1</v>
      </c>
      <c r="J78" s="14">
        <v>1</v>
      </c>
      <c r="K78" s="14" t="s">
        <v>68</v>
      </c>
      <c r="L78" s="46" t="s">
        <v>30</v>
      </c>
      <c r="M78" s="46" t="s">
        <v>34</v>
      </c>
      <c r="N78" s="46" t="s">
        <v>25</v>
      </c>
      <c r="O78" s="46" t="s">
        <v>25</v>
      </c>
      <c r="P78" s="46">
        <v>50</v>
      </c>
      <c r="Q78" s="46">
        <v>0.5</v>
      </c>
      <c r="R78" s="46">
        <v>0</v>
      </c>
      <c r="S78" s="46">
        <v>0.5</v>
      </c>
    </row>
    <row r="79" spans="1:19" ht="15" x14ac:dyDescent="0.25">
      <c r="A79" s="14" t="s">
        <v>231</v>
      </c>
      <c r="B79" s="14" t="s">
        <v>987</v>
      </c>
      <c r="C79" s="14" t="s">
        <v>104</v>
      </c>
      <c r="D79" s="14"/>
      <c r="E79" s="14"/>
      <c r="F79" s="14"/>
      <c r="G79" s="14"/>
      <c r="H79" s="14">
        <v>2</v>
      </c>
      <c r="I79" s="14"/>
      <c r="J79" s="14">
        <v>2</v>
      </c>
      <c r="K79" s="14" t="s">
        <v>45</v>
      </c>
      <c r="L79" s="46" t="s">
        <v>30</v>
      </c>
      <c r="M79" s="46" t="s">
        <v>35</v>
      </c>
      <c r="N79" s="46" t="s">
        <v>25</v>
      </c>
      <c r="O79" s="46" t="s">
        <v>25</v>
      </c>
      <c r="P79" s="46">
        <v>80</v>
      </c>
      <c r="Q79" s="46">
        <v>0.4</v>
      </c>
      <c r="R79" s="46">
        <v>0</v>
      </c>
      <c r="S79" s="46">
        <v>1.6</v>
      </c>
    </row>
    <row r="80" spans="1:19" ht="15" x14ac:dyDescent="0.25">
      <c r="A80" s="14" t="s">
        <v>137</v>
      </c>
      <c r="B80" s="14" t="s">
        <v>988</v>
      </c>
      <c r="C80" s="15" t="s">
        <v>104</v>
      </c>
      <c r="D80" s="14"/>
      <c r="E80" s="14"/>
      <c r="F80" s="14"/>
      <c r="G80" s="14"/>
      <c r="H80" s="14">
        <v>1</v>
      </c>
      <c r="I80" s="14"/>
      <c r="J80" s="14">
        <v>1</v>
      </c>
      <c r="K80" s="14" t="s">
        <v>45</v>
      </c>
      <c r="L80" s="46" t="s">
        <v>30</v>
      </c>
      <c r="M80" s="46" t="s">
        <v>35</v>
      </c>
      <c r="N80" s="46" t="s">
        <v>25</v>
      </c>
      <c r="O80" s="46" t="s">
        <v>25</v>
      </c>
      <c r="P80" s="46">
        <v>80</v>
      </c>
      <c r="Q80" s="46">
        <v>0.2</v>
      </c>
      <c r="R80" s="46">
        <v>0</v>
      </c>
      <c r="S80" s="46">
        <v>0.8</v>
      </c>
    </row>
    <row r="81" spans="1:19" ht="15" x14ac:dyDescent="0.25">
      <c r="A81" s="14" t="s">
        <v>158</v>
      </c>
      <c r="B81" s="14" t="s">
        <v>989</v>
      </c>
      <c r="C81" s="15" t="s">
        <v>104</v>
      </c>
      <c r="D81" s="14"/>
      <c r="E81" s="14"/>
      <c r="F81" s="14">
        <v>1</v>
      </c>
      <c r="G81" s="14"/>
      <c r="H81" s="14"/>
      <c r="I81" s="14"/>
      <c r="J81" s="14">
        <v>1</v>
      </c>
      <c r="K81" s="14" t="s">
        <v>45</v>
      </c>
      <c r="L81" s="46" t="s">
        <v>30</v>
      </c>
      <c r="M81" s="46" t="s">
        <v>35</v>
      </c>
      <c r="N81" s="46" t="s">
        <v>25</v>
      </c>
      <c r="O81" s="46" t="s">
        <v>25</v>
      </c>
      <c r="P81" s="46">
        <v>80</v>
      </c>
      <c r="Q81" s="46">
        <v>0.2</v>
      </c>
      <c r="R81" s="46">
        <v>0</v>
      </c>
      <c r="S81" s="46">
        <v>0.8</v>
      </c>
    </row>
    <row r="82" spans="1:19" ht="15" x14ac:dyDescent="0.25">
      <c r="A82" s="14" t="s">
        <v>149</v>
      </c>
      <c r="B82" s="14" t="s">
        <v>990</v>
      </c>
      <c r="C82" s="15" t="s">
        <v>508</v>
      </c>
      <c r="D82" s="14"/>
      <c r="E82" s="14"/>
      <c r="F82" s="14"/>
      <c r="G82" s="14"/>
      <c r="H82" s="14"/>
      <c r="I82" s="14">
        <v>1</v>
      </c>
      <c r="J82" s="14">
        <v>1</v>
      </c>
      <c r="K82" s="14" t="s">
        <v>68</v>
      </c>
      <c r="L82" s="46" t="s">
        <v>30</v>
      </c>
      <c r="M82" s="46" t="s">
        <v>35</v>
      </c>
      <c r="N82" s="46" t="s">
        <v>25</v>
      </c>
      <c r="O82" s="46" t="s">
        <v>25</v>
      </c>
      <c r="P82" s="46">
        <v>80</v>
      </c>
      <c r="Q82" s="46">
        <v>0.2</v>
      </c>
      <c r="R82" s="46">
        <v>0</v>
      </c>
      <c r="S82" s="46">
        <v>0.8</v>
      </c>
    </row>
    <row r="83" spans="1:19" ht="15" x14ac:dyDescent="0.25">
      <c r="A83" s="14" t="s">
        <v>107</v>
      </c>
      <c r="B83" s="14" t="s">
        <v>991</v>
      </c>
      <c r="C83" s="15" t="s">
        <v>508</v>
      </c>
      <c r="D83" s="14"/>
      <c r="E83" s="14"/>
      <c r="F83" s="14"/>
      <c r="G83" s="14"/>
      <c r="H83" s="14"/>
      <c r="I83" s="14">
        <v>1</v>
      </c>
      <c r="J83" s="14">
        <v>1</v>
      </c>
      <c r="K83" s="14" t="s">
        <v>87</v>
      </c>
      <c r="L83" s="46" t="s">
        <v>30</v>
      </c>
      <c r="M83" s="46" t="s">
        <v>35</v>
      </c>
      <c r="N83" s="46" t="s">
        <v>25</v>
      </c>
      <c r="O83" s="46" t="s">
        <v>25</v>
      </c>
      <c r="P83" s="46">
        <v>80</v>
      </c>
      <c r="Q83" s="46">
        <v>0.2</v>
      </c>
      <c r="R83" s="46">
        <v>0</v>
      </c>
      <c r="S83" s="46">
        <v>0.8</v>
      </c>
    </row>
    <row r="84" spans="1:19" ht="15" x14ac:dyDescent="0.25">
      <c r="A84" s="14" t="s">
        <v>155</v>
      </c>
      <c r="B84" s="14" t="s">
        <v>992</v>
      </c>
      <c r="C84" s="15" t="s">
        <v>104</v>
      </c>
      <c r="D84" s="14"/>
      <c r="E84" s="14">
        <v>1</v>
      </c>
      <c r="F84" s="14"/>
      <c r="G84" s="14"/>
      <c r="H84" s="14"/>
      <c r="I84" s="14"/>
      <c r="J84" s="14">
        <v>1</v>
      </c>
      <c r="K84" s="14" t="s">
        <v>87</v>
      </c>
      <c r="L84" s="46" t="s">
        <v>30</v>
      </c>
      <c r="M84" s="46" t="s">
        <v>35</v>
      </c>
      <c r="N84" s="46" t="s">
        <v>25</v>
      </c>
      <c r="O84" s="46" t="s">
        <v>25</v>
      </c>
      <c r="P84" s="46">
        <v>80</v>
      </c>
      <c r="Q84" s="46">
        <v>0.2</v>
      </c>
      <c r="R84" s="46">
        <v>0</v>
      </c>
      <c r="S84" s="46">
        <v>0.8</v>
      </c>
    </row>
    <row r="85" spans="1:19" ht="15" x14ac:dyDescent="0.25">
      <c r="A85" s="14" t="s">
        <v>135</v>
      </c>
      <c r="B85" s="14" t="s">
        <v>993</v>
      </c>
      <c r="C85" s="15" t="s">
        <v>104</v>
      </c>
      <c r="D85" s="14"/>
      <c r="E85" s="14"/>
      <c r="F85" s="14"/>
      <c r="G85" s="14">
        <v>1</v>
      </c>
      <c r="H85" s="14">
        <v>1</v>
      </c>
      <c r="I85" s="14"/>
      <c r="J85" s="14">
        <v>2</v>
      </c>
      <c r="K85" s="14" t="s">
        <v>87</v>
      </c>
      <c r="L85" s="46" t="s">
        <v>30</v>
      </c>
      <c r="M85" s="46" t="s">
        <v>34</v>
      </c>
      <c r="N85" s="46" t="s">
        <v>25</v>
      </c>
      <c r="O85" s="46" t="s">
        <v>25</v>
      </c>
      <c r="P85" s="46">
        <v>50</v>
      </c>
      <c r="Q85" s="46">
        <v>1</v>
      </c>
      <c r="R85" s="46">
        <v>0</v>
      </c>
      <c r="S85" s="46">
        <v>1</v>
      </c>
    </row>
    <row r="86" spans="1:19" ht="15" x14ac:dyDescent="0.25">
      <c r="A86" s="14" t="s">
        <v>144</v>
      </c>
      <c r="B86" s="14" t="s">
        <v>994</v>
      </c>
      <c r="C86" s="15" t="s">
        <v>508</v>
      </c>
      <c r="D86" s="14"/>
      <c r="E86" s="14"/>
      <c r="F86" s="14"/>
      <c r="G86" s="14"/>
      <c r="H86" s="14"/>
      <c r="I86" s="14">
        <v>1</v>
      </c>
      <c r="J86" s="14">
        <v>1</v>
      </c>
      <c r="K86" s="14" t="s">
        <v>45</v>
      </c>
      <c r="L86" s="46" t="s">
        <v>30</v>
      </c>
      <c r="M86" s="46" t="s">
        <v>35</v>
      </c>
      <c r="N86" s="46" t="s">
        <v>25</v>
      </c>
      <c r="O86" s="46" t="s">
        <v>25</v>
      </c>
      <c r="P86" s="46">
        <v>80</v>
      </c>
      <c r="Q86" s="46">
        <v>0.2</v>
      </c>
      <c r="R86" s="46">
        <v>0</v>
      </c>
      <c r="S86" s="46">
        <v>0.8</v>
      </c>
    </row>
    <row r="87" spans="1:19" ht="15" x14ac:dyDescent="0.25">
      <c r="A87" s="14" t="s">
        <v>106</v>
      </c>
      <c r="B87" s="14" t="s">
        <v>995</v>
      </c>
      <c r="C87" s="15" t="s">
        <v>508</v>
      </c>
      <c r="D87" s="14"/>
      <c r="E87" s="14"/>
      <c r="F87" s="14"/>
      <c r="G87" s="14"/>
      <c r="H87" s="14"/>
      <c r="I87" s="14">
        <v>1</v>
      </c>
      <c r="J87" s="14">
        <v>1</v>
      </c>
      <c r="K87" s="14" t="s">
        <v>87</v>
      </c>
      <c r="L87" s="46" t="s">
        <v>30</v>
      </c>
      <c r="M87" s="46" t="s">
        <v>35</v>
      </c>
      <c r="N87" s="46" t="s">
        <v>25</v>
      </c>
      <c r="O87" s="46" t="s">
        <v>25</v>
      </c>
      <c r="P87" s="46">
        <v>80</v>
      </c>
      <c r="Q87" s="46">
        <v>0.2</v>
      </c>
      <c r="R87" s="46">
        <v>0</v>
      </c>
      <c r="S87" s="46">
        <v>0.8</v>
      </c>
    </row>
    <row r="88" spans="1:19" s="44" customFormat="1" ht="15" x14ac:dyDescent="0.25">
      <c r="A88" s="42" t="s">
        <v>223</v>
      </c>
      <c r="B88" s="42" t="s">
        <v>996</v>
      </c>
      <c r="C88" s="43" t="s">
        <v>104</v>
      </c>
      <c r="D88" s="42">
        <v>2</v>
      </c>
      <c r="E88" s="42"/>
      <c r="F88" s="42"/>
      <c r="G88" s="42"/>
      <c r="H88" s="42"/>
      <c r="I88" s="42"/>
      <c r="J88" s="42">
        <v>2</v>
      </c>
      <c r="K88" s="42" t="s">
        <v>45</v>
      </c>
      <c r="L88" s="46" t="s">
        <v>30</v>
      </c>
      <c r="M88" s="46" t="s">
        <v>35</v>
      </c>
      <c r="N88" s="46" t="s">
        <v>25</v>
      </c>
      <c r="O88" s="46" t="s">
        <v>25</v>
      </c>
      <c r="P88" s="46">
        <v>80</v>
      </c>
      <c r="Q88" s="46">
        <v>0.4</v>
      </c>
      <c r="R88" s="46">
        <v>0</v>
      </c>
      <c r="S88" s="46">
        <v>1.6</v>
      </c>
    </row>
    <row r="89" spans="1:19" ht="15" x14ac:dyDescent="0.25">
      <c r="A89" s="14" t="s">
        <v>702</v>
      </c>
      <c r="B89" s="14" t="s">
        <v>997</v>
      </c>
      <c r="C89" s="15" t="s">
        <v>104</v>
      </c>
      <c r="D89" s="14"/>
      <c r="E89" s="14"/>
      <c r="F89" s="14"/>
      <c r="G89" s="14"/>
      <c r="H89" s="14"/>
      <c r="I89" s="14">
        <v>1</v>
      </c>
      <c r="J89" s="14">
        <v>1</v>
      </c>
      <c r="K89" s="14" t="s">
        <v>87</v>
      </c>
      <c r="L89" s="46" t="s">
        <v>30</v>
      </c>
      <c r="M89" s="46" t="s">
        <v>34</v>
      </c>
      <c r="N89" s="46" t="s">
        <v>25</v>
      </c>
      <c r="O89" s="46" t="s">
        <v>25</v>
      </c>
      <c r="P89" s="46">
        <v>50</v>
      </c>
      <c r="Q89" s="46">
        <v>0.5</v>
      </c>
      <c r="R89" s="46">
        <v>0</v>
      </c>
      <c r="S89" s="46">
        <v>0.5</v>
      </c>
    </row>
    <row r="90" spans="1:19" ht="15" x14ac:dyDescent="0.25">
      <c r="A90" s="14" t="s">
        <v>438</v>
      </c>
      <c r="B90" s="14" t="s">
        <v>998</v>
      </c>
      <c r="C90" s="15" t="s">
        <v>104</v>
      </c>
      <c r="D90" s="14"/>
      <c r="E90" s="14">
        <v>1</v>
      </c>
      <c r="F90" s="14"/>
      <c r="G90" s="14"/>
      <c r="H90" s="14"/>
      <c r="I90" s="14"/>
      <c r="J90" s="14">
        <v>1</v>
      </c>
      <c r="K90" s="14" t="s">
        <v>68</v>
      </c>
      <c r="L90" s="46" t="s">
        <v>30</v>
      </c>
      <c r="M90" s="46" t="s">
        <v>34</v>
      </c>
      <c r="N90" s="46" t="s">
        <v>25</v>
      </c>
      <c r="O90" s="46" t="s">
        <v>25</v>
      </c>
      <c r="P90" s="46">
        <v>50</v>
      </c>
      <c r="Q90" s="46">
        <v>0.5</v>
      </c>
      <c r="R90" s="46">
        <v>0</v>
      </c>
      <c r="S90" s="46">
        <v>0.5</v>
      </c>
    </row>
    <row r="91" spans="1:19" ht="15" x14ac:dyDescent="0.25">
      <c r="A91" s="17" t="s">
        <v>152</v>
      </c>
      <c r="B91" s="17" t="s">
        <v>999</v>
      </c>
      <c r="C91" s="18" t="s">
        <v>104</v>
      </c>
      <c r="D91" s="17"/>
      <c r="E91" s="17"/>
      <c r="F91" s="17"/>
      <c r="G91" s="17"/>
      <c r="H91" s="17">
        <v>1</v>
      </c>
      <c r="I91" s="17"/>
      <c r="J91" s="17">
        <v>1</v>
      </c>
      <c r="K91" s="14" t="s">
        <v>45</v>
      </c>
      <c r="L91" s="45" t="s">
        <v>30</v>
      </c>
      <c r="M91" s="45" t="s">
        <v>35</v>
      </c>
      <c r="N91" s="45" t="s">
        <v>25</v>
      </c>
      <c r="O91" s="45" t="s">
        <v>25</v>
      </c>
      <c r="P91" s="45">
        <v>80</v>
      </c>
      <c r="Q91" s="45">
        <v>0.2</v>
      </c>
      <c r="R91" s="45">
        <v>0</v>
      </c>
      <c r="S91" s="45">
        <v>0.8</v>
      </c>
    </row>
    <row r="92" spans="1:19" ht="15" x14ac:dyDescent="0.25">
      <c r="A92" s="17" t="s">
        <v>222</v>
      </c>
      <c r="B92" s="17" t="s">
        <v>1000</v>
      </c>
      <c r="C92" s="18" t="s">
        <v>104</v>
      </c>
      <c r="D92" s="17"/>
      <c r="E92" s="17"/>
      <c r="F92" s="17">
        <v>1</v>
      </c>
      <c r="G92" s="17"/>
      <c r="H92" s="17"/>
      <c r="I92" s="17">
        <v>1</v>
      </c>
      <c r="J92" s="17">
        <v>2</v>
      </c>
      <c r="K92" s="14" t="s">
        <v>45</v>
      </c>
      <c r="L92" s="45" t="s">
        <v>30</v>
      </c>
      <c r="M92" s="45" t="s">
        <v>34</v>
      </c>
      <c r="N92" s="45" t="s">
        <v>25</v>
      </c>
      <c r="O92" s="45" t="s">
        <v>25</v>
      </c>
      <c r="P92" s="45">
        <v>50</v>
      </c>
      <c r="Q92" s="45">
        <v>1</v>
      </c>
      <c r="R92" s="45">
        <v>0</v>
      </c>
      <c r="S92" s="45">
        <v>1</v>
      </c>
    </row>
    <row r="93" spans="1:19" ht="15" x14ac:dyDescent="0.25">
      <c r="A93" s="17" t="s">
        <v>232</v>
      </c>
      <c r="B93" s="17" t="s">
        <v>1001</v>
      </c>
      <c r="C93" s="18" t="s">
        <v>104</v>
      </c>
      <c r="D93" s="17"/>
      <c r="E93" s="17">
        <v>1</v>
      </c>
      <c r="F93" s="17"/>
      <c r="G93" s="17"/>
      <c r="H93" s="17"/>
      <c r="I93" s="17"/>
      <c r="J93" s="17">
        <v>1</v>
      </c>
      <c r="K93" s="14" t="s">
        <v>52</v>
      </c>
      <c r="L93" s="45" t="s">
        <v>30</v>
      </c>
      <c r="M93" s="45" t="s">
        <v>35</v>
      </c>
      <c r="N93" s="45" t="s">
        <v>25</v>
      </c>
      <c r="O93" s="45" t="s">
        <v>25</v>
      </c>
      <c r="P93" s="45">
        <v>80</v>
      </c>
      <c r="Q93" s="45">
        <v>0.2</v>
      </c>
      <c r="R93" s="45">
        <v>0</v>
      </c>
      <c r="S93" s="45">
        <v>0.8</v>
      </c>
    </row>
    <row r="94" spans="1:19" ht="15" x14ac:dyDescent="0.25">
      <c r="A94" s="17" t="s">
        <v>116</v>
      </c>
      <c r="B94" s="17" t="s">
        <v>1002</v>
      </c>
      <c r="C94" s="18" t="s">
        <v>104</v>
      </c>
      <c r="D94" s="17"/>
      <c r="E94" s="17"/>
      <c r="F94" s="17">
        <v>1</v>
      </c>
      <c r="G94" s="17"/>
      <c r="H94" s="17"/>
      <c r="I94" s="17"/>
      <c r="J94" s="17">
        <v>1</v>
      </c>
      <c r="K94" s="14" t="s">
        <v>87</v>
      </c>
      <c r="L94" s="45" t="s">
        <v>30</v>
      </c>
      <c r="M94" s="45" t="s">
        <v>34</v>
      </c>
      <c r="N94" s="45" t="s">
        <v>25</v>
      </c>
      <c r="O94" s="45" t="s">
        <v>25</v>
      </c>
      <c r="P94" s="45">
        <v>50</v>
      </c>
      <c r="Q94" s="45">
        <v>0.5</v>
      </c>
      <c r="R94" s="45">
        <v>0</v>
      </c>
      <c r="S94" s="45">
        <v>0.5</v>
      </c>
    </row>
    <row r="95" spans="1:19" ht="15" x14ac:dyDescent="0.25">
      <c r="A95" s="14" t="s">
        <v>151</v>
      </c>
      <c r="B95" s="14" t="s">
        <v>1003</v>
      </c>
      <c r="C95" s="15" t="s">
        <v>104</v>
      </c>
      <c r="D95" s="14"/>
      <c r="E95" s="14">
        <v>1</v>
      </c>
      <c r="F95" s="14"/>
      <c r="G95" s="14"/>
      <c r="H95" s="14"/>
      <c r="I95" s="14"/>
      <c r="J95" s="14">
        <v>1</v>
      </c>
      <c r="K95" s="14" t="s">
        <v>87</v>
      </c>
      <c r="L95" s="45" t="s">
        <v>30</v>
      </c>
      <c r="M95" s="45" t="s">
        <v>35</v>
      </c>
      <c r="N95" s="45" t="s">
        <v>25</v>
      </c>
      <c r="O95" s="45" t="s">
        <v>25</v>
      </c>
      <c r="P95" s="45">
        <v>80</v>
      </c>
      <c r="Q95" s="45">
        <v>0.2</v>
      </c>
      <c r="R95" s="45">
        <v>0</v>
      </c>
      <c r="S95" s="45">
        <v>0.8</v>
      </c>
    </row>
    <row r="96" spans="1:19" ht="15" x14ac:dyDescent="0.25">
      <c r="A96" s="14" t="s">
        <v>704</v>
      </c>
      <c r="B96" s="14" t="s">
        <v>1004</v>
      </c>
      <c r="C96" s="14" t="s">
        <v>104</v>
      </c>
      <c r="D96" s="14"/>
      <c r="E96" s="14">
        <v>1</v>
      </c>
      <c r="F96" s="14"/>
      <c r="G96" s="14">
        <v>1</v>
      </c>
      <c r="H96" s="14"/>
      <c r="I96" s="14"/>
      <c r="J96" s="14">
        <v>2</v>
      </c>
      <c r="K96" s="14" t="s">
        <v>590</v>
      </c>
      <c r="L96" s="46" t="s">
        <v>30</v>
      </c>
      <c r="M96" s="46" t="s">
        <v>34</v>
      </c>
      <c r="N96" s="46" t="s">
        <v>25</v>
      </c>
      <c r="O96" s="46" t="s">
        <v>25</v>
      </c>
      <c r="P96" s="46">
        <v>50</v>
      </c>
      <c r="Q96" s="46">
        <v>1</v>
      </c>
      <c r="R96" s="46">
        <v>0</v>
      </c>
      <c r="S96" s="46">
        <v>1</v>
      </c>
    </row>
    <row r="97" spans="1:19" ht="15" x14ac:dyDescent="0.25">
      <c r="A97" s="14" t="s">
        <v>705</v>
      </c>
      <c r="B97" s="14" t="s">
        <v>1005</v>
      </c>
      <c r="C97" s="14" t="s">
        <v>104</v>
      </c>
      <c r="D97" s="14"/>
      <c r="E97" s="14"/>
      <c r="F97" s="14"/>
      <c r="G97" s="14"/>
      <c r="H97" s="14"/>
      <c r="I97" s="14">
        <v>1</v>
      </c>
      <c r="J97" s="14">
        <v>1</v>
      </c>
      <c r="K97" s="14" t="s">
        <v>45</v>
      </c>
      <c r="L97" s="46" t="s">
        <v>30</v>
      </c>
      <c r="M97" s="46" t="s">
        <v>35</v>
      </c>
      <c r="N97" s="46" t="s">
        <v>25</v>
      </c>
      <c r="O97" s="46" t="s">
        <v>25</v>
      </c>
      <c r="P97" s="46">
        <v>80</v>
      </c>
      <c r="Q97" s="46">
        <v>0.2</v>
      </c>
      <c r="R97" s="46">
        <v>0</v>
      </c>
      <c r="S97" s="46">
        <v>0.8</v>
      </c>
    </row>
    <row r="98" spans="1:19" ht="15" x14ac:dyDescent="0.25">
      <c r="A98" s="14" t="s">
        <v>706</v>
      </c>
      <c r="B98" s="14" t="s">
        <v>1006</v>
      </c>
      <c r="C98" s="14" t="s">
        <v>105</v>
      </c>
      <c r="D98" s="14"/>
      <c r="E98" s="14"/>
      <c r="F98" s="14"/>
      <c r="G98" s="14"/>
      <c r="H98" s="14">
        <v>1</v>
      </c>
      <c r="I98" s="14"/>
      <c r="J98" s="14">
        <v>1</v>
      </c>
      <c r="K98" s="14" t="s">
        <v>45</v>
      </c>
      <c r="L98" s="46" t="s">
        <v>30</v>
      </c>
      <c r="M98" s="46" t="s">
        <v>34</v>
      </c>
      <c r="N98" s="46" t="s">
        <v>25</v>
      </c>
      <c r="O98" s="46" t="s">
        <v>25</v>
      </c>
      <c r="P98" s="46">
        <v>50</v>
      </c>
      <c r="Q98" s="46">
        <v>0.5</v>
      </c>
      <c r="R98" s="46">
        <v>0</v>
      </c>
      <c r="S98" s="46">
        <v>0.5</v>
      </c>
    </row>
    <row r="99" spans="1:19" ht="15" x14ac:dyDescent="0.25">
      <c r="A99" s="14" t="s">
        <v>707</v>
      </c>
      <c r="B99" s="14" t="s">
        <v>1007</v>
      </c>
      <c r="C99" s="14" t="s">
        <v>104</v>
      </c>
      <c r="D99" s="14"/>
      <c r="E99" s="14">
        <v>1</v>
      </c>
      <c r="F99" s="14"/>
      <c r="G99" s="14"/>
      <c r="H99" s="14"/>
      <c r="I99" s="14"/>
      <c r="J99" s="14">
        <v>1</v>
      </c>
      <c r="K99" s="14" t="s">
        <v>52</v>
      </c>
      <c r="L99" s="46" t="s">
        <v>30</v>
      </c>
      <c r="M99" s="46" t="s">
        <v>35</v>
      </c>
      <c r="N99" s="46" t="s">
        <v>25</v>
      </c>
      <c r="O99" s="46" t="s">
        <v>25</v>
      </c>
      <c r="P99" s="46">
        <v>80</v>
      </c>
      <c r="Q99" s="46">
        <v>0.2</v>
      </c>
      <c r="R99" s="46">
        <v>0</v>
      </c>
      <c r="S99" s="46">
        <v>0.8</v>
      </c>
    </row>
    <row r="100" spans="1:19" ht="15" x14ac:dyDescent="0.25">
      <c r="A100" s="14" t="s">
        <v>1008</v>
      </c>
      <c r="B100" s="14" t="s">
        <v>1009</v>
      </c>
      <c r="C100" s="14" t="s">
        <v>104</v>
      </c>
      <c r="D100" s="14"/>
      <c r="E100" s="14"/>
      <c r="F100" s="14"/>
      <c r="G100" s="14"/>
      <c r="H100" s="14">
        <v>1</v>
      </c>
      <c r="I100" s="14"/>
      <c r="J100" s="14">
        <v>1</v>
      </c>
      <c r="K100" s="14" t="s">
        <v>52</v>
      </c>
      <c r="L100" s="46" t="s">
        <v>30</v>
      </c>
      <c r="M100" s="46" t="s">
        <v>35</v>
      </c>
      <c r="N100" s="46" t="s">
        <v>25</v>
      </c>
      <c r="O100" s="46" t="s">
        <v>25</v>
      </c>
      <c r="P100" s="46">
        <v>80</v>
      </c>
      <c r="Q100" s="46">
        <v>0.2</v>
      </c>
      <c r="R100" s="46">
        <v>0</v>
      </c>
      <c r="S100" s="46">
        <v>0.8</v>
      </c>
    </row>
    <row r="101" spans="1:19" ht="15" x14ac:dyDescent="0.25">
      <c r="A101" s="14" t="s">
        <v>170</v>
      </c>
      <c r="B101" s="14" t="s">
        <v>694</v>
      </c>
      <c r="C101" s="14" t="s">
        <v>508</v>
      </c>
      <c r="D101" s="14"/>
      <c r="E101" s="14"/>
      <c r="F101" s="14"/>
      <c r="G101" s="14"/>
      <c r="H101" s="14"/>
      <c r="I101" s="14">
        <v>1</v>
      </c>
      <c r="J101" s="14">
        <v>1</v>
      </c>
      <c r="K101" s="14" t="s">
        <v>52</v>
      </c>
      <c r="L101" s="46" t="s">
        <v>47</v>
      </c>
      <c r="M101" s="46" t="s">
        <v>36</v>
      </c>
      <c r="N101" s="46" t="s">
        <v>30</v>
      </c>
      <c r="O101" s="46" t="s">
        <v>35</v>
      </c>
      <c r="P101" s="46">
        <v>70</v>
      </c>
      <c r="Q101" s="46">
        <v>0.1</v>
      </c>
      <c r="R101" s="46">
        <v>0.2</v>
      </c>
      <c r="S101" s="46">
        <v>0.7</v>
      </c>
    </row>
    <row r="102" spans="1:19" ht="15" x14ac:dyDescent="0.25">
      <c r="A102" s="14" t="s">
        <v>1010</v>
      </c>
      <c r="B102" s="14" t="s">
        <v>1011</v>
      </c>
      <c r="C102" s="14" t="s">
        <v>508</v>
      </c>
      <c r="D102" s="14"/>
      <c r="E102" s="14"/>
      <c r="F102" s="14"/>
      <c r="G102" s="14"/>
      <c r="H102" s="14"/>
      <c r="I102" s="14">
        <v>1</v>
      </c>
      <c r="J102" s="14">
        <v>1</v>
      </c>
      <c r="K102" s="14" t="s">
        <v>52</v>
      </c>
      <c r="L102" s="46" t="s">
        <v>47</v>
      </c>
      <c r="M102" s="46" t="s">
        <v>36</v>
      </c>
      <c r="N102" s="46" t="s">
        <v>30</v>
      </c>
      <c r="O102" s="46" t="s">
        <v>35</v>
      </c>
      <c r="P102" s="46">
        <v>70</v>
      </c>
      <c r="Q102" s="46">
        <v>0.1</v>
      </c>
      <c r="R102" s="46">
        <v>0.2</v>
      </c>
      <c r="S102" s="46">
        <v>0.7</v>
      </c>
    </row>
    <row r="103" spans="1:19" ht="15" x14ac:dyDescent="0.25">
      <c r="A103" s="14" t="s">
        <v>439</v>
      </c>
      <c r="B103" s="14" t="s">
        <v>1012</v>
      </c>
      <c r="C103" s="14" t="s">
        <v>104</v>
      </c>
      <c r="D103" s="14"/>
      <c r="E103" s="14"/>
      <c r="F103" s="14">
        <v>1</v>
      </c>
      <c r="G103" s="14"/>
      <c r="H103" s="14"/>
      <c r="I103" s="14"/>
      <c r="J103" s="14">
        <v>1</v>
      </c>
      <c r="K103" s="14" t="s">
        <v>429</v>
      </c>
      <c r="L103" s="46" t="s">
        <v>430</v>
      </c>
      <c r="M103" s="46" t="s">
        <v>1013</v>
      </c>
      <c r="N103" s="46" t="s">
        <v>30</v>
      </c>
      <c r="O103" s="46" t="s">
        <v>36</v>
      </c>
      <c r="P103" s="46">
        <v>60</v>
      </c>
      <c r="Q103" s="46">
        <v>0.3</v>
      </c>
      <c r="R103" s="46">
        <v>0.1</v>
      </c>
      <c r="S103" s="46">
        <v>0.6</v>
      </c>
    </row>
    <row r="104" spans="1:19" ht="15" x14ac:dyDescent="0.25">
      <c r="A104" s="14" t="s">
        <v>136</v>
      </c>
      <c r="B104" s="14" t="s">
        <v>1014</v>
      </c>
      <c r="C104" s="14" t="s">
        <v>104</v>
      </c>
      <c r="D104" s="14"/>
      <c r="E104" s="14"/>
      <c r="F104" s="14"/>
      <c r="G104" s="14">
        <v>1</v>
      </c>
      <c r="H104" s="14"/>
      <c r="I104" s="14"/>
      <c r="J104" s="14">
        <v>1</v>
      </c>
      <c r="K104" s="14" t="s">
        <v>45</v>
      </c>
      <c r="L104" s="46" t="s">
        <v>703</v>
      </c>
      <c r="M104" s="46" t="s">
        <v>36</v>
      </c>
      <c r="N104" s="46" t="s">
        <v>30</v>
      </c>
      <c r="O104" s="46" t="s">
        <v>35</v>
      </c>
      <c r="P104" s="46">
        <v>70</v>
      </c>
      <c r="Q104" s="46">
        <v>0.1</v>
      </c>
      <c r="R104" s="46">
        <v>0.2</v>
      </c>
      <c r="S104" s="46">
        <v>0.7</v>
      </c>
    </row>
    <row r="105" spans="1:19" ht="15" x14ac:dyDescent="0.25">
      <c r="A105" s="25"/>
      <c r="B105" s="25"/>
      <c r="C105" s="26"/>
      <c r="D105" s="25"/>
      <c r="E105" s="25"/>
      <c r="F105" s="25"/>
      <c r="G105" s="25"/>
      <c r="H105" s="25"/>
      <c r="I105" s="25"/>
      <c r="J105" s="25"/>
      <c r="K105" s="25"/>
      <c r="L105" s="25"/>
      <c r="M105" s="25"/>
      <c r="N105" s="25"/>
      <c r="O105" s="25"/>
      <c r="P105" s="25"/>
      <c r="Q105" s="25"/>
      <c r="R105" s="27">
        <f>SUM(R101:R104,Q2:Q100)</f>
        <v>32.949999999999967</v>
      </c>
      <c r="S105" s="25"/>
    </row>
  </sheetData>
  <autoFilter ref="A1:S105" xr:uid="{00000000-0001-0000-0100-000000000000}"/>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4A5C-8715-40BC-B78D-34C40EE3E95F}">
  <dimension ref="A1:D64"/>
  <sheetViews>
    <sheetView topLeftCell="A31" workbookViewId="0">
      <selection activeCell="C59" sqref="C59"/>
    </sheetView>
  </sheetViews>
  <sheetFormatPr baseColWidth="10" defaultRowHeight="15" x14ac:dyDescent="0.25"/>
  <cols>
    <col min="1" max="1" width="16.28515625" customWidth="1"/>
    <col min="2" max="2" width="111.5703125" customWidth="1"/>
    <col min="3" max="3" width="14.85546875" style="30" customWidth="1"/>
    <col min="4" max="4" width="39.85546875" customWidth="1"/>
    <col min="5" max="5" width="47.7109375" customWidth="1"/>
  </cols>
  <sheetData>
    <row r="1" spans="1:4" x14ac:dyDescent="0.25">
      <c r="A1" t="s">
        <v>333</v>
      </c>
      <c r="B1" t="s">
        <v>334</v>
      </c>
      <c r="C1" s="30" t="s">
        <v>440</v>
      </c>
      <c r="D1" t="s">
        <v>801</v>
      </c>
    </row>
    <row r="2" spans="1:4" x14ac:dyDescent="0.25">
      <c r="A2" t="s">
        <v>1</v>
      </c>
      <c r="B2" t="s">
        <v>512</v>
      </c>
      <c r="C2" s="30">
        <v>5563.08</v>
      </c>
    </row>
    <row r="3" spans="1:4" x14ac:dyDescent="0.25">
      <c r="A3" t="s">
        <v>233</v>
      </c>
      <c r="B3" t="s">
        <v>514</v>
      </c>
      <c r="C3" s="30">
        <v>5399.95</v>
      </c>
    </row>
    <row r="4" spans="1:4" x14ac:dyDescent="0.25">
      <c r="A4" t="s">
        <v>335</v>
      </c>
      <c r="B4" t="s">
        <v>515</v>
      </c>
      <c r="C4" s="30">
        <v>350000</v>
      </c>
    </row>
    <row r="5" spans="1:4" x14ac:dyDescent="0.25">
      <c r="A5" t="s">
        <v>335</v>
      </c>
      <c r="B5" t="s">
        <v>516</v>
      </c>
      <c r="C5" s="30">
        <v>10841.25</v>
      </c>
    </row>
    <row r="6" spans="1:4" x14ac:dyDescent="0.25">
      <c r="A6" t="s">
        <v>335</v>
      </c>
      <c r="B6" t="s">
        <v>517</v>
      </c>
      <c r="C6" s="30">
        <v>329625.46000000002</v>
      </c>
    </row>
    <row r="7" spans="1:4" x14ac:dyDescent="0.25">
      <c r="A7" t="s">
        <v>335</v>
      </c>
      <c r="B7" t="s">
        <v>518</v>
      </c>
      <c r="C7" s="30">
        <v>-329625.46000000002</v>
      </c>
    </row>
    <row r="8" spans="1:4" x14ac:dyDescent="0.25">
      <c r="A8" t="s">
        <v>442</v>
      </c>
      <c r="B8" t="s">
        <v>519</v>
      </c>
      <c r="C8" s="30">
        <v>36960</v>
      </c>
    </row>
    <row r="9" spans="1:4" x14ac:dyDescent="0.25">
      <c r="A9" t="s">
        <v>443</v>
      </c>
      <c r="B9" t="s">
        <v>520</v>
      </c>
      <c r="C9" s="30">
        <v>11041.8</v>
      </c>
    </row>
    <row r="10" spans="1:4" x14ac:dyDescent="0.25">
      <c r="A10" t="s">
        <v>444</v>
      </c>
      <c r="B10" t="s">
        <v>521</v>
      </c>
      <c r="C10" s="30">
        <v>4505.6000000000004</v>
      </c>
    </row>
    <row r="11" spans="1:4" x14ac:dyDescent="0.25">
      <c r="A11" t="s">
        <v>444</v>
      </c>
      <c r="B11" t="s">
        <v>522</v>
      </c>
      <c r="C11" s="30">
        <v>6406.4</v>
      </c>
    </row>
    <row r="12" spans="1:4" x14ac:dyDescent="0.25">
      <c r="A12" t="s">
        <v>444</v>
      </c>
      <c r="B12" t="s">
        <v>523</v>
      </c>
      <c r="C12" s="30">
        <v>5667.2</v>
      </c>
    </row>
    <row r="13" spans="1:4" x14ac:dyDescent="0.25">
      <c r="A13" t="s">
        <v>524</v>
      </c>
      <c r="B13" t="s">
        <v>525</v>
      </c>
      <c r="C13" s="30">
        <v>70.400000000000006</v>
      </c>
    </row>
    <row r="14" spans="1:4" x14ac:dyDescent="0.25">
      <c r="A14" t="s">
        <v>445</v>
      </c>
      <c r="B14" t="s">
        <v>526</v>
      </c>
      <c r="C14" s="30">
        <v>176</v>
      </c>
    </row>
    <row r="15" spans="1:4" x14ac:dyDescent="0.25">
      <c r="A15" t="s">
        <v>445</v>
      </c>
      <c r="B15" t="s">
        <v>527</v>
      </c>
      <c r="C15" s="30">
        <v>88</v>
      </c>
    </row>
    <row r="16" spans="1:4" x14ac:dyDescent="0.25">
      <c r="A16" t="s">
        <v>445</v>
      </c>
      <c r="B16" t="s">
        <v>528</v>
      </c>
      <c r="C16" s="30">
        <v>176</v>
      </c>
    </row>
    <row r="17" spans="1:3" x14ac:dyDescent="0.25">
      <c r="A17" t="s">
        <v>445</v>
      </c>
      <c r="B17" t="s">
        <v>529</v>
      </c>
      <c r="C17" s="30">
        <v>176</v>
      </c>
    </row>
    <row r="18" spans="1:3" x14ac:dyDescent="0.25">
      <c r="A18" t="s">
        <v>445</v>
      </c>
      <c r="B18" t="s">
        <v>530</v>
      </c>
      <c r="C18" s="30">
        <v>88</v>
      </c>
    </row>
    <row r="19" spans="1:3" x14ac:dyDescent="0.25">
      <c r="A19" t="s">
        <v>445</v>
      </c>
      <c r="B19" t="s">
        <v>531</v>
      </c>
      <c r="C19" s="30">
        <v>88</v>
      </c>
    </row>
    <row r="20" spans="1:3" x14ac:dyDescent="0.25">
      <c r="A20" t="s">
        <v>532</v>
      </c>
      <c r="B20" t="s">
        <v>533</v>
      </c>
      <c r="C20" s="30">
        <v>2992</v>
      </c>
    </row>
    <row r="21" spans="1:3" x14ac:dyDescent="0.25">
      <c r="A21" t="s">
        <v>532</v>
      </c>
      <c r="B21" t="s">
        <v>534</v>
      </c>
      <c r="C21" s="30">
        <v>3520</v>
      </c>
    </row>
    <row r="22" spans="1:3" x14ac:dyDescent="0.25">
      <c r="A22" t="s">
        <v>532</v>
      </c>
      <c r="B22" t="s">
        <v>535</v>
      </c>
      <c r="C22" s="30">
        <v>7040</v>
      </c>
    </row>
    <row r="23" spans="1:3" x14ac:dyDescent="0.25">
      <c r="A23" t="s">
        <v>532</v>
      </c>
      <c r="B23" t="s">
        <v>536</v>
      </c>
      <c r="C23" s="30">
        <v>7040</v>
      </c>
    </row>
    <row r="24" spans="1:3" x14ac:dyDescent="0.25">
      <c r="A24" t="s">
        <v>537</v>
      </c>
      <c r="B24" t="s">
        <v>538</v>
      </c>
      <c r="C24" s="30">
        <v>3141.6</v>
      </c>
    </row>
    <row r="25" spans="1:3" x14ac:dyDescent="0.25">
      <c r="A25" t="s">
        <v>537</v>
      </c>
      <c r="B25" t="s">
        <v>539</v>
      </c>
      <c r="C25" s="30">
        <v>3141.6</v>
      </c>
    </row>
    <row r="26" spans="1:3" x14ac:dyDescent="0.25">
      <c r="A26" t="s">
        <v>540</v>
      </c>
      <c r="B26" t="s">
        <v>541</v>
      </c>
      <c r="C26" s="30">
        <v>22000</v>
      </c>
    </row>
    <row r="27" spans="1:3" x14ac:dyDescent="0.25">
      <c r="A27" t="s">
        <v>542</v>
      </c>
      <c r="B27" t="s">
        <v>543</v>
      </c>
      <c r="C27" s="30">
        <v>378.4</v>
      </c>
    </row>
    <row r="28" spans="1:3" x14ac:dyDescent="0.25">
      <c r="A28" t="s">
        <v>544</v>
      </c>
      <c r="B28" t="s">
        <v>545</v>
      </c>
      <c r="C28" s="30">
        <v>132</v>
      </c>
    </row>
    <row r="29" spans="1:3" x14ac:dyDescent="0.25">
      <c r="A29" t="s">
        <v>546</v>
      </c>
      <c r="B29" t="s">
        <v>547</v>
      </c>
      <c r="C29" s="30">
        <v>132</v>
      </c>
    </row>
    <row r="30" spans="1:3" x14ac:dyDescent="0.25">
      <c r="A30" t="s">
        <v>548</v>
      </c>
      <c r="B30" t="s">
        <v>549</v>
      </c>
      <c r="C30" s="30">
        <v>5280</v>
      </c>
    </row>
    <row r="31" spans="1:3" x14ac:dyDescent="0.25">
      <c r="A31" t="s">
        <v>548</v>
      </c>
      <c r="B31" t="s">
        <v>550</v>
      </c>
      <c r="C31" s="30">
        <v>4400</v>
      </c>
    </row>
    <row r="32" spans="1:3" x14ac:dyDescent="0.25">
      <c r="A32" t="s">
        <v>551</v>
      </c>
      <c r="B32" t="s">
        <v>552</v>
      </c>
      <c r="C32" s="30">
        <v>660</v>
      </c>
    </row>
    <row r="33" spans="1:4" x14ac:dyDescent="0.25">
      <c r="A33" t="s">
        <v>553</v>
      </c>
      <c r="B33" t="s">
        <v>554</v>
      </c>
      <c r="C33" s="30">
        <v>528</v>
      </c>
    </row>
    <row r="34" spans="1:4" x14ac:dyDescent="0.25">
      <c r="A34" t="s">
        <v>555</v>
      </c>
      <c r="B34" t="s">
        <v>556</v>
      </c>
      <c r="C34" s="30">
        <v>3141.6</v>
      </c>
    </row>
    <row r="35" spans="1:4" x14ac:dyDescent="0.25">
      <c r="A35" t="s">
        <v>555</v>
      </c>
      <c r="B35" t="s">
        <v>557</v>
      </c>
      <c r="C35" s="30">
        <v>3141.6</v>
      </c>
    </row>
    <row r="36" spans="1:4" x14ac:dyDescent="0.25">
      <c r="A36" t="s">
        <v>558</v>
      </c>
      <c r="B36" t="s">
        <v>559</v>
      </c>
      <c r="C36" s="30">
        <v>132</v>
      </c>
    </row>
    <row r="37" spans="1:4" x14ac:dyDescent="0.25">
      <c r="A37" t="s">
        <v>560</v>
      </c>
      <c r="B37" t="s">
        <v>561</v>
      </c>
      <c r="C37" s="30">
        <v>26400</v>
      </c>
    </row>
    <row r="38" spans="1:4" x14ac:dyDescent="0.25">
      <c r="A38" t="s">
        <v>562</v>
      </c>
      <c r="B38" t="s">
        <v>563</v>
      </c>
      <c r="C38" s="30">
        <v>378.4</v>
      </c>
    </row>
    <row r="39" spans="1:4" x14ac:dyDescent="0.25">
      <c r="A39" t="s">
        <v>564</v>
      </c>
      <c r="B39" t="s">
        <v>565</v>
      </c>
      <c r="C39" s="30">
        <v>-450</v>
      </c>
    </row>
    <row r="40" spans="1:4" x14ac:dyDescent="0.25">
      <c r="A40" t="s">
        <v>564</v>
      </c>
      <c r="B40" t="s">
        <v>566</v>
      </c>
      <c r="C40" s="30">
        <v>9000</v>
      </c>
    </row>
    <row r="41" spans="1:4" x14ac:dyDescent="0.25">
      <c r="A41" t="s">
        <v>336</v>
      </c>
      <c r="B41" t="s">
        <v>567</v>
      </c>
      <c r="C41" s="30">
        <v>3948</v>
      </c>
    </row>
    <row r="42" spans="1:4" x14ac:dyDescent="0.25">
      <c r="A42" t="s">
        <v>337</v>
      </c>
      <c r="B42" t="s">
        <v>568</v>
      </c>
      <c r="C42" s="30">
        <v>32805.21</v>
      </c>
    </row>
    <row r="43" spans="1:4" x14ac:dyDescent="0.25">
      <c r="A43" t="s">
        <v>338</v>
      </c>
      <c r="B43" t="s">
        <v>568</v>
      </c>
      <c r="C43" s="30">
        <v>78545.62</v>
      </c>
    </row>
    <row r="44" spans="1:4" ht="60" x14ac:dyDescent="0.25">
      <c r="A44" s="29" t="s">
        <v>339</v>
      </c>
      <c r="B44" s="29" t="s">
        <v>569</v>
      </c>
      <c r="C44" s="31">
        <f>142494.49/2-0.01</f>
        <v>71247.235000000001</v>
      </c>
      <c r="D44" s="19" t="s">
        <v>1144</v>
      </c>
    </row>
    <row r="45" spans="1:4" x14ac:dyDescent="0.25">
      <c r="A45" t="s">
        <v>447</v>
      </c>
      <c r="B45" t="s">
        <v>570</v>
      </c>
      <c r="C45" s="30">
        <v>133720.46</v>
      </c>
    </row>
    <row r="46" spans="1:4" x14ac:dyDescent="0.25">
      <c r="A46" t="s">
        <v>448</v>
      </c>
      <c r="B46" t="s">
        <v>570</v>
      </c>
      <c r="C46" s="30">
        <v>141364.20000000001</v>
      </c>
      <c r="D46" s="28"/>
    </row>
    <row r="47" spans="1:4" x14ac:dyDescent="0.25">
      <c r="A47" t="s">
        <v>450</v>
      </c>
      <c r="B47" t="s">
        <v>571</v>
      </c>
      <c r="C47" s="30">
        <v>150185</v>
      </c>
    </row>
    <row r="48" spans="1:4" x14ac:dyDescent="0.25">
      <c r="A48" t="s">
        <v>451</v>
      </c>
      <c r="B48" t="s">
        <v>572</v>
      </c>
      <c r="C48" s="30">
        <v>30429</v>
      </c>
    </row>
    <row r="49" spans="1:3" x14ac:dyDescent="0.25">
      <c r="A49" t="s">
        <v>573</v>
      </c>
      <c r="B49" t="s">
        <v>574</v>
      </c>
      <c r="C49" s="30">
        <v>9000</v>
      </c>
    </row>
    <row r="50" spans="1:3" x14ac:dyDescent="0.25">
      <c r="A50" t="s">
        <v>575</v>
      </c>
      <c r="B50" t="s">
        <v>576</v>
      </c>
      <c r="C50" s="30">
        <v>9750</v>
      </c>
    </row>
    <row r="51" spans="1:3" x14ac:dyDescent="0.25">
      <c r="A51" t="s">
        <v>577</v>
      </c>
      <c r="B51" t="s">
        <v>578</v>
      </c>
      <c r="C51" s="30">
        <v>18000</v>
      </c>
    </row>
    <row r="52" spans="1:3" x14ac:dyDescent="0.25">
      <c r="A52" t="s">
        <v>579</v>
      </c>
      <c r="B52" t="s">
        <v>580</v>
      </c>
      <c r="C52" s="30">
        <v>27800</v>
      </c>
    </row>
    <row r="53" spans="1:3" x14ac:dyDescent="0.25">
      <c r="A53" t="s">
        <v>581</v>
      </c>
      <c r="B53" t="s">
        <v>582</v>
      </c>
      <c r="C53" s="30">
        <v>60257.72</v>
      </c>
    </row>
    <row r="54" spans="1:3" x14ac:dyDescent="0.25">
      <c r="A54" t="s">
        <v>583</v>
      </c>
      <c r="B54" t="s">
        <v>584</v>
      </c>
      <c r="C54" s="30">
        <v>137764</v>
      </c>
    </row>
    <row r="55" spans="1:3" x14ac:dyDescent="0.25">
      <c r="A55" t="s">
        <v>585</v>
      </c>
      <c r="B55" t="s">
        <v>584</v>
      </c>
      <c r="C55" s="30">
        <v>72922</v>
      </c>
    </row>
    <row r="56" spans="1:3" x14ac:dyDescent="0.25">
      <c r="A56" t="s">
        <v>235</v>
      </c>
      <c r="B56" t="s">
        <v>586</v>
      </c>
      <c r="C56" s="30">
        <v>7875.98</v>
      </c>
    </row>
    <row r="57" spans="1:3" x14ac:dyDescent="0.25">
      <c r="A57" t="s">
        <v>235</v>
      </c>
      <c r="B57" t="s">
        <v>587</v>
      </c>
      <c r="C57" s="30">
        <v>12695.46</v>
      </c>
    </row>
    <row r="58" spans="1:3" x14ac:dyDescent="0.25">
      <c r="A58" t="s">
        <v>588</v>
      </c>
      <c r="B58" t="s">
        <v>589</v>
      </c>
      <c r="C58" s="30">
        <v>133237.5</v>
      </c>
    </row>
    <row r="59" spans="1:3" x14ac:dyDescent="0.25">
      <c r="A59" t="s">
        <v>0</v>
      </c>
      <c r="C59" s="28">
        <f>SUBTOTAL(109,Tabla2[Imp.cob.aplic.])</f>
        <v>1670924.2649999999</v>
      </c>
    </row>
    <row r="64" spans="1:3" x14ac:dyDescent="0.25">
      <c r="C64"/>
    </row>
  </sheetData>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C45E-C6E0-4F8C-8028-4FF9566C66F9}">
  <dimension ref="A1:F68"/>
  <sheetViews>
    <sheetView topLeftCell="A28" workbookViewId="0">
      <selection activeCell="B68" sqref="B68:C68"/>
    </sheetView>
  </sheetViews>
  <sheetFormatPr baseColWidth="10" defaultRowHeight="15" x14ac:dyDescent="0.25"/>
  <cols>
    <col min="1" max="1" width="13.85546875" bestFit="1" customWidth="1"/>
    <col min="2" max="2" width="79.42578125" customWidth="1"/>
    <col min="3" max="3" width="14.28515625" style="30" bestFit="1" customWidth="1"/>
    <col min="5" max="5" width="62.42578125" customWidth="1"/>
    <col min="6" max="6" width="14.28515625" bestFit="1" customWidth="1"/>
  </cols>
  <sheetData>
    <row r="1" spans="1:3" x14ac:dyDescent="0.25">
      <c r="A1" t="s">
        <v>708</v>
      </c>
      <c r="B1" t="s">
        <v>334</v>
      </c>
      <c r="C1" s="30" t="s">
        <v>709</v>
      </c>
    </row>
    <row r="2" spans="1:3" ht="45" x14ac:dyDescent="0.25">
      <c r="A2" t="s">
        <v>335</v>
      </c>
      <c r="B2" s="32" t="s">
        <v>710</v>
      </c>
      <c r="C2" s="30">
        <v>-20374.54</v>
      </c>
    </row>
    <row r="3" spans="1:3" x14ac:dyDescent="0.25">
      <c r="A3" t="s">
        <v>335</v>
      </c>
      <c r="B3" s="32" t="s">
        <v>711</v>
      </c>
      <c r="C3" s="30">
        <v>350000</v>
      </c>
    </row>
    <row r="4" spans="1:3" ht="30" x14ac:dyDescent="0.25">
      <c r="A4" t="s">
        <v>524</v>
      </c>
      <c r="B4" s="32" t="s">
        <v>712</v>
      </c>
      <c r="C4" s="30">
        <v>660</v>
      </c>
    </row>
    <row r="5" spans="1:3" ht="75" x14ac:dyDescent="0.25">
      <c r="A5" t="s">
        <v>524</v>
      </c>
      <c r="B5" s="32" t="s">
        <v>713</v>
      </c>
      <c r="C5" s="30">
        <v>440</v>
      </c>
    </row>
    <row r="6" spans="1:3" x14ac:dyDescent="0.25">
      <c r="A6" t="s">
        <v>445</v>
      </c>
      <c r="B6" s="32" t="s">
        <v>714</v>
      </c>
      <c r="C6" s="30">
        <v>88</v>
      </c>
    </row>
    <row r="7" spans="1:3" x14ac:dyDescent="0.25">
      <c r="A7" t="s">
        <v>445</v>
      </c>
      <c r="B7" s="32" t="s">
        <v>715</v>
      </c>
      <c r="C7" s="30">
        <v>176</v>
      </c>
    </row>
    <row r="8" spans="1:3" x14ac:dyDescent="0.25">
      <c r="A8" t="s">
        <v>445</v>
      </c>
      <c r="B8" s="32" t="s">
        <v>716</v>
      </c>
      <c r="C8" s="30">
        <v>176</v>
      </c>
    </row>
    <row r="9" spans="1:3" x14ac:dyDescent="0.25">
      <c r="A9" t="s">
        <v>445</v>
      </c>
      <c r="B9" s="32" t="s">
        <v>717</v>
      </c>
      <c r="C9" s="30">
        <v>176</v>
      </c>
    </row>
    <row r="10" spans="1:3" ht="75" x14ac:dyDescent="0.25">
      <c r="A10" t="s">
        <v>540</v>
      </c>
      <c r="B10" s="32" t="s">
        <v>718</v>
      </c>
      <c r="C10" s="30">
        <v>22000</v>
      </c>
    </row>
    <row r="11" spans="1:3" ht="60" x14ac:dyDescent="0.25">
      <c r="A11" t="s">
        <v>719</v>
      </c>
      <c r="B11" s="32" t="s">
        <v>720</v>
      </c>
      <c r="C11" s="30">
        <v>3141.6</v>
      </c>
    </row>
    <row r="12" spans="1:3" ht="45" x14ac:dyDescent="0.25">
      <c r="A12" t="s">
        <v>719</v>
      </c>
      <c r="B12" s="32" t="s">
        <v>721</v>
      </c>
      <c r="C12" s="30">
        <v>3141.6</v>
      </c>
    </row>
    <row r="13" spans="1:3" ht="60" x14ac:dyDescent="0.25">
      <c r="A13" t="s">
        <v>722</v>
      </c>
      <c r="B13" s="32" t="s">
        <v>723</v>
      </c>
      <c r="C13" s="30">
        <v>3622.45</v>
      </c>
    </row>
    <row r="14" spans="1:3" ht="45" x14ac:dyDescent="0.25">
      <c r="A14" t="s">
        <v>722</v>
      </c>
      <c r="B14" s="32" t="s">
        <v>724</v>
      </c>
      <c r="C14" s="30">
        <v>6037.42</v>
      </c>
    </row>
    <row r="15" spans="1:3" ht="30" x14ac:dyDescent="0.25">
      <c r="A15" t="s">
        <v>725</v>
      </c>
      <c r="B15" s="32" t="s">
        <v>726</v>
      </c>
      <c r="C15" s="30">
        <v>132</v>
      </c>
    </row>
    <row r="16" spans="1:3" ht="30" x14ac:dyDescent="0.25">
      <c r="A16" t="s">
        <v>727</v>
      </c>
      <c r="B16" s="32" t="s">
        <v>728</v>
      </c>
      <c r="C16" s="30">
        <v>132</v>
      </c>
    </row>
    <row r="17" spans="1:3" ht="30" x14ac:dyDescent="0.25">
      <c r="A17" t="s">
        <v>729</v>
      </c>
      <c r="B17" s="32" t="s">
        <v>730</v>
      </c>
      <c r="C17" s="30">
        <v>7920</v>
      </c>
    </row>
    <row r="18" spans="1:3" ht="30" x14ac:dyDescent="0.25">
      <c r="A18" t="s">
        <v>729</v>
      </c>
      <c r="B18" s="32" t="s">
        <v>731</v>
      </c>
      <c r="C18" s="30">
        <v>7920</v>
      </c>
    </row>
    <row r="19" spans="1:3" ht="30" x14ac:dyDescent="0.25">
      <c r="A19" t="s">
        <v>729</v>
      </c>
      <c r="B19" s="32" t="s">
        <v>732</v>
      </c>
      <c r="C19" s="30">
        <v>10560</v>
      </c>
    </row>
    <row r="20" spans="1:3" ht="30" x14ac:dyDescent="0.25">
      <c r="A20" t="s">
        <v>733</v>
      </c>
      <c r="B20" s="32" t="s">
        <v>734</v>
      </c>
      <c r="C20" s="30">
        <v>3141.6</v>
      </c>
    </row>
    <row r="21" spans="1:3" ht="90" x14ac:dyDescent="0.25">
      <c r="A21" t="s">
        <v>733</v>
      </c>
      <c r="B21" s="32" t="s">
        <v>735</v>
      </c>
      <c r="C21" s="30">
        <v>3141.6</v>
      </c>
    </row>
    <row r="22" spans="1:3" ht="45" x14ac:dyDescent="0.25">
      <c r="A22" t="s">
        <v>736</v>
      </c>
      <c r="B22" s="32" t="s">
        <v>737</v>
      </c>
      <c r="C22" s="30">
        <v>5280</v>
      </c>
    </row>
    <row r="23" spans="1:3" ht="45" x14ac:dyDescent="0.25">
      <c r="A23" t="s">
        <v>736</v>
      </c>
      <c r="B23" s="32" t="s">
        <v>738</v>
      </c>
      <c r="C23" s="30">
        <v>5280</v>
      </c>
    </row>
    <row r="24" spans="1:3" x14ac:dyDescent="0.25">
      <c r="A24" t="s">
        <v>739</v>
      </c>
      <c r="B24" s="32" t="s">
        <v>740</v>
      </c>
      <c r="C24" s="30">
        <v>704</v>
      </c>
    </row>
    <row r="25" spans="1:3" ht="30" x14ac:dyDescent="0.25">
      <c r="A25" t="s">
        <v>741</v>
      </c>
      <c r="B25" s="32" t="s">
        <v>742</v>
      </c>
      <c r="C25" s="30">
        <v>13000</v>
      </c>
    </row>
    <row r="26" spans="1:3" ht="30" x14ac:dyDescent="0.25">
      <c r="A26" t="s">
        <v>743</v>
      </c>
      <c r="B26" s="32" t="s">
        <v>744</v>
      </c>
      <c r="C26" s="30">
        <v>140.80000000000001</v>
      </c>
    </row>
    <row r="27" spans="1:3" ht="30" x14ac:dyDescent="0.25">
      <c r="A27" t="s">
        <v>745</v>
      </c>
      <c r="B27" s="32" t="s">
        <v>746</v>
      </c>
      <c r="C27" s="30">
        <v>140.80000000000001</v>
      </c>
    </row>
    <row r="28" spans="1:3" ht="30" x14ac:dyDescent="0.25">
      <c r="A28" t="s">
        <v>747</v>
      </c>
      <c r="B28" s="32" t="s">
        <v>748</v>
      </c>
      <c r="C28" s="30">
        <v>140.80000000000001</v>
      </c>
    </row>
    <row r="29" spans="1:3" ht="30" x14ac:dyDescent="0.25">
      <c r="A29" t="s">
        <v>511</v>
      </c>
      <c r="B29" s="32" t="s">
        <v>749</v>
      </c>
      <c r="C29" s="30">
        <v>1000</v>
      </c>
    </row>
    <row r="30" spans="1:3" x14ac:dyDescent="0.25">
      <c r="A30" t="s">
        <v>564</v>
      </c>
      <c r="B30" s="32" t="s">
        <v>750</v>
      </c>
      <c r="C30" s="30">
        <v>18000</v>
      </c>
    </row>
    <row r="31" spans="1:3" x14ac:dyDescent="0.25">
      <c r="A31" t="s">
        <v>751</v>
      </c>
      <c r="B31" s="32" t="s">
        <v>752</v>
      </c>
      <c r="C31" s="30">
        <v>28740.27</v>
      </c>
    </row>
    <row r="32" spans="1:3" ht="30" x14ac:dyDescent="0.25">
      <c r="A32" t="s">
        <v>234</v>
      </c>
      <c r="B32" s="32" t="s">
        <v>753</v>
      </c>
      <c r="C32" s="30">
        <v>-247.16</v>
      </c>
    </row>
    <row r="33" spans="1:5" ht="60" customHeight="1" x14ac:dyDescent="0.25">
      <c r="A33" s="29" t="s">
        <v>339</v>
      </c>
      <c r="B33" s="19" t="s">
        <v>754</v>
      </c>
      <c r="C33" s="31">
        <v>71232.240000000005</v>
      </c>
      <c r="E33" s="35" t="s">
        <v>802</v>
      </c>
    </row>
    <row r="34" spans="1:5" ht="45" x14ac:dyDescent="0.25">
      <c r="A34" t="s">
        <v>441</v>
      </c>
      <c r="B34" s="32" t="s">
        <v>755</v>
      </c>
      <c r="C34" s="30">
        <v>-250.16</v>
      </c>
    </row>
    <row r="35" spans="1:5" x14ac:dyDescent="0.25">
      <c r="A35" t="s">
        <v>446</v>
      </c>
      <c r="B35" s="32" t="s">
        <v>756</v>
      </c>
      <c r="C35" s="30">
        <v>-1154.25</v>
      </c>
    </row>
    <row r="36" spans="1:5" ht="45" x14ac:dyDescent="0.25">
      <c r="A36" t="s">
        <v>447</v>
      </c>
      <c r="B36" s="32" t="s">
        <v>757</v>
      </c>
      <c r="C36" s="30">
        <v>140895.28</v>
      </c>
    </row>
    <row r="37" spans="1:5" ht="45" x14ac:dyDescent="0.25">
      <c r="A37" t="s">
        <v>448</v>
      </c>
      <c r="B37" s="32" t="s">
        <v>757</v>
      </c>
      <c r="C37" s="30">
        <v>140977.70000000001</v>
      </c>
    </row>
    <row r="38" spans="1:5" ht="45" x14ac:dyDescent="0.25">
      <c r="A38" t="s">
        <v>449</v>
      </c>
      <c r="B38" s="32" t="s">
        <v>758</v>
      </c>
      <c r="C38" s="30">
        <v>4800</v>
      </c>
    </row>
    <row r="39" spans="1:5" ht="30" x14ac:dyDescent="0.25">
      <c r="A39" t="s">
        <v>573</v>
      </c>
      <c r="B39" s="32" t="s">
        <v>759</v>
      </c>
      <c r="C39" s="30">
        <v>-4112.74</v>
      </c>
    </row>
    <row r="40" spans="1:5" ht="45" x14ac:dyDescent="0.25">
      <c r="A40" t="s">
        <v>575</v>
      </c>
      <c r="B40" s="32" t="s">
        <v>760</v>
      </c>
      <c r="C40" s="30">
        <v>9750</v>
      </c>
    </row>
    <row r="41" spans="1:5" ht="30" x14ac:dyDescent="0.25">
      <c r="A41" t="s">
        <v>575</v>
      </c>
      <c r="B41" s="32" t="s">
        <v>761</v>
      </c>
      <c r="C41" s="30">
        <v>-8373.18</v>
      </c>
    </row>
    <row r="42" spans="1:5" ht="30" x14ac:dyDescent="0.25">
      <c r="A42" t="s">
        <v>577</v>
      </c>
      <c r="B42" s="32" t="s">
        <v>762</v>
      </c>
      <c r="C42" s="30">
        <v>18000</v>
      </c>
    </row>
    <row r="43" spans="1:5" ht="60" x14ac:dyDescent="0.25">
      <c r="A43" t="s">
        <v>579</v>
      </c>
      <c r="B43" s="32" t="s">
        <v>763</v>
      </c>
      <c r="C43" s="30">
        <v>27800</v>
      </c>
    </row>
    <row r="44" spans="1:5" x14ac:dyDescent="0.25">
      <c r="A44" t="s">
        <v>579</v>
      </c>
      <c r="B44" s="32" t="s">
        <v>764</v>
      </c>
      <c r="C44" s="30">
        <v>-6524.17</v>
      </c>
    </row>
    <row r="45" spans="1:5" x14ac:dyDescent="0.25">
      <c r="A45" t="s">
        <v>581</v>
      </c>
      <c r="B45" s="32" t="s">
        <v>582</v>
      </c>
      <c r="C45" s="30">
        <v>60257.72</v>
      </c>
    </row>
    <row r="46" spans="1:5" ht="30" x14ac:dyDescent="0.25">
      <c r="A46" t="s">
        <v>583</v>
      </c>
      <c r="B46" s="32" t="s">
        <v>765</v>
      </c>
      <c r="C46" s="30">
        <v>10664</v>
      </c>
    </row>
    <row r="47" spans="1:5" ht="30" x14ac:dyDescent="0.25">
      <c r="A47" t="s">
        <v>585</v>
      </c>
      <c r="B47" s="32" t="s">
        <v>765</v>
      </c>
      <c r="C47" s="30">
        <v>17372</v>
      </c>
    </row>
    <row r="48" spans="1:5" x14ac:dyDescent="0.25">
      <c r="A48" t="s">
        <v>766</v>
      </c>
      <c r="B48" s="32" t="s">
        <v>767</v>
      </c>
      <c r="C48" s="30">
        <v>34246.18</v>
      </c>
    </row>
    <row r="49" spans="1:3" ht="75" x14ac:dyDescent="0.25">
      <c r="A49" t="s">
        <v>768</v>
      </c>
      <c r="B49" s="32" t="s">
        <v>769</v>
      </c>
      <c r="C49" s="30">
        <v>8000</v>
      </c>
    </row>
    <row r="50" spans="1:3" ht="75" x14ac:dyDescent="0.25">
      <c r="A50" t="s">
        <v>768</v>
      </c>
      <c r="B50" s="32" t="s">
        <v>769</v>
      </c>
      <c r="C50" s="30">
        <v>6000</v>
      </c>
    </row>
    <row r="51" spans="1:3" ht="75" x14ac:dyDescent="0.25">
      <c r="A51" t="s">
        <v>768</v>
      </c>
      <c r="B51" s="32" t="s">
        <v>769</v>
      </c>
      <c r="C51" s="30">
        <v>6000</v>
      </c>
    </row>
    <row r="52" spans="1:3" ht="30" x14ac:dyDescent="0.25">
      <c r="A52" t="s">
        <v>770</v>
      </c>
      <c r="B52" s="32" t="s">
        <v>771</v>
      </c>
      <c r="C52" s="30">
        <v>78734.75</v>
      </c>
    </row>
    <row r="53" spans="1:3" x14ac:dyDescent="0.25">
      <c r="A53" t="s">
        <v>772</v>
      </c>
      <c r="B53" s="32" t="s">
        <v>773</v>
      </c>
      <c r="C53" s="30">
        <v>117500</v>
      </c>
    </row>
    <row r="54" spans="1:3" ht="60" x14ac:dyDescent="0.25">
      <c r="A54" t="s">
        <v>774</v>
      </c>
      <c r="B54" s="32" t="s">
        <v>775</v>
      </c>
      <c r="C54" s="30">
        <v>7850</v>
      </c>
    </row>
    <row r="55" spans="1:3" x14ac:dyDescent="0.25">
      <c r="A55" t="s">
        <v>776</v>
      </c>
      <c r="B55" s="32" t="s">
        <v>777</v>
      </c>
      <c r="C55" s="30">
        <v>18000</v>
      </c>
    </row>
    <row r="56" spans="1:3" x14ac:dyDescent="0.25">
      <c r="A56" t="s">
        <v>778</v>
      </c>
      <c r="B56" s="32" t="s">
        <v>777</v>
      </c>
      <c r="C56" s="30">
        <v>18000</v>
      </c>
    </row>
    <row r="57" spans="1:3" ht="75" x14ac:dyDescent="0.25">
      <c r="A57" t="s">
        <v>779</v>
      </c>
      <c r="B57" s="32" t="s">
        <v>780</v>
      </c>
      <c r="C57" s="30">
        <v>104880</v>
      </c>
    </row>
    <row r="58" spans="1:3" ht="105" x14ac:dyDescent="0.25">
      <c r="A58" t="s">
        <v>779</v>
      </c>
      <c r="B58" s="32" t="s">
        <v>781</v>
      </c>
      <c r="C58" s="30">
        <v>52999.360000000001</v>
      </c>
    </row>
    <row r="59" spans="1:3" ht="105" x14ac:dyDescent="0.25">
      <c r="A59" t="s">
        <v>782</v>
      </c>
      <c r="B59" s="32" t="s">
        <v>781</v>
      </c>
      <c r="C59" s="30">
        <v>59503</v>
      </c>
    </row>
    <row r="60" spans="1:3" ht="30" x14ac:dyDescent="0.25">
      <c r="A60" t="s">
        <v>783</v>
      </c>
      <c r="B60" s="32" t="s">
        <v>784</v>
      </c>
      <c r="C60" s="30">
        <v>210383.81</v>
      </c>
    </row>
    <row r="61" spans="1:3" x14ac:dyDescent="0.25">
      <c r="A61" t="s">
        <v>785</v>
      </c>
      <c r="B61" s="32" t="s">
        <v>786</v>
      </c>
      <c r="C61" s="30">
        <v>9484</v>
      </c>
    </row>
    <row r="62" spans="1:3" x14ac:dyDescent="0.25">
      <c r="A62" t="s">
        <v>588</v>
      </c>
      <c r="B62" s="32" t="s">
        <v>787</v>
      </c>
      <c r="C62" s="30">
        <v>17765</v>
      </c>
    </row>
    <row r="63" spans="1:3" x14ac:dyDescent="0.25">
      <c r="A63" t="s">
        <v>788</v>
      </c>
      <c r="B63" s="32" t="s">
        <v>789</v>
      </c>
      <c r="C63" s="30">
        <v>129043.75</v>
      </c>
    </row>
    <row r="64" spans="1:3" ht="45" x14ac:dyDescent="0.25">
      <c r="A64" t="s">
        <v>790</v>
      </c>
      <c r="B64" s="32" t="s">
        <v>791</v>
      </c>
      <c r="C64" s="30">
        <v>8063</v>
      </c>
    </row>
    <row r="65" spans="1:6" x14ac:dyDescent="0.25">
      <c r="A65" t="s">
        <v>0</v>
      </c>
      <c r="C65" s="28">
        <f>SUBTOTAL(109,Tabla3[Imp. aplic.])</f>
        <v>1842198.53</v>
      </c>
    </row>
    <row r="68" spans="1:6" x14ac:dyDescent="0.25">
      <c r="F68" s="2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0DA2-5E41-4A55-BF2C-AA8BAFCF4304}">
  <dimension ref="A1:C103"/>
  <sheetViews>
    <sheetView tabSelected="1" topLeftCell="A82" workbookViewId="0">
      <selection activeCell="B109" sqref="B109"/>
    </sheetView>
  </sheetViews>
  <sheetFormatPr baseColWidth="10" defaultRowHeight="15" x14ac:dyDescent="0.25"/>
  <cols>
    <col min="1" max="1" width="16" customWidth="1"/>
    <col min="2" max="2" width="53.42578125" customWidth="1"/>
    <col min="3" max="3" width="15.5703125" customWidth="1"/>
  </cols>
  <sheetData>
    <row r="1" spans="1:3" x14ac:dyDescent="0.25">
      <c r="A1" s="47" t="s">
        <v>708</v>
      </c>
      <c r="B1" s="48" t="s">
        <v>334</v>
      </c>
      <c r="C1" s="48" t="s">
        <v>709</v>
      </c>
    </row>
    <row r="2" spans="1:3" x14ac:dyDescent="0.25">
      <c r="A2" s="49" t="s">
        <v>233</v>
      </c>
      <c r="B2" s="50" t="s">
        <v>1015</v>
      </c>
      <c r="C2" s="51">
        <v>3593.89</v>
      </c>
    </row>
    <row r="3" spans="1:3" x14ac:dyDescent="0.25">
      <c r="A3" s="52" t="s">
        <v>1016</v>
      </c>
      <c r="B3" s="53" t="s">
        <v>1017</v>
      </c>
      <c r="C3" s="54">
        <v>533.25</v>
      </c>
    </row>
    <row r="4" spans="1:3" x14ac:dyDescent="0.25">
      <c r="A4" s="49" t="s">
        <v>335</v>
      </c>
      <c r="B4" s="50" t="s">
        <v>1018</v>
      </c>
      <c r="C4" s="51">
        <v>-41979.3</v>
      </c>
    </row>
    <row r="5" spans="1:3" x14ac:dyDescent="0.25">
      <c r="A5" s="52" t="s">
        <v>445</v>
      </c>
      <c r="B5" s="53" t="s">
        <v>1019</v>
      </c>
      <c r="C5" s="54">
        <v>220</v>
      </c>
    </row>
    <row r="6" spans="1:3" x14ac:dyDescent="0.25">
      <c r="A6" s="49" t="s">
        <v>445</v>
      </c>
      <c r="B6" s="50" t="s">
        <v>1020</v>
      </c>
      <c r="C6" s="51">
        <v>176</v>
      </c>
    </row>
    <row r="7" spans="1:3" x14ac:dyDescent="0.25">
      <c r="A7" s="52" t="s">
        <v>445</v>
      </c>
      <c r="B7" s="53" t="s">
        <v>1021</v>
      </c>
      <c r="C7" s="54">
        <v>176</v>
      </c>
    </row>
    <row r="8" spans="1:3" x14ac:dyDescent="0.25">
      <c r="A8" s="49" t="s">
        <v>445</v>
      </c>
      <c r="B8" s="50" t="s">
        <v>1022</v>
      </c>
      <c r="C8" s="51">
        <v>70.400000000000006</v>
      </c>
    </row>
    <row r="9" spans="1:3" x14ac:dyDescent="0.25">
      <c r="A9" s="52" t="s">
        <v>445</v>
      </c>
      <c r="B9" s="53" t="s">
        <v>1023</v>
      </c>
      <c r="C9" s="54">
        <v>70.400000000000006</v>
      </c>
    </row>
    <row r="10" spans="1:3" x14ac:dyDescent="0.25">
      <c r="A10" s="49" t="s">
        <v>540</v>
      </c>
      <c r="B10" s="50" t="s">
        <v>1024</v>
      </c>
      <c r="C10" s="51">
        <v>22000</v>
      </c>
    </row>
    <row r="11" spans="1:3" x14ac:dyDescent="0.25">
      <c r="A11" s="52" t="s">
        <v>722</v>
      </c>
      <c r="B11" s="53" t="s">
        <v>1025</v>
      </c>
      <c r="C11" s="54">
        <v>2414.9699999999998</v>
      </c>
    </row>
    <row r="12" spans="1:3" x14ac:dyDescent="0.25">
      <c r="A12" s="49" t="s">
        <v>1026</v>
      </c>
      <c r="B12" s="50" t="s">
        <v>1027</v>
      </c>
      <c r="C12" s="51">
        <v>3141.6</v>
      </c>
    </row>
    <row r="13" spans="1:3" x14ac:dyDescent="0.25">
      <c r="A13" s="52" t="s">
        <v>1026</v>
      </c>
      <c r="B13" s="53" t="s">
        <v>1028</v>
      </c>
      <c r="C13" s="54">
        <v>3141.6</v>
      </c>
    </row>
    <row r="14" spans="1:3" x14ac:dyDescent="0.25">
      <c r="A14" s="49" t="s">
        <v>1029</v>
      </c>
      <c r="B14" s="50" t="s">
        <v>1030</v>
      </c>
      <c r="C14" s="51">
        <v>2376</v>
      </c>
    </row>
    <row r="15" spans="1:3" x14ac:dyDescent="0.25">
      <c r="A15" s="52" t="s">
        <v>1031</v>
      </c>
      <c r="B15" s="53" t="s">
        <v>1032</v>
      </c>
      <c r="C15" s="54">
        <v>132</v>
      </c>
    </row>
    <row r="16" spans="1:3" x14ac:dyDescent="0.25">
      <c r="A16" s="49" t="s">
        <v>1033</v>
      </c>
      <c r="B16" s="50" t="s">
        <v>1034</v>
      </c>
      <c r="C16" s="51">
        <v>132</v>
      </c>
    </row>
    <row r="17" spans="1:3" x14ac:dyDescent="0.25">
      <c r="A17" s="52" t="s">
        <v>1035</v>
      </c>
      <c r="B17" s="53" t="s">
        <v>1036</v>
      </c>
      <c r="C17" s="54">
        <v>105.6</v>
      </c>
    </row>
    <row r="18" spans="1:3" x14ac:dyDescent="0.25">
      <c r="A18" s="49" t="s">
        <v>1037</v>
      </c>
      <c r="B18" s="50" t="s">
        <v>1038</v>
      </c>
      <c r="C18" s="51">
        <v>4435.2</v>
      </c>
    </row>
    <row r="19" spans="1:3" x14ac:dyDescent="0.25">
      <c r="A19" s="52" t="s">
        <v>1037</v>
      </c>
      <c r="B19" s="53" t="s">
        <v>1039</v>
      </c>
      <c r="C19" s="54">
        <v>4435.2</v>
      </c>
    </row>
    <row r="20" spans="1:3" x14ac:dyDescent="0.25">
      <c r="A20" s="49" t="s">
        <v>1037</v>
      </c>
      <c r="B20" s="50" t="s">
        <v>1040</v>
      </c>
      <c r="C20" s="51">
        <v>6124.8</v>
      </c>
    </row>
    <row r="21" spans="1:3" x14ac:dyDescent="0.25">
      <c r="A21" s="52" t="s">
        <v>1041</v>
      </c>
      <c r="B21" s="53" t="s">
        <v>1042</v>
      </c>
      <c r="C21" s="54">
        <v>140.80000000000001</v>
      </c>
    </row>
    <row r="22" spans="1:3" x14ac:dyDescent="0.25">
      <c r="A22" s="49" t="s">
        <v>1043</v>
      </c>
      <c r="B22" s="50" t="s">
        <v>1044</v>
      </c>
      <c r="C22" s="51">
        <v>140.80000000000001</v>
      </c>
    </row>
    <row r="23" spans="1:3" x14ac:dyDescent="0.25">
      <c r="A23" s="52" t="s">
        <v>1045</v>
      </c>
      <c r="B23" s="53" t="s">
        <v>1046</v>
      </c>
      <c r="C23" s="54">
        <v>17600</v>
      </c>
    </row>
    <row r="24" spans="1:3" x14ac:dyDescent="0.25">
      <c r="A24" s="49" t="s">
        <v>1045</v>
      </c>
      <c r="B24" s="50" t="s">
        <v>1047</v>
      </c>
      <c r="C24" s="51">
        <v>17600</v>
      </c>
    </row>
    <row r="25" spans="1:3" x14ac:dyDescent="0.25">
      <c r="A25" s="52" t="s">
        <v>1048</v>
      </c>
      <c r="B25" s="53" t="s">
        <v>1049</v>
      </c>
      <c r="C25" s="54">
        <v>10890</v>
      </c>
    </row>
    <row r="26" spans="1:3" x14ac:dyDescent="0.25">
      <c r="A26" s="49" t="s">
        <v>1048</v>
      </c>
      <c r="B26" s="50" t="s">
        <v>1050</v>
      </c>
      <c r="C26" s="51">
        <v>10890</v>
      </c>
    </row>
    <row r="27" spans="1:3" x14ac:dyDescent="0.25">
      <c r="A27" s="52" t="s">
        <v>1048</v>
      </c>
      <c r="B27" s="53" t="s">
        <v>1051</v>
      </c>
      <c r="C27" s="54">
        <v>10890</v>
      </c>
    </row>
    <row r="28" spans="1:3" x14ac:dyDescent="0.25">
      <c r="A28" s="49" t="s">
        <v>1048</v>
      </c>
      <c r="B28" s="50" t="s">
        <v>1052</v>
      </c>
      <c r="C28" s="51">
        <v>10890</v>
      </c>
    </row>
    <row r="29" spans="1:3" x14ac:dyDescent="0.25">
      <c r="A29" s="52" t="s">
        <v>1053</v>
      </c>
      <c r="B29" s="53" t="s">
        <v>1054</v>
      </c>
      <c r="C29" s="54">
        <v>880</v>
      </c>
    </row>
    <row r="30" spans="1:3" x14ac:dyDescent="0.25">
      <c r="A30" s="49" t="s">
        <v>1055</v>
      </c>
      <c r="B30" s="50" t="s">
        <v>1056</v>
      </c>
      <c r="C30" s="51">
        <v>300</v>
      </c>
    </row>
    <row r="31" spans="1:3" x14ac:dyDescent="0.25">
      <c r="A31" s="52" t="s">
        <v>1057</v>
      </c>
      <c r="B31" s="53" t="s">
        <v>1058</v>
      </c>
      <c r="C31" s="54">
        <v>3141.6</v>
      </c>
    </row>
    <row r="32" spans="1:3" x14ac:dyDescent="0.25">
      <c r="A32" s="49" t="s">
        <v>1057</v>
      </c>
      <c r="B32" s="50" t="s">
        <v>1059</v>
      </c>
      <c r="C32" s="51">
        <v>3141.6</v>
      </c>
    </row>
    <row r="33" spans="1:3" x14ac:dyDescent="0.25">
      <c r="A33" s="52" t="s">
        <v>1060</v>
      </c>
      <c r="B33" s="53" t="s">
        <v>1061</v>
      </c>
      <c r="C33" s="54">
        <v>1689.6</v>
      </c>
    </row>
    <row r="34" spans="1:3" x14ac:dyDescent="0.25">
      <c r="A34" s="49" t="s">
        <v>1060</v>
      </c>
      <c r="B34" s="50" t="s">
        <v>1062</v>
      </c>
      <c r="C34" s="51">
        <v>1689.6</v>
      </c>
    </row>
    <row r="35" spans="1:3" x14ac:dyDescent="0.25">
      <c r="A35" s="52" t="s">
        <v>1060</v>
      </c>
      <c r="B35" s="53" t="s">
        <v>1063</v>
      </c>
      <c r="C35" s="54">
        <v>1689.6</v>
      </c>
    </row>
    <row r="36" spans="1:3" x14ac:dyDescent="0.25">
      <c r="A36" s="49" t="s">
        <v>1064</v>
      </c>
      <c r="B36" s="50" t="s">
        <v>1065</v>
      </c>
      <c r="C36" s="51">
        <v>140.80000000000001</v>
      </c>
    </row>
    <row r="37" spans="1:3" x14ac:dyDescent="0.25">
      <c r="A37" s="52" t="s">
        <v>1066</v>
      </c>
      <c r="B37" s="53" t="s">
        <v>1067</v>
      </c>
      <c r="C37" s="54">
        <v>70.400000000000006</v>
      </c>
    </row>
    <row r="38" spans="1:3" x14ac:dyDescent="0.25">
      <c r="A38" s="49" t="s">
        <v>1068</v>
      </c>
      <c r="B38" s="50" t="s">
        <v>1069</v>
      </c>
      <c r="C38" s="51">
        <v>220</v>
      </c>
    </row>
    <row r="39" spans="1:3" x14ac:dyDescent="0.25">
      <c r="A39" s="52" t="s">
        <v>1068</v>
      </c>
      <c r="B39" s="53" t="s">
        <v>1070</v>
      </c>
      <c r="C39" s="54">
        <v>220</v>
      </c>
    </row>
    <row r="40" spans="1:3" x14ac:dyDescent="0.25">
      <c r="A40" s="49" t="s">
        <v>1071</v>
      </c>
      <c r="B40" s="50" t="s">
        <v>1072</v>
      </c>
      <c r="C40" s="51">
        <v>70.400000000000006</v>
      </c>
    </row>
    <row r="41" spans="1:3" x14ac:dyDescent="0.25">
      <c r="A41" s="52" t="s">
        <v>1073</v>
      </c>
      <c r="B41" s="53" t="s">
        <v>1074</v>
      </c>
      <c r="C41" s="54">
        <v>136.63</v>
      </c>
    </row>
    <row r="42" spans="1:3" x14ac:dyDescent="0.25">
      <c r="A42" s="49" t="s">
        <v>1075</v>
      </c>
      <c r="B42" s="50" t="s">
        <v>1076</v>
      </c>
      <c r="C42" s="51">
        <v>140.80000000000001</v>
      </c>
    </row>
    <row r="43" spans="1:3" x14ac:dyDescent="0.25">
      <c r="A43" s="52" t="s">
        <v>1075</v>
      </c>
      <c r="B43" s="53" t="s">
        <v>1077</v>
      </c>
      <c r="C43" s="54">
        <v>140.80000000000001</v>
      </c>
    </row>
    <row r="44" spans="1:3" x14ac:dyDescent="0.25">
      <c r="A44" s="49" t="s">
        <v>1075</v>
      </c>
      <c r="B44" s="50" t="s">
        <v>1078</v>
      </c>
      <c r="C44" s="51">
        <v>70.400000000000006</v>
      </c>
    </row>
    <row r="45" spans="1:3" x14ac:dyDescent="0.25">
      <c r="A45" s="52" t="s">
        <v>1079</v>
      </c>
      <c r="B45" s="53" t="s">
        <v>1080</v>
      </c>
      <c r="C45" s="54">
        <v>2909.09</v>
      </c>
    </row>
    <row r="46" spans="1:3" x14ac:dyDescent="0.25">
      <c r="A46" s="49" t="s">
        <v>1081</v>
      </c>
      <c r="B46" s="50" t="s">
        <v>1082</v>
      </c>
      <c r="C46" s="51">
        <v>40480</v>
      </c>
    </row>
    <row r="47" spans="1:3" x14ac:dyDescent="0.25">
      <c r="A47" s="52" t="s">
        <v>1083</v>
      </c>
      <c r="B47" s="53" t="s">
        <v>1084</v>
      </c>
      <c r="C47" s="54">
        <v>44000</v>
      </c>
    </row>
    <row r="48" spans="1:3" x14ac:dyDescent="0.25">
      <c r="A48" s="49" t="s">
        <v>1083</v>
      </c>
      <c r="B48" s="50" t="s">
        <v>1085</v>
      </c>
      <c r="C48" s="51">
        <v>61600</v>
      </c>
    </row>
    <row r="49" spans="1:3" x14ac:dyDescent="0.25">
      <c r="A49" s="52" t="s">
        <v>1086</v>
      </c>
      <c r="B49" s="53" t="s">
        <v>1087</v>
      </c>
      <c r="C49" s="54">
        <v>3801.6</v>
      </c>
    </row>
    <row r="50" spans="1:3" x14ac:dyDescent="0.25">
      <c r="A50" s="49" t="s">
        <v>1088</v>
      </c>
      <c r="B50" s="50" t="s">
        <v>1089</v>
      </c>
      <c r="C50" s="51">
        <v>3801.6</v>
      </c>
    </row>
    <row r="51" spans="1:3" x14ac:dyDescent="0.25">
      <c r="A51" s="52" t="s">
        <v>1090</v>
      </c>
      <c r="B51" s="53" t="s">
        <v>1091</v>
      </c>
      <c r="C51" s="54">
        <v>39600</v>
      </c>
    </row>
    <row r="52" spans="1:3" x14ac:dyDescent="0.25">
      <c r="A52" s="49" t="s">
        <v>1090</v>
      </c>
      <c r="B52" s="50" t="s">
        <v>1092</v>
      </c>
      <c r="C52" s="51">
        <v>30800</v>
      </c>
    </row>
    <row r="53" spans="1:3" x14ac:dyDescent="0.25">
      <c r="A53" s="52" t="s">
        <v>1093</v>
      </c>
      <c r="B53" s="53" t="s">
        <v>1094</v>
      </c>
      <c r="C53" s="54">
        <v>4400</v>
      </c>
    </row>
    <row r="54" spans="1:3" x14ac:dyDescent="0.25">
      <c r="A54" s="49" t="s">
        <v>1095</v>
      </c>
      <c r="B54" s="50" t="s">
        <v>1096</v>
      </c>
      <c r="C54" s="51">
        <v>4940</v>
      </c>
    </row>
    <row r="55" spans="1:3" x14ac:dyDescent="0.25">
      <c r="A55" s="52" t="s">
        <v>1097</v>
      </c>
      <c r="B55" s="53" t="s">
        <v>1098</v>
      </c>
      <c r="C55" s="54">
        <v>34170</v>
      </c>
    </row>
    <row r="56" spans="1:3" x14ac:dyDescent="0.25">
      <c r="A56" s="49" t="s">
        <v>511</v>
      </c>
      <c r="B56" s="50" t="s">
        <v>1099</v>
      </c>
      <c r="C56" s="51">
        <v>-1000</v>
      </c>
    </row>
    <row r="57" spans="1:3" x14ac:dyDescent="0.25">
      <c r="A57" s="52" t="s">
        <v>564</v>
      </c>
      <c r="B57" s="53" t="s">
        <v>1100</v>
      </c>
      <c r="C57" s="54">
        <v>9000</v>
      </c>
    </row>
    <row r="58" spans="1:3" x14ac:dyDescent="0.25">
      <c r="A58" s="49" t="s">
        <v>338</v>
      </c>
      <c r="B58" s="50" t="s">
        <v>1101</v>
      </c>
      <c r="C58" s="51">
        <v>-2283.86</v>
      </c>
    </row>
    <row r="59" spans="1:3" x14ac:dyDescent="0.25">
      <c r="A59" s="52" t="s">
        <v>339</v>
      </c>
      <c r="B59" s="53" t="s">
        <v>1102</v>
      </c>
      <c r="C59" s="54">
        <v>-43297.83</v>
      </c>
    </row>
    <row r="60" spans="1:3" x14ac:dyDescent="0.25">
      <c r="A60" s="49" t="s">
        <v>447</v>
      </c>
      <c r="B60" s="50" t="s">
        <v>1103</v>
      </c>
      <c r="C60" s="51">
        <v>141005</v>
      </c>
    </row>
    <row r="61" spans="1:3" x14ac:dyDescent="0.25">
      <c r="A61" s="52" t="s">
        <v>448</v>
      </c>
      <c r="B61" s="53" t="s">
        <v>1103</v>
      </c>
      <c r="C61" s="54">
        <v>142246.37</v>
      </c>
    </row>
    <row r="62" spans="1:3" x14ac:dyDescent="0.25">
      <c r="A62" s="49" t="s">
        <v>451</v>
      </c>
      <c r="B62" s="50" t="s">
        <v>1104</v>
      </c>
      <c r="C62" s="51">
        <v>-5113.71</v>
      </c>
    </row>
    <row r="63" spans="1:3" x14ac:dyDescent="0.25">
      <c r="A63" s="52" t="s">
        <v>575</v>
      </c>
      <c r="B63" s="53" t="s">
        <v>1105</v>
      </c>
      <c r="C63" s="54">
        <v>-4170.99</v>
      </c>
    </row>
    <row r="64" spans="1:3" x14ac:dyDescent="0.25">
      <c r="A64" s="49" t="s">
        <v>579</v>
      </c>
      <c r="B64" s="50" t="s">
        <v>1106</v>
      </c>
      <c r="C64" s="51">
        <v>29800</v>
      </c>
    </row>
    <row r="65" spans="1:3" x14ac:dyDescent="0.25">
      <c r="A65" s="52" t="s">
        <v>579</v>
      </c>
      <c r="B65" s="53" t="s">
        <v>1107</v>
      </c>
      <c r="C65" s="54">
        <v>-8704.58</v>
      </c>
    </row>
    <row r="66" spans="1:3" x14ac:dyDescent="0.25">
      <c r="A66" s="49" t="s">
        <v>581</v>
      </c>
      <c r="B66" s="50" t="s">
        <v>1108</v>
      </c>
      <c r="C66" s="51">
        <v>60257.72</v>
      </c>
    </row>
    <row r="67" spans="1:3" x14ac:dyDescent="0.25">
      <c r="A67" s="52" t="s">
        <v>583</v>
      </c>
      <c r="B67" s="53" t="s">
        <v>1109</v>
      </c>
      <c r="C67" s="54">
        <v>6572</v>
      </c>
    </row>
    <row r="68" spans="1:3" x14ac:dyDescent="0.25">
      <c r="A68" s="49" t="s">
        <v>585</v>
      </c>
      <c r="B68" s="50" t="s">
        <v>1109</v>
      </c>
      <c r="C68" s="51">
        <v>10706</v>
      </c>
    </row>
    <row r="69" spans="1:3" x14ac:dyDescent="0.25">
      <c r="A69" s="52" t="s">
        <v>770</v>
      </c>
      <c r="B69" s="53" t="s">
        <v>1110</v>
      </c>
      <c r="C69" s="54">
        <v>78855.95</v>
      </c>
    </row>
    <row r="70" spans="1:3" x14ac:dyDescent="0.25">
      <c r="A70" s="49" t="s">
        <v>774</v>
      </c>
      <c r="B70" s="50" t="s">
        <v>1111</v>
      </c>
      <c r="C70" s="51">
        <v>8050</v>
      </c>
    </row>
    <row r="71" spans="1:3" x14ac:dyDescent="0.25">
      <c r="A71" s="52" t="s">
        <v>774</v>
      </c>
      <c r="B71" s="53" t="s">
        <v>1112</v>
      </c>
      <c r="C71" s="54">
        <v>-1780.85</v>
      </c>
    </row>
    <row r="72" spans="1:3" x14ac:dyDescent="0.25">
      <c r="A72" s="49" t="s">
        <v>776</v>
      </c>
      <c r="B72" s="50" t="s">
        <v>1113</v>
      </c>
      <c r="C72" s="51">
        <v>18000</v>
      </c>
    </row>
    <row r="73" spans="1:3" x14ac:dyDescent="0.25">
      <c r="A73" s="52" t="s">
        <v>778</v>
      </c>
      <c r="B73" s="53" t="s">
        <v>1113</v>
      </c>
      <c r="C73" s="54">
        <v>18000</v>
      </c>
    </row>
    <row r="74" spans="1:3" x14ac:dyDescent="0.25">
      <c r="A74" s="49" t="s">
        <v>779</v>
      </c>
      <c r="B74" s="50" t="s">
        <v>1114</v>
      </c>
      <c r="C74" s="51">
        <v>9229.44</v>
      </c>
    </row>
    <row r="75" spans="1:3" x14ac:dyDescent="0.25">
      <c r="A75" s="52" t="s">
        <v>782</v>
      </c>
      <c r="B75" s="53" t="s">
        <v>1114</v>
      </c>
      <c r="C75" s="54">
        <v>10362</v>
      </c>
    </row>
    <row r="76" spans="1:3" x14ac:dyDescent="0.25">
      <c r="A76" s="49" t="s">
        <v>785</v>
      </c>
      <c r="B76" s="50" t="s">
        <v>786</v>
      </c>
      <c r="C76" s="51">
        <v>29953</v>
      </c>
    </row>
    <row r="77" spans="1:3" x14ac:dyDescent="0.25">
      <c r="A77" s="52" t="s">
        <v>785</v>
      </c>
      <c r="B77" s="53" t="s">
        <v>1115</v>
      </c>
      <c r="C77" s="54">
        <v>-3414.85</v>
      </c>
    </row>
    <row r="78" spans="1:3" x14ac:dyDescent="0.25">
      <c r="A78" s="49" t="s">
        <v>1116</v>
      </c>
      <c r="B78" s="50" t="s">
        <v>1117</v>
      </c>
      <c r="C78" s="51">
        <v>485360</v>
      </c>
    </row>
    <row r="79" spans="1:3" x14ac:dyDescent="0.25">
      <c r="A79" s="52" t="s">
        <v>1118</v>
      </c>
      <c r="B79" s="53" t="s">
        <v>1117</v>
      </c>
      <c r="C79" s="54">
        <v>612900</v>
      </c>
    </row>
    <row r="80" spans="1:3" x14ac:dyDescent="0.25">
      <c r="A80" s="49" t="s">
        <v>1119</v>
      </c>
      <c r="B80" s="50" t="s">
        <v>1120</v>
      </c>
      <c r="C80" s="51">
        <v>1837850</v>
      </c>
    </row>
    <row r="81" spans="1:3" x14ac:dyDescent="0.25">
      <c r="A81" s="52" t="s">
        <v>1121</v>
      </c>
      <c r="B81" s="53" t="s">
        <v>1120</v>
      </c>
      <c r="C81" s="54">
        <v>698156</v>
      </c>
    </row>
    <row r="82" spans="1:3" x14ac:dyDescent="0.25">
      <c r="A82" s="49" t="s">
        <v>1122</v>
      </c>
      <c r="B82" s="50" t="s">
        <v>1120</v>
      </c>
      <c r="C82" s="51">
        <v>419480</v>
      </c>
    </row>
    <row r="83" spans="1:3" x14ac:dyDescent="0.25">
      <c r="A83" s="52" t="s">
        <v>1123</v>
      </c>
      <c r="B83" s="53" t="s">
        <v>1124</v>
      </c>
      <c r="C83" s="54">
        <v>92164.23</v>
      </c>
    </row>
    <row r="84" spans="1:3" x14ac:dyDescent="0.25">
      <c r="A84" s="49" t="s">
        <v>1125</v>
      </c>
      <c r="B84" s="50" t="s">
        <v>1124</v>
      </c>
      <c r="C84" s="51">
        <v>76499.929999999993</v>
      </c>
    </row>
    <row r="85" spans="1:3" x14ac:dyDescent="0.25">
      <c r="A85" s="52" t="s">
        <v>1126</v>
      </c>
      <c r="B85" s="53" t="s">
        <v>1127</v>
      </c>
      <c r="C85" s="54">
        <v>59246.05</v>
      </c>
    </row>
    <row r="86" spans="1:3" x14ac:dyDescent="0.25">
      <c r="A86" s="49" t="s">
        <v>1128</v>
      </c>
      <c r="B86" s="50" t="s">
        <v>1129</v>
      </c>
      <c r="C86" s="51">
        <v>74640</v>
      </c>
    </row>
    <row r="87" spans="1:3" x14ac:dyDescent="0.25">
      <c r="A87" s="52" t="s">
        <v>1128</v>
      </c>
      <c r="B87" s="53" t="s">
        <v>1130</v>
      </c>
      <c r="C87" s="54">
        <v>42296</v>
      </c>
    </row>
    <row r="88" spans="1:3" x14ac:dyDescent="0.25">
      <c r="A88" s="49" t="s">
        <v>1131</v>
      </c>
      <c r="B88" s="50" t="s">
        <v>1129</v>
      </c>
      <c r="C88" s="51">
        <v>39840</v>
      </c>
    </row>
    <row r="89" spans="1:3" x14ac:dyDescent="0.25">
      <c r="A89" s="52" t="s">
        <v>1131</v>
      </c>
      <c r="B89" s="53" t="s">
        <v>1130</v>
      </c>
      <c r="C89" s="54">
        <v>22576</v>
      </c>
    </row>
    <row r="90" spans="1:3" x14ac:dyDescent="0.25">
      <c r="A90" s="49" t="s">
        <v>1132</v>
      </c>
      <c r="B90" s="50" t="s">
        <v>1129</v>
      </c>
      <c r="C90" s="51">
        <v>61620</v>
      </c>
    </row>
    <row r="91" spans="1:3" x14ac:dyDescent="0.25">
      <c r="A91" s="52" t="s">
        <v>1132</v>
      </c>
      <c r="B91" s="53" t="s">
        <v>1130</v>
      </c>
      <c r="C91" s="54">
        <v>34918</v>
      </c>
    </row>
    <row r="92" spans="1:3" x14ac:dyDescent="0.25">
      <c r="A92" s="49" t="s">
        <v>1133</v>
      </c>
      <c r="B92" s="50" t="s">
        <v>1134</v>
      </c>
      <c r="C92" s="51">
        <v>992</v>
      </c>
    </row>
    <row r="93" spans="1:3" x14ac:dyDescent="0.25">
      <c r="A93" s="52" t="s">
        <v>1135</v>
      </c>
      <c r="B93" s="53" t="s">
        <v>1136</v>
      </c>
      <c r="C93" s="54">
        <v>5000</v>
      </c>
    </row>
    <row r="94" spans="1:3" x14ac:dyDescent="0.25">
      <c r="A94" s="49" t="s">
        <v>1137</v>
      </c>
      <c r="B94" s="50" t="s">
        <v>1138</v>
      </c>
      <c r="C94" s="51">
        <v>13333.33</v>
      </c>
    </row>
    <row r="95" spans="1:3" x14ac:dyDescent="0.25">
      <c r="A95" s="52" t="s">
        <v>1137</v>
      </c>
      <c r="B95" s="53" t="s">
        <v>1139</v>
      </c>
      <c r="C95" s="54">
        <v>5000</v>
      </c>
    </row>
    <row r="96" spans="1:3" x14ac:dyDescent="0.25">
      <c r="A96" s="49" t="s">
        <v>1137</v>
      </c>
      <c r="B96" s="50" t="s">
        <v>1139</v>
      </c>
      <c r="C96" s="51">
        <v>15000</v>
      </c>
    </row>
    <row r="97" spans="1:3" x14ac:dyDescent="0.25">
      <c r="A97" s="52" t="s">
        <v>790</v>
      </c>
      <c r="B97" s="53" t="s">
        <v>1140</v>
      </c>
      <c r="C97" s="54">
        <v>24731</v>
      </c>
    </row>
    <row r="98" spans="1:3" x14ac:dyDescent="0.25">
      <c r="A98" s="49" t="s">
        <v>790</v>
      </c>
      <c r="B98" s="50" t="s">
        <v>1141</v>
      </c>
      <c r="C98" s="51">
        <v>7523</v>
      </c>
    </row>
    <row r="99" spans="1:3" ht="15.75" thickBot="1" x14ac:dyDescent="0.3">
      <c r="A99" s="52" t="s">
        <v>790</v>
      </c>
      <c r="B99" s="53" t="s">
        <v>1142</v>
      </c>
      <c r="C99" s="54">
        <v>6937</v>
      </c>
    </row>
    <row r="100" spans="1:3" ht="15.75" thickTop="1" x14ac:dyDescent="0.25">
      <c r="A100" s="55" t="s">
        <v>0</v>
      </c>
      <c r="B100" s="56"/>
      <c r="C100" s="57">
        <v>5512919.0800000001</v>
      </c>
    </row>
    <row r="103" spans="1:3" x14ac:dyDescent="0.25">
      <c r="B103" s="33" t="s">
        <v>1143</v>
      </c>
      <c r="C103" s="34">
        <f>+Tabla3[[#Totals],[Imp. aplic.]]+Tabla2[[#Totals],[Imp.cob.aplic.]]+C100</f>
        <v>9026041.875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Tesis</vt:lpstr>
      <vt:lpstr>Sexenios</vt:lpstr>
      <vt:lpstr>Ingresos investigación 2023</vt:lpstr>
      <vt:lpstr>Ingresos investigación 2024</vt:lpstr>
      <vt:lpstr>Ingresos investigación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2026-05-28T10:43:00Z</dcterms:modified>
</cp:coreProperties>
</file>