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B09E070B-B495-44C8-B07F-E837E69E57EE}" xr6:coauthVersionLast="47" xr6:coauthVersionMax="47" xr10:uidLastSave="{00000000-0000-0000-0000-000000000000}"/>
  <bookViews>
    <workbookView xWindow="-120" yWindow="-120" windowWidth="29040" windowHeight="15720" tabRatio="733" firstSheet="1" activeTab="7" xr2:uid="{00000000-000D-0000-FFFF-FFFF00000000}"/>
  </bookViews>
  <sheets>
    <sheet name="Tesis" sheetId="13" r:id="rId1"/>
    <sheet name="Sexenios" sheetId="14" r:id="rId2"/>
    <sheet name="Ingresos investigación 2023" sheetId="24" r:id="rId3"/>
    <sheet name="Ingresos investigación 2024" sheetId="26" r:id="rId4"/>
    <sheet name="Ingresos investigación 2025" sheetId="28" r:id="rId5"/>
    <sheet name="Ingresos formación 2023" sheetId="25" r:id="rId6"/>
    <sheet name="Ingresos formación 2024" sheetId="27" r:id="rId7"/>
    <sheet name="Ingresos formación 2025" sheetId="29" r:id="rId8"/>
  </sheets>
  <definedNames>
    <definedName name="_xlnm._FilterDatabase" localSheetId="1" hidden="1">Sexenios!#REF!</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1" i="14" l="1"/>
  <c r="C6" i="29"/>
  <c r="C27" i="28"/>
  <c r="C3" i="25"/>
  <c r="C31" i="24"/>
  <c r="C30" i="26"/>
  <c r="S35" i="13"/>
</calcChain>
</file>

<file path=xl/sharedStrings.xml><?xml version="1.0" encoding="utf-8"?>
<sst xmlns="http://schemas.openxmlformats.org/spreadsheetml/2006/main" count="832" uniqueCount="311">
  <si>
    <t>Total</t>
  </si>
  <si>
    <t>36.50.6C.00.11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</si>
  <si>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</si>
  <si>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</si>
  <si>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</si>
  <si>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</si>
  <si>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</si>
  <si>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</si>
  <si>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</si>
  <si>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</si>
  <si>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</si>
  <si>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</si>
  <si>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</si>
  <si>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</si>
  <si>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</si>
  <si>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</si>
  <si>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</si>
  <si>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</si>
  <si>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</si>
  <si>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</si>
  <si>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</si>
  <si>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</si>
  <si>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</si>
  <si>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</si>
  <si>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</si>
  <si>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10.16</t>
  </si>
  <si>
    <t>Director de tesis </t>
  </si>
  <si>
    <t>10</t>
  </si>
  <si>
    <t>- </t>
  </si>
  <si>
    <t>10.05</t>
  </si>
  <si>
    <t>B171 </t>
  </si>
  <si>
    <t>CIENCIAS DEL MAR Y BIOLOGÍA APLICADA </t>
  </si>
  <si>
    <t>DOCTORADO EN CIENCIAS DEL MAR Y BIOLOGÍA APLICADA </t>
  </si>
  <si>
    <t>B171</t>
  </si>
  <si>
    <t>21414651H </t>
  </si>
  <si>
    <t>21374844R </t>
  </si>
  <si>
    <t>48560510N </t>
  </si>
  <si>
    <t>48568823E </t>
  </si>
  <si>
    <t>21478607B </t>
  </si>
  <si>
    <t>NIF</t>
  </si>
  <si>
    <t>NOMBRE_COMPLETO</t>
  </si>
  <si>
    <t>TIPO_SEXENIO</t>
  </si>
  <si>
    <t>Total general</t>
  </si>
  <si>
    <t>INS
1</t>
  </si>
  <si>
    <t>DED
INS 1</t>
  </si>
  <si>
    <t>INS
2</t>
  </si>
  <si>
    <t>DED
INS 2</t>
  </si>
  <si>
    <t>DED
DEP</t>
  </si>
  <si>
    <t>SEX
INS 1</t>
  </si>
  <si>
    <t>SEX
INS 2</t>
  </si>
  <si>
    <t>SEX
DEP</t>
  </si>
  <si>
    <t>FUNCIONARIO</t>
  </si>
  <si>
    <t>NO FUNCIONARIO</t>
  </si>
  <si>
    <t>21437211S</t>
  </si>
  <si>
    <t>16059188J</t>
  </si>
  <si>
    <t>30959547Y</t>
  </si>
  <si>
    <t>48316575S</t>
  </si>
  <si>
    <t>48359613C</t>
  </si>
  <si>
    <t>23230314S</t>
  </si>
  <si>
    <t>21414651H</t>
  </si>
  <si>
    <t>21374844R</t>
  </si>
  <si>
    <t>21478607B</t>
  </si>
  <si>
    <t>48568823E</t>
  </si>
  <si>
    <t>21513034F</t>
  </si>
  <si>
    <t>48560510N</t>
  </si>
  <si>
    <t>36.50.6X.00.02</t>
  </si>
  <si>
    <t>Jiménez Gutiérrez, Santiago Victor </t>
  </si>
  <si>
    <t>ESTUDIO DE LA ECOLOGÍA DE PINNA NOBILIS (LINNAEUS, 1758) EN LA COMUNIDAD VALENCIANA Y EVALUACIÓN DEL EVENTO DE MORTALIDAD MASIVA </t>
  </si>
  <si>
    <t>17/06/2020 </t>
  </si>
  <si>
    <t>21513034F </t>
  </si>
  <si>
    <t>Terradas Fernández, Marc </t>
  </si>
  <si>
    <t>"Aspectos ecológicos del fitobentos asociado a las plataformas de algas y mermétidos del SE ibérico" </t>
  </si>
  <si>
    <t>23/09/2020 </t>
  </si>
  <si>
    <t>COD DEP</t>
  </si>
  <si>
    <t>Casado Coy, Nuria </t>
  </si>
  <si>
    <t>Effects of fouling and organic matter wastes from marine aquaculture on the macrofauna and biogeochemistry of sediments. </t>
  </si>
  <si>
    <t>09/06/2021 </t>
  </si>
  <si>
    <t>Suárez Fernández, Marta </t>
  </si>
  <si>
    <t>MULTIOMICS STUDY OF POCHONIA CHLAMYDOSPORIA TRITROPHIC LIFESTYLE </t>
  </si>
  <si>
    <t>29/04/2021 </t>
  </si>
  <si>
    <t>74360869Y </t>
  </si>
  <si>
    <t>Sola Maciá, Iván </t>
  </si>
  <si>
    <t>02/09/2021 </t>
  </si>
  <si>
    <t>21453382V </t>
  </si>
  <si>
    <t>González Andrés, Cristina </t>
  </si>
  <si>
    <t>¿The role of marine offshore protected areas in protecting large pelagics. Practical case: Cocos Island National Park¿. </t>
  </si>
  <si>
    <t>26/02/2021 </t>
  </si>
  <si>
    <t>García Rodríguez, Encarnacion </t>
  </si>
  <si>
    <t>TROPHIC ESTRUCTURE OF THE WESTER MEDITERRANEAN SEA. REVEALING SINGULARITIES IN THE GULF OF ALICANTE USING ECOLOGICAL MODELING </t>
  </si>
  <si>
    <t>24/09/2021 </t>
  </si>
  <si>
    <t>U062 </t>
  </si>
  <si>
    <t>ADM. I.U. DE INVESTIGACIÓN INFORMÁTICA </t>
  </si>
  <si>
    <t>DOCTORADO EN INFORMÁTICA </t>
  </si>
  <si>
    <t>González Mora, César </t>
  </si>
  <si>
    <t>An APIfication Approach to Facilitate the Access and Reuse of Open Data </t>
  </si>
  <si>
    <t>10/09/2021 </t>
  </si>
  <si>
    <t>Nataniel , Anildo Naftal </t>
  </si>
  <si>
    <t>A Socio-Ecological and Economic Approach to Tropical tuna Fisheries in the Mozambique Channel </t>
  </si>
  <si>
    <t>27/09/2021 </t>
  </si>
  <si>
    <t>36.50.6C.00.49</t>
  </si>
  <si>
    <t>36.50.6P.00.20</t>
  </si>
  <si>
    <t>36.50.6P.00.21</t>
  </si>
  <si>
    <t>36.50.6P.00.22</t>
  </si>
  <si>
    <t>36.50.6X.00.03</t>
  </si>
  <si>
    <t>ASPECTOS AMBIENTALES DE LA DESALINIZACIÓN DE AGUA DE MAR : REGULACIÓN Y GESTIÓN DE LOS VERTIDOS </t>
  </si>
  <si>
    <t>Y5555565K </t>
  </si>
  <si>
    <t>Izquierdo Muñoz, Andres </t>
  </si>
  <si>
    <t>Contribución al conocimiento de la fauna exótica en el Mar Mediterráneo, con especial atención al Sudeste Ibérico </t>
  </si>
  <si>
    <t>25/03/2022 </t>
  </si>
  <si>
    <t>Muñoz Muñoz, Pamela Tamara </t>
  </si>
  <si>
    <t>Respuestas Fisiológicas y metabólicas de macroalgas expuestas a estrés osmótico por hipersalinidad: mecanismos de tolerancia y herramientas de biomonitoreo </t>
  </si>
  <si>
    <t>26/11/2021 </t>
  </si>
  <si>
    <t>ADM. I.U. DEL AGUA Y DE LAS CIENCIAS AMBIENTALES </t>
  </si>
  <si>
    <t>DOCTORADO EN AGUA Y DESARROLLO SOSTENIBLE </t>
  </si>
  <si>
    <t>Aldaghma , Saleh </t>
  </si>
  <si>
    <t>"The prospects of water sustainability in Gaza, Palestine in light of politics and technical challenges" </t>
  </si>
  <si>
    <t>09/02/2022 </t>
  </si>
  <si>
    <t>10.19</t>
  </si>
  <si>
    <t>U020 </t>
  </si>
  <si>
    <t>46350843R</t>
  </si>
  <si>
    <t>78528725D</t>
  </si>
  <si>
    <t>Cód. org. aplic.</t>
  </si>
  <si>
    <t>Descripción justificante</t>
  </si>
  <si>
    <t>Imp.cob.aplic.</t>
  </si>
  <si>
    <t>36.50.6B.00.02</t>
  </si>
  <si>
    <t>36.50.6C.00.63</t>
  </si>
  <si>
    <t>36.50.6C.00.64</t>
  </si>
  <si>
    <t>36.50.6C.00.65</t>
  </si>
  <si>
    <t>36.50.6P.00.23</t>
  </si>
  <si>
    <t>36.50.6P.00.24</t>
  </si>
  <si>
    <t>36.50.6P.00.27</t>
  </si>
  <si>
    <t>36.50.6P.00.28</t>
  </si>
  <si>
    <t>36.50.6P.00.29</t>
  </si>
  <si>
    <t>36.50.6X.00.04</t>
  </si>
  <si>
    <t>Marco Franco, Julio Emilio </t>
  </si>
  <si>
    <t>IMPACT OF MARINE SOUND POLLUTION FROM MERCHANT SHIPS </t>
  </si>
  <si>
    <t>27/09/2022 </t>
  </si>
  <si>
    <t>48359613C </t>
  </si>
  <si>
    <t>S</t>
  </si>
  <si>
    <t>Lozano Soria, Ana </t>
  </si>
  <si>
    <t>Biocontrol Fungi, Volatile Organic Compounds and Chitosan for Banana Pest Sustainable Management </t>
  </si>
  <si>
    <t>10/03/2023 </t>
  </si>
  <si>
    <t>U022 </t>
  </si>
  <si>
    <t>ADM. FACULTAD DE CIENCIAS </t>
  </si>
  <si>
    <t>DOCTORADO EN CIENCIAS EXPERIMENTALES Y BIOSANITARIAS </t>
  </si>
  <si>
    <t>Badaoui , Warda </t>
  </si>
  <si>
    <t>Traceability and food safety in escaped fish from marine aquaculture facilities. A metabolomic approach. </t>
  </si>
  <si>
    <t>28/09/2023 </t>
  </si>
  <si>
    <t>78528725D </t>
  </si>
  <si>
    <t>48351547G</t>
  </si>
  <si>
    <t>Pago mínimo regalías 2022  por transferencia de tecnología</t>
  </si>
  <si>
    <t>Segundo pago del 50% del presupuesto total tras la realización de los trabajos previstos en el Anexo I de la I Adenda al Contrato de asesoramiento y asistencia científico-técnica entre Acciona Agua S.A.U. y la Universidad de Alicante "Seguimiento ambiental del vertido de la desaladora de Jávea" de fecha 31 de enero de 2022.   Número de pedido 23829.  Cebe E002O1.</t>
  </si>
  <si>
    <t>36.50.6C.00.62</t>
  </si>
  <si>
    <t>Se factura el 50% del importe total de la prestación de servicios "Colaboración con CONSOMAR, S.A.  en la redacción del proyecto para la tramitación de la legalización y mejora del emisario IDAM de Formentera. Islas Baleares".</t>
  </si>
  <si>
    <t>SERVICIO DE REALIZACIÓN DEL ESTUDIO DE VIGILANCIA AMBIENTAL PARA EL VERTIDO DE LAS DESALINIZADORAS DE LA MANCOMUNIDAD DE LOS CANALES DEL TAIBILLA (VARIOS). LOTE 1, DESALINIZADORA DE ALICANTE.  Relación Valorada Nº 10, febrero 2023. Código V07/21-12/001.</t>
  </si>
  <si>
    <t>SERVICIO DE REALIZACIÓN DEL ESTUDIO DE VIGILANCIA AMBIENTAL PARA EL VERTIDO DE LAS DESALINIZADORAS DE LA MANCOMUNIDAD DE LOS CANALES DEL TAIBILLA (VARIOS). LOTE 1, DESALINIZADORA DE ALICANTE. Relación Valorada Nº 18, octubre 2023. Código V-07/21-12 / 001.</t>
  </si>
  <si>
    <t>SERVICIO DE REALIZACIÓN DEL ESTUDIO DE VIGILANCIA AMBIENTAL PARA EL VERTIDO DE LAS DESALINIZADORAS DE LA MANCOMUNIDAD DE LOS CANALES DEL TAIBILLA (VARIOS). LOTE 1, DESALINIZADORA DE ALICANTE. Relación Valorada Nº 15, julio 2023. Código V-07/21-12 / 001.</t>
  </si>
  <si>
    <t>SERVICIO DE REALIZACIÓN DEL ESTUDIO DE VIGILANCIA AMBIENTAL PARA EL VERTIDO DE LAS DESALINIZADORAS DE LA MANCOMUNIDAD DE LOS CANALES DEL TAIBILLA (VARIOS). LOTE 1, DESALINIZADORA DE ALICANTE.</t>
  </si>
  <si>
    <t>SERVICIO DE REALIZACIÓN DEL ESTUDIO DE VIGILANCIA AMBIENTAL PARA EL VERTIDO DE LAS DESALINIZADORAS DE LA MANCOMUNIDAD DE LOS CANALES DEL TAIBILLA (VARIOS). LOTE 1, DESALINIZADORA DE ALICANTE. Relación Valorada Nº 9, enero 2023. Código V07/21-12/001.</t>
  </si>
  <si>
    <t>SERVICIO DE REALIZACIÓN DEL ESTUDIO DE VIGILANCIA AMBIENTAL PARA EL VERTIDO DE LAS DESALINIZADORAS DE LA MANCOMUNIDAD DE LOS CANELES DEL TAIBILLA (VA/VARIOS) LOTE 2, DESALINIZADORA DE SAN PEDRO.</t>
  </si>
  <si>
    <t>SERVICIO DE REALIZACIÓN DEL ESTUDIO DE VIGILANCIA AMBIENTAL PARA EL VERTIDO DE LAS DESALINIZADORAS DE LA MANCOMUNIDAD DE LOS CANELES DEL TAIBILLA (VA/VARIOS) LOTE 2, DESALINIZADORA DE SAN PEDRO. Relación valorada Nº 10, febrero 2023. Código V-07/21-12/002.</t>
  </si>
  <si>
    <t>SERVICIO DE REALIZACIÓN DEL ESTUDIO DE VIGILANCIA AMBIENTAL PARA EL VERTIDO DE LAS DESALINIZADORAS DE LA MANCOMUNIDAD DE LOS CANALES DEL TAIBILLA (VA/VARIOS) LOTE 2, DESALINIZADORA DE SAN PEDRO.  Relación valorada Nº 18, octubre 2023. Código V-07/21-12/002</t>
  </si>
  <si>
    <t>SERVICIO DE REALIZACIÓN DEL ESTUDIO DE VIGILANCIA AMBIENTAL PARA EL VERTIDO DE LAS DESALINIZADORAS DE LA MANCOMUNIDAD DE LOS CANELES DEL TAIBILLA (VA/VARIOS) LOTE 2, DESALINIZADORA DE SAN PEDRO. Relación valorada Nº 9, enero 2023. Código V-07/21-12/002.</t>
  </si>
  <si>
    <t>SERVICIO DE REALIZACIÓN DEL ESTUDIO DE VIGILANCIA AMBIENTAL PARA EL VERTIDO DE LAS DESALINIZADORAS DE LA MANCOMUNIDAD DE LOS CANELES DEL TAIBILLA (VA/VARIOS) LOTE 2, DESALINIZADORA DE SAN PEDRO. Relación valorada Nº 15, julio 2023. Código V-07/21-12/002.</t>
  </si>
  <si>
    <t>Tercera factura de acuerdo con el contrato de investigación y desarrollo entre MUNDOSOL QUALITY, S.L. y la Universidad de Alicante "Diseño y evaluación de tratamientos sostenibles para el manejo de plagas de piojo rojo (AONIDIELLA AURANTII) en cultivos de limones basados en la aplicación de hongos entomopatógenos" de fecha 6 de mayo de 2022.</t>
  </si>
  <si>
    <t>36.50.6C.00.69</t>
  </si>
  <si>
    <t>Primer informe de resultados. 50% del presupuesto total de la prestación de servicios: Actividades enmarcadas en el proyecto "Identificación y cuantificación de contaminantes emergentes en aguas residuales (virus y fármacos y posibles repercusiones en la calidad de las aguas -ATALAYA-".   Tareas: separación/triaje; análisis taxonómico de organismos; cuantificación de organismos, listado zoológico)</t>
  </si>
  <si>
    <t>Segundo informe de resultados. 50% del presupuesto total de la prestación de servicios: Actividades enmarcadas en el proyecto "Identificación y cuantificación de contaminantes emergentes en aguas residuales (virus y fármacos y posibles</t>
  </si>
  <si>
    <t>36.50.6C.00.70</t>
  </si>
  <si>
    <t>Primera factura asociada a la ejecución del Hito 1, por asesoramiento y producción de las primeras 25.000 dosis de hongos estomopatógenos,  a la firma del contrato de investigación y desarrollo entre MUNDOSOL QUALITY S.L. y la Universidad de Alicante titulado FASE 2 PROYECTO: DISEÑO Y EVALUACIÓN DE TRATAMIENTOS SOSTENIBLES PARA EL MANEJO DE PLAGAS DE PIOJO ROJO (AONIDIELLA AURANTII) EN CULTIVOS DE LIMONES BASADOS EN LA APLICACIÓN DE HONGOS ENTOMOPATÓGENOS.</t>
  </si>
  <si>
    <t>36.50.6C.00.71</t>
  </si>
  <si>
    <t>SE FACTURA EL 50% DEL IMPORTE TOTAL, TRAS LA FIRMA DE LA PRESTACIÓN DE SERVICIOS:  DESPLAZAMIENTO A LAS INSTALACIONES DE ACUICULTURA PARA INSTALAR (Y RECOGER) CÁMARAS DE VIDEO CON EL OBJETIVO DE TOMAR IMÁGENES DE LAS POBLACIONES DE PECES SALVAJES ASOCIADOS A LA ACTIVIDAD. ENTREGA DE IMÁGENES REGISTRADAS, MATERIAL DE GRABACIÓN Y ENTREGA DE ARCHIVO CON LOS DATOS DE LAS VISITAS, DETALLANDO LA PLANIFICACIÓN DE LAS MISMAS (LOCALIDAD, DÍA, DURACIÓN, CÁMARAS, ETC.), ASÍ COMO DE LOS ARCHIVOS E IMÁGENES TOMADAS.</t>
  </si>
  <si>
    <t>36.50.6C.00.72</t>
  </si>
  <si>
    <t xml:space="preserve">PLAN CONTINGENCIA FRENTE A ESCAPES MASIVOS: ELEMENTOS BÁSICOS Y APLICACIÓN. (Programa OESA código APAS00001) </t>
  </si>
  <si>
    <t>36.50.6D.00.01</t>
  </si>
  <si>
    <t xml:space="preserve">CONSELLERIAAGRICULTURA1-23I </t>
  </si>
  <si>
    <t>AYUDA 2023 PARA REALIZACION DE ESTUDIOSE INVESTIGACION EN MATERIA PESQUERA</t>
  </si>
  <si>
    <t>INGRESO CONCEPTO: N/P LIQUIDACION DEFINITIVA FSE CA20 EMPLEAVERDE REFERENCIA: FBIOEMPLEAVERDE20-01</t>
  </si>
  <si>
    <t>PID2020-115956GB-I00/116185GB-I00/116496RB-C21/116514GB-I00/116998RB-I00/117303GBC22/118006RB-I00/118322RB-I00/118447RA-I00/118476RR-C22</t>
  </si>
  <si>
    <t xml:space="preserve">PID2020-118574GB-I00/118816GB-I00/119124RB-I00/119144RB-I00/119320GB-I00/119383GB-I00/119734RB-I00/119878GB-I00/119959GB-I00/120213RB-I00 </t>
  </si>
  <si>
    <t>INGRESO CONCEPTO: N/P LIQ. DEFINITIVA PLEAMAR CA21 PA RTE FEMP_ REFERENCIA: FBIOPLEAMAR21-01</t>
  </si>
  <si>
    <t>INGRESO RECIBIDO_CONCEPTO: N/P LIQ. DEFINITIVA PLEAMAR CA21 PA RTE FEMP. REFERENCIA: FBIOPLEAMAR21-05</t>
  </si>
  <si>
    <t>Project SALCOD (ref. 294631) financing year 2023. Project number 15425-01 Økosystempåvirkning av lakseoppdrett.</t>
  </si>
  <si>
    <t>Cobro del Proyecto LIFE PINNARCA</t>
  </si>
  <si>
    <t>CIENCIAS DEL MAR Y BIOLOGÍA APLICADA</t>
  </si>
  <si>
    <t>DOCTORADO EN CIENCIAS DEL MAR Y BIOLOGÍA APLICADA</t>
  </si>
  <si>
    <t>Blanco Murillo, Fabio</t>
  </si>
  <si>
    <t>Desalination discharge effects on seagrasses: unravelling mechanisms and novel biomonitoring tools</t>
  </si>
  <si>
    <t>19/01/2024</t>
  </si>
  <si>
    <t>Codirector de tesis</t>
  </si>
  <si>
    <t>Y5555565K</t>
  </si>
  <si>
    <t>Picciotti , Ugo</t>
  </si>
  <si>
    <t>VECTORS¿ INFECTING ABILITY MODULATION FOR XYLELLA FASTIDIOSA INVASIONS MANAGEMENT IN ITALIAN OLIVE ORCHARDS</t>
  </si>
  <si>
    <t>11/12/2023</t>
  </si>
  <si>
    <t>30</t>
  </si>
  <si>
    <t>'-</t>
  </si>
  <si>
    <t>50</t>
  </si>
  <si>
    <t>74360869Y</t>
  </si>
  <si>
    <t>CIENCIAS DEL MAR Y BIOLOGIA APLICADA</t>
  </si>
  <si>
    <t>Jiménez Casero, Judit</t>
  </si>
  <si>
    <t>Contribución al conocimiento de los mecanismos de colapso de las praderas de angiospermas marinas mediterráneas, Posidonia oceanica y Cymodocea nodosa, bajo los efectos de aportes de nutrientes antrópicos: implicaciones para la gestión de ecosistemas</t>
  </si>
  <si>
    <t>20/09/2024</t>
  </si>
  <si>
    <t>Org. aplic.</t>
  </si>
  <si>
    <t>Imp. aplic.</t>
  </si>
  <si>
    <t>Año 2024. Primer pago del 50% del presupuesto total tras la firma de la III Adenda al Contrato de asesoramiento y asistencia científico-técnica entre Acciona Agua S.A.U. y la Universidad de Alicante "Seguimiento ambiental del vertido de la desaladora de Jávea" de fecha 10-1-24. Pedido nº 66879.</t>
  </si>
  <si>
    <t>Primera factura del 50% del presupuesto de la II Adenda al contrato de asesoramiento y asistencia científico-técnica entre Acciona Agua S.A.U. y la Universidad de Alicante "Seguimiento ambiental del vertido de la desaladora de Jávea" de fecha 23-02-2023. Número de pedido 66879-0, CEBE E002O1.</t>
  </si>
  <si>
    <t>Año 2023. Segunda factura del 50% del presupuesto total tras la finalización de los trabajos previstos en el Anexo I de la II Adenda al contrato de asesoramiento y asistencia científico-técnica entre Acciona Agua S.A.U. y la Universidad de Alicante "Seguimiento ambiental del vertido de la desaladora de Jávea" de fecha 23-02-2023. Número de pedido 66879-0, CEBE E002O1.</t>
  </si>
  <si>
    <t>Se factura el 50% restante del total correspondiente a la prestación de servicios: Colaboración con CONSOMAR, S.A. en la redacción del proyecto para la tramitación de la legalización y mejora del emisario IDAM de Formentera. Islas Baleares".</t>
  </si>
  <si>
    <t>SERVICIO DE REALIZACIÓN DEL ESTUDIO DE VIGILANCIA AMBIENTAL PARA EL VERTIDO DE LAS DESALINIZADORAS DE LA MANCOMUNIDAD DE LOS CANALES DEL TAIBILLA (VARIOS). LOTE 1, DESALINIZADORA DE ALICANTE. Relación Valorada Nº 21, enero 2024. Código V-07/21-12 / 001.</t>
  </si>
  <si>
    <t>SERVICIO DE REALIZACIÓN DEL ESTUDIO DE VIGILANCIA AMBIENTAL PARA EL VERTIDO DE LAS DESALINIZADORAS DE LA MANCOMUNIDAD DE LOS CANALES DEL TAIBILLA (VARIOS). LOTE 1, DESALINIZADORA DE ALICANTE. Relación Valorada Nº 22, febrero 2024. Código V-07/21-12 / 001.</t>
  </si>
  <si>
    <t>SERVICIO DE REALIZACIÓN DEL ESTUDIO DE VIGILANCIA AMBIENTAL PARA EL VERTIDO DE LAS DESALINIZADORAS DE LA MANCOMUNIDAD DE LOS CANALES DEL TAIBILLA (VARIOS). LOTE 1, DESALINIZADORA DE ALICANTE. Relación Valorada Nº 24, abril 2024. Código V-07/21-12 / 001.</t>
  </si>
  <si>
    <t>SERVICIO DE REALIZACIÓN DEL ESTUDIO DE VIGILANCIA AMBIENTAL PARA EL VERTIDO DE LAS DESALINIZADORAS DE LA MANCOMUNIDAD DE LOS CANELES DEL TAIBILLA (VA/VARIOS) LOTE 2, DESALINIZADORA DE SAN PEDRO.  Relación valorada Nº 21, enero 2024. Código V-07/21-12/002.</t>
  </si>
  <si>
    <t>SERVICIO DE REALIZACIÓN DEL ESTUDIO DE VIGILANCIA AMBIENTAL PARA EL VERTIDO DE LAS DESALINIZADORAS DE LA MANCOMUNIDAD DE LOS CANELES DEL TAIBILLA (VA/VARIOS) LOTE 2, DESALINIZADORA DE SAN PEDRO.  Relación valorada Nº 22, febrero 2024. Código V-07/21-12/002.</t>
  </si>
  <si>
    <t>SERVICIO DE REALIZACIÓN DEL ESTUDIO DE VIGILANCIA AMBIENTAL PARA EL VERTIDO DE LAS DESALINIZADORAS DE LA MANCOMUNIDAD DE LOS CANELES DEL TAIBILLA (VA/VARIOS) LOTE 2, DESALINIZADORA DE SAN PEDRO.  Relación valorada Nº 25, mayo 2024. Código V-07/21-12/002.</t>
  </si>
  <si>
    <t>SEGUNDO PAGO, PRIMERA APORTACIÓN CORRESPONDIENTE AL HITO 2 DEL CONTRATO DE INVESTIGACIÓN Y DESARROLLO ENTRE MUNDOSOL QUALITY S.L. Y LA UNIVERSIDAD DE ALICANTE, TITULADO "FASE 2 PROYECTO: DISEÑO Y EVALUACIÓN DE TRATAMIENTOS SOSTENIBLES PARA EL MANEJO DE PLAGAS DE PIOJO ROJO (AONIDIELLA AURANTII) EN CULTIVOS DE LIMONES BASADOS EN LA APLICACIÓN DE HONGOS ENTOMOPATÓGENOS".</t>
  </si>
  <si>
    <t>SE FACTURA EL RESTANTE 50% DEL IMPORTE TOTAL, TRAS LA FINALIZACIÓN DE LA PRESTACIÓN DE SERVICIOS: DESPLAZAMIENTO A LAS INSTALACIONES DE ACUICULTURA PARA INSTALAR (Y RECOGER) CÁMARAS DE VIDEO CON EL OBJETIVO DE TOMAR IMÁGENES DE LAS POBLACIONES DE PECES SALVAJES ASOCIADOS A LA ACTIVIDAD. ENTREGA DE IMÁGENES REGISTRADAS, MATERIAL DE GRABACIÓN Y ENTREGA DE ARCHIVO CON LOS DATOS DE LAS VISITAS, DETALLANDO LA PLANIFICACIÓN DE LAS MISMAS (LOCALIDAD, DÍA, DURACIÓN, CÁMARAS, ETC.), ASÍ COMO DE LOS ARCHIVOS E IMÁGENES TOMADAS.</t>
  </si>
  <si>
    <t>36.50.6C.00.73</t>
  </si>
  <si>
    <t>Estudio de seguimiento del estado de conservación de las praderas de Posidonia oceanica del municipio de Teulada Moraira, mediante la realización de trabajo de campo (inmersiones), trabajo de laboratorio e  informe técnico con los resultados obtenidos. (Número de la aplicación presupuestaria: 1723.22706 y nº RC: 22024/1441).</t>
  </si>
  <si>
    <t>36.50.6C.00.74</t>
  </si>
  <si>
    <t xml:space="preserve">Servicio de análisis de hormigones de proyecto prueba de concepto con código - PDC2022-133285-C22 TRAMOS DE PAVIMENTO. Determinación de la permeabilidad al oxígeno de 18 probetas codificadas de hormigón con adiciones y materiales reciclados con diferentes dosificaciones y adiciones. Informe de resultados. </t>
  </si>
  <si>
    <t>36.50.6C.00.75</t>
  </si>
  <si>
    <t>Ref. FUNDACIONBIODIVERSIDAD1-24T Se factura el 35% del total correspondiente a A) Formación de los AMAS, tras la entrega de los productos asociados a las tareas 1 y 2, plan detallado de formación para el grupo destinatario con los contenidos, la metodología, y un cronograma de las sesiones y materiales formativos, así como de los productos asociados a la Tarea 3-Formació a los Agentes del Medio Ambiente: Informe de la formación.  SERVICIOS DE CAPACITACIÓN EN EL CONOCIMIENTO E IDENTIFICACIÓN DE ESPECIES MARINAS VULNERABLES DE OTRAS ESPECIES SIMILARES DE INTERÉS PESQUERO U OBJETO DE INFRACCIÓN DESTINADO A GESTORES Y USUARIOS DE LA RED NATURA 2000 MARINA EN EL MARCO DEL PLAN DE RECUPERACIÓN, TRANSFORMACIÓN Y RESILIENCIA. Código APLI00034-Capacitación Red Natura 2000 marina-Componente 4 Conservación y restauración de ecosistemas marinos y terrestres y su  biodiversidad.  Financiado por el Mecanismo de Recuperación y Resiliencia de la Unión Europea, establecido por el Reglamento (UE ) ..</t>
  </si>
  <si>
    <t xml:space="preserve">Convenio CONSELLERIAAGRICULTURA1-24I. Exp C15/24. Fra. 6003219408. Presup. S089200000. </t>
  </si>
  <si>
    <t>PID2020-112540RB-C43-112930GB-I00-115735GB-I00-115956GB-I00-119383GB-I00-119734RB-I00</t>
  </si>
  <si>
    <t>Anualidad 2023 proyectos Thinkinazul</t>
  </si>
  <si>
    <t>REINTEGRO DE EJERCICIO CERRADO REFERENTE A IMPRESORA MULTIFUNCION EPSON EXPRESION HOME XP-2150_ JG: 2023/0000000012724_ ADO: 2023000014243</t>
  </si>
  <si>
    <t>36.50.6P.00.35</t>
  </si>
  <si>
    <t>ayudas CIGE/2023/52, CIGE/2023/94, CIGE/2023/129, CIGE/2023/146, CIGE/2023/165, CIGE/2023/175, CIGE/2023/181, CIGE/2023/184, CIGE/2023/188, CIGE/2023/196, CIGE/2023/197, CIGE/2023/216, CIGE/2023/225, CIGE/2023/227 (LINEA SUBVENCIÓN S0296)</t>
  </si>
  <si>
    <t>36.50.6P.00.36</t>
  </si>
  <si>
    <t xml:space="preserve">ayudas FBIOPLEAMAR23-119, FBIOPLEAMAR23-127, FBIOPLEAMAR23-161 </t>
  </si>
  <si>
    <t>36.50.6P.00.37</t>
  </si>
  <si>
    <t xml:space="preserve">Project SALCOD (ref. 294631) financing year January - July 2024. Project number 15425-01 Økosystempåvirkning av lakseoppdrett. - 112.350,51 NOK. </t>
  </si>
  <si>
    <t>Project SALCOD (ref. 294631) financing year August-December 2024. Project number 15425-01 Økosystempåvirkning av lakseoppdrett- 47.669,29 NOK.</t>
  </si>
  <si>
    <t>Segundo Cobro del Proyecto OSMOTIC SEAGRAS</t>
  </si>
  <si>
    <t>Cobro del proyecto OSMOTIC SEAGRAS</t>
  </si>
  <si>
    <t>Sin ingresos de formación 2024</t>
  </si>
  <si>
    <t>10.91.2T.00.04</t>
  </si>
  <si>
    <t xml:space="preserve">Plan_GH80 Curso_2022-23 Emitido_2022-23 - DISEÑO, MONTAJE Y MANTENIMIENTO DE SISTEMAS MARINOS PARA EXPERIMENTACIÓN </t>
  </si>
  <si>
    <t>Ciencias del Mar y Biologia Aplicada</t>
  </si>
  <si>
    <t>Valverde Urrea, Miguel Rodrigo</t>
  </si>
  <si>
    <t>Ecología y aplicaciones en biotecnología de algas nativas e invasoras de la franja litoral del sureste de la Península Ibérica</t>
  </si>
  <si>
    <t>19/12/2024</t>
  </si>
  <si>
    <t>ZZ</t>
  </si>
  <si>
    <t>SIN ASIGNAR</t>
  </si>
  <si>
    <t>López Núñez, Raquel</t>
  </si>
  <si>
    <t>Development of chitosan coacervates compatible with biological control agents for disease
management in crops</t>
  </si>
  <si>
    <t>27/06/2025</t>
  </si>
  <si>
    <t>2020</t>
  </si>
  <si>
    <t>2021</t>
  </si>
  <si>
    <t>2022</t>
  </si>
  <si>
    <t>2023</t>
  </si>
  <si>
    <t>2024</t>
  </si>
  <si>
    <t>2025</t>
  </si>
  <si>
    <t>Del Pilar Ruso, Yoana</t>
  </si>
  <si>
    <t>Ramos Espla, Alfonso Ángel</t>
  </si>
  <si>
    <t>Emérito</t>
  </si>
  <si>
    <t>López Llorca, Luis Vicente</t>
  </si>
  <si>
    <t>Bayle Sempere, Just Tomàs</t>
  </si>
  <si>
    <t>Sánchez Jerez, Pablo</t>
  </si>
  <si>
    <t>21497056Z</t>
  </si>
  <si>
    <t>Barberá Cebrián, María del Carmen</t>
  </si>
  <si>
    <t>Valle Pérez, Carlos</t>
  </si>
  <si>
    <t>Giménez Casalduero, María Francisca</t>
  </si>
  <si>
    <t>Fernández González, Victoria María</t>
  </si>
  <si>
    <t>Terradas Fernández, Marc</t>
  </si>
  <si>
    <t>Fernández Torquemada, Yolanda</t>
  </si>
  <si>
    <t>Fernández Jover, Damián Joaquín</t>
  </si>
  <si>
    <t>Forcada Almarcha, Aitor Santiago</t>
  </si>
  <si>
    <t>Zubcoff Vallejo, Jose</t>
  </si>
  <si>
    <t>Sánchez Lizaso, José Luis</t>
  </si>
  <si>
    <t>56036143R</t>
  </si>
  <si>
    <t>Sáez Avaria, Claudio Alejandro</t>
  </si>
  <si>
    <t>20</t>
  </si>
  <si>
    <t>74229658X</t>
  </si>
  <si>
    <t>Maciá Vicente, José Gaspar</t>
  </si>
  <si>
    <t>López Moya, Federico</t>
  </si>
  <si>
    <t>Toledo Guedes, Kilian</t>
  </si>
  <si>
    <t>Pago mínimo regalías 2023 por transferencia de tecnología - Ref. contrato licencia: GLENBIOTECH(EBT)1-10O  Pago mínimo regalías 2023 por transferencia de tecnología - Ref. contrato licencia: GLENBIOTECH(EBT)1-10O</t>
  </si>
  <si>
    <t>Año 2024. Segundo pago del restante 50% del presupuesto total tras la finalización de los trabajos previstos en el Anexo I de la III Adenda, de fecha 10-1-24, al Contrato de asesoramiento y asistencia científico-técnica entre Acciona Agua S.A.U. y la Universidad de Alicante "Seguimiento ambiental del vertido de la desaladora de Jávea", llevado a cabo por el profesor José Luis Sánchez Lizaso. Nº pedido 66879.</t>
  </si>
  <si>
    <t>Primera factura del 50% del presupuesto total tras la firma de la IV Adenda, de fecha 28.11.24, al contrato de asesoramiento y asistencia científico-técnica entre Acciona Agua S.A.U. y la Universidad de Alicante, titulado "Seguimiento ambiental del vertido de la desaladora de Jávea", llevado a cabo por el profesor José Luis Sánchez Lizaso y con una duración de 12 meses, del 1 de enero al 31 de diciembre de 2025. Pedido 90757-0</t>
  </si>
  <si>
    <t>Se factura el 50% del total del contrato Servicios de capacitación en el conocimiento e identificación de especies marinas vulnerables de otras especies similares de interés pesquero u objeto de infracción destinado a gestores y usuarios de la red natura 2000 marina en el marco del plan de recuperación, transformación y resiliencia, correspondiente al entregable B) Formación del SM de la Guardia Civil una vez realizadas las tareas 1, 2 y 3: entrega plan detallado formación, materiales formativos, formación a los agentes del Servicio Marítimo de la Guardia Civil y SEPRONA y entrega del informe de la formación.  Código APLI00034-Capacitación Red Natura 2000 marina. Financiado por el Mecanismo de Recuperación y Resiliencia de la Unión Europea, establecido por el Reglamento (UE) 2020/2094 del Consejo, de 14 de diciembre de 2020, por el que se establece un Instrumento de Recuperación de la Unión Europea para apoyar la recuperación tras la crisis de la COVID</t>
  </si>
  <si>
    <t>Se factura el 15% del total, entregable C) Informe final y certificación, del contrato de servicio de servicios de capacitación en el conocimiento e identificación de especies marinas vulnerables de otras especies similares de interés pesquero u objeto de infracción destinado a gestores y usuarios de la red natura 2000 marina en el marco del plan de Recuperación, Transformación y Resiliencia.  El código (APLI00034) y nombre del proyecto (Capacitación Red Natura 2000 marina) al que va imputada la factura.  Financiado por el Mecanismo de Recuperación y Resiliencia de la Unión Europea, establecido por el Reglamento (UE) 2020/2094 del Consejo, de 14 de diciembre de 2020, por el que se establece un Instrumento de Recuperación de la Unión Europea para apoyar la recuperación tras la crisis de la COVID-19, y regulado según Reglamento (UE) 2021/241 del Parlamento Europeo y del Consejo de 12 de febrero de 2021 por el que se establece el Mecanismo de Recuperación y Resiliencia.</t>
  </si>
  <si>
    <t>36.50.6C.00.76</t>
  </si>
  <si>
    <t>TRATAMIENTO DE MUESTRAS DE SEDIMENTO MARINO PARA POSTERIOR ANÁLISIS DE LA COMUNIDAD DE INFAUNA ASOCIADA: LAVADO Y TAMIZADO DE LAS MUESTRAS, MANTENIMIENTO DE LAS MUESTRAS Y ANÁLISIS Y EVALUACIÓN. PEDIDO Nº 4502487061.</t>
  </si>
  <si>
    <t>36.50.6C.00.77</t>
  </si>
  <si>
    <t>Ref. TRAGSATEC1-25T Apoyo Técnico para la ELABORACIÓN DEL PLAN DE RECUPERACIÓN DE PINNA NOBILIS EN LA REGIÓN DE MURCIA. MATERIAS: Formación al personal de Tragsatec en técnicas de análisis conceptual de relaciones causa efecto, tipo DPSIR (Driving Forces-Pressures-State-ImpactsResponses), para  identificación de necesidades de gestión en especies marinas. Coordinación en la identificación de propuestas y necesidades de gestión de la población de Pinna nobilis en el Mar Menor. Seguimiento de los avances en la gestión de la documentación aportada. Propuestas para el seguimiento de las poblaciones de Pinna nobilis en el Mar Menor. Apoyo en el seguimiento de las poblaciones de nacra en el Mar Menor.  Acciones de evaluación del estado de conservación de la especie.</t>
  </si>
  <si>
    <t>36.50.6C.00.78</t>
  </si>
  <si>
    <t>2025- Primer borrador de guía metodológica para la evaluación y seguimiento de las afecciones a especies del género CYSTOSEIRA SENSU LATO causadas por actividades humanas. Identificación de medidas de gestión y restauración. Periodo: 18 de agosto al 17 de noviembre de 2025</t>
  </si>
  <si>
    <t>36.50.6C.00.79</t>
  </si>
  <si>
    <t>Estudio del estado de la Posidonia oceánica en las inmediaciones del aliviadero de Cabo Huertas (Alicante): muestreos desde embarcación con buceadores donde se controlará la densidad, cobertura y enterramiento de la población de fanerógamas marinas, en especial de la Posidonia oceánica; control de parámetros físicos de la columna de agua y memoria de resultados.</t>
  </si>
  <si>
    <t>36.50.6C.00.80</t>
  </si>
  <si>
    <t>NÚMERO DE EXPEDIENTE: 2025/SP10058  Contrato menor de servicios: ELABORACIÓN DE ESTUDIO SOBRE EL USO DE TORZAL DE 5MM POR PARTE DE LA FLOTA DE ARRASTRE DEL MEDITERRÁNEO.</t>
  </si>
  <si>
    <t>CONSELLERIAAGRICULTURA3-25I (Línea Subvención: S0892. Núm fact: 6003829770)</t>
  </si>
  <si>
    <t>36.50.6M.00.02</t>
  </si>
  <si>
    <t>Transferencia de conocimiento al sector empresarial para mejorar la toma de decisiones en procesos de diseño experimental, optimización de experimentos según objetivos y recursos disponibles, orientado al análisis estadístico usando técnicas de análisis de la variabilidad de factores presentes en el experimento.</t>
  </si>
  <si>
    <t>36.50.6M.00.03</t>
  </si>
  <si>
    <t>Acciones formativas: -Desarrollo de formación teórica online en formato webinar: preparación y grabación de la parte de la Sesión 3 de dicho webinar, contemplada como "Análisis de vulnerabilidad al cambio climático en los EMPs en España (parte I): Metodología Instituto de Ciencias del Mar (ICM-CSIC) y adaptación de la metodología en el Centro de Investigaciones Marinas (CIMAR/UA)" -Desarrollo de formación práctica presencial: preparación y desarrollo de la formación práctica presencial en el Centro de Investigación Marinas (CIMAR) durante septiembre de 2025, para la puesta en práctica de los protocolos de monitorización de las distintas variables de adaptación al cambio climático en los Espacios Marinos Protegidos.</t>
  </si>
  <si>
    <t>GVA-THINKINAZUL/2021/014/015/016/035/039/041/043/044. Programa: Plan Recuperación, Transformación y Resilencia.</t>
  </si>
  <si>
    <t xml:space="preserve">CIGE/2023/52/94/129/146/165/175/181/184/188/196/197/216/225/227. EN CIGE/2023/196 HAY UNA REASIGNACIÓN DEL IMPORTE (EN JI-2024-3632 SE PRODUCE UNA MINORACIÓN DE 9879,02 Y SE ASIGNA A ESTE AÑO) </t>
  </si>
  <si>
    <t>Minoración Ayudas CIGE/2023/52, CIGE/2023/94, CIGE/2023/129, CIGE/2023/146, CIGE/2023/165, CIGE/2023/175, CIGE/2023/181, CIGE/2023/184, CIGE/2023/188, CIGE/2023/197, CIGE/2023/216,  CIGE/2023/227 (LINEA SUBVENCIÓN S0296)</t>
  </si>
  <si>
    <t>36.50.6P.00.38</t>
  </si>
  <si>
    <t>PROGRAMA PROPIO DEL CENTRO DE GASTRONOMÍA DEL MEDITERRÁNEO (GASTERRA) UA_DENIA PARA EL FOMENTO DE LA I+D+I EN EL ÁMBITO DE LA GASTRONOMÍA 2025</t>
  </si>
  <si>
    <t>Proyecto: PROTECTION AND RESTORATION OF PINNA NOBILIS POPULATIONS AS A RESPONSE TO THE CATASTROPHIC PANDEMIC STARTED IN 2016. Programa: LIFE. Ref. programa: PINNARCA</t>
  </si>
  <si>
    <t>36.50.6X.00.05</t>
  </si>
  <si>
    <t>Proyecto: Crop Protection Strategies for the Transition to Environmentally-Friendly Agriculture. Programa: HORIZON-JU-CBE-2024. Ref. proyecto: CROPSAFE</t>
  </si>
  <si>
    <t>36.50.6X.00.06</t>
  </si>
  <si>
    <t xml:space="preserve">PROYECTO: Pinna nobilis conservation and restoration. PROGRAMA:LIFE+. REF PROYECTO: LIFE PINNACARE </t>
  </si>
  <si>
    <t>Total ingresos investigación 2023-25</t>
  </si>
  <si>
    <t>10.91.2T.01.45</t>
  </si>
  <si>
    <t xml:space="preserve">LIQ-TitProp_GK31-N Curso_2024-25 AñoCont_2025 - CIENCIAS DEL MAR EN EL ÁMBITO LITORAL ATLÁNTICO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</si>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</sst>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22"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
      <sz val="11"/>
      <color theme="1"/>
      <name val="Calibri"/>
      <family val="2"/>
      <scheme val="minor"/>
    </font>
    <font>
      <b/>
      <sz val="10"/>
      <color theme="0"/>
      <name val="Arial"/>
      <family val="2"/>
    </font>
    <font>
      <b/>
      <sz val="10"/>
      <color theme="0"/>
      <name val="Arial"/>
      <family val="2"/>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
      <b/>
      <sz val="10"/>
      <color theme="0"/>
      <name val="Arial"/>
    </font>
    <font>
      <sz val="10"/>
      <color theme="1"/>
      <name val="Arial"/>
    </font>
    <font>
      <b/>
      <sz val="10"/>
      <color theme="1"/>
      <name val="Arial"/>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style="thin">
        <color theme="9" tint="0.39997558519241921"/>
      </left>
      <right/>
      <top style="double">
        <color theme="9"/>
      </top>
      <bottom style="thin">
        <color theme="9" tint="0.39997558519241921"/>
      </bottom>
      <diagonal/>
    </border>
    <border>
      <left/>
      <right/>
      <top style="double">
        <color theme="9"/>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96">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2" borderId="0" xfId="1" applyFill="1"/>
    <xf numFmtId="0" fontId="2" fillId="2" borderId="0" xfId="1" applyFill="1" applyAlignment="1">
      <alignment horizontal="right"/>
    </xf>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2" fillId="4" borderId="1" xfId="1" applyFill="1" applyBorder="1"/>
    <xf numFmtId="0" fontId="2" fillId="4" borderId="2" xfId="1" applyFill="1" applyBorder="1"/>
    <xf numFmtId="0" fontId="10" fillId="6" borderId="1" xfId="0" applyFont="1" applyFill="1" applyBorder="1" applyAlignment="1">
      <alignment horizontal="left" vertical="center"/>
    </xf>
    <xf numFmtId="0" fontId="10" fillId="6" borderId="3"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2" fillId="4" borderId="1" xfId="1" applyFill="1" applyBorder="1" applyAlignment="1">
      <alignment horizontal="right"/>
    </xf>
    <xf numFmtId="166" fontId="2" fillId="4" borderId="2" xfId="1" applyNumberFormat="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8" fillId="3" borderId="1" xfId="3" applyFont="1" applyFill="1" applyBorder="1" applyAlignment="1">
      <alignment horizontal="center" wrapText="1"/>
    </xf>
    <xf numFmtId="0" fontId="16" fillId="0" borderId="7" xfId="0" applyFont="1" applyBorder="1"/>
    <xf numFmtId="0" fontId="16" fillId="0" borderId="8" xfId="0" applyFont="1" applyBorder="1"/>
    <xf numFmtId="43" fontId="16" fillId="0" borderId="8" xfId="0" applyNumberFormat="1" applyFont="1" applyBorder="1"/>
    <xf numFmtId="0" fontId="2" fillId="0" borderId="1" xfId="0" applyFont="1" applyBorder="1"/>
    <xf numFmtId="0" fontId="6" fillId="0" borderId="0" xfId="0" applyFont="1"/>
    <xf numFmtId="165" fontId="2" fillId="2" borderId="0" xfId="1" applyNumberFormat="1" applyFill="1"/>
    <xf numFmtId="43" fontId="6" fillId="8" borderId="6" xfId="6" applyNumberFormat="1" applyFont="1" applyFill="1" applyBorder="1"/>
    <xf numFmtId="43" fontId="6" fillId="0" borderId="6" xfId="6" applyNumberFormat="1" applyFont="1" applyBorder="1"/>
    <xf numFmtId="0" fontId="9" fillId="8" borderId="6" xfId="0" applyFont="1" applyFill="1" applyBorder="1"/>
    <xf numFmtId="0" fontId="9" fillId="0" borderId="6" xfId="0" applyFont="1" applyBorder="1"/>
    <xf numFmtId="43" fontId="0" fillId="0" borderId="0" xfId="0" applyNumberFormat="1"/>
    <xf numFmtId="0" fontId="11" fillId="9" borderId="0" xfId="5" applyFont="1" applyFill="1"/>
    <xf numFmtId="0" fontId="11" fillId="9" borderId="0" xfId="5" applyFont="1" applyFill="1" applyAlignment="1">
      <alignment horizontal="right"/>
    </xf>
    <xf numFmtId="0" fontId="9" fillId="0" borderId="1" xfId="5" applyFont="1" applyBorder="1"/>
    <xf numFmtId="0" fontId="9" fillId="0" borderId="1" xfId="5" applyFont="1" applyBorder="1" applyAlignment="1">
      <alignment horizontal="right"/>
    </xf>
    <xf numFmtId="165" fontId="3" fillId="2" borderId="0" xfId="1" applyNumberFormat="1" applyFont="1" applyFill="1"/>
    <xf numFmtId="0" fontId="2" fillId="4" borderId="1" xfId="1" applyFont="1" applyFill="1" applyBorder="1"/>
    <xf numFmtId="0" fontId="0" fillId="8" borderId="6" xfId="0" applyNumberFormat="1" applyFont="1" applyFill="1" applyBorder="1"/>
    <xf numFmtId="43" fontId="0" fillId="8" borderId="6" xfId="6" applyNumberFormat="1" applyFont="1" applyFill="1" applyBorder="1"/>
    <xf numFmtId="0" fontId="0" fillId="0" borderId="6" xfId="0" applyNumberFormat="1" applyFont="1" applyBorder="1"/>
    <xf numFmtId="43" fontId="0" fillId="0" borderId="6" xfId="6" applyNumberFormat="1" applyFont="1" applyBorder="1"/>
    <xf numFmtId="0" fontId="17" fillId="7" borderId="9" xfId="0" applyFont="1" applyFill="1" applyBorder="1"/>
    <xf numFmtId="43" fontId="17" fillId="7" borderId="9" xfId="6" applyNumberFormat="1" applyFont="1" applyFill="1" applyBorder="1"/>
    <xf numFmtId="0" fontId="0" fillId="0" borderId="10" xfId="0" applyNumberFormat="1" applyFont="1" applyBorder="1"/>
    <xf numFmtId="43" fontId="0" fillId="0" borderId="10" xfId="6" applyNumberFormat="1" applyFont="1" applyBorder="1"/>
    <xf numFmtId="0" fontId="0" fillId="0" borderId="10" xfId="0" applyFont="1" applyBorder="1"/>
    <xf numFmtId="43" fontId="12" fillId="0" borderId="10" xfId="0" applyNumberFormat="1" applyFont="1" applyBorder="1"/>
    <xf numFmtId="0" fontId="13" fillId="7" borderId="9" xfId="0" applyFont="1" applyFill="1" applyBorder="1"/>
    <xf numFmtId="0" fontId="9" fillId="0" borderId="10" xfId="0" applyFont="1" applyBorder="1"/>
    <xf numFmtId="43" fontId="6" fillId="0" borderId="10" xfId="6" applyNumberFormat="1" applyFont="1" applyBorder="1"/>
    <xf numFmtId="43" fontId="6" fillId="0" borderId="10" xfId="0" applyNumberFormat="1" applyFont="1" applyBorder="1"/>
    <xf numFmtId="0" fontId="9" fillId="10" borderId="10" xfId="0" applyFont="1" applyFill="1" applyBorder="1"/>
    <xf numFmtId="0" fontId="0" fillId="11" borderId="0" xfId="0" applyFill="1"/>
    <xf numFmtId="0" fontId="18" fillId="0" borderId="1" xfId="0" applyFont="1" applyBorder="1"/>
    <xf numFmtId="0" fontId="14" fillId="7" borderId="9" xfId="0" applyFont="1" applyFill="1" applyBorder="1"/>
    <xf numFmtId="0" fontId="15" fillId="8" borderId="10" xfId="0" applyFont="1" applyFill="1" applyBorder="1"/>
    <xf numFmtId="0" fontId="13" fillId="13" borderId="11" xfId="0" applyFont="1" applyFill="1" applyBorder="1"/>
    <xf numFmtId="0" fontId="13" fillId="13" borderId="12" xfId="0" applyFont="1" applyFill="1" applyBorder="1"/>
    <xf numFmtId="0" fontId="9" fillId="12" borderId="11" xfId="0" applyFont="1" applyFill="1" applyBorder="1"/>
    <xf numFmtId="0" fontId="9" fillId="12" borderId="12" xfId="0" applyFont="1" applyFill="1" applyBorder="1"/>
    <xf numFmtId="164" fontId="9" fillId="12" borderId="12" xfId="6" applyFont="1" applyFill="1" applyBorder="1"/>
    <xf numFmtId="0" fontId="9" fillId="0" borderId="11" xfId="0" applyFont="1" applyBorder="1"/>
    <xf numFmtId="0" fontId="9" fillId="0" borderId="12" xfId="0" applyFont="1" applyBorder="1"/>
    <xf numFmtId="164" fontId="9" fillId="0" borderId="12" xfId="6" applyFont="1" applyBorder="1"/>
    <xf numFmtId="0" fontId="11" fillId="0" borderId="13" xfId="0" applyFont="1" applyBorder="1"/>
    <xf numFmtId="0" fontId="11" fillId="0" borderId="14" xfId="0" applyFont="1" applyBorder="1"/>
    <xf numFmtId="164" fontId="11" fillId="0" borderId="14" xfId="6" applyFont="1" applyBorder="1"/>
    <xf numFmtId="4" fontId="18" fillId="11" borderId="1" xfId="0" applyNumberFormat="1" applyFont="1" applyFill="1" applyBorder="1"/>
    <xf numFmtId="0" fontId="18" fillId="11" borderId="1" xfId="0" applyFont="1" applyFill="1" applyBorder="1" applyAlignment="1">
      <alignment horizontal="left"/>
    </xf>
    <xf numFmtId="0" fontId="19" fillId="13" borderId="11" xfId="0" applyFont="1" applyFill="1" applyBorder="1"/>
    <xf numFmtId="0" fontId="19" fillId="13" borderId="12" xfId="0" applyFont="1" applyFill="1" applyBorder="1"/>
    <xf numFmtId="164" fontId="19" fillId="13" borderId="12" xfId="6" applyFont="1" applyFill="1" applyBorder="1"/>
    <xf numFmtId="0" fontId="20" fillId="12" borderId="11" xfId="0" applyFont="1" applyFill="1" applyBorder="1"/>
    <xf numFmtId="0" fontId="20" fillId="12" borderId="12" xfId="0" applyFont="1" applyFill="1" applyBorder="1"/>
    <xf numFmtId="164" fontId="20" fillId="12" borderId="12" xfId="6" applyFont="1" applyFill="1" applyBorder="1"/>
    <xf numFmtId="0" fontId="21" fillId="0" borderId="13" xfId="0" applyFont="1" applyBorder="1"/>
    <xf numFmtId="0" fontId="21" fillId="0" borderId="14" xfId="0" applyFont="1" applyBorder="1"/>
    <xf numFmtId="164" fontId="21" fillId="0" borderId="14" xfId="0" applyNumberFormat="1" applyFont="1" applyBorder="1"/>
    <xf numFmtId="164" fontId="18" fillId="0" borderId="1" xfId="0" applyNumberFormat="1" applyFont="1" applyBorder="1"/>
    <xf numFmtId="0" fontId="9" fillId="0" borderId="1" xfId="5" applyFont="1" applyFill="1" applyBorder="1"/>
    <xf numFmtId="0" fontId="9" fillId="0" borderId="1" xfId="5" applyFont="1" applyFill="1" applyBorder="1" applyAlignment="1">
      <alignment horizontal="right"/>
    </xf>
    <xf numFmtId="0" fontId="9" fillId="0" borderId="0" xfId="5" applyFont="1" applyFill="1"/>
    <xf numFmtId="0" fontId="2" fillId="0" borderId="1" xfId="1" applyFill="1" applyBorder="1"/>
    <xf numFmtId="0" fontId="2" fillId="0" borderId="1" xfId="0" applyFont="1" applyFill="1" applyBorder="1"/>
    <xf numFmtId="0" fontId="6" fillId="0" borderId="0" xfId="0" applyFont="1" applyFill="1"/>
    <xf numFmtId="0" fontId="0" fillId="0" borderId="0" xfId="0" applyFill="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31">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0"/>
        <color auto="1"/>
        <name val="Arial"/>
        <family val="2"/>
        <scheme val="none"/>
      </font>
      <border diagonalUp="0" diagonalDown="0" outline="0">
        <left/>
        <right/>
        <top/>
        <bottom/>
      </border>
    </dxf>
    <dxf>
      <font>
        <b val="0"/>
        <i val="0"/>
        <strike val="0"/>
        <condense val="0"/>
        <extend val="0"/>
        <outline val="0"/>
        <shadow val="0"/>
        <u val="none"/>
        <vertAlign val="baseline"/>
        <sz val="10"/>
        <color auto="1"/>
        <name val="Arial"/>
        <family val="2"/>
        <scheme val="none"/>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872F37-391D-4C68-8765-59345A51E47B}" name="Tabla2" displayName="Tabla2" ref="A1:C31" totalsRowCount="1" headerRowDxfId="30" headerRowBorderDxfId="29" tableBorderDxfId="28" totalsRowBorderDxfId="27">
  <autoFilter ref="A1:C30" xr:uid="{CB8372E6-D0D5-4292-AB59-AA2DB90711FA}"/>
  <tableColumns count="3">
    <tableColumn id="1" xr3:uid="{3CEC8DE1-D1E8-4076-8B5A-59C2B28F80F3}" name="Cód. org. aplic." totalsRowLabel="Total" dataDxfId="26" totalsRowDxfId="25"/>
    <tableColumn id="2" xr3:uid="{D936E784-B923-4C22-86B5-03895B615F07}" name="Descripción justificante" dataDxfId="24" totalsRowDxfId="23"/>
    <tableColumn id="3" xr3:uid="{D2FD1B43-9BC6-41E9-AFA0-12F9D31F14F5}" name="Imp.cob.aplic." totalsRowFunction="sum" dataDxfId="22" totalsRowDxfId="21"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465944-DF0A-4574-B533-F139F5762B16}" name="Tabla1" displayName="Tabla1" ref="A1:C30" totalsRowCount="1" headerRowBorderDxfId="20" tableBorderDxfId="19" totalsRowBorderDxfId="18">
  <autoFilter ref="A1:C29" xr:uid="{B2887829-4AAF-4BD0-B8FA-2740F1EAE9AF}"/>
  <tableColumns count="3">
    <tableColumn id="1" xr3:uid="{A8392454-18DA-4173-9763-05EDFD0BFBFD}" name="Org. aplic." totalsRowLabel="Total" dataDxfId="17" totalsRowDxfId="16"/>
    <tableColumn id="2" xr3:uid="{E2B076FD-BB21-48A5-AF65-3873C898F772}" name="Descripción justificante" dataDxfId="15" totalsRowDxfId="14"/>
    <tableColumn id="3" xr3:uid="{2883B74C-0F39-4775-A243-56E9B47BADDA}" name="Imp. aplic." totalsRowFunction="sum" dataDxfId="13" totalsRowDxfId="12"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E642FD-5851-4533-A802-6F4FA2B49C79}" name="Tabla4" displayName="Tabla4" ref="A1:C3" totalsRowCount="1" headerRowDxfId="11" dataDxfId="9" totalsRowDxfId="7" headerRowBorderDxfId="10" tableBorderDxfId="8" totalsRowBorderDxfId="6">
  <autoFilter ref="A1:C2" xr:uid="{5CE642FD-5851-4533-A802-6F4FA2B49C79}"/>
  <tableColumns count="3">
    <tableColumn id="1" xr3:uid="{D475EDA1-37D0-4472-A22C-64C5AAC9D44E}" name="Cód. org. aplic." totalsRowLabel="Total" dataDxfId="5" totalsRowDxfId="4"/>
    <tableColumn id="2" xr3:uid="{F1A23279-AF98-41D9-97EA-A1E4CD989EEF}" name="Descripción justificante" dataDxfId="3" totalsRowDxfId="2"/>
    <tableColumn id="3" xr3:uid="{BB588D38-6951-4632-8DCF-A4C967E6914C}" name="Imp.cob.aplic."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5"/>
  <sheetViews>
    <sheetView showGridLines="0" zoomScale="115" zoomScaleNormal="115" workbookViewId="0">
      <pane xSplit="1" ySplit="1" topLeftCell="F19" activePane="bottomRight" state="frozen"/>
      <selection pane="topRight" activeCell="B1" sqref="B1"/>
      <selection pane="bottomLeft" activeCell="A2" sqref="A2"/>
      <selection pane="bottomRight" activeCell="J48" sqref="J48"/>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32.7109375" style="6" customWidth="1"/>
    <col min="11" max="11" width="6.5703125" style="6" customWidth="1"/>
    <col min="12" max="12" width="5.140625" style="6" customWidth="1"/>
    <col min="13" max="13" width="4.42578125" style="6" customWidth="1"/>
    <col min="14" max="14" width="4.85546875" style="6" customWidth="1"/>
    <col min="15" max="15" width="4.85546875" style="9" customWidth="1"/>
    <col min="16" max="16" width="4.85546875" style="6" customWidth="1"/>
    <col min="17" max="17" width="3.5703125" style="9" customWidth="1"/>
    <col min="18" max="18" width="3.5703125" style="6" customWidth="1"/>
    <col min="19" max="21" width="5.140625" style="6" customWidth="1"/>
    <col min="22" max="16384" width="10.28515625" style="6"/>
  </cols>
  <sheetData>
    <row r="1" spans="1:21" ht="45" x14ac:dyDescent="0.2">
      <c r="A1" s="1" t="s">
        <v>2</v>
      </c>
      <c r="B1" s="2" t="s">
        <v>3</v>
      </c>
      <c r="C1" s="2" t="s">
        <v>4</v>
      </c>
      <c r="D1" s="2" t="s">
        <v>5</v>
      </c>
      <c r="E1" s="2" t="s">
        <v>6</v>
      </c>
      <c r="F1" s="2" t="s">
        <v>7</v>
      </c>
      <c r="G1" s="2" t="s">
        <v>8</v>
      </c>
      <c r="H1" s="2" t="s">
        <v>9</v>
      </c>
      <c r="I1" s="1" t="s">
        <v>10</v>
      </c>
      <c r="J1" s="2" t="s">
        <v>11</v>
      </c>
      <c r="K1" s="1" t="s">
        <v>12</v>
      </c>
      <c r="L1" s="2" t="s">
        <v>13</v>
      </c>
      <c r="M1" s="3" t="s">
        <v>14</v>
      </c>
      <c r="N1" s="4" t="s">
        <v>15</v>
      </c>
      <c r="O1" s="5" t="s">
        <v>16</v>
      </c>
      <c r="P1" s="4" t="s">
        <v>17</v>
      </c>
      <c r="Q1" s="5" t="s">
        <v>18</v>
      </c>
      <c r="R1" s="4" t="s">
        <v>19</v>
      </c>
      <c r="S1" s="4" t="s">
        <v>20</v>
      </c>
      <c r="T1" s="4" t="s">
        <v>21</v>
      </c>
      <c r="U1" s="4" t="s">
        <v>22</v>
      </c>
    </row>
    <row r="2" spans="1:21" x14ac:dyDescent="0.2">
      <c r="A2" s="18" t="s">
        <v>30</v>
      </c>
      <c r="B2" s="18" t="s">
        <v>31</v>
      </c>
      <c r="C2" s="18" t="s">
        <v>32</v>
      </c>
      <c r="D2" s="18" t="s">
        <v>66</v>
      </c>
      <c r="E2" s="18" t="s">
        <v>67</v>
      </c>
      <c r="F2" s="18" t="s">
        <v>68</v>
      </c>
      <c r="G2" s="18" t="s">
        <v>69</v>
      </c>
      <c r="H2" s="18" t="s">
        <v>23</v>
      </c>
      <c r="I2" s="18" t="s">
        <v>30</v>
      </c>
      <c r="J2" s="18" t="s">
        <v>31</v>
      </c>
      <c r="K2" s="24">
        <v>0.5</v>
      </c>
      <c r="L2" s="18" t="s">
        <v>33</v>
      </c>
      <c r="M2" s="18">
        <v>2019</v>
      </c>
      <c r="N2" s="18" t="s">
        <v>24</v>
      </c>
      <c r="O2" s="25" t="s">
        <v>24</v>
      </c>
      <c r="P2" s="18" t="s">
        <v>24</v>
      </c>
      <c r="Q2" s="25" t="s">
        <v>24</v>
      </c>
      <c r="R2" s="26">
        <v>100</v>
      </c>
      <c r="S2" s="27">
        <v>0.5</v>
      </c>
      <c r="T2" s="27">
        <v>0</v>
      </c>
      <c r="U2" s="27">
        <v>0</v>
      </c>
    </row>
    <row r="3" spans="1:21" x14ac:dyDescent="0.2">
      <c r="A3" s="18" t="s">
        <v>30</v>
      </c>
      <c r="B3" s="18" t="s">
        <v>31</v>
      </c>
      <c r="C3" s="18" t="s">
        <v>32</v>
      </c>
      <c r="D3" s="18" t="s">
        <v>66</v>
      </c>
      <c r="E3" s="18" t="s">
        <v>67</v>
      </c>
      <c r="F3" s="18" t="s">
        <v>68</v>
      </c>
      <c r="G3" s="18" t="s">
        <v>28</v>
      </c>
      <c r="H3" s="18" t="s">
        <v>23</v>
      </c>
      <c r="I3" s="18" t="s">
        <v>30</v>
      </c>
      <c r="J3" s="18" t="s">
        <v>31</v>
      </c>
      <c r="K3" s="24">
        <v>0.5</v>
      </c>
      <c r="L3" s="18" t="s">
        <v>33</v>
      </c>
      <c r="M3" s="18">
        <v>2019</v>
      </c>
      <c r="N3" s="18" t="s">
        <v>24</v>
      </c>
      <c r="O3" s="25" t="s">
        <v>24</v>
      </c>
      <c r="P3" s="18" t="s">
        <v>24</v>
      </c>
      <c r="Q3" s="25" t="s">
        <v>24</v>
      </c>
      <c r="R3" s="26">
        <v>100</v>
      </c>
      <c r="S3" s="27">
        <v>0.5</v>
      </c>
      <c r="T3" s="27">
        <v>0</v>
      </c>
      <c r="U3" s="27">
        <v>0</v>
      </c>
    </row>
    <row r="4" spans="1:21" x14ac:dyDescent="0.2">
      <c r="A4" s="18" t="s">
        <v>30</v>
      </c>
      <c r="B4" s="18" t="s">
        <v>31</v>
      </c>
      <c r="C4" s="18" t="s">
        <v>32</v>
      </c>
      <c r="D4" s="18" t="s">
        <v>70</v>
      </c>
      <c r="E4" s="18" t="s">
        <v>71</v>
      </c>
      <c r="F4" s="18" t="s">
        <v>72</v>
      </c>
      <c r="G4" s="18" t="s">
        <v>36</v>
      </c>
      <c r="H4" s="18" t="s">
        <v>23</v>
      </c>
      <c r="I4" s="18" t="s">
        <v>30</v>
      </c>
      <c r="J4" s="18" t="s">
        <v>31</v>
      </c>
      <c r="K4" s="24">
        <v>0.5</v>
      </c>
      <c r="L4" s="18" t="s">
        <v>33</v>
      </c>
      <c r="M4" s="18">
        <v>2019</v>
      </c>
      <c r="N4" s="18" t="s">
        <v>25</v>
      </c>
      <c r="O4" s="25" t="s">
        <v>27</v>
      </c>
      <c r="P4" s="18" t="s">
        <v>24</v>
      </c>
      <c r="Q4" s="25" t="s">
        <v>24</v>
      </c>
      <c r="R4" s="26">
        <v>90</v>
      </c>
      <c r="S4" s="27">
        <v>0.45</v>
      </c>
      <c r="T4" s="27">
        <v>0.05</v>
      </c>
      <c r="U4" s="27">
        <v>0</v>
      </c>
    </row>
    <row r="5" spans="1:21" ht="12" thickBot="1" x14ac:dyDescent="0.25">
      <c r="A5" s="18" t="s">
        <v>30</v>
      </c>
      <c r="B5" s="18" t="s">
        <v>31</v>
      </c>
      <c r="C5" s="18" t="s">
        <v>32</v>
      </c>
      <c r="D5" s="18" t="s">
        <v>70</v>
      </c>
      <c r="E5" s="18" t="s">
        <v>71</v>
      </c>
      <c r="F5" s="18" t="s">
        <v>72</v>
      </c>
      <c r="G5" s="18" t="s">
        <v>35</v>
      </c>
      <c r="H5" s="18" t="s">
        <v>23</v>
      </c>
      <c r="I5" s="18" t="s">
        <v>30</v>
      </c>
      <c r="J5" s="18" t="s">
        <v>31</v>
      </c>
      <c r="K5" s="24">
        <v>0.5</v>
      </c>
      <c r="L5" s="18" t="s">
        <v>33</v>
      </c>
      <c r="M5" s="18">
        <v>2019</v>
      </c>
      <c r="N5" s="18" t="s">
        <v>29</v>
      </c>
      <c r="O5" s="25" t="s">
        <v>27</v>
      </c>
      <c r="P5" s="18" t="s">
        <v>24</v>
      </c>
      <c r="Q5" s="25" t="s">
        <v>24</v>
      </c>
      <c r="R5" s="26">
        <v>90</v>
      </c>
      <c r="S5" s="27">
        <v>0.45</v>
      </c>
      <c r="T5" s="27">
        <v>0.05</v>
      </c>
      <c r="U5" s="27">
        <v>0</v>
      </c>
    </row>
    <row r="6" spans="1:21" ht="12" thickBot="1" x14ac:dyDescent="0.25">
      <c r="A6" s="19" t="s">
        <v>30</v>
      </c>
      <c r="B6" s="19" t="s">
        <v>31</v>
      </c>
      <c r="C6" s="19" t="s">
        <v>32</v>
      </c>
      <c r="D6" s="19" t="s">
        <v>74</v>
      </c>
      <c r="E6" s="19" t="s">
        <v>75</v>
      </c>
      <c r="F6" s="19" t="s">
        <v>76</v>
      </c>
      <c r="G6" s="20" t="s">
        <v>38</v>
      </c>
      <c r="H6" s="21" t="s">
        <v>23</v>
      </c>
      <c r="I6" s="21" t="s">
        <v>30</v>
      </c>
      <c r="J6" s="22" t="s">
        <v>31</v>
      </c>
      <c r="K6" s="28">
        <v>0.5</v>
      </c>
      <c r="L6" s="28" t="s">
        <v>33</v>
      </c>
      <c r="M6" s="17">
        <v>2020</v>
      </c>
      <c r="N6" s="17" t="s">
        <v>25</v>
      </c>
      <c r="O6" s="23">
        <v>50</v>
      </c>
      <c r="P6" s="17" t="s">
        <v>24</v>
      </c>
      <c r="Q6" s="23">
        <v>0</v>
      </c>
      <c r="R6" s="17">
        <v>50</v>
      </c>
      <c r="S6" s="17">
        <v>0.25</v>
      </c>
      <c r="T6" s="17">
        <v>0.25</v>
      </c>
      <c r="U6" s="17">
        <v>0</v>
      </c>
    </row>
    <row r="7" spans="1:21" ht="12" thickBot="1" x14ac:dyDescent="0.25">
      <c r="A7" s="19" t="s">
        <v>30</v>
      </c>
      <c r="B7" s="19" t="s">
        <v>31</v>
      </c>
      <c r="C7" s="19" t="s">
        <v>32</v>
      </c>
      <c r="D7" s="19" t="s">
        <v>77</v>
      </c>
      <c r="E7" s="19" t="s">
        <v>78</v>
      </c>
      <c r="F7" s="19" t="s">
        <v>79</v>
      </c>
      <c r="G7" s="20" t="s">
        <v>80</v>
      </c>
      <c r="H7" s="21" t="s">
        <v>23</v>
      </c>
      <c r="I7" s="21" t="s">
        <v>30</v>
      </c>
      <c r="J7" s="22" t="s">
        <v>31</v>
      </c>
      <c r="K7" s="28">
        <v>0.5</v>
      </c>
      <c r="L7" s="28" t="s">
        <v>33</v>
      </c>
      <c r="M7" s="17">
        <v>2020</v>
      </c>
      <c r="N7" s="17" t="s">
        <v>24</v>
      </c>
      <c r="O7" s="23" t="s">
        <v>24</v>
      </c>
      <c r="P7" s="17" t="s">
        <v>24</v>
      </c>
      <c r="Q7" s="23" t="s">
        <v>24</v>
      </c>
      <c r="R7" s="17">
        <v>100</v>
      </c>
      <c r="S7" s="17">
        <v>0.5</v>
      </c>
      <c r="T7" s="17">
        <v>0</v>
      </c>
      <c r="U7" s="17">
        <v>0</v>
      </c>
    </row>
    <row r="8" spans="1:21" ht="12" thickBot="1" x14ac:dyDescent="0.25">
      <c r="A8" s="19" t="s">
        <v>30</v>
      </c>
      <c r="B8" s="19" t="s">
        <v>31</v>
      </c>
      <c r="C8" s="19" t="s">
        <v>32</v>
      </c>
      <c r="D8" s="19" t="s">
        <v>77</v>
      </c>
      <c r="E8" s="19" t="s">
        <v>78</v>
      </c>
      <c r="F8" s="19" t="s">
        <v>79</v>
      </c>
      <c r="G8" s="20" t="s">
        <v>34</v>
      </c>
      <c r="H8" s="21" t="s">
        <v>23</v>
      </c>
      <c r="I8" s="21" t="s">
        <v>30</v>
      </c>
      <c r="J8" s="22" t="s">
        <v>31</v>
      </c>
      <c r="K8" s="28">
        <v>0.5</v>
      </c>
      <c r="L8" s="28" t="s">
        <v>33</v>
      </c>
      <c r="M8" s="17">
        <v>2020</v>
      </c>
      <c r="N8" s="17" t="s">
        <v>25</v>
      </c>
      <c r="O8" s="23">
        <v>30</v>
      </c>
      <c r="P8" s="17" t="s">
        <v>24</v>
      </c>
      <c r="Q8" s="23">
        <v>0</v>
      </c>
      <c r="R8" s="17">
        <v>70</v>
      </c>
      <c r="S8" s="17">
        <v>0.35</v>
      </c>
      <c r="T8" s="17">
        <v>0.15</v>
      </c>
      <c r="U8" s="17">
        <v>0</v>
      </c>
    </row>
    <row r="9" spans="1:21" ht="12" thickBot="1" x14ac:dyDescent="0.25">
      <c r="A9" s="19" t="s">
        <v>30</v>
      </c>
      <c r="B9" s="19" t="s">
        <v>31</v>
      </c>
      <c r="C9" s="19" t="s">
        <v>32</v>
      </c>
      <c r="D9" s="19" t="s">
        <v>81</v>
      </c>
      <c r="E9" s="19" t="s">
        <v>104</v>
      </c>
      <c r="F9" s="19" t="s">
        <v>82</v>
      </c>
      <c r="G9" s="20" t="s">
        <v>83</v>
      </c>
      <c r="H9" s="21" t="s">
        <v>23</v>
      </c>
      <c r="I9" s="21" t="s">
        <v>30</v>
      </c>
      <c r="J9" s="22" t="s">
        <v>31</v>
      </c>
      <c r="K9" s="28">
        <v>0.33333333333333331</v>
      </c>
      <c r="L9" s="28" t="s">
        <v>33</v>
      </c>
      <c r="M9" s="17">
        <v>2020</v>
      </c>
      <c r="N9" s="17" t="s">
        <v>24</v>
      </c>
      <c r="O9" s="23" t="s">
        <v>24</v>
      </c>
      <c r="P9" s="17" t="s">
        <v>24</v>
      </c>
      <c r="Q9" s="23" t="s">
        <v>24</v>
      </c>
      <c r="R9" s="17">
        <v>100</v>
      </c>
      <c r="S9" s="17">
        <v>0.33333333333333326</v>
      </c>
      <c r="T9" s="17">
        <v>0</v>
      </c>
      <c r="U9" s="17">
        <v>0</v>
      </c>
    </row>
    <row r="10" spans="1:21" ht="12" thickBot="1" x14ac:dyDescent="0.25">
      <c r="A10" s="19" t="s">
        <v>30</v>
      </c>
      <c r="B10" s="19" t="s">
        <v>31</v>
      </c>
      <c r="C10" s="19" t="s">
        <v>32</v>
      </c>
      <c r="D10" s="19" t="s">
        <v>81</v>
      </c>
      <c r="E10" s="19" t="s">
        <v>104</v>
      </c>
      <c r="F10" s="19" t="s">
        <v>82</v>
      </c>
      <c r="G10" s="20" t="s">
        <v>37</v>
      </c>
      <c r="H10" s="21" t="s">
        <v>23</v>
      </c>
      <c r="I10" s="21" t="s">
        <v>30</v>
      </c>
      <c r="J10" s="22" t="s">
        <v>31</v>
      </c>
      <c r="K10" s="28">
        <v>0.33333333333333331</v>
      </c>
      <c r="L10" s="28" t="s">
        <v>33</v>
      </c>
      <c r="M10" s="17">
        <v>2020</v>
      </c>
      <c r="N10" s="17" t="s">
        <v>29</v>
      </c>
      <c r="O10" s="23">
        <v>10</v>
      </c>
      <c r="P10" s="17" t="s">
        <v>25</v>
      </c>
      <c r="Q10" s="23">
        <v>10</v>
      </c>
      <c r="R10" s="17">
        <v>80</v>
      </c>
      <c r="S10" s="17">
        <v>0.26666666666666666</v>
      </c>
      <c r="T10" s="17">
        <v>3.3333333333333333E-2</v>
      </c>
      <c r="U10" s="17">
        <v>3.3333333333333333E-2</v>
      </c>
    </row>
    <row r="11" spans="1:21" ht="12" thickBot="1" x14ac:dyDescent="0.25">
      <c r="A11" s="19" t="s">
        <v>30</v>
      </c>
      <c r="B11" s="19" t="s">
        <v>31</v>
      </c>
      <c r="C11" s="19" t="s">
        <v>32</v>
      </c>
      <c r="D11" s="19" t="s">
        <v>81</v>
      </c>
      <c r="E11" s="19" t="s">
        <v>104</v>
      </c>
      <c r="F11" s="19" t="s">
        <v>82</v>
      </c>
      <c r="G11" s="20" t="s">
        <v>105</v>
      </c>
      <c r="H11" s="21" t="s">
        <v>23</v>
      </c>
      <c r="I11" s="21" t="s">
        <v>30</v>
      </c>
      <c r="J11" s="22" t="s">
        <v>31</v>
      </c>
      <c r="K11" s="28">
        <v>0.33333333333333331</v>
      </c>
      <c r="L11" s="28" t="s">
        <v>33</v>
      </c>
      <c r="M11" s="17">
        <v>2020</v>
      </c>
      <c r="N11" s="17" t="s">
        <v>24</v>
      </c>
      <c r="O11" s="23" t="s">
        <v>24</v>
      </c>
      <c r="P11" s="17" t="s">
        <v>24</v>
      </c>
      <c r="Q11" s="23" t="s">
        <v>24</v>
      </c>
      <c r="R11" s="17">
        <v>100</v>
      </c>
      <c r="S11" s="17">
        <v>0.33333333333333326</v>
      </c>
      <c r="T11" s="17">
        <v>0</v>
      </c>
      <c r="U11" s="17">
        <v>0</v>
      </c>
    </row>
    <row r="12" spans="1:21" ht="12" thickBot="1" x14ac:dyDescent="0.25">
      <c r="A12" s="19" t="s">
        <v>30</v>
      </c>
      <c r="B12" s="19" t="s">
        <v>31</v>
      </c>
      <c r="C12" s="19" t="s">
        <v>32</v>
      </c>
      <c r="D12" s="19" t="s">
        <v>84</v>
      </c>
      <c r="E12" s="19" t="s">
        <v>85</v>
      </c>
      <c r="F12" s="19" t="s">
        <v>86</v>
      </c>
      <c r="G12" s="20" t="s">
        <v>37</v>
      </c>
      <c r="H12" s="21" t="s">
        <v>23</v>
      </c>
      <c r="I12" s="21" t="s">
        <v>30</v>
      </c>
      <c r="J12" s="22" t="s">
        <v>31</v>
      </c>
      <c r="K12" s="28">
        <v>0.5</v>
      </c>
      <c r="L12" s="28" t="s">
        <v>33</v>
      </c>
      <c r="M12" s="17">
        <v>2020</v>
      </c>
      <c r="N12" s="17" t="s">
        <v>29</v>
      </c>
      <c r="O12" s="23">
        <v>10</v>
      </c>
      <c r="P12" s="17" t="s">
        <v>25</v>
      </c>
      <c r="Q12" s="23">
        <v>10</v>
      </c>
      <c r="R12" s="17">
        <v>80</v>
      </c>
      <c r="S12" s="17">
        <v>0.4</v>
      </c>
      <c r="T12" s="17">
        <v>0.05</v>
      </c>
      <c r="U12" s="17">
        <v>0.05</v>
      </c>
    </row>
    <row r="13" spans="1:21" ht="12" thickBot="1" x14ac:dyDescent="0.25">
      <c r="A13" s="19" t="s">
        <v>30</v>
      </c>
      <c r="B13" s="19" t="s">
        <v>31</v>
      </c>
      <c r="C13" s="19" t="s">
        <v>32</v>
      </c>
      <c r="D13" s="19" t="s">
        <v>84</v>
      </c>
      <c r="E13" s="19" t="s">
        <v>85</v>
      </c>
      <c r="F13" s="19" t="s">
        <v>86</v>
      </c>
      <c r="G13" s="20" t="s">
        <v>28</v>
      </c>
      <c r="H13" s="21" t="s">
        <v>23</v>
      </c>
      <c r="I13" s="21" t="s">
        <v>30</v>
      </c>
      <c r="J13" s="22" t="s">
        <v>31</v>
      </c>
      <c r="K13" s="28">
        <v>0.5</v>
      </c>
      <c r="L13" s="28" t="s">
        <v>33</v>
      </c>
      <c r="M13" s="17">
        <v>2020</v>
      </c>
      <c r="N13" s="17" t="s">
        <v>24</v>
      </c>
      <c r="O13" s="23" t="s">
        <v>24</v>
      </c>
      <c r="P13" s="17" t="s">
        <v>24</v>
      </c>
      <c r="Q13" s="23" t="s">
        <v>24</v>
      </c>
      <c r="R13" s="17">
        <v>100</v>
      </c>
      <c r="S13" s="17">
        <v>0.5</v>
      </c>
      <c r="T13" s="17">
        <v>0</v>
      </c>
      <c r="U13" s="17">
        <v>0</v>
      </c>
    </row>
    <row r="14" spans="1:21" ht="12" thickBot="1" x14ac:dyDescent="0.25">
      <c r="A14" s="19" t="s">
        <v>30</v>
      </c>
      <c r="B14" s="19" t="s">
        <v>31</v>
      </c>
      <c r="C14" s="19" t="s">
        <v>32</v>
      </c>
      <c r="D14" s="19" t="s">
        <v>87</v>
      </c>
      <c r="E14" s="19" t="s">
        <v>88</v>
      </c>
      <c r="F14" s="19" t="s">
        <v>89</v>
      </c>
      <c r="G14" s="20" t="s">
        <v>28</v>
      </c>
      <c r="H14" s="21" t="s">
        <v>23</v>
      </c>
      <c r="I14" s="21" t="s">
        <v>30</v>
      </c>
      <c r="J14" s="22" t="s">
        <v>31</v>
      </c>
      <c r="K14" s="28">
        <v>1</v>
      </c>
      <c r="L14" s="28" t="s">
        <v>33</v>
      </c>
      <c r="M14" s="17">
        <v>2020</v>
      </c>
      <c r="N14" s="17" t="s">
        <v>24</v>
      </c>
      <c r="O14" s="23" t="s">
        <v>24</v>
      </c>
      <c r="P14" s="17" t="s">
        <v>24</v>
      </c>
      <c r="Q14" s="23" t="s">
        <v>24</v>
      </c>
      <c r="R14" s="17">
        <v>100</v>
      </c>
      <c r="S14" s="17">
        <v>1</v>
      </c>
      <c r="T14" s="17">
        <v>0</v>
      </c>
      <c r="U14" s="17">
        <v>0</v>
      </c>
    </row>
    <row r="15" spans="1:21" ht="12" thickBot="1" x14ac:dyDescent="0.25">
      <c r="A15" s="19" t="s">
        <v>90</v>
      </c>
      <c r="B15" s="19" t="s">
        <v>91</v>
      </c>
      <c r="C15" s="19" t="s">
        <v>92</v>
      </c>
      <c r="D15" s="19" t="s">
        <v>93</v>
      </c>
      <c r="E15" s="19" t="s">
        <v>94</v>
      </c>
      <c r="F15" s="19" t="s">
        <v>95</v>
      </c>
      <c r="G15" s="20" t="s">
        <v>36</v>
      </c>
      <c r="H15" s="21" t="s">
        <v>23</v>
      </c>
      <c r="I15" s="21" t="s">
        <v>30</v>
      </c>
      <c r="J15" s="22" t="s">
        <v>31</v>
      </c>
      <c r="K15" s="28">
        <v>0.5</v>
      </c>
      <c r="L15" s="28" t="s">
        <v>33</v>
      </c>
      <c r="M15" s="17">
        <v>2020</v>
      </c>
      <c r="N15" s="17" t="s">
        <v>25</v>
      </c>
      <c r="O15" s="23">
        <v>10</v>
      </c>
      <c r="P15" s="17" t="s">
        <v>117</v>
      </c>
      <c r="Q15" s="23">
        <v>10</v>
      </c>
      <c r="R15" s="17">
        <v>80</v>
      </c>
      <c r="S15" s="17">
        <v>0.4</v>
      </c>
      <c r="T15" s="17">
        <v>0.05</v>
      </c>
      <c r="U15" s="17">
        <v>0.05</v>
      </c>
    </row>
    <row r="16" spans="1:21" x14ac:dyDescent="0.2">
      <c r="A16" s="46" t="s">
        <v>30</v>
      </c>
      <c r="B16" s="46" t="s">
        <v>31</v>
      </c>
      <c r="C16" s="17" t="s">
        <v>32</v>
      </c>
      <c r="D16" s="17" t="s">
        <v>96</v>
      </c>
      <c r="E16" s="17" t="s">
        <v>97</v>
      </c>
      <c r="F16" s="17" t="s">
        <v>98</v>
      </c>
      <c r="G16" s="17" t="s">
        <v>37</v>
      </c>
      <c r="H16" s="17" t="s">
        <v>23</v>
      </c>
      <c r="I16" s="17" t="s">
        <v>30</v>
      </c>
      <c r="J16" s="17" t="s">
        <v>31</v>
      </c>
      <c r="K16" s="28">
        <v>0.5</v>
      </c>
      <c r="L16" s="28" t="s">
        <v>33</v>
      </c>
      <c r="M16" s="17">
        <v>2020</v>
      </c>
      <c r="N16" s="17" t="s">
        <v>29</v>
      </c>
      <c r="O16" s="23">
        <v>10</v>
      </c>
      <c r="P16" s="17" t="s">
        <v>25</v>
      </c>
      <c r="Q16" s="23">
        <v>10</v>
      </c>
      <c r="R16" s="17">
        <v>80</v>
      </c>
      <c r="S16" s="17">
        <v>0.4</v>
      </c>
      <c r="T16" s="17">
        <v>0.05</v>
      </c>
      <c r="U16" s="17">
        <v>0.05</v>
      </c>
    </row>
    <row r="17" spans="1:22" x14ac:dyDescent="0.2">
      <c r="A17" s="17" t="s">
        <v>30</v>
      </c>
      <c r="B17" s="17" t="s">
        <v>31</v>
      </c>
      <c r="C17" s="17" t="s">
        <v>32</v>
      </c>
      <c r="D17" s="17" t="s">
        <v>106</v>
      </c>
      <c r="E17" s="17" t="s">
        <v>107</v>
      </c>
      <c r="F17" s="17" t="s">
        <v>108</v>
      </c>
      <c r="G17" s="17" t="s">
        <v>35</v>
      </c>
      <c r="H17" s="17" t="s">
        <v>26</v>
      </c>
      <c r="I17" s="17" t="s">
        <v>30</v>
      </c>
      <c r="J17" s="17" t="s">
        <v>31</v>
      </c>
      <c r="K17" s="28">
        <v>1</v>
      </c>
      <c r="L17" s="28" t="s">
        <v>33</v>
      </c>
      <c r="M17" s="17">
        <v>2021</v>
      </c>
      <c r="N17" s="17" t="s">
        <v>29</v>
      </c>
      <c r="O17" s="23">
        <v>10</v>
      </c>
      <c r="P17" s="17" t="s">
        <v>24</v>
      </c>
      <c r="Q17" s="23">
        <v>0</v>
      </c>
      <c r="R17" s="17">
        <v>90</v>
      </c>
      <c r="S17" s="17">
        <v>0.9</v>
      </c>
      <c r="T17" s="17">
        <v>0.1</v>
      </c>
      <c r="U17" s="17">
        <v>0</v>
      </c>
    </row>
    <row r="18" spans="1:22" x14ac:dyDescent="0.2">
      <c r="A18" s="17" t="s">
        <v>30</v>
      </c>
      <c r="B18" s="17" t="s">
        <v>31</v>
      </c>
      <c r="C18" s="17" t="s">
        <v>32</v>
      </c>
      <c r="D18" s="17" t="s">
        <v>109</v>
      </c>
      <c r="E18" s="17" t="s">
        <v>110</v>
      </c>
      <c r="F18" s="17" t="s">
        <v>111</v>
      </c>
      <c r="G18" s="17" t="s">
        <v>37</v>
      </c>
      <c r="H18" s="17" t="s">
        <v>23</v>
      </c>
      <c r="I18" s="17" t="s">
        <v>30</v>
      </c>
      <c r="J18" s="17" t="s">
        <v>31</v>
      </c>
      <c r="K18" s="28">
        <v>0.5</v>
      </c>
      <c r="L18" s="28" t="s">
        <v>33</v>
      </c>
      <c r="M18" s="17">
        <v>2021</v>
      </c>
      <c r="N18" s="17" t="s">
        <v>29</v>
      </c>
      <c r="O18" s="23">
        <v>10</v>
      </c>
      <c r="P18" s="17" t="s">
        <v>25</v>
      </c>
      <c r="Q18" s="23">
        <v>10</v>
      </c>
      <c r="R18" s="17">
        <v>80</v>
      </c>
      <c r="S18" s="17">
        <v>0.4</v>
      </c>
      <c r="T18" s="17">
        <v>0.05</v>
      </c>
      <c r="U18" s="17">
        <v>0.05</v>
      </c>
    </row>
    <row r="19" spans="1:22" x14ac:dyDescent="0.2">
      <c r="A19" s="17" t="s">
        <v>30</v>
      </c>
      <c r="B19" s="17" t="s">
        <v>31</v>
      </c>
      <c r="C19" s="17" t="s">
        <v>32</v>
      </c>
      <c r="D19" s="17" t="s">
        <v>109</v>
      </c>
      <c r="E19" s="17" t="s">
        <v>110</v>
      </c>
      <c r="F19" s="17" t="s">
        <v>111</v>
      </c>
      <c r="G19" s="17" t="s">
        <v>105</v>
      </c>
      <c r="H19" s="17" t="s">
        <v>23</v>
      </c>
      <c r="I19" s="17" t="s">
        <v>30</v>
      </c>
      <c r="J19" s="17" t="s">
        <v>31</v>
      </c>
      <c r="K19" s="28">
        <v>0.5</v>
      </c>
      <c r="L19" s="28" t="s">
        <v>33</v>
      </c>
      <c r="M19" s="17">
        <v>2021</v>
      </c>
      <c r="N19" s="17" t="s">
        <v>24</v>
      </c>
      <c r="O19" s="23" t="s">
        <v>24</v>
      </c>
      <c r="P19" s="17" t="s">
        <v>24</v>
      </c>
      <c r="Q19" s="23" t="s">
        <v>24</v>
      </c>
      <c r="R19" s="17">
        <v>100</v>
      </c>
      <c r="S19" s="17">
        <v>0.5</v>
      </c>
      <c r="T19" s="17">
        <v>0</v>
      </c>
      <c r="U19" s="17">
        <v>0</v>
      </c>
    </row>
    <row r="20" spans="1:22" x14ac:dyDescent="0.2">
      <c r="A20" s="17" t="s">
        <v>118</v>
      </c>
      <c r="B20" s="17" t="s">
        <v>112</v>
      </c>
      <c r="C20" s="17" t="s">
        <v>113</v>
      </c>
      <c r="D20" s="17" t="s">
        <v>114</v>
      </c>
      <c r="E20" s="17" t="s">
        <v>115</v>
      </c>
      <c r="F20" s="17" t="s">
        <v>116</v>
      </c>
      <c r="G20" s="17" t="s">
        <v>37</v>
      </c>
      <c r="H20" s="17" t="s">
        <v>26</v>
      </c>
      <c r="I20" s="17" t="s">
        <v>30</v>
      </c>
      <c r="J20" s="17" t="s">
        <v>31</v>
      </c>
      <c r="K20" s="28">
        <v>1</v>
      </c>
      <c r="L20" s="28" t="s">
        <v>33</v>
      </c>
      <c r="M20" s="17">
        <v>2021</v>
      </c>
      <c r="N20" s="17" t="s">
        <v>29</v>
      </c>
      <c r="O20" s="23">
        <v>10</v>
      </c>
      <c r="P20" s="17" t="s">
        <v>25</v>
      </c>
      <c r="Q20" s="23">
        <v>10</v>
      </c>
      <c r="R20" s="17">
        <v>80</v>
      </c>
      <c r="S20" s="17">
        <v>0.8</v>
      </c>
      <c r="T20" s="17">
        <v>0.1</v>
      </c>
      <c r="U20" s="17">
        <v>0.1</v>
      </c>
    </row>
    <row r="21" spans="1:22" customFormat="1" ht="15" x14ac:dyDescent="0.25">
      <c r="A21" s="17" t="s">
        <v>30</v>
      </c>
      <c r="B21" s="17" t="s">
        <v>31</v>
      </c>
      <c r="C21" s="17" t="s">
        <v>32</v>
      </c>
      <c r="D21" s="17" t="s">
        <v>134</v>
      </c>
      <c r="E21" s="17" t="s">
        <v>135</v>
      </c>
      <c r="F21" s="17" t="s">
        <v>136</v>
      </c>
      <c r="G21" s="17" t="s">
        <v>137</v>
      </c>
      <c r="H21" s="17" t="s">
        <v>26</v>
      </c>
      <c r="I21" s="17" t="s">
        <v>30</v>
      </c>
      <c r="J21" s="17" t="s">
        <v>31</v>
      </c>
      <c r="K21" s="33">
        <v>1</v>
      </c>
      <c r="L21" s="33" t="s">
        <v>33</v>
      </c>
      <c r="M21" s="17">
        <v>2021</v>
      </c>
      <c r="N21" s="33" t="s">
        <v>24</v>
      </c>
      <c r="O21" s="33" t="s">
        <v>24</v>
      </c>
      <c r="P21" s="33" t="s">
        <v>24</v>
      </c>
      <c r="Q21" s="33" t="s">
        <v>24</v>
      </c>
      <c r="R21" s="33">
        <v>100</v>
      </c>
      <c r="S21" s="33">
        <v>1</v>
      </c>
      <c r="T21" s="33">
        <v>0</v>
      </c>
      <c r="U21" s="33">
        <v>0</v>
      </c>
      <c r="V21" s="34" t="s">
        <v>138</v>
      </c>
    </row>
    <row r="22" spans="1:22" customFormat="1" ht="15" x14ac:dyDescent="0.25">
      <c r="A22" s="17" t="s">
        <v>30</v>
      </c>
      <c r="B22" s="17" t="s">
        <v>31</v>
      </c>
      <c r="C22" s="17" t="s">
        <v>32</v>
      </c>
      <c r="D22" s="17" t="s">
        <v>139</v>
      </c>
      <c r="E22" s="17" t="s">
        <v>140</v>
      </c>
      <c r="F22" s="17" t="s">
        <v>141</v>
      </c>
      <c r="G22" s="17" t="s">
        <v>80</v>
      </c>
      <c r="H22" s="17" t="s">
        <v>23</v>
      </c>
      <c r="I22" s="17" t="s">
        <v>30</v>
      </c>
      <c r="J22" s="17" t="s">
        <v>31</v>
      </c>
      <c r="K22" s="33">
        <v>0.5</v>
      </c>
      <c r="L22" s="33" t="s">
        <v>33</v>
      </c>
      <c r="M22" s="17">
        <v>2022</v>
      </c>
      <c r="N22" s="33" t="s">
        <v>24</v>
      </c>
      <c r="O22" s="33" t="s">
        <v>24</v>
      </c>
      <c r="P22" s="33" t="s">
        <v>24</v>
      </c>
      <c r="Q22" s="33" t="s">
        <v>24</v>
      </c>
      <c r="R22" s="33">
        <v>100</v>
      </c>
      <c r="S22" s="33">
        <v>0.5</v>
      </c>
      <c r="T22" s="33">
        <v>0</v>
      </c>
      <c r="U22" s="33">
        <v>0</v>
      </c>
    </row>
    <row r="23" spans="1:22" customFormat="1" ht="15" x14ac:dyDescent="0.25">
      <c r="A23" s="17" t="s">
        <v>30</v>
      </c>
      <c r="B23" s="17" t="s">
        <v>31</v>
      </c>
      <c r="C23" s="17" t="s">
        <v>32</v>
      </c>
      <c r="D23" s="17" t="s">
        <v>139</v>
      </c>
      <c r="E23" s="17" t="s">
        <v>140</v>
      </c>
      <c r="F23" s="17" t="s">
        <v>141</v>
      </c>
      <c r="G23" s="17" t="s">
        <v>34</v>
      </c>
      <c r="H23" s="17" t="s">
        <v>23</v>
      </c>
      <c r="I23" s="17" t="s">
        <v>30</v>
      </c>
      <c r="J23" s="17" t="s">
        <v>31</v>
      </c>
      <c r="K23" s="33">
        <v>0.5</v>
      </c>
      <c r="L23" s="33" t="s">
        <v>33</v>
      </c>
      <c r="M23" s="17">
        <v>2022</v>
      </c>
      <c r="N23" s="33" t="s">
        <v>25</v>
      </c>
      <c r="O23" s="33">
        <v>30</v>
      </c>
      <c r="P23" s="33" t="s">
        <v>24</v>
      </c>
      <c r="Q23" s="33">
        <v>0</v>
      </c>
      <c r="R23" s="33">
        <v>70</v>
      </c>
      <c r="S23" s="33">
        <v>0.35</v>
      </c>
      <c r="T23" s="33">
        <v>0.15</v>
      </c>
      <c r="U23" s="33">
        <v>0</v>
      </c>
    </row>
    <row r="24" spans="1:22" customFormat="1" ht="15" x14ac:dyDescent="0.25">
      <c r="A24" s="17" t="s">
        <v>142</v>
      </c>
      <c r="B24" s="17" t="s">
        <v>143</v>
      </c>
      <c r="C24" s="17" t="s">
        <v>144</v>
      </c>
      <c r="D24" s="17" t="s">
        <v>145</v>
      </c>
      <c r="E24" s="17" t="s">
        <v>146</v>
      </c>
      <c r="F24" s="17" t="s">
        <v>147</v>
      </c>
      <c r="G24" s="17" t="s">
        <v>148</v>
      </c>
      <c r="H24" s="17" t="s">
        <v>23</v>
      </c>
      <c r="I24" s="17" t="s">
        <v>30</v>
      </c>
      <c r="J24" s="17" t="s">
        <v>31</v>
      </c>
      <c r="K24" s="33">
        <v>0.5</v>
      </c>
      <c r="L24" s="33" t="s">
        <v>33</v>
      </c>
      <c r="M24" s="17">
        <v>2022</v>
      </c>
      <c r="N24" s="33" t="s">
        <v>24</v>
      </c>
      <c r="O24" s="33" t="s">
        <v>24</v>
      </c>
      <c r="P24" s="33" t="s">
        <v>24</v>
      </c>
      <c r="Q24" s="33" t="s">
        <v>24</v>
      </c>
      <c r="R24" s="33">
        <v>100</v>
      </c>
      <c r="S24" s="33">
        <v>0.5</v>
      </c>
      <c r="T24" s="33">
        <v>0</v>
      </c>
      <c r="U24" s="33">
        <v>0</v>
      </c>
    </row>
    <row r="25" spans="1:22" customFormat="1" ht="15" x14ac:dyDescent="0.25">
      <c r="A25" s="17" t="s">
        <v>33</v>
      </c>
      <c r="B25" s="17" t="s">
        <v>184</v>
      </c>
      <c r="C25" s="17" t="s">
        <v>185</v>
      </c>
      <c r="D25" s="17" t="s">
        <v>186</v>
      </c>
      <c r="E25" s="17" t="s">
        <v>187</v>
      </c>
      <c r="F25" s="17" t="s">
        <v>188</v>
      </c>
      <c r="G25" s="17" t="s">
        <v>62</v>
      </c>
      <c r="H25" s="17" t="s">
        <v>189</v>
      </c>
      <c r="I25" s="17" t="s">
        <v>33</v>
      </c>
      <c r="J25" s="17" t="s">
        <v>184</v>
      </c>
      <c r="K25" s="33">
        <v>0.5</v>
      </c>
      <c r="L25" s="33" t="s">
        <v>33</v>
      </c>
      <c r="M25" s="17">
        <v>2023</v>
      </c>
      <c r="N25" s="33" t="s">
        <v>29</v>
      </c>
      <c r="O25" s="33" t="s">
        <v>27</v>
      </c>
      <c r="P25" s="33" t="s">
        <v>25</v>
      </c>
      <c r="Q25" s="33" t="s">
        <v>27</v>
      </c>
      <c r="R25" s="33">
        <v>80</v>
      </c>
      <c r="S25" s="33">
        <v>0.4</v>
      </c>
      <c r="T25" s="33">
        <v>0.05</v>
      </c>
      <c r="U25" s="33">
        <v>0.05</v>
      </c>
      <c r="V25" s="34"/>
    </row>
    <row r="26" spans="1:22" customFormat="1" ht="15" x14ac:dyDescent="0.25">
      <c r="A26" s="17" t="s">
        <v>33</v>
      </c>
      <c r="B26" s="17" t="s">
        <v>184</v>
      </c>
      <c r="C26" s="17" t="s">
        <v>185</v>
      </c>
      <c r="D26" s="17" t="s">
        <v>186</v>
      </c>
      <c r="E26" s="17" t="s">
        <v>187</v>
      </c>
      <c r="F26" s="17" t="s">
        <v>188</v>
      </c>
      <c r="G26" s="17" t="s">
        <v>190</v>
      </c>
      <c r="H26" s="17" t="s">
        <v>189</v>
      </c>
      <c r="I26" s="17" t="s">
        <v>33</v>
      </c>
      <c r="J26" s="17" t="s">
        <v>184</v>
      </c>
      <c r="K26" s="33">
        <v>0.5</v>
      </c>
      <c r="L26" s="33" t="s">
        <v>33</v>
      </c>
      <c r="M26" s="17">
        <v>2023</v>
      </c>
      <c r="N26" s="33" t="s">
        <v>24</v>
      </c>
      <c r="O26" s="33" t="s">
        <v>24</v>
      </c>
      <c r="P26" s="33" t="s">
        <v>24</v>
      </c>
      <c r="Q26" s="33" t="s">
        <v>24</v>
      </c>
      <c r="R26" s="33">
        <v>100</v>
      </c>
      <c r="S26" s="33">
        <v>0.5</v>
      </c>
      <c r="T26" s="33">
        <v>0</v>
      </c>
      <c r="U26" s="33">
        <v>0</v>
      </c>
      <c r="V26" s="34"/>
    </row>
    <row r="27" spans="1:22" customFormat="1" ht="15" x14ac:dyDescent="0.25">
      <c r="A27" s="17" t="s">
        <v>33</v>
      </c>
      <c r="B27" s="17" t="s">
        <v>184</v>
      </c>
      <c r="C27" s="17" t="s">
        <v>185</v>
      </c>
      <c r="D27" s="17" t="s">
        <v>191</v>
      </c>
      <c r="E27" s="17" t="s">
        <v>192</v>
      </c>
      <c r="F27" s="17" t="s">
        <v>193</v>
      </c>
      <c r="G27" s="17" t="s">
        <v>59</v>
      </c>
      <c r="H27" s="17" t="s">
        <v>189</v>
      </c>
      <c r="I27" s="17" t="s">
        <v>33</v>
      </c>
      <c r="J27" s="17" t="s">
        <v>184</v>
      </c>
      <c r="K27" s="33">
        <v>0.5</v>
      </c>
      <c r="L27" s="33" t="s">
        <v>33</v>
      </c>
      <c r="M27" s="17">
        <v>2023</v>
      </c>
      <c r="N27" s="33" t="s">
        <v>25</v>
      </c>
      <c r="O27" s="33" t="s">
        <v>194</v>
      </c>
      <c r="P27" s="33" t="s">
        <v>24</v>
      </c>
      <c r="Q27" s="33" t="s">
        <v>24</v>
      </c>
      <c r="R27" s="33">
        <v>70</v>
      </c>
      <c r="S27" s="33">
        <v>0.35</v>
      </c>
      <c r="T27" s="33">
        <v>0.15</v>
      </c>
      <c r="U27" s="33">
        <v>0</v>
      </c>
      <c r="V27" s="34"/>
    </row>
    <row r="28" spans="1:22" customFormat="1" ht="15" x14ac:dyDescent="0.25">
      <c r="A28" s="17" t="s">
        <v>33</v>
      </c>
      <c r="B28" s="17" t="s">
        <v>184</v>
      </c>
      <c r="C28" s="17" t="s">
        <v>185</v>
      </c>
      <c r="D28" s="17" t="s">
        <v>191</v>
      </c>
      <c r="E28" s="17" t="s">
        <v>192</v>
      </c>
      <c r="F28" s="17" t="s">
        <v>193</v>
      </c>
      <c r="G28" s="17" t="s">
        <v>195</v>
      </c>
      <c r="H28" s="17" t="s">
        <v>189</v>
      </c>
      <c r="I28" s="17" t="s">
        <v>33</v>
      </c>
      <c r="J28" s="17" t="s">
        <v>184</v>
      </c>
      <c r="K28" s="33">
        <v>0.5</v>
      </c>
      <c r="L28" s="33" t="s">
        <v>33</v>
      </c>
      <c r="M28" s="17">
        <v>2023</v>
      </c>
      <c r="N28" s="33" t="s">
        <v>24</v>
      </c>
      <c r="O28" s="33" t="s">
        <v>24</v>
      </c>
      <c r="P28" s="33" t="s">
        <v>24</v>
      </c>
      <c r="Q28" s="33" t="s">
        <v>24</v>
      </c>
      <c r="R28" s="33">
        <v>100</v>
      </c>
      <c r="S28" s="33">
        <v>0.5</v>
      </c>
      <c r="T28" s="33">
        <v>0</v>
      </c>
      <c r="U28" s="33">
        <v>0</v>
      </c>
      <c r="V28" s="34"/>
    </row>
    <row r="29" spans="1:22" customFormat="1" ht="15" x14ac:dyDescent="0.25">
      <c r="A29" s="17" t="s">
        <v>33</v>
      </c>
      <c r="B29" s="17" t="s">
        <v>198</v>
      </c>
      <c r="C29" s="17" t="s">
        <v>185</v>
      </c>
      <c r="D29" s="17" t="s">
        <v>199</v>
      </c>
      <c r="E29" s="17" t="s">
        <v>200</v>
      </c>
      <c r="F29" s="17" t="s">
        <v>201</v>
      </c>
      <c r="G29" s="17" t="s">
        <v>62</v>
      </c>
      <c r="H29" s="17" t="s">
        <v>189</v>
      </c>
      <c r="I29" s="17" t="s">
        <v>33</v>
      </c>
      <c r="J29" s="17" t="s">
        <v>198</v>
      </c>
      <c r="K29" s="33">
        <v>0.5</v>
      </c>
      <c r="L29" s="33" t="s">
        <v>33</v>
      </c>
      <c r="M29" s="17">
        <v>2023</v>
      </c>
      <c r="N29" s="33" t="s">
        <v>29</v>
      </c>
      <c r="O29" s="33" t="s">
        <v>27</v>
      </c>
      <c r="P29" s="33" t="s">
        <v>25</v>
      </c>
      <c r="Q29" s="33" t="s">
        <v>27</v>
      </c>
      <c r="R29" s="33">
        <v>80</v>
      </c>
      <c r="S29" s="33">
        <v>0.4</v>
      </c>
      <c r="T29" s="33">
        <v>0.05</v>
      </c>
      <c r="U29" s="33">
        <v>0.05</v>
      </c>
      <c r="V29" s="34"/>
    </row>
    <row r="30" spans="1:22" customFormat="1" ht="15" x14ac:dyDescent="0.25">
      <c r="A30" s="17" t="s">
        <v>33</v>
      </c>
      <c r="B30" s="17" t="s">
        <v>198</v>
      </c>
      <c r="C30" s="17" t="s">
        <v>185</v>
      </c>
      <c r="D30" s="17" t="s">
        <v>199</v>
      </c>
      <c r="E30" s="17" t="s">
        <v>200</v>
      </c>
      <c r="F30" s="17" t="s">
        <v>201</v>
      </c>
      <c r="G30" s="17" t="s">
        <v>195</v>
      </c>
      <c r="H30" s="17" t="s">
        <v>189</v>
      </c>
      <c r="I30" s="17" t="s">
        <v>33</v>
      </c>
      <c r="J30" s="17" t="s">
        <v>198</v>
      </c>
      <c r="K30" s="33">
        <v>0.5</v>
      </c>
      <c r="L30" s="33" t="s">
        <v>33</v>
      </c>
      <c r="M30" s="17">
        <v>2023</v>
      </c>
      <c r="N30" s="33" t="s">
        <v>24</v>
      </c>
      <c r="O30" s="33" t="s">
        <v>24</v>
      </c>
      <c r="P30" s="33" t="s">
        <v>24</v>
      </c>
      <c r="Q30" s="33" t="s">
        <v>24</v>
      </c>
      <c r="R30" s="33">
        <v>100</v>
      </c>
      <c r="S30" s="33">
        <v>0.5</v>
      </c>
      <c r="T30" s="33">
        <v>0</v>
      </c>
      <c r="U30" s="33">
        <v>0</v>
      </c>
      <c r="V30" s="34"/>
    </row>
    <row r="31" spans="1:22" customFormat="1" ht="15" x14ac:dyDescent="0.25">
      <c r="A31" s="17" t="s">
        <v>33</v>
      </c>
      <c r="B31" s="17" t="s">
        <v>238</v>
      </c>
      <c r="C31" s="17" t="s">
        <v>185</v>
      </c>
      <c r="D31" s="17" t="s">
        <v>239</v>
      </c>
      <c r="E31" s="17" t="s">
        <v>240</v>
      </c>
      <c r="F31" s="17" t="s">
        <v>241</v>
      </c>
      <c r="G31" s="17" t="s">
        <v>197</v>
      </c>
      <c r="H31" s="17" t="s">
        <v>189</v>
      </c>
      <c r="I31" s="17" t="s">
        <v>33</v>
      </c>
      <c r="J31" s="17" t="s">
        <v>238</v>
      </c>
      <c r="K31" s="33">
        <v>0.5</v>
      </c>
      <c r="L31" s="33" t="s">
        <v>33</v>
      </c>
      <c r="M31" s="17">
        <v>2024</v>
      </c>
      <c r="N31" s="33" t="s">
        <v>24</v>
      </c>
      <c r="O31" s="33" t="s">
        <v>24</v>
      </c>
      <c r="P31" s="33" t="s">
        <v>24</v>
      </c>
      <c r="Q31" s="33" t="s">
        <v>24</v>
      </c>
      <c r="R31" s="33">
        <v>100</v>
      </c>
      <c r="S31" s="33">
        <v>0.5</v>
      </c>
      <c r="T31" s="33">
        <v>0</v>
      </c>
      <c r="U31" s="33">
        <v>0</v>
      </c>
      <c r="V31" s="34"/>
    </row>
    <row r="32" spans="1:22" s="95" customFormat="1" ht="15" x14ac:dyDescent="0.25">
      <c r="A32" s="92" t="s">
        <v>33</v>
      </c>
      <c r="B32" s="92" t="s">
        <v>238</v>
      </c>
      <c r="C32" s="92" t="s">
        <v>185</v>
      </c>
      <c r="D32" s="92" t="s">
        <v>239</v>
      </c>
      <c r="E32" s="92" t="s">
        <v>240</v>
      </c>
      <c r="F32" s="92" t="s">
        <v>241</v>
      </c>
      <c r="G32" s="92" t="s">
        <v>119</v>
      </c>
      <c r="H32" s="92" t="s">
        <v>189</v>
      </c>
      <c r="I32" s="92" t="s">
        <v>33</v>
      </c>
      <c r="J32" s="92" t="s">
        <v>238</v>
      </c>
      <c r="K32" s="93">
        <v>0.5</v>
      </c>
      <c r="L32" s="93" t="s">
        <v>33</v>
      </c>
      <c r="M32" s="92">
        <v>2024</v>
      </c>
      <c r="N32" s="93" t="s">
        <v>24</v>
      </c>
      <c r="O32" s="93" t="s">
        <v>24</v>
      </c>
      <c r="P32" s="93" t="s">
        <v>24</v>
      </c>
      <c r="Q32" s="93" t="s">
        <v>24</v>
      </c>
      <c r="R32" s="93">
        <v>100</v>
      </c>
      <c r="S32" s="93">
        <v>0.5</v>
      </c>
      <c r="T32" s="93">
        <v>0</v>
      </c>
      <c r="U32" s="93">
        <v>0</v>
      </c>
      <c r="V32" s="94"/>
    </row>
    <row r="33" spans="1:22" customFormat="1" ht="15" x14ac:dyDescent="0.25">
      <c r="A33" s="17" t="s">
        <v>242</v>
      </c>
      <c r="B33" s="17" t="s">
        <v>243</v>
      </c>
      <c r="C33" s="17" t="s">
        <v>185</v>
      </c>
      <c r="D33" s="17" t="s">
        <v>244</v>
      </c>
      <c r="E33" s="17" t="s">
        <v>245</v>
      </c>
      <c r="F33" s="17" t="s">
        <v>246</v>
      </c>
      <c r="G33" s="17" t="s">
        <v>197</v>
      </c>
      <c r="H33" s="17" t="s">
        <v>189</v>
      </c>
      <c r="I33" s="17" t="s">
        <v>33</v>
      </c>
      <c r="J33" s="17" t="s">
        <v>238</v>
      </c>
      <c r="K33" s="33">
        <v>0.5</v>
      </c>
      <c r="L33" s="33" t="s">
        <v>33</v>
      </c>
      <c r="M33" s="17">
        <v>2024</v>
      </c>
      <c r="N33" s="33" t="s">
        <v>24</v>
      </c>
      <c r="O33" s="33" t="s">
        <v>24</v>
      </c>
      <c r="P33" s="33" t="s">
        <v>24</v>
      </c>
      <c r="Q33" s="33" t="s">
        <v>24</v>
      </c>
      <c r="R33" s="33">
        <v>100</v>
      </c>
      <c r="S33" s="33">
        <v>0.5</v>
      </c>
      <c r="T33" s="33">
        <v>0</v>
      </c>
      <c r="U33" s="33">
        <v>0</v>
      </c>
      <c r="V33" s="34"/>
    </row>
    <row r="34" spans="1:22" customFormat="1" ht="15" x14ac:dyDescent="0.25">
      <c r="A34" s="17" t="s">
        <v>242</v>
      </c>
      <c r="B34" s="17" t="s">
        <v>243</v>
      </c>
      <c r="C34" s="17" t="s">
        <v>185</v>
      </c>
      <c r="D34" s="17" t="s">
        <v>244</v>
      </c>
      <c r="E34" s="17" t="s">
        <v>245</v>
      </c>
      <c r="F34" s="17" t="s">
        <v>246</v>
      </c>
      <c r="G34" s="17" t="s">
        <v>59</v>
      </c>
      <c r="H34" s="17" t="s">
        <v>189</v>
      </c>
      <c r="I34" s="17" t="s">
        <v>33</v>
      </c>
      <c r="J34" s="17" t="s">
        <v>238</v>
      </c>
      <c r="K34" s="33">
        <v>0.5</v>
      </c>
      <c r="L34" s="33" t="s">
        <v>33</v>
      </c>
      <c r="M34" s="17">
        <v>2024</v>
      </c>
      <c r="N34" s="33" t="s">
        <v>25</v>
      </c>
      <c r="O34" s="33" t="s">
        <v>194</v>
      </c>
      <c r="P34" s="33" t="s">
        <v>24</v>
      </c>
      <c r="Q34" s="33" t="s">
        <v>24</v>
      </c>
      <c r="R34" s="33">
        <v>70</v>
      </c>
      <c r="S34" s="33">
        <v>0.35</v>
      </c>
      <c r="T34" s="33">
        <v>0.15</v>
      </c>
      <c r="U34" s="33">
        <v>0</v>
      </c>
      <c r="V34" s="34"/>
    </row>
    <row r="35" spans="1:22" x14ac:dyDescent="0.2">
      <c r="A35" s="7"/>
      <c r="B35" s="7"/>
      <c r="C35" s="7"/>
      <c r="D35" s="7"/>
      <c r="E35" s="7"/>
      <c r="F35" s="7"/>
      <c r="G35" s="7"/>
      <c r="H35" s="7"/>
      <c r="I35" s="7"/>
      <c r="J35" s="7"/>
      <c r="K35" s="7"/>
      <c r="L35" s="7"/>
      <c r="M35" s="7"/>
      <c r="N35" s="8"/>
      <c r="O35" s="7"/>
      <c r="P35" s="8"/>
      <c r="Q35" s="7"/>
      <c r="R35" s="35"/>
      <c r="S35" s="45">
        <f>SUM(S2:S34)</f>
        <v>16.083333333333336</v>
      </c>
      <c r="T35" s="7"/>
    </row>
  </sheetData>
  <autoFilter ref="A1:U1" xr:uid="{00000000-0009-0000-0000-000000000000}">
    <sortState xmlns:xlrd2="http://schemas.microsoft.com/office/spreadsheetml/2017/richdata2" ref="A2:U1865">
      <sortCondition ref="L2:L1865"/>
      <sortCondition ref="M2:M1865"/>
      <sortCondition ref="D2:D1865"/>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4"/>
  <sheetViews>
    <sheetView zoomScaleNormal="100" workbookViewId="0">
      <selection activeCell="K32" sqref="K32"/>
    </sheetView>
  </sheetViews>
  <sheetFormatPr baseColWidth="10" defaultColWidth="11.42578125" defaultRowHeight="12.75" x14ac:dyDescent="0.2"/>
  <cols>
    <col min="1" max="1" width="10.28515625" style="13" bestFit="1" customWidth="1"/>
    <col min="2" max="2" width="41.42578125" style="13" bestFit="1" customWidth="1"/>
    <col min="3" max="3" width="17" style="13" bestFit="1" customWidth="1"/>
    <col min="4" max="9" width="3.28515625" style="13" bestFit="1" customWidth="1"/>
    <col min="10" max="10" width="13.140625" style="13" bestFit="1" customWidth="1"/>
    <col min="11" max="11" width="5.28515625" style="13" bestFit="1" customWidth="1"/>
    <col min="12" max="13" width="5.7109375" style="13" bestFit="1" customWidth="1"/>
    <col min="14" max="14" width="5.7109375" style="14" bestFit="1" customWidth="1"/>
    <col min="15" max="15" width="5.7109375" style="13" bestFit="1" customWidth="1"/>
    <col min="16" max="16" width="5.7109375" style="14" bestFit="1" customWidth="1"/>
    <col min="17" max="19" width="5.7109375" style="13" bestFit="1" customWidth="1"/>
    <col min="20" max="16384" width="11.42578125" style="13"/>
  </cols>
  <sheetData>
    <row r="1" spans="1:19" s="12" customFormat="1" ht="30" x14ac:dyDescent="0.2">
      <c r="A1" s="15" t="s">
        <v>39</v>
      </c>
      <c r="B1" s="15" t="s">
        <v>40</v>
      </c>
      <c r="C1" s="15" t="s">
        <v>41</v>
      </c>
      <c r="D1" s="16" t="s">
        <v>247</v>
      </c>
      <c r="E1" s="16" t="s">
        <v>248</v>
      </c>
      <c r="F1" s="16" t="s">
        <v>249</v>
      </c>
      <c r="G1" s="16" t="s">
        <v>250</v>
      </c>
      <c r="H1" s="16" t="s">
        <v>251</v>
      </c>
      <c r="I1" s="16" t="s">
        <v>252</v>
      </c>
      <c r="J1" s="15" t="s">
        <v>42</v>
      </c>
      <c r="K1" s="29" t="s">
        <v>73</v>
      </c>
      <c r="L1" s="10" t="s">
        <v>43</v>
      </c>
      <c r="M1" s="10" t="s">
        <v>44</v>
      </c>
      <c r="N1" s="10" t="s">
        <v>45</v>
      </c>
      <c r="O1" s="10" t="s">
        <v>46</v>
      </c>
      <c r="P1" s="11" t="s">
        <v>47</v>
      </c>
      <c r="Q1" s="11" t="s">
        <v>48</v>
      </c>
      <c r="R1" s="11" t="s">
        <v>49</v>
      </c>
      <c r="S1" s="11" t="s">
        <v>50</v>
      </c>
    </row>
    <row r="2" spans="1:19" x14ac:dyDescent="0.2">
      <c r="A2" s="43" t="s">
        <v>54</v>
      </c>
      <c r="B2" s="43" t="s">
        <v>253</v>
      </c>
      <c r="C2" s="43" t="s">
        <v>51</v>
      </c>
      <c r="D2" s="43"/>
      <c r="E2" s="43"/>
      <c r="F2" s="43"/>
      <c r="G2" s="43">
        <v>3</v>
      </c>
      <c r="H2" s="43"/>
      <c r="I2" s="43"/>
      <c r="J2" s="43">
        <v>3</v>
      </c>
      <c r="K2" s="43" t="s">
        <v>33</v>
      </c>
      <c r="L2" s="43">
        <v>0</v>
      </c>
      <c r="M2" s="43">
        <v>0</v>
      </c>
      <c r="N2" s="44" t="s">
        <v>24</v>
      </c>
      <c r="O2" s="43" t="s">
        <v>24</v>
      </c>
      <c r="P2" s="44">
        <v>100</v>
      </c>
      <c r="Q2" s="43">
        <v>0</v>
      </c>
      <c r="R2" s="43">
        <v>0</v>
      </c>
      <c r="S2" s="43">
        <v>3</v>
      </c>
    </row>
    <row r="3" spans="1:19" x14ac:dyDescent="0.2">
      <c r="A3" s="43" t="s">
        <v>60</v>
      </c>
      <c r="B3" s="43" t="s">
        <v>254</v>
      </c>
      <c r="C3" s="43" t="s">
        <v>255</v>
      </c>
      <c r="D3" s="43"/>
      <c r="E3" s="43"/>
      <c r="F3" s="43"/>
      <c r="G3" s="43"/>
      <c r="H3" s="43"/>
      <c r="I3" s="43">
        <v>1</v>
      </c>
      <c r="J3" s="43">
        <v>1</v>
      </c>
      <c r="K3" s="43" t="s">
        <v>33</v>
      </c>
      <c r="L3" s="43" t="s">
        <v>29</v>
      </c>
      <c r="M3" s="43" t="s">
        <v>27</v>
      </c>
      <c r="N3" s="44" t="s">
        <v>24</v>
      </c>
      <c r="O3" s="43" t="s">
        <v>24</v>
      </c>
      <c r="P3" s="44">
        <v>90</v>
      </c>
      <c r="Q3" s="43">
        <v>0.1</v>
      </c>
      <c r="R3" s="43">
        <v>0</v>
      </c>
      <c r="S3" s="43">
        <v>0.9</v>
      </c>
    </row>
    <row r="4" spans="1:19" x14ac:dyDescent="0.2">
      <c r="A4" s="43" t="s">
        <v>59</v>
      </c>
      <c r="B4" s="43" t="s">
        <v>256</v>
      </c>
      <c r="C4" s="43">
        <v>6</v>
      </c>
      <c r="D4" s="43"/>
      <c r="E4" s="43"/>
      <c r="F4" s="43"/>
      <c r="G4" s="43"/>
      <c r="H4" s="43"/>
      <c r="I4" s="43">
        <v>1</v>
      </c>
      <c r="J4" s="43">
        <v>1</v>
      </c>
      <c r="K4" s="43" t="s">
        <v>33</v>
      </c>
      <c r="L4" s="43" t="s">
        <v>25</v>
      </c>
      <c r="M4" s="43" t="s">
        <v>194</v>
      </c>
      <c r="N4" s="44" t="s">
        <v>24</v>
      </c>
      <c r="O4" s="43" t="s">
        <v>24</v>
      </c>
      <c r="P4" s="44">
        <v>70</v>
      </c>
      <c r="Q4" s="43">
        <v>0.3</v>
      </c>
      <c r="R4" s="43">
        <v>0</v>
      </c>
      <c r="S4" s="43">
        <v>0.7</v>
      </c>
    </row>
    <row r="5" spans="1:19" x14ac:dyDescent="0.2">
      <c r="A5" s="43" t="s">
        <v>53</v>
      </c>
      <c r="B5" s="43" t="s">
        <v>257</v>
      </c>
      <c r="C5" s="43" t="s">
        <v>51</v>
      </c>
      <c r="D5" s="43"/>
      <c r="E5" s="43"/>
      <c r="F5" s="43"/>
      <c r="G5" s="43">
        <v>1</v>
      </c>
      <c r="H5" s="43"/>
      <c r="I5" s="43"/>
      <c r="J5" s="43">
        <v>1</v>
      </c>
      <c r="K5" s="43" t="s">
        <v>33</v>
      </c>
      <c r="L5" s="43" t="s">
        <v>25</v>
      </c>
      <c r="M5" s="43" t="s">
        <v>196</v>
      </c>
      <c r="N5" s="44" t="s">
        <v>24</v>
      </c>
      <c r="O5" s="43" t="s">
        <v>24</v>
      </c>
      <c r="P5" s="44">
        <v>50</v>
      </c>
      <c r="Q5" s="43">
        <v>0.5</v>
      </c>
      <c r="R5" s="43">
        <v>0</v>
      </c>
      <c r="S5" s="43">
        <v>0.5</v>
      </c>
    </row>
    <row r="6" spans="1:19" x14ac:dyDescent="0.2">
      <c r="A6" s="43" t="s">
        <v>61</v>
      </c>
      <c r="B6" s="43" t="s">
        <v>258</v>
      </c>
      <c r="C6" s="43" t="s">
        <v>51</v>
      </c>
      <c r="D6" s="43">
        <v>1</v>
      </c>
      <c r="E6" s="43"/>
      <c r="F6" s="43"/>
      <c r="G6" s="43"/>
      <c r="H6" s="43"/>
      <c r="I6" s="43"/>
      <c r="J6" s="43">
        <v>1</v>
      </c>
      <c r="K6" s="43" t="s">
        <v>33</v>
      </c>
      <c r="L6" s="43" t="s">
        <v>25</v>
      </c>
      <c r="M6" s="43" t="s">
        <v>196</v>
      </c>
      <c r="N6" s="44" t="s">
        <v>24</v>
      </c>
      <c r="O6" s="43" t="s">
        <v>24</v>
      </c>
      <c r="P6" s="44">
        <v>50</v>
      </c>
      <c r="Q6" s="43">
        <v>0.5</v>
      </c>
      <c r="R6" s="43">
        <v>0</v>
      </c>
      <c r="S6" s="43">
        <v>0.5</v>
      </c>
    </row>
    <row r="7" spans="1:19" x14ac:dyDescent="0.2">
      <c r="A7" s="43" t="s">
        <v>259</v>
      </c>
      <c r="B7" s="43" t="s">
        <v>260</v>
      </c>
      <c r="C7" s="43" t="s">
        <v>51</v>
      </c>
      <c r="D7" s="43"/>
      <c r="E7" s="43"/>
      <c r="F7" s="43"/>
      <c r="G7" s="43"/>
      <c r="H7" s="43"/>
      <c r="I7" s="43">
        <v>3</v>
      </c>
      <c r="J7" s="43">
        <v>3</v>
      </c>
      <c r="K7" s="43" t="s">
        <v>33</v>
      </c>
      <c r="L7" s="43">
        <v>0</v>
      </c>
      <c r="M7" s="43">
        <v>0</v>
      </c>
      <c r="N7" s="44" t="s">
        <v>24</v>
      </c>
      <c r="O7" s="43" t="s">
        <v>24</v>
      </c>
      <c r="P7" s="44">
        <v>100</v>
      </c>
      <c r="Q7" s="43">
        <v>0</v>
      </c>
      <c r="R7" s="43">
        <v>0</v>
      </c>
      <c r="S7" s="43">
        <v>3</v>
      </c>
    </row>
    <row r="8" spans="1:19" x14ac:dyDescent="0.2">
      <c r="A8" s="43" t="s">
        <v>63</v>
      </c>
      <c r="B8" s="43" t="s">
        <v>261</v>
      </c>
      <c r="C8" s="43" t="s">
        <v>51</v>
      </c>
      <c r="D8" s="43"/>
      <c r="E8" s="43"/>
      <c r="F8" s="43">
        <v>1</v>
      </c>
      <c r="G8" s="43"/>
      <c r="H8" s="43"/>
      <c r="I8" s="43"/>
      <c r="J8" s="43">
        <v>1</v>
      </c>
      <c r="K8" s="43" t="s">
        <v>33</v>
      </c>
      <c r="L8" s="43">
        <v>0</v>
      </c>
      <c r="M8" s="43">
        <v>0</v>
      </c>
      <c r="N8" s="44" t="s">
        <v>24</v>
      </c>
      <c r="O8" s="43" t="s">
        <v>24</v>
      </c>
      <c r="P8" s="44">
        <v>100</v>
      </c>
      <c r="Q8" s="43">
        <v>0</v>
      </c>
      <c r="R8" s="43">
        <v>0</v>
      </c>
      <c r="S8" s="43">
        <v>1</v>
      </c>
    </row>
    <row r="9" spans="1:19" x14ac:dyDescent="0.2">
      <c r="A9" s="43" t="s">
        <v>58</v>
      </c>
      <c r="B9" s="43" t="s">
        <v>262</v>
      </c>
      <c r="C9" s="43" t="s">
        <v>51</v>
      </c>
      <c r="D9" s="43"/>
      <c r="E9" s="43">
        <v>1</v>
      </c>
      <c r="F9" s="43"/>
      <c r="G9" s="43"/>
      <c r="H9" s="43"/>
      <c r="I9" s="43"/>
      <c r="J9" s="43">
        <v>1</v>
      </c>
      <c r="K9" s="43" t="s">
        <v>33</v>
      </c>
      <c r="L9" s="43" t="s">
        <v>25</v>
      </c>
      <c r="M9" s="43" t="s">
        <v>194</v>
      </c>
      <c r="N9" s="44" t="s">
        <v>24</v>
      </c>
      <c r="O9" s="43" t="s">
        <v>24</v>
      </c>
      <c r="P9" s="44">
        <v>70</v>
      </c>
      <c r="Q9" s="43">
        <v>0.3</v>
      </c>
      <c r="R9" s="43">
        <v>0</v>
      </c>
      <c r="S9" s="43">
        <v>0.7</v>
      </c>
    </row>
    <row r="10" spans="1:19" x14ac:dyDescent="0.2">
      <c r="A10" s="43" t="s">
        <v>55</v>
      </c>
      <c r="B10" s="43" t="s">
        <v>263</v>
      </c>
      <c r="C10" s="43" t="s">
        <v>51</v>
      </c>
      <c r="D10" s="43"/>
      <c r="E10" s="43"/>
      <c r="F10" s="43"/>
      <c r="G10" s="43"/>
      <c r="H10" s="43"/>
      <c r="I10" s="43">
        <v>2</v>
      </c>
      <c r="J10" s="43">
        <v>2</v>
      </c>
      <c r="K10" s="43" t="s">
        <v>33</v>
      </c>
      <c r="L10" s="43">
        <v>0</v>
      </c>
      <c r="M10" s="43">
        <v>0</v>
      </c>
      <c r="N10" s="44" t="s">
        <v>24</v>
      </c>
      <c r="O10" s="43" t="s">
        <v>24</v>
      </c>
      <c r="P10" s="44">
        <v>100</v>
      </c>
      <c r="Q10" s="43">
        <v>0</v>
      </c>
      <c r="R10" s="43">
        <v>0</v>
      </c>
      <c r="S10" s="43">
        <v>2</v>
      </c>
    </row>
    <row r="11" spans="1:19" s="91" customFormat="1" x14ac:dyDescent="0.2">
      <c r="A11" s="89" t="s">
        <v>119</v>
      </c>
      <c r="B11" s="89" t="s">
        <v>264</v>
      </c>
      <c r="C11" s="89" t="s">
        <v>52</v>
      </c>
      <c r="D11" s="89"/>
      <c r="E11" s="89"/>
      <c r="F11" s="89"/>
      <c r="G11" s="89"/>
      <c r="H11" s="89">
        <v>1</v>
      </c>
      <c r="I11" s="89">
        <v>1</v>
      </c>
      <c r="J11" s="89">
        <v>2</v>
      </c>
      <c r="K11" s="89" t="s">
        <v>33</v>
      </c>
      <c r="L11" s="89">
        <v>0</v>
      </c>
      <c r="M11" s="89">
        <v>0</v>
      </c>
      <c r="N11" s="90" t="s">
        <v>24</v>
      </c>
      <c r="O11" s="89" t="s">
        <v>24</v>
      </c>
      <c r="P11" s="90">
        <v>100</v>
      </c>
      <c r="Q11" s="89">
        <v>0</v>
      </c>
      <c r="R11" s="89">
        <v>0</v>
      </c>
      <c r="S11" s="89">
        <v>2</v>
      </c>
    </row>
    <row r="12" spans="1:19" x14ac:dyDescent="0.2">
      <c r="A12" s="43" t="s">
        <v>56</v>
      </c>
      <c r="B12" s="43" t="s">
        <v>265</v>
      </c>
      <c r="C12" s="43" t="s">
        <v>51</v>
      </c>
      <c r="D12" s="43"/>
      <c r="E12" s="43"/>
      <c r="F12" s="43"/>
      <c r="G12" s="43"/>
      <c r="H12" s="43"/>
      <c r="I12" s="43">
        <v>1</v>
      </c>
      <c r="J12" s="43">
        <v>1</v>
      </c>
      <c r="K12" s="43" t="s">
        <v>33</v>
      </c>
      <c r="L12" s="43" t="s">
        <v>29</v>
      </c>
      <c r="M12" s="43" t="s">
        <v>27</v>
      </c>
      <c r="N12" s="44" t="s">
        <v>24</v>
      </c>
      <c r="O12" s="43" t="s">
        <v>24</v>
      </c>
      <c r="P12" s="44">
        <v>90</v>
      </c>
      <c r="Q12" s="43">
        <v>0.1</v>
      </c>
      <c r="R12" s="43">
        <v>0</v>
      </c>
      <c r="S12" s="43">
        <v>0.9</v>
      </c>
    </row>
    <row r="13" spans="1:19" x14ac:dyDescent="0.2">
      <c r="A13" s="43" t="s">
        <v>149</v>
      </c>
      <c r="B13" s="43" t="s">
        <v>266</v>
      </c>
      <c r="C13" s="43" t="s">
        <v>52</v>
      </c>
      <c r="D13" s="43"/>
      <c r="E13" s="43"/>
      <c r="F13" s="43"/>
      <c r="G13" s="43"/>
      <c r="H13" s="43"/>
      <c r="I13" s="43">
        <v>2</v>
      </c>
      <c r="J13" s="43">
        <v>2</v>
      </c>
      <c r="K13" s="43" t="s">
        <v>33</v>
      </c>
      <c r="L13" s="43">
        <v>0</v>
      </c>
      <c r="M13" s="43">
        <v>0</v>
      </c>
      <c r="N13" s="44" t="s">
        <v>24</v>
      </c>
      <c r="O13" s="43" t="s">
        <v>24</v>
      </c>
      <c r="P13" s="44">
        <v>100</v>
      </c>
      <c r="Q13" s="43">
        <v>0</v>
      </c>
      <c r="R13" s="43">
        <v>0</v>
      </c>
      <c r="S13" s="43">
        <v>2</v>
      </c>
    </row>
    <row r="14" spans="1:19" x14ac:dyDescent="0.2">
      <c r="A14" s="43" t="s">
        <v>57</v>
      </c>
      <c r="B14" s="43" t="s">
        <v>267</v>
      </c>
      <c r="C14" s="43" t="s">
        <v>51</v>
      </c>
      <c r="D14" s="43"/>
      <c r="E14" s="43"/>
      <c r="F14" s="43">
        <v>1</v>
      </c>
      <c r="G14" s="43"/>
      <c r="H14" s="43"/>
      <c r="I14" s="43"/>
      <c r="J14" s="43">
        <v>1</v>
      </c>
      <c r="K14" s="43" t="s">
        <v>33</v>
      </c>
      <c r="L14" s="43">
        <v>0</v>
      </c>
      <c r="M14" s="43">
        <v>0</v>
      </c>
      <c r="N14" s="44" t="s">
        <v>24</v>
      </c>
      <c r="O14" s="43" t="s">
        <v>24</v>
      </c>
      <c r="P14" s="44">
        <v>100</v>
      </c>
      <c r="Q14" s="43">
        <v>0</v>
      </c>
      <c r="R14" s="43">
        <v>0</v>
      </c>
      <c r="S14" s="43">
        <v>1</v>
      </c>
    </row>
    <row r="15" spans="1:19" x14ac:dyDescent="0.2">
      <c r="A15" s="43" t="s">
        <v>64</v>
      </c>
      <c r="B15" s="43" t="s">
        <v>268</v>
      </c>
      <c r="C15" s="43" t="s">
        <v>51</v>
      </c>
      <c r="D15" s="43"/>
      <c r="E15" s="43"/>
      <c r="F15" s="43">
        <v>1</v>
      </c>
      <c r="G15" s="43"/>
      <c r="H15" s="43"/>
      <c r="I15" s="43"/>
      <c r="J15" s="43">
        <v>1</v>
      </c>
      <c r="K15" s="43" t="s">
        <v>33</v>
      </c>
      <c r="L15" s="43" t="s">
        <v>25</v>
      </c>
      <c r="M15" s="43" t="s">
        <v>194</v>
      </c>
      <c r="N15" s="44" t="s">
        <v>117</v>
      </c>
      <c r="O15" s="43" t="s">
        <v>27</v>
      </c>
      <c r="P15" s="44">
        <v>60</v>
      </c>
      <c r="Q15" s="43">
        <v>0.3</v>
      </c>
      <c r="R15" s="43">
        <v>0.1</v>
      </c>
      <c r="S15" s="43">
        <v>0.6</v>
      </c>
    </row>
    <row r="16" spans="1:19" x14ac:dyDescent="0.2">
      <c r="A16" s="43" t="s">
        <v>62</v>
      </c>
      <c r="B16" s="43" t="s">
        <v>269</v>
      </c>
      <c r="C16" s="43" t="s">
        <v>51</v>
      </c>
      <c r="D16" s="43"/>
      <c r="E16" s="43">
        <v>1</v>
      </c>
      <c r="F16" s="43"/>
      <c r="G16" s="43"/>
      <c r="H16" s="43"/>
      <c r="I16" s="43"/>
      <c r="J16" s="43">
        <v>1</v>
      </c>
      <c r="K16" s="43" t="s">
        <v>33</v>
      </c>
      <c r="L16" s="43" t="s">
        <v>25</v>
      </c>
      <c r="M16" s="43" t="s">
        <v>27</v>
      </c>
      <c r="N16" s="44" t="s">
        <v>29</v>
      </c>
      <c r="O16" s="43" t="s">
        <v>27</v>
      </c>
      <c r="P16" s="44">
        <v>80</v>
      </c>
      <c r="Q16" s="43">
        <v>0.1</v>
      </c>
      <c r="R16" s="43">
        <v>0.1</v>
      </c>
      <c r="S16" s="43">
        <v>0.8</v>
      </c>
    </row>
    <row r="17" spans="1:19" x14ac:dyDescent="0.2">
      <c r="A17" s="43" t="s">
        <v>270</v>
      </c>
      <c r="B17" s="43" t="s">
        <v>271</v>
      </c>
      <c r="C17" s="43" t="s">
        <v>51</v>
      </c>
      <c r="D17" s="43"/>
      <c r="E17" s="43"/>
      <c r="F17" s="43"/>
      <c r="G17" s="43"/>
      <c r="H17" s="43"/>
      <c r="I17" s="43">
        <v>2</v>
      </c>
      <c r="J17" s="43">
        <v>2</v>
      </c>
      <c r="K17" s="43" t="s">
        <v>33</v>
      </c>
      <c r="L17" s="43" t="s">
        <v>29</v>
      </c>
      <c r="M17" s="43" t="s">
        <v>272</v>
      </c>
      <c r="N17" s="44" t="s">
        <v>25</v>
      </c>
      <c r="O17" s="43" t="s">
        <v>194</v>
      </c>
      <c r="P17" s="44">
        <v>50</v>
      </c>
      <c r="Q17" s="43">
        <v>0.4</v>
      </c>
      <c r="R17" s="43">
        <v>0.6</v>
      </c>
      <c r="S17" s="43">
        <v>1</v>
      </c>
    </row>
    <row r="18" spans="1:19" x14ac:dyDescent="0.2">
      <c r="A18" s="43" t="s">
        <v>273</v>
      </c>
      <c r="B18" s="43" t="s">
        <v>274</v>
      </c>
      <c r="C18" s="43" t="s">
        <v>52</v>
      </c>
      <c r="D18" s="43"/>
      <c r="E18" s="43"/>
      <c r="F18" s="43"/>
      <c r="G18" s="43"/>
      <c r="H18" s="43"/>
      <c r="I18" s="43">
        <v>3</v>
      </c>
      <c r="J18" s="43">
        <v>3</v>
      </c>
      <c r="K18" s="43" t="s">
        <v>33</v>
      </c>
      <c r="L18" s="43">
        <v>0</v>
      </c>
      <c r="M18" s="43">
        <v>0</v>
      </c>
      <c r="N18" s="44" t="s">
        <v>24</v>
      </c>
      <c r="O18" s="43" t="s">
        <v>24</v>
      </c>
      <c r="P18" s="44">
        <v>100</v>
      </c>
      <c r="Q18" s="43">
        <v>0</v>
      </c>
      <c r="R18" s="43">
        <v>0</v>
      </c>
      <c r="S18" s="43">
        <v>3</v>
      </c>
    </row>
    <row r="19" spans="1:19" x14ac:dyDescent="0.2">
      <c r="A19" s="43" t="s">
        <v>197</v>
      </c>
      <c r="B19" s="43" t="s">
        <v>275</v>
      </c>
      <c r="C19" s="43" t="s">
        <v>51</v>
      </c>
      <c r="D19" s="43"/>
      <c r="E19" s="43"/>
      <c r="F19" s="43"/>
      <c r="G19" s="43"/>
      <c r="H19" s="43">
        <v>1</v>
      </c>
      <c r="I19" s="43"/>
      <c r="J19" s="43">
        <v>1</v>
      </c>
      <c r="K19" s="43" t="s">
        <v>33</v>
      </c>
      <c r="L19" s="43">
        <v>0</v>
      </c>
      <c r="M19" s="43">
        <v>0</v>
      </c>
      <c r="N19" s="44" t="s">
        <v>24</v>
      </c>
      <c r="O19" s="43" t="s">
        <v>24</v>
      </c>
      <c r="P19" s="44">
        <v>100</v>
      </c>
      <c r="Q19" s="43">
        <v>0</v>
      </c>
      <c r="R19" s="43">
        <v>0</v>
      </c>
      <c r="S19" s="43">
        <v>1</v>
      </c>
    </row>
    <row r="20" spans="1:19" x14ac:dyDescent="0.2">
      <c r="A20" s="43" t="s">
        <v>120</v>
      </c>
      <c r="B20" s="43" t="s">
        <v>276</v>
      </c>
      <c r="C20" s="43" t="s">
        <v>51</v>
      </c>
      <c r="D20" s="43"/>
      <c r="E20" s="43"/>
      <c r="F20" s="43"/>
      <c r="G20" s="43"/>
      <c r="H20" s="43"/>
      <c r="I20" s="43">
        <v>2</v>
      </c>
      <c r="J20" s="43">
        <v>2</v>
      </c>
      <c r="K20" s="43" t="s">
        <v>33</v>
      </c>
      <c r="L20" s="43">
        <v>0</v>
      </c>
      <c r="M20" s="43">
        <v>0</v>
      </c>
      <c r="N20" s="44" t="s">
        <v>24</v>
      </c>
      <c r="O20" s="43" t="s">
        <v>24</v>
      </c>
      <c r="P20" s="44">
        <v>100</v>
      </c>
      <c r="Q20" s="43">
        <v>0</v>
      </c>
      <c r="R20" s="43">
        <v>0</v>
      </c>
      <c r="S20" s="43">
        <v>2</v>
      </c>
    </row>
    <row r="21" spans="1:19" x14ac:dyDescent="0.2">
      <c r="A21" s="41"/>
      <c r="B21" s="41"/>
      <c r="C21" s="41"/>
      <c r="D21" s="41"/>
      <c r="E21" s="41"/>
      <c r="F21" s="41"/>
      <c r="G21" s="41"/>
      <c r="H21" s="41"/>
      <c r="I21" s="41"/>
      <c r="J21" s="41"/>
      <c r="K21" s="41"/>
      <c r="L21" s="41"/>
      <c r="M21" s="41"/>
      <c r="N21" s="42"/>
      <c r="O21" s="41"/>
      <c r="P21" s="42"/>
      <c r="Q21" s="41"/>
      <c r="R21" s="41"/>
      <c r="S21" s="41">
        <f>SUM(S2:S20)</f>
        <v>26.6</v>
      </c>
    </row>
    <row r="24" spans="1:19" s="12" customFormat="1" x14ac:dyDescent="0.2">
      <c r="A24" s="13"/>
      <c r="B24" s="13"/>
      <c r="C24" s="13"/>
      <c r="D24" s="13"/>
      <c r="E24" s="13"/>
      <c r="F24" s="13"/>
      <c r="G24" s="13"/>
      <c r="H24" s="13"/>
      <c r="I24" s="13"/>
      <c r="J24" s="13"/>
      <c r="K24" s="13"/>
      <c r="L24" s="13"/>
      <c r="M24" s="13"/>
      <c r="N24" s="14"/>
      <c r="O24" s="13"/>
      <c r="P24" s="14"/>
      <c r="Q24" s="13"/>
      <c r="R24" s="13"/>
      <c r="S24" s="13"/>
    </row>
  </sheetData>
  <pageMargins left="0.39370078740157483" right="0.39370078740157483" top="0.39370078740157483" bottom="0.39370078740157483" header="0.31496062992125984" footer="0.31496062992125984"/>
  <pageSetup paperSize="9" scale="9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AAD2-E3AF-4B11-AC5E-7B8D770F5140}">
  <dimension ref="A1:C32"/>
  <sheetViews>
    <sheetView workbookViewId="0">
      <selection activeCell="A29" sqref="A29:XFD30"/>
    </sheetView>
  </sheetViews>
  <sheetFormatPr baseColWidth="10" defaultRowHeight="15" x14ac:dyDescent="0.25"/>
  <cols>
    <col min="1" max="1" width="17" customWidth="1"/>
    <col min="2" max="2" width="58.5703125" customWidth="1"/>
    <col min="3" max="3" width="16" customWidth="1"/>
  </cols>
  <sheetData>
    <row r="1" spans="1:3" x14ac:dyDescent="0.25">
      <c r="A1" s="57" t="s">
        <v>121</v>
      </c>
      <c r="B1" s="57" t="s">
        <v>122</v>
      </c>
      <c r="C1" s="57" t="s">
        <v>123</v>
      </c>
    </row>
    <row r="2" spans="1:3" x14ac:dyDescent="0.25">
      <c r="A2" s="38" t="s">
        <v>124</v>
      </c>
      <c r="B2" s="38" t="s">
        <v>150</v>
      </c>
      <c r="C2" s="36">
        <v>600</v>
      </c>
    </row>
    <row r="3" spans="1:3" x14ac:dyDescent="0.25">
      <c r="A3" s="39" t="s">
        <v>1</v>
      </c>
      <c r="B3" s="39" t="s">
        <v>150</v>
      </c>
      <c r="C3" s="37">
        <v>1200</v>
      </c>
    </row>
    <row r="4" spans="1:3" x14ac:dyDescent="0.25">
      <c r="A4" s="39" t="s">
        <v>99</v>
      </c>
      <c r="B4" s="39" t="s">
        <v>151</v>
      </c>
      <c r="C4" s="37">
        <v>8294</v>
      </c>
    </row>
    <row r="5" spans="1:3" x14ac:dyDescent="0.25">
      <c r="A5" s="38" t="s">
        <v>152</v>
      </c>
      <c r="B5" s="38" t="s">
        <v>153</v>
      </c>
      <c r="C5" s="36">
        <v>2200</v>
      </c>
    </row>
    <row r="6" spans="1:3" x14ac:dyDescent="0.25">
      <c r="A6" s="39" t="s">
        <v>125</v>
      </c>
      <c r="B6" s="39" t="s">
        <v>154</v>
      </c>
      <c r="C6" s="37">
        <v>4876.12</v>
      </c>
    </row>
    <row r="7" spans="1:3" x14ac:dyDescent="0.25">
      <c r="A7" s="38" t="s">
        <v>125</v>
      </c>
      <c r="B7" s="38" t="s">
        <v>155</v>
      </c>
      <c r="C7" s="36">
        <v>12855.22</v>
      </c>
    </row>
    <row r="8" spans="1:3" x14ac:dyDescent="0.25">
      <c r="A8" s="39" t="s">
        <v>125</v>
      </c>
      <c r="B8" s="39" t="s">
        <v>156</v>
      </c>
      <c r="C8" s="37">
        <v>15958.21</v>
      </c>
    </row>
    <row r="9" spans="1:3" x14ac:dyDescent="0.25">
      <c r="A9" s="38" t="s">
        <v>125</v>
      </c>
      <c r="B9" s="38" t="s">
        <v>157</v>
      </c>
      <c r="C9" s="36">
        <v>12855.22</v>
      </c>
    </row>
    <row r="10" spans="1:3" x14ac:dyDescent="0.25">
      <c r="A10" s="39" t="s">
        <v>125</v>
      </c>
      <c r="B10" s="39" t="s">
        <v>158</v>
      </c>
      <c r="C10" s="37">
        <v>12855.22</v>
      </c>
    </row>
    <row r="11" spans="1:3" x14ac:dyDescent="0.25">
      <c r="A11" s="38" t="s">
        <v>126</v>
      </c>
      <c r="B11" s="38" t="s">
        <v>159</v>
      </c>
      <c r="C11" s="36">
        <v>19323.150000000001</v>
      </c>
    </row>
    <row r="12" spans="1:3" x14ac:dyDescent="0.25">
      <c r="A12" s="39" t="s">
        <v>126</v>
      </c>
      <c r="B12" s="39" t="s">
        <v>160</v>
      </c>
      <c r="C12" s="37">
        <v>15547.37</v>
      </c>
    </row>
    <row r="13" spans="1:3" x14ac:dyDescent="0.25">
      <c r="A13" s="38" t="s">
        <v>126</v>
      </c>
      <c r="B13" s="38" t="s">
        <v>161</v>
      </c>
      <c r="C13" s="36">
        <v>19323.16</v>
      </c>
    </row>
    <row r="14" spans="1:3" x14ac:dyDescent="0.25">
      <c r="A14" s="39" t="s">
        <v>126</v>
      </c>
      <c r="B14" s="39" t="s">
        <v>162</v>
      </c>
      <c r="C14" s="37">
        <v>19323.150000000001</v>
      </c>
    </row>
    <row r="15" spans="1:3" x14ac:dyDescent="0.25">
      <c r="A15" s="38" t="s">
        <v>126</v>
      </c>
      <c r="B15" s="38" t="s">
        <v>163</v>
      </c>
      <c r="C15" s="36">
        <v>19323.150000000001</v>
      </c>
    </row>
    <row r="16" spans="1:3" x14ac:dyDescent="0.25">
      <c r="A16" s="39" t="s">
        <v>127</v>
      </c>
      <c r="B16" s="39" t="s">
        <v>164</v>
      </c>
      <c r="C16" s="37">
        <v>6762.6</v>
      </c>
    </row>
    <row r="17" spans="1:3" x14ac:dyDescent="0.25">
      <c r="A17" s="38" t="s">
        <v>165</v>
      </c>
      <c r="B17" s="38" t="s">
        <v>166</v>
      </c>
      <c r="C17" s="36">
        <v>4705.8</v>
      </c>
    </row>
    <row r="18" spans="1:3" x14ac:dyDescent="0.25">
      <c r="A18" s="39" t="s">
        <v>165</v>
      </c>
      <c r="B18" s="39" t="s">
        <v>167</v>
      </c>
      <c r="C18" s="37">
        <v>4705.8</v>
      </c>
    </row>
    <row r="19" spans="1:3" x14ac:dyDescent="0.25">
      <c r="A19" s="38" t="s">
        <v>168</v>
      </c>
      <c r="B19" s="38" t="s">
        <v>169</v>
      </c>
      <c r="C19" s="36">
        <v>38701.519999999997</v>
      </c>
    </row>
    <row r="20" spans="1:3" x14ac:dyDescent="0.25">
      <c r="A20" s="39" t="s">
        <v>170</v>
      </c>
      <c r="B20" s="39" t="s">
        <v>171</v>
      </c>
      <c r="C20" s="37">
        <v>2640</v>
      </c>
    </row>
    <row r="21" spans="1:3" x14ac:dyDescent="0.25">
      <c r="A21" s="38" t="s">
        <v>172</v>
      </c>
      <c r="B21" s="38" t="s">
        <v>173</v>
      </c>
      <c r="C21" s="36">
        <v>1320</v>
      </c>
    </row>
    <row r="22" spans="1:3" x14ac:dyDescent="0.25">
      <c r="A22" s="39" t="s">
        <v>174</v>
      </c>
      <c r="B22" s="39" t="s">
        <v>175</v>
      </c>
      <c r="C22" s="37">
        <v>92000</v>
      </c>
    </row>
    <row r="23" spans="1:3" x14ac:dyDescent="0.25">
      <c r="A23" s="38" t="s">
        <v>174</v>
      </c>
      <c r="B23" s="38" t="s">
        <v>176</v>
      </c>
      <c r="C23" s="36">
        <v>67803.539999999994</v>
      </c>
    </row>
    <row r="24" spans="1:3" x14ac:dyDescent="0.25">
      <c r="A24" s="39" t="s">
        <v>100</v>
      </c>
      <c r="B24" s="39" t="s">
        <v>177</v>
      </c>
      <c r="C24" s="37">
        <v>44508.95</v>
      </c>
    </row>
    <row r="25" spans="1:3" x14ac:dyDescent="0.25">
      <c r="A25" s="38" t="s">
        <v>101</v>
      </c>
      <c r="B25" s="38" t="s">
        <v>178</v>
      </c>
      <c r="C25" s="36">
        <v>50658.73</v>
      </c>
    </row>
    <row r="26" spans="1:3" x14ac:dyDescent="0.25">
      <c r="A26" s="39" t="s">
        <v>102</v>
      </c>
      <c r="B26" s="39" t="s">
        <v>179</v>
      </c>
      <c r="C26" s="37">
        <v>23849.63</v>
      </c>
    </row>
    <row r="27" spans="1:3" x14ac:dyDescent="0.25">
      <c r="A27" s="38" t="s">
        <v>128</v>
      </c>
      <c r="B27" s="38" t="s">
        <v>180</v>
      </c>
      <c r="C27" s="36">
        <v>42879.91</v>
      </c>
    </row>
    <row r="28" spans="1:3" x14ac:dyDescent="0.25">
      <c r="A28" s="39" t="s">
        <v>129</v>
      </c>
      <c r="B28" s="39" t="s">
        <v>181</v>
      </c>
      <c r="C28" s="37">
        <v>62172.46</v>
      </c>
    </row>
    <row r="29" spans="1:3" x14ac:dyDescent="0.25">
      <c r="A29" s="38" t="s">
        <v>65</v>
      </c>
      <c r="B29" s="38" t="s">
        <v>182</v>
      </c>
      <c r="C29" s="36">
        <v>14439.36</v>
      </c>
    </row>
    <row r="30" spans="1:3" x14ac:dyDescent="0.25">
      <c r="A30" s="58" t="s">
        <v>133</v>
      </c>
      <c r="B30" s="58" t="s">
        <v>183</v>
      </c>
      <c r="C30" s="59">
        <v>64917.35</v>
      </c>
    </row>
    <row r="31" spans="1:3" x14ac:dyDescent="0.25">
      <c r="A31" s="58" t="s">
        <v>0</v>
      </c>
      <c r="B31" s="58"/>
      <c r="C31" s="60">
        <f>SUBTOTAL(109,Tabla2[Imp.cob.aplic.])</f>
        <v>686599.61999999988</v>
      </c>
    </row>
    <row r="32" spans="1:3" x14ac:dyDescent="0.25">
      <c r="C32" s="4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300E-51EA-47E3-A90E-8383138274BD}">
  <dimension ref="A1:C30"/>
  <sheetViews>
    <sheetView topLeftCell="A25" workbookViewId="0">
      <selection activeCell="B33" sqref="B33:C33"/>
    </sheetView>
  </sheetViews>
  <sheetFormatPr baseColWidth="10" defaultRowHeight="15" x14ac:dyDescent="0.25"/>
  <cols>
    <col min="1" max="1" width="12" customWidth="1"/>
    <col min="2" max="2" width="67.5703125" customWidth="1"/>
    <col min="3" max="3" width="13.140625" customWidth="1"/>
  </cols>
  <sheetData>
    <row r="1" spans="1:3" x14ac:dyDescent="0.25">
      <c r="A1" s="51" t="s">
        <v>202</v>
      </c>
      <c r="B1" s="51" t="s">
        <v>122</v>
      </c>
      <c r="C1" s="52" t="s">
        <v>203</v>
      </c>
    </row>
    <row r="2" spans="1:3" x14ac:dyDescent="0.25">
      <c r="A2" s="47" t="s">
        <v>99</v>
      </c>
      <c r="B2" s="47" t="s">
        <v>204</v>
      </c>
      <c r="C2" s="48">
        <v>8294</v>
      </c>
    </row>
    <row r="3" spans="1:3" x14ac:dyDescent="0.25">
      <c r="A3" s="49" t="s">
        <v>99</v>
      </c>
      <c r="B3" s="49" t="s">
        <v>205</v>
      </c>
      <c r="C3" s="50">
        <v>8294</v>
      </c>
    </row>
    <row r="4" spans="1:3" x14ac:dyDescent="0.25">
      <c r="A4" s="47" t="s">
        <v>99</v>
      </c>
      <c r="B4" s="47" t="s">
        <v>206</v>
      </c>
      <c r="C4" s="48">
        <v>8294</v>
      </c>
    </row>
    <row r="5" spans="1:3" x14ac:dyDescent="0.25">
      <c r="A5" s="49" t="s">
        <v>152</v>
      </c>
      <c r="B5" s="49" t="s">
        <v>207</v>
      </c>
      <c r="C5" s="50">
        <v>2200</v>
      </c>
    </row>
    <row r="6" spans="1:3" x14ac:dyDescent="0.25">
      <c r="A6" s="47" t="s">
        <v>125</v>
      </c>
      <c r="B6" s="47" t="s">
        <v>208</v>
      </c>
      <c r="C6" s="48">
        <v>12855.22</v>
      </c>
    </row>
    <row r="7" spans="1:3" x14ac:dyDescent="0.25">
      <c r="A7" s="49" t="s">
        <v>125</v>
      </c>
      <c r="B7" s="49" t="s">
        <v>209</v>
      </c>
      <c r="C7" s="50">
        <v>4876.12</v>
      </c>
    </row>
    <row r="8" spans="1:3" x14ac:dyDescent="0.25">
      <c r="A8" s="47" t="s">
        <v>125</v>
      </c>
      <c r="B8" s="47" t="s">
        <v>210</v>
      </c>
      <c r="C8" s="48">
        <v>12855.22</v>
      </c>
    </row>
    <row r="9" spans="1:3" x14ac:dyDescent="0.25">
      <c r="A9" s="49" t="s">
        <v>126</v>
      </c>
      <c r="B9" s="49" t="s">
        <v>211</v>
      </c>
      <c r="C9" s="50">
        <v>19323.150000000001</v>
      </c>
    </row>
    <row r="10" spans="1:3" x14ac:dyDescent="0.25">
      <c r="A10" s="47" t="s">
        <v>126</v>
      </c>
      <c r="B10" s="47" t="s">
        <v>212</v>
      </c>
      <c r="C10" s="48">
        <v>15547.37</v>
      </c>
    </row>
    <row r="11" spans="1:3" x14ac:dyDescent="0.25">
      <c r="A11" s="49" t="s">
        <v>126</v>
      </c>
      <c r="B11" s="49" t="s">
        <v>213</v>
      </c>
      <c r="C11" s="50">
        <v>19323.150000000001</v>
      </c>
    </row>
    <row r="12" spans="1:3" x14ac:dyDescent="0.25">
      <c r="A12" s="47" t="s">
        <v>168</v>
      </c>
      <c r="B12" s="47" t="s">
        <v>214</v>
      </c>
      <c r="C12" s="48">
        <v>1760</v>
      </c>
    </row>
    <row r="13" spans="1:3" x14ac:dyDescent="0.25">
      <c r="A13" s="49" t="s">
        <v>170</v>
      </c>
      <c r="B13" s="49" t="s">
        <v>215</v>
      </c>
      <c r="C13" s="50">
        <v>2640</v>
      </c>
    </row>
    <row r="14" spans="1:3" x14ac:dyDescent="0.25">
      <c r="A14" s="47" t="s">
        <v>216</v>
      </c>
      <c r="B14" s="47" t="s">
        <v>217</v>
      </c>
      <c r="C14" s="48">
        <v>2200</v>
      </c>
    </row>
    <row r="15" spans="1:3" x14ac:dyDescent="0.25">
      <c r="A15" s="49" t="s">
        <v>218</v>
      </c>
      <c r="B15" s="49" t="s">
        <v>219</v>
      </c>
      <c r="C15" s="50">
        <v>1650</v>
      </c>
    </row>
    <row r="16" spans="1:3" x14ac:dyDescent="0.25">
      <c r="A16" s="47" t="s">
        <v>220</v>
      </c>
      <c r="B16" s="47" t="s">
        <v>221</v>
      </c>
      <c r="C16" s="48">
        <v>16940</v>
      </c>
    </row>
    <row r="17" spans="1:3" x14ac:dyDescent="0.25">
      <c r="A17" s="49" t="s">
        <v>174</v>
      </c>
      <c r="B17" s="49" t="s">
        <v>222</v>
      </c>
      <c r="C17" s="50">
        <v>175000</v>
      </c>
    </row>
    <row r="18" spans="1:3" x14ac:dyDescent="0.25">
      <c r="A18" s="47" t="s">
        <v>102</v>
      </c>
      <c r="B18" s="47" t="s">
        <v>223</v>
      </c>
      <c r="C18" s="48">
        <v>55250</v>
      </c>
    </row>
    <row r="19" spans="1:3" x14ac:dyDescent="0.25">
      <c r="A19" s="49" t="s">
        <v>130</v>
      </c>
      <c r="B19" s="49" t="s">
        <v>224</v>
      </c>
      <c r="C19" s="50">
        <v>14920.45</v>
      </c>
    </row>
    <row r="20" spans="1:3" x14ac:dyDescent="0.25">
      <c r="A20" s="47" t="s">
        <v>131</v>
      </c>
      <c r="B20" s="47" t="s">
        <v>225</v>
      </c>
      <c r="C20" s="48">
        <v>69.7</v>
      </c>
    </row>
    <row r="21" spans="1:3" x14ac:dyDescent="0.25">
      <c r="A21" s="49" t="s">
        <v>131</v>
      </c>
      <c r="B21" s="49" t="s">
        <v>224</v>
      </c>
      <c r="C21" s="50">
        <v>20493.169999999998</v>
      </c>
    </row>
    <row r="22" spans="1:3" x14ac:dyDescent="0.25">
      <c r="A22" s="47" t="s">
        <v>132</v>
      </c>
      <c r="B22" s="47" t="s">
        <v>224</v>
      </c>
      <c r="C22" s="48">
        <v>15899.91</v>
      </c>
    </row>
    <row r="23" spans="1:3" x14ac:dyDescent="0.25">
      <c r="A23" s="49" t="s">
        <v>226</v>
      </c>
      <c r="B23" s="49" t="s">
        <v>227</v>
      </c>
      <c r="C23" s="50">
        <v>10000</v>
      </c>
    </row>
    <row r="24" spans="1:3" x14ac:dyDescent="0.25">
      <c r="A24" s="47" t="s">
        <v>228</v>
      </c>
      <c r="B24" s="47" t="s">
        <v>229</v>
      </c>
      <c r="C24" s="48">
        <v>129500</v>
      </c>
    </row>
    <row r="25" spans="1:3" x14ac:dyDescent="0.25">
      <c r="A25" s="49" t="s">
        <v>230</v>
      </c>
      <c r="B25" s="49" t="s">
        <v>229</v>
      </c>
      <c r="C25" s="50">
        <v>253831.78</v>
      </c>
    </row>
    <row r="26" spans="1:3" x14ac:dyDescent="0.25">
      <c r="A26" s="47" t="s">
        <v>65</v>
      </c>
      <c r="B26" s="47" t="s">
        <v>231</v>
      </c>
      <c r="C26" s="48">
        <v>9775.9</v>
      </c>
    </row>
    <row r="27" spans="1:3" x14ac:dyDescent="0.25">
      <c r="A27" s="49" t="s">
        <v>65</v>
      </c>
      <c r="B27" s="49" t="s">
        <v>232</v>
      </c>
      <c r="C27" s="50">
        <v>3994.17</v>
      </c>
    </row>
    <row r="28" spans="1:3" x14ac:dyDescent="0.25">
      <c r="A28" s="47" t="s">
        <v>103</v>
      </c>
      <c r="B28" s="47" t="s">
        <v>233</v>
      </c>
      <c r="C28" s="48">
        <v>51879.74</v>
      </c>
    </row>
    <row r="29" spans="1:3" x14ac:dyDescent="0.25">
      <c r="A29" s="53" t="s">
        <v>103</v>
      </c>
      <c r="B29" s="53" t="s">
        <v>234</v>
      </c>
      <c r="C29" s="54">
        <v>8646.6200000000008</v>
      </c>
    </row>
    <row r="30" spans="1:3" x14ac:dyDescent="0.25">
      <c r="A30" s="55" t="s">
        <v>0</v>
      </c>
      <c r="B30" s="55"/>
      <c r="C30" s="56">
        <f>SUBTOTAL(109,Tabla1[Imp. aplic.])</f>
        <v>886313.67</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FE3C-5B51-41A1-A0D8-5CF4A9D6252B}">
  <dimension ref="A1:C27"/>
  <sheetViews>
    <sheetView workbookViewId="0">
      <selection activeCell="B33" sqref="B33"/>
    </sheetView>
  </sheetViews>
  <sheetFormatPr baseColWidth="10" defaultRowHeight="15" x14ac:dyDescent="0.25"/>
  <cols>
    <col min="1" max="1" width="19" customWidth="1"/>
    <col min="2" max="2" width="45.42578125" customWidth="1"/>
    <col min="3" max="3" width="28.42578125" customWidth="1"/>
  </cols>
  <sheetData>
    <row r="1" spans="1:3" x14ac:dyDescent="0.25">
      <c r="A1" s="66" t="s">
        <v>202</v>
      </c>
      <c r="B1" s="67" t="s">
        <v>122</v>
      </c>
      <c r="C1" s="67" t="s">
        <v>203</v>
      </c>
    </row>
    <row r="2" spans="1:3" x14ac:dyDescent="0.25">
      <c r="A2" s="68" t="s">
        <v>1</v>
      </c>
      <c r="B2" s="69" t="s">
        <v>277</v>
      </c>
      <c r="C2" s="70">
        <v>1200</v>
      </c>
    </row>
    <row r="3" spans="1:3" x14ac:dyDescent="0.25">
      <c r="A3" s="71" t="s">
        <v>99</v>
      </c>
      <c r="B3" s="72" t="s">
        <v>278</v>
      </c>
      <c r="C3" s="73">
        <v>8294</v>
      </c>
    </row>
    <row r="4" spans="1:3" x14ac:dyDescent="0.25">
      <c r="A4" s="68" t="s">
        <v>99</v>
      </c>
      <c r="B4" s="69" t="s">
        <v>279</v>
      </c>
      <c r="C4" s="70">
        <v>8294</v>
      </c>
    </row>
    <row r="5" spans="1:3" x14ac:dyDescent="0.25">
      <c r="A5" s="71" t="s">
        <v>220</v>
      </c>
      <c r="B5" s="72" t="s">
        <v>280</v>
      </c>
      <c r="C5" s="73">
        <v>24200</v>
      </c>
    </row>
    <row r="6" spans="1:3" x14ac:dyDescent="0.25">
      <c r="A6" s="68" t="s">
        <v>220</v>
      </c>
      <c r="B6" s="69" t="s">
        <v>281</v>
      </c>
      <c r="C6" s="70">
        <v>7260</v>
      </c>
    </row>
    <row r="7" spans="1:3" x14ac:dyDescent="0.25">
      <c r="A7" s="71" t="s">
        <v>282</v>
      </c>
      <c r="B7" s="72" t="s">
        <v>283</v>
      </c>
      <c r="C7" s="73">
        <v>1760</v>
      </c>
    </row>
    <row r="8" spans="1:3" x14ac:dyDescent="0.25">
      <c r="A8" s="68" t="s">
        <v>284</v>
      </c>
      <c r="B8" s="69" t="s">
        <v>285</v>
      </c>
      <c r="C8" s="70">
        <v>10907.6</v>
      </c>
    </row>
    <row r="9" spans="1:3" x14ac:dyDescent="0.25">
      <c r="A9" s="71" t="s">
        <v>286</v>
      </c>
      <c r="B9" s="72" t="s">
        <v>287</v>
      </c>
      <c r="C9" s="73">
        <v>5000.43</v>
      </c>
    </row>
    <row r="10" spans="1:3" x14ac:dyDescent="0.25">
      <c r="A10" s="68" t="s">
        <v>288</v>
      </c>
      <c r="B10" s="69" t="s">
        <v>289</v>
      </c>
      <c r="C10" s="70">
        <v>1645.6</v>
      </c>
    </row>
    <row r="11" spans="1:3" x14ac:dyDescent="0.25">
      <c r="A11" s="71" t="s">
        <v>290</v>
      </c>
      <c r="B11" s="72" t="s">
        <v>291</v>
      </c>
      <c r="C11" s="73">
        <v>12232</v>
      </c>
    </row>
    <row r="12" spans="1:3" x14ac:dyDescent="0.25">
      <c r="A12" s="68" t="s">
        <v>174</v>
      </c>
      <c r="B12" s="69" t="s">
        <v>292</v>
      </c>
      <c r="C12" s="70">
        <v>155108.67000000001</v>
      </c>
    </row>
    <row r="13" spans="1:3" x14ac:dyDescent="0.25">
      <c r="A13" s="71" t="s">
        <v>293</v>
      </c>
      <c r="B13" s="72" t="s">
        <v>294</v>
      </c>
      <c r="C13" s="73">
        <v>2252.8000000000002</v>
      </c>
    </row>
    <row r="14" spans="1:3" x14ac:dyDescent="0.25">
      <c r="A14" s="68" t="s">
        <v>295</v>
      </c>
      <c r="B14" s="69" t="s">
        <v>296</v>
      </c>
      <c r="C14" s="70">
        <v>2640</v>
      </c>
    </row>
    <row r="15" spans="1:3" x14ac:dyDescent="0.25">
      <c r="A15" s="71" t="s">
        <v>130</v>
      </c>
      <c r="B15" s="72" t="s">
        <v>297</v>
      </c>
      <c r="C15" s="73">
        <v>11798.28</v>
      </c>
    </row>
    <row r="16" spans="1:3" x14ac:dyDescent="0.25">
      <c r="A16" s="68" t="s">
        <v>131</v>
      </c>
      <c r="B16" s="69" t="s">
        <v>297</v>
      </c>
      <c r="C16" s="70">
        <v>18928.7</v>
      </c>
    </row>
    <row r="17" spans="1:3" x14ac:dyDescent="0.25">
      <c r="A17" s="71" t="s">
        <v>132</v>
      </c>
      <c r="B17" s="72" t="s">
        <v>297</v>
      </c>
      <c r="C17" s="73">
        <v>56615.66</v>
      </c>
    </row>
    <row r="18" spans="1:3" x14ac:dyDescent="0.25">
      <c r="A18" s="68" t="s">
        <v>226</v>
      </c>
      <c r="B18" s="69" t="s">
        <v>298</v>
      </c>
      <c r="C18" s="70">
        <v>10000</v>
      </c>
    </row>
    <row r="19" spans="1:3" x14ac:dyDescent="0.25">
      <c r="A19" s="71" t="s">
        <v>226</v>
      </c>
      <c r="B19" s="72" t="s">
        <v>299</v>
      </c>
      <c r="C19" s="73">
        <v>-5896.02</v>
      </c>
    </row>
    <row r="20" spans="1:3" x14ac:dyDescent="0.25">
      <c r="A20" s="68" t="s">
        <v>300</v>
      </c>
      <c r="B20" s="69" t="s">
        <v>301</v>
      </c>
      <c r="C20" s="70">
        <v>3000</v>
      </c>
    </row>
    <row r="21" spans="1:3" x14ac:dyDescent="0.25">
      <c r="A21" s="71" t="s">
        <v>133</v>
      </c>
      <c r="B21" s="72" t="s">
        <v>302</v>
      </c>
      <c r="C21" s="73">
        <v>26302.91</v>
      </c>
    </row>
    <row r="22" spans="1:3" x14ac:dyDescent="0.25">
      <c r="A22" s="68" t="s">
        <v>303</v>
      </c>
      <c r="B22" s="69" t="s">
        <v>304</v>
      </c>
      <c r="C22" s="70">
        <v>384782.64</v>
      </c>
    </row>
    <row r="23" spans="1:3" ht="15.75" thickBot="1" x14ac:dyDescent="0.3">
      <c r="A23" s="71" t="s">
        <v>305</v>
      </c>
      <c r="B23" s="72" t="s">
        <v>306</v>
      </c>
      <c r="C23" s="73">
        <v>43523.88</v>
      </c>
    </row>
    <row r="24" spans="1:3" ht="15.75" thickTop="1" x14ac:dyDescent="0.25">
      <c r="A24" s="74" t="s">
        <v>0</v>
      </c>
      <c r="B24" s="75"/>
      <c r="C24" s="76">
        <v>789851.15</v>
      </c>
    </row>
    <row r="27" spans="1:3" x14ac:dyDescent="0.25">
      <c r="B27" s="78" t="s">
        <v>307</v>
      </c>
      <c r="C27" s="77">
        <f>'Ingresos investigación 2024'!C30+Tabla2[[#Totals],[Imp.cob.aplic.]]+C24</f>
        <v>2362764.44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ECE0-19CC-4FD1-8269-CC3AC47C7654}">
  <dimension ref="A1:C4"/>
  <sheetViews>
    <sheetView workbookViewId="0">
      <selection activeCell="G19" sqref="G19"/>
    </sheetView>
  </sheetViews>
  <sheetFormatPr baseColWidth="10" defaultRowHeight="15" x14ac:dyDescent="0.25"/>
  <cols>
    <col min="1" max="1" width="16.42578125" customWidth="1"/>
    <col min="2" max="2" width="108.42578125" customWidth="1"/>
    <col min="3" max="3" width="15.42578125" customWidth="1"/>
  </cols>
  <sheetData>
    <row r="1" spans="1:3" x14ac:dyDescent="0.25">
      <c r="A1" s="64" t="s">
        <v>121</v>
      </c>
      <c r="B1" s="64" t="s">
        <v>122</v>
      </c>
      <c r="C1" s="64" t="s">
        <v>123</v>
      </c>
    </row>
    <row r="2" spans="1:3" x14ac:dyDescent="0.25">
      <c r="A2" s="65" t="s">
        <v>236</v>
      </c>
      <c r="B2" s="65" t="s">
        <v>237</v>
      </c>
      <c r="C2" s="65">
        <v>900</v>
      </c>
    </row>
    <row r="3" spans="1:3" s="62" customFormat="1" ht="15.75" thickBot="1" x14ac:dyDescent="0.3">
      <c r="A3" s="61" t="s">
        <v>0</v>
      </c>
      <c r="B3" s="61"/>
      <c r="C3" s="61">
        <f>SUBTOTAL(109,Tabla4[Imp.cob.aplic.])</f>
        <v>900</v>
      </c>
    </row>
    <row r="4" spans="1:3" ht="15.75" thickTop="1" x14ac:dyDescent="0.25">
      <c r="A4" s="30"/>
      <c r="B4" s="31"/>
      <c r="C4" s="3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3368-8DBC-42A0-8A50-AC7D0F60A3C3}">
  <dimension ref="B1"/>
  <sheetViews>
    <sheetView workbookViewId="0">
      <selection activeCell="B5" sqref="B5:C5"/>
    </sheetView>
  </sheetViews>
  <sheetFormatPr baseColWidth="10" defaultRowHeight="15" x14ac:dyDescent="0.25"/>
  <cols>
    <col min="2" max="2" width="32.7109375" customWidth="1"/>
  </cols>
  <sheetData>
    <row r="1" spans="2:2" x14ac:dyDescent="0.25">
      <c r="B1" t="s">
        <v>235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B06F-E3C0-4D07-BEC8-FAF1348EFB28}">
  <dimension ref="A1:C6"/>
  <sheetViews>
    <sheetView tabSelected="1" workbookViewId="0">
      <selection activeCell="E12" sqref="E12"/>
    </sheetView>
  </sheetViews>
  <sheetFormatPr baseColWidth="10" defaultRowHeight="15" x14ac:dyDescent="0.25"/>
  <cols>
    <col min="1" max="1" width="17.5703125" customWidth="1"/>
    <col min="2" max="2" width="54.42578125" customWidth="1"/>
  </cols>
  <sheetData>
    <row r="1" spans="1:3" x14ac:dyDescent="0.25">
      <c r="A1" s="79" t="s">
        <v>202</v>
      </c>
      <c r="B1" s="80" t="s">
        <v>122</v>
      </c>
      <c r="C1" s="81" t="s">
        <v>203</v>
      </c>
    </row>
    <row r="2" spans="1:3" ht="15.75" thickBot="1" x14ac:dyDescent="0.3">
      <c r="A2" s="82" t="s">
        <v>308</v>
      </c>
      <c r="B2" s="83" t="s">
        <v>309</v>
      </c>
      <c r="C2" s="84">
        <v>2380</v>
      </c>
    </row>
    <row r="3" spans="1:3" ht="15.75" thickTop="1" x14ac:dyDescent="0.25">
      <c r="A3" s="85" t="s">
        <v>0</v>
      </c>
      <c r="B3" s="86"/>
      <c r="C3" s="87">
        <v>2380</v>
      </c>
    </row>
    <row r="6" spans="1:3" x14ac:dyDescent="0.25">
      <c r="B6" s="63" t="s">
        <v>310</v>
      </c>
      <c r="C6" s="88">
        <f>C3+Tabla4[[#Totals],[Imp.cob.aplic.]]</f>
        <v>3280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2026-05-27T11:37:48Z</dcterms:modified>
</cp:coreProperties>
</file>