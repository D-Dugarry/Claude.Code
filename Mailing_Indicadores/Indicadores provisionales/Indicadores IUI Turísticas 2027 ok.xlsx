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5DC251AB-F074-4527-AE62-C5957DBB0D57}" xr6:coauthVersionLast="47" xr6:coauthVersionMax="47" xr10:uidLastSave="{00000000-0000-0000-0000-000000000000}"/>
  <bookViews>
    <workbookView xWindow="-120" yWindow="-120" windowWidth="29040" windowHeight="15720" xr2:uid="{00000000-000D-0000-FFFF-FFFF00000000}"/>
  </bookViews>
  <sheets>
    <sheet name="Tesis" sheetId="5" r:id="rId1"/>
    <sheet name="Sexenios" sheetId="6" r:id="rId2"/>
    <sheet name="Ingresos investigación 2023" sheetId="17" r:id="rId3"/>
    <sheet name="Ingresos investigación 2024" sheetId="19" r:id="rId4"/>
    <sheet name="Ingresos investigación 2025" sheetId="21" r:id="rId5"/>
    <sheet name="Ingresos formación 2023" sheetId="18" r:id="rId6"/>
    <sheet name="Ingresos formación 2024" sheetId="20" r:id="rId7"/>
    <sheet name="Ingresos formación 2025" sheetId="22" r:id="rId8"/>
  </sheets>
  <definedNames>
    <definedName name="_xlnm._FilterDatabase" localSheetId="1" hidden="1">Sexenios!#REF!</definedName>
    <definedName name="_xlnm._FilterDatabase" localSheetId="0" hidden="1">Tesis!$A$1:$T$114</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0" i="22" l="1"/>
  <c r="C45" i="21"/>
  <c r="S114" i="5"/>
  <c r="C30" i="18"/>
  <c r="C189" i="20"/>
  <c r="C29" i="17"/>
  <c r="C28" i="19"/>
  <c r="R57" i="6"/>
</calcChain>
</file>

<file path=xl/sharedStrings.xml><?xml version="1.0" encoding="utf-8"?>
<sst xmlns="http://schemas.openxmlformats.org/spreadsheetml/2006/main" count="2834" uniqueCount="1041">
  <si>
    <t>Total</t>
  </si>
  <si>
    <t>41.60.6X.00.02</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</si>
  <si>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</si>
  <si>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</si>
  <si>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</si>
  <si>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</si>
  <si>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</si>
  <si>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</si>
  <si>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</si>
  <si>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</si>
  <si>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</si>
  <si>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</si>
  <si>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</si>
  <si>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</si>
  <si>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</si>
  <si>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</si>
  <si>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</si>
  <si>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</si>
  <si>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</si>
  <si>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</si>
  <si>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</si>
  <si>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</si>
  <si>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</si>
  <si>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U020 </t>
  </si>
  <si>
    <t>ADM. I.U. DEL AGUA Y DE LAS CIENCIAS AMBIENTALES </t>
  </si>
  <si>
    <t>- </t>
  </si>
  <si>
    <t>Codirector de tesis </t>
  </si>
  <si>
    <t>10.05</t>
  </si>
  <si>
    <t/>
  </si>
  <si>
    <t>DOCTORADO EN AGUA Y DESARROLLO SOSTENIBLE </t>
  </si>
  <si>
    <t>Director de tesis </t>
  </si>
  <si>
    <t>U058 </t>
  </si>
  <si>
    <t>ADM. I.U. DE INVESTIGACIONES TURÍSTICAS </t>
  </si>
  <si>
    <t>DOCTORADO EN TURISMO </t>
  </si>
  <si>
    <t>10.17</t>
  </si>
  <si>
    <t>10.21</t>
  </si>
  <si>
    <t>B112 </t>
  </si>
  <si>
    <t>DIDACTICA GENERAL Y DIDÁCTICAS ESPECÍFICAS </t>
  </si>
  <si>
    <t>DOCTORADO EN INVESTIGACIÓN EDUCATIVA </t>
  </si>
  <si>
    <t>50</t>
  </si>
  <si>
    <t>U025 </t>
  </si>
  <si>
    <t>ADM. FACULTAD DE DERECHO </t>
  </si>
  <si>
    <t>DOCTORADO EN DERECHO </t>
  </si>
  <si>
    <t>20</t>
  </si>
  <si>
    <t>B138 </t>
  </si>
  <si>
    <t>ANALISIS ECONOMICO APLICADO </t>
  </si>
  <si>
    <t>B138</t>
  </si>
  <si>
    <t>10</t>
  </si>
  <si>
    <t>B185 </t>
  </si>
  <si>
    <t>INGENIERÍA CIVIL </t>
  </si>
  <si>
    <t>B185</t>
  </si>
  <si>
    <t>80</t>
  </si>
  <si>
    <t>10.06</t>
  </si>
  <si>
    <t>40</t>
  </si>
  <si>
    <t>21439172K </t>
  </si>
  <si>
    <t>B179 </t>
  </si>
  <si>
    <t>SOCIOLOGÍA I </t>
  </si>
  <si>
    <t>B179</t>
  </si>
  <si>
    <t>U036 </t>
  </si>
  <si>
    <t>ADM. FACULTAD DE CIENCIAS ECONÓMICAS </t>
  </si>
  <si>
    <t>DOCTORADO EN EMPRESA, ECONOMÍA Y SOCIEDAD </t>
  </si>
  <si>
    <t>79108766J </t>
  </si>
  <si>
    <t>30</t>
  </si>
  <si>
    <t>B122 </t>
  </si>
  <si>
    <t>HUMANIDADES CONTEMPORANEAS </t>
  </si>
  <si>
    <t>B122</t>
  </si>
  <si>
    <t>U023 </t>
  </si>
  <si>
    <t>ADM. FACULTAD DE FILOSOFIA Y LETRAS </t>
  </si>
  <si>
    <t>DOCTORADO EN FILOSOFÍA Y LETRAS </t>
  </si>
  <si>
    <t>74176634R </t>
  </si>
  <si>
    <t>B173 </t>
  </si>
  <si>
    <t>ANÁLISIS GEOGRÁFICO REGIONAL Y GEOGRAFÍA FÍSICA </t>
  </si>
  <si>
    <t>B173</t>
  </si>
  <si>
    <t>25126276H </t>
  </si>
  <si>
    <t>70</t>
  </si>
  <si>
    <t>B175</t>
  </si>
  <si>
    <t>B110 </t>
  </si>
  <si>
    <t>ORGANIZACIÓN DE EMPRESAS </t>
  </si>
  <si>
    <t>B110</t>
  </si>
  <si>
    <t>33481428Y </t>
  </si>
  <si>
    <t>74218489L </t>
  </si>
  <si>
    <t>21470393P </t>
  </si>
  <si>
    <t>21645764G </t>
  </si>
  <si>
    <t>53210892R </t>
  </si>
  <si>
    <t>48457726S </t>
  </si>
  <si>
    <t>21478406V </t>
  </si>
  <si>
    <t>B112</t>
  </si>
  <si>
    <t>51326460M </t>
  </si>
  <si>
    <t>B154 </t>
  </si>
  <si>
    <t>DERECHO MERCANTIL Y DERECHO PROCESAL </t>
  </si>
  <si>
    <t>B154</t>
  </si>
  <si>
    <t>22126890Q </t>
  </si>
  <si>
    <t>21362608R </t>
  </si>
  <si>
    <t>44766559A </t>
  </si>
  <si>
    <t>05658630D </t>
  </si>
  <si>
    <t>74218439S </t>
  </si>
  <si>
    <t>NIF</t>
  </si>
  <si>
    <t>NOMBRE_COMPLETO</t>
  </si>
  <si>
    <t>TIPO_SEXENIO</t>
  </si>
  <si>
    <t>Total general</t>
  </si>
  <si>
    <t>INS
1</t>
  </si>
  <si>
    <t>DED
INS 1</t>
  </si>
  <si>
    <t>INS
2</t>
  </si>
  <si>
    <t>DED
INS 2</t>
  </si>
  <si>
    <t>DED
DEP</t>
  </si>
  <si>
    <t>SEX
INS 1</t>
  </si>
  <si>
    <t>SEX
INS 2</t>
  </si>
  <si>
    <t>SEX
DEP</t>
  </si>
  <si>
    <t>FUNCIONARIO</t>
  </si>
  <si>
    <t>NO FUNCIONARIO</t>
  </si>
  <si>
    <t>25126276H</t>
  </si>
  <si>
    <t>21468028N</t>
  </si>
  <si>
    <t>21487688F</t>
  </si>
  <si>
    <t>74176634R</t>
  </si>
  <si>
    <t>48457726S</t>
  </si>
  <si>
    <t>48350398M</t>
  </si>
  <si>
    <t>12759974B</t>
  </si>
  <si>
    <t>22126890Q</t>
  </si>
  <si>
    <t>52764800V</t>
  </si>
  <si>
    <t>74087122M</t>
  </si>
  <si>
    <t>21645764G</t>
  </si>
  <si>
    <t>21470393P</t>
  </si>
  <si>
    <t>05658630D</t>
  </si>
  <si>
    <t>25146159Y</t>
  </si>
  <si>
    <t>53210892R</t>
  </si>
  <si>
    <t>72128548L</t>
  </si>
  <si>
    <t>74218489L</t>
  </si>
  <si>
    <t>44766559A</t>
  </si>
  <si>
    <t>51326460M</t>
  </si>
  <si>
    <t>48350547Q</t>
  </si>
  <si>
    <t>21478406V</t>
  </si>
  <si>
    <t>21503087L</t>
  </si>
  <si>
    <t>33481428Y</t>
  </si>
  <si>
    <t>29015181Z</t>
  </si>
  <si>
    <t>33475454N</t>
  </si>
  <si>
    <t>21423152D</t>
  </si>
  <si>
    <t>21478044T</t>
  </si>
  <si>
    <t>21485448K</t>
  </si>
  <si>
    <t>74218439S</t>
  </si>
  <si>
    <t>21466152E</t>
  </si>
  <si>
    <t>21485335T</t>
  </si>
  <si>
    <t>41.60.2T.00.18</t>
  </si>
  <si>
    <t>41.60.2T.00.19</t>
  </si>
  <si>
    <t>41.60.2T.00.20</t>
  </si>
  <si>
    <t>FARFAN PACHECO, GALO ADOLFO </t>
  </si>
  <si>
    <t>Valoración de empresas y riesgo país en Ecuador </t>
  </si>
  <si>
    <t>30/09/2020 </t>
  </si>
  <si>
    <t>González Herreros, Ester </t>
  </si>
  <si>
    <t>La influencia de las agencias de desarrollo local en la atención y formación a emprendedores. El caso de la província de Alicante </t>
  </si>
  <si>
    <t>24/01/2020 </t>
  </si>
  <si>
    <t>Ruiz Fernandez, Lorena </t>
  </si>
  <si>
    <t>Análisis de las capacidades dinámicas y su efecto sobre el rendimiento empresarial: Un estudio aplicado al sector hotelero en España </t>
  </si>
  <si>
    <t>27/07/2020 </t>
  </si>
  <si>
    <t>Seva Larrosa, Pedro </t>
  </si>
  <si>
    <t>DISTRITOS INDUSTRIALES Y COMPETITIVIDAD EMPRESARIAL: UN ANÁLISIS APLICADO A LOS DISTRITOS INDUSTRIALES ALIMENTARIOS (DIA) EN ESPAÑA </t>
  </si>
  <si>
    <t>20/11/2019 </t>
  </si>
  <si>
    <t>DOCTORADO EN ECONOMÍA </t>
  </si>
  <si>
    <t>Femenia Serra, Francisco </t>
  </si>
  <si>
    <t>SMART TOURISM DESTINATIONS: A DEMAND-BASED APPROACH FOR IMPROVING LOCAL TOURISM MANAGENENT </t>
  </si>
  <si>
    <t>03/12/2019 </t>
  </si>
  <si>
    <t>Navarro Ruiz, Sandra </t>
  </si>
  <si>
    <t>"COMPORTAMIENTO INTRADESTINO DE LOS VISITANTES E IMPLICACIONES PARA LA GESTIÓN TURÍSTICA LOCAL. ESTUDIO DE LOS VISITANTES DE CRUCERO EN VALENCIA" </t>
  </si>
  <si>
    <t>10/12/2019 </t>
  </si>
  <si>
    <t>Villar Navascués, Rubén Alejandro </t>
  </si>
  <si>
    <t>SISTEMAS DE SUMINISTRO Y TENDENCIAS DE CONSUMO DE AGUA URBANO-TURÍSTICO EN LOS MUNICIPIOS LITORALES DE ALICANTE (2000-2017) </t>
  </si>
  <si>
    <t>29/11/2019 </t>
  </si>
  <si>
    <t>12381640G</t>
  </si>
  <si>
    <t>COD DEP</t>
  </si>
  <si>
    <t>16809134K</t>
  </si>
  <si>
    <t>21508717Z</t>
  </si>
  <si>
    <t>B181</t>
  </si>
  <si>
    <t>29020457T</t>
  </si>
  <si>
    <t>45561686C</t>
  </si>
  <si>
    <t>47083217D</t>
  </si>
  <si>
    <t>21436398F</t>
  </si>
  <si>
    <t>Quizhpe Salinas, Luis Alcivar </t>
  </si>
  <si>
    <t>"Estrategias competitivas para el desarrollo de las PYMES, en el corredor turístico ferroviario del Ecuador, con enfoque sistémico." </t>
  </si>
  <si>
    <t>30/07/2020 </t>
  </si>
  <si>
    <t>ZZ </t>
  </si>
  <si>
    <t>SIN ASIGNAR </t>
  </si>
  <si>
    <t>Navarro Berbegal, Francisco Javier </t>
  </si>
  <si>
    <t>CULTURA DE CALIDAD: PARADIGMA DE DESARROLLO PARA LA EXCELENCIA. EVIDENCIA DEL CASO EN EMPRESAS DE LA PROVINCIA DE ALICANTE </t>
  </si>
  <si>
    <t>19/11/2020 </t>
  </si>
  <si>
    <t>21494583W </t>
  </si>
  <si>
    <t>Sarmiento Moscoso, Luis Santiago </t>
  </si>
  <si>
    <t>Tres estudios sobre la descomposición de las diferencias salariales regionales en Ecuador a lo largo de la distribución salarial </t>
  </si>
  <si>
    <t>06/09/2021 </t>
  </si>
  <si>
    <t>33475454N </t>
  </si>
  <si>
    <t>García Botella, María Estela </t>
  </si>
  <si>
    <t>Variables de información geográfica en los estudios de inundabilidad de pequeñas cuencas alteradas en el sureste de la Península Ibérica </t>
  </si>
  <si>
    <t>27/07/2021 </t>
  </si>
  <si>
    <t>21466152E </t>
  </si>
  <si>
    <t>García-Cremades Mira, Alejandro </t>
  </si>
  <si>
    <t>Mecanismos de solución del bloqueo societario </t>
  </si>
  <si>
    <t>14/07/2021 </t>
  </si>
  <si>
    <t>25146159Y </t>
  </si>
  <si>
    <t>Rabasa Martínez, Ignacio </t>
  </si>
  <si>
    <t>EL SECRETO EMPRESARIAL EN LA INDUSTRIA DEL FITOMEJORAMIENTO </t>
  </si>
  <si>
    <t>29/01/2021 </t>
  </si>
  <si>
    <t>MODELO DE ESTRATEGIAS PARA GESTIONAR EL CONOCIMENTO INSTITUCIONAL(Caso de Universidades Públicas Categoría A de Ecuador) </t>
  </si>
  <si>
    <t>30/09/2021 </t>
  </si>
  <si>
    <t>29015181Z </t>
  </si>
  <si>
    <t>Sánchez García, Eduardo </t>
  </si>
  <si>
    <t>Aglomeración industrial, capital social y capacidad de absorción como impulsores del desempeño innovador y empresarial: Una aplicación al sector de suministro de energía eléctrica, gas, vapor y aire acondicionado en España </t>
  </si>
  <si>
    <t>22/07/2021 </t>
  </si>
  <si>
    <t>74087122M </t>
  </si>
  <si>
    <t>Pedro De Blas, Jennifer </t>
  </si>
  <si>
    <t>La competitividad internacional en el fútbol: Un análisis comparativo entre España y China </t>
  </si>
  <si>
    <t>28/07/2021 </t>
  </si>
  <si>
    <t>29020457T </t>
  </si>
  <si>
    <t>Brotons Martínez, Matilde </t>
  </si>
  <si>
    <t>La gestión del conocimiento para la innovación en hoteles: la influencia de las prácticas de Recursos Humanos </t>
  </si>
  <si>
    <t>25/03/2021 </t>
  </si>
  <si>
    <t>González Domínguez, Irais </t>
  </si>
  <si>
    <t>Empoderamiento de actoras y actores locales en la gestión del Turismo Rural en el Estado de México </t>
  </si>
  <si>
    <t>01/02/2021 </t>
  </si>
  <si>
    <t>Climent Gil, Emilio </t>
  </si>
  <si>
    <t>Abordando la complejidad. Vulnerabilidad y riesgo en la gestión de impactos sociales de las intervenciones sobre el medio </t>
  </si>
  <si>
    <t>24/11/2020 </t>
  </si>
  <si>
    <t>Aznar Crespo, Pablo </t>
  </si>
  <si>
    <t>Procesos generativos de vulnerabilidad social ante riesgos ambientales: retos y oportunidades para una nueva gobernanza </t>
  </si>
  <si>
    <t>10/09/2021 </t>
  </si>
  <si>
    <t>Lalangui Ramírez, Jessica Ivonne </t>
  </si>
  <si>
    <t>CONTRIBUCIÓN A LAS POTENCIALIDADES DE LOS DESTINOS TURÍSTICOS DE LA PROVINCIA DE EL ORO - ECUADOR </t>
  </si>
  <si>
    <t>22/03/2021 </t>
  </si>
  <si>
    <t>Rodríguez Pallas, Ángel </t>
  </si>
  <si>
    <t>Agencias de viaje, convivencia del negocio online-offline. El impacto de las TIC, los cambios en los hábitos de consumo y la importancia del marketing relacional </t>
  </si>
  <si>
    <t>26/02/2021 </t>
  </si>
  <si>
    <t>41.60.6Q.00.01</t>
  </si>
  <si>
    <t>41.60.2T.00.24</t>
  </si>
  <si>
    <t>22529387J </t>
  </si>
  <si>
    <t>10.25</t>
  </si>
  <si>
    <t>21423152D </t>
  </si>
  <si>
    <t>B175 </t>
  </si>
  <si>
    <t>COMUNICACIÓN Y PSICOLOGÍA SOCIAL </t>
  </si>
  <si>
    <t>Cód. org. aplic.</t>
  </si>
  <si>
    <t>Descripción justificante</t>
  </si>
  <si>
    <t>41.60.2T.00.26</t>
  </si>
  <si>
    <t>41.60.6C.00.67</t>
  </si>
  <si>
    <t>41.60.6X.00.03</t>
  </si>
  <si>
    <t>41.60.6X.00.04</t>
  </si>
  <si>
    <t>Sosa Sosa, María Elena </t>
  </si>
  <si>
    <t>Patrimonialización de los recursos locales alimentarios a través de la oferta culinaria en el Centro Histórico de Quito </t>
  </si>
  <si>
    <t>15/07/2022 </t>
  </si>
  <si>
    <t>Ibragimov , Khusen </t>
  </si>
  <si>
    <t>THE DETERMINANTS OF TOURISM DEMAND IN CENTRAL ASIA </t>
  </si>
  <si>
    <t>14/06/2022 </t>
  </si>
  <si>
    <t>29022524C </t>
  </si>
  <si>
    <t>Rucci , Ana Clara </t>
  </si>
  <si>
    <t>ACCESSIBLE TOURISM AND COMPETITIVENESS: ASSESSING DIFFERENT DIMENSIONS OF ACCESSIBILITY IN DESTINATIONS </t>
  </si>
  <si>
    <t>09/12/2021 </t>
  </si>
  <si>
    <t>López Mayorga, Rosa Magdalena </t>
  </si>
  <si>
    <t>Elvira Aranda, Carlos </t>
  </si>
  <si>
    <t>ANÁLISIS DEL COMPORTAMIENTO OFENSIVO EN FÚTBOL: LAS SITUACIONES DE JUEGO REDUCIDO COMO VARIABLES EXPLICATIVAS DEL ÉXITO </t>
  </si>
  <si>
    <t>21/12/2021 </t>
  </si>
  <si>
    <t>B119 </t>
  </si>
  <si>
    <t>FUNDAMENTOS DEL ANÁLISIS ECONÓMICO </t>
  </si>
  <si>
    <t>Simón Albert, Raquel </t>
  </si>
  <si>
    <t>Three empirical essays on daily residence-work mobility and labor market areas </t>
  </si>
  <si>
    <t>24/05/2022 </t>
  </si>
  <si>
    <t>García Martínez, Andrea </t>
  </si>
  <si>
    <t>El debilitamiento de la función de garantía del capital social como mecanismo de protección de los acreedores </t>
  </si>
  <si>
    <t>10/12/2021 </t>
  </si>
  <si>
    <t>Poveda Pareja, Esther </t>
  </si>
  <si>
    <t>LOCALIZACIO¿N, RESPONSABILIDAD SOCIAL CORPORATIVA Y CREACIO¿N DE VALOR EN LOS HOTELES DE LA COSTA ESPAN¿OLA: INFLUENCIA DEL CAPITAL SOCIAL, LA AMBIDESTREZA INTERORGANIZATIVA, LA INNOVACIO¿N Y LA RESILIENCIA </t>
  </si>
  <si>
    <t>27/06/2022 </t>
  </si>
  <si>
    <t>Martínez Falcó, Javier </t>
  </si>
  <si>
    <t>EL CAPITAL INTELECTUAL SOSTENIBLE COMO ELEMENTO VERTEBRADOR DE LA PERFORMANCE ECONÓMICA, SOCIAL Y MEDIOAMBIENTAL: UN ANÁLISIS APLICADO A LA INDUSTRIA VINÍCOLA ESPAÑOLA </t>
  </si>
  <si>
    <t>19/07/2022 </t>
  </si>
  <si>
    <t>45561686C </t>
  </si>
  <si>
    <t>Fernández Vidal, Jorge </t>
  </si>
  <si>
    <t>PARASKEVAS , THEODOROS </t>
  </si>
  <si>
    <t>The impact of suspending labor status on organizational culture of uniformed personnel outside the central government administration in Greece. The case study of Municipal Polic </t>
  </si>
  <si>
    <t>22/07/2022 </t>
  </si>
  <si>
    <t>Baliouskas , Petros </t>
  </si>
  <si>
    <t>TOURNAROUND STRATEGY DURING A DEPRESSED ECONOMY-CORRELATION WITH SUCCESSFUL TACTICS. A TOTAL TURNAROUND RESEARCH FOR THE GREEK COMPANIES (INDUSTRIAL AND TRADING SECTOR </t>
  </si>
  <si>
    <t>Yang , Yang </t>
  </si>
  <si>
    <t>LA INTENCIÓN DE INTERNACIONALIZACIÓN DE LAS PYMES ESPAÑOLAS HACIA CHINA EN LA ERA DE LA NUEVA RUTA DE LA SEDA- UN ESTUDIO DESDE EL ENFOQUE DE LAS REDES SOCIALES </t>
  </si>
  <si>
    <t>Rivas Tello, Augusta Carolina </t>
  </si>
  <si>
    <t>Gestión de calidad turística en los parques nacionales del Ecuador </t>
  </si>
  <si>
    <t>29/03/2022 </t>
  </si>
  <si>
    <t>48350547Q </t>
  </si>
  <si>
    <t>Chontasi Morales, Fernando David </t>
  </si>
  <si>
    <t>Los efectos del turismo de base local sobre la resiliencia-socioecológica. Comunidad de Yunguilla. Quito-Ec. </t>
  </si>
  <si>
    <t>07/09/2022 </t>
  </si>
  <si>
    <t>12381640G </t>
  </si>
  <si>
    <t>Rubio Escuderos, Lucía </t>
  </si>
  <si>
    <t>EL MOSAICO DEL TURISMO ACCESIBLE: DIAGNÓSTICO DE IMPULSOS Y FRENOS A LA ACCESIBILIDAD EN LOS DESTINOS TURÍSTICOS DESDE LA PERSPECTIVA DE LAS PARTES INTERESADAS </t>
  </si>
  <si>
    <t>20/12/2021 </t>
  </si>
  <si>
    <t>52764800V </t>
  </si>
  <si>
    <t>47083217D </t>
  </si>
  <si>
    <t>Su , Zhenyu </t>
  </si>
  <si>
    <t>REAL ESTATE INVESTMENTS: PRINCIPLES AND EVIDENCE -- THE CASES OF SPAIN AND CHINA </t>
  </si>
  <si>
    <t>Torres García de las Bayonas, Sonia María </t>
  </si>
  <si>
    <t>El crédito en los procesos de crecimiento y desarrollo económico. La experiencia española en las situaciones de crisis financieras. El papel de las instituciones y de los reguladores del sistema financiero. ¿Ha tenido efectos la desaparición de las c </t>
  </si>
  <si>
    <t>14/07/2022 </t>
  </si>
  <si>
    <t>Pastor Pomares, Francisco </t>
  </si>
  <si>
    <t>Acuerdos comerciales regionales (Estudio de caso sobre sus impactos y efectos bajo un modelo gravitacional) </t>
  </si>
  <si>
    <t>18/07/2022 </t>
  </si>
  <si>
    <t>Pisano Motta Gemignani, Viviane </t>
  </si>
  <si>
    <t>MAPAS CAUSAIS COLABORATIVOS COMO FERRAMENTA DA AVALIAÇÃO DE IMPACTO SOCIAL EM TERRITÓRIOS DE MINERAÇÃO: contribuições para a gestão dos impactos sociais </t>
  </si>
  <si>
    <t>06/09/2022 </t>
  </si>
  <si>
    <t>Punset Bannel, Carolina Clara </t>
  </si>
  <si>
    <t>LA TRANSICIÓN ENERGÉTICA HACIA UN MODELO DESCARBONIZADO DESDE LA PERSPECTIVA DE LOS LOBBIES EN LA UNIÓN EUROPEA </t>
  </si>
  <si>
    <t>08/04/2022 </t>
  </si>
  <si>
    <t>21487688F </t>
  </si>
  <si>
    <t>Díaz Soto, Carlos Manuel </t>
  </si>
  <si>
    <t>Análisis y estrategias de mejoramiento del turismo de salud y bienestar en Bucaramanga y su zona metropolitana </t>
  </si>
  <si>
    <t>10/06/2022 </t>
  </si>
  <si>
    <t>18445118S</t>
  </si>
  <si>
    <t>B184</t>
  </si>
  <si>
    <t>20045325C</t>
  </si>
  <si>
    <t>33495335K</t>
  </si>
  <si>
    <t>48300176S</t>
  </si>
  <si>
    <t>74087347T</t>
  </si>
  <si>
    <t>22529387J</t>
  </si>
  <si>
    <t>45567523S</t>
  </si>
  <si>
    <t>Imp.cob.aplic.</t>
  </si>
  <si>
    <t>41.60.6C.00.79</t>
  </si>
  <si>
    <t>41.60.6C.00.80</t>
  </si>
  <si>
    <t>41.60.6C.00.90</t>
  </si>
  <si>
    <t>41.60.6C.00.96</t>
  </si>
  <si>
    <t>I.U. DE INVESTIGACIONES TURÍSTICAS (10.17) </t>
  </si>
  <si>
    <t>Ferreiro Rosende, Erica </t>
  </si>
  <si>
    <t>La identidad de marcas museo y su gestión desde un enfoque integral: propuesta de un Sistema de Identidad de Marca y su adaptación a museos de autor. </t>
  </si>
  <si>
    <t>27/09/2022 </t>
  </si>
  <si>
    <t>Construyendo el Turismo de Base Comunitaria en Ilha das Couves en Ubatuba, SP </t>
  </si>
  <si>
    <t>05/06/2023 </t>
  </si>
  <si>
    <t>ADM. I.U. DE INVESTIGACIONES TURÍSTICAS</t>
  </si>
  <si>
    <t>Garulo Ramón, Carlos</t>
  </si>
  <si>
    <t>Externalización de servicios de información turística en la red tourist info de la provincia de Alicante.</t>
  </si>
  <si>
    <t>20/09/2022 </t>
  </si>
  <si>
    <t>21508717Z </t>
  </si>
  <si>
    <t>B181 </t>
  </si>
  <si>
    <t>MARKETING </t>
  </si>
  <si>
    <t>Economía de la innovación y la digitalización del turismo: Un estudio del mercado de Airbnb aplicando técnicas econométricas y redes neuronales </t>
  </si>
  <si>
    <t>20/01/2023 </t>
  </si>
  <si>
    <t>Evolución e impacto de la inteligencia artificial desde una perspectiva económica: una mirada global, europea y regional </t>
  </si>
  <si>
    <t>16/06/2023 </t>
  </si>
  <si>
    <t>I.U. DEL AGUA Y DE LAS CIENCIAS AMBIENTALES (10.05) </t>
  </si>
  <si>
    <t>IMPACTO ECONÓMICO, SOCIAL Y MEDIOAMBIENTAL DE LA LIBERALIZACIÓN DEL SECTOR DEL TAXI EN ESPAÑA </t>
  </si>
  <si>
    <t>21/02/2023 </t>
  </si>
  <si>
    <t>La Extensión Universitaria como herramienta para el desarrollo local. La Universidad Técnica de Manabí en las parroquias rurales de Portoviejo. </t>
  </si>
  <si>
    <t>27/02/2023 </t>
  </si>
  <si>
    <t>22131391D </t>
  </si>
  <si>
    <t>Empleo de eReaders en la lectura de libros digitales: surgimiento, evolución, comportamiento y evaluación de usabilidad del dispositivo para la determinación de un diseño de interfaz en países de habla hispana. </t>
  </si>
  <si>
    <t>25/11/2022 </t>
  </si>
  <si>
    <t>La tutela de los socios en contextos de reestructuración de sociedades de capital </t>
  </si>
  <si>
    <t>02/06/2023 </t>
  </si>
  <si>
    <t>Impacto de la transferencia tecnológica universitaria en el sector de las empresas exportadoras de camarón en Ecuador: Un enfoque en la interacción entre Universidad, Estado y Empresa </t>
  </si>
  <si>
    <t>17/07/2023 </t>
  </si>
  <si>
    <t>LIDERAZGO ÉTICO EN UNIVERSIDADES PÚBLICAS, VÍNCULO CON EL WORK ENGAGEMENT Y EFECTO MEDIADOR DEL CLIMA ÉTICO ORGANIZACIONAL </t>
  </si>
  <si>
    <t>19/07/2023 </t>
  </si>
  <si>
    <t>Análisis de la incidencia de un set de capacidades dinámicas en la innovación de las empresas agroindustriales: Un modelo de confirmación. </t>
  </si>
  <si>
    <t>18/07/2023 </t>
  </si>
  <si>
    <t>ORIENTACIÓN EMPRENDEDORA E INFLUENCIA FAMILIAR COMO DETERMINANTES DEL DESEMPEÑO DE LAS EMPRESAS FAMILIARES EN ECUADOR </t>
  </si>
  <si>
    <t>23/03/2023 </t>
  </si>
  <si>
    <t>Ecosistema Urbano de Emprendimiento: Factores Clave para la Innovación en los Centros Históricos a través de la Economía Creativa. </t>
  </si>
  <si>
    <t>15/09/2023 </t>
  </si>
  <si>
    <t>Turismo chino en América Latina: Influencia de las diferencias culturales </t>
  </si>
  <si>
    <t>24/11/2022 </t>
  </si>
  <si>
    <t>Market and non-market determinants of property valuations decided through the court system in family law separation in Australia: developing a scientific approach. </t>
  </si>
  <si>
    <t>08/09/2023 </t>
  </si>
  <si>
    <t>Puesta en valor de la arquitectura vernácula como entrada al turismo, en la Mancomunidad del Chocó Andino (Quito ¿ Ecuador) </t>
  </si>
  <si>
    <t>20/12/2022 </t>
  </si>
  <si>
    <t>DESARROLLO SOSTENIBLE Y GESTIÓN DEL GEOTURISMO EN GEOPARQUES ECUADOR: ESTUDIO DE CASO DEL GEOPARQUE IMBABURA </t>
  </si>
  <si>
    <t>28/04/2023 </t>
  </si>
  <si>
    <t>Desarrollo territorial sostenible del turismo en Manabí, Ecuador. Modelos y estrategias </t>
  </si>
  <si>
    <t>16/12/2022 </t>
  </si>
  <si>
    <t>EL TURISMO EN CUBA. ESTUDIO DE CASOS DESDE LA PERSPECTIVA DEL ANÁLISIS REGIONAL </t>
  </si>
  <si>
    <t>03/03/2023 </t>
  </si>
  <si>
    <t>33486969G</t>
  </si>
  <si>
    <t>48342228T</t>
  </si>
  <si>
    <t>10.23</t>
  </si>
  <si>
    <t>48356326E</t>
  </si>
  <si>
    <t>41.60.2E.00.05</t>
  </si>
  <si>
    <t>360659/10335696 C19 FPD 001 - 2022/PFD 01/000025 C19 FPD 001 - 2022/PFD 01/000025</t>
  </si>
  <si>
    <t>S</t>
  </si>
  <si>
    <t>41.60.2E.00.06</t>
  </si>
  <si>
    <t>360659/10335221 C19 FPA 001 - 2022-SAG 01-000026 C19 FPA 001 - 2022-SAG 01-000026</t>
  </si>
  <si>
    <t xml:space="preserve">Plan_9253 Curso_2022-23 Emitido_2022-23 - EXPERTO/A EN TÉCNICAS AVANZADAS DE DIRECCIÓN Y GESTIÓN DE EMPRESAS </t>
  </si>
  <si>
    <t xml:space="preserve">LIQ-TitProp_GJ09-1 Curso_2023-24_AñoCont_2023 - TÉCNICAS AVANZADAS DE DIRECCIÓN Y GESTIÓN DE EMPRESAS </t>
  </si>
  <si>
    <t>Plan_9251 Curso_2022-23 Emitido_2022-23 - MÁSTER EN DIRECCIÓN Y GESTIÓN DE EMPRESAS.</t>
  </si>
  <si>
    <t xml:space="preserve">Plan_9252 Curso_2022-23 Emitido_2022-23 - EXPERTO/A EN DIRECCIÓN Y GESTIÓN DE EMPRESAS </t>
  </si>
  <si>
    <t xml:space="preserve">AD_LIQ-TitProp_9371-1-2 Curso_2023-24 AñoCont_2023 - MÁSTER DE FORMACIÓN PERMANENTE EN DIRECCIÓN Y GESTIÓN DE EMPRESAS </t>
  </si>
  <si>
    <t xml:space="preserve">LIQ-TitProp_9371-1-2 Curso_2023-24 AñoCont_2023 - MÁSTER DE FORMACIÓN PERMANENTE EN DIRECCIÓN Y GESTIÓN DE EMPRESAS </t>
  </si>
  <si>
    <t xml:space="preserve">LIQ-TitProp_GJ01-1 Curso_2023-24_AñoCont_2023 - DIRECCIÓN Y GESTIÓN DE EMPRESAS </t>
  </si>
  <si>
    <t xml:space="preserve">LIQ-TitProp_GJ02-1 Curso_2023-24_AñoCont_2023 - DIRECCIÓN Y GESTIÓN DE RECURSOS HUMANOS </t>
  </si>
  <si>
    <t xml:space="preserve">LIQ-TitProp_GJ10-1 Curso_2023-24_AñoCont_2023 - TÉCNICAS AVANZADAS DE GESTIÓN DE PERSONAS EN ORGANIZACIONES </t>
  </si>
  <si>
    <t xml:space="preserve">PLAN 9242_CURSO 2022-23_MASTER EN DIRECCIÓN Y GESTIÓN DE RECURSOS HUMANOS </t>
  </si>
  <si>
    <t xml:space="preserve">AD_LIQ-TitProp_9372-1 Curso_2023-24 AñoCont_2023 - MÁSTER DE FORMACIÓN PERMANENTE EN DIRECCIÓN Y GESTIÓN DE RECURSOS HUMANOS </t>
  </si>
  <si>
    <t xml:space="preserve">Plan_9244 Curso_2022-23 Emitido_2022y2023 ___ EXPERTO/A EN TECNICAS AVANZADAS DE GESTION DE PERSONAS EN ORGANIZACIONES </t>
  </si>
  <si>
    <t xml:space="preserve">Plan_9243 Curso_2022-23 Emitido_2022y2023 ___ EXPERTO/A EN DIRECCIÓN Y GESTIÓN DE RECURSOS HUMANOS </t>
  </si>
  <si>
    <t xml:space="preserve">LIQ-TitProp_9372-1 Curso_2023-24 AñoCont_2023 - MÁSTER DE FORMACIÓN PERMANENTE EN DIRECCIÓN Y GESTIÓN DE RECURSOS HUMANOS </t>
  </si>
  <si>
    <t xml:space="preserve">Plan_9227 Curso_2022-23 Emitido_2022-23 - EXPERTO/A EN GUÍA TURÍSTICO </t>
  </si>
  <si>
    <t xml:space="preserve">AD_LIQ-TitProp_9408-1-2 Curso_2023-24 AñoCont_2023 - EXPERTO/A EN DIRECCIÓN COMERCIAL DE HOTELES </t>
  </si>
  <si>
    <t xml:space="preserve">LIQ-TitProp_9408-1-2 Curso_2023-24 AñoCont_2023 - EXPERTO/A EN DIRECCIÓN COMERCIAL DE HOTELES </t>
  </si>
  <si>
    <t xml:space="preserve">LIQ-TitProp_GI99-1 Curso_2023-24_AñoCont_2023 - DIRECCIÓN COMERCIAL DE HOTELES </t>
  </si>
  <si>
    <t xml:space="preserve">Plan_9311 Curso_2022-23 Emitido_2022-23 - EXPERTO/A EN DIRECCIÓN COMERCIAL DE HOTELES </t>
  </si>
  <si>
    <t>41.60.2T.00.27</t>
  </si>
  <si>
    <t>INGRESO EN BASE A CONVENIO FIRMADO ENTRE TURISME COMMUNICATE VALENCIANA Y UA, "EXPERT UNIVERSITARI PERSONAL DE PISOS EN HOTELS" SEGÚN INFORMAN INSTITUTO DE TURISMO</t>
  </si>
  <si>
    <t xml:space="preserve">INSCRIPCIÓN DE MARÍA SOL CUEVAS MARTÍNEZ EN EL CURSO SUPERIOR DE HOUSEKEEPING: GESTIÓN DE PISOS Y LIMPIEZA DE ALOJAMIENTOS </t>
  </si>
  <si>
    <t>INSCRIPCIÓN DE MARÍA ROSA FERNÁNDEZ RODRÍGUEZ EN EL CURSO SUPERIOR DE HOUSEKEEPING: GESTIÓN DE PISOS Y LIMPIEZA DE ALOJAMIENTOS</t>
  </si>
  <si>
    <t>INSCRIPCIÓN DE MARLEN IDALIA COLLAZOS RODRÍGUEZ Y LINA ESMIR SÁNCHEZ ORTEGA EN EL CURSO SUPERIOR DE HOUSEKEEPING: GESTIÓN DE PISOS Y LIMPIEZA DE ALOJAMIENTOS</t>
  </si>
  <si>
    <t xml:space="preserve">Plan_GI31 Curso_2023-24 Emitido_2023-24 - HOUSEKEEPING: GESTIÓN DE PISOS Y LIMPIEZA DE ALOJAMIENTOS </t>
  </si>
  <si>
    <t>INSCRIPCIÓN, DE  ANASTASIA KOLPAKOVA GOROBZOVA Y ROSICLEIDE ALVÉS MOREIRA, EN EL CURSO SUPERIOR DE HOUSEKEEPING-GESTIÓN DE PISOS Y LIMPIEZA DE ALOJAMIENTOS (2023)</t>
  </si>
  <si>
    <t>INSCRIPCIÓN LILIAN JISELLE MOLINAS MEZA, MAHENA RUIZ PÉREZ Y SORAYA TOUFIK GHARIBI EN EL CURSO SUPERIOR EN HOUSEKKEPING- GESTIÓN DE PISOS Y LIMPIEZA DE ALOJAMIENTOS (2023)</t>
  </si>
  <si>
    <t>CONVENIO ENTRE LA UA Y EL AYUNTAMIENTO DE TORREVIEJA PARA EL FUNCIONAMIENTO DE LA SEDE DE LA UA EN EL MARCO DE LA RED DE SEDES UNIVERSITARIAS DE LA VEGA BAJA DEL SEGURA.</t>
  </si>
  <si>
    <t>INGRESO EN CONCEPTO DE INDEMINZACIÓN DEBIDO A RESOLUCIÓN DE CONTRATO MENOR EN SERVICIOS PARA LA ELABORACIÓN ORGANIGRAMA MUNICIPAL. (JF :20220000000005074)</t>
  </si>
  <si>
    <t>Servicio del diseño de una nueva estrategia retributiva que mejore la calidad de los servicios municipales del Ayto. de Crevillente.</t>
  </si>
  <si>
    <t>Redisseny de les polítiques organitzatives i retributives de l'Ajuntament de Gata de Gorgos per a la millora de la qualitat dels serveis municipals</t>
  </si>
  <si>
    <t>41.60.6C.01.02</t>
  </si>
  <si>
    <t xml:space="preserve">Diagnóstico  de la situación actual de las viviendas turísticas en Denia </t>
  </si>
  <si>
    <t>41.60.6C.01.03</t>
  </si>
  <si>
    <t>Revisión de los sistemas de acceso al empleo público en el Ayuntamiento de Calasparra, con especial incidencia en las bases de selección.</t>
  </si>
  <si>
    <t>41.60.6C.01.04</t>
  </si>
  <si>
    <t>Actualización del Sistema de Información para la explotación del Inventario Municipal de Bienes del Ayuntamiento de La Nucía</t>
  </si>
  <si>
    <t>41.60.6C.01.05</t>
  </si>
  <si>
    <t>Diseño de estrategias de desarrollo del talento en el sector financiero mediante la metodología del Club de las Buenas Decisiones.</t>
  </si>
  <si>
    <t>41.60.6C.01.06</t>
  </si>
  <si>
    <t>Diseño de estrategias de retención y fidelización del talento en organizaciones con la metodología del Club de las Buenas Decisiones</t>
  </si>
  <si>
    <t>41.60.6C.01.07</t>
  </si>
  <si>
    <t>Diseño de estrategias de retención y fidelización del talento en organizaciones con la metodología del Club de las Buenas Decisiones.</t>
  </si>
  <si>
    <t>41.60.6C.01.08</t>
  </si>
  <si>
    <t>Diseño de estrategias de gestión del talento en organizaciones con la metodología del Club de las Buenas Decisiones</t>
  </si>
  <si>
    <t>41.60.6C.01.09</t>
  </si>
  <si>
    <t xml:space="preserve">Diseño de estrategias de retención y fidelización del talento en organizaciónes con la metodología del Club de las Buenas Decisiones. </t>
  </si>
  <si>
    <t>41.60.6C.01.10</t>
  </si>
  <si>
    <t xml:space="preserve">Estudio de costes hoteleros. Aumento de los costes operativos en 2022 con respecto a 2019. </t>
  </si>
  <si>
    <t>41.60.6C.01.11</t>
  </si>
  <si>
    <t>Consultoría y Asesoramiento en materia de Recursos Humanos (1ª FACTURA). (RC 220230002319)</t>
  </si>
  <si>
    <t>41.60.6C.01.12</t>
  </si>
  <si>
    <t>DISEÑO DE ESTRATEGIAS DE GESTIÓN DE LA EMPRESA FAMILIAR CON LA METODOLOGÍA DEL CLUB DE LAS BUENAS DECISIONES</t>
  </si>
  <si>
    <t>41.60.6C.01.13</t>
  </si>
  <si>
    <t>1ª Factura: Consultoría en materia de RRHH para actualización del organigrama municipal, actualización de RPT, elaboración nuevo convenio, optimización de plantilla, procesos selectivos, planes de igualdad y evaluación del desempeño. (RC 12023000003874)</t>
  </si>
  <si>
    <t>41.60.6C.01.14</t>
  </si>
  <si>
    <t>Estudio para avanzar en la inserción laboral de personas con discapacidad en el sector turístico CV</t>
  </si>
  <si>
    <t>41.60.6C.01.15</t>
  </si>
  <si>
    <t>REDISEÑO DE LAS POLÍTICAS ORGANIZATIVAS Y RETRIBUTIVAS DEL AYUNTAMIENTO DE AGOST PARA LA MEJORA DE LA CALIDAD DE LOS SERVICIOS MUNICIPALES. (tareas 1 a 4)</t>
  </si>
  <si>
    <t>41.60.6C.01.16</t>
  </si>
  <si>
    <t>Propuesta de implantación de estrategias de retribución variable en las empresas de la provincia de Alicante con la metodología del Club de las Buenas Decisiones de la UA</t>
  </si>
  <si>
    <t>41.60.6C.01.18</t>
  </si>
  <si>
    <t>PROPUESTA DE DISEÑO DE ESTRATEGIAS DE RETENCIÓN Y FIDELIZACIÓN DEL TALENTO EN ORGANIZACIONES CON LA METODOLOGÍA DEL CLUB DE LAS BUENAS DECISIONES</t>
  </si>
  <si>
    <t>41.60.6C.01.20</t>
  </si>
  <si>
    <t>ESTUDIO DE COSTES HOTELEROS. AUMENTO DE LOS COSTES OPERATIVOS EN JULIO DE 2023 CON RESPECTO A 2019</t>
  </si>
  <si>
    <t xml:space="preserve">SUBV NOMINATIVA A LA UNIVERSIDAD DE ALICANTE. ACCIONES DE PROMOCION  CATEDRA D. PEDRO ZARAGOZA ORTS. 2022 </t>
  </si>
  <si>
    <t>INGRESO CORRESPONDIENTE A LA CÁTEDRA DE ESTUDIOS PEDRO ZARAGOZA ORTS, ADSCRITA AL INSTITUTO UNIVERSITARIO DE INVESTIGACIONES TURÍSTICAS_ UA-HOSBEC.</t>
  </si>
  <si>
    <t>Subvención Nominativa Cátedra de estudios Pedro Zaragoza Orts Anualidad 2023</t>
  </si>
  <si>
    <t>TERCER COBRO DEL PROYECTO SMARTDEST</t>
  </si>
  <si>
    <t xml:space="preserve">Tercer cobro del Proyecto MUST </t>
  </si>
  <si>
    <t xml:space="preserve">TERCER COBRO DEL PROYECTO PRUDMET </t>
  </si>
  <si>
    <t>Felipe Rosa, Thais</t>
  </si>
  <si>
    <t>B177</t>
  </si>
  <si>
    <t>PSICOLOGÍA EVOLUTIVA Y DIDÁCTICA</t>
  </si>
  <si>
    <t>DOCTORADO EN INVESTIGACIÓN EDUCATIVA</t>
  </si>
  <si>
    <t>Terol Sanchis, Mario</t>
  </si>
  <si>
    <t>Efecto de diferentes tipos de ejercicio físico sobre la presión arterial en sujetos varones
de entre 50-70 años con sobrepeso en la ciudad de Alicante.</t>
  </si>
  <si>
    <t>23/07/2024</t>
  </si>
  <si>
    <t>Codirector de tesis</t>
  </si>
  <si>
    <t>DIDACTICA GENERAL Y DIDÁCTICAS ESPECÍFICAS</t>
  </si>
  <si>
    <t>U025</t>
  </si>
  <si>
    <t>ADM. FACULTAD DE DERECHO</t>
  </si>
  <si>
    <t>DOCTORADO EN DERECHO</t>
  </si>
  <si>
    <t>Llopis Blanque, Alejandro</t>
  </si>
  <si>
    <t>El accionista inversor en el BME Growth y su protección a través de la información</t>
  </si>
  <si>
    <t>25/07/2024</t>
  </si>
  <si>
    <t>Director de tesis</t>
  </si>
  <si>
    <t>DERECHO MERCANTIL Y DERECHO PROCESAL</t>
  </si>
  <si>
    <t>García Velasco, Isabel Cristina</t>
  </si>
  <si>
    <t>Órgano de certificación como medio de control externo para productos reconocidos como denominación de origen en Colombia</t>
  </si>
  <si>
    <t>20/05/2024</t>
  </si>
  <si>
    <t>U036</t>
  </si>
  <si>
    <t>ADM. FACULTAD DE CIENCIAS ECONÓMICAS</t>
  </si>
  <si>
    <t>DOCTORADO EN EMPRESA, ECONOMÍA Y SOCIEDAD</t>
  </si>
  <si>
    <t>Suárez Gargallo, Carlos Manuel</t>
  </si>
  <si>
    <t>Analysis of the Balanced Scorecard and its Natural Evolution to a Sustainability Balanced Scorecard. Study of its State-of-the-Art and its Application to the Spanish Footwear Industry and to Spanish Government Units, integrating the Triple Bottom Lin</t>
  </si>
  <si>
    <t>12/02/2024</t>
  </si>
  <si>
    <t>ORGANIZACIÓN DE EMPRESAS</t>
  </si>
  <si>
    <t>Millán Tudela, Luis Antonio</t>
  </si>
  <si>
    <t>Capacidades dinámicas y longevidad empresarial: Un análisis aplicado a la industria española de alimentación y bebidas</t>
  </si>
  <si>
    <t>08/03/2024</t>
  </si>
  <si>
    <t>Alabbadi , Shadi khaled Mohammad</t>
  </si>
  <si>
    <t>The mediating effect of IT-business strategic alignment on the relationship between organizational behavior and firm performance: A study of the Jordanian maritime industry</t>
  </si>
  <si>
    <t>16/01/2024</t>
  </si>
  <si>
    <t>U058</t>
  </si>
  <si>
    <t>I.U. DE INVESTIGACIONES TURÍSTICAS (10.17)</t>
  </si>
  <si>
    <t>DOCTORADO EN TURISMO</t>
  </si>
  <si>
    <t>Romero Montero, Andres</t>
  </si>
  <si>
    <t>Inbound Marketing Turístico: Modelo de Visibilidad Orgánico para Alojamientos</t>
  </si>
  <si>
    <t>24/07/2024</t>
  </si>
  <si>
    <t>MARKETING</t>
  </si>
  <si>
    <t>Alberca Sialer, Fabrizio Augusto</t>
  </si>
  <si>
    <t>PATRIMONIO CULTURAL INMATERIAL Y TURISMO CREATIVO. UN ANÁLISIS DESDE LA</t>
  </si>
  <si>
    <t>09/02/2024</t>
  </si>
  <si>
    <t>HUMANIDADES CONTEMPORANEAS</t>
  </si>
  <si>
    <t>Intriago Torres, Jairo Enrique</t>
  </si>
  <si>
    <t>Los Ecosistemas de Emprendimiento y los Servicios Ecosistémicos Culturales en el</t>
  </si>
  <si>
    <t>01/02/2024</t>
  </si>
  <si>
    <t>21494583W</t>
  </si>
  <si>
    <t>Más Ferrando, Adrián</t>
  </si>
  <si>
    <t>Peretó Rovira, Alexandre</t>
  </si>
  <si>
    <t>Flor García, María</t>
  </si>
  <si>
    <t>Pinargote Macías, Eleticia Isabel</t>
  </si>
  <si>
    <t>Domínguez Hernández, Alexandra</t>
  </si>
  <si>
    <t>Vázquez Esteban, Marina</t>
  </si>
  <si>
    <t>Solórzano González, Alexandra Mónica</t>
  </si>
  <si>
    <t>Ramón Ramón, Dolores Isabel</t>
  </si>
  <si>
    <t>Sarmiento Chugcho, Carlos Bolívar</t>
  </si>
  <si>
    <t>Pérez Espinoza, María José</t>
  </si>
  <si>
    <t>Payá Pérez, Virginia Sofía</t>
  </si>
  <si>
    <t>Peng , Jianrong</t>
  </si>
  <si>
    <t>Leshinsky , Deborah</t>
  </si>
  <si>
    <t>Guerrero Miranda, Jenny Paulina</t>
  </si>
  <si>
    <t>Pazmiño Valle, Patricia</t>
  </si>
  <si>
    <t>Garcia Reinoso, Nelson</t>
  </si>
  <si>
    <t>Pelegrín Entenza, Norberto</t>
  </si>
  <si>
    <t>ANALISIS ECONOMICO APLICADO</t>
  </si>
  <si>
    <t>DOCTORADO EN ECONOMÍA</t>
  </si>
  <si>
    <t>Ordóñez García, María Covadonga</t>
  </si>
  <si>
    <t>El mercado laboral de la hostelería en España, rendimiento educativo, satisfacción laboral y discriminación salarial por diferencia de género y origen</t>
  </si>
  <si>
    <t>09/04/2024</t>
  </si>
  <si>
    <t>25</t>
  </si>
  <si>
    <t>21653610F</t>
  </si>
  <si>
    <t>22108770C</t>
  </si>
  <si>
    <t>B120</t>
  </si>
  <si>
    <t>15</t>
  </si>
  <si>
    <t>48567830H</t>
  </si>
  <si>
    <t>79108766J</t>
  </si>
  <si>
    <t>X5461382D</t>
  </si>
  <si>
    <t>35</t>
  </si>
  <si>
    <t>73993969W</t>
  </si>
  <si>
    <t>B158</t>
  </si>
  <si>
    <t>10.19</t>
  </si>
  <si>
    <t>Org. aplic.</t>
  </si>
  <si>
    <t>Imp. aplic.</t>
  </si>
  <si>
    <t>41.60.6C.00.33</t>
  </si>
  <si>
    <t>Estudio de estrategias y tácticas turísticas de la ciudad de Alicante</t>
  </si>
  <si>
    <t>CONVENIO ENTRE LA UNIVERSIDAD DE ALICANTE Y EL AYUNTAMIENTO DE TORREVIEJA PARA EL FUNCIONAMIENTO DE LA SEDE DE LA UNIVERSIDAD DE ALICANTE EN EL MUNICIPIO DE TORREVIEJA EN EL MARCO DE LA RED DE SEDES UNIVERSITARIAS DE LA VEGA BAJA DEL SEGURA</t>
  </si>
  <si>
    <t>Consultoría y Asesoramiento en materia de Recursos Humanos (2ª FACTURA) (RC220230002319)</t>
  </si>
  <si>
    <t>2ª Factura: Consultoría en materia de RRHH para actualización del organigrama municipal, actualización de RPT, elaboración nuevo convenio, optimización de plantilla, procesos selectivos, planes de igualdad y evaluación del desempeño (RC 12023000003874)</t>
  </si>
  <si>
    <t>Rediseño de las políticas organizativas y retributivas del Ayuntamiento de Agost para la mejora de la calidad de los servicios municipales (tareas 5-7)</t>
  </si>
  <si>
    <t>Rediseño de las políticas organizativas y retributivas del Ayuntamiento de Agost para la mejora de la calidad de los servicios municipales (tarea 8)</t>
  </si>
  <si>
    <t>41.60.6C.01.19</t>
  </si>
  <si>
    <t>Definición de un sistema estándar de evaluación del desempeño de empleados públicos (1ª factura)</t>
  </si>
  <si>
    <t>41.60.6C.01.21</t>
  </si>
  <si>
    <t>REDISEÑO DE LAS POLÍTICAS ORGANIZATIVAS Y RETRIBUTIVAS DEL AYUNTAMIENTO DE ALGUEÑA PARA LA MEJORA DE LA CALIDAD DE LOS SERVICIOS MUNICIPALES</t>
  </si>
  <si>
    <t>41.60.6C.01.22</t>
  </si>
  <si>
    <t>PROPUESTA DE REDISEÑO DE LA POLÍTICA RETRIBUTIVA Y ORGANIZATIVA DEL AYUNTAMIENTO DE HONDÓN DE LOS FRAILES PARA LA MEJORA DE LA CALIDAD DE LOS SERVICIOS MUNICIPALES</t>
  </si>
  <si>
    <t>41.60.6C.01.23</t>
  </si>
  <si>
    <t>Actualización del sistema de información para la explotación del inventario municipal de bienes del Ayto de La Nucía</t>
  </si>
  <si>
    <t>41.60.6C.01.24</t>
  </si>
  <si>
    <t>Rediseño de las políticas organizativas y retributivas del Ayuntamiento de Tárbena para la mejora de la calidad de los servicios municipales</t>
  </si>
  <si>
    <t>41.60.6C.01.25</t>
  </si>
  <si>
    <t>Análisis y propuesta regulatoria del mercado de viviendas de uso turístico ofertadas por plataformas on line en Denia</t>
  </si>
  <si>
    <t>41.60.6C.01.26</t>
  </si>
  <si>
    <t>DISEÑO DE ESTRATEGIAS DE RETENCIÓN Y FIDELIZACIÓN DEL TALENTO EN LAS ORGANIZACIONES CON LA METODOLOGÍA CON LA METODOLOGÍA DEL CLUB DE LAS BUENAS DECISIONES EN LA UNIVERSIDAD DE ALICANTE</t>
  </si>
  <si>
    <t>41.60.6C.01.27</t>
  </si>
  <si>
    <t>DISEÑO DE ESTRATEGIAS DE DESARROLLO DEL TALENTO EN EL SECTOR FINANCIERO MEDIANTE LA METODOLOGÍA DEL CLUB DE LAS BUENAS DECISIONES DE LA UA</t>
  </si>
  <si>
    <t>41.60.6C.01.28</t>
  </si>
  <si>
    <t>DISEÑO DE ESTRATEGIAS DE RETENCIÓN Y FIDELIZACIÓN DEL TALENTO EN ORGANIZACIONES CON LA METODOLOGÍA DEL CLUB DE LAS BUENAS DECISIONES DE LA UA</t>
  </si>
  <si>
    <t>41.60.6C.01.29</t>
  </si>
  <si>
    <t>41.60.6C.01.30</t>
  </si>
  <si>
    <t>41.60.6C.01.31</t>
  </si>
  <si>
    <t>REDISEÑO DE LAS POLÍTICAS ORGANIZATIVAS Y RETRIBUTIVAS DEL AYUNTAMIENTO DE SELLA PARA LA MEJORA DE LA CALIDAD DE LOS SERVICIOS MUNICIPALES.</t>
  </si>
  <si>
    <t>41.60.6C.01.32</t>
  </si>
  <si>
    <t>VALORACIÓN Y MODIFICACIÓN DE LA RELACIÓN DE PUESTOS DE TRABAJO (RPT) DEL AYUNTAMIENTO DE CALLOSA DE SEGURA</t>
  </si>
  <si>
    <t>41.60.6C.01.33</t>
  </si>
  <si>
    <t xml:space="preserve">Rediseño de las políticas organizativas y retributivas del Ayuntamiento de Daya Vieja </t>
  </si>
  <si>
    <t>41.60.6C.01.36</t>
  </si>
  <si>
    <t>Diseño y formulación de un plan estratégico de turismo deportivo para el Ayuntamiento de Santa Pola (FASE 1) CDG: 540 deportes</t>
  </si>
  <si>
    <t>41.60.6C.01.37</t>
  </si>
  <si>
    <t>Apoyo en el diseño de estrategias de gestión del talento en organizaciones con la metodología del Club de las Buenas Decisiones de la UA.</t>
  </si>
  <si>
    <t>41.60.6C.01.39</t>
  </si>
  <si>
    <t>ESTUDIO DE IMPACTO ECONÓMICO DE TURISMO DE CARAVANAS</t>
  </si>
  <si>
    <t>INGRESO PERCIBIDO POR LA UNIVERSIDAD DE ALICANTE EN VIRTUD DE CONVENIO CORRESPONDIENTE A LA CÁTEDRA DE ESTUDIOS PEDRO ZARAGOZA ORTS, ADSCRITA AL INSTITUTO UNIVERSITARIO DE INVESTIGACIONES TURÍSTICAS_ UA-HOSBEC.</t>
  </si>
  <si>
    <t>SUBVENCIÓN NOMINATIVA A LA UNIVERSIDAD DE ALICANTE. CÁTEDRA DE ESTUDIOS PEDRO ZARAGOZA ORTS. 2024</t>
  </si>
  <si>
    <t xml:space="preserve">Último cobro del proyecto SMARTDEST </t>
  </si>
  <si>
    <t xml:space="preserve">LIQ-TitProp_9371-3 Curso_2023-24 AñoCont_2023 - MÁSTER DE FORMACIÓN PERMANENTE EN DIRECCIÓN Y GESTIÓN DE EMPRESAS (emitido-24 y cobrado 24) </t>
  </si>
  <si>
    <t xml:space="preserve">LIQ-TitProp_9371-4 Curso_2023-24 AñoCont_2023 - MÁSTER DE FORMACIÓN PERMANENTE EN DIRECCIÓN Y GESTIÓN DE EMPRESAS (AD-23-6503)  </t>
  </si>
  <si>
    <t xml:space="preserve">LIQ-TitProp_9371-1 Curso_2024-25 AñoCont_2024 - MÁSTER DE FORMACIÓN PERMANENTE EN DIRECCIÓN Y GESTIÓN DE EMPRESAS </t>
  </si>
  <si>
    <t xml:space="preserve">LIQ-TitProp_9371-2 Curso_2024-25 AñoCont_2024 - MÁSTER DE FORMACIÓN PERMANENTE EN DIRECCIÓN Y GESTIÓN DE EMPRESAS </t>
  </si>
  <si>
    <t xml:space="preserve">Liq.PPub_311,00__ADRmsa_2024__EFP Enseñanzas Formación Permanente - Master, Especialista y Experto.  LIQ-TitProp_9371- Curso_2024-25 AñoCont_2024 - MÁSTER DE FORMACIÓN PERMANENTE EN DIRECCIÓN Y GESTIÓN DE EMPRESAS </t>
  </si>
  <si>
    <t xml:space="preserve">AD_Liq.PPub_311,00__ADRmsa_2024__EFP Enseñanzas Formación Permanente - Master, Especialista y Experto.  LIQ-TitProp_9371- Curso_2024-25 AñoCont_2024 - MÁSTER DE FORMACIÓN PERMANENTE EN DIRECCIÓN Y GESTIÓN DE EMPRESAS </t>
  </si>
  <si>
    <t xml:space="preserve">LIQ-EP_Plan_9371-N Curso_2024-25_AñoCont_2024 TipoRec_Emitido - MÁSTER DE FORMACIÓN PERMANENTE EN DIRECCIÓN Y GESTIÓN DE EMPRESAS _ (Cierre-24) </t>
  </si>
  <si>
    <t xml:space="preserve">LIQ-TitProp_9372-3 Curso_2023-24 AñoCont_2023 - MÁSTER DE FORMACIÓN PERMANENTE EN DIRECCIÓN Y GESTIÓN DE RECURSOS HUMANOS </t>
  </si>
  <si>
    <t xml:space="preserve">LIQ-TitProp_9372-1 Curso_2024-25 AñoCont_2024 - MÁSTER DE FORMACIÓN PERMANENTE EN DIRECCIÓN Y GESTIÓN DE RECURSOS HUMANOS </t>
  </si>
  <si>
    <t xml:space="preserve">Liq.PPub_311,00__ADRmsa_2024__EFP Enseñanzas Formación Permanente - Master, Especialista y Experto.  LIQ-TitProp_9372- Curso_2024-25 AñoCont_2024 - MÁSTER DE FORMACIÓN PERMANENTE EN DIRECCIÓN Y GESTIÓN DE RECURSOS HUMANOS </t>
  </si>
  <si>
    <t xml:space="preserve">AD_Liq.PPub_311,00__ADRmsa_2024__EFP Enseñanzas Formación Permanente - Master, Especialista y Experto.  LIQ-TitProp_9372- Curso_2024-25 AñoCont_2024 - MÁSTER DE FORMACIÓN PERMANENTE EN DIRECCIÓN Y GESTIÓN DE RECURSOS HUMANOS </t>
  </si>
  <si>
    <t xml:space="preserve">LIQ-EP_Plan_9372-N Curso_2024-25_AñoCont_2024 TipoRec_Emitido - MÁSTER DE FORMACIÓN PERMANENTE EN DIRECCIÓN Y GESTIÓN DE RECURSOS HUMANOS _ (Cierre-24) </t>
  </si>
  <si>
    <t xml:space="preserve">LIQ-TitProp_9408-4 Curso_2023-24 AñoCont_2023 - EXPERTO/A EN DIRECCIÓN COMERCIAL DE HOTELES </t>
  </si>
  <si>
    <t>ANULACIÓN DE INGRESO PREVISTO DEBIDO A COBRO MATERIAL DE MENOR IMPORTE.</t>
  </si>
  <si>
    <t>INSCRIPCIÓN DE ANA MARÍA ANDREU TRIGUERO EN EL CURSO SUPERIOR DE HOUSEKEEPING: GESTIÓN DE PISOS Y LIMPIEZA DE ALOJAMIENTOS 2024-25</t>
  </si>
  <si>
    <t>INSCRIPCIÓN DE MARÍA FERNANDA HERRERA RENGIFO EN EL CURSO SUPERIOR DE HOUSEKEEPING: GESTIÓN DE PISOS Y LIMPIEZA DE ALOJAMIENTOS</t>
  </si>
  <si>
    <t>INSCRIPCIÓN DE CLARA IWO EN EL CURSO SUPERIOR DE HOUSEKEEPING: GESTIÓN DE PISOS Y LIMPIEZA DE ALOJAMIENTOS</t>
  </si>
  <si>
    <t>INSCRIPCIÓN DE  SANDRA PATRICIA ESTRADA ABREO, SULEIVY ARENCIBIA  RUBIO Y DANIELA ALEJANDRA CASTIBLANCO PEREA EN EL CURSO SUPERIOR DE HOUSEKEEPING: GESTIÓN DE PISOS Y LIMPIEZA DE ALOJAMIENTOS</t>
  </si>
  <si>
    <t>INGRESO PERCIBIDO POR LA UNIVERSIDAD DE ALICANTE EN VIRTUD DE CONVENIO FIRMADO ENTRE TURISME DE LA COMUNITAT VALENCIANA Y LA UA PARA LA REALIZACIÓN DEL CURSO D'EXPERT UNIVERSITARI PERSONAL DE PISOS EN HOTELS (HOUSEKEEPING) SEGÚN INFORMAN DEL INSTITUTO DE TURISMO.</t>
  </si>
  <si>
    <t>INSCRIPCIÓN DE SZABINA SOMOGYI EN EL CURSO SUPERIOR DE HOUSEKEEPING: GESTIÓN DE PISOS Y LIMPIEZA DE ALOJAMIENTOS</t>
  </si>
  <si>
    <t>INSCRIPCIÓN DE MARÍA ISABEL FENOLL MEDINA, EN EL CURSO SUPERIOR DE HOUSEKEEPING: GESTIÓN DE PISOS Y LIMPIEZA DE ALOJAMIENTOS</t>
  </si>
  <si>
    <t xml:space="preserve">LIQ-TitProp_GI31-1 Curso_2024-25 AñoCont_2024 - HOUSEKEEPING: GESTIÓN DE PISOS Y LIMPIEZA DE ALOJAMIENTOS </t>
  </si>
  <si>
    <t>41.60.2T.00.28</t>
  </si>
  <si>
    <t>INSCRIPCIÓN DE LIDIA FERRÁNDIZ SÁNCHEZ  EN EL CURSO DIRECCIÓN Y GESTIÓN DE RRHH I</t>
  </si>
  <si>
    <t>INSCRIPCIÓN DE MARÍA SÁNCHEZ SANJUAN EN EL CURSO DIRECCIÓN Y GESTIÓN RRHH I</t>
  </si>
  <si>
    <t>INSCRIPCIÓN DE ÁNGELA VILLAR CANALES EN EL CURSO DIRECCIÓN Y GESTIÓN DE RRHH I</t>
  </si>
  <si>
    <t>INSCRIPCIÓN DE ALEJANDRA LÓPEZ GONZÁLEZ EN EL CURSO DIRECCIÓN Y GESTIÓN DE RRHH I</t>
  </si>
  <si>
    <t>INSCRIPCIÓN DE MICAELA BRATICEVIC IVE EN EL CURSO DIRECCIÓN Y GESTIÓN DE RRHH I</t>
  </si>
  <si>
    <t>INSCRIPCIÓN DE FABIOLA CARRASCO DÍAZ Y MARÍA TERESA GONZÁLEZ VELASCO EN EL CURSO DIRECCIÓN Y GESTIÓN DE RRHH I</t>
  </si>
  <si>
    <t>INSCRIPCIÓN DE MARÍA JOSÉ CAMACHO GARCÍA AL CURSO DIRECCIÓN Y GESTIÓN DE RRHH I</t>
  </si>
  <si>
    <t>INSCRIPCIÓN DE ANA ISABEL ABELLAN MARTÍNEZ EN EL CURSO DIRECCIÓN Y GESTIÓN DE RRHH I</t>
  </si>
  <si>
    <t>INSCRIPCIÓN DE CARMEN GARCÍA CANTOS EN EL CURSO DIRECCIÓN Y GESTIÓN DE RRHH I</t>
  </si>
  <si>
    <t>INSCRIPCIÓN DE ESTER GONZÁLEZ POVEDA EN EL CURSO DIRECCIÓN Y GESTIÓN DE RRHH I</t>
  </si>
  <si>
    <t>INSCRIPCIÓN DE MARÍA JOSEFA FERNÁNDEZ NAVARRO EN EL CURSO DIRECCIÓN Y GESTIÓN DE RRHH I</t>
  </si>
  <si>
    <t>INSCRIPCIÓN DE FRANCISCO JOSÉ CALBO MARTÍNEZ EN EL CURSO DIRECCIÓN Y GESTIÓN DE RRHH I</t>
  </si>
  <si>
    <t>INSCRIPCIÓN DE PAULA GISBERT BENEITO EN EL CURSO DIRECCIÓN Y GESTIÓN DE RRHH I</t>
  </si>
  <si>
    <t>CÓD: GL73. Microcredencial: Dirección y Gestión de Recursos Humanos I</t>
  </si>
  <si>
    <t>41.60.2T.00.29</t>
  </si>
  <si>
    <t>INSCRIPCIÓN DE LIDIA FERRÁNDIZ SÁNCHEZ  EN EL CURSO DIRECCIÓN Y GESTIÓN DE RRHH II</t>
  </si>
  <si>
    <t>INSCRIPCIÓN DE MARÍA SÁNCHEZ SANJUAN EN EL CURSO DIRECCIÓN Y GESTIÓN RRHH II</t>
  </si>
  <si>
    <t>INSCRIPCIÓN DE ÁNGELA VILLAR CANALES EN EL CURSO DIRECCIÓN Y GESTIÓN DE RRHH II</t>
  </si>
  <si>
    <t>INSCRIPCIÓN DE ALEJANDRA LÓPEZ GONZÁLEZ EN EL CURSO DIRECCIÓN Y GESTIÓN DE RRHH II</t>
  </si>
  <si>
    <t>INSCRIPCIÓN DE MICAELA BRATICEVIC IVE EN EL CURSO DIRECCIÓN Y GESTIÓN DE RRHH II</t>
  </si>
  <si>
    <t>INSCRIPCIÓN DE FABIOLA CARRASCO DÍAZ Y MARÍA TERESA GONZÁLEZ VELASCO EN EL CURSO DIRECCIÓN Y GESTIÓN DE RRHH II</t>
  </si>
  <si>
    <t>INSCRIPCIÓN DE ANA ISABEL ABELLAN MARTÍNEZ EN EL CURSO DIRECCIÓN Y GESTIÓN DE RRHH II</t>
  </si>
  <si>
    <t>INSCRIPCIÓN DE MARÍA JOSEFA FERNÁNDEZ NAVARRO EN EL CURSO DIRECCIÓN Y GESTIÓN DE RRHH II</t>
  </si>
  <si>
    <t>INSCRIPCIÓN DE CARMEN GARCÍA CANTOS EN EL CURSO DIRECCIÓN Y GESTIÓN DE RRHH II</t>
  </si>
  <si>
    <t>INSCRIPCIÓN DE ESTER GONZÁLEZ POVEDA EN EL CURSO DIRECCIÓN Y GESTIÓN DE RRHH II</t>
  </si>
  <si>
    <t>INSCRIPCIÓN DE FRANCISCO JOSÉ CALBO MARTÍNEZ EN EL CURSO DIRECCIÓN Y GESTIÓN DE RRHH II</t>
  </si>
  <si>
    <t>INSCRIPCIÓN DE PAULA GISBERT BENEITO EN EL CURSO DIRECCIÓN Y GESTIÓN DE RRHH II</t>
  </si>
  <si>
    <t>CÓD: GL74. Microcredencial: Dirección y Gestión de Recursos Humanos II</t>
  </si>
  <si>
    <t>41.60.2T.00.30</t>
  </si>
  <si>
    <t>INSCRIPCIÓN DE ANDREA RAMÍREZ JIMÉNEZ EN EL CURSO DIRECCIÓN Y GESTIÓN DE EMPRESAS I</t>
  </si>
  <si>
    <t>INSCRIPCIÓN DE JAVIER VIDAL RODRÍGUEZ EN EL CURSO EN DIRECCIÓN Y GESTIÓN DE EMPRESAS I</t>
  </si>
  <si>
    <t>INSCRIPCIÓN DE JOSÉ FRANCISCO PASCUAL FERRI EN EL CURSO EN DIRECCIÓN Y GESTIÓN DE EMPRESAS I</t>
  </si>
  <si>
    <t>INSCRIPCIÓN DE FRANCISCO JAVIER GARCÍA ROMERO EN EL CURSO DIRECCIÓN Y GESTIÓN DE EMPRESAS I</t>
  </si>
  <si>
    <t>INSCRIPCIÓN DE JOSÉ AGUSTÍN VALVERDE VEGA EN EL CURSO DIRECCIÓN Y GESTIÓN DE EMPRESAS I</t>
  </si>
  <si>
    <t>INSCRIPCIÓN DE JESÚS MOLINA MARQUEZ EN EL CURSO DIRECCIÓN Y GESTIÓN DE EMPRESAS I</t>
  </si>
  <si>
    <t>INSCRIPCIÓN DE JOAN SANFRANCISCO ALBA EN EL CURSO DIRECCIÓN Y GESTIÓN DE EMPRESAS I</t>
  </si>
  <si>
    <t>INSCRIPCIÓN DE ALEJANDRA VÍLCHEZ MARTÍNEZ  EN EL CURSO DE DIRECCIÓN Y GESTIÓN DE EMPRESAS I</t>
  </si>
  <si>
    <t>INSCRIPCIÓN DE JOSÉ MANUEL ARACIL MARTÍNEZ EN EL CURSO DIRECCIÓN Y GESTIÓN DE EMPRESAS I</t>
  </si>
  <si>
    <t>INSCRIPCIÓN DE MIRIAM MADRIGAL FALLA EN EL CURSO DIRECCIÓN Y GESTIÓN DE EMPRESAS I</t>
  </si>
  <si>
    <t>INSCRIPCIÓN DE DANAY PEÑARANDA ROJAS EN EL CURSO DIRECCIÓN Y GESTIÓN DE EMPRESAS I</t>
  </si>
  <si>
    <t>INSCRIPCIÓN DE AURORA ACOSTA HERRERO EN EL CURSO DIRECCIÓN Y GESTIÓN DE EMPRESAS I</t>
  </si>
  <si>
    <t>INSCRIPCIÓN DE DAVID NIETO FERNÁNDEZ EN EL CURSO DIRECCIÓN Y GESTIÓN DE EMPRESAS I</t>
  </si>
  <si>
    <t>INSCRIPCIÓN DE IGNACIO LÓPEZ BLANQUER EN EL CURSO DIRECCIÓN Y GESTIÓN DE EMPRESAS I</t>
  </si>
  <si>
    <t>INSCRIPCIÓN DE AMPARO MEGIAS SÁNCHEZ EN EL CURSO DIRECCIÓN Y GESTIÓN DE EMPRESAS I</t>
  </si>
  <si>
    <t>INSCRIPCIÓN DE PARASKEVI KARADEMITROU EN EL CURSO DIRECCIÓN Y GESTIÓN DE EMPRESAS I</t>
  </si>
  <si>
    <t>INSCRIPCIÓN DE ADRIÁN CASTRO LLOPIS EN EL CURSO DIRECCIÓN Y GESTIÓN DE EMPRESAS I</t>
  </si>
  <si>
    <t>CÓD. GL71. Microcredencial: Dirección y Gestión de Empresas I</t>
  </si>
  <si>
    <t>41.60.2T.00.31</t>
  </si>
  <si>
    <t>INSCRIPCIÓN DE ANDREA RAMÍREZ JIMÉNEZ EN EL CURSO DIRECCIÓN Y GESTIÓN DE EMPRESAS II</t>
  </si>
  <si>
    <t>INSCRIPCIÓN DE JAVIER VIDAL RODRÍGUEZ EN EL CURSO EN DIRECCIÓN Y GESTIÓN DE EMPRESAS II</t>
  </si>
  <si>
    <t>INSCRIPCIÓN DE JOSÉ FRANCISCO PASCUAL FERRI EN EL CURSO EN DIRECCIÓN Y GESTIÓN DE EMPRESAS II</t>
  </si>
  <si>
    <t>INSCRIPCIÓN DE FRANCISCO JAVIER GARCÍA ROMERO EN EL CURSO DIRECCIÓN Y GESTIÓN DE EMPRESAS II</t>
  </si>
  <si>
    <t>INSCRIPCIÓN DE FRANCISCO JAVIER GARCÍA ROMERO EN EL CURSO TÉCNICAS AVANZADAS DE DIRECCIÓN Y GESTIÓN DE EMPRESAS II</t>
  </si>
  <si>
    <t>INSCRIPCIÓN DE JOSÉ AGUSTÍN VALVERDE VEGA EN EL CURSO DIRECCIÓN Y GESTIÓN DE EMPRESAS II</t>
  </si>
  <si>
    <t>INSCRIPCIÓN DE JESÚS MOLINA MARQUEZ EN EL CURSO DIRECCIÓN Y GESTIÓN DE EMPRESAS II</t>
  </si>
  <si>
    <t>INSCRIPCIÓN DE JOAN SANFRANCISCO ALBA EN EL CURSO DIRECCIÓN Y GESTIÓN DE EMPRESAS II</t>
  </si>
  <si>
    <t>INSCRIPCIÓN DE ALEJANDRA VÍLCHEZ MARTÍNEZ  EN EL CURSO DE DIRECCIÓN Y GESTIÓN DE EMPRESAS II</t>
  </si>
  <si>
    <t>INSCRIPCIÓN DE JOSÉ MANUEL ARACIL MARTÍNEZ EN EL CURSO DIRECCIÓN Y GESTIÓN DE EMPRESAS II</t>
  </si>
  <si>
    <t>INSCRIPCIÓN DE MIRIAM MADRIGAL FALLA EN EL CURSO DIRECCIÓN Y GESTIÓN DE EMPRESAS II</t>
  </si>
  <si>
    <t>INSCRIPCIÓN DE DANAY PEÑARANDA ROJAS EN EL CURSO DIRECCIÓN Y GESTIÓN DE EMPRESAS II</t>
  </si>
  <si>
    <t>INSCRIPCIÓN DE AURORA ACOSTA HERRERO EN EL CURSO DIRECCIÓN Y GESTIÓN DE EMPRESAS II</t>
  </si>
  <si>
    <t>INSCRIPCIÓN DE DAVID NIETO FERNÁNDEZ EN EL CURSO DIRECCIÓN Y GESTIÓN DE EMPRESAS II</t>
  </si>
  <si>
    <t>INSCRIPCIÓN DE IGNACIO LÓPEZ BLANQUER EN EL CURSO DIRECCIÓN Y GESTIÓN DE EMPRESAS II</t>
  </si>
  <si>
    <t>INSCRIPCIÓN DE AMPARO MEGIAS SÁNCHEZ EN EL CURSO DIRECCIÓN Y GESTIÓN DE EMPRESAS II</t>
  </si>
  <si>
    <t>INSCRIPCIÓN DE PARASKEVI KARADEMITROU EN EL CURSO DIRECCIÓN Y GESTIÓN DE EMPRESAS II</t>
  </si>
  <si>
    <t>INSCRIPCIÓN DE ADRIÁN CASTRO LLOPIS EN EL CURSO DIRECCIÓN Y GESTIÓN DE EMPRESAS II</t>
  </si>
  <si>
    <t>CÓD: GL72. Dirección y Gestión de Empresas II</t>
  </si>
  <si>
    <t>41.60.2T.00.32</t>
  </si>
  <si>
    <t>INSCRIPCIÓN DE ANDREA RAMÍREZ JIMÉNEZ EN EL CURSO TÉCNICAS AVANZADAS EN DIRECCIÓN Y GESTIÓN DE EMPRESAS I</t>
  </si>
  <si>
    <t>INSCRIPCIÓN DE JAVIER VIDAL RODRÍGUEZ EN EL CURSO TÉCNICAS AVANZADAS DE DIRECCIÓN Y GESTIÓN DE EMPRESAS I</t>
  </si>
  <si>
    <t>INSCRIPCIÓN DE JOSÉ FRANCISCO PASCUAL FERRI EN EL CURSO TÉCNICAS AVANZADAS DE DIRECCIÓN Y GESTIÓN DE EMPRESAS I</t>
  </si>
  <si>
    <t>INSCRIPCIÓN DE FRANCISCO JAVIER GARCÍA ROMERO EN EL CURSO TÉCNICAS AVANZADAS DE DIRECCIÓN Y GESTIÓN DE EMPRESAS I</t>
  </si>
  <si>
    <t>INSCRIPCIÓN DE JOSÉ AGUSTÍN VALVERDE VEGA EN EL CURSO TÉCNICAS AVANZADAS DE DIRECCIÓN Y GESTIÓN DE EMPRESAS I</t>
  </si>
  <si>
    <t>INSCRIPCIÓN DE JESÚS MOLINA MARQUEZ EN EL CURSO TÉCNICAS AVANZADAS EN DIRECCIÓN Y GESTIÓN DE EMPRESAS I</t>
  </si>
  <si>
    <t>INSCRIPCIÓN DE JOAN SANFRANCISCO ALBA EN EL CURSO TÉCNICAS AVANZADAS DE DIRECCIÓN Y GESTIÓN DE EMPRESAS I</t>
  </si>
  <si>
    <t>INSCRIPCIÓN DE ALEJANDRA VÍLCHEZ MARTÍNEZ  EN EL CURSO TÉCNICAS AVANZADAS DE DIRECCIÓN Y GESTIÓN DE EMPRESAS I</t>
  </si>
  <si>
    <t>INSCRIPCIÓN DE JOSÉ MANUEL ARACIL MARTÍNEZ EN EL CURSO TÉCNICAS AVANZADAS DE DIRECCIÓN Y GESTIÓN DE EMPRESAS I</t>
  </si>
  <si>
    <t>INSCRIPCIÓN DE MIRIAM MADRIGAL FALLA EN EL CURSO TÉCNICAS AVANZADAS DE DIRECCIÓN Y GESTIÓN DE EMPRESAS I</t>
  </si>
  <si>
    <t>INSCRIPCIÓN DE DANAY PEÑARANDA ROJAS EN EL CURSO TÉCNICAS AVANZADAS DE DIRECCIÓN Y GESTIÓN DE EMPRESAS I</t>
  </si>
  <si>
    <t>INSCRIPCIÓN DE AURORA ACOSTA HERRERO EN EL CURSO TÉCNICAS AVANZADAS DE DIRECCIÓN Y GESTIÓN DE EMPRESAS I</t>
  </si>
  <si>
    <t>INSCRIPCIÓN DE DAVID NIETO FERNÁNDEZ EN EL CURSO TÉCNICAS AVANZADAS DE DIRECCIÓN Y GESTIÓN DE EMPRESAS I</t>
  </si>
  <si>
    <t>INSCRIPCIÓN DE IGNACIO LÓPEZ BLANQUER EN EL CURSO TÉCNICAS AVANZADAS DE DIRECCIÓN Y GESTIÓN DE EMPRESAS I</t>
  </si>
  <si>
    <t>INSCRIPCIÓN DE AMPARO MEGIAS SÁNCHEZ EN EL CURSO TÉCNICAS AVANZADAS EN DIRECCIÓN Y GESTIÓN DE EMPRESAS I</t>
  </si>
  <si>
    <t>INSCRIPCIÓN DE PARASKEVI KARADEMITROU EN EL CURSO TÉCNICAS AVANZADAS DE DIRECCIÓN Y GESTIÓN DE EMPRESAS I</t>
  </si>
  <si>
    <t>INSCRIPCIÓN DE ADRIÁN CASTRO LLOPIS EN EL CURSO TÉCNICAS AVANZADAS DE DIRECCIÓN Y GESTIÓN DE EMPRESAS I</t>
  </si>
  <si>
    <t>CÓD.GL85. Técnicas Avanzadas de Dirección y Gestión de Empresas I</t>
  </si>
  <si>
    <t>41.60.2T.00.33</t>
  </si>
  <si>
    <t>INSCRIPCIÓN DE ANDREA RAMÍREZ JIMÉNEZ EN EL CURSO TÉCNICAS AVANZADAS EN DIRECCIÓN Y GESTIÓN DE EMPRESAS II</t>
  </si>
  <si>
    <t>INSCRIPCIÓN DE JAVIER VIDAL RODRÍGUEZ EN EL CURSO TÉCNICAS AVANZADAS DE DIRECCIÓN Y GESTIÓN DE EMPRESAS II</t>
  </si>
  <si>
    <t>INSCRIPCIÓN DE JOSÉ FRANCISCO PASCUAL FERRI EN EL CURSO TÉCNICAS AVANZADAS DE DIRECCIÓN Y GESTIÓN DE EMPRESAS II</t>
  </si>
  <si>
    <t>INSCRIPCIÓN DE JOSÉ AGUSTÍN VALVERDE VEGA EN EL CURSO TÉCNICAS AVANZADAS DE DIRECCIÓN Y GESTIÓN DE EMPRESAS II</t>
  </si>
  <si>
    <t>INSCRIPCIÓN DE JESÚS MOLINA MARQUEZ EN EL CURSO TÉCNICAS AVANZADAS EN DIRECCIÓN Y GESTIÓN DE EMPRESAS II</t>
  </si>
  <si>
    <t>INSCRIPCIÓN DE JOAN SANFRANCISCO ALBA EN EL CURSO TÉCNICAS AVANZADAS DE DIRECCIÓN Y GESTIÓN DE EMPRESAS II</t>
  </si>
  <si>
    <t>INSCRIPCIÓN DE JOSÉ MANUEL ARACIL MARTÍNEZ EN EL CURSO TÉCNICAS AVANZADAS DE DIRECCIÓN Y GESTIÓN DE EMPRESAS II</t>
  </si>
  <si>
    <t>INSCRIPCIÓN DE MIRIAM MADRIGAL FALLA EN EL CURSO TÉCNICAS AVANZADAS DE DIRECCIÓN Y GESTIÓN DE EMPRESAS II</t>
  </si>
  <si>
    <t>INSCRIPCIÓN DE DANAY PEÑARANDA ROJAS EN EL CURSO TÉCNICAS AVANZADAS DE DIRECCIÓN Y GESTIÓN DE EMPRESAS II</t>
  </si>
  <si>
    <t>INSCRIPCIÓN DE AURORA ACOSTA HERRERO EN EL CURSO TÉCNICAS AVANZADAS DE DIRECCIÓN Y GESTIÓN DE EMPRESAS II</t>
  </si>
  <si>
    <t>INSCRIPCIÓN DE DAVID NIETO FERNÁNDEZ EN EL CURSO TÉCNICAS AVANZADAS DE DIRECCIÓN Y GESTIÓN DE EMPRESAS II</t>
  </si>
  <si>
    <t>INSCRIPCIÓN DE IGNACIO LÓPEZ BLANQUER EN EL CURSO TÉCNICAS AVANZADAS DE DIRECCIÓN Y GESTIÓN DE EMPRESAS II</t>
  </si>
  <si>
    <t>INSCRIPCIÓN DE AMPARO MEGIAS SÁNCHEZ EN EL CURSO TÉCNICAS AVANZADAS EN DIRECCIÓN Y GESTIÓN DE EMPRESAS II</t>
  </si>
  <si>
    <t>INSCRIPCIÓN DE PARASKEVI KARADEMITROU EN EL CURSO TÉCNICAS AVANZADAS DE DIRECCIÓN Y GESTIÓN DE EMPRESAS II</t>
  </si>
  <si>
    <t>INSCRIPCIÓN DE ADRIÁN CASTRO LLOPIS EN EL CURSO TÉCNICAS AVANZADAS DE DIRECCIÓN Y GESTIÓN DE EMPRESAS II</t>
  </si>
  <si>
    <t>CÓD: GL86. Técnicas Avanzadas de Dirección y Gestión de Empresas II</t>
  </si>
  <si>
    <t>41.60.2T.00.34</t>
  </si>
  <si>
    <t>INSCRIPCIÓN DE LIDIA FERRÁNDIZ SÁNCHEZ  EN EL CURSO TÉCNICAS AVANZADAS EN GESTIÓN DE EMPRESAS EN ORGANIZACIONES I</t>
  </si>
  <si>
    <t>INSCRIPCIÓN DE MARÍA SÁNCHEZ SANJUAN EN EL CURSO TÉCNICAS AVANZADAS DE GESTIÓN DE EMPRESAS EN ORGANIZACIONES I</t>
  </si>
  <si>
    <t>INSCRIPCIÓN DE ÁNGELA VILLAR CANALES EN EL CURSO TÉCNICAS AVANZADAS DE GESTIÓN DE EMPRESAS EN ORGANIZACIONES I</t>
  </si>
  <si>
    <t>INSCRIPCIÓN DE ALEJANDRA LÓPEZ GONZÁLEZ EN EL CURSO TÉCNICAS AVANZADAS DE GESTIÓN DE EMPRESAS EN ORGANIZACIONES I</t>
  </si>
  <si>
    <t>INSCRIPCIÓN DE MICAELA BRATICEVIC IVE EN EL CURSO TÉCNICAS AVANZADAS DE GESTIÓN DE EMPRESAS EN ORGANIZACIONES I</t>
  </si>
  <si>
    <t>INSCRIPCIÓN DE FABIOLA CARRASCO DÍAZ Y MARÍA TERESA GONZÁLEZ VELASCO EN EL CURSO TÉCNICAS AVANZADAS DE GESTIÓN DE PERSONAS EN ORGANIZACIONES I</t>
  </si>
  <si>
    <t>INSCRIPCIÓN DE MARÍA JOSÉ CAMACHO GARCÍA AL CURSO TÉCNICAS AVANZADAS DE GESTIÓN DE PERSONAS EN ORGANIZACIONES I</t>
  </si>
  <si>
    <t>INSCRIPCIÓN DE ANA ISABEL ABELLAN MARTÍNEZ EN EL CURSO TÉCNICAS AVANZADAS EN GESTIÓN DE PERSONAS EN ORGANIZACIONES I</t>
  </si>
  <si>
    <t>INSCRIPCIÓN DE MARÍA JOSEFA FERNÁNDEZ NAVARRO EN EL CURSO TÉCNICAS AVANZADAS DE GESTIÓN DE PERSONAS EN ORGANIZACIONES I</t>
  </si>
  <si>
    <t>INSCRIPCIÓN DE CARMEN GARCÍA CANTOS EN EL CURSO TÉCNICAS AVANZADAS DE GESTIÓN DE PERSONAS EN ORGANIZACIONES I</t>
  </si>
  <si>
    <t>INSCRIPCIÓN DE ESTER GONZÁLEZ POVEDA EN EL CURSO TÉCNICAS AVANZADAS DE GESTIÓN DE PERSONAS EN ORGANIZACIONES I</t>
  </si>
  <si>
    <t>INSCRIPCIÓN DE FRANCISCO JOSÉ CALBO MARTÍNEZ EN EL CURSO TÉCNICAS AVANZADAS DE GESTIÓN DE PERSONAS EN ORGANIZACIONES I</t>
  </si>
  <si>
    <t>INSCRIPCIÓN DE PAULA GISBERT BENEITO EN EL CURSO TÉCNICAS AVANZADAS DE GESTIÓN DE PERSONAS EN ORGANIZACIONES I</t>
  </si>
  <si>
    <t>CÓD: GL87. Microcredencial: Técnicas Avanzadas de Gestión de Personas en Organizaciones I</t>
  </si>
  <si>
    <t>41.60.2T.00.35</t>
  </si>
  <si>
    <t>INSCRIPCIÓN DE LIDIA FERRÁNDIZ SÁNCHEZ  EN EL CURSO TÉCNICAS AVANZADAS EN GESTIÓN DE EMPRESAS EN ORGANIZACIONES II</t>
  </si>
  <si>
    <t>INSCRIPCIÓN DE MARÍA SÁNCHEZ SANJUAN EN EL CURSO TÉCNICAS AVANZADAS DE GESTIÓN DE EMPRESAS EN ORGANIZACIONES II</t>
  </si>
  <si>
    <t>INSCRIPCIÓN DE ÁNGELA VILLAR CANALES EN EL CURSO TÉCNICAS AVANZADAS DE GESTIÓN DE EMPRESAS EN ORGANIZACIONES II</t>
  </si>
  <si>
    <t>INSCRIPCIÓN DE ALEJANDRA LÓPEZ GONZÁLEZ EN EL CURSO TÉCNICAS AVANZADAS DE GESTIÓN DE EMPRESAS EN ORGANIZACIONES II</t>
  </si>
  <si>
    <t>INSCRIPCIÓN DE MICAELA BRATICEVIC IVE EN EL CURSO TÉCNICAS AVANZADAS DE GESTIÓN DE EMPRESAS EN ORGANIZACIONES II</t>
  </si>
  <si>
    <t>INSCRIPCIÓN DE FABIOLA CARRASCO DÍAZ Y MARÍA TERESA GONZÁLEZ VELASCO EN EL CURSO TÉCNICAS AVANZADAS DE GESTIÓN DE PERSONAS EN ORGANIZACIONES II</t>
  </si>
  <si>
    <t>INSCRIPCIÓN DE MARÍA JOSÉ CAMACHO GARCÍA AL CURSO TÉCNICAS AVANZADAS DE GESTIÓN DE PERSONAS EN ORGANIZACIONES II</t>
  </si>
  <si>
    <t>INSCRIPCIÓN DE ANA ISABEL ABELLAN MARTÍNEZ EN EL CURSO TÉCNICAS AVANZADAS EN GESTIÓN DE PERSONAS EN LAS ORGANIZACIONES II</t>
  </si>
  <si>
    <t>INSCRIPCIÓN DE MARÍA JOSEFA FERNÁNDEZ NAVARRO EN EL CURSO TÉCNICAS AVANZADAS DE GESTIÓN DE PERSONAS EN ORGANIZACIONES II</t>
  </si>
  <si>
    <t>INSCRIPCIÓN DE CARMEN GARCÍA CANTOS EN EL CURSO TÉCNICAS AVANZADAS DE GESTIÓN DE PERSONAS EN ORGANIZACIONES II</t>
  </si>
  <si>
    <t>INSCRIPCIÓN DE ESTER GONZÁLEZ POVEDA EN EL CURSO TÉCNICAS AVANZADAS DE GESTIÓN DE PERSONAS EN ORGANIZACIONES II</t>
  </si>
  <si>
    <t>INSCRIPCIÓN DE FRANCISCO JOSÉ CALBO MARTÍNEZ EN EL CURSO TÉCNICAS AVANZADAS DE GESTIÓN DE PERSONAS EN ORGANIZACIONES II</t>
  </si>
  <si>
    <t>INSCRIPCIÓN DE PAULA GISBERT BENEITO EN EL CURSO TÉCNICAS AVANZADAS DE GESTIÓN DE PERSONAS EN ORGANIZACIONES II</t>
  </si>
  <si>
    <t xml:space="preserve">CÓD: GL88. Microcredencial: Técnicas Avanzadas de Gestión de Personas en Organizaciones II. </t>
  </si>
  <si>
    <t>41.60.2T.00.36</t>
  </si>
  <si>
    <t>INSCRIPCIÓN DE ADRIÁN PASTOR PÉREZ EN EL CURSO DIRECCIÓN COMERCIAL DE HOTELES I</t>
  </si>
  <si>
    <t>INSCRIPCIÓN DE ELENA RODRÍGUEZ SORIA EN EL CURSO DIRECCIÓN COMERCIAL DE HOTELES I</t>
  </si>
  <si>
    <t>INSCRIPCIÓN DE SANTIAGO VILELLA MORA EN EL CURSO DIRECCIÓN COMERCIAL DE HOTELES I</t>
  </si>
  <si>
    <t>INSCRIPCIÓN DE NAYARA EXPOSITO FUSTER EN EL CURSO DIRECCIÓN COMERCIAL DE HOTELES I</t>
  </si>
  <si>
    <t>INSCRIPCIÓN DE MARÍA MARTÍNEZ SOTO EN EL CURSO DIRECCIÓN COMERCIAL DE HOTELES I</t>
  </si>
  <si>
    <t>INSCRIPCIÓN DE NOELIA NIKOLE NOLE CARRIÓN EN EL CURSO DIRECCIÓN COMERCIAL DE HOTELES I</t>
  </si>
  <si>
    <t>INSCRIPCIÓN DE AYMERIC FLORIN EN EL CURSO DIRECCIÓN COMERCIAL DE HOTELES I</t>
  </si>
  <si>
    <t>INSCRIPCIÓN DE ALATIEL COVADONGA RODRÍGUEZ HURTADO EN EL CURSO DIRECCIÓN COMERCIAL DE HOTELES I</t>
  </si>
  <si>
    <t>INSCRIPCIÓN DE MARÍA ÁNGELES ARQUÉS CARRATALÁ EN EL CURSO DIRECCIÓN COMERCIAL DE HOTELES I</t>
  </si>
  <si>
    <t>INSCRIPCIÓN DE INGA BUZULAN Y PEDRO JOSÉ MARTÍNEZ ROMERA EN EL CURSO DIRECCIÓN COMERCIAL DE HOTELES I</t>
  </si>
  <si>
    <t>INSCRIPCIÓN DE ADOLFO CONESA LLORCA EN EL CURSO DIRECCIÓN COMERCIAL DE HOTELES I</t>
  </si>
  <si>
    <t>INSCRIPCIÓN DE ADRIÁN PASTOR PÉREZ EN EL CURSO DIRECCIÓN COMERCIAL DE HOTELES I PARTE 2</t>
  </si>
  <si>
    <t>INSCRIPCIÓN DE NAYARA EXPÓSITO FUSTER EN EL CURSO DIRECCIÓN COMERCIAL DE HOTELES I PARTE 2</t>
  </si>
  <si>
    <t>CÓD: GL69. Dirección Comercial de Hoteles I</t>
  </si>
  <si>
    <t>41.60.2T.00.37</t>
  </si>
  <si>
    <t>INSCRIPCIÓN DE ELENA RODRÍGUEZ SORIA EN EL CURSO DIRECCIÓN COMERCIAL DE HOTELES II</t>
  </si>
  <si>
    <t>INSCRIPCIÓN DE SANTIAGO VILELLA MORA EN EL CURSO DIRECCIÓN COMERCIAL DE HOTELES II</t>
  </si>
  <si>
    <t>INSCRIPCIÓN DE NAYARA EXPOSITO FUSTER EN EL CURSO DIRECCIÓN COMERCIAL DE HOTELES II</t>
  </si>
  <si>
    <t>INSCRIPCIÓN DE ADRIÁN PASTOR PÉREZ EN EL CURSO DIRECCIÓN COMERCIAL DE HOTELES II</t>
  </si>
  <si>
    <t>INSCRIPCIÓN DE MARÍA MARTÍNEZ SOTO EN EL CURSO DIRECCIÓN COMERCIAL DE HOTELES II</t>
  </si>
  <si>
    <t>INSCRIPCIÓN DE NOELIA NIKOLE NOLE CARRIÓN EN EL CURSO DIRECCIÓN COMERCIAL DE HOTELES II</t>
  </si>
  <si>
    <t>INSCRIPCIÓN DE AYMERIC FLORIN EN EL CURSO DIRECCIÓN COMERCIAL DE HOTELES II</t>
  </si>
  <si>
    <t>INSCRIPCIÓN DE ALATIEL COVADONGA RODRÍGUEZ HURTADO EN EL CURSO DIRECCIÓN COMERCIAL DE HOTELES II</t>
  </si>
  <si>
    <t>INSCRIPCIÓN DE MARÍA ÁNGELES ARQUÉS CARRATALÁ EN EL CURSO DIRECCIÓN COMERCIAL DE HOTELES II</t>
  </si>
  <si>
    <t>INSCRIPCIÓN DE INGA BUZULAN Y PEDRO JOSÉ MARTÍNEZ ROMERA EN EL CURSO DIRECCIÓN COMERCIAL DE HOTELES II</t>
  </si>
  <si>
    <t>INSCRIPCIÓN DE ADOLFO CONESA LLORCA EN EL CURSO DIRECCIÓN COMERCIAL DE HOTELES II</t>
  </si>
  <si>
    <t>INSCRIPCIÓN DE ADRIÁN PASTOR PÉREZ EN EL CURSO DIRECCIÓN COMERCIAL DE HOTELES II PARTE 2</t>
  </si>
  <si>
    <t>INSCRIPCIÓN DE NAYARA EXPÓSITO FUSTER EN EL CURSO DIRECCIÓN COMERCIAL DE HOTELES II PARTE 2</t>
  </si>
  <si>
    <t>CÓD: GL70. Dirección Comercial de Hoteles II</t>
  </si>
  <si>
    <t>41.60.2T.00.38</t>
  </si>
  <si>
    <t xml:space="preserve">CÓD: GL71. Microcredencial: DIRECCIÓN Y GESTIÓN DE EMPRESAS I </t>
  </si>
  <si>
    <t>41.60.2T.00.39</t>
  </si>
  <si>
    <t xml:space="preserve">CÓD: GL72: Microcredencial: DIRECCIÓN Y GESTIÓN DE EMPRESAS II </t>
  </si>
  <si>
    <t>41.60.2T.00.40</t>
  </si>
  <si>
    <t xml:space="preserve">CÓD. GL73. Microcredencial:  DIRECCIÓN Y GESTIÓN DE RECURSOS HUMANOS I </t>
  </si>
  <si>
    <t>41.60.2T.00.41</t>
  </si>
  <si>
    <t xml:space="preserve">CÓD: GL74. Microcredencial: DIRECCIÓN Y GESTIÓN DE RECURSOS HUMANOS II </t>
  </si>
  <si>
    <t>41.60.2T.00.42</t>
  </si>
  <si>
    <t xml:space="preserve">CÓD: GL85. Microcredencial: TÉCNICAS AVANZADAS DE DIRECCIÓN Y GESTIÓN DE EMPRESAS I </t>
  </si>
  <si>
    <t>DEVOLUCIÓN DE PRECIOS PÚBLICOS POR INGRESOS DE MATRÍCULA_REMESA Nº2024DTR401170_ RDT INVERSA 2024EXPADM2255</t>
  </si>
  <si>
    <t>41.60.2T.00.43</t>
  </si>
  <si>
    <t xml:space="preserve">CÓD: GL86. Microcredencial: TÉCNICAS AVANZADAS DE DIRECCIÓN Y GESTIÓN DE EMPRESAS II </t>
  </si>
  <si>
    <t>41.60.2T.00.44</t>
  </si>
  <si>
    <t xml:space="preserve">CÓD: GL87. Microcredencial: TÉCNICAS AVANZADAS DE GESTIÓN DE PERSONAS EN ORGANIZACIONES I </t>
  </si>
  <si>
    <t>41.60.2T.00.45</t>
  </si>
  <si>
    <t xml:space="preserve">CÓD: GL88. Microcredencial: TÉCNICAS AVANZADAS DE GESTIÓN DE PERSONAS EN ORGANIZACIONES II </t>
  </si>
  <si>
    <t>41.60.2T.00.46</t>
  </si>
  <si>
    <t xml:space="preserve">CÓD: GL69.Microcredencial:DIRECCIÓN COMERCIAL DE HOTELES I </t>
  </si>
  <si>
    <t>41.60.2T.00.47</t>
  </si>
  <si>
    <t xml:space="preserve">CÓD: GL70: Microcredencial:  DIRECCIÓN COMERCIAL DE HOTELES II </t>
  </si>
  <si>
    <t>Análisis Económico Aplicado </t>
  </si>
  <si>
    <t>Roldán Aráuz, Diego Francisco </t>
  </si>
  <si>
    <t>Evaluación de impacto de políticas públicas del Sumak Kawsay en el Ecuador </t>
  </si>
  <si>
    <t>09/09/2022 </t>
  </si>
  <si>
    <t>U023</t>
  </si>
  <si>
    <t>ADM. FACULTAD DE FILOSOFIA Y LETRAS</t>
  </si>
  <si>
    <t>DOCTORADO EN FILOSOFÍA Y LETRAS</t>
  </si>
  <si>
    <t>Abad Coloma, Ricardo</t>
  </si>
  <si>
    <t>Evaluación de la pobreza hídrica en entornos urbanos del litoral mediterráneo: Estudios de caso</t>
  </si>
  <si>
    <t>27/09/2024</t>
  </si>
  <si>
    <t>ANAL. GEOGRAF. REGIONAL Y GEOGRAFIA FISI</t>
  </si>
  <si>
    <t>Administración Facultad de Derecho</t>
  </si>
  <si>
    <t>Llorca Galiana, Jaume</t>
  </si>
  <si>
    <t>El contrato de seguro de responsabilidad civil de la administración concursal</t>
  </si>
  <si>
    <t>26/06/2025</t>
  </si>
  <si>
    <t>Derecho Mercantil y Derecho Procesal</t>
  </si>
  <si>
    <t>Administración Facultad de Ciencias Económicas</t>
  </si>
  <si>
    <t>Martínez Falcó, Joaquín</t>
  </si>
  <si>
    <t>EL ENOTURISMO COMO CATALIZADOR DE LA SOSTENIBILIDAD: EVIDENCIA EMPÍRICA EN LA INDUSTRIA VINÍCOLA
ESPAÑOLA</t>
  </si>
  <si>
    <t>30/09/2025</t>
  </si>
  <si>
    <t>Organización de Empresas</t>
  </si>
  <si>
    <t>Krasimirova Asenova, Martina</t>
  </si>
  <si>
    <t>Evolución de la industria hotelera: Del análisis de las páginas web y EWoM de los mejores hoteles a las oportunidades ocultas tras el COVID.</t>
  </si>
  <si>
    <t>20/12/2024</t>
  </si>
  <si>
    <t>Chartolani , Ekaterine</t>
  </si>
  <si>
    <t>ORGANIZATIONAL CULTURE: EXPLORING THE CULTURE OF MICHELIN STAR RESTAURANTS IN SPAIN</t>
  </si>
  <si>
    <t>13/12/2024</t>
  </si>
  <si>
    <t>Instituto Universitario de Investigaciones Turísticas (10.17)</t>
  </si>
  <si>
    <t>Villar García, Mario</t>
  </si>
  <si>
    <t>SISTEMA DE INTELIGENCIA TURÍSTICA EN LOS DESTINOS TURÍSTICOS INTELIGENTES</t>
  </si>
  <si>
    <t>02/06/2025</t>
  </si>
  <si>
    <t>Saura Lacárcel, Francisco Javier</t>
  </si>
  <si>
    <t>Movilidad global y turistas de larga estancia: el impacto de las plataformas digitales en las decisiones de destino y estilo de vida de los nómadas digitales</t>
  </si>
  <si>
    <t>05/05/2025</t>
  </si>
  <si>
    <t>Sociología I</t>
  </si>
  <si>
    <t>U062</t>
  </si>
  <si>
    <t>Instituto Universitario de Investigación Informática (10.19)</t>
  </si>
  <si>
    <t>DOCTORADO EN INFORMÁTICA</t>
  </si>
  <si>
    <t>Berenguer Pastor, Alberto</t>
  </si>
  <si>
    <t>Búsqueda de datos estructurados mediante técnicas de procesamiento del lenguaje natural</t>
  </si>
  <si>
    <t>10/03/2025</t>
  </si>
  <si>
    <t>Lenguajes y Sistemas Informáticos</t>
  </si>
  <si>
    <t>Mañas Navarro, José Javier</t>
  </si>
  <si>
    <t>Una mirada sistémica a los problemas socioambientales a través del análisis de red</t>
  </si>
  <si>
    <t>29/11/2024</t>
  </si>
  <si>
    <t>2020</t>
  </si>
  <si>
    <t>2021</t>
  </si>
  <si>
    <t>2022</t>
  </si>
  <si>
    <t>2023</t>
  </si>
  <si>
    <t>2024</t>
  </si>
  <si>
    <t>2025</t>
  </si>
  <si>
    <t>Huete Nieves, Raquel</t>
  </si>
  <si>
    <t>Espeso Molinero, María del Pilar</t>
  </si>
  <si>
    <t>Fernández Pérez, Nuria</t>
  </si>
  <si>
    <t>De Juana Espinosa, Susana Amalia</t>
  </si>
  <si>
    <t>Nolasco Cirugeda, Almudena</t>
  </si>
  <si>
    <t>Hidalgo Marí, Tatiana</t>
  </si>
  <si>
    <t>Fernández Poyatos, María Dolores</t>
  </si>
  <si>
    <t>Such Climent, Mari Paz</t>
  </si>
  <si>
    <t>Lillo Bañuls, Adelaida</t>
  </si>
  <si>
    <t>Pérez Turpin, José Antonio</t>
  </si>
  <si>
    <t>Torres Alfosea, Francisco José</t>
  </si>
  <si>
    <t>Baños Castiñeira, Carlos Javier</t>
  </si>
  <si>
    <t>Ramón Rodríguez, Ana Belén</t>
  </si>
  <si>
    <t>Sellers Rubio, Ricardo</t>
  </si>
  <si>
    <t>Gascó Gascó, José Luis</t>
  </si>
  <si>
    <t>Valero Escandell, José Ramón</t>
  </si>
  <si>
    <t>Vivos</t>
  </si>
  <si>
    <t>Gallego Sánchez, Esperanza</t>
  </si>
  <si>
    <t>Taltavull De la Paz, Paloma</t>
  </si>
  <si>
    <t>Ivars Baidal, Josep Antoni</t>
  </si>
  <si>
    <t>Iñiguez Ortega, María Pilar</t>
  </si>
  <si>
    <t>Úbeda García, María Mercedes</t>
  </si>
  <si>
    <t>Quer Ramón, Diego Francisco</t>
  </si>
  <si>
    <t>Tarí Guilló, Juan José</t>
  </si>
  <si>
    <t>Casado Díaz, Ana Belén</t>
  </si>
  <si>
    <t>Pertusa Ortega, Eva María</t>
  </si>
  <si>
    <t>Zaragoza Sáez, Patrocinio Carmen</t>
  </si>
  <si>
    <t>Torregrosa Martí, María Teresa</t>
  </si>
  <si>
    <t>López Gamero, María Dolores</t>
  </si>
  <si>
    <t>Asensi Merás, Altea</t>
  </si>
  <si>
    <t>Pereira Moliner, Jorge</t>
  </si>
  <si>
    <t>Andreu Guerrero, María Rosario</t>
  </si>
  <si>
    <t>48494289P</t>
  </si>
  <si>
    <t>López Martínez, Gabriel</t>
  </si>
  <si>
    <t>Sancho Esper, Franco Manuel</t>
  </si>
  <si>
    <t>48576617L</t>
  </si>
  <si>
    <t>Rodríguez Sánchez, Carla</t>
  </si>
  <si>
    <t>Llopis Taverner, Juan</t>
  </si>
  <si>
    <t>Mantecón Terán, Alejandro</t>
  </si>
  <si>
    <t>Mazón López, Jose Norberto</t>
  </si>
  <si>
    <t>García Lillo, Francisco</t>
  </si>
  <si>
    <t>Molina Azorín, José Francisco</t>
  </si>
  <si>
    <t>Vera Rebollo, José Fernando</t>
  </si>
  <si>
    <t>Hernández Hernández, María</t>
  </si>
  <si>
    <t>Marco Lajara, Bartolomé</t>
  </si>
  <si>
    <t>Ramon Morte, Alfredo</t>
  </si>
  <si>
    <t>González Ramírez, María de los Reyes</t>
  </si>
  <si>
    <t>Fuentes Pascual, Ramón</t>
  </si>
  <si>
    <t>Rico Cánovas, Elisa</t>
  </si>
  <si>
    <t>Juárez Tárraga, Francisco</t>
  </si>
  <si>
    <t>Casado Díaz, José Manuel</t>
  </si>
  <si>
    <t>Ortiz Noguera, Guadalupe</t>
  </si>
  <si>
    <t>Moreno Izquierdo, Luis</t>
  </si>
  <si>
    <t>Hurtado García, Inmaculada</t>
  </si>
  <si>
    <t>Capdepón Frías, Margarita</t>
  </si>
  <si>
    <t>García Andreu, Hugo</t>
  </si>
  <si>
    <t>Ortuño Padilla, Armando</t>
  </si>
  <si>
    <t>Driha, Oana Madalina</t>
  </si>
  <si>
    <t>INGRESO EN FORMALIZACIÓN PARA CREAR CORRESPONDENCIA ENTRE INGRESOS Y GASTOS CON REFERENCIA AL JI 20240000000006499.</t>
  </si>
  <si>
    <t xml:space="preserve">INGRESO CONVENIO ENTRE LA UA Y EL AYUNT. DE TORREVIEJA PARA EL FUNCIONAMIENTO DE LA SEDE DE LA UA EN EL MUNICIPIO DE TORREVIEJA. LAB. TURISMO INTELIGENTE. </t>
  </si>
  <si>
    <t xml:space="preserve">Ingreso Ayuntamiento Torrevieja Laboratorio de Turismo inteligente </t>
  </si>
  <si>
    <t>Diseño de una estrategia de externalización de la gestión de la piscina municipal cubierta y de las pistas deportivas anexas de El Campello (ref. AYTOCAMPELLO2-21T). Tarea 5.</t>
  </si>
  <si>
    <t>41.60.6C.01.34</t>
  </si>
  <si>
    <t>Finalización al 50% de los trabajos relativos al contrato con la Mancomunidad Marina Baixa: "Estudio, documentación, análisis y descripción de los puestos de trabajo de la Mancomunidad Marina Baixa y una propuesta de relación de puestos de trabajo (RPT)"</t>
  </si>
  <si>
    <t>Finalización del 50% restante de los trabajos relativos al contrato con la Mancomunidad Marina Baixa: "Estudio, documentación, análisis y descripción de los puestos de trabajo de la Mancomunidad Marina Baixa y una propuesta de relación de puestos de trabajo (RPT)"</t>
  </si>
  <si>
    <t>41.60.6C.01.35</t>
  </si>
  <si>
    <t>Análisis y diagnóstico de la plantilla de personal del Ayuntamiento de San Vicente del Raspeig (Expediente 1307916A)</t>
  </si>
  <si>
    <t>Diseño y formulación de un plan estratégico de turismo deportivo para el Ayuntamiento de Santa Pola (FASE 2). CDG: 540 Deportes</t>
  </si>
  <si>
    <t>Diseño y formulación de un plan estratégico de turismo deportivo para el Ayuntamiento de Santa Pola (FASE 3). CDG: 540 Deportes</t>
  </si>
  <si>
    <t>41.60.6C.01.38</t>
  </si>
  <si>
    <t>ÁNALISIS Y DIAGNÓSTICO DE LA ESTRATEGIA Y PLANTILLA DE PERSONAL DE AYUNTAMIENTO DE POLOP DE LA MARINA</t>
  </si>
  <si>
    <t>41.60.6C.01.40</t>
  </si>
  <si>
    <t>Trabajos de redacción de un estudio sobre la situación de las viviendas turísticas de Xàbia. Responsable Armando Ortuño Padilla. Decreto número 2024-3172.</t>
  </si>
  <si>
    <t>41.60.6C.01.41</t>
  </si>
  <si>
    <t>Servicios de apoyo en la elaboración de un análisis de impacto y propuestas de futuro del modelo de destino turístico inteligente para Segittur. (SEGITTUR1-24T)</t>
  </si>
  <si>
    <t>41.60.6C.01.42</t>
  </si>
  <si>
    <t>Finalización del 50% de los trabajos relativos al contrato con el Ayuntamiento de L'Alqueria d'Asnar: "Elaboración de una propuesta de rediseño de las políticas organizativas y retributivas del Ayuntamiento de L'Alqueria d'Asnar" (AYTOALQUERIAASNAR1-25TPA)</t>
  </si>
  <si>
    <t>Finalización del 50% restante de los trabajos relativos al contrato con el Ayuntamiento de L'Alqueria d'Asnar: "Elaboración de una propuesta de rediseño de las políticas organizativas y retributivas del Ayuntamiento de L'Alqueria d'Asnar" (AYTOALQUERIAASNAR1-25TPA)</t>
  </si>
  <si>
    <t>41.60.6C.01.43</t>
  </si>
  <si>
    <t>JORNADA FORMATIVA SOBRE VIVIENDA DE USO TURÍSTICO EN CALPE (RC220250000143, RESPONSABLE: MARÍA JESÚS PASTOR LLORCA, DECRETO 2025-0031)</t>
  </si>
  <si>
    <t>41.60.6C.01.44</t>
  </si>
  <si>
    <t>TRABAJOS DE INVESTIGACIÓN, REDACCIÓN Y EMISIÓN DE INFORME SOBRE LOS EFECTOS DE LA PARTICIPACIÓN DEL CD ELDENSE EN LA LIGA DE FÚTBOL PROFESIONAL EN LA CIUDAD DE ELDA</t>
  </si>
  <si>
    <t>41.60.6C.01.45</t>
  </si>
  <si>
    <t>SERVICIO DE DIAGNÓSTICO DEL MERCADO DE VIVIENDAS TURÍSTICAS EN EL MUNICIPIO DE POLOP Y PROPUESTAS REGULATORIAS. (EXPEDIENTE DE CONTRATACIÓN Nº 503/2025)</t>
  </si>
  <si>
    <t>41.60.6C.01.46</t>
  </si>
  <si>
    <t>SERVICIO PARA LA EVALUACIÓN DE LA SITUACIÓN SOCIOLABORAL DEL PERSONAL DEL IMSSE (FASE I).</t>
  </si>
  <si>
    <t>Finalización de fases restantes (fase II y III) correspondientes los trabajos relativos al contrato con el IMSSE: "Servicio para la evaluación de la situación sociolaboral del personal del IMSSE". (IMSSE1-25T).</t>
  </si>
  <si>
    <t>41.60.6C.01.48</t>
  </si>
  <si>
    <t>41.60.6C.01.49</t>
  </si>
  <si>
    <t>DISEÑO DE ESTRATEGIAS DE RETENCIÓN Y FIDELIZACIÓN DEL TALENTO EN LAS ORGANIZACIONES CON LA METODOLOGÍA DEL CLUB DE LAS BUENAS DECISIONES DE LA UA</t>
  </si>
  <si>
    <t>41.60.6C.01.50</t>
  </si>
  <si>
    <t>41.60.6C.01.51</t>
  </si>
  <si>
    <t>APOYO EN EL DISEÑO DE ESTRATEGIAS DE GESTIÓN DEL TALENTO EN ORGANIZACIONES CON LA METODOLOGÍA DEL CLUB DE LAS BUENAS DECISIONES DE LA UA</t>
  </si>
  <si>
    <t>41.60.6C.01.52</t>
  </si>
  <si>
    <t>Propuesta de diseño de estrategias de retención y fidelización del talento en organizaciones con la metodología del Club de las Buenas Decisiones de la Universidad de Alicante.</t>
  </si>
  <si>
    <t>41.60.6C.01.53</t>
  </si>
  <si>
    <t xml:space="preserve">"ESTUDIO TERRITORIAL Y DE PAISAJE CULTURAL, GESTIÓN CULTURAL DEL INMUEBLE Y SU ENTORNO DEL PLAN DIRECTOR DEL PARADOR NACIONAL DE ALARCÓN (CUENCA)" </t>
  </si>
  <si>
    <t>41.60.6C.01.54</t>
  </si>
  <si>
    <t>Realización de actividades de apoyo por parte de la UA en la identificación y conocimiento de las características de los Departamentos de Recursos Humanos del tejido empresarial de la provincia de Alicante en base a la experiencia y actividades del Club de la Buenas Decisiones de la Universidad de Alicante.</t>
  </si>
  <si>
    <t>41.60.6C.01.55</t>
  </si>
  <si>
    <t>DIAGNÓSTICO Y PROPUESTA REGULATORIA DEL MERCADO DE VIVIENDAS DE USO TURÍSTICO EN FINESTRAT</t>
  </si>
  <si>
    <t>41.60.6C.01.56</t>
  </si>
  <si>
    <t>(1ER PAGO) ELABORACIÓN DE UNA PROPUESTA DE REDISEÑO DE LAS POLÍTICAS ORGANIZATIVAS Y RETRIBUTIVAS DEL AYUNTAMIENTO DE CONFRIDES.</t>
  </si>
  <si>
    <t>(2º PAGO) ELABORACIÓN DE UNA PROPUESTA DE REDISEÑO DE LAS POLÍTICAS ORGANIZATIVAS Y RETRIBUTIVAS DEL AYUNTAMIENTO DE CONFRIDES.</t>
  </si>
  <si>
    <t>41.60.6C.01.57</t>
  </si>
  <si>
    <t>ELABORACIÓN DE UNA PROPUESTA DE REDISEÑO DE LAS POLÍTICAS ORGANIZATIVAS Y RETRIBUTIVAS DEL AYUNTAMIENTO DE LLIBER (1ER PAGO).</t>
  </si>
  <si>
    <t>ELABORACIÓN DE UNA PROPUESTA DE REDISEÑO DE LAS POLÍTICAS ORGANIZATIVAS Y RETRIBUTIVAS DEL AYUNTAMIENTO DE LLIBER (2º PAGO).</t>
  </si>
  <si>
    <t>41.60.6P.00.11</t>
  </si>
  <si>
    <t>INREED/2024/7. AYUDAS PARA PROYECTOS DE DESARROLLO EXPERIMENTAL EN EL ÁREA DE LA INTELIGENCIA ARTIFICIAL Y EL IMPULSO AL DESARROLLO DE ESPACIOS DE DATOS SECTORIALES. Línea Subvención: S1471. AYUDAS PARA PROYECTOS DE DESARROLLO EXPERIMENTAL EN EL ÁREA DE LA INTELIGENCIA ARTIFICIAL Y EL IMPULSO AL DESARROLLO DE ESPACIOS DE DATOS SECTORIALES. Línea Subvención: S1471</t>
  </si>
  <si>
    <t>41.60.6P.00.12</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</si>
  <si>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</si>
  <si>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</si>
  <si>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CÁTEDRA DE ESTUDIOS TURÍSTICOS PEDRO ZARAGOZA ORTS. 2025</t>
  </si>
  <si>
    <t>INGRESO PERCIBIDO DESDE EL PATRONATO PROVINCIAL DE TURISMO EN CONCEPTO DE SUBVENCIÓN NOMINATIVA REFERENTE A LA CÁTEDRA PEDRO ZARAGOZA ORTS_ANUALIDAD 2025.</t>
  </si>
  <si>
    <t>41.60.6Q.00.02</t>
  </si>
  <si>
    <t>INGRESO PERCIBIDO POR LA UNIVERSIDAD DE ALICANTE EN VIRTUD DE CONVENIO DE COLABORACIÓN ENTRE EL PATRONATO DE TURISMO Y PLAYAS DEL EXMO. AYTO. DE ALICANTE Y LA UA PARA LA FINANCIACIÓN DE LA CÁTEDRA DE TURISMO CIUDAD DE ALICANTE.</t>
  </si>
  <si>
    <t>Ingreso Cátedra de Turismo 2025</t>
  </si>
  <si>
    <t>Anulación de derecho anticipado debido a recepción de menor importe referente a la Cátedra de Turismo 2025.</t>
  </si>
  <si>
    <t>Total ingresos investigación 2023-25</t>
  </si>
  <si>
    <t>INSCRIPCIÓN DE MARÍA MARTÍNEZ SOTO EN EL CURSO DIRECCIÓN COMERCIAL DE HOTELES I PARTE 2</t>
  </si>
  <si>
    <t>INSCRIPCIÓN DE MARÍA MARTÍNEZ SOTO EN EL CURSO DIRECCIÓN COMERCIAL DE HOTELES II PARTE 2</t>
  </si>
  <si>
    <t>INSCRIPCIÓN DE NOELIA NIKOLE NOLE CARRIÓN EN EL CURSO DIRECCIÓN COMERCIAL DE HOTELES I PARTE 2</t>
  </si>
  <si>
    <t>INSCRIPCIÓN DE NOELIA NIKOLE NOLE CARRIÓN EN EL CURSO DIRECCIÓN COMERCIAL DE HOTELES II PARTE 2</t>
  </si>
  <si>
    <t>INSCRIPCIÓN DE INMACULADA RUIZ EGUREN EN EL CURSO DE FORMACIÓN SUPERIOR EN HOUSEKEEPING: GESTIÓN DE PISOS Y LIMPIEZA DE ALOJAMIENTOS</t>
  </si>
  <si>
    <t xml:space="preserve">LIQ-TitProp_9372-2 Curso_2024-25 AñoCont_2025 - MÁSTER DE FORMACIÓN PERMANENTE EN DIRECCIÓN Y GESTIÓN DE RECURSOS HUMANOS (443. JI-24-6800  AD-24-6801) </t>
  </si>
  <si>
    <t xml:space="preserve">LIQ-TitProp_GK33-1 Curso_2024-25 AñoCont_2025 - DIRECCIÓN Y GESTIÓN DE EMPRESAS (AJUSTE DE JI-24-6868 QUE NO TENÍA LA ORGÁNICA) </t>
  </si>
  <si>
    <t xml:space="preserve">LIQ-TitProp_GK34-1 Curso_2024-25 AñoCont_2025 - DIRECCIÓN Y GESTIÓN DE RECURSOS HUMANOS </t>
  </si>
  <si>
    <t>LIQ-TitProp_GK32-N Curso_2024-25 AñoCont_2025 - DIRECCIÓN COMERCIAL DE HOTELES (PARTE DEL JI 24-6867 QUE NO TENÍA ORGÁNICA)</t>
  </si>
  <si>
    <t>INSCRIPCIÓN DE ESTER GONZÁLEZ POVEDA EN EL CURSO APLICACIÓN PRÁCTICA DE DIRECCIÓN Y GESTIÓN DE RRHH I</t>
  </si>
  <si>
    <t>INSCRIPCIÓN DE ESTER GONZÁLEZ POVEDA EN EL CURSO APLICACIÓN PRÁCTICA DE DIRECCIÓN Y GESTIÓN DE RRHH II</t>
  </si>
  <si>
    <t>INSCRIPCIÓN DE JAVIER VIDAL RODRÍGUEZ EN EL CURSO APLICACIÓN PRÁCTICA DE DIRECCIÓN Y GESTIÓN DE EMPRESAS I</t>
  </si>
  <si>
    <t>INSCRIPCIÓN DE JAVIER VIDAL RODRÍGUEZ EN EL CURSO APLICACIÓN PRÁCTICA DE DIRECCIÓN Y GESTIÓN DE EMPRESAS II</t>
  </si>
  <si>
    <t>INSCRIPCIÓN DE FRANCISCO JOSÉ CALBO MARTÍNEZ EN EL CURSO APLICACIÓN PRÁCTICA DE DIRECCIÓN Y GESTIÓN DE RRHH I</t>
  </si>
  <si>
    <t>INSCRIPCIÓN DE FRANCISCO JOSÉ CALBO MARTÍNEZ EN EL CURSO APLICACIÓN PRÁCTICA DE DIRECCIÓN Y GESTIÓN DE RRHH II</t>
  </si>
  <si>
    <t>INSCRIPCIÓN DE MARÍA JOSEFA MARTÍNEZ NAVARRO EN EL CURSO APLICACIÓN PRÁCTICA DE DIRECCIÓN Y GESTIÓN DE RRHH I</t>
  </si>
  <si>
    <t>INSCRIPCIÓN DE MARÍA JOSEFA MARTÍNEZ NAVARRO EN EL CURSO APLICACIÓN PRÁCTICA DE DIRECCIÓN Y GESTIÓN DE RRHH II</t>
  </si>
  <si>
    <t>INSCRIPCIÓN DE IGNACIO LÓPEZ BLANQUER EN EL CURSO APLICACIÓN PRÁCTICA DE DIRECCIÓN Y GESTIÓN DE EMPRESAS I</t>
  </si>
  <si>
    <t>INSCRIPCIÓN DE IGNACIO LÓPEZ BLANQUER EN EL CURSO APLICACIÓN PRÁCTICA DE DIRECCIÓN Y GESTIÓN DE EMPRESAS II</t>
  </si>
  <si>
    <t>INSCRIPCIÓN DE ANDREA RAMÍREZ JIMÉNEZ EN EL CURSO APLICACIÓN PRÁCTICA DE DIRECCIÓN Y GESTIÓN DE EMPRESAS I</t>
  </si>
  <si>
    <t>INSCRIPCIÓN DE ANDREA RAMÍREZ JIMÉNEZ EN EL CURSO APLICACIÓN PRÁCTICA DE DIRECCIÓN Y GESTIÓN DE EMPRESAS II</t>
  </si>
  <si>
    <t>INSCRIPCIÓN DE ÁNGELA VILLAR CANALES EN EL CURSO APLICACIÓN PRÁCTICA DE DIRECCIÓN Y GESTIÓN DE RRHH I</t>
  </si>
  <si>
    <t>INSCRIPCIÓN DE ÁNGELA VILLAR CANALES EN EL CURSO APLICACIÓN PRÁCTICA DE DIRECCIÓN Y GESTIÓN DE RRHH II</t>
  </si>
  <si>
    <t>INSCRIPCIÓN DE LIDIA FERRANDIZ SÁNCHEZ EN EL CURSO APLICACIÓN PRÁCTICA DE DIRECCIÓN Y GESTIÓN DE RRHH I</t>
  </si>
  <si>
    <t>INSCRIPCIÓN DE LIDIA FERRANDIZ SÁNCHEZ EN EL CURSO APLICACIÓN PRÁCTICA DE DIRECCIÓN Y GESTIÓN DE RRHH II</t>
  </si>
  <si>
    <t>INSCRIPCIÓN DE MARÍA TERESA GONZÁLEZ VELASCO EN EL CURSO APLICACIÓN PRÁCTICA DE DIRECCIÓN Y GESTIÓN DE RRHH I</t>
  </si>
  <si>
    <t>INSCRIPCIÓN DE MARÍA TERESA GONZÁLEZ VELASCO EN EL CURSO APLICACIÓN PRÁCTICA DE DIRECCIÓN Y GESTIÓN DE RRHH II</t>
  </si>
  <si>
    <t>INSCRIPCIÓN DE ANA ISABEL ABELLÁN MARTÍNEZ EN EL CURSO APLICACIÓN PRÁCTICA DE DIRECCIÓN Y GESTIÓN DE RRHH I</t>
  </si>
  <si>
    <t>INSCRIPCIÓN DE ANA ISABEL ABELLÁN MARTÍNEZ EN EL CURSO APLICACIÓN PRÁCTICA DE DIRECCIÓN Y GESTIÓN DE RRHH II</t>
  </si>
  <si>
    <t>INSCRIPCIÓN DE MARÍA SÁNCHEZ SANJUAN EN EL CURSO APLICACIÓN PRÁCTICA DE DIRECCIÓN Y GESTIÓN DE RRHH I</t>
  </si>
  <si>
    <t>INSCRIPCIÓN DE MARÍA SÁNCHEZ SANJUAN EN EL CURSO APLICACIÓN PRÁCTICA DE DIRECCIÓN Y GESTIÓN DE RRHH II</t>
  </si>
  <si>
    <t>INSCRIPCIÓN DE AURORA ACOSTA HERRERO EN EL CURSO APLICACIÓN PRÁCTICA DE DIRECCIÓN Y GESTIÓN DE EMPRESAS I</t>
  </si>
  <si>
    <t>INSCRIPCIÓN DE AURORA ACOSTA HERRERO EN EL CURSO APLICACIÓN PRÁCTICA DE DIRECCIÓN Y GESTIÓN DE EMPRESAS II</t>
  </si>
  <si>
    <t>INSCRIPCIÓN DE AMPARO MEGIAS SÁNCHEZ EN EL CURSO APLICACIÓN PRÁCTICA DE DIRECCIÓN Y GESTIÓN DE EMPRESAS I</t>
  </si>
  <si>
    <t>INSCRIPCIÓN DE AMPARO MEGIAS SÁNCHEZ EN EL CURSO APLICACIÓN PRÁCTICA DE DIRECCIÓN Y GESTIÓN DE EMPRESAS II</t>
  </si>
  <si>
    <t>INSCRIPCIÓN DE JESÚS MOLINA MÁRQUEZ EN EL CURSO APLICACIÓN PRÁCTICA DE DIRECCIÓN Y GESTIÓN DE EMPRESAS I</t>
  </si>
  <si>
    <t>INSCRIPCIÓN DE JESÚS MOLINA MÁRQUEZ EN EL CURSO APLICACIÓN PRÁCTICA DE DIRECCIÓN Y GESTIÓN DE EMPRESAS II</t>
  </si>
  <si>
    <t>INSCRIPCIÓN DE FRANCISCO JAVIER GARCÍA ROMERO EN EL CURSO APLICACIÓN PRÁCTICA DE DIRECCIÓN Y GESTIÓN DE EMPRESAS I</t>
  </si>
  <si>
    <t>INSCRIPCIÓN DE FRANCISCO JAVIER GARCÍA ROMERO EN EL CURSO APLICACIÓN PRÁCTICA DE DIRECCIÓN Y GESTIÓN DE EMPRESAS II</t>
  </si>
  <si>
    <t>INSCRIPCIÓN DE JOSÉ FRANCISCO PASCUAL FERRI EN EL CURSO APLICACIÓN PRÁCTICA DE DIRECCIÓN Y GESTIÓN DE EMPRESAS I</t>
  </si>
  <si>
    <t>INSCRIPCIÓN DE JOSÉ FRANCISCO PASCUAL FERRI EN EL CURSO APLICACIÓN PRÁCTICA DE DIRECCIÓN Y GESTIÓN DE EMPRESAS II</t>
  </si>
  <si>
    <t xml:space="preserve">INSCRIPCIÓN DE DAVID NIETO FERNÁNDEZ EN EL CURSO APLICACIÓN PRÁCTICA DE DIRECCIÓN Y GESTIÓN DE EMPRESAS I </t>
  </si>
  <si>
    <t>INSCRIPCIÓN DE DAVID NIETO FERNÁNDEZ EN EL CURSO APLICACIÓN PRÁCTICA DE DIRECCIÓN Y GESTIÓN DE EMPRESAS II</t>
  </si>
  <si>
    <t xml:space="preserve">LIQ-TitProp_9371-4 Curso_2024-25 AñoCont_2025 - MÁSTER DE FORMACIÓN PERMANENTE EN DIRECCIÓN Y GESTIÓN DE EMPRESAS (parte 24 ji24-6798 ad24-6799) </t>
  </si>
  <si>
    <t>INSCRIPCIÓN DE PARASKEVI KARADEMITROU EN EL CURSO APLICACIÓN PRÁCTICA DE DIRECCIÓN Y GESTIÓN DE EMPRESAS I</t>
  </si>
  <si>
    <t>INSCRIPCIÓN DE PARASKEVI KARADEMITROU EN EL CURSO APLICACIÓN PRÁCTICA DE DIRECCIÓN Y GESTIÓN DE EMPRESAS II</t>
  </si>
  <si>
    <t>INSCRIPCIÓN DE MICAELA BRATICEVIC IVE EN EL CURSO APLICACIÓN PRÁCTICA DE DIRECCIÓN Y GESTIÓN DE RRHH II</t>
  </si>
  <si>
    <t>INSCRIPCIÓN DE MICAELA BRATICEVIC IVE EN EL CURSO APLICACIÓN PRÁCTICA DE DIRECCIÓN Y GESTIÓN DE RRHH I</t>
  </si>
  <si>
    <t>41.60.2T.00.54</t>
  </si>
  <si>
    <t>LIQ-TitProp_GL91-N Curso_2025-26 AñoCont_2025 - APLICACIÓN PRÁCTICA DE DIRECCIÓN Y GESTIÓN DE RRHH I</t>
  </si>
  <si>
    <t>41.60.2T.00.56</t>
  </si>
  <si>
    <t xml:space="preserve">LIQ-TitProp_GL92-N Curso_2025-26 AñoCont_2025 - APLICACIÓN PRÁCTICA DE DIRECCIÓN Y GESTIÓN DE RRHH II </t>
  </si>
  <si>
    <t>41.60.2T.00.50</t>
  </si>
  <si>
    <t xml:space="preserve">LIQ-TitProp_GL89-N Curso_2025-26 AñoCont_2025 - APLICACIÓN PRÁCTICA DE DIRECCIÓN Y GESTIÓN DE EMPRESAS I </t>
  </si>
  <si>
    <t>41.60.2T.00.52</t>
  </si>
  <si>
    <t xml:space="preserve">LIQ-TitProp_GL90-N Curso_2025-26 AñoCont_2025 - APLICACIÓN PRÁCTICA DE DIRECCIÓN Y GESTIÓN DE EMPRESAS II </t>
  </si>
  <si>
    <t>41.60.2T.00.48</t>
  </si>
  <si>
    <t xml:space="preserve">LIQ-TitProp_GN53-N Curso_2025-26 AñoCont_2025 - TURISMO DE CRUCEROS </t>
  </si>
  <si>
    <t>41.60.2T.00.49</t>
  </si>
  <si>
    <t>CÓD: GL89. MICROCREDENCIAL. LIQ-TitProp_GL89-N Curso_2025-26 AñoCont_2025 - APLICACIÓN PRÁCTICA DE DIRECCIÓN Y GESTIÓN DE EMPRESAS I</t>
  </si>
  <si>
    <t>41.60.2T.00.51</t>
  </si>
  <si>
    <t xml:space="preserve">CÓD: GL90. MICROCREDENCIAL. LIQ-TitProp_GL90-N Curso_2025-26 AñoCont_2025 - APLICACIÓN PRÁCTICA DE DIRECCIÓN Y GESTIÓN DE EMPRESAS II </t>
  </si>
  <si>
    <t>41.60.2T.00.53</t>
  </si>
  <si>
    <t xml:space="preserve">CÓD: GL91. MICROCREDENCIAL. LIQ-TitProp_GL91-N Curso_2025-26 AñoCont_2025 - APLICACIÓN PRÁCTICA DE DIRECCIÓN Y GESTIÓN DE RRHH I </t>
  </si>
  <si>
    <t>41.60.2T.00.55</t>
  </si>
  <si>
    <t xml:space="preserve">CÓD: GL92. MICROCREDENCIAL. LIQ-TitProp_GL92-N Curso_2025-26 AñoCont_2025 - APLICACIÓN PRÁCTICA DE DIRECCIÓN Y GESTIÓN DE RRHH II </t>
  </si>
  <si>
    <t xml:space="preserve">LIQ-TitProp_9372-1 Curso_2025-26 AñoCont_2025 - MÁSTER DE FORMACIÓN PERMANENTE EN DIRECCIÓN Y GESTIÓN DE RECURSOS HUMANOS </t>
  </si>
  <si>
    <t xml:space="preserve">LIQ-TitProp_9371-1 Curso_2025-26 AñoCont_2025 - MÁSTER DE FORMACIÓN PERMANENTE EN DIRECCIÓN Y GESTIÓN DE EMPRESAS </t>
  </si>
  <si>
    <t>DEVOLUCIÓN DE PRECIOS PÚBLICOS_REMESA Nº 2025DTR399145_ RDT INVERSA 2025EXPADM2343</t>
  </si>
  <si>
    <t xml:space="preserve">LIQ-TitProp_9371-N Curso_2025-26 AñoCont_2025 - MÁSTER DE FORMACIÓN PERMANENTE EN DIRECCIÓN Y GESTIÓN DE EMPRESAS (cierre 25 emitido 25 cobrado 25) </t>
  </si>
  <si>
    <t xml:space="preserve">LIQ-TitProp_9371-N Curso_2025-26 AñoCont_2025 - MÁSTER DE FORMACIÓN PERMANENTE EN DIRECCIÓN Y GESTIÓN DE EMPRESAS (CIERRE 25 APLAZADO) </t>
  </si>
  <si>
    <t xml:space="preserve">LIQ-TitProp_9372-N Curso_2025-26 AñoCont_2025 - MÁSTER DE FORMACIÓN PERMANENTE EN DIRECCIÓN Y GESTIÓN DE RECURSOS HUMANOS (CIERRE 25 EMITIDO 25 COBRADO 25) </t>
  </si>
  <si>
    <t xml:space="preserve">LIQ-TitProp_9372-N Curso_2025-26 AñoCont_2025 - MÁSTER DE FORMACIÓN PERMANENTE EN DIRECCIÓN Y GESTIÓN DE RECURSOS HUMANOS (CIERRE 25 APLAZADO) </t>
  </si>
  <si>
    <t>LIQ-TitProp_GK32-N Curso_2025-26 AñoCont_2025 - DIRECCIÓN COMERCIAL DE HOTELES (CIERRE 25 APLAZADO)</t>
  </si>
  <si>
    <t xml:space="preserve">LIQ-TitProp_GK33-N Curso_2025-26 AñoCont_2025 - DIRECCIÓN Y GESTIÓN DE EMPRESAS (CIERRE 25 APLAZADO) </t>
  </si>
  <si>
    <t>LIQ-TitProp_GK34-N Curso_2025-26 AñoCont_2025 - DIRECCIÓN Y GESTIÓN DE RECURSOS HUMANOS (CIERRE 25 APLAZADO)</t>
  </si>
  <si>
    <t xml:space="preserve">LIQ-TitProp_GK38-N Curso_2025-26 AñoCont_2025 - TÉCNICAS AVANZADAS DE DIRECCIÓN Y GESTIÓN DE EMPRESAS (CIERRE 25 APLAZADO) </t>
  </si>
  <si>
    <t xml:space="preserve">LIQ-TitProp_GK39-N Curso_2025-26 AñoCont_2025 - TÉCNICAS AVANZADAS DE GESTIÓN DE PERSONAS EN ORGANIZACIONES (CIERRE 25 APLAZADO) </t>
  </si>
  <si>
    <t>LIQ-TitProp_GL92-N Curso_2025-26 AñoCont_2025 - APLICACIÓN PRÁCTICA DE DIRECCIÓN Y GESTIÓN DE RRHH II _ (Cierre-25)_ EMITIDO 25 COBRADO 25</t>
  </si>
  <si>
    <t>LIQ-TitProp_GN53-N Curso_2025-26 AñoCont_2025 - TURISMO DE CRUCEROS _ (Cierre-25)_EMITIDO 25 COBRADO 25</t>
  </si>
  <si>
    <t xml:space="preserve">LIQ-TitProp_GK38-N Curso_2025-26 AñoCont_2025 - TÉCNICAS AVANZADAS DE DIRECCIÓN Y GESTIÓN DE EMPRESAS _ (Cierre-25) (EMITIDO25 COBRADO25) </t>
  </si>
  <si>
    <t>LIQ-TitProp_GK32-N Curso_2025-26 AñoCont_2025 - DIRECCIÓN COMERCIAL DE HOTELES _ (Cierre-25)_EMITIDO 25</t>
  </si>
  <si>
    <t xml:space="preserve">LIQ-TitProp_GK39-N Curso_2025-26 AñoCont_2025 - TÉCNICAS AVANZADAS DE GESTIÓN DE PERSONAS EN ORGANIZACIONES _ (Cierre-25) (EMITIDO-25 COBRADO-25) </t>
  </si>
  <si>
    <t xml:space="preserve">LIQ-TitProp_GL91-N Curso_2025-26 AñoCont_2025 - APLICACIÓN PRÁCTICA DE DIRECCIÓN Y GESTIÓN DE RRHH I _ (Cierre-25) (EMITIDO25 COBRADO25) </t>
  </si>
  <si>
    <t xml:space="preserve">LIQ-TitProp_GK33-N Curso_2025-26 AñoCont_2025 - DIRECCIÓN Y GESTIÓN DE EMPRESAS _ (Cierre-25)_EMITIDO 25 COBRADO 25 </t>
  </si>
  <si>
    <t>LIQ-TitProp_GK34-N Curso_2025-26 AñoCont_2025 - DIRECCIÓN Y GESTIÓN DE RECURSOS HUMANOS _ (Cierre-25)_EMITIDO 25 COBRADO 25</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</si>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</sst>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18"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1"/>
      <color theme="1"/>
      <name val="Calibri"/>
      <family val="2"/>
      <scheme val="minor"/>
    </font>
    <font>
      <sz val="11"/>
      <color theme="1"/>
      <name val="Calibri"/>
      <family val="2"/>
      <scheme val="minor"/>
    </font>
    <font>
      <b/>
      <sz val="10"/>
      <color theme="0"/>
      <name val="Arial"/>
      <family val="2"/>
    </font>
    <font>
      <b/>
      <sz val="10"/>
      <color theme="0"/>
      <name val="Arial"/>
      <family val="2"/>
    </font>
    <font>
      <sz val="10"/>
      <color theme="1"/>
      <name val="Arial"/>
      <family val="2"/>
    </font>
    <font>
      <sz val="11"/>
      <name val="Calibri"/>
      <family val="2"/>
      <scheme val="minor"/>
    </font>
    <font>
      <b/>
      <sz val="10"/>
      <color theme="1"/>
      <name val="Arial"/>
      <family val="2"/>
    </font>
    <font>
      <sz val="8"/>
      <name val="Verdana"/>
      <family val="2"/>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cellStyleXfs>
  <cellXfs count="68">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4" fillId="3" borderId="1" xfId="2" applyFont="1" applyFill="1" applyBorder="1" applyAlignment="1">
      <alignment horizontal="center"/>
    </xf>
    <xf numFmtId="0" fontId="6" fillId="0" borderId="1" xfId="0" applyFont="1" applyBorder="1"/>
    <xf numFmtId="0" fontId="6" fillId="0" borderId="1" xfId="0" applyFont="1" applyBorder="1" applyAlignment="1">
      <alignment horizontal="left"/>
    </xf>
    <xf numFmtId="0" fontId="14" fillId="7" borderId="2" xfId="0" applyFont="1" applyFill="1" applyBorder="1"/>
    <xf numFmtId="43" fontId="0" fillId="7" borderId="2" xfId="6" applyNumberFormat="1" applyFont="1" applyFill="1" applyBorder="1"/>
    <xf numFmtId="0" fontId="14" fillId="0" borderId="2" xfId="0" applyFont="1" applyBorder="1"/>
    <xf numFmtId="43" fontId="0" fillId="0" borderId="2" xfId="6" applyNumberFormat="1" applyFont="1" applyBorder="1"/>
    <xf numFmtId="0" fontId="2" fillId="8" borderId="0" xfId="1" applyFill="1"/>
    <xf numFmtId="0" fontId="2" fillId="8" borderId="0" xfId="1" applyFill="1" applyAlignment="1">
      <alignment horizontal="right"/>
    </xf>
    <xf numFmtId="0" fontId="2" fillId="4" borderId="1" xfId="1" applyFill="1" applyBorder="1"/>
    <xf numFmtId="0" fontId="2" fillId="4" borderId="1" xfId="1" applyFill="1" applyBorder="1" applyAlignment="1">
      <alignment horizontal="right"/>
    </xf>
    <xf numFmtId="0" fontId="9" fillId="0" borderId="1" xfId="5" applyFont="1" applyBorder="1"/>
    <xf numFmtId="0" fontId="9" fillId="0" borderId="1" xfId="5" applyFont="1" applyBorder="1" applyAlignment="1">
      <alignment horizontal="left"/>
    </xf>
    <xf numFmtId="0" fontId="6" fillId="0" borderId="1" xfId="0" applyFont="1" applyBorder="1" applyAlignment="1">
      <alignment horizontal="center"/>
    </xf>
    <xf numFmtId="0" fontId="0" fillId="8" borderId="0" xfId="0" applyFill="1"/>
    <xf numFmtId="0" fontId="0" fillId="8" borderId="0" xfId="0" applyFill="1" applyAlignment="1">
      <alignment horizontal="left"/>
    </xf>
    <xf numFmtId="165" fontId="10" fillId="8" borderId="0" xfId="0" applyNumberFormat="1" applyFont="1" applyFill="1"/>
    <xf numFmtId="0" fontId="13" fillId="6" borderId="3" xfId="0" applyFont="1" applyFill="1" applyBorder="1"/>
    <xf numFmtId="164" fontId="0" fillId="0" borderId="0" xfId="0" applyNumberFormat="1"/>
    <xf numFmtId="0" fontId="0" fillId="0" borderId="0" xfId="0" applyAlignment="1">
      <alignment wrapText="1"/>
    </xf>
    <xf numFmtId="164" fontId="0" fillId="0" borderId="0" xfId="6" applyFont="1"/>
    <xf numFmtId="0" fontId="10" fillId="0" borderId="1" xfId="0" applyFont="1" applyBorder="1"/>
    <xf numFmtId="164" fontId="10" fillId="0" borderId="1" xfId="6" applyFont="1" applyBorder="1"/>
    <xf numFmtId="0" fontId="9" fillId="0" borderId="4" xfId="0" applyFont="1" applyBorder="1"/>
    <xf numFmtId="0" fontId="14" fillId="0" borderId="4" xfId="0" applyFont="1" applyBorder="1"/>
    <xf numFmtId="43" fontId="0" fillId="0" borderId="4" xfId="6" applyNumberFormat="1" applyFont="1" applyBorder="1"/>
    <xf numFmtId="43" fontId="11" fillId="0" borderId="4" xfId="0" applyNumberFormat="1" applyFont="1" applyBorder="1"/>
    <xf numFmtId="0" fontId="0" fillId="0" borderId="0" xfId="0" applyFill="1"/>
    <xf numFmtId="0" fontId="15" fillId="0" borderId="1" xfId="0" applyFont="1" applyBorder="1" applyAlignment="1">
      <alignment horizontal="center"/>
    </xf>
    <xf numFmtId="0" fontId="12" fillId="9" borderId="5" xfId="0" applyFont="1" applyFill="1" applyBorder="1"/>
    <xf numFmtId="0" fontId="12" fillId="9" borderId="6" xfId="0" applyFont="1" applyFill="1" applyBorder="1"/>
    <xf numFmtId="0" fontId="9" fillId="10" borderId="5" xfId="0" applyFont="1" applyFill="1" applyBorder="1"/>
    <xf numFmtId="0" fontId="9" fillId="10" borderId="6" xfId="0" applyFont="1" applyFill="1" applyBorder="1"/>
    <xf numFmtId="164" fontId="9" fillId="10" borderId="6" xfId="6" applyFont="1" applyFill="1" applyBorder="1"/>
    <xf numFmtId="0" fontId="9" fillId="0" borderId="5" xfId="0" applyFont="1" applyBorder="1"/>
    <xf numFmtId="0" fontId="9" fillId="0" borderId="6" xfId="0" applyFont="1" applyBorder="1"/>
    <xf numFmtId="164" fontId="9" fillId="0" borderId="6" xfId="6" applyFont="1" applyBorder="1"/>
    <xf numFmtId="0" fontId="16" fillId="0" borderId="7" xfId="0" applyFont="1" applyBorder="1"/>
    <xf numFmtId="0" fontId="16" fillId="0" borderId="8" xfId="0" applyFont="1" applyBorder="1"/>
    <xf numFmtId="164" fontId="16" fillId="0" borderId="8" xfId="6" applyFont="1" applyBorder="1"/>
    <xf numFmtId="164" fontId="12" fillId="9" borderId="6" xfId="6" applyFont="1" applyFill="1" applyBorder="1"/>
    <xf numFmtId="164" fontId="16" fillId="0" borderId="8" xfId="0" applyNumberFormat="1" applyFont="1" applyBorder="1"/>
    <xf numFmtId="165" fontId="3" fillId="8" borderId="0" xfId="1" applyNumberFormat="1" applyFont="1" applyFill="1" applyAlignment="1">
      <alignment horizontal="center"/>
    </xf>
    <xf numFmtId="0" fontId="2" fillId="4" borderId="1" xfId="1" applyFont="1" applyFill="1" applyBorder="1"/>
    <xf numFmtId="0" fontId="2" fillId="0" borderId="1" xfId="1" applyFont="1" applyBorder="1"/>
    <xf numFmtId="0" fontId="2" fillId="4" borderId="1" xfId="1" applyFont="1" applyFill="1" applyBorder="1" applyAlignment="1">
      <alignment horizontal="right"/>
    </xf>
    <xf numFmtId="0" fontId="2" fillId="4" borderId="0" xfId="1" applyFont="1" applyFill="1"/>
    <xf numFmtId="0" fontId="17" fillId="4" borderId="1" xfId="1" applyFont="1" applyFill="1" applyBorder="1"/>
    <xf numFmtId="0" fontId="17" fillId="0" borderId="1" xfId="0" applyFont="1" applyBorder="1"/>
    <xf numFmtId="2" fontId="17" fillId="0" borderId="1" xfId="0" applyNumberFormat="1"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15">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145862-B6DF-472A-A753-B587297F2699}" name="Tabla3" displayName="Tabla3" ref="A1:C29" totalsRowCount="1">
  <autoFilter ref="A1:C28" xr:uid="{CB145862-B6DF-472A-A753-B587297F2699}"/>
  <tableColumns count="3">
    <tableColumn id="1" xr3:uid="{2095B79B-B732-44EF-88E1-491CB95A5BCB}" name="Cód. org. aplic." totalsRowLabel="Total"/>
    <tableColumn id="2" xr3:uid="{49F9D2D0-5FE7-4F5F-B64E-EF90D60A4C71}" name="Descripción justificante" dataDxfId="14"/>
    <tableColumn id="3" xr3:uid="{BD2221D5-AE47-4D44-ABEE-0BD7F7039659}" name="Imp.cob.aplic." totalsRowFunction="sum" dataCellStyle="Millares" totalsRowCellStyle="Millar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52F6C8-40D8-40B7-BE73-287B7F327EC1}" name="Tabla2" displayName="Tabla2" ref="A1:C28" totalsRowCount="1">
  <autoFilter ref="A1:C27" xr:uid="{FC52F6C8-40D8-40B7-BE73-287B7F327EC1}"/>
  <tableColumns count="3">
    <tableColumn id="1" xr3:uid="{0277A090-B66C-4509-9F94-ACFFE6DD692B}" name="Org. aplic." totalsRowLabel="Total"/>
    <tableColumn id="2" xr3:uid="{ACED532E-08E4-4CF3-87EB-57ECC68CE5E1}" name="Descripción justificante" dataDxfId="13" totalsRowDxfId="12"/>
    <tableColumn id="3" xr3:uid="{D3C8798C-F932-4696-AB60-F00EDD1827BD}"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B52FAD-0B93-4E86-AB7B-E3EA845CE33A}" name="Tabla6" displayName="Tabla6" ref="A1:C30" totalsRowCount="1" headerRowDxfId="11" headerRowBorderDxfId="10" tableBorderDxfId="9" totalsRowBorderDxfId="8">
  <autoFilter ref="A1:C29" xr:uid="{73B52FAD-0B93-4E86-AB7B-E3EA845CE33A}"/>
  <tableColumns count="3">
    <tableColumn id="1" xr3:uid="{3F28643F-5AF3-46C5-AEA0-24852947408E}" name="Cód. org. aplic." totalsRowLabel="Total" dataDxfId="7" totalsRowDxfId="6"/>
    <tableColumn id="2" xr3:uid="{B62E164A-96B6-4E5C-862F-CC40FA84E8A6}" name="Descripción justificante" dataDxfId="5" totalsRowDxfId="4"/>
    <tableColumn id="3" xr3:uid="{1F6495C5-2E33-4D11-908A-4A809B2BAFB5}" name="Imp.cob.aplic." totalsRowFunction="sum" dataDxfId="3" totalsRowDxfId="2"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4582FE-644E-4BB1-9C0F-D817E0850C79}" name="Tabla4" displayName="Tabla4" ref="A1:C189" totalsRowCount="1">
  <autoFilter ref="A1:C188" xr:uid="{E04582FE-644E-4BB1-9C0F-D817E0850C79}"/>
  <tableColumns count="3">
    <tableColumn id="1" xr3:uid="{23E62BC6-3369-496A-875E-D7EE8D7BA1E4}" name="Org. aplic." totalsRowLabel="Total"/>
    <tableColumn id="2" xr3:uid="{A29C9868-0F48-4EC3-B5FF-65BEE9BA4BC9}" name="Descripción justificante" dataDxfId="1" totalsRowDxfId="0"/>
    <tableColumn id="3" xr3:uid="{7EA2B873-D89E-4611-B6A7-31BCAC25BC0B}"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4"/>
  <sheetViews>
    <sheetView showGridLines="0" tabSelected="1" topLeftCell="B78" zoomScaleNormal="100" workbookViewId="0">
      <selection activeCell="E92" sqref="E92"/>
    </sheetView>
  </sheetViews>
  <sheetFormatPr baseColWidth="10" defaultColWidth="10.28515625" defaultRowHeight="11.25" x14ac:dyDescent="0.2"/>
  <cols>
    <col min="1" max="1" width="5" style="5" customWidth="1"/>
    <col min="2" max="4" width="29.7109375" style="5" customWidth="1"/>
    <col min="5" max="5" width="40.7109375" style="5" customWidth="1"/>
    <col min="6" max="6" width="9.140625" style="5" customWidth="1"/>
    <col min="7" max="7" width="9.7109375" style="5" customWidth="1"/>
    <col min="8" max="8" width="14.42578125" style="5" customWidth="1"/>
    <col min="9" max="9" width="5.85546875" style="5" customWidth="1"/>
    <col min="10" max="10" width="25.7109375" style="5" customWidth="1"/>
    <col min="11" max="11" width="5.140625" style="5" customWidth="1"/>
    <col min="12" max="12" width="5.28515625" style="6" customWidth="1"/>
    <col min="13" max="13" width="4.85546875" style="5" customWidth="1"/>
    <col min="14" max="14" width="5.28515625" style="6" customWidth="1"/>
    <col min="15" max="15" width="4.85546875" style="5" customWidth="1"/>
    <col min="16" max="16" width="8" style="6" bestFit="1" customWidth="1"/>
    <col min="17" max="17" width="7.42578125" style="5" bestFit="1" customWidth="1"/>
    <col min="18" max="20" width="5.140625" style="5" customWidth="1"/>
    <col min="21" max="16384" width="10.28515625" style="5"/>
  </cols>
  <sheetData>
    <row r="1" spans="1:21" ht="45" x14ac:dyDescent="0.2">
      <c r="A1" s="1" t="s">
        <v>2</v>
      </c>
      <c r="B1" s="2" t="s">
        <v>3</v>
      </c>
      <c r="C1" s="2" t="s">
        <v>4</v>
      </c>
      <c r="D1" s="2" t="s">
        <v>5</v>
      </c>
      <c r="E1" s="2" t="s">
        <v>6</v>
      </c>
      <c r="F1" s="2" t="s">
        <v>7</v>
      </c>
      <c r="G1" s="2" t="s">
        <v>8</v>
      </c>
      <c r="H1" s="2" t="s">
        <v>9</v>
      </c>
      <c r="I1" s="1" t="s">
        <v>10</v>
      </c>
      <c r="J1" s="2" t="s">
        <v>11</v>
      </c>
      <c r="K1" s="1" t="s">
        <v>12</v>
      </c>
      <c r="L1" s="2" t="s">
        <v>13</v>
      </c>
      <c r="M1" s="18" t="s">
        <v>14</v>
      </c>
      <c r="N1" s="3" t="s">
        <v>15</v>
      </c>
      <c r="O1" s="4" t="s">
        <v>16</v>
      </c>
      <c r="P1" s="3" t="s">
        <v>17</v>
      </c>
      <c r="Q1" s="4" t="s">
        <v>18</v>
      </c>
      <c r="R1" s="3" t="s">
        <v>19</v>
      </c>
      <c r="S1" s="3" t="s">
        <v>20</v>
      </c>
      <c r="T1" s="3" t="s">
        <v>21</v>
      </c>
      <c r="U1" s="3" t="s">
        <v>22</v>
      </c>
    </row>
    <row r="2" spans="1:21" x14ac:dyDescent="0.2">
      <c r="A2" s="27" t="s">
        <v>31</v>
      </c>
      <c r="B2" s="27" t="s">
        <v>32</v>
      </c>
      <c r="C2" s="27" t="s">
        <v>33</v>
      </c>
      <c r="D2" s="27" t="s">
        <v>225</v>
      </c>
      <c r="E2" s="27" t="s">
        <v>226</v>
      </c>
      <c r="F2" s="27" t="s">
        <v>227</v>
      </c>
      <c r="G2" s="27" t="s">
        <v>25</v>
      </c>
      <c r="H2" s="27" t="s">
        <v>26</v>
      </c>
      <c r="I2" s="27" t="s">
        <v>31</v>
      </c>
      <c r="J2" s="27" t="s">
        <v>32</v>
      </c>
      <c r="K2" s="28">
        <v>0.5</v>
      </c>
      <c r="L2" s="27" t="s">
        <v>34</v>
      </c>
      <c r="M2" s="28">
        <v>2020</v>
      </c>
      <c r="N2" s="27" t="s">
        <v>28</v>
      </c>
      <c r="O2" s="28" t="s">
        <v>28</v>
      </c>
      <c r="P2" s="27" t="s">
        <v>28</v>
      </c>
      <c r="Q2" s="27" t="s">
        <v>28</v>
      </c>
      <c r="R2" s="27">
        <v>100</v>
      </c>
      <c r="S2" s="27">
        <v>0.5</v>
      </c>
      <c r="T2" s="27">
        <v>0</v>
      </c>
      <c r="U2" s="27">
        <v>0</v>
      </c>
    </row>
    <row r="3" spans="1:21" x14ac:dyDescent="0.2">
      <c r="A3" s="27" t="s">
        <v>31</v>
      </c>
      <c r="B3" s="27" t="s">
        <v>32</v>
      </c>
      <c r="C3" s="27" t="s">
        <v>33</v>
      </c>
      <c r="D3" s="27" t="s">
        <v>213</v>
      </c>
      <c r="E3" s="27" t="s">
        <v>214</v>
      </c>
      <c r="F3" s="27" t="s">
        <v>215</v>
      </c>
      <c r="G3" s="27" t="s">
        <v>25</v>
      </c>
      <c r="H3" s="27" t="s">
        <v>26</v>
      </c>
      <c r="I3" s="27" t="s">
        <v>31</v>
      </c>
      <c r="J3" s="27" t="s">
        <v>32</v>
      </c>
      <c r="K3" s="28">
        <v>0.5</v>
      </c>
      <c r="L3" s="27" t="s">
        <v>34</v>
      </c>
      <c r="M3" s="28">
        <v>2020</v>
      </c>
      <c r="N3" s="27" t="s">
        <v>28</v>
      </c>
      <c r="O3" s="28" t="s">
        <v>28</v>
      </c>
      <c r="P3" s="27" t="s">
        <v>28</v>
      </c>
      <c r="Q3" s="27" t="s">
        <v>28</v>
      </c>
      <c r="R3" s="27">
        <v>100</v>
      </c>
      <c r="S3" s="27">
        <v>0.5</v>
      </c>
      <c r="T3" s="27">
        <v>0</v>
      </c>
      <c r="U3" s="27">
        <v>0</v>
      </c>
    </row>
    <row r="4" spans="1:21" x14ac:dyDescent="0.2">
      <c r="A4" s="27" t="s">
        <v>31</v>
      </c>
      <c r="B4" s="27" t="s">
        <v>32</v>
      </c>
      <c r="C4" s="27" t="s">
        <v>33</v>
      </c>
      <c r="D4" s="27" t="s">
        <v>241</v>
      </c>
      <c r="E4" s="27" t="s">
        <v>242</v>
      </c>
      <c r="F4" s="27" t="s">
        <v>243</v>
      </c>
      <c r="G4" s="27" t="s">
        <v>92</v>
      </c>
      <c r="H4" s="27" t="s">
        <v>26</v>
      </c>
      <c r="I4" s="27" t="s">
        <v>31</v>
      </c>
      <c r="J4" s="27" t="s">
        <v>32</v>
      </c>
      <c r="K4" s="28">
        <v>0.5</v>
      </c>
      <c r="L4" s="27" t="s">
        <v>34</v>
      </c>
      <c r="M4" s="28">
        <v>2021</v>
      </c>
      <c r="N4" s="27" t="s">
        <v>28</v>
      </c>
      <c r="O4" s="28" t="s">
        <v>28</v>
      </c>
      <c r="P4" s="27" t="s">
        <v>28</v>
      </c>
      <c r="Q4" s="27" t="s">
        <v>28</v>
      </c>
      <c r="R4" s="27">
        <v>100</v>
      </c>
      <c r="S4" s="27">
        <v>0.5</v>
      </c>
      <c r="T4" s="27">
        <v>0</v>
      </c>
      <c r="U4" s="27">
        <v>0</v>
      </c>
    </row>
    <row r="5" spans="1:21" x14ac:dyDescent="0.2">
      <c r="A5" s="27" t="s">
        <v>31</v>
      </c>
      <c r="B5" s="27" t="s">
        <v>32</v>
      </c>
      <c r="C5" s="27" t="s">
        <v>33</v>
      </c>
      <c r="D5" s="27" t="s">
        <v>241</v>
      </c>
      <c r="E5" s="27" t="s">
        <v>242</v>
      </c>
      <c r="F5" s="27" t="s">
        <v>243</v>
      </c>
      <c r="G5" s="27" t="s">
        <v>25</v>
      </c>
      <c r="H5" s="27" t="s">
        <v>26</v>
      </c>
      <c r="I5" s="27" t="s">
        <v>31</v>
      </c>
      <c r="J5" s="27" t="s">
        <v>32</v>
      </c>
      <c r="K5" s="28">
        <v>0.5</v>
      </c>
      <c r="L5" s="27" t="s">
        <v>34</v>
      </c>
      <c r="M5" s="28">
        <v>2021</v>
      </c>
      <c r="N5" s="27" t="s">
        <v>28</v>
      </c>
      <c r="O5" s="28" t="s">
        <v>28</v>
      </c>
      <c r="P5" s="27" t="s">
        <v>28</v>
      </c>
      <c r="Q5" s="27" t="s">
        <v>28</v>
      </c>
      <c r="R5" s="27">
        <v>100</v>
      </c>
      <c r="S5" s="27">
        <v>0.5</v>
      </c>
      <c r="T5" s="27">
        <v>0</v>
      </c>
      <c r="U5" s="27">
        <v>0</v>
      </c>
    </row>
    <row r="6" spans="1:21" x14ac:dyDescent="0.2">
      <c r="A6" s="27" t="s">
        <v>31</v>
      </c>
      <c r="B6" s="27" t="s">
        <v>32</v>
      </c>
      <c r="C6" s="27" t="s">
        <v>33</v>
      </c>
      <c r="D6" s="27" t="s">
        <v>244</v>
      </c>
      <c r="E6" s="27" t="s">
        <v>245</v>
      </c>
      <c r="F6" s="27" t="s">
        <v>246</v>
      </c>
      <c r="G6" s="27" t="s">
        <v>247</v>
      </c>
      <c r="H6" s="27" t="s">
        <v>26</v>
      </c>
      <c r="I6" s="27" t="s">
        <v>31</v>
      </c>
      <c r="J6" s="27" t="s">
        <v>32</v>
      </c>
      <c r="K6" s="28">
        <v>0.5</v>
      </c>
      <c r="L6" s="27" t="s">
        <v>34</v>
      </c>
      <c r="M6" s="28">
        <v>2021</v>
      </c>
      <c r="N6" s="27" t="s">
        <v>28</v>
      </c>
      <c r="O6" s="28" t="s">
        <v>28</v>
      </c>
      <c r="P6" s="27" t="s">
        <v>28</v>
      </c>
      <c r="Q6" s="27" t="s">
        <v>28</v>
      </c>
      <c r="R6" s="27">
        <v>100</v>
      </c>
      <c r="S6" s="27">
        <v>0.5</v>
      </c>
      <c r="T6" s="27">
        <v>0</v>
      </c>
      <c r="U6" s="27">
        <v>0</v>
      </c>
    </row>
    <row r="7" spans="1:21" x14ac:dyDescent="0.2">
      <c r="A7" s="27" t="s">
        <v>31</v>
      </c>
      <c r="B7" s="27" t="s">
        <v>32</v>
      </c>
      <c r="C7" s="27" t="s">
        <v>33</v>
      </c>
      <c r="D7" s="27" t="s">
        <v>248</v>
      </c>
      <c r="E7" s="27" t="s">
        <v>249</v>
      </c>
      <c r="F7" s="27" t="s">
        <v>250</v>
      </c>
      <c r="G7" s="27" t="s">
        <v>25</v>
      </c>
      <c r="H7" s="27" t="s">
        <v>26</v>
      </c>
      <c r="I7" s="27" t="s">
        <v>31</v>
      </c>
      <c r="J7" s="27" t="s">
        <v>32</v>
      </c>
      <c r="K7" s="28">
        <v>0.33333333333333331</v>
      </c>
      <c r="L7" s="27" t="s">
        <v>34</v>
      </c>
      <c r="M7" s="28">
        <v>2021</v>
      </c>
      <c r="N7" s="27" t="s">
        <v>28</v>
      </c>
      <c r="O7" s="28" t="s">
        <v>28</v>
      </c>
      <c r="P7" s="27" t="s">
        <v>28</v>
      </c>
      <c r="Q7" s="27" t="s">
        <v>28</v>
      </c>
      <c r="R7" s="27">
        <v>100</v>
      </c>
      <c r="S7" s="27">
        <v>0.33333333333333326</v>
      </c>
      <c r="T7" s="27">
        <v>0</v>
      </c>
      <c r="U7" s="27">
        <v>0</v>
      </c>
    </row>
    <row r="8" spans="1:21" x14ac:dyDescent="0.2">
      <c r="A8" s="27" t="s">
        <v>31</v>
      </c>
      <c r="B8" s="27" t="s">
        <v>322</v>
      </c>
      <c r="C8" s="27" t="s">
        <v>33</v>
      </c>
      <c r="D8" s="27" t="s">
        <v>323</v>
      </c>
      <c r="E8" s="27" t="s">
        <v>324</v>
      </c>
      <c r="F8" s="27" t="s">
        <v>325</v>
      </c>
      <c r="G8" s="27" t="s">
        <v>25</v>
      </c>
      <c r="H8" s="27" t="s">
        <v>26</v>
      </c>
      <c r="I8" s="27" t="s">
        <v>31</v>
      </c>
      <c r="J8" s="27" t="s">
        <v>322</v>
      </c>
      <c r="K8" s="28">
        <v>0.5</v>
      </c>
      <c r="L8" s="27" t="s">
        <v>34</v>
      </c>
      <c r="M8" s="28">
        <v>2021</v>
      </c>
      <c r="N8" s="27" t="s">
        <v>28</v>
      </c>
      <c r="O8" s="28" t="s">
        <v>28</v>
      </c>
      <c r="P8" s="27" t="s">
        <v>28</v>
      </c>
      <c r="Q8" s="27" t="s">
        <v>28</v>
      </c>
      <c r="R8" s="27">
        <v>100</v>
      </c>
      <c r="S8" s="27">
        <v>0.5</v>
      </c>
      <c r="T8" s="27">
        <v>0</v>
      </c>
      <c r="U8" s="27">
        <v>0</v>
      </c>
    </row>
    <row r="9" spans="1:21" x14ac:dyDescent="0.2">
      <c r="A9" s="27" t="s">
        <v>31</v>
      </c>
      <c r="B9" s="27" t="s">
        <v>322</v>
      </c>
      <c r="C9" s="27" t="s">
        <v>33</v>
      </c>
      <c r="D9" s="27" t="s">
        <v>451</v>
      </c>
      <c r="E9" s="27" t="s">
        <v>326</v>
      </c>
      <c r="F9" s="27" t="s">
        <v>327</v>
      </c>
      <c r="G9" s="27" t="s">
        <v>25</v>
      </c>
      <c r="H9" s="27" t="s">
        <v>26</v>
      </c>
      <c r="I9" s="27" t="s">
        <v>31</v>
      </c>
      <c r="J9" s="27" t="s">
        <v>322</v>
      </c>
      <c r="K9" s="28">
        <v>0.5</v>
      </c>
      <c r="L9" s="27" t="s">
        <v>34</v>
      </c>
      <c r="M9" s="28">
        <v>2022</v>
      </c>
      <c r="N9" s="27" t="s">
        <v>28</v>
      </c>
      <c r="O9" s="28" t="s">
        <v>28</v>
      </c>
      <c r="P9" s="27" t="s">
        <v>28</v>
      </c>
      <c r="Q9" s="27" t="s">
        <v>28</v>
      </c>
      <c r="R9" s="27">
        <v>100</v>
      </c>
      <c r="S9" s="27">
        <v>0.5</v>
      </c>
      <c r="T9" s="27">
        <v>0</v>
      </c>
      <c r="U9" s="27">
        <v>0</v>
      </c>
    </row>
    <row r="10" spans="1:21" x14ac:dyDescent="0.2">
      <c r="A10" s="27" t="s">
        <v>58</v>
      </c>
      <c r="B10" s="27" t="s">
        <v>59</v>
      </c>
      <c r="C10" s="27" t="s">
        <v>60</v>
      </c>
      <c r="D10" s="27" t="s">
        <v>144</v>
      </c>
      <c r="E10" s="27" t="s">
        <v>145</v>
      </c>
      <c r="F10" s="27" t="s">
        <v>146</v>
      </c>
      <c r="G10" s="27" t="s">
        <v>82</v>
      </c>
      <c r="H10" s="27" t="s">
        <v>26</v>
      </c>
      <c r="I10" s="27" t="s">
        <v>76</v>
      </c>
      <c r="J10" s="27" t="s">
        <v>77</v>
      </c>
      <c r="K10" s="28">
        <v>0.5</v>
      </c>
      <c r="L10" s="27" t="s">
        <v>78</v>
      </c>
      <c r="M10" s="28">
        <v>2019</v>
      </c>
      <c r="N10" s="27" t="s">
        <v>34</v>
      </c>
      <c r="O10" s="28" t="s">
        <v>39</v>
      </c>
      <c r="P10" s="27" t="s">
        <v>28</v>
      </c>
      <c r="Q10" s="27" t="s">
        <v>28</v>
      </c>
      <c r="R10" s="27">
        <v>50</v>
      </c>
      <c r="S10" s="27">
        <v>0.25</v>
      </c>
      <c r="T10" s="27">
        <v>0.25</v>
      </c>
      <c r="U10" s="27">
        <v>0</v>
      </c>
    </row>
    <row r="11" spans="1:21" x14ac:dyDescent="0.2">
      <c r="A11" s="27" t="s">
        <v>58</v>
      </c>
      <c r="B11" s="27" t="s">
        <v>59</v>
      </c>
      <c r="C11" s="27" t="s">
        <v>60</v>
      </c>
      <c r="D11" s="27" t="s">
        <v>144</v>
      </c>
      <c r="E11" s="27" t="s">
        <v>145</v>
      </c>
      <c r="F11" s="27" t="s">
        <v>146</v>
      </c>
      <c r="G11" s="27" t="s">
        <v>83</v>
      </c>
      <c r="H11" s="27" t="s">
        <v>26</v>
      </c>
      <c r="I11" s="27" t="s">
        <v>76</v>
      </c>
      <c r="J11" s="27" t="s">
        <v>77</v>
      </c>
      <c r="K11" s="28">
        <v>0.5</v>
      </c>
      <c r="L11" s="27" t="s">
        <v>78</v>
      </c>
      <c r="M11" s="28">
        <v>2019</v>
      </c>
      <c r="N11" s="27" t="s">
        <v>34</v>
      </c>
      <c r="O11" s="28" t="s">
        <v>39</v>
      </c>
      <c r="P11" s="27" t="s">
        <v>28</v>
      </c>
      <c r="Q11" s="27" t="s">
        <v>28</v>
      </c>
      <c r="R11" s="27">
        <v>50</v>
      </c>
      <c r="S11" s="27">
        <v>0.25</v>
      </c>
      <c r="T11" s="27">
        <v>0.25</v>
      </c>
      <c r="U11" s="27">
        <v>0</v>
      </c>
    </row>
    <row r="12" spans="1:21" x14ac:dyDescent="0.2">
      <c r="A12" s="27" t="s">
        <v>58</v>
      </c>
      <c r="B12" s="27" t="s">
        <v>59</v>
      </c>
      <c r="C12" s="27" t="s">
        <v>60</v>
      </c>
      <c r="D12" s="27" t="s">
        <v>147</v>
      </c>
      <c r="E12" s="27" t="s">
        <v>148</v>
      </c>
      <c r="F12" s="27" t="s">
        <v>149</v>
      </c>
      <c r="G12" s="27" t="s">
        <v>81</v>
      </c>
      <c r="H12" s="27" t="s">
        <v>26</v>
      </c>
      <c r="I12" s="27" t="s">
        <v>76</v>
      </c>
      <c r="J12" s="27" t="s">
        <v>77</v>
      </c>
      <c r="K12" s="28">
        <v>0.5</v>
      </c>
      <c r="L12" s="27" t="s">
        <v>78</v>
      </c>
      <c r="M12" s="28">
        <v>2019</v>
      </c>
      <c r="N12" s="27" t="s">
        <v>34</v>
      </c>
      <c r="O12" s="28" t="s">
        <v>39</v>
      </c>
      <c r="P12" s="27" t="s">
        <v>28</v>
      </c>
      <c r="Q12" s="27" t="s">
        <v>28</v>
      </c>
      <c r="R12" s="27">
        <v>50</v>
      </c>
      <c r="S12" s="27">
        <v>0.25</v>
      </c>
      <c r="T12" s="27">
        <v>0.25</v>
      </c>
      <c r="U12" s="27">
        <v>0</v>
      </c>
    </row>
    <row r="13" spans="1:21" x14ac:dyDescent="0.2">
      <c r="A13" s="27" t="s">
        <v>58</v>
      </c>
      <c r="B13" s="27" t="s">
        <v>59</v>
      </c>
      <c r="C13" s="27" t="s">
        <v>60</v>
      </c>
      <c r="D13" s="27" t="s">
        <v>147</v>
      </c>
      <c r="E13" s="27" t="s">
        <v>148</v>
      </c>
      <c r="F13" s="27" t="s">
        <v>149</v>
      </c>
      <c r="G13" s="27" t="s">
        <v>83</v>
      </c>
      <c r="H13" s="27" t="s">
        <v>26</v>
      </c>
      <c r="I13" s="27" t="s">
        <v>76</v>
      </c>
      <c r="J13" s="27" t="s">
        <v>77</v>
      </c>
      <c r="K13" s="28">
        <v>0.5</v>
      </c>
      <c r="L13" s="27" t="s">
        <v>78</v>
      </c>
      <c r="M13" s="28">
        <v>2019</v>
      </c>
      <c r="N13" s="27" t="s">
        <v>34</v>
      </c>
      <c r="O13" s="28" t="s">
        <v>39</v>
      </c>
      <c r="P13" s="27" t="s">
        <v>28</v>
      </c>
      <c r="Q13" s="27" t="s">
        <v>28</v>
      </c>
      <c r="R13" s="27">
        <v>50</v>
      </c>
      <c r="S13" s="27">
        <v>0.25</v>
      </c>
      <c r="T13" s="27">
        <v>0.25</v>
      </c>
      <c r="U13" s="27">
        <v>0</v>
      </c>
    </row>
    <row r="14" spans="1:21" x14ac:dyDescent="0.2">
      <c r="A14" s="27" t="s">
        <v>58</v>
      </c>
      <c r="B14" s="27" t="s">
        <v>59</v>
      </c>
      <c r="C14" s="27" t="s">
        <v>60</v>
      </c>
      <c r="D14" s="27" t="s">
        <v>153</v>
      </c>
      <c r="E14" s="27" t="s">
        <v>154</v>
      </c>
      <c r="F14" s="27" t="s">
        <v>155</v>
      </c>
      <c r="G14" s="27" t="s">
        <v>80</v>
      </c>
      <c r="H14" s="27" t="s">
        <v>26</v>
      </c>
      <c r="I14" s="27" t="s">
        <v>76</v>
      </c>
      <c r="J14" s="27" t="s">
        <v>77</v>
      </c>
      <c r="K14" s="28">
        <v>0.5</v>
      </c>
      <c r="L14" s="27" t="s">
        <v>78</v>
      </c>
      <c r="M14" s="28">
        <v>2019</v>
      </c>
      <c r="N14" s="27" t="s">
        <v>34</v>
      </c>
      <c r="O14" s="28" t="s">
        <v>47</v>
      </c>
      <c r="P14" s="27" t="s">
        <v>28</v>
      </c>
      <c r="Q14" s="27" t="s">
        <v>28</v>
      </c>
      <c r="R14" s="27">
        <v>90</v>
      </c>
      <c r="S14" s="27">
        <v>0.45</v>
      </c>
      <c r="T14" s="27">
        <v>0.05</v>
      </c>
      <c r="U14" s="27">
        <v>0</v>
      </c>
    </row>
    <row r="15" spans="1:21" x14ac:dyDescent="0.2">
      <c r="A15" s="27" t="s">
        <v>58</v>
      </c>
      <c r="B15" s="27" t="s">
        <v>59</v>
      </c>
      <c r="C15" s="27" t="s">
        <v>60</v>
      </c>
      <c r="D15" s="27" t="s">
        <v>150</v>
      </c>
      <c r="E15" s="27" t="s">
        <v>151</v>
      </c>
      <c r="F15" s="27" t="s">
        <v>152</v>
      </c>
      <c r="G15" s="27" t="s">
        <v>80</v>
      </c>
      <c r="H15" s="27" t="s">
        <v>26</v>
      </c>
      <c r="I15" s="27" t="s">
        <v>76</v>
      </c>
      <c r="J15" s="27" t="s">
        <v>77</v>
      </c>
      <c r="K15" s="28">
        <v>0.5</v>
      </c>
      <c r="L15" s="27" t="s">
        <v>78</v>
      </c>
      <c r="M15" s="28">
        <v>2019</v>
      </c>
      <c r="N15" s="27" t="s">
        <v>34</v>
      </c>
      <c r="O15" s="28" t="s">
        <v>47</v>
      </c>
      <c r="P15" s="27" t="s">
        <v>28</v>
      </c>
      <c r="Q15" s="27" t="s">
        <v>28</v>
      </c>
      <c r="R15" s="27">
        <v>90</v>
      </c>
      <c r="S15" s="27">
        <v>0.45</v>
      </c>
      <c r="T15" s="27">
        <v>0.05</v>
      </c>
      <c r="U15" s="27">
        <v>0</v>
      </c>
    </row>
    <row r="16" spans="1:21" x14ac:dyDescent="0.2">
      <c r="A16" s="27" t="s">
        <v>58</v>
      </c>
      <c r="B16" s="27" t="s">
        <v>59</v>
      </c>
      <c r="C16" s="27" t="s">
        <v>60</v>
      </c>
      <c r="D16" s="27" t="s">
        <v>175</v>
      </c>
      <c r="E16" s="27" t="s">
        <v>176</v>
      </c>
      <c r="F16" s="27" t="s">
        <v>177</v>
      </c>
      <c r="G16" s="27" t="s">
        <v>80</v>
      </c>
      <c r="H16" s="27" t="s">
        <v>26</v>
      </c>
      <c r="I16" s="27" t="s">
        <v>76</v>
      </c>
      <c r="J16" s="27" t="s">
        <v>77</v>
      </c>
      <c r="K16" s="28">
        <v>0.5</v>
      </c>
      <c r="L16" s="27" t="s">
        <v>78</v>
      </c>
      <c r="M16" s="28">
        <v>2019</v>
      </c>
      <c r="N16" s="27" t="s">
        <v>34</v>
      </c>
      <c r="O16" s="28">
        <v>10</v>
      </c>
      <c r="P16" s="27" t="s">
        <v>28</v>
      </c>
      <c r="Q16" s="27">
        <v>0</v>
      </c>
      <c r="R16" s="27">
        <v>90</v>
      </c>
      <c r="S16" s="27">
        <v>0.45</v>
      </c>
      <c r="T16" s="27">
        <v>0.05</v>
      </c>
      <c r="U16" s="27">
        <v>0</v>
      </c>
    </row>
    <row r="17" spans="1:21" x14ac:dyDescent="0.2">
      <c r="A17" s="27" t="s">
        <v>58</v>
      </c>
      <c r="B17" s="27" t="s">
        <v>59</v>
      </c>
      <c r="C17" s="27" t="s">
        <v>60</v>
      </c>
      <c r="D17" s="27" t="s">
        <v>216</v>
      </c>
      <c r="E17" s="27" t="s">
        <v>217</v>
      </c>
      <c r="F17" s="27" t="s">
        <v>218</v>
      </c>
      <c r="G17" s="27" t="s">
        <v>93</v>
      </c>
      <c r="H17" s="27" t="s">
        <v>26</v>
      </c>
      <c r="I17" s="27" t="s">
        <v>55</v>
      </c>
      <c r="J17" s="27" t="s">
        <v>56</v>
      </c>
      <c r="K17" s="28">
        <v>0.5</v>
      </c>
      <c r="L17" s="27" t="s">
        <v>57</v>
      </c>
      <c r="M17" s="28">
        <v>2019</v>
      </c>
      <c r="N17" s="27" t="s">
        <v>34</v>
      </c>
      <c r="O17" s="28">
        <v>10</v>
      </c>
      <c r="P17" s="27" t="s">
        <v>27</v>
      </c>
      <c r="Q17" s="27">
        <v>50</v>
      </c>
      <c r="R17" s="27">
        <v>40</v>
      </c>
      <c r="S17" s="27">
        <v>0.2</v>
      </c>
      <c r="T17" s="27">
        <v>0.05</v>
      </c>
      <c r="U17" s="27">
        <v>0.25</v>
      </c>
    </row>
    <row r="18" spans="1:21" x14ac:dyDescent="0.2">
      <c r="A18" s="27" t="s">
        <v>178</v>
      </c>
      <c r="B18" s="27" t="s">
        <v>179</v>
      </c>
      <c r="C18" s="27" t="s">
        <v>60</v>
      </c>
      <c r="D18" s="27" t="s">
        <v>180</v>
      </c>
      <c r="E18" s="27" t="s">
        <v>181</v>
      </c>
      <c r="F18" s="27" t="s">
        <v>182</v>
      </c>
      <c r="G18" s="27" t="s">
        <v>183</v>
      </c>
      <c r="H18" s="27" t="s">
        <v>30</v>
      </c>
      <c r="I18" s="27" t="s">
        <v>76</v>
      </c>
      <c r="J18" s="27" t="s">
        <v>77</v>
      </c>
      <c r="K18" s="28">
        <v>1</v>
      </c>
      <c r="L18" s="27" t="s">
        <v>78</v>
      </c>
      <c r="M18" s="28">
        <v>2019</v>
      </c>
      <c r="N18" s="27" t="s">
        <v>34</v>
      </c>
      <c r="O18" s="28">
        <v>10</v>
      </c>
      <c r="P18" s="27" t="s">
        <v>28</v>
      </c>
      <c r="Q18" s="27">
        <v>0</v>
      </c>
      <c r="R18" s="27">
        <v>90</v>
      </c>
      <c r="S18" s="27">
        <v>0.9</v>
      </c>
      <c r="T18" s="27">
        <v>0.1</v>
      </c>
      <c r="U18" s="27">
        <v>0</v>
      </c>
    </row>
    <row r="19" spans="1:21" x14ac:dyDescent="0.2">
      <c r="A19" s="27" t="s">
        <v>44</v>
      </c>
      <c r="B19" s="27" t="s">
        <v>45</v>
      </c>
      <c r="C19" s="27" t="s">
        <v>156</v>
      </c>
      <c r="D19" s="27" t="s">
        <v>184</v>
      </c>
      <c r="E19" s="27" t="s">
        <v>185</v>
      </c>
      <c r="F19" s="27" t="s">
        <v>186</v>
      </c>
      <c r="G19" s="27" t="s">
        <v>187</v>
      </c>
      <c r="H19" s="27" t="s">
        <v>26</v>
      </c>
      <c r="I19" s="27" t="s">
        <v>46</v>
      </c>
      <c r="J19" s="27" t="s">
        <v>45</v>
      </c>
      <c r="K19" s="28">
        <v>0.5</v>
      </c>
      <c r="L19" s="27" t="s">
        <v>46</v>
      </c>
      <c r="M19" s="28">
        <v>2020</v>
      </c>
      <c r="N19" s="27" t="s">
        <v>34</v>
      </c>
      <c r="O19" s="28">
        <v>10</v>
      </c>
      <c r="P19" s="27" t="s">
        <v>52</v>
      </c>
      <c r="Q19" s="27">
        <v>50</v>
      </c>
      <c r="R19" s="27">
        <v>40</v>
      </c>
      <c r="S19" s="27">
        <v>0.2</v>
      </c>
      <c r="T19" s="27">
        <v>0.05</v>
      </c>
      <c r="U19" s="27">
        <v>0.25</v>
      </c>
    </row>
    <row r="20" spans="1:21" x14ac:dyDescent="0.2">
      <c r="A20" s="27" t="s">
        <v>66</v>
      </c>
      <c r="B20" s="27" t="s">
        <v>67</v>
      </c>
      <c r="C20" s="27" t="s">
        <v>68</v>
      </c>
      <c r="D20" s="27" t="s">
        <v>188</v>
      </c>
      <c r="E20" s="27" t="s">
        <v>189</v>
      </c>
      <c r="F20" s="27" t="s">
        <v>190</v>
      </c>
      <c r="G20" s="27" t="s">
        <v>191</v>
      </c>
      <c r="H20" s="27" t="s">
        <v>30</v>
      </c>
      <c r="I20" s="27" t="s">
        <v>70</v>
      </c>
      <c r="J20" s="27" t="s">
        <v>71</v>
      </c>
      <c r="K20" s="28">
        <v>1</v>
      </c>
      <c r="L20" s="27" t="s">
        <v>72</v>
      </c>
      <c r="M20" s="28">
        <v>2020</v>
      </c>
      <c r="N20" s="27" t="s">
        <v>34</v>
      </c>
      <c r="O20" s="28">
        <v>10</v>
      </c>
      <c r="P20" s="27" t="s">
        <v>35</v>
      </c>
      <c r="Q20" s="27">
        <v>50</v>
      </c>
      <c r="R20" s="27">
        <v>40</v>
      </c>
      <c r="S20" s="27">
        <v>0.4</v>
      </c>
      <c r="T20" s="27">
        <v>0.1</v>
      </c>
      <c r="U20" s="27">
        <v>0.5</v>
      </c>
    </row>
    <row r="21" spans="1:21" x14ac:dyDescent="0.2">
      <c r="A21" s="27" t="s">
        <v>40</v>
      </c>
      <c r="B21" s="27" t="s">
        <v>41</v>
      </c>
      <c r="C21" s="27" t="s">
        <v>42</v>
      </c>
      <c r="D21" s="27" t="s">
        <v>192</v>
      </c>
      <c r="E21" s="27" t="s">
        <v>193</v>
      </c>
      <c r="F21" s="27" t="s">
        <v>194</v>
      </c>
      <c r="G21" s="27" t="s">
        <v>195</v>
      </c>
      <c r="H21" s="27" t="s">
        <v>26</v>
      </c>
      <c r="I21" s="27" t="s">
        <v>88</v>
      </c>
      <c r="J21" s="27" t="s">
        <v>89</v>
      </c>
      <c r="K21" s="28">
        <v>0.5</v>
      </c>
      <c r="L21" s="27" t="s">
        <v>90</v>
      </c>
      <c r="M21" s="28">
        <v>2020</v>
      </c>
      <c r="N21" s="27" t="s">
        <v>34</v>
      </c>
      <c r="O21" s="28">
        <v>25</v>
      </c>
      <c r="P21" s="27" t="s">
        <v>28</v>
      </c>
      <c r="Q21" s="27">
        <v>0</v>
      </c>
      <c r="R21" s="27">
        <v>75</v>
      </c>
      <c r="S21" s="27">
        <v>0.375</v>
      </c>
      <c r="T21" s="27">
        <v>0.125</v>
      </c>
      <c r="U21" s="27">
        <v>0</v>
      </c>
    </row>
    <row r="22" spans="1:21" x14ac:dyDescent="0.2">
      <c r="A22" s="27" t="s">
        <v>40</v>
      </c>
      <c r="B22" s="27" t="s">
        <v>41</v>
      </c>
      <c r="C22" s="27" t="s">
        <v>42</v>
      </c>
      <c r="D22" s="27" t="s">
        <v>192</v>
      </c>
      <c r="E22" s="27" t="s">
        <v>193</v>
      </c>
      <c r="F22" s="27" t="s">
        <v>194</v>
      </c>
      <c r="G22" s="27" t="s">
        <v>91</v>
      </c>
      <c r="H22" s="27" t="s">
        <v>26</v>
      </c>
      <c r="I22" s="27" t="s">
        <v>88</v>
      </c>
      <c r="J22" s="27" t="s">
        <v>89</v>
      </c>
      <c r="K22" s="28">
        <v>0.5</v>
      </c>
      <c r="L22" s="27" t="s">
        <v>90</v>
      </c>
      <c r="M22" s="28">
        <v>2020</v>
      </c>
      <c r="N22" s="27" t="s">
        <v>34</v>
      </c>
      <c r="O22" s="28">
        <v>10</v>
      </c>
      <c r="P22" s="27" t="s">
        <v>28</v>
      </c>
      <c r="Q22" s="27">
        <v>0</v>
      </c>
      <c r="R22" s="27">
        <v>90</v>
      </c>
      <c r="S22" s="27">
        <v>0.45</v>
      </c>
      <c r="T22" s="27">
        <v>0.05</v>
      </c>
      <c r="U22" s="27">
        <v>0</v>
      </c>
    </row>
    <row r="23" spans="1:21" x14ac:dyDescent="0.2">
      <c r="A23" s="27" t="s">
        <v>40</v>
      </c>
      <c r="B23" s="27" t="s">
        <v>41</v>
      </c>
      <c r="C23" s="27" t="s">
        <v>42</v>
      </c>
      <c r="D23" s="27" t="s">
        <v>196</v>
      </c>
      <c r="E23" s="27" t="s">
        <v>197</v>
      </c>
      <c r="F23" s="27" t="s">
        <v>198</v>
      </c>
      <c r="G23" s="27" t="s">
        <v>91</v>
      </c>
      <c r="H23" s="27" t="s">
        <v>30</v>
      </c>
      <c r="I23" s="27" t="s">
        <v>88</v>
      </c>
      <c r="J23" s="27" t="s">
        <v>89</v>
      </c>
      <c r="K23" s="28">
        <v>1</v>
      </c>
      <c r="L23" s="27" t="s">
        <v>90</v>
      </c>
      <c r="M23" s="28">
        <v>2020</v>
      </c>
      <c r="N23" s="27" t="s">
        <v>34</v>
      </c>
      <c r="O23" s="28">
        <v>10</v>
      </c>
      <c r="P23" s="27" t="s">
        <v>28</v>
      </c>
      <c r="Q23" s="27">
        <v>0</v>
      </c>
      <c r="R23" s="27">
        <v>90</v>
      </c>
      <c r="S23" s="27">
        <v>0.9</v>
      </c>
      <c r="T23" s="27">
        <v>0.1</v>
      </c>
      <c r="U23" s="27">
        <v>0</v>
      </c>
    </row>
    <row r="24" spans="1:21" x14ac:dyDescent="0.2">
      <c r="A24" s="27" t="s">
        <v>58</v>
      </c>
      <c r="B24" s="27" t="s">
        <v>59</v>
      </c>
      <c r="C24" s="27" t="s">
        <v>60</v>
      </c>
      <c r="D24" s="27" t="s">
        <v>251</v>
      </c>
      <c r="E24" s="27" t="s">
        <v>199</v>
      </c>
      <c r="F24" s="27" t="s">
        <v>200</v>
      </c>
      <c r="G24" s="27" t="s">
        <v>201</v>
      </c>
      <c r="H24" s="27" t="s">
        <v>26</v>
      </c>
      <c r="I24" s="27" t="s">
        <v>76</v>
      </c>
      <c r="J24" s="27" t="s">
        <v>77</v>
      </c>
      <c r="K24" s="28">
        <v>0.5</v>
      </c>
      <c r="L24" s="27" t="s">
        <v>78</v>
      </c>
      <c r="M24" s="28">
        <v>2020</v>
      </c>
      <c r="N24" s="27" t="s">
        <v>34</v>
      </c>
      <c r="O24" s="28">
        <v>10</v>
      </c>
      <c r="P24" s="27" t="s">
        <v>28</v>
      </c>
      <c r="Q24" s="27">
        <v>0</v>
      </c>
      <c r="R24" s="27">
        <v>90</v>
      </c>
      <c r="S24" s="27">
        <v>0.45</v>
      </c>
      <c r="T24" s="27">
        <v>0.05</v>
      </c>
      <c r="U24" s="27">
        <v>0</v>
      </c>
    </row>
    <row r="25" spans="1:21" x14ac:dyDescent="0.2">
      <c r="A25" s="27" t="s">
        <v>58</v>
      </c>
      <c r="B25" s="27" t="s">
        <v>59</v>
      </c>
      <c r="C25" s="27" t="s">
        <v>60</v>
      </c>
      <c r="D25" s="27" t="s">
        <v>251</v>
      </c>
      <c r="E25" s="27" t="s">
        <v>199</v>
      </c>
      <c r="F25" s="27" t="s">
        <v>200</v>
      </c>
      <c r="G25" s="27" t="s">
        <v>80</v>
      </c>
      <c r="H25" s="27" t="s">
        <v>26</v>
      </c>
      <c r="I25" s="27" t="s">
        <v>76</v>
      </c>
      <c r="J25" s="27" t="s">
        <v>77</v>
      </c>
      <c r="K25" s="28">
        <v>0.5</v>
      </c>
      <c r="L25" s="27" t="s">
        <v>78</v>
      </c>
      <c r="M25" s="28">
        <v>2020</v>
      </c>
      <c r="N25" s="27" t="s">
        <v>34</v>
      </c>
      <c r="O25" s="28">
        <v>10</v>
      </c>
      <c r="P25" s="27" t="s">
        <v>28</v>
      </c>
      <c r="Q25" s="27">
        <v>0</v>
      </c>
      <c r="R25" s="27">
        <v>90</v>
      </c>
      <c r="S25" s="27">
        <v>0.45</v>
      </c>
      <c r="T25" s="27">
        <v>0.05</v>
      </c>
      <c r="U25" s="27">
        <v>0</v>
      </c>
    </row>
    <row r="26" spans="1:21" x14ac:dyDescent="0.2">
      <c r="A26" s="27" t="s">
        <v>58</v>
      </c>
      <c r="B26" s="27" t="s">
        <v>59</v>
      </c>
      <c r="C26" s="27" t="s">
        <v>60</v>
      </c>
      <c r="D26" s="27" t="s">
        <v>202</v>
      </c>
      <c r="E26" s="27" t="s">
        <v>203</v>
      </c>
      <c r="F26" s="27" t="s">
        <v>204</v>
      </c>
      <c r="G26" s="27" t="s">
        <v>205</v>
      </c>
      <c r="H26" s="27" t="s">
        <v>26</v>
      </c>
      <c r="I26" s="27" t="s">
        <v>76</v>
      </c>
      <c r="J26" s="27" t="s">
        <v>77</v>
      </c>
      <c r="K26" s="28">
        <v>0.5</v>
      </c>
      <c r="L26" s="27" t="s">
        <v>78</v>
      </c>
      <c r="M26" s="28">
        <v>2020</v>
      </c>
      <c r="N26" s="27" t="s">
        <v>34</v>
      </c>
      <c r="O26" s="28">
        <v>10</v>
      </c>
      <c r="P26" s="27" t="s">
        <v>28</v>
      </c>
      <c r="Q26" s="27">
        <v>0</v>
      </c>
      <c r="R26" s="27">
        <v>90</v>
      </c>
      <c r="S26" s="27">
        <v>0.45</v>
      </c>
      <c r="T26" s="27">
        <v>0.05</v>
      </c>
      <c r="U26" s="27">
        <v>0</v>
      </c>
    </row>
    <row r="27" spans="1:21" x14ac:dyDescent="0.2">
      <c r="A27" s="27" t="s">
        <v>58</v>
      </c>
      <c r="B27" s="27" t="s">
        <v>59</v>
      </c>
      <c r="C27" s="27" t="s">
        <v>60</v>
      </c>
      <c r="D27" s="27" t="s">
        <v>202</v>
      </c>
      <c r="E27" s="27" t="s">
        <v>203</v>
      </c>
      <c r="F27" s="27" t="s">
        <v>204</v>
      </c>
      <c r="G27" s="27" t="s">
        <v>80</v>
      </c>
      <c r="H27" s="27" t="s">
        <v>26</v>
      </c>
      <c r="I27" s="27" t="s">
        <v>76</v>
      </c>
      <c r="J27" s="27" t="s">
        <v>77</v>
      </c>
      <c r="K27" s="28">
        <v>0.5</v>
      </c>
      <c r="L27" s="27" t="s">
        <v>78</v>
      </c>
      <c r="M27" s="28">
        <v>2020</v>
      </c>
      <c r="N27" s="27" t="s">
        <v>34</v>
      </c>
      <c r="O27" s="28">
        <v>10</v>
      </c>
      <c r="P27" s="27" t="s">
        <v>28</v>
      </c>
      <c r="Q27" s="27">
        <v>0</v>
      </c>
      <c r="R27" s="27">
        <v>90</v>
      </c>
      <c r="S27" s="27">
        <v>0.45</v>
      </c>
      <c r="T27" s="27">
        <v>0.05</v>
      </c>
      <c r="U27" s="27">
        <v>0</v>
      </c>
    </row>
    <row r="28" spans="1:21" x14ac:dyDescent="0.2">
      <c r="A28" s="27" t="s">
        <v>58</v>
      </c>
      <c r="B28" s="27" t="s">
        <v>59</v>
      </c>
      <c r="C28" s="27" t="s">
        <v>60</v>
      </c>
      <c r="D28" s="27" t="s">
        <v>206</v>
      </c>
      <c r="E28" s="27" t="s">
        <v>207</v>
      </c>
      <c r="F28" s="27" t="s">
        <v>208</v>
      </c>
      <c r="G28" s="27" t="s">
        <v>209</v>
      </c>
      <c r="H28" s="27" t="s">
        <v>30</v>
      </c>
      <c r="I28" s="27" t="s">
        <v>76</v>
      </c>
      <c r="J28" s="27" t="s">
        <v>77</v>
      </c>
      <c r="K28" s="28">
        <v>1</v>
      </c>
      <c r="L28" s="27" t="s">
        <v>78</v>
      </c>
      <c r="M28" s="28">
        <v>2020</v>
      </c>
      <c r="N28" s="27" t="s">
        <v>34</v>
      </c>
      <c r="O28" s="28">
        <v>10</v>
      </c>
      <c r="P28" s="27" t="s">
        <v>28</v>
      </c>
      <c r="Q28" s="27">
        <v>0</v>
      </c>
      <c r="R28" s="27">
        <v>90</v>
      </c>
      <c r="S28" s="27">
        <v>0.9</v>
      </c>
      <c r="T28" s="27">
        <v>0.1</v>
      </c>
      <c r="U28" s="27">
        <v>0</v>
      </c>
    </row>
    <row r="29" spans="1:21" x14ac:dyDescent="0.2">
      <c r="A29" s="27" t="s">
        <v>31</v>
      </c>
      <c r="B29" s="27" t="s">
        <v>32</v>
      </c>
      <c r="C29" s="27" t="s">
        <v>33</v>
      </c>
      <c r="D29" s="27" t="s">
        <v>210</v>
      </c>
      <c r="E29" s="27" t="s">
        <v>211</v>
      </c>
      <c r="F29" s="27" t="s">
        <v>212</v>
      </c>
      <c r="G29" s="27" t="s">
        <v>94</v>
      </c>
      <c r="H29" s="27" t="s">
        <v>26</v>
      </c>
      <c r="I29" s="27" t="s">
        <v>55</v>
      </c>
      <c r="J29" s="27" t="s">
        <v>56</v>
      </c>
      <c r="K29" s="28">
        <v>0.5</v>
      </c>
      <c r="L29" s="27" t="s">
        <v>57</v>
      </c>
      <c r="M29" s="28">
        <v>2020</v>
      </c>
      <c r="N29" s="27" t="s">
        <v>34</v>
      </c>
      <c r="O29" s="28">
        <v>50</v>
      </c>
      <c r="P29" s="27" t="s">
        <v>28</v>
      </c>
      <c r="Q29" s="27">
        <v>0</v>
      </c>
      <c r="R29" s="27">
        <v>50</v>
      </c>
      <c r="S29" s="27">
        <v>0.25</v>
      </c>
      <c r="T29" s="27">
        <v>0.25</v>
      </c>
      <c r="U29" s="27">
        <v>0</v>
      </c>
    </row>
    <row r="30" spans="1:21" x14ac:dyDescent="0.2">
      <c r="A30" s="27" t="s">
        <v>31</v>
      </c>
      <c r="B30" s="27" t="s">
        <v>32</v>
      </c>
      <c r="C30" s="27" t="s">
        <v>33</v>
      </c>
      <c r="D30" s="27" t="s">
        <v>210</v>
      </c>
      <c r="E30" s="27" t="s">
        <v>211</v>
      </c>
      <c r="F30" s="27" t="s">
        <v>212</v>
      </c>
      <c r="G30" s="27" t="s">
        <v>183</v>
      </c>
      <c r="H30" s="27" t="s">
        <v>26</v>
      </c>
      <c r="I30" s="27" t="s">
        <v>76</v>
      </c>
      <c r="J30" s="27" t="s">
        <v>77</v>
      </c>
      <c r="K30" s="28">
        <v>0.5</v>
      </c>
      <c r="L30" s="27" t="s">
        <v>78</v>
      </c>
      <c r="M30" s="28">
        <v>2020</v>
      </c>
      <c r="N30" s="27" t="s">
        <v>34</v>
      </c>
      <c r="O30" s="28">
        <v>10</v>
      </c>
      <c r="P30" s="27" t="s">
        <v>28</v>
      </c>
      <c r="Q30" s="27">
        <v>0</v>
      </c>
      <c r="R30" s="27">
        <v>90</v>
      </c>
      <c r="S30" s="27">
        <v>0.45</v>
      </c>
      <c r="T30" s="27">
        <v>0.05</v>
      </c>
      <c r="U30" s="27">
        <v>0</v>
      </c>
    </row>
    <row r="31" spans="1:21" x14ac:dyDescent="0.2">
      <c r="A31" s="27" t="s">
        <v>31</v>
      </c>
      <c r="B31" s="27" t="s">
        <v>32</v>
      </c>
      <c r="C31" s="27" t="s">
        <v>33</v>
      </c>
      <c r="D31" s="27" t="s">
        <v>213</v>
      </c>
      <c r="E31" s="27" t="s">
        <v>214</v>
      </c>
      <c r="F31" s="27" t="s">
        <v>215</v>
      </c>
      <c r="G31" s="27" t="s">
        <v>87</v>
      </c>
      <c r="H31" s="27" t="s">
        <v>26</v>
      </c>
      <c r="I31" s="27" t="s">
        <v>63</v>
      </c>
      <c r="J31" s="27" t="s">
        <v>64</v>
      </c>
      <c r="K31" s="28">
        <v>0.5</v>
      </c>
      <c r="L31" s="27" t="s">
        <v>65</v>
      </c>
      <c r="M31" s="28">
        <v>2020</v>
      </c>
      <c r="N31" s="27" t="s">
        <v>34</v>
      </c>
      <c r="O31" s="28">
        <v>50</v>
      </c>
      <c r="P31" s="27" t="s">
        <v>28</v>
      </c>
      <c r="Q31" s="27">
        <v>0</v>
      </c>
      <c r="R31" s="27">
        <v>50</v>
      </c>
      <c r="S31" s="27">
        <v>0.25</v>
      </c>
      <c r="T31" s="27">
        <v>0.25</v>
      </c>
      <c r="U31" s="27">
        <v>0</v>
      </c>
    </row>
    <row r="32" spans="1:21" x14ac:dyDescent="0.2">
      <c r="A32" s="27" t="s">
        <v>36</v>
      </c>
      <c r="B32" s="27" t="s">
        <v>37</v>
      </c>
      <c r="C32" s="27" t="s">
        <v>38</v>
      </c>
      <c r="D32" s="27" t="s">
        <v>252</v>
      </c>
      <c r="E32" s="27" t="s">
        <v>253</v>
      </c>
      <c r="F32" s="27" t="s">
        <v>254</v>
      </c>
      <c r="G32" s="27" t="s">
        <v>85</v>
      </c>
      <c r="H32" s="27" t="s">
        <v>26</v>
      </c>
      <c r="I32" s="27" t="s">
        <v>36</v>
      </c>
      <c r="J32" s="27" t="s">
        <v>37</v>
      </c>
      <c r="K32" s="28">
        <v>0.5</v>
      </c>
      <c r="L32" s="27" t="s">
        <v>86</v>
      </c>
      <c r="M32" s="28">
        <v>2021</v>
      </c>
      <c r="N32" s="27" t="s">
        <v>34</v>
      </c>
      <c r="O32" s="28">
        <v>20</v>
      </c>
      <c r="P32" s="27" t="s">
        <v>28</v>
      </c>
      <c r="Q32" s="27">
        <v>0</v>
      </c>
      <c r="R32" s="27">
        <v>80</v>
      </c>
      <c r="S32" s="27">
        <v>0.4</v>
      </c>
      <c r="T32" s="27">
        <v>0.1</v>
      </c>
      <c r="U32" s="27">
        <v>0</v>
      </c>
    </row>
    <row r="33" spans="1:21" x14ac:dyDescent="0.2">
      <c r="A33" s="27" t="s">
        <v>255</v>
      </c>
      <c r="B33" s="27" t="s">
        <v>256</v>
      </c>
      <c r="C33" s="27" t="s">
        <v>156</v>
      </c>
      <c r="D33" s="27" t="s">
        <v>257</v>
      </c>
      <c r="E33" s="27" t="s">
        <v>258</v>
      </c>
      <c r="F33" s="27" t="s">
        <v>259</v>
      </c>
      <c r="G33" s="27" t="s">
        <v>187</v>
      </c>
      <c r="H33" s="27" t="s">
        <v>26</v>
      </c>
      <c r="I33" s="27" t="s">
        <v>46</v>
      </c>
      <c r="J33" s="27" t="s">
        <v>45</v>
      </c>
      <c r="K33" s="28">
        <v>0.5</v>
      </c>
      <c r="L33" s="27" t="s">
        <v>46</v>
      </c>
      <c r="M33" s="28">
        <v>2021</v>
      </c>
      <c r="N33" s="27" t="s">
        <v>34</v>
      </c>
      <c r="O33" s="28">
        <v>10</v>
      </c>
      <c r="P33" s="27" t="s">
        <v>52</v>
      </c>
      <c r="Q33" s="27">
        <v>50</v>
      </c>
      <c r="R33" s="27">
        <v>40</v>
      </c>
      <c r="S33" s="27">
        <v>0.2</v>
      </c>
      <c r="T33" s="27">
        <v>0.05</v>
      </c>
      <c r="U33" s="27">
        <v>0.25</v>
      </c>
    </row>
    <row r="34" spans="1:21" x14ac:dyDescent="0.2">
      <c r="A34" s="27" t="s">
        <v>40</v>
      </c>
      <c r="B34" s="27" t="s">
        <v>41</v>
      </c>
      <c r="C34" s="27" t="s">
        <v>42</v>
      </c>
      <c r="D34" s="27" t="s">
        <v>260</v>
      </c>
      <c r="E34" s="27" t="s">
        <v>261</v>
      </c>
      <c r="F34" s="27" t="s">
        <v>262</v>
      </c>
      <c r="G34" s="27" t="s">
        <v>91</v>
      </c>
      <c r="H34" s="27" t="s">
        <v>30</v>
      </c>
      <c r="I34" s="27" t="s">
        <v>88</v>
      </c>
      <c r="J34" s="27" t="s">
        <v>89</v>
      </c>
      <c r="K34" s="28">
        <v>1</v>
      </c>
      <c r="L34" s="27" t="s">
        <v>90</v>
      </c>
      <c r="M34" s="28">
        <v>2021</v>
      </c>
      <c r="N34" s="27" t="s">
        <v>34</v>
      </c>
      <c r="O34" s="28">
        <v>10</v>
      </c>
      <c r="P34" s="27" t="s">
        <v>28</v>
      </c>
      <c r="Q34" s="27">
        <v>0</v>
      </c>
      <c r="R34" s="27">
        <v>90</v>
      </c>
      <c r="S34" s="27">
        <v>0.9</v>
      </c>
      <c r="T34" s="27">
        <v>0.1</v>
      </c>
      <c r="U34" s="27">
        <v>0</v>
      </c>
    </row>
    <row r="35" spans="1:21" x14ac:dyDescent="0.2">
      <c r="A35" s="27" t="s">
        <v>58</v>
      </c>
      <c r="B35" s="27" t="s">
        <v>59</v>
      </c>
      <c r="C35" s="27" t="s">
        <v>60</v>
      </c>
      <c r="D35" s="27" t="s">
        <v>302</v>
      </c>
      <c r="E35" s="27" t="s">
        <v>303</v>
      </c>
      <c r="F35" s="27" t="s">
        <v>304</v>
      </c>
      <c r="G35" s="27" t="s">
        <v>93</v>
      </c>
      <c r="H35" s="27" t="s">
        <v>26</v>
      </c>
      <c r="I35" s="27" t="s">
        <v>55</v>
      </c>
      <c r="J35" s="27" t="s">
        <v>56</v>
      </c>
      <c r="K35" s="28">
        <v>0.5</v>
      </c>
      <c r="L35" s="27" t="s">
        <v>57</v>
      </c>
      <c r="M35" s="28">
        <v>2021</v>
      </c>
      <c r="N35" s="27" t="s">
        <v>34</v>
      </c>
      <c r="O35" s="28">
        <v>10</v>
      </c>
      <c r="P35" s="27" t="s">
        <v>27</v>
      </c>
      <c r="Q35" s="27">
        <v>50</v>
      </c>
      <c r="R35" s="27">
        <v>40</v>
      </c>
      <c r="S35" s="27">
        <v>0.2</v>
      </c>
      <c r="T35" s="27">
        <v>0.05</v>
      </c>
      <c r="U35" s="27">
        <v>0.25</v>
      </c>
    </row>
    <row r="36" spans="1:21" x14ac:dyDescent="0.2">
      <c r="A36" s="27" t="s">
        <v>58</v>
      </c>
      <c r="B36" s="27" t="s">
        <v>59</v>
      </c>
      <c r="C36" s="27" t="s">
        <v>60</v>
      </c>
      <c r="D36" s="27" t="s">
        <v>263</v>
      </c>
      <c r="E36" s="27" t="s">
        <v>264</v>
      </c>
      <c r="F36" s="27" t="s">
        <v>265</v>
      </c>
      <c r="G36" s="27" t="s">
        <v>201</v>
      </c>
      <c r="H36" s="27" t="s">
        <v>26</v>
      </c>
      <c r="I36" s="27" t="s">
        <v>76</v>
      </c>
      <c r="J36" s="27" t="s">
        <v>77</v>
      </c>
      <c r="K36" s="28">
        <v>0.5</v>
      </c>
      <c r="L36" s="27" t="s">
        <v>78</v>
      </c>
      <c r="M36" s="28">
        <v>2021</v>
      </c>
      <c r="N36" s="27" t="s">
        <v>34</v>
      </c>
      <c r="O36" s="28">
        <v>10</v>
      </c>
      <c r="P36" s="27" t="s">
        <v>28</v>
      </c>
      <c r="Q36" s="27">
        <v>0</v>
      </c>
      <c r="R36" s="27">
        <v>90</v>
      </c>
      <c r="S36" s="27">
        <v>0.45</v>
      </c>
      <c r="T36" s="27">
        <v>0.05</v>
      </c>
      <c r="U36" s="27">
        <v>0</v>
      </c>
    </row>
    <row r="37" spans="1:21" x14ac:dyDescent="0.2">
      <c r="A37" s="27" t="s">
        <v>58</v>
      </c>
      <c r="B37" s="27" t="s">
        <v>59</v>
      </c>
      <c r="C37" s="27" t="s">
        <v>60</v>
      </c>
      <c r="D37" s="27" t="s">
        <v>263</v>
      </c>
      <c r="E37" s="27" t="s">
        <v>264</v>
      </c>
      <c r="F37" s="27" t="s">
        <v>265</v>
      </c>
      <c r="G37" s="27" t="s">
        <v>80</v>
      </c>
      <c r="H37" s="27" t="s">
        <v>26</v>
      </c>
      <c r="I37" s="27" t="s">
        <v>76</v>
      </c>
      <c r="J37" s="27" t="s">
        <v>77</v>
      </c>
      <c r="K37" s="28">
        <v>0.5</v>
      </c>
      <c r="L37" s="27" t="s">
        <v>78</v>
      </c>
      <c r="M37" s="28">
        <v>2021</v>
      </c>
      <c r="N37" s="27" t="s">
        <v>34</v>
      </c>
      <c r="O37" s="28">
        <v>10</v>
      </c>
      <c r="P37" s="27" t="s">
        <v>28</v>
      </c>
      <c r="Q37" s="27">
        <v>0</v>
      </c>
      <c r="R37" s="27">
        <v>90</v>
      </c>
      <c r="S37" s="27">
        <v>0.45</v>
      </c>
      <c r="T37" s="27">
        <v>0.05</v>
      </c>
      <c r="U37" s="27">
        <v>0</v>
      </c>
    </row>
    <row r="38" spans="1:21" x14ac:dyDescent="0.2">
      <c r="A38" s="27" t="s">
        <v>58</v>
      </c>
      <c r="B38" s="27" t="s">
        <v>59</v>
      </c>
      <c r="C38" s="27" t="s">
        <v>60</v>
      </c>
      <c r="D38" s="27" t="s">
        <v>266</v>
      </c>
      <c r="E38" s="27" t="s">
        <v>267</v>
      </c>
      <c r="F38" s="27" t="s">
        <v>268</v>
      </c>
      <c r="G38" s="27" t="s">
        <v>269</v>
      </c>
      <c r="H38" s="27" t="s">
        <v>26</v>
      </c>
      <c r="I38" s="27" t="s">
        <v>76</v>
      </c>
      <c r="J38" s="27" t="s">
        <v>77</v>
      </c>
      <c r="K38" s="28">
        <v>0.5</v>
      </c>
      <c r="L38" s="27" t="s">
        <v>78</v>
      </c>
      <c r="M38" s="28">
        <v>2021</v>
      </c>
      <c r="N38" s="27" t="s">
        <v>34</v>
      </c>
      <c r="O38" s="28">
        <v>10</v>
      </c>
      <c r="P38" s="27" t="s">
        <v>28</v>
      </c>
      <c r="Q38" s="27">
        <v>0</v>
      </c>
      <c r="R38" s="27">
        <v>90</v>
      </c>
      <c r="S38" s="27">
        <v>0.45</v>
      </c>
      <c r="T38" s="27">
        <v>0.05</v>
      </c>
      <c r="U38" s="27">
        <v>0</v>
      </c>
    </row>
    <row r="39" spans="1:21" x14ac:dyDescent="0.2">
      <c r="A39" s="27" t="s">
        <v>58</v>
      </c>
      <c r="B39" s="27" t="s">
        <v>59</v>
      </c>
      <c r="C39" s="27" t="s">
        <v>60</v>
      </c>
      <c r="D39" s="27" t="s">
        <v>266</v>
      </c>
      <c r="E39" s="27" t="s">
        <v>267</v>
      </c>
      <c r="F39" s="27" t="s">
        <v>268</v>
      </c>
      <c r="G39" s="27" t="s">
        <v>80</v>
      </c>
      <c r="H39" s="27" t="s">
        <v>26</v>
      </c>
      <c r="I39" s="27" t="s">
        <v>76</v>
      </c>
      <c r="J39" s="27" t="s">
        <v>77</v>
      </c>
      <c r="K39" s="28">
        <v>0.5</v>
      </c>
      <c r="L39" s="27" t="s">
        <v>78</v>
      </c>
      <c r="M39" s="28">
        <v>2021</v>
      </c>
      <c r="N39" s="27" t="s">
        <v>34</v>
      </c>
      <c r="O39" s="28">
        <v>10</v>
      </c>
      <c r="P39" s="27" t="s">
        <v>28</v>
      </c>
      <c r="Q39" s="27">
        <v>0</v>
      </c>
      <c r="R39" s="27">
        <v>90</v>
      </c>
      <c r="S39" s="27">
        <v>0.45</v>
      </c>
      <c r="T39" s="27">
        <v>0.05</v>
      </c>
      <c r="U39" s="27">
        <v>0</v>
      </c>
    </row>
    <row r="40" spans="1:21" x14ac:dyDescent="0.2">
      <c r="A40" s="27" t="s">
        <v>58</v>
      </c>
      <c r="B40" s="27" t="s">
        <v>59</v>
      </c>
      <c r="C40" s="27" t="s">
        <v>60</v>
      </c>
      <c r="D40" s="27" t="s">
        <v>270</v>
      </c>
      <c r="E40" s="27" t="s">
        <v>267</v>
      </c>
      <c r="F40" s="27" t="s">
        <v>243</v>
      </c>
      <c r="G40" s="27" t="s">
        <v>81</v>
      </c>
      <c r="H40" s="27" t="s">
        <v>26</v>
      </c>
      <c r="I40" s="27" t="s">
        <v>76</v>
      </c>
      <c r="J40" s="27" t="s">
        <v>77</v>
      </c>
      <c r="K40" s="28">
        <v>0.5</v>
      </c>
      <c r="L40" s="27" t="s">
        <v>78</v>
      </c>
      <c r="M40" s="28">
        <v>2021</v>
      </c>
      <c r="N40" s="27" t="s">
        <v>34</v>
      </c>
      <c r="O40" s="28">
        <v>50</v>
      </c>
      <c r="P40" s="27" t="s">
        <v>28</v>
      </c>
      <c r="Q40" s="27">
        <v>0</v>
      </c>
      <c r="R40" s="27">
        <v>50</v>
      </c>
      <c r="S40" s="27">
        <v>0.25</v>
      </c>
      <c r="T40" s="27">
        <v>0.25</v>
      </c>
      <c r="U40" s="27">
        <v>0</v>
      </c>
    </row>
    <row r="41" spans="1:21" x14ac:dyDescent="0.2">
      <c r="A41" s="27" t="s">
        <v>58</v>
      </c>
      <c r="B41" s="27" t="s">
        <v>59</v>
      </c>
      <c r="C41" s="27" t="s">
        <v>60</v>
      </c>
      <c r="D41" s="27" t="s">
        <v>270</v>
      </c>
      <c r="E41" s="27" t="s">
        <v>267</v>
      </c>
      <c r="F41" s="27" t="s">
        <v>243</v>
      </c>
      <c r="G41" s="27" t="s">
        <v>82</v>
      </c>
      <c r="H41" s="27" t="s">
        <v>26</v>
      </c>
      <c r="I41" s="27" t="s">
        <v>76</v>
      </c>
      <c r="J41" s="27" t="s">
        <v>77</v>
      </c>
      <c r="K41" s="28">
        <v>0.5</v>
      </c>
      <c r="L41" s="27" t="s">
        <v>78</v>
      </c>
      <c r="M41" s="28">
        <v>2021</v>
      </c>
      <c r="N41" s="27" t="s">
        <v>34</v>
      </c>
      <c r="O41" s="28">
        <v>50</v>
      </c>
      <c r="P41" s="27" t="s">
        <v>28</v>
      </c>
      <c r="Q41" s="27">
        <v>0</v>
      </c>
      <c r="R41" s="27">
        <v>50</v>
      </c>
      <c r="S41" s="27">
        <v>0.25</v>
      </c>
      <c r="T41" s="27">
        <v>0.25</v>
      </c>
      <c r="U41" s="27">
        <v>0</v>
      </c>
    </row>
    <row r="42" spans="1:21" x14ac:dyDescent="0.2">
      <c r="A42" s="27" t="s">
        <v>58</v>
      </c>
      <c r="B42" s="27" t="s">
        <v>59</v>
      </c>
      <c r="C42" s="27" t="s">
        <v>60</v>
      </c>
      <c r="D42" s="27" t="s">
        <v>271</v>
      </c>
      <c r="E42" s="27" t="s">
        <v>272</v>
      </c>
      <c r="F42" s="27" t="s">
        <v>273</v>
      </c>
      <c r="G42" s="27" t="s">
        <v>183</v>
      </c>
      <c r="H42" s="27" t="s">
        <v>26</v>
      </c>
      <c r="I42" s="27" t="s">
        <v>76</v>
      </c>
      <c r="J42" s="27" t="s">
        <v>77</v>
      </c>
      <c r="K42" s="28">
        <v>0.5</v>
      </c>
      <c r="L42" s="27" t="s">
        <v>78</v>
      </c>
      <c r="M42" s="28">
        <v>2021</v>
      </c>
      <c r="N42" s="27" t="s">
        <v>34</v>
      </c>
      <c r="O42" s="28">
        <v>10</v>
      </c>
      <c r="P42" s="27" t="s">
        <v>28</v>
      </c>
      <c r="Q42" s="27">
        <v>0</v>
      </c>
      <c r="R42" s="27">
        <v>90</v>
      </c>
      <c r="S42" s="27">
        <v>0.45</v>
      </c>
      <c r="T42" s="27">
        <v>0.05</v>
      </c>
      <c r="U42" s="27">
        <v>0</v>
      </c>
    </row>
    <row r="43" spans="1:21" x14ac:dyDescent="0.2">
      <c r="A43" s="27" t="s">
        <v>58</v>
      </c>
      <c r="B43" s="27" t="s">
        <v>59</v>
      </c>
      <c r="C43" s="27" t="s">
        <v>60</v>
      </c>
      <c r="D43" s="27" t="s">
        <v>271</v>
      </c>
      <c r="E43" s="27" t="s">
        <v>272</v>
      </c>
      <c r="F43" s="27" t="s">
        <v>273</v>
      </c>
      <c r="G43" s="27" t="s">
        <v>201</v>
      </c>
      <c r="H43" s="27" t="s">
        <v>26</v>
      </c>
      <c r="I43" s="27" t="s">
        <v>76</v>
      </c>
      <c r="J43" s="27" t="s">
        <v>77</v>
      </c>
      <c r="K43" s="28">
        <v>0.5</v>
      </c>
      <c r="L43" s="27" t="s">
        <v>78</v>
      </c>
      <c r="M43" s="28">
        <v>2021</v>
      </c>
      <c r="N43" s="27" t="s">
        <v>34</v>
      </c>
      <c r="O43" s="28">
        <v>10</v>
      </c>
      <c r="P43" s="27" t="s">
        <v>28</v>
      </c>
      <c r="Q43" s="27">
        <v>0</v>
      </c>
      <c r="R43" s="27">
        <v>90</v>
      </c>
      <c r="S43" s="27">
        <v>0.45</v>
      </c>
      <c r="T43" s="27">
        <v>0.05</v>
      </c>
      <c r="U43" s="27">
        <v>0</v>
      </c>
    </row>
    <row r="44" spans="1:21" x14ac:dyDescent="0.2">
      <c r="A44" s="27" t="s">
        <v>58</v>
      </c>
      <c r="B44" s="27" t="s">
        <v>59</v>
      </c>
      <c r="C44" s="27" t="s">
        <v>60</v>
      </c>
      <c r="D44" s="27" t="s">
        <v>274</v>
      </c>
      <c r="E44" s="27" t="s">
        <v>275</v>
      </c>
      <c r="F44" s="27" t="s">
        <v>273</v>
      </c>
      <c r="G44" s="27" t="s">
        <v>82</v>
      </c>
      <c r="H44" s="27" t="s">
        <v>26</v>
      </c>
      <c r="I44" s="27" t="s">
        <v>76</v>
      </c>
      <c r="J44" s="27" t="s">
        <v>77</v>
      </c>
      <c r="K44" s="28">
        <v>0.5</v>
      </c>
      <c r="L44" s="27" t="s">
        <v>78</v>
      </c>
      <c r="M44" s="28">
        <v>2021</v>
      </c>
      <c r="N44" s="27" t="s">
        <v>34</v>
      </c>
      <c r="O44" s="28">
        <v>50</v>
      </c>
      <c r="P44" s="27" t="s">
        <v>28</v>
      </c>
      <c r="Q44" s="27">
        <v>0</v>
      </c>
      <c r="R44" s="27">
        <v>50</v>
      </c>
      <c r="S44" s="27">
        <v>0.25</v>
      </c>
      <c r="T44" s="27">
        <v>0.25</v>
      </c>
      <c r="U44" s="27">
        <v>0</v>
      </c>
    </row>
    <row r="45" spans="1:21" x14ac:dyDescent="0.2">
      <c r="A45" s="27" t="s">
        <v>58</v>
      </c>
      <c r="B45" s="27" t="s">
        <v>59</v>
      </c>
      <c r="C45" s="27" t="s">
        <v>60</v>
      </c>
      <c r="D45" s="27" t="s">
        <v>274</v>
      </c>
      <c r="E45" s="27" t="s">
        <v>275</v>
      </c>
      <c r="F45" s="27" t="s">
        <v>273</v>
      </c>
      <c r="G45" s="27" t="s">
        <v>83</v>
      </c>
      <c r="H45" s="27" t="s">
        <v>26</v>
      </c>
      <c r="I45" s="27" t="s">
        <v>76</v>
      </c>
      <c r="J45" s="27" t="s">
        <v>77</v>
      </c>
      <c r="K45" s="28">
        <v>0.5</v>
      </c>
      <c r="L45" s="27" t="s">
        <v>78</v>
      </c>
      <c r="M45" s="28">
        <v>2021</v>
      </c>
      <c r="N45" s="27" t="s">
        <v>34</v>
      </c>
      <c r="O45" s="28">
        <v>50</v>
      </c>
      <c r="P45" s="27" t="s">
        <v>28</v>
      </c>
      <c r="Q45" s="27">
        <v>0</v>
      </c>
      <c r="R45" s="27">
        <v>50</v>
      </c>
      <c r="S45" s="27">
        <v>0.25</v>
      </c>
      <c r="T45" s="27">
        <v>0.25</v>
      </c>
      <c r="U45" s="27">
        <v>0</v>
      </c>
    </row>
    <row r="46" spans="1:21" x14ac:dyDescent="0.2">
      <c r="A46" s="27" t="s">
        <v>58</v>
      </c>
      <c r="B46" s="27" t="s">
        <v>59</v>
      </c>
      <c r="C46" s="27" t="s">
        <v>60</v>
      </c>
      <c r="D46" s="27" t="s">
        <v>276</v>
      </c>
      <c r="E46" s="27" t="s">
        <v>277</v>
      </c>
      <c r="F46" s="27" t="s">
        <v>243</v>
      </c>
      <c r="G46" s="27" t="s">
        <v>84</v>
      </c>
      <c r="H46" s="27" t="s">
        <v>26</v>
      </c>
      <c r="I46" s="27" t="s">
        <v>76</v>
      </c>
      <c r="J46" s="27" t="s">
        <v>77</v>
      </c>
      <c r="K46" s="28">
        <v>0.5</v>
      </c>
      <c r="L46" s="27" t="s">
        <v>78</v>
      </c>
      <c r="M46" s="28">
        <v>2021</v>
      </c>
      <c r="N46" s="27" t="s">
        <v>34</v>
      </c>
      <c r="O46" s="28">
        <v>30</v>
      </c>
      <c r="P46" s="27" t="s">
        <v>28</v>
      </c>
      <c r="Q46" s="27">
        <v>0</v>
      </c>
      <c r="R46" s="27">
        <v>70</v>
      </c>
      <c r="S46" s="27">
        <v>0.35</v>
      </c>
      <c r="T46" s="27">
        <v>0.15</v>
      </c>
      <c r="U46" s="27">
        <v>0</v>
      </c>
    </row>
    <row r="47" spans="1:21" x14ac:dyDescent="0.2">
      <c r="A47" s="27" t="s">
        <v>31</v>
      </c>
      <c r="B47" s="27" t="s">
        <v>32</v>
      </c>
      <c r="C47" s="27" t="s">
        <v>33</v>
      </c>
      <c r="D47" s="27" t="s">
        <v>278</v>
      </c>
      <c r="E47" s="27" t="s">
        <v>279</v>
      </c>
      <c r="F47" s="27" t="s">
        <v>280</v>
      </c>
      <c r="G47" s="27" t="s">
        <v>281</v>
      </c>
      <c r="H47" s="27" t="s">
        <v>26</v>
      </c>
      <c r="I47" s="27" t="s">
        <v>76</v>
      </c>
      <c r="J47" s="27" t="s">
        <v>77</v>
      </c>
      <c r="K47" s="28">
        <v>0.5</v>
      </c>
      <c r="L47" s="27" t="s">
        <v>78</v>
      </c>
      <c r="M47" s="28">
        <v>2021</v>
      </c>
      <c r="N47" s="27" t="s">
        <v>34</v>
      </c>
      <c r="O47" s="28">
        <v>15</v>
      </c>
      <c r="P47" s="27" t="s">
        <v>28</v>
      </c>
      <c r="Q47" s="27">
        <v>0</v>
      </c>
      <c r="R47" s="27">
        <v>85</v>
      </c>
      <c r="S47" s="27">
        <v>0.42499999999999999</v>
      </c>
      <c r="T47" s="27">
        <v>7.4999999999999997E-2</v>
      </c>
      <c r="U47" s="27">
        <v>0</v>
      </c>
    </row>
    <row r="48" spans="1:21" x14ac:dyDescent="0.2">
      <c r="A48" s="27" t="s">
        <v>31</v>
      </c>
      <c r="B48" s="27" t="s">
        <v>32</v>
      </c>
      <c r="C48" s="27" t="s">
        <v>33</v>
      </c>
      <c r="D48" s="27" t="s">
        <v>278</v>
      </c>
      <c r="E48" s="27" t="s">
        <v>279</v>
      </c>
      <c r="F48" s="27" t="s">
        <v>280</v>
      </c>
      <c r="G48" s="27" t="s">
        <v>79</v>
      </c>
      <c r="H48" s="27" t="s">
        <v>26</v>
      </c>
      <c r="I48" s="27" t="s">
        <v>76</v>
      </c>
      <c r="J48" s="27" t="s">
        <v>77</v>
      </c>
      <c r="K48" s="28">
        <v>0.5</v>
      </c>
      <c r="L48" s="27" t="s">
        <v>78</v>
      </c>
      <c r="M48" s="28">
        <v>2021</v>
      </c>
      <c r="N48" s="27" t="s">
        <v>34</v>
      </c>
      <c r="O48" s="28">
        <v>10</v>
      </c>
      <c r="P48" s="27" t="s">
        <v>28</v>
      </c>
      <c r="Q48" s="27">
        <v>0</v>
      </c>
      <c r="R48" s="27">
        <v>90</v>
      </c>
      <c r="S48" s="27">
        <v>0.45</v>
      </c>
      <c r="T48" s="27">
        <v>0.05</v>
      </c>
      <c r="U48" s="27">
        <v>0</v>
      </c>
    </row>
    <row r="49" spans="1:21" x14ac:dyDescent="0.2">
      <c r="A49" s="27" t="s">
        <v>31</v>
      </c>
      <c r="B49" s="27" t="s">
        <v>32</v>
      </c>
      <c r="C49" s="27" t="s">
        <v>33</v>
      </c>
      <c r="D49" s="27" t="s">
        <v>282</v>
      </c>
      <c r="E49" s="27" t="s">
        <v>283</v>
      </c>
      <c r="F49" s="27" t="s">
        <v>284</v>
      </c>
      <c r="G49" s="27" t="s">
        <v>285</v>
      </c>
      <c r="H49" s="27" t="s">
        <v>26</v>
      </c>
      <c r="I49" s="27" t="s">
        <v>63</v>
      </c>
      <c r="J49" s="27" t="s">
        <v>64</v>
      </c>
      <c r="K49" s="28">
        <v>0.5</v>
      </c>
      <c r="L49" s="27" t="s">
        <v>65</v>
      </c>
      <c r="M49" s="28">
        <v>2021</v>
      </c>
      <c r="N49" s="27" t="s">
        <v>34</v>
      </c>
      <c r="O49" s="28">
        <v>50</v>
      </c>
      <c r="P49" s="27" t="s">
        <v>28</v>
      </c>
      <c r="Q49" s="27">
        <v>0</v>
      </c>
      <c r="R49" s="27">
        <v>50</v>
      </c>
      <c r="S49" s="27">
        <v>0.25</v>
      </c>
      <c r="T49" s="27">
        <v>0.25</v>
      </c>
      <c r="U49" s="27">
        <v>0</v>
      </c>
    </row>
    <row r="50" spans="1:21" x14ac:dyDescent="0.2">
      <c r="A50" s="27" t="s">
        <v>31</v>
      </c>
      <c r="B50" s="27" t="s">
        <v>32</v>
      </c>
      <c r="C50" s="27" t="s">
        <v>33</v>
      </c>
      <c r="D50" s="27" t="s">
        <v>282</v>
      </c>
      <c r="E50" s="27" t="s">
        <v>283</v>
      </c>
      <c r="F50" s="27" t="s">
        <v>284</v>
      </c>
      <c r="G50" s="27" t="s">
        <v>87</v>
      </c>
      <c r="H50" s="27" t="s">
        <v>26</v>
      </c>
      <c r="I50" s="27" t="s">
        <v>63</v>
      </c>
      <c r="J50" s="27" t="s">
        <v>64</v>
      </c>
      <c r="K50" s="28">
        <v>0.5</v>
      </c>
      <c r="L50" s="27" t="s">
        <v>65</v>
      </c>
      <c r="M50" s="28">
        <v>2021</v>
      </c>
      <c r="N50" s="27" t="s">
        <v>34</v>
      </c>
      <c r="O50" s="28">
        <v>50</v>
      </c>
      <c r="P50" s="27" t="s">
        <v>28</v>
      </c>
      <c r="Q50" s="27">
        <v>0</v>
      </c>
      <c r="R50" s="27">
        <v>50</v>
      </c>
      <c r="S50" s="27">
        <v>0.25</v>
      </c>
      <c r="T50" s="27">
        <v>0.25</v>
      </c>
      <c r="U50" s="27">
        <v>0</v>
      </c>
    </row>
    <row r="51" spans="1:21" x14ac:dyDescent="0.2">
      <c r="A51" s="27" t="s">
        <v>31</v>
      </c>
      <c r="B51" s="27" t="s">
        <v>32</v>
      </c>
      <c r="C51" s="27" t="s">
        <v>33</v>
      </c>
      <c r="D51" s="27" t="s">
        <v>286</v>
      </c>
      <c r="E51" s="27" t="s">
        <v>287</v>
      </c>
      <c r="F51" s="27" t="s">
        <v>288</v>
      </c>
      <c r="G51" s="27" t="s">
        <v>289</v>
      </c>
      <c r="H51" s="27" t="s">
        <v>26</v>
      </c>
      <c r="I51" s="27" t="s">
        <v>55</v>
      </c>
      <c r="J51" s="27" t="s">
        <v>56</v>
      </c>
      <c r="K51" s="28">
        <v>0.5</v>
      </c>
      <c r="L51" s="27" t="s">
        <v>57</v>
      </c>
      <c r="M51" s="28">
        <v>2021</v>
      </c>
      <c r="N51" s="27" t="s">
        <v>34</v>
      </c>
      <c r="O51" s="28">
        <v>20</v>
      </c>
      <c r="P51" s="27" t="s">
        <v>28</v>
      </c>
      <c r="Q51" s="27">
        <v>0</v>
      </c>
      <c r="R51" s="27">
        <v>80</v>
      </c>
      <c r="S51" s="27">
        <v>0.4</v>
      </c>
      <c r="T51" s="27">
        <v>0.1</v>
      </c>
      <c r="U51" s="27">
        <v>0</v>
      </c>
    </row>
    <row r="52" spans="1:21" x14ac:dyDescent="0.2">
      <c r="A52" s="27" t="s">
        <v>31</v>
      </c>
      <c r="B52" s="27" t="s">
        <v>32</v>
      </c>
      <c r="C52" s="27" t="s">
        <v>33</v>
      </c>
      <c r="D52" s="27" t="s">
        <v>248</v>
      </c>
      <c r="E52" s="27" t="s">
        <v>249</v>
      </c>
      <c r="F52" s="27" t="s">
        <v>250</v>
      </c>
      <c r="G52" s="27" t="s">
        <v>290</v>
      </c>
      <c r="H52" s="27" t="s">
        <v>26</v>
      </c>
      <c r="I52" s="27" t="s">
        <v>46</v>
      </c>
      <c r="J52" s="27" t="s">
        <v>45</v>
      </c>
      <c r="K52" s="28">
        <v>0.33333333333333331</v>
      </c>
      <c r="L52" s="27" t="s">
        <v>46</v>
      </c>
      <c r="M52" s="28">
        <v>2021</v>
      </c>
      <c r="N52" s="27" t="s">
        <v>34</v>
      </c>
      <c r="O52" s="28">
        <v>10</v>
      </c>
      <c r="P52" s="27" t="s">
        <v>52</v>
      </c>
      <c r="Q52" s="27">
        <v>50</v>
      </c>
      <c r="R52" s="27">
        <v>40</v>
      </c>
      <c r="S52" s="27">
        <v>0.13333333333333333</v>
      </c>
      <c r="T52" s="27">
        <v>3.3333333333333333E-2</v>
      </c>
      <c r="U52" s="27">
        <v>0.16666666666666663</v>
      </c>
    </row>
    <row r="53" spans="1:21" x14ac:dyDescent="0.2">
      <c r="A53" s="27" t="s">
        <v>31</v>
      </c>
      <c r="B53" s="27" t="s">
        <v>328</v>
      </c>
      <c r="C53" s="27" t="s">
        <v>33</v>
      </c>
      <c r="D53" s="27" t="s">
        <v>329</v>
      </c>
      <c r="E53" s="27" t="s">
        <v>330</v>
      </c>
      <c r="F53" s="27" t="s">
        <v>331</v>
      </c>
      <c r="G53" s="27" t="s">
        <v>332</v>
      </c>
      <c r="H53" s="27" t="s">
        <v>26</v>
      </c>
      <c r="I53" s="27" t="s">
        <v>333</v>
      </c>
      <c r="J53" s="27" t="s">
        <v>334</v>
      </c>
      <c r="K53" s="28">
        <v>0.5</v>
      </c>
      <c r="L53" s="27" t="s">
        <v>170</v>
      </c>
      <c r="M53" s="28">
        <v>2021</v>
      </c>
      <c r="N53" s="27" t="s">
        <v>34</v>
      </c>
      <c r="O53" s="28">
        <v>10</v>
      </c>
      <c r="P53" s="27" t="s">
        <v>28</v>
      </c>
      <c r="Q53" s="27">
        <v>0</v>
      </c>
      <c r="R53" s="27">
        <v>90</v>
      </c>
      <c r="S53" s="27">
        <v>0.45</v>
      </c>
      <c r="T53" s="27">
        <v>0.05</v>
      </c>
      <c r="U53" s="27">
        <v>0</v>
      </c>
    </row>
    <row r="54" spans="1:21" x14ac:dyDescent="0.2">
      <c r="A54" s="27" t="s">
        <v>255</v>
      </c>
      <c r="B54" s="27" t="s">
        <v>256</v>
      </c>
      <c r="C54" s="27" t="s">
        <v>156</v>
      </c>
      <c r="D54" s="27" t="s">
        <v>499</v>
      </c>
      <c r="E54" s="27" t="s">
        <v>335</v>
      </c>
      <c r="F54" s="27" t="s">
        <v>336</v>
      </c>
      <c r="G54" s="27" t="s">
        <v>290</v>
      </c>
      <c r="H54" s="27" t="s">
        <v>26</v>
      </c>
      <c r="I54" s="27" t="s">
        <v>46</v>
      </c>
      <c r="J54" s="27" t="s">
        <v>45</v>
      </c>
      <c r="K54" s="28">
        <v>0.5</v>
      </c>
      <c r="L54" s="27" t="s">
        <v>46</v>
      </c>
      <c r="M54" s="28">
        <v>2022</v>
      </c>
      <c r="N54" s="27" t="s">
        <v>34</v>
      </c>
      <c r="O54" s="28">
        <v>10</v>
      </c>
      <c r="P54" s="27" t="s">
        <v>52</v>
      </c>
      <c r="Q54" s="27">
        <v>50</v>
      </c>
      <c r="R54" s="27">
        <v>40</v>
      </c>
      <c r="S54" s="27">
        <v>0.2</v>
      </c>
      <c r="T54" s="27">
        <v>0.05</v>
      </c>
      <c r="U54" s="27">
        <v>0.25</v>
      </c>
    </row>
    <row r="55" spans="1:21" x14ac:dyDescent="0.2">
      <c r="A55" s="27" t="s">
        <v>44</v>
      </c>
      <c r="B55" s="27" t="s">
        <v>45</v>
      </c>
      <c r="C55" s="27" t="s">
        <v>156</v>
      </c>
      <c r="D55" s="27" t="s">
        <v>500</v>
      </c>
      <c r="E55" s="27" t="s">
        <v>337</v>
      </c>
      <c r="F55" s="27" t="s">
        <v>338</v>
      </c>
      <c r="G55" s="27" t="s">
        <v>290</v>
      </c>
      <c r="H55" s="27" t="s">
        <v>30</v>
      </c>
      <c r="I55" s="27" t="s">
        <v>46</v>
      </c>
      <c r="J55" s="27" t="s">
        <v>45</v>
      </c>
      <c r="K55" s="28">
        <v>1</v>
      </c>
      <c r="L55" s="27" t="s">
        <v>46</v>
      </c>
      <c r="M55" s="28">
        <v>2022</v>
      </c>
      <c r="N55" s="27" t="s">
        <v>34</v>
      </c>
      <c r="O55" s="28">
        <v>10</v>
      </c>
      <c r="P55" s="27" t="s">
        <v>52</v>
      </c>
      <c r="Q55" s="27">
        <v>50</v>
      </c>
      <c r="R55" s="27">
        <v>40</v>
      </c>
      <c r="S55" s="27">
        <v>0.4</v>
      </c>
      <c r="T55" s="27">
        <v>0.1</v>
      </c>
      <c r="U55" s="27">
        <v>0.5</v>
      </c>
    </row>
    <row r="56" spans="1:21" x14ac:dyDescent="0.2">
      <c r="A56" s="27" t="s">
        <v>23</v>
      </c>
      <c r="B56" s="27" t="s">
        <v>339</v>
      </c>
      <c r="C56" s="27" t="s">
        <v>29</v>
      </c>
      <c r="D56" s="27" t="s">
        <v>501</v>
      </c>
      <c r="E56" s="27" t="s">
        <v>340</v>
      </c>
      <c r="F56" s="27" t="s">
        <v>341</v>
      </c>
      <c r="G56" s="27" t="s">
        <v>61</v>
      </c>
      <c r="H56" s="27" t="s">
        <v>30</v>
      </c>
      <c r="I56" s="27" t="s">
        <v>48</v>
      </c>
      <c r="J56" s="27" t="s">
        <v>49</v>
      </c>
      <c r="K56" s="28">
        <v>1</v>
      </c>
      <c r="L56" s="27" t="s">
        <v>50</v>
      </c>
      <c r="M56" s="28">
        <v>2022</v>
      </c>
      <c r="N56" s="27" t="s">
        <v>34</v>
      </c>
      <c r="O56" s="28">
        <v>20</v>
      </c>
      <c r="P56" s="27" t="s">
        <v>27</v>
      </c>
      <c r="Q56" s="27">
        <v>50</v>
      </c>
      <c r="R56" s="27">
        <v>30</v>
      </c>
      <c r="S56" s="27">
        <v>0.3</v>
      </c>
      <c r="T56" s="27">
        <v>0.2</v>
      </c>
      <c r="U56" s="27">
        <v>0.5</v>
      </c>
    </row>
    <row r="57" spans="1:21" x14ac:dyDescent="0.2">
      <c r="A57" s="27" t="s">
        <v>66</v>
      </c>
      <c r="B57" s="27" t="s">
        <v>67</v>
      </c>
      <c r="C57" s="27" t="s">
        <v>68</v>
      </c>
      <c r="D57" s="27" t="s">
        <v>502</v>
      </c>
      <c r="E57" s="27" t="s">
        <v>342</v>
      </c>
      <c r="F57" s="27" t="s">
        <v>343</v>
      </c>
      <c r="G57" s="27" t="s">
        <v>344</v>
      </c>
      <c r="H57" s="27" t="s">
        <v>30</v>
      </c>
      <c r="I57" s="27" t="s">
        <v>70</v>
      </c>
      <c r="J57" s="27" t="s">
        <v>71</v>
      </c>
      <c r="K57" s="28">
        <v>1</v>
      </c>
      <c r="L57" s="27" t="s">
        <v>72</v>
      </c>
      <c r="M57" s="28">
        <v>2022</v>
      </c>
      <c r="N57" s="27" t="s">
        <v>34</v>
      </c>
      <c r="O57" s="28">
        <v>50</v>
      </c>
      <c r="P57" s="27" t="s">
        <v>28</v>
      </c>
      <c r="Q57" s="27">
        <v>0</v>
      </c>
      <c r="R57" s="27">
        <v>50</v>
      </c>
      <c r="S57" s="27">
        <v>0.5</v>
      </c>
      <c r="T57" s="27">
        <v>0.5</v>
      </c>
      <c r="U57" s="27">
        <v>0</v>
      </c>
    </row>
    <row r="58" spans="1:21" x14ac:dyDescent="0.2">
      <c r="A58" s="27" t="s">
        <v>66</v>
      </c>
      <c r="B58" s="27" t="s">
        <v>67</v>
      </c>
      <c r="C58" s="27" t="s">
        <v>68</v>
      </c>
      <c r="D58" s="27" t="s">
        <v>503</v>
      </c>
      <c r="E58" s="27" t="s">
        <v>345</v>
      </c>
      <c r="F58" s="27" t="s">
        <v>346</v>
      </c>
      <c r="G58" s="27" t="s">
        <v>232</v>
      </c>
      <c r="H58" s="27" t="s">
        <v>26</v>
      </c>
      <c r="I58" s="27" t="s">
        <v>233</v>
      </c>
      <c r="J58" s="27" t="s">
        <v>234</v>
      </c>
      <c r="K58" s="28">
        <v>0.5</v>
      </c>
      <c r="L58" s="27" t="s">
        <v>75</v>
      </c>
      <c r="M58" s="28">
        <v>2022</v>
      </c>
      <c r="N58" s="27" t="s">
        <v>34</v>
      </c>
      <c r="O58" s="28">
        <v>10</v>
      </c>
      <c r="P58" s="27" t="s">
        <v>28</v>
      </c>
      <c r="Q58" s="27">
        <v>0</v>
      </c>
      <c r="R58" s="27">
        <v>90</v>
      </c>
      <c r="S58" s="27">
        <v>0.45</v>
      </c>
      <c r="T58" s="27">
        <v>0.05</v>
      </c>
      <c r="U58" s="27">
        <v>0</v>
      </c>
    </row>
    <row r="59" spans="1:21" x14ac:dyDescent="0.2">
      <c r="A59" s="27" t="s">
        <v>40</v>
      </c>
      <c r="B59" s="27" t="s">
        <v>41</v>
      </c>
      <c r="C59" s="27" t="s">
        <v>42</v>
      </c>
      <c r="D59" s="27" t="s">
        <v>504</v>
      </c>
      <c r="E59" s="27" t="s">
        <v>347</v>
      </c>
      <c r="F59" s="27" t="s">
        <v>348</v>
      </c>
      <c r="G59" s="27" t="s">
        <v>91</v>
      </c>
      <c r="H59" s="27" t="s">
        <v>30</v>
      </c>
      <c r="I59" s="27" t="s">
        <v>88</v>
      </c>
      <c r="J59" s="27" t="s">
        <v>89</v>
      </c>
      <c r="K59" s="28">
        <v>1</v>
      </c>
      <c r="L59" s="27" t="s">
        <v>90</v>
      </c>
      <c r="M59" s="28">
        <v>2022</v>
      </c>
      <c r="N59" s="27" t="s">
        <v>34</v>
      </c>
      <c r="O59" s="28">
        <v>10</v>
      </c>
      <c r="P59" s="27" t="s">
        <v>28</v>
      </c>
      <c r="Q59" s="27">
        <v>0</v>
      </c>
      <c r="R59" s="27">
        <v>90</v>
      </c>
      <c r="S59" s="27">
        <v>0.9</v>
      </c>
      <c r="T59" s="27">
        <v>0.1</v>
      </c>
      <c r="U59" s="27">
        <v>0</v>
      </c>
    </row>
    <row r="60" spans="1:21" x14ac:dyDescent="0.2">
      <c r="A60" s="27" t="s">
        <v>58</v>
      </c>
      <c r="B60" s="27" t="s">
        <v>59</v>
      </c>
      <c r="C60" s="27" t="s">
        <v>60</v>
      </c>
      <c r="D60" s="27" t="s">
        <v>505</v>
      </c>
      <c r="E60" s="27" t="s">
        <v>349</v>
      </c>
      <c r="F60" s="27" t="s">
        <v>350</v>
      </c>
      <c r="G60" s="27" t="s">
        <v>269</v>
      </c>
      <c r="H60" s="27" t="s">
        <v>26</v>
      </c>
      <c r="I60" s="27" t="s">
        <v>76</v>
      </c>
      <c r="J60" s="27" t="s">
        <v>77</v>
      </c>
      <c r="K60" s="28">
        <v>0.5</v>
      </c>
      <c r="L60" s="27" t="s">
        <v>78</v>
      </c>
      <c r="M60" s="28">
        <v>2022</v>
      </c>
      <c r="N60" s="27" t="s">
        <v>34</v>
      </c>
      <c r="O60" s="28">
        <v>10</v>
      </c>
      <c r="P60" s="27" t="s">
        <v>28</v>
      </c>
      <c r="Q60" s="27">
        <v>0</v>
      </c>
      <c r="R60" s="27">
        <v>90</v>
      </c>
      <c r="S60" s="27">
        <v>0.45</v>
      </c>
      <c r="T60" s="27">
        <v>0.05</v>
      </c>
      <c r="U60" s="27">
        <v>0</v>
      </c>
    </row>
    <row r="61" spans="1:21" x14ac:dyDescent="0.2">
      <c r="A61" s="27" t="s">
        <v>58</v>
      </c>
      <c r="B61" s="27" t="s">
        <v>59</v>
      </c>
      <c r="C61" s="27" t="s">
        <v>60</v>
      </c>
      <c r="D61" s="27" t="s">
        <v>505</v>
      </c>
      <c r="E61" s="27" t="s">
        <v>349</v>
      </c>
      <c r="F61" s="27" t="s">
        <v>350</v>
      </c>
      <c r="G61" s="27" t="s">
        <v>80</v>
      </c>
      <c r="H61" s="27" t="s">
        <v>26</v>
      </c>
      <c r="I61" s="27" t="s">
        <v>76</v>
      </c>
      <c r="J61" s="27" t="s">
        <v>77</v>
      </c>
      <c r="K61" s="28">
        <v>0.5</v>
      </c>
      <c r="L61" s="27" t="s">
        <v>78</v>
      </c>
      <c r="M61" s="28">
        <v>2022</v>
      </c>
      <c r="N61" s="27" t="s">
        <v>34</v>
      </c>
      <c r="O61" s="28">
        <v>10</v>
      </c>
      <c r="P61" s="27" t="s">
        <v>28</v>
      </c>
      <c r="Q61" s="27">
        <v>0</v>
      </c>
      <c r="R61" s="27">
        <v>90</v>
      </c>
      <c r="S61" s="27">
        <v>0.45</v>
      </c>
      <c r="T61" s="27">
        <v>0.05</v>
      </c>
      <c r="U61" s="27">
        <v>0</v>
      </c>
    </row>
    <row r="62" spans="1:21" x14ac:dyDescent="0.2">
      <c r="A62" s="27" t="s">
        <v>58</v>
      </c>
      <c r="B62" s="27" t="s">
        <v>59</v>
      </c>
      <c r="C62" s="27" t="s">
        <v>60</v>
      </c>
      <c r="D62" s="27" t="s">
        <v>506</v>
      </c>
      <c r="E62" s="27" t="s">
        <v>351</v>
      </c>
      <c r="F62" s="27" t="s">
        <v>352</v>
      </c>
      <c r="G62" s="27" t="s">
        <v>183</v>
      </c>
      <c r="H62" s="27" t="s">
        <v>26</v>
      </c>
      <c r="I62" s="27" t="s">
        <v>76</v>
      </c>
      <c r="J62" s="27" t="s">
        <v>77</v>
      </c>
      <c r="K62" s="28">
        <v>0.5</v>
      </c>
      <c r="L62" s="27" t="s">
        <v>78</v>
      </c>
      <c r="M62" s="28">
        <v>2022</v>
      </c>
      <c r="N62" s="27" t="s">
        <v>34</v>
      </c>
      <c r="O62" s="28">
        <v>10</v>
      </c>
      <c r="P62" s="27" t="s">
        <v>28</v>
      </c>
      <c r="Q62" s="27">
        <v>0</v>
      </c>
      <c r="R62" s="27">
        <v>90</v>
      </c>
      <c r="S62" s="27">
        <v>0.45</v>
      </c>
      <c r="T62" s="27">
        <v>0.05</v>
      </c>
      <c r="U62" s="27">
        <v>0</v>
      </c>
    </row>
    <row r="63" spans="1:21" x14ac:dyDescent="0.2">
      <c r="A63" s="27" t="s">
        <v>58</v>
      </c>
      <c r="B63" s="27" t="s">
        <v>59</v>
      </c>
      <c r="C63" s="27" t="s">
        <v>60</v>
      </c>
      <c r="D63" s="27" t="s">
        <v>506</v>
      </c>
      <c r="E63" s="27" t="s">
        <v>351</v>
      </c>
      <c r="F63" s="27" t="s">
        <v>352</v>
      </c>
      <c r="G63" s="27" t="s">
        <v>201</v>
      </c>
      <c r="H63" s="27" t="s">
        <v>26</v>
      </c>
      <c r="I63" s="27" t="s">
        <v>76</v>
      </c>
      <c r="J63" s="27" t="s">
        <v>77</v>
      </c>
      <c r="K63" s="28">
        <v>0.5</v>
      </c>
      <c r="L63" s="27" t="s">
        <v>78</v>
      </c>
      <c r="M63" s="28">
        <v>2022</v>
      </c>
      <c r="N63" s="27" t="s">
        <v>34</v>
      </c>
      <c r="O63" s="28">
        <v>10</v>
      </c>
      <c r="P63" s="27" t="s">
        <v>28</v>
      </c>
      <c r="Q63" s="27">
        <v>0</v>
      </c>
      <c r="R63" s="27">
        <v>90</v>
      </c>
      <c r="S63" s="27">
        <v>0.45</v>
      </c>
      <c r="T63" s="27">
        <v>0.05</v>
      </c>
      <c r="U63" s="27">
        <v>0</v>
      </c>
    </row>
    <row r="64" spans="1:21" x14ac:dyDescent="0.2">
      <c r="A64" s="27" t="s">
        <v>58</v>
      </c>
      <c r="B64" s="27" t="s">
        <v>59</v>
      </c>
      <c r="C64" s="27" t="s">
        <v>60</v>
      </c>
      <c r="D64" s="27" t="s">
        <v>507</v>
      </c>
      <c r="E64" s="27" t="s">
        <v>353</v>
      </c>
      <c r="F64" s="27" t="s">
        <v>354</v>
      </c>
      <c r="G64" s="27" t="s">
        <v>205</v>
      </c>
      <c r="H64" s="27" t="s">
        <v>26</v>
      </c>
      <c r="I64" s="27" t="s">
        <v>76</v>
      </c>
      <c r="J64" s="27" t="s">
        <v>77</v>
      </c>
      <c r="K64" s="28">
        <v>0.5</v>
      </c>
      <c r="L64" s="27" t="s">
        <v>78</v>
      </c>
      <c r="M64" s="28">
        <v>2022</v>
      </c>
      <c r="N64" s="27" t="s">
        <v>34</v>
      </c>
      <c r="O64" s="28">
        <v>10</v>
      </c>
      <c r="P64" s="27" t="s">
        <v>28</v>
      </c>
      <c r="Q64" s="27">
        <v>0</v>
      </c>
      <c r="R64" s="27">
        <v>90</v>
      </c>
      <c r="S64" s="27">
        <v>0.45</v>
      </c>
      <c r="T64" s="27">
        <v>0.05</v>
      </c>
      <c r="U64" s="27">
        <v>0</v>
      </c>
    </row>
    <row r="65" spans="1:22" x14ac:dyDescent="0.2">
      <c r="A65" s="27" t="s">
        <v>58</v>
      </c>
      <c r="B65" s="27" t="s">
        <v>59</v>
      </c>
      <c r="C65" s="27" t="s">
        <v>60</v>
      </c>
      <c r="D65" s="27" t="s">
        <v>507</v>
      </c>
      <c r="E65" s="27" t="s">
        <v>353</v>
      </c>
      <c r="F65" s="27" t="s">
        <v>354</v>
      </c>
      <c r="G65" s="27" t="s">
        <v>80</v>
      </c>
      <c r="H65" s="27" t="s">
        <v>26</v>
      </c>
      <c r="I65" s="27" t="s">
        <v>76</v>
      </c>
      <c r="J65" s="27" t="s">
        <v>77</v>
      </c>
      <c r="K65" s="28">
        <v>0.5</v>
      </c>
      <c r="L65" s="27" t="s">
        <v>78</v>
      </c>
      <c r="M65" s="28">
        <v>2022</v>
      </c>
      <c r="N65" s="27" t="s">
        <v>34</v>
      </c>
      <c r="O65" s="28">
        <v>10</v>
      </c>
      <c r="P65" s="27" t="s">
        <v>28</v>
      </c>
      <c r="Q65" s="27">
        <v>0</v>
      </c>
      <c r="R65" s="27">
        <v>90</v>
      </c>
      <c r="S65" s="27">
        <v>0.45</v>
      </c>
      <c r="T65" s="27">
        <v>0.05</v>
      </c>
      <c r="U65" s="27">
        <v>0</v>
      </c>
    </row>
    <row r="66" spans="1:22" x14ac:dyDescent="0.2">
      <c r="A66" s="27" t="s">
        <v>58</v>
      </c>
      <c r="B66" s="27" t="s">
        <v>59</v>
      </c>
      <c r="C66" s="27" t="s">
        <v>60</v>
      </c>
      <c r="D66" s="27" t="s">
        <v>508</v>
      </c>
      <c r="E66" s="27" t="s">
        <v>355</v>
      </c>
      <c r="F66" s="27" t="s">
        <v>356</v>
      </c>
      <c r="G66" s="27" t="s">
        <v>183</v>
      </c>
      <c r="H66" s="27" t="s">
        <v>30</v>
      </c>
      <c r="I66" s="27" t="s">
        <v>76</v>
      </c>
      <c r="J66" s="27" t="s">
        <v>77</v>
      </c>
      <c r="K66" s="28">
        <v>1</v>
      </c>
      <c r="L66" s="27" t="s">
        <v>78</v>
      </c>
      <c r="M66" s="28">
        <v>2022</v>
      </c>
      <c r="N66" s="27" t="s">
        <v>34</v>
      </c>
      <c r="O66" s="28">
        <v>10</v>
      </c>
      <c r="P66" s="27" t="s">
        <v>28</v>
      </c>
      <c r="Q66" s="27">
        <v>0</v>
      </c>
      <c r="R66" s="27">
        <v>90</v>
      </c>
      <c r="S66" s="27">
        <v>0.9</v>
      </c>
      <c r="T66" s="27">
        <v>0.1</v>
      </c>
      <c r="U66" s="27">
        <v>0</v>
      </c>
    </row>
    <row r="67" spans="1:22" x14ac:dyDescent="0.2">
      <c r="A67" s="27" t="s">
        <v>58</v>
      </c>
      <c r="B67" s="27" t="s">
        <v>59</v>
      </c>
      <c r="C67" s="27" t="s">
        <v>60</v>
      </c>
      <c r="D67" s="27" t="s">
        <v>509</v>
      </c>
      <c r="E67" s="27" t="s">
        <v>357</v>
      </c>
      <c r="F67" s="27" t="s">
        <v>358</v>
      </c>
      <c r="G67" s="27" t="s">
        <v>183</v>
      </c>
      <c r="H67" s="27" t="s">
        <v>26</v>
      </c>
      <c r="I67" s="27" t="s">
        <v>76</v>
      </c>
      <c r="J67" s="27" t="s">
        <v>77</v>
      </c>
      <c r="K67" s="28">
        <v>0.5</v>
      </c>
      <c r="L67" s="27" t="s">
        <v>78</v>
      </c>
      <c r="M67" s="28">
        <v>2022</v>
      </c>
      <c r="N67" s="27" t="s">
        <v>34</v>
      </c>
      <c r="O67" s="28">
        <v>10</v>
      </c>
      <c r="P67" s="27" t="s">
        <v>28</v>
      </c>
      <c r="Q67" s="27">
        <v>0</v>
      </c>
      <c r="R67" s="27">
        <v>90</v>
      </c>
      <c r="S67" s="27">
        <v>0.45</v>
      </c>
      <c r="T67" s="27">
        <v>0.05</v>
      </c>
      <c r="U67" s="27">
        <v>0</v>
      </c>
    </row>
    <row r="68" spans="1:22" x14ac:dyDescent="0.2">
      <c r="A68" s="27" t="s">
        <v>31</v>
      </c>
      <c r="B68" s="27" t="s">
        <v>322</v>
      </c>
      <c r="C68" s="27" t="s">
        <v>33</v>
      </c>
      <c r="D68" s="27" t="s">
        <v>510</v>
      </c>
      <c r="E68" s="27" t="s">
        <v>359</v>
      </c>
      <c r="F68" s="27" t="s">
        <v>360</v>
      </c>
      <c r="G68" s="27" t="s">
        <v>209</v>
      </c>
      <c r="H68" s="27" t="s">
        <v>30</v>
      </c>
      <c r="I68" s="27" t="s">
        <v>76</v>
      </c>
      <c r="J68" s="27" t="s">
        <v>77</v>
      </c>
      <c r="K68" s="28">
        <v>1</v>
      </c>
      <c r="L68" s="27" t="s">
        <v>78</v>
      </c>
      <c r="M68" s="28">
        <v>2022</v>
      </c>
      <c r="N68" s="27" t="s">
        <v>34</v>
      </c>
      <c r="O68" s="28">
        <v>10</v>
      </c>
      <c r="P68" s="27" t="s">
        <v>28</v>
      </c>
      <c r="Q68" s="27">
        <v>0</v>
      </c>
      <c r="R68" s="27">
        <v>90</v>
      </c>
      <c r="S68" s="27">
        <v>0.9</v>
      </c>
      <c r="T68" s="27">
        <v>0.1</v>
      </c>
      <c r="U68" s="27">
        <v>0</v>
      </c>
    </row>
    <row r="69" spans="1:22" x14ac:dyDescent="0.2">
      <c r="A69" s="27" t="s">
        <v>31</v>
      </c>
      <c r="B69" s="27" t="s">
        <v>322</v>
      </c>
      <c r="C69" s="27" t="s">
        <v>33</v>
      </c>
      <c r="D69" s="27" t="s">
        <v>451</v>
      </c>
      <c r="E69" s="27" t="s">
        <v>326</v>
      </c>
      <c r="F69" s="27" t="s">
        <v>327</v>
      </c>
      <c r="G69" s="27" t="s">
        <v>87</v>
      </c>
      <c r="H69" s="27" t="s">
        <v>26</v>
      </c>
      <c r="I69" s="27" t="s">
        <v>63</v>
      </c>
      <c r="J69" s="27" t="s">
        <v>64</v>
      </c>
      <c r="K69" s="28">
        <v>0.5</v>
      </c>
      <c r="L69" s="27" t="s">
        <v>65</v>
      </c>
      <c r="M69" s="28">
        <v>2022</v>
      </c>
      <c r="N69" s="27" t="s">
        <v>34</v>
      </c>
      <c r="O69" s="28">
        <v>50</v>
      </c>
      <c r="P69" s="27" t="s">
        <v>28</v>
      </c>
      <c r="Q69" s="27">
        <v>0</v>
      </c>
      <c r="R69" s="27">
        <v>50</v>
      </c>
      <c r="S69" s="27">
        <v>0.25</v>
      </c>
      <c r="T69" s="27">
        <v>0.25</v>
      </c>
      <c r="U69" s="27">
        <v>0</v>
      </c>
    </row>
    <row r="70" spans="1:22" x14ac:dyDescent="0.2">
      <c r="A70" s="27" t="s">
        <v>452</v>
      </c>
      <c r="B70" s="27" t="s">
        <v>453</v>
      </c>
      <c r="C70" s="27" t="s">
        <v>454</v>
      </c>
      <c r="D70" s="27" t="s">
        <v>455</v>
      </c>
      <c r="E70" s="27" t="s">
        <v>456</v>
      </c>
      <c r="F70" s="27" t="s">
        <v>457</v>
      </c>
      <c r="G70" s="27" t="s">
        <v>130</v>
      </c>
      <c r="H70" s="27" t="s">
        <v>458</v>
      </c>
      <c r="I70" s="27" t="s">
        <v>86</v>
      </c>
      <c r="J70" s="27" t="s">
        <v>459</v>
      </c>
      <c r="K70" s="28">
        <v>0.5</v>
      </c>
      <c r="L70" s="27" t="s">
        <v>86</v>
      </c>
      <c r="M70" s="28">
        <v>2023</v>
      </c>
      <c r="N70" s="27" t="s">
        <v>34</v>
      </c>
      <c r="O70" s="28" t="s">
        <v>43</v>
      </c>
      <c r="P70" s="27" t="s">
        <v>28</v>
      </c>
      <c r="Q70" s="27" t="s">
        <v>28</v>
      </c>
      <c r="R70" s="27">
        <v>80</v>
      </c>
      <c r="S70" s="27">
        <v>0.4</v>
      </c>
      <c r="T70" s="27">
        <v>0.1</v>
      </c>
      <c r="U70" s="27">
        <v>0</v>
      </c>
      <c r="V70" s="5" t="s">
        <v>377</v>
      </c>
    </row>
    <row r="71" spans="1:22" x14ac:dyDescent="0.2">
      <c r="A71" s="27" t="s">
        <v>460</v>
      </c>
      <c r="B71" s="27" t="s">
        <v>461</v>
      </c>
      <c r="C71" s="27" t="s">
        <v>462</v>
      </c>
      <c r="D71" s="27" t="s">
        <v>463</v>
      </c>
      <c r="E71" s="27" t="s">
        <v>464</v>
      </c>
      <c r="F71" s="27" t="s">
        <v>465</v>
      </c>
      <c r="G71" s="27" t="s">
        <v>117</v>
      </c>
      <c r="H71" s="27" t="s">
        <v>466</v>
      </c>
      <c r="I71" s="27" t="s">
        <v>90</v>
      </c>
      <c r="J71" s="27" t="s">
        <v>467</v>
      </c>
      <c r="K71" s="28">
        <v>1</v>
      </c>
      <c r="L71" s="27" t="s">
        <v>90</v>
      </c>
      <c r="M71" s="28">
        <v>2023</v>
      </c>
      <c r="N71" s="27" t="s">
        <v>34</v>
      </c>
      <c r="O71" s="28" t="s">
        <v>47</v>
      </c>
      <c r="P71" s="27" t="s">
        <v>28</v>
      </c>
      <c r="Q71" s="27" t="s">
        <v>28</v>
      </c>
      <c r="R71" s="27">
        <v>90</v>
      </c>
      <c r="S71" s="27">
        <v>0.9</v>
      </c>
      <c r="T71" s="27">
        <v>0.1</v>
      </c>
      <c r="U71" s="27">
        <v>0</v>
      </c>
      <c r="V71" s="5" t="s">
        <v>377</v>
      </c>
    </row>
    <row r="72" spans="1:22" x14ac:dyDescent="0.2">
      <c r="A72" s="27" t="s">
        <v>460</v>
      </c>
      <c r="B72" s="27" t="s">
        <v>461</v>
      </c>
      <c r="C72" s="27" t="s">
        <v>462</v>
      </c>
      <c r="D72" s="27" t="s">
        <v>468</v>
      </c>
      <c r="E72" s="27" t="s">
        <v>469</v>
      </c>
      <c r="F72" s="27" t="s">
        <v>470</v>
      </c>
      <c r="G72" s="27" t="s">
        <v>117</v>
      </c>
      <c r="H72" s="27" t="s">
        <v>458</v>
      </c>
      <c r="I72" s="27" t="s">
        <v>90</v>
      </c>
      <c r="J72" s="27" t="s">
        <v>467</v>
      </c>
      <c r="K72" s="28">
        <v>0.5</v>
      </c>
      <c r="L72" s="27" t="s">
        <v>90</v>
      </c>
      <c r="M72" s="28">
        <v>2023</v>
      </c>
      <c r="N72" s="27" t="s">
        <v>34</v>
      </c>
      <c r="O72" s="28" t="s">
        <v>47</v>
      </c>
      <c r="P72" s="27" t="s">
        <v>28</v>
      </c>
      <c r="Q72" s="27" t="s">
        <v>28</v>
      </c>
      <c r="R72" s="27">
        <v>90</v>
      </c>
      <c r="S72" s="27">
        <v>0.45</v>
      </c>
      <c r="T72" s="27">
        <v>0.05</v>
      </c>
      <c r="U72" s="27">
        <v>0</v>
      </c>
      <c r="V72" s="5" t="s">
        <v>377</v>
      </c>
    </row>
    <row r="73" spans="1:22" x14ac:dyDescent="0.2">
      <c r="A73" s="27" t="s">
        <v>471</v>
      </c>
      <c r="B73" s="27" t="s">
        <v>472</v>
      </c>
      <c r="C73" s="27" t="s">
        <v>473</v>
      </c>
      <c r="D73" s="27" t="s">
        <v>474</v>
      </c>
      <c r="E73" s="27" t="s">
        <v>475</v>
      </c>
      <c r="F73" s="27" t="s">
        <v>476</v>
      </c>
      <c r="G73" s="27" t="s">
        <v>172</v>
      </c>
      <c r="H73" s="27" t="s">
        <v>466</v>
      </c>
      <c r="I73" s="27" t="s">
        <v>78</v>
      </c>
      <c r="J73" s="27" t="s">
        <v>477</v>
      </c>
      <c r="K73" s="28">
        <v>1</v>
      </c>
      <c r="L73" s="27" t="s">
        <v>78</v>
      </c>
      <c r="M73" s="28">
        <v>2023</v>
      </c>
      <c r="N73" s="27" t="s">
        <v>34</v>
      </c>
      <c r="O73" s="28" t="s">
        <v>47</v>
      </c>
      <c r="P73" s="27" t="s">
        <v>28</v>
      </c>
      <c r="Q73" s="27" t="s">
        <v>28</v>
      </c>
      <c r="R73" s="27">
        <v>90</v>
      </c>
      <c r="S73" s="27">
        <v>0.9</v>
      </c>
      <c r="T73" s="27">
        <v>0.1</v>
      </c>
      <c r="U73" s="27">
        <v>0</v>
      </c>
      <c r="V73" s="5" t="s">
        <v>377</v>
      </c>
    </row>
    <row r="74" spans="1:22" x14ac:dyDescent="0.2">
      <c r="A74" s="27" t="s">
        <v>471</v>
      </c>
      <c r="B74" s="27" t="s">
        <v>472</v>
      </c>
      <c r="C74" s="27" t="s">
        <v>473</v>
      </c>
      <c r="D74" s="27" t="s">
        <v>478</v>
      </c>
      <c r="E74" s="27" t="s">
        <v>479</v>
      </c>
      <c r="F74" s="27" t="s">
        <v>480</v>
      </c>
      <c r="G74" s="27" t="s">
        <v>126</v>
      </c>
      <c r="H74" s="27" t="s">
        <v>466</v>
      </c>
      <c r="I74" s="27" t="s">
        <v>78</v>
      </c>
      <c r="J74" s="27" t="s">
        <v>477</v>
      </c>
      <c r="K74" s="28">
        <v>1</v>
      </c>
      <c r="L74" s="27" t="s">
        <v>78</v>
      </c>
      <c r="M74" s="28">
        <v>2023</v>
      </c>
      <c r="N74" s="27" t="s">
        <v>34</v>
      </c>
      <c r="O74" s="28" t="s">
        <v>47</v>
      </c>
      <c r="P74" s="27" t="s">
        <v>28</v>
      </c>
      <c r="Q74" s="27" t="s">
        <v>28</v>
      </c>
      <c r="R74" s="27">
        <v>90</v>
      </c>
      <c r="S74" s="27">
        <v>0.9</v>
      </c>
      <c r="T74" s="27">
        <v>0.1</v>
      </c>
      <c r="U74" s="27">
        <v>0</v>
      </c>
      <c r="V74" s="5" t="s">
        <v>377</v>
      </c>
    </row>
    <row r="75" spans="1:22" x14ac:dyDescent="0.2">
      <c r="A75" s="27" t="s">
        <v>471</v>
      </c>
      <c r="B75" s="27" t="s">
        <v>472</v>
      </c>
      <c r="C75" s="27" t="s">
        <v>473</v>
      </c>
      <c r="D75" s="27" t="s">
        <v>481</v>
      </c>
      <c r="E75" s="27" t="s">
        <v>482</v>
      </c>
      <c r="F75" s="27" t="s">
        <v>483</v>
      </c>
      <c r="G75" s="27" t="s">
        <v>119</v>
      </c>
      <c r="H75" s="27" t="s">
        <v>458</v>
      </c>
      <c r="I75" s="27" t="s">
        <v>78</v>
      </c>
      <c r="J75" s="27" t="s">
        <v>477</v>
      </c>
      <c r="K75" s="28">
        <v>0.5</v>
      </c>
      <c r="L75" s="27" t="s">
        <v>78</v>
      </c>
      <c r="M75" s="28">
        <v>2023</v>
      </c>
      <c r="N75" s="27" t="s">
        <v>34</v>
      </c>
      <c r="O75" s="28" t="s">
        <v>47</v>
      </c>
      <c r="P75" s="27" t="s">
        <v>28</v>
      </c>
      <c r="Q75" s="27" t="s">
        <v>28</v>
      </c>
      <c r="R75" s="27">
        <v>90</v>
      </c>
      <c r="S75" s="27">
        <v>0.45</v>
      </c>
      <c r="T75" s="27">
        <v>0.05</v>
      </c>
      <c r="U75" s="27">
        <v>0</v>
      </c>
      <c r="V75" s="5" t="s">
        <v>377</v>
      </c>
    </row>
    <row r="76" spans="1:22" x14ac:dyDescent="0.2">
      <c r="A76" s="27" t="s">
        <v>484</v>
      </c>
      <c r="B76" s="27" t="s">
        <v>485</v>
      </c>
      <c r="C76" s="27" t="s">
        <v>486</v>
      </c>
      <c r="D76" s="27" t="s">
        <v>487</v>
      </c>
      <c r="E76" s="27" t="s">
        <v>488</v>
      </c>
      <c r="F76" s="27" t="s">
        <v>489</v>
      </c>
      <c r="G76" s="27" t="s">
        <v>169</v>
      </c>
      <c r="H76" s="27" t="s">
        <v>466</v>
      </c>
      <c r="I76" s="27" t="s">
        <v>170</v>
      </c>
      <c r="J76" s="27" t="s">
        <v>490</v>
      </c>
      <c r="K76" s="28">
        <v>1</v>
      </c>
      <c r="L76" s="27" t="s">
        <v>170</v>
      </c>
      <c r="M76" s="28">
        <v>2023</v>
      </c>
      <c r="N76" s="27" t="s">
        <v>34</v>
      </c>
      <c r="O76" s="28" t="s">
        <v>47</v>
      </c>
      <c r="P76" s="27" t="s">
        <v>28</v>
      </c>
      <c r="Q76" s="27" t="s">
        <v>28</v>
      </c>
      <c r="R76" s="27">
        <v>90</v>
      </c>
      <c r="S76" s="27">
        <v>0.9</v>
      </c>
      <c r="T76" s="27">
        <v>0.1</v>
      </c>
      <c r="U76" s="27">
        <v>0</v>
      </c>
      <c r="V76" s="5" t="s">
        <v>377</v>
      </c>
    </row>
    <row r="77" spans="1:22" x14ac:dyDescent="0.2">
      <c r="A77" s="27" t="s">
        <v>484</v>
      </c>
      <c r="B77" s="27" t="s">
        <v>485</v>
      </c>
      <c r="C77" s="27" t="s">
        <v>486</v>
      </c>
      <c r="D77" s="27" t="s">
        <v>491</v>
      </c>
      <c r="E77" s="27" t="s">
        <v>492</v>
      </c>
      <c r="F77" s="27" t="s">
        <v>493</v>
      </c>
      <c r="G77" s="27" t="s">
        <v>166</v>
      </c>
      <c r="H77" s="27" t="s">
        <v>458</v>
      </c>
      <c r="I77" s="27" t="s">
        <v>65</v>
      </c>
      <c r="J77" s="27" t="s">
        <v>494</v>
      </c>
      <c r="K77" s="28">
        <v>0.5</v>
      </c>
      <c r="L77" s="27" t="s">
        <v>65</v>
      </c>
      <c r="M77" s="28">
        <v>2023</v>
      </c>
      <c r="N77" s="27" t="s">
        <v>34</v>
      </c>
      <c r="O77" s="28" t="s">
        <v>39</v>
      </c>
      <c r="P77" s="27" t="s">
        <v>28</v>
      </c>
      <c r="Q77" s="27" t="s">
        <v>28</v>
      </c>
      <c r="R77" s="27">
        <v>50</v>
      </c>
      <c r="S77" s="27">
        <v>0.25</v>
      </c>
      <c r="T77" s="27">
        <v>0.25</v>
      </c>
      <c r="U77" s="27">
        <v>0</v>
      </c>
      <c r="V77" s="5" t="s">
        <v>377</v>
      </c>
    </row>
    <row r="78" spans="1:22" x14ac:dyDescent="0.2">
      <c r="A78" s="27" t="s">
        <v>484</v>
      </c>
      <c r="B78" s="27" t="s">
        <v>485</v>
      </c>
      <c r="C78" s="27" t="s">
        <v>486</v>
      </c>
      <c r="D78" s="27" t="s">
        <v>491</v>
      </c>
      <c r="E78" s="27" t="s">
        <v>492</v>
      </c>
      <c r="F78" s="27" t="s">
        <v>493</v>
      </c>
      <c r="G78" s="27" t="s">
        <v>128</v>
      </c>
      <c r="H78" s="27" t="s">
        <v>458</v>
      </c>
      <c r="I78" s="27" t="s">
        <v>65</v>
      </c>
      <c r="J78" s="27" t="s">
        <v>494</v>
      </c>
      <c r="K78" s="28">
        <v>0.5</v>
      </c>
      <c r="L78" s="27" t="s">
        <v>65</v>
      </c>
      <c r="M78" s="28">
        <v>2023</v>
      </c>
      <c r="N78" s="27" t="s">
        <v>34</v>
      </c>
      <c r="O78" s="28" t="s">
        <v>39</v>
      </c>
      <c r="P78" s="27" t="s">
        <v>28</v>
      </c>
      <c r="Q78" s="27" t="s">
        <v>28</v>
      </c>
      <c r="R78" s="27">
        <v>50</v>
      </c>
      <c r="S78" s="27">
        <v>0.25</v>
      </c>
      <c r="T78" s="27">
        <v>0.25</v>
      </c>
      <c r="U78" s="27">
        <v>0</v>
      </c>
      <c r="V78" s="5" t="s">
        <v>377</v>
      </c>
    </row>
    <row r="79" spans="1:22" x14ac:dyDescent="0.2">
      <c r="A79" s="27" t="s">
        <v>484</v>
      </c>
      <c r="B79" s="27" t="s">
        <v>485</v>
      </c>
      <c r="C79" s="27" t="s">
        <v>486</v>
      </c>
      <c r="D79" s="27" t="s">
        <v>495</v>
      </c>
      <c r="E79" s="27" t="s">
        <v>496</v>
      </c>
      <c r="F79" s="27" t="s">
        <v>497</v>
      </c>
      <c r="G79" s="27" t="s">
        <v>498</v>
      </c>
      <c r="H79" s="27" t="s">
        <v>466</v>
      </c>
      <c r="I79" s="27" t="s">
        <v>78</v>
      </c>
      <c r="J79" s="27" t="s">
        <v>477</v>
      </c>
      <c r="K79" s="28">
        <v>1</v>
      </c>
      <c r="L79" s="27" t="s">
        <v>78</v>
      </c>
      <c r="M79" s="28">
        <v>2023</v>
      </c>
      <c r="N79" s="27" t="s">
        <v>34</v>
      </c>
      <c r="O79" s="28" t="s">
        <v>47</v>
      </c>
      <c r="P79" s="27" t="s">
        <v>28</v>
      </c>
      <c r="Q79" s="27" t="s">
        <v>28</v>
      </c>
      <c r="R79" s="27">
        <v>90</v>
      </c>
      <c r="S79" s="27">
        <v>0.9</v>
      </c>
      <c r="T79" s="27">
        <v>0.1</v>
      </c>
      <c r="U79" s="27">
        <v>0</v>
      </c>
      <c r="V79" s="5" t="s">
        <v>377</v>
      </c>
    </row>
    <row r="80" spans="1:22" x14ac:dyDescent="0.2">
      <c r="A80" s="27" t="s">
        <v>66</v>
      </c>
      <c r="B80" s="27" t="s">
        <v>67</v>
      </c>
      <c r="C80" s="27" t="s">
        <v>68</v>
      </c>
      <c r="D80" s="27" t="s">
        <v>163</v>
      </c>
      <c r="E80" s="27" t="s">
        <v>164</v>
      </c>
      <c r="F80" s="27" t="s">
        <v>165</v>
      </c>
      <c r="G80" s="27" t="s">
        <v>95</v>
      </c>
      <c r="H80" s="27" t="s">
        <v>26</v>
      </c>
      <c r="I80" s="27" t="s">
        <v>70</v>
      </c>
      <c r="J80" s="27" t="s">
        <v>71</v>
      </c>
      <c r="K80" s="28">
        <v>0.5</v>
      </c>
      <c r="L80" s="27" t="s">
        <v>72</v>
      </c>
      <c r="M80" s="28">
        <v>2019</v>
      </c>
      <c r="N80" s="27" t="s">
        <v>35</v>
      </c>
      <c r="O80" s="28" t="s">
        <v>53</v>
      </c>
      <c r="P80" s="27" t="s">
        <v>34</v>
      </c>
      <c r="Q80" s="27" t="s">
        <v>47</v>
      </c>
      <c r="R80" s="27">
        <v>50</v>
      </c>
      <c r="S80" s="27">
        <v>0.25</v>
      </c>
      <c r="T80" s="27">
        <v>0.2</v>
      </c>
      <c r="U80" s="27">
        <v>0.05</v>
      </c>
    </row>
    <row r="81" spans="1:21" x14ac:dyDescent="0.2">
      <c r="A81" s="27" t="s">
        <v>31</v>
      </c>
      <c r="B81" s="27" t="s">
        <v>32</v>
      </c>
      <c r="C81" s="27" t="s">
        <v>33</v>
      </c>
      <c r="D81" s="27" t="s">
        <v>160</v>
      </c>
      <c r="E81" s="27" t="s">
        <v>161</v>
      </c>
      <c r="F81" s="27" t="s">
        <v>162</v>
      </c>
      <c r="G81" s="27" t="s">
        <v>73</v>
      </c>
      <c r="H81" s="27" t="s">
        <v>26</v>
      </c>
      <c r="I81" s="27" t="s">
        <v>70</v>
      </c>
      <c r="J81" s="27" t="s">
        <v>71</v>
      </c>
      <c r="K81" s="28">
        <v>0.5</v>
      </c>
      <c r="L81" s="27" t="s">
        <v>72</v>
      </c>
      <c r="M81" s="28">
        <v>2019</v>
      </c>
      <c r="N81" s="27" t="s">
        <v>52</v>
      </c>
      <c r="O81" s="28" t="s">
        <v>47</v>
      </c>
      <c r="P81" s="27" t="s">
        <v>34</v>
      </c>
      <c r="Q81" s="27" t="s">
        <v>74</v>
      </c>
      <c r="R81" s="27">
        <v>20</v>
      </c>
      <c r="S81" s="27">
        <v>0.1</v>
      </c>
      <c r="T81" s="27">
        <v>0.05</v>
      </c>
      <c r="U81" s="27">
        <v>0.35</v>
      </c>
    </row>
    <row r="82" spans="1:21" x14ac:dyDescent="0.2">
      <c r="A82" s="27" t="s">
        <v>31</v>
      </c>
      <c r="B82" s="27" t="s">
        <v>32</v>
      </c>
      <c r="C82" s="27" t="s">
        <v>33</v>
      </c>
      <c r="D82" s="27" t="s">
        <v>157</v>
      </c>
      <c r="E82" s="27" t="s">
        <v>158</v>
      </c>
      <c r="F82" s="27" t="s">
        <v>159</v>
      </c>
      <c r="G82" s="27" t="s">
        <v>73</v>
      </c>
      <c r="H82" s="27" t="s">
        <v>30</v>
      </c>
      <c r="I82" s="27" t="s">
        <v>70</v>
      </c>
      <c r="J82" s="27" t="s">
        <v>71</v>
      </c>
      <c r="K82" s="28">
        <v>1</v>
      </c>
      <c r="L82" s="27" t="s">
        <v>72</v>
      </c>
      <c r="M82" s="28">
        <v>2019</v>
      </c>
      <c r="N82" s="27" t="s">
        <v>52</v>
      </c>
      <c r="O82" s="28" t="s">
        <v>47</v>
      </c>
      <c r="P82" s="27" t="s">
        <v>34</v>
      </c>
      <c r="Q82" s="27" t="s">
        <v>74</v>
      </c>
      <c r="R82" s="27">
        <v>20</v>
      </c>
      <c r="S82" s="27">
        <v>0.2</v>
      </c>
      <c r="T82" s="27">
        <v>0.1</v>
      </c>
      <c r="U82" s="27">
        <v>0.7</v>
      </c>
    </row>
    <row r="83" spans="1:21" x14ac:dyDescent="0.2">
      <c r="A83" s="27" t="s">
        <v>44</v>
      </c>
      <c r="B83" s="27" t="s">
        <v>45</v>
      </c>
      <c r="C83" s="27" t="s">
        <v>156</v>
      </c>
      <c r="D83" s="27" t="s">
        <v>291</v>
      </c>
      <c r="E83" s="27" t="s">
        <v>292</v>
      </c>
      <c r="F83" s="27" t="s">
        <v>146</v>
      </c>
      <c r="G83" s="27" t="s">
        <v>230</v>
      </c>
      <c r="H83" s="27" t="s">
        <v>30</v>
      </c>
      <c r="I83" s="27" t="s">
        <v>46</v>
      </c>
      <c r="J83" s="27" t="s">
        <v>45</v>
      </c>
      <c r="K83" s="28">
        <v>1</v>
      </c>
      <c r="L83" s="27" t="s">
        <v>46</v>
      </c>
      <c r="M83" s="28">
        <v>2019</v>
      </c>
      <c r="N83" s="27" t="s">
        <v>231</v>
      </c>
      <c r="O83" s="28">
        <v>50</v>
      </c>
      <c r="P83" s="27" t="s">
        <v>34</v>
      </c>
      <c r="Q83" s="27">
        <v>10</v>
      </c>
      <c r="R83" s="27">
        <v>40</v>
      </c>
      <c r="S83" s="27">
        <v>0.4</v>
      </c>
      <c r="T83" s="27">
        <v>0.5</v>
      </c>
      <c r="U83" s="27">
        <v>0.1</v>
      </c>
    </row>
    <row r="84" spans="1:21" x14ac:dyDescent="0.2">
      <c r="A84" s="27" t="s">
        <v>58</v>
      </c>
      <c r="B84" s="27" t="s">
        <v>59</v>
      </c>
      <c r="C84" s="27" t="s">
        <v>60</v>
      </c>
      <c r="D84" s="27" t="s">
        <v>216</v>
      </c>
      <c r="E84" s="27" t="s">
        <v>217</v>
      </c>
      <c r="F84" s="27" t="s">
        <v>218</v>
      </c>
      <c r="G84" s="27" t="s">
        <v>54</v>
      </c>
      <c r="H84" s="27" t="s">
        <v>26</v>
      </c>
      <c r="I84" s="27" t="s">
        <v>55</v>
      </c>
      <c r="J84" s="27" t="s">
        <v>56</v>
      </c>
      <c r="K84" s="28">
        <v>0.5</v>
      </c>
      <c r="L84" s="27" t="s">
        <v>57</v>
      </c>
      <c r="M84" s="28">
        <v>2019</v>
      </c>
      <c r="N84" s="27" t="s">
        <v>27</v>
      </c>
      <c r="O84" s="28">
        <v>50</v>
      </c>
      <c r="P84" s="27" t="s">
        <v>34</v>
      </c>
      <c r="Q84" s="27">
        <v>10</v>
      </c>
      <c r="R84" s="27">
        <v>40</v>
      </c>
      <c r="S84" s="27">
        <v>0.2</v>
      </c>
      <c r="T84" s="27">
        <v>0.25</v>
      </c>
      <c r="U84" s="27">
        <v>0.05</v>
      </c>
    </row>
    <row r="85" spans="1:21" x14ac:dyDescent="0.2">
      <c r="A85" s="27" t="s">
        <v>23</v>
      </c>
      <c r="B85" s="27" t="s">
        <v>24</v>
      </c>
      <c r="C85" s="27" t="s">
        <v>29</v>
      </c>
      <c r="D85" s="27" t="s">
        <v>219</v>
      </c>
      <c r="E85" s="27" t="s">
        <v>220</v>
      </c>
      <c r="F85" s="27" t="s">
        <v>221</v>
      </c>
      <c r="G85" s="27" t="s">
        <v>54</v>
      </c>
      <c r="H85" s="27" t="s">
        <v>26</v>
      </c>
      <c r="I85" s="27" t="s">
        <v>55</v>
      </c>
      <c r="J85" s="27" t="s">
        <v>56</v>
      </c>
      <c r="K85" s="28">
        <v>0.5</v>
      </c>
      <c r="L85" s="27" t="s">
        <v>57</v>
      </c>
      <c r="M85" s="28">
        <v>2020</v>
      </c>
      <c r="N85" s="27" t="s">
        <v>27</v>
      </c>
      <c r="O85" s="28">
        <v>50</v>
      </c>
      <c r="P85" s="27" t="s">
        <v>34</v>
      </c>
      <c r="Q85" s="27">
        <v>10</v>
      </c>
      <c r="R85" s="27">
        <v>40</v>
      </c>
      <c r="S85" s="27">
        <v>0.2</v>
      </c>
      <c r="T85" s="27">
        <v>0.25</v>
      </c>
      <c r="U85" s="27">
        <v>0.05</v>
      </c>
    </row>
    <row r="86" spans="1:21" x14ac:dyDescent="0.2">
      <c r="A86" s="27" t="s">
        <v>31</v>
      </c>
      <c r="B86" s="27" t="s">
        <v>32</v>
      </c>
      <c r="C86" s="27" t="s">
        <v>33</v>
      </c>
      <c r="D86" s="27" t="s">
        <v>222</v>
      </c>
      <c r="E86" s="27" t="s">
        <v>223</v>
      </c>
      <c r="F86" s="27" t="s">
        <v>224</v>
      </c>
      <c r="G86" s="27" t="s">
        <v>95</v>
      </c>
      <c r="H86" s="27" t="s">
        <v>30</v>
      </c>
      <c r="I86" s="27" t="s">
        <v>70</v>
      </c>
      <c r="J86" s="27" t="s">
        <v>71</v>
      </c>
      <c r="K86" s="28">
        <v>1</v>
      </c>
      <c r="L86" s="27" t="s">
        <v>72</v>
      </c>
      <c r="M86" s="28">
        <v>2020</v>
      </c>
      <c r="N86" s="27" t="s">
        <v>35</v>
      </c>
      <c r="O86" s="28">
        <v>40</v>
      </c>
      <c r="P86" s="27" t="s">
        <v>34</v>
      </c>
      <c r="Q86" s="27">
        <v>10</v>
      </c>
      <c r="R86" s="27">
        <v>50</v>
      </c>
      <c r="S86" s="27">
        <v>0.5</v>
      </c>
      <c r="T86" s="27">
        <v>0.4</v>
      </c>
      <c r="U86" s="27">
        <v>0.1</v>
      </c>
    </row>
    <row r="87" spans="1:21" x14ac:dyDescent="0.2">
      <c r="A87" s="27" t="s">
        <v>31</v>
      </c>
      <c r="B87" s="27" t="s">
        <v>32</v>
      </c>
      <c r="C87" s="27" t="s">
        <v>33</v>
      </c>
      <c r="D87" s="27" t="s">
        <v>225</v>
      </c>
      <c r="E87" s="27" t="s">
        <v>226</v>
      </c>
      <c r="F87" s="27" t="s">
        <v>227</v>
      </c>
      <c r="G87" s="27" t="s">
        <v>73</v>
      </c>
      <c r="H87" s="27" t="s">
        <v>26</v>
      </c>
      <c r="I87" s="27" t="s">
        <v>70</v>
      </c>
      <c r="J87" s="27" t="s">
        <v>71</v>
      </c>
      <c r="K87" s="28">
        <v>0.5</v>
      </c>
      <c r="L87" s="27" t="s">
        <v>72</v>
      </c>
      <c r="M87" s="28">
        <v>2020</v>
      </c>
      <c r="N87" s="27" t="s">
        <v>52</v>
      </c>
      <c r="O87" s="28">
        <v>10</v>
      </c>
      <c r="P87" s="27" t="s">
        <v>34</v>
      </c>
      <c r="Q87" s="27">
        <v>70</v>
      </c>
      <c r="R87" s="27">
        <v>20</v>
      </c>
      <c r="S87" s="27">
        <v>0.1</v>
      </c>
      <c r="T87" s="27">
        <v>0.05</v>
      </c>
      <c r="U87" s="27">
        <v>0.35</v>
      </c>
    </row>
    <row r="88" spans="1:21" x14ac:dyDescent="0.2">
      <c r="A88" s="27" t="s">
        <v>255</v>
      </c>
      <c r="B88" s="27" t="s">
        <v>256</v>
      </c>
      <c r="C88" s="27" t="s">
        <v>156</v>
      </c>
      <c r="D88" s="27" t="s">
        <v>293</v>
      </c>
      <c r="E88" s="27" t="s">
        <v>294</v>
      </c>
      <c r="F88" s="27" t="s">
        <v>295</v>
      </c>
      <c r="G88" s="27" t="s">
        <v>230</v>
      </c>
      <c r="H88" s="27" t="s">
        <v>26</v>
      </c>
      <c r="I88" s="27" t="s">
        <v>46</v>
      </c>
      <c r="J88" s="27" t="s">
        <v>45</v>
      </c>
      <c r="K88" s="28">
        <v>0.5</v>
      </c>
      <c r="L88" s="27" t="s">
        <v>46</v>
      </c>
      <c r="M88" s="28">
        <v>2021</v>
      </c>
      <c r="N88" s="27" t="s">
        <v>231</v>
      </c>
      <c r="O88" s="28">
        <v>50</v>
      </c>
      <c r="P88" s="27" t="s">
        <v>34</v>
      </c>
      <c r="Q88" s="27">
        <v>10</v>
      </c>
      <c r="R88" s="27">
        <v>40</v>
      </c>
      <c r="S88" s="27">
        <v>0.2</v>
      </c>
      <c r="T88" s="27">
        <v>0.25</v>
      </c>
      <c r="U88" s="27">
        <v>0.05</v>
      </c>
    </row>
    <row r="89" spans="1:21" x14ac:dyDescent="0.2">
      <c r="A89" s="27" t="s">
        <v>44</v>
      </c>
      <c r="B89" s="27" t="s">
        <v>45</v>
      </c>
      <c r="C89" s="27" t="s">
        <v>156</v>
      </c>
      <c r="D89" s="27" t="s">
        <v>296</v>
      </c>
      <c r="E89" s="27" t="s">
        <v>297</v>
      </c>
      <c r="F89" s="27" t="s">
        <v>298</v>
      </c>
      <c r="G89" s="27" t="s">
        <v>230</v>
      </c>
      <c r="H89" s="27" t="s">
        <v>26</v>
      </c>
      <c r="I89" s="27" t="s">
        <v>46</v>
      </c>
      <c r="J89" s="27" t="s">
        <v>45</v>
      </c>
      <c r="K89" s="28">
        <v>0.5</v>
      </c>
      <c r="L89" s="27" t="s">
        <v>46</v>
      </c>
      <c r="M89" s="28">
        <v>2021</v>
      </c>
      <c r="N89" s="27" t="s">
        <v>231</v>
      </c>
      <c r="O89" s="28">
        <v>50</v>
      </c>
      <c r="P89" s="27" t="s">
        <v>34</v>
      </c>
      <c r="Q89" s="27">
        <v>10</v>
      </c>
      <c r="R89" s="27">
        <v>40</v>
      </c>
      <c r="S89" s="27">
        <v>0.2</v>
      </c>
      <c r="T89" s="27">
        <v>0.25</v>
      </c>
      <c r="U89" s="27">
        <v>0.05</v>
      </c>
    </row>
    <row r="90" spans="1:21" x14ac:dyDescent="0.2">
      <c r="A90" s="27" t="s">
        <v>23</v>
      </c>
      <c r="B90" s="27" t="s">
        <v>24</v>
      </c>
      <c r="C90" s="27" t="s">
        <v>29</v>
      </c>
      <c r="D90" s="27" t="s">
        <v>299</v>
      </c>
      <c r="E90" s="27" t="s">
        <v>300</v>
      </c>
      <c r="F90" s="27" t="s">
        <v>301</v>
      </c>
      <c r="G90" s="27" t="s">
        <v>54</v>
      </c>
      <c r="H90" s="27" t="s">
        <v>26</v>
      </c>
      <c r="I90" s="27" t="s">
        <v>55</v>
      </c>
      <c r="J90" s="27" t="s">
        <v>56</v>
      </c>
      <c r="K90" s="28">
        <v>0.5</v>
      </c>
      <c r="L90" s="27" t="s">
        <v>57</v>
      </c>
      <c r="M90" s="28">
        <v>2021</v>
      </c>
      <c r="N90" s="27" t="s">
        <v>27</v>
      </c>
      <c r="O90" s="28">
        <v>50</v>
      </c>
      <c r="P90" s="27" t="s">
        <v>34</v>
      </c>
      <c r="Q90" s="27">
        <v>10</v>
      </c>
      <c r="R90" s="27">
        <v>40</v>
      </c>
      <c r="S90" s="27">
        <v>0.2</v>
      </c>
      <c r="T90" s="27">
        <v>0.25</v>
      </c>
      <c r="U90" s="27">
        <v>0.05</v>
      </c>
    </row>
    <row r="91" spans="1:21" x14ac:dyDescent="0.2">
      <c r="A91" s="27" t="s">
        <v>58</v>
      </c>
      <c r="B91" s="27" t="s">
        <v>59</v>
      </c>
      <c r="C91" s="27" t="s">
        <v>60</v>
      </c>
      <c r="D91" s="27" t="s">
        <v>302</v>
      </c>
      <c r="E91" s="27" t="s">
        <v>303</v>
      </c>
      <c r="F91" s="27" t="s">
        <v>304</v>
      </c>
      <c r="G91" s="27" t="s">
        <v>54</v>
      </c>
      <c r="H91" s="27" t="s">
        <v>26</v>
      </c>
      <c r="I91" s="27" t="s">
        <v>55</v>
      </c>
      <c r="J91" s="27" t="s">
        <v>56</v>
      </c>
      <c r="K91" s="28">
        <v>0.5</v>
      </c>
      <c r="L91" s="27" t="s">
        <v>57</v>
      </c>
      <c r="M91" s="28">
        <v>2021</v>
      </c>
      <c r="N91" s="27" t="s">
        <v>27</v>
      </c>
      <c r="O91" s="28">
        <v>50</v>
      </c>
      <c r="P91" s="27" t="s">
        <v>34</v>
      </c>
      <c r="Q91" s="27">
        <v>10</v>
      </c>
      <c r="R91" s="27">
        <v>40</v>
      </c>
      <c r="S91" s="27">
        <v>0.2</v>
      </c>
      <c r="T91" s="27">
        <v>0.25</v>
      </c>
      <c r="U91" s="27">
        <v>0.05</v>
      </c>
    </row>
    <row r="92" spans="1:21" x14ac:dyDescent="0.2">
      <c r="A92" s="27" t="s">
        <v>31</v>
      </c>
      <c r="B92" s="27" t="s">
        <v>32</v>
      </c>
      <c r="C92" s="27" t="s">
        <v>33</v>
      </c>
      <c r="D92" s="27" t="s">
        <v>244</v>
      </c>
      <c r="E92" s="27" t="s">
        <v>245</v>
      </c>
      <c r="F92" s="27" t="s">
        <v>246</v>
      </c>
      <c r="G92" s="27" t="s">
        <v>305</v>
      </c>
      <c r="H92" s="27" t="s">
        <v>26</v>
      </c>
      <c r="I92" s="27" t="s">
        <v>46</v>
      </c>
      <c r="J92" s="27" t="s">
        <v>45</v>
      </c>
      <c r="K92" s="28">
        <v>0.5</v>
      </c>
      <c r="L92" s="27" t="s">
        <v>46</v>
      </c>
      <c r="M92" s="28">
        <v>2021</v>
      </c>
      <c r="N92" s="27" t="s">
        <v>52</v>
      </c>
      <c r="O92" s="28">
        <v>50</v>
      </c>
      <c r="P92" s="27" t="s">
        <v>34</v>
      </c>
      <c r="Q92" s="27">
        <v>10</v>
      </c>
      <c r="R92" s="27">
        <v>40</v>
      </c>
      <c r="S92" s="27">
        <v>0.2</v>
      </c>
      <c r="T92" s="27">
        <v>0.25</v>
      </c>
      <c r="U92" s="27">
        <v>0.05</v>
      </c>
    </row>
    <row r="93" spans="1:21" s="64" customFormat="1" x14ac:dyDescent="0.2">
      <c r="A93" s="61" t="s">
        <v>44</v>
      </c>
      <c r="B93" s="61" t="s">
        <v>784</v>
      </c>
      <c r="C93" s="61" t="s">
        <v>156</v>
      </c>
      <c r="D93" s="61" t="s">
        <v>785</v>
      </c>
      <c r="E93" s="61" t="s">
        <v>786</v>
      </c>
      <c r="F93" s="61" t="s">
        <v>787</v>
      </c>
      <c r="G93" s="61" t="s">
        <v>230</v>
      </c>
      <c r="H93" s="61" t="s">
        <v>26</v>
      </c>
      <c r="I93" s="61" t="s">
        <v>44</v>
      </c>
      <c r="J93" s="61" t="s">
        <v>784</v>
      </c>
      <c r="K93" s="62">
        <v>0.5</v>
      </c>
      <c r="L93" s="62" t="s">
        <v>46</v>
      </c>
      <c r="M93" s="61">
        <v>2021</v>
      </c>
      <c r="N93" s="61" t="s">
        <v>231</v>
      </c>
      <c r="O93" s="63">
        <v>50</v>
      </c>
      <c r="P93" s="61" t="s">
        <v>34</v>
      </c>
      <c r="Q93" s="63">
        <v>10</v>
      </c>
      <c r="R93" s="61">
        <v>40</v>
      </c>
      <c r="S93" s="61">
        <v>0.2</v>
      </c>
      <c r="T93" s="61">
        <v>0.25</v>
      </c>
      <c r="U93" s="61">
        <v>0.05</v>
      </c>
    </row>
    <row r="94" spans="1:21" x14ac:dyDescent="0.2">
      <c r="A94" s="27" t="s">
        <v>31</v>
      </c>
      <c r="B94" s="27" t="s">
        <v>32</v>
      </c>
      <c r="C94" s="27" t="s">
        <v>33</v>
      </c>
      <c r="D94" s="27" t="s">
        <v>248</v>
      </c>
      <c r="E94" s="27" t="s">
        <v>249</v>
      </c>
      <c r="F94" s="27" t="s">
        <v>250</v>
      </c>
      <c r="G94" s="27" t="s">
        <v>305</v>
      </c>
      <c r="H94" s="27" t="s">
        <v>26</v>
      </c>
      <c r="I94" s="27" t="s">
        <v>46</v>
      </c>
      <c r="J94" s="27" t="s">
        <v>45</v>
      </c>
      <c r="K94" s="28">
        <v>0.33333333333333331</v>
      </c>
      <c r="L94" s="27" t="s">
        <v>46</v>
      </c>
      <c r="M94" s="28">
        <v>2021</v>
      </c>
      <c r="N94" s="27" t="s">
        <v>52</v>
      </c>
      <c r="O94" s="28">
        <v>50</v>
      </c>
      <c r="P94" s="27" t="s">
        <v>34</v>
      </c>
      <c r="Q94" s="27">
        <v>10</v>
      </c>
      <c r="R94" s="27">
        <v>40</v>
      </c>
      <c r="S94" s="27">
        <v>0.13333333333333333</v>
      </c>
      <c r="T94" s="27">
        <v>0.16666666666666663</v>
      </c>
      <c r="U94" s="27">
        <v>3.3333333333333333E-2</v>
      </c>
    </row>
    <row r="95" spans="1:21" x14ac:dyDescent="0.2">
      <c r="A95" s="27" t="s">
        <v>31</v>
      </c>
      <c r="B95" s="27" t="s">
        <v>32</v>
      </c>
      <c r="C95" s="27" t="s">
        <v>33</v>
      </c>
      <c r="D95" s="27" t="s">
        <v>306</v>
      </c>
      <c r="E95" s="27" t="s">
        <v>307</v>
      </c>
      <c r="F95" s="27" t="s">
        <v>308</v>
      </c>
      <c r="G95" s="27" t="s">
        <v>95</v>
      </c>
      <c r="H95" s="27" t="s">
        <v>30</v>
      </c>
      <c r="I95" s="27" t="s">
        <v>70</v>
      </c>
      <c r="J95" s="27" t="s">
        <v>71</v>
      </c>
      <c r="K95" s="28">
        <v>1</v>
      </c>
      <c r="L95" s="27" t="s">
        <v>72</v>
      </c>
      <c r="M95" s="28">
        <v>2021</v>
      </c>
      <c r="N95" s="27" t="s">
        <v>35</v>
      </c>
      <c r="O95" s="28">
        <v>40</v>
      </c>
      <c r="P95" s="27" t="s">
        <v>34</v>
      </c>
      <c r="Q95" s="27">
        <v>10</v>
      </c>
      <c r="R95" s="27">
        <v>50</v>
      </c>
      <c r="S95" s="27">
        <v>0.5</v>
      </c>
      <c r="T95" s="27">
        <v>0.4</v>
      </c>
      <c r="U95" s="27">
        <v>0.1</v>
      </c>
    </row>
    <row r="96" spans="1:21" x14ac:dyDescent="0.2">
      <c r="A96" s="27" t="s">
        <v>255</v>
      </c>
      <c r="B96" s="27" t="s">
        <v>256</v>
      </c>
      <c r="C96" s="27" t="s">
        <v>156</v>
      </c>
      <c r="D96" s="27" t="s">
        <v>499</v>
      </c>
      <c r="E96" s="27" t="s">
        <v>335</v>
      </c>
      <c r="F96" s="27" t="s">
        <v>336</v>
      </c>
      <c r="G96" s="27" t="s">
        <v>305</v>
      </c>
      <c r="H96" s="27" t="s">
        <v>26</v>
      </c>
      <c r="I96" s="27" t="s">
        <v>46</v>
      </c>
      <c r="J96" s="27" t="s">
        <v>45</v>
      </c>
      <c r="K96" s="28">
        <v>0.5</v>
      </c>
      <c r="L96" s="27" t="s">
        <v>46</v>
      </c>
      <c r="M96" s="28">
        <v>2022</v>
      </c>
      <c r="N96" s="27" t="s">
        <v>52</v>
      </c>
      <c r="O96" s="28">
        <v>50</v>
      </c>
      <c r="P96" s="27" t="s">
        <v>34</v>
      </c>
      <c r="Q96" s="27">
        <v>10</v>
      </c>
      <c r="R96" s="27">
        <v>40</v>
      </c>
      <c r="S96" s="27">
        <v>0.2</v>
      </c>
      <c r="T96" s="27">
        <v>0.25</v>
      </c>
      <c r="U96" s="27">
        <v>0.05</v>
      </c>
    </row>
    <row r="97" spans="1:22" x14ac:dyDescent="0.2">
      <c r="A97" s="27" t="s">
        <v>44</v>
      </c>
      <c r="B97" s="27" t="s">
        <v>45</v>
      </c>
      <c r="C97" s="27" t="s">
        <v>156</v>
      </c>
      <c r="D97" s="27" t="s">
        <v>511</v>
      </c>
      <c r="E97" s="27" t="s">
        <v>361</v>
      </c>
      <c r="F97" s="27" t="s">
        <v>362</v>
      </c>
      <c r="G97" s="27" t="s">
        <v>230</v>
      </c>
      <c r="H97" s="27" t="s">
        <v>26</v>
      </c>
      <c r="I97" s="27" t="s">
        <v>46</v>
      </c>
      <c r="J97" s="27" t="s">
        <v>45</v>
      </c>
      <c r="K97" s="28">
        <v>0.5</v>
      </c>
      <c r="L97" s="27" t="s">
        <v>46</v>
      </c>
      <c r="M97" s="28">
        <v>2022</v>
      </c>
      <c r="N97" s="27" t="s">
        <v>231</v>
      </c>
      <c r="O97" s="28">
        <v>50</v>
      </c>
      <c r="P97" s="27" t="s">
        <v>34</v>
      </c>
      <c r="Q97" s="27">
        <v>10</v>
      </c>
      <c r="R97" s="27">
        <v>40</v>
      </c>
      <c r="S97" s="27">
        <v>0.2</v>
      </c>
      <c r="T97" s="27">
        <v>0.25</v>
      </c>
      <c r="U97" s="27">
        <v>0.05</v>
      </c>
    </row>
    <row r="98" spans="1:22" x14ac:dyDescent="0.2">
      <c r="A98" s="27" t="s">
        <v>31</v>
      </c>
      <c r="B98" s="27" t="s">
        <v>322</v>
      </c>
      <c r="C98" s="27" t="s">
        <v>33</v>
      </c>
      <c r="D98" s="27" t="s">
        <v>512</v>
      </c>
      <c r="E98" s="27" t="s">
        <v>363</v>
      </c>
      <c r="F98" s="27" t="s">
        <v>364</v>
      </c>
      <c r="G98" s="27" t="s">
        <v>73</v>
      </c>
      <c r="H98" s="27" t="s">
        <v>30</v>
      </c>
      <c r="I98" s="27" t="s">
        <v>70</v>
      </c>
      <c r="J98" s="27" t="s">
        <v>71</v>
      </c>
      <c r="K98" s="28">
        <v>1</v>
      </c>
      <c r="L98" s="27" t="s">
        <v>72</v>
      </c>
      <c r="M98" s="28">
        <v>2022</v>
      </c>
      <c r="N98" s="27" t="s">
        <v>52</v>
      </c>
      <c r="O98" s="28">
        <v>10</v>
      </c>
      <c r="P98" s="27" t="s">
        <v>34</v>
      </c>
      <c r="Q98" s="27">
        <v>70</v>
      </c>
      <c r="R98" s="27">
        <v>20</v>
      </c>
      <c r="S98" s="27">
        <v>0.2</v>
      </c>
      <c r="T98" s="27">
        <v>0.1</v>
      </c>
      <c r="U98" s="27">
        <v>0.7</v>
      </c>
    </row>
    <row r="99" spans="1:22" x14ac:dyDescent="0.2">
      <c r="A99" s="27" t="s">
        <v>31</v>
      </c>
      <c r="B99" s="27" t="s">
        <v>322</v>
      </c>
      <c r="C99" s="27" t="s">
        <v>33</v>
      </c>
      <c r="D99" s="27" t="s">
        <v>513</v>
      </c>
      <c r="E99" s="27" t="s">
        <v>365</v>
      </c>
      <c r="F99" s="27" t="s">
        <v>366</v>
      </c>
      <c r="G99" s="27" t="s">
        <v>95</v>
      </c>
      <c r="H99" s="27" t="s">
        <v>30</v>
      </c>
      <c r="I99" s="27" t="s">
        <v>70</v>
      </c>
      <c r="J99" s="27" t="s">
        <v>71</v>
      </c>
      <c r="K99" s="28">
        <v>1</v>
      </c>
      <c r="L99" s="27" t="s">
        <v>72</v>
      </c>
      <c r="M99" s="28">
        <v>2022</v>
      </c>
      <c r="N99" s="27" t="s">
        <v>35</v>
      </c>
      <c r="O99" s="28">
        <v>40</v>
      </c>
      <c r="P99" s="27" t="s">
        <v>34</v>
      </c>
      <c r="Q99" s="27">
        <v>10</v>
      </c>
      <c r="R99" s="27">
        <v>50</v>
      </c>
      <c r="S99" s="27">
        <v>0.5</v>
      </c>
      <c r="T99" s="27">
        <v>0.4</v>
      </c>
      <c r="U99" s="27">
        <v>0.1</v>
      </c>
    </row>
    <row r="100" spans="1:22" x14ac:dyDescent="0.2">
      <c r="A100" s="27" t="s">
        <v>31</v>
      </c>
      <c r="B100" s="27" t="s">
        <v>322</v>
      </c>
      <c r="C100" s="27" t="s">
        <v>33</v>
      </c>
      <c r="D100" s="27" t="s">
        <v>514</v>
      </c>
      <c r="E100" s="27" t="s">
        <v>367</v>
      </c>
      <c r="F100" s="27" t="s">
        <v>368</v>
      </c>
      <c r="G100" s="27" t="s">
        <v>95</v>
      </c>
      <c r="H100" s="27" t="s">
        <v>26</v>
      </c>
      <c r="I100" s="27" t="s">
        <v>70</v>
      </c>
      <c r="J100" s="27" t="s">
        <v>71</v>
      </c>
      <c r="K100" s="28">
        <v>0.5</v>
      </c>
      <c r="L100" s="27" t="s">
        <v>72</v>
      </c>
      <c r="M100" s="28">
        <v>2022</v>
      </c>
      <c r="N100" s="27" t="s">
        <v>35</v>
      </c>
      <c r="O100" s="28">
        <v>40</v>
      </c>
      <c r="P100" s="27" t="s">
        <v>34</v>
      </c>
      <c r="Q100" s="27">
        <v>10</v>
      </c>
      <c r="R100" s="27">
        <v>50</v>
      </c>
      <c r="S100" s="27">
        <v>0.25</v>
      </c>
      <c r="T100" s="27">
        <v>0.2</v>
      </c>
      <c r="U100" s="27">
        <v>0.05</v>
      </c>
    </row>
    <row r="101" spans="1:22" x14ac:dyDescent="0.2">
      <c r="A101" s="27" t="s">
        <v>31</v>
      </c>
      <c r="B101" s="27" t="s">
        <v>322</v>
      </c>
      <c r="C101" s="27" t="s">
        <v>33</v>
      </c>
      <c r="D101" s="27" t="s">
        <v>515</v>
      </c>
      <c r="E101" s="27" t="s">
        <v>369</v>
      </c>
      <c r="F101" s="27" t="s">
        <v>370</v>
      </c>
      <c r="G101" s="27" t="s">
        <v>69</v>
      </c>
      <c r="H101" s="27" t="s">
        <v>30</v>
      </c>
      <c r="I101" s="27" t="s">
        <v>70</v>
      </c>
      <c r="J101" s="27" t="s">
        <v>71</v>
      </c>
      <c r="K101" s="28">
        <v>1</v>
      </c>
      <c r="L101" s="27" t="s">
        <v>72</v>
      </c>
      <c r="M101" s="28">
        <v>2022</v>
      </c>
      <c r="N101" s="27" t="s">
        <v>52</v>
      </c>
      <c r="O101" s="28">
        <v>10</v>
      </c>
      <c r="P101" s="27" t="s">
        <v>34</v>
      </c>
      <c r="Q101" s="27">
        <v>80</v>
      </c>
      <c r="R101" s="27">
        <v>10</v>
      </c>
      <c r="S101" s="27">
        <v>0.1</v>
      </c>
      <c r="T101" s="27">
        <v>0.1</v>
      </c>
      <c r="U101" s="27">
        <v>0.8</v>
      </c>
    </row>
    <row r="102" spans="1:22" s="64" customFormat="1" x14ac:dyDescent="0.2">
      <c r="A102" s="65" t="s">
        <v>788</v>
      </c>
      <c r="B102" s="65" t="s">
        <v>789</v>
      </c>
      <c r="C102" s="65" t="s">
        <v>790</v>
      </c>
      <c r="D102" s="65" t="s">
        <v>791</v>
      </c>
      <c r="E102" s="65" t="s">
        <v>792</v>
      </c>
      <c r="F102" s="65" t="s">
        <v>793</v>
      </c>
      <c r="G102" s="65" t="s">
        <v>138</v>
      </c>
      <c r="H102" s="65" t="s">
        <v>458</v>
      </c>
      <c r="I102" s="65" t="s">
        <v>72</v>
      </c>
      <c r="J102" s="65" t="s">
        <v>794</v>
      </c>
      <c r="K102" s="66">
        <v>0.5</v>
      </c>
      <c r="L102" s="66" t="s">
        <v>72</v>
      </c>
      <c r="M102" s="66">
        <v>2023</v>
      </c>
      <c r="N102" s="66" t="s">
        <v>35</v>
      </c>
      <c r="O102" s="66" t="s">
        <v>53</v>
      </c>
      <c r="P102" s="66" t="s">
        <v>34</v>
      </c>
      <c r="Q102" s="66" t="s">
        <v>47</v>
      </c>
      <c r="R102" s="66">
        <v>50</v>
      </c>
      <c r="S102" s="66">
        <v>0.25</v>
      </c>
      <c r="T102" s="67">
        <v>0.2</v>
      </c>
      <c r="U102" s="66">
        <v>0.05</v>
      </c>
    </row>
    <row r="103" spans="1:22" x14ac:dyDescent="0.2">
      <c r="A103" s="27" t="s">
        <v>46</v>
      </c>
      <c r="B103" s="27" t="s">
        <v>516</v>
      </c>
      <c r="C103" s="27" t="s">
        <v>517</v>
      </c>
      <c r="D103" s="27" t="s">
        <v>518</v>
      </c>
      <c r="E103" s="27" t="s">
        <v>519</v>
      </c>
      <c r="F103" s="27" t="s">
        <v>520</v>
      </c>
      <c r="G103" s="27" t="s">
        <v>111</v>
      </c>
      <c r="H103" s="27" t="s">
        <v>466</v>
      </c>
      <c r="I103" s="27" t="s">
        <v>46</v>
      </c>
      <c r="J103" s="27" t="s">
        <v>516</v>
      </c>
      <c r="K103" s="28">
        <v>1</v>
      </c>
      <c r="L103" s="27" t="s">
        <v>46</v>
      </c>
      <c r="M103" s="28">
        <v>2023</v>
      </c>
      <c r="N103" s="27" t="s">
        <v>52</v>
      </c>
      <c r="O103" s="28" t="s">
        <v>39</v>
      </c>
      <c r="P103" s="27" t="s">
        <v>34</v>
      </c>
      <c r="Q103" s="27" t="s">
        <v>47</v>
      </c>
      <c r="R103" s="27">
        <v>40</v>
      </c>
      <c r="S103" s="27">
        <v>0.4</v>
      </c>
      <c r="T103" s="27">
        <v>0.5</v>
      </c>
      <c r="U103" s="27">
        <v>0.1</v>
      </c>
      <c r="V103" s="5" t="s">
        <v>377</v>
      </c>
    </row>
    <row r="104" spans="1:22" x14ac:dyDescent="0.2">
      <c r="A104" s="27" t="s">
        <v>460</v>
      </c>
      <c r="B104" s="27" t="s">
        <v>795</v>
      </c>
      <c r="C104" s="27" t="s">
        <v>462</v>
      </c>
      <c r="D104" s="27" t="s">
        <v>796</v>
      </c>
      <c r="E104" s="27" t="s">
        <v>797</v>
      </c>
      <c r="F104" s="27" t="s">
        <v>798</v>
      </c>
      <c r="G104" s="27" t="s">
        <v>117</v>
      </c>
      <c r="H104" s="27" t="s">
        <v>466</v>
      </c>
      <c r="I104" s="27" t="s">
        <v>90</v>
      </c>
      <c r="J104" s="27" t="s">
        <v>799</v>
      </c>
      <c r="K104" s="28">
        <v>1</v>
      </c>
      <c r="L104" s="27" t="s">
        <v>90</v>
      </c>
      <c r="M104" s="28">
        <v>2024</v>
      </c>
      <c r="N104" s="27" t="s">
        <v>34</v>
      </c>
      <c r="O104" s="28" t="s">
        <v>47</v>
      </c>
      <c r="P104" s="27" t="s">
        <v>28</v>
      </c>
      <c r="Q104" s="27" t="s">
        <v>28</v>
      </c>
      <c r="R104" s="27">
        <v>90</v>
      </c>
      <c r="S104" s="27">
        <v>0.9</v>
      </c>
      <c r="T104" s="27">
        <v>0.1</v>
      </c>
      <c r="U104" s="27">
        <v>0</v>
      </c>
    </row>
    <row r="105" spans="1:22" x14ac:dyDescent="0.2">
      <c r="A105" s="27" t="s">
        <v>471</v>
      </c>
      <c r="B105" s="27" t="s">
        <v>800</v>
      </c>
      <c r="C105" s="27" t="s">
        <v>473</v>
      </c>
      <c r="D105" s="27" t="s">
        <v>801</v>
      </c>
      <c r="E105" s="27" t="s">
        <v>802</v>
      </c>
      <c r="F105" s="27" t="s">
        <v>803</v>
      </c>
      <c r="G105" s="27" t="s">
        <v>126</v>
      </c>
      <c r="H105" s="27" t="s">
        <v>458</v>
      </c>
      <c r="I105" s="27" t="s">
        <v>78</v>
      </c>
      <c r="J105" s="27" t="s">
        <v>804</v>
      </c>
      <c r="K105" s="28">
        <v>0.5</v>
      </c>
      <c r="L105" s="27" t="s">
        <v>78</v>
      </c>
      <c r="M105" s="28">
        <v>2024</v>
      </c>
      <c r="N105" s="27" t="s">
        <v>34</v>
      </c>
      <c r="O105" s="28" t="s">
        <v>47</v>
      </c>
      <c r="P105" s="27" t="s">
        <v>28</v>
      </c>
      <c r="Q105" s="27" t="s">
        <v>28</v>
      </c>
      <c r="R105" s="27">
        <v>90</v>
      </c>
      <c r="S105" s="27">
        <v>0.45</v>
      </c>
      <c r="T105" s="27">
        <v>0.05</v>
      </c>
      <c r="U105" s="27">
        <v>0</v>
      </c>
    </row>
    <row r="106" spans="1:22" x14ac:dyDescent="0.2">
      <c r="A106" s="27" t="s">
        <v>471</v>
      </c>
      <c r="B106" s="27" t="s">
        <v>800</v>
      </c>
      <c r="C106" s="27" t="s">
        <v>473</v>
      </c>
      <c r="D106" s="27" t="s">
        <v>805</v>
      </c>
      <c r="E106" s="27" t="s">
        <v>806</v>
      </c>
      <c r="F106" s="27" t="s">
        <v>807</v>
      </c>
      <c r="G106" s="27" t="s">
        <v>120</v>
      </c>
      <c r="H106" s="27" t="s">
        <v>458</v>
      </c>
      <c r="I106" s="27" t="s">
        <v>78</v>
      </c>
      <c r="J106" s="27" t="s">
        <v>804</v>
      </c>
      <c r="K106" s="28">
        <v>0.5</v>
      </c>
      <c r="L106" s="27" t="s">
        <v>78</v>
      </c>
      <c r="M106" s="28">
        <v>2024</v>
      </c>
      <c r="N106" s="27" t="s">
        <v>34</v>
      </c>
      <c r="O106" s="28" t="s">
        <v>53</v>
      </c>
      <c r="P106" s="27" t="s">
        <v>52</v>
      </c>
      <c r="Q106" s="27" t="s">
        <v>47</v>
      </c>
      <c r="R106" s="27">
        <v>50</v>
      </c>
      <c r="S106" s="27">
        <v>0.25</v>
      </c>
      <c r="T106" s="27">
        <v>0.2</v>
      </c>
      <c r="U106" s="27">
        <v>0.05</v>
      </c>
    </row>
    <row r="107" spans="1:22" x14ac:dyDescent="0.2">
      <c r="A107" s="27" t="s">
        <v>471</v>
      </c>
      <c r="B107" s="27" t="s">
        <v>800</v>
      </c>
      <c r="C107" s="27" t="s">
        <v>473</v>
      </c>
      <c r="D107" s="27" t="s">
        <v>805</v>
      </c>
      <c r="E107" s="27" t="s">
        <v>806</v>
      </c>
      <c r="F107" s="27" t="s">
        <v>807</v>
      </c>
      <c r="G107" s="27" t="s">
        <v>124</v>
      </c>
      <c r="H107" s="27" t="s">
        <v>458</v>
      </c>
      <c r="I107" s="27" t="s">
        <v>78</v>
      </c>
      <c r="J107" s="27" t="s">
        <v>804</v>
      </c>
      <c r="K107" s="28">
        <v>0.5</v>
      </c>
      <c r="L107" s="27" t="s">
        <v>78</v>
      </c>
      <c r="M107" s="28">
        <v>2024</v>
      </c>
      <c r="N107" s="27" t="s">
        <v>34</v>
      </c>
      <c r="O107" s="28" t="s">
        <v>53</v>
      </c>
      <c r="P107" s="27" t="s">
        <v>52</v>
      </c>
      <c r="Q107" s="27" t="s">
        <v>47</v>
      </c>
      <c r="R107" s="27">
        <v>50</v>
      </c>
      <c r="S107" s="27">
        <v>0.25</v>
      </c>
      <c r="T107" s="27">
        <v>0.2</v>
      </c>
      <c r="U107" s="27">
        <v>0.05</v>
      </c>
    </row>
    <row r="108" spans="1:22" x14ac:dyDescent="0.2">
      <c r="A108" s="27" t="s">
        <v>471</v>
      </c>
      <c r="B108" s="27" t="s">
        <v>800</v>
      </c>
      <c r="C108" s="27" t="s">
        <v>473</v>
      </c>
      <c r="D108" s="27" t="s">
        <v>808</v>
      </c>
      <c r="E108" s="27" t="s">
        <v>809</v>
      </c>
      <c r="F108" s="27" t="s">
        <v>810</v>
      </c>
      <c r="G108" s="27" t="s">
        <v>120</v>
      </c>
      <c r="H108" s="27" t="s">
        <v>458</v>
      </c>
      <c r="I108" s="27" t="s">
        <v>78</v>
      </c>
      <c r="J108" s="27" t="s">
        <v>804</v>
      </c>
      <c r="K108" s="28">
        <v>0.5</v>
      </c>
      <c r="L108" s="27" t="s">
        <v>78</v>
      </c>
      <c r="M108" s="28">
        <v>2024</v>
      </c>
      <c r="N108" s="27" t="s">
        <v>34</v>
      </c>
      <c r="O108" s="28" t="s">
        <v>53</v>
      </c>
      <c r="P108" s="27" t="s">
        <v>52</v>
      </c>
      <c r="Q108" s="27" t="s">
        <v>47</v>
      </c>
      <c r="R108" s="27">
        <v>50</v>
      </c>
      <c r="S108" s="27">
        <v>0.25</v>
      </c>
      <c r="T108" s="27">
        <v>0.2</v>
      </c>
      <c r="U108" s="27">
        <v>0.05</v>
      </c>
    </row>
    <row r="109" spans="1:22" x14ac:dyDescent="0.2">
      <c r="A109" s="27" t="s">
        <v>471</v>
      </c>
      <c r="B109" s="27" t="s">
        <v>800</v>
      </c>
      <c r="C109" s="27" t="s">
        <v>473</v>
      </c>
      <c r="D109" s="27" t="s">
        <v>808</v>
      </c>
      <c r="E109" s="27" t="s">
        <v>809</v>
      </c>
      <c r="F109" s="27" t="s">
        <v>810</v>
      </c>
      <c r="G109" s="27" t="s">
        <v>124</v>
      </c>
      <c r="H109" s="27" t="s">
        <v>458</v>
      </c>
      <c r="I109" s="27" t="s">
        <v>78</v>
      </c>
      <c r="J109" s="27" t="s">
        <v>804</v>
      </c>
      <c r="K109" s="28">
        <v>0.5</v>
      </c>
      <c r="L109" s="27" t="s">
        <v>78</v>
      </c>
      <c r="M109" s="28">
        <v>2024</v>
      </c>
      <c r="N109" s="27" t="s">
        <v>34</v>
      </c>
      <c r="O109" s="28" t="s">
        <v>53</v>
      </c>
      <c r="P109" s="27" t="s">
        <v>52</v>
      </c>
      <c r="Q109" s="27" t="s">
        <v>47</v>
      </c>
      <c r="R109" s="27">
        <v>50</v>
      </c>
      <c r="S109" s="27">
        <v>0.25</v>
      </c>
      <c r="T109" s="27">
        <v>0.2</v>
      </c>
      <c r="U109" s="27">
        <v>0.05</v>
      </c>
    </row>
    <row r="110" spans="1:22" x14ac:dyDescent="0.2">
      <c r="A110" s="27" t="s">
        <v>484</v>
      </c>
      <c r="B110" s="27" t="s">
        <v>811</v>
      </c>
      <c r="C110" s="27" t="s">
        <v>486</v>
      </c>
      <c r="D110" s="27" t="s">
        <v>812</v>
      </c>
      <c r="E110" s="27" t="s">
        <v>813</v>
      </c>
      <c r="F110" s="27" t="s">
        <v>814</v>
      </c>
      <c r="G110" s="27" t="s">
        <v>129</v>
      </c>
      <c r="H110" s="27" t="s">
        <v>466</v>
      </c>
      <c r="I110" s="27" t="s">
        <v>78</v>
      </c>
      <c r="J110" s="27" t="s">
        <v>804</v>
      </c>
      <c r="K110" s="28">
        <v>1</v>
      </c>
      <c r="L110" s="27" t="s">
        <v>78</v>
      </c>
      <c r="M110" s="28">
        <v>2024</v>
      </c>
      <c r="N110" s="27" t="s">
        <v>34</v>
      </c>
      <c r="O110" s="28" t="s">
        <v>525</v>
      </c>
      <c r="P110" s="27" t="s">
        <v>28</v>
      </c>
      <c r="Q110" s="27" t="s">
        <v>28</v>
      </c>
      <c r="R110" s="27">
        <v>85</v>
      </c>
      <c r="S110" s="27">
        <v>0.85</v>
      </c>
      <c r="T110" s="27">
        <v>0.15</v>
      </c>
      <c r="U110" s="27">
        <v>0</v>
      </c>
    </row>
    <row r="111" spans="1:22" x14ac:dyDescent="0.2">
      <c r="A111" s="27" t="s">
        <v>484</v>
      </c>
      <c r="B111" s="27" t="s">
        <v>811</v>
      </c>
      <c r="C111" s="27" t="s">
        <v>486</v>
      </c>
      <c r="D111" s="27" t="s">
        <v>815</v>
      </c>
      <c r="E111" s="27" t="s">
        <v>816</v>
      </c>
      <c r="F111" s="27" t="s">
        <v>817</v>
      </c>
      <c r="G111" s="27" t="s">
        <v>122</v>
      </c>
      <c r="H111" s="27" t="s">
        <v>466</v>
      </c>
      <c r="I111" s="27" t="s">
        <v>57</v>
      </c>
      <c r="J111" s="27" t="s">
        <v>818</v>
      </c>
      <c r="K111" s="28">
        <v>1</v>
      </c>
      <c r="L111" s="27" t="s">
        <v>57</v>
      </c>
      <c r="M111" s="28">
        <v>2024</v>
      </c>
      <c r="N111" s="27" t="s">
        <v>34</v>
      </c>
      <c r="O111" s="28" t="s">
        <v>39</v>
      </c>
      <c r="P111" s="27" t="s">
        <v>28</v>
      </c>
      <c r="Q111" s="27" t="s">
        <v>28</v>
      </c>
      <c r="R111" s="27">
        <v>50</v>
      </c>
      <c r="S111" s="27">
        <v>0.5</v>
      </c>
      <c r="T111" s="27">
        <v>0.5</v>
      </c>
      <c r="U111" s="27">
        <v>0</v>
      </c>
    </row>
    <row r="112" spans="1:22" x14ac:dyDescent="0.2">
      <c r="A112" s="27" t="s">
        <v>819</v>
      </c>
      <c r="B112" s="27" t="s">
        <v>820</v>
      </c>
      <c r="C112" s="27" t="s">
        <v>821</v>
      </c>
      <c r="D112" s="27" t="s">
        <v>822</v>
      </c>
      <c r="E112" s="27" t="s">
        <v>823</v>
      </c>
      <c r="F112" s="27" t="s">
        <v>824</v>
      </c>
      <c r="G112" s="27" t="s">
        <v>530</v>
      </c>
      <c r="H112" s="27" t="s">
        <v>458</v>
      </c>
      <c r="I112" s="27" t="s">
        <v>531</v>
      </c>
      <c r="J112" s="27" t="s">
        <v>825</v>
      </c>
      <c r="K112" s="28">
        <v>0.5</v>
      </c>
      <c r="L112" s="27" t="s">
        <v>531</v>
      </c>
      <c r="M112" s="28">
        <v>2024</v>
      </c>
      <c r="N112" s="27" t="s">
        <v>34</v>
      </c>
      <c r="O112" s="28" t="s">
        <v>47</v>
      </c>
      <c r="P112" s="27" t="s">
        <v>532</v>
      </c>
      <c r="Q112" s="27" t="s">
        <v>43</v>
      </c>
      <c r="R112" s="27">
        <v>70</v>
      </c>
      <c r="S112" s="27">
        <v>0.35</v>
      </c>
      <c r="T112" s="27">
        <v>0.05</v>
      </c>
      <c r="U112" s="27">
        <v>0.1</v>
      </c>
    </row>
    <row r="113" spans="1:21" x14ac:dyDescent="0.2">
      <c r="A113" s="27" t="s">
        <v>471</v>
      </c>
      <c r="B113" s="27" t="s">
        <v>800</v>
      </c>
      <c r="C113" s="27" t="s">
        <v>473</v>
      </c>
      <c r="D113" s="27" t="s">
        <v>826</v>
      </c>
      <c r="E113" s="27" t="s">
        <v>827</v>
      </c>
      <c r="F113" s="27" t="s">
        <v>828</v>
      </c>
      <c r="G113" s="27" t="s">
        <v>127</v>
      </c>
      <c r="H113" s="27" t="s">
        <v>458</v>
      </c>
      <c r="I113" s="27" t="s">
        <v>57</v>
      </c>
      <c r="J113" s="27" t="s">
        <v>818</v>
      </c>
      <c r="K113" s="28">
        <v>0.5</v>
      </c>
      <c r="L113" s="27" t="s">
        <v>57</v>
      </c>
      <c r="M113" s="28">
        <v>2024</v>
      </c>
      <c r="N113" s="27" t="s">
        <v>27</v>
      </c>
      <c r="O113" s="28" t="s">
        <v>39</v>
      </c>
      <c r="P113" s="27" t="s">
        <v>34</v>
      </c>
      <c r="Q113" s="27" t="s">
        <v>47</v>
      </c>
      <c r="R113" s="27">
        <v>40</v>
      </c>
      <c r="S113" s="27">
        <v>0.2</v>
      </c>
      <c r="T113" s="27">
        <v>0.25</v>
      </c>
      <c r="U113" s="27">
        <v>0.05</v>
      </c>
    </row>
    <row r="114" spans="1:21" x14ac:dyDescent="0.2">
      <c r="A114" s="25"/>
      <c r="B114" s="25"/>
      <c r="C114" s="25"/>
      <c r="D114" s="25"/>
      <c r="E114" s="25"/>
      <c r="F114" s="25"/>
      <c r="G114" s="25"/>
      <c r="H114" s="25"/>
      <c r="I114" s="25"/>
      <c r="J114" s="25"/>
      <c r="K114" s="25"/>
      <c r="L114" s="26"/>
      <c r="M114" s="25"/>
      <c r="N114" s="26"/>
      <c r="O114" s="25"/>
      <c r="P114" s="26"/>
      <c r="Q114" s="25"/>
      <c r="R114" s="25"/>
      <c r="S114" s="60">
        <f>SUM(U80:U103,T10:T79,S2:S9,T104:T112,U113)</f>
        <v>17.749999999999996</v>
      </c>
      <c r="T114" s="60"/>
      <c r="U114" s="60"/>
    </row>
  </sheetData>
  <autoFilter ref="A1:T114" xr:uid="{00000000-0009-0000-0000-000000000000}"/>
  <mergeCells count="1">
    <mergeCell ref="S114:U114"/>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20"/>
  <sheetViews>
    <sheetView topLeftCell="A28" zoomScaleNormal="100" workbookViewId="0">
      <selection activeCell="R57" sqref="R57"/>
    </sheetView>
  </sheetViews>
  <sheetFormatPr baseColWidth="10" defaultColWidth="11.42578125" defaultRowHeight="12.75" x14ac:dyDescent="0.2"/>
  <cols>
    <col min="1" max="1" width="10.5703125" style="10" bestFit="1" customWidth="1"/>
    <col min="2" max="2" width="39" style="10" bestFit="1" customWidth="1"/>
    <col min="3" max="3" width="17" style="10" bestFit="1" customWidth="1"/>
    <col min="4" max="9" width="3.28515625" style="10" bestFit="1" customWidth="1"/>
    <col min="10" max="10" width="13.140625" style="10" bestFit="1" customWidth="1"/>
    <col min="11" max="11" width="5.28515625" style="10" bestFit="1" customWidth="1"/>
    <col min="12" max="12" width="5.7109375" style="10" bestFit="1" customWidth="1"/>
    <col min="13" max="14" width="5.7109375" style="11" bestFit="1" customWidth="1"/>
    <col min="15" max="15" width="5.7109375" style="10" bestFit="1" customWidth="1"/>
    <col min="16" max="16" width="5.7109375" style="11" bestFit="1" customWidth="1"/>
    <col min="17" max="19" width="5.7109375" style="10" bestFit="1" customWidth="1"/>
    <col min="20" max="16384" width="11.42578125" style="10"/>
  </cols>
  <sheetData>
    <row r="1" spans="1:20" s="9" customFormat="1" ht="65.099999999999994" customHeight="1" x14ac:dyDescent="0.25">
      <c r="A1" s="12" t="s">
        <v>96</v>
      </c>
      <c r="B1" s="12" t="s">
        <v>97</v>
      </c>
      <c r="C1" s="12" t="s">
        <v>98</v>
      </c>
      <c r="D1" s="13" t="s">
        <v>829</v>
      </c>
      <c r="E1" s="13" t="s">
        <v>830</v>
      </c>
      <c r="F1" s="13" t="s">
        <v>831</v>
      </c>
      <c r="G1" s="13" t="s">
        <v>832</v>
      </c>
      <c r="H1" s="13" t="s">
        <v>833</v>
      </c>
      <c r="I1" s="13" t="s">
        <v>834</v>
      </c>
      <c r="J1" s="12" t="s">
        <v>99</v>
      </c>
      <c r="K1" s="14" t="s">
        <v>167</v>
      </c>
      <c r="L1" s="7" t="s">
        <v>100</v>
      </c>
      <c r="M1" s="7" t="s">
        <v>101</v>
      </c>
      <c r="N1" s="7" t="s">
        <v>102</v>
      </c>
      <c r="O1" s="7" t="s">
        <v>103</v>
      </c>
      <c r="P1" s="8" t="s">
        <v>104</v>
      </c>
      <c r="Q1" s="8" t="s">
        <v>105</v>
      </c>
      <c r="R1" s="8" t="s">
        <v>106</v>
      </c>
      <c r="S1" s="8" t="s">
        <v>107</v>
      </c>
      <c r="T1"/>
    </row>
    <row r="2" spans="1:20" ht="15" x14ac:dyDescent="0.25">
      <c r="A2" s="15" t="s">
        <v>122</v>
      </c>
      <c r="B2" s="15" t="s">
        <v>835</v>
      </c>
      <c r="C2" s="15" t="s">
        <v>108</v>
      </c>
      <c r="D2" s="15"/>
      <c r="E2" s="15"/>
      <c r="F2" s="15">
        <v>1</v>
      </c>
      <c r="G2" s="15"/>
      <c r="H2" s="15"/>
      <c r="I2" s="15"/>
      <c r="J2" s="15">
        <v>1</v>
      </c>
      <c r="K2" s="15" t="s">
        <v>57</v>
      </c>
      <c r="L2" s="16" t="s">
        <v>34</v>
      </c>
      <c r="M2" s="16" t="s">
        <v>39</v>
      </c>
      <c r="N2" s="16" t="s">
        <v>28</v>
      </c>
      <c r="O2" s="16" t="s">
        <v>28</v>
      </c>
      <c r="P2" s="16">
        <v>50</v>
      </c>
      <c r="Q2" s="16">
        <v>0.5</v>
      </c>
      <c r="R2" s="16">
        <v>0</v>
      </c>
      <c r="S2" s="16">
        <v>0.5</v>
      </c>
      <c r="T2"/>
    </row>
    <row r="3" spans="1:20" ht="15" x14ac:dyDescent="0.25">
      <c r="A3" s="15" t="s">
        <v>166</v>
      </c>
      <c r="B3" s="15" t="s">
        <v>836</v>
      </c>
      <c r="C3" s="15" t="s">
        <v>108</v>
      </c>
      <c r="D3" s="15"/>
      <c r="E3" s="15"/>
      <c r="F3" s="15"/>
      <c r="G3" s="15"/>
      <c r="H3" s="15">
        <v>1</v>
      </c>
      <c r="I3" s="15">
        <v>1</v>
      </c>
      <c r="J3" s="15">
        <v>2</v>
      </c>
      <c r="K3" s="15" t="s">
        <v>65</v>
      </c>
      <c r="L3" s="16" t="s">
        <v>34</v>
      </c>
      <c r="M3" s="16" t="s">
        <v>39</v>
      </c>
      <c r="N3" s="16" t="s">
        <v>28</v>
      </c>
      <c r="O3" s="16" t="s">
        <v>28</v>
      </c>
      <c r="P3" s="16">
        <v>50</v>
      </c>
      <c r="Q3" s="16">
        <v>1</v>
      </c>
      <c r="R3" s="16">
        <v>0</v>
      </c>
      <c r="S3" s="16">
        <v>1</v>
      </c>
      <c r="T3"/>
    </row>
    <row r="4" spans="1:20" ht="15" x14ac:dyDescent="0.25">
      <c r="A4" s="15" t="s">
        <v>116</v>
      </c>
      <c r="B4" s="15" t="s">
        <v>837</v>
      </c>
      <c r="C4" s="15" t="s">
        <v>108</v>
      </c>
      <c r="D4" s="15"/>
      <c r="E4" s="15"/>
      <c r="F4" s="15">
        <v>1</v>
      </c>
      <c r="G4" s="15"/>
      <c r="H4" s="15"/>
      <c r="I4" s="15"/>
      <c r="J4" s="15">
        <v>1</v>
      </c>
      <c r="K4" s="15" t="s">
        <v>90</v>
      </c>
      <c r="L4" s="16" t="s">
        <v>34</v>
      </c>
      <c r="M4" s="16" t="s">
        <v>39</v>
      </c>
      <c r="N4" s="16" t="s">
        <v>28</v>
      </c>
      <c r="O4" s="16" t="s">
        <v>28</v>
      </c>
      <c r="P4" s="16">
        <v>50</v>
      </c>
      <c r="Q4" s="16">
        <v>0.5</v>
      </c>
      <c r="R4" s="16">
        <v>0</v>
      </c>
      <c r="S4" s="16">
        <v>0.5</v>
      </c>
      <c r="T4"/>
    </row>
    <row r="5" spans="1:20" ht="15" x14ac:dyDescent="0.25">
      <c r="A5" s="15" t="s">
        <v>168</v>
      </c>
      <c r="B5" s="15" t="s">
        <v>838</v>
      </c>
      <c r="C5" s="15" t="s">
        <v>109</v>
      </c>
      <c r="D5" s="15"/>
      <c r="E5" s="15">
        <v>1</v>
      </c>
      <c r="F5" s="15"/>
      <c r="G5" s="15"/>
      <c r="H5" s="15"/>
      <c r="I5" s="15"/>
      <c r="J5" s="15">
        <v>1</v>
      </c>
      <c r="K5" s="15" t="s">
        <v>78</v>
      </c>
      <c r="L5" s="16" t="s">
        <v>34</v>
      </c>
      <c r="M5" s="16" t="s">
        <v>47</v>
      </c>
      <c r="N5" s="16" t="s">
        <v>28</v>
      </c>
      <c r="O5" s="16" t="s">
        <v>28</v>
      </c>
      <c r="P5" s="16">
        <v>90</v>
      </c>
      <c r="Q5" s="16">
        <v>0.1</v>
      </c>
      <c r="R5" s="16">
        <v>0</v>
      </c>
      <c r="S5" s="16">
        <v>0.9</v>
      </c>
      <c r="T5"/>
    </row>
    <row r="6" spans="1:20" ht="15" x14ac:dyDescent="0.25">
      <c r="A6" s="15" t="s">
        <v>309</v>
      </c>
      <c r="B6" s="15" t="s">
        <v>839</v>
      </c>
      <c r="C6" s="15" t="s">
        <v>108</v>
      </c>
      <c r="D6" s="15"/>
      <c r="E6" s="15"/>
      <c r="F6" s="15">
        <v>1</v>
      </c>
      <c r="G6" s="15"/>
      <c r="H6" s="15"/>
      <c r="I6" s="15"/>
      <c r="J6" s="15">
        <v>1</v>
      </c>
      <c r="K6" s="15" t="s">
        <v>310</v>
      </c>
      <c r="L6" s="16" t="s">
        <v>34</v>
      </c>
      <c r="M6" s="16" t="s">
        <v>47</v>
      </c>
      <c r="N6" s="16" t="s">
        <v>28</v>
      </c>
      <c r="O6" s="16" t="s">
        <v>28</v>
      </c>
      <c r="P6" s="16">
        <v>90</v>
      </c>
      <c r="Q6" s="16">
        <v>0.1</v>
      </c>
      <c r="R6" s="16">
        <v>0</v>
      </c>
      <c r="S6" s="16">
        <v>0.9</v>
      </c>
      <c r="T6"/>
    </row>
    <row r="7" spans="1:20" ht="15" x14ac:dyDescent="0.25">
      <c r="A7" s="19" t="s">
        <v>311</v>
      </c>
      <c r="B7" s="19" t="s">
        <v>840</v>
      </c>
      <c r="C7" s="20" t="s">
        <v>108</v>
      </c>
      <c r="D7" s="19"/>
      <c r="E7" s="19"/>
      <c r="F7" s="19">
        <v>1</v>
      </c>
      <c r="G7" s="19"/>
      <c r="H7" s="19"/>
      <c r="I7" s="19"/>
      <c r="J7" s="15">
        <v>1</v>
      </c>
      <c r="K7" s="15" t="s">
        <v>75</v>
      </c>
      <c r="L7" s="16" t="s">
        <v>34</v>
      </c>
      <c r="M7" s="16" t="s">
        <v>43</v>
      </c>
      <c r="N7" s="16" t="s">
        <v>28</v>
      </c>
      <c r="O7" s="16" t="s">
        <v>28</v>
      </c>
      <c r="P7" s="16">
        <v>80</v>
      </c>
      <c r="Q7" s="16">
        <v>0.2</v>
      </c>
      <c r="R7" s="16">
        <v>0</v>
      </c>
      <c r="S7" s="16">
        <v>0.8</v>
      </c>
      <c r="T7"/>
    </row>
    <row r="8" spans="1:20" ht="15" x14ac:dyDescent="0.25">
      <c r="A8" s="15" t="s">
        <v>135</v>
      </c>
      <c r="B8" s="15" t="s">
        <v>841</v>
      </c>
      <c r="C8" s="15" t="s">
        <v>108</v>
      </c>
      <c r="D8" s="15"/>
      <c r="E8" s="15">
        <v>1</v>
      </c>
      <c r="F8" s="15"/>
      <c r="G8" s="15"/>
      <c r="H8" s="15"/>
      <c r="I8" s="15"/>
      <c r="J8" s="15">
        <v>1</v>
      </c>
      <c r="K8" s="15" t="s">
        <v>75</v>
      </c>
      <c r="L8" s="16" t="s">
        <v>34</v>
      </c>
      <c r="M8" s="16" t="s">
        <v>47</v>
      </c>
      <c r="N8" s="16" t="s">
        <v>28</v>
      </c>
      <c r="O8" s="16" t="s">
        <v>28</v>
      </c>
      <c r="P8" s="16">
        <v>90</v>
      </c>
      <c r="Q8" s="16">
        <v>0.1</v>
      </c>
      <c r="R8" s="16">
        <v>0</v>
      </c>
      <c r="S8" s="16">
        <v>0.9</v>
      </c>
      <c r="T8"/>
    </row>
    <row r="9" spans="1:20" ht="15" x14ac:dyDescent="0.25">
      <c r="A9" s="15" t="s">
        <v>174</v>
      </c>
      <c r="B9" s="15" t="s">
        <v>842</v>
      </c>
      <c r="C9" s="15" t="s">
        <v>108</v>
      </c>
      <c r="D9" s="15"/>
      <c r="E9" s="15">
        <v>1</v>
      </c>
      <c r="F9" s="15"/>
      <c r="G9" s="15"/>
      <c r="H9" s="15"/>
      <c r="I9" s="15"/>
      <c r="J9" s="15">
        <v>1</v>
      </c>
      <c r="K9" s="15" t="s">
        <v>72</v>
      </c>
      <c r="L9" s="16" t="s">
        <v>34</v>
      </c>
      <c r="M9" s="16" t="s">
        <v>529</v>
      </c>
      <c r="N9" s="16" t="s">
        <v>35</v>
      </c>
      <c r="O9" s="16" t="s">
        <v>62</v>
      </c>
      <c r="P9" s="16">
        <v>35</v>
      </c>
      <c r="Q9" s="16">
        <v>0.35</v>
      </c>
      <c r="R9" s="16">
        <v>0.3</v>
      </c>
      <c r="S9" s="16">
        <v>0.35</v>
      </c>
      <c r="T9"/>
    </row>
    <row r="10" spans="1:20" ht="15" x14ac:dyDescent="0.25">
      <c r="A10" s="15" t="s">
        <v>111</v>
      </c>
      <c r="B10" s="15" t="s">
        <v>843</v>
      </c>
      <c r="C10" s="15" t="s">
        <v>108</v>
      </c>
      <c r="D10" s="15"/>
      <c r="E10" s="15"/>
      <c r="F10" s="15">
        <v>1</v>
      </c>
      <c r="G10" s="15"/>
      <c r="H10" s="15"/>
      <c r="I10" s="15"/>
      <c r="J10" s="15">
        <v>1</v>
      </c>
      <c r="K10" s="15" t="s">
        <v>46</v>
      </c>
      <c r="L10" s="16" t="s">
        <v>34</v>
      </c>
      <c r="M10" s="16" t="s">
        <v>47</v>
      </c>
      <c r="N10" s="16" t="s">
        <v>52</v>
      </c>
      <c r="O10" s="16" t="s">
        <v>39</v>
      </c>
      <c r="P10" s="16">
        <v>40</v>
      </c>
      <c r="Q10" s="16">
        <v>0.1</v>
      </c>
      <c r="R10" s="16">
        <v>0.5</v>
      </c>
      <c r="S10" s="16">
        <v>0.4</v>
      </c>
      <c r="T10"/>
    </row>
    <row r="11" spans="1:20" ht="15" x14ac:dyDescent="0.25">
      <c r="A11" s="15" t="s">
        <v>130</v>
      </c>
      <c r="B11" s="15" t="s">
        <v>844</v>
      </c>
      <c r="C11" s="15" t="s">
        <v>108</v>
      </c>
      <c r="D11" s="15"/>
      <c r="E11" s="15">
        <v>1</v>
      </c>
      <c r="F11" s="15"/>
      <c r="G11" s="15"/>
      <c r="H11" s="15"/>
      <c r="I11" s="15"/>
      <c r="J11" s="15">
        <v>1</v>
      </c>
      <c r="K11" s="15" t="s">
        <v>86</v>
      </c>
      <c r="L11" s="16" t="s">
        <v>34</v>
      </c>
      <c r="M11" s="16" t="s">
        <v>43</v>
      </c>
      <c r="N11" s="16" t="s">
        <v>28</v>
      </c>
      <c r="O11" s="16" t="s">
        <v>28</v>
      </c>
      <c r="P11" s="16">
        <v>80</v>
      </c>
      <c r="Q11" s="16">
        <v>0.2</v>
      </c>
      <c r="R11" s="16">
        <v>0</v>
      </c>
      <c r="S11" s="16">
        <v>0.8</v>
      </c>
      <c r="T11"/>
    </row>
    <row r="12" spans="1:20" ht="15" x14ac:dyDescent="0.25">
      <c r="A12" s="15" t="s">
        <v>140</v>
      </c>
      <c r="B12" s="15" t="s">
        <v>845</v>
      </c>
      <c r="C12" s="19" t="s">
        <v>108</v>
      </c>
      <c r="D12" s="15"/>
      <c r="E12" s="15"/>
      <c r="F12" s="15"/>
      <c r="G12" s="15">
        <v>1</v>
      </c>
      <c r="H12" s="15"/>
      <c r="I12" s="15"/>
      <c r="J12" s="15">
        <v>1</v>
      </c>
      <c r="K12" s="15" t="s">
        <v>72</v>
      </c>
      <c r="L12" s="16" t="s">
        <v>34</v>
      </c>
      <c r="M12" s="16" t="s">
        <v>43</v>
      </c>
      <c r="N12" s="16" t="s">
        <v>35</v>
      </c>
      <c r="O12" s="16" t="s">
        <v>39</v>
      </c>
      <c r="P12" s="16">
        <v>30</v>
      </c>
      <c r="Q12" s="16">
        <v>0.2</v>
      </c>
      <c r="R12" s="16">
        <v>0.5</v>
      </c>
      <c r="S12" s="16">
        <v>0.3</v>
      </c>
      <c r="T12"/>
    </row>
    <row r="13" spans="1:20" ht="15" x14ac:dyDescent="0.25">
      <c r="A13" s="15" t="s">
        <v>137</v>
      </c>
      <c r="B13" s="15" t="s">
        <v>846</v>
      </c>
      <c r="C13" s="15" t="s">
        <v>108</v>
      </c>
      <c r="D13" s="15"/>
      <c r="E13" s="15"/>
      <c r="F13" s="15"/>
      <c r="G13" s="15">
        <v>1</v>
      </c>
      <c r="H13" s="15"/>
      <c r="I13" s="15"/>
      <c r="J13" s="15">
        <v>1</v>
      </c>
      <c r="K13" s="15" t="s">
        <v>72</v>
      </c>
      <c r="L13" s="16" t="s">
        <v>34</v>
      </c>
      <c r="M13" s="16" t="s">
        <v>43</v>
      </c>
      <c r="N13" s="16" t="s">
        <v>35</v>
      </c>
      <c r="O13" s="16" t="s">
        <v>62</v>
      </c>
      <c r="P13" s="16">
        <v>50</v>
      </c>
      <c r="Q13" s="16">
        <v>0.2</v>
      </c>
      <c r="R13" s="16">
        <v>0.3</v>
      </c>
      <c r="S13" s="16">
        <v>0.5</v>
      </c>
      <c r="T13"/>
    </row>
    <row r="14" spans="1:20" ht="15" x14ac:dyDescent="0.25">
      <c r="A14" s="15" t="s">
        <v>112</v>
      </c>
      <c r="B14" s="15" t="s">
        <v>847</v>
      </c>
      <c r="C14" s="15" t="s">
        <v>108</v>
      </c>
      <c r="D14" s="15"/>
      <c r="E14" s="15"/>
      <c r="F14" s="15"/>
      <c r="G14" s="15"/>
      <c r="H14" s="15">
        <v>1</v>
      </c>
      <c r="I14" s="15"/>
      <c r="J14" s="15">
        <v>1</v>
      </c>
      <c r="K14" s="15" t="s">
        <v>46</v>
      </c>
      <c r="L14" s="16" t="s">
        <v>34</v>
      </c>
      <c r="M14" s="16" t="s">
        <v>47</v>
      </c>
      <c r="N14" s="16" t="s">
        <v>52</v>
      </c>
      <c r="O14" s="16" t="s">
        <v>39</v>
      </c>
      <c r="P14" s="16">
        <v>40</v>
      </c>
      <c r="Q14" s="16">
        <v>0.1</v>
      </c>
      <c r="R14" s="16">
        <v>0.5</v>
      </c>
      <c r="S14" s="16">
        <v>0.4</v>
      </c>
      <c r="T14"/>
    </row>
    <row r="15" spans="1:20" ht="15" x14ac:dyDescent="0.25">
      <c r="A15" s="29" t="s">
        <v>169</v>
      </c>
      <c r="B15" s="29" t="s">
        <v>848</v>
      </c>
      <c r="C15" s="30" t="s">
        <v>108</v>
      </c>
      <c r="D15" s="29">
        <v>1</v>
      </c>
      <c r="E15" s="29"/>
      <c r="F15" s="29"/>
      <c r="G15" s="29"/>
      <c r="H15" s="29"/>
      <c r="I15" s="29"/>
      <c r="J15" s="15">
        <v>1</v>
      </c>
      <c r="K15" s="15" t="s">
        <v>170</v>
      </c>
      <c r="L15" s="16" t="s">
        <v>34</v>
      </c>
      <c r="M15" s="16" t="s">
        <v>47</v>
      </c>
      <c r="N15" s="16" t="s">
        <v>28</v>
      </c>
      <c r="O15" s="16" t="s">
        <v>28</v>
      </c>
      <c r="P15" s="16">
        <v>90</v>
      </c>
      <c r="Q15" s="16">
        <v>0.1</v>
      </c>
      <c r="R15" s="16">
        <v>0</v>
      </c>
      <c r="S15" s="16">
        <v>0.9</v>
      </c>
      <c r="T15"/>
    </row>
    <row r="16" spans="1:20" ht="15" x14ac:dyDescent="0.25">
      <c r="A16" s="19" t="s">
        <v>120</v>
      </c>
      <c r="B16" s="19" t="s">
        <v>849</v>
      </c>
      <c r="C16" s="20" t="s">
        <v>108</v>
      </c>
      <c r="D16" s="19"/>
      <c r="E16" s="19">
        <v>1</v>
      </c>
      <c r="F16" s="19"/>
      <c r="G16" s="19"/>
      <c r="H16" s="19"/>
      <c r="I16" s="19"/>
      <c r="J16" s="15">
        <v>1</v>
      </c>
      <c r="K16" s="15" t="s">
        <v>78</v>
      </c>
      <c r="L16" s="16" t="s">
        <v>34</v>
      </c>
      <c r="M16" s="16" t="s">
        <v>53</v>
      </c>
      <c r="N16" s="16" t="s">
        <v>52</v>
      </c>
      <c r="O16" s="16" t="s">
        <v>47</v>
      </c>
      <c r="P16" s="16">
        <v>50</v>
      </c>
      <c r="Q16" s="16">
        <v>0.4</v>
      </c>
      <c r="R16" s="16">
        <v>0.1</v>
      </c>
      <c r="S16" s="16">
        <v>0.5</v>
      </c>
      <c r="T16"/>
    </row>
    <row r="17" spans="1:20" ht="15" x14ac:dyDescent="0.25">
      <c r="A17" s="15" t="s">
        <v>523</v>
      </c>
      <c r="B17" s="15" t="s">
        <v>850</v>
      </c>
      <c r="C17" s="15" t="s">
        <v>851</v>
      </c>
      <c r="D17" s="15"/>
      <c r="E17" s="15"/>
      <c r="F17" s="15"/>
      <c r="G17" s="15"/>
      <c r="H17" s="15"/>
      <c r="I17" s="15">
        <v>1</v>
      </c>
      <c r="J17" s="15">
        <v>1</v>
      </c>
      <c r="K17" s="15" t="s">
        <v>524</v>
      </c>
      <c r="L17" s="16" t="s">
        <v>34</v>
      </c>
      <c r="M17" s="16" t="s">
        <v>47</v>
      </c>
      <c r="N17" s="16" t="s">
        <v>28</v>
      </c>
      <c r="O17" s="16" t="s">
        <v>28</v>
      </c>
      <c r="P17" s="16">
        <v>90</v>
      </c>
      <c r="Q17" s="16">
        <v>0.1</v>
      </c>
      <c r="R17" s="16">
        <v>0</v>
      </c>
      <c r="S17" s="16">
        <v>0.9</v>
      </c>
      <c r="T17"/>
    </row>
    <row r="18" spans="1:20" ht="15" x14ac:dyDescent="0.25">
      <c r="A18" s="15" t="s">
        <v>117</v>
      </c>
      <c r="B18" s="15" t="s">
        <v>852</v>
      </c>
      <c r="C18" s="15" t="s">
        <v>108</v>
      </c>
      <c r="D18" s="15"/>
      <c r="E18" s="15"/>
      <c r="F18" s="15">
        <v>1</v>
      </c>
      <c r="G18" s="15"/>
      <c r="H18" s="15"/>
      <c r="I18" s="15"/>
      <c r="J18" s="15">
        <v>1</v>
      </c>
      <c r="K18" s="15" t="s">
        <v>90</v>
      </c>
      <c r="L18" s="16" t="s">
        <v>34</v>
      </c>
      <c r="M18" s="16" t="s">
        <v>47</v>
      </c>
      <c r="N18" s="16" t="s">
        <v>28</v>
      </c>
      <c r="O18" s="16" t="s">
        <v>28</v>
      </c>
      <c r="P18" s="16">
        <v>90</v>
      </c>
      <c r="Q18" s="16">
        <v>0.1</v>
      </c>
      <c r="R18" s="16">
        <v>0</v>
      </c>
      <c r="S18" s="16">
        <v>0.9</v>
      </c>
      <c r="T18"/>
    </row>
    <row r="19" spans="1:20" ht="15" x14ac:dyDescent="0.25">
      <c r="A19" s="15" t="s">
        <v>315</v>
      </c>
      <c r="B19" s="15" t="s">
        <v>853</v>
      </c>
      <c r="C19" s="15" t="s">
        <v>108</v>
      </c>
      <c r="D19" s="15"/>
      <c r="E19" s="15"/>
      <c r="F19" s="15">
        <v>1</v>
      </c>
      <c r="G19" s="15"/>
      <c r="H19" s="15"/>
      <c r="I19" s="15"/>
      <c r="J19" s="15">
        <v>1</v>
      </c>
      <c r="K19" s="15" t="s">
        <v>46</v>
      </c>
      <c r="L19" s="16" t="s">
        <v>34</v>
      </c>
      <c r="M19" s="16" t="s">
        <v>47</v>
      </c>
      <c r="N19" s="16" t="s">
        <v>231</v>
      </c>
      <c r="O19" s="16" t="s">
        <v>39</v>
      </c>
      <c r="P19" s="16">
        <v>40</v>
      </c>
      <c r="Q19" s="16">
        <v>0.1</v>
      </c>
      <c r="R19" s="16">
        <v>0.5</v>
      </c>
      <c r="S19" s="16">
        <v>0.4</v>
      </c>
      <c r="T19"/>
    </row>
    <row r="20" spans="1:20" ht="15" x14ac:dyDescent="0.25">
      <c r="A20" s="15" t="s">
        <v>110</v>
      </c>
      <c r="B20" s="15" t="s">
        <v>854</v>
      </c>
      <c r="C20" s="15" t="s">
        <v>108</v>
      </c>
      <c r="D20" s="15"/>
      <c r="E20" s="15">
        <v>1</v>
      </c>
      <c r="F20" s="15"/>
      <c r="G20" s="15"/>
      <c r="H20" s="15"/>
      <c r="I20" s="15"/>
      <c r="J20" s="15">
        <v>1</v>
      </c>
      <c r="K20" s="15" t="s">
        <v>72</v>
      </c>
      <c r="L20" s="16" t="s">
        <v>34</v>
      </c>
      <c r="M20" s="16" t="s">
        <v>74</v>
      </c>
      <c r="N20" s="16" t="s">
        <v>52</v>
      </c>
      <c r="O20" s="16" t="s">
        <v>47</v>
      </c>
      <c r="P20" s="16">
        <v>20</v>
      </c>
      <c r="Q20" s="16">
        <v>0.7</v>
      </c>
      <c r="R20" s="16">
        <v>0.1</v>
      </c>
      <c r="S20" s="16">
        <v>0.2</v>
      </c>
      <c r="T20"/>
    </row>
    <row r="21" spans="1:20" ht="15" x14ac:dyDescent="0.25">
      <c r="A21" s="15" t="s">
        <v>123</v>
      </c>
      <c r="B21" s="15" t="s">
        <v>855</v>
      </c>
      <c r="C21" s="15" t="s">
        <v>108</v>
      </c>
      <c r="D21" s="15"/>
      <c r="E21" s="15">
        <v>1</v>
      </c>
      <c r="F21" s="15"/>
      <c r="G21" s="15"/>
      <c r="H21" s="15"/>
      <c r="I21" s="15"/>
      <c r="J21" s="15">
        <v>1</v>
      </c>
      <c r="K21" s="15" t="s">
        <v>90</v>
      </c>
      <c r="L21" s="16" t="s">
        <v>34</v>
      </c>
      <c r="M21" s="16" t="s">
        <v>521</v>
      </c>
      <c r="N21" s="16" t="s">
        <v>28</v>
      </c>
      <c r="O21" s="16" t="s">
        <v>28</v>
      </c>
      <c r="P21" s="16">
        <v>75</v>
      </c>
      <c r="Q21" s="16">
        <v>0.25</v>
      </c>
      <c r="R21" s="16">
        <v>0</v>
      </c>
      <c r="S21" s="16">
        <v>0.75</v>
      </c>
      <c r="T21"/>
    </row>
    <row r="22" spans="1:20" ht="15" x14ac:dyDescent="0.25">
      <c r="A22" s="15" t="s">
        <v>133</v>
      </c>
      <c r="B22" s="15" t="s">
        <v>856</v>
      </c>
      <c r="C22" s="15" t="s">
        <v>108</v>
      </c>
      <c r="D22" s="15">
        <v>1</v>
      </c>
      <c r="E22" s="15"/>
      <c r="F22" s="15"/>
      <c r="G22" s="15"/>
      <c r="H22" s="15"/>
      <c r="I22" s="15"/>
      <c r="J22" s="15">
        <v>1</v>
      </c>
      <c r="K22" s="15" t="s">
        <v>78</v>
      </c>
      <c r="L22" s="16" t="s">
        <v>34</v>
      </c>
      <c r="M22" s="16" t="s">
        <v>47</v>
      </c>
      <c r="N22" s="16" t="s">
        <v>28</v>
      </c>
      <c r="O22" s="16" t="s">
        <v>28</v>
      </c>
      <c r="P22" s="16">
        <v>90</v>
      </c>
      <c r="Q22" s="16">
        <v>0.1</v>
      </c>
      <c r="R22" s="16">
        <v>0</v>
      </c>
      <c r="S22" s="16">
        <v>0.9</v>
      </c>
      <c r="T22"/>
    </row>
    <row r="23" spans="1:20" ht="15" x14ac:dyDescent="0.25">
      <c r="A23" s="15" t="s">
        <v>171</v>
      </c>
      <c r="B23" s="15" t="s">
        <v>857</v>
      </c>
      <c r="C23" s="15" t="s">
        <v>108</v>
      </c>
      <c r="D23" s="15"/>
      <c r="E23" s="15">
        <v>1</v>
      </c>
      <c r="F23" s="15"/>
      <c r="G23" s="15"/>
      <c r="H23" s="15"/>
      <c r="I23" s="15"/>
      <c r="J23" s="15">
        <v>1</v>
      </c>
      <c r="K23" s="15" t="s">
        <v>78</v>
      </c>
      <c r="L23" s="16" t="s">
        <v>34</v>
      </c>
      <c r="M23" s="16" t="s">
        <v>47</v>
      </c>
      <c r="N23" s="16" t="s">
        <v>28</v>
      </c>
      <c r="O23" s="16" t="s">
        <v>28</v>
      </c>
      <c r="P23" s="16">
        <v>90</v>
      </c>
      <c r="Q23" s="16">
        <v>0.1</v>
      </c>
      <c r="R23" s="16">
        <v>0</v>
      </c>
      <c r="S23" s="16">
        <v>0.9</v>
      </c>
      <c r="T23"/>
    </row>
    <row r="24" spans="1:20" ht="15" x14ac:dyDescent="0.25">
      <c r="A24" s="15" t="s">
        <v>132</v>
      </c>
      <c r="B24" s="15" t="s">
        <v>858</v>
      </c>
      <c r="C24" s="15" t="s">
        <v>108</v>
      </c>
      <c r="D24" s="15"/>
      <c r="E24" s="15"/>
      <c r="F24" s="15"/>
      <c r="G24" s="15">
        <v>1</v>
      </c>
      <c r="H24" s="15"/>
      <c r="I24" s="15"/>
      <c r="J24" s="15">
        <v>1</v>
      </c>
      <c r="K24" s="15" t="s">
        <v>78</v>
      </c>
      <c r="L24" s="16" t="s">
        <v>34</v>
      </c>
      <c r="M24" s="16" t="s">
        <v>47</v>
      </c>
      <c r="N24" s="16" t="s">
        <v>28</v>
      </c>
      <c r="O24" s="16" t="s">
        <v>28</v>
      </c>
      <c r="P24" s="16">
        <v>90</v>
      </c>
      <c r="Q24" s="16">
        <v>0.1</v>
      </c>
      <c r="R24" s="16">
        <v>0</v>
      </c>
      <c r="S24" s="16">
        <v>0.9</v>
      </c>
      <c r="T24"/>
    </row>
    <row r="25" spans="1:20" ht="15" x14ac:dyDescent="0.25">
      <c r="A25" s="15" t="s">
        <v>371</v>
      </c>
      <c r="B25" s="15" t="s">
        <v>859</v>
      </c>
      <c r="C25" s="15" t="s">
        <v>108</v>
      </c>
      <c r="D25" s="15"/>
      <c r="E25" s="15"/>
      <c r="F25" s="15">
        <v>1</v>
      </c>
      <c r="G25" s="15"/>
      <c r="H25" s="15"/>
      <c r="I25" s="15"/>
      <c r="J25" s="15">
        <v>1</v>
      </c>
      <c r="K25" s="15" t="s">
        <v>170</v>
      </c>
      <c r="L25" s="16" t="s">
        <v>34</v>
      </c>
      <c r="M25" s="16" t="s">
        <v>47</v>
      </c>
      <c r="N25" s="16" t="s">
        <v>28</v>
      </c>
      <c r="O25" s="16" t="s">
        <v>28</v>
      </c>
      <c r="P25" s="16">
        <v>90</v>
      </c>
      <c r="Q25" s="16">
        <v>0.1</v>
      </c>
      <c r="R25" s="16">
        <v>0</v>
      </c>
      <c r="S25" s="16">
        <v>0.9</v>
      </c>
      <c r="T25"/>
    </row>
    <row r="26" spans="1:20" ht="15" x14ac:dyDescent="0.25">
      <c r="A26" s="15" t="s">
        <v>312</v>
      </c>
      <c r="B26" s="15" t="s">
        <v>860</v>
      </c>
      <c r="C26" s="15" t="s">
        <v>108</v>
      </c>
      <c r="D26" s="15"/>
      <c r="E26" s="15"/>
      <c r="F26" s="15">
        <v>1</v>
      </c>
      <c r="G26" s="15"/>
      <c r="H26" s="15"/>
      <c r="I26" s="15"/>
      <c r="J26" s="15">
        <v>1</v>
      </c>
      <c r="K26" s="15" t="s">
        <v>78</v>
      </c>
      <c r="L26" s="16" t="s">
        <v>34</v>
      </c>
      <c r="M26" s="16" t="s">
        <v>47</v>
      </c>
      <c r="N26" s="16" t="s">
        <v>28</v>
      </c>
      <c r="O26" s="16" t="s">
        <v>28</v>
      </c>
      <c r="P26" s="16">
        <v>90</v>
      </c>
      <c r="Q26" s="16">
        <v>0.1</v>
      </c>
      <c r="R26" s="16">
        <v>0</v>
      </c>
      <c r="S26" s="16">
        <v>0.9</v>
      </c>
      <c r="T26"/>
    </row>
    <row r="27" spans="1:20" ht="15" x14ac:dyDescent="0.25">
      <c r="A27" s="15" t="s">
        <v>172</v>
      </c>
      <c r="B27" s="15" t="s">
        <v>861</v>
      </c>
      <c r="C27" s="15" t="s">
        <v>108</v>
      </c>
      <c r="D27" s="15"/>
      <c r="E27" s="15"/>
      <c r="F27" s="15"/>
      <c r="G27" s="15">
        <v>1</v>
      </c>
      <c r="H27" s="15"/>
      <c r="I27" s="15"/>
      <c r="J27" s="15">
        <v>1</v>
      </c>
      <c r="K27" s="15" t="s">
        <v>78</v>
      </c>
      <c r="L27" s="16" t="s">
        <v>34</v>
      </c>
      <c r="M27" s="16" t="s">
        <v>47</v>
      </c>
      <c r="N27" s="16" t="s">
        <v>28</v>
      </c>
      <c r="O27" s="16" t="s">
        <v>28</v>
      </c>
      <c r="P27" s="16">
        <v>90</v>
      </c>
      <c r="Q27" s="16">
        <v>0.1</v>
      </c>
      <c r="R27" s="16">
        <v>0</v>
      </c>
      <c r="S27" s="16">
        <v>0.9</v>
      </c>
      <c r="T27"/>
    </row>
    <row r="28" spans="1:20" ht="15" x14ac:dyDescent="0.25">
      <c r="A28" s="15" t="s">
        <v>316</v>
      </c>
      <c r="B28" s="15" t="s">
        <v>862</v>
      </c>
      <c r="C28" s="15" t="s">
        <v>108</v>
      </c>
      <c r="D28" s="15"/>
      <c r="E28" s="15"/>
      <c r="F28" s="15"/>
      <c r="G28" s="15">
        <v>1</v>
      </c>
      <c r="H28" s="15"/>
      <c r="I28" s="15"/>
      <c r="J28" s="15">
        <v>1</v>
      </c>
      <c r="K28" s="15" t="s">
        <v>46</v>
      </c>
      <c r="L28" s="16" t="s">
        <v>34</v>
      </c>
      <c r="M28" s="16" t="s">
        <v>47</v>
      </c>
      <c r="N28" s="16" t="s">
        <v>52</v>
      </c>
      <c r="O28" s="16" t="s">
        <v>39</v>
      </c>
      <c r="P28" s="16">
        <v>40</v>
      </c>
      <c r="Q28" s="16">
        <v>0.1</v>
      </c>
      <c r="R28" s="16">
        <v>0.5</v>
      </c>
      <c r="S28" s="16">
        <v>0.4</v>
      </c>
      <c r="T28"/>
    </row>
    <row r="29" spans="1:20" ht="15" x14ac:dyDescent="0.25">
      <c r="A29" s="15" t="s">
        <v>313</v>
      </c>
      <c r="B29" s="15" t="s">
        <v>863</v>
      </c>
      <c r="C29" s="15" t="s">
        <v>108</v>
      </c>
      <c r="D29" s="15"/>
      <c r="E29" s="15"/>
      <c r="F29" s="15">
        <v>1</v>
      </c>
      <c r="G29" s="15"/>
      <c r="H29" s="15"/>
      <c r="I29" s="15"/>
      <c r="J29" s="15">
        <v>1</v>
      </c>
      <c r="K29" s="15" t="s">
        <v>78</v>
      </c>
      <c r="L29" s="16" t="s">
        <v>34</v>
      </c>
      <c r="M29" s="16" t="s">
        <v>47</v>
      </c>
      <c r="N29" s="16" t="s">
        <v>28</v>
      </c>
      <c r="O29" s="16" t="s">
        <v>28</v>
      </c>
      <c r="P29" s="16">
        <v>90</v>
      </c>
      <c r="Q29" s="16">
        <v>0.1</v>
      </c>
      <c r="R29" s="16">
        <v>0</v>
      </c>
      <c r="S29" s="16">
        <v>0.9</v>
      </c>
      <c r="T29"/>
    </row>
    <row r="30" spans="1:20" ht="15" x14ac:dyDescent="0.25">
      <c r="A30" s="15" t="s">
        <v>115</v>
      </c>
      <c r="B30" s="15" t="s">
        <v>864</v>
      </c>
      <c r="C30" s="15" t="s">
        <v>108</v>
      </c>
      <c r="D30" s="15"/>
      <c r="E30" s="15"/>
      <c r="F30" s="15"/>
      <c r="G30" s="15"/>
      <c r="H30" s="15">
        <v>2</v>
      </c>
      <c r="I30" s="15"/>
      <c r="J30" s="15">
        <v>2</v>
      </c>
      <c r="K30" s="15" t="s">
        <v>90</v>
      </c>
      <c r="L30" s="16" t="s">
        <v>34</v>
      </c>
      <c r="M30" s="16" t="s">
        <v>525</v>
      </c>
      <c r="N30" s="16" t="s">
        <v>28</v>
      </c>
      <c r="O30" s="16" t="s">
        <v>28</v>
      </c>
      <c r="P30" s="16">
        <v>85</v>
      </c>
      <c r="Q30" s="16">
        <v>0.3</v>
      </c>
      <c r="R30" s="16">
        <v>0</v>
      </c>
      <c r="S30" s="16">
        <v>1.7</v>
      </c>
      <c r="T30"/>
    </row>
    <row r="31" spans="1:20" ht="15" x14ac:dyDescent="0.25">
      <c r="A31" s="15" t="s">
        <v>129</v>
      </c>
      <c r="B31" s="15" t="s">
        <v>865</v>
      </c>
      <c r="C31" s="15" t="s">
        <v>108</v>
      </c>
      <c r="D31" s="15"/>
      <c r="E31" s="15"/>
      <c r="F31" s="15">
        <v>1</v>
      </c>
      <c r="G31" s="15"/>
      <c r="H31" s="15"/>
      <c r="I31" s="15"/>
      <c r="J31" s="15">
        <v>1</v>
      </c>
      <c r="K31" s="15" t="s">
        <v>78</v>
      </c>
      <c r="L31" s="16" t="s">
        <v>34</v>
      </c>
      <c r="M31" s="16" t="s">
        <v>525</v>
      </c>
      <c r="N31" s="16" t="s">
        <v>28</v>
      </c>
      <c r="O31" s="16" t="s">
        <v>28</v>
      </c>
      <c r="P31" s="16">
        <v>85</v>
      </c>
      <c r="Q31" s="16">
        <v>0.15</v>
      </c>
      <c r="R31" s="16">
        <v>0</v>
      </c>
      <c r="S31" s="16">
        <v>0.85</v>
      </c>
      <c r="T31"/>
    </row>
    <row r="32" spans="1:20" ht="15" x14ac:dyDescent="0.25">
      <c r="A32" s="15" t="s">
        <v>114</v>
      </c>
      <c r="B32" s="15" t="s">
        <v>866</v>
      </c>
      <c r="C32" s="15" t="s">
        <v>108</v>
      </c>
      <c r="D32" s="15"/>
      <c r="E32" s="15">
        <v>2</v>
      </c>
      <c r="F32" s="15"/>
      <c r="G32" s="15"/>
      <c r="H32" s="15"/>
      <c r="I32" s="15"/>
      <c r="J32" s="15">
        <v>2</v>
      </c>
      <c r="K32" s="15" t="s">
        <v>78</v>
      </c>
      <c r="L32" s="16" t="s">
        <v>34</v>
      </c>
      <c r="M32" s="16" t="s">
        <v>62</v>
      </c>
      <c r="N32" s="16" t="s">
        <v>28</v>
      </c>
      <c r="O32" s="16" t="s">
        <v>28</v>
      </c>
      <c r="P32" s="16">
        <v>70</v>
      </c>
      <c r="Q32" s="16">
        <v>0.6</v>
      </c>
      <c r="R32" s="16">
        <v>0</v>
      </c>
      <c r="S32" s="16">
        <v>1.4</v>
      </c>
      <c r="T32"/>
    </row>
    <row r="33" spans="1:20" ht="15" x14ac:dyDescent="0.25">
      <c r="A33" s="15" t="s">
        <v>867</v>
      </c>
      <c r="B33" s="15" t="s">
        <v>868</v>
      </c>
      <c r="C33" s="15" t="s">
        <v>109</v>
      </c>
      <c r="D33" s="15"/>
      <c r="E33" s="15"/>
      <c r="F33" s="15"/>
      <c r="G33" s="15"/>
      <c r="H33" s="15"/>
      <c r="I33" s="15">
        <v>1</v>
      </c>
      <c r="J33" s="15">
        <v>1</v>
      </c>
      <c r="K33" s="15" t="s">
        <v>65</v>
      </c>
      <c r="L33" s="16" t="s">
        <v>34</v>
      </c>
      <c r="M33" s="16" t="s">
        <v>47</v>
      </c>
      <c r="N33" s="16" t="s">
        <v>28</v>
      </c>
      <c r="O33" s="16" t="s">
        <v>28</v>
      </c>
      <c r="P33" s="16">
        <v>90</v>
      </c>
      <c r="Q33" s="16">
        <v>0.1</v>
      </c>
      <c r="R33" s="16">
        <v>0</v>
      </c>
      <c r="S33" s="16">
        <v>0.9</v>
      </c>
      <c r="T33"/>
    </row>
    <row r="34" spans="1:20" ht="15" x14ac:dyDescent="0.25">
      <c r="A34" s="15" t="s">
        <v>526</v>
      </c>
      <c r="B34" s="15" t="s">
        <v>869</v>
      </c>
      <c r="C34" s="15" t="s">
        <v>108</v>
      </c>
      <c r="D34" s="15"/>
      <c r="E34" s="15">
        <v>1</v>
      </c>
      <c r="F34" s="15"/>
      <c r="G34" s="15">
        <v>1</v>
      </c>
      <c r="H34" s="15"/>
      <c r="I34" s="15"/>
      <c r="J34" s="15">
        <v>2</v>
      </c>
      <c r="K34" s="15" t="s">
        <v>170</v>
      </c>
      <c r="L34" s="16" t="s">
        <v>34</v>
      </c>
      <c r="M34" s="16" t="s">
        <v>47</v>
      </c>
      <c r="N34" s="16" t="s">
        <v>28</v>
      </c>
      <c r="O34" s="16" t="s">
        <v>28</v>
      </c>
      <c r="P34" s="16">
        <v>90</v>
      </c>
      <c r="Q34" s="16">
        <v>0.2</v>
      </c>
      <c r="R34" s="16">
        <v>0</v>
      </c>
      <c r="S34" s="16">
        <v>1.8</v>
      </c>
      <c r="T34"/>
    </row>
    <row r="35" spans="1:20" ht="15" x14ac:dyDescent="0.25">
      <c r="A35" s="15" t="s">
        <v>870</v>
      </c>
      <c r="B35" s="15" t="s">
        <v>871</v>
      </c>
      <c r="C35" s="15" t="s">
        <v>108</v>
      </c>
      <c r="D35" s="15"/>
      <c r="E35" s="15"/>
      <c r="F35" s="15">
        <v>1</v>
      </c>
      <c r="G35" s="15"/>
      <c r="H35" s="15"/>
      <c r="I35" s="15">
        <v>1</v>
      </c>
      <c r="J35" s="15">
        <v>2</v>
      </c>
      <c r="K35" s="15" t="s">
        <v>170</v>
      </c>
      <c r="L35" s="16" t="s">
        <v>34</v>
      </c>
      <c r="M35" s="16" t="s">
        <v>47</v>
      </c>
      <c r="N35" s="16" t="s">
        <v>28</v>
      </c>
      <c r="O35" s="16" t="s">
        <v>28</v>
      </c>
      <c r="P35" s="16">
        <v>90</v>
      </c>
      <c r="Q35" s="16">
        <v>0.2</v>
      </c>
      <c r="R35" s="16">
        <v>0</v>
      </c>
      <c r="S35" s="16">
        <v>1.8</v>
      </c>
      <c r="T35"/>
    </row>
    <row r="36" spans="1:20" ht="15" x14ac:dyDescent="0.25">
      <c r="A36" s="15" t="s">
        <v>124</v>
      </c>
      <c r="B36" s="15" t="s">
        <v>872</v>
      </c>
      <c r="C36" s="15" t="s">
        <v>108</v>
      </c>
      <c r="D36" s="15"/>
      <c r="E36" s="15"/>
      <c r="F36" s="15"/>
      <c r="G36" s="15"/>
      <c r="H36" s="15"/>
      <c r="I36" s="15">
        <v>1</v>
      </c>
      <c r="J36" s="15">
        <v>1</v>
      </c>
      <c r="K36" s="15" t="s">
        <v>78</v>
      </c>
      <c r="L36" s="16" t="s">
        <v>34</v>
      </c>
      <c r="M36" s="16" t="s">
        <v>53</v>
      </c>
      <c r="N36" s="46" t="s">
        <v>52</v>
      </c>
      <c r="O36" s="46" t="s">
        <v>47</v>
      </c>
      <c r="P36" s="46">
        <v>50</v>
      </c>
      <c r="Q36" s="46">
        <v>0.4</v>
      </c>
      <c r="R36" s="46">
        <v>0.1</v>
      </c>
      <c r="S36" s="46">
        <v>0.5</v>
      </c>
      <c r="T36"/>
    </row>
    <row r="37" spans="1:20" ht="15" x14ac:dyDescent="0.25">
      <c r="A37" s="15" t="s">
        <v>125</v>
      </c>
      <c r="B37" s="15" t="s">
        <v>873</v>
      </c>
      <c r="C37" s="17" t="s">
        <v>108</v>
      </c>
      <c r="D37" s="15"/>
      <c r="E37" s="15">
        <v>1</v>
      </c>
      <c r="F37" s="15"/>
      <c r="G37" s="15"/>
      <c r="H37" s="15"/>
      <c r="I37" s="15"/>
      <c r="J37" s="15">
        <v>1</v>
      </c>
      <c r="K37" s="15" t="s">
        <v>57</v>
      </c>
      <c r="L37" s="16" t="s">
        <v>34</v>
      </c>
      <c r="M37" s="16" t="s">
        <v>43</v>
      </c>
      <c r="N37" s="16" t="s">
        <v>28</v>
      </c>
      <c r="O37" s="16" t="s">
        <v>28</v>
      </c>
      <c r="P37" s="16">
        <v>80</v>
      </c>
      <c r="Q37" s="16">
        <v>0.2</v>
      </c>
      <c r="R37" s="16">
        <v>0</v>
      </c>
      <c r="S37" s="16">
        <v>0.8</v>
      </c>
      <c r="T37"/>
    </row>
    <row r="38" spans="1:20" ht="15" x14ac:dyDescent="0.25">
      <c r="A38" s="15" t="s">
        <v>530</v>
      </c>
      <c r="B38" s="15" t="s">
        <v>874</v>
      </c>
      <c r="C38" s="17" t="s">
        <v>108</v>
      </c>
      <c r="D38" s="15"/>
      <c r="E38" s="15"/>
      <c r="F38" s="15"/>
      <c r="G38" s="15">
        <v>1</v>
      </c>
      <c r="H38" s="15"/>
      <c r="I38" s="15"/>
      <c r="J38" s="15">
        <v>1</v>
      </c>
      <c r="K38" s="15" t="s">
        <v>531</v>
      </c>
      <c r="L38" s="16" t="s">
        <v>34</v>
      </c>
      <c r="M38" s="16" t="s">
        <v>47</v>
      </c>
      <c r="N38" s="16" t="s">
        <v>532</v>
      </c>
      <c r="O38" s="16" t="s">
        <v>43</v>
      </c>
      <c r="P38" s="16">
        <v>70</v>
      </c>
      <c r="Q38" s="16">
        <v>0.1</v>
      </c>
      <c r="R38" s="16">
        <v>0.2</v>
      </c>
      <c r="S38" s="16">
        <v>0.7</v>
      </c>
      <c r="T38"/>
    </row>
    <row r="39" spans="1:20" ht="15" x14ac:dyDescent="0.25">
      <c r="A39" s="15" t="s">
        <v>119</v>
      </c>
      <c r="B39" s="15" t="s">
        <v>875</v>
      </c>
      <c r="C39" s="17" t="s">
        <v>108</v>
      </c>
      <c r="D39" s="15"/>
      <c r="E39" s="15"/>
      <c r="F39" s="15"/>
      <c r="G39" s="15">
        <v>1</v>
      </c>
      <c r="H39" s="15"/>
      <c r="I39" s="15"/>
      <c r="J39" s="15">
        <v>1</v>
      </c>
      <c r="K39" s="15" t="s">
        <v>78</v>
      </c>
      <c r="L39" s="16" t="s">
        <v>34</v>
      </c>
      <c r="M39" s="16" t="s">
        <v>47</v>
      </c>
      <c r="N39" s="16" t="s">
        <v>28</v>
      </c>
      <c r="O39" s="16" t="s">
        <v>28</v>
      </c>
      <c r="P39" s="16">
        <v>90</v>
      </c>
      <c r="Q39" s="16">
        <v>0.1</v>
      </c>
      <c r="R39" s="16">
        <v>0</v>
      </c>
      <c r="S39" s="16">
        <v>0.9</v>
      </c>
      <c r="T39"/>
    </row>
    <row r="40" spans="1:20" ht="15" x14ac:dyDescent="0.25">
      <c r="A40" s="15" t="s">
        <v>314</v>
      </c>
      <c r="B40" s="15" t="s">
        <v>876</v>
      </c>
      <c r="C40" s="17" t="s">
        <v>108</v>
      </c>
      <c r="D40" s="15">
        <v>1</v>
      </c>
      <c r="E40" s="15"/>
      <c r="F40" s="15"/>
      <c r="G40" s="15"/>
      <c r="H40" s="15"/>
      <c r="I40" s="15"/>
      <c r="J40" s="15">
        <v>1</v>
      </c>
      <c r="K40" s="15" t="s">
        <v>78</v>
      </c>
      <c r="L40" s="16" t="s">
        <v>34</v>
      </c>
      <c r="M40" s="16" t="s">
        <v>47</v>
      </c>
      <c r="N40" s="16" t="s">
        <v>28</v>
      </c>
      <c r="O40" s="16" t="s">
        <v>28</v>
      </c>
      <c r="P40" s="16">
        <v>90</v>
      </c>
      <c r="Q40" s="16">
        <v>0.1</v>
      </c>
      <c r="R40" s="16">
        <v>0</v>
      </c>
      <c r="S40" s="16">
        <v>0.9</v>
      </c>
      <c r="T40"/>
    </row>
    <row r="41" spans="1:20" customFormat="1" ht="15" x14ac:dyDescent="0.25">
      <c r="A41" s="19" t="s">
        <v>113</v>
      </c>
      <c r="B41" s="19" t="s">
        <v>877</v>
      </c>
      <c r="C41" s="20">
        <v>6</v>
      </c>
      <c r="D41" s="19"/>
      <c r="E41" s="19"/>
      <c r="F41" s="19"/>
      <c r="G41" s="19"/>
      <c r="H41" s="19"/>
      <c r="I41" s="19">
        <v>1</v>
      </c>
      <c r="J41" s="19">
        <v>1</v>
      </c>
      <c r="K41" s="15" t="s">
        <v>72</v>
      </c>
      <c r="L41" s="31" t="s">
        <v>34</v>
      </c>
      <c r="M41" s="31" t="s">
        <v>51</v>
      </c>
      <c r="N41" s="31" t="s">
        <v>52</v>
      </c>
      <c r="O41" s="31" t="s">
        <v>47</v>
      </c>
      <c r="P41" s="31">
        <v>10</v>
      </c>
      <c r="Q41" s="31">
        <v>0.8</v>
      </c>
      <c r="R41" s="31">
        <v>0.1</v>
      </c>
      <c r="S41" s="31">
        <v>0.1</v>
      </c>
    </row>
    <row r="42" spans="1:20" customFormat="1" ht="15" x14ac:dyDescent="0.25">
      <c r="A42" s="15" t="s">
        <v>138</v>
      </c>
      <c r="B42" s="15" t="s">
        <v>878</v>
      </c>
      <c r="C42" s="17" t="s">
        <v>108</v>
      </c>
      <c r="D42" s="15">
        <v>1</v>
      </c>
      <c r="E42" s="15"/>
      <c r="F42" s="15"/>
      <c r="G42" s="15"/>
      <c r="H42" s="15"/>
      <c r="I42" s="15"/>
      <c r="J42" s="15">
        <v>1</v>
      </c>
      <c r="K42" s="15" t="s">
        <v>72</v>
      </c>
      <c r="L42" s="31" t="s">
        <v>34</v>
      </c>
      <c r="M42" s="31" t="s">
        <v>47</v>
      </c>
      <c r="N42" s="31" t="s">
        <v>35</v>
      </c>
      <c r="O42" s="31" t="s">
        <v>53</v>
      </c>
      <c r="P42" s="31">
        <v>50</v>
      </c>
      <c r="Q42" s="31">
        <v>0.1</v>
      </c>
      <c r="R42" s="31">
        <v>0.4</v>
      </c>
      <c r="S42" s="31">
        <v>0.5</v>
      </c>
    </row>
    <row r="43" spans="1:20" customFormat="1" ht="15" x14ac:dyDescent="0.25">
      <c r="A43" s="15" t="s">
        <v>126</v>
      </c>
      <c r="B43" s="15" t="s">
        <v>879</v>
      </c>
      <c r="C43" s="17" t="s">
        <v>108</v>
      </c>
      <c r="D43" s="15"/>
      <c r="E43" s="15">
        <v>1</v>
      </c>
      <c r="F43" s="15"/>
      <c r="G43" s="15"/>
      <c r="H43" s="15"/>
      <c r="I43" s="15"/>
      <c r="J43" s="15">
        <v>1</v>
      </c>
      <c r="K43" s="15" t="s">
        <v>78</v>
      </c>
      <c r="L43" s="31" t="s">
        <v>34</v>
      </c>
      <c r="M43" s="31" t="s">
        <v>47</v>
      </c>
      <c r="N43" s="31" t="s">
        <v>28</v>
      </c>
      <c r="O43" s="31" t="s">
        <v>28</v>
      </c>
      <c r="P43" s="31">
        <v>90</v>
      </c>
      <c r="Q43" s="31">
        <v>0.1</v>
      </c>
      <c r="R43" s="31">
        <v>0</v>
      </c>
      <c r="S43" s="31">
        <v>0.9</v>
      </c>
    </row>
    <row r="44" spans="1:20" customFormat="1" ht="15" x14ac:dyDescent="0.25">
      <c r="A44" s="15" t="s">
        <v>139</v>
      </c>
      <c r="B44" s="15" t="s">
        <v>880</v>
      </c>
      <c r="C44" s="15" t="s">
        <v>108</v>
      </c>
      <c r="D44" s="15"/>
      <c r="E44" s="15"/>
      <c r="F44" s="15"/>
      <c r="G44" s="15"/>
      <c r="H44" s="15"/>
      <c r="I44" s="15">
        <v>1</v>
      </c>
      <c r="J44" s="15">
        <v>1</v>
      </c>
      <c r="K44" s="15" t="s">
        <v>72</v>
      </c>
      <c r="L44" s="16" t="s">
        <v>35</v>
      </c>
      <c r="M44" s="16" t="s">
        <v>39</v>
      </c>
      <c r="N44" s="16" t="s">
        <v>34</v>
      </c>
      <c r="O44" s="16" t="s">
        <v>47</v>
      </c>
      <c r="P44" s="16">
        <v>40</v>
      </c>
      <c r="Q44" s="16">
        <v>0.5</v>
      </c>
      <c r="R44" s="16">
        <v>0.1</v>
      </c>
      <c r="S44" s="16">
        <v>0.4</v>
      </c>
    </row>
    <row r="45" spans="1:20" customFormat="1" ht="15" x14ac:dyDescent="0.25">
      <c r="A45" s="15" t="s">
        <v>121</v>
      </c>
      <c r="B45" s="15" t="s">
        <v>881</v>
      </c>
      <c r="C45" s="15" t="s">
        <v>108</v>
      </c>
      <c r="D45" s="15"/>
      <c r="E45" s="15"/>
      <c r="F45" s="15">
        <v>1</v>
      </c>
      <c r="G45" s="15"/>
      <c r="H45" s="15"/>
      <c r="I45" s="15"/>
      <c r="J45" s="15">
        <v>1</v>
      </c>
      <c r="K45" s="15" t="s">
        <v>78</v>
      </c>
      <c r="L45" s="16" t="s">
        <v>52</v>
      </c>
      <c r="M45" s="16" t="s">
        <v>47</v>
      </c>
      <c r="N45" s="16" t="s">
        <v>34</v>
      </c>
      <c r="O45" s="16" t="s">
        <v>53</v>
      </c>
      <c r="P45" s="16">
        <v>50</v>
      </c>
      <c r="Q45" s="16">
        <v>0.1</v>
      </c>
      <c r="R45" s="16">
        <v>0.4</v>
      </c>
      <c r="S45" s="16">
        <v>0.5</v>
      </c>
    </row>
    <row r="46" spans="1:20" customFormat="1" ht="15" x14ac:dyDescent="0.25">
      <c r="A46" s="15" t="s">
        <v>136</v>
      </c>
      <c r="B46" s="15" t="s">
        <v>882</v>
      </c>
      <c r="C46" s="15" t="s">
        <v>108</v>
      </c>
      <c r="D46" s="15"/>
      <c r="E46" s="15"/>
      <c r="F46" s="15">
        <v>1</v>
      </c>
      <c r="G46" s="15"/>
      <c r="H46" s="15"/>
      <c r="I46" s="15"/>
      <c r="J46" s="15">
        <v>1</v>
      </c>
      <c r="K46" s="15" t="s">
        <v>46</v>
      </c>
      <c r="L46" s="16" t="s">
        <v>52</v>
      </c>
      <c r="M46" s="16" t="s">
        <v>521</v>
      </c>
      <c r="N46" s="16" t="s">
        <v>34</v>
      </c>
      <c r="O46" s="16" t="s">
        <v>521</v>
      </c>
      <c r="P46" s="16">
        <v>50</v>
      </c>
      <c r="Q46" s="16">
        <v>0.25</v>
      </c>
      <c r="R46" s="16">
        <v>0.25</v>
      </c>
      <c r="S46" s="16">
        <v>0.5</v>
      </c>
    </row>
    <row r="47" spans="1:20" customFormat="1" ht="15" x14ac:dyDescent="0.25">
      <c r="A47" s="15" t="s">
        <v>131</v>
      </c>
      <c r="B47" s="15" t="s">
        <v>883</v>
      </c>
      <c r="C47" s="15" t="s">
        <v>109</v>
      </c>
      <c r="D47" s="15"/>
      <c r="E47" s="15"/>
      <c r="F47" s="15"/>
      <c r="G47" s="15"/>
      <c r="H47" s="15">
        <v>1</v>
      </c>
      <c r="I47" s="15"/>
      <c r="J47" s="15">
        <v>1</v>
      </c>
      <c r="K47" s="15" t="s">
        <v>72</v>
      </c>
      <c r="L47" s="16" t="s">
        <v>35</v>
      </c>
      <c r="M47" s="16" t="s">
        <v>43</v>
      </c>
      <c r="N47" s="16" t="s">
        <v>34</v>
      </c>
      <c r="O47" s="16" t="s">
        <v>39</v>
      </c>
      <c r="P47" s="16">
        <v>30</v>
      </c>
      <c r="Q47" s="16">
        <v>0.2</v>
      </c>
      <c r="R47" s="16">
        <v>0.5</v>
      </c>
      <c r="S47" s="16">
        <v>0.3</v>
      </c>
    </row>
    <row r="48" spans="1:20" customFormat="1" ht="15" x14ac:dyDescent="0.25">
      <c r="A48" s="15" t="s">
        <v>522</v>
      </c>
      <c r="B48" s="15" t="s">
        <v>884</v>
      </c>
      <c r="C48" s="15" t="s">
        <v>109</v>
      </c>
      <c r="D48" s="15"/>
      <c r="E48" s="15"/>
      <c r="F48" s="15"/>
      <c r="G48" s="15"/>
      <c r="H48" s="15">
        <v>1</v>
      </c>
      <c r="I48" s="15"/>
      <c r="J48" s="15">
        <v>1</v>
      </c>
      <c r="K48" s="15" t="s">
        <v>46</v>
      </c>
      <c r="L48" s="16" t="s">
        <v>231</v>
      </c>
      <c r="M48" s="16" t="s">
        <v>39</v>
      </c>
      <c r="N48" s="16" t="s">
        <v>34</v>
      </c>
      <c r="O48" s="16" t="s">
        <v>47</v>
      </c>
      <c r="P48" s="16">
        <v>40</v>
      </c>
      <c r="Q48" s="16">
        <v>0.5</v>
      </c>
      <c r="R48" s="16">
        <v>0.1</v>
      </c>
      <c r="S48" s="16">
        <v>0.4</v>
      </c>
    </row>
    <row r="49" spans="1:20" customFormat="1" ht="15" x14ac:dyDescent="0.25">
      <c r="A49" s="15" t="s">
        <v>134</v>
      </c>
      <c r="B49" s="15" t="s">
        <v>885</v>
      </c>
      <c r="C49" s="15" t="s">
        <v>108</v>
      </c>
      <c r="D49" s="15"/>
      <c r="E49" s="15">
        <v>1</v>
      </c>
      <c r="F49" s="15"/>
      <c r="G49" s="15"/>
      <c r="H49" s="15"/>
      <c r="I49" s="15"/>
      <c r="J49" s="15">
        <v>1</v>
      </c>
      <c r="K49" s="15" t="s">
        <v>46</v>
      </c>
      <c r="L49" s="16" t="s">
        <v>52</v>
      </c>
      <c r="M49" s="16" t="s">
        <v>39</v>
      </c>
      <c r="N49" s="16" t="s">
        <v>34</v>
      </c>
      <c r="O49" s="16" t="s">
        <v>47</v>
      </c>
      <c r="P49" s="16">
        <v>40</v>
      </c>
      <c r="Q49" s="16">
        <v>0.5</v>
      </c>
      <c r="R49" s="16">
        <v>0.1</v>
      </c>
      <c r="S49" s="16">
        <v>0.4</v>
      </c>
    </row>
    <row r="50" spans="1:20" customFormat="1" ht="15" x14ac:dyDescent="0.25">
      <c r="A50" s="15" t="s">
        <v>127</v>
      </c>
      <c r="B50" s="15" t="s">
        <v>886</v>
      </c>
      <c r="C50" s="15" t="s">
        <v>108</v>
      </c>
      <c r="D50" s="15"/>
      <c r="E50" s="15">
        <v>2</v>
      </c>
      <c r="F50" s="15"/>
      <c r="G50" s="15"/>
      <c r="H50" s="15"/>
      <c r="I50" s="15"/>
      <c r="J50" s="15">
        <v>2</v>
      </c>
      <c r="K50" s="15" t="s">
        <v>57</v>
      </c>
      <c r="L50" s="16" t="s">
        <v>27</v>
      </c>
      <c r="M50" s="16" t="s">
        <v>39</v>
      </c>
      <c r="N50" s="16" t="s">
        <v>34</v>
      </c>
      <c r="O50" s="16" t="s">
        <v>47</v>
      </c>
      <c r="P50" s="16">
        <v>40</v>
      </c>
      <c r="Q50" s="16">
        <v>1</v>
      </c>
      <c r="R50" s="16">
        <v>0.2</v>
      </c>
      <c r="S50" s="16">
        <v>0.8</v>
      </c>
    </row>
    <row r="51" spans="1:20" customFormat="1" ht="15" x14ac:dyDescent="0.25">
      <c r="A51" s="15" t="s">
        <v>173</v>
      </c>
      <c r="B51" s="15" t="s">
        <v>887</v>
      </c>
      <c r="C51" s="15" t="s">
        <v>108</v>
      </c>
      <c r="D51" s="15"/>
      <c r="E51" s="15">
        <v>1</v>
      </c>
      <c r="F51" s="15"/>
      <c r="G51" s="15">
        <v>1</v>
      </c>
      <c r="H51" s="15"/>
      <c r="I51" s="15"/>
      <c r="J51" s="15">
        <v>2</v>
      </c>
      <c r="K51" s="15" t="s">
        <v>46</v>
      </c>
      <c r="L51" s="16" t="s">
        <v>52</v>
      </c>
      <c r="M51" s="16" t="s">
        <v>39</v>
      </c>
      <c r="N51" s="16" t="s">
        <v>34</v>
      </c>
      <c r="O51" s="16" t="s">
        <v>47</v>
      </c>
      <c r="P51" s="16">
        <v>40</v>
      </c>
      <c r="Q51" s="16">
        <v>1</v>
      </c>
      <c r="R51" s="16">
        <v>0.2</v>
      </c>
      <c r="S51" s="16">
        <v>0.8</v>
      </c>
    </row>
    <row r="52" spans="1:20" ht="15" x14ac:dyDescent="0.25">
      <c r="A52" s="15" t="s">
        <v>372</v>
      </c>
      <c r="B52" s="15" t="s">
        <v>888</v>
      </c>
      <c r="C52" s="15" t="s">
        <v>108</v>
      </c>
      <c r="D52" s="15"/>
      <c r="E52" s="15"/>
      <c r="F52" s="15"/>
      <c r="G52" s="15"/>
      <c r="H52" s="15"/>
      <c r="I52" s="15">
        <v>1</v>
      </c>
      <c r="J52" s="15">
        <v>1</v>
      </c>
      <c r="K52" s="15" t="s">
        <v>65</v>
      </c>
      <c r="L52" s="16" t="s">
        <v>373</v>
      </c>
      <c r="M52" s="16" t="s">
        <v>521</v>
      </c>
      <c r="N52" s="16" t="s">
        <v>34</v>
      </c>
      <c r="O52" s="16" t="s">
        <v>521</v>
      </c>
      <c r="P52" s="16">
        <v>50</v>
      </c>
      <c r="Q52" s="16">
        <v>0.25</v>
      </c>
      <c r="R52" s="16">
        <v>0.25</v>
      </c>
      <c r="S52" s="16">
        <v>0.5</v>
      </c>
      <c r="T52"/>
    </row>
    <row r="53" spans="1:20" ht="15" x14ac:dyDescent="0.25">
      <c r="A53" s="15" t="s">
        <v>374</v>
      </c>
      <c r="B53" s="15" t="s">
        <v>889</v>
      </c>
      <c r="C53" s="15" t="s">
        <v>109</v>
      </c>
      <c r="D53" s="15"/>
      <c r="E53" s="15"/>
      <c r="F53" s="15"/>
      <c r="G53" s="15"/>
      <c r="H53" s="15"/>
      <c r="I53" s="15">
        <v>1</v>
      </c>
      <c r="J53" s="15">
        <v>1</v>
      </c>
      <c r="K53" s="15" t="s">
        <v>72</v>
      </c>
      <c r="L53" s="16" t="s">
        <v>35</v>
      </c>
      <c r="M53" s="16" t="s">
        <v>62</v>
      </c>
      <c r="N53" s="16" t="s">
        <v>34</v>
      </c>
      <c r="O53" s="16" t="s">
        <v>62</v>
      </c>
      <c r="P53" s="16">
        <v>40</v>
      </c>
      <c r="Q53" s="16">
        <v>0.3</v>
      </c>
      <c r="R53" s="16">
        <v>0.3</v>
      </c>
      <c r="S53" s="16">
        <v>0.4</v>
      </c>
      <c r="T53"/>
    </row>
    <row r="54" spans="1:20" ht="15" x14ac:dyDescent="0.25">
      <c r="A54" s="15" t="s">
        <v>118</v>
      </c>
      <c r="B54" s="15" t="s">
        <v>890</v>
      </c>
      <c r="C54" s="17" t="s">
        <v>108</v>
      </c>
      <c r="D54" s="15"/>
      <c r="E54" s="15">
        <v>2</v>
      </c>
      <c r="F54" s="15"/>
      <c r="G54" s="15"/>
      <c r="H54" s="15">
        <v>1</v>
      </c>
      <c r="I54" s="15"/>
      <c r="J54" s="15">
        <v>3</v>
      </c>
      <c r="K54" s="15" t="s">
        <v>57</v>
      </c>
      <c r="L54" s="16" t="s">
        <v>231</v>
      </c>
      <c r="M54" s="16" t="s">
        <v>62</v>
      </c>
      <c r="N54" s="16" t="s">
        <v>34</v>
      </c>
      <c r="O54" s="16" t="s">
        <v>43</v>
      </c>
      <c r="P54" s="16">
        <v>50</v>
      </c>
      <c r="Q54" s="16">
        <v>0.9</v>
      </c>
      <c r="R54" s="16">
        <v>0.6</v>
      </c>
      <c r="S54" s="16">
        <v>1.5</v>
      </c>
      <c r="T54"/>
    </row>
    <row r="55" spans="1:20" ht="15" x14ac:dyDescent="0.25">
      <c r="A55" s="15" t="s">
        <v>527</v>
      </c>
      <c r="B55" s="15" t="s">
        <v>891</v>
      </c>
      <c r="C55" s="17" t="s">
        <v>108</v>
      </c>
      <c r="D55" s="15">
        <v>2</v>
      </c>
      <c r="E55" s="15"/>
      <c r="F55" s="15"/>
      <c r="G55" s="15"/>
      <c r="H55" s="15"/>
      <c r="I55" s="15"/>
      <c r="J55" s="15">
        <v>2</v>
      </c>
      <c r="K55" s="15" t="s">
        <v>50</v>
      </c>
      <c r="L55" s="16" t="s">
        <v>27</v>
      </c>
      <c r="M55" s="16" t="s">
        <v>39</v>
      </c>
      <c r="N55" s="16" t="s">
        <v>34</v>
      </c>
      <c r="O55" s="16" t="s">
        <v>43</v>
      </c>
      <c r="P55" s="16">
        <v>30</v>
      </c>
      <c r="Q55" s="16">
        <v>1</v>
      </c>
      <c r="R55" s="16">
        <v>0.4</v>
      </c>
      <c r="S55" s="16">
        <v>0.6</v>
      </c>
      <c r="T55"/>
    </row>
    <row r="56" spans="1:20" ht="15" x14ac:dyDescent="0.25">
      <c r="A56" s="15" t="s">
        <v>528</v>
      </c>
      <c r="B56" s="15" t="s">
        <v>892</v>
      </c>
      <c r="C56" s="17" t="s">
        <v>108</v>
      </c>
      <c r="D56" s="15"/>
      <c r="E56" s="15"/>
      <c r="F56" s="15"/>
      <c r="G56" s="15">
        <v>1</v>
      </c>
      <c r="H56" s="15"/>
      <c r="I56" s="15"/>
      <c r="J56" s="15">
        <v>1</v>
      </c>
      <c r="K56" s="15" t="s">
        <v>46</v>
      </c>
      <c r="L56" s="16" t="s">
        <v>52</v>
      </c>
      <c r="M56" s="16" t="s">
        <v>39</v>
      </c>
      <c r="N56" s="16" t="s">
        <v>34</v>
      </c>
      <c r="O56" s="16" t="s">
        <v>47</v>
      </c>
      <c r="P56" s="16">
        <v>40</v>
      </c>
      <c r="Q56" s="16">
        <v>0.5</v>
      </c>
      <c r="R56" s="16">
        <v>0.1</v>
      </c>
      <c r="S56" s="16">
        <v>0.4</v>
      </c>
      <c r="T56"/>
    </row>
    <row r="57" spans="1:20" ht="15" x14ac:dyDescent="0.25">
      <c r="A57" s="32"/>
      <c r="B57" s="32"/>
      <c r="C57" s="33"/>
      <c r="D57" s="32"/>
      <c r="E57" s="32"/>
      <c r="F57" s="32"/>
      <c r="G57" s="32"/>
      <c r="H57" s="32"/>
      <c r="I57" s="32"/>
      <c r="J57" s="32"/>
      <c r="K57" s="32"/>
      <c r="L57" s="32"/>
      <c r="M57" s="32"/>
      <c r="N57" s="32"/>
      <c r="O57" s="32"/>
      <c r="P57" s="32"/>
      <c r="Q57" s="32"/>
      <c r="R57" s="34">
        <f>SUM(R44:R56,Q2:Q43)</f>
        <v>13.149999999999991</v>
      </c>
      <c r="S57" s="32"/>
      <c r="T57" s="45"/>
    </row>
    <row r="63" spans="1:20" customFormat="1" ht="15" x14ac:dyDescent="0.25">
      <c r="A63" s="10"/>
      <c r="B63" s="10"/>
      <c r="C63" s="10"/>
      <c r="D63" s="10"/>
      <c r="E63" s="10"/>
      <c r="F63" s="10"/>
      <c r="G63" s="10"/>
      <c r="H63" s="10"/>
      <c r="I63" s="10"/>
      <c r="J63" s="10"/>
      <c r="K63" s="10"/>
      <c r="L63" s="10"/>
      <c r="M63" s="11"/>
      <c r="N63" s="11"/>
      <c r="O63" s="10"/>
      <c r="P63" s="11"/>
      <c r="Q63" s="10"/>
      <c r="R63" s="10"/>
      <c r="S63" s="10"/>
      <c r="T63" s="10"/>
    </row>
    <row r="64" spans="1:20" customFormat="1" ht="15" x14ac:dyDescent="0.25">
      <c r="A64" s="10"/>
      <c r="B64" s="10"/>
      <c r="C64" s="10"/>
      <c r="D64" s="10"/>
      <c r="E64" s="10"/>
      <c r="F64" s="10"/>
      <c r="G64" s="10"/>
      <c r="H64" s="10"/>
      <c r="I64" s="10"/>
      <c r="J64" s="10"/>
      <c r="K64" s="10"/>
      <c r="L64" s="10"/>
      <c r="M64" s="11"/>
      <c r="N64" s="11"/>
      <c r="O64" s="10"/>
      <c r="P64" s="11"/>
      <c r="Q64" s="10"/>
      <c r="R64" s="10"/>
      <c r="S64" s="10"/>
      <c r="T64" s="10"/>
    </row>
    <row r="65" spans="1:20" customFormat="1" ht="15" x14ac:dyDescent="0.25">
      <c r="A65" s="10"/>
      <c r="B65" s="10"/>
      <c r="C65" s="10"/>
      <c r="D65" s="10"/>
      <c r="E65" s="10"/>
      <c r="F65" s="10"/>
      <c r="G65" s="10"/>
      <c r="H65" s="10"/>
      <c r="I65" s="10"/>
      <c r="J65" s="10"/>
      <c r="K65" s="10"/>
      <c r="L65" s="10"/>
      <c r="M65" s="11"/>
      <c r="N65" s="11"/>
      <c r="O65" s="10"/>
      <c r="P65" s="11"/>
      <c r="Q65" s="10"/>
      <c r="R65" s="10"/>
      <c r="S65" s="10"/>
      <c r="T65" s="10"/>
    </row>
    <row r="66" spans="1:20" customFormat="1" ht="15" x14ac:dyDescent="0.25">
      <c r="A66" s="10"/>
      <c r="B66" s="10"/>
      <c r="C66" s="10"/>
      <c r="D66" s="10"/>
      <c r="E66" s="10"/>
      <c r="F66" s="10"/>
      <c r="G66" s="10"/>
      <c r="H66" s="10"/>
      <c r="I66" s="10"/>
      <c r="J66" s="10"/>
      <c r="K66" s="10"/>
      <c r="L66" s="10"/>
      <c r="M66" s="11"/>
      <c r="N66" s="11"/>
      <c r="O66" s="10"/>
      <c r="P66" s="11"/>
      <c r="Q66" s="10"/>
      <c r="R66" s="10"/>
      <c r="S66" s="10"/>
      <c r="T66" s="10"/>
    </row>
    <row r="67" spans="1:20" customFormat="1" ht="15" x14ac:dyDescent="0.25">
      <c r="A67" s="10"/>
      <c r="B67" s="10"/>
      <c r="C67" s="10"/>
      <c r="D67" s="10"/>
      <c r="E67" s="10"/>
      <c r="F67" s="10"/>
      <c r="G67" s="10"/>
      <c r="H67" s="10"/>
      <c r="I67" s="10"/>
      <c r="J67" s="10"/>
      <c r="K67" s="10"/>
      <c r="L67" s="10"/>
      <c r="M67" s="11"/>
      <c r="N67" s="11"/>
      <c r="O67" s="10"/>
      <c r="P67" s="11"/>
      <c r="Q67" s="10"/>
      <c r="R67" s="10"/>
      <c r="S67" s="10"/>
      <c r="T67" s="10"/>
    </row>
    <row r="68" spans="1:20" customFormat="1" ht="15" x14ac:dyDescent="0.25">
      <c r="A68" s="10"/>
      <c r="B68" s="10"/>
      <c r="C68" s="10"/>
      <c r="D68" s="10"/>
      <c r="E68" s="10"/>
      <c r="F68" s="10"/>
      <c r="G68" s="10"/>
      <c r="H68" s="10"/>
      <c r="I68" s="10"/>
      <c r="J68" s="10"/>
      <c r="K68" s="10"/>
      <c r="L68" s="10"/>
      <c r="M68" s="11"/>
      <c r="N68" s="11"/>
      <c r="O68" s="10"/>
      <c r="P68" s="11"/>
      <c r="Q68" s="10"/>
      <c r="R68" s="10"/>
      <c r="S68" s="10"/>
      <c r="T68" s="10"/>
    </row>
    <row r="69" spans="1:20" customFormat="1" ht="15" x14ac:dyDescent="0.25">
      <c r="A69" s="10"/>
      <c r="B69" s="10"/>
      <c r="C69" s="10"/>
      <c r="D69" s="10"/>
      <c r="E69" s="10"/>
      <c r="F69" s="10"/>
      <c r="G69" s="10"/>
      <c r="H69" s="10"/>
      <c r="I69" s="10"/>
      <c r="J69" s="10"/>
      <c r="K69" s="10"/>
      <c r="L69" s="10"/>
      <c r="M69" s="11"/>
      <c r="N69" s="11"/>
      <c r="O69" s="10"/>
      <c r="P69" s="11"/>
      <c r="Q69" s="10"/>
      <c r="R69" s="10"/>
      <c r="S69" s="10"/>
      <c r="T69" s="10"/>
    </row>
    <row r="70" spans="1:20" customFormat="1" ht="15" x14ac:dyDescent="0.25">
      <c r="A70" s="10"/>
      <c r="B70" s="10"/>
      <c r="C70" s="10"/>
      <c r="D70" s="10"/>
      <c r="E70" s="10"/>
      <c r="F70" s="10"/>
      <c r="G70" s="10"/>
      <c r="H70" s="10"/>
      <c r="I70" s="10"/>
      <c r="J70" s="10"/>
      <c r="K70" s="10"/>
      <c r="L70" s="10"/>
      <c r="M70" s="11"/>
      <c r="N70" s="11"/>
      <c r="O70" s="10"/>
      <c r="P70" s="11"/>
      <c r="Q70" s="10"/>
      <c r="R70" s="10"/>
      <c r="S70" s="10"/>
      <c r="T70" s="10"/>
    </row>
    <row r="71" spans="1:20" customFormat="1" ht="15" x14ac:dyDescent="0.25">
      <c r="A71" s="10"/>
      <c r="B71" s="10"/>
      <c r="C71" s="10"/>
      <c r="D71" s="10"/>
      <c r="E71" s="10"/>
      <c r="F71" s="10"/>
      <c r="G71" s="10"/>
      <c r="H71" s="10"/>
      <c r="I71" s="10"/>
      <c r="J71" s="10"/>
      <c r="K71" s="10"/>
      <c r="L71" s="10"/>
      <c r="M71" s="11"/>
      <c r="N71" s="11"/>
      <c r="O71" s="10"/>
      <c r="P71" s="11"/>
      <c r="Q71" s="10"/>
      <c r="R71" s="10"/>
      <c r="S71" s="10"/>
      <c r="T71" s="10"/>
    </row>
    <row r="72" spans="1:20" customFormat="1" ht="15" x14ac:dyDescent="0.25">
      <c r="A72" s="10"/>
      <c r="B72" s="10"/>
      <c r="C72" s="10"/>
      <c r="D72" s="10"/>
      <c r="E72" s="10"/>
      <c r="F72" s="10"/>
      <c r="G72" s="10"/>
      <c r="H72" s="10"/>
      <c r="I72" s="10"/>
      <c r="J72" s="10"/>
      <c r="K72" s="10"/>
      <c r="L72" s="10"/>
      <c r="M72" s="11"/>
      <c r="N72" s="11"/>
      <c r="O72" s="10"/>
      <c r="P72" s="11"/>
      <c r="Q72" s="10"/>
      <c r="R72" s="10"/>
      <c r="S72" s="10"/>
      <c r="T72" s="10"/>
    </row>
    <row r="73" spans="1:20" customFormat="1" ht="15" x14ac:dyDescent="0.25">
      <c r="A73" s="10"/>
      <c r="B73" s="10"/>
      <c r="C73" s="10"/>
      <c r="D73" s="10"/>
      <c r="E73" s="10"/>
      <c r="F73" s="10"/>
      <c r="G73" s="10"/>
      <c r="H73" s="10"/>
      <c r="I73" s="10"/>
      <c r="J73" s="10"/>
      <c r="K73" s="10"/>
      <c r="L73" s="10"/>
      <c r="M73" s="11"/>
      <c r="N73" s="11"/>
      <c r="O73" s="10"/>
      <c r="P73" s="11"/>
      <c r="Q73" s="10"/>
      <c r="R73" s="10"/>
      <c r="S73" s="10"/>
      <c r="T73" s="10"/>
    </row>
    <row r="74" spans="1:20" customFormat="1" ht="15" x14ac:dyDescent="0.25">
      <c r="A74" s="10"/>
      <c r="B74" s="10"/>
      <c r="C74" s="10"/>
      <c r="D74" s="10"/>
      <c r="E74" s="10"/>
      <c r="F74" s="10"/>
      <c r="G74" s="10"/>
      <c r="H74" s="10"/>
      <c r="I74" s="10"/>
      <c r="J74" s="10"/>
      <c r="K74" s="10"/>
      <c r="L74" s="10"/>
      <c r="M74" s="11"/>
      <c r="N74" s="11"/>
      <c r="O74" s="10"/>
      <c r="P74" s="11"/>
      <c r="Q74" s="10"/>
      <c r="R74" s="10"/>
      <c r="S74" s="10"/>
      <c r="T74" s="10"/>
    </row>
    <row r="75" spans="1:20" customFormat="1" ht="15" x14ac:dyDescent="0.25">
      <c r="A75" s="10"/>
      <c r="B75" s="10"/>
      <c r="C75" s="10"/>
      <c r="D75" s="10"/>
      <c r="E75" s="10"/>
      <c r="F75" s="10"/>
      <c r="G75" s="10"/>
      <c r="H75" s="10"/>
      <c r="I75" s="10"/>
      <c r="J75" s="10"/>
      <c r="K75" s="10"/>
      <c r="L75" s="10"/>
      <c r="M75" s="11"/>
      <c r="N75" s="11"/>
      <c r="O75" s="10"/>
      <c r="P75" s="11"/>
      <c r="Q75" s="10"/>
      <c r="R75" s="10"/>
      <c r="S75" s="10"/>
      <c r="T75" s="10"/>
    </row>
    <row r="76" spans="1:20" customFormat="1" ht="15" x14ac:dyDescent="0.25">
      <c r="A76" s="10"/>
      <c r="B76" s="10"/>
      <c r="C76" s="10"/>
      <c r="D76" s="10"/>
      <c r="E76" s="10"/>
      <c r="F76" s="10"/>
      <c r="G76" s="10"/>
      <c r="H76" s="10"/>
      <c r="I76" s="10"/>
      <c r="J76" s="10"/>
      <c r="K76" s="10"/>
      <c r="L76" s="10"/>
      <c r="M76" s="11"/>
      <c r="N76" s="11"/>
      <c r="O76" s="10"/>
      <c r="P76" s="11"/>
      <c r="Q76" s="10"/>
      <c r="R76" s="10"/>
      <c r="S76" s="10"/>
      <c r="T76" s="10"/>
    </row>
    <row r="77" spans="1:20" customFormat="1" ht="15" x14ac:dyDescent="0.25">
      <c r="A77" s="10"/>
      <c r="B77" s="10"/>
      <c r="C77" s="10"/>
      <c r="D77" s="10"/>
      <c r="E77" s="10"/>
      <c r="F77" s="10"/>
      <c r="G77" s="10"/>
      <c r="H77" s="10"/>
      <c r="I77" s="10"/>
      <c r="J77" s="10"/>
      <c r="K77" s="10"/>
      <c r="L77" s="10"/>
      <c r="M77" s="11"/>
      <c r="N77" s="11"/>
      <c r="O77" s="10"/>
      <c r="P77" s="11"/>
      <c r="Q77" s="10"/>
      <c r="R77" s="10"/>
      <c r="S77" s="10"/>
      <c r="T77" s="10"/>
    </row>
    <row r="78" spans="1:20" customFormat="1" ht="15" x14ac:dyDescent="0.25">
      <c r="A78" s="10"/>
      <c r="B78" s="10"/>
      <c r="C78" s="10"/>
      <c r="D78" s="10"/>
      <c r="E78" s="10"/>
      <c r="F78" s="10"/>
      <c r="G78" s="10"/>
      <c r="H78" s="10"/>
      <c r="I78" s="10"/>
      <c r="J78" s="10"/>
      <c r="K78" s="10"/>
      <c r="L78" s="10"/>
      <c r="M78" s="11"/>
      <c r="N78" s="11"/>
      <c r="O78" s="10"/>
      <c r="P78" s="11"/>
      <c r="Q78" s="10"/>
      <c r="R78" s="10"/>
      <c r="S78" s="10"/>
      <c r="T78" s="10"/>
    </row>
    <row r="79" spans="1:20" customFormat="1" ht="15" x14ac:dyDescent="0.25">
      <c r="A79" s="10"/>
      <c r="B79" s="10"/>
      <c r="C79" s="10"/>
      <c r="D79" s="10"/>
      <c r="E79" s="10"/>
      <c r="F79" s="10"/>
      <c r="G79" s="10"/>
      <c r="H79" s="10"/>
      <c r="I79" s="10"/>
      <c r="J79" s="10"/>
      <c r="K79" s="10"/>
      <c r="L79" s="10"/>
      <c r="M79" s="11"/>
      <c r="N79" s="11"/>
      <c r="O79" s="10"/>
      <c r="P79" s="11"/>
      <c r="Q79" s="10"/>
      <c r="R79" s="10"/>
      <c r="S79" s="10"/>
      <c r="T79" s="10"/>
    </row>
    <row r="80" spans="1:20" customFormat="1" ht="15" x14ac:dyDescent="0.25">
      <c r="A80" s="10"/>
      <c r="B80" s="10"/>
      <c r="C80" s="10"/>
      <c r="D80" s="10"/>
      <c r="E80" s="10"/>
      <c r="F80" s="10"/>
      <c r="G80" s="10"/>
      <c r="H80" s="10"/>
      <c r="I80" s="10"/>
      <c r="J80" s="10"/>
      <c r="K80" s="10"/>
      <c r="L80" s="10"/>
      <c r="M80" s="11"/>
      <c r="N80" s="11"/>
      <c r="O80" s="10"/>
      <c r="P80" s="11"/>
      <c r="Q80" s="10"/>
      <c r="R80" s="10"/>
      <c r="S80" s="10"/>
      <c r="T80" s="10"/>
    </row>
    <row r="81" spans="1:20" customFormat="1" ht="15" x14ac:dyDescent="0.25">
      <c r="A81" s="10"/>
      <c r="B81" s="10"/>
      <c r="C81" s="10"/>
      <c r="D81" s="10"/>
      <c r="E81" s="10"/>
      <c r="F81" s="10"/>
      <c r="G81" s="10"/>
      <c r="H81" s="10"/>
      <c r="I81" s="10"/>
      <c r="J81" s="10"/>
      <c r="K81" s="10"/>
      <c r="L81" s="10"/>
      <c r="M81" s="11"/>
      <c r="N81" s="11"/>
      <c r="O81" s="10"/>
      <c r="P81" s="11"/>
      <c r="Q81" s="10"/>
      <c r="R81" s="10"/>
      <c r="S81" s="10"/>
      <c r="T81" s="10"/>
    </row>
    <row r="82" spans="1:20" customFormat="1" ht="15" x14ac:dyDescent="0.25">
      <c r="A82" s="10"/>
      <c r="B82" s="10"/>
      <c r="C82" s="10"/>
      <c r="D82" s="10"/>
      <c r="E82" s="10"/>
      <c r="F82" s="10"/>
      <c r="G82" s="10"/>
      <c r="H82" s="10"/>
      <c r="I82" s="10"/>
      <c r="J82" s="10"/>
      <c r="K82" s="10"/>
      <c r="L82" s="10"/>
      <c r="M82" s="11"/>
      <c r="N82" s="11"/>
      <c r="O82" s="10"/>
      <c r="P82" s="11"/>
      <c r="Q82" s="10"/>
      <c r="R82" s="10"/>
      <c r="S82" s="10"/>
      <c r="T82" s="10"/>
    </row>
    <row r="83" spans="1:20" customFormat="1" ht="15" x14ac:dyDescent="0.25">
      <c r="A83" s="10"/>
      <c r="B83" s="10"/>
      <c r="C83" s="10"/>
      <c r="D83" s="10"/>
      <c r="E83" s="10"/>
      <c r="F83" s="10"/>
      <c r="G83" s="10"/>
      <c r="H83" s="10"/>
      <c r="I83" s="10"/>
      <c r="J83" s="10"/>
      <c r="K83" s="10"/>
      <c r="L83" s="10"/>
      <c r="M83" s="11"/>
      <c r="N83" s="11"/>
      <c r="O83" s="10"/>
      <c r="P83" s="11"/>
      <c r="Q83" s="10"/>
      <c r="R83" s="10"/>
      <c r="S83" s="10"/>
      <c r="T83" s="10"/>
    </row>
    <row r="84" spans="1:20" customFormat="1" ht="15" x14ac:dyDescent="0.25">
      <c r="A84" s="10"/>
      <c r="B84" s="10"/>
      <c r="C84" s="10"/>
      <c r="D84" s="10"/>
      <c r="E84" s="10"/>
      <c r="F84" s="10"/>
      <c r="G84" s="10"/>
      <c r="H84" s="10"/>
      <c r="I84" s="10"/>
      <c r="J84" s="10"/>
      <c r="K84" s="10"/>
      <c r="L84" s="10"/>
      <c r="M84" s="11"/>
      <c r="N84" s="11"/>
      <c r="O84" s="10"/>
      <c r="P84" s="11"/>
      <c r="Q84" s="10"/>
      <c r="R84" s="10"/>
      <c r="S84" s="10"/>
      <c r="T84" s="10"/>
    </row>
    <row r="85" spans="1:20" customFormat="1" ht="15" x14ac:dyDescent="0.25">
      <c r="A85" s="10"/>
      <c r="B85" s="10"/>
      <c r="C85" s="10"/>
      <c r="D85" s="10"/>
      <c r="E85" s="10"/>
      <c r="F85" s="10"/>
      <c r="G85" s="10"/>
      <c r="H85" s="10"/>
      <c r="I85" s="10"/>
      <c r="J85" s="10"/>
      <c r="K85" s="10"/>
      <c r="L85" s="10"/>
      <c r="M85" s="11"/>
      <c r="N85" s="11"/>
      <c r="O85" s="10"/>
      <c r="P85" s="11"/>
      <c r="Q85" s="10"/>
      <c r="R85" s="10"/>
      <c r="S85" s="10"/>
      <c r="T85" s="10"/>
    </row>
    <row r="86" spans="1:20" customFormat="1" ht="15" x14ac:dyDescent="0.25">
      <c r="A86" s="10"/>
      <c r="B86" s="10"/>
      <c r="C86" s="10"/>
      <c r="D86" s="10"/>
      <c r="E86" s="10"/>
      <c r="F86" s="10"/>
      <c r="G86" s="10"/>
      <c r="H86" s="10"/>
      <c r="I86" s="10"/>
      <c r="J86" s="10"/>
      <c r="K86" s="10"/>
      <c r="L86" s="10"/>
      <c r="M86" s="11"/>
      <c r="N86" s="11"/>
      <c r="O86" s="10"/>
      <c r="P86" s="11"/>
      <c r="Q86" s="10"/>
      <c r="R86" s="10"/>
      <c r="S86" s="10"/>
      <c r="T86" s="10"/>
    </row>
    <row r="87" spans="1:20" customFormat="1" ht="15" x14ac:dyDescent="0.25">
      <c r="A87" s="10"/>
      <c r="B87" s="10"/>
      <c r="C87" s="10"/>
      <c r="D87" s="10"/>
      <c r="E87" s="10"/>
      <c r="F87" s="10"/>
      <c r="G87" s="10"/>
      <c r="H87" s="10"/>
      <c r="I87" s="10"/>
      <c r="J87" s="10"/>
      <c r="K87" s="10"/>
      <c r="L87" s="10"/>
      <c r="M87" s="11"/>
      <c r="N87" s="11"/>
      <c r="O87" s="10"/>
      <c r="P87" s="11"/>
      <c r="Q87" s="10"/>
      <c r="R87" s="10"/>
      <c r="S87" s="10"/>
      <c r="T87" s="10"/>
    </row>
    <row r="88" spans="1:20" customFormat="1" ht="15" x14ac:dyDescent="0.25">
      <c r="A88" s="10"/>
      <c r="B88" s="10"/>
      <c r="C88" s="10"/>
      <c r="D88" s="10"/>
      <c r="E88" s="10"/>
      <c r="F88" s="10"/>
      <c r="G88" s="10"/>
      <c r="H88" s="10"/>
      <c r="I88" s="10"/>
      <c r="J88" s="10"/>
      <c r="K88" s="10"/>
      <c r="L88" s="10"/>
      <c r="M88" s="11"/>
      <c r="N88" s="11"/>
      <c r="O88" s="10"/>
      <c r="P88" s="11"/>
      <c r="Q88" s="10"/>
      <c r="R88" s="10"/>
      <c r="S88" s="10"/>
      <c r="T88" s="10"/>
    </row>
    <row r="89" spans="1:20" customFormat="1" ht="15" x14ac:dyDescent="0.25">
      <c r="A89" s="10"/>
      <c r="B89" s="10"/>
      <c r="C89" s="10"/>
      <c r="D89" s="10"/>
      <c r="E89" s="10"/>
      <c r="F89" s="10"/>
      <c r="G89" s="10"/>
      <c r="H89" s="10"/>
      <c r="I89" s="10"/>
      <c r="J89" s="10"/>
      <c r="K89" s="10"/>
      <c r="L89" s="10"/>
      <c r="M89" s="11"/>
      <c r="N89" s="11"/>
      <c r="O89" s="10"/>
      <c r="P89" s="11"/>
      <c r="Q89" s="10"/>
      <c r="R89" s="10"/>
      <c r="S89" s="10"/>
      <c r="T89" s="10"/>
    </row>
    <row r="90" spans="1:20" customFormat="1" ht="15" x14ac:dyDescent="0.25">
      <c r="A90" s="10"/>
      <c r="B90" s="10"/>
      <c r="C90" s="10"/>
      <c r="D90" s="10"/>
      <c r="E90" s="10"/>
      <c r="F90" s="10"/>
      <c r="G90" s="10"/>
      <c r="H90" s="10"/>
      <c r="I90" s="10"/>
      <c r="J90" s="10"/>
      <c r="K90" s="10"/>
      <c r="L90" s="10"/>
      <c r="M90" s="11"/>
      <c r="N90" s="11"/>
      <c r="O90" s="10"/>
      <c r="P90" s="11"/>
      <c r="Q90" s="10"/>
      <c r="R90" s="10"/>
      <c r="S90" s="10"/>
      <c r="T90" s="10"/>
    </row>
    <row r="91" spans="1:20" customFormat="1" ht="15" x14ac:dyDescent="0.25">
      <c r="A91" s="10"/>
      <c r="B91" s="10"/>
      <c r="C91" s="10"/>
      <c r="D91" s="10"/>
      <c r="E91" s="10"/>
      <c r="F91" s="10"/>
      <c r="G91" s="10"/>
      <c r="H91" s="10"/>
      <c r="I91" s="10"/>
      <c r="J91" s="10"/>
      <c r="K91" s="10"/>
      <c r="L91" s="10"/>
      <c r="M91" s="11"/>
      <c r="N91" s="11"/>
      <c r="O91" s="10"/>
      <c r="P91" s="11"/>
      <c r="Q91" s="10"/>
      <c r="R91" s="10"/>
      <c r="S91" s="10"/>
      <c r="T91" s="10"/>
    </row>
    <row r="92" spans="1:20" customFormat="1" ht="15" x14ac:dyDescent="0.25">
      <c r="A92" s="10"/>
      <c r="B92" s="10"/>
      <c r="C92" s="10"/>
      <c r="D92" s="10"/>
      <c r="E92" s="10"/>
      <c r="F92" s="10"/>
      <c r="G92" s="10"/>
      <c r="H92" s="10"/>
      <c r="I92" s="10"/>
      <c r="J92" s="10"/>
      <c r="K92" s="10"/>
      <c r="L92" s="10"/>
      <c r="M92" s="11"/>
      <c r="N92" s="11"/>
      <c r="O92" s="10"/>
      <c r="P92" s="11"/>
      <c r="Q92" s="10"/>
      <c r="R92" s="10"/>
      <c r="S92" s="10"/>
      <c r="T92" s="10"/>
    </row>
    <row r="93" spans="1:20" customFormat="1" ht="15" x14ac:dyDescent="0.25">
      <c r="A93" s="10"/>
      <c r="B93" s="10"/>
      <c r="C93" s="10"/>
      <c r="D93" s="10"/>
      <c r="E93" s="10"/>
      <c r="F93" s="10"/>
      <c r="G93" s="10"/>
      <c r="H93" s="10"/>
      <c r="I93" s="10"/>
      <c r="J93" s="10"/>
      <c r="K93" s="10"/>
      <c r="L93" s="10"/>
      <c r="M93" s="11"/>
      <c r="N93" s="11"/>
      <c r="O93" s="10"/>
      <c r="P93" s="11"/>
      <c r="Q93" s="10"/>
      <c r="R93" s="10"/>
      <c r="S93" s="10"/>
      <c r="T93" s="10"/>
    </row>
    <row r="94" spans="1:20" customFormat="1" ht="15" x14ac:dyDescent="0.25">
      <c r="A94" s="10"/>
      <c r="B94" s="10"/>
      <c r="C94" s="10"/>
      <c r="D94" s="10"/>
      <c r="E94" s="10"/>
      <c r="F94" s="10"/>
      <c r="G94" s="10"/>
      <c r="H94" s="10"/>
      <c r="I94" s="10"/>
      <c r="J94" s="10"/>
      <c r="K94" s="10"/>
      <c r="L94" s="10"/>
      <c r="M94" s="11"/>
      <c r="N94" s="11"/>
      <c r="O94" s="10"/>
      <c r="P94" s="11"/>
      <c r="Q94" s="10"/>
      <c r="R94" s="10"/>
      <c r="S94" s="10"/>
      <c r="T94" s="10"/>
    </row>
    <row r="95" spans="1:20" customFormat="1" ht="15" x14ac:dyDescent="0.25">
      <c r="A95" s="10"/>
      <c r="B95" s="10"/>
      <c r="C95" s="10"/>
      <c r="D95" s="10"/>
      <c r="E95" s="10"/>
      <c r="F95" s="10"/>
      <c r="G95" s="10"/>
      <c r="H95" s="10"/>
      <c r="I95" s="10"/>
      <c r="J95" s="10"/>
      <c r="K95" s="10"/>
      <c r="L95" s="10"/>
      <c r="M95" s="11"/>
      <c r="N95" s="11"/>
      <c r="O95" s="10"/>
      <c r="P95" s="11"/>
      <c r="Q95" s="10"/>
      <c r="R95" s="10"/>
      <c r="S95" s="10"/>
      <c r="T95" s="10"/>
    </row>
    <row r="96" spans="1:20" customFormat="1" ht="15" x14ac:dyDescent="0.25">
      <c r="A96" s="10"/>
      <c r="B96" s="10"/>
      <c r="C96" s="10"/>
      <c r="D96" s="10"/>
      <c r="E96" s="10"/>
      <c r="F96" s="10"/>
      <c r="G96" s="10"/>
      <c r="H96" s="10"/>
      <c r="I96" s="10"/>
      <c r="J96" s="10"/>
      <c r="K96" s="10"/>
      <c r="L96" s="10"/>
      <c r="M96" s="11"/>
      <c r="N96" s="11"/>
      <c r="O96" s="10"/>
      <c r="P96" s="11"/>
      <c r="Q96" s="10"/>
      <c r="R96" s="10"/>
      <c r="S96" s="10"/>
      <c r="T96" s="10"/>
    </row>
    <row r="97" spans="1:20" customFormat="1" ht="15" x14ac:dyDescent="0.25">
      <c r="A97" s="10"/>
      <c r="B97" s="10"/>
      <c r="C97" s="10"/>
      <c r="D97" s="10"/>
      <c r="E97" s="10"/>
      <c r="F97" s="10"/>
      <c r="G97" s="10"/>
      <c r="H97" s="10"/>
      <c r="I97" s="10"/>
      <c r="J97" s="10"/>
      <c r="K97" s="10"/>
      <c r="L97" s="10"/>
      <c r="M97" s="11"/>
      <c r="N97" s="11"/>
      <c r="O97" s="10"/>
      <c r="P97" s="11"/>
      <c r="Q97" s="10"/>
      <c r="R97" s="10"/>
      <c r="S97" s="10"/>
      <c r="T97" s="10"/>
    </row>
    <row r="98" spans="1:20" customFormat="1" ht="15" x14ac:dyDescent="0.25">
      <c r="A98" s="10"/>
      <c r="B98" s="10"/>
      <c r="C98" s="10"/>
      <c r="D98" s="10"/>
      <c r="E98" s="10"/>
      <c r="F98" s="10"/>
      <c r="G98" s="10"/>
      <c r="H98" s="10"/>
      <c r="I98" s="10"/>
      <c r="J98" s="10"/>
      <c r="K98" s="10"/>
      <c r="L98" s="10"/>
      <c r="M98" s="11"/>
      <c r="N98" s="11"/>
      <c r="O98" s="10"/>
      <c r="P98" s="11"/>
      <c r="Q98" s="10"/>
      <c r="R98" s="10"/>
      <c r="S98" s="10"/>
      <c r="T98" s="10"/>
    </row>
    <row r="99" spans="1:20" customFormat="1" ht="15" x14ac:dyDescent="0.25">
      <c r="A99" s="10"/>
      <c r="B99" s="10"/>
      <c r="C99" s="10"/>
      <c r="D99" s="10"/>
      <c r="E99" s="10"/>
      <c r="F99" s="10"/>
      <c r="G99" s="10"/>
      <c r="H99" s="10"/>
      <c r="I99" s="10"/>
      <c r="J99" s="10"/>
      <c r="K99" s="10"/>
      <c r="L99" s="10"/>
      <c r="M99" s="11"/>
      <c r="N99" s="11"/>
      <c r="O99" s="10"/>
      <c r="P99" s="11"/>
      <c r="Q99" s="10"/>
      <c r="R99" s="10"/>
      <c r="S99" s="10"/>
      <c r="T99" s="10"/>
    </row>
    <row r="100" spans="1:20" customFormat="1" ht="15" x14ac:dyDescent="0.25">
      <c r="A100" s="10"/>
      <c r="B100" s="10"/>
      <c r="C100" s="10"/>
      <c r="D100" s="10"/>
      <c r="E100" s="10"/>
      <c r="F100" s="10"/>
      <c r="G100" s="10"/>
      <c r="H100" s="10"/>
      <c r="I100" s="10"/>
      <c r="J100" s="10"/>
      <c r="K100" s="10"/>
      <c r="L100" s="10"/>
      <c r="M100" s="11"/>
      <c r="N100" s="11"/>
      <c r="O100" s="10"/>
      <c r="P100" s="11"/>
      <c r="Q100" s="10"/>
      <c r="R100" s="10"/>
      <c r="S100" s="10"/>
      <c r="T100" s="10"/>
    </row>
    <row r="101" spans="1:20" customFormat="1" ht="15" x14ac:dyDescent="0.25">
      <c r="A101" s="10"/>
      <c r="B101" s="10"/>
      <c r="C101" s="10"/>
      <c r="D101" s="10"/>
      <c r="E101" s="10"/>
      <c r="F101" s="10"/>
      <c r="G101" s="10"/>
      <c r="H101" s="10"/>
      <c r="I101" s="10"/>
      <c r="J101" s="10"/>
      <c r="K101" s="10"/>
      <c r="L101" s="10"/>
      <c r="M101" s="11"/>
      <c r="N101" s="11"/>
      <c r="O101" s="10"/>
      <c r="P101" s="11"/>
      <c r="Q101" s="10"/>
      <c r="R101" s="10"/>
      <c r="S101" s="10"/>
      <c r="T101" s="10"/>
    </row>
    <row r="102" spans="1:20" customFormat="1" ht="15" x14ac:dyDescent="0.25">
      <c r="A102" s="10"/>
      <c r="B102" s="10"/>
      <c r="C102" s="10"/>
      <c r="D102" s="10"/>
      <c r="E102" s="10"/>
      <c r="F102" s="10"/>
      <c r="G102" s="10"/>
      <c r="H102" s="10"/>
      <c r="I102" s="10"/>
      <c r="J102" s="10"/>
      <c r="K102" s="10"/>
      <c r="L102" s="10"/>
      <c r="M102" s="11"/>
      <c r="N102" s="11"/>
      <c r="O102" s="10"/>
      <c r="P102" s="11"/>
      <c r="Q102" s="10"/>
      <c r="R102" s="10"/>
      <c r="S102" s="10"/>
      <c r="T102" s="10"/>
    </row>
    <row r="103" spans="1:20" customFormat="1" ht="15" x14ac:dyDescent="0.25">
      <c r="A103" s="10"/>
      <c r="B103" s="10"/>
      <c r="C103" s="10"/>
      <c r="D103" s="10"/>
      <c r="E103" s="10"/>
      <c r="F103" s="10"/>
      <c r="G103" s="10"/>
      <c r="H103" s="10"/>
      <c r="I103" s="10"/>
      <c r="J103" s="10"/>
      <c r="K103" s="10"/>
      <c r="L103" s="10"/>
      <c r="M103" s="11"/>
      <c r="N103" s="11"/>
      <c r="O103" s="10"/>
      <c r="P103" s="11"/>
      <c r="Q103" s="10"/>
      <c r="R103" s="10"/>
      <c r="S103" s="10"/>
      <c r="T103" s="10"/>
    </row>
    <row r="104" spans="1:20" customFormat="1" ht="15" x14ac:dyDescent="0.25">
      <c r="A104" s="10"/>
      <c r="B104" s="10"/>
      <c r="C104" s="10"/>
      <c r="D104" s="10"/>
      <c r="E104" s="10"/>
      <c r="F104" s="10"/>
      <c r="G104" s="10"/>
      <c r="H104" s="10"/>
      <c r="I104" s="10"/>
      <c r="J104" s="10"/>
      <c r="K104" s="10"/>
      <c r="L104" s="10"/>
      <c r="M104" s="11"/>
      <c r="N104" s="11"/>
      <c r="O104" s="10"/>
      <c r="P104" s="11"/>
      <c r="Q104" s="10"/>
      <c r="R104" s="10"/>
      <c r="S104" s="10"/>
      <c r="T104" s="10"/>
    </row>
    <row r="105" spans="1:20" customFormat="1" ht="15" x14ac:dyDescent="0.25">
      <c r="A105" s="10"/>
      <c r="B105" s="10"/>
      <c r="C105" s="10"/>
      <c r="D105" s="10"/>
      <c r="E105" s="10"/>
      <c r="F105" s="10"/>
      <c r="G105" s="10"/>
      <c r="H105" s="10"/>
      <c r="I105" s="10"/>
      <c r="J105" s="10"/>
      <c r="K105" s="10"/>
      <c r="L105" s="10"/>
      <c r="M105" s="11"/>
      <c r="N105" s="11"/>
      <c r="O105" s="10"/>
      <c r="P105" s="11"/>
      <c r="Q105" s="10"/>
      <c r="R105" s="10"/>
      <c r="S105" s="10"/>
      <c r="T105" s="10"/>
    </row>
    <row r="106" spans="1:20" customFormat="1" ht="15" x14ac:dyDescent="0.25">
      <c r="A106" s="10"/>
      <c r="B106" s="10"/>
      <c r="C106" s="10"/>
      <c r="D106" s="10"/>
      <c r="E106" s="10"/>
      <c r="F106" s="10"/>
      <c r="G106" s="10"/>
      <c r="H106" s="10"/>
      <c r="I106" s="10"/>
      <c r="J106" s="10"/>
      <c r="K106" s="10"/>
      <c r="L106" s="10"/>
      <c r="M106" s="11"/>
      <c r="N106" s="11"/>
      <c r="O106" s="10"/>
      <c r="P106" s="11"/>
      <c r="Q106" s="10"/>
      <c r="R106" s="10"/>
      <c r="S106" s="10"/>
      <c r="T106" s="10"/>
    </row>
    <row r="107" spans="1:20" customFormat="1" ht="15" x14ac:dyDescent="0.25">
      <c r="A107" s="10"/>
      <c r="B107" s="10"/>
      <c r="C107" s="10"/>
      <c r="D107" s="10"/>
      <c r="E107" s="10"/>
      <c r="F107" s="10"/>
      <c r="G107" s="10"/>
      <c r="H107" s="10"/>
      <c r="I107" s="10"/>
      <c r="J107" s="10"/>
      <c r="K107" s="10"/>
      <c r="L107" s="10"/>
      <c r="M107" s="11"/>
      <c r="N107" s="11"/>
      <c r="O107" s="10"/>
      <c r="P107" s="11"/>
      <c r="Q107" s="10"/>
      <c r="R107" s="10"/>
      <c r="S107" s="10"/>
      <c r="T107" s="10"/>
    </row>
    <row r="108" spans="1:20" customFormat="1" ht="15" x14ac:dyDescent="0.25">
      <c r="A108" s="10"/>
      <c r="B108" s="10"/>
      <c r="C108" s="10"/>
      <c r="D108" s="10"/>
      <c r="E108" s="10"/>
      <c r="F108" s="10"/>
      <c r="G108" s="10"/>
      <c r="H108" s="10"/>
      <c r="I108" s="10"/>
      <c r="J108" s="10"/>
      <c r="K108" s="10"/>
      <c r="L108" s="10"/>
      <c r="M108" s="11"/>
      <c r="N108" s="11"/>
      <c r="O108" s="10"/>
      <c r="P108" s="11"/>
      <c r="Q108" s="10"/>
      <c r="R108" s="10"/>
      <c r="S108" s="10"/>
      <c r="T108" s="10"/>
    </row>
    <row r="109" spans="1:20" customFormat="1" ht="15" x14ac:dyDescent="0.25">
      <c r="A109" s="10"/>
      <c r="B109" s="10"/>
      <c r="C109" s="10"/>
      <c r="D109" s="10"/>
      <c r="E109" s="10"/>
      <c r="F109" s="10"/>
      <c r="G109" s="10"/>
      <c r="H109" s="10"/>
      <c r="I109" s="10"/>
      <c r="J109" s="10"/>
      <c r="K109" s="10"/>
      <c r="L109" s="10"/>
      <c r="M109" s="11"/>
      <c r="N109" s="11"/>
      <c r="O109" s="10"/>
      <c r="P109" s="11"/>
      <c r="Q109" s="10"/>
      <c r="R109" s="10"/>
      <c r="S109" s="10"/>
      <c r="T109" s="10"/>
    </row>
    <row r="110" spans="1:20" customFormat="1" ht="15" x14ac:dyDescent="0.25">
      <c r="A110" s="10"/>
      <c r="B110" s="10"/>
      <c r="C110" s="10"/>
      <c r="D110" s="10"/>
      <c r="E110" s="10"/>
      <c r="F110" s="10"/>
      <c r="G110" s="10"/>
      <c r="H110" s="10"/>
      <c r="I110" s="10"/>
      <c r="J110" s="10"/>
      <c r="K110" s="10"/>
      <c r="L110" s="10"/>
      <c r="M110" s="11"/>
      <c r="N110" s="11"/>
      <c r="O110" s="10"/>
      <c r="P110" s="11"/>
      <c r="Q110" s="10"/>
      <c r="R110" s="10"/>
      <c r="S110" s="10"/>
      <c r="T110" s="10"/>
    </row>
    <row r="111" spans="1:20" customFormat="1" ht="15" x14ac:dyDescent="0.25">
      <c r="A111" s="10"/>
      <c r="B111" s="10"/>
      <c r="C111" s="10"/>
      <c r="D111" s="10"/>
      <c r="E111" s="10"/>
      <c r="F111" s="10"/>
      <c r="G111" s="10"/>
      <c r="H111" s="10"/>
      <c r="I111" s="10"/>
      <c r="J111" s="10"/>
      <c r="K111" s="10"/>
      <c r="L111" s="10"/>
      <c r="M111" s="11"/>
      <c r="N111" s="11"/>
      <c r="O111" s="10"/>
      <c r="P111" s="11"/>
      <c r="Q111" s="10"/>
      <c r="R111" s="10"/>
      <c r="S111" s="10"/>
      <c r="T111" s="10"/>
    </row>
    <row r="112" spans="1:20" customFormat="1" ht="15" x14ac:dyDescent="0.25">
      <c r="A112" s="10"/>
      <c r="B112" s="10"/>
      <c r="C112" s="10"/>
      <c r="D112" s="10"/>
      <c r="E112" s="10"/>
      <c r="F112" s="10"/>
      <c r="G112" s="10"/>
      <c r="H112" s="10"/>
      <c r="I112" s="10"/>
      <c r="J112" s="10"/>
      <c r="K112" s="10"/>
      <c r="L112" s="10"/>
      <c r="M112" s="11"/>
      <c r="N112" s="11"/>
      <c r="O112" s="10"/>
      <c r="P112" s="11"/>
      <c r="Q112" s="10"/>
      <c r="R112" s="10"/>
      <c r="S112" s="10"/>
      <c r="T112" s="10"/>
    </row>
    <row r="113" spans="1:20" customFormat="1" ht="15" x14ac:dyDescent="0.25">
      <c r="A113" s="10"/>
      <c r="B113" s="10"/>
      <c r="C113" s="10"/>
      <c r="D113" s="10"/>
      <c r="E113" s="10"/>
      <c r="F113" s="10"/>
      <c r="G113" s="10"/>
      <c r="H113" s="10"/>
      <c r="I113" s="10"/>
      <c r="J113" s="10"/>
      <c r="K113" s="10"/>
      <c r="L113" s="10"/>
      <c r="M113" s="11"/>
      <c r="N113" s="11"/>
      <c r="O113" s="10"/>
      <c r="P113" s="11"/>
      <c r="Q113" s="10"/>
      <c r="R113" s="10"/>
      <c r="S113" s="10"/>
      <c r="T113" s="10"/>
    </row>
    <row r="114" spans="1:20" customFormat="1" ht="15" x14ac:dyDescent="0.25">
      <c r="A114" s="10"/>
      <c r="B114" s="10"/>
      <c r="C114" s="10"/>
      <c r="D114" s="10"/>
      <c r="E114" s="10"/>
      <c r="F114" s="10"/>
      <c r="G114" s="10"/>
      <c r="H114" s="10"/>
      <c r="I114" s="10"/>
      <c r="J114" s="10"/>
      <c r="K114" s="10"/>
      <c r="L114" s="10"/>
      <c r="M114" s="11"/>
      <c r="N114" s="11"/>
      <c r="O114" s="10"/>
      <c r="P114" s="11"/>
      <c r="Q114" s="10"/>
      <c r="R114" s="10"/>
      <c r="S114" s="10"/>
      <c r="T114" s="10"/>
    </row>
    <row r="115" spans="1:20" customFormat="1" ht="15" x14ac:dyDescent="0.25">
      <c r="A115" s="10"/>
      <c r="B115" s="10"/>
      <c r="C115" s="10"/>
      <c r="D115" s="10"/>
      <c r="E115" s="10"/>
      <c r="F115" s="10"/>
      <c r="G115" s="10"/>
      <c r="H115" s="10"/>
      <c r="I115" s="10"/>
      <c r="J115" s="10"/>
      <c r="K115" s="10"/>
      <c r="L115" s="10"/>
      <c r="M115" s="11"/>
      <c r="N115" s="11"/>
      <c r="O115" s="10"/>
      <c r="P115" s="11"/>
      <c r="Q115" s="10"/>
      <c r="R115" s="10"/>
      <c r="S115" s="10"/>
      <c r="T115" s="10"/>
    </row>
    <row r="116" spans="1:20" customFormat="1" ht="15" x14ac:dyDescent="0.25">
      <c r="A116" s="10"/>
      <c r="B116" s="10"/>
      <c r="C116" s="10"/>
      <c r="D116" s="10"/>
      <c r="E116" s="10"/>
      <c r="F116" s="10"/>
      <c r="G116" s="10"/>
      <c r="H116" s="10"/>
      <c r="I116" s="10"/>
      <c r="J116" s="10"/>
      <c r="K116" s="10"/>
      <c r="L116" s="10"/>
      <c r="M116" s="11"/>
      <c r="N116" s="11"/>
      <c r="O116" s="10"/>
      <c r="P116" s="11"/>
      <c r="Q116" s="10"/>
      <c r="R116" s="10"/>
      <c r="S116" s="10"/>
      <c r="T116" s="10"/>
    </row>
    <row r="117" spans="1:20" customFormat="1" ht="15" x14ac:dyDescent="0.25">
      <c r="A117" s="10"/>
      <c r="B117" s="10"/>
      <c r="C117" s="10"/>
      <c r="D117" s="10"/>
      <c r="E117" s="10"/>
      <c r="F117" s="10"/>
      <c r="G117" s="10"/>
      <c r="H117" s="10"/>
      <c r="I117" s="10"/>
      <c r="J117" s="10"/>
      <c r="K117" s="10"/>
      <c r="L117" s="10"/>
      <c r="M117" s="11"/>
      <c r="N117" s="11"/>
      <c r="O117" s="10"/>
      <c r="P117" s="11"/>
      <c r="Q117" s="10"/>
      <c r="R117" s="10"/>
      <c r="S117" s="10"/>
      <c r="T117" s="10"/>
    </row>
    <row r="118" spans="1:20" customFormat="1" ht="15" x14ac:dyDescent="0.25">
      <c r="A118" s="10"/>
      <c r="B118" s="10"/>
      <c r="C118" s="10"/>
      <c r="D118" s="10"/>
      <c r="E118" s="10"/>
      <c r="F118" s="10"/>
      <c r="G118" s="10"/>
      <c r="H118" s="10"/>
      <c r="I118" s="10"/>
      <c r="J118" s="10"/>
      <c r="K118" s="10"/>
      <c r="L118" s="10"/>
      <c r="M118" s="11"/>
      <c r="N118" s="11"/>
      <c r="O118" s="10"/>
      <c r="P118" s="11"/>
      <c r="Q118" s="10"/>
      <c r="R118" s="10"/>
      <c r="S118" s="10"/>
      <c r="T118" s="10"/>
    </row>
    <row r="119" spans="1:20" customFormat="1" ht="15" x14ac:dyDescent="0.25">
      <c r="A119" s="10"/>
      <c r="B119" s="10"/>
      <c r="C119" s="10"/>
      <c r="D119" s="10"/>
      <c r="E119" s="10"/>
      <c r="F119" s="10"/>
      <c r="G119" s="10"/>
      <c r="H119" s="10"/>
      <c r="I119" s="10"/>
      <c r="J119" s="10"/>
      <c r="K119" s="10"/>
      <c r="L119" s="10"/>
      <c r="M119" s="11"/>
      <c r="N119" s="11"/>
      <c r="O119" s="10"/>
      <c r="P119" s="11"/>
      <c r="Q119" s="10"/>
      <c r="R119" s="10"/>
      <c r="S119" s="10"/>
      <c r="T119" s="10"/>
    </row>
    <row r="120" spans="1:20" s="32" customFormat="1" ht="15" x14ac:dyDescent="0.25">
      <c r="A120" s="10"/>
      <c r="B120" s="10"/>
      <c r="C120" s="10"/>
      <c r="D120" s="10"/>
      <c r="E120" s="10"/>
      <c r="F120" s="10"/>
      <c r="G120" s="10"/>
      <c r="H120" s="10"/>
      <c r="I120" s="10"/>
      <c r="J120" s="10"/>
      <c r="K120" s="10"/>
      <c r="L120" s="10"/>
      <c r="M120" s="11"/>
      <c r="N120" s="11"/>
      <c r="O120" s="10"/>
      <c r="P120" s="11"/>
      <c r="Q120" s="10"/>
      <c r="R120" s="10"/>
      <c r="S120" s="10"/>
      <c r="T120" s="10"/>
    </row>
  </sheetData>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AC8E-B1A1-4B94-A5CB-6B30E4DCDB44}">
  <dimension ref="A1:C29"/>
  <sheetViews>
    <sheetView topLeftCell="A25" workbookViewId="0">
      <selection activeCell="B2" sqref="B2:B28"/>
    </sheetView>
  </sheetViews>
  <sheetFormatPr baseColWidth="10" defaultRowHeight="15" x14ac:dyDescent="0.25"/>
  <cols>
    <col min="1" max="1" width="16.28515625" customWidth="1"/>
    <col min="2" max="2" width="73.85546875" customWidth="1"/>
    <col min="3" max="3" width="14.85546875" style="38" customWidth="1"/>
  </cols>
  <sheetData>
    <row r="1" spans="1:3" x14ac:dyDescent="0.25">
      <c r="A1" t="s">
        <v>235</v>
      </c>
      <c r="B1" t="s">
        <v>236</v>
      </c>
      <c r="C1" s="38" t="s">
        <v>317</v>
      </c>
    </row>
    <row r="2" spans="1:3" ht="45" x14ac:dyDescent="0.25">
      <c r="A2" t="s">
        <v>238</v>
      </c>
      <c r="B2" s="37" t="s">
        <v>407</v>
      </c>
      <c r="C2" s="38">
        <v>98692.19</v>
      </c>
    </row>
    <row r="3" spans="1:3" ht="45" x14ac:dyDescent="0.25">
      <c r="A3" t="s">
        <v>319</v>
      </c>
      <c r="B3" s="37" t="s">
        <v>408</v>
      </c>
      <c r="C3" s="38">
        <v>153.12</v>
      </c>
    </row>
    <row r="4" spans="1:3" ht="30" x14ac:dyDescent="0.25">
      <c r="A4" t="s">
        <v>320</v>
      </c>
      <c r="B4" s="37" t="s">
        <v>409</v>
      </c>
      <c r="C4" s="38">
        <v>7568</v>
      </c>
    </row>
    <row r="5" spans="1:3" ht="30" x14ac:dyDescent="0.25">
      <c r="A5" t="s">
        <v>321</v>
      </c>
      <c r="B5" s="37" t="s">
        <v>410</v>
      </c>
      <c r="C5" s="38">
        <v>6160</v>
      </c>
    </row>
    <row r="6" spans="1:3" x14ac:dyDescent="0.25">
      <c r="A6" t="s">
        <v>411</v>
      </c>
      <c r="B6" s="37" t="s">
        <v>412</v>
      </c>
      <c r="C6" s="38">
        <v>13112</v>
      </c>
    </row>
    <row r="7" spans="1:3" ht="30" x14ac:dyDescent="0.25">
      <c r="A7" t="s">
        <v>413</v>
      </c>
      <c r="B7" s="37" t="s">
        <v>414</v>
      </c>
      <c r="C7" s="38">
        <v>5280</v>
      </c>
    </row>
    <row r="8" spans="1:3" ht="30" x14ac:dyDescent="0.25">
      <c r="A8" t="s">
        <v>415</v>
      </c>
      <c r="B8" s="37" t="s">
        <v>416</v>
      </c>
      <c r="C8" s="38">
        <v>7040</v>
      </c>
    </row>
    <row r="9" spans="1:3" ht="30" x14ac:dyDescent="0.25">
      <c r="A9" t="s">
        <v>417</v>
      </c>
      <c r="B9" s="37" t="s">
        <v>418</v>
      </c>
      <c r="C9" s="38">
        <v>1760</v>
      </c>
    </row>
    <row r="10" spans="1:3" ht="30" x14ac:dyDescent="0.25">
      <c r="A10" t="s">
        <v>419</v>
      </c>
      <c r="B10" s="37" t="s">
        <v>420</v>
      </c>
      <c r="C10" s="38">
        <v>1760</v>
      </c>
    </row>
    <row r="11" spans="1:3" ht="30" x14ac:dyDescent="0.25">
      <c r="A11" t="s">
        <v>421</v>
      </c>
      <c r="B11" s="37" t="s">
        <v>422</v>
      </c>
      <c r="C11" s="38">
        <v>1760</v>
      </c>
    </row>
    <row r="12" spans="1:3" ht="30" x14ac:dyDescent="0.25">
      <c r="A12" t="s">
        <v>423</v>
      </c>
      <c r="B12" s="37" t="s">
        <v>424</v>
      </c>
      <c r="C12" s="38">
        <v>1760</v>
      </c>
    </row>
    <row r="13" spans="1:3" ht="30" x14ac:dyDescent="0.25">
      <c r="A13" t="s">
        <v>425</v>
      </c>
      <c r="B13" s="37" t="s">
        <v>426</v>
      </c>
      <c r="C13" s="38">
        <v>1760</v>
      </c>
    </row>
    <row r="14" spans="1:3" ht="30" x14ac:dyDescent="0.25">
      <c r="A14" t="s">
        <v>427</v>
      </c>
      <c r="B14" s="37" t="s">
        <v>428</v>
      </c>
      <c r="C14" s="38">
        <v>2640</v>
      </c>
    </row>
    <row r="15" spans="1:3" ht="30" x14ac:dyDescent="0.25">
      <c r="A15" t="s">
        <v>429</v>
      </c>
      <c r="B15" s="37" t="s">
        <v>430</v>
      </c>
      <c r="C15" s="38">
        <v>3520</v>
      </c>
    </row>
    <row r="16" spans="1:3" ht="30" x14ac:dyDescent="0.25">
      <c r="A16" t="s">
        <v>431</v>
      </c>
      <c r="B16" s="37" t="s">
        <v>432</v>
      </c>
      <c r="C16" s="38">
        <v>352</v>
      </c>
    </row>
    <row r="17" spans="1:3" ht="60" x14ac:dyDescent="0.25">
      <c r="A17" t="s">
        <v>433</v>
      </c>
      <c r="B17" s="37" t="s">
        <v>434</v>
      </c>
      <c r="C17" s="38">
        <v>4400</v>
      </c>
    </row>
    <row r="18" spans="1:3" ht="30" x14ac:dyDescent="0.25">
      <c r="A18" t="s">
        <v>435</v>
      </c>
      <c r="B18" s="37" t="s">
        <v>436</v>
      </c>
      <c r="C18" s="38">
        <v>13112</v>
      </c>
    </row>
    <row r="19" spans="1:3" ht="45" x14ac:dyDescent="0.25">
      <c r="A19" t="s">
        <v>437</v>
      </c>
      <c r="B19" s="37" t="s">
        <v>438</v>
      </c>
      <c r="C19" s="38">
        <v>3636.36</v>
      </c>
    </row>
    <row r="20" spans="1:3" ht="45" x14ac:dyDescent="0.25">
      <c r="A20" t="s">
        <v>439</v>
      </c>
      <c r="B20" s="37" t="s">
        <v>440</v>
      </c>
      <c r="C20" s="38">
        <v>1760</v>
      </c>
    </row>
    <row r="21" spans="1:3" ht="45" x14ac:dyDescent="0.25">
      <c r="A21" t="s">
        <v>441</v>
      </c>
      <c r="B21" s="37" t="s">
        <v>442</v>
      </c>
      <c r="C21" s="38">
        <v>1320</v>
      </c>
    </row>
    <row r="22" spans="1:3" ht="30" x14ac:dyDescent="0.25">
      <c r="A22" t="s">
        <v>443</v>
      </c>
      <c r="B22" s="37" t="s">
        <v>444</v>
      </c>
      <c r="C22" s="38">
        <v>1760</v>
      </c>
    </row>
    <row r="23" spans="1:3" ht="30" x14ac:dyDescent="0.25">
      <c r="A23" t="s">
        <v>228</v>
      </c>
      <c r="B23" s="37" t="s">
        <v>445</v>
      </c>
      <c r="C23" s="38">
        <v>19130.2</v>
      </c>
    </row>
    <row r="24" spans="1:3" ht="45" x14ac:dyDescent="0.25">
      <c r="A24" t="s">
        <v>228</v>
      </c>
      <c r="B24" s="37" t="s">
        <v>446</v>
      </c>
      <c r="C24" s="38">
        <v>50000</v>
      </c>
    </row>
    <row r="25" spans="1:3" x14ac:dyDescent="0.25">
      <c r="A25" t="s">
        <v>228</v>
      </c>
      <c r="B25" s="37" t="s">
        <v>447</v>
      </c>
      <c r="C25" s="38">
        <v>19948.810000000001</v>
      </c>
    </row>
    <row r="26" spans="1:3" x14ac:dyDescent="0.25">
      <c r="A26" t="s">
        <v>1</v>
      </c>
      <c r="B26" s="37" t="s">
        <v>448</v>
      </c>
      <c r="C26" s="38">
        <v>12944.91</v>
      </c>
    </row>
    <row r="27" spans="1:3" x14ac:dyDescent="0.25">
      <c r="A27" t="s">
        <v>239</v>
      </c>
      <c r="B27" s="37" t="s">
        <v>449</v>
      </c>
      <c r="C27" s="38">
        <v>6896.53</v>
      </c>
    </row>
    <row r="28" spans="1:3" x14ac:dyDescent="0.25">
      <c r="A28" t="s">
        <v>240</v>
      </c>
      <c r="B28" s="37" t="s">
        <v>450</v>
      </c>
      <c r="C28" s="38">
        <v>6433.21</v>
      </c>
    </row>
    <row r="29" spans="1:3" x14ac:dyDescent="0.25">
      <c r="A29" t="s">
        <v>0</v>
      </c>
      <c r="C29" s="38">
        <f>SUBTOTAL(109,Tabla3[Imp.cob.aplic.])</f>
        <v>294659.33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B967-58A4-4C95-8C5A-40F7F2059CB3}">
  <dimension ref="A1:C28"/>
  <sheetViews>
    <sheetView topLeftCell="A22" workbookViewId="0">
      <selection activeCell="B30" sqref="B30:C30"/>
    </sheetView>
  </sheetViews>
  <sheetFormatPr baseColWidth="10" defaultRowHeight="15" x14ac:dyDescent="0.25"/>
  <cols>
    <col min="1" max="1" width="13.5703125" bestFit="1" customWidth="1"/>
    <col min="2" max="2" width="71.85546875" customWidth="1"/>
    <col min="3" max="3" width="13.28515625" style="38" bestFit="1" customWidth="1"/>
  </cols>
  <sheetData>
    <row r="1" spans="1:3" x14ac:dyDescent="0.25">
      <c r="A1" t="s">
        <v>533</v>
      </c>
      <c r="B1" t="s">
        <v>236</v>
      </c>
      <c r="C1" s="38" t="s">
        <v>534</v>
      </c>
    </row>
    <row r="2" spans="1:3" x14ac:dyDescent="0.25">
      <c r="A2" t="s">
        <v>535</v>
      </c>
      <c r="B2" s="37" t="s">
        <v>536</v>
      </c>
      <c r="C2" s="38">
        <v>-14990</v>
      </c>
    </row>
    <row r="3" spans="1:3" ht="60" x14ac:dyDescent="0.25">
      <c r="A3" t="s">
        <v>238</v>
      </c>
      <c r="B3" s="37" t="s">
        <v>537</v>
      </c>
      <c r="C3" s="38">
        <v>92797.4</v>
      </c>
    </row>
    <row r="4" spans="1:3" ht="30" x14ac:dyDescent="0.25">
      <c r="A4" t="s">
        <v>429</v>
      </c>
      <c r="B4" s="37" t="s">
        <v>538</v>
      </c>
      <c r="C4" s="38">
        <v>3520</v>
      </c>
    </row>
    <row r="5" spans="1:3" ht="60" x14ac:dyDescent="0.25">
      <c r="A5" t="s">
        <v>433</v>
      </c>
      <c r="B5" s="37" t="s">
        <v>539</v>
      </c>
      <c r="C5" s="38">
        <v>4400</v>
      </c>
    </row>
    <row r="6" spans="1:3" ht="30" x14ac:dyDescent="0.25">
      <c r="A6" t="s">
        <v>437</v>
      </c>
      <c r="B6" s="37" t="s">
        <v>540</v>
      </c>
      <c r="C6" s="38">
        <v>3636.36</v>
      </c>
    </row>
    <row r="7" spans="1:3" ht="30" x14ac:dyDescent="0.25">
      <c r="A7" t="s">
        <v>437</v>
      </c>
      <c r="B7" s="37" t="s">
        <v>541</v>
      </c>
      <c r="C7" s="38">
        <v>1454.54</v>
      </c>
    </row>
    <row r="8" spans="1:3" ht="30" x14ac:dyDescent="0.25">
      <c r="A8" t="s">
        <v>542</v>
      </c>
      <c r="B8" s="37" t="s">
        <v>543</v>
      </c>
      <c r="C8" s="38">
        <v>4385.33</v>
      </c>
    </row>
    <row r="9" spans="1:3" ht="45" x14ac:dyDescent="0.25">
      <c r="A9" t="s">
        <v>544</v>
      </c>
      <c r="B9" s="37" t="s">
        <v>545</v>
      </c>
      <c r="C9" s="38">
        <v>5720</v>
      </c>
    </row>
    <row r="10" spans="1:3" ht="45" x14ac:dyDescent="0.25">
      <c r="A10" t="s">
        <v>546</v>
      </c>
      <c r="B10" s="37" t="s">
        <v>547</v>
      </c>
      <c r="C10" s="38">
        <v>5720</v>
      </c>
    </row>
    <row r="11" spans="1:3" ht="30" x14ac:dyDescent="0.25">
      <c r="A11" t="s">
        <v>548</v>
      </c>
      <c r="B11" s="37" t="s">
        <v>549</v>
      </c>
      <c r="C11" s="38">
        <v>7040</v>
      </c>
    </row>
    <row r="12" spans="1:3" ht="30" x14ac:dyDescent="0.25">
      <c r="A12" t="s">
        <v>550</v>
      </c>
      <c r="B12" s="37" t="s">
        <v>551</v>
      </c>
      <c r="C12" s="38">
        <v>3520</v>
      </c>
    </row>
    <row r="13" spans="1:3" ht="30" x14ac:dyDescent="0.25">
      <c r="A13" t="s">
        <v>552</v>
      </c>
      <c r="B13" s="37" t="s">
        <v>553</v>
      </c>
      <c r="C13" s="38">
        <v>13156</v>
      </c>
    </row>
    <row r="14" spans="1:3" ht="45" x14ac:dyDescent="0.25">
      <c r="A14" t="s">
        <v>554</v>
      </c>
      <c r="B14" s="37" t="s">
        <v>555</v>
      </c>
      <c r="C14" s="38">
        <v>1760</v>
      </c>
    </row>
    <row r="15" spans="1:3" ht="45" x14ac:dyDescent="0.25">
      <c r="A15" t="s">
        <v>556</v>
      </c>
      <c r="B15" s="37" t="s">
        <v>557</v>
      </c>
      <c r="C15" s="38">
        <v>1760</v>
      </c>
    </row>
    <row r="16" spans="1:3" ht="45" x14ac:dyDescent="0.25">
      <c r="A16" t="s">
        <v>558</v>
      </c>
      <c r="B16" s="37" t="s">
        <v>559</v>
      </c>
      <c r="C16" s="38">
        <v>1760</v>
      </c>
    </row>
    <row r="17" spans="1:3" ht="45" x14ac:dyDescent="0.25">
      <c r="A17" t="s">
        <v>560</v>
      </c>
      <c r="B17" s="37" t="s">
        <v>559</v>
      </c>
      <c r="C17" s="38">
        <v>1760</v>
      </c>
    </row>
    <row r="18" spans="1:3" ht="45" x14ac:dyDescent="0.25">
      <c r="A18" t="s">
        <v>561</v>
      </c>
      <c r="B18" s="37" t="s">
        <v>442</v>
      </c>
      <c r="C18" s="38">
        <v>1320</v>
      </c>
    </row>
    <row r="19" spans="1:3" ht="45" x14ac:dyDescent="0.25">
      <c r="A19" t="s">
        <v>562</v>
      </c>
      <c r="B19" s="37" t="s">
        <v>563</v>
      </c>
      <c r="C19" s="38">
        <v>3520</v>
      </c>
    </row>
    <row r="20" spans="1:3" ht="30" x14ac:dyDescent="0.25">
      <c r="A20" t="s">
        <v>564</v>
      </c>
      <c r="B20" s="37" t="s">
        <v>565</v>
      </c>
      <c r="C20" s="38">
        <v>2640</v>
      </c>
    </row>
    <row r="21" spans="1:3" ht="30" x14ac:dyDescent="0.25">
      <c r="A21" t="s">
        <v>566</v>
      </c>
      <c r="B21" s="37" t="s">
        <v>567</v>
      </c>
      <c r="C21" s="38">
        <v>2640</v>
      </c>
    </row>
    <row r="22" spans="1:3" ht="30" x14ac:dyDescent="0.25">
      <c r="A22" t="s">
        <v>568</v>
      </c>
      <c r="B22" s="37" t="s">
        <v>569</v>
      </c>
      <c r="C22" s="38">
        <v>4400</v>
      </c>
    </row>
    <row r="23" spans="1:3" ht="30" x14ac:dyDescent="0.25">
      <c r="A23" t="s">
        <v>570</v>
      </c>
      <c r="B23" s="37" t="s">
        <v>571</v>
      </c>
      <c r="C23" s="38">
        <v>1760</v>
      </c>
    </row>
    <row r="24" spans="1:3" x14ac:dyDescent="0.25">
      <c r="A24" t="s">
        <v>572</v>
      </c>
      <c r="B24" s="37" t="s">
        <v>573</v>
      </c>
      <c r="C24" s="38">
        <v>11704</v>
      </c>
    </row>
    <row r="25" spans="1:3" ht="60" x14ac:dyDescent="0.25">
      <c r="A25" t="s">
        <v>228</v>
      </c>
      <c r="B25" s="37" t="s">
        <v>574</v>
      </c>
      <c r="C25" s="38">
        <v>50000</v>
      </c>
    </row>
    <row r="26" spans="1:3" ht="30" x14ac:dyDescent="0.25">
      <c r="A26" t="s">
        <v>228</v>
      </c>
      <c r="B26" s="37" t="s">
        <v>575</v>
      </c>
      <c r="C26" s="38">
        <v>17260.080000000002</v>
      </c>
    </row>
    <row r="27" spans="1:3" x14ac:dyDescent="0.25">
      <c r="A27" t="s">
        <v>1</v>
      </c>
      <c r="B27" s="37" t="s">
        <v>576</v>
      </c>
      <c r="C27" s="38">
        <v>33027.230000000003</v>
      </c>
    </row>
    <row r="28" spans="1:3" x14ac:dyDescent="0.25">
      <c r="A28" t="s">
        <v>0</v>
      </c>
      <c r="B28" s="37"/>
      <c r="C28" s="36">
        <f>SUBTOTAL(109,Tabla2[Imp. aplic.])</f>
        <v>265670.94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DC8D1-988B-46F6-9A59-44DF51951A07}">
  <dimension ref="A1:C45"/>
  <sheetViews>
    <sheetView topLeftCell="A28" workbookViewId="0">
      <selection activeCell="C46" sqref="C46"/>
    </sheetView>
  </sheetViews>
  <sheetFormatPr baseColWidth="10" defaultRowHeight="15" x14ac:dyDescent="0.25"/>
  <cols>
    <col min="1" max="1" width="16.28515625" customWidth="1"/>
    <col min="2" max="2" width="40.85546875" customWidth="1"/>
    <col min="3" max="3" width="18.28515625" customWidth="1"/>
  </cols>
  <sheetData>
    <row r="1" spans="1:3" x14ac:dyDescent="0.25">
      <c r="A1" s="47" t="s">
        <v>533</v>
      </c>
      <c r="B1" s="48" t="s">
        <v>236</v>
      </c>
      <c r="C1" s="48" t="s">
        <v>534</v>
      </c>
    </row>
    <row r="2" spans="1:3" x14ac:dyDescent="0.25">
      <c r="A2" s="49" t="s">
        <v>238</v>
      </c>
      <c r="B2" s="50" t="s">
        <v>893</v>
      </c>
      <c r="C2" s="51">
        <v>86805.17</v>
      </c>
    </row>
    <row r="3" spans="1:3" x14ac:dyDescent="0.25">
      <c r="A3" s="52" t="s">
        <v>238</v>
      </c>
      <c r="B3" s="53" t="s">
        <v>894</v>
      </c>
      <c r="C3" s="54">
        <v>10000</v>
      </c>
    </row>
    <row r="4" spans="1:3" x14ac:dyDescent="0.25">
      <c r="A4" s="49" t="s">
        <v>238</v>
      </c>
      <c r="B4" s="50" t="s">
        <v>894</v>
      </c>
      <c r="C4" s="51">
        <v>15000</v>
      </c>
    </row>
    <row r="5" spans="1:3" x14ac:dyDescent="0.25">
      <c r="A5" s="52" t="s">
        <v>238</v>
      </c>
      <c r="B5" s="53" t="s">
        <v>895</v>
      </c>
      <c r="C5" s="54">
        <v>89172.06</v>
      </c>
    </row>
    <row r="6" spans="1:3" x14ac:dyDescent="0.25">
      <c r="A6" s="49" t="s">
        <v>318</v>
      </c>
      <c r="B6" s="50" t="s">
        <v>896</v>
      </c>
      <c r="C6" s="51">
        <v>6380</v>
      </c>
    </row>
    <row r="7" spans="1:3" x14ac:dyDescent="0.25">
      <c r="A7" s="52" t="s">
        <v>897</v>
      </c>
      <c r="B7" s="53" t="s">
        <v>898</v>
      </c>
      <c r="C7" s="54">
        <v>3080</v>
      </c>
    </row>
    <row r="8" spans="1:3" x14ac:dyDescent="0.25">
      <c r="A8" s="49" t="s">
        <v>897</v>
      </c>
      <c r="B8" s="50" t="s">
        <v>899</v>
      </c>
      <c r="C8" s="51">
        <v>3080</v>
      </c>
    </row>
    <row r="9" spans="1:3" x14ac:dyDescent="0.25">
      <c r="A9" s="52" t="s">
        <v>900</v>
      </c>
      <c r="B9" s="53" t="s">
        <v>901</v>
      </c>
      <c r="C9" s="54">
        <v>12320</v>
      </c>
    </row>
    <row r="10" spans="1:3" x14ac:dyDescent="0.25">
      <c r="A10" s="49" t="s">
        <v>568</v>
      </c>
      <c r="B10" s="50" t="s">
        <v>902</v>
      </c>
      <c r="C10" s="51">
        <v>4400</v>
      </c>
    </row>
    <row r="11" spans="1:3" x14ac:dyDescent="0.25">
      <c r="A11" s="52" t="s">
        <v>568</v>
      </c>
      <c r="B11" s="53" t="s">
        <v>903</v>
      </c>
      <c r="C11" s="54">
        <v>4048</v>
      </c>
    </row>
    <row r="12" spans="1:3" x14ac:dyDescent="0.25">
      <c r="A12" s="49" t="s">
        <v>904</v>
      </c>
      <c r="B12" s="50" t="s">
        <v>905</v>
      </c>
      <c r="C12" s="51">
        <v>12584</v>
      </c>
    </row>
    <row r="13" spans="1:3" x14ac:dyDescent="0.25">
      <c r="A13" s="52" t="s">
        <v>906</v>
      </c>
      <c r="B13" s="53" t="s">
        <v>907</v>
      </c>
      <c r="C13" s="54">
        <v>13156</v>
      </c>
    </row>
    <row r="14" spans="1:3" x14ac:dyDescent="0.25">
      <c r="A14" s="49" t="s">
        <v>908</v>
      </c>
      <c r="B14" s="50" t="s">
        <v>909</v>
      </c>
      <c r="C14" s="51">
        <v>12320</v>
      </c>
    </row>
    <row r="15" spans="1:3" x14ac:dyDescent="0.25">
      <c r="A15" s="52" t="s">
        <v>910</v>
      </c>
      <c r="B15" s="53" t="s">
        <v>911</v>
      </c>
      <c r="C15" s="54">
        <v>2420</v>
      </c>
    </row>
    <row r="16" spans="1:3" x14ac:dyDescent="0.25">
      <c r="A16" s="49" t="s">
        <v>910</v>
      </c>
      <c r="B16" s="50" t="s">
        <v>912</v>
      </c>
      <c r="C16" s="51">
        <v>2420</v>
      </c>
    </row>
    <row r="17" spans="1:3" x14ac:dyDescent="0.25">
      <c r="A17" s="52" t="s">
        <v>913</v>
      </c>
      <c r="B17" s="53" t="s">
        <v>914</v>
      </c>
      <c r="C17" s="54">
        <v>3520</v>
      </c>
    </row>
    <row r="18" spans="1:3" x14ac:dyDescent="0.25">
      <c r="A18" s="49" t="s">
        <v>915</v>
      </c>
      <c r="B18" s="50" t="s">
        <v>916</v>
      </c>
      <c r="C18" s="51">
        <v>13156</v>
      </c>
    </row>
    <row r="19" spans="1:3" x14ac:dyDescent="0.25">
      <c r="A19" s="52" t="s">
        <v>917</v>
      </c>
      <c r="B19" s="53" t="s">
        <v>918</v>
      </c>
      <c r="C19" s="54">
        <v>13156</v>
      </c>
    </row>
    <row r="20" spans="1:3" x14ac:dyDescent="0.25">
      <c r="A20" s="49" t="s">
        <v>919</v>
      </c>
      <c r="B20" s="50" t="s">
        <v>920</v>
      </c>
      <c r="C20" s="51">
        <v>4928</v>
      </c>
    </row>
    <row r="21" spans="1:3" x14ac:dyDescent="0.25">
      <c r="A21" s="52" t="s">
        <v>919</v>
      </c>
      <c r="B21" s="53" t="s">
        <v>921</v>
      </c>
      <c r="C21" s="54">
        <v>7392</v>
      </c>
    </row>
    <row r="22" spans="1:3" x14ac:dyDescent="0.25">
      <c r="A22" s="49" t="s">
        <v>922</v>
      </c>
      <c r="B22" s="50" t="s">
        <v>557</v>
      </c>
      <c r="C22" s="51">
        <v>1760</v>
      </c>
    </row>
    <row r="23" spans="1:3" x14ac:dyDescent="0.25">
      <c r="A23" s="52" t="s">
        <v>923</v>
      </c>
      <c r="B23" s="53" t="s">
        <v>924</v>
      </c>
      <c r="C23" s="54">
        <v>1760</v>
      </c>
    </row>
    <row r="24" spans="1:3" x14ac:dyDescent="0.25">
      <c r="A24" s="49" t="s">
        <v>925</v>
      </c>
      <c r="B24" s="50" t="s">
        <v>924</v>
      </c>
      <c r="C24" s="51">
        <v>1760</v>
      </c>
    </row>
    <row r="25" spans="1:3" x14ac:dyDescent="0.25">
      <c r="A25" s="52" t="s">
        <v>926</v>
      </c>
      <c r="B25" s="53" t="s">
        <v>927</v>
      </c>
      <c r="C25" s="54">
        <v>1760</v>
      </c>
    </row>
    <row r="26" spans="1:3" x14ac:dyDescent="0.25">
      <c r="A26" s="49" t="s">
        <v>928</v>
      </c>
      <c r="B26" s="50" t="s">
        <v>929</v>
      </c>
      <c r="C26" s="51">
        <v>1320</v>
      </c>
    </row>
    <row r="27" spans="1:3" x14ac:dyDescent="0.25">
      <c r="A27" s="52" t="s">
        <v>930</v>
      </c>
      <c r="B27" s="53" t="s">
        <v>931</v>
      </c>
      <c r="C27" s="54">
        <v>3344</v>
      </c>
    </row>
    <row r="28" spans="1:3" x14ac:dyDescent="0.25">
      <c r="A28" s="49" t="s">
        <v>932</v>
      </c>
      <c r="B28" s="50" t="s">
        <v>933</v>
      </c>
      <c r="C28" s="51">
        <v>1760</v>
      </c>
    </row>
    <row r="29" spans="1:3" x14ac:dyDescent="0.25">
      <c r="A29" s="52" t="s">
        <v>934</v>
      </c>
      <c r="B29" s="53" t="s">
        <v>935</v>
      </c>
      <c r="C29" s="54">
        <v>13156</v>
      </c>
    </row>
    <row r="30" spans="1:3" x14ac:dyDescent="0.25">
      <c r="A30" s="49" t="s">
        <v>936</v>
      </c>
      <c r="B30" s="50" t="s">
        <v>937</v>
      </c>
      <c r="C30" s="51">
        <v>1980</v>
      </c>
    </row>
    <row r="31" spans="1:3" x14ac:dyDescent="0.25">
      <c r="A31" s="52" t="s">
        <v>936</v>
      </c>
      <c r="B31" s="53" t="s">
        <v>938</v>
      </c>
      <c r="C31" s="54">
        <v>1980</v>
      </c>
    </row>
    <row r="32" spans="1:3" x14ac:dyDescent="0.25">
      <c r="A32" s="49" t="s">
        <v>939</v>
      </c>
      <c r="B32" s="50" t="s">
        <v>940</v>
      </c>
      <c r="C32" s="51">
        <v>2420</v>
      </c>
    </row>
    <row r="33" spans="1:3" x14ac:dyDescent="0.25">
      <c r="A33" s="52" t="s">
        <v>939</v>
      </c>
      <c r="B33" s="53" t="s">
        <v>941</v>
      </c>
      <c r="C33" s="54">
        <v>2420</v>
      </c>
    </row>
    <row r="34" spans="1:3" x14ac:dyDescent="0.25">
      <c r="A34" s="49" t="s">
        <v>942</v>
      </c>
      <c r="B34" s="50" t="s">
        <v>943</v>
      </c>
      <c r="C34" s="51">
        <v>75718.789999999994</v>
      </c>
    </row>
    <row r="35" spans="1:3" x14ac:dyDescent="0.25">
      <c r="A35" s="52" t="s">
        <v>944</v>
      </c>
      <c r="B35" s="53" t="s">
        <v>945</v>
      </c>
      <c r="C35" s="54">
        <v>51960</v>
      </c>
    </row>
    <row r="36" spans="1:3" x14ac:dyDescent="0.25">
      <c r="A36" s="49" t="s">
        <v>944</v>
      </c>
      <c r="B36" s="50" t="s">
        <v>946</v>
      </c>
      <c r="C36" s="51">
        <v>29444</v>
      </c>
    </row>
    <row r="37" spans="1:3" x14ac:dyDescent="0.25">
      <c r="A37" s="52" t="s">
        <v>228</v>
      </c>
      <c r="B37" s="53" t="s">
        <v>947</v>
      </c>
      <c r="C37" s="54">
        <v>48000</v>
      </c>
    </row>
    <row r="38" spans="1:3" x14ac:dyDescent="0.25">
      <c r="A38" s="49" t="s">
        <v>228</v>
      </c>
      <c r="B38" s="50" t="s">
        <v>948</v>
      </c>
      <c r="C38" s="51">
        <v>15000</v>
      </c>
    </row>
    <row r="39" spans="1:3" x14ac:dyDescent="0.25">
      <c r="A39" s="52" t="s">
        <v>949</v>
      </c>
      <c r="B39" s="53" t="s">
        <v>950</v>
      </c>
      <c r="C39" s="54">
        <v>29593.11</v>
      </c>
    </row>
    <row r="40" spans="1:3" x14ac:dyDescent="0.25">
      <c r="A40" s="49" t="s">
        <v>949</v>
      </c>
      <c r="B40" s="50" t="s">
        <v>951</v>
      </c>
      <c r="C40" s="51">
        <v>30000</v>
      </c>
    </row>
    <row r="41" spans="1:3" ht="15.75" thickBot="1" x14ac:dyDescent="0.3">
      <c r="A41" s="52" t="s">
        <v>949</v>
      </c>
      <c r="B41" s="53" t="s">
        <v>952</v>
      </c>
      <c r="C41" s="54">
        <v>-108.09</v>
      </c>
    </row>
    <row r="42" spans="1:3" ht="15.75" thickTop="1" x14ac:dyDescent="0.25">
      <c r="A42" s="55" t="s">
        <v>0</v>
      </c>
      <c r="B42" s="56"/>
      <c r="C42" s="57">
        <v>634365.04</v>
      </c>
    </row>
    <row r="45" spans="1:3" x14ac:dyDescent="0.25">
      <c r="B45" s="39" t="s">
        <v>953</v>
      </c>
      <c r="C45" s="40">
        <f>+Tabla2[[#Totals],[Imp. aplic.]]+Tabla3[[#Totals],[Imp.cob.aplic.]]+C42</f>
        <v>1194695.31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656B-342B-466F-AD67-5173F8E664C2}">
  <dimension ref="A1:C30"/>
  <sheetViews>
    <sheetView topLeftCell="A16" workbookViewId="0">
      <selection activeCell="C29" sqref="C29"/>
    </sheetView>
  </sheetViews>
  <sheetFormatPr baseColWidth="10" defaultRowHeight="15" x14ac:dyDescent="0.25"/>
  <cols>
    <col min="1" max="1" width="16.28515625" customWidth="1"/>
    <col min="2" max="2" width="86" customWidth="1"/>
    <col min="3" max="3" width="14.85546875" customWidth="1"/>
  </cols>
  <sheetData>
    <row r="1" spans="1:3" x14ac:dyDescent="0.25">
      <c r="A1" s="35" t="s">
        <v>235</v>
      </c>
      <c r="B1" s="35" t="s">
        <v>236</v>
      </c>
      <c r="C1" s="35" t="s">
        <v>317</v>
      </c>
    </row>
    <row r="2" spans="1:3" x14ac:dyDescent="0.25">
      <c r="A2" s="21" t="s">
        <v>375</v>
      </c>
      <c r="B2" s="21" t="s">
        <v>376</v>
      </c>
      <c r="C2" s="22">
        <v>564200</v>
      </c>
    </row>
    <row r="3" spans="1:3" x14ac:dyDescent="0.25">
      <c r="A3" s="23" t="s">
        <v>378</v>
      </c>
      <c r="B3" s="23" t="s">
        <v>379</v>
      </c>
      <c r="C3" s="24">
        <v>328276</v>
      </c>
    </row>
    <row r="4" spans="1:3" x14ac:dyDescent="0.25">
      <c r="A4" s="21" t="s">
        <v>141</v>
      </c>
      <c r="B4" s="21" t="s">
        <v>380</v>
      </c>
      <c r="C4" s="22">
        <v>7138.11</v>
      </c>
    </row>
    <row r="5" spans="1:3" x14ac:dyDescent="0.25">
      <c r="A5" s="23" t="s">
        <v>141</v>
      </c>
      <c r="B5" s="23" t="s">
        <v>381</v>
      </c>
      <c r="C5" s="24">
        <v>15840</v>
      </c>
    </row>
    <row r="6" spans="1:3" x14ac:dyDescent="0.25">
      <c r="A6" s="21" t="s">
        <v>141</v>
      </c>
      <c r="B6" s="21" t="s">
        <v>382</v>
      </c>
      <c r="C6" s="22">
        <v>18179.38</v>
      </c>
    </row>
    <row r="7" spans="1:3" x14ac:dyDescent="0.25">
      <c r="A7" s="23" t="s">
        <v>141</v>
      </c>
      <c r="B7" s="23" t="s">
        <v>383</v>
      </c>
      <c r="C7" s="24">
        <v>8324.44</v>
      </c>
    </row>
    <row r="8" spans="1:3" x14ac:dyDescent="0.25">
      <c r="A8" s="21" t="s">
        <v>141</v>
      </c>
      <c r="B8" s="21" t="s">
        <v>384</v>
      </c>
      <c r="C8" s="22">
        <v>-8299.75</v>
      </c>
    </row>
    <row r="9" spans="1:3" x14ac:dyDescent="0.25">
      <c r="A9" s="23" t="s">
        <v>141</v>
      </c>
      <c r="B9" s="23" t="s">
        <v>385</v>
      </c>
      <c r="C9" s="24">
        <v>84741.09</v>
      </c>
    </row>
    <row r="10" spans="1:3" x14ac:dyDescent="0.25">
      <c r="A10" s="21" t="s">
        <v>141</v>
      </c>
      <c r="B10" s="21" t="s">
        <v>386</v>
      </c>
      <c r="C10" s="22">
        <v>21126.6</v>
      </c>
    </row>
    <row r="11" spans="1:3" x14ac:dyDescent="0.25">
      <c r="A11" s="23" t="s">
        <v>142</v>
      </c>
      <c r="B11" s="23" t="s">
        <v>387</v>
      </c>
      <c r="C11" s="24">
        <v>9900</v>
      </c>
    </row>
    <row r="12" spans="1:3" x14ac:dyDescent="0.25">
      <c r="A12" s="21" t="s">
        <v>142</v>
      </c>
      <c r="B12" s="21" t="s">
        <v>388</v>
      </c>
      <c r="C12" s="22">
        <v>15186.6</v>
      </c>
    </row>
    <row r="13" spans="1:3" x14ac:dyDescent="0.25">
      <c r="A13" s="23" t="s">
        <v>142</v>
      </c>
      <c r="B13" s="23" t="s">
        <v>389</v>
      </c>
      <c r="C13" s="24">
        <v>28435.7</v>
      </c>
    </row>
    <row r="14" spans="1:3" x14ac:dyDescent="0.25">
      <c r="A14" s="21" t="s">
        <v>142</v>
      </c>
      <c r="B14" s="21" t="s">
        <v>390</v>
      </c>
      <c r="C14" s="22">
        <v>-17608.330000000002</v>
      </c>
    </row>
    <row r="15" spans="1:3" x14ac:dyDescent="0.25">
      <c r="A15" s="23" t="s">
        <v>142</v>
      </c>
      <c r="B15" s="23" t="s">
        <v>391</v>
      </c>
      <c r="C15" s="24">
        <v>1252.9000000000001</v>
      </c>
    </row>
    <row r="16" spans="1:3" x14ac:dyDescent="0.25">
      <c r="A16" s="21" t="s">
        <v>142</v>
      </c>
      <c r="B16" s="21" t="s">
        <v>392</v>
      </c>
      <c r="C16" s="22">
        <v>1252.9000000000001</v>
      </c>
    </row>
    <row r="17" spans="1:3" x14ac:dyDescent="0.25">
      <c r="A17" s="23" t="s">
        <v>142</v>
      </c>
      <c r="B17" s="23" t="s">
        <v>393</v>
      </c>
      <c r="C17" s="24">
        <v>83104.100000000006</v>
      </c>
    </row>
    <row r="18" spans="1:3" x14ac:dyDescent="0.25">
      <c r="A18" s="21" t="s">
        <v>143</v>
      </c>
      <c r="B18" s="21" t="s">
        <v>394</v>
      </c>
      <c r="C18" s="22">
        <v>7650</v>
      </c>
    </row>
    <row r="19" spans="1:3" x14ac:dyDescent="0.25">
      <c r="A19" s="23" t="s">
        <v>229</v>
      </c>
      <c r="B19" s="23" t="s">
        <v>395</v>
      </c>
      <c r="C19" s="24">
        <v>-2282.5700000000002</v>
      </c>
    </row>
    <row r="20" spans="1:3" x14ac:dyDescent="0.25">
      <c r="A20" s="21" t="s">
        <v>229</v>
      </c>
      <c r="B20" s="21" t="s">
        <v>396</v>
      </c>
      <c r="C20" s="22">
        <v>8996.2000000000007</v>
      </c>
    </row>
    <row r="21" spans="1:3" x14ac:dyDescent="0.25">
      <c r="A21" s="23" t="s">
        <v>229</v>
      </c>
      <c r="B21" s="23" t="s">
        <v>397</v>
      </c>
      <c r="C21" s="24">
        <v>21448.31</v>
      </c>
    </row>
    <row r="22" spans="1:3" x14ac:dyDescent="0.25">
      <c r="A22" s="21" t="s">
        <v>229</v>
      </c>
      <c r="B22" s="21" t="s">
        <v>398</v>
      </c>
      <c r="C22" s="22">
        <v>10996.15</v>
      </c>
    </row>
    <row r="23" spans="1:3" x14ac:dyDescent="0.25">
      <c r="A23" s="23" t="s">
        <v>399</v>
      </c>
      <c r="B23" s="23" t="s">
        <v>400</v>
      </c>
      <c r="C23" s="24">
        <v>20000</v>
      </c>
    </row>
    <row r="24" spans="1:3" x14ac:dyDescent="0.25">
      <c r="A24" s="21" t="s">
        <v>399</v>
      </c>
      <c r="B24" s="21" t="s">
        <v>401</v>
      </c>
      <c r="C24" s="22">
        <v>275</v>
      </c>
    </row>
    <row r="25" spans="1:3" x14ac:dyDescent="0.25">
      <c r="A25" s="23" t="s">
        <v>399</v>
      </c>
      <c r="B25" s="23" t="s">
        <v>402</v>
      </c>
      <c r="C25" s="24">
        <v>275</v>
      </c>
    </row>
    <row r="26" spans="1:3" x14ac:dyDescent="0.25">
      <c r="A26" s="21" t="s">
        <v>399</v>
      </c>
      <c r="B26" s="21" t="s">
        <v>403</v>
      </c>
      <c r="C26" s="22">
        <v>550</v>
      </c>
    </row>
    <row r="27" spans="1:3" x14ac:dyDescent="0.25">
      <c r="A27" s="23" t="s">
        <v>399</v>
      </c>
      <c r="B27" s="23" t="s">
        <v>404</v>
      </c>
      <c r="C27" s="24">
        <v>6435</v>
      </c>
    </row>
    <row r="28" spans="1:3" x14ac:dyDescent="0.25">
      <c r="A28" s="21" t="s">
        <v>399</v>
      </c>
      <c r="B28" s="21" t="s">
        <v>405</v>
      </c>
      <c r="C28" s="22">
        <v>550</v>
      </c>
    </row>
    <row r="29" spans="1:3" x14ac:dyDescent="0.25">
      <c r="A29" s="42" t="s">
        <v>399</v>
      </c>
      <c r="B29" s="42" t="s">
        <v>406</v>
      </c>
      <c r="C29" s="43">
        <v>825</v>
      </c>
    </row>
    <row r="30" spans="1:3" x14ac:dyDescent="0.25">
      <c r="A30" s="41" t="s">
        <v>0</v>
      </c>
      <c r="B30" s="41"/>
      <c r="C30" s="44">
        <f>SUBTOTAL(109,Tabla6[Imp.cob.aplic.])</f>
        <v>1236767.8299999996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5E00-DADF-421C-91C3-38C507E95AF2}">
  <dimension ref="A1:C189"/>
  <sheetViews>
    <sheetView topLeftCell="A177" workbookViewId="0">
      <selection activeCell="B191" sqref="B191:C191"/>
    </sheetView>
  </sheetViews>
  <sheetFormatPr baseColWidth="10" defaultRowHeight="15" x14ac:dyDescent="0.25"/>
  <cols>
    <col min="1" max="1" width="13.28515625" bestFit="1" customWidth="1"/>
    <col min="2" max="2" width="80.7109375" customWidth="1"/>
    <col min="3" max="3" width="14.28515625" style="38" bestFit="1" customWidth="1"/>
  </cols>
  <sheetData>
    <row r="1" spans="1:3" x14ac:dyDescent="0.25">
      <c r="A1" t="s">
        <v>533</v>
      </c>
      <c r="B1" t="s">
        <v>236</v>
      </c>
      <c r="C1" s="38" t="s">
        <v>534</v>
      </c>
    </row>
    <row r="2" spans="1:3" ht="30" x14ac:dyDescent="0.25">
      <c r="A2" t="s">
        <v>141</v>
      </c>
      <c r="B2" s="37" t="s">
        <v>577</v>
      </c>
      <c r="C2" s="38">
        <v>8405.73</v>
      </c>
    </row>
    <row r="3" spans="1:3" ht="30" x14ac:dyDescent="0.25">
      <c r="A3" t="s">
        <v>141</v>
      </c>
      <c r="B3" s="37" t="s">
        <v>578</v>
      </c>
      <c r="C3" s="38">
        <v>8299.75</v>
      </c>
    </row>
    <row r="4" spans="1:3" ht="30" x14ac:dyDescent="0.25">
      <c r="A4" t="s">
        <v>141</v>
      </c>
      <c r="B4" s="37" t="s">
        <v>579</v>
      </c>
      <c r="C4" s="38">
        <v>15997</v>
      </c>
    </row>
    <row r="5" spans="1:3" ht="30" x14ac:dyDescent="0.25">
      <c r="A5" t="s">
        <v>141</v>
      </c>
      <c r="B5" s="37" t="s">
        <v>580</v>
      </c>
      <c r="C5" s="38">
        <v>3427.93</v>
      </c>
    </row>
    <row r="6" spans="1:3" ht="45" x14ac:dyDescent="0.25">
      <c r="A6" t="s">
        <v>141</v>
      </c>
      <c r="B6" s="37" t="s">
        <v>581</v>
      </c>
      <c r="C6" s="38">
        <v>1049.99</v>
      </c>
    </row>
    <row r="7" spans="1:3" ht="45" x14ac:dyDescent="0.25">
      <c r="A7" t="s">
        <v>141</v>
      </c>
      <c r="B7" s="37" t="s">
        <v>582</v>
      </c>
      <c r="C7" s="38">
        <v>-1049.99</v>
      </c>
    </row>
    <row r="8" spans="1:3" ht="30" x14ac:dyDescent="0.25">
      <c r="A8" t="s">
        <v>141</v>
      </c>
      <c r="B8" s="37" t="s">
        <v>583</v>
      </c>
      <c r="C8" s="38">
        <v>1019.12</v>
      </c>
    </row>
    <row r="9" spans="1:3" ht="30" x14ac:dyDescent="0.25">
      <c r="A9" t="s">
        <v>142</v>
      </c>
      <c r="B9" s="37" t="s">
        <v>584</v>
      </c>
      <c r="C9" s="38">
        <v>17608.330000000002</v>
      </c>
    </row>
    <row r="10" spans="1:3" ht="30" x14ac:dyDescent="0.25">
      <c r="A10" t="s">
        <v>142</v>
      </c>
      <c r="B10" s="37" t="s">
        <v>585</v>
      </c>
      <c r="C10" s="38">
        <v>30419.01</v>
      </c>
    </row>
    <row r="11" spans="1:3" ht="45" x14ac:dyDescent="0.25">
      <c r="A11" t="s">
        <v>142</v>
      </c>
      <c r="B11" s="37" t="s">
        <v>586</v>
      </c>
      <c r="C11" s="38">
        <v>3149.96</v>
      </c>
    </row>
    <row r="12" spans="1:3" ht="45" x14ac:dyDescent="0.25">
      <c r="A12" t="s">
        <v>142</v>
      </c>
      <c r="B12" s="37" t="s">
        <v>587</v>
      </c>
      <c r="C12" s="38">
        <v>-3149.96</v>
      </c>
    </row>
    <row r="13" spans="1:3" ht="45" x14ac:dyDescent="0.25">
      <c r="A13" t="s">
        <v>142</v>
      </c>
      <c r="B13" s="37" t="s">
        <v>588</v>
      </c>
      <c r="C13" s="38">
        <v>4076.46</v>
      </c>
    </row>
    <row r="14" spans="1:3" ht="30" x14ac:dyDescent="0.25">
      <c r="A14" t="s">
        <v>229</v>
      </c>
      <c r="B14" s="37" t="s">
        <v>589</v>
      </c>
      <c r="C14" s="38">
        <v>2282.5700000000002</v>
      </c>
    </row>
    <row r="15" spans="1:3" x14ac:dyDescent="0.25">
      <c r="A15" t="s">
        <v>237</v>
      </c>
      <c r="B15" s="37" t="s">
        <v>590</v>
      </c>
      <c r="C15" s="38">
        <v>-1554.8</v>
      </c>
    </row>
    <row r="16" spans="1:3" ht="30" x14ac:dyDescent="0.25">
      <c r="A16" t="s">
        <v>399</v>
      </c>
      <c r="B16" s="37" t="s">
        <v>591</v>
      </c>
      <c r="C16" s="38">
        <v>275</v>
      </c>
    </row>
    <row r="17" spans="1:3" ht="30" x14ac:dyDescent="0.25">
      <c r="A17" t="s">
        <v>399</v>
      </c>
      <c r="B17" s="37" t="s">
        <v>592</v>
      </c>
      <c r="C17" s="38">
        <v>275</v>
      </c>
    </row>
    <row r="18" spans="1:3" ht="30" x14ac:dyDescent="0.25">
      <c r="A18" t="s">
        <v>399</v>
      </c>
      <c r="B18" s="37" t="s">
        <v>593</v>
      </c>
      <c r="C18" s="38">
        <v>275</v>
      </c>
    </row>
    <row r="19" spans="1:3" ht="45" x14ac:dyDescent="0.25">
      <c r="A19" t="s">
        <v>399</v>
      </c>
      <c r="B19" s="37" t="s">
        <v>594</v>
      </c>
      <c r="C19" s="38">
        <v>825</v>
      </c>
    </row>
    <row r="20" spans="1:3" ht="60" x14ac:dyDescent="0.25">
      <c r="A20" t="s">
        <v>399</v>
      </c>
      <c r="B20" s="37" t="s">
        <v>595</v>
      </c>
      <c r="C20" s="38">
        <v>20000</v>
      </c>
    </row>
    <row r="21" spans="1:3" ht="30" x14ac:dyDescent="0.25">
      <c r="A21" t="s">
        <v>399</v>
      </c>
      <c r="B21" s="37" t="s">
        <v>596</v>
      </c>
      <c r="C21" s="38">
        <v>275</v>
      </c>
    </row>
    <row r="22" spans="1:3" ht="30" x14ac:dyDescent="0.25">
      <c r="A22" t="s">
        <v>399</v>
      </c>
      <c r="B22" s="37" t="s">
        <v>597</v>
      </c>
      <c r="C22" s="38">
        <v>275</v>
      </c>
    </row>
    <row r="23" spans="1:3" ht="30" x14ac:dyDescent="0.25">
      <c r="A23" t="s">
        <v>399</v>
      </c>
      <c r="B23" s="37" t="s">
        <v>598</v>
      </c>
      <c r="C23" s="38">
        <v>6187.5</v>
      </c>
    </row>
    <row r="24" spans="1:3" ht="30" x14ac:dyDescent="0.25">
      <c r="A24" t="s">
        <v>599</v>
      </c>
      <c r="B24" s="37" t="s">
        <v>600</v>
      </c>
      <c r="C24" s="38">
        <v>339.9</v>
      </c>
    </row>
    <row r="25" spans="1:3" x14ac:dyDescent="0.25">
      <c r="A25" t="s">
        <v>599</v>
      </c>
      <c r="B25" s="37" t="s">
        <v>601</v>
      </c>
      <c r="C25" s="38">
        <v>339.9</v>
      </c>
    </row>
    <row r="26" spans="1:3" x14ac:dyDescent="0.25">
      <c r="A26" t="s">
        <v>599</v>
      </c>
      <c r="B26" s="37" t="s">
        <v>602</v>
      </c>
      <c r="C26" s="38">
        <v>339.9</v>
      </c>
    </row>
    <row r="27" spans="1:3" ht="30" x14ac:dyDescent="0.25">
      <c r="A27" t="s">
        <v>599</v>
      </c>
      <c r="B27" s="37" t="s">
        <v>603</v>
      </c>
      <c r="C27" s="38">
        <v>339.9</v>
      </c>
    </row>
    <row r="28" spans="1:3" x14ac:dyDescent="0.25">
      <c r="A28" t="s">
        <v>599</v>
      </c>
      <c r="B28" s="37" t="s">
        <v>604</v>
      </c>
      <c r="C28" s="38">
        <v>339.9</v>
      </c>
    </row>
    <row r="29" spans="1:3" ht="30" x14ac:dyDescent="0.25">
      <c r="A29" t="s">
        <v>599</v>
      </c>
      <c r="B29" s="37" t="s">
        <v>605</v>
      </c>
      <c r="C29" s="38">
        <v>679.8</v>
      </c>
    </row>
    <row r="30" spans="1:3" ht="30" x14ac:dyDescent="0.25">
      <c r="A30" t="s">
        <v>599</v>
      </c>
      <c r="B30" s="37" t="s">
        <v>606</v>
      </c>
      <c r="C30" s="38">
        <v>339.9</v>
      </c>
    </row>
    <row r="31" spans="1:3" ht="30" x14ac:dyDescent="0.25">
      <c r="A31" t="s">
        <v>599</v>
      </c>
      <c r="B31" s="37" t="s">
        <v>607</v>
      </c>
      <c r="C31" s="38">
        <v>339.9</v>
      </c>
    </row>
    <row r="32" spans="1:3" x14ac:dyDescent="0.25">
      <c r="A32" t="s">
        <v>599</v>
      </c>
      <c r="B32" s="37" t="s">
        <v>608</v>
      </c>
      <c r="C32" s="38">
        <v>339.9</v>
      </c>
    </row>
    <row r="33" spans="1:3" x14ac:dyDescent="0.25">
      <c r="A33" t="s">
        <v>599</v>
      </c>
      <c r="B33" s="37" t="s">
        <v>609</v>
      </c>
      <c r="C33" s="38">
        <v>339.9</v>
      </c>
    </row>
    <row r="34" spans="1:3" ht="30" x14ac:dyDescent="0.25">
      <c r="A34" t="s">
        <v>599</v>
      </c>
      <c r="B34" s="37" t="s">
        <v>610</v>
      </c>
      <c r="C34" s="38">
        <v>339.9</v>
      </c>
    </row>
    <row r="35" spans="1:3" ht="30" x14ac:dyDescent="0.25">
      <c r="A35" t="s">
        <v>599</v>
      </c>
      <c r="B35" s="37" t="s">
        <v>611</v>
      </c>
      <c r="C35" s="38">
        <v>339.9</v>
      </c>
    </row>
    <row r="36" spans="1:3" x14ac:dyDescent="0.25">
      <c r="A36" t="s">
        <v>599</v>
      </c>
      <c r="B36" s="37" t="s">
        <v>612</v>
      </c>
      <c r="C36" s="38">
        <v>339.9</v>
      </c>
    </row>
    <row r="37" spans="1:3" x14ac:dyDescent="0.25">
      <c r="A37" t="s">
        <v>599</v>
      </c>
      <c r="B37" s="37" t="s">
        <v>613</v>
      </c>
      <c r="C37" s="38">
        <v>19404</v>
      </c>
    </row>
    <row r="38" spans="1:3" ht="30" x14ac:dyDescent="0.25">
      <c r="A38" t="s">
        <v>614</v>
      </c>
      <c r="B38" s="37" t="s">
        <v>615</v>
      </c>
      <c r="C38" s="38">
        <v>320.10000000000002</v>
      </c>
    </row>
    <row r="39" spans="1:3" x14ac:dyDescent="0.25">
      <c r="A39" t="s">
        <v>614</v>
      </c>
      <c r="B39" s="37" t="s">
        <v>616</v>
      </c>
      <c r="C39" s="38">
        <v>320.10000000000002</v>
      </c>
    </row>
    <row r="40" spans="1:3" x14ac:dyDescent="0.25">
      <c r="A40" t="s">
        <v>614</v>
      </c>
      <c r="B40" s="37" t="s">
        <v>617</v>
      </c>
      <c r="C40" s="38">
        <v>320.10000000000002</v>
      </c>
    </row>
    <row r="41" spans="1:3" ht="30" x14ac:dyDescent="0.25">
      <c r="A41" t="s">
        <v>614</v>
      </c>
      <c r="B41" s="37" t="s">
        <v>618</v>
      </c>
      <c r="C41" s="38">
        <v>320.10000000000002</v>
      </c>
    </row>
    <row r="42" spans="1:3" x14ac:dyDescent="0.25">
      <c r="A42" t="s">
        <v>614</v>
      </c>
      <c r="B42" s="37" t="s">
        <v>619</v>
      </c>
      <c r="C42" s="38">
        <v>320.10000000000002</v>
      </c>
    </row>
    <row r="43" spans="1:3" ht="30" x14ac:dyDescent="0.25">
      <c r="A43" t="s">
        <v>614</v>
      </c>
      <c r="B43" s="37" t="s">
        <v>620</v>
      </c>
      <c r="C43" s="38">
        <v>640.20000000000005</v>
      </c>
    </row>
    <row r="44" spans="1:3" ht="30" x14ac:dyDescent="0.25">
      <c r="A44" t="s">
        <v>614</v>
      </c>
      <c r="B44" s="37" t="s">
        <v>621</v>
      </c>
      <c r="C44" s="38">
        <v>320.10000000000002</v>
      </c>
    </row>
    <row r="45" spans="1:3" ht="30" x14ac:dyDescent="0.25">
      <c r="A45" t="s">
        <v>614</v>
      </c>
      <c r="B45" s="37" t="s">
        <v>622</v>
      </c>
      <c r="C45" s="38">
        <v>320.10000000000002</v>
      </c>
    </row>
    <row r="46" spans="1:3" ht="30" x14ac:dyDescent="0.25">
      <c r="A46" t="s">
        <v>614</v>
      </c>
      <c r="B46" s="37" t="s">
        <v>623</v>
      </c>
      <c r="C46" s="38">
        <v>320.10000000000002</v>
      </c>
    </row>
    <row r="47" spans="1:3" ht="30" x14ac:dyDescent="0.25">
      <c r="A47" t="s">
        <v>614</v>
      </c>
      <c r="B47" s="37" t="s">
        <v>624</v>
      </c>
      <c r="C47" s="38">
        <v>320.10000000000002</v>
      </c>
    </row>
    <row r="48" spans="1:3" ht="30" x14ac:dyDescent="0.25">
      <c r="A48" t="s">
        <v>614</v>
      </c>
      <c r="B48" s="37" t="s">
        <v>625</v>
      </c>
      <c r="C48" s="38">
        <v>320.10000000000002</v>
      </c>
    </row>
    <row r="49" spans="1:3" x14ac:dyDescent="0.25">
      <c r="A49" t="s">
        <v>614</v>
      </c>
      <c r="B49" s="37" t="s">
        <v>626</v>
      </c>
      <c r="C49" s="38">
        <v>320.10000000000002</v>
      </c>
    </row>
    <row r="50" spans="1:3" x14ac:dyDescent="0.25">
      <c r="A50" t="s">
        <v>614</v>
      </c>
      <c r="B50" s="37" t="s">
        <v>627</v>
      </c>
      <c r="C50" s="38">
        <v>19404</v>
      </c>
    </row>
    <row r="51" spans="1:3" ht="30" x14ac:dyDescent="0.25">
      <c r="A51" t="s">
        <v>628</v>
      </c>
      <c r="B51" s="37" t="s">
        <v>629</v>
      </c>
      <c r="C51" s="38">
        <v>330</v>
      </c>
    </row>
    <row r="52" spans="1:3" ht="30" x14ac:dyDescent="0.25">
      <c r="A52" t="s">
        <v>628</v>
      </c>
      <c r="B52" s="37" t="s">
        <v>630</v>
      </c>
      <c r="C52" s="38">
        <v>330</v>
      </c>
    </row>
    <row r="53" spans="1:3" ht="30" x14ac:dyDescent="0.25">
      <c r="A53" t="s">
        <v>628</v>
      </c>
      <c r="B53" s="37" t="s">
        <v>631</v>
      </c>
      <c r="C53" s="38">
        <v>330</v>
      </c>
    </row>
    <row r="54" spans="1:3" ht="30" x14ac:dyDescent="0.25">
      <c r="A54" t="s">
        <v>628</v>
      </c>
      <c r="B54" s="37" t="s">
        <v>632</v>
      </c>
      <c r="C54" s="38">
        <v>330</v>
      </c>
    </row>
    <row r="55" spans="1:3" ht="30" x14ac:dyDescent="0.25">
      <c r="A55" t="s">
        <v>628</v>
      </c>
      <c r="B55" s="37" t="s">
        <v>633</v>
      </c>
      <c r="C55" s="38">
        <v>330</v>
      </c>
    </row>
    <row r="56" spans="1:3" ht="30" x14ac:dyDescent="0.25">
      <c r="A56" t="s">
        <v>628</v>
      </c>
      <c r="B56" s="37" t="s">
        <v>634</v>
      </c>
      <c r="C56" s="38">
        <v>330</v>
      </c>
    </row>
    <row r="57" spans="1:3" ht="30" x14ac:dyDescent="0.25">
      <c r="A57" t="s">
        <v>628</v>
      </c>
      <c r="B57" s="37" t="s">
        <v>635</v>
      </c>
      <c r="C57" s="38">
        <v>330</v>
      </c>
    </row>
    <row r="58" spans="1:3" ht="30" x14ac:dyDescent="0.25">
      <c r="A58" t="s">
        <v>628</v>
      </c>
      <c r="B58" s="37" t="s">
        <v>636</v>
      </c>
      <c r="C58" s="38">
        <v>330</v>
      </c>
    </row>
    <row r="59" spans="1:3" ht="30" x14ac:dyDescent="0.25">
      <c r="A59" t="s">
        <v>628</v>
      </c>
      <c r="B59" s="37" t="s">
        <v>637</v>
      </c>
      <c r="C59" s="38">
        <v>330</v>
      </c>
    </row>
    <row r="60" spans="1:3" ht="30" x14ac:dyDescent="0.25">
      <c r="A60" t="s">
        <v>628</v>
      </c>
      <c r="B60" s="37" t="s">
        <v>638</v>
      </c>
      <c r="C60" s="38">
        <v>330</v>
      </c>
    </row>
    <row r="61" spans="1:3" ht="30" x14ac:dyDescent="0.25">
      <c r="A61" t="s">
        <v>628</v>
      </c>
      <c r="B61" s="37" t="s">
        <v>639</v>
      </c>
      <c r="C61" s="38">
        <v>330</v>
      </c>
    </row>
    <row r="62" spans="1:3" ht="30" x14ac:dyDescent="0.25">
      <c r="A62" t="s">
        <v>628</v>
      </c>
      <c r="B62" s="37" t="s">
        <v>640</v>
      </c>
      <c r="C62" s="38">
        <v>330</v>
      </c>
    </row>
    <row r="63" spans="1:3" ht="30" x14ac:dyDescent="0.25">
      <c r="A63" t="s">
        <v>628</v>
      </c>
      <c r="B63" s="37" t="s">
        <v>641</v>
      </c>
      <c r="C63" s="38">
        <v>330</v>
      </c>
    </row>
    <row r="64" spans="1:3" ht="30" x14ac:dyDescent="0.25">
      <c r="A64" t="s">
        <v>628</v>
      </c>
      <c r="B64" s="37" t="s">
        <v>642</v>
      </c>
      <c r="C64" s="38">
        <v>330</v>
      </c>
    </row>
    <row r="65" spans="1:3" ht="30" x14ac:dyDescent="0.25">
      <c r="A65" t="s">
        <v>628</v>
      </c>
      <c r="B65" s="37" t="s">
        <v>643</v>
      </c>
      <c r="C65" s="38">
        <v>330</v>
      </c>
    </row>
    <row r="66" spans="1:3" ht="30" x14ac:dyDescent="0.25">
      <c r="A66" t="s">
        <v>628</v>
      </c>
      <c r="B66" s="37" t="s">
        <v>644</v>
      </c>
      <c r="C66" s="38">
        <v>330</v>
      </c>
    </row>
    <row r="67" spans="1:3" ht="30" x14ac:dyDescent="0.25">
      <c r="A67" t="s">
        <v>628</v>
      </c>
      <c r="B67" s="37" t="s">
        <v>645</v>
      </c>
      <c r="C67" s="38">
        <v>330</v>
      </c>
    </row>
    <row r="68" spans="1:3" x14ac:dyDescent="0.25">
      <c r="A68" t="s">
        <v>628</v>
      </c>
      <c r="B68" s="37" t="s">
        <v>646</v>
      </c>
      <c r="C68" s="38">
        <v>28611</v>
      </c>
    </row>
    <row r="69" spans="1:3" ht="30" x14ac:dyDescent="0.25">
      <c r="A69" t="s">
        <v>647</v>
      </c>
      <c r="B69" s="37" t="s">
        <v>648</v>
      </c>
      <c r="C69" s="38">
        <v>330</v>
      </c>
    </row>
    <row r="70" spans="1:3" ht="30" x14ac:dyDescent="0.25">
      <c r="A70" t="s">
        <v>647</v>
      </c>
      <c r="B70" s="37" t="s">
        <v>649</v>
      </c>
      <c r="C70" s="38">
        <v>330</v>
      </c>
    </row>
    <row r="71" spans="1:3" ht="30" x14ac:dyDescent="0.25">
      <c r="A71" t="s">
        <v>647</v>
      </c>
      <c r="B71" s="37" t="s">
        <v>650</v>
      </c>
      <c r="C71" s="38">
        <v>330</v>
      </c>
    </row>
    <row r="72" spans="1:3" ht="30" x14ac:dyDescent="0.25">
      <c r="A72" t="s">
        <v>647</v>
      </c>
      <c r="B72" s="37" t="s">
        <v>651</v>
      </c>
      <c r="C72" s="38">
        <v>330</v>
      </c>
    </row>
    <row r="73" spans="1:3" ht="30" x14ac:dyDescent="0.25">
      <c r="A73" t="s">
        <v>647</v>
      </c>
      <c r="B73" s="37" t="s">
        <v>652</v>
      </c>
      <c r="C73" s="38">
        <v>330</v>
      </c>
    </row>
    <row r="74" spans="1:3" ht="30" x14ac:dyDescent="0.25">
      <c r="A74" t="s">
        <v>647</v>
      </c>
      <c r="B74" s="37" t="s">
        <v>653</v>
      </c>
      <c r="C74" s="38">
        <v>330</v>
      </c>
    </row>
    <row r="75" spans="1:3" ht="30" x14ac:dyDescent="0.25">
      <c r="A75" t="s">
        <v>647</v>
      </c>
      <c r="B75" s="37" t="s">
        <v>654</v>
      </c>
      <c r="C75" s="38">
        <v>330</v>
      </c>
    </row>
    <row r="76" spans="1:3" ht="30" x14ac:dyDescent="0.25">
      <c r="A76" t="s">
        <v>647</v>
      </c>
      <c r="B76" s="37" t="s">
        <v>655</v>
      </c>
      <c r="C76" s="38">
        <v>330</v>
      </c>
    </row>
    <row r="77" spans="1:3" ht="30" x14ac:dyDescent="0.25">
      <c r="A77" t="s">
        <v>647</v>
      </c>
      <c r="B77" s="37" t="s">
        <v>656</v>
      </c>
      <c r="C77" s="38">
        <v>330</v>
      </c>
    </row>
    <row r="78" spans="1:3" ht="30" x14ac:dyDescent="0.25">
      <c r="A78" t="s">
        <v>647</v>
      </c>
      <c r="B78" s="37" t="s">
        <v>657</v>
      </c>
      <c r="C78" s="38">
        <v>330</v>
      </c>
    </row>
    <row r="79" spans="1:3" ht="30" x14ac:dyDescent="0.25">
      <c r="A79" t="s">
        <v>647</v>
      </c>
      <c r="B79" s="37" t="s">
        <v>658</v>
      </c>
      <c r="C79" s="38">
        <v>330</v>
      </c>
    </row>
    <row r="80" spans="1:3" ht="30" x14ac:dyDescent="0.25">
      <c r="A80" t="s">
        <v>647</v>
      </c>
      <c r="B80" s="37" t="s">
        <v>659</v>
      </c>
      <c r="C80" s="38">
        <v>330</v>
      </c>
    </row>
    <row r="81" spans="1:3" ht="30" x14ac:dyDescent="0.25">
      <c r="A81" t="s">
        <v>647</v>
      </c>
      <c r="B81" s="37" t="s">
        <v>660</v>
      </c>
      <c r="C81" s="38">
        <v>330</v>
      </c>
    </row>
    <row r="82" spans="1:3" ht="30" x14ac:dyDescent="0.25">
      <c r="A82" t="s">
        <v>647</v>
      </c>
      <c r="B82" s="37" t="s">
        <v>661</v>
      </c>
      <c r="C82" s="38">
        <v>330</v>
      </c>
    </row>
    <row r="83" spans="1:3" ht="30" x14ac:dyDescent="0.25">
      <c r="A83" t="s">
        <v>647</v>
      </c>
      <c r="B83" s="37" t="s">
        <v>662</v>
      </c>
      <c r="C83" s="38">
        <v>330</v>
      </c>
    </row>
    <row r="84" spans="1:3" ht="30" x14ac:dyDescent="0.25">
      <c r="A84" t="s">
        <v>647</v>
      </c>
      <c r="B84" s="37" t="s">
        <v>663</v>
      </c>
      <c r="C84" s="38">
        <v>330</v>
      </c>
    </row>
    <row r="85" spans="1:3" ht="30" x14ac:dyDescent="0.25">
      <c r="A85" t="s">
        <v>647</v>
      </c>
      <c r="B85" s="37" t="s">
        <v>664</v>
      </c>
      <c r="C85" s="38">
        <v>330</v>
      </c>
    </row>
    <row r="86" spans="1:3" ht="30" x14ac:dyDescent="0.25">
      <c r="A86" t="s">
        <v>647</v>
      </c>
      <c r="B86" s="37" t="s">
        <v>665</v>
      </c>
      <c r="C86" s="38">
        <v>330</v>
      </c>
    </row>
    <row r="87" spans="1:3" x14ac:dyDescent="0.25">
      <c r="A87" t="s">
        <v>647</v>
      </c>
      <c r="B87" s="37" t="s">
        <v>666</v>
      </c>
      <c r="C87" s="38">
        <v>28611</v>
      </c>
    </row>
    <row r="88" spans="1:3" ht="30" x14ac:dyDescent="0.25">
      <c r="A88" t="s">
        <v>667</v>
      </c>
      <c r="B88" s="37" t="s">
        <v>668</v>
      </c>
      <c r="C88" s="38">
        <v>330</v>
      </c>
    </row>
    <row r="89" spans="1:3" ht="30" x14ac:dyDescent="0.25">
      <c r="A89" t="s">
        <v>667</v>
      </c>
      <c r="B89" s="37" t="s">
        <v>669</v>
      </c>
      <c r="C89" s="38">
        <v>330</v>
      </c>
    </row>
    <row r="90" spans="1:3" ht="30" x14ac:dyDescent="0.25">
      <c r="A90" t="s">
        <v>667</v>
      </c>
      <c r="B90" s="37" t="s">
        <v>670</v>
      </c>
      <c r="C90" s="38">
        <v>330</v>
      </c>
    </row>
    <row r="91" spans="1:3" ht="30" x14ac:dyDescent="0.25">
      <c r="A91" t="s">
        <v>667</v>
      </c>
      <c r="B91" s="37" t="s">
        <v>671</v>
      </c>
      <c r="C91" s="38">
        <v>330</v>
      </c>
    </row>
    <row r="92" spans="1:3" ht="30" x14ac:dyDescent="0.25">
      <c r="A92" t="s">
        <v>667</v>
      </c>
      <c r="B92" s="37" t="s">
        <v>672</v>
      </c>
      <c r="C92" s="38">
        <v>330</v>
      </c>
    </row>
    <row r="93" spans="1:3" ht="30" x14ac:dyDescent="0.25">
      <c r="A93" t="s">
        <v>667</v>
      </c>
      <c r="B93" s="37" t="s">
        <v>673</v>
      </c>
      <c r="C93" s="38">
        <v>330</v>
      </c>
    </row>
    <row r="94" spans="1:3" ht="30" x14ac:dyDescent="0.25">
      <c r="A94" t="s">
        <v>667</v>
      </c>
      <c r="B94" s="37" t="s">
        <v>674</v>
      </c>
      <c r="C94" s="38">
        <v>330</v>
      </c>
    </row>
    <row r="95" spans="1:3" ht="30" x14ac:dyDescent="0.25">
      <c r="A95" t="s">
        <v>667</v>
      </c>
      <c r="B95" s="37" t="s">
        <v>675</v>
      </c>
      <c r="C95" s="38">
        <v>330</v>
      </c>
    </row>
    <row r="96" spans="1:3" ht="30" x14ac:dyDescent="0.25">
      <c r="A96" t="s">
        <v>667</v>
      </c>
      <c r="B96" s="37" t="s">
        <v>676</v>
      </c>
      <c r="C96" s="38">
        <v>330</v>
      </c>
    </row>
    <row r="97" spans="1:3" ht="30" x14ac:dyDescent="0.25">
      <c r="A97" t="s">
        <v>667</v>
      </c>
      <c r="B97" s="37" t="s">
        <v>677</v>
      </c>
      <c r="C97" s="38">
        <v>330</v>
      </c>
    </row>
    <row r="98" spans="1:3" ht="30" x14ac:dyDescent="0.25">
      <c r="A98" t="s">
        <v>667</v>
      </c>
      <c r="B98" s="37" t="s">
        <v>678</v>
      </c>
      <c r="C98" s="38">
        <v>330</v>
      </c>
    </row>
    <row r="99" spans="1:3" ht="30" x14ac:dyDescent="0.25">
      <c r="A99" t="s">
        <v>667</v>
      </c>
      <c r="B99" s="37" t="s">
        <v>679</v>
      </c>
      <c r="C99" s="38">
        <v>330</v>
      </c>
    </row>
    <row r="100" spans="1:3" ht="30" x14ac:dyDescent="0.25">
      <c r="A100" t="s">
        <v>667</v>
      </c>
      <c r="B100" s="37" t="s">
        <v>680</v>
      </c>
      <c r="C100" s="38">
        <v>330</v>
      </c>
    </row>
    <row r="101" spans="1:3" ht="30" x14ac:dyDescent="0.25">
      <c r="A101" t="s">
        <v>667</v>
      </c>
      <c r="B101" s="37" t="s">
        <v>681</v>
      </c>
      <c r="C101" s="38">
        <v>330</v>
      </c>
    </row>
    <row r="102" spans="1:3" ht="30" x14ac:dyDescent="0.25">
      <c r="A102" t="s">
        <v>667</v>
      </c>
      <c r="B102" s="37" t="s">
        <v>682</v>
      </c>
      <c r="C102" s="38">
        <v>330</v>
      </c>
    </row>
    <row r="103" spans="1:3" ht="30" x14ac:dyDescent="0.25">
      <c r="A103" t="s">
        <v>667</v>
      </c>
      <c r="B103" s="37" t="s">
        <v>683</v>
      </c>
      <c r="C103" s="38">
        <v>330</v>
      </c>
    </row>
    <row r="104" spans="1:3" ht="30" x14ac:dyDescent="0.25">
      <c r="A104" t="s">
        <v>667</v>
      </c>
      <c r="B104" s="37" t="s">
        <v>684</v>
      </c>
      <c r="C104" s="38">
        <v>330</v>
      </c>
    </row>
    <row r="105" spans="1:3" x14ac:dyDescent="0.25">
      <c r="A105" t="s">
        <v>667</v>
      </c>
      <c r="B105" s="37" t="s">
        <v>685</v>
      </c>
      <c r="C105" s="38">
        <v>28611</v>
      </c>
    </row>
    <row r="106" spans="1:3" ht="30" x14ac:dyDescent="0.25">
      <c r="A106" t="s">
        <v>686</v>
      </c>
      <c r="B106" s="37" t="s">
        <v>687</v>
      </c>
      <c r="C106" s="38">
        <v>330</v>
      </c>
    </row>
    <row r="107" spans="1:3" ht="30" x14ac:dyDescent="0.25">
      <c r="A107" t="s">
        <v>686</v>
      </c>
      <c r="B107" s="37" t="s">
        <v>688</v>
      </c>
      <c r="C107" s="38">
        <v>330</v>
      </c>
    </row>
    <row r="108" spans="1:3" ht="30" x14ac:dyDescent="0.25">
      <c r="A108" t="s">
        <v>686</v>
      </c>
      <c r="B108" s="37" t="s">
        <v>689</v>
      </c>
      <c r="C108" s="38">
        <v>330</v>
      </c>
    </row>
    <row r="109" spans="1:3" ht="30" x14ac:dyDescent="0.25">
      <c r="A109" t="s">
        <v>686</v>
      </c>
      <c r="B109" s="37" t="s">
        <v>690</v>
      </c>
      <c r="C109" s="38">
        <v>330</v>
      </c>
    </row>
    <row r="110" spans="1:3" ht="30" x14ac:dyDescent="0.25">
      <c r="A110" t="s">
        <v>686</v>
      </c>
      <c r="B110" s="37" t="s">
        <v>691</v>
      </c>
      <c r="C110" s="38">
        <v>330</v>
      </c>
    </row>
    <row r="111" spans="1:3" ht="30" x14ac:dyDescent="0.25">
      <c r="A111" t="s">
        <v>686</v>
      </c>
      <c r="B111" s="37" t="s">
        <v>692</v>
      </c>
      <c r="C111" s="38">
        <v>330</v>
      </c>
    </row>
    <row r="112" spans="1:3" ht="30" x14ac:dyDescent="0.25">
      <c r="A112" t="s">
        <v>686</v>
      </c>
      <c r="B112" s="37" t="s">
        <v>693</v>
      </c>
      <c r="C112" s="38">
        <v>330</v>
      </c>
    </row>
    <row r="113" spans="1:3" ht="30" x14ac:dyDescent="0.25">
      <c r="A113" t="s">
        <v>686</v>
      </c>
      <c r="B113" s="37" t="s">
        <v>694</v>
      </c>
      <c r="C113" s="38">
        <v>330</v>
      </c>
    </row>
    <row r="114" spans="1:3" ht="30" x14ac:dyDescent="0.25">
      <c r="A114" t="s">
        <v>686</v>
      </c>
      <c r="B114" s="37" t="s">
        <v>695</v>
      </c>
      <c r="C114" s="38">
        <v>330</v>
      </c>
    </row>
    <row r="115" spans="1:3" ht="30" x14ac:dyDescent="0.25">
      <c r="A115" t="s">
        <v>686</v>
      </c>
      <c r="B115" s="37" t="s">
        <v>696</v>
      </c>
      <c r="C115" s="38">
        <v>330</v>
      </c>
    </row>
    <row r="116" spans="1:3" ht="30" x14ac:dyDescent="0.25">
      <c r="A116" t="s">
        <v>686</v>
      </c>
      <c r="B116" s="37" t="s">
        <v>697</v>
      </c>
      <c r="C116" s="38">
        <v>330</v>
      </c>
    </row>
    <row r="117" spans="1:3" ht="30" x14ac:dyDescent="0.25">
      <c r="A117" t="s">
        <v>686</v>
      </c>
      <c r="B117" s="37" t="s">
        <v>698</v>
      </c>
      <c r="C117" s="38">
        <v>330</v>
      </c>
    </row>
    <row r="118" spans="1:3" ht="30" x14ac:dyDescent="0.25">
      <c r="A118" t="s">
        <v>686</v>
      </c>
      <c r="B118" s="37" t="s">
        <v>699</v>
      </c>
      <c r="C118" s="38">
        <v>330</v>
      </c>
    </row>
    <row r="119" spans="1:3" ht="30" x14ac:dyDescent="0.25">
      <c r="A119" t="s">
        <v>686</v>
      </c>
      <c r="B119" s="37" t="s">
        <v>700</v>
      </c>
      <c r="C119" s="38">
        <v>330</v>
      </c>
    </row>
    <row r="120" spans="1:3" ht="30" x14ac:dyDescent="0.25">
      <c r="A120" t="s">
        <v>686</v>
      </c>
      <c r="B120" s="37" t="s">
        <v>701</v>
      </c>
      <c r="C120" s="38">
        <v>330</v>
      </c>
    </row>
    <row r="121" spans="1:3" x14ac:dyDescent="0.25">
      <c r="A121" t="s">
        <v>686</v>
      </c>
      <c r="B121" s="37" t="s">
        <v>702</v>
      </c>
      <c r="C121" s="38">
        <v>28611</v>
      </c>
    </row>
    <row r="122" spans="1:3" ht="30" x14ac:dyDescent="0.25">
      <c r="A122" t="s">
        <v>703</v>
      </c>
      <c r="B122" s="37" t="s">
        <v>704</v>
      </c>
      <c r="C122" s="38">
        <v>356.4</v>
      </c>
    </row>
    <row r="123" spans="1:3" ht="30" x14ac:dyDescent="0.25">
      <c r="A123" t="s">
        <v>703</v>
      </c>
      <c r="B123" s="37" t="s">
        <v>705</v>
      </c>
      <c r="C123" s="38">
        <v>356.4</v>
      </c>
    </row>
    <row r="124" spans="1:3" ht="30" x14ac:dyDescent="0.25">
      <c r="A124" t="s">
        <v>703</v>
      </c>
      <c r="B124" s="37" t="s">
        <v>706</v>
      </c>
      <c r="C124" s="38">
        <v>356.4</v>
      </c>
    </row>
    <row r="125" spans="1:3" ht="30" x14ac:dyDescent="0.25">
      <c r="A125" t="s">
        <v>703</v>
      </c>
      <c r="B125" s="37" t="s">
        <v>707</v>
      </c>
      <c r="C125" s="38">
        <v>356.4</v>
      </c>
    </row>
    <row r="126" spans="1:3" ht="30" x14ac:dyDescent="0.25">
      <c r="A126" t="s">
        <v>703</v>
      </c>
      <c r="B126" s="37" t="s">
        <v>708</v>
      </c>
      <c r="C126" s="38">
        <v>356.4</v>
      </c>
    </row>
    <row r="127" spans="1:3" ht="30" x14ac:dyDescent="0.25">
      <c r="A127" t="s">
        <v>703</v>
      </c>
      <c r="B127" s="37" t="s">
        <v>709</v>
      </c>
      <c r="C127" s="38">
        <v>712.8</v>
      </c>
    </row>
    <row r="128" spans="1:3" ht="30" x14ac:dyDescent="0.25">
      <c r="A128" t="s">
        <v>703</v>
      </c>
      <c r="B128" s="37" t="s">
        <v>710</v>
      </c>
      <c r="C128" s="38">
        <v>356.4</v>
      </c>
    </row>
    <row r="129" spans="1:3" ht="30" x14ac:dyDescent="0.25">
      <c r="A129" t="s">
        <v>703</v>
      </c>
      <c r="B129" s="37" t="s">
        <v>711</v>
      </c>
      <c r="C129" s="38">
        <v>356.4</v>
      </c>
    </row>
    <row r="130" spans="1:3" ht="30" x14ac:dyDescent="0.25">
      <c r="A130" t="s">
        <v>703</v>
      </c>
      <c r="B130" s="37" t="s">
        <v>712</v>
      </c>
      <c r="C130" s="38">
        <v>356.4</v>
      </c>
    </row>
    <row r="131" spans="1:3" ht="30" x14ac:dyDescent="0.25">
      <c r="A131" t="s">
        <v>703</v>
      </c>
      <c r="B131" s="37" t="s">
        <v>713</v>
      </c>
      <c r="C131" s="38">
        <v>356.4</v>
      </c>
    </row>
    <row r="132" spans="1:3" ht="30" x14ac:dyDescent="0.25">
      <c r="A132" t="s">
        <v>703</v>
      </c>
      <c r="B132" s="37" t="s">
        <v>714</v>
      </c>
      <c r="C132" s="38">
        <v>356.4</v>
      </c>
    </row>
    <row r="133" spans="1:3" ht="30" x14ac:dyDescent="0.25">
      <c r="A133" t="s">
        <v>703</v>
      </c>
      <c r="B133" s="37" t="s">
        <v>715</v>
      </c>
      <c r="C133" s="38">
        <v>356.4</v>
      </c>
    </row>
    <row r="134" spans="1:3" ht="30" x14ac:dyDescent="0.25">
      <c r="A134" t="s">
        <v>703</v>
      </c>
      <c r="B134" s="37" t="s">
        <v>716</v>
      </c>
      <c r="C134" s="38">
        <v>356.4</v>
      </c>
    </row>
    <row r="135" spans="1:3" ht="30" x14ac:dyDescent="0.25">
      <c r="A135" t="s">
        <v>703</v>
      </c>
      <c r="B135" s="37" t="s">
        <v>717</v>
      </c>
      <c r="C135" s="38">
        <v>19404</v>
      </c>
    </row>
    <row r="136" spans="1:3" ht="30" x14ac:dyDescent="0.25">
      <c r="A136" t="s">
        <v>718</v>
      </c>
      <c r="B136" s="37" t="s">
        <v>719</v>
      </c>
      <c r="C136" s="38">
        <v>303.60000000000002</v>
      </c>
    </row>
    <row r="137" spans="1:3" ht="30" x14ac:dyDescent="0.25">
      <c r="A137" t="s">
        <v>718</v>
      </c>
      <c r="B137" s="37" t="s">
        <v>720</v>
      </c>
      <c r="C137" s="38">
        <v>303.60000000000002</v>
      </c>
    </row>
    <row r="138" spans="1:3" ht="30" x14ac:dyDescent="0.25">
      <c r="A138" t="s">
        <v>718</v>
      </c>
      <c r="B138" s="37" t="s">
        <v>721</v>
      </c>
      <c r="C138" s="38">
        <v>303.60000000000002</v>
      </c>
    </row>
    <row r="139" spans="1:3" ht="30" x14ac:dyDescent="0.25">
      <c r="A139" t="s">
        <v>718</v>
      </c>
      <c r="B139" s="37" t="s">
        <v>722</v>
      </c>
      <c r="C139" s="38">
        <v>303.60000000000002</v>
      </c>
    </row>
    <row r="140" spans="1:3" ht="30" x14ac:dyDescent="0.25">
      <c r="A140" t="s">
        <v>718</v>
      </c>
      <c r="B140" s="37" t="s">
        <v>723</v>
      </c>
      <c r="C140" s="38">
        <v>303.60000000000002</v>
      </c>
    </row>
    <row r="141" spans="1:3" ht="30" x14ac:dyDescent="0.25">
      <c r="A141" t="s">
        <v>718</v>
      </c>
      <c r="B141" s="37" t="s">
        <v>724</v>
      </c>
      <c r="C141" s="38">
        <v>607.20000000000005</v>
      </c>
    </row>
    <row r="142" spans="1:3" ht="30" x14ac:dyDescent="0.25">
      <c r="A142" t="s">
        <v>718</v>
      </c>
      <c r="B142" s="37" t="s">
        <v>725</v>
      </c>
      <c r="C142" s="38">
        <v>303.60000000000002</v>
      </c>
    </row>
    <row r="143" spans="1:3" ht="30" x14ac:dyDescent="0.25">
      <c r="A143" t="s">
        <v>718</v>
      </c>
      <c r="B143" s="37" t="s">
        <v>726</v>
      </c>
      <c r="C143" s="38">
        <v>303.60000000000002</v>
      </c>
    </row>
    <row r="144" spans="1:3" ht="30" x14ac:dyDescent="0.25">
      <c r="A144" t="s">
        <v>718</v>
      </c>
      <c r="B144" s="37" t="s">
        <v>727</v>
      </c>
      <c r="C144" s="38">
        <v>303.60000000000002</v>
      </c>
    </row>
    <row r="145" spans="1:3" ht="30" x14ac:dyDescent="0.25">
      <c r="A145" t="s">
        <v>718</v>
      </c>
      <c r="B145" s="37" t="s">
        <v>728</v>
      </c>
      <c r="C145" s="38">
        <v>303.60000000000002</v>
      </c>
    </row>
    <row r="146" spans="1:3" ht="30" x14ac:dyDescent="0.25">
      <c r="A146" t="s">
        <v>718</v>
      </c>
      <c r="B146" s="37" t="s">
        <v>729</v>
      </c>
      <c r="C146" s="38">
        <v>303.60000000000002</v>
      </c>
    </row>
    <row r="147" spans="1:3" ht="30" x14ac:dyDescent="0.25">
      <c r="A147" t="s">
        <v>718</v>
      </c>
      <c r="B147" s="37" t="s">
        <v>730</v>
      </c>
      <c r="C147" s="38">
        <v>303.60000000000002</v>
      </c>
    </row>
    <row r="148" spans="1:3" ht="30" x14ac:dyDescent="0.25">
      <c r="A148" t="s">
        <v>718</v>
      </c>
      <c r="B148" s="37" t="s">
        <v>731</v>
      </c>
      <c r="C148" s="38">
        <v>303.60000000000002</v>
      </c>
    </row>
    <row r="149" spans="1:3" ht="30" x14ac:dyDescent="0.25">
      <c r="A149" t="s">
        <v>718</v>
      </c>
      <c r="B149" s="37" t="s">
        <v>732</v>
      </c>
      <c r="C149" s="38">
        <v>19404</v>
      </c>
    </row>
    <row r="150" spans="1:3" ht="30" x14ac:dyDescent="0.25">
      <c r="A150" t="s">
        <v>733</v>
      </c>
      <c r="B150" s="37" t="s">
        <v>734</v>
      </c>
      <c r="C150" s="38">
        <v>369.75</v>
      </c>
    </row>
    <row r="151" spans="1:3" ht="30" x14ac:dyDescent="0.25">
      <c r="A151" t="s">
        <v>733</v>
      </c>
      <c r="B151" s="37" t="s">
        <v>735</v>
      </c>
      <c r="C151" s="38">
        <v>369.75</v>
      </c>
    </row>
    <row r="152" spans="1:3" ht="30" x14ac:dyDescent="0.25">
      <c r="A152" t="s">
        <v>733</v>
      </c>
      <c r="B152" s="37" t="s">
        <v>736</v>
      </c>
      <c r="C152" s="38">
        <v>396.75</v>
      </c>
    </row>
    <row r="153" spans="1:3" ht="30" x14ac:dyDescent="0.25">
      <c r="A153" t="s">
        <v>733</v>
      </c>
      <c r="B153" s="37" t="s">
        <v>737</v>
      </c>
      <c r="C153" s="38">
        <v>369.75</v>
      </c>
    </row>
    <row r="154" spans="1:3" ht="30" x14ac:dyDescent="0.25">
      <c r="A154" t="s">
        <v>733</v>
      </c>
      <c r="B154" s="37" t="s">
        <v>738</v>
      </c>
      <c r="C154" s="38">
        <v>369.75</v>
      </c>
    </row>
    <row r="155" spans="1:3" ht="30" x14ac:dyDescent="0.25">
      <c r="A155" t="s">
        <v>733</v>
      </c>
      <c r="B155" s="37" t="s">
        <v>739</v>
      </c>
      <c r="C155" s="38">
        <v>369.75</v>
      </c>
    </row>
    <row r="156" spans="1:3" x14ac:dyDescent="0.25">
      <c r="A156" t="s">
        <v>733</v>
      </c>
      <c r="B156" s="37" t="s">
        <v>740</v>
      </c>
      <c r="C156" s="38">
        <v>396.75</v>
      </c>
    </row>
    <row r="157" spans="1:3" ht="30" x14ac:dyDescent="0.25">
      <c r="A157" t="s">
        <v>733</v>
      </c>
      <c r="B157" s="37" t="s">
        <v>741</v>
      </c>
      <c r="C157" s="38">
        <v>396.75</v>
      </c>
    </row>
    <row r="158" spans="1:3" ht="30" x14ac:dyDescent="0.25">
      <c r="A158" t="s">
        <v>733</v>
      </c>
      <c r="B158" s="37" t="s">
        <v>742</v>
      </c>
      <c r="C158" s="38">
        <v>396.75</v>
      </c>
    </row>
    <row r="159" spans="1:3" ht="30" x14ac:dyDescent="0.25">
      <c r="A159" t="s">
        <v>733</v>
      </c>
      <c r="B159" s="37" t="s">
        <v>743</v>
      </c>
      <c r="C159" s="38">
        <v>793.5</v>
      </c>
    </row>
    <row r="160" spans="1:3" ht="30" x14ac:dyDescent="0.25">
      <c r="A160" t="s">
        <v>733</v>
      </c>
      <c r="B160" s="37" t="s">
        <v>744</v>
      </c>
      <c r="C160" s="38">
        <v>396.75</v>
      </c>
    </row>
    <row r="161" spans="1:3" ht="30" x14ac:dyDescent="0.25">
      <c r="A161" t="s">
        <v>733</v>
      </c>
      <c r="B161" s="37" t="s">
        <v>745</v>
      </c>
      <c r="C161" s="38">
        <v>27</v>
      </c>
    </row>
    <row r="162" spans="1:3" ht="30" x14ac:dyDescent="0.25">
      <c r="A162" t="s">
        <v>733</v>
      </c>
      <c r="B162" s="37" t="s">
        <v>746</v>
      </c>
      <c r="C162" s="38">
        <v>27</v>
      </c>
    </row>
    <row r="163" spans="1:3" x14ac:dyDescent="0.25">
      <c r="A163" t="s">
        <v>733</v>
      </c>
      <c r="B163" s="37" t="s">
        <v>747</v>
      </c>
      <c r="C163" s="38">
        <v>12497.63</v>
      </c>
    </row>
    <row r="164" spans="1:3" ht="30" x14ac:dyDescent="0.25">
      <c r="A164" t="s">
        <v>748</v>
      </c>
      <c r="B164" s="37" t="s">
        <v>749</v>
      </c>
      <c r="C164" s="38">
        <v>369.75</v>
      </c>
    </row>
    <row r="165" spans="1:3" ht="30" x14ac:dyDescent="0.25">
      <c r="A165" t="s">
        <v>748</v>
      </c>
      <c r="B165" s="37" t="s">
        <v>750</v>
      </c>
      <c r="C165" s="38">
        <v>396.75</v>
      </c>
    </row>
    <row r="166" spans="1:3" ht="30" x14ac:dyDescent="0.25">
      <c r="A166" t="s">
        <v>748</v>
      </c>
      <c r="B166" s="37" t="s">
        <v>751</v>
      </c>
      <c r="C166" s="38">
        <v>369.75</v>
      </c>
    </row>
    <row r="167" spans="1:3" ht="30" x14ac:dyDescent="0.25">
      <c r="A167" t="s">
        <v>748</v>
      </c>
      <c r="B167" s="37" t="s">
        <v>752</v>
      </c>
      <c r="C167" s="38">
        <v>369.75</v>
      </c>
    </row>
    <row r="168" spans="1:3" ht="30" x14ac:dyDescent="0.25">
      <c r="A168" t="s">
        <v>748</v>
      </c>
      <c r="B168" s="37" t="s">
        <v>753</v>
      </c>
      <c r="C168" s="38">
        <v>369.75</v>
      </c>
    </row>
    <row r="169" spans="1:3" ht="30" x14ac:dyDescent="0.25">
      <c r="A169" t="s">
        <v>748</v>
      </c>
      <c r="B169" s="37" t="s">
        <v>754</v>
      </c>
      <c r="C169" s="38">
        <v>369.75</v>
      </c>
    </row>
    <row r="170" spans="1:3" x14ac:dyDescent="0.25">
      <c r="A170" t="s">
        <v>748</v>
      </c>
      <c r="B170" s="37" t="s">
        <v>755</v>
      </c>
      <c r="C170" s="38">
        <v>396.75</v>
      </c>
    </row>
    <row r="171" spans="1:3" ht="30" x14ac:dyDescent="0.25">
      <c r="A171" t="s">
        <v>748</v>
      </c>
      <c r="B171" s="37" t="s">
        <v>756</v>
      </c>
      <c r="C171" s="38">
        <v>396.75</v>
      </c>
    </row>
    <row r="172" spans="1:3" ht="30" x14ac:dyDescent="0.25">
      <c r="A172" t="s">
        <v>748</v>
      </c>
      <c r="B172" s="37" t="s">
        <v>757</v>
      </c>
      <c r="C172" s="38">
        <v>396.75</v>
      </c>
    </row>
    <row r="173" spans="1:3" ht="30" x14ac:dyDescent="0.25">
      <c r="A173" t="s">
        <v>748</v>
      </c>
      <c r="B173" s="37" t="s">
        <v>758</v>
      </c>
      <c r="C173" s="38">
        <v>793.5</v>
      </c>
    </row>
    <row r="174" spans="1:3" ht="30" x14ac:dyDescent="0.25">
      <c r="A174" t="s">
        <v>748</v>
      </c>
      <c r="B174" s="37" t="s">
        <v>759</v>
      </c>
      <c r="C174" s="38">
        <v>396.75</v>
      </c>
    </row>
    <row r="175" spans="1:3" ht="30" x14ac:dyDescent="0.25">
      <c r="A175" t="s">
        <v>748</v>
      </c>
      <c r="B175" s="37" t="s">
        <v>760</v>
      </c>
      <c r="C175" s="38">
        <v>27</v>
      </c>
    </row>
    <row r="176" spans="1:3" ht="30" x14ac:dyDescent="0.25">
      <c r="A176" t="s">
        <v>748</v>
      </c>
      <c r="B176" s="37" t="s">
        <v>761</v>
      </c>
      <c r="C176" s="38">
        <v>27</v>
      </c>
    </row>
    <row r="177" spans="1:3" x14ac:dyDescent="0.25">
      <c r="A177" t="s">
        <v>748</v>
      </c>
      <c r="B177" s="37" t="s">
        <v>762</v>
      </c>
      <c r="C177" s="38">
        <v>12497.63</v>
      </c>
    </row>
    <row r="178" spans="1:3" x14ac:dyDescent="0.25">
      <c r="A178" t="s">
        <v>763</v>
      </c>
      <c r="B178" s="37" t="s">
        <v>764</v>
      </c>
      <c r="C178" s="38">
        <v>11880</v>
      </c>
    </row>
    <row r="179" spans="1:3" x14ac:dyDescent="0.25">
      <c r="A179" t="s">
        <v>765</v>
      </c>
      <c r="B179" s="37" t="s">
        <v>766</v>
      </c>
      <c r="C179" s="38">
        <v>11880</v>
      </c>
    </row>
    <row r="180" spans="1:3" x14ac:dyDescent="0.25">
      <c r="A180" t="s">
        <v>767</v>
      </c>
      <c r="B180" s="37" t="s">
        <v>768</v>
      </c>
      <c r="C180" s="38">
        <v>12338.37</v>
      </c>
    </row>
    <row r="181" spans="1:3" x14ac:dyDescent="0.25">
      <c r="A181" t="s">
        <v>769</v>
      </c>
      <c r="B181" s="37" t="s">
        <v>770</v>
      </c>
      <c r="C181" s="38">
        <v>11619.63</v>
      </c>
    </row>
    <row r="182" spans="1:3" ht="30" x14ac:dyDescent="0.25">
      <c r="A182" t="s">
        <v>771</v>
      </c>
      <c r="B182" s="37" t="s">
        <v>772</v>
      </c>
      <c r="C182" s="38">
        <v>13266</v>
      </c>
    </row>
    <row r="183" spans="1:3" ht="30" x14ac:dyDescent="0.25">
      <c r="A183" t="s">
        <v>771</v>
      </c>
      <c r="B183" s="37" t="s">
        <v>773</v>
      </c>
      <c r="C183" s="38">
        <v>-693</v>
      </c>
    </row>
    <row r="184" spans="1:3" ht="30" x14ac:dyDescent="0.25">
      <c r="A184" t="s">
        <v>774</v>
      </c>
      <c r="B184" s="37" t="s">
        <v>775</v>
      </c>
      <c r="C184" s="38">
        <v>11880</v>
      </c>
    </row>
    <row r="185" spans="1:3" ht="30" x14ac:dyDescent="0.25">
      <c r="A185" t="s">
        <v>776</v>
      </c>
      <c r="B185" s="37" t="s">
        <v>777</v>
      </c>
      <c r="C185" s="38">
        <v>12937.32</v>
      </c>
    </row>
    <row r="186" spans="1:3" ht="30" x14ac:dyDescent="0.25">
      <c r="A186" t="s">
        <v>778</v>
      </c>
      <c r="B186" s="37" t="s">
        <v>779</v>
      </c>
      <c r="C186" s="38">
        <v>11020.68</v>
      </c>
    </row>
    <row r="187" spans="1:3" x14ac:dyDescent="0.25">
      <c r="A187" t="s">
        <v>780</v>
      </c>
      <c r="B187" s="37" t="s">
        <v>781</v>
      </c>
      <c r="C187" s="38">
        <v>5356.12</v>
      </c>
    </row>
    <row r="188" spans="1:3" x14ac:dyDescent="0.25">
      <c r="A188" t="s">
        <v>782</v>
      </c>
      <c r="B188" s="37" t="s">
        <v>783</v>
      </c>
      <c r="C188" s="38">
        <v>5356.12</v>
      </c>
    </row>
    <row r="189" spans="1:3" x14ac:dyDescent="0.25">
      <c r="A189" t="s">
        <v>0</v>
      </c>
      <c r="B189" s="37"/>
      <c r="C189" s="36">
        <f>SUBTOTAL(109,Tabla4[Imp. aplic.])</f>
        <v>491895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C6D25-AD5E-43B4-9F3A-97450B13D04D}">
  <dimension ref="A1:C90"/>
  <sheetViews>
    <sheetView topLeftCell="A76" workbookViewId="0">
      <selection activeCell="C98" sqref="C98"/>
    </sheetView>
  </sheetViews>
  <sheetFormatPr baseColWidth="10" defaultRowHeight="15" x14ac:dyDescent="0.25"/>
  <cols>
    <col min="1" max="1" width="18" customWidth="1"/>
    <col min="2" max="2" width="71.7109375" customWidth="1"/>
    <col min="3" max="3" width="17.28515625" customWidth="1"/>
  </cols>
  <sheetData>
    <row r="1" spans="1:3" x14ac:dyDescent="0.25">
      <c r="A1" s="47" t="s">
        <v>533</v>
      </c>
      <c r="B1" s="48" t="s">
        <v>236</v>
      </c>
      <c r="C1" s="58" t="s">
        <v>534</v>
      </c>
    </row>
    <row r="2" spans="1:3" x14ac:dyDescent="0.25">
      <c r="A2" s="49" t="s">
        <v>733</v>
      </c>
      <c r="B2" s="50" t="s">
        <v>954</v>
      </c>
      <c r="C2" s="51">
        <v>27</v>
      </c>
    </row>
    <row r="3" spans="1:3" x14ac:dyDescent="0.25">
      <c r="A3" s="52" t="s">
        <v>748</v>
      </c>
      <c r="B3" s="53" t="s">
        <v>955</v>
      </c>
      <c r="C3" s="54">
        <v>27</v>
      </c>
    </row>
    <row r="4" spans="1:3" x14ac:dyDescent="0.25">
      <c r="A4" s="49" t="s">
        <v>733</v>
      </c>
      <c r="B4" s="50" t="s">
        <v>956</v>
      </c>
      <c r="C4" s="51">
        <v>27</v>
      </c>
    </row>
    <row r="5" spans="1:3" x14ac:dyDescent="0.25">
      <c r="A5" s="52" t="s">
        <v>748</v>
      </c>
      <c r="B5" s="53" t="s">
        <v>957</v>
      </c>
      <c r="C5" s="54">
        <v>27</v>
      </c>
    </row>
    <row r="6" spans="1:3" x14ac:dyDescent="0.25">
      <c r="A6" s="49" t="s">
        <v>399</v>
      </c>
      <c r="B6" s="50" t="s">
        <v>958</v>
      </c>
      <c r="C6" s="51">
        <v>275</v>
      </c>
    </row>
    <row r="7" spans="1:3" x14ac:dyDescent="0.25">
      <c r="A7" s="52" t="s">
        <v>142</v>
      </c>
      <c r="B7" s="53" t="s">
        <v>959</v>
      </c>
      <c r="C7" s="54">
        <v>3149.96</v>
      </c>
    </row>
    <row r="8" spans="1:3" x14ac:dyDescent="0.25">
      <c r="A8" s="49" t="s">
        <v>141</v>
      </c>
      <c r="B8" s="50" t="s">
        <v>960</v>
      </c>
      <c r="C8" s="51">
        <v>2013.27</v>
      </c>
    </row>
    <row r="9" spans="1:3" x14ac:dyDescent="0.25">
      <c r="A9" s="52" t="s">
        <v>142</v>
      </c>
      <c r="B9" s="53" t="s">
        <v>961</v>
      </c>
      <c r="C9" s="54">
        <v>686.67</v>
      </c>
    </row>
    <row r="10" spans="1:3" x14ac:dyDescent="0.25">
      <c r="A10" s="49" t="s">
        <v>229</v>
      </c>
      <c r="B10" s="50" t="s">
        <v>962</v>
      </c>
      <c r="C10" s="51">
        <v>2380.5</v>
      </c>
    </row>
    <row r="11" spans="1:3" x14ac:dyDescent="0.25">
      <c r="A11" s="52" t="s">
        <v>767</v>
      </c>
      <c r="B11" s="53" t="s">
        <v>963</v>
      </c>
      <c r="C11" s="54">
        <v>272.49</v>
      </c>
    </row>
    <row r="12" spans="1:3" x14ac:dyDescent="0.25">
      <c r="A12" s="49" t="s">
        <v>769</v>
      </c>
      <c r="B12" s="50" t="s">
        <v>964</v>
      </c>
      <c r="C12" s="51">
        <v>272.49</v>
      </c>
    </row>
    <row r="13" spans="1:3" x14ac:dyDescent="0.25">
      <c r="A13" s="52" t="s">
        <v>771</v>
      </c>
      <c r="B13" s="53" t="s">
        <v>965</v>
      </c>
      <c r="C13" s="54">
        <v>272.49</v>
      </c>
    </row>
    <row r="14" spans="1:3" x14ac:dyDescent="0.25">
      <c r="A14" s="49" t="s">
        <v>774</v>
      </c>
      <c r="B14" s="50" t="s">
        <v>966</v>
      </c>
      <c r="C14" s="51">
        <v>272.49</v>
      </c>
    </row>
    <row r="15" spans="1:3" x14ac:dyDescent="0.25">
      <c r="A15" s="52" t="s">
        <v>767</v>
      </c>
      <c r="B15" s="53" t="s">
        <v>967</v>
      </c>
      <c r="C15" s="54">
        <v>272.49</v>
      </c>
    </row>
    <row r="16" spans="1:3" x14ac:dyDescent="0.25">
      <c r="A16" s="49" t="s">
        <v>769</v>
      </c>
      <c r="B16" s="50" t="s">
        <v>968</v>
      </c>
      <c r="C16" s="51">
        <v>272.49</v>
      </c>
    </row>
    <row r="17" spans="1:3" x14ac:dyDescent="0.25">
      <c r="A17" s="52" t="s">
        <v>767</v>
      </c>
      <c r="B17" s="53" t="s">
        <v>969</v>
      </c>
      <c r="C17" s="54">
        <v>272.49</v>
      </c>
    </row>
    <row r="18" spans="1:3" x14ac:dyDescent="0.25">
      <c r="A18" s="49" t="s">
        <v>769</v>
      </c>
      <c r="B18" s="50" t="s">
        <v>970</v>
      </c>
      <c r="C18" s="51">
        <v>272.49</v>
      </c>
    </row>
    <row r="19" spans="1:3" x14ac:dyDescent="0.25">
      <c r="A19" s="52" t="s">
        <v>771</v>
      </c>
      <c r="B19" s="53" t="s">
        <v>971</v>
      </c>
      <c r="C19" s="54">
        <v>272.49</v>
      </c>
    </row>
    <row r="20" spans="1:3" x14ac:dyDescent="0.25">
      <c r="A20" s="49" t="s">
        <v>774</v>
      </c>
      <c r="B20" s="50" t="s">
        <v>972</v>
      </c>
      <c r="C20" s="51">
        <v>272.49</v>
      </c>
    </row>
    <row r="21" spans="1:3" x14ac:dyDescent="0.25">
      <c r="A21" s="52" t="s">
        <v>771</v>
      </c>
      <c r="B21" s="53" t="s">
        <v>973</v>
      </c>
      <c r="C21" s="54">
        <v>272.49</v>
      </c>
    </row>
    <row r="22" spans="1:3" x14ac:dyDescent="0.25">
      <c r="A22" s="49" t="s">
        <v>774</v>
      </c>
      <c r="B22" s="50" t="s">
        <v>974</v>
      </c>
      <c r="C22" s="51">
        <v>272.49</v>
      </c>
    </row>
    <row r="23" spans="1:3" x14ac:dyDescent="0.25">
      <c r="A23" s="52" t="s">
        <v>767</v>
      </c>
      <c r="B23" s="53" t="s">
        <v>975</v>
      </c>
      <c r="C23" s="54">
        <v>272.49</v>
      </c>
    </row>
    <row r="24" spans="1:3" x14ac:dyDescent="0.25">
      <c r="A24" s="49" t="s">
        <v>769</v>
      </c>
      <c r="B24" s="50" t="s">
        <v>976</v>
      </c>
      <c r="C24" s="51">
        <v>272.49</v>
      </c>
    </row>
    <row r="25" spans="1:3" x14ac:dyDescent="0.25">
      <c r="A25" s="52" t="s">
        <v>767</v>
      </c>
      <c r="B25" s="53" t="s">
        <v>977</v>
      </c>
      <c r="C25" s="54">
        <v>272.49</v>
      </c>
    </row>
    <row r="26" spans="1:3" x14ac:dyDescent="0.25">
      <c r="A26" s="49" t="s">
        <v>769</v>
      </c>
      <c r="B26" s="50" t="s">
        <v>978</v>
      </c>
      <c r="C26" s="51">
        <v>272.49</v>
      </c>
    </row>
    <row r="27" spans="1:3" x14ac:dyDescent="0.25">
      <c r="A27" s="52" t="s">
        <v>767</v>
      </c>
      <c r="B27" s="53" t="s">
        <v>979</v>
      </c>
      <c r="C27" s="54">
        <v>272.49</v>
      </c>
    </row>
    <row r="28" spans="1:3" x14ac:dyDescent="0.25">
      <c r="A28" s="49" t="s">
        <v>769</v>
      </c>
      <c r="B28" s="50" t="s">
        <v>980</v>
      </c>
      <c r="C28" s="51">
        <v>272.49</v>
      </c>
    </row>
    <row r="29" spans="1:3" x14ac:dyDescent="0.25">
      <c r="A29" s="52" t="s">
        <v>767</v>
      </c>
      <c r="B29" s="53" t="s">
        <v>981</v>
      </c>
      <c r="C29" s="54">
        <v>272.49</v>
      </c>
    </row>
    <row r="30" spans="1:3" x14ac:dyDescent="0.25">
      <c r="A30" s="49" t="s">
        <v>769</v>
      </c>
      <c r="B30" s="50" t="s">
        <v>982</v>
      </c>
      <c r="C30" s="51">
        <v>272.49</v>
      </c>
    </row>
    <row r="31" spans="1:3" x14ac:dyDescent="0.25">
      <c r="A31" s="52" t="s">
        <v>767</v>
      </c>
      <c r="B31" s="53" t="s">
        <v>983</v>
      </c>
      <c r="C31" s="54">
        <v>272.49</v>
      </c>
    </row>
    <row r="32" spans="1:3" x14ac:dyDescent="0.25">
      <c r="A32" s="49" t="s">
        <v>769</v>
      </c>
      <c r="B32" s="50" t="s">
        <v>984</v>
      </c>
      <c r="C32" s="51">
        <v>272.49</v>
      </c>
    </row>
    <row r="33" spans="1:3" x14ac:dyDescent="0.25">
      <c r="A33" s="52" t="s">
        <v>771</v>
      </c>
      <c r="B33" s="53" t="s">
        <v>985</v>
      </c>
      <c r="C33" s="54">
        <v>272.49</v>
      </c>
    </row>
    <row r="34" spans="1:3" x14ac:dyDescent="0.25">
      <c r="A34" s="49" t="s">
        <v>774</v>
      </c>
      <c r="B34" s="50" t="s">
        <v>986</v>
      </c>
      <c r="C34" s="51">
        <v>272.49</v>
      </c>
    </row>
    <row r="35" spans="1:3" x14ac:dyDescent="0.25">
      <c r="A35" s="52" t="s">
        <v>771</v>
      </c>
      <c r="B35" s="53" t="s">
        <v>987</v>
      </c>
      <c r="C35" s="54">
        <v>272.49</v>
      </c>
    </row>
    <row r="36" spans="1:3" x14ac:dyDescent="0.25">
      <c r="A36" s="49" t="s">
        <v>774</v>
      </c>
      <c r="B36" s="50" t="s">
        <v>988</v>
      </c>
      <c r="C36" s="51">
        <v>272.49</v>
      </c>
    </row>
    <row r="37" spans="1:3" x14ac:dyDescent="0.25">
      <c r="A37" s="52" t="s">
        <v>771</v>
      </c>
      <c r="B37" s="53" t="s">
        <v>989</v>
      </c>
      <c r="C37" s="54">
        <v>272.49</v>
      </c>
    </row>
    <row r="38" spans="1:3" x14ac:dyDescent="0.25">
      <c r="A38" s="49" t="s">
        <v>774</v>
      </c>
      <c r="B38" s="50" t="s">
        <v>990</v>
      </c>
      <c r="C38" s="51">
        <v>272.49</v>
      </c>
    </row>
    <row r="39" spans="1:3" x14ac:dyDescent="0.25">
      <c r="A39" s="52" t="s">
        <v>771</v>
      </c>
      <c r="B39" s="53" t="s">
        <v>991</v>
      </c>
      <c r="C39" s="54">
        <v>272.49</v>
      </c>
    </row>
    <row r="40" spans="1:3" x14ac:dyDescent="0.25">
      <c r="A40" s="49" t="s">
        <v>774</v>
      </c>
      <c r="B40" s="50" t="s">
        <v>992</v>
      </c>
      <c r="C40" s="51">
        <v>272.49</v>
      </c>
    </row>
    <row r="41" spans="1:3" x14ac:dyDescent="0.25">
      <c r="A41" s="52" t="s">
        <v>771</v>
      </c>
      <c r="B41" s="53" t="s">
        <v>993</v>
      </c>
      <c r="C41" s="54">
        <v>272.49</v>
      </c>
    </row>
    <row r="42" spans="1:3" x14ac:dyDescent="0.25">
      <c r="A42" s="49" t="s">
        <v>774</v>
      </c>
      <c r="B42" s="50" t="s">
        <v>994</v>
      </c>
      <c r="C42" s="51">
        <v>272.49</v>
      </c>
    </row>
    <row r="43" spans="1:3" x14ac:dyDescent="0.25">
      <c r="A43" s="52" t="s">
        <v>771</v>
      </c>
      <c r="B43" s="53" t="s">
        <v>995</v>
      </c>
      <c r="C43" s="54">
        <v>272.49</v>
      </c>
    </row>
    <row r="44" spans="1:3" x14ac:dyDescent="0.25">
      <c r="A44" s="49" t="s">
        <v>774</v>
      </c>
      <c r="B44" s="50" t="s">
        <v>996</v>
      </c>
      <c r="C44" s="51">
        <v>272.49</v>
      </c>
    </row>
    <row r="45" spans="1:3" x14ac:dyDescent="0.25">
      <c r="A45" s="52" t="s">
        <v>141</v>
      </c>
      <c r="B45" s="53" t="s">
        <v>997</v>
      </c>
      <c r="C45" s="54">
        <v>1049.99</v>
      </c>
    </row>
    <row r="46" spans="1:3" x14ac:dyDescent="0.25">
      <c r="A46" s="49" t="s">
        <v>771</v>
      </c>
      <c r="B46" s="50" t="s">
        <v>998</v>
      </c>
      <c r="C46" s="51">
        <v>272.49</v>
      </c>
    </row>
    <row r="47" spans="1:3" x14ac:dyDescent="0.25">
      <c r="A47" s="52" t="s">
        <v>774</v>
      </c>
      <c r="B47" s="53" t="s">
        <v>999</v>
      </c>
      <c r="C47" s="54">
        <v>272.49</v>
      </c>
    </row>
    <row r="48" spans="1:3" x14ac:dyDescent="0.25">
      <c r="A48" s="49" t="s">
        <v>769</v>
      </c>
      <c r="B48" s="50" t="s">
        <v>1000</v>
      </c>
      <c r="C48" s="51">
        <v>272.49</v>
      </c>
    </row>
    <row r="49" spans="1:3" x14ac:dyDescent="0.25">
      <c r="A49" s="52" t="s">
        <v>767</v>
      </c>
      <c r="B49" s="53" t="s">
        <v>1001</v>
      </c>
      <c r="C49" s="54">
        <v>272.49</v>
      </c>
    </row>
    <row r="50" spans="1:3" x14ac:dyDescent="0.25">
      <c r="A50" s="49" t="s">
        <v>1002</v>
      </c>
      <c r="B50" s="50" t="s">
        <v>1003</v>
      </c>
      <c r="C50" s="51">
        <v>6866.75</v>
      </c>
    </row>
    <row r="51" spans="1:3" x14ac:dyDescent="0.25">
      <c r="A51" s="52" t="s">
        <v>1004</v>
      </c>
      <c r="B51" s="53" t="s">
        <v>1005</v>
      </c>
      <c r="C51" s="54">
        <v>6866.75</v>
      </c>
    </row>
    <row r="52" spans="1:3" x14ac:dyDescent="0.25">
      <c r="A52" s="49" t="s">
        <v>1006</v>
      </c>
      <c r="B52" s="50" t="s">
        <v>1007</v>
      </c>
      <c r="C52" s="51">
        <v>8583.43</v>
      </c>
    </row>
    <row r="53" spans="1:3" x14ac:dyDescent="0.25">
      <c r="A53" s="52" t="s">
        <v>1008</v>
      </c>
      <c r="B53" s="53" t="s">
        <v>1009</v>
      </c>
      <c r="C53" s="54">
        <v>8583.43</v>
      </c>
    </row>
    <row r="54" spans="1:3" x14ac:dyDescent="0.25">
      <c r="A54" s="49" t="s">
        <v>1010</v>
      </c>
      <c r="B54" s="50" t="s">
        <v>1011</v>
      </c>
      <c r="C54" s="51">
        <v>1350</v>
      </c>
    </row>
    <row r="55" spans="1:3" x14ac:dyDescent="0.25">
      <c r="A55" s="52" t="s">
        <v>1012</v>
      </c>
      <c r="B55" s="53" t="s">
        <v>1013</v>
      </c>
      <c r="C55" s="54">
        <v>22275</v>
      </c>
    </row>
    <row r="56" spans="1:3" x14ac:dyDescent="0.25">
      <c r="A56" s="49" t="s">
        <v>1014</v>
      </c>
      <c r="B56" s="50" t="s">
        <v>1015</v>
      </c>
      <c r="C56" s="51">
        <v>22275</v>
      </c>
    </row>
    <row r="57" spans="1:3" x14ac:dyDescent="0.25">
      <c r="A57" s="52" t="s">
        <v>1016</v>
      </c>
      <c r="B57" s="53" t="s">
        <v>1017</v>
      </c>
      <c r="C57" s="54">
        <v>16443</v>
      </c>
    </row>
    <row r="58" spans="1:3" x14ac:dyDescent="0.25">
      <c r="A58" s="49" t="s">
        <v>1018</v>
      </c>
      <c r="B58" s="50" t="s">
        <v>1019</v>
      </c>
      <c r="C58" s="51">
        <v>16443</v>
      </c>
    </row>
    <row r="59" spans="1:3" x14ac:dyDescent="0.25">
      <c r="A59" s="52" t="s">
        <v>142</v>
      </c>
      <c r="B59" s="53" t="s">
        <v>1020</v>
      </c>
      <c r="C59" s="54">
        <v>26191.26</v>
      </c>
    </row>
    <row r="60" spans="1:3" x14ac:dyDescent="0.25">
      <c r="A60" s="49" t="s">
        <v>141</v>
      </c>
      <c r="B60" s="50" t="s">
        <v>1021</v>
      </c>
      <c r="C60" s="51">
        <v>17460.689999999999</v>
      </c>
    </row>
    <row r="61" spans="1:3" x14ac:dyDescent="0.25">
      <c r="A61" s="52" t="s">
        <v>1010</v>
      </c>
      <c r="B61" s="53" t="s">
        <v>1022</v>
      </c>
      <c r="C61" s="54">
        <v>-135</v>
      </c>
    </row>
    <row r="62" spans="1:3" x14ac:dyDescent="0.25">
      <c r="A62" s="49" t="s">
        <v>141</v>
      </c>
      <c r="B62" s="50" t="s">
        <v>1023</v>
      </c>
      <c r="C62" s="51">
        <v>1194.08</v>
      </c>
    </row>
    <row r="63" spans="1:3" x14ac:dyDescent="0.25">
      <c r="A63" s="52" t="s">
        <v>141</v>
      </c>
      <c r="B63" s="53" t="s">
        <v>1024</v>
      </c>
      <c r="C63" s="54">
        <v>9933.18</v>
      </c>
    </row>
    <row r="64" spans="1:3" x14ac:dyDescent="0.25">
      <c r="A64" s="49" t="s">
        <v>141</v>
      </c>
      <c r="B64" s="50" t="s">
        <v>1024</v>
      </c>
      <c r="C64" s="51">
        <v>-9933.18</v>
      </c>
    </row>
    <row r="65" spans="1:3" x14ac:dyDescent="0.25">
      <c r="A65" s="52" t="s">
        <v>142</v>
      </c>
      <c r="B65" s="53" t="s">
        <v>1025</v>
      </c>
      <c r="C65" s="54">
        <v>1987.27</v>
      </c>
    </row>
    <row r="66" spans="1:3" x14ac:dyDescent="0.25">
      <c r="A66" s="49" t="s">
        <v>142</v>
      </c>
      <c r="B66" s="50" t="s">
        <v>1026</v>
      </c>
      <c r="C66" s="51">
        <v>28258.1</v>
      </c>
    </row>
    <row r="67" spans="1:3" x14ac:dyDescent="0.25">
      <c r="A67" s="52" t="s">
        <v>142</v>
      </c>
      <c r="B67" s="53" t="s">
        <v>1026</v>
      </c>
      <c r="C67" s="54">
        <v>-28258.1</v>
      </c>
    </row>
    <row r="68" spans="1:3" x14ac:dyDescent="0.25">
      <c r="A68" s="49" t="s">
        <v>229</v>
      </c>
      <c r="B68" s="50" t="s">
        <v>1027</v>
      </c>
      <c r="C68" s="51">
        <v>1592.32</v>
      </c>
    </row>
    <row r="69" spans="1:3" x14ac:dyDescent="0.25">
      <c r="A69" s="52" t="s">
        <v>229</v>
      </c>
      <c r="B69" s="53" t="s">
        <v>1027</v>
      </c>
      <c r="C69" s="54">
        <v>-1592.32</v>
      </c>
    </row>
    <row r="70" spans="1:3" x14ac:dyDescent="0.25">
      <c r="A70" s="49" t="s">
        <v>141</v>
      </c>
      <c r="B70" s="50" t="s">
        <v>1028</v>
      </c>
      <c r="C70" s="51">
        <v>9179.2999999999993</v>
      </c>
    </row>
    <row r="71" spans="1:3" x14ac:dyDescent="0.25">
      <c r="A71" s="52" t="s">
        <v>141</v>
      </c>
      <c r="B71" s="53" t="s">
        <v>1028</v>
      </c>
      <c r="C71" s="54">
        <v>-9179.2999999999993</v>
      </c>
    </row>
    <row r="72" spans="1:3" x14ac:dyDescent="0.25">
      <c r="A72" s="49" t="s">
        <v>142</v>
      </c>
      <c r="B72" s="50" t="s">
        <v>1029</v>
      </c>
      <c r="C72" s="51">
        <v>2649.82</v>
      </c>
    </row>
    <row r="73" spans="1:3" x14ac:dyDescent="0.25">
      <c r="A73" s="52" t="s">
        <v>142</v>
      </c>
      <c r="B73" s="53" t="s">
        <v>1029</v>
      </c>
      <c r="C73" s="54">
        <v>-2649.82</v>
      </c>
    </row>
    <row r="74" spans="1:3" x14ac:dyDescent="0.25">
      <c r="A74" s="49" t="s">
        <v>141</v>
      </c>
      <c r="B74" s="50" t="s">
        <v>1030</v>
      </c>
      <c r="C74" s="51">
        <v>7853.47</v>
      </c>
    </row>
    <row r="75" spans="1:3" x14ac:dyDescent="0.25">
      <c r="A75" s="52" t="s">
        <v>141</v>
      </c>
      <c r="B75" s="53" t="s">
        <v>1030</v>
      </c>
      <c r="C75" s="54">
        <v>-7853.47</v>
      </c>
    </row>
    <row r="76" spans="1:3" x14ac:dyDescent="0.25">
      <c r="A76" s="49" t="s">
        <v>142</v>
      </c>
      <c r="B76" s="50" t="s">
        <v>1031</v>
      </c>
      <c r="C76" s="51">
        <v>3305.83</v>
      </c>
    </row>
    <row r="77" spans="1:3" x14ac:dyDescent="0.25">
      <c r="A77" s="52" t="s">
        <v>142</v>
      </c>
      <c r="B77" s="53" t="s">
        <v>1031</v>
      </c>
      <c r="C77" s="54">
        <v>-3305.83</v>
      </c>
    </row>
    <row r="78" spans="1:3" x14ac:dyDescent="0.25">
      <c r="A78" s="49" t="s">
        <v>1004</v>
      </c>
      <c r="B78" s="50" t="s">
        <v>1032</v>
      </c>
      <c r="C78" s="51">
        <v>245.24</v>
      </c>
    </row>
    <row r="79" spans="1:3" x14ac:dyDescent="0.25">
      <c r="A79" s="52" t="s">
        <v>1010</v>
      </c>
      <c r="B79" s="53" t="s">
        <v>1033</v>
      </c>
      <c r="C79" s="54">
        <v>135</v>
      </c>
    </row>
    <row r="80" spans="1:3" x14ac:dyDescent="0.25">
      <c r="A80" s="49" t="s">
        <v>141</v>
      </c>
      <c r="B80" s="50" t="s">
        <v>1034</v>
      </c>
      <c r="C80" s="51">
        <v>11203.42</v>
      </c>
    </row>
    <row r="81" spans="1:3" x14ac:dyDescent="0.25">
      <c r="A81" s="52" t="s">
        <v>229</v>
      </c>
      <c r="B81" s="53" t="s">
        <v>1035</v>
      </c>
      <c r="C81" s="54">
        <v>3172.29</v>
      </c>
    </row>
    <row r="82" spans="1:3" x14ac:dyDescent="0.25">
      <c r="A82" s="49" t="s">
        <v>142</v>
      </c>
      <c r="B82" s="50" t="s">
        <v>1036</v>
      </c>
      <c r="C82" s="51">
        <v>3288.35</v>
      </c>
    </row>
    <row r="83" spans="1:3" x14ac:dyDescent="0.25">
      <c r="A83" s="52" t="s">
        <v>1002</v>
      </c>
      <c r="B83" s="53" t="s">
        <v>1037</v>
      </c>
      <c r="C83" s="54">
        <v>245.24</v>
      </c>
    </row>
    <row r="84" spans="1:3" x14ac:dyDescent="0.25">
      <c r="A84" s="49" t="s">
        <v>141</v>
      </c>
      <c r="B84" s="50" t="s">
        <v>1038</v>
      </c>
      <c r="C84" s="51">
        <v>11864.36</v>
      </c>
    </row>
    <row r="85" spans="1:3" ht="15.75" thickBot="1" x14ac:dyDescent="0.3">
      <c r="A85" s="52" t="s">
        <v>142</v>
      </c>
      <c r="B85" s="53" t="s">
        <v>1039</v>
      </c>
      <c r="C85" s="54">
        <v>3294.34</v>
      </c>
    </row>
    <row r="86" spans="1:3" ht="15.75" thickTop="1" x14ac:dyDescent="0.25">
      <c r="A86" s="55" t="s">
        <v>0</v>
      </c>
      <c r="B86" s="56"/>
      <c r="C86" s="59">
        <v>209850.91</v>
      </c>
    </row>
    <row r="90" spans="1:3" x14ac:dyDescent="0.25">
      <c r="B90" s="39" t="s">
        <v>1040</v>
      </c>
      <c r="C90" s="40">
        <f>+Tabla4[[#Totals],[Imp. aplic.]]+Tabla6[[#Totals],[Imp.cob.aplic.]]+C86</f>
        <v>1938513.7399999995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2019-07-03T07:26:29Z</cp:lastPrinted>
  <dcterms:created xsi:type="dcterms:W3CDTF">2019-07-03T07:15:54Z</dcterms:created>
  <dcterms:modified xsi:type="dcterms:W3CDTF">2026-05-28T10:44:55Z</dcterms:modified>
</cp:coreProperties>
</file>